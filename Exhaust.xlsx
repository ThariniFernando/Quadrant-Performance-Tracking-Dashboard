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tretchline-my.sharepoint.com/personal/tharinif_stretchline_com/Documents/Colour Lab Analysis New/Color Lab Analysis New - June/"/>
    </mc:Choice>
  </mc:AlternateContent>
  <xr:revisionPtr revIDLastSave="425" documentId="13_ncr:1_{EC019263-3803-4762-A248-FBD62CCB5396}" xr6:coauthVersionLast="47" xr6:coauthVersionMax="47" xr10:uidLastSave="{26003498-7592-43F0-BD01-171989FC93C2}"/>
  <bookViews>
    <workbookView xWindow="-110" yWindow="-110" windowWidth="19420" windowHeight="10300" activeTab="1" xr2:uid="{A954D991-D800-4C3F-A187-5926E49B5E71}"/>
  </bookViews>
  <sheets>
    <sheet name="Exhaust_Illuminant 2" sheetId="3" r:id="rId1"/>
    <sheet name="Exhaust_Illuminant 1" sheetId="1" r:id="rId2"/>
    <sheet name="Sheet1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'Exhaust_Illuminant 1'!$A$1:$AA$1654</definedName>
    <definedName name="_xlnm._FilterDatabase" localSheetId="0" hidden="1">'Exhaust_Illuminant 2'!$A$1:$Z$1457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15" i="1" l="1"/>
  <c r="N1551" i="1"/>
  <c r="N1552" i="1"/>
  <c r="N1561" i="1"/>
  <c r="N1573" i="1"/>
  <c r="N1574" i="1"/>
  <c r="N1604" i="1"/>
  <c r="N1606" i="1"/>
  <c r="N1617" i="1"/>
  <c r="N1626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K1515" i="1" s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K1551" i="1" s="1"/>
  <c r="J1552" i="1"/>
  <c r="K1552" i="1" s="1"/>
  <c r="J1553" i="1"/>
  <c r="J1554" i="1"/>
  <c r="J1555" i="1"/>
  <c r="J1556" i="1"/>
  <c r="J1557" i="1"/>
  <c r="J1558" i="1"/>
  <c r="J1559" i="1"/>
  <c r="J1560" i="1"/>
  <c r="J1561" i="1"/>
  <c r="K1561" i="1" s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K1573" i="1" s="1"/>
  <c r="J1574" i="1"/>
  <c r="K1574" i="1" s="1"/>
  <c r="J1575" i="1"/>
  <c r="J1576" i="1"/>
  <c r="J1577" i="1"/>
  <c r="J1578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K1604" i="1" s="1"/>
  <c r="J1605" i="1"/>
  <c r="J1606" i="1"/>
  <c r="K1606" i="1" s="1"/>
  <c r="J1607" i="1"/>
  <c r="J1608" i="1"/>
  <c r="J1609" i="1"/>
  <c r="J1610" i="1"/>
  <c r="J1611" i="1"/>
  <c r="J1612" i="1"/>
  <c r="J1613" i="1"/>
  <c r="J1614" i="1"/>
  <c r="J1615" i="1"/>
  <c r="J1616" i="1"/>
  <c r="J1617" i="1"/>
  <c r="K1617" i="1" s="1"/>
  <c r="J1618" i="1"/>
  <c r="J1619" i="1"/>
  <c r="J1620" i="1"/>
  <c r="J1621" i="1"/>
  <c r="J1622" i="1"/>
  <c r="J1623" i="1"/>
  <c r="J1624" i="1"/>
  <c r="J1625" i="1"/>
  <c r="J1626" i="1"/>
  <c r="K1626" i="1" s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M1545" i="1" s="1"/>
  <c r="F1546" i="1"/>
  <c r="F1547" i="1"/>
  <c r="F1548" i="1"/>
  <c r="F1549" i="1"/>
  <c r="F1550" i="1"/>
  <c r="F1551" i="1"/>
  <c r="F1552" i="1"/>
  <c r="F1553" i="1"/>
  <c r="M1553" i="1" s="1"/>
  <c r="F1554" i="1"/>
  <c r="F1555" i="1"/>
  <c r="F1556" i="1"/>
  <c r="F1557" i="1"/>
  <c r="F1558" i="1"/>
  <c r="F1559" i="1"/>
  <c r="F1560" i="1"/>
  <c r="F1561" i="1"/>
  <c r="M1561" i="1" s="1"/>
  <c r="F1562" i="1"/>
  <c r="F1563" i="1"/>
  <c r="F1564" i="1"/>
  <c r="F1565" i="1"/>
  <c r="F1566" i="1"/>
  <c r="F1567" i="1"/>
  <c r="F1568" i="1"/>
  <c r="F1569" i="1"/>
  <c r="M1569" i="1" s="1"/>
  <c r="F1570" i="1"/>
  <c r="M1570" i="1" s="1"/>
  <c r="F1571" i="1"/>
  <c r="F1572" i="1"/>
  <c r="F1573" i="1"/>
  <c r="F1574" i="1"/>
  <c r="F1575" i="1"/>
  <c r="F1576" i="1"/>
  <c r="F1577" i="1"/>
  <c r="M1577" i="1" s="1"/>
  <c r="F1578" i="1"/>
  <c r="M1578" i="1" s="1"/>
  <c r="F1579" i="1"/>
  <c r="F1580" i="1"/>
  <c r="F1581" i="1"/>
  <c r="F1582" i="1"/>
  <c r="F1583" i="1"/>
  <c r="F1584" i="1"/>
  <c r="F1585" i="1"/>
  <c r="M1585" i="1" s="1"/>
  <c r="F1586" i="1"/>
  <c r="M1586" i="1" s="1"/>
  <c r="F1587" i="1"/>
  <c r="F1588" i="1"/>
  <c r="F1589" i="1"/>
  <c r="F1590" i="1"/>
  <c r="F1591" i="1"/>
  <c r="F1592" i="1"/>
  <c r="F1593" i="1"/>
  <c r="M1593" i="1" s="1"/>
  <c r="F1594" i="1"/>
  <c r="M1594" i="1" s="1"/>
  <c r="F1595" i="1"/>
  <c r="F1596" i="1"/>
  <c r="F1597" i="1"/>
  <c r="F1598" i="1"/>
  <c r="F1599" i="1"/>
  <c r="F1600" i="1"/>
  <c r="F1601" i="1"/>
  <c r="M1601" i="1" s="1"/>
  <c r="F1602" i="1"/>
  <c r="M1602" i="1" s="1"/>
  <c r="F1603" i="1"/>
  <c r="F1604" i="1"/>
  <c r="F1605" i="1"/>
  <c r="F1606" i="1"/>
  <c r="F1607" i="1"/>
  <c r="F1608" i="1"/>
  <c r="F1609" i="1"/>
  <c r="M1609" i="1" s="1"/>
  <c r="F1610" i="1"/>
  <c r="M1610" i="1" s="1"/>
  <c r="F1611" i="1"/>
  <c r="F1612" i="1"/>
  <c r="F1613" i="1"/>
  <c r="F1614" i="1"/>
  <c r="F1615" i="1"/>
  <c r="F1616" i="1"/>
  <c r="F1617" i="1"/>
  <c r="M1617" i="1" s="1"/>
  <c r="F1618" i="1"/>
  <c r="M1618" i="1" s="1"/>
  <c r="F1619" i="1"/>
  <c r="F1620" i="1"/>
  <c r="F1621" i="1"/>
  <c r="F1622" i="1"/>
  <c r="F1623" i="1"/>
  <c r="F1624" i="1"/>
  <c r="F1625" i="1"/>
  <c r="M1625" i="1" s="1"/>
  <c r="F1626" i="1"/>
  <c r="M1626" i="1" s="1"/>
  <c r="F1627" i="1"/>
  <c r="F1628" i="1"/>
  <c r="F1629" i="1"/>
  <c r="F1630" i="1"/>
  <c r="F1631" i="1"/>
  <c r="F1632" i="1"/>
  <c r="F1633" i="1"/>
  <c r="M1633" i="1" s="1"/>
  <c r="F1634" i="1"/>
  <c r="M1634" i="1" s="1"/>
  <c r="F1635" i="1"/>
  <c r="F1636" i="1"/>
  <c r="F1637" i="1"/>
  <c r="F1638" i="1"/>
  <c r="F1639" i="1"/>
  <c r="F1640" i="1"/>
  <c r="F1641" i="1"/>
  <c r="M1641" i="1" s="1"/>
  <c r="F1642" i="1"/>
  <c r="M1642" i="1" s="1"/>
  <c r="F1643" i="1"/>
  <c r="F1644" i="1"/>
  <c r="F1645" i="1"/>
  <c r="F1646" i="1"/>
  <c r="F1647" i="1"/>
  <c r="F1648" i="1"/>
  <c r="F1649" i="1"/>
  <c r="M1649" i="1" s="1"/>
  <c r="F1650" i="1"/>
  <c r="M1650" i="1" s="1"/>
  <c r="F1651" i="1"/>
  <c r="F1652" i="1"/>
  <c r="F1653" i="1"/>
  <c r="F1654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3" i="1"/>
  <c r="D74" i="1"/>
  <c r="D75" i="1"/>
  <c r="D76" i="1"/>
  <c r="D77" i="1"/>
  <c r="D78" i="1"/>
  <c r="D79" i="1"/>
  <c r="D80" i="1"/>
  <c r="D81" i="1"/>
  <c r="D82" i="1"/>
  <c r="D83" i="1"/>
  <c r="D85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5" i="1"/>
  <c r="D106" i="1"/>
  <c r="D107" i="1"/>
  <c r="D110" i="1"/>
  <c r="D111" i="1"/>
  <c r="D112" i="1"/>
  <c r="D113" i="1"/>
  <c r="D114" i="1"/>
  <c r="D115" i="1"/>
  <c r="D116" i="1"/>
  <c r="D117" i="1"/>
  <c r="D118" i="1"/>
  <c r="D119" i="1"/>
  <c r="D121" i="1"/>
  <c r="D122" i="1"/>
  <c r="D123" i="1"/>
  <c r="D124" i="1"/>
  <c r="D125" i="1"/>
  <c r="D126" i="1"/>
  <c r="D127" i="1"/>
  <c r="D128" i="1"/>
  <c r="D129" i="1"/>
  <c r="D131" i="1"/>
  <c r="D132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30" i="1"/>
  <c r="D431" i="1"/>
  <c r="D432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80" i="1"/>
  <c r="D481" i="1"/>
  <c r="D482" i="1"/>
  <c r="D483" i="1"/>
  <c r="D484" i="1"/>
  <c r="D486" i="1"/>
  <c r="D487" i="1"/>
  <c r="D488" i="1"/>
  <c r="D490" i="1"/>
  <c r="D491" i="1"/>
  <c r="D492" i="1"/>
  <c r="D493" i="1"/>
  <c r="D494" i="1"/>
  <c r="D496" i="1"/>
  <c r="D497" i="1"/>
  <c r="D499" i="1"/>
  <c r="D500" i="1"/>
  <c r="D501" i="1"/>
  <c r="D502" i="1"/>
  <c r="D503" i="1"/>
  <c r="D504" i="1"/>
  <c r="D505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8" i="1"/>
  <c r="D659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1" i="1"/>
  <c r="D683" i="1"/>
  <c r="D684" i="1"/>
  <c r="D685" i="1"/>
  <c r="D686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3" i="1"/>
  <c r="D764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8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8" i="1"/>
  <c r="D849" i="1"/>
  <c r="D850" i="1"/>
  <c r="D851" i="1"/>
  <c r="D852" i="1"/>
  <c r="D853" i="1"/>
  <c r="D854" i="1"/>
  <c r="D855" i="1"/>
  <c r="D856" i="1"/>
  <c r="D857" i="1"/>
  <c r="D859" i="1"/>
  <c r="D860" i="1"/>
  <c r="D861" i="1"/>
  <c r="D862" i="1"/>
  <c r="D863" i="1"/>
  <c r="D864" i="1"/>
  <c r="D865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9" i="1"/>
  <c r="D920" i="1"/>
  <c r="D921" i="1"/>
  <c r="D922" i="1"/>
  <c r="D923" i="1"/>
  <c r="D924" i="1"/>
  <c r="D925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6" i="1"/>
  <c r="D1027" i="1"/>
  <c r="D1028" i="1"/>
  <c r="D1029" i="1"/>
  <c r="D1030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8" i="1"/>
  <c r="D1359" i="1"/>
  <c r="D1360" i="1"/>
  <c r="D1361" i="1"/>
  <c r="D1362" i="1"/>
  <c r="D1363" i="1"/>
  <c r="D1364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80" i="1"/>
  <c r="D1381" i="1"/>
  <c r="D1382" i="1"/>
  <c r="D1383" i="1"/>
  <c r="J1383" i="1" s="1"/>
  <c r="K1383" i="1" s="1"/>
  <c r="N1383" i="1" s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5" i="1"/>
  <c r="D1436" i="1"/>
  <c r="D1437" i="1"/>
  <c r="D1438" i="1"/>
  <c r="D1439" i="1"/>
  <c r="D1440" i="1"/>
  <c r="D1441" i="1"/>
  <c r="D1442" i="1"/>
  <c r="D1443" i="1"/>
  <c r="J1443" i="1" s="1"/>
  <c r="K1443" i="1" s="1"/>
  <c r="N1443" i="1" s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70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3" i="1"/>
  <c r="D1554" i="1"/>
  <c r="D1555" i="1"/>
  <c r="D1556" i="1"/>
  <c r="D1557" i="1"/>
  <c r="D1558" i="1"/>
  <c r="D1559" i="1"/>
  <c r="D1560" i="1"/>
  <c r="D1562" i="1"/>
  <c r="D1563" i="1"/>
  <c r="D1564" i="1"/>
  <c r="D1565" i="1"/>
  <c r="D1566" i="1"/>
  <c r="D1567" i="1"/>
  <c r="D1568" i="1"/>
  <c r="D1569" i="1"/>
  <c r="D1570" i="1"/>
  <c r="D1571" i="1"/>
  <c r="D1572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7" i="1"/>
  <c r="D1608" i="1"/>
  <c r="D1609" i="1"/>
  <c r="D1610" i="1"/>
  <c r="D1611" i="1"/>
  <c r="D1612" i="1"/>
  <c r="D1613" i="1"/>
  <c r="D1614" i="1"/>
  <c r="D1615" i="1"/>
  <c r="D1616" i="1"/>
  <c r="D1618" i="1"/>
  <c r="D1619" i="1"/>
  <c r="D1620" i="1"/>
  <c r="D1621" i="1"/>
  <c r="D1622" i="1"/>
  <c r="D1623" i="1"/>
  <c r="D1624" i="1"/>
  <c r="D1625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J1363" i="1"/>
  <c r="K1363" i="1" s="1"/>
  <c r="N1363" i="1" s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J1362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4" i="1"/>
  <c r="J1445" i="1"/>
  <c r="J1446" i="1"/>
  <c r="J1447" i="1"/>
  <c r="J1448" i="1"/>
  <c r="J1449" i="1"/>
  <c r="J1450" i="1"/>
  <c r="J1451" i="1"/>
  <c r="J1452" i="1"/>
  <c r="J1453" i="1"/>
  <c r="J1454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352" i="1"/>
  <c r="F1352" i="1"/>
  <c r="J1352" i="1"/>
  <c r="L1352" i="1"/>
  <c r="C1353" i="1"/>
  <c r="F1353" i="1"/>
  <c r="J1353" i="1"/>
  <c r="L1353" i="1"/>
  <c r="C1354" i="1"/>
  <c r="F1354" i="1"/>
  <c r="J1354" i="1"/>
  <c r="L1354" i="1"/>
  <c r="C1355" i="1"/>
  <c r="F1355" i="1"/>
  <c r="J1355" i="1"/>
  <c r="L1355" i="1"/>
  <c r="C1356" i="1"/>
  <c r="F1356" i="1"/>
  <c r="J1356" i="1"/>
  <c r="L1356" i="1"/>
  <c r="C1357" i="1"/>
  <c r="F1357" i="1"/>
  <c r="J1357" i="1"/>
  <c r="L1357" i="1"/>
  <c r="C1358" i="1"/>
  <c r="F1358" i="1"/>
  <c r="J1358" i="1"/>
  <c r="L1358" i="1"/>
  <c r="C1359" i="1"/>
  <c r="F1359" i="1"/>
  <c r="J1359" i="1"/>
  <c r="L1359" i="1"/>
  <c r="C1360" i="1"/>
  <c r="F1360" i="1"/>
  <c r="J1360" i="1"/>
  <c r="L1360" i="1"/>
  <c r="C1361" i="1"/>
  <c r="F1361" i="1"/>
  <c r="J1361" i="1"/>
  <c r="L1361" i="1"/>
  <c r="M1363" i="1" l="1"/>
  <c r="N1587" i="1"/>
  <c r="K1647" i="1"/>
  <c r="N1647" i="1" s="1"/>
  <c r="K1639" i="1"/>
  <c r="N1639" i="1" s="1"/>
  <c r="K1631" i="1"/>
  <c r="K1623" i="1"/>
  <c r="N1623" i="1" s="1"/>
  <c r="K1615" i="1"/>
  <c r="K1607" i="1"/>
  <c r="N1607" i="1" s="1"/>
  <c r="K1599" i="1"/>
  <c r="N1599" i="1" s="1"/>
  <c r="K1591" i="1"/>
  <c r="N1591" i="1" s="1"/>
  <c r="K1583" i="1"/>
  <c r="N1586" i="1"/>
  <c r="K1508" i="1"/>
  <c r="N1508" i="1" s="1"/>
  <c r="K1500" i="1"/>
  <c r="N1500" i="1" s="1"/>
  <c r="K1492" i="1"/>
  <c r="N1492" i="1" s="1"/>
  <c r="M1418" i="1"/>
  <c r="M1410" i="1"/>
  <c r="M1402" i="1"/>
  <c r="M1394" i="1"/>
  <c r="M1386" i="1"/>
  <c r="M1378" i="1"/>
  <c r="N1524" i="1"/>
  <c r="N1491" i="1"/>
  <c r="K1572" i="1"/>
  <c r="N1572" i="1" s="1"/>
  <c r="K1564" i="1"/>
  <c r="N1564" i="1" s="1"/>
  <c r="K1556" i="1"/>
  <c r="N1556" i="1" s="1"/>
  <c r="K1548" i="1"/>
  <c r="N1548" i="1" s="1"/>
  <c r="K1540" i="1"/>
  <c r="N1540" i="1" s="1"/>
  <c r="K1532" i="1"/>
  <c r="N1532" i="1" s="1"/>
  <c r="K1524" i="1"/>
  <c r="K1507" i="1"/>
  <c r="N1507" i="1" s="1"/>
  <c r="K1499" i="1"/>
  <c r="N1499" i="1" s="1"/>
  <c r="K1491" i="1"/>
  <c r="M1648" i="1"/>
  <c r="M1640" i="1"/>
  <c r="M1632" i="1"/>
  <c r="M1624" i="1"/>
  <c r="M1616" i="1"/>
  <c r="M1608" i="1"/>
  <c r="M1600" i="1"/>
  <c r="M1592" i="1"/>
  <c r="M1584" i="1"/>
  <c r="M1576" i="1"/>
  <c r="M1568" i="1"/>
  <c r="M1560" i="1"/>
  <c r="M1552" i="1"/>
  <c r="M1544" i="1"/>
  <c r="M1536" i="1"/>
  <c r="M1528" i="1"/>
  <c r="M1520" i="1"/>
  <c r="M1512" i="1"/>
  <c r="M1504" i="1"/>
  <c r="M1496" i="1"/>
  <c r="M1488" i="1"/>
  <c r="N1547" i="1"/>
  <c r="N1506" i="1"/>
  <c r="M1562" i="1"/>
  <c r="M1554" i="1"/>
  <c r="M1546" i="1"/>
  <c r="M1538" i="1"/>
  <c r="M1530" i="1"/>
  <c r="M1522" i="1"/>
  <c r="M1514" i="1"/>
  <c r="M1506" i="1"/>
  <c r="M1498" i="1"/>
  <c r="M1490" i="1"/>
  <c r="K1652" i="1"/>
  <c r="N1652" i="1" s="1"/>
  <c r="K1644" i="1"/>
  <c r="K1636" i="1"/>
  <c r="K1628" i="1"/>
  <c r="K1620" i="1"/>
  <c r="N1620" i="1" s="1"/>
  <c r="K1612" i="1"/>
  <c r="N1612" i="1" s="1"/>
  <c r="K1596" i="1"/>
  <c r="N1596" i="1" s="1"/>
  <c r="K1588" i="1"/>
  <c r="N1588" i="1" s="1"/>
  <c r="K1580" i="1"/>
  <c r="K1571" i="1"/>
  <c r="K1563" i="1"/>
  <c r="N1563" i="1" s="1"/>
  <c r="K1555" i="1"/>
  <c r="K1547" i="1"/>
  <c r="K1539" i="1"/>
  <c r="N1539" i="1" s="1"/>
  <c r="K1531" i="1"/>
  <c r="N1531" i="1" s="1"/>
  <c r="K1523" i="1"/>
  <c r="N1523" i="1" s="1"/>
  <c r="K1514" i="1"/>
  <c r="N1514" i="1" s="1"/>
  <c r="K1506" i="1"/>
  <c r="K1498" i="1"/>
  <c r="N1498" i="1" s="1"/>
  <c r="K1490" i="1"/>
  <c r="N1490" i="1" s="1"/>
  <c r="M1647" i="1"/>
  <c r="M1639" i="1"/>
  <c r="M1631" i="1"/>
  <c r="M1623" i="1"/>
  <c r="M1615" i="1"/>
  <c r="M1607" i="1"/>
  <c r="M1599" i="1"/>
  <c r="M1591" i="1"/>
  <c r="M1583" i="1"/>
  <c r="M1575" i="1"/>
  <c r="M1567" i="1"/>
  <c r="M1559" i="1"/>
  <c r="M1551" i="1"/>
  <c r="M1543" i="1"/>
  <c r="M1535" i="1"/>
  <c r="M1527" i="1"/>
  <c r="M1519" i="1"/>
  <c r="M1511" i="1"/>
  <c r="M1503" i="1"/>
  <c r="M1495" i="1"/>
  <c r="M1487" i="1"/>
  <c r="N1644" i="1"/>
  <c r="N1636" i="1"/>
  <c r="N1628" i="1"/>
  <c r="N1619" i="1"/>
  <c r="N1530" i="1"/>
  <c r="N1522" i="1"/>
  <c r="M1537" i="1"/>
  <c r="M1529" i="1"/>
  <c r="M1521" i="1"/>
  <c r="M1513" i="1"/>
  <c r="M1505" i="1"/>
  <c r="M1497" i="1"/>
  <c r="M1489" i="1"/>
  <c r="K1651" i="1"/>
  <c r="K1643" i="1"/>
  <c r="N1643" i="1" s="1"/>
  <c r="K1635" i="1"/>
  <c r="K1627" i="1"/>
  <c r="K1619" i="1"/>
  <c r="K1611" i="1"/>
  <c r="N1611" i="1" s="1"/>
  <c r="K1603" i="1"/>
  <c r="N1603" i="1" s="1"/>
  <c r="K1595" i="1"/>
  <c r="N1595" i="1" s="1"/>
  <c r="K1587" i="1"/>
  <c r="K1578" i="1"/>
  <c r="N1578" i="1" s="1"/>
  <c r="K1570" i="1"/>
  <c r="K1562" i="1"/>
  <c r="N1562" i="1" s="1"/>
  <c r="K1554" i="1"/>
  <c r="K1546" i="1"/>
  <c r="N1546" i="1" s="1"/>
  <c r="K1538" i="1"/>
  <c r="N1538" i="1" s="1"/>
  <c r="K1530" i="1"/>
  <c r="K1522" i="1"/>
  <c r="K1513" i="1"/>
  <c r="N1513" i="1" s="1"/>
  <c r="K1505" i="1"/>
  <c r="N1505" i="1" s="1"/>
  <c r="K1497" i="1"/>
  <c r="N1497" i="1" s="1"/>
  <c r="K1489" i="1"/>
  <c r="N1489" i="1" s="1"/>
  <c r="M1654" i="1"/>
  <c r="M1646" i="1"/>
  <c r="M1638" i="1"/>
  <c r="M1630" i="1"/>
  <c r="M1622" i="1"/>
  <c r="M1614" i="1"/>
  <c r="M1606" i="1"/>
  <c r="M1598" i="1"/>
  <c r="M1590" i="1"/>
  <c r="M1582" i="1"/>
  <c r="M1574" i="1"/>
  <c r="M1566" i="1"/>
  <c r="M1558" i="1"/>
  <c r="M1550" i="1"/>
  <c r="M1542" i="1"/>
  <c r="M1534" i="1"/>
  <c r="M1526" i="1"/>
  <c r="M1518" i="1"/>
  <c r="M1510" i="1"/>
  <c r="M1502" i="1"/>
  <c r="M1494" i="1"/>
  <c r="M1486" i="1"/>
  <c r="N1651" i="1"/>
  <c r="N1635" i="1"/>
  <c r="N1627" i="1"/>
  <c r="N1555" i="1"/>
  <c r="N1537" i="1"/>
  <c r="N1521" i="1"/>
  <c r="K1650" i="1"/>
  <c r="N1650" i="1" s="1"/>
  <c r="K1642" i="1"/>
  <c r="N1642" i="1" s="1"/>
  <c r="K1634" i="1"/>
  <c r="N1634" i="1" s="1"/>
  <c r="K1618" i="1"/>
  <c r="N1618" i="1" s="1"/>
  <c r="K1610" i="1"/>
  <c r="N1610" i="1" s="1"/>
  <c r="K1602" i="1"/>
  <c r="N1602" i="1" s="1"/>
  <c r="K1594" i="1"/>
  <c r="N1594" i="1" s="1"/>
  <c r="K1586" i="1"/>
  <c r="K1577" i="1"/>
  <c r="N1577" i="1" s="1"/>
  <c r="K1569" i="1"/>
  <c r="N1569" i="1" s="1"/>
  <c r="K1553" i="1"/>
  <c r="N1553" i="1" s="1"/>
  <c r="K1545" i="1"/>
  <c r="N1545" i="1" s="1"/>
  <c r="K1537" i="1"/>
  <c r="K1529" i="1"/>
  <c r="N1529" i="1" s="1"/>
  <c r="K1521" i="1"/>
  <c r="K1512" i="1"/>
  <c r="N1512" i="1" s="1"/>
  <c r="K1504" i="1"/>
  <c r="N1504" i="1" s="1"/>
  <c r="K1496" i="1"/>
  <c r="N1496" i="1" s="1"/>
  <c r="K1488" i="1"/>
  <c r="N1488" i="1" s="1"/>
  <c r="M1653" i="1"/>
  <c r="M1645" i="1"/>
  <c r="M1637" i="1"/>
  <c r="M1629" i="1"/>
  <c r="M1621" i="1"/>
  <c r="M1613" i="1"/>
  <c r="M1605" i="1"/>
  <c r="M1597" i="1"/>
  <c r="M1589" i="1"/>
  <c r="M1581" i="1"/>
  <c r="M1573" i="1"/>
  <c r="M1565" i="1"/>
  <c r="M1557" i="1"/>
  <c r="M1549" i="1"/>
  <c r="M1541" i="1"/>
  <c r="M1533" i="1"/>
  <c r="M1525" i="1"/>
  <c r="M1517" i="1"/>
  <c r="M1509" i="1"/>
  <c r="M1501" i="1"/>
  <c r="M1493" i="1"/>
  <c r="M1485" i="1"/>
  <c r="N1625" i="1"/>
  <c r="N1571" i="1"/>
  <c r="N1554" i="1"/>
  <c r="N1544" i="1"/>
  <c r="K1649" i="1"/>
  <c r="K1641" i="1"/>
  <c r="K1633" i="1"/>
  <c r="K1625" i="1"/>
  <c r="K1609" i="1"/>
  <c r="N1609" i="1" s="1"/>
  <c r="K1601" i="1"/>
  <c r="N1601" i="1" s="1"/>
  <c r="K1593" i="1"/>
  <c r="N1593" i="1" s="1"/>
  <c r="K1585" i="1"/>
  <c r="N1585" i="1" s="1"/>
  <c r="K1576" i="1"/>
  <c r="N1576" i="1" s="1"/>
  <c r="K1568" i="1"/>
  <c r="N1568" i="1" s="1"/>
  <c r="K1560" i="1"/>
  <c r="N1560" i="1" s="1"/>
  <c r="K1544" i="1"/>
  <c r="K1536" i="1"/>
  <c r="N1536" i="1" s="1"/>
  <c r="K1528" i="1"/>
  <c r="N1528" i="1" s="1"/>
  <c r="K1520" i="1"/>
  <c r="N1520" i="1" s="1"/>
  <c r="K1511" i="1"/>
  <c r="N1511" i="1" s="1"/>
  <c r="K1503" i="1"/>
  <c r="N1503" i="1" s="1"/>
  <c r="K1495" i="1"/>
  <c r="N1495" i="1" s="1"/>
  <c r="K1487" i="1"/>
  <c r="N1487" i="1" s="1"/>
  <c r="M1652" i="1"/>
  <c r="M1644" i="1"/>
  <c r="M1636" i="1"/>
  <c r="M1628" i="1"/>
  <c r="M1620" i="1"/>
  <c r="M1612" i="1"/>
  <c r="M1604" i="1"/>
  <c r="M1596" i="1"/>
  <c r="M1588" i="1"/>
  <c r="M1580" i="1"/>
  <c r="M1572" i="1"/>
  <c r="M1564" i="1"/>
  <c r="M1556" i="1"/>
  <c r="M1548" i="1"/>
  <c r="M1540" i="1"/>
  <c r="M1532" i="1"/>
  <c r="M1524" i="1"/>
  <c r="M1516" i="1"/>
  <c r="M1508" i="1"/>
  <c r="M1500" i="1"/>
  <c r="M1492" i="1"/>
  <c r="N1649" i="1"/>
  <c r="N1641" i="1"/>
  <c r="N1633" i="1"/>
  <c r="N1580" i="1"/>
  <c r="N1570" i="1"/>
  <c r="K1648" i="1"/>
  <c r="N1648" i="1" s="1"/>
  <c r="K1640" i="1"/>
  <c r="N1640" i="1" s="1"/>
  <c r="K1632" i="1"/>
  <c r="N1632" i="1" s="1"/>
  <c r="K1624" i="1"/>
  <c r="N1624" i="1" s="1"/>
  <c r="K1616" i="1"/>
  <c r="N1616" i="1" s="1"/>
  <c r="K1608" i="1"/>
  <c r="N1608" i="1" s="1"/>
  <c r="K1600" i="1"/>
  <c r="N1600" i="1" s="1"/>
  <c r="K1592" i="1"/>
  <c r="N1592" i="1" s="1"/>
  <c r="K1584" i="1"/>
  <c r="N1584" i="1" s="1"/>
  <c r="K1575" i="1"/>
  <c r="N1575" i="1" s="1"/>
  <c r="K1567" i="1"/>
  <c r="N1567" i="1" s="1"/>
  <c r="K1559" i="1"/>
  <c r="N1559" i="1" s="1"/>
  <c r="K1543" i="1"/>
  <c r="N1543" i="1" s="1"/>
  <c r="K1535" i="1"/>
  <c r="N1535" i="1" s="1"/>
  <c r="K1527" i="1"/>
  <c r="N1527" i="1" s="1"/>
  <c r="K1519" i="1"/>
  <c r="N1519" i="1" s="1"/>
  <c r="M1651" i="1"/>
  <c r="M1643" i="1"/>
  <c r="M1635" i="1"/>
  <c r="M1627" i="1"/>
  <c r="M1619" i="1"/>
  <c r="M1611" i="1"/>
  <c r="M1603" i="1"/>
  <c r="M1595" i="1"/>
  <c r="M1587" i="1"/>
  <c r="M1579" i="1"/>
  <c r="M1571" i="1"/>
  <c r="M1563" i="1"/>
  <c r="M1555" i="1"/>
  <c r="M1547" i="1"/>
  <c r="M1539" i="1"/>
  <c r="M1531" i="1"/>
  <c r="M1523" i="1"/>
  <c r="M1515" i="1"/>
  <c r="M1507" i="1"/>
  <c r="M1499" i="1"/>
  <c r="M1491" i="1"/>
  <c r="N1493" i="1"/>
  <c r="N1631" i="1"/>
  <c r="N1485" i="1"/>
  <c r="N1583" i="1"/>
  <c r="N1582" i="1"/>
  <c r="N1615" i="1"/>
  <c r="N1605" i="1"/>
  <c r="J1516" i="1"/>
  <c r="K1516" i="1" s="1"/>
  <c r="N1516" i="1" s="1"/>
  <c r="K1654" i="1"/>
  <c r="N1654" i="1" s="1"/>
  <c r="K1646" i="1"/>
  <c r="N1646" i="1" s="1"/>
  <c r="K1638" i="1"/>
  <c r="N1638" i="1" s="1"/>
  <c r="K1630" i="1"/>
  <c r="N1630" i="1" s="1"/>
  <c r="K1622" i="1"/>
  <c r="N1622" i="1" s="1"/>
  <c r="K1614" i="1"/>
  <c r="N1614" i="1" s="1"/>
  <c r="K1598" i="1"/>
  <c r="N1598" i="1" s="1"/>
  <c r="K1590" i="1"/>
  <c r="N1590" i="1" s="1"/>
  <c r="K1582" i="1"/>
  <c r="K1566" i="1"/>
  <c r="N1566" i="1" s="1"/>
  <c r="K1558" i="1"/>
  <c r="N1558" i="1" s="1"/>
  <c r="K1550" i="1"/>
  <c r="N1550" i="1" s="1"/>
  <c r="K1542" i="1"/>
  <c r="N1542" i="1" s="1"/>
  <c r="K1534" i="1"/>
  <c r="N1534" i="1" s="1"/>
  <c r="K1526" i="1"/>
  <c r="N1526" i="1" s="1"/>
  <c r="K1518" i="1"/>
  <c r="N1518" i="1" s="1"/>
  <c r="K1510" i="1"/>
  <c r="N1510" i="1" s="1"/>
  <c r="K1502" i="1"/>
  <c r="N1502" i="1" s="1"/>
  <c r="K1494" i="1"/>
  <c r="N1494" i="1" s="1"/>
  <c r="K1486" i="1"/>
  <c r="N1486" i="1" s="1"/>
  <c r="J1579" i="1"/>
  <c r="K1579" i="1" s="1"/>
  <c r="N1579" i="1" s="1"/>
  <c r="K1653" i="1"/>
  <c r="N1653" i="1" s="1"/>
  <c r="K1645" i="1"/>
  <c r="N1645" i="1" s="1"/>
  <c r="K1637" i="1"/>
  <c r="N1637" i="1" s="1"/>
  <c r="K1629" i="1"/>
  <c r="N1629" i="1" s="1"/>
  <c r="K1621" i="1"/>
  <c r="N1621" i="1" s="1"/>
  <c r="K1613" i="1"/>
  <c r="N1613" i="1" s="1"/>
  <c r="K1605" i="1"/>
  <c r="K1597" i="1"/>
  <c r="N1597" i="1" s="1"/>
  <c r="K1589" i="1"/>
  <c r="N1589" i="1" s="1"/>
  <c r="K1581" i="1"/>
  <c r="N1581" i="1" s="1"/>
  <c r="K1565" i="1"/>
  <c r="N1565" i="1" s="1"/>
  <c r="K1557" i="1"/>
  <c r="N1557" i="1" s="1"/>
  <c r="K1549" i="1"/>
  <c r="N1549" i="1" s="1"/>
  <c r="K1541" i="1"/>
  <c r="N1541" i="1" s="1"/>
  <c r="K1533" i="1"/>
  <c r="N1533" i="1" s="1"/>
  <c r="K1525" i="1"/>
  <c r="N1525" i="1" s="1"/>
  <c r="K1517" i="1"/>
  <c r="N1517" i="1" s="1"/>
  <c r="K1509" i="1"/>
  <c r="N1509" i="1" s="1"/>
  <c r="K1501" i="1"/>
  <c r="N1501" i="1" s="1"/>
  <c r="K1493" i="1"/>
  <c r="K1485" i="1"/>
  <c r="M1395" i="1"/>
  <c r="M1387" i="1"/>
  <c r="M1379" i="1"/>
  <c r="K1360" i="1"/>
  <c r="N1360" i="1" s="1"/>
  <c r="K1357" i="1"/>
  <c r="N1357" i="1" s="1"/>
  <c r="K1354" i="1"/>
  <c r="N1354" i="1" s="1"/>
  <c r="K1353" i="1"/>
  <c r="N1353" i="1" s="1"/>
  <c r="K1356" i="1"/>
  <c r="N1356" i="1" s="1"/>
  <c r="K1352" i="1"/>
  <c r="N1352" i="1" s="1"/>
  <c r="K1361" i="1"/>
  <c r="N1361" i="1" s="1"/>
  <c r="K1359" i="1"/>
  <c r="N1359" i="1" s="1"/>
  <c r="K1358" i="1"/>
  <c r="N1358" i="1" s="1"/>
  <c r="M1365" i="1"/>
  <c r="M1372" i="1"/>
  <c r="M1364" i="1"/>
  <c r="M1417" i="1"/>
  <c r="M1409" i="1"/>
  <c r="M1401" i="1"/>
  <c r="M1393" i="1"/>
  <c r="M1385" i="1"/>
  <c r="M1377" i="1"/>
  <c r="M1438" i="1"/>
  <c r="M1430" i="1"/>
  <c r="M1422" i="1"/>
  <c r="M1414" i="1"/>
  <c r="M1406" i="1"/>
  <c r="M1424" i="1"/>
  <c r="M1416" i="1"/>
  <c r="M1408" i="1"/>
  <c r="M1400" i="1"/>
  <c r="M1392" i="1"/>
  <c r="M1384" i="1"/>
  <c r="M1376" i="1"/>
  <c r="M1469" i="1"/>
  <c r="M1461" i="1"/>
  <c r="M1453" i="1"/>
  <c r="M1445" i="1"/>
  <c r="K1461" i="1"/>
  <c r="N1461" i="1" s="1"/>
  <c r="M1470" i="1"/>
  <c r="M1462" i="1"/>
  <c r="M1454" i="1"/>
  <c r="M1446" i="1"/>
  <c r="M1439" i="1"/>
  <c r="M1431" i="1"/>
  <c r="M1423" i="1"/>
  <c r="M1415" i="1"/>
  <c r="M1407" i="1"/>
  <c r="M1399" i="1"/>
  <c r="M1391" i="1"/>
  <c r="M1383" i="1"/>
  <c r="M1375" i="1"/>
  <c r="K1453" i="1"/>
  <c r="N1453" i="1" s="1"/>
  <c r="K1445" i="1"/>
  <c r="N1445" i="1" s="1"/>
  <c r="K1484" i="1"/>
  <c r="N1484" i="1" s="1"/>
  <c r="K1476" i="1"/>
  <c r="N1476" i="1" s="1"/>
  <c r="K1468" i="1"/>
  <c r="N1468" i="1" s="1"/>
  <c r="M1484" i="1"/>
  <c r="M1476" i="1"/>
  <c r="M1468" i="1"/>
  <c r="M1460" i="1"/>
  <c r="M1452" i="1"/>
  <c r="M1437" i="1"/>
  <c r="M1429" i="1"/>
  <c r="M1444" i="1"/>
  <c r="M1428" i="1"/>
  <c r="M1443" i="1"/>
  <c r="M1427" i="1"/>
  <c r="K1438" i="1"/>
  <c r="N1438" i="1" s="1"/>
  <c r="K1430" i="1"/>
  <c r="N1430" i="1" s="1"/>
  <c r="M1467" i="1"/>
  <c r="M1450" i="1"/>
  <c r="M1367" i="1"/>
  <c r="M1355" i="1"/>
  <c r="M1464" i="1"/>
  <c r="M1483" i="1"/>
  <c r="M1475" i="1"/>
  <c r="M1466" i="1"/>
  <c r="M1459" i="1"/>
  <c r="M1451" i="1"/>
  <c r="M1436" i="1"/>
  <c r="M1353" i="1"/>
  <c r="M1368" i="1"/>
  <c r="M1479" i="1"/>
  <c r="K1362" i="1"/>
  <c r="N1362" i="1" s="1"/>
  <c r="M1478" i="1"/>
  <c r="K1414" i="1"/>
  <c r="N1414" i="1" s="1"/>
  <c r="K1406" i="1"/>
  <c r="N1406" i="1" s="1"/>
  <c r="K1399" i="1"/>
  <c r="N1399" i="1" s="1"/>
  <c r="K1391" i="1"/>
  <c r="N1391" i="1" s="1"/>
  <c r="K1375" i="1"/>
  <c r="N1375" i="1" s="1"/>
  <c r="K1482" i="1"/>
  <c r="N1482" i="1" s="1"/>
  <c r="K1474" i="1"/>
  <c r="N1474" i="1" s="1"/>
  <c r="K1466" i="1"/>
  <c r="N1466" i="1" s="1"/>
  <c r="K1459" i="1"/>
  <c r="N1459" i="1" s="1"/>
  <c r="K1450" i="1"/>
  <c r="N1450" i="1" s="1"/>
  <c r="K1435" i="1"/>
  <c r="N1435" i="1" s="1"/>
  <c r="K1427" i="1"/>
  <c r="N1427" i="1" s="1"/>
  <c r="K1421" i="1"/>
  <c r="N1421" i="1" s="1"/>
  <c r="K1413" i="1"/>
  <c r="N1413" i="1" s="1"/>
  <c r="K1405" i="1"/>
  <c r="N1405" i="1" s="1"/>
  <c r="K1398" i="1"/>
  <c r="N1398" i="1" s="1"/>
  <c r="K1390" i="1"/>
  <c r="N1390" i="1" s="1"/>
  <c r="K1382" i="1"/>
  <c r="N1382" i="1" s="1"/>
  <c r="K1374" i="1"/>
  <c r="N1374" i="1" s="1"/>
  <c r="K1369" i="1"/>
  <c r="N1369" i="1" s="1"/>
  <c r="K1481" i="1"/>
  <c r="N1481" i="1" s="1"/>
  <c r="K1473" i="1"/>
  <c r="N1473" i="1" s="1"/>
  <c r="K1458" i="1"/>
  <c r="N1458" i="1" s="1"/>
  <c r="K1449" i="1"/>
  <c r="N1449" i="1" s="1"/>
  <c r="K1442" i="1"/>
  <c r="N1442" i="1" s="1"/>
  <c r="K1434" i="1"/>
  <c r="N1434" i="1" s="1"/>
  <c r="K1426" i="1"/>
  <c r="N1426" i="1" s="1"/>
  <c r="M1482" i="1"/>
  <c r="M1474" i="1"/>
  <c r="M1356" i="1"/>
  <c r="K1417" i="1"/>
  <c r="N1417" i="1" s="1"/>
  <c r="K1409" i="1"/>
  <c r="N1409" i="1" s="1"/>
  <c r="K1394" i="1"/>
  <c r="N1394" i="1" s="1"/>
  <c r="K1386" i="1"/>
  <c r="N1386" i="1" s="1"/>
  <c r="K1378" i="1"/>
  <c r="N1378" i="1" s="1"/>
  <c r="K1365" i="1"/>
  <c r="N1365" i="1" s="1"/>
  <c r="K1480" i="1"/>
  <c r="N1480" i="1" s="1"/>
  <c r="K1472" i="1"/>
  <c r="N1472" i="1" s="1"/>
  <c r="K1465" i="1"/>
  <c r="N1465" i="1" s="1"/>
  <c r="K1457" i="1"/>
  <c r="N1457" i="1" s="1"/>
  <c r="M1481" i="1"/>
  <c r="M1473" i="1"/>
  <c r="M1458" i="1"/>
  <c r="M1435" i="1"/>
  <c r="M1477" i="1"/>
  <c r="M1366" i="1"/>
  <c r="M1354" i="1"/>
  <c r="M1352" i="1"/>
  <c r="M1357" i="1"/>
  <c r="M1361" i="1"/>
  <c r="M1480" i="1"/>
  <c r="M1465" i="1"/>
  <c r="M1449" i="1"/>
  <c r="M1442" i="1"/>
  <c r="M1434" i="1"/>
  <c r="M1426" i="1"/>
  <c r="M1421" i="1"/>
  <c r="M1413" i="1"/>
  <c r="M1405" i="1"/>
  <c r="M1398" i="1"/>
  <c r="M1390" i="1"/>
  <c r="M1382" i="1"/>
  <c r="M1374" i="1"/>
  <c r="M1369" i="1"/>
  <c r="K1452" i="1"/>
  <c r="N1452" i="1" s="1"/>
  <c r="K1437" i="1"/>
  <c r="N1437" i="1" s="1"/>
  <c r="K1429" i="1"/>
  <c r="N1429" i="1" s="1"/>
  <c r="K1423" i="1"/>
  <c r="N1423" i="1" s="1"/>
  <c r="K1416" i="1"/>
  <c r="N1416" i="1" s="1"/>
  <c r="K1408" i="1"/>
  <c r="N1408" i="1" s="1"/>
  <c r="K1401" i="1"/>
  <c r="N1401" i="1" s="1"/>
  <c r="K1393" i="1"/>
  <c r="N1393" i="1" s="1"/>
  <c r="K1385" i="1"/>
  <c r="N1385" i="1" s="1"/>
  <c r="K1377" i="1"/>
  <c r="N1377" i="1" s="1"/>
  <c r="K1371" i="1"/>
  <c r="N1371" i="1" s="1"/>
  <c r="K1364" i="1"/>
  <c r="N1364" i="1" s="1"/>
  <c r="M1471" i="1"/>
  <c r="M1456" i="1"/>
  <c r="M1448" i="1"/>
  <c r="M1441" i="1"/>
  <c r="M1433" i="1"/>
  <c r="M1425" i="1"/>
  <c r="M1420" i="1"/>
  <c r="M1412" i="1"/>
  <c r="M1404" i="1"/>
  <c r="M1397" i="1"/>
  <c r="M1389" i="1"/>
  <c r="M1381" i="1"/>
  <c r="M1373" i="1"/>
  <c r="K1483" i="1"/>
  <c r="N1483" i="1" s="1"/>
  <c r="K1475" i="1"/>
  <c r="N1475" i="1" s="1"/>
  <c r="K1467" i="1"/>
  <c r="N1467" i="1" s="1"/>
  <c r="K1460" i="1"/>
  <c r="N1460" i="1" s="1"/>
  <c r="K1451" i="1"/>
  <c r="N1451" i="1" s="1"/>
  <c r="K1444" i="1"/>
  <c r="N1444" i="1" s="1"/>
  <c r="K1436" i="1"/>
  <c r="N1436" i="1" s="1"/>
  <c r="K1428" i="1"/>
  <c r="N1428" i="1" s="1"/>
  <c r="K1422" i="1"/>
  <c r="N1422" i="1" s="1"/>
  <c r="K1415" i="1"/>
  <c r="N1415" i="1" s="1"/>
  <c r="K1407" i="1"/>
  <c r="N1407" i="1" s="1"/>
  <c r="K1400" i="1"/>
  <c r="N1400" i="1" s="1"/>
  <c r="K1392" i="1"/>
  <c r="N1392" i="1" s="1"/>
  <c r="K1384" i="1"/>
  <c r="N1384" i="1" s="1"/>
  <c r="K1376" i="1"/>
  <c r="N1376" i="1" s="1"/>
  <c r="K1370" i="1"/>
  <c r="N1370" i="1" s="1"/>
  <c r="M1463" i="1"/>
  <c r="M1455" i="1"/>
  <c r="M1447" i="1"/>
  <c r="M1440" i="1"/>
  <c r="M1432" i="1"/>
  <c r="M1419" i="1"/>
  <c r="M1411" i="1"/>
  <c r="M1403" i="1"/>
  <c r="M1396" i="1"/>
  <c r="M1388" i="1"/>
  <c r="M1380" i="1"/>
  <c r="K1479" i="1"/>
  <c r="N1479" i="1" s="1"/>
  <c r="K1471" i="1"/>
  <c r="N1471" i="1" s="1"/>
  <c r="K1464" i="1"/>
  <c r="N1464" i="1" s="1"/>
  <c r="K1456" i="1"/>
  <c r="N1456" i="1" s="1"/>
  <c r="K1448" i="1"/>
  <c r="N1448" i="1" s="1"/>
  <c r="K1441" i="1"/>
  <c r="N1441" i="1" s="1"/>
  <c r="K1433" i="1"/>
  <c r="N1433" i="1" s="1"/>
  <c r="K1425" i="1"/>
  <c r="N1425" i="1" s="1"/>
  <c r="K1420" i="1"/>
  <c r="N1420" i="1" s="1"/>
  <c r="K1412" i="1"/>
  <c r="N1412" i="1" s="1"/>
  <c r="K1404" i="1"/>
  <c r="N1404" i="1" s="1"/>
  <c r="K1397" i="1"/>
  <c r="N1397" i="1" s="1"/>
  <c r="K1389" i="1"/>
  <c r="N1389" i="1" s="1"/>
  <c r="K1381" i="1"/>
  <c r="N1381" i="1" s="1"/>
  <c r="K1373" i="1"/>
  <c r="N1373" i="1" s="1"/>
  <c r="K1368" i="1"/>
  <c r="N1368" i="1" s="1"/>
  <c r="M1472" i="1"/>
  <c r="M1457" i="1"/>
  <c r="K1478" i="1"/>
  <c r="N1478" i="1" s="1"/>
  <c r="K1470" i="1"/>
  <c r="N1470" i="1" s="1"/>
  <c r="K1463" i="1"/>
  <c r="N1463" i="1" s="1"/>
  <c r="K1447" i="1"/>
  <c r="N1447" i="1" s="1"/>
  <c r="K1440" i="1"/>
  <c r="N1440" i="1" s="1"/>
  <c r="K1432" i="1"/>
  <c r="N1432" i="1" s="1"/>
  <c r="K1419" i="1"/>
  <c r="N1419" i="1" s="1"/>
  <c r="K1411" i="1"/>
  <c r="N1411" i="1" s="1"/>
  <c r="K1403" i="1"/>
  <c r="N1403" i="1" s="1"/>
  <c r="K1396" i="1"/>
  <c r="N1396" i="1" s="1"/>
  <c r="K1388" i="1"/>
  <c r="N1388" i="1" s="1"/>
  <c r="K1380" i="1"/>
  <c r="N1380" i="1" s="1"/>
  <c r="K1367" i="1"/>
  <c r="N1367" i="1" s="1"/>
  <c r="K1477" i="1"/>
  <c r="N1477" i="1" s="1"/>
  <c r="K1469" i="1"/>
  <c r="N1469" i="1" s="1"/>
  <c r="K1462" i="1"/>
  <c r="N1462" i="1" s="1"/>
  <c r="K1454" i="1"/>
  <c r="N1454" i="1" s="1"/>
  <c r="K1446" i="1"/>
  <c r="N1446" i="1" s="1"/>
  <c r="K1439" i="1"/>
  <c r="N1439" i="1" s="1"/>
  <c r="K1431" i="1"/>
  <c r="N1431" i="1" s="1"/>
  <c r="K1424" i="1"/>
  <c r="N1424" i="1" s="1"/>
  <c r="K1418" i="1"/>
  <c r="N1418" i="1" s="1"/>
  <c r="K1410" i="1"/>
  <c r="N1410" i="1" s="1"/>
  <c r="K1402" i="1"/>
  <c r="N1402" i="1" s="1"/>
  <c r="K1395" i="1"/>
  <c r="N1395" i="1" s="1"/>
  <c r="K1387" i="1"/>
  <c r="N1387" i="1" s="1"/>
  <c r="K1379" i="1"/>
  <c r="N1379" i="1" s="1"/>
  <c r="K1372" i="1"/>
  <c r="N1372" i="1" s="1"/>
  <c r="K1366" i="1"/>
  <c r="N1366" i="1" s="1"/>
  <c r="J1455" i="1"/>
  <c r="K1455" i="1" s="1"/>
  <c r="N1455" i="1" s="1"/>
  <c r="M1371" i="1"/>
  <c r="K1355" i="1"/>
  <c r="N1355" i="1" s="1"/>
  <c r="M1370" i="1"/>
  <c r="M1359" i="1"/>
  <c r="M1360" i="1"/>
  <c r="M1358" i="1"/>
  <c r="M136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2" i="1"/>
  <c r="F1127" i="1" l="1"/>
  <c r="J1127" i="1"/>
  <c r="L1127" i="1"/>
  <c r="F1128" i="1"/>
  <c r="J1128" i="1"/>
  <c r="L1128" i="1"/>
  <c r="F1129" i="1"/>
  <c r="J1129" i="1"/>
  <c r="L1129" i="1"/>
  <c r="F1151" i="1"/>
  <c r="J1151" i="1"/>
  <c r="L1151" i="1"/>
  <c r="F1190" i="1"/>
  <c r="J1190" i="1"/>
  <c r="L1190" i="1"/>
  <c r="F1222" i="1"/>
  <c r="J1222" i="1"/>
  <c r="K1222" i="1" s="1"/>
  <c r="N1222" i="1" s="1"/>
  <c r="L1222" i="1"/>
  <c r="F1245" i="1"/>
  <c r="J1245" i="1"/>
  <c r="K1245" i="1" s="1"/>
  <c r="N1245" i="1" s="1"/>
  <c r="L1245" i="1"/>
  <c r="F1248" i="1"/>
  <c r="J1248" i="1"/>
  <c r="L1248" i="1"/>
  <c r="F1251" i="1"/>
  <c r="J1251" i="1"/>
  <c r="L1251" i="1"/>
  <c r="F1254" i="1"/>
  <c r="J1254" i="1"/>
  <c r="K1254" i="1" s="1"/>
  <c r="N1254" i="1" s="1"/>
  <c r="L1254" i="1"/>
  <c r="F1262" i="1"/>
  <c r="J1262" i="1"/>
  <c r="L1262" i="1"/>
  <c r="F1286" i="1"/>
  <c r="J1286" i="1"/>
  <c r="L1286" i="1"/>
  <c r="F1293" i="1"/>
  <c r="J1293" i="1"/>
  <c r="L1293" i="1"/>
  <c r="F1308" i="1"/>
  <c r="J1308" i="1"/>
  <c r="K1308" i="1" s="1"/>
  <c r="N1308" i="1" s="1"/>
  <c r="L1308" i="1"/>
  <c r="F1310" i="1"/>
  <c r="J1310" i="1"/>
  <c r="L1310" i="1"/>
  <c r="F1324" i="1"/>
  <c r="J1324" i="1"/>
  <c r="L1324" i="1"/>
  <c r="F1325" i="1"/>
  <c r="J1325" i="1"/>
  <c r="K1325" i="1" s="1"/>
  <c r="N1325" i="1" s="1"/>
  <c r="L1325" i="1"/>
  <c r="F1329" i="1"/>
  <c r="J1329" i="1"/>
  <c r="L1329" i="1"/>
  <c r="J1351" i="1"/>
  <c r="K1351" i="1" s="1"/>
  <c r="N1351" i="1" s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6" i="1"/>
  <c r="L1247" i="1"/>
  <c r="L1249" i="1"/>
  <c r="L1250" i="1"/>
  <c r="L1252" i="1"/>
  <c r="L1253" i="1"/>
  <c r="L1255" i="1"/>
  <c r="L1256" i="1"/>
  <c r="L1257" i="1"/>
  <c r="L1258" i="1"/>
  <c r="L1259" i="1"/>
  <c r="L1260" i="1"/>
  <c r="L1261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7" i="1"/>
  <c r="L1288" i="1"/>
  <c r="L1289" i="1"/>
  <c r="L1290" i="1"/>
  <c r="L1291" i="1"/>
  <c r="L1292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9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6" i="1"/>
  <c r="L1327" i="1"/>
  <c r="L1328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J1232" i="1"/>
  <c r="J1233" i="1"/>
  <c r="J1234" i="1"/>
  <c r="J1235" i="1"/>
  <c r="J1236" i="1"/>
  <c r="J1237" i="1"/>
  <c r="K1237" i="1" s="1"/>
  <c r="N1237" i="1" s="1"/>
  <c r="J1238" i="1"/>
  <c r="J1239" i="1"/>
  <c r="J1240" i="1"/>
  <c r="J1241" i="1"/>
  <c r="J1242" i="1"/>
  <c r="J1243" i="1"/>
  <c r="J1244" i="1"/>
  <c r="J1246" i="1"/>
  <c r="J1247" i="1"/>
  <c r="J1249" i="1"/>
  <c r="J1250" i="1"/>
  <c r="J1252" i="1"/>
  <c r="J1253" i="1"/>
  <c r="J1255" i="1"/>
  <c r="K1255" i="1" s="1"/>
  <c r="N1255" i="1" s="1"/>
  <c r="J1256" i="1"/>
  <c r="J1257" i="1"/>
  <c r="J1258" i="1"/>
  <c r="J1259" i="1"/>
  <c r="K1259" i="1" s="1"/>
  <c r="N1259" i="1" s="1"/>
  <c r="J1260" i="1"/>
  <c r="K1260" i="1" s="1"/>
  <c r="N1260" i="1" s="1"/>
  <c r="J1261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K1281" i="1" s="1"/>
  <c r="N1281" i="1" s="1"/>
  <c r="J1282" i="1"/>
  <c r="J1283" i="1"/>
  <c r="K1283" i="1" s="1"/>
  <c r="N1283" i="1" s="1"/>
  <c r="J1284" i="1"/>
  <c r="J1285" i="1"/>
  <c r="J1287" i="1"/>
  <c r="J1288" i="1"/>
  <c r="J1289" i="1"/>
  <c r="K1289" i="1" s="1"/>
  <c r="N1289" i="1" s="1"/>
  <c r="J1290" i="1"/>
  <c r="J1291" i="1"/>
  <c r="J1292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9" i="1"/>
  <c r="K1309" i="1" s="1"/>
  <c r="N1309" i="1" s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6" i="1"/>
  <c r="J1327" i="1"/>
  <c r="J1328" i="1"/>
  <c r="K1328" i="1" s="1"/>
  <c r="N1328" i="1" s="1"/>
  <c r="J1330" i="1"/>
  <c r="J1331" i="1"/>
  <c r="J1332" i="1"/>
  <c r="J1333" i="1"/>
  <c r="J1334" i="1"/>
  <c r="J1335" i="1"/>
  <c r="J1336" i="1"/>
  <c r="J1337" i="1"/>
  <c r="J1338" i="1"/>
  <c r="J1339" i="1"/>
  <c r="K1339" i="1" s="1"/>
  <c r="N1339" i="1" s="1"/>
  <c r="J1340" i="1"/>
  <c r="J1341" i="1"/>
  <c r="K1341" i="1" s="1"/>
  <c r="N1341" i="1" s="1"/>
  <c r="J1342" i="1"/>
  <c r="J1343" i="1"/>
  <c r="J1344" i="1"/>
  <c r="J1345" i="1"/>
  <c r="J1346" i="1"/>
  <c r="J1347" i="1"/>
  <c r="J1348" i="1"/>
  <c r="K1348" i="1" s="1"/>
  <c r="N1348" i="1" s="1"/>
  <c r="J1349" i="1"/>
  <c r="J1350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6" i="1"/>
  <c r="F1247" i="1"/>
  <c r="F1249" i="1"/>
  <c r="F1250" i="1"/>
  <c r="F1252" i="1"/>
  <c r="F1253" i="1"/>
  <c r="F1255" i="1"/>
  <c r="F1256" i="1"/>
  <c r="F1257" i="1"/>
  <c r="F1258" i="1"/>
  <c r="F1259" i="1"/>
  <c r="F1260" i="1"/>
  <c r="F1261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7" i="1"/>
  <c r="F1288" i="1"/>
  <c r="F1289" i="1"/>
  <c r="F1290" i="1"/>
  <c r="F1291" i="1"/>
  <c r="F1292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9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6" i="1"/>
  <c r="F1327" i="1"/>
  <c r="F1328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M1128" i="1" l="1"/>
  <c r="M1346" i="1"/>
  <c r="M1338" i="1"/>
  <c r="M1330" i="1"/>
  <c r="M1320" i="1"/>
  <c r="M1350" i="1"/>
  <c r="M1342" i="1"/>
  <c r="M1334" i="1"/>
  <c r="K1190" i="1"/>
  <c r="N1190" i="1" s="1"/>
  <c r="M1351" i="1"/>
  <c r="M1343" i="1"/>
  <c r="M1335" i="1"/>
  <c r="M1290" i="1"/>
  <c r="M1190" i="1"/>
  <c r="M1129" i="1"/>
  <c r="M1127" i="1"/>
  <c r="M1319" i="1"/>
  <c r="M1313" i="1"/>
  <c r="M1249" i="1"/>
  <c r="M1327" i="1"/>
  <c r="K1295" i="1"/>
  <c r="N1295" i="1" s="1"/>
  <c r="M1312" i="1"/>
  <c r="M1329" i="1"/>
  <c r="M1324" i="1"/>
  <c r="M1305" i="1"/>
  <c r="M1310" i="1"/>
  <c r="M1262" i="1"/>
  <c r="M1251" i="1"/>
  <c r="M1325" i="1"/>
  <c r="K1310" i="1"/>
  <c r="N1310" i="1" s="1"/>
  <c r="K1293" i="1"/>
  <c r="N1293" i="1" s="1"/>
  <c r="M1248" i="1"/>
  <c r="M1245" i="1"/>
  <c r="M1222" i="1"/>
  <c r="M1293" i="1"/>
  <c r="M1308" i="1"/>
  <c r="M1286" i="1"/>
  <c r="M1151" i="1"/>
  <c r="M1254" i="1"/>
  <c r="K1262" i="1"/>
  <c r="N1262" i="1" s="1"/>
  <c r="K1329" i="1"/>
  <c r="N1329" i="1" s="1"/>
  <c r="K1286" i="1"/>
  <c r="N1286" i="1" s="1"/>
  <c r="K1151" i="1"/>
  <c r="N1151" i="1" s="1"/>
  <c r="K1129" i="1"/>
  <c r="N1129" i="1" s="1"/>
  <c r="K1127" i="1"/>
  <c r="N1127" i="1" s="1"/>
  <c r="K1324" i="1"/>
  <c r="N1324" i="1" s="1"/>
  <c r="K1248" i="1"/>
  <c r="N1248" i="1" s="1"/>
  <c r="K1251" i="1"/>
  <c r="N1251" i="1" s="1"/>
  <c r="K1128" i="1"/>
  <c r="N1128" i="1" s="1"/>
  <c r="M1300" i="1"/>
  <c r="M1284" i="1"/>
  <c r="M1276" i="1"/>
  <c r="M1269" i="1"/>
  <c r="K1238" i="1"/>
  <c r="N1238" i="1" s="1"/>
  <c r="K1266" i="1"/>
  <c r="N1266" i="1" s="1"/>
  <c r="K1314" i="1"/>
  <c r="N1314" i="1" s="1"/>
  <c r="K1263" i="1"/>
  <c r="N1263" i="1" s="1"/>
  <c r="M1253" i="1"/>
  <c r="M1292" i="1"/>
  <c r="M1285" i="1"/>
  <c r="M1277" i="1"/>
  <c r="M1261" i="1"/>
  <c r="M1241" i="1"/>
  <c r="M1235" i="1"/>
  <c r="K1268" i="1"/>
  <c r="N1268" i="1" s="1"/>
  <c r="K1303" i="1"/>
  <c r="N1303" i="1" s="1"/>
  <c r="M1304" i="1"/>
  <c r="M1296" i="1"/>
  <c r="M1280" i="1"/>
  <c r="M1273" i="1"/>
  <c r="M1265" i="1"/>
  <c r="M1297" i="1"/>
  <c r="M1257" i="1"/>
  <c r="K1349" i="1"/>
  <c r="N1349" i="1" s="1"/>
  <c r="K1298" i="1"/>
  <c r="N1298" i="1" s="1"/>
  <c r="M1323" i="1"/>
  <c r="M1316" i="1"/>
  <c r="K1321" i="1"/>
  <c r="N1321" i="1" s="1"/>
  <c r="K1244" i="1"/>
  <c r="N1244" i="1" s="1"/>
  <c r="K1311" i="1"/>
  <c r="N1311" i="1" s="1"/>
  <c r="K1301" i="1"/>
  <c r="N1301" i="1" s="1"/>
  <c r="K1282" i="1"/>
  <c r="N1282" i="1" s="1"/>
  <c r="K1336" i="1"/>
  <c r="N1336" i="1" s="1"/>
  <c r="K1247" i="1"/>
  <c r="N1247" i="1" s="1"/>
  <c r="M1345" i="1"/>
  <c r="M1337" i="1"/>
  <c r="M1322" i="1"/>
  <c r="M1315" i="1"/>
  <c r="M1307" i="1"/>
  <c r="M1299" i="1"/>
  <c r="M1291" i="1"/>
  <c r="M1287" i="1"/>
  <c r="M1279" i="1"/>
  <c r="M1272" i="1"/>
  <c r="M1264" i="1"/>
  <c r="M1256" i="1"/>
  <c r="M1234" i="1"/>
  <c r="K1320" i="1"/>
  <c r="N1320" i="1" s="1"/>
  <c r="M1348" i="1"/>
  <c r="K1331" i="1"/>
  <c r="N1331" i="1" s="1"/>
  <c r="K1288" i="1"/>
  <c r="N1288" i="1" s="1"/>
  <c r="K1274" i="1"/>
  <c r="N1274" i="1" s="1"/>
  <c r="K1258" i="1"/>
  <c r="N1258" i="1" s="1"/>
  <c r="K1236" i="1"/>
  <c r="N1236" i="1" s="1"/>
  <c r="M1270" i="1"/>
  <c r="K1290" i="1"/>
  <c r="N1290" i="1" s="1"/>
  <c r="K1232" i="1"/>
  <c r="N1232" i="1" s="1"/>
  <c r="K1332" i="1"/>
  <c r="N1332" i="1" s="1"/>
  <c r="M1246" i="1"/>
  <c r="M1239" i="1"/>
  <c r="K1333" i="1"/>
  <c r="N1333" i="1" s="1"/>
  <c r="K1326" i="1"/>
  <c r="N1326" i="1" s="1"/>
  <c r="K1252" i="1"/>
  <c r="N1252" i="1" s="1"/>
  <c r="K1340" i="1"/>
  <c r="N1340" i="1" s="1"/>
  <c r="K1294" i="1"/>
  <c r="N1294" i="1" s="1"/>
  <c r="K1317" i="1"/>
  <c r="N1317" i="1" s="1"/>
  <c r="K1250" i="1"/>
  <c r="N1250" i="1" s="1"/>
  <c r="M1232" i="1"/>
  <c r="K1318" i="1"/>
  <c r="N1318" i="1" s="1"/>
  <c r="K1347" i="1"/>
  <c r="N1347" i="1" s="1"/>
  <c r="K1242" i="1"/>
  <c r="N1242" i="1" s="1"/>
  <c r="M1302" i="1"/>
  <c r="M1294" i="1"/>
  <c r="M1289" i="1"/>
  <c r="M1282" i="1"/>
  <c r="M1275" i="1"/>
  <c r="M1267" i="1"/>
  <c r="M1259" i="1"/>
  <c r="M1243" i="1"/>
  <c r="M1237" i="1"/>
  <c r="K1343" i="1"/>
  <c r="N1343" i="1" s="1"/>
  <c r="K1344" i="1"/>
  <c r="N1344" i="1" s="1"/>
  <c r="K1306" i="1"/>
  <c r="N1306" i="1" s="1"/>
  <c r="K1278" i="1"/>
  <c r="N1278" i="1" s="1"/>
  <c r="K1271" i="1"/>
  <c r="N1271" i="1" s="1"/>
  <c r="K1240" i="1"/>
  <c r="N1240" i="1" s="1"/>
  <c r="K1233" i="1"/>
  <c r="N1233" i="1" s="1"/>
  <c r="K1302" i="1"/>
  <c r="N1302" i="1" s="1"/>
  <c r="K1267" i="1"/>
  <c r="N1267" i="1" s="1"/>
  <c r="K1313" i="1"/>
  <c r="N1313" i="1" s="1"/>
  <c r="K1285" i="1"/>
  <c r="N1285" i="1" s="1"/>
  <c r="K1275" i="1"/>
  <c r="N1275" i="1" s="1"/>
  <c r="K1243" i="1"/>
  <c r="N1243" i="1" s="1"/>
  <c r="M1340" i="1"/>
  <c r="M1332" i="1"/>
  <c r="M1318" i="1"/>
  <c r="M1349" i="1"/>
  <c r="M1341" i="1"/>
  <c r="M1333" i="1"/>
  <c r="M1326" i="1"/>
  <c r="M1311" i="1"/>
  <c r="M1303" i="1"/>
  <c r="M1295" i="1"/>
  <c r="M1283" i="1"/>
  <c r="M1268" i="1"/>
  <c r="M1260" i="1"/>
  <c r="M1252" i="1"/>
  <c r="M1244" i="1"/>
  <c r="M1238" i="1"/>
  <c r="M1347" i="1"/>
  <c r="M1339" i="1"/>
  <c r="M1331" i="1"/>
  <c r="M1317" i="1"/>
  <c r="M1309" i="1"/>
  <c r="M1301" i="1"/>
  <c r="M1288" i="1"/>
  <c r="M1281" i="1"/>
  <c r="M1274" i="1"/>
  <c r="M1266" i="1"/>
  <c r="M1258" i="1"/>
  <c r="M1250" i="1"/>
  <c r="M1242" i="1"/>
  <c r="M1236" i="1"/>
  <c r="K1335" i="1"/>
  <c r="N1335" i="1" s="1"/>
  <c r="K1327" i="1"/>
  <c r="N1327" i="1" s="1"/>
  <c r="K1305" i="1"/>
  <c r="N1305" i="1" s="1"/>
  <c r="K1297" i="1"/>
  <c r="N1297" i="1" s="1"/>
  <c r="K1277" i="1"/>
  <c r="N1277" i="1" s="1"/>
  <c r="K1270" i="1"/>
  <c r="N1270" i="1" s="1"/>
  <c r="K1246" i="1"/>
  <c r="N1246" i="1" s="1"/>
  <c r="K1239" i="1"/>
  <c r="N1239" i="1" s="1"/>
  <c r="M1344" i="1"/>
  <c r="M1336" i="1"/>
  <c r="M1328" i="1"/>
  <c r="M1321" i="1"/>
  <c r="M1314" i="1"/>
  <c r="M1306" i="1"/>
  <c r="M1298" i="1"/>
  <c r="M1278" i="1"/>
  <c r="M1271" i="1"/>
  <c r="M1263" i="1"/>
  <c r="M1255" i="1"/>
  <c r="M1247" i="1"/>
  <c r="M1240" i="1"/>
  <c r="M1233" i="1"/>
  <c r="K1345" i="1"/>
  <c r="N1345" i="1" s="1"/>
  <c r="K1337" i="1"/>
  <c r="N1337" i="1" s="1"/>
  <c r="K1322" i="1"/>
  <c r="N1322" i="1" s="1"/>
  <c r="K1315" i="1"/>
  <c r="N1315" i="1" s="1"/>
  <c r="K1307" i="1"/>
  <c r="N1307" i="1" s="1"/>
  <c r="K1299" i="1"/>
  <c r="N1299" i="1" s="1"/>
  <c r="K1291" i="1"/>
  <c r="N1291" i="1" s="1"/>
  <c r="K1287" i="1"/>
  <c r="N1287" i="1" s="1"/>
  <c r="K1279" i="1"/>
  <c r="N1279" i="1" s="1"/>
  <c r="K1272" i="1"/>
  <c r="N1272" i="1" s="1"/>
  <c r="K1264" i="1"/>
  <c r="N1264" i="1" s="1"/>
  <c r="K1256" i="1"/>
  <c r="N1256" i="1" s="1"/>
  <c r="K1234" i="1"/>
  <c r="N1234" i="1" s="1"/>
  <c r="K1346" i="1"/>
  <c r="N1346" i="1" s="1"/>
  <c r="K1338" i="1"/>
  <c r="N1338" i="1" s="1"/>
  <c r="K1330" i="1"/>
  <c r="N1330" i="1" s="1"/>
  <c r="K1323" i="1"/>
  <c r="N1323" i="1" s="1"/>
  <c r="K1316" i="1"/>
  <c r="N1316" i="1" s="1"/>
  <c r="K1300" i="1"/>
  <c r="N1300" i="1" s="1"/>
  <c r="K1292" i="1"/>
  <c r="N1292" i="1" s="1"/>
  <c r="K1280" i="1"/>
  <c r="N1280" i="1" s="1"/>
  <c r="K1273" i="1"/>
  <c r="N1273" i="1" s="1"/>
  <c r="K1265" i="1"/>
  <c r="N1265" i="1" s="1"/>
  <c r="K1257" i="1"/>
  <c r="N1257" i="1" s="1"/>
  <c r="K1249" i="1"/>
  <c r="N1249" i="1" s="1"/>
  <c r="K1241" i="1"/>
  <c r="N1241" i="1" s="1"/>
  <c r="K1235" i="1"/>
  <c r="N1235" i="1" s="1"/>
  <c r="K1350" i="1"/>
  <c r="N1350" i="1" s="1"/>
  <c r="K1342" i="1"/>
  <c r="N1342" i="1" s="1"/>
  <c r="K1334" i="1"/>
  <c r="N1334" i="1" s="1"/>
  <c r="K1319" i="1"/>
  <c r="N1319" i="1" s="1"/>
  <c r="K1312" i="1"/>
  <c r="N1312" i="1" s="1"/>
  <c r="K1304" i="1"/>
  <c r="N1304" i="1" s="1"/>
  <c r="K1296" i="1"/>
  <c r="N1296" i="1" s="1"/>
  <c r="K1284" i="1"/>
  <c r="N1284" i="1" s="1"/>
  <c r="K1276" i="1"/>
  <c r="N1276" i="1" s="1"/>
  <c r="K1269" i="1"/>
  <c r="N1269" i="1" s="1"/>
  <c r="K1261" i="1"/>
  <c r="N1261" i="1" s="1"/>
  <c r="K1253" i="1"/>
  <c r="N1253" i="1" s="1"/>
  <c r="J3" i="1"/>
  <c r="J4" i="1"/>
  <c r="J6" i="1"/>
  <c r="J8" i="1"/>
  <c r="J9" i="1"/>
  <c r="J11" i="1"/>
  <c r="J13" i="1"/>
  <c r="J16" i="1"/>
  <c r="J17" i="1"/>
  <c r="J20" i="1"/>
  <c r="J24" i="1"/>
  <c r="J27" i="1"/>
  <c r="J29" i="1"/>
  <c r="J32" i="1"/>
  <c r="J35" i="1"/>
  <c r="J36" i="1"/>
  <c r="J37" i="1"/>
  <c r="J38" i="1"/>
  <c r="J40" i="1"/>
  <c r="J41" i="1"/>
  <c r="J42" i="1"/>
  <c r="J45" i="1"/>
  <c r="J47" i="1"/>
  <c r="J48" i="1"/>
  <c r="J51" i="1"/>
  <c r="J52" i="1"/>
  <c r="J54" i="1"/>
  <c r="J55" i="1"/>
  <c r="J56" i="1"/>
  <c r="J57" i="1"/>
  <c r="J60" i="1"/>
  <c r="J61" i="1"/>
  <c r="J62" i="1"/>
  <c r="J65" i="1"/>
  <c r="J67" i="1"/>
  <c r="J68" i="1"/>
  <c r="J69" i="1"/>
  <c r="J70" i="1"/>
  <c r="J71" i="1"/>
  <c r="J72" i="1"/>
  <c r="J73" i="1"/>
  <c r="J77" i="1"/>
  <c r="J78" i="1"/>
  <c r="J80" i="1"/>
  <c r="J81" i="1"/>
  <c r="J83" i="1"/>
  <c r="J84" i="1"/>
  <c r="J86" i="1"/>
  <c r="J87" i="1"/>
  <c r="J91" i="1"/>
  <c r="J92" i="1"/>
  <c r="J94" i="1"/>
  <c r="J95" i="1"/>
  <c r="J96" i="1"/>
  <c r="J97" i="1"/>
  <c r="J98" i="1"/>
  <c r="J99" i="1"/>
  <c r="J100" i="1"/>
  <c r="J101" i="1"/>
  <c r="J102" i="1"/>
  <c r="J103" i="1"/>
  <c r="J104" i="1"/>
  <c r="J106" i="1"/>
  <c r="J108" i="1"/>
  <c r="J109" i="1"/>
  <c r="J112" i="1"/>
  <c r="J113" i="1"/>
  <c r="J114" i="1"/>
  <c r="J115" i="1"/>
  <c r="J117" i="1"/>
  <c r="J119" i="1"/>
  <c r="J120" i="1"/>
  <c r="J121" i="1"/>
  <c r="J123" i="1"/>
  <c r="J124" i="1"/>
  <c r="J126" i="1"/>
  <c r="J127" i="1"/>
  <c r="J128" i="1"/>
  <c r="J130" i="1"/>
  <c r="J132" i="1"/>
  <c r="J133" i="1"/>
  <c r="J134" i="1"/>
  <c r="J136" i="1"/>
  <c r="J137" i="1"/>
  <c r="J138" i="1"/>
  <c r="J139" i="1"/>
  <c r="J140" i="1"/>
  <c r="J142" i="1"/>
  <c r="J143" i="1"/>
  <c r="J144" i="1"/>
  <c r="J146" i="1"/>
  <c r="J147" i="1"/>
  <c r="J148" i="1"/>
  <c r="J151" i="1"/>
  <c r="J153" i="1"/>
  <c r="J154" i="1"/>
  <c r="J159" i="1"/>
  <c r="J160" i="1"/>
  <c r="J161" i="1"/>
  <c r="J162" i="1"/>
  <c r="J168" i="1"/>
  <c r="J170" i="1"/>
  <c r="J171" i="1"/>
  <c r="J172" i="1"/>
  <c r="J173" i="1"/>
  <c r="J174" i="1"/>
  <c r="J176" i="1"/>
  <c r="J181" i="1"/>
  <c r="J183" i="1"/>
  <c r="J186" i="1"/>
  <c r="J187" i="1"/>
  <c r="J188" i="1"/>
  <c r="J191" i="1"/>
  <c r="J193" i="1"/>
  <c r="J195" i="1"/>
  <c r="J197" i="1"/>
  <c r="J198" i="1"/>
  <c r="J203" i="1"/>
  <c r="J205" i="1"/>
  <c r="J206" i="1"/>
  <c r="J211" i="1"/>
  <c r="J213" i="1"/>
  <c r="J219" i="1"/>
  <c r="J222" i="1"/>
  <c r="J225" i="1"/>
  <c r="J227" i="1"/>
  <c r="J229" i="1"/>
  <c r="J230" i="1"/>
  <c r="J233" i="1"/>
  <c r="J235" i="1"/>
  <c r="J238" i="1"/>
  <c r="J239" i="1"/>
  <c r="J240" i="1"/>
  <c r="J241" i="1"/>
  <c r="J242" i="1"/>
  <c r="J244" i="1"/>
  <c r="J245" i="1"/>
  <c r="J247" i="1"/>
  <c r="J252" i="1"/>
  <c r="J255" i="1"/>
  <c r="J256" i="1"/>
  <c r="J257" i="1"/>
  <c r="J258" i="1"/>
  <c r="J262" i="1"/>
  <c r="J264" i="1"/>
  <c r="J271" i="1"/>
  <c r="J272" i="1"/>
  <c r="J273" i="1"/>
  <c r="J274" i="1"/>
  <c r="J275" i="1"/>
  <c r="J280" i="1"/>
  <c r="J282" i="1"/>
  <c r="J286" i="1"/>
  <c r="J287" i="1"/>
  <c r="J288" i="1"/>
  <c r="J289" i="1"/>
  <c r="J290" i="1"/>
  <c r="J293" i="1"/>
  <c r="J294" i="1"/>
  <c r="J295" i="1"/>
  <c r="J296" i="1"/>
  <c r="J297" i="1"/>
  <c r="J301" i="1"/>
  <c r="J303" i="1"/>
  <c r="J305" i="1"/>
  <c r="J309" i="1"/>
  <c r="J311" i="1"/>
  <c r="J312" i="1"/>
  <c r="J315" i="1"/>
  <c r="J318" i="1"/>
  <c r="J320" i="1"/>
  <c r="J322" i="1"/>
  <c r="J325" i="1"/>
  <c r="J326" i="1"/>
  <c r="J331" i="1"/>
  <c r="J334" i="1"/>
  <c r="J336" i="1"/>
  <c r="J338" i="1"/>
  <c r="J346" i="1"/>
  <c r="J347" i="1"/>
  <c r="J348" i="1"/>
  <c r="J349" i="1"/>
  <c r="J354" i="1"/>
  <c r="J355" i="1"/>
  <c r="J359" i="1"/>
  <c r="J361" i="1"/>
  <c r="J362" i="1"/>
  <c r="J363" i="1"/>
  <c r="J364" i="1"/>
  <c r="J365" i="1"/>
  <c r="J367" i="1"/>
  <c r="J370" i="1"/>
  <c r="J374" i="1"/>
  <c r="J375" i="1"/>
  <c r="J377" i="1"/>
  <c r="J378" i="1"/>
  <c r="J383" i="1"/>
  <c r="J385" i="1"/>
  <c r="J388" i="1"/>
  <c r="J391" i="1"/>
  <c r="J392" i="1"/>
  <c r="J393" i="1"/>
  <c r="J394" i="1"/>
  <c r="J396" i="1"/>
  <c r="J397" i="1"/>
  <c r="J402" i="1"/>
  <c r="J403" i="1"/>
  <c r="J404" i="1"/>
  <c r="J405" i="1"/>
  <c r="J406" i="1"/>
  <c r="J408" i="1"/>
  <c r="J411" i="1"/>
  <c r="J414" i="1"/>
  <c r="J417" i="1"/>
  <c r="J418" i="1"/>
  <c r="J420" i="1"/>
  <c r="J422" i="1"/>
  <c r="J423" i="1"/>
  <c r="J424" i="1"/>
  <c r="J425" i="1"/>
  <c r="J427" i="1"/>
  <c r="J428" i="1"/>
  <c r="J429" i="1"/>
  <c r="J430" i="1"/>
  <c r="J431" i="1"/>
  <c r="J433" i="1"/>
  <c r="J434" i="1"/>
  <c r="J435" i="1"/>
  <c r="J437" i="1"/>
  <c r="J438" i="1"/>
  <c r="J440" i="1"/>
  <c r="J441" i="1"/>
  <c r="J442" i="1"/>
  <c r="J450" i="1"/>
  <c r="J451" i="1"/>
  <c r="J454" i="1"/>
  <c r="J459" i="1"/>
  <c r="J460" i="1"/>
  <c r="J461" i="1"/>
  <c r="J464" i="1"/>
  <c r="J465" i="1"/>
  <c r="J468" i="1"/>
  <c r="J470" i="1"/>
  <c r="J471" i="1"/>
  <c r="J472" i="1"/>
  <c r="J473" i="1"/>
  <c r="J474" i="1"/>
  <c r="J475" i="1"/>
  <c r="J476" i="1"/>
  <c r="J478" i="1"/>
  <c r="J479" i="1"/>
  <c r="J483" i="1"/>
  <c r="J485" i="1"/>
  <c r="J486" i="1"/>
  <c r="J489" i="1"/>
  <c r="J490" i="1"/>
  <c r="J491" i="1"/>
  <c r="J492" i="1"/>
  <c r="J493" i="1"/>
  <c r="J495" i="1"/>
  <c r="J496" i="1"/>
  <c r="J498" i="1"/>
  <c r="J500" i="1"/>
  <c r="J502" i="1"/>
  <c r="J503" i="1"/>
  <c r="J506" i="1"/>
  <c r="J508" i="1"/>
  <c r="J509" i="1"/>
  <c r="J510" i="1"/>
  <c r="J514" i="1"/>
  <c r="J516" i="1"/>
  <c r="J517" i="1"/>
  <c r="J518" i="1"/>
  <c r="J522" i="1"/>
  <c r="J524" i="1"/>
  <c r="J525" i="1"/>
  <c r="J530" i="1"/>
  <c r="J531" i="1"/>
  <c r="J532" i="1"/>
  <c r="J533" i="1"/>
  <c r="J536" i="1"/>
  <c r="J537" i="1"/>
  <c r="J538" i="1"/>
  <c r="J540" i="1"/>
  <c r="J543" i="1"/>
  <c r="J544" i="1"/>
  <c r="J545" i="1"/>
  <c r="J549" i="1"/>
  <c r="J550" i="1"/>
  <c r="J558" i="1"/>
  <c r="J559" i="1"/>
  <c r="J563" i="1"/>
  <c r="J564" i="1"/>
  <c r="J566" i="1"/>
  <c r="J569" i="1"/>
  <c r="J570" i="1"/>
  <c r="J572" i="1"/>
  <c r="J574" i="1"/>
  <c r="J576" i="1"/>
  <c r="J578" i="1"/>
  <c r="J579" i="1"/>
  <c r="J582" i="1"/>
  <c r="J584" i="1"/>
  <c r="J586" i="1"/>
  <c r="J587" i="1"/>
  <c r="J588" i="1"/>
  <c r="J589" i="1"/>
  <c r="J592" i="1"/>
  <c r="J593" i="1"/>
  <c r="J594" i="1"/>
  <c r="J598" i="1"/>
  <c r="J599" i="1"/>
  <c r="J600" i="1"/>
  <c r="J601" i="1"/>
  <c r="J604" i="1"/>
  <c r="J605" i="1"/>
  <c r="J607" i="1"/>
  <c r="J608" i="1"/>
  <c r="J609" i="1"/>
  <c r="J613" i="1"/>
  <c r="J614" i="1"/>
  <c r="J615" i="1"/>
  <c r="J618" i="1"/>
  <c r="J620" i="1"/>
  <c r="J621" i="1"/>
  <c r="J624" i="1"/>
  <c r="J625" i="1"/>
  <c r="J627" i="1"/>
  <c r="J630" i="1"/>
  <c r="J631" i="1"/>
  <c r="J633" i="1"/>
  <c r="J636" i="1"/>
  <c r="J638" i="1"/>
  <c r="J642" i="1"/>
  <c r="J646" i="1"/>
  <c r="J647" i="1"/>
  <c r="J648" i="1"/>
  <c r="J649" i="1"/>
  <c r="J650" i="1"/>
  <c r="J651" i="1"/>
  <c r="J652" i="1"/>
  <c r="J654" i="1"/>
  <c r="J655" i="1"/>
  <c r="J656" i="1"/>
  <c r="J657" i="1"/>
  <c r="J659" i="1"/>
  <c r="J660" i="1"/>
  <c r="J661" i="1"/>
  <c r="J663" i="1"/>
  <c r="J665" i="1"/>
  <c r="J666" i="1"/>
  <c r="J668" i="1"/>
  <c r="J669" i="1"/>
  <c r="J670" i="1"/>
  <c r="J675" i="1"/>
  <c r="J677" i="1"/>
  <c r="J678" i="1"/>
  <c r="J680" i="1"/>
  <c r="J681" i="1"/>
  <c r="J682" i="1"/>
  <c r="J683" i="1"/>
  <c r="J687" i="1"/>
  <c r="J688" i="1"/>
  <c r="J689" i="1"/>
  <c r="J693" i="1"/>
  <c r="J695" i="1"/>
  <c r="J696" i="1"/>
  <c r="J699" i="1"/>
  <c r="J700" i="1"/>
  <c r="J703" i="1"/>
  <c r="J705" i="1"/>
  <c r="J706" i="1"/>
  <c r="J709" i="1"/>
  <c r="J710" i="1"/>
  <c r="J711" i="1"/>
  <c r="J712" i="1"/>
  <c r="J713" i="1"/>
  <c r="J717" i="1"/>
  <c r="J718" i="1"/>
  <c r="J719" i="1"/>
  <c r="J720" i="1"/>
  <c r="J721" i="1"/>
  <c r="J723" i="1"/>
  <c r="J725" i="1"/>
  <c r="J728" i="1"/>
  <c r="J729" i="1"/>
  <c r="J731" i="1"/>
  <c r="J737" i="1"/>
  <c r="J738" i="1"/>
  <c r="J742" i="1"/>
  <c r="J743" i="1"/>
  <c r="J744" i="1"/>
  <c r="J746" i="1"/>
  <c r="J747" i="1"/>
  <c r="J748" i="1"/>
  <c r="J749" i="1"/>
  <c r="J750" i="1"/>
  <c r="J755" i="1"/>
  <c r="J756" i="1"/>
  <c r="J757" i="1"/>
  <c r="J758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8" i="1"/>
  <c r="J939" i="1"/>
  <c r="J940" i="1"/>
  <c r="J941" i="1"/>
  <c r="J942" i="1"/>
  <c r="J943" i="1"/>
  <c r="J944" i="1"/>
  <c r="J945" i="1"/>
  <c r="J946" i="1"/>
  <c r="J948" i="1"/>
  <c r="J949" i="1"/>
  <c r="J951" i="1"/>
  <c r="J952" i="1"/>
  <c r="J953" i="1"/>
  <c r="J955" i="1"/>
  <c r="J958" i="1"/>
  <c r="J959" i="1"/>
  <c r="J960" i="1"/>
  <c r="J961" i="1"/>
  <c r="J963" i="1"/>
  <c r="J964" i="1"/>
  <c r="J965" i="1"/>
  <c r="J966" i="1"/>
  <c r="J967" i="1"/>
  <c r="J968" i="1"/>
  <c r="J969" i="1"/>
  <c r="J970" i="1"/>
  <c r="J971" i="1"/>
  <c r="J972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6" i="1"/>
  <c r="J1077" i="1"/>
  <c r="J1078" i="1"/>
  <c r="J1079" i="1"/>
  <c r="J1080" i="1"/>
  <c r="J1081" i="1"/>
  <c r="J1082" i="1"/>
  <c r="J1083" i="1"/>
  <c r="J1084" i="1"/>
  <c r="J1086" i="1"/>
  <c r="J1087" i="1"/>
  <c r="J1089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4" i="1"/>
  <c r="J1115" i="1"/>
  <c r="J1116" i="1"/>
  <c r="J1117" i="1"/>
  <c r="J1118" i="1"/>
  <c r="J1119" i="1"/>
  <c r="J1120" i="1"/>
  <c r="J1121" i="1"/>
  <c r="J1122" i="1"/>
  <c r="J1123" i="1"/>
  <c r="J1125" i="1"/>
  <c r="J1126" i="1"/>
  <c r="J1131" i="1"/>
  <c r="J1132" i="1"/>
  <c r="J1133" i="1"/>
  <c r="J1134" i="1"/>
  <c r="J1135" i="1"/>
  <c r="J1136" i="1"/>
  <c r="J1137" i="1"/>
  <c r="J1138" i="1"/>
  <c r="J1139" i="1"/>
  <c r="J1140" i="1"/>
  <c r="J1141" i="1"/>
  <c r="J1143" i="1"/>
  <c r="J1144" i="1"/>
  <c r="J1145" i="1"/>
  <c r="J1146" i="1"/>
  <c r="J1147" i="1"/>
  <c r="J1148" i="1"/>
  <c r="J1149" i="1"/>
  <c r="J1150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3" i="1"/>
  <c r="J1224" i="1"/>
  <c r="J1225" i="1"/>
  <c r="J1226" i="1"/>
  <c r="J1227" i="1"/>
  <c r="J1228" i="1"/>
  <c r="J1229" i="1"/>
  <c r="J1230" i="1"/>
  <c r="J1231" i="1"/>
  <c r="J2" i="1"/>
  <c r="J5" i="1" l="1"/>
  <c r="J7" i="1"/>
  <c r="J10" i="1"/>
  <c r="J12" i="1"/>
  <c r="J14" i="1"/>
  <c r="J15" i="1"/>
  <c r="J18" i="1"/>
  <c r="J19" i="1"/>
  <c r="J21" i="1"/>
  <c r="J22" i="1"/>
  <c r="J23" i="1"/>
  <c r="J25" i="1"/>
  <c r="J26" i="1"/>
  <c r="J28" i="1"/>
  <c r="J30" i="1"/>
  <c r="J31" i="1"/>
  <c r="J33" i="1"/>
  <c r="J34" i="1"/>
  <c r="J39" i="1"/>
  <c r="J43" i="1"/>
  <c r="J44" i="1"/>
  <c r="J46" i="1"/>
  <c r="J49" i="1"/>
  <c r="J50" i="1"/>
  <c r="J53" i="1"/>
  <c r="J58" i="1"/>
  <c r="J59" i="1"/>
  <c r="J63" i="1"/>
  <c r="J64" i="1"/>
  <c r="J66" i="1"/>
  <c r="J74" i="1"/>
  <c r="J75" i="1"/>
  <c r="J76" i="1"/>
  <c r="J79" i="1"/>
  <c r="J82" i="1"/>
  <c r="J85" i="1"/>
  <c r="J88" i="1"/>
  <c r="J89" i="1"/>
  <c r="J90" i="1"/>
  <c r="J93" i="1"/>
  <c r="J105" i="1"/>
  <c r="J107" i="1"/>
  <c r="J110" i="1"/>
  <c r="J111" i="1"/>
  <c r="J116" i="1"/>
  <c r="J118" i="1"/>
  <c r="J122" i="1"/>
  <c r="J125" i="1"/>
  <c r="J129" i="1"/>
  <c r="J131" i="1"/>
  <c r="J135" i="1"/>
  <c r="J141" i="1"/>
  <c r="J145" i="1"/>
  <c r="J149" i="1"/>
  <c r="J150" i="1"/>
  <c r="J152" i="1"/>
  <c r="J155" i="1"/>
  <c r="J156" i="1"/>
  <c r="J157" i="1"/>
  <c r="J158" i="1"/>
  <c r="J163" i="1"/>
  <c r="J164" i="1"/>
  <c r="J165" i="1"/>
  <c r="J166" i="1"/>
  <c r="J167" i="1"/>
  <c r="J169" i="1"/>
  <c r="J175" i="1"/>
  <c r="J177" i="1"/>
  <c r="J178" i="1"/>
  <c r="J179" i="1"/>
  <c r="J180" i="1"/>
  <c r="J182" i="1"/>
  <c r="J184" i="1"/>
  <c r="J185" i="1"/>
  <c r="J189" i="1"/>
  <c r="J190" i="1"/>
  <c r="J192" i="1"/>
  <c r="J194" i="1"/>
  <c r="J196" i="1"/>
  <c r="J199" i="1"/>
  <c r="J200" i="1"/>
  <c r="J201" i="1"/>
  <c r="J202" i="1"/>
  <c r="J204" i="1"/>
  <c r="J207" i="1"/>
  <c r="J208" i="1"/>
  <c r="J209" i="1"/>
  <c r="J210" i="1"/>
  <c r="J212" i="1"/>
  <c r="J214" i="1"/>
  <c r="J215" i="1"/>
  <c r="J216" i="1"/>
  <c r="J217" i="1"/>
  <c r="J218" i="1"/>
  <c r="J220" i="1"/>
  <c r="J221" i="1"/>
  <c r="J223" i="1"/>
  <c r="J224" i="1"/>
  <c r="J226" i="1"/>
  <c r="J228" i="1"/>
  <c r="J231" i="1"/>
  <c r="J232" i="1"/>
  <c r="J234" i="1"/>
  <c r="J236" i="1"/>
  <c r="J237" i="1"/>
  <c r="J243" i="1"/>
  <c r="J246" i="1"/>
  <c r="J248" i="1"/>
  <c r="J249" i="1"/>
  <c r="J250" i="1"/>
  <c r="J251" i="1"/>
  <c r="J253" i="1"/>
  <c r="J254" i="1"/>
  <c r="J259" i="1"/>
  <c r="J260" i="1"/>
  <c r="J261" i="1"/>
  <c r="J263" i="1"/>
  <c r="J265" i="1"/>
  <c r="J266" i="1"/>
  <c r="J267" i="1"/>
  <c r="J268" i="1"/>
  <c r="J269" i="1"/>
  <c r="J270" i="1"/>
  <c r="J276" i="1"/>
  <c r="J277" i="1"/>
  <c r="J278" i="1"/>
  <c r="J279" i="1"/>
  <c r="J281" i="1"/>
  <c r="J283" i="1"/>
  <c r="J284" i="1"/>
  <c r="J285" i="1"/>
  <c r="J291" i="1"/>
  <c r="J292" i="1"/>
  <c r="J298" i="1"/>
  <c r="J299" i="1"/>
  <c r="J300" i="1"/>
  <c r="J302" i="1"/>
  <c r="J304" i="1"/>
  <c r="J306" i="1"/>
  <c r="J307" i="1"/>
  <c r="J308" i="1"/>
  <c r="J310" i="1"/>
  <c r="J313" i="1"/>
  <c r="J314" i="1"/>
  <c r="J316" i="1"/>
  <c r="J317" i="1"/>
  <c r="J319" i="1"/>
  <c r="J321" i="1"/>
  <c r="J323" i="1"/>
  <c r="J324" i="1"/>
  <c r="J327" i="1"/>
  <c r="J328" i="1"/>
  <c r="J329" i="1"/>
  <c r="J330" i="1"/>
  <c r="J332" i="1"/>
  <c r="J333" i="1"/>
  <c r="J335" i="1"/>
  <c r="J337" i="1"/>
  <c r="J339" i="1"/>
  <c r="J340" i="1"/>
  <c r="J341" i="1"/>
  <c r="J342" i="1"/>
  <c r="J343" i="1"/>
  <c r="J344" i="1"/>
  <c r="J345" i="1"/>
  <c r="J350" i="1"/>
  <c r="J351" i="1"/>
  <c r="J352" i="1"/>
  <c r="J353" i="1"/>
  <c r="J356" i="1"/>
  <c r="J357" i="1"/>
  <c r="J358" i="1"/>
  <c r="J360" i="1"/>
  <c r="J366" i="1"/>
  <c r="J368" i="1"/>
  <c r="J369" i="1"/>
  <c r="J371" i="1"/>
  <c r="J372" i="1"/>
  <c r="J373" i="1"/>
  <c r="J376" i="1"/>
  <c r="J379" i="1"/>
  <c r="J380" i="1"/>
  <c r="J381" i="1"/>
  <c r="J382" i="1"/>
  <c r="J384" i="1"/>
  <c r="J386" i="1"/>
  <c r="J387" i="1"/>
  <c r="J389" i="1"/>
  <c r="J390" i="1"/>
  <c r="J395" i="1"/>
  <c r="J398" i="1"/>
  <c r="J399" i="1"/>
  <c r="J400" i="1"/>
  <c r="J401" i="1"/>
  <c r="J407" i="1"/>
  <c r="J409" i="1"/>
  <c r="J410" i="1"/>
  <c r="J412" i="1"/>
  <c r="J413" i="1"/>
  <c r="J415" i="1"/>
  <c r="J416" i="1"/>
  <c r="J419" i="1"/>
  <c r="J421" i="1"/>
  <c r="J426" i="1"/>
  <c r="J432" i="1"/>
  <c r="J436" i="1"/>
  <c r="J439" i="1"/>
  <c r="J443" i="1"/>
  <c r="J444" i="1"/>
  <c r="J445" i="1"/>
  <c r="J446" i="1"/>
  <c r="J447" i="1"/>
  <c r="J448" i="1"/>
  <c r="J449" i="1"/>
  <c r="J452" i="1"/>
  <c r="J453" i="1"/>
  <c r="J455" i="1"/>
  <c r="J456" i="1"/>
  <c r="J457" i="1"/>
  <c r="J458" i="1"/>
  <c r="J462" i="1"/>
  <c r="J463" i="1"/>
  <c r="J466" i="1"/>
  <c r="J467" i="1"/>
  <c r="J469" i="1"/>
  <c r="J477" i="1"/>
  <c r="J480" i="1"/>
  <c r="J481" i="1"/>
  <c r="J482" i="1"/>
  <c r="J484" i="1"/>
  <c r="J487" i="1"/>
  <c r="J488" i="1"/>
  <c r="J494" i="1"/>
  <c r="J497" i="1"/>
  <c r="J499" i="1"/>
  <c r="J501" i="1"/>
  <c r="J504" i="1"/>
  <c r="J505" i="1"/>
  <c r="J507" i="1"/>
  <c r="J511" i="1"/>
  <c r="J512" i="1"/>
  <c r="J513" i="1"/>
  <c r="J515" i="1"/>
  <c r="J519" i="1"/>
  <c r="J520" i="1"/>
  <c r="J521" i="1"/>
  <c r="J523" i="1"/>
  <c r="J526" i="1"/>
  <c r="J527" i="1"/>
  <c r="J528" i="1"/>
  <c r="J529" i="1"/>
  <c r="J534" i="1"/>
  <c r="J535" i="1"/>
  <c r="J539" i="1"/>
  <c r="J541" i="1"/>
  <c r="J542" i="1"/>
  <c r="J546" i="1"/>
  <c r="J547" i="1"/>
  <c r="J548" i="1"/>
  <c r="J551" i="1"/>
  <c r="J552" i="1"/>
  <c r="J553" i="1"/>
  <c r="J554" i="1"/>
  <c r="J555" i="1"/>
  <c r="J556" i="1"/>
  <c r="J557" i="1"/>
  <c r="J560" i="1"/>
  <c r="J561" i="1"/>
  <c r="J562" i="1"/>
  <c r="J565" i="1"/>
  <c r="J567" i="1"/>
  <c r="J568" i="1"/>
  <c r="J571" i="1"/>
  <c r="J573" i="1"/>
  <c r="J575" i="1"/>
  <c r="J577" i="1"/>
  <c r="J580" i="1"/>
  <c r="J581" i="1"/>
  <c r="J583" i="1"/>
  <c r="J585" i="1"/>
  <c r="J590" i="1"/>
  <c r="J591" i="1"/>
  <c r="J595" i="1"/>
  <c r="J596" i="1"/>
  <c r="J597" i="1"/>
  <c r="J602" i="1"/>
  <c r="J603" i="1"/>
  <c r="J606" i="1"/>
  <c r="J610" i="1"/>
  <c r="J611" i="1"/>
  <c r="J612" i="1"/>
  <c r="J616" i="1"/>
  <c r="J617" i="1"/>
  <c r="J619" i="1"/>
  <c r="J622" i="1"/>
  <c r="J623" i="1"/>
  <c r="J626" i="1"/>
  <c r="J628" i="1"/>
  <c r="J629" i="1"/>
  <c r="J632" i="1"/>
  <c r="J634" i="1"/>
  <c r="J635" i="1"/>
  <c r="J637" i="1"/>
  <c r="J639" i="1"/>
  <c r="J640" i="1"/>
  <c r="J641" i="1"/>
  <c r="J643" i="1"/>
  <c r="J644" i="1"/>
  <c r="J645" i="1"/>
  <c r="J653" i="1"/>
  <c r="J658" i="1"/>
  <c r="J662" i="1"/>
  <c r="J664" i="1"/>
  <c r="J667" i="1"/>
  <c r="J671" i="1"/>
  <c r="J672" i="1"/>
  <c r="J673" i="1"/>
  <c r="J674" i="1"/>
  <c r="J676" i="1"/>
  <c r="J679" i="1"/>
  <c r="J684" i="1"/>
  <c r="J685" i="1"/>
  <c r="J686" i="1"/>
  <c r="J690" i="1"/>
  <c r="J691" i="1"/>
  <c r="J692" i="1"/>
  <c r="J694" i="1"/>
  <c r="J697" i="1"/>
  <c r="J698" i="1"/>
  <c r="J701" i="1"/>
  <c r="J702" i="1"/>
  <c r="J704" i="1"/>
  <c r="J707" i="1"/>
  <c r="J708" i="1"/>
  <c r="J714" i="1"/>
  <c r="J715" i="1"/>
  <c r="J716" i="1"/>
  <c r="J722" i="1"/>
  <c r="J724" i="1"/>
  <c r="J726" i="1"/>
  <c r="J727" i="1"/>
  <c r="J730" i="1"/>
  <c r="J732" i="1"/>
  <c r="J733" i="1"/>
  <c r="J734" i="1"/>
  <c r="J735" i="1"/>
  <c r="J736" i="1"/>
  <c r="J739" i="1"/>
  <c r="J740" i="1"/>
  <c r="J741" i="1"/>
  <c r="J745" i="1"/>
  <c r="J751" i="1"/>
  <c r="J752" i="1"/>
  <c r="J753" i="1"/>
  <c r="J754" i="1"/>
  <c r="J759" i="1"/>
  <c r="J774" i="1"/>
  <c r="J873" i="1"/>
  <c r="J894" i="1"/>
  <c r="J937" i="1"/>
  <c r="J947" i="1"/>
  <c r="J950" i="1"/>
  <c r="J954" i="1"/>
  <c r="J956" i="1"/>
  <c r="J957" i="1"/>
  <c r="J962" i="1"/>
  <c r="J973" i="1"/>
  <c r="J1075" i="1"/>
  <c r="J1085" i="1"/>
  <c r="J1088" i="1"/>
  <c r="J1090" i="1"/>
  <c r="J1113" i="1"/>
  <c r="J1124" i="1"/>
  <c r="J1130" i="1"/>
  <c r="K1132" i="1"/>
  <c r="K1133" i="1"/>
  <c r="K1137" i="1"/>
  <c r="K1140" i="1"/>
  <c r="K1141" i="1"/>
  <c r="J1142" i="1"/>
  <c r="K1193" i="1"/>
  <c r="K1195" i="1"/>
  <c r="K1199" i="1"/>
  <c r="K1202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3" i="1"/>
  <c r="F1224" i="1"/>
  <c r="F1225" i="1"/>
  <c r="F1226" i="1"/>
  <c r="F1227" i="1"/>
  <c r="F1228" i="1"/>
  <c r="F1229" i="1"/>
  <c r="F1230" i="1"/>
  <c r="F1231" i="1"/>
  <c r="K1131" i="1"/>
  <c r="N1131" i="1" s="1"/>
  <c r="K1138" i="1"/>
  <c r="K1145" i="1"/>
  <c r="K1146" i="1"/>
  <c r="K1148" i="1"/>
  <c r="K1182" i="1"/>
  <c r="N1182" i="1" s="1"/>
  <c r="K1192" i="1"/>
  <c r="N1192" i="1" s="1"/>
  <c r="K1200" i="1"/>
  <c r="K1203" i="1"/>
  <c r="N1203" i="1" s="1"/>
  <c r="K1207" i="1"/>
  <c r="N1207" i="1" s="1"/>
  <c r="K1209" i="1"/>
  <c r="N1209" i="1" s="1"/>
  <c r="K1225" i="1"/>
  <c r="N1225" i="1" s="1"/>
  <c r="K1226" i="1"/>
  <c r="N1226" i="1" s="1"/>
  <c r="K1229" i="1"/>
  <c r="N1229" i="1" s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3" i="1"/>
  <c r="L1224" i="1"/>
  <c r="L1225" i="1"/>
  <c r="L1226" i="1"/>
  <c r="L1227" i="1"/>
  <c r="L1228" i="1"/>
  <c r="L1229" i="1"/>
  <c r="L1230" i="1"/>
  <c r="L1231" i="1"/>
  <c r="M1140" i="1" l="1"/>
  <c r="M1169" i="1"/>
  <c r="N1195" i="1"/>
  <c r="N1141" i="1"/>
  <c r="N1133" i="1"/>
  <c r="N1202" i="1"/>
  <c r="N1148" i="1"/>
  <c r="N1140" i="1"/>
  <c r="N1132" i="1"/>
  <c r="N1200" i="1"/>
  <c r="N1193" i="1"/>
  <c r="N1146" i="1"/>
  <c r="N1138" i="1"/>
  <c r="N1199" i="1"/>
  <c r="N1145" i="1"/>
  <c r="N1137" i="1"/>
  <c r="K1168" i="1"/>
  <c r="N1168" i="1" s="1"/>
  <c r="K1228" i="1"/>
  <c r="N1228" i="1" s="1"/>
  <c r="K1161" i="1"/>
  <c r="N1161" i="1" s="1"/>
  <c r="K1153" i="1"/>
  <c r="N1153" i="1" s="1"/>
  <c r="M1181" i="1"/>
  <c r="M1174" i="1"/>
  <c r="M1167" i="1"/>
  <c r="M1160" i="1"/>
  <c r="M1153" i="1"/>
  <c r="M1148" i="1"/>
  <c r="M1132" i="1"/>
  <c r="M1155" i="1"/>
  <c r="K1184" i="1"/>
  <c r="N1184" i="1" s="1"/>
  <c r="K1189" i="1"/>
  <c r="N1189" i="1" s="1"/>
  <c r="K1154" i="1"/>
  <c r="N1154" i="1" s="1"/>
  <c r="K1230" i="1"/>
  <c r="N1230" i="1" s="1"/>
  <c r="K1149" i="1"/>
  <c r="N1149" i="1" s="1"/>
  <c r="K1213" i="1"/>
  <c r="N1213" i="1" s="1"/>
  <c r="K1130" i="1"/>
  <c r="N1130" i="1" s="1"/>
  <c r="K1171" i="1"/>
  <c r="N1171" i="1" s="1"/>
  <c r="K1211" i="1"/>
  <c r="N1211" i="1" s="1"/>
  <c r="K1183" i="1"/>
  <c r="N1183" i="1" s="1"/>
  <c r="K1170" i="1"/>
  <c r="N1170" i="1" s="1"/>
  <c r="K1186" i="1"/>
  <c r="N1186" i="1" s="1"/>
  <c r="K1212" i="1"/>
  <c r="N1212" i="1" s="1"/>
  <c r="K1163" i="1"/>
  <c r="N1163" i="1" s="1"/>
  <c r="K1224" i="1"/>
  <c r="N1224" i="1" s="1"/>
  <c r="K1204" i="1"/>
  <c r="N1204" i="1" s="1"/>
  <c r="K1191" i="1"/>
  <c r="N1191" i="1" s="1"/>
  <c r="K1177" i="1"/>
  <c r="N1177" i="1" s="1"/>
  <c r="K1162" i="1"/>
  <c r="N1162" i="1" s="1"/>
  <c r="K1156" i="1"/>
  <c r="N1156" i="1" s="1"/>
  <c r="K1217" i="1"/>
  <c r="N1217" i="1" s="1"/>
  <c r="K1210" i="1"/>
  <c r="N1210" i="1" s="1"/>
  <c r="K1176" i="1"/>
  <c r="N1176" i="1" s="1"/>
  <c r="K1188" i="1"/>
  <c r="N1188" i="1" s="1"/>
  <c r="K1219" i="1"/>
  <c r="N1219" i="1" s="1"/>
  <c r="K1218" i="1"/>
  <c r="N1218" i="1" s="1"/>
  <c r="K1185" i="1"/>
  <c r="N1185" i="1" s="1"/>
  <c r="K1178" i="1"/>
  <c r="N1178" i="1" s="1"/>
  <c r="K1172" i="1"/>
  <c r="N1172" i="1" s="1"/>
  <c r="K1164" i="1"/>
  <c r="N1164" i="1" s="1"/>
  <c r="M1142" i="1"/>
  <c r="M1176" i="1"/>
  <c r="K1216" i="1"/>
  <c r="N1216" i="1" s="1"/>
  <c r="K1175" i="1"/>
  <c r="N1175" i="1" s="1"/>
  <c r="K1167" i="1"/>
  <c r="N1167" i="1" s="1"/>
  <c r="M1150" i="1"/>
  <c r="M1145" i="1"/>
  <c r="M1137" i="1"/>
  <c r="K1179" i="1"/>
  <c r="N1179" i="1" s="1"/>
  <c r="M1134" i="1"/>
  <c r="K1198" i="1"/>
  <c r="N1198" i="1" s="1"/>
  <c r="K1144" i="1"/>
  <c r="N1144" i="1" s="1"/>
  <c r="K1136" i="1"/>
  <c r="N1136" i="1" s="1"/>
  <c r="K1221" i="1"/>
  <c r="N1221" i="1" s="1"/>
  <c r="K1165" i="1"/>
  <c r="N1165" i="1" s="1"/>
  <c r="K1157" i="1"/>
  <c r="N1157" i="1" s="1"/>
  <c r="K1205" i="1"/>
  <c r="N1205" i="1" s="1"/>
  <c r="K1166" i="1"/>
  <c r="N1166" i="1" s="1"/>
  <c r="K1158" i="1"/>
  <c r="N1158" i="1" s="1"/>
  <c r="K1215" i="1"/>
  <c r="N1215" i="1" s="1"/>
  <c r="K1181" i="1"/>
  <c r="N1181" i="1" s="1"/>
  <c r="K1206" i="1"/>
  <c r="N1206" i="1" s="1"/>
  <c r="K1150" i="1"/>
  <c r="N1150" i="1" s="1"/>
  <c r="K1174" i="1"/>
  <c r="N1174" i="1" s="1"/>
  <c r="K1197" i="1"/>
  <c r="N1197" i="1" s="1"/>
  <c r="K1143" i="1"/>
  <c r="N1143" i="1" s="1"/>
  <c r="K1135" i="1"/>
  <c r="N1135" i="1" s="1"/>
  <c r="K1231" i="1"/>
  <c r="N1231" i="1" s="1"/>
  <c r="K1155" i="1"/>
  <c r="N1155" i="1" s="1"/>
  <c r="K1142" i="1"/>
  <c r="N1142" i="1" s="1"/>
  <c r="K1134" i="1"/>
  <c r="N1134" i="1" s="1"/>
  <c r="K1223" i="1"/>
  <c r="N1223" i="1" s="1"/>
  <c r="K1160" i="1"/>
  <c r="N1160" i="1" s="1"/>
  <c r="K1220" i="1"/>
  <c r="N1220" i="1" s="1"/>
  <c r="K1214" i="1"/>
  <c r="N1214" i="1" s="1"/>
  <c r="K1208" i="1"/>
  <c r="N1208" i="1" s="1"/>
  <c r="K1201" i="1"/>
  <c r="N1201" i="1" s="1"/>
  <c r="K1194" i="1"/>
  <c r="N1194" i="1" s="1"/>
  <c r="K1187" i="1"/>
  <c r="N1187" i="1" s="1"/>
  <c r="K1180" i="1"/>
  <c r="N1180" i="1" s="1"/>
  <c r="K1173" i="1"/>
  <c r="N1173" i="1" s="1"/>
  <c r="K1159" i="1"/>
  <c r="N1159" i="1" s="1"/>
  <c r="K1152" i="1"/>
  <c r="N1152" i="1" s="1"/>
  <c r="K1147" i="1"/>
  <c r="N1147" i="1" s="1"/>
  <c r="K1139" i="1"/>
  <c r="N1139" i="1" s="1"/>
  <c r="K1196" i="1"/>
  <c r="N1196" i="1" s="1"/>
  <c r="K1169" i="1"/>
  <c r="N1169" i="1" s="1"/>
  <c r="K1227" i="1"/>
  <c r="N1227" i="1" s="1"/>
  <c r="M1213" i="1"/>
  <c r="M1207" i="1"/>
  <c r="M1200" i="1"/>
  <c r="M1193" i="1"/>
  <c r="M1186" i="1"/>
  <c r="M1179" i="1"/>
  <c r="M1165" i="1"/>
  <c r="M1158" i="1"/>
  <c r="M1146" i="1"/>
  <c r="M1138" i="1"/>
  <c r="M1130" i="1"/>
  <c r="M1198" i="1"/>
  <c r="M1163" i="1"/>
  <c r="M1136" i="1"/>
  <c r="M1219" i="1"/>
  <c r="M1139" i="1"/>
  <c r="M1231" i="1"/>
  <c r="M1164" i="1"/>
  <c r="M1157" i="1"/>
  <c r="M1210" i="1"/>
  <c r="M1196" i="1"/>
  <c r="M1226" i="1"/>
  <c r="M1159" i="1"/>
  <c r="M1152" i="1"/>
  <c r="M1147" i="1"/>
  <c r="M1225" i="1"/>
  <c r="M1131" i="1"/>
  <c r="M1172" i="1"/>
  <c r="M1211" i="1"/>
  <c r="M1162" i="1"/>
  <c r="M1135" i="1"/>
  <c r="M1215" i="1"/>
  <c r="M1202" i="1"/>
  <c r="M1188" i="1"/>
  <c r="M1206" i="1"/>
  <c r="M1199" i="1"/>
  <c r="M1185" i="1"/>
  <c r="M1178" i="1"/>
  <c r="M1170" i="1"/>
  <c r="M1156" i="1"/>
  <c r="M1149" i="1"/>
  <c r="M1143" i="1"/>
  <c r="M1224" i="1"/>
  <c r="M1204" i="1"/>
  <c r="M1223" i="1"/>
  <c r="M1218" i="1"/>
  <c r="M1230" i="1"/>
  <c r="M1216" i="1"/>
  <c r="M1209" i="1"/>
  <c r="M1203" i="1"/>
  <c r="M1195" i="1"/>
  <c r="M1189" i="1"/>
  <c r="M1182" i="1"/>
  <c r="M1175" i="1"/>
  <c r="M1168" i="1"/>
  <c r="M1161" i="1"/>
  <c r="M1154" i="1"/>
  <c r="M1141" i="1"/>
  <c r="M1133" i="1"/>
  <c r="M1212" i="1"/>
  <c r="M1184" i="1"/>
  <c r="M1171" i="1"/>
  <c r="M1144" i="1"/>
  <c r="M1217" i="1"/>
  <c r="M1229" i="1"/>
  <c r="M1221" i="1"/>
  <c r="M1205" i="1"/>
  <c r="M1192" i="1"/>
  <c r="M1197" i="1"/>
  <c r="M1191" i="1"/>
  <c r="M1183" i="1"/>
  <c r="M1177" i="1"/>
  <c r="M1228" i="1"/>
  <c r="M1220" i="1"/>
  <c r="M1214" i="1"/>
  <c r="M1208" i="1"/>
  <c r="M1201" i="1"/>
  <c r="M1194" i="1"/>
  <c r="M1187" i="1"/>
  <c r="M1180" i="1"/>
  <c r="M1173" i="1"/>
  <c r="M1166" i="1"/>
  <c r="M1227" i="1"/>
  <c r="F823" i="1" l="1"/>
  <c r="F827" i="1"/>
  <c r="M827" i="1" s="1"/>
  <c r="F822" i="1"/>
  <c r="F824" i="1"/>
  <c r="F826" i="1"/>
  <c r="M826" i="1" s="1"/>
  <c r="F818" i="1"/>
  <c r="F828" i="1"/>
  <c r="M828" i="1" s="1"/>
  <c r="F820" i="1"/>
  <c r="F841" i="1"/>
  <c r="M841" i="1" s="1"/>
  <c r="F844" i="1"/>
  <c r="M844" i="1" s="1"/>
  <c r="F839" i="1"/>
  <c r="M839" i="1" s="1"/>
  <c r="F836" i="1"/>
  <c r="M836" i="1" s="1"/>
  <c r="F837" i="1"/>
  <c r="M837" i="1" s="1"/>
  <c r="F842" i="1"/>
  <c r="M842" i="1" s="1"/>
  <c r="F840" i="1"/>
  <c r="M840" i="1" s="1"/>
  <c r="F843" i="1"/>
  <c r="M843" i="1" s="1"/>
  <c r="F829" i="1"/>
  <c r="M829" i="1" s="1"/>
  <c r="F833" i="1"/>
  <c r="M833" i="1" s="1"/>
  <c r="F835" i="1"/>
  <c r="M835" i="1" s="1"/>
  <c r="F845" i="1"/>
  <c r="M845" i="1" s="1"/>
  <c r="F830" i="1"/>
  <c r="M830" i="1" s="1"/>
  <c r="F834" i="1"/>
  <c r="M834" i="1" s="1"/>
  <c r="F832" i="1"/>
  <c r="M832" i="1" s="1"/>
  <c r="F831" i="1"/>
  <c r="M831" i="1" s="1"/>
  <c r="F838" i="1"/>
  <c r="M838" i="1" s="1"/>
  <c r="F855" i="1"/>
  <c r="M855" i="1" s="1"/>
  <c r="F858" i="1"/>
  <c r="M858" i="1" s="1"/>
  <c r="F859" i="1"/>
  <c r="M859" i="1" s="1"/>
  <c r="F848" i="1"/>
  <c r="M848" i="1" s="1"/>
  <c r="F850" i="1"/>
  <c r="M850" i="1" s="1"/>
  <c r="F856" i="1"/>
  <c r="M856" i="1" s="1"/>
  <c r="F852" i="1"/>
  <c r="M852" i="1" s="1"/>
  <c r="F851" i="1"/>
  <c r="M851" i="1" s="1"/>
  <c r="F853" i="1"/>
  <c r="M853" i="1" s="1"/>
  <c r="F847" i="1"/>
  <c r="M847" i="1" s="1"/>
  <c r="F846" i="1"/>
  <c r="M846" i="1" s="1"/>
  <c r="F854" i="1"/>
  <c r="M854" i="1" s="1"/>
  <c r="F849" i="1"/>
  <c r="M849" i="1" s="1"/>
  <c r="F857" i="1"/>
  <c r="M857" i="1" s="1"/>
  <c r="F862" i="1"/>
  <c r="M862" i="1" s="1"/>
  <c r="F869" i="1"/>
  <c r="M869" i="1" s="1"/>
  <c r="F860" i="1"/>
  <c r="M860" i="1" s="1"/>
  <c r="F867" i="1"/>
  <c r="M867" i="1" s="1"/>
  <c r="F868" i="1"/>
  <c r="M868" i="1" s="1"/>
  <c r="F865" i="1"/>
  <c r="M865" i="1" s="1"/>
  <c r="F863" i="1"/>
  <c r="M863" i="1" s="1"/>
  <c r="F864" i="1"/>
  <c r="M864" i="1" s="1"/>
  <c r="F866" i="1"/>
  <c r="M866" i="1" s="1"/>
  <c r="F861" i="1"/>
  <c r="M861" i="1" s="1"/>
  <c r="F880" i="1"/>
  <c r="M880" i="1" s="1"/>
  <c r="F875" i="1"/>
  <c r="M875" i="1" s="1"/>
  <c r="F874" i="1"/>
  <c r="M874" i="1" s="1"/>
  <c r="F886" i="1"/>
  <c r="M886" i="1" s="1"/>
  <c r="F884" i="1"/>
  <c r="M884" i="1" s="1"/>
  <c r="F878" i="1"/>
  <c r="M878" i="1" s="1"/>
  <c r="F881" i="1"/>
  <c r="M881" i="1" s="1"/>
  <c r="F871" i="1"/>
  <c r="M871" i="1" s="1"/>
  <c r="F870" i="1"/>
  <c r="M870" i="1" s="1"/>
  <c r="F872" i="1"/>
  <c r="M872" i="1" s="1"/>
  <c r="F879" i="1"/>
  <c r="M879" i="1" s="1"/>
  <c r="F887" i="1"/>
  <c r="M887" i="1" s="1"/>
  <c r="F873" i="1"/>
  <c r="M873" i="1" s="1"/>
  <c r="F876" i="1"/>
  <c r="M876" i="1" s="1"/>
  <c r="F882" i="1"/>
  <c r="M882" i="1" s="1"/>
  <c r="F877" i="1"/>
  <c r="M877" i="1" s="1"/>
  <c r="F883" i="1"/>
  <c r="M883" i="1" s="1"/>
  <c r="F885" i="1"/>
  <c r="M885" i="1" s="1"/>
  <c r="F900" i="1"/>
  <c r="M900" i="1" s="1"/>
  <c r="F889" i="1"/>
  <c r="M889" i="1" s="1"/>
  <c r="F902" i="1"/>
  <c r="M902" i="1" s="1"/>
  <c r="F895" i="1"/>
  <c r="M895" i="1" s="1"/>
  <c r="F890" i="1"/>
  <c r="M890" i="1" s="1"/>
  <c r="F893" i="1"/>
  <c r="M893" i="1" s="1"/>
  <c r="F901" i="1"/>
  <c r="M901" i="1" s="1"/>
  <c r="F891" i="1"/>
  <c r="M891" i="1" s="1"/>
  <c r="F899" i="1"/>
  <c r="M899" i="1" s="1"/>
  <c r="F894" i="1"/>
  <c r="M894" i="1" s="1"/>
  <c r="F897" i="1"/>
  <c r="M897" i="1" s="1"/>
  <c r="F892" i="1"/>
  <c r="M892" i="1" s="1"/>
  <c r="F896" i="1"/>
  <c r="M896" i="1" s="1"/>
  <c r="F898" i="1"/>
  <c r="M898" i="1" s="1"/>
  <c r="F888" i="1"/>
  <c r="M888" i="1" s="1"/>
  <c r="F912" i="1"/>
  <c r="M912" i="1" s="1"/>
  <c r="F903" i="1"/>
  <c r="M903" i="1" s="1"/>
  <c r="F916" i="1"/>
  <c r="M916" i="1" s="1"/>
  <c r="F910" i="1"/>
  <c r="M910" i="1" s="1"/>
  <c r="F911" i="1"/>
  <c r="M911" i="1" s="1"/>
  <c r="F908" i="1"/>
  <c r="M908" i="1" s="1"/>
  <c r="F906" i="1"/>
  <c r="M906" i="1" s="1"/>
  <c r="F915" i="1"/>
  <c r="M915" i="1" s="1"/>
  <c r="F914" i="1"/>
  <c r="M914" i="1" s="1"/>
  <c r="F907" i="1"/>
  <c r="M907" i="1" s="1"/>
  <c r="F904" i="1"/>
  <c r="M904" i="1" s="1"/>
  <c r="F905" i="1"/>
  <c r="M905" i="1" s="1"/>
  <c r="F917" i="1"/>
  <c r="M917" i="1" s="1"/>
  <c r="F909" i="1"/>
  <c r="M909" i="1" s="1"/>
  <c r="F913" i="1"/>
  <c r="M913" i="1" s="1"/>
  <c r="F929" i="1"/>
  <c r="M929" i="1" s="1"/>
  <c r="F920" i="1"/>
  <c r="M920" i="1" s="1"/>
  <c r="F941" i="1"/>
  <c r="M941" i="1" s="1"/>
  <c r="F923" i="1"/>
  <c r="M923" i="1" s="1"/>
  <c r="F936" i="1"/>
  <c r="M936" i="1" s="1"/>
  <c r="F926" i="1"/>
  <c r="M926" i="1" s="1"/>
  <c r="F939" i="1"/>
  <c r="M939" i="1" s="1"/>
  <c r="F918" i="1"/>
  <c r="M918" i="1" s="1"/>
  <c r="F927" i="1"/>
  <c r="M927" i="1" s="1"/>
  <c r="F935" i="1"/>
  <c r="M935" i="1" s="1"/>
  <c r="F932" i="1"/>
  <c r="M932" i="1" s="1"/>
  <c r="F934" i="1"/>
  <c r="M934" i="1" s="1"/>
  <c r="F940" i="1"/>
  <c r="M940" i="1" s="1"/>
  <c r="F938" i="1"/>
  <c r="M938" i="1" s="1"/>
  <c r="F922" i="1"/>
  <c r="M922" i="1" s="1"/>
  <c r="F919" i="1"/>
  <c r="M919" i="1" s="1"/>
  <c r="F937" i="1"/>
  <c r="M937" i="1" s="1"/>
  <c r="F925" i="1"/>
  <c r="M925" i="1" s="1"/>
  <c r="F924" i="1"/>
  <c r="M924" i="1" s="1"/>
  <c r="F930" i="1"/>
  <c r="M930" i="1" s="1"/>
  <c r="F942" i="1"/>
  <c r="M942" i="1" s="1"/>
  <c r="F933" i="1"/>
  <c r="M933" i="1" s="1"/>
  <c r="F931" i="1"/>
  <c r="M931" i="1" s="1"/>
  <c r="F928" i="1"/>
  <c r="M928" i="1" s="1"/>
  <c r="F921" i="1"/>
  <c r="M921" i="1" s="1"/>
  <c r="F951" i="1"/>
  <c r="M951" i="1" s="1"/>
  <c r="F949" i="1"/>
  <c r="M949" i="1" s="1"/>
  <c r="F959" i="1"/>
  <c r="M959" i="1" s="1"/>
  <c r="F945" i="1"/>
  <c r="M945" i="1" s="1"/>
  <c r="F950" i="1"/>
  <c r="M950" i="1" s="1"/>
  <c r="F954" i="1"/>
  <c r="M954" i="1" s="1"/>
  <c r="F952" i="1"/>
  <c r="M952" i="1" s="1"/>
  <c r="F946" i="1"/>
  <c r="M946" i="1" s="1"/>
  <c r="F955" i="1"/>
  <c r="M955" i="1" s="1"/>
  <c r="F943" i="1"/>
  <c r="M943" i="1" s="1"/>
  <c r="F960" i="1"/>
  <c r="M960" i="1" s="1"/>
  <c r="F958" i="1"/>
  <c r="M958" i="1" s="1"/>
  <c r="F944" i="1"/>
  <c r="M944" i="1" s="1"/>
  <c r="F962" i="1"/>
  <c r="M962" i="1" s="1"/>
  <c r="F953" i="1"/>
  <c r="M953" i="1" s="1"/>
  <c r="F956" i="1"/>
  <c r="M956" i="1" s="1"/>
  <c r="F961" i="1"/>
  <c r="M961" i="1" s="1"/>
  <c r="F948" i="1"/>
  <c r="M948" i="1" s="1"/>
  <c r="F947" i="1"/>
  <c r="M947" i="1" s="1"/>
  <c r="F957" i="1"/>
  <c r="M957" i="1" s="1"/>
  <c r="F973" i="1"/>
  <c r="M973" i="1" s="1"/>
  <c r="F963" i="1"/>
  <c r="M963" i="1" s="1"/>
  <c r="F968" i="1"/>
  <c r="M968" i="1" s="1"/>
  <c r="F967" i="1"/>
  <c r="M967" i="1" s="1"/>
  <c r="F969" i="1"/>
  <c r="M969" i="1" s="1"/>
  <c r="F966" i="1"/>
  <c r="M966" i="1" s="1"/>
  <c r="F964" i="1"/>
  <c r="M964" i="1" s="1"/>
  <c r="F965" i="1"/>
  <c r="M965" i="1" s="1"/>
  <c r="F970" i="1"/>
  <c r="M970" i="1" s="1"/>
  <c r="F972" i="1"/>
  <c r="M972" i="1" s="1"/>
  <c r="F971" i="1"/>
  <c r="M971" i="1" s="1"/>
  <c r="F988" i="1"/>
  <c r="M988" i="1" s="1"/>
  <c r="F998" i="1"/>
  <c r="M998" i="1" s="1"/>
  <c r="F989" i="1"/>
  <c r="M989" i="1" s="1"/>
  <c r="F979" i="1"/>
  <c r="M979" i="1" s="1"/>
  <c r="F986" i="1"/>
  <c r="M986" i="1" s="1"/>
  <c r="F975" i="1"/>
  <c r="M975" i="1" s="1"/>
  <c r="F982" i="1"/>
  <c r="M982" i="1" s="1"/>
  <c r="F997" i="1"/>
  <c r="M997" i="1" s="1"/>
  <c r="F974" i="1"/>
  <c r="M974" i="1" s="1"/>
  <c r="F983" i="1"/>
  <c r="M983" i="1" s="1"/>
  <c r="F991" i="1"/>
  <c r="M991" i="1" s="1"/>
  <c r="F994" i="1"/>
  <c r="M994" i="1" s="1"/>
  <c r="F992" i="1"/>
  <c r="M992" i="1" s="1"/>
  <c r="F990" i="1"/>
  <c r="M990" i="1" s="1"/>
  <c r="F987" i="1"/>
  <c r="M987" i="1" s="1"/>
  <c r="F976" i="1"/>
  <c r="M976" i="1" s="1"/>
  <c r="F1001" i="1"/>
  <c r="M1001" i="1" s="1"/>
  <c r="F985" i="1"/>
  <c r="M985" i="1" s="1"/>
  <c r="F977" i="1"/>
  <c r="M977" i="1" s="1"/>
  <c r="F1000" i="1"/>
  <c r="M1000" i="1" s="1"/>
  <c r="F980" i="1"/>
  <c r="M980" i="1" s="1"/>
  <c r="F999" i="1"/>
  <c r="M999" i="1" s="1"/>
  <c r="F981" i="1"/>
  <c r="M981" i="1" s="1"/>
  <c r="F978" i="1"/>
  <c r="M978" i="1" s="1"/>
  <c r="F995" i="1"/>
  <c r="M995" i="1" s="1"/>
  <c r="F993" i="1"/>
  <c r="M993" i="1" s="1"/>
  <c r="F984" i="1"/>
  <c r="M984" i="1" s="1"/>
  <c r="F996" i="1"/>
  <c r="M996" i="1" s="1"/>
  <c r="F1006" i="1"/>
  <c r="M1006" i="1" s="1"/>
  <c r="F1010" i="1"/>
  <c r="M1010" i="1" s="1"/>
  <c r="F1004" i="1"/>
  <c r="M1004" i="1" s="1"/>
  <c r="F1012" i="1"/>
  <c r="M1012" i="1" s="1"/>
  <c r="F1013" i="1"/>
  <c r="M1013" i="1" s="1"/>
  <c r="F1015" i="1"/>
  <c r="M1015" i="1" s="1"/>
  <c r="F1014" i="1"/>
  <c r="M1014" i="1" s="1"/>
  <c r="F1007" i="1"/>
  <c r="M1007" i="1" s="1"/>
  <c r="F1002" i="1"/>
  <c r="M1002" i="1" s="1"/>
  <c r="F1016" i="1"/>
  <c r="M1016" i="1" s="1"/>
  <c r="F1009" i="1"/>
  <c r="M1009" i="1" s="1"/>
  <c r="F1008" i="1"/>
  <c r="M1008" i="1" s="1"/>
  <c r="F1011" i="1"/>
  <c r="M1011" i="1" s="1"/>
  <c r="F1005" i="1"/>
  <c r="M1005" i="1" s="1"/>
  <c r="F1003" i="1"/>
  <c r="M1003" i="1" s="1"/>
  <c r="F1018" i="1"/>
  <c r="M1018" i="1" s="1"/>
  <c r="F1022" i="1"/>
  <c r="M1022" i="1" s="1"/>
  <c r="F1020" i="1"/>
  <c r="M1020" i="1" s="1"/>
  <c r="F1024" i="1"/>
  <c r="M1024" i="1" s="1"/>
  <c r="F1021" i="1"/>
  <c r="M1021" i="1" s="1"/>
  <c r="F1019" i="1"/>
  <c r="M1019" i="1" s="1"/>
  <c r="F1017" i="1"/>
  <c r="M1017" i="1" s="1"/>
  <c r="F1023" i="1"/>
  <c r="M1023" i="1" s="1"/>
  <c r="F1037" i="1"/>
  <c r="M1037" i="1" s="1"/>
  <c r="F1044" i="1"/>
  <c r="M1044" i="1" s="1"/>
  <c r="F1040" i="1"/>
  <c r="M1040" i="1" s="1"/>
  <c r="F1025" i="1"/>
  <c r="M1025" i="1" s="1"/>
  <c r="F1036" i="1"/>
  <c r="M1036" i="1" s="1"/>
  <c r="F1043" i="1"/>
  <c r="M1043" i="1" s="1"/>
  <c r="F1035" i="1"/>
  <c r="M1035" i="1" s="1"/>
  <c r="F1034" i="1"/>
  <c r="M1034" i="1" s="1"/>
  <c r="F1030" i="1"/>
  <c r="M1030" i="1" s="1"/>
  <c r="F1039" i="1"/>
  <c r="M1039" i="1" s="1"/>
  <c r="F1042" i="1"/>
  <c r="M1042" i="1" s="1"/>
  <c r="F1041" i="1"/>
  <c r="M1041" i="1" s="1"/>
  <c r="F1033" i="1"/>
  <c r="M1033" i="1" s="1"/>
  <c r="F1038" i="1"/>
  <c r="M1038" i="1" s="1"/>
  <c r="F1032" i="1"/>
  <c r="M1032" i="1" s="1"/>
  <c r="F1026" i="1"/>
  <c r="M1026" i="1" s="1"/>
  <c r="F1028" i="1"/>
  <c r="M1028" i="1" s="1"/>
  <c r="F1027" i="1"/>
  <c r="M1027" i="1" s="1"/>
  <c r="F1029" i="1"/>
  <c r="M1029" i="1" s="1"/>
  <c r="F1031" i="1"/>
  <c r="M1031" i="1" s="1"/>
  <c r="F1066" i="1"/>
  <c r="M1066" i="1" s="1"/>
  <c r="F1059" i="1"/>
  <c r="M1059" i="1" s="1"/>
  <c r="F1058" i="1"/>
  <c r="M1058" i="1" s="1"/>
  <c r="F1060" i="1"/>
  <c r="M1060" i="1" s="1"/>
  <c r="F1054" i="1"/>
  <c r="M1054" i="1" s="1"/>
  <c r="F1053" i="1"/>
  <c r="M1053" i="1" s="1"/>
  <c r="F1062" i="1"/>
  <c r="M1062" i="1" s="1"/>
  <c r="F1048" i="1"/>
  <c r="M1048" i="1" s="1"/>
  <c r="F1065" i="1"/>
  <c r="M1065" i="1" s="1"/>
  <c r="F1045" i="1"/>
  <c r="M1045" i="1" s="1"/>
  <c r="F1046" i="1"/>
  <c r="M1046" i="1" s="1"/>
  <c r="F1056" i="1"/>
  <c r="M1056" i="1" s="1"/>
  <c r="F1050" i="1"/>
  <c r="M1050" i="1" s="1"/>
  <c r="F1064" i="1"/>
  <c r="M1064" i="1" s="1"/>
  <c r="F1049" i="1"/>
  <c r="M1049" i="1" s="1"/>
  <c r="F1055" i="1"/>
  <c r="M1055" i="1" s="1"/>
  <c r="F1061" i="1"/>
  <c r="M1061" i="1" s="1"/>
  <c r="F1052" i="1"/>
  <c r="M1052" i="1" s="1"/>
  <c r="F1057" i="1"/>
  <c r="M1057" i="1" s="1"/>
  <c r="F1051" i="1"/>
  <c r="M1051" i="1" s="1"/>
  <c r="F1063" i="1"/>
  <c r="M1063" i="1" s="1"/>
  <c r="F1047" i="1"/>
  <c r="M1047" i="1" s="1"/>
  <c r="F1071" i="1"/>
  <c r="M1071" i="1" s="1"/>
  <c r="F1073" i="1"/>
  <c r="M1073" i="1" s="1"/>
  <c r="F1068" i="1"/>
  <c r="M1068" i="1" s="1"/>
  <c r="F1070" i="1"/>
  <c r="M1070" i="1" s="1"/>
  <c r="F1067" i="1"/>
  <c r="M1067" i="1" s="1"/>
  <c r="F1077" i="1"/>
  <c r="M1077" i="1" s="1"/>
  <c r="F1072" i="1"/>
  <c r="M1072" i="1" s="1"/>
  <c r="F1074" i="1"/>
  <c r="M1074" i="1" s="1"/>
  <c r="F1069" i="1"/>
  <c r="M1069" i="1" s="1"/>
  <c r="F1076" i="1"/>
  <c r="M1076" i="1" s="1"/>
  <c r="F1075" i="1"/>
  <c r="M1075" i="1" s="1"/>
  <c r="F1090" i="1"/>
  <c r="M1090" i="1" s="1"/>
  <c r="F1098" i="1"/>
  <c r="M1098" i="1" s="1"/>
  <c r="F1081" i="1"/>
  <c r="M1081" i="1" s="1"/>
  <c r="F1085" i="1"/>
  <c r="M1085" i="1" s="1"/>
  <c r="F1084" i="1"/>
  <c r="M1084" i="1" s="1"/>
  <c r="F1088" i="1"/>
  <c r="M1088" i="1" s="1"/>
  <c r="F1094" i="1"/>
  <c r="M1094" i="1" s="1"/>
  <c r="F1103" i="1"/>
  <c r="M1103" i="1" s="1"/>
  <c r="F1082" i="1"/>
  <c r="M1082" i="1" s="1"/>
  <c r="F1079" i="1"/>
  <c r="M1079" i="1" s="1"/>
  <c r="F1078" i="1"/>
  <c r="M1078" i="1" s="1"/>
  <c r="F1102" i="1"/>
  <c r="M1102" i="1" s="1"/>
  <c r="F1095" i="1"/>
  <c r="M1095" i="1" s="1"/>
  <c r="F1099" i="1"/>
  <c r="M1099" i="1" s="1"/>
  <c r="F1105" i="1"/>
  <c r="M1105" i="1" s="1"/>
  <c r="F1104" i="1"/>
  <c r="M1104" i="1" s="1"/>
  <c r="F1091" i="1"/>
  <c r="M1091" i="1" s="1"/>
  <c r="F1093" i="1"/>
  <c r="M1093" i="1" s="1"/>
  <c r="F1086" i="1"/>
  <c r="M1086" i="1" s="1"/>
  <c r="F1080" i="1"/>
  <c r="M1080" i="1" s="1"/>
  <c r="F1089" i="1"/>
  <c r="M1089" i="1" s="1"/>
  <c r="F1097" i="1"/>
  <c r="M1097" i="1" s="1"/>
  <c r="F1083" i="1"/>
  <c r="M1083" i="1" s="1"/>
  <c r="F1087" i="1"/>
  <c r="M1087" i="1" s="1"/>
  <c r="F1092" i="1"/>
  <c r="M1092" i="1" s="1"/>
  <c r="F1096" i="1"/>
  <c r="M1096" i="1" s="1"/>
  <c r="F1101" i="1"/>
  <c r="M1101" i="1" s="1"/>
  <c r="F1100" i="1"/>
  <c r="M1100" i="1" s="1"/>
  <c r="F1108" i="1"/>
  <c r="M1108" i="1" s="1"/>
  <c r="F1111" i="1"/>
  <c r="M1111" i="1" s="1"/>
  <c r="F1109" i="1"/>
  <c r="M1109" i="1" s="1"/>
  <c r="F1107" i="1"/>
  <c r="M1107" i="1" s="1"/>
  <c r="F1106" i="1"/>
  <c r="M1106" i="1" s="1"/>
  <c r="F1110" i="1"/>
  <c r="M1110" i="1" s="1"/>
  <c r="F1117" i="1"/>
  <c r="M1117" i="1" s="1"/>
  <c r="F1123" i="1"/>
  <c r="M1123" i="1" s="1"/>
  <c r="F1113" i="1"/>
  <c r="M1113" i="1" s="1"/>
  <c r="F1115" i="1"/>
  <c r="M1115" i="1" s="1"/>
  <c r="F1118" i="1"/>
  <c r="M1118" i="1" s="1"/>
  <c r="F1112" i="1"/>
  <c r="M1112" i="1" s="1"/>
  <c r="F1121" i="1"/>
  <c r="M1121" i="1" s="1"/>
  <c r="F1120" i="1"/>
  <c r="M1120" i="1" s="1"/>
  <c r="F1114" i="1"/>
  <c r="M1114" i="1" s="1"/>
  <c r="F1119" i="1"/>
  <c r="M1119" i="1" s="1"/>
  <c r="F1122" i="1"/>
  <c r="M1122" i="1" s="1"/>
  <c r="F1116" i="1"/>
  <c r="M1116" i="1" s="1"/>
  <c r="F1124" i="1"/>
  <c r="M1124" i="1" s="1"/>
  <c r="F1125" i="1"/>
  <c r="M1125" i="1" s="1"/>
  <c r="F1126" i="1"/>
  <c r="M1126" i="1" s="1"/>
  <c r="K823" i="1"/>
  <c r="N823" i="1" s="1"/>
  <c r="K827" i="1"/>
  <c r="N827" i="1" s="1"/>
  <c r="K822" i="1"/>
  <c r="N822" i="1" s="1"/>
  <c r="K824" i="1"/>
  <c r="N824" i="1" s="1"/>
  <c r="K826" i="1"/>
  <c r="N826" i="1" s="1"/>
  <c r="K818" i="1"/>
  <c r="N818" i="1" s="1"/>
  <c r="K828" i="1"/>
  <c r="N828" i="1" s="1"/>
  <c r="K820" i="1"/>
  <c r="N820" i="1" s="1"/>
  <c r="K841" i="1"/>
  <c r="N841" i="1" s="1"/>
  <c r="K844" i="1"/>
  <c r="N844" i="1" s="1"/>
  <c r="K839" i="1"/>
  <c r="N839" i="1" s="1"/>
  <c r="K836" i="1"/>
  <c r="N836" i="1" s="1"/>
  <c r="K837" i="1"/>
  <c r="N837" i="1" s="1"/>
  <c r="K842" i="1"/>
  <c r="N842" i="1" s="1"/>
  <c r="K840" i="1"/>
  <c r="N840" i="1" s="1"/>
  <c r="K843" i="1"/>
  <c r="N843" i="1" s="1"/>
  <c r="K829" i="1"/>
  <c r="N829" i="1" s="1"/>
  <c r="K833" i="1"/>
  <c r="N833" i="1" s="1"/>
  <c r="K835" i="1"/>
  <c r="N835" i="1" s="1"/>
  <c r="K845" i="1"/>
  <c r="N845" i="1" s="1"/>
  <c r="K830" i="1"/>
  <c r="N830" i="1" s="1"/>
  <c r="K834" i="1"/>
  <c r="N834" i="1" s="1"/>
  <c r="K832" i="1"/>
  <c r="N832" i="1" s="1"/>
  <c r="K831" i="1"/>
  <c r="N831" i="1" s="1"/>
  <c r="K838" i="1"/>
  <c r="N838" i="1" s="1"/>
  <c r="K855" i="1"/>
  <c r="N855" i="1" s="1"/>
  <c r="K858" i="1"/>
  <c r="N858" i="1" s="1"/>
  <c r="K859" i="1"/>
  <c r="N859" i="1" s="1"/>
  <c r="K848" i="1"/>
  <c r="N848" i="1" s="1"/>
  <c r="K850" i="1"/>
  <c r="N850" i="1" s="1"/>
  <c r="K856" i="1"/>
  <c r="N856" i="1" s="1"/>
  <c r="K852" i="1"/>
  <c r="N852" i="1" s="1"/>
  <c r="K851" i="1"/>
  <c r="N851" i="1" s="1"/>
  <c r="K853" i="1"/>
  <c r="N853" i="1" s="1"/>
  <c r="K847" i="1"/>
  <c r="N847" i="1" s="1"/>
  <c r="K846" i="1"/>
  <c r="N846" i="1" s="1"/>
  <c r="K854" i="1"/>
  <c r="N854" i="1" s="1"/>
  <c r="K849" i="1"/>
  <c r="N849" i="1" s="1"/>
  <c r="K857" i="1"/>
  <c r="N857" i="1" s="1"/>
  <c r="K862" i="1"/>
  <c r="N862" i="1" s="1"/>
  <c r="K869" i="1"/>
  <c r="N869" i="1" s="1"/>
  <c r="K860" i="1"/>
  <c r="N860" i="1" s="1"/>
  <c r="K867" i="1"/>
  <c r="N867" i="1" s="1"/>
  <c r="K868" i="1"/>
  <c r="N868" i="1" s="1"/>
  <c r="K865" i="1"/>
  <c r="N865" i="1" s="1"/>
  <c r="K863" i="1"/>
  <c r="N863" i="1" s="1"/>
  <c r="K864" i="1"/>
  <c r="N864" i="1" s="1"/>
  <c r="K866" i="1"/>
  <c r="N866" i="1" s="1"/>
  <c r="K861" i="1"/>
  <c r="N861" i="1" s="1"/>
  <c r="K880" i="1"/>
  <c r="N880" i="1" s="1"/>
  <c r="K875" i="1"/>
  <c r="N875" i="1" s="1"/>
  <c r="K874" i="1"/>
  <c r="N874" i="1" s="1"/>
  <c r="K886" i="1"/>
  <c r="N886" i="1" s="1"/>
  <c r="K884" i="1"/>
  <c r="N884" i="1" s="1"/>
  <c r="K878" i="1"/>
  <c r="N878" i="1" s="1"/>
  <c r="K881" i="1"/>
  <c r="N881" i="1" s="1"/>
  <c r="K871" i="1"/>
  <c r="N871" i="1" s="1"/>
  <c r="K870" i="1"/>
  <c r="N870" i="1" s="1"/>
  <c r="K872" i="1"/>
  <c r="N872" i="1" s="1"/>
  <c r="K879" i="1"/>
  <c r="N879" i="1" s="1"/>
  <c r="K887" i="1"/>
  <c r="N887" i="1" s="1"/>
  <c r="K873" i="1"/>
  <c r="N873" i="1" s="1"/>
  <c r="K876" i="1"/>
  <c r="N876" i="1" s="1"/>
  <c r="K882" i="1"/>
  <c r="N882" i="1" s="1"/>
  <c r="K877" i="1"/>
  <c r="N877" i="1" s="1"/>
  <c r="K883" i="1"/>
  <c r="N883" i="1" s="1"/>
  <c r="K885" i="1"/>
  <c r="N885" i="1" s="1"/>
  <c r="K900" i="1"/>
  <c r="N900" i="1" s="1"/>
  <c r="K889" i="1"/>
  <c r="N889" i="1" s="1"/>
  <c r="K902" i="1"/>
  <c r="N902" i="1" s="1"/>
  <c r="K895" i="1"/>
  <c r="N895" i="1" s="1"/>
  <c r="K890" i="1"/>
  <c r="N890" i="1" s="1"/>
  <c r="K893" i="1"/>
  <c r="N893" i="1" s="1"/>
  <c r="K901" i="1"/>
  <c r="N901" i="1" s="1"/>
  <c r="K891" i="1"/>
  <c r="N891" i="1" s="1"/>
  <c r="K899" i="1"/>
  <c r="N899" i="1" s="1"/>
  <c r="K894" i="1"/>
  <c r="N894" i="1" s="1"/>
  <c r="K897" i="1"/>
  <c r="N897" i="1" s="1"/>
  <c r="K892" i="1"/>
  <c r="N892" i="1" s="1"/>
  <c r="K896" i="1"/>
  <c r="N896" i="1" s="1"/>
  <c r="K898" i="1"/>
  <c r="N898" i="1" s="1"/>
  <c r="K888" i="1"/>
  <c r="N888" i="1" s="1"/>
  <c r="K912" i="1"/>
  <c r="N912" i="1" s="1"/>
  <c r="K903" i="1"/>
  <c r="N903" i="1" s="1"/>
  <c r="K916" i="1"/>
  <c r="N916" i="1" s="1"/>
  <c r="K910" i="1"/>
  <c r="N910" i="1" s="1"/>
  <c r="K911" i="1"/>
  <c r="N911" i="1" s="1"/>
  <c r="K908" i="1"/>
  <c r="N908" i="1" s="1"/>
  <c r="K906" i="1"/>
  <c r="N906" i="1" s="1"/>
  <c r="K915" i="1"/>
  <c r="N915" i="1" s="1"/>
  <c r="K914" i="1"/>
  <c r="N914" i="1" s="1"/>
  <c r="K907" i="1"/>
  <c r="N907" i="1" s="1"/>
  <c r="K904" i="1"/>
  <c r="N904" i="1" s="1"/>
  <c r="K905" i="1"/>
  <c r="N905" i="1" s="1"/>
  <c r="K917" i="1"/>
  <c r="N917" i="1" s="1"/>
  <c r="K909" i="1"/>
  <c r="N909" i="1" s="1"/>
  <c r="K913" i="1"/>
  <c r="N913" i="1" s="1"/>
  <c r="K929" i="1"/>
  <c r="N929" i="1" s="1"/>
  <c r="K920" i="1"/>
  <c r="N920" i="1" s="1"/>
  <c r="K941" i="1"/>
  <c r="N941" i="1" s="1"/>
  <c r="K923" i="1"/>
  <c r="N923" i="1" s="1"/>
  <c r="K936" i="1"/>
  <c r="N936" i="1" s="1"/>
  <c r="K926" i="1"/>
  <c r="N926" i="1" s="1"/>
  <c r="K939" i="1"/>
  <c r="N939" i="1" s="1"/>
  <c r="K918" i="1"/>
  <c r="N918" i="1" s="1"/>
  <c r="K927" i="1"/>
  <c r="N927" i="1" s="1"/>
  <c r="K935" i="1"/>
  <c r="N935" i="1" s="1"/>
  <c r="K932" i="1"/>
  <c r="N932" i="1" s="1"/>
  <c r="K934" i="1"/>
  <c r="N934" i="1" s="1"/>
  <c r="K940" i="1"/>
  <c r="N940" i="1" s="1"/>
  <c r="K938" i="1"/>
  <c r="N938" i="1" s="1"/>
  <c r="K922" i="1"/>
  <c r="N922" i="1" s="1"/>
  <c r="K919" i="1"/>
  <c r="N919" i="1" s="1"/>
  <c r="K937" i="1"/>
  <c r="N937" i="1" s="1"/>
  <c r="K925" i="1"/>
  <c r="N925" i="1" s="1"/>
  <c r="K924" i="1"/>
  <c r="N924" i="1" s="1"/>
  <c r="K930" i="1"/>
  <c r="N930" i="1" s="1"/>
  <c r="K942" i="1"/>
  <c r="N942" i="1" s="1"/>
  <c r="K933" i="1"/>
  <c r="N933" i="1" s="1"/>
  <c r="K931" i="1"/>
  <c r="N931" i="1" s="1"/>
  <c r="K928" i="1"/>
  <c r="N928" i="1" s="1"/>
  <c r="K921" i="1"/>
  <c r="N921" i="1" s="1"/>
  <c r="K951" i="1"/>
  <c r="N951" i="1" s="1"/>
  <c r="K949" i="1"/>
  <c r="N949" i="1" s="1"/>
  <c r="K959" i="1"/>
  <c r="N959" i="1" s="1"/>
  <c r="K945" i="1"/>
  <c r="N945" i="1" s="1"/>
  <c r="K950" i="1"/>
  <c r="N950" i="1" s="1"/>
  <c r="K954" i="1"/>
  <c r="N954" i="1" s="1"/>
  <c r="K952" i="1"/>
  <c r="N952" i="1" s="1"/>
  <c r="K946" i="1"/>
  <c r="N946" i="1" s="1"/>
  <c r="K955" i="1"/>
  <c r="N955" i="1" s="1"/>
  <c r="K943" i="1"/>
  <c r="N943" i="1" s="1"/>
  <c r="K960" i="1"/>
  <c r="N960" i="1" s="1"/>
  <c r="K958" i="1"/>
  <c r="N958" i="1" s="1"/>
  <c r="K944" i="1"/>
  <c r="N944" i="1" s="1"/>
  <c r="K953" i="1"/>
  <c r="N953" i="1" s="1"/>
  <c r="K956" i="1"/>
  <c r="N956" i="1" s="1"/>
  <c r="K961" i="1"/>
  <c r="N961" i="1" s="1"/>
  <c r="K948" i="1"/>
  <c r="N948" i="1" s="1"/>
  <c r="K947" i="1"/>
  <c r="N947" i="1" s="1"/>
  <c r="K957" i="1"/>
  <c r="N957" i="1" s="1"/>
  <c r="K973" i="1"/>
  <c r="N973" i="1" s="1"/>
  <c r="K963" i="1"/>
  <c r="N963" i="1" s="1"/>
  <c r="K968" i="1"/>
  <c r="N968" i="1" s="1"/>
  <c r="K967" i="1"/>
  <c r="N967" i="1" s="1"/>
  <c r="K969" i="1"/>
  <c r="N969" i="1" s="1"/>
  <c r="K966" i="1"/>
  <c r="N966" i="1" s="1"/>
  <c r="K964" i="1"/>
  <c r="N964" i="1" s="1"/>
  <c r="K965" i="1"/>
  <c r="N965" i="1" s="1"/>
  <c r="K970" i="1"/>
  <c r="N970" i="1" s="1"/>
  <c r="K972" i="1"/>
  <c r="N972" i="1" s="1"/>
  <c r="K971" i="1"/>
  <c r="N971" i="1" s="1"/>
  <c r="K988" i="1"/>
  <c r="N988" i="1" s="1"/>
  <c r="K998" i="1"/>
  <c r="N998" i="1" s="1"/>
  <c r="K989" i="1"/>
  <c r="N989" i="1" s="1"/>
  <c r="K979" i="1"/>
  <c r="N979" i="1" s="1"/>
  <c r="K986" i="1"/>
  <c r="N986" i="1" s="1"/>
  <c r="K975" i="1"/>
  <c r="N975" i="1" s="1"/>
  <c r="K982" i="1"/>
  <c r="N982" i="1" s="1"/>
  <c r="K997" i="1"/>
  <c r="N997" i="1" s="1"/>
  <c r="K974" i="1"/>
  <c r="N974" i="1" s="1"/>
  <c r="K983" i="1"/>
  <c r="N983" i="1" s="1"/>
  <c r="K991" i="1"/>
  <c r="N991" i="1" s="1"/>
  <c r="K994" i="1"/>
  <c r="N994" i="1" s="1"/>
  <c r="K992" i="1"/>
  <c r="N992" i="1" s="1"/>
  <c r="K990" i="1"/>
  <c r="N990" i="1" s="1"/>
  <c r="K987" i="1"/>
  <c r="N987" i="1" s="1"/>
  <c r="K976" i="1"/>
  <c r="N976" i="1" s="1"/>
  <c r="K1001" i="1"/>
  <c r="N1001" i="1" s="1"/>
  <c r="K985" i="1"/>
  <c r="N985" i="1" s="1"/>
  <c r="K977" i="1"/>
  <c r="N977" i="1" s="1"/>
  <c r="K1000" i="1"/>
  <c r="N1000" i="1" s="1"/>
  <c r="K980" i="1"/>
  <c r="N980" i="1" s="1"/>
  <c r="K999" i="1"/>
  <c r="N999" i="1" s="1"/>
  <c r="K981" i="1"/>
  <c r="N981" i="1" s="1"/>
  <c r="K978" i="1"/>
  <c r="N978" i="1" s="1"/>
  <c r="K995" i="1"/>
  <c r="N995" i="1" s="1"/>
  <c r="K993" i="1"/>
  <c r="N993" i="1" s="1"/>
  <c r="K984" i="1"/>
  <c r="N984" i="1" s="1"/>
  <c r="K996" i="1"/>
  <c r="N996" i="1" s="1"/>
  <c r="K1006" i="1"/>
  <c r="N1006" i="1" s="1"/>
  <c r="K1010" i="1"/>
  <c r="N1010" i="1" s="1"/>
  <c r="K1004" i="1"/>
  <c r="N1004" i="1" s="1"/>
  <c r="K1012" i="1"/>
  <c r="N1012" i="1" s="1"/>
  <c r="K1013" i="1"/>
  <c r="N1013" i="1" s="1"/>
  <c r="K1015" i="1"/>
  <c r="N1015" i="1" s="1"/>
  <c r="K1014" i="1"/>
  <c r="N1014" i="1" s="1"/>
  <c r="K1007" i="1"/>
  <c r="N1007" i="1" s="1"/>
  <c r="K1002" i="1"/>
  <c r="N1002" i="1" s="1"/>
  <c r="K1016" i="1"/>
  <c r="N1016" i="1" s="1"/>
  <c r="K1009" i="1"/>
  <c r="N1009" i="1" s="1"/>
  <c r="K1008" i="1"/>
  <c r="N1008" i="1" s="1"/>
  <c r="K1011" i="1"/>
  <c r="N1011" i="1" s="1"/>
  <c r="K1005" i="1"/>
  <c r="N1005" i="1" s="1"/>
  <c r="K1003" i="1"/>
  <c r="N1003" i="1" s="1"/>
  <c r="K1018" i="1"/>
  <c r="N1018" i="1" s="1"/>
  <c r="K1022" i="1"/>
  <c r="N1022" i="1" s="1"/>
  <c r="K1020" i="1"/>
  <c r="N1020" i="1" s="1"/>
  <c r="K1024" i="1"/>
  <c r="N1024" i="1" s="1"/>
  <c r="K1021" i="1"/>
  <c r="N1021" i="1" s="1"/>
  <c r="K1019" i="1"/>
  <c r="N1019" i="1" s="1"/>
  <c r="K1017" i="1"/>
  <c r="N1017" i="1" s="1"/>
  <c r="K1023" i="1"/>
  <c r="N1023" i="1" s="1"/>
  <c r="K1037" i="1"/>
  <c r="N1037" i="1" s="1"/>
  <c r="K1044" i="1"/>
  <c r="N1044" i="1" s="1"/>
  <c r="K1040" i="1"/>
  <c r="N1040" i="1" s="1"/>
  <c r="K1025" i="1"/>
  <c r="N1025" i="1" s="1"/>
  <c r="K1036" i="1"/>
  <c r="N1036" i="1" s="1"/>
  <c r="K1043" i="1"/>
  <c r="N1043" i="1" s="1"/>
  <c r="K1035" i="1"/>
  <c r="N1035" i="1" s="1"/>
  <c r="K1034" i="1"/>
  <c r="N1034" i="1" s="1"/>
  <c r="K1030" i="1"/>
  <c r="N1030" i="1" s="1"/>
  <c r="K1039" i="1"/>
  <c r="N1039" i="1" s="1"/>
  <c r="K1042" i="1"/>
  <c r="N1042" i="1" s="1"/>
  <c r="K1041" i="1"/>
  <c r="N1041" i="1" s="1"/>
  <c r="K1033" i="1"/>
  <c r="N1033" i="1" s="1"/>
  <c r="K1038" i="1"/>
  <c r="N1038" i="1" s="1"/>
  <c r="K1032" i="1"/>
  <c r="N1032" i="1" s="1"/>
  <c r="K1026" i="1"/>
  <c r="N1026" i="1" s="1"/>
  <c r="K1028" i="1"/>
  <c r="N1028" i="1" s="1"/>
  <c r="K1027" i="1"/>
  <c r="N1027" i="1" s="1"/>
  <c r="K1029" i="1"/>
  <c r="N1029" i="1" s="1"/>
  <c r="K1031" i="1"/>
  <c r="N1031" i="1" s="1"/>
  <c r="K1066" i="1"/>
  <c r="N1066" i="1" s="1"/>
  <c r="K1059" i="1"/>
  <c r="N1059" i="1" s="1"/>
  <c r="K1058" i="1"/>
  <c r="N1058" i="1" s="1"/>
  <c r="K1060" i="1"/>
  <c r="N1060" i="1" s="1"/>
  <c r="K1054" i="1"/>
  <c r="N1054" i="1" s="1"/>
  <c r="K1053" i="1"/>
  <c r="N1053" i="1" s="1"/>
  <c r="K1062" i="1"/>
  <c r="N1062" i="1" s="1"/>
  <c r="K1048" i="1"/>
  <c r="N1048" i="1" s="1"/>
  <c r="K1065" i="1"/>
  <c r="N1065" i="1" s="1"/>
  <c r="K1045" i="1"/>
  <c r="N1045" i="1" s="1"/>
  <c r="K1046" i="1"/>
  <c r="N1046" i="1" s="1"/>
  <c r="K1056" i="1"/>
  <c r="N1056" i="1" s="1"/>
  <c r="K1050" i="1"/>
  <c r="N1050" i="1" s="1"/>
  <c r="K1064" i="1"/>
  <c r="N1064" i="1" s="1"/>
  <c r="K1049" i="1"/>
  <c r="N1049" i="1" s="1"/>
  <c r="K1055" i="1"/>
  <c r="N1055" i="1" s="1"/>
  <c r="K1061" i="1"/>
  <c r="N1061" i="1" s="1"/>
  <c r="K1052" i="1"/>
  <c r="N1052" i="1" s="1"/>
  <c r="K1057" i="1"/>
  <c r="N1057" i="1" s="1"/>
  <c r="K1051" i="1"/>
  <c r="N1051" i="1" s="1"/>
  <c r="K1063" i="1"/>
  <c r="N1063" i="1" s="1"/>
  <c r="K1047" i="1"/>
  <c r="N1047" i="1" s="1"/>
  <c r="K1071" i="1"/>
  <c r="N1071" i="1" s="1"/>
  <c r="K1073" i="1"/>
  <c r="N1073" i="1" s="1"/>
  <c r="K1068" i="1"/>
  <c r="N1068" i="1" s="1"/>
  <c r="K1070" i="1"/>
  <c r="N1070" i="1" s="1"/>
  <c r="K1067" i="1"/>
  <c r="N1067" i="1" s="1"/>
  <c r="K1077" i="1"/>
  <c r="N1077" i="1" s="1"/>
  <c r="K1072" i="1"/>
  <c r="N1072" i="1" s="1"/>
  <c r="K1074" i="1"/>
  <c r="N1074" i="1" s="1"/>
  <c r="K1069" i="1"/>
  <c r="N1069" i="1" s="1"/>
  <c r="K1076" i="1"/>
  <c r="N1076" i="1" s="1"/>
  <c r="K1075" i="1"/>
  <c r="N1075" i="1" s="1"/>
  <c r="K1090" i="1"/>
  <c r="N1090" i="1" s="1"/>
  <c r="K1098" i="1"/>
  <c r="N1098" i="1" s="1"/>
  <c r="K1081" i="1"/>
  <c r="N1081" i="1" s="1"/>
  <c r="K1085" i="1"/>
  <c r="N1085" i="1" s="1"/>
  <c r="K1084" i="1"/>
  <c r="N1084" i="1" s="1"/>
  <c r="K1088" i="1"/>
  <c r="N1088" i="1" s="1"/>
  <c r="K1094" i="1"/>
  <c r="N1094" i="1" s="1"/>
  <c r="K1103" i="1"/>
  <c r="N1103" i="1" s="1"/>
  <c r="K1082" i="1"/>
  <c r="N1082" i="1" s="1"/>
  <c r="K1079" i="1"/>
  <c r="N1079" i="1" s="1"/>
  <c r="K1078" i="1"/>
  <c r="N1078" i="1" s="1"/>
  <c r="K1102" i="1"/>
  <c r="N1102" i="1" s="1"/>
  <c r="K1095" i="1"/>
  <c r="N1095" i="1" s="1"/>
  <c r="K1099" i="1"/>
  <c r="N1099" i="1" s="1"/>
  <c r="K1105" i="1"/>
  <c r="N1105" i="1" s="1"/>
  <c r="K1104" i="1"/>
  <c r="N1104" i="1" s="1"/>
  <c r="K1091" i="1"/>
  <c r="N1091" i="1" s="1"/>
  <c r="K1093" i="1"/>
  <c r="N1093" i="1" s="1"/>
  <c r="K1086" i="1"/>
  <c r="N1086" i="1" s="1"/>
  <c r="K1080" i="1"/>
  <c r="N1080" i="1" s="1"/>
  <c r="K1089" i="1"/>
  <c r="N1089" i="1" s="1"/>
  <c r="K1097" i="1"/>
  <c r="N1097" i="1" s="1"/>
  <c r="K1083" i="1"/>
  <c r="N1083" i="1" s="1"/>
  <c r="K1087" i="1"/>
  <c r="N1087" i="1" s="1"/>
  <c r="K1092" i="1"/>
  <c r="N1092" i="1" s="1"/>
  <c r="K1096" i="1"/>
  <c r="N1096" i="1" s="1"/>
  <c r="K1101" i="1"/>
  <c r="N1101" i="1" s="1"/>
  <c r="K1100" i="1"/>
  <c r="N1100" i="1" s="1"/>
  <c r="K1108" i="1"/>
  <c r="N1108" i="1" s="1"/>
  <c r="K1111" i="1"/>
  <c r="N1111" i="1" s="1"/>
  <c r="K1109" i="1"/>
  <c r="N1109" i="1" s="1"/>
  <c r="K1107" i="1"/>
  <c r="N1107" i="1" s="1"/>
  <c r="K1106" i="1"/>
  <c r="N1106" i="1" s="1"/>
  <c r="K1110" i="1"/>
  <c r="N1110" i="1" s="1"/>
  <c r="K1117" i="1"/>
  <c r="N1117" i="1" s="1"/>
  <c r="K1123" i="1"/>
  <c r="N1123" i="1" s="1"/>
  <c r="K1113" i="1"/>
  <c r="N1113" i="1" s="1"/>
  <c r="K1115" i="1"/>
  <c r="N1115" i="1" s="1"/>
  <c r="K1118" i="1"/>
  <c r="N1118" i="1" s="1"/>
  <c r="K1112" i="1"/>
  <c r="N1112" i="1" s="1"/>
  <c r="K1121" i="1"/>
  <c r="N1121" i="1" s="1"/>
  <c r="K1120" i="1"/>
  <c r="N1120" i="1" s="1"/>
  <c r="K1114" i="1"/>
  <c r="N1114" i="1" s="1"/>
  <c r="K1119" i="1"/>
  <c r="N1119" i="1" s="1"/>
  <c r="K1122" i="1"/>
  <c r="N1122" i="1" s="1"/>
  <c r="K1116" i="1"/>
  <c r="N1116" i="1" s="1"/>
  <c r="K1124" i="1"/>
  <c r="N1124" i="1" s="1"/>
  <c r="K1125" i="1"/>
  <c r="N1125" i="1" s="1"/>
  <c r="K1126" i="1"/>
  <c r="N1126" i="1" s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2" i="3"/>
  <c r="I3" i="3" l="1"/>
  <c r="I4" i="3"/>
  <c r="I5" i="3"/>
  <c r="I6" i="3"/>
  <c r="I7" i="3"/>
  <c r="I8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3" i="3"/>
  <c r="I64" i="3"/>
  <c r="I65" i="3"/>
  <c r="I66" i="3"/>
  <c r="I67" i="3"/>
  <c r="I68" i="3"/>
  <c r="I70" i="3"/>
  <c r="I71" i="3"/>
  <c r="I72" i="3"/>
  <c r="I73" i="3"/>
  <c r="I74" i="3"/>
  <c r="I75" i="3"/>
  <c r="I76" i="3"/>
  <c r="I77" i="3"/>
  <c r="I78" i="3"/>
  <c r="I79" i="3"/>
  <c r="I80" i="3"/>
  <c r="I81" i="3"/>
  <c r="I83" i="3"/>
  <c r="I85" i="3"/>
  <c r="I86" i="3"/>
  <c r="I87" i="3"/>
  <c r="I88" i="3"/>
  <c r="I89" i="3"/>
  <c r="I90" i="3"/>
  <c r="I91" i="3"/>
  <c r="I93" i="3"/>
  <c r="I94" i="3"/>
  <c r="I95" i="3"/>
  <c r="I96" i="3"/>
  <c r="I97" i="3"/>
  <c r="I98" i="3"/>
  <c r="I99" i="3"/>
  <c r="I100" i="3"/>
  <c r="I101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4" i="3"/>
  <c r="I125" i="3"/>
  <c r="I126" i="3"/>
  <c r="I127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1" i="3"/>
  <c r="I164" i="3"/>
  <c r="I165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90" i="3"/>
  <c r="I191" i="3"/>
  <c r="I193" i="3"/>
  <c r="I194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9" i="3"/>
  <c r="I311" i="3"/>
  <c r="I312" i="3"/>
  <c r="I313" i="3"/>
  <c r="I314" i="3"/>
  <c r="I315" i="3"/>
  <c r="I316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3" i="3"/>
  <c r="I394" i="3"/>
  <c r="I395" i="3"/>
  <c r="I396" i="3"/>
  <c r="I397" i="3"/>
  <c r="I399" i="3"/>
  <c r="I400" i="3"/>
  <c r="I401" i="3"/>
  <c r="I402" i="3"/>
  <c r="I403" i="3"/>
  <c r="I404" i="3"/>
  <c r="I405" i="3"/>
  <c r="I406" i="3"/>
  <c r="I407" i="3"/>
  <c r="I408" i="3"/>
  <c r="I409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5" i="3"/>
  <c r="I436" i="3"/>
  <c r="I437" i="3"/>
  <c r="I438" i="3"/>
  <c r="I439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5" i="3"/>
  <c r="I466" i="3"/>
  <c r="I467" i="3"/>
  <c r="I468" i="3"/>
  <c r="I469" i="3"/>
  <c r="I470" i="3"/>
  <c r="I471" i="3"/>
  <c r="I472" i="3"/>
  <c r="I473" i="3"/>
  <c r="I474" i="3"/>
  <c r="I475" i="3"/>
  <c r="I477" i="3"/>
  <c r="I478" i="3"/>
  <c r="I479" i="3"/>
  <c r="I480" i="3"/>
  <c r="I481" i="3"/>
  <c r="I483" i="3"/>
  <c r="I484" i="3"/>
  <c r="I485" i="3"/>
  <c r="I486" i="3"/>
  <c r="I487" i="3"/>
  <c r="I488" i="3"/>
  <c r="I490" i="3"/>
  <c r="I491" i="3"/>
  <c r="I492" i="3"/>
  <c r="I494" i="3"/>
  <c r="I495" i="3"/>
  <c r="I497" i="3"/>
  <c r="I498" i="3"/>
  <c r="I499" i="3"/>
  <c r="I500" i="3"/>
  <c r="I502" i="3"/>
  <c r="I503" i="3"/>
  <c r="I504" i="3"/>
  <c r="I505" i="3"/>
  <c r="I506" i="3"/>
  <c r="I507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6" i="3"/>
  <c r="I587" i="3"/>
  <c r="I588" i="3"/>
  <c r="I589" i="3"/>
  <c r="I590" i="3"/>
  <c r="I591" i="3"/>
  <c r="I592" i="3"/>
  <c r="I593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2" i="3"/>
  <c r="I653" i="3"/>
  <c r="I654" i="3"/>
  <c r="I655" i="3"/>
  <c r="I656" i="3"/>
  <c r="I657" i="3"/>
  <c r="I658" i="3"/>
  <c r="I659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3" i="3"/>
  <c r="I684" i="3"/>
  <c r="I685" i="3"/>
  <c r="I686" i="3"/>
  <c r="I687" i="3"/>
  <c r="I688" i="3"/>
  <c r="I689" i="3"/>
  <c r="I690" i="3"/>
  <c r="I691" i="3"/>
  <c r="I692" i="3"/>
  <c r="I694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9" i="3"/>
  <c r="I730" i="3"/>
  <c r="I731" i="3"/>
  <c r="I732" i="3"/>
  <c r="I733" i="3"/>
  <c r="I734" i="3"/>
  <c r="I735" i="3"/>
  <c r="I736" i="3"/>
  <c r="I737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5" i="3"/>
  <c r="I766" i="3"/>
  <c r="I767" i="3"/>
  <c r="I768" i="3"/>
  <c r="I769" i="3"/>
  <c r="I770" i="3"/>
  <c r="I771" i="3"/>
  <c r="I772" i="3"/>
  <c r="I773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4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2" i="3"/>
  <c r="I823" i="3"/>
  <c r="I824" i="3"/>
  <c r="I825" i="3"/>
  <c r="I827" i="3"/>
  <c r="I828" i="3"/>
  <c r="I829" i="3"/>
  <c r="I830" i="3"/>
  <c r="I832" i="3"/>
  <c r="I833" i="3"/>
  <c r="I834" i="3"/>
  <c r="I835" i="3"/>
  <c r="I836" i="3"/>
  <c r="I838" i="3"/>
  <c r="I839" i="3"/>
  <c r="I840" i="3"/>
  <c r="I841" i="3"/>
  <c r="I842" i="3"/>
  <c r="I843" i="3"/>
  <c r="I844" i="3"/>
  <c r="I845" i="3"/>
  <c r="I846" i="3"/>
  <c r="I847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71" i="3"/>
  <c r="I872" i="3"/>
  <c r="I873" i="3"/>
  <c r="I874" i="3"/>
  <c r="I875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8" i="3"/>
  <c r="I919" i="3"/>
  <c r="I920" i="3"/>
  <c r="I921" i="3"/>
  <c r="I923" i="3"/>
  <c r="I924" i="3"/>
  <c r="I925" i="3"/>
  <c r="I926" i="3"/>
  <c r="I927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60" i="3"/>
  <c r="I961" i="3"/>
  <c r="I962" i="3"/>
  <c r="I963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81" i="3"/>
  <c r="I982" i="3"/>
  <c r="I983" i="3"/>
  <c r="I984" i="3"/>
  <c r="I985" i="3"/>
  <c r="I986" i="3"/>
  <c r="I987" i="3"/>
  <c r="I988" i="3"/>
  <c r="I990" i="3"/>
  <c r="I991" i="3"/>
  <c r="I992" i="3"/>
  <c r="I994" i="3"/>
  <c r="I995" i="3"/>
  <c r="I996" i="3"/>
  <c r="I997" i="3"/>
  <c r="I998" i="3"/>
  <c r="I999" i="3"/>
  <c r="I1000" i="3"/>
  <c r="I1001" i="3"/>
  <c r="I1002" i="3"/>
  <c r="I1004" i="3"/>
  <c r="I1005" i="3"/>
  <c r="I1006" i="3"/>
  <c r="I1007" i="3"/>
  <c r="I1008" i="3"/>
  <c r="I1009" i="3"/>
  <c r="I1011" i="3"/>
  <c r="I1012" i="3"/>
  <c r="I1013" i="3"/>
  <c r="I1014" i="3"/>
  <c r="I1015" i="3"/>
  <c r="I1016" i="3"/>
  <c r="I1018" i="3"/>
  <c r="I1019" i="3"/>
  <c r="I1020" i="3"/>
  <c r="I1021" i="3"/>
  <c r="I1022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1" i="3"/>
  <c r="I1052" i="3"/>
  <c r="I1053" i="3"/>
  <c r="I1054" i="3"/>
  <c r="I1055" i="3"/>
  <c r="I1056" i="3"/>
  <c r="I1057" i="3"/>
  <c r="I1058" i="3"/>
  <c r="I1059" i="3"/>
  <c r="I1060" i="3"/>
  <c r="I1061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4" i="3"/>
  <c r="I1085" i="3"/>
  <c r="I1086" i="3"/>
  <c r="I1087" i="3"/>
  <c r="I1088" i="3"/>
  <c r="I1089" i="3"/>
  <c r="I1091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8" i="3"/>
  <c r="I1149" i="3"/>
  <c r="I1150" i="3"/>
  <c r="I1151" i="3"/>
  <c r="I1152" i="3"/>
  <c r="I1153" i="3"/>
  <c r="I1154" i="3"/>
  <c r="I1155" i="3"/>
  <c r="I1158" i="3"/>
  <c r="I1160" i="3"/>
  <c r="I1161" i="3"/>
  <c r="I1162" i="3"/>
  <c r="I1163" i="3"/>
  <c r="I1164" i="3"/>
  <c r="I1165" i="3"/>
  <c r="I1166" i="3"/>
  <c r="I1167" i="3"/>
  <c r="I1168" i="3"/>
  <c r="I1169" i="3"/>
  <c r="I1171" i="3"/>
  <c r="I1172" i="3"/>
  <c r="I1173" i="3"/>
  <c r="I1174" i="3"/>
  <c r="I1175" i="3"/>
  <c r="I1176" i="3"/>
  <c r="I1177" i="3"/>
  <c r="I1178" i="3"/>
  <c r="I1179" i="3"/>
  <c r="I1181" i="3"/>
  <c r="I1182" i="3"/>
  <c r="I1183" i="3"/>
  <c r="I1184" i="3"/>
  <c r="I1185" i="3"/>
  <c r="I1186" i="3"/>
  <c r="I1188" i="3"/>
  <c r="I1189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8" i="3"/>
  <c r="I1209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8" i="3"/>
  <c r="I1239" i="3"/>
  <c r="I1240" i="3"/>
  <c r="I1241" i="3"/>
  <c r="I1242" i="3"/>
  <c r="I1243" i="3"/>
  <c r="I1244" i="3"/>
  <c r="I1246" i="3"/>
  <c r="I1248" i="3"/>
  <c r="I1249" i="3"/>
  <c r="I1250" i="3"/>
  <c r="I1251" i="3"/>
  <c r="I1252" i="3"/>
  <c r="I1253" i="3"/>
  <c r="I1254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5" i="3"/>
  <c r="I1306" i="3"/>
  <c r="I1307" i="3"/>
  <c r="I1308" i="3"/>
  <c r="I1309" i="3"/>
  <c r="I1311" i="3"/>
  <c r="I1312" i="3"/>
  <c r="I1314" i="3"/>
  <c r="I1315" i="3"/>
  <c r="I1316" i="3"/>
  <c r="I1317" i="3"/>
  <c r="I1318" i="3"/>
  <c r="I1320" i="3"/>
  <c r="I1321" i="3"/>
  <c r="I1322" i="3"/>
  <c r="I1324" i="3"/>
  <c r="I1325" i="3"/>
  <c r="I1326" i="3"/>
  <c r="I1327" i="3"/>
  <c r="I1328" i="3"/>
  <c r="I1329" i="3"/>
  <c r="I1330" i="3"/>
  <c r="I1331" i="3"/>
  <c r="I1332" i="3"/>
  <c r="I1333" i="3"/>
  <c r="I1334" i="3"/>
  <c r="I1336" i="3"/>
  <c r="I1337" i="3"/>
  <c r="I1338" i="3"/>
  <c r="I1339" i="3"/>
  <c r="I1340" i="3"/>
  <c r="I1342" i="3"/>
  <c r="I1343" i="3"/>
  <c r="I1344" i="3"/>
  <c r="I1346" i="3"/>
  <c r="I1347" i="3"/>
  <c r="I1348" i="3"/>
  <c r="I1349" i="3"/>
  <c r="I1350" i="3"/>
  <c r="I1351" i="3"/>
  <c r="I1352" i="3"/>
  <c r="I1353" i="3"/>
  <c r="I1355" i="3"/>
  <c r="I1356" i="3"/>
  <c r="I1357" i="3"/>
  <c r="I1358" i="3"/>
  <c r="I1359" i="3"/>
  <c r="I1360" i="3"/>
  <c r="I1361" i="3"/>
  <c r="I1363" i="3"/>
  <c r="I1364" i="3"/>
  <c r="I1367" i="3"/>
  <c r="I1368" i="3"/>
  <c r="I1369" i="3"/>
  <c r="I1370" i="3"/>
  <c r="I1371" i="3"/>
  <c r="I1372" i="3"/>
  <c r="I1373" i="3"/>
  <c r="I1374" i="3"/>
  <c r="I1375" i="3"/>
  <c r="I1376" i="3"/>
  <c r="I1377" i="3"/>
  <c r="I1379" i="3"/>
  <c r="I1381" i="3"/>
  <c r="I1382" i="3"/>
  <c r="I1383" i="3"/>
  <c r="I1384" i="3"/>
  <c r="I1385" i="3"/>
  <c r="I1386" i="3"/>
  <c r="I1387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2" i="3"/>
  <c r="K8" i="1"/>
  <c r="N8" i="1" s="1"/>
  <c r="K3" i="1"/>
  <c r="N3" i="1" s="1"/>
  <c r="K7" i="1"/>
  <c r="N7" i="1" s="1"/>
  <c r="K5" i="1"/>
  <c r="N5" i="1" s="1"/>
  <c r="K6" i="1"/>
  <c r="N6" i="1" s="1"/>
  <c r="K2" i="1"/>
  <c r="N2" i="1" s="1"/>
  <c r="K9" i="1"/>
  <c r="N9" i="1" s="1"/>
  <c r="K4" i="1"/>
  <c r="N4" i="1" s="1"/>
  <c r="K10" i="1"/>
  <c r="N10" i="1" s="1"/>
  <c r="K23" i="1"/>
  <c r="N23" i="1" s="1"/>
  <c r="K25" i="1"/>
  <c r="N25" i="1" s="1"/>
  <c r="K13" i="1"/>
  <c r="N13" i="1" s="1"/>
  <c r="K15" i="1"/>
  <c r="N15" i="1" s="1"/>
  <c r="K22" i="1"/>
  <c r="N22" i="1" s="1"/>
  <c r="K26" i="1"/>
  <c r="N26" i="1" s="1"/>
  <c r="K27" i="1"/>
  <c r="N27" i="1" s="1"/>
  <c r="K24" i="1"/>
  <c r="N24" i="1" s="1"/>
  <c r="K14" i="1"/>
  <c r="N14" i="1" s="1"/>
  <c r="K16" i="1"/>
  <c r="N16" i="1" s="1"/>
  <c r="K11" i="1"/>
  <c r="N11" i="1" s="1"/>
  <c r="K19" i="1"/>
  <c r="N19" i="1" s="1"/>
  <c r="K20" i="1"/>
  <c r="N20" i="1" s="1"/>
  <c r="K17" i="1"/>
  <c r="N17" i="1" s="1"/>
  <c r="K30" i="1"/>
  <c r="N30" i="1" s="1"/>
  <c r="K32" i="1"/>
  <c r="N32" i="1" s="1"/>
  <c r="K36" i="1"/>
  <c r="N36" i="1" s="1"/>
  <c r="K34" i="1"/>
  <c r="N34" i="1" s="1"/>
  <c r="K28" i="1"/>
  <c r="N28" i="1" s="1"/>
  <c r="K35" i="1"/>
  <c r="N35" i="1" s="1"/>
  <c r="K29" i="1"/>
  <c r="N29" i="1" s="1"/>
  <c r="K43" i="1"/>
  <c r="N43" i="1" s="1"/>
  <c r="K57" i="1"/>
  <c r="N57" i="1" s="1"/>
  <c r="K37" i="1"/>
  <c r="N37" i="1" s="1"/>
  <c r="K40" i="1"/>
  <c r="N40" i="1" s="1"/>
  <c r="K48" i="1"/>
  <c r="N48" i="1" s="1"/>
  <c r="K54" i="1"/>
  <c r="N54" i="1" s="1"/>
  <c r="K38" i="1"/>
  <c r="N38" i="1" s="1"/>
  <c r="K42" i="1"/>
  <c r="N42" i="1" s="1"/>
  <c r="K49" i="1"/>
  <c r="N49" i="1" s="1"/>
  <c r="K60" i="1"/>
  <c r="N60" i="1" s="1"/>
  <c r="K45" i="1"/>
  <c r="N45" i="1" s="1"/>
  <c r="K47" i="1"/>
  <c r="N47" i="1" s="1"/>
  <c r="K53" i="1"/>
  <c r="N53" i="1" s="1"/>
  <c r="K44" i="1"/>
  <c r="N44" i="1" s="1"/>
  <c r="K46" i="1"/>
  <c r="N46" i="1" s="1"/>
  <c r="K59" i="1"/>
  <c r="N59" i="1" s="1"/>
  <c r="K39" i="1"/>
  <c r="N39" i="1" s="1"/>
  <c r="K50" i="1"/>
  <c r="N50" i="1" s="1"/>
  <c r="K41" i="1"/>
  <c r="N41" i="1" s="1"/>
  <c r="K55" i="1"/>
  <c r="N55" i="1" s="1"/>
  <c r="K56" i="1"/>
  <c r="N56" i="1" s="1"/>
  <c r="K52" i="1"/>
  <c r="N52" i="1" s="1"/>
  <c r="K51" i="1"/>
  <c r="N51" i="1" s="1"/>
  <c r="K61" i="1"/>
  <c r="N61" i="1" s="1"/>
  <c r="K64" i="1"/>
  <c r="N64" i="1" s="1"/>
  <c r="K75" i="1"/>
  <c r="N75" i="1" s="1"/>
  <c r="K70" i="1"/>
  <c r="N70" i="1" s="1"/>
  <c r="K65" i="1"/>
  <c r="N65" i="1" s="1"/>
  <c r="K77" i="1"/>
  <c r="N77" i="1" s="1"/>
  <c r="K69" i="1"/>
  <c r="N69" i="1" s="1"/>
  <c r="K71" i="1"/>
  <c r="N71" i="1" s="1"/>
  <c r="K79" i="1"/>
  <c r="N79" i="1" s="1"/>
  <c r="K78" i="1"/>
  <c r="N78" i="1" s="1"/>
  <c r="K63" i="1"/>
  <c r="N63" i="1" s="1"/>
  <c r="K62" i="1"/>
  <c r="N62" i="1" s="1"/>
  <c r="K76" i="1"/>
  <c r="N76" i="1" s="1"/>
  <c r="K73" i="1"/>
  <c r="N73" i="1" s="1"/>
  <c r="K67" i="1"/>
  <c r="N67" i="1" s="1"/>
  <c r="K66" i="1"/>
  <c r="N66" i="1" s="1"/>
  <c r="K68" i="1"/>
  <c r="N68" i="1" s="1"/>
  <c r="K74" i="1"/>
  <c r="N74" i="1" s="1"/>
  <c r="K72" i="1"/>
  <c r="N72" i="1" s="1"/>
  <c r="K80" i="1"/>
  <c r="N80" i="1" s="1"/>
  <c r="K91" i="1"/>
  <c r="N91" i="1" s="1"/>
  <c r="K89" i="1"/>
  <c r="N89" i="1" s="1"/>
  <c r="K94" i="1"/>
  <c r="N94" i="1" s="1"/>
  <c r="K90" i="1"/>
  <c r="N90" i="1" s="1"/>
  <c r="K84" i="1"/>
  <c r="N84" i="1" s="1"/>
  <c r="K93" i="1"/>
  <c r="N93" i="1" s="1"/>
  <c r="K95" i="1"/>
  <c r="N95" i="1" s="1"/>
  <c r="K85" i="1"/>
  <c r="N85" i="1" s="1"/>
  <c r="K81" i="1"/>
  <c r="N81" i="1" s="1"/>
  <c r="K86" i="1"/>
  <c r="N86" i="1" s="1"/>
  <c r="K87" i="1"/>
  <c r="N87" i="1" s="1"/>
  <c r="K92" i="1"/>
  <c r="N92" i="1" s="1"/>
  <c r="K82" i="1"/>
  <c r="N82" i="1" s="1"/>
  <c r="K88" i="1"/>
  <c r="N88" i="1" s="1"/>
  <c r="K83" i="1"/>
  <c r="N83" i="1" s="1"/>
  <c r="K105" i="1"/>
  <c r="N105" i="1" s="1"/>
  <c r="K116" i="1"/>
  <c r="N116" i="1" s="1"/>
  <c r="K97" i="1"/>
  <c r="N97" i="1" s="1"/>
  <c r="K100" i="1"/>
  <c r="N100" i="1" s="1"/>
  <c r="K101" i="1"/>
  <c r="N101" i="1" s="1"/>
  <c r="K112" i="1"/>
  <c r="N112" i="1" s="1"/>
  <c r="K114" i="1"/>
  <c r="N114" i="1" s="1"/>
  <c r="K99" i="1"/>
  <c r="N99" i="1" s="1"/>
  <c r="K115" i="1"/>
  <c r="N115" i="1" s="1"/>
  <c r="K109" i="1"/>
  <c r="N109" i="1" s="1"/>
  <c r="K113" i="1"/>
  <c r="N113" i="1" s="1"/>
  <c r="K96" i="1"/>
  <c r="N96" i="1" s="1"/>
  <c r="K110" i="1"/>
  <c r="N110" i="1" s="1"/>
  <c r="K106" i="1"/>
  <c r="N106" i="1" s="1"/>
  <c r="K107" i="1"/>
  <c r="N107" i="1" s="1"/>
  <c r="K108" i="1"/>
  <c r="N108" i="1" s="1"/>
  <c r="K104" i="1"/>
  <c r="N104" i="1" s="1"/>
  <c r="K103" i="1"/>
  <c r="N103" i="1" s="1"/>
  <c r="K98" i="1"/>
  <c r="N98" i="1" s="1"/>
  <c r="K117" i="1"/>
  <c r="N117" i="1" s="1"/>
  <c r="K102" i="1"/>
  <c r="N102" i="1" s="1"/>
  <c r="K111" i="1"/>
  <c r="N111" i="1" s="1"/>
  <c r="K131" i="1"/>
  <c r="N131" i="1" s="1"/>
  <c r="K125" i="1"/>
  <c r="N125" i="1" s="1"/>
  <c r="K132" i="1"/>
  <c r="N132" i="1" s="1"/>
  <c r="K134" i="1"/>
  <c r="N134" i="1" s="1"/>
  <c r="K118" i="1"/>
  <c r="N118" i="1" s="1"/>
  <c r="K138" i="1"/>
  <c r="N138" i="1" s="1"/>
  <c r="K137" i="1"/>
  <c r="N137" i="1" s="1"/>
  <c r="K135" i="1"/>
  <c r="N135" i="1" s="1"/>
  <c r="K133" i="1"/>
  <c r="N133" i="1" s="1"/>
  <c r="K139" i="1"/>
  <c r="N139" i="1" s="1"/>
  <c r="K121" i="1"/>
  <c r="N121" i="1" s="1"/>
  <c r="K124" i="1"/>
  <c r="N124" i="1" s="1"/>
  <c r="K126" i="1"/>
  <c r="N126" i="1" s="1"/>
  <c r="K120" i="1"/>
  <c r="N120" i="1" s="1"/>
  <c r="K136" i="1"/>
  <c r="N136" i="1" s="1"/>
  <c r="K128" i="1"/>
  <c r="N128" i="1" s="1"/>
  <c r="K127" i="1"/>
  <c r="N127" i="1" s="1"/>
  <c r="K123" i="1"/>
  <c r="N123" i="1" s="1"/>
  <c r="K130" i="1"/>
  <c r="N130" i="1" s="1"/>
  <c r="K119" i="1"/>
  <c r="N119" i="1" s="1"/>
  <c r="K144" i="1"/>
  <c r="N144" i="1" s="1"/>
  <c r="K140" i="1"/>
  <c r="N140" i="1" s="1"/>
  <c r="K147" i="1"/>
  <c r="N147" i="1" s="1"/>
  <c r="K143" i="1"/>
  <c r="N143" i="1" s="1"/>
  <c r="K145" i="1"/>
  <c r="N145" i="1" s="1"/>
  <c r="K142" i="1"/>
  <c r="N142" i="1" s="1"/>
  <c r="K146" i="1"/>
  <c r="N146" i="1" s="1"/>
  <c r="K148" i="1"/>
  <c r="N148" i="1" s="1"/>
  <c r="K141" i="1"/>
  <c r="N141" i="1" s="1"/>
  <c r="K150" i="1"/>
  <c r="N150" i="1" s="1"/>
  <c r="K173" i="1"/>
  <c r="N173" i="1" s="1"/>
  <c r="K170" i="1"/>
  <c r="N170" i="1" s="1"/>
  <c r="K167" i="1"/>
  <c r="N167" i="1" s="1"/>
  <c r="K175" i="1"/>
  <c r="N175" i="1" s="1"/>
  <c r="K153" i="1"/>
  <c r="N153" i="1" s="1"/>
  <c r="K168" i="1"/>
  <c r="N168" i="1" s="1"/>
  <c r="K162" i="1"/>
  <c r="N162" i="1" s="1"/>
  <c r="K166" i="1"/>
  <c r="N166" i="1" s="1"/>
  <c r="K160" i="1"/>
  <c r="N160" i="1" s="1"/>
  <c r="K159" i="1"/>
  <c r="N159" i="1" s="1"/>
  <c r="K152" i="1"/>
  <c r="N152" i="1" s="1"/>
  <c r="K164" i="1"/>
  <c r="N164" i="1" s="1"/>
  <c r="K165" i="1"/>
  <c r="N165" i="1" s="1"/>
  <c r="K154" i="1"/>
  <c r="N154" i="1" s="1"/>
  <c r="K156" i="1"/>
  <c r="N156" i="1" s="1"/>
  <c r="K161" i="1"/>
  <c r="N161" i="1" s="1"/>
  <c r="K151" i="1"/>
  <c r="N151" i="1" s="1"/>
  <c r="K149" i="1"/>
  <c r="N149" i="1" s="1"/>
  <c r="K158" i="1"/>
  <c r="N158" i="1" s="1"/>
  <c r="K157" i="1"/>
  <c r="N157" i="1" s="1"/>
  <c r="K172" i="1"/>
  <c r="N172" i="1" s="1"/>
  <c r="K155" i="1"/>
  <c r="N155" i="1" s="1"/>
  <c r="K171" i="1"/>
  <c r="N171" i="1" s="1"/>
  <c r="K174" i="1"/>
  <c r="N174" i="1" s="1"/>
  <c r="K179" i="1"/>
  <c r="N179" i="1" s="1"/>
  <c r="K193" i="1"/>
  <c r="N193" i="1" s="1"/>
  <c r="K183" i="1"/>
  <c r="N183" i="1" s="1"/>
  <c r="K188" i="1"/>
  <c r="N188" i="1" s="1"/>
  <c r="K187" i="1"/>
  <c r="N187" i="1" s="1"/>
  <c r="K192" i="1"/>
  <c r="N192" i="1" s="1"/>
  <c r="K185" i="1"/>
  <c r="N185" i="1" s="1"/>
  <c r="K199" i="1"/>
  <c r="N199" i="1" s="1"/>
  <c r="K176" i="1"/>
  <c r="N176" i="1" s="1"/>
  <c r="K177" i="1"/>
  <c r="N177" i="1" s="1"/>
  <c r="K186" i="1"/>
  <c r="N186" i="1" s="1"/>
  <c r="K191" i="1"/>
  <c r="N191" i="1" s="1"/>
  <c r="K202" i="1"/>
  <c r="N202" i="1" s="1"/>
  <c r="K189" i="1"/>
  <c r="N189" i="1" s="1"/>
  <c r="K201" i="1"/>
  <c r="N201" i="1" s="1"/>
  <c r="K182" i="1"/>
  <c r="N182" i="1" s="1"/>
  <c r="K197" i="1"/>
  <c r="N197" i="1" s="1"/>
  <c r="K195" i="1"/>
  <c r="N195" i="1" s="1"/>
  <c r="K181" i="1"/>
  <c r="N181" i="1" s="1"/>
  <c r="K184" i="1"/>
  <c r="N184" i="1" s="1"/>
  <c r="K178" i="1"/>
  <c r="N178" i="1" s="1"/>
  <c r="K194" i="1"/>
  <c r="N194" i="1" s="1"/>
  <c r="K190" i="1"/>
  <c r="N190" i="1" s="1"/>
  <c r="K180" i="1"/>
  <c r="N180" i="1" s="1"/>
  <c r="K203" i="1"/>
  <c r="N203" i="1" s="1"/>
  <c r="K204" i="1"/>
  <c r="N204" i="1" s="1"/>
  <c r="K213" i="1"/>
  <c r="N213" i="1" s="1"/>
  <c r="K224" i="1"/>
  <c r="N224" i="1" s="1"/>
  <c r="K217" i="1"/>
  <c r="N217" i="1" s="1"/>
  <c r="K205" i="1"/>
  <c r="N205" i="1" s="1"/>
  <c r="K222" i="1"/>
  <c r="N222" i="1" s="1"/>
  <c r="K210" i="1"/>
  <c r="N210" i="1" s="1"/>
  <c r="K220" i="1"/>
  <c r="N220" i="1" s="1"/>
  <c r="K209" i="1"/>
  <c r="N209" i="1" s="1"/>
  <c r="K223" i="1"/>
  <c r="N223" i="1" s="1"/>
  <c r="K225" i="1"/>
  <c r="N225" i="1" s="1"/>
  <c r="K212" i="1"/>
  <c r="N212" i="1" s="1"/>
  <c r="K206" i="1"/>
  <c r="N206" i="1" s="1"/>
  <c r="K214" i="1"/>
  <c r="N214" i="1" s="1"/>
  <c r="K211" i="1"/>
  <c r="N211" i="1" s="1"/>
  <c r="K208" i="1"/>
  <c r="N208" i="1" s="1"/>
  <c r="K227" i="1"/>
  <c r="N227" i="1" s="1"/>
  <c r="K226" i="1"/>
  <c r="N226" i="1" s="1"/>
  <c r="K207" i="1"/>
  <c r="N207" i="1" s="1"/>
  <c r="K218" i="1"/>
  <c r="N218" i="1" s="1"/>
  <c r="K221" i="1"/>
  <c r="N221" i="1" s="1"/>
  <c r="K219" i="1"/>
  <c r="N219" i="1" s="1"/>
  <c r="K215" i="1"/>
  <c r="N215" i="1" s="1"/>
  <c r="K216" i="1"/>
  <c r="N216" i="1" s="1"/>
  <c r="K235" i="1"/>
  <c r="N235" i="1" s="1"/>
  <c r="K243" i="1"/>
  <c r="N243" i="1" s="1"/>
  <c r="K228" i="1"/>
  <c r="N228" i="1" s="1"/>
  <c r="K232" i="1"/>
  <c r="N232" i="1" s="1"/>
  <c r="K241" i="1"/>
  <c r="N241" i="1" s="1"/>
  <c r="K231" i="1"/>
  <c r="N231" i="1" s="1"/>
  <c r="K245" i="1"/>
  <c r="N245" i="1" s="1"/>
  <c r="K233" i="1"/>
  <c r="N233" i="1" s="1"/>
  <c r="K229" i="1"/>
  <c r="N229" i="1" s="1"/>
  <c r="K239" i="1"/>
  <c r="N239" i="1" s="1"/>
  <c r="K244" i="1"/>
  <c r="N244" i="1" s="1"/>
  <c r="K237" i="1"/>
  <c r="N237" i="1" s="1"/>
  <c r="K242" i="1"/>
  <c r="N242" i="1" s="1"/>
  <c r="K238" i="1"/>
  <c r="N238" i="1" s="1"/>
  <c r="K240" i="1"/>
  <c r="N240" i="1" s="1"/>
  <c r="K246" i="1"/>
  <c r="N246" i="1" s="1"/>
  <c r="K250" i="1"/>
  <c r="N250" i="1" s="1"/>
  <c r="K258" i="1"/>
  <c r="N258" i="1" s="1"/>
  <c r="K267" i="1"/>
  <c r="N267" i="1" s="1"/>
  <c r="K248" i="1"/>
  <c r="N248" i="1" s="1"/>
  <c r="K255" i="1"/>
  <c r="N255" i="1" s="1"/>
  <c r="K261" i="1"/>
  <c r="N261" i="1" s="1"/>
  <c r="K253" i="1"/>
  <c r="N253" i="1" s="1"/>
  <c r="K251" i="1"/>
  <c r="N251" i="1" s="1"/>
  <c r="K249" i="1"/>
  <c r="N249" i="1" s="1"/>
  <c r="K259" i="1"/>
  <c r="N259" i="1" s="1"/>
  <c r="K263" i="1"/>
  <c r="N263" i="1" s="1"/>
  <c r="K262" i="1"/>
  <c r="N262" i="1" s="1"/>
  <c r="K265" i="1"/>
  <c r="N265" i="1" s="1"/>
  <c r="K269" i="1"/>
  <c r="N269" i="1" s="1"/>
  <c r="K268" i="1"/>
  <c r="N268" i="1" s="1"/>
  <c r="K257" i="1"/>
  <c r="N257" i="1" s="1"/>
  <c r="K256" i="1"/>
  <c r="N256" i="1" s="1"/>
  <c r="K266" i="1"/>
  <c r="N266" i="1" s="1"/>
  <c r="K252" i="1"/>
  <c r="N252" i="1" s="1"/>
  <c r="K254" i="1"/>
  <c r="N254" i="1" s="1"/>
  <c r="K247" i="1"/>
  <c r="N247" i="1" s="1"/>
  <c r="K264" i="1"/>
  <c r="N264" i="1" s="1"/>
  <c r="K260" i="1"/>
  <c r="N260" i="1" s="1"/>
  <c r="K289" i="1"/>
  <c r="N289" i="1" s="1"/>
  <c r="K284" i="1"/>
  <c r="N284" i="1" s="1"/>
  <c r="K293" i="1"/>
  <c r="N293" i="1" s="1"/>
  <c r="K286" i="1"/>
  <c r="N286" i="1" s="1"/>
  <c r="K272" i="1"/>
  <c r="N272" i="1" s="1"/>
  <c r="K273" i="1"/>
  <c r="N273" i="1" s="1"/>
  <c r="K281" i="1"/>
  <c r="N281" i="1" s="1"/>
  <c r="K282" i="1"/>
  <c r="N282" i="1" s="1"/>
  <c r="K291" i="1"/>
  <c r="N291" i="1" s="1"/>
  <c r="K283" i="1"/>
  <c r="N283" i="1" s="1"/>
  <c r="K277" i="1"/>
  <c r="N277" i="1" s="1"/>
  <c r="K270" i="1"/>
  <c r="N270" i="1" s="1"/>
  <c r="K271" i="1"/>
  <c r="N271" i="1" s="1"/>
  <c r="K292" i="1"/>
  <c r="N292" i="1" s="1"/>
  <c r="K294" i="1"/>
  <c r="N294" i="1" s="1"/>
  <c r="K279" i="1"/>
  <c r="N279" i="1" s="1"/>
  <c r="K288" i="1"/>
  <c r="N288" i="1" s="1"/>
  <c r="K274" i="1"/>
  <c r="N274" i="1" s="1"/>
  <c r="K290" i="1"/>
  <c r="N290" i="1" s="1"/>
  <c r="K287" i="1"/>
  <c r="N287" i="1" s="1"/>
  <c r="K285" i="1"/>
  <c r="N285" i="1" s="1"/>
  <c r="K275" i="1"/>
  <c r="N275" i="1" s="1"/>
  <c r="K280" i="1"/>
  <c r="N280" i="1" s="1"/>
  <c r="K295" i="1"/>
  <c r="N295" i="1" s="1"/>
  <c r="K301" i="1"/>
  <c r="N301" i="1" s="1"/>
  <c r="K300" i="1"/>
  <c r="N300" i="1" s="1"/>
  <c r="K303" i="1"/>
  <c r="N303" i="1" s="1"/>
  <c r="K296" i="1"/>
  <c r="N296" i="1" s="1"/>
  <c r="K302" i="1"/>
  <c r="N302" i="1" s="1"/>
  <c r="K305" i="1"/>
  <c r="N305" i="1" s="1"/>
  <c r="K297" i="1"/>
  <c r="N297" i="1" s="1"/>
  <c r="K306" i="1"/>
  <c r="N306" i="1" s="1"/>
  <c r="K298" i="1"/>
  <c r="N298" i="1" s="1"/>
  <c r="K304" i="1"/>
  <c r="N304" i="1" s="1"/>
  <c r="K322" i="1"/>
  <c r="N322" i="1" s="1"/>
  <c r="K307" i="1"/>
  <c r="N307" i="1" s="1"/>
  <c r="K317" i="1"/>
  <c r="N317" i="1" s="1"/>
  <c r="K309" i="1"/>
  <c r="N309" i="1" s="1"/>
  <c r="K313" i="1"/>
  <c r="N313" i="1" s="1"/>
  <c r="K314" i="1"/>
  <c r="N314" i="1" s="1"/>
  <c r="K321" i="1"/>
  <c r="N321" i="1" s="1"/>
  <c r="K311" i="1"/>
  <c r="N311" i="1" s="1"/>
  <c r="K318" i="1"/>
  <c r="N318" i="1" s="1"/>
  <c r="K315" i="1"/>
  <c r="N315" i="1" s="1"/>
  <c r="K324" i="1"/>
  <c r="N324" i="1" s="1"/>
  <c r="K320" i="1"/>
  <c r="N320" i="1" s="1"/>
  <c r="K326" i="1"/>
  <c r="N326" i="1" s="1"/>
  <c r="K323" i="1"/>
  <c r="N323" i="1" s="1"/>
  <c r="K319" i="1"/>
  <c r="N319" i="1" s="1"/>
  <c r="K316" i="1"/>
  <c r="N316" i="1" s="1"/>
  <c r="K312" i="1"/>
  <c r="N312" i="1" s="1"/>
  <c r="K325" i="1"/>
  <c r="N325" i="1" s="1"/>
  <c r="K327" i="1"/>
  <c r="N327" i="1" s="1"/>
  <c r="K332" i="1"/>
  <c r="N332" i="1" s="1"/>
  <c r="K328" i="1"/>
  <c r="N328" i="1" s="1"/>
  <c r="K331" i="1"/>
  <c r="N331" i="1" s="1"/>
  <c r="K330" i="1"/>
  <c r="N330" i="1" s="1"/>
  <c r="K334" i="1"/>
  <c r="N334" i="1" s="1"/>
  <c r="K333" i="1"/>
  <c r="N333" i="1" s="1"/>
  <c r="K343" i="1"/>
  <c r="N343" i="1" s="1"/>
  <c r="K336" i="1"/>
  <c r="N336" i="1" s="1"/>
  <c r="K356" i="1"/>
  <c r="N356" i="1" s="1"/>
  <c r="K358" i="1"/>
  <c r="N358" i="1" s="1"/>
  <c r="K341" i="1"/>
  <c r="N341" i="1" s="1"/>
  <c r="K339" i="1"/>
  <c r="N339" i="1" s="1"/>
  <c r="K338" i="1"/>
  <c r="N338" i="1" s="1"/>
  <c r="K354" i="1"/>
  <c r="N354" i="1" s="1"/>
  <c r="K347" i="1"/>
  <c r="N347" i="1" s="1"/>
  <c r="K351" i="1"/>
  <c r="N351" i="1" s="1"/>
  <c r="K344" i="1"/>
  <c r="N344" i="1" s="1"/>
  <c r="K355" i="1"/>
  <c r="N355" i="1" s="1"/>
  <c r="K346" i="1"/>
  <c r="N346" i="1" s="1"/>
  <c r="K340" i="1"/>
  <c r="N340" i="1" s="1"/>
  <c r="K342" i="1"/>
  <c r="N342" i="1" s="1"/>
  <c r="K352" i="1"/>
  <c r="N352" i="1" s="1"/>
  <c r="K350" i="1"/>
  <c r="N350" i="1" s="1"/>
  <c r="K353" i="1"/>
  <c r="N353" i="1" s="1"/>
  <c r="K349" i="1"/>
  <c r="N349" i="1" s="1"/>
  <c r="K348" i="1"/>
  <c r="N348" i="1" s="1"/>
  <c r="K357" i="1"/>
  <c r="N357" i="1" s="1"/>
  <c r="K371" i="1"/>
  <c r="N371" i="1" s="1"/>
  <c r="K369" i="1"/>
  <c r="N369" i="1" s="1"/>
  <c r="K375" i="1"/>
  <c r="N375" i="1" s="1"/>
  <c r="K365" i="1"/>
  <c r="N365" i="1" s="1"/>
  <c r="K378" i="1"/>
  <c r="N378" i="1" s="1"/>
  <c r="K367" i="1"/>
  <c r="N367" i="1" s="1"/>
  <c r="K374" i="1"/>
  <c r="N374" i="1" s="1"/>
  <c r="K362" i="1"/>
  <c r="N362" i="1" s="1"/>
  <c r="K376" i="1"/>
  <c r="N376" i="1" s="1"/>
  <c r="K361" i="1"/>
  <c r="N361" i="1" s="1"/>
  <c r="K373" i="1"/>
  <c r="N373" i="1" s="1"/>
  <c r="K377" i="1"/>
  <c r="N377" i="1" s="1"/>
  <c r="K364" i="1"/>
  <c r="N364" i="1" s="1"/>
  <c r="K359" i="1"/>
  <c r="N359" i="1" s="1"/>
  <c r="K379" i="1"/>
  <c r="N379" i="1" s="1"/>
  <c r="K363" i="1"/>
  <c r="N363" i="1" s="1"/>
  <c r="K380" i="1"/>
  <c r="N380" i="1" s="1"/>
  <c r="K370" i="1"/>
  <c r="N370" i="1" s="1"/>
  <c r="K372" i="1"/>
  <c r="N372" i="1" s="1"/>
  <c r="K366" i="1"/>
  <c r="N366" i="1" s="1"/>
  <c r="K384" i="1"/>
  <c r="N384" i="1" s="1"/>
  <c r="K386" i="1"/>
  <c r="N386" i="1" s="1"/>
  <c r="K391" i="1"/>
  <c r="N391" i="1" s="1"/>
  <c r="K388" i="1"/>
  <c r="N388" i="1" s="1"/>
  <c r="K381" i="1"/>
  <c r="N381" i="1" s="1"/>
  <c r="K382" i="1"/>
  <c r="N382" i="1" s="1"/>
  <c r="K385" i="1"/>
  <c r="N385" i="1" s="1"/>
  <c r="K390" i="1"/>
  <c r="N390" i="1" s="1"/>
  <c r="K383" i="1"/>
  <c r="N383" i="1" s="1"/>
  <c r="K387" i="1"/>
  <c r="N387" i="1" s="1"/>
  <c r="K389" i="1"/>
  <c r="N389" i="1" s="1"/>
  <c r="K392" i="1"/>
  <c r="N392" i="1" s="1"/>
  <c r="K412" i="1"/>
  <c r="N412" i="1" s="1"/>
  <c r="K404" i="1"/>
  <c r="N404" i="1" s="1"/>
  <c r="K405" i="1"/>
  <c r="N405" i="1" s="1"/>
  <c r="K398" i="1"/>
  <c r="N398" i="1" s="1"/>
  <c r="K409" i="1"/>
  <c r="N409" i="1" s="1"/>
  <c r="K414" i="1"/>
  <c r="N414" i="1" s="1"/>
  <c r="K402" i="1"/>
  <c r="N402" i="1" s="1"/>
  <c r="K416" i="1"/>
  <c r="N416" i="1" s="1"/>
  <c r="K399" i="1"/>
  <c r="N399" i="1" s="1"/>
  <c r="K393" i="1"/>
  <c r="N393" i="1" s="1"/>
  <c r="K400" i="1"/>
  <c r="N400" i="1" s="1"/>
  <c r="K408" i="1"/>
  <c r="N408" i="1" s="1"/>
  <c r="K413" i="1"/>
  <c r="N413" i="1" s="1"/>
  <c r="K417" i="1"/>
  <c r="N417" i="1" s="1"/>
  <c r="K407" i="1"/>
  <c r="N407" i="1" s="1"/>
  <c r="K394" i="1"/>
  <c r="N394" i="1" s="1"/>
  <c r="K403" i="1"/>
  <c r="N403" i="1" s="1"/>
  <c r="K396" i="1"/>
  <c r="N396" i="1" s="1"/>
  <c r="K410" i="1"/>
  <c r="N410" i="1" s="1"/>
  <c r="K406" i="1"/>
  <c r="N406" i="1" s="1"/>
  <c r="K401" i="1"/>
  <c r="N401" i="1" s="1"/>
  <c r="K397" i="1"/>
  <c r="N397" i="1" s="1"/>
  <c r="K411" i="1"/>
  <c r="N411" i="1" s="1"/>
  <c r="K428" i="1"/>
  <c r="N428" i="1" s="1"/>
  <c r="K424" i="1"/>
  <c r="N424" i="1" s="1"/>
  <c r="K422" i="1"/>
  <c r="N422" i="1" s="1"/>
  <c r="K442" i="1"/>
  <c r="N442" i="1" s="1"/>
  <c r="K441" i="1"/>
  <c r="N441" i="1" s="1"/>
  <c r="K431" i="1"/>
  <c r="N431" i="1" s="1"/>
  <c r="K423" i="1"/>
  <c r="N423" i="1" s="1"/>
  <c r="K432" i="1"/>
  <c r="N432" i="1" s="1"/>
  <c r="K419" i="1"/>
  <c r="N419" i="1" s="1"/>
  <c r="K438" i="1"/>
  <c r="N438" i="1" s="1"/>
  <c r="K433" i="1"/>
  <c r="N433" i="1" s="1"/>
  <c r="K439" i="1"/>
  <c r="N439" i="1" s="1"/>
  <c r="K418" i="1"/>
  <c r="N418" i="1" s="1"/>
  <c r="K436" i="1"/>
  <c r="N436" i="1" s="1"/>
  <c r="K435" i="1"/>
  <c r="N435" i="1" s="1"/>
  <c r="K434" i="1"/>
  <c r="N434" i="1" s="1"/>
  <c r="K421" i="1"/>
  <c r="N421" i="1" s="1"/>
  <c r="K425" i="1"/>
  <c r="N425" i="1" s="1"/>
  <c r="K420" i="1"/>
  <c r="N420" i="1" s="1"/>
  <c r="K440" i="1"/>
  <c r="N440" i="1" s="1"/>
  <c r="K429" i="1"/>
  <c r="N429" i="1" s="1"/>
  <c r="K430" i="1"/>
  <c r="N430" i="1" s="1"/>
  <c r="K427" i="1"/>
  <c r="N427" i="1" s="1"/>
  <c r="K437" i="1"/>
  <c r="N437" i="1" s="1"/>
  <c r="K448" i="1"/>
  <c r="N448" i="1" s="1"/>
  <c r="K451" i="1"/>
  <c r="N451" i="1" s="1"/>
  <c r="K445" i="1"/>
  <c r="N445" i="1" s="1"/>
  <c r="K455" i="1"/>
  <c r="N455" i="1" s="1"/>
  <c r="K452" i="1"/>
  <c r="N452" i="1" s="1"/>
  <c r="K456" i="1"/>
  <c r="N456" i="1" s="1"/>
  <c r="K444" i="1"/>
  <c r="N444" i="1" s="1"/>
  <c r="K450" i="1"/>
  <c r="N450" i="1" s="1"/>
  <c r="K443" i="1"/>
  <c r="N443" i="1" s="1"/>
  <c r="K447" i="1"/>
  <c r="N447" i="1" s="1"/>
  <c r="K454" i="1"/>
  <c r="N454" i="1" s="1"/>
  <c r="K446" i="1"/>
  <c r="N446" i="1" s="1"/>
  <c r="K457" i="1"/>
  <c r="N457" i="1" s="1"/>
  <c r="K461" i="1"/>
  <c r="N461" i="1" s="1"/>
  <c r="K458" i="1"/>
  <c r="N458" i="1" s="1"/>
  <c r="K475" i="1"/>
  <c r="N475" i="1" s="1"/>
  <c r="K465" i="1"/>
  <c r="N465" i="1" s="1"/>
  <c r="K464" i="1"/>
  <c r="N464" i="1" s="1"/>
  <c r="K474" i="1"/>
  <c r="N474" i="1" s="1"/>
  <c r="K467" i="1"/>
  <c r="N467" i="1" s="1"/>
  <c r="K473" i="1"/>
  <c r="N473" i="1" s="1"/>
  <c r="K459" i="1"/>
  <c r="N459" i="1" s="1"/>
  <c r="K477" i="1"/>
  <c r="N477" i="1" s="1"/>
  <c r="K489" i="1"/>
  <c r="N489" i="1" s="1"/>
  <c r="K471" i="1"/>
  <c r="N471" i="1" s="1"/>
  <c r="K483" i="1"/>
  <c r="N483" i="1" s="1"/>
  <c r="K482" i="1"/>
  <c r="N482" i="1" s="1"/>
  <c r="K469" i="1"/>
  <c r="N469" i="1" s="1"/>
  <c r="K460" i="1"/>
  <c r="N460" i="1" s="1"/>
  <c r="K476" i="1"/>
  <c r="N476" i="1" s="1"/>
  <c r="K487" i="1"/>
  <c r="N487" i="1" s="1"/>
  <c r="K470" i="1"/>
  <c r="N470" i="1" s="1"/>
  <c r="K484" i="1"/>
  <c r="N484" i="1" s="1"/>
  <c r="K481" i="1"/>
  <c r="N481" i="1" s="1"/>
  <c r="K479" i="1"/>
  <c r="N479" i="1" s="1"/>
  <c r="K478" i="1"/>
  <c r="N478" i="1" s="1"/>
  <c r="K468" i="1"/>
  <c r="N468" i="1" s="1"/>
  <c r="K463" i="1"/>
  <c r="N463" i="1" s="1"/>
  <c r="K485" i="1"/>
  <c r="N485" i="1" s="1"/>
  <c r="K462" i="1"/>
  <c r="N462" i="1" s="1"/>
  <c r="K472" i="1"/>
  <c r="N472" i="1" s="1"/>
  <c r="K466" i="1"/>
  <c r="N466" i="1" s="1"/>
  <c r="K480" i="1"/>
  <c r="N480" i="1" s="1"/>
  <c r="K486" i="1"/>
  <c r="N486" i="1" s="1"/>
  <c r="K516" i="1"/>
  <c r="N516" i="1" s="1"/>
  <c r="K502" i="1"/>
  <c r="N502" i="1" s="1"/>
  <c r="K506" i="1"/>
  <c r="N506" i="1" s="1"/>
  <c r="K512" i="1"/>
  <c r="N512" i="1" s="1"/>
  <c r="K491" i="1"/>
  <c r="N491" i="1" s="1"/>
  <c r="K493" i="1"/>
  <c r="N493" i="1" s="1"/>
  <c r="K503" i="1"/>
  <c r="N503" i="1" s="1"/>
  <c r="K507" i="1"/>
  <c r="N507" i="1" s="1"/>
  <c r="K513" i="1"/>
  <c r="N513" i="1" s="1"/>
  <c r="K514" i="1"/>
  <c r="N514" i="1" s="1"/>
  <c r="K504" i="1"/>
  <c r="N504" i="1" s="1"/>
  <c r="K494" i="1"/>
  <c r="N494" i="1" s="1"/>
  <c r="K497" i="1"/>
  <c r="N497" i="1" s="1"/>
  <c r="K510" i="1"/>
  <c r="N510" i="1" s="1"/>
  <c r="K508" i="1"/>
  <c r="N508" i="1" s="1"/>
  <c r="K509" i="1"/>
  <c r="N509" i="1" s="1"/>
  <c r="K515" i="1"/>
  <c r="N515" i="1" s="1"/>
  <c r="K492" i="1"/>
  <c r="N492" i="1" s="1"/>
  <c r="K501" i="1"/>
  <c r="N501" i="1" s="1"/>
  <c r="K517" i="1"/>
  <c r="N517" i="1" s="1"/>
  <c r="K500" i="1"/>
  <c r="N500" i="1" s="1"/>
  <c r="K490" i="1"/>
  <c r="N490" i="1" s="1"/>
  <c r="K505" i="1"/>
  <c r="N505" i="1" s="1"/>
  <c r="K499" i="1"/>
  <c r="N499" i="1" s="1"/>
  <c r="K495" i="1"/>
  <c r="N495" i="1" s="1"/>
  <c r="K496" i="1"/>
  <c r="N496" i="1" s="1"/>
  <c r="K498" i="1"/>
  <c r="N498" i="1" s="1"/>
  <c r="K518" i="1"/>
  <c r="N518" i="1" s="1"/>
  <c r="K524" i="1"/>
  <c r="N524" i="1" s="1"/>
  <c r="K520" i="1"/>
  <c r="N520" i="1" s="1"/>
  <c r="K527" i="1"/>
  <c r="N527" i="1" s="1"/>
  <c r="K523" i="1"/>
  <c r="N523" i="1" s="1"/>
  <c r="K529" i="1"/>
  <c r="N529" i="1" s="1"/>
  <c r="K526" i="1"/>
  <c r="N526" i="1" s="1"/>
  <c r="K519" i="1"/>
  <c r="N519" i="1" s="1"/>
  <c r="K525" i="1"/>
  <c r="N525" i="1" s="1"/>
  <c r="K522" i="1"/>
  <c r="N522" i="1" s="1"/>
  <c r="K521" i="1"/>
  <c r="N521" i="1" s="1"/>
  <c r="K538" i="1"/>
  <c r="N538" i="1" s="1"/>
  <c r="K531" i="1"/>
  <c r="N531" i="1" s="1"/>
  <c r="K532" i="1"/>
  <c r="N532" i="1" s="1"/>
  <c r="K530" i="1"/>
  <c r="N530" i="1" s="1"/>
  <c r="K549" i="1"/>
  <c r="N549" i="1" s="1"/>
  <c r="K541" i="1"/>
  <c r="N541" i="1" s="1"/>
  <c r="K550" i="1"/>
  <c r="N550" i="1" s="1"/>
  <c r="K543" i="1"/>
  <c r="N543" i="1" s="1"/>
  <c r="K536" i="1"/>
  <c r="N536" i="1" s="1"/>
  <c r="K542" i="1"/>
  <c r="N542" i="1" s="1"/>
  <c r="K540" i="1"/>
  <c r="N540" i="1" s="1"/>
  <c r="K551" i="1"/>
  <c r="N551" i="1" s="1"/>
  <c r="K546" i="1"/>
  <c r="N546" i="1" s="1"/>
  <c r="K544" i="1"/>
  <c r="N544" i="1" s="1"/>
  <c r="K545" i="1"/>
  <c r="N545" i="1" s="1"/>
  <c r="K533" i="1"/>
  <c r="N533" i="1" s="1"/>
  <c r="K539" i="1"/>
  <c r="N539" i="1" s="1"/>
  <c r="K537" i="1"/>
  <c r="N537" i="1" s="1"/>
  <c r="K547" i="1"/>
  <c r="N547" i="1" s="1"/>
  <c r="K559" i="1"/>
  <c r="N559" i="1" s="1"/>
  <c r="K553" i="1"/>
  <c r="N553" i="1" s="1"/>
  <c r="K556" i="1"/>
  <c r="N556" i="1" s="1"/>
  <c r="K561" i="1"/>
  <c r="N561" i="1" s="1"/>
  <c r="K552" i="1"/>
  <c r="N552" i="1" s="1"/>
  <c r="K558" i="1"/>
  <c r="N558" i="1" s="1"/>
  <c r="K563" i="1"/>
  <c r="N563" i="1" s="1"/>
  <c r="K557" i="1"/>
  <c r="N557" i="1" s="1"/>
  <c r="K562" i="1"/>
  <c r="N562" i="1" s="1"/>
  <c r="K566" i="1"/>
  <c r="N566" i="1" s="1"/>
  <c r="K565" i="1"/>
  <c r="N565" i="1" s="1"/>
  <c r="K570" i="1"/>
  <c r="N570" i="1" s="1"/>
  <c r="K568" i="1"/>
  <c r="N568" i="1" s="1"/>
  <c r="K569" i="1"/>
  <c r="N569" i="1" s="1"/>
  <c r="K564" i="1"/>
  <c r="N564" i="1" s="1"/>
  <c r="K571" i="1"/>
  <c r="N571" i="1" s="1"/>
  <c r="K574" i="1"/>
  <c r="N574" i="1" s="1"/>
  <c r="K572" i="1"/>
  <c r="N572" i="1" s="1"/>
  <c r="K575" i="1"/>
  <c r="N575" i="1" s="1"/>
  <c r="K578" i="1"/>
  <c r="N578" i="1" s="1"/>
  <c r="K576" i="1"/>
  <c r="N576" i="1" s="1"/>
  <c r="K582" i="1"/>
  <c r="N582" i="1" s="1"/>
  <c r="K583" i="1"/>
  <c r="N583" i="1" s="1"/>
  <c r="K577" i="1"/>
  <c r="N577" i="1" s="1"/>
  <c r="K584" i="1"/>
  <c r="N584" i="1" s="1"/>
  <c r="K585" i="1"/>
  <c r="N585" i="1" s="1"/>
  <c r="K580" i="1"/>
  <c r="N580" i="1" s="1"/>
  <c r="K579" i="1"/>
  <c r="N579" i="1" s="1"/>
  <c r="K581" i="1"/>
  <c r="N581" i="1" s="1"/>
  <c r="K595" i="1"/>
  <c r="N595" i="1" s="1"/>
  <c r="K586" i="1"/>
  <c r="N586" i="1" s="1"/>
  <c r="K588" i="1"/>
  <c r="N588" i="1" s="1"/>
  <c r="K598" i="1"/>
  <c r="N598" i="1" s="1"/>
  <c r="K597" i="1"/>
  <c r="N597" i="1" s="1"/>
  <c r="K594" i="1"/>
  <c r="N594" i="1" s="1"/>
  <c r="K593" i="1"/>
  <c r="N593" i="1" s="1"/>
  <c r="K599" i="1"/>
  <c r="N599" i="1" s="1"/>
  <c r="K592" i="1"/>
  <c r="N592" i="1" s="1"/>
  <c r="K596" i="1"/>
  <c r="N596" i="1" s="1"/>
  <c r="K587" i="1"/>
  <c r="N587" i="1" s="1"/>
  <c r="K591" i="1"/>
  <c r="N591" i="1" s="1"/>
  <c r="K589" i="1"/>
  <c r="N589" i="1" s="1"/>
  <c r="K590" i="1"/>
  <c r="N590" i="1" s="1"/>
  <c r="K601" i="1"/>
  <c r="N601" i="1" s="1"/>
  <c r="K602" i="1"/>
  <c r="N602" i="1" s="1"/>
  <c r="K606" i="1"/>
  <c r="N606" i="1" s="1"/>
  <c r="K605" i="1"/>
  <c r="N605" i="1" s="1"/>
  <c r="K604" i="1"/>
  <c r="N604" i="1" s="1"/>
  <c r="K600" i="1"/>
  <c r="N600" i="1" s="1"/>
  <c r="K607" i="1"/>
  <c r="N607" i="1" s="1"/>
  <c r="K624" i="1"/>
  <c r="N624" i="1" s="1"/>
  <c r="K616" i="1"/>
  <c r="N616" i="1" s="1"/>
  <c r="K610" i="1"/>
  <c r="N610" i="1" s="1"/>
  <c r="K608" i="1"/>
  <c r="N608" i="1" s="1"/>
  <c r="K615" i="1"/>
  <c r="N615" i="1" s="1"/>
  <c r="K612" i="1"/>
  <c r="N612" i="1" s="1"/>
  <c r="K622" i="1"/>
  <c r="N622" i="1" s="1"/>
  <c r="K618" i="1"/>
  <c r="N618" i="1" s="1"/>
  <c r="K614" i="1"/>
  <c r="N614" i="1" s="1"/>
  <c r="K620" i="1"/>
  <c r="N620" i="1" s="1"/>
  <c r="K625" i="1"/>
  <c r="N625" i="1" s="1"/>
  <c r="K611" i="1"/>
  <c r="N611" i="1" s="1"/>
  <c r="K627" i="1"/>
  <c r="N627" i="1" s="1"/>
  <c r="K619" i="1"/>
  <c r="N619" i="1" s="1"/>
  <c r="K609" i="1"/>
  <c r="N609" i="1" s="1"/>
  <c r="K613" i="1"/>
  <c r="N613" i="1" s="1"/>
  <c r="K621" i="1"/>
  <c r="N621" i="1" s="1"/>
  <c r="K623" i="1"/>
  <c r="N623" i="1" s="1"/>
  <c r="K633" i="1"/>
  <c r="N633" i="1" s="1"/>
  <c r="K630" i="1"/>
  <c r="N630" i="1" s="1"/>
  <c r="K642" i="1"/>
  <c r="N642" i="1" s="1"/>
  <c r="K636" i="1"/>
  <c r="N636" i="1" s="1"/>
  <c r="K628" i="1"/>
  <c r="N628" i="1" s="1"/>
  <c r="K631" i="1"/>
  <c r="N631" i="1" s="1"/>
  <c r="K637" i="1"/>
  <c r="N637" i="1" s="1"/>
  <c r="K634" i="1"/>
  <c r="N634" i="1" s="1"/>
  <c r="K632" i="1"/>
  <c r="N632" i="1" s="1"/>
  <c r="K629" i="1"/>
  <c r="N629" i="1" s="1"/>
  <c r="K640" i="1"/>
  <c r="N640" i="1" s="1"/>
  <c r="K645" i="1"/>
  <c r="N645" i="1" s="1"/>
  <c r="K643" i="1"/>
  <c r="N643" i="1" s="1"/>
  <c r="K638" i="1"/>
  <c r="N638" i="1" s="1"/>
  <c r="K641" i="1"/>
  <c r="N641" i="1" s="1"/>
  <c r="K635" i="1"/>
  <c r="N635" i="1" s="1"/>
  <c r="K644" i="1"/>
  <c r="N644" i="1" s="1"/>
  <c r="K653" i="1"/>
  <c r="N653" i="1" s="1"/>
  <c r="K650" i="1"/>
  <c r="N650" i="1" s="1"/>
  <c r="K651" i="1"/>
  <c r="N651" i="1" s="1"/>
  <c r="K652" i="1"/>
  <c r="N652" i="1" s="1"/>
  <c r="K646" i="1"/>
  <c r="N646" i="1" s="1"/>
  <c r="K649" i="1"/>
  <c r="N649" i="1" s="1"/>
  <c r="K648" i="1"/>
  <c r="N648" i="1" s="1"/>
  <c r="K647" i="1"/>
  <c r="N647" i="1" s="1"/>
  <c r="K659" i="1"/>
  <c r="N659" i="1" s="1"/>
  <c r="K666" i="1"/>
  <c r="N666" i="1" s="1"/>
  <c r="K660" i="1"/>
  <c r="N660" i="1" s="1"/>
  <c r="K661" i="1"/>
  <c r="N661" i="1" s="1"/>
  <c r="K654" i="1"/>
  <c r="N654" i="1" s="1"/>
  <c r="K658" i="1"/>
  <c r="N658" i="1" s="1"/>
  <c r="K665" i="1"/>
  <c r="N665" i="1" s="1"/>
  <c r="K662" i="1"/>
  <c r="N662" i="1" s="1"/>
  <c r="K664" i="1"/>
  <c r="N664" i="1" s="1"/>
  <c r="K667" i="1"/>
  <c r="N667" i="1" s="1"/>
  <c r="K657" i="1"/>
  <c r="N657" i="1" s="1"/>
  <c r="K663" i="1"/>
  <c r="N663" i="1" s="1"/>
  <c r="K668" i="1"/>
  <c r="N668" i="1" s="1"/>
  <c r="K655" i="1"/>
  <c r="N655" i="1" s="1"/>
  <c r="K656" i="1"/>
  <c r="N656" i="1" s="1"/>
  <c r="K686" i="1"/>
  <c r="N686" i="1" s="1"/>
  <c r="K684" i="1"/>
  <c r="N684" i="1" s="1"/>
  <c r="K678" i="1"/>
  <c r="N678" i="1" s="1"/>
  <c r="K672" i="1"/>
  <c r="N672" i="1" s="1"/>
  <c r="K677" i="1"/>
  <c r="N677" i="1" s="1"/>
  <c r="K676" i="1"/>
  <c r="N676" i="1" s="1"/>
  <c r="K687" i="1"/>
  <c r="N687" i="1" s="1"/>
  <c r="K673" i="1"/>
  <c r="N673" i="1" s="1"/>
  <c r="K682" i="1"/>
  <c r="N682" i="1" s="1"/>
  <c r="K671" i="1"/>
  <c r="N671" i="1" s="1"/>
  <c r="K681" i="1"/>
  <c r="N681" i="1" s="1"/>
  <c r="K669" i="1"/>
  <c r="N669" i="1" s="1"/>
  <c r="K688" i="1"/>
  <c r="N688" i="1" s="1"/>
  <c r="K675" i="1"/>
  <c r="N675" i="1" s="1"/>
  <c r="K674" i="1"/>
  <c r="N674" i="1" s="1"/>
  <c r="K670" i="1"/>
  <c r="N670" i="1" s="1"/>
  <c r="K680" i="1"/>
  <c r="N680" i="1" s="1"/>
  <c r="K683" i="1"/>
  <c r="N683" i="1" s="1"/>
  <c r="K697" i="1"/>
  <c r="N697" i="1" s="1"/>
  <c r="K690" i="1"/>
  <c r="N690" i="1" s="1"/>
  <c r="K696" i="1"/>
  <c r="N696" i="1" s="1"/>
  <c r="K698" i="1"/>
  <c r="N698" i="1" s="1"/>
  <c r="K695" i="1"/>
  <c r="N695" i="1" s="1"/>
  <c r="K691" i="1"/>
  <c r="N691" i="1" s="1"/>
  <c r="K692" i="1"/>
  <c r="N692" i="1" s="1"/>
  <c r="K693" i="1"/>
  <c r="N693" i="1" s="1"/>
  <c r="K689" i="1"/>
  <c r="N689" i="1" s="1"/>
  <c r="K694" i="1"/>
  <c r="N694" i="1" s="1"/>
  <c r="K701" i="1"/>
  <c r="N701" i="1" s="1"/>
  <c r="K704" i="1"/>
  <c r="N704" i="1" s="1"/>
  <c r="K702" i="1"/>
  <c r="N702" i="1" s="1"/>
  <c r="K703" i="1"/>
  <c r="N703" i="1" s="1"/>
  <c r="K705" i="1"/>
  <c r="N705" i="1" s="1"/>
  <c r="K699" i="1"/>
  <c r="N699" i="1" s="1"/>
  <c r="K700" i="1"/>
  <c r="N700" i="1" s="1"/>
  <c r="K713" i="1"/>
  <c r="N713" i="1" s="1"/>
  <c r="K716" i="1"/>
  <c r="N716" i="1" s="1"/>
  <c r="K709" i="1"/>
  <c r="N709" i="1" s="1"/>
  <c r="K712" i="1"/>
  <c r="N712" i="1" s="1"/>
  <c r="K711" i="1"/>
  <c r="N711" i="1" s="1"/>
  <c r="K710" i="1"/>
  <c r="N710" i="1" s="1"/>
  <c r="K706" i="1"/>
  <c r="N706" i="1" s="1"/>
  <c r="K715" i="1"/>
  <c r="N715" i="1" s="1"/>
  <c r="K738" i="1"/>
  <c r="N738" i="1" s="1"/>
  <c r="K728" i="1"/>
  <c r="N728" i="1" s="1"/>
  <c r="K735" i="1"/>
  <c r="N735" i="1" s="1"/>
  <c r="K724" i="1"/>
  <c r="N724" i="1" s="1"/>
  <c r="K730" i="1"/>
  <c r="N730" i="1" s="1"/>
  <c r="K720" i="1"/>
  <c r="N720" i="1" s="1"/>
  <c r="K731" i="1"/>
  <c r="N731" i="1" s="1"/>
  <c r="K721" i="1"/>
  <c r="N721" i="1" s="1"/>
  <c r="K729" i="1"/>
  <c r="N729" i="1" s="1"/>
  <c r="K726" i="1"/>
  <c r="N726" i="1" s="1"/>
  <c r="K722" i="1"/>
  <c r="N722" i="1" s="1"/>
  <c r="K733" i="1"/>
  <c r="N733" i="1" s="1"/>
  <c r="K740" i="1"/>
  <c r="N740" i="1" s="1"/>
  <c r="K725" i="1"/>
  <c r="N725" i="1" s="1"/>
  <c r="K717" i="1"/>
  <c r="N717" i="1" s="1"/>
  <c r="K737" i="1"/>
  <c r="N737" i="1" s="1"/>
  <c r="K723" i="1"/>
  <c r="N723" i="1" s="1"/>
  <c r="K739" i="1"/>
  <c r="N739" i="1" s="1"/>
  <c r="K718" i="1"/>
  <c r="N718" i="1" s="1"/>
  <c r="K719" i="1"/>
  <c r="N719" i="1" s="1"/>
  <c r="K765" i="1"/>
  <c r="N765" i="1" s="1"/>
  <c r="K748" i="1"/>
  <c r="N748" i="1" s="1"/>
  <c r="K751" i="1"/>
  <c r="N751" i="1" s="1"/>
  <c r="K746" i="1"/>
  <c r="N746" i="1" s="1"/>
  <c r="K766" i="1"/>
  <c r="N766" i="1" s="1"/>
  <c r="K753" i="1"/>
  <c r="N753" i="1" s="1"/>
  <c r="K758" i="1"/>
  <c r="N758" i="1" s="1"/>
  <c r="K745" i="1"/>
  <c r="N745" i="1" s="1"/>
  <c r="K759" i="1"/>
  <c r="N759" i="1" s="1"/>
  <c r="K750" i="1"/>
  <c r="N750" i="1" s="1"/>
  <c r="K756" i="1"/>
  <c r="N756" i="1" s="1"/>
  <c r="K749" i="1"/>
  <c r="N749" i="1" s="1"/>
  <c r="K760" i="1"/>
  <c r="N760" i="1" s="1"/>
  <c r="K762" i="1"/>
  <c r="N762" i="1" s="1"/>
  <c r="K744" i="1"/>
  <c r="N744" i="1" s="1"/>
  <c r="K757" i="1"/>
  <c r="N757" i="1" s="1"/>
  <c r="K742" i="1"/>
  <c r="N742" i="1" s="1"/>
  <c r="K764" i="1"/>
  <c r="N764" i="1" s="1"/>
  <c r="K747" i="1"/>
  <c r="N747" i="1" s="1"/>
  <c r="K755" i="1"/>
  <c r="N755" i="1" s="1"/>
  <c r="K743" i="1"/>
  <c r="N743" i="1" s="1"/>
  <c r="K763" i="1"/>
  <c r="N763" i="1" s="1"/>
  <c r="K761" i="1"/>
  <c r="N761" i="1" s="1"/>
  <c r="K771" i="1"/>
  <c r="N771" i="1" s="1"/>
  <c r="K773" i="1"/>
  <c r="N773" i="1" s="1"/>
  <c r="K772" i="1"/>
  <c r="N772" i="1" s="1"/>
  <c r="K768" i="1"/>
  <c r="N768" i="1" s="1"/>
  <c r="K767" i="1"/>
  <c r="N767" i="1" s="1"/>
  <c r="K774" i="1"/>
  <c r="N774" i="1" s="1"/>
  <c r="K770" i="1"/>
  <c r="N770" i="1" s="1"/>
  <c r="K769" i="1"/>
  <c r="N769" i="1" s="1"/>
  <c r="K784" i="1"/>
  <c r="N784" i="1" s="1"/>
  <c r="K786" i="1"/>
  <c r="N786" i="1" s="1"/>
  <c r="K793" i="1"/>
  <c r="N793" i="1" s="1"/>
  <c r="K792" i="1"/>
  <c r="N792" i="1" s="1"/>
  <c r="K794" i="1"/>
  <c r="N794" i="1" s="1"/>
  <c r="K791" i="1"/>
  <c r="N791" i="1" s="1"/>
  <c r="K789" i="1"/>
  <c r="N789" i="1" s="1"/>
  <c r="K788" i="1"/>
  <c r="N788" i="1" s="1"/>
  <c r="K780" i="1"/>
  <c r="N780" i="1" s="1"/>
  <c r="K777" i="1"/>
  <c r="N777" i="1" s="1"/>
  <c r="K785" i="1"/>
  <c r="N785" i="1" s="1"/>
  <c r="K781" i="1"/>
  <c r="N781" i="1" s="1"/>
  <c r="K782" i="1"/>
  <c r="N782" i="1" s="1"/>
  <c r="K783" i="1"/>
  <c r="N783" i="1" s="1"/>
  <c r="K779" i="1"/>
  <c r="N779" i="1" s="1"/>
  <c r="K787" i="1"/>
  <c r="N787" i="1" s="1"/>
  <c r="K795" i="1"/>
  <c r="N795" i="1" s="1"/>
  <c r="K790" i="1"/>
  <c r="N790" i="1" s="1"/>
  <c r="K797" i="1"/>
  <c r="N797" i="1" s="1"/>
  <c r="K798" i="1"/>
  <c r="N798" i="1" s="1"/>
  <c r="K778" i="1"/>
  <c r="N778" i="1" s="1"/>
  <c r="K776" i="1"/>
  <c r="N776" i="1" s="1"/>
  <c r="K775" i="1"/>
  <c r="N775" i="1" s="1"/>
  <c r="K796" i="1"/>
  <c r="N796" i="1" s="1"/>
  <c r="K811" i="1"/>
  <c r="N811" i="1" s="1"/>
  <c r="K806" i="1"/>
  <c r="N806" i="1" s="1"/>
  <c r="K802" i="1"/>
  <c r="N802" i="1" s="1"/>
  <c r="K804" i="1"/>
  <c r="N804" i="1" s="1"/>
  <c r="K810" i="1"/>
  <c r="N810" i="1" s="1"/>
  <c r="K809" i="1"/>
  <c r="N809" i="1" s="1"/>
  <c r="K807" i="1"/>
  <c r="N807" i="1" s="1"/>
  <c r="K812" i="1"/>
  <c r="N812" i="1" s="1"/>
  <c r="K805" i="1"/>
  <c r="N805" i="1" s="1"/>
  <c r="K800" i="1"/>
  <c r="N800" i="1" s="1"/>
  <c r="K801" i="1"/>
  <c r="N801" i="1" s="1"/>
  <c r="K808" i="1"/>
  <c r="N808" i="1" s="1"/>
  <c r="K816" i="1"/>
  <c r="N816" i="1" s="1"/>
  <c r="K813" i="1"/>
  <c r="N813" i="1" s="1"/>
  <c r="K815" i="1"/>
  <c r="N815" i="1" s="1"/>
  <c r="K817" i="1"/>
  <c r="N817" i="1" s="1"/>
  <c r="K814" i="1"/>
  <c r="N814" i="1" s="1"/>
  <c r="K803" i="1"/>
  <c r="N803" i="1" s="1"/>
  <c r="K799" i="1"/>
  <c r="N799" i="1" s="1"/>
  <c r="K819" i="1"/>
  <c r="N819" i="1" s="1"/>
  <c r="K821" i="1"/>
  <c r="N821" i="1" s="1"/>
  <c r="K825" i="1"/>
  <c r="N825" i="1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K1027" i="3" l="1"/>
  <c r="L1027" i="3" s="1"/>
  <c r="K1028" i="3"/>
  <c r="L1028" i="3" s="1"/>
  <c r="K1029" i="3"/>
  <c r="L1029" i="3" s="1"/>
  <c r="K1030" i="3"/>
  <c r="L1030" i="3" s="1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E1055" i="3"/>
  <c r="E1056" i="3"/>
  <c r="E1057" i="3"/>
  <c r="E1058" i="3"/>
  <c r="E1059" i="3"/>
  <c r="E1060" i="3"/>
  <c r="E1061" i="3"/>
  <c r="E1062" i="3"/>
  <c r="L1062" i="3" s="1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L1087" i="3" s="1"/>
  <c r="E1088" i="3"/>
  <c r="E1089" i="3"/>
  <c r="E1090" i="3"/>
  <c r="E1091" i="3"/>
  <c r="E1092" i="3"/>
  <c r="E1093" i="3"/>
  <c r="E1094" i="3"/>
  <c r="E1095" i="3"/>
  <c r="L1095" i="3" s="1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L1135" i="3" s="1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L1189" i="3" s="1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L1206" i="3" s="1"/>
  <c r="E1207" i="3"/>
  <c r="E1208" i="3"/>
  <c r="E1209" i="3"/>
  <c r="E1210" i="3"/>
  <c r="E1211" i="3"/>
  <c r="E1212" i="3"/>
  <c r="E1213" i="3"/>
  <c r="L1213" i="3" s="1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L1261" i="3" s="1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L1278" i="3" s="1"/>
  <c r="E1279" i="3"/>
  <c r="E1280" i="3"/>
  <c r="E1281" i="3"/>
  <c r="E1282" i="3"/>
  <c r="E1283" i="3"/>
  <c r="E1284" i="3"/>
  <c r="L1284" i="3" s="1"/>
  <c r="E1285" i="3"/>
  <c r="E1286" i="3"/>
  <c r="L1286" i="3" s="1"/>
  <c r="E1287" i="3"/>
  <c r="E1288" i="3"/>
  <c r="E1289" i="3"/>
  <c r="E1290" i="3"/>
  <c r="E1291" i="3"/>
  <c r="E1292" i="3"/>
  <c r="E1293" i="3"/>
  <c r="E1294" i="3"/>
  <c r="L1294" i="3" s="1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L1326" i="3" s="1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L1342" i="3" s="1"/>
  <c r="E1343" i="3"/>
  <c r="E1344" i="3"/>
  <c r="E1345" i="3"/>
  <c r="E1346" i="3"/>
  <c r="E1347" i="3"/>
  <c r="E1348" i="3"/>
  <c r="L1348" i="3" s="1"/>
  <c r="E1349" i="3"/>
  <c r="E1350" i="3"/>
  <c r="L1350" i="3" s="1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L1364" i="3" s="1"/>
  <c r="E1365" i="3"/>
  <c r="E1366" i="3"/>
  <c r="L1366" i="3" s="1"/>
  <c r="E1367" i="3"/>
  <c r="E1368" i="3"/>
  <c r="E1369" i="3"/>
  <c r="E1370" i="3"/>
  <c r="E1371" i="3"/>
  <c r="E1372" i="3"/>
  <c r="E1373" i="3"/>
  <c r="L1373" i="3" s="1"/>
  <c r="E1374" i="3"/>
  <c r="L1374" i="3" s="1"/>
  <c r="E1375" i="3"/>
  <c r="E1376" i="3"/>
  <c r="E1377" i="3"/>
  <c r="E1378" i="3"/>
  <c r="E1379" i="3"/>
  <c r="E1380" i="3"/>
  <c r="E1381" i="3"/>
  <c r="L1381" i="3" s="1"/>
  <c r="E1382" i="3"/>
  <c r="L1382" i="3" s="1"/>
  <c r="E1383" i="3"/>
  <c r="E1384" i="3"/>
  <c r="E1385" i="3"/>
  <c r="E1386" i="3"/>
  <c r="E1387" i="3"/>
  <c r="E1388" i="3"/>
  <c r="E1389" i="3"/>
  <c r="L1389" i="3" s="1"/>
  <c r="E1390" i="3"/>
  <c r="E1391" i="3"/>
  <c r="E1392" i="3"/>
  <c r="E1393" i="3"/>
  <c r="E1394" i="3"/>
  <c r="E1395" i="3"/>
  <c r="E1396" i="3"/>
  <c r="L1396" i="3" s="1"/>
  <c r="E1397" i="3"/>
  <c r="L1397" i="3" s="1"/>
  <c r="E1398" i="3"/>
  <c r="E1399" i="3"/>
  <c r="E1400" i="3"/>
  <c r="E1401" i="3"/>
  <c r="E1402" i="3"/>
  <c r="E1403" i="3"/>
  <c r="E1404" i="3"/>
  <c r="L1404" i="3" s="1"/>
  <c r="E1405" i="3"/>
  <c r="L1405" i="3" s="1"/>
  <c r="E1406" i="3"/>
  <c r="E1407" i="3"/>
  <c r="E1408" i="3"/>
  <c r="E1409" i="3"/>
  <c r="E1410" i="3"/>
  <c r="E1411" i="3"/>
  <c r="E1412" i="3"/>
  <c r="L1412" i="3" s="1"/>
  <c r="E1413" i="3"/>
  <c r="L1413" i="3" s="1"/>
  <c r="E1414" i="3"/>
  <c r="E1415" i="3"/>
  <c r="E1416" i="3"/>
  <c r="E1417" i="3"/>
  <c r="E1418" i="3"/>
  <c r="E1419" i="3"/>
  <c r="E1420" i="3"/>
  <c r="L1420" i="3" s="1"/>
  <c r="E1421" i="3"/>
  <c r="L1421" i="3" s="1"/>
  <c r="E1422" i="3"/>
  <c r="E1423" i="3"/>
  <c r="E1424" i="3"/>
  <c r="E1425" i="3"/>
  <c r="E1426" i="3"/>
  <c r="E1427" i="3"/>
  <c r="E1428" i="3"/>
  <c r="L1428" i="3" s="1"/>
  <c r="E1429" i="3"/>
  <c r="L1429" i="3" s="1"/>
  <c r="E1430" i="3"/>
  <c r="E1431" i="3"/>
  <c r="E1432" i="3"/>
  <c r="E1433" i="3"/>
  <c r="E1434" i="3"/>
  <c r="E1435" i="3"/>
  <c r="E1436" i="3"/>
  <c r="L1436" i="3" s="1"/>
  <c r="E1437" i="3"/>
  <c r="L1437" i="3" s="1"/>
  <c r="E1438" i="3"/>
  <c r="E1439" i="3"/>
  <c r="E1440" i="3"/>
  <c r="E1441" i="3"/>
  <c r="E1442" i="3"/>
  <c r="E1443" i="3"/>
  <c r="E1444" i="3"/>
  <c r="L1444" i="3" s="1"/>
  <c r="E1445" i="3"/>
  <c r="L1445" i="3" s="1"/>
  <c r="E1446" i="3"/>
  <c r="E1447" i="3"/>
  <c r="E1448" i="3"/>
  <c r="E1449" i="3"/>
  <c r="E1450" i="3"/>
  <c r="E1451" i="3"/>
  <c r="E1452" i="3"/>
  <c r="L1452" i="3" s="1"/>
  <c r="E1453" i="3"/>
  <c r="L1453" i="3" s="1"/>
  <c r="E1454" i="3"/>
  <c r="E1455" i="3"/>
  <c r="E1456" i="3"/>
  <c r="E1457" i="3"/>
  <c r="L392" i="1"/>
  <c r="L395" i="1"/>
  <c r="L412" i="1"/>
  <c r="L404" i="1"/>
  <c r="L405" i="1"/>
  <c r="L398" i="1"/>
  <c r="L409" i="1"/>
  <c r="L414" i="1"/>
  <c r="L402" i="1"/>
  <c r="L415" i="1"/>
  <c r="L416" i="1"/>
  <c r="L399" i="1"/>
  <c r="L393" i="1"/>
  <c r="L400" i="1"/>
  <c r="L408" i="1"/>
  <c r="L413" i="1"/>
  <c r="L417" i="1"/>
  <c r="L407" i="1"/>
  <c r="L394" i="1"/>
  <c r="L403" i="1"/>
  <c r="L396" i="1"/>
  <c r="L410" i="1"/>
  <c r="L406" i="1"/>
  <c r="L401" i="1"/>
  <c r="L397" i="1"/>
  <c r="L411" i="1"/>
  <c r="L428" i="1"/>
  <c r="L424" i="1"/>
  <c r="L422" i="1"/>
  <c r="L442" i="1"/>
  <c r="L441" i="1"/>
  <c r="L431" i="1"/>
  <c r="L423" i="1"/>
  <c r="L432" i="1"/>
  <c r="L419" i="1"/>
  <c r="L426" i="1"/>
  <c r="L438" i="1"/>
  <c r="L433" i="1"/>
  <c r="L439" i="1"/>
  <c r="L418" i="1"/>
  <c r="L436" i="1"/>
  <c r="L435" i="1"/>
  <c r="L434" i="1"/>
  <c r="L421" i="1"/>
  <c r="L425" i="1"/>
  <c r="L420" i="1"/>
  <c r="L440" i="1"/>
  <c r="L429" i="1"/>
  <c r="L430" i="1"/>
  <c r="L427" i="1"/>
  <c r="L437" i="1"/>
  <c r="L448" i="1"/>
  <c r="L451" i="1"/>
  <c r="L445" i="1"/>
  <c r="L455" i="1"/>
  <c r="L452" i="1"/>
  <c r="L449" i="1"/>
  <c r="L456" i="1"/>
  <c r="L444" i="1"/>
  <c r="L450" i="1"/>
  <c r="L443" i="1"/>
  <c r="L447" i="1"/>
  <c r="L454" i="1"/>
  <c r="L453" i="1"/>
  <c r="L446" i="1"/>
  <c r="L457" i="1"/>
  <c r="L461" i="1"/>
  <c r="L458" i="1"/>
  <c r="L475" i="1"/>
  <c r="L465" i="1"/>
  <c r="L464" i="1"/>
  <c r="L474" i="1"/>
  <c r="L467" i="1"/>
  <c r="L473" i="1"/>
  <c r="L459" i="1"/>
  <c r="L477" i="1"/>
  <c r="L489" i="1"/>
  <c r="L471" i="1"/>
  <c r="L483" i="1"/>
  <c r="L482" i="1"/>
  <c r="L469" i="1"/>
  <c r="L460" i="1"/>
  <c r="L476" i="1"/>
  <c r="L487" i="1"/>
  <c r="L470" i="1"/>
  <c r="L484" i="1"/>
  <c r="L481" i="1"/>
  <c r="L479" i="1"/>
  <c r="L478" i="1"/>
  <c r="L468" i="1"/>
  <c r="L463" i="1"/>
  <c r="L485" i="1"/>
  <c r="L462" i="1"/>
  <c r="L472" i="1"/>
  <c r="L466" i="1"/>
  <c r="L480" i="1"/>
  <c r="L488" i="1"/>
  <c r="L486" i="1"/>
  <c r="L516" i="1"/>
  <c r="L502" i="1"/>
  <c r="L506" i="1"/>
  <c r="L512" i="1"/>
  <c r="L491" i="1"/>
  <c r="L493" i="1"/>
  <c r="L503" i="1"/>
  <c r="L507" i="1"/>
  <c r="L513" i="1"/>
  <c r="L514" i="1"/>
  <c r="L504" i="1"/>
  <c r="L494" i="1"/>
  <c r="L497" i="1"/>
  <c r="L510" i="1"/>
  <c r="L508" i="1"/>
  <c r="L509" i="1"/>
  <c r="L515" i="1"/>
  <c r="L492" i="1"/>
  <c r="L501" i="1"/>
  <c r="L517" i="1"/>
  <c r="L500" i="1"/>
  <c r="L490" i="1"/>
  <c r="L511" i="1"/>
  <c r="L505" i="1"/>
  <c r="L499" i="1"/>
  <c r="L495" i="1"/>
  <c r="L496" i="1"/>
  <c r="L498" i="1"/>
  <c r="L518" i="1"/>
  <c r="L524" i="1"/>
  <c r="L520" i="1"/>
  <c r="L527" i="1"/>
  <c r="L528" i="1"/>
  <c r="L523" i="1"/>
  <c r="L529" i="1"/>
  <c r="L526" i="1"/>
  <c r="L519" i="1"/>
  <c r="L525" i="1"/>
  <c r="L522" i="1"/>
  <c r="L521" i="1"/>
  <c r="L538" i="1"/>
  <c r="L531" i="1"/>
  <c r="L532" i="1"/>
  <c r="L530" i="1"/>
  <c r="L549" i="1"/>
  <c r="L541" i="1"/>
  <c r="L550" i="1"/>
  <c r="L543" i="1"/>
  <c r="L536" i="1"/>
  <c r="L542" i="1"/>
  <c r="L535" i="1"/>
  <c r="L540" i="1"/>
  <c r="L551" i="1"/>
  <c r="L548" i="1"/>
  <c r="L546" i="1"/>
  <c r="L534" i="1"/>
  <c r="L544" i="1"/>
  <c r="L545" i="1"/>
  <c r="L533" i="1"/>
  <c r="L539" i="1"/>
  <c r="L537" i="1"/>
  <c r="L547" i="1"/>
  <c r="L554" i="1"/>
  <c r="L559" i="1"/>
  <c r="L553" i="1"/>
  <c r="L555" i="1"/>
  <c r="L556" i="1"/>
  <c r="L561" i="1"/>
  <c r="L560" i="1"/>
  <c r="L552" i="1"/>
  <c r="L558" i="1"/>
  <c r="L563" i="1"/>
  <c r="L557" i="1"/>
  <c r="L562" i="1"/>
  <c r="L567" i="1"/>
  <c r="L566" i="1"/>
  <c r="L565" i="1"/>
  <c r="L570" i="1"/>
  <c r="L568" i="1"/>
  <c r="L569" i="1"/>
  <c r="L564" i="1"/>
  <c r="L571" i="1"/>
  <c r="L573" i="1"/>
  <c r="L574" i="1"/>
  <c r="L572" i="1"/>
  <c r="L575" i="1"/>
  <c r="L578" i="1"/>
  <c r="L576" i="1"/>
  <c r="L582" i="1"/>
  <c r="L583" i="1"/>
  <c r="L577" i="1"/>
  <c r="L584" i="1"/>
  <c r="L585" i="1"/>
  <c r="L580" i="1"/>
  <c r="L579" i="1"/>
  <c r="L581" i="1"/>
  <c r="L595" i="1"/>
  <c r="L586" i="1"/>
  <c r="L588" i="1"/>
  <c r="L598" i="1"/>
  <c r="L597" i="1"/>
  <c r="L594" i="1"/>
  <c r="L593" i="1"/>
  <c r="L599" i="1"/>
  <c r="L592" i="1"/>
  <c r="L596" i="1"/>
  <c r="L587" i="1"/>
  <c r="L591" i="1"/>
  <c r="L589" i="1"/>
  <c r="L590" i="1"/>
  <c r="L601" i="1"/>
  <c r="L602" i="1"/>
  <c r="L606" i="1"/>
  <c r="L605" i="1"/>
  <c r="L603" i="1"/>
  <c r="L604" i="1"/>
  <c r="L600" i="1"/>
  <c r="L607" i="1"/>
  <c r="L624" i="1"/>
  <c r="L616" i="1"/>
  <c r="L610" i="1"/>
  <c r="L608" i="1"/>
  <c r="L617" i="1"/>
  <c r="L615" i="1"/>
  <c r="L612" i="1"/>
  <c r="L622" i="1"/>
  <c r="L618" i="1"/>
  <c r="L614" i="1"/>
  <c r="L620" i="1"/>
  <c r="L625" i="1"/>
  <c r="L626" i="1"/>
  <c r="L611" i="1"/>
  <c r="L627" i="1"/>
  <c r="L619" i="1"/>
  <c r="L609" i="1"/>
  <c r="L613" i="1"/>
  <c r="L621" i="1"/>
  <c r="L623" i="1"/>
  <c r="L633" i="1"/>
  <c r="L630" i="1"/>
  <c r="L642" i="1"/>
  <c r="L636" i="1"/>
  <c r="L628" i="1"/>
  <c r="L631" i="1"/>
  <c r="L637" i="1"/>
  <c r="L634" i="1"/>
  <c r="L632" i="1"/>
  <c r="L629" i="1"/>
  <c r="L639" i="1"/>
  <c r="L640" i="1"/>
  <c r="L645" i="1"/>
  <c r="L643" i="1"/>
  <c r="L638" i="1"/>
  <c r="L641" i="1"/>
  <c r="L635" i="1"/>
  <c r="L644" i="1"/>
  <c r="L653" i="1"/>
  <c r="L650" i="1"/>
  <c r="L651" i="1"/>
  <c r="L652" i="1"/>
  <c r="L646" i="1"/>
  <c r="L649" i="1"/>
  <c r="L648" i="1"/>
  <c r="L647" i="1"/>
  <c r="L659" i="1"/>
  <c r="L666" i="1"/>
  <c r="L660" i="1"/>
  <c r="L661" i="1"/>
  <c r="L654" i="1"/>
  <c r="L658" i="1"/>
  <c r="L665" i="1"/>
  <c r="L662" i="1"/>
  <c r="L664" i="1"/>
  <c r="L667" i="1"/>
  <c r="L657" i="1"/>
  <c r="L663" i="1"/>
  <c r="L668" i="1"/>
  <c r="L655" i="1"/>
  <c r="L656" i="1"/>
  <c r="L686" i="1"/>
  <c r="L684" i="1"/>
  <c r="L678" i="1"/>
  <c r="L672" i="1"/>
  <c r="L677" i="1"/>
  <c r="L676" i="1"/>
  <c r="L687" i="1"/>
  <c r="L673" i="1"/>
  <c r="L682" i="1"/>
  <c r="L671" i="1"/>
  <c r="L681" i="1"/>
  <c r="L669" i="1"/>
  <c r="L688" i="1"/>
  <c r="L675" i="1"/>
  <c r="L674" i="1"/>
  <c r="L685" i="1"/>
  <c r="L670" i="1"/>
  <c r="L680" i="1"/>
  <c r="L683" i="1"/>
  <c r="L679" i="1"/>
  <c r="L697" i="1"/>
  <c r="L690" i="1"/>
  <c r="L696" i="1"/>
  <c r="L698" i="1"/>
  <c r="L695" i="1"/>
  <c r="L691" i="1"/>
  <c r="L692" i="1"/>
  <c r="L693" i="1"/>
  <c r="L689" i="1"/>
  <c r="L694" i="1"/>
  <c r="L701" i="1"/>
  <c r="L704" i="1"/>
  <c r="L702" i="1"/>
  <c r="L703" i="1"/>
  <c r="L705" i="1"/>
  <c r="L699" i="1"/>
  <c r="L700" i="1"/>
  <c r="L708" i="1"/>
  <c r="L713" i="1"/>
  <c r="L716" i="1"/>
  <c r="L707" i="1"/>
  <c r="L714" i="1"/>
  <c r="L709" i="1"/>
  <c r="L712" i="1"/>
  <c r="L711" i="1"/>
  <c r="L710" i="1"/>
  <c r="L706" i="1"/>
  <c r="L715" i="1"/>
  <c r="L738" i="1"/>
  <c r="L728" i="1"/>
  <c r="L735" i="1"/>
  <c r="L724" i="1"/>
  <c r="L730" i="1"/>
  <c r="L720" i="1"/>
  <c r="L736" i="1"/>
  <c r="L731" i="1"/>
  <c r="L721" i="1"/>
  <c r="L729" i="1"/>
  <c r="L734" i="1"/>
  <c r="L727" i="1"/>
  <c r="L726" i="1"/>
  <c r="L722" i="1"/>
  <c r="L733" i="1"/>
  <c r="L740" i="1"/>
  <c r="L725" i="1"/>
  <c r="L717" i="1"/>
  <c r="L737" i="1"/>
  <c r="L723" i="1"/>
  <c r="L739" i="1"/>
  <c r="L732" i="1"/>
  <c r="L718" i="1"/>
  <c r="L719" i="1"/>
  <c r="L765" i="1"/>
  <c r="L748" i="1"/>
  <c r="L751" i="1"/>
  <c r="L746" i="1"/>
  <c r="L741" i="1"/>
  <c r="L766" i="1"/>
  <c r="L753" i="1"/>
  <c r="L758" i="1"/>
  <c r="L745" i="1"/>
  <c r="L759" i="1"/>
  <c r="L750" i="1"/>
  <c r="L752" i="1"/>
  <c r="L754" i="1"/>
  <c r="L756" i="1"/>
  <c r="L749" i="1"/>
  <c r="L760" i="1"/>
  <c r="L762" i="1"/>
  <c r="L744" i="1"/>
  <c r="L757" i="1"/>
  <c r="L742" i="1"/>
  <c r="L764" i="1"/>
  <c r="L747" i="1"/>
  <c r="L755" i="1"/>
  <c r="L743" i="1"/>
  <c r="L763" i="1"/>
  <c r="L761" i="1"/>
  <c r="L771" i="1"/>
  <c r="L773" i="1"/>
  <c r="L772" i="1"/>
  <c r="L768" i="1"/>
  <c r="L767" i="1"/>
  <c r="L774" i="1"/>
  <c r="L770" i="1"/>
  <c r="L769" i="1"/>
  <c r="L784" i="1"/>
  <c r="L786" i="1"/>
  <c r="L793" i="1"/>
  <c r="L792" i="1"/>
  <c r="L794" i="1"/>
  <c r="L791" i="1"/>
  <c r="L789" i="1"/>
  <c r="L788" i="1"/>
  <c r="L780" i="1"/>
  <c r="L777" i="1"/>
  <c r="L785" i="1"/>
  <c r="L781" i="1"/>
  <c r="L782" i="1"/>
  <c r="L783" i="1"/>
  <c r="L779" i="1"/>
  <c r="L787" i="1"/>
  <c r="L795" i="1"/>
  <c r="L790" i="1"/>
  <c r="L797" i="1"/>
  <c r="L798" i="1"/>
  <c r="L778" i="1"/>
  <c r="L776" i="1"/>
  <c r="L775" i="1"/>
  <c r="L796" i="1"/>
  <c r="L811" i="1"/>
  <c r="L806" i="1"/>
  <c r="L802" i="1"/>
  <c r="L804" i="1"/>
  <c r="L810" i="1"/>
  <c r="L809" i="1"/>
  <c r="L807" i="1"/>
  <c r="L812" i="1"/>
  <c r="L805" i="1"/>
  <c r="L800" i="1"/>
  <c r="L801" i="1"/>
  <c r="L808" i="1"/>
  <c r="L816" i="1"/>
  <c r="L813" i="1"/>
  <c r="L815" i="1"/>
  <c r="L817" i="1"/>
  <c r="L814" i="1"/>
  <c r="L803" i="1"/>
  <c r="L799" i="1"/>
  <c r="L819" i="1"/>
  <c r="L821" i="1"/>
  <c r="L825" i="1"/>
  <c r="F392" i="1"/>
  <c r="F395" i="1"/>
  <c r="F412" i="1"/>
  <c r="F404" i="1"/>
  <c r="F422" i="1"/>
  <c r="F442" i="1"/>
  <c r="F441" i="1"/>
  <c r="F431" i="1"/>
  <c r="F423" i="1"/>
  <c r="F432" i="1"/>
  <c r="F419" i="1"/>
  <c r="F426" i="1"/>
  <c r="F438" i="1"/>
  <c r="F433" i="1"/>
  <c r="F439" i="1"/>
  <c r="F418" i="1"/>
  <c r="F436" i="1"/>
  <c r="F435" i="1"/>
  <c r="F434" i="1"/>
  <c r="F421" i="1"/>
  <c r="F425" i="1"/>
  <c r="F420" i="1"/>
  <c r="F440" i="1"/>
  <c r="F429" i="1"/>
  <c r="F430" i="1"/>
  <c r="F427" i="1"/>
  <c r="F437" i="1"/>
  <c r="F448" i="1"/>
  <c r="F451" i="1"/>
  <c r="F445" i="1"/>
  <c r="F455" i="1"/>
  <c r="F452" i="1"/>
  <c r="F449" i="1"/>
  <c r="F456" i="1"/>
  <c r="F444" i="1"/>
  <c r="F450" i="1"/>
  <c r="F443" i="1"/>
  <c r="F447" i="1"/>
  <c r="F454" i="1"/>
  <c r="F453" i="1"/>
  <c r="F446" i="1"/>
  <c r="F457" i="1"/>
  <c r="F461" i="1"/>
  <c r="F458" i="1"/>
  <c r="F475" i="1"/>
  <c r="F465" i="1"/>
  <c r="F464" i="1"/>
  <c r="F474" i="1"/>
  <c r="F467" i="1"/>
  <c r="F473" i="1"/>
  <c r="F459" i="1"/>
  <c r="F477" i="1"/>
  <c r="F489" i="1"/>
  <c r="F471" i="1"/>
  <c r="F483" i="1"/>
  <c r="F482" i="1"/>
  <c r="F469" i="1"/>
  <c r="F460" i="1"/>
  <c r="F476" i="1"/>
  <c r="F487" i="1"/>
  <c r="F470" i="1"/>
  <c r="F484" i="1"/>
  <c r="F481" i="1"/>
  <c r="F479" i="1"/>
  <c r="F478" i="1"/>
  <c r="F468" i="1"/>
  <c r="F463" i="1"/>
  <c r="F485" i="1"/>
  <c r="F462" i="1"/>
  <c r="F472" i="1"/>
  <c r="F466" i="1"/>
  <c r="F480" i="1"/>
  <c r="F488" i="1"/>
  <c r="F486" i="1"/>
  <c r="F516" i="1"/>
  <c r="F502" i="1"/>
  <c r="F506" i="1"/>
  <c r="F512" i="1"/>
  <c r="F491" i="1"/>
  <c r="F493" i="1"/>
  <c r="F503" i="1"/>
  <c r="F507" i="1"/>
  <c r="F513" i="1"/>
  <c r="F514" i="1"/>
  <c r="F504" i="1"/>
  <c r="F494" i="1"/>
  <c r="F497" i="1"/>
  <c r="F510" i="1"/>
  <c r="F508" i="1"/>
  <c r="F509" i="1"/>
  <c r="F515" i="1"/>
  <c r="F492" i="1"/>
  <c r="F501" i="1"/>
  <c r="F517" i="1"/>
  <c r="F500" i="1"/>
  <c r="F490" i="1"/>
  <c r="F511" i="1"/>
  <c r="F505" i="1"/>
  <c r="F499" i="1"/>
  <c r="F495" i="1"/>
  <c r="F496" i="1"/>
  <c r="F498" i="1"/>
  <c r="F518" i="1"/>
  <c r="F524" i="1"/>
  <c r="F520" i="1"/>
  <c r="F527" i="1"/>
  <c r="F528" i="1"/>
  <c r="F523" i="1"/>
  <c r="F529" i="1"/>
  <c r="F526" i="1"/>
  <c r="F519" i="1"/>
  <c r="F525" i="1"/>
  <c r="F522" i="1"/>
  <c r="F521" i="1"/>
  <c r="F538" i="1"/>
  <c r="F531" i="1"/>
  <c r="F532" i="1"/>
  <c r="F530" i="1"/>
  <c r="F549" i="1"/>
  <c r="F541" i="1"/>
  <c r="F550" i="1"/>
  <c r="F543" i="1"/>
  <c r="F536" i="1"/>
  <c r="F542" i="1"/>
  <c r="F535" i="1"/>
  <c r="F540" i="1"/>
  <c r="F551" i="1"/>
  <c r="F548" i="1"/>
  <c r="F546" i="1"/>
  <c r="F534" i="1"/>
  <c r="F544" i="1"/>
  <c r="F545" i="1"/>
  <c r="F533" i="1"/>
  <c r="F539" i="1"/>
  <c r="F537" i="1"/>
  <c r="F547" i="1"/>
  <c r="F554" i="1"/>
  <c r="F559" i="1"/>
  <c r="F553" i="1"/>
  <c r="F555" i="1"/>
  <c r="F556" i="1"/>
  <c r="F561" i="1"/>
  <c r="F560" i="1"/>
  <c r="F552" i="1"/>
  <c r="F558" i="1"/>
  <c r="F563" i="1"/>
  <c r="F557" i="1"/>
  <c r="F562" i="1"/>
  <c r="F567" i="1"/>
  <c r="F566" i="1"/>
  <c r="F565" i="1"/>
  <c r="F570" i="1"/>
  <c r="F568" i="1"/>
  <c r="F569" i="1"/>
  <c r="F564" i="1"/>
  <c r="F571" i="1"/>
  <c r="F573" i="1"/>
  <c r="F574" i="1"/>
  <c r="F572" i="1"/>
  <c r="F575" i="1"/>
  <c r="F578" i="1"/>
  <c r="F576" i="1"/>
  <c r="F582" i="1"/>
  <c r="F583" i="1"/>
  <c r="F577" i="1"/>
  <c r="F584" i="1"/>
  <c r="F585" i="1"/>
  <c r="F580" i="1"/>
  <c r="F579" i="1"/>
  <c r="F581" i="1"/>
  <c r="F595" i="1"/>
  <c r="F586" i="1"/>
  <c r="F588" i="1"/>
  <c r="F598" i="1"/>
  <c r="F597" i="1"/>
  <c r="F594" i="1"/>
  <c r="F593" i="1"/>
  <c r="F599" i="1"/>
  <c r="F592" i="1"/>
  <c r="F596" i="1"/>
  <c r="F587" i="1"/>
  <c r="F591" i="1"/>
  <c r="F589" i="1"/>
  <c r="F590" i="1"/>
  <c r="F601" i="1"/>
  <c r="F602" i="1"/>
  <c r="F606" i="1"/>
  <c r="F605" i="1"/>
  <c r="F603" i="1"/>
  <c r="F604" i="1"/>
  <c r="F600" i="1"/>
  <c r="F607" i="1"/>
  <c r="F624" i="1"/>
  <c r="F616" i="1"/>
  <c r="F610" i="1"/>
  <c r="F608" i="1"/>
  <c r="F617" i="1"/>
  <c r="F615" i="1"/>
  <c r="F612" i="1"/>
  <c r="F622" i="1"/>
  <c r="F618" i="1"/>
  <c r="F614" i="1"/>
  <c r="F620" i="1"/>
  <c r="F625" i="1"/>
  <c r="F626" i="1"/>
  <c r="F611" i="1"/>
  <c r="F627" i="1"/>
  <c r="F619" i="1"/>
  <c r="F609" i="1"/>
  <c r="F613" i="1"/>
  <c r="F621" i="1"/>
  <c r="F623" i="1"/>
  <c r="F633" i="1"/>
  <c r="F630" i="1"/>
  <c r="F642" i="1"/>
  <c r="F636" i="1"/>
  <c r="F628" i="1"/>
  <c r="F631" i="1"/>
  <c r="F637" i="1"/>
  <c r="F634" i="1"/>
  <c r="F632" i="1"/>
  <c r="F629" i="1"/>
  <c r="F639" i="1"/>
  <c r="F640" i="1"/>
  <c r="F645" i="1"/>
  <c r="F643" i="1"/>
  <c r="F638" i="1"/>
  <c r="F641" i="1"/>
  <c r="F635" i="1"/>
  <c r="F644" i="1"/>
  <c r="F653" i="1"/>
  <c r="F650" i="1"/>
  <c r="F651" i="1"/>
  <c r="F652" i="1"/>
  <c r="F646" i="1"/>
  <c r="F649" i="1"/>
  <c r="F648" i="1"/>
  <c r="F647" i="1"/>
  <c r="F659" i="1"/>
  <c r="F666" i="1"/>
  <c r="F660" i="1"/>
  <c r="F661" i="1"/>
  <c r="F654" i="1"/>
  <c r="F658" i="1"/>
  <c r="F665" i="1"/>
  <c r="F662" i="1"/>
  <c r="F664" i="1"/>
  <c r="F667" i="1"/>
  <c r="F657" i="1"/>
  <c r="F663" i="1"/>
  <c r="F668" i="1"/>
  <c r="F655" i="1"/>
  <c r="F656" i="1"/>
  <c r="F686" i="1"/>
  <c r="F684" i="1"/>
  <c r="F678" i="1"/>
  <c r="F672" i="1"/>
  <c r="F677" i="1"/>
  <c r="F676" i="1"/>
  <c r="F687" i="1"/>
  <c r="F673" i="1"/>
  <c r="F682" i="1"/>
  <c r="F671" i="1"/>
  <c r="F681" i="1"/>
  <c r="F669" i="1"/>
  <c r="F688" i="1"/>
  <c r="F675" i="1"/>
  <c r="F674" i="1"/>
  <c r="F685" i="1"/>
  <c r="F670" i="1"/>
  <c r="F680" i="1"/>
  <c r="F683" i="1"/>
  <c r="F679" i="1"/>
  <c r="F697" i="1"/>
  <c r="F690" i="1"/>
  <c r="F696" i="1"/>
  <c r="F698" i="1"/>
  <c r="F695" i="1"/>
  <c r="F691" i="1"/>
  <c r="F692" i="1"/>
  <c r="F693" i="1"/>
  <c r="F689" i="1"/>
  <c r="F694" i="1"/>
  <c r="F701" i="1"/>
  <c r="F704" i="1"/>
  <c r="F702" i="1"/>
  <c r="F703" i="1"/>
  <c r="F705" i="1"/>
  <c r="F699" i="1"/>
  <c r="F700" i="1"/>
  <c r="F708" i="1"/>
  <c r="F713" i="1"/>
  <c r="F716" i="1"/>
  <c r="F707" i="1"/>
  <c r="F714" i="1"/>
  <c r="F709" i="1"/>
  <c r="F712" i="1"/>
  <c r="F711" i="1"/>
  <c r="F710" i="1"/>
  <c r="F706" i="1"/>
  <c r="F715" i="1"/>
  <c r="F738" i="1"/>
  <c r="F728" i="1"/>
  <c r="F735" i="1"/>
  <c r="F724" i="1"/>
  <c r="F730" i="1"/>
  <c r="F720" i="1"/>
  <c r="F736" i="1"/>
  <c r="F731" i="1"/>
  <c r="F721" i="1"/>
  <c r="F729" i="1"/>
  <c r="F734" i="1"/>
  <c r="F727" i="1"/>
  <c r="F726" i="1"/>
  <c r="F722" i="1"/>
  <c r="F733" i="1"/>
  <c r="F740" i="1"/>
  <c r="F725" i="1"/>
  <c r="F717" i="1"/>
  <c r="F737" i="1"/>
  <c r="F723" i="1"/>
  <c r="F739" i="1"/>
  <c r="F732" i="1"/>
  <c r="F718" i="1"/>
  <c r="F719" i="1"/>
  <c r="F765" i="1"/>
  <c r="F748" i="1"/>
  <c r="F751" i="1"/>
  <c r="F746" i="1"/>
  <c r="F741" i="1"/>
  <c r="F766" i="1"/>
  <c r="F753" i="1"/>
  <c r="F758" i="1"/>
  <c r="F745" i="1"/>
  <c r="F759" i="1"/>
  <c r="F750" i="1"/>
  <c r="F752" i="1"/>
  <c r="F754" i="1"/>
  <c r="F756" i="1"/>
  <c r="F749" i="1"/>
  <c r="F760" i="1"/>
  <c r="F762" i="1"/>
  <c r="F744" i="1"/>
  <c r="F757" i="1"/>
  <c r="F742" i="1"/>
  <c r="F764" i="1"/>
  <c r="F747" i="1"/>
  <c r="F755" i="1"/>
  <c r="F743" i="1"/>
  <c r="F763" i="1"/>
  <c r="F761" i="1"/>
  <c r="F771" i="1"/>
  <c r="F773" i="1"/>
  <c r="F772" i="1"/>
  <c r="F768" i="1"/>
  <c r="F767" i="1"/>
  <c r="F774" i="1"/>
  <c r="F770" i="1"/>
  <c r="F769" i="1"/>
  <c r="F784" i="1"/>
  <c r="F786" i="1"/>
  <c r="F793" i="1"/>
  <c r="F792" i="1"/>
  <c r="F794" i="1"/>
  <c r="F791" i="1"/>
  <c r="F789" i="1"/>
  <c r="F788" i="1"/>
  <c r="F780" i="1"/>
  <c r="F777" i="1"/>
  <c r="F785" i="1"/>
  <c r="F781" i="1"/>
  <c r="F782" i="1"/>
  <c r="F783" i="1"/>
  <c r="F779" i="1"/>
  <c r="F787" i="1"/>
  <c r="F795" i="1"/>
  <c r="F790" i="1"/>
  <c r="F797" i="1"/>
  <c r="F798" i="1"/>
  <c r="F778" i="1"/>
  <c r="F776" i="1"/>
  <c r="F775" i="1"/>
  <c r="F796" i="1"/>
  <c r="F811" i="1"/>
  <c r="F806" i="1"/>
  <c r="F802" i="1"/>
  <c r="F804" i="1"/>
  <c r="F810" i="1"/>
  <c r="F809" i="1"/>
  <c r="F807" i="1"/>
  <c r="F812" i="1"/>
  <c r="F805" i="1"/>
  <c r="F800" i="1"/>
  <c r="F801" i="1"/>
  <c r="F808" i="1"/>
  <c r="F816" i="1"/>
  <c r="F813" i="1"/>
  <c r="F815" i="1"/>
  <c r="F817" i="1"/>
  <c r="F814" i="1"/>
  <c r="F803" i="1"/>
  <c r="F799" i="1"/>
  <c r="F819" i="1"/>
  <c r="F821" i="1"/>
  <c r="F825" i="1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I1388" i="3"/>
  <c r="J1388" i="3" s="1"/>
  <c r="J1387" i="3"/>
  <c r="J1386" i="3"/>
  <c r="J1385" i="3"/>
  <c r="J1384" i="3"/>
  <c r="J1383" i="3"/>
  <c r="J1382" i="3"/>
  <c r="J1381" i="3"/>
  <c r="I1380" i="3"/>
  <c r="J1380" i="3" s="1"/>
  <c r="J1379" i="3"/>
  <c r="I1378" i="3"/>
  <c r="J1377" i="3"/>
  <c r="J1376" i="3"/>
  <c r="J1375" i="3"/>
  <c r="J1374" i="3"/>
  <c r="J1373" i="3"/>
  <c r="J1372" i="3"/>
  <c r="J1371" i="3"/>
  <c r="J1370" i="3"/>
  <c r="J1369" i="3"/>
  <c r="J1368" i="3"/>
  <c r="J1367" i="3"/>
  <c r="I1366" i="3"/>
  <c r="J1366" i="3" s="1"/>
  <c r="I1365" i="3"/>
  <c r="J1365" i="3" s="1"/>
  <c r="J1364" i="3"/>
  <c r="J1363" i="3"/>
  <c r="I1362" i="3"/>
  <c r="J1362" i="3" s="1"/>
  <c r="J1361" i="3"/>
  <c r="J1360" i="3"/>
  <c r="J1359" i="3"/>
  <c r="J1358" i="3"/>
  <c r="J1357" i="3"/>
  <c r="J1356" i="3"/>
  <c r="J1355" i="3"/>
  <c r="I1354" i="3"/>
  <c r="J1354" i="3" s="1"/>
  <c r="J1353" i="3"/>
  <c r="J1352" i="3"/>
  <c r="J1351" i="3"/>
  <c r="J1350" i="3"/>
  <c r="J1349" i="3"/>
  <c r="J1348" i="3"/>
  <c r="J1347" i="3"/>
  <c r="J1346" i="3"/>
  <c r="I1345" i="3"/>
  <c r="J1345" i="3" s="1"/>
  <c r="J1344" i="3"/>
  <c r="J1343" i="3"/>
  <c r="J1342" i="3"/>
  <c r="I1341" i="3"/>
  <c r="J1341" i="3" s="1"/>
  <c r="J1340" i="3"/>
  <c r="J1339" i="3"/>
  <c r="J1338" i="3"/>
  <c r="J1337" i="3"/>
  <c r="J1336" i="3"/>
  <c r="I1335" i="3"/>
  <c r="J1335" i="3" s="1"/>
  <c r="J1334" i="3"/>
  <c r="J1333" i="3"/>
  <c r="J1332" i="3"/>
  <c r="J1331" i="3"/>
  <c r="J1330" i="3"/>
  <c r="J1329" i="3"/>
  <c r="J1328" i="3"/>
  <c r="J1327" i="3"/>
  <c r="J1326" i="3"/>
  <c r="J1325" i="3"/>
  <c r="J1324" i="3"/>
  <c r="I1323" i="3"/>
  <c r="J1323" i="3" s="1"/>
  <c r="J1322" i="3"/>
  <c r="J1321" i="3"/>
  <c r="J1320" i="3"/>
  <c r="I1319" i="3"/>
  <c r="J1319" i="3" s="1"/>
  <c r="J1318" i="3"/>
  <c r="J1317" i="3"/>
  <c r="J1316" i="3"/>
  <c r="J1315" i="3"/>
  <c r="I1313" i="3"/>
  <c r="J1313" i="3" s="1"/>
  <c r="J1312" i="3"/>
  <c r="J1311" i="3"/>
  <c r="I1310" i="3"/>
  <c r="J1310" i="3" s="1"/>
  <c r="J1309" i="3"/>
  <c r="J1308" i="3"/>
  <c r="J1307" i="3"/>
  <c r="J1306" i="3"/>
  <c r="J1305" i="3"/>
  <c r="I1304" i="3"/>
  <c r="J1304" i="3" s="1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I1280" i="3"/>
  <c r="J1280" i="3" s="1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8" i="3"/>
  <c r="J1257" i="3"/>
  <c r="J1256" i="3"/>
  <c r="I1255" i="3"/>
  <c r="J1255" i="3" s="1"/>
  <c r="J1254" i="3"/>
  <c r="J1253" i="3"/>
  <c r="J1252" i="3"/>
  <c r="J1251" i="3"/>
  <c r="J1250" i="3"/>
  <c r="J1249" i="3"/>
  <c r="J1248" i="3"/>
  <c r="I1247" i="3"/>
  <c r="J1247" i="3" s="1"/>
  <c r="J1246" i="3"/>
  <c r="I1245" i="3"/>
  <c r="J1245" i="3" s="1"/>
  <c r="J1244" i="3"/>
  <c r="J1242" i="3"/>
  <c r="J1241" i="3"/>
  <c r="J1240" i="3"/>
  <c r="J1239" i="3"/>
  <c r="J1238" i="3"/>
  <c r="I1237" i="3"/>
  <c r="J1237" i="3" s="1"/>
  <c r="J1236" i="3"/>
  <c r="J1235" i="3"/>
  <c r="J1234" i="3"/>
  <c r="J1233" i="3"/>
  <c r="J1232" i="3"/>
  <c r="J1231" i="3"/>
  <c r="J1230" i="3"/>
  <c r="J1229" i="3"/>
  <c r="J1228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I1210" i="3"/>
  <c r="J1210" i="3" s="1"/>
  <c r="J1209" i="3"/>
  <c r="J1208" i="3"/>
  <c r="I1207" i="3"/>
  <c r="J1207" i="3" s="1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I1190" i="3"/>
  <c r="J1190" i="3" s="1"/>
  <c r="J1189" i="3"/>
  <c r="J1188" i="3"/>
  <c r="I1187" i="3"/>
  <c r="J1187" i="3" s="1"/>
  <c r="J1186" i="3"/>
  <c r="J1185" i="3"/>
  <c r="J1184" i="3"/>
  <c r="J1183" i="3"/>
  <c r="J1182" i="3"/>
  <c r="J1181" i="3"/>
  <c r="I1180" i="3"/>
  <c r="J1180" i="3" s="1"/>
  <c r="J1179" i="3"/>
  <c r="J1178" i="3"/>
  <c r="J1177" i="3"/>
  <c r="J1176" i="3"/>
  <c r="J1175" i="3"/>
  <c r="J1174" i="3"/>
  <c r="J1173" i="3"/>
  <c r="J1172" i="3"/>
  <c r="J1171" i="3"/>
  <c r="I1170" i="3"/>
  <c r="J1170" i="3" s="1"/>
  <c r="J1169" i="3"/>
  <c r="J1168" i="3"/>
  <c r="J1167" i="3"/>
  <c r="J1166" i="3"/>
  <c r="J1165" i="3"/>
  <c r="J1164" i="3"/>
  <c r="J1163" i="3"/>
  <c r="J1162" i="3"/>
  <c r="J1161" i="3"/>
  <c r="J1160" i="3"/>
  <c r="J1158" i="3"/>
  <c r="I1156" i="3"/>
  <c r="J1156" i="3" s="1"/>
  <c r="J1155" i="3"/>
  <c r="J1154" i="3"/>
  <c r="J1153" i="3"/>
  <c r="J1152" i="3"/>
  <c r="J1150" i="3"/>
  <c r="J1149" i="3"/>
  <c r="J1148" i="3"/>
  <c r="I1147" i="3"/>
  <c r="J1147" i="3" s="1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29" i="3"/>
  <c r="J1128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I1106" i="3"/>
  <c r="J1106" i="3" s="1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I1092" i="3"/>
  <c r="J1092" i="3" s="1"/>
  <c r="J1091" i="3"/>
  <c r="I1090" i="3"/>
  <c r="J1090" i="3" s="1"/>
  <c r="J1089" i="3"/>
  <c r="J1088" i="3"/>
  <c r="J1086" i="3"/>
  <c r="J1084" i="3"/>
  <c r="I1083" i="3"/>
  <c r="J1083" i="3" s="1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I1062" i="3"/>
  <c r="J1062" i="3" s="1"/>
  <c r="J1061" i="3"/>
  <c r="J1060" i="3"/>
  <c r="J1059" i="3"/>
  <c r="J1058" i="3"/>
  <c r="J1056" i="3"/>
  <c r="J1055" i="3"/>
  <c r="E1054" i="3"/>
  <c r="J1054" i="3"/>
  <c r="E1053" i="3"/>
  <c r="J1053" i="3"/>
  <c r="E1052" i="3"/>
  <c r="J1052" i="3"/>
  <c r="E1051" i="3"/>
  <c r="J1051" i="3"/>
  <c r="E1050" i="3"/>
  <c r="I1050" i="3"/>
  <c r="J1050" i="3" s="1"/>
  <c r="E1049" i="3"/>
  <c r="J1049" i="3"/>
  <c r="E1048" i="3"/>
  <c r="J1048" i="3"/>
  <c r="E1047" i="3"/>
  <c r="J1047" i="3"/>
  <c r="E1046" i="3"/>
  <c r="J1046" i="3"/>
  <c r="E1045" i="3"/>
  <c r="J1045" i="3"/>
  <c r="E1044" i="3"/>
  <c r="J1044" i="3"/>
  <c r="E1043" i="3"/>
  <c r="J1043" i="3"/>
  <c r="E1042" i="3"/>
  <c r="J1042" i="3"/>
  <c r="E1041" i="3"/>
  <c r="J1041" i="3"/>
  <c r="E1040" i="3"/>
  <c r="J1040" i="3"/>
  <c r="E1039" i="3"/>
  <c r="J1039" i="3"/>
  <c r="E1038" i="3"/>
  <c r="J1038" i="3"/>
  <c r="E1037" i="3"/>
  <c r="J1037" i="3"/>
  <c r="E1036" i="3"/>
  <c r="J1036" i="3"/>
  <c r="E1035" i="3"/>
  <c r="J1035" i="3"/>
  <c r="E1034" i="3"/>
  <c r="J1034" i="3"/>
  <c r="E1033" i="3"/>
  <c r="J1033" i="3"/>
  <c r="E1032" i="3"/>
  <c r="J1032" i="3"/>
  <c r="E1031" i="3"/>
  <c r="J1031" i="3"/>
  <c r="J1030" i="3"/>
  <c r="J1029" i="3"/>
  <c r="J1028" i="3"/>
  <c r="J1027" i="3"/>
  <c r="K1026" i="3"/>
  <c r="E1026" i="3"/>
  <c r="J1026" i="3"/>
  <c r="K1025" i="3"/>
  <c r="E1025" i="3"/>
  <c r="J1025" i="3"/>
  <c r="K1024" i="3"/>
  <c r="E1024" i="3"/>
  <c r="J1024" i="3"/>
  <c r="K1023" i="3"/>
  <c r="E1023" i="3"/>
  <c r="I1023" i="3"/>
  <c r="J1023" i="3" s="1"/>
  <c r="K1022" i="3"/>
  <c r="E1022" i="3"/>
  <c r="J1022" i="3"/>
  <c r="K1021" i="3"/>
  <c r="E1021" i="3"/>
  <c r="K1020" i="3"/>
  <c r="E1020" i="3"/>
  <c r="J1020" i="3"/>
  <c r="K1019" i="3"/>
  <c r="E1019" i="3"/>
  <c r="J1019" i="3"/>
  <c r="K1018" i="3"/>
  <c r="E1018" i="3"/>
  <c r="J1018" i="3"/>
  <c r="K1017" i="3"/>
  <c r="E1017" i="3"/>
  <c r="I1017" i="3"/>
  <c r="J1017" i="3" s="1"/>
  <c r="K1016" i="3"/>
  <c r="E1016" i="3"/>
  <c r="J1016" i="3"/>
  <c r="K1015" i="3"/>
  <c r="E1015" i="3"/>
  <c r="J1015" i="3"/>
  <c r="K1014" i="3"/>
  <c r="E1014" i="3"/>
  <c r="J1014" i="3"/>
  <c r="K1013" i="3"/>
  <c r="E1013" i="3"/>
  <c r="J1013" i="3"/>
  <c r="K1012" i="3"/>
  <c r="E1012" i="3"/>
  <c r="J1012" i="3"/>
  <c r="K1011" i="3"/>
  <c r="E1011" i="3"/>
  <c r="J1011" i="3"/>
  <c r="K1010" i="3"/>
  <c r="E1010" i="3"/>
  <c r="K1009" i="3"/>
  <c r="E1009" i="3"/>
  <c r="J1009" i="3"/>
  <c r="K1008" i="3"/>
  <c r="E1008" i="3"/>
  <c r="J1008" i="3"/>
  <c r="K1007" i="3"/>
  <c r="E1007" i="3"/>
  <c r="J1007" i="3"/>
  <c r="K1006" i="3"/>
  <c r="E1006" i="3"/>
  <c r="J1006" i="3"/>
  <c r="K1005" i="3"/>
  <c r="E1005" i="3"/>
  <c r="J1005" i="3"/>
  <c r="K1004" i="3"/>
  <c r="E1004" i="3"/>
  <c r="K1003" i="3"/>
  <c r="E1003" i="3"/>
  <c r="I1003" i="3"/>
  <c r="J1003" i="3" s="1"/>
  <c r="K1002" i="3"/>
  <c r="E1002" i="3"/>
  <c r="J1002" i="3"/>
  <c r="K1001" i="3"/>
  <c r="E1001" i="3"/>
  <c r="J1001" i="3"/>
  <c r="K1000" i="3"/>
  <c r="E1000" i="3"/>
  <c r="J1000" i="3"/>
  <c r="K999" i="3"/>
  <c r="E999" i="3"/>
  <c r="J999" i="3"/>
  <c r="K998" i="3"/>
  <c r="E998" i="3"/>
  <c r="J998" i="3"/>
  <c r="K997" i="3"/>
  <c r="E997" i="3"/>
  <c r="K996" i="3"/>
  <c r="E996" i="3"/>
  <c r="J996" i="3"/>
  <c r="K995" i="3"/>
  <c r="E995" i="3"/>
  <c r="K994" i="3"/>
  <c r="E994" i="3"/>
  <c r="J994" i="3"/>
  <c r="K993" i="3"/>
  <c r="E993" i="3"/>
  <c r="I993" i="3"/>
  <c r="J993" i="3" s="1"/>
  <c r="K992" i="3"/>
  <c r="E992" i="3"/>
  <c r="J992" i="3"/>
  <c r="K991" i="3"/>
  <c r="E991" i="3"/>
  <c r="J991" i="3"/>
  <c r="K990" i="3"/>
  <c r="E990" i="3"/>
  <c r="J990" i="3"/>
  <c r="K989" i="3"/>
  <c r="E989" i="3"/>
  <c r="K988" i="3"/>
  <c r="E988" i="3"/>
  <c r="J988" i="3"/>
  <c r="K987" i="3"/>
  <c r="E987" i="3"/>
  <c r="K986" i="3"/>
  <c r="E986" i="3"/>
  <c r="J986" i="3"/>
  <c r="K985" i="3"/>
  <c r="E985" i="3"/>
  <c r="K984" i="3"/>
  <c r="E984" i="3"/>
  <c r="J984" i="3"/>
  <c r="K983" i="3"/>
  <c r="E983" i="3"/>
  <c r="J983" i="3"/>
  <c r="K982" i="3"/>
  <c r="E982" i="3"/>
  <c r="J982" i="3"/>
  <c r="K981" i="3"/>
  <c r="E981" i="3"/>
  <c r="K980" i="3"/>
  <c r="E980" i="3"/>
  <c r="I980" i="3"/>
  <c r="J980" i="3" s="1"/>
  <c r="K979" i="3"/>
  <c r="E979" i="3"/>
  <c r="K978" i="3"/>
  <c r="E978" i="3"/>
  <c r="J978" i="3"/>
  <c r="K977" i="3"/>
  <c r="E977" i="3"/>
  <c r="J977" i="3"/>
  <c r="K976" i="3"/>
  <c r="E976" i="3"/>
  <c r="J976" i="3"/>
  <c r="K975" i="3"/>
  <c r="E975" i="3"/>
  <c r="J975" i="3"/>
  <c r="K974" i="3"/>
  <c r="E974" i="3"/>
  <c r="J974" i="3"/>
  <c r="K973" i="3"/>
  <c r="E973" i="3"/>
  <c r="K972" i="3"/>
  <c r="E972" i="3"/>
  <c r="J972" i="3"/>
  <c r="K971" i="3"/>
  <c r="E971" i="3"/>
  <c r="K970" i="3"/>
  <c r="E970" i="3"/>
  <c r="J970" i="3"/>
  <c r="K969" i="3"/>
  <c r="E969" i="3"/>
  <c r="J969" i="3"/>
  <c r="K968" i="3"/>
  <c r="E968" i="3"/>
  <c r="J968" i="3"/>
  <c r="K967" i="3"/>
  <c r="E967" i="3"/>
  <c r="J967" i="3"/>
  <c r="K966" i="3"/>
  <c r="E966" i="3"/>
  <c r="J966" i="3"/>
  <c r="K965" i="3"/>
  <c r="E965" i="3"/>
  <c r="J965" i="3"/>
  <c r="K964" i="3"/>
  <c r="E964" i="3"/>
  <c r="I964" i="3"/>
  <c r="J964" i="3" s="1"/>
  <c r="K963" i="3"/>
  <c r="E963" i="3"/>
  <c r="K962" i="3"/>
  <c r="E962" i="3"/>
  <c r="J962" i="3"/>
  <c r="K961" i="3"/>
  <c r="E961" i="3"/>
  <c r="J961" i="3"/>
  <c r="K960" i="3"/>
  <c r="E960" i="3"/>
  <c r="J960" i="3"/>
  <c r="K959" i="3"/>
  <c r="E959" i="3"/>
  <c r="I959" i="3"/>
  <c r="J959" i="3" s="1"/>
  <c r="K958" i="3"/>
  <c r="E958" i="3"/>
  <c r="J958" i="3"/>
  <c r="K957" i="3"/>
  <c r="E957" i="3"/>
  <c r="K956" i="3"/>
  <c r="E956" i="3"/>
  <c r="J956" i="3"/>
  <c r="K955" i="3"/>
  <c r="E955" i="3"/>
  <c r="K954" i="3"/>
  <c r="E954" i="3"/>
  <c r="J954" i="3"/>
  <c r="K953" i="3"/>
  <c r="E953" i="3"/>
  <c r="J953" i="3"/>
  <c r="K952" i="3"/>
  <c r="E952" i="3"/>
  <c r="J952" i="3"/>
  <c r="K951" i="3"/>
  <c r="E951" i="3"/>
  <c r="J951" i="3"/>
  <c r="K950" i="3"/>
  <c r="E950" i="3"/>
  <c r="J950" i="3"/>
  <c r="K949" i="3"/>
  <c r="E949" i="3"/>
  <c r="K948" i="3"/>
  <c r="E948" i="3"/>
  <c r="J948" i="3"/>
  <c r="K947" i="3"/>
  <c r="E947" i="3"/>
  <c r="J947" i="3"/>
  <c r="K946" i="3"/>
  <c r="E946" i="3"/>
  <c r="I946" i="3"/>
  <c r="J946" i="3" s="1"/>
  <c r="K945" i="3"/>
  <c r="E945" i="3"/>
  <c r="J945" i="3"/>
  <c r="K944" i="3"/>
  <c r="E944" i="3"/>
  <c r="J944" i="3"/>
  <c r="K943" i="3"/>
  <c r="E943" i="3"/>
  <c r="J943" i="3"/>
  <c r="K942" i="3"/>
  <c r="E942" i="3"/>
  <c r="J942" i="3"/>
  <c r="K941" i="3"/>
  <c r="E941" i="3"/>
  <c r="J941" i="3"/>
  <c r="K940" i="3"/>
  <c r="E940" i="3"/>
  <c r="J940" i="3"/>
  <c r="K939" i="3"/>
  <c r="E939" i="3"/>
  <c r="J939" i="3"/>
  <c r="K938" i="3"/>
  <c r="E938" i="3"/>
  <c r="J938" i="3"/>
  <c r="K937" i="3"/>
  <c r="E937" i="3"/>
  <c r="J937" i="3"/>
  <c r="K936" i="3"/>
  <c r="E936" i="3"/>
  <c r="J936" i="3"/>
  <c r="K935" i="3"/>
  <c r="E935" i="3"/>
  <c r="J935" i="3"/>
  <c r="K934" i="3"/>
  <c r="E934" i="3"/>
  <c r="J934" i="3"/>
  <c r="K933" i="3"/>
  <c r="E933" i="3"/>
  <c r="J933" i="3"/>
  <c r="K932" i="3"/>
  <c r="E932" i="3"/>
  <c r="J932" i="3"/>
  <c r="K931" i="3"/>
  <c r="E931" i="3"/>
  <c r="J931" i="3"/>
  <c r="K930" i="3"/>
  <c r="E930" i="3"/>
  <c r="J930" i="3"/>
  <c r="K929" i="3"/>
  <c r="E929" i="3"/>
  <c r="J929" i="3"/>
  <c r="K928" i="3"/>
  <c r="E928" i="3"/>
  <c r="I928" i="3"/>
  <c r="J928" i="3" s="1"/>
  <c r="K927" i="3"/>
  <c r="E927" i="3"/>
  <c r="J927" i="3"/>
  <c r="K926" i="3"/>
  <c r="E926" i="3"/>
  <c r="J926" i="3"/>
  <c r="K925" i="3"/>
  <c r="E925" i="3"/>
  <c r="J925" i="3"/>
  <c r="K924" i="3"/>
  <c r="E924" i="3"/>
  <c r="J924" i="3"/>
  <c r="K923" i="3"/>
  <c r="E923" i="3"/>
  <c r="J923" i="3"/>
  <c r="K922" i="3"/>
  <c r="E922" i="3"/>
  <c r="I922" i="3"/>
  <c r="J922" i="3" s="1"/>
  <c r="K921" i="3"/>
  <c r="E921" i="3"/>
  <c r="J921" i="3"/>
  <c r="K920" i="3"/>
  <c r="E920" i="3"/>
  <c r="J920" i="3"/>
  <c r="K919" i="3"/>
  <c r="E919" i="3"/>
  <c r="J919" i="3"/>
  <c r="K918" i="3"/>
  <c r="E918" i="3"/>
  <c r="J918" i="3"/>
  <c r="K917" i="3"/>
  <c r="E917" i="3"/>
  <c r="I917" i="3"/>
  <c r="J917" i="3" s="1"/>
  <c r="K916" i="3"/>
  <c r="E916" i="3"/>
  <c r="J916" i="3"/>
  <c r="K915" i="3"/>
  <c r="E915" i="3"/>
  <c r="J915" i="3"/>
  <c r="K914" i="3"/>
  <c r="E914" i="3"/>
  <c r="J914" i="3"/>
  <c r="K913" i="3"/>
  <c r="E913" i="3"/>
  <c r="J913" i="3"/>
  <c r="K912" i="3"/>
  <c r="E912" i="3"/>
  <c r="J912" i="3"/>
  <c r="K911" i="3"/>
  <c r="E911" i="3"/>
  <c r="J911" i="3"/>
  <c r="K910" i="3"/>
  <c r="E910" i="3"/>
  <c r="J910" i="3"/>
  <c r="K909" i="3"/>
  <c r="E909" i="3"/>
  <c r="K908" i="3"/>
  <c r="E908" i="3"/>
  <c r="J908" i="3"/>
  <c r="K907" i="3"/>
  <c r="E907" i="3"/>
  <c r="J907" i="3"/>
  <c r="K906" i="3"/>
  <c r="E906" i="3"/>
  <c r="J906" i="3"/>
  <c r="K905" i="3"/>
  <c r="E905" i="3"/>
  <c r="J905" i="3"/>
  <c r="K904" i="3"/>
  <c r="E904" i="3"/>
  <c r="I904" i="3"/>
  <c r="J904" i="3" s="1"/>
  <c r="K903" i="3"/>
  <c r="E903" i="3"/>
  <c r="J903" i="3"/>
  <c r="K902" i="3"/>
  <c r="E902" i="3"/>
  <c r="J902" i="3"/>
  <c r="K901" i="3"/>
  <c r="E901" i="3"/>
  <c r="J901" i="3"/>
  <c r="K900" i="3"/>
  <c r="E900" i="3"/>
  <c r="K899" i="3"/>
  <c r="E899" i="3"/>
  <c r="J899" i="3"/>
  <c r="K898" i="3"/>
  <c r="E898" i="3"/>
  <c r="J898" i="3"/>
  <c r="K897" i="3"/>
  <c r="E897" i="3"/>
  <c r="J897" i="3"/>
  <c r="K896" i="3"/>
  <c r="E896" i="3"/>
  <c r="J896" i="3"/>
  <c r="K895" i="3"/>
  <c r="E895" i="3"/>
  <c r="J895" i="3"/>
  <c r="K894" i="3"/>
  <c r="E894" i="3"/>
  <c r="K893" i="3"/>
  <c r="E893" i="3"/>
  <c r="J893" i="3"/>
  <c r="K892" i="3"/>
  <c r="E892" i="3"/>
  <c r="J892" i="3"/>
  <c r="K891" i="3"/>
  <c r="E891" i="3"/>
  <c r="J891" i="3"/>
  <c r="K890" i="3"/>
  <c r="E890" i="3"/>
  <c r="J890" i="3"/>
  <c r="K889" i="3"/>
  <c r="E889" i="3"/>
  <c r="J889" i="3"/>
  <c r="K888" i="3"/>
  <c r="E888" i="3"/>
  <c r="J888" i="3"/>
  <c r="K887" i="3"/>
  <c r="E887" i="3"/>
  <c r="J887" i="3"/>
  <c r="K886" i="3"/>
  <c r="E886" i="3"/>
  <c r="J886" i="3"/>
  <c r="K885" i="3"/>
  <c r="E885" i="3"/>
  <c r="J885" i="3"/>
  <c r="K884" i="3"/>
  <c r="E884" i="3"/>
  <c r="J884" i="3"/>
  <c r="K883" i="3"/>
  <c r="E883" i="3"/>
  <c r="J883" i="3"/>
  <c r="K882" i="3"/>
  <c r="E882" i="3"/>
  <c r="J882" i="3"/>
  <c r="K881" i="3"/>
  <c r="E881" i="3"/>
  <c r="J881" i="3"/>
  <c r="K880" i="3"/>
  <c r="E880" i="3"/>
  <c r="J880" i="3"/>
  <c r="K879" i="3"/>
  <c r="E879" i="3"/>
  <c r="J879" i="3"/>
  <c r="K878" i="3"/>
  <c r="E878" i="3"/>
  <c r="J878" i="3"/>
  <c r="K877" i="3"/>
  <c r="E877" i="3"/>
  <c r="J877" i="3"/>
  <c r="K876" i="3"/>
  <c r="E876" i="3"/>
  <c r="I876" i="3"/>
  <c r="J876" i="3" s="1"/>
  <c r="K875" i="3"/>
  <c r="E875" i="3"/>
  <c r="J875" i="3"/>
  <c r="K874" i="3"/>
  <c r="E874" i="3"/>
  <c r="J874" i="3"/>
  <c r="K873" i="3"/>
  <c r="E873" i="3"/>
  <c r="J873" i="3"/>
  <c r="K872" i="3"/>
  <c r="E872" i="3"/>
  <c r="J872" i="3"/>
  <c r="K871" i="3"/>
  <c r="E871" i="3"/>
  <c r="J871" i="3"/>
  <c r="K870" i="3"/>
  <c r="E870" i="3"/>
  <c r="I870" i="3"/>
  <c r="J870" i="3" s="1"/>
  <c r="K869" i="3"/>
  <c r="E869" i="3"/>
  <c r="I869" i="3"/>
  <c r="J869" i="3" s="1"/>
  <c r="K868" i="3"/>
  <c r="E868" i="3"/>
  <c r="J868" i="3"/>
  <c r="K867" i="3"/>
  <c r="E867" i="3"/>
  <c r="J867" i="3"/>
  <c r="K866" i="3"/>
  <c r="E866" i="3"/>
  <c r="J866" i="3"/>
  <c r="K865" i="3"/>
  <c r="E865" i="3"/>
  <c r="J865" i="3"/>
  <c r="K864" i="3"/>
  <c r="E864" i="3"/>
  <c r="J864" i="3"/>
  <c r="K863" i="3"/>
  <c r="E863" i="3"/>
  <c r="J863" i="3"/>
  <c r="K862" i="3"/>
  <c r="E862" i="3"/>
  <c r="J862" i="3"/>
  <c r="K861" i="3"/>
  <c r="E861" i="3"/>
  <c r="J861" i="3"/>
  <c r="K860" i="3"/>
  <c r="E860" i="3"/>
  <c r="J860" i="3"/>
  <c r="K859" i="3"/>
  <c r="E859" i="3"/>
  <c r="J859" i="3"/>
  <c r="K858" i="3"/>
  <c r="E858" i="3"/>
  <c r="J858" i="3"/>
  <c r="K857" i="3"/>
  <c r="E857" i="3"/>
  <c r="J857" i="3"/>
  <c r="K856" i="3"/>
  <c r="E856" i="3"/>
  <c r="J856" i="3"/>
  <c r="K855" i="3"/>
  <c r="E855" i="3"/>
  <c r="J855" i="3"/>
  <c r="K854" i="3"/>
  <c r="E854" i="3"/>
  <c r="J854" i="3"/>
  <c r="K853" i="3"/>
  <c r="E853" i="3"/>
  <c r="J853" i="3"/>
  <c r="K852" i="3"/>
  <c r="E852" i="3"/>
  <c r="J852" i="3"/>
  <c r="K851" i="3"/>
  <c r="E851" i="3"/>
  <c r="J851" i="3"/>
  <c r="K850" i="3"/>
  <c r="E850" i="3"/>
  <c r="J850" i="3"/>
  <c r="K849" i="3"/>
  <c r="E849" i="3"/>
  <c r="J849" i="3"/>
  <c r="K848" i="3"/>
  <c r="E848" i="3"/>
  <c r="I848" i="3"/>
  <c r="J848" i="3" s="1"/>
  <c r="K847" i="3"/>
  <c r="E847" i="3"/>
  <c r="J847" i="3"/>
  <c r="K846" i="3"/>
  <c r="E846" i="3"/>
  <c r="J846" i="3"/>
  <c r="K845" i="3"/>
  <c r="E845" i="3"/>
  <c r="J845" i="3"/>
  <c r="K844" i="3"/>
  <c r="E844" i="3"/>
  <c r="J844" i="3"/>
  <c r="K843" i="3"/>
  <c r="E843" i="3"/>
  <c r="J843" i="3"/>
  <c r="K842" i="3"/>
  <c r="E842" i="3"/>
  <c r="J842" i="3"/>
  <c r="K841" i="3"/>
  <c r="E841" i="3"/>
  <c r="J841" i="3"/>
  <c r="K840" i="3"/>
  <c r="E840" i="3"/>
  <c r="J840" i="3"/>
  <c r="K839" i="3"/>
  <c r="E839" i="3"/>
  <c r="J839" i="3"/>
  <c r="K838" i="3"/>
  <c r="E838" i="3"/>
  <c r="J838" i="3"/>
  <c r="K837" i="3"/>
  <c r="E837" i="3"/>
  <c r="I837" i="3"/>
  <c r="J837" i="3" s="1"/>
  <c r="K836" i="3"/>
  <c r="E836" i="3"/>
  <c r="J836" i="3"/>
  <c r="K835" i="3"/>
  <c r="E835" i="3"/>
  <c r="J835" i="3"/>
  <c r="K834" i="3"/>
  <c r="E834" i="3"/>
  <c r="J834" i="3"/>
  <c r="K833" i="3"/>
  <c r="E833" i="3"/>
  <c r="J833" i="3"/>
  <c r="K832" i="3"/>
  <c r="E832" i="3"/>
  <c r="J832" i="3"/>
  <c r="K831" i="3"/>
  <c r="E831" i="3"/>
  <c r="I831" i="3"/>
  <c r="J831" i="3" s="1"/>
  <c r="K830" i="3"/>
  <c r="E830" i="3"/>
  <c r="J830" i="3"/>
  <c r="K829" i="3"/>
  <c r="E829" i="3"/>
  <c r="J829" i="3"/>
  <c r="K828" i="3"/>
  <c r="E828" i="3"/>
  <c r="J828" i="3"/>
  <c r="K827" i="3"/>
  <c r="E827" i="3"/>
  <c r="J827" i="3"/>
  <c r="K826" i="3"/>
  <c r="E826" i="3"/>
  <c r="I826" i="3"/>
  <c r="J826" i="3" s="1"/>
  <c r="K825" i="3"/>
  <c r="E825" i="3"/>
  <c r="J825" i="3"/>
  <c r="K824" i="3"/>
  <c r="E824" i="3"/>
  <c r="J824" i="3"/>
  <c r="K823" i="3"/>
  <c r="E823" i="3"/>
  <c r="J823" i="3"/>
  <c r="K822" i="3"/>
  <c r="E822" i="3"/>
  <c r="J822" i="3"/>
  <c r="K821" i="3"/>
  <c r="E821" i="3"/>
  <c r="I821" i="3"/>
  <c r="J821" i="3" s="1"/>
  <c r="K820" i="3"/>
  <c r="E820" i="3"/>
  <c r="J820" i="3"/>
  <c r="K819" i="3"/>
  <c r="E819" i="3"/>
  <c r="J819" i="3"/>
  <c r="K818" i="3"/>
  <c r="E818" i="3"/>
  <c r="J818" i="3"/>
  <c r="K817" i="3"/>
  <c r="E817" i="3"/>
  <c r="J817" i="3"/>
  <c r="K816" i="3"/>
  <c r="E816" i="3"/>
  <c r="J816" i="3"/>
  <c r="K815" i="3"/>
  <c r="E815" i="3"/>
  <c r="J815" i="3"/>
  <c r="K814" i="3"/>
  <c r="E814" i="3"/>
  <c r="J814" i="3"/>
  <c r="K813" i="3"/>
  <c r="E813" i="3"/>
  <c r="J813" i="3"/>
  <c r="K812" i="3"/>
  <c r="E812" i="3"/>
  <c r="J812" i="3"/>
  <c r="K811" i="3"/>
  <c r="E811" i="3"/>
  <c r="J811" i="3"/>
  <c r="K810" i="3"/>
  <c r="E810" i="3"/>
  <c r="J810" i="3"/>
  <c r="K809" i="3"/>
  <c r="E809" i="3"/>
  <c r="J809" i="3"/>
  <c r="K808" i="3"/>
  <c r="E808" i="3"/>
  <c r="J808" i="3"/>
  <c r="K807" i="3"/>
  <c r="E807" i="3"/>
  <c r="J807" i="3"/>
  <c r="K806" i="3"/>
  <c r="E806" i="3"/>
  <c r="J806" i="3"/>
  <c r="K805" i="3"/>
  <c r="E805" i="3"/>
  <c r="J805" i="3"/>
  <c r="K804" i="3"/>
  <c r="E804" i="3"/>
  <c r="J804" i="3"/>
  <c r="K803" i="3"/>
  <c r="E803" i="3"/>
  <c r="J803" i="3"/>
  <c r="K802" i="3"/>
  <c r="E802" i="3"/>
  <c r="J802" i="3"/>
  <c r="K801" i="3"/>
  <c r="E801" i="3"/>
  <c r="J801" i="3"/>
  <c r="K800" i="3"/>
  <c r="E800" i="3"/>
  <c r="J800" i="3"/>
  <c r="K799" i="3"/>
  <c r="E799" i="3"/>
  <c r="J799" i="3"/>
  <c r="K798" i="3"/>
  <c r="E798" i="3"/>
  <c r="J798" i="3"/>
  <c r="K797" i="3"/>
  <c r="E797" i="3"/>
  <c r="J797" i="3"/>
  <c r="K796" i="3"/>
  <c r="E796" i="3"/>
  <c r="J796" i="3"/>
  <c r="K795" i="3"/>
  <c r="E795" i="3"/>
  <c r="I795" i="3"/>
  <c r="J795" i="3" s="1"/>
  <c r="K794" i="3"/>
  <c r="E794" i="3"/>
  <c r="J794" i="3"/>
  <c r="K793" i="3"/>
  <c r="E793" i="3"/>
  <c r="I793" i="3"/>
  <c r="J793" i="3" s="1"/>
  <c r="K792" i="3"/>
  <c r="E792" i="3"/>
  <c r="J792" i="3"/>
  <c r="K791" i="3"/>
  <c r="E791" i="3"/>
  <c r="J791" i="3"/>
  <c r="K790" i="3"/>
  <c r="E790" i="3"/>
  <c r="J790" i="3"/>
  <c r="K789" i="3"/>
  <c r="E789" i="3"/>
  <c r="J789" i="3"/>
  <c r="K788" i="3"/>
  <c r="E788" i="3"/>
  <c r="J788" i="3"/>
  <c r="K787" i="3"/>
  <c r="E787" i="3"/>
  <c r="J787" i="3"/>
  <c r="K786" i="3"/>
  <c r="E786" i="3"/>
  <c r="J786" i="3"/>
  <c r="K785" i="3"/>
  <c r="E785" i="3"/>
  <c r="J785" i="3"/>
  <c r="K784" i="3"/>
  <c r="E784" i="3"/>
  <c r="J784" i="3"/>
  <c r="K783" i="3"/>
  <c r="E783" i="3"/>
  <c r="J783" i="3"/>
  <c r="K782" i="3"/>
  <c r="E782" i="3"/>
  <c r="J782" i="3"/>
  <c r="K781" i="3"/>
  <c r="E781" i="3"/>
  <c r="J781" i="3"/>
  <c r="K780" i="3"/>
  <c r="E780" i="3"/>
  <c r="J780" i="3"/>
  <c r="K779" i="3"/>
  <c r="E779" i="3"/>
  <c r="J779" i="3"/>
  <c r="K778" i="3"/>
  <c r="E778" i="3"/>
  <c r="J778" i="3"/>
  <c r="K777" i="3"/>
  <c r="E777" i="3"/>
  <c r="J777" i="3"/>
  <c r="K776" i="3"/>
  <c r="E776" i="3"/>
  <c r="J776" i="3"/>
  <c r="K775" i="3"/>
  <c r="E775" i="3"/>
  <c r="J775" i="3"/>
  <c r="K774" i="3"/>
  <c r="E774" i="3"/>
  <c r="K773" i="3"/>
  <c r="E773" i="3"/>
  <c r="J773" i="3"/>
  <c r="K772" i="3"/>
  <c r="E772" i="3"/>
  <c r="K771" i="3"/>
  <c r="E771" i="3"/>
  <c r="J771" i="3"/>
  <c r="K770" i="3"/>
  <c r="E770" i="3"/>
  <c r="K769" i="3"/>
  <c r="E769" i="3"/>
  <c r="J769" i="3"/>
  <c r="K768" i="3"/>
  <c r="E768" i="3"/>
  <c r="J768" i="3"/>
  <c r="K767" i="3"/>
  <c r="E767" i="3"/>
  <c r="J767" i="3"/>
  <c r="K766" i="3"/>
  <c r="E766" i="3"/>
  <c r="K765" i="3"/>
  <c r="E765" i="3"/>
  <c r="J765" i="3"/>
  <c r="K764" i="3"/>
  <c r="E764" i="3"/>
  <c r="K763" i="3"/>
  <c r="E763" i="3"/>
  <c r="J763" i="3"/>
  <c r="K762" i="3"/>
  <c r="E762" i="3"/>
  <c r="J762" i="3"/>
  <c r="K761" i="3"/>
  <c r="E761" i="3"/>
  <c r="J761" i="3"/>
  <c r="K760" i="3"/>
  <c r="E760" i="3"/>
  <c r="J760" i="3"/>
  <c r="K759" i="3"/>
  <c r="E759" i="3"/>
  <c r="J759" i="3"/>
  <c r="K758" i="3"/>
  <c r="E758" i="3"/>
  <c r="K757" i="3"/>
  <c r="E757" i="3"/>
  <c r="J757" i="3"/>
  <c r="K756" i="3"/>
  <c r="E756" i="3"/>
  <c r="J756" i="3"/>
  <c r="K755" i="3"/>
  <c r="E755" i="3"/>
  <c r="J755" i="3"/>
  <c r="K754" i="3"/>
  <c r="E754" i="3"/>
  <c r="J754" i="3"/>
  <c r="K753" i="3"/>
  <c r="E753" i="3"/>
  <c r="J753" i="3"/>
  <c r="K752" i="3"/>
  <c r="E752" i="3"/>
  <c r="J752" i="3"/>
  <c r="K751" i="3"/>
  <c r="E751" i="3"/>
  <c r="J751" i="3"/>
  <c r="K750" i="3"/>
  <c r="E750" i="3"/>
  <c r="J750" i="3"/>
  <c r="K749" i="3"/>
  <c r="E749" i="3"/>
  <c r="J749" i="3"/>
  <c r="K748" i="3"/>
  <c r="E748" i="3"/>
  <c r="J748" i="3"/>
  <c r="K747" i="3"/>
  <c r="E747" i="3"/>
  <c r="J747" i="3"/>
  <c r="K746" i="3"/>
  <c r="E746" i="3"/>
  <c r="J746" i="3"/>
  <c r="K745" i="3"/>
  <c r="E745" i="3"/>
  <c r="J745" i="3"/>
  <c r="K744" i="3"/>
  <c r="E744" i="3"/>
  <c r="J744" i="3"/>
  <c r="K743" i="3"/>
  <c r="E743" i="3"/>
  <c r="J743" i="3"/>
  <c r="K742" i="3"/>
  <c r="E742" i="3"/>
  <c r="J742" i="3"/>
  <c r="K741" i="3"/>
  <c r="E741" i="3"/>
  <c r="J741" i="3"/>
  <c r="K740" i="3"/>
  <c r="E740" i="3"/>
  <c r="J740" i="3"/>
  <c r="K739" i="3"/>
  <c r="E739" i="3"/>
  <c r="K738" i="3"/>
  <c r="E738" i="3"/>
  <c r="I738" i="3"/>
  <c r="J738" i="3" s="1"/>
  <c r="K737" i="3"/>
  <c r="E737" i="3"/>
  <c r="J737" i="3"/>
  <c r="K736" i="3"/>
  <c r="E736" i="3"/>
  <c r="J736" i="3"/>
  <c r="K735" i="3"/>
  <c r="E735" i="3"/>
  <c r="J735" i="3"/>
  <c r="K734" i="3"/>
  <c r="E734" i="3"/>
  <c r="J734" i="3"/>
  <c r="K733" i="3"/>
  <c r="E733" i="3"/>
  <c r="K732" i="3"/>
  <c r="E732" i="3"/>
  <c r="J732" i="3"/>
  <c r="K731" i="3"/>
  <c r="E731" i="3"/>
  <c r="J731" i="3"/>
  <c r="K730" i="3"/>
  <c r="E730" i="3"/>
  <c r="J730" i="3"/>
  <c r="K729" i="3"/>
  <c r="E729" i="3"/>
  <c r="J729" i="3"/>
  <c r="K728" i="3"/>
  <c r="E728" i="3"/>
  <c r="I728" i="3"/>
  <c r="J728" i="3" s="1"/>
  <c r="K727" i="3"/>
  <c r="E727" i="3"/>
  <c r="J727" i="3"/>
  <c r="K726" i="3"/>
  <c r="E726" i="3"/>
  <c r="J726" i="3"/>
  <c r="K725" i="3"/>
  <c r="E725" i="3"/>
  <c r="J725" i="3"/>
  <c r="K724" i="3"/>
  <c r="E724" i="3"/>
  <c r="J724" i="3"/>
  <c r="K723" i="3"/>
  <c r="E723" i="3"/>
  <c r="J723" i="3"/>
  <c r="K722" i="3"/>
  <c r="E722" i="3"/>
  <c r="J722" i="3"/>
  <c r="K721" i="3"/>
  <c r="E721" i="3"/>
  <c r="J721" i="3"/>
  <c r="K720" i="3"/>
  <c r="E720" i="3"/>
  <c r="J720" i="3"/>
  <c r="K719" i="3"/>
  <c r="E719" i="3"/>
  <c r="J719" i="3"/>
  <c r="K718" i="3"/>
  <c r="E718" i="3"/>
  <c r="K717" i="3"/>
  <c r="E717" i="3"/>
  <c r="J717" i="3"/>
  <c r="K716" i="3"/>
  <c r="E716" i="3"/>
  <c r="K715" i="3"/>
  <c r="E715" i="3"/>
  <c r="J715" i="3"/>
  <c r="K714" i="3"/>
  <c r="E714" i="3"/>
  <c r="J714" i="3"/>
  <c r="K713" i="3"/>
  <c r="E713" i="3"/>
  <c r="J713" i="3"/>
  <c r="K712" i="3"/>
  <c r="E712" i="3"/>
  <c r="J712" i="3"/>
  <c r="K711" i="3"/>
  <c r="E711" i="3"/>
  <c r="J711" i="3"/>
  <c r="K710" i="3"/>
  <c r="E710" i="3"/>
  <c r="K709" i="3"/>
  <c r="E709" i="3"/>
  <c r="J709" i="3"/>
  <c r="K708" i="3"/>
  <c r="E708" i="3"/>
  <c r="K707" i="3"/>
  <c r="E707" i="3"/>
  <c r="J707" i="3"/>
  <c r="K706" i="3"/>
  <c r="E706" i="3"/>
  <c r="J706" i="3"/>
  <c r="K705" i="3"/>
  <c r="E705" i="3"/>
  <c r="J705" i="3"/>
  <c r="K704" i="3"/>
  <c r="E704" i="3"/>
  <c r="J704" i="3"/>
  <c r="K703" i="3"/>
  <c r="E703" i="3"/>
  <c r="J703" i="3"/>
  <c r="K702" i="3"/>
  <c r="E702" i="3"/>
  <c r="K701" i="3"/>
  <c r="E701" i="3"/>
  <c r="J701" i="3"/>
  <c r="K700" i="3"/>
  <c r="E700" i="3"/>
  <c r="K699" i="3"/>
  <c r="E699" i="3"/>
  <c r="J699" i="3"/>
  <c r="K698" i="3"/>
  <c r="E698" i="3"/>
  <c r="J698" i="3"/>
  <c r="K697" i="3"/>
  <c r="E697" i="3"/>
  <c r="J697" i="3"/>
  <c r="K696" i="3"/>
  <c r="E696" i="3"/>
  <c r="J696" i="3"/>
  <c r="K695" i="3"/>
  <c r="E695" i="3"/>
  <c r="K694" i="3"/>
  <c r="E694" i="3"/>
  <c r="J694" i="3"/>
  <c r="K693" i="3"/>
  <c r="E693" i="3"/>
  <c r="K692" i="3"/>
  <c r="E692" i="3"/>
  <c r="J692" i="3"/>
  <c r="K691" i="3"/>
  <c r="E691" i="3"/>
  <c r="K690" i="3"/>
  <c r="E690" i="3"/>
  <c r="J690" i="3"/>
  <c r="K689" i="3"/>
  <c r="E689" i="3"/>
  <c r="J689" i="3"/>
  <c r="K688" i="3"/>
  <c r="E688" i="3"/>
  <c r="J688" i="3"/>
  <c r="K687" i="3"/>
  <c r="E687" i="3"/>
  <c r="J687" i="3"/>
  <c r="K686" i="3"/>
  <c r="E686" i="3"/>
  <c r="K685" i="3"/>
  <c r="E685" i="3"/>
  <c r="K684" i="3"/>
  <c r="E684" i="3"/>
  <c r="J684" i="3"/>
  <c r="K683" i="3"/>
  <c r="E683" i="3"/>
  <c r="K682" i="3"/>
  <c r="E682" i="3"/>
  <c r="I682" i="3"/>
  <c r="J682" i="3" s="1"/>
  <c r="K681" i="3"/>
  <c r="E681" i="3"/>
  <c r="J681" i="3"/>
  <c r="K680" i="3"/>
  <c r="E680" i="3"/>
  <c r="J680" i="3"/>
  <c r="K679" i="3"/>
  <c r="E679" i="3"/>
  <c r="K678" i="3"/>
  <c r="E678" i="3"/>
  <c r="J678" i="3"/>
  <c r="K677" i="3"/>
  <c r="E677" i="3"/>
  <c r="J677" i="3"/>
  <c r="K676" i="3"/>
  <c r="E676" i="3"/>
  <c r="J676" i="3"/>
  <c r="K675" i="3"/>
  <c r="E675" i="3"/>
  <c r="J675" i="3"/>
  <c r="K674" i="3"/>
  <c r="E674" i="3"/>
  <c r="J674" i="3"/>
  <c r="K673" i="3"/>
  <c r="E673" i="3"/>
  <c r="J673" i="3"/>
  <c r="K672" i="3"/>
  <c r="E672" i="3"/>
  <c r="J672" i="3"/>
  <c r="K671" i="3"/>
  <c r="E671" i="3"/>
  <c r="J671" i="3"/>
  <c r="K670" i="3"/>
  <c r="E670" i="3"/>
  <c r="J670" i="3"/>
  <c r="K669" i="3"/>
  <c r="E669" i="3"/>
  <c r="J669" i="3"/>
  <c r="K668" i="3"/>
  <c r="E668" i="3"/>
  <c r="J668" i="3"/>
  <c r="K667" i="3"/>
  <c r="E667" i="3"/>
  <c r="J667" i="3"/>
  <c r="K666" i="3"/>
  <c r="E666" i="3"/>
  <c r="J666" i="3"/>
  <c r="K665" i="3"/>
  <c r="E665" i="3"/>
  <c r="J665" i="3"/>
  <c r="K664" i="3"/>
  <c r="E664" i="3"/>
  <c r="J664" i="3"/>
  <c r="K663" i="3"/>
  <c r="E663" i="3"/>
  <c r="J663" i="3"/>
  <c r="K662" i="3"/>
  <c r="E662" i="3"/>
  <c r="J662" i="3"/>
  <c r="K661" i="3"/>
  <c r="E661" i="3"/>
  <c r="J661" i="3"/>
  <c r="K660" i="3"/>
  <c r="E660" i="3"/>
  <c r="I660" i="3"/>
  <c r="J660" i="3" s="1"/>
  <c r="K659" i="3"/>
  <c r="E659" i="3"/>
  <c r="J659" i="3"/>
  <c r="K658" i="3"/>
  <c r="E658" i="3"/>
  <c r="J658" i="3"/>
  <c r="K657" i="3"/>
  <c r="E657" i="3"/>
  <c r="J657" i="3"/>
  <c r="K656" i="3"/>
  <c r="E656" i="3"/>
  <c r="J656" i="3"/>
  <c r="K655" i="3"/>
  <c r="E655" i="3"/>
  <c r="J655" i="3"/>
  <c r="K654" i="3"/>
  <c r="E654" i="3"/>
  <c r="J654" i="3"/>
  <c r="K653" i="3"/>
  <c r="E653" i="3"/>
  <c r="J653" i="3"/>
  <c r="K652" i="3"/>
  <c r="E652" i="3"/>
  <c r="J652" i="3"/>
  <c r="K651" i="3"/>
  <c r="E651" i="3"/>
  <c r="I651" i="3"/>
  <c r="J651" i="3" s="1"/>
  <c r="K650" i="3"/>
  <c r="E650" i="3"/>
  <c r="J650" i="3"/>
  <c r="K649" i="3"/>
  <c r="E649" i="3"/>
  <c r="J649" i="3"/>
  <c r="K648" i="3"/>
  <c r="E648" i="3"/>
  <c r="J648" i="3"/>
  <c r="K647" i="3"/>
  <c r="E647" i="3"/>
  <c r="K646" i="3"/>
  <c r="E646" i="3"/>
  <c r="J646" i="3"/>
  <c r="K645" i="3"/>
  <c r="E645" i="3"/>
  <c r="J645" i="3"/>
  <c r="K644" i="3"/>
  <c r="E644" i="3"/>
  <c r="J644" i="3"/>
  <c r="K643" i="3"/>
  <c r="E643" i="3"/>
  <c r="J643" i="3"/>
  <c r="K642" i="3"/>
  <c r="E642" i="3"/>
  <c r="J642" i="3"/>
  <c r="K641" i="3"/>
  <c r="E641" i="3"/>
  <c r="J641" i="3"/>
  <c r="K640" i="3"/>
  <c r="E640" i="3"/>
  <c r="J640" i="3"/>
  <c r="K639" i="3"/>
  <c r="E639" i="3"/>
  <c r="J639" i="3"/>
  <c r="K638" i="3"/>
  <c r="E638" i="3"/>
  <c r="J638" i="3"/>
  <c r="K637" i="3"/>
  <c r="E637" i="3"/>
  <c r="J637" i="3"/>
  <c r="K636" i="3"/>
  <c r="E636" i="3"/>
  <c r="J636" i="3"/>
  <c r="K635" i="3"/>
  <c r="E635" i="3"/>
  <c r="J635" i="3"/>
  <c r="K634" i="3"/>
  <c r="E634" i="3"/>
  <c r="J634" i="3"/>
  <c r="K633" i="3"/>
  <c r="E633" i="3"/>
  <c r="J633" i="3"/>
  <c r="K632" i="3"/>
  <c r="E632" i="3"/>
  <c r="J632" i="3"/>
  <c r="K631" i="3"/>
  <c r="E631" i="3"/>
  <c r="J631" i="3"/>
  <c r="K630" i="3"/>
  <c r="E630" i="3"/>
  <c r="J630" i="3"/>
  <c r="K629" i="3"/>
  <c r="E629" i="3"/>
  <c r="J629" i="3"/>
  <c r="K628" i="3"/>
  <c r="E628" i="3"/>
  <c r="J628" i="3"/>
  <c r="K627" i="3"/>
  <c r="E627" i="3"/>
  <c r="J627" i="3"/>
  <c r="K626" i="3"/>
  <c r="E626" i="3"/>
  <c r="J626" i="3"/>
  <c r="K625" i="3"/>
  <c r="E625" i="3"/>
  <c r="J625" i="3"/>
  <c r="K624" i="3"/>
  <c r="E624" i="3"/>
  <c r="J624" i="3"/>
  <c r="K623" i="3"/>
  <c r="E623" i="3"/>
  <c r="J623" i="3"/>
  <c r="K622" i="3"/>
  <c r="E622" i="3"/>
  <c r="J622" i="3"/>
  <c r="K621" i="3"/>
  <c r="E621" i="3"/>
  <c r="J621" i="3"/>
  <c r="K620" i="3"/>
  <c r="E620" i="3"/>
  <c r="J620" i="3"/>
  <c r="K619" i="3"/>
  <c r="E619" i="3"/>
  <c r="J619" i="3"/>
  <c r="K618" i="3"/>
  <c r="E618" i="3"/>
  <c r="J618" i="3"/>
  <c r="K617" i="3"/>
  <c r="E617" i="3"/>
  <c r="J617" i="3"/>
  <c r="K616" i="3"/>
  <c r="E616" i="3"/>
  <c r="J616" i="3"/>
  <c r="K615" i="3"/>
  <c r="E615" i="3"/>
  <c r="J615" i="3"/>
  <c r="K614" i="3"/>
  <c r="E614" i="3"/>
  <c r="J614" i="3"/>
  <c r="K613" i="3"/>
  <c r="E613" i="3"/>
  <c r="J613" i="3"/>
  <c r="K612" i="3"/>
  <c r="E612" i="3"/>
  <c r="J612" i="3"/>
  <c r="K611" i="3"/>
  <c r="E611" i="3"/>
  <c r="J611" i="3"/>
  <c r="K610" i="3"/>
  <c r="E610" i="3"/>
  <c r="J610" i="3"/>
  <c r="K609" i="3"/>
  <c r="E609" i="3"/>
  <c r="J609" i="3"/>
  <c r="K608" i="3"/>
  <c r="E608" i="3"/>
  <c r="J608" i="3"/>
  <c r="K607" i="3"/>
  <c r="E607" i="3"/>
  <c r="J607" i="3"/>
  <c r="K606" i="3"/>
  <c r="E606" i="3"/>
  <c r="J606" i="3"/>
  <c r="K605" i="3"/>
  <c r="E605" i="3"/>
  <c r="J605" i="3"/>
  <c r="K604" i="3"/>
  <c r="E604" i="3"/>
  <c r="J604" i="3"/>
  <c r="K603" i="3"/>
  <c r="E603" i="3"/>
  <c r="J603" i="3"/>
  <c r="K602" i="3"/>
  <c r="E602" i="3"/>
  <c r="J602" i="3"/>
  <c r="K601" i="3"/>
  <c r="E601" i="3"/>
  <c r="J601" i="3"/>
  <c r="K600" i="3"/>
  <c r="E600" i="3"/>
  <c r="J600" i="3"/>
  <c r="K599" i="3"/>
  <c r="E599" i="3"/>
  <c r="J599" i="3"/>
  <c r="K598" i="3"/>
  <c r="E598" i="3"/>
  <c r="J598" i="3"/>
  <c r="K597" i="3"/>
  <c r="E597" i="3"/>
  <c r="J597" i="3"/>
  <c r="K596" i="3"/>
  <c r="E596" i="3"/>
  <c r="J596" i="3"/>
  <c r="K595" i="3"/>
  <c r="E595" i="3"/>
  <c r="J595" i="3"/>
  <c r="K594" i="3"/>
  <c r="E594" i="3"/>
  <c r="I594" i="3"/>
  <c r="J594" i="3" s="1"/>
  <c r="K593" i="3"/>
  <c r="E593" i="3"/>
  <c r="J593" i="3"/>
  <c r="K592" i="3"/>
  <c r="E592" i="3"/>
  <c r="J592" i="3"/>
  <c r="K591" i="3"/>
  <c r="E591" i="3"/>
  <c r="J591" i="3"/>
  <c r="K590" i="3"/>
  <c r="E590" i="3"/>
  <c r="J590" i="3"/>
  <c r="K589" i="3"/>
  <c r="E589" i="3"/>
  <c r="J589" i="3"/>
  <c r="K588" i="3"/>
  <c r="E588" i="3"/>
  <c r="J588" i="3"/>
  <c r="K587" i="3"/>
  <c r="E587" i="3"/>
  <c r="J587" i="3"/>
  <c r="K586" i="3"/>
  <c r="E586" i="3"/>
  <c r="J586" i="3"/>
  <c r="K585" i="3"/>
  <c r="E585" i="3"/>
  <c r="I585" i="3"/>
  <c r="J585" i="3" s="1"/>
  <c r="K584" i="3"/>
  <c r="E584" i="3"/>
  <c r="J584" i="3"/>
  <c r="K583" i="3"/>
  <c r="E583" i="3"/>
  <c r="J583" i="3"/>
  <c r="K582" i="3"/>
  <c r="E582" i="3"/>
  <c r="J582" i="3"/>
  <c r="K581" i="3"/>
  <c r="E581" i="3"/>
  <c r="J581" i="3"/>
  <c r="K580" i="3"/>
  <c r="E580" i="3"/>
  <c r="J580" i="3"/>
  <c r="K579" i="3"/>
  <c r="E579" i="3"/>
  <c r="J579" i="3"/>
  <c r="K578" i="3"/>
  <c r="E578" i="3"/>
  <c r="J578" i="3"/>
  <c r="K577" i="3"/>
  <c r="E577" i="3"/>
  <c r="J577" i="3"/>
  <c r="K576" i="3"/>
  <c r="E576" i="3"/>
  <c r="J576" i="3"/>
  <c r="K575" i="3"/>
  <c r="E575" i="3"/>
  <c r="J575" i="3"/>
  <c r="K574" i="3"/>
  <c r="E574" i="3"/>
  <c r="J574" i="3"/>
  <c r="K573" i="3"/>
  <c r="E573" i="3"/>
  <c r="J573" i="3"/>
  <c r="K572" i="3"/>
  <c r="E572" i="3"/>
  <c r="J572" i="3"/>
  <c r="K571" i="3"/>
  <c r="E571" i="3"/>
  <c r="J571" i="3"/>
  <c r="K570" i="3"/>
  <c r="E570" i="3"/>
  <c r="J570" i="3"/>
  <c r="K569" i="3"/>
  <c r="E569" i="3"/>
  <c r="J569" i="3"/>
  <c r="K568" i="3"/>
  <c r="E568" i="3"/>
  <c r="K567" i="3"/>
  <c r="E567" i="3"/>
  <c r="J567" i="3"/>
  <c r="K566" i="3"/>
  <c r="E566" i="3"/>
  <c r="J566" i="3"/>
  <c r="K565" i="3"/>
  <c r="E565" i="3"/>
  <c r="I565" i="3"/>
  <c r="J565" i="3" s="1"/>
  <c r="K564" i="3"/>
  <c r="E564" i="3"/>
  <c r="J564" i="3"/>
  <c r="K563" i="3"/>
  <c r="E563" i="3"/>
  <c r="J563" i="3"/>
  <c r="K562" i="3"/>
  <c r="E562" i="3"/>
  <c r="J562" i="3"/>
  <c r="K561" i="3"/>
  <c r="E561" i="3"/>
  <c r="J561" i="3"/>
  <c r="K560" i="3"/>
  <c r="E560" i="3"/>
  <c r="K559" i="3"/>
  <c r="E559" i="3"/>
  <c r="J559" i="3"/>
  <c r="K558" i="3"/>
  <c r="E558" i="3"/>
  <c r="J558" i="3"/>
  <c r="K557" i="3"/>
  <c r="E557" i="3"/>
  <c r="K556" i="3"/>
  <c r="E556" i="3"/>
  <c r="J556" i="3"/>
  <c r="K555" i="3"/>
  <c r="E555" i="3"/>
  <c r="J555" i="3"/>
  <c r="K554" i="3"/>
  <c r="E554" i="3"/>
  <c r="J554" i="3"/>
  <c r="K553" i="3"/>
  <c r="E553" i="3"/>
  <c r="J553" i="3"/>
  <c r="K552" i="3"/>
  <c r="E552" i="3"/>
  <c r="J552" i="3"/>
  <c r="K551" i="3"/>
  <c r="E551" i="3"/>
  <c r="J551" i="3"/>
  <c r="K550" i="3"/>
  <c r="E550" i="3"/>
  <c r="J550" i="3"/>
  <c r="K549" i="3"/>
  <c r="E549" i="3"/>
  <c r="J549" i="3"/>
  <c r="K548" i="3"/>
  <c r="E548" i="3"/>
  <c r="J548" i="3"/>
  <c r="K547" i="3"/>
  <c r="E547" i="3"/>
  <c r="J547" i="3"/>
  <c r="K546" i="3"/>
  <c r="E546" i="3"/>
  <c r="J546" i="3"/>
  <c r="K545" i="3"/>
  <c r="E545" i="3"/>
  <c r="J545" i="3"/>
  <c r="K544" i="3"/>
  <c r="E544" i="3"/>
  <c r="J544" i="3"/>
  <c r="K543" i="3"/>
  <c r="E543" i="3"/>
  <c r="J543" i="3"/>
  <c r="K542" i="3"/>
  <c r="E542" i="3"/>
  <c r="J542" i="3"/>
  <c r="K541" i="3"/>
  <c r="E541" i="3"/>
  <c r="J541" i="3"/>
  <c r="K540" i="3"/>
  <c r="E540" i="3"/>
  <c r="J540" i="3"/>
  <c r="K539" i="3"/>
  <c r="E539" i="3"/>
  <c r="J539" i="3"/>
  <c r="K538" i="3"/>
  <c r="E538" i="3"/>
  <c r="J538" i="3"/>
  <c r="K537" i="3"/>
  <c r="E537" i="3"/>
  <c r="J537" i="3"/>
  <c r="K536" i="3"/>
  <c r="E536" i="3"/>
  <c r="J536" i="3"/>
  <c r="K535" i="3"/>
  <c r="E535" i="3"/>
  <c r="J535" i="3"/>
  <c r="K534" i="3"/>
  <c r="E534" i="3"/>
  <c r="J534" i="3"/>
  <c r="K533" i="3"/>
  <c r="E533" i="3"/>
  <c r="J533" i="3"/>
  <c r="K532" i="3"/>
  <c r="E532" i="3"/>
  <c r="J532" i="3"/>
  <c r="K531" i="3"/>
  <c r="E531" i="3"/>
  <c r="J531" i="3"/>
  <c r="K530" i="3"/>
  <c r="E530" i="3"/>
  <c r="J530" i="3"/>
  <c r="K529" i="3"/>
  <c r="E529" i="3"/>
  <c r="J529" i="3"/>
  <c r="K528" i="3"/>
  <c r="E528" i="3"/>
  <c r="J528" i="3"/>
  <c r="K527" i="3"/>
  <c r="E527" i="3"/>
  <c r="J527" i="3"/>
  <c r="K526" i="3"/>
  <c r="E526" i="3"/>
  <c r="J526" i="3"/>
  <c r="K525" i="3"/>
  <c r="E525" i="3"/>
  <c r="J525" i="3"/>
  <c r="K524" i="3"/>
  <c r="E524" i="3"/>
  <c r="J524" i="3"/>
  <c r="K523" i="3"/>
  <c r="E523" i="3"/>
  <c r="J523" i="3"/>
  <c r="K522" i="3"/>
  <c r="E522" i="3"/>
  <c r="J522" i="3"/>
  <c r="K521" i="3"/>
  <c r="E521" i="3"/>
  <c r="J521" i="3"/>
  <c r="K520" i="3"/>
  <c r="E520" i="3"/>
  <c r="J520" i="3"/>
  <c r="K519" i="3"/>
  <c r="E519" i="3"/>
  <c r="J519" i="3"/>
  <c r="K518" i="3"/>
  <c r="E518" i="3"/>
  <c r="J518" i="3"/>
  <c r="K517" i="3"/>
  <c r="E517" i="3"/>
  <c r="J517" i="3"/>
  <c r="K516" i="3"/>
  <c r="E516" i="3"/>
  <c r="J516" i="3"/>
  <c r="K515" i="3"/>
  <c r="E515" i="3"/>
  <c r="K514" i="3"/>
  <c r="E514" i="3"/>
  <c r="J514" i="3"/>
  <c r="K513" i="3"/>
  <c r="E513" i="3"/>
  <c r="J513" i="3"/>
  <c r="K512" i="3"/>
  <c r="E512" i="3"/>
  <c r="J512" i="3"/>
  <c r="K511" i="3"/>
  <c r="E511" i="3"/>
  <c r="J511" i="3"/>
  <c r="K510" i="3"/>
  <c r="E510" i="3"/>
  <c r="J510" i="3"/>
  <c r="K509" i="3"/>
  <c r="E509" i="3"/>
  <c r="J509" i="3"/>
  <c r="K508" i="3"/>
  <c r="E508" i="3"/>
  <c r="I508" i="3"/>
  <c r="J508" i="3" s="1"/>
  <c r="K507" i="3"/>
  <c r="E507" i="3"/>
  <c r="K506" i="3"/>
  <c r="E506" i="3"/>
  <c r="J506" i="3"/>
  <c r="K505" i="3"/>
  <c r="E505" i="3"/>
  <c r="K504" i="3"/>
  <c r="E504" i="3"/>
  <c r="J504" i="3"/>
  <c r="K503" i="3"/>
  <c r="E503" i="3"/>
  <c r="J503" i="3"/>
  <c r="K502" i="3"/>
  <c r="E502" i="3"/>
  <c r="J502" i="3"/>
  <c r="K501" i="3"/>
  <c r="E501" i="3"/>
  <c r="I501" i="3"/>
  <c r="J501" i="3" s="1"/>
  <c r="K500" i="3"/>
  <c r="E500" i="3"/>
  <c r="J500" i="3"/>
  <c r="K499" i="3"/>
  <c r="E499" i="3"/>
  <c r="J499" i="3"/>
  <c r="K498" i="3"/>
  <c r="E498" i="3"/>
  <c r="J498" i="3"/>
  <c r="K497" i="3"/>
  <c r="E497" i="3"/>
  <c r="K496" i="3"/>
  <c r="E496" i="3"/>
  <c r="I496" i="3"/>
  <c r="J496" i="3" s="1"/>
  <c r="K495" i="3"/>
  <c r="E495" i="3"/>
  <c r="J495" i="3"/>
  <c r="K494" i="3"/>
  <c r="E494" i="3"/>
  <c r="J494" i="3"/>
  <c r="K493" i="3"/>
  <c r="E493" i="3"/>
  <c r="I493" i="3"/>
  <c r="J493" i="3" s="1"/>
  <c r="K492" i="3"/>
  <c r="E492" i="3"/>
  <c r="J492" i="3"/>
  <c r="K491" i="3"/>
  <c r="E491" i="3"/>
  <c r="J491" i="3"/>
  <c r="K490" i="3"/>
  <c r="E490" i="3"/>
  <c r="J490" i="3"/>
  <c r="K489" i="3"/>
  <c r="E489" i="3"/>
  <c r="I489" i="3"/>
  <c r="J489" i="3" s="1"/>
  <c r="K488" i="3"/>
  <c r="E488" i="3"/>
  <c r="J488" i="3"/>
  <c r="K487" i="3"/>
  <c r="E487" i="3"/>
  <c r="J487" i="3"/>
  <c r="K486" i="3"/>
  <c r="E486" i="3"/>
  <c r="J486" i="3"/>
  <c r="K485" i="3"/>
  <c r="E485" i="3"/>
  <c r="J485" i="3"/>
  <c r="K484" i="3"/>
  <c r="E484" i="3"/>
  <c r="J484" i="3"/>
  <c r="K483" i="3"/>
  <c r="E483" i="3"/>
  <c r="K482" i="3"/>
  <c r="E482" i="3"/>
  <c r="I482" i="3"/>
  <c r="J482" i="3" s="1"/>
  <c r="K481" i="3"/>
  <c r="E481" i="3"/>
  <c r="J481" i="3"/>
  <c r="K480" i="3"/>
  <c r="E480" i="3"/>
  <c r="J480" i="3"/>
  <c r="K479" i="3"/>
  <c r="E479" i="3"/>
  <c r="J479" i="3"/>
  <c r="K478" i="3"/>
  <c r="E478" i="3"/>
  <c r="J478" i="3"/>
  <c r="K477" i="3"/>
  <c r="E477" i="3"/>
  <c r="J477" i="3"/>
  <c r="K476" i="3"/>
  <c r="E476" i="3"/>
  <c r="I476" i="3"/>
  <c r="J476" i="3" s="1"/>
  <c r="K475" i="3"/>
  <c r="E475" i="3"/>
  <c r="K474" i="3"/>
  <c r="E474" i="3"/>
  <c r="J474" i="3"/>
  <c r="K473" i="3"/>
  <c r="E473" i="3"/>
  <c r="J473" i="3"/>
  <c r="K472" i="3"/>
  <c r="E472" i="3"/>
  <c r="K471" i="3"/>
  <c r="E471" i="3"/>
  <c r="J471" i="3"/>
  <c r="K470" i="3"/>
  <c r="E470" i="3"/>
  <c r="J470" i="3"/>
  <c r="K469" i="3"/>
  <c r="E469" i="3"/>
  <c r="K468" i="3"/>
  <c r="E468" i="3"/>
  <c r="J468" i="3"/>
  <c r="K467" i="3"/>
  <c r="E467" i="3"/>
  <c r="K466" i="3"/>
  <c r="E466" i="3"/>
  <c r="J466" i="3"/>
  <c r="K465" i="3"/>
  <c r="E465" i="3"/>
  <c r="J465" i="3"/>
  <c r="K464" i="3"/>
  <c r="E464" i="3"/>
  <c r="I464" i="3"/>
  <c r="J464" i="3" s="1"/>
  <c r="K463" i="3"/>
  <c r="E463" i="3"/>
  <c r="J463" i="3"/>
  <c r="K462" i="3"/>
  <c r="E462" i="3"/>
  <c r="J462" i="3"/>
  <c r="K461" i="3"/>
  <c r="E461" i="3"/>
  <c r="J461" i="3"/>
  <c r="K460" i="3"/>
  <c r="E460" i="3"/>
  <c r="J460" i="3"/>
  <c r="K459" i="3"/>
  <c r="E459" i="3"/>
  <c r="J459" i="3"/>
  <c r="K458" i="3"/>
  <c r="E458" i="3"/>
  <c r="J458" i="3"/>
  <c r="K457" i="3"/>
  <c r="E457" i="3"/>
  <c r="J457" i="3"/>
  <c r="K456" i="3"/>
  <c r="E456" i="3"/>
  <c r="J456" i="3"/>
  <c r="K455" i="3"/>
  <c r="E455" i="3"/>
  <c r="J455" i="3"/>
  <c r="K454" i="3"/>
  <c r="E454" i="3"/>
  <c r="J454" i="3"/>
  <c r="K453" i="3"/>
  <c r="E453" i="3"/>
  <c r="K452" i="3"/>
  <c r="E452" i="3"/>
  <c r="J452" i="3"/>
  <c r="K451" i="3"/>
  <c r="E451" i="3"/>
  <c r="K450" i="3"/>
  <c r="E450" i="3"/>
  <c r="J450" i="3"/>
  <c r="K449" i="3"/>
  <c r="E449" i="3"/>
  <c r="J449" i="3"/>
  <c r="K448" i="3"/>
  <c r="E448" i="3"/>
  <c r="J448" i="3"/>
  <c r="K447" i="3"/>
  <c r="E447" i="3"/>
  <c r="J447" i="3"/>
  <c r="K446" i="3"/>
  <c r="E446" i="3"/>
  <c r="J446" i="3"/>
  <c r="K445" i="3"/>
  <c r="E445" i="3"/>
  <c r="K444" i="3"/>
  <c r="E444" i="3"/>
  <c r="J444" i="3"/>
  <c r="K443" i="3"/>
  <c r="E443" i="3"/>
  <c r="J443" i="3"/>
  <c r="K442" i="3"/>
  <c r="E442" i="3"/>
  <c r="J442" i="3"/>
  <c r="K441" i="3"/>
  <c r="E441" i="3"/>
  <c r="J441" i="3"/>
  <c r="K440" i="3"/>
  <c r="E440" i="3"/>
  <c r="I440" i="3"/>
  <c r="J440" i="3" s="1"/>
  <c r="K439" i="3"/>
  <c r="E439" i="3"/>
  <c r="J439" i="3"/>
  <c r="K438" i="3"/>
  <c r="E438" i="3"/>
  <c r="J438" i="3"/>
  <c r="K437" i="3"/>
  <c r="E437" i="3"/>
  <c r="J437" i="3"/>
  <c r="K436" i="3"/>
  <c r="E436" i="3"/>
  <c r="J436" i="3"/>
  <c r="K435" i="3"/>
  <c r="E435" i="3"/>
  <c r="J435" i="3"/>
  <c r="K434" i="3"/>
  <c r="E434" i="3"/>
  <c r="I434" i="3"/>
  <c r="J434" i="3" s="1"/>
  <c r="K433" i="3"/>
  <c r="E433" i="3"/>
  <c r="J433" i="3"/>
  <c r="K432" i="3"/>
  <c r="E432" i="3"/>
  <c r="J432" i="3"/>
  <c r="K431" i="3"/>
  <c r="E431" i="3"/>
  <c r="J431" i="3"/>
  <c r="K430" i="3"/>
  <c r="E430" i="3"/>
  <c r="J430" i="3"/>
  <c r="K429" i="3"/>
  <c r="E429" i="3"/>
  <c r="J429" i="3"/>
  <c r="K428" i="3"/>
  <c r="E428" i="3"/>
  <c r="J428" i="3"/>
  <c r="K427" i="3"/>
  <c r="E427" i="3"/>
  <c r="J427" i="3"/>
  <c r="K426" i="3"/>
  <c r="E426" i="3"/>
  <c r="J426" i="3"/>
  <c r="K425" i="3"/>
  <c r="E425" i="3"/>
  <c r="J425" i="3"/>
  <c r="K424" i="3"/>
  <c r="E424" i="3"/>
  <c r="J424" i="3"/>
  <c r="K423" i="3"/>
  <c r="E423" i="3"/>
  <c r="J423" i="3"/>
  <c r="K422" i="3"/>
  <c r="E422" i="3"/>
  <c r="J422" i="3"/>
  <c r="K421" i="3"/>
  <c r="E421" i="3"/>
  <c r="J421" i="3"/>
  <c r="K420" i="3"/>
  <c r="E420" i="3"/>
  <c r="K419" i="3"/>
  <c r="E419" i="3"/>
  <c r="J419" i="3"/>
  <c r="K418" i="3"/>
  <c r="E418" i="3"/>
  <c r="J418" i="3"/>
  <c r="K417" i="3"/>
  <c r="E417" i="3"/>
  <c r="J417" i="3"/>
  <c r="K416" i="3"/>
  <c r="E416" i="3"/>
  <c r="J416" i="3"/>
  <c r="K415" i="3"/>
  <c r="E415" i="3"/>
  <c r="J415" i="3"/>
  <c r="K414" i="3"/>
  <c r="E414" i="3"/>
  <c r="J414" i="3"/>
  <c r="K413" i="3"/>
  <c r="E413" i="3"/>
  <c r="J413" i="3"/>
  <c r="K412" i="3"/>
  <c r="E412" i="3"/>
  <c r="J412" i="3"/>
  <c r="K411" i="3"/>
  <c r="E411" i="3"/>
  <c r="J411" i="3"/>
  <c r="K410" i="3"/>
  <c r="E410" i="3"/>
  <c r="I410" i="3"/>
  <c r="J410" i="3" s="1"/>
  <c r="K409" i="3"/>
  <c r="E409" i="3"/>
  <c r="J409" i="3"/>
  <c r="K408" i="3"/>
  <c r="E408" i="3"/>
  <c r="J408" i="3"/>
  <c r="K407" i="3"/>
  <c r="E407" i="3"/>
  <c r="J407" i="3"/>
  <c r="K406" i="3"/>
  <c r="E406" i="3"/>
  <c r="J406" i="3"/>
  <c r="K405" i="3"/>
  <c r="E405" i="3"/>
  <c r="J405" i="3"/>
  <c r="K404" i="3"/>
  <c r="E404" i="3"/>
  <c r="J404" i="3"/>
  <c r="K403" i="3"/>
  <c r="E403" i="3"/>
  <c r="J403" i="3"/>
  <c r="K402" i="3"/>
  <c r="E402" i="3"/>
  <c r="J402" i="3"/>
  <c r="K401" i="3"/>
  <c r="E401" i="3"/>
  <c r="J401" i="3"/>
  <c r="K400" i="3"/>
  <c r="E400" i="3"/>
  <c r="J400" i="3"/>
  <c r="K399" i="3"/>
  <c r="E399" i="3"/>
  <c r="J399" i="3"/>
  <c r="K398" i="3"/>
  <c r="E398" i="3"/>
  <c r="I398" i="3"/>
  <c r="J398" i="3" s="1"/>
  <c r="K397" i="3"/>
  <c r="E397" i="3"/>
  <c r="J397" i="3"/>
  <c r="K396" i="3"/>
  <c r="E396" i="3"/>
  <c r="J396" i="3"/>
  <c r="K395" i="3"/>
  <c r="E395" i="3"/>
  <c r="J395" i="3"/>
  <c r="K394" i="3"/>
  <c r="E394" i="3"/>
  <c r="J394" i="3"/>
  <c r="K393" i="3"/>
  <c r="E393" i="3"/>
  <c r="J393" i="3"/>
  <c r="K392" i="3"/>
  <c r="E392" i="3"/>
  <c r="I392" i="3"/>
  <c r="J392" i="3" s="1"/>
  <c r="K391" i="3"/>
  <c r="E391" i="3"/>
  <c r="J391" i="3"/>
  <c r="K390" i="3"/>
  <c r="E390" i="3"/>
  <c r="J390" i="3"/>
  <c r="K389" i="3"/>
  <c r="E389" i="3"/>
  <c r="J389" i="3"/>
  <c r="K388" i="3"/>
  <c r="E388" i="3"/>
  <c r="J388" i="3"/>
  <c r="K387" i="3"/>
  <c r="E387" i="3"/>
  <c r="J387" i="3"/>
  <c r="K386" i="3"/>
  <c r="E386" i="3"/>
  <c r="J386" i="3"/>
  <c r="K385" i="3"/>
  <c r="E385" i="3"/>
  <c r="J385" i="3"/>
  <c r="K384" i="3"/>
  <c r="E384" i="3"/>
  <c r="J384" i="3"/>
  <c r="K383" i="3"/>
  <c r="E383" i="3"/>
  <c r="J383" i="3"/>
  <c r="K382" i="3"/>
  <c r="E382" i="3"/>
  <c r="J382" i="3"/>
  <c r="K381" i="3"/>
  <c r="E381" i="3"/>
  <c r="K380" i="3"/>
  <c r="E380" i="3"/>
  <c r="J380" i="3"/>
  <c r="K379" i="3"/>
  <c r="E379" i="3"/>
  <c r="J379" i="3"/>
  <c r="K378" i="3"/>
  <c r="E378" i="3"/>
  <c r="J378" i="3"/>
  <c r="K377" i="3"/>
  <c r="E377" i="3"/>
  <c r="J377" i="3"/>
  <c r="K376" i="3"/>
  <c r="E376" i="3"/>
  <c r="J376" i="3"/>
  <c r="K375" i="3"/>
  <c r="E375" i="3"/>
  <c r="J375" i="3"/>
  <c r="K374" i="3"/>
  <c r="E374" i="3"/>
  <c r="J374" i="3"/>
  <c r="K373" i="3"/>
  <c r="E373" i="3"/>
  <c r="K372" i="3"/>
  <c r="E372" i="3"/>
  <c r="J372" i="3"/>
  <c r="K371" i="3"/>
  <c r="E371" i="3"/>
  <c r="I371" i="3"/>
  <c r="J371" i="3" s="1"/>
  <c r="K370" i="3"/>
  <c r="E370" i="3"/>
  <c r="J370" i="3"/>
  <c r="K369" i="3"/>
  <c r="E369" i="3"/>
  <c r="J369" i="3"/>
  <c r="K368" i="3"/>
  <c r="E368" i="3"/>
  <c r="J368" i="3"/>
  <c r="K367" i="3"/>
  <c r="E367" i="3"/>
  <c r="J367" i="3"/>
  <c r="K366" i="3"/>
  <c r="E366" i="3"/>
  <c r="J366" i="3"/>
  <c r="K365" i="3"/>
  <c r="E365" i="3"/>
  <c r="J365" i="3"/>
  <c r="K364" i="3"/>
  <c r="E364" i="3"/>
  <c r="J364" i="3"/>
  <c r="K363" i="3"/>
  <c r="E363" i="3"/>
  <c r="J363" i="3"/>
  <c r="K362" i="3"/>
  <c r="E362" i="3"/>
  <c r="J362" i="3"/>
  <c r="K361" i="3"/>
  <c r="E361" i="3"/>
  <c r="J361" i="3"/>
  <c r="K360" i="3"/>
  <c r="E360" i="3"/>
  <c r="J360" i="3"/>
  <c r="K359" i="3"/>
  <c r="E359" i="3"/>
  <c r="J359" i="3"/>
  <c r="K358" i="3"/>
  <c r="E358" i="3"/>
  <c r="J358" i="3"/>
  <c r="K357" i="3"/>
  <c r="E357" i="3"/>
  <c r="K356" i="3"/>
  <c r="E356" i="3"/>
  <c r="K355" i="3"/>
  <c r="E355" i="3"/>
  <c r="J355" i="3"/>
  <c r="K354" i="3"/>
  <c r="E354" i="3"/>
  <c r="J354" i="3"/>
  <c r="K353" i="3"/>
  <c r="E353" i="3"/>
  <c r="J353" i="3"/>
  <c r="K352" i="3"/>
  <c r="E352" i="3"/>
  <c r="J352" i="3"/>
  <c r="K351" i="3"/>
  <c r="E351" i="3"/>
  <c r="J351" i="3"/>
  <c r="K350" i="3"/>
  <c r="E350" i="3"/>
  <c r="I350" i="3"/>
  <c r="J350" i="3" s="1"/>
  <c r="K349" i="3"/>
  <c r="E349" i="3"/>
  <c r="J349" i="3"/>
  <c r="K348" i="3"/>
  <c r="E348" i="3"/>
  <c r="J348" i="3"/>
  <c r="K347" i="3"/>
  <c r="E347" i="3"/>
  <c r="J347" i="3"/>
  <c r="K346" i="3"/>
  <c r="E346" i="3"/>
  <c r="J346" i="3"/>
  <c r="K345" i="3"/>
  <c r="E345" i="3"/>
  <c r="J345" i="3"/>
  <c r="K344" i="3"/>
  <c r="E344" i="3"/>
  <c r="J344" i="3"/>
  <c r="K343" i="3"/>
  <c r="E343" i="3"/>
  <c r="J343" i="3"/>
  <c r="K342" i="3"/>
  <c r="E342" i="3"/>
  <c r="J342" i="3"/>
  <c r="K341" i="3"/>
  <c r="E341" i="3"/>
  <c r="J341" i="3"/>
  <c r="K340" i="3"/>
  <c r="E340" i="3"/>
  <c r="J340" i="3"/>
  <c r="K339" i="3"/>
  <c r="E339" i="3"/>
  <c r="J339" i="3"/>
  <c r="K338" i="3"/>
  <c r="E338" i="3"/>
  <c r="J338" i="3"/>
  <c r="K337" i="3"/>
  <c r="E337" i="3"/>
  <c r="J337" i="3"/>
  <c r="K336" i="3"/>
  <c r="E336" i="3"/>
  <c r="J336" i="3"/>
  <c r="K335" i="3"/>
  <c r="E335" i="3"/>
  <c r="I335" i="3"/>
  <c r="J335" i="3" s="1"/>
  <c r="K334" i="3"/>
  <c r="E334" i="3"/>
  <c r="J334" i="3"/>
  <c r="K333" i="3"/>
  <c r="E333" i="3"/>
  <c r="J333" i="3"/>
  <c r="K332" i="3"/>
  <c r="E332" i="3"/>
  <c r="J332" i="3"/>
  <c r="K331" i="3"/>
  <c r="E331" i="3"/>
  <c r="J331" i="3"/>
  <c r="K330" i="3"/>
  <c r="E330" i="3"/>
  <c r="J330" i="3"/>
  <c r="K329" i="3"/>
  <c r="E329" i="3"/>
  <c r="J329" i="3"/>
  <c r="K328" i="3"/>
  <c r="E328" i="3"/>
  <c r="J328" i="3"/>
  <c r="K327" i="3"/>
  <c r="E327" i="3"/>
  <c r="J327" i="3"/>
  <c r="K326" i="3"/>
  <c r="E326" i="3"/>
  <c r="J326" i="3"/>
  <c r="K325" i="3"/>
  <c r="E325" i="3"/>
  <c r="J325" i="3"/>
  <c r="K324" i="3"/>
  <c r="E324" i="3"/>
  <c r="J324" i="3"/>
  <c r="K323" i="3"/>
  <c r="E323" i="3"/>
  <c r="J323" i="3"/>
  <c r="K322" i="3"/>
  <c r="E322" i="3"/>
  <c r="J322" i="3"/>
  <c r="K321" i="3"/>
  <c r="E321" i="3"/>
  <c r="J321" i="3"/>
  <c r="K320" i="3"/>
  <c r="E320" i="3"/>
  <c r="J320" i="3"/>
  <c r="K319" i="3"/>
  <c r="E319" i="3"/>
  <c r="J319" i="3"/>
  <c r="K318" i="3"/>
  <c r="E318" i="3"/>
  <c r="K317" i="3"/>
  <c r="E317" i="3"/>
  <c r="I317" i="3"/>
  <c r="J317" i="3" s="1"/>
  <c r="K316" i="3"/>
  <c r="E316" i="3"/>
  <c r="J316" i="3"/>
  <c r="K315" i="3"/>
  <c r="E315" i="3"/>
  <c r="J315" i="3"/>
  <c r="K314" i="3"/>
  <c r="E314" i="3"/>
  <c r="J314" i="3"/>
  <c r="K313" i="3"/>
  <c r="E313" i="3"/>
  <c r="J313" i="3"/>
  <c r="K312" i="3"/>
  <c r="E312" i="3"/>
  <c r="J312" i="3"/>
  <c r="K311" i="3"/>
  <c r="E311" i="3"/>
  <c r="J311" i="3"/>
  <c r="K310" i="3"/>
  <c r="E310" i="3"/>
  <c r="I310" i="3"/>
  <c r="J310" i="3" s="1"/>
  <c r="K309" i="3"/>
  <c r="E309" i="3"/>
  <c r="J309" i="3"/>
  <c r="K308" i="3"/>
  <c r="E308" i="3"/>
  <c r="I308" i="3"/>
  <c r="J308" i="3" s="1"/>
  <c r="K307" i="3"/>
  <c r="E307" i="3"/>
  <c r="J307" i="3"/>
  <c r="K306" i="3"/>
  <c r="E306" i="3"/>
  <c r="J306" i="3"/>
  <c r="K305" i="3"/>
  <c r="E305" i="3"/>
  <c r="J305" i="3"/>
  <c r="K304" i="3"/>
  <c r="E304" i="3"/>
  <c r="J304" i="3"/>
  <c r="K303" i="3"/>
  <c r="E303" i="3"/>
  <c r="J303" i="3"/>
  <c r="K302" i="3"/>
  <c r="E302" i="3"/>
  <c r="J302" i="3"/>
  <c r="K301" i="3"/>
  <c r="E301" i="3"/>
  <c r="J301" i="3"/>
  <c r="K300" i="3"/>
  <c r="E300" i="3"/>
  <c r="J300" i="3"/>
  <c r="K299" i="3"/>
  <c r="E299" i="3"/>
  <c r="J299" i="3"/>
  <c r="K298" i="3"/>
  <c r="E298" i="3"/>
  <c r="J298" i="3"/>
  <c r="K297" i="3"/>
  <c r="E297" i="3"/>
  <c r="J297" i="3"/>
  <c r="K296" i="3"/>
  <c r="E296" i="3"/>
  <c r="J296" i="3"/>
  <c r="K295" i="3"/>
  <c r="E295" i="3"/>
  <c r="I295" i="3"/>
  <c r="J295" i="3" s="1"/>
  <c r="K294" i="3"/>
  <c r="E294" i="3"/>
  <c r="J294" i="3"/>
  <c r="K293" i="3"/>
  <c r="E293" i="3"/>
  <c r="J293" i="3"/>
  <c r="K292" i="3"/>
  <c r="E292" i="3"/>
  <c r="J292" i="3"/>
  <c r="K291" i="3"/>
  <c r="E291" i="3"/>
  <c r="J291" i="3"/>
  <c r="K290" i="3"/>
  <c r="E290" i="3"/>
  <c r="J290" i="3"/>
  <c r="K289" i="3"/>
  <c r="E289" i="3"/>
  <c r="J289" i="3"/>
  <c r="K288" i="3"/>
  <c r="E288" i="3"/>
  <c r="J288" i="3"/>
  <c r="K287" i="3"/>
  <c r="E287" i="3"/>
  <c r="J287" i="3"/>
  <c r="K286" i="3"/>
  <c r="E286" i="3"/>
  <c r="J286" i="3"/>
  <c r="K285" i="3"/>
  <c r="E285" i="3"/>
  <c r="K284" i="3"/>
  <c r="E284" i="3"/>
  <c r="J284" i="3"/>
  <c r="K283" i="3"/>
  <c r="E283" i="3"/>
  <c r="J283" i="3"/>
  <c r="K282" i="3"/>
  <c r="E282" i="3"/>
  <c r="I282" i="3"/>
  <c r="J282" i="3" s="1"/>
  <c r="K281" i="3"/>
  <c r="E281" i="3"/>
  <c r="J281" i="3"/>
  <c r="K280" i="3"/>
  <c r="E280" i="3"/>
  <c r="J280" i="3"/>
  <c r="K279" i="3"/>
  <c r="E279" i="3"/>
  <c r="J279" i="3"/>
  <c r="K278" i="3"/>
  <c r="E278" i="3"/>
  <c r="J278" i="3"/>
  <c r="K277" i="3"/>
  <c r="E277" i="3"/>
  <c r="J277" i="3"/>
  <c r="K276" i="3"/>
  <c r="E276" i="3"/>
  <c r="J276" i="3"/>
  <c r="K275" i="3"/>
  <c r="E275" i="3"/>
  <c r="J275" i="3"/>
  <c r="K274" i="3"/>
  <c r="E274" i="3"/>
  <c r="J274" i="3"/>
  <c r="K273" i="3"/>
  <c r="E273" i="3"/>
  <c r="J273" i="3"/>
  <c r="K272" i="3"/>
  <c r="E272" i="3"/>
  <c r="J272" i="3"/>
  <c r="K271" i="3"/>
  <c r="E271" i="3"/>
  <c r="J271" i="3"/>
  <c r="K270" i="3"/>
  <c r="E270" i="3"/>
  <c r="J270" i="3"/>
  <c r="K269" i="3"/>
  <c r="E269" i="3"/>
  <c r="J269" i="3"/>
  <c r="K268" i="3"/>
  <c r="E268" i="3"/>
  <c r="J268" i="3"/>
  <c r="K267" i="3"/>
  <c r="E267" i="3"/>
  <c r="J267" i="3"/>
  <c r="K266" i="3"/>
  <c r="E266" i="3"/>
  <c r="J266" i="3"/>
  <c r="K265" i="3"/>
  <c r="E265" i="3"/>
  <c r="J265" i="3"/>
  <c r="K264" i="3"/>
  <c r="E264" i="3"/>
  <c r="J264" i="3"/>
  <c r="K263" i="3"/>
  <c r="E263" i="3"/>
  <c r="J263" i="3"/>
  <c r="K262" i="3"/>
  <c r="E262" i="3"/>
  <c r="J262" i="3"/>
  <c r="K261" i="3"/>
  <c r="E261" i="3"/>
  <c r="J261" i="3"/>
  <c r="K260" i="3"/>
  <c r="E260" i="3"/>
  <c r="J260" i="3"/>
  <c r="K259" i="3"/>
  <c r="E259" i="3"/>
  <c r="J259" i="3"/>
  <c r="K258" i="3"/>
  <c r="E258" i="3"/>
  <c r="J258" i="3"/>
  <c r="K257" i="3"/>
  <c r="E257" i="3"/>
  <c r="J257" i="3"/>
  <c r="K256" i="3"/>
  <c r="E256" i="3"/>
  <c r="J256" i="3"/>
  <c r="K255" i="3"/>
  <c r="E255" i="3"/>
  <c r="J255" i="3"/>
  <c r="K254" i="3"/>
  <c r="E254" i="3"/>
  <c r="J254" i="3"/>
  <c r="K253" i="3"/>
  <c r="E253" i="3"/>
  <c r="J253" i="3"/>
  <c r="K252" i="3"/>
  <c r="E252" i="3"/>
  <c r="J252" i="3"/>
  <c r="K251" i="3"/>
  <c r="E251" i="3"/>
  <c r="J251" i="3"/>
  <c r="K250" i="3"/>
  <c r="E250" i="3"/>
  <c r="K249" i="3"/>
  <c r="E249" i="3"/>
  <c r="J249" i="3"/>
  <c r="K248" i="3"/>
  <c r="E248" i="3"/>
  <c r="J248" i="3"/>
  <c r="K247" i="3"/>
  <c r="E247" i="3"/>
  <c r="J247" i="3"/>
  <c r="K246" i="3"/>
  <c r="E246" i="3"/>
  <c r="J246" i="3"/>
  <c r="K245" i="3"/>
  <c r="E245" i="3"/>
  <c r="J245" i="3"/>
  <c r="K244" i="3"/>
  <c r="E244" i="3"/>
  <c r="J244" i="3"/>
  <c r="K243" i="3"/>
  <c r="E243" i="3"/>
  <c r="J243" i="3"/>
  <c r="K242" i="3"/>
  <c r="E242" i="3"/>
  <c r="J242" i="3"/>
  <c r="K241" i="3"/>
  <c r="E241" i="3"/>
  <c r="J241" i="3"/>
  <c r="K240" i="3"/>
  <c r="E240" i="3"/>
  <c r="J240" i="3"/>
  <c r="K239" i="3"/>
  <c r="E239" i="3"/>
  <c r="J239" i="3"/>
  <c r="K238" i="3"/>
  <c r="E238" i="3"/>
  <c r="J238" i="3"/>
  <c r="K237" i="3"/>
  <c r="E237" i="3"/>
  <c r="J237" i="3"/>
  <c r="K236" i="3"/>
  <c r="E236" i="3"/>
  <c r="J236" i="3"/>
  <c r="K235" i="3"/>
  <c r="E235" i="3"/>
  <c r="J235" i="3"/>
  <c r="K234" i="3"/>
  <c r="E234" i="3"/>
  <c r="J234" i="3"/>
  <c r="K233" i="3"/>
  <c r="E233" i="3"/>
  <c r="J233" i="3"/>
  <c r="K232" i="3"/>
  <c r="E232" i="3"/>
  <c r="J232" i="3"/>
  <c r="K231" i="3"/>
  <c r="E231" i="3"/>
  <c r="J231" i="3"/>
  <c r="K230" i="3"/>
  <c r="E230" i="3"/>
  <c r="J230" i="3"/>
  <c r="K229" i="3"/>
  <c r="E229" i="3"/>
  <c r="J229" i="3"/>
  <c r="K228" i="3"/>
  <c r="E228" i="3"/>
  <c r="K227" i="3"/>
  <c r="E227" i="3"/>
  <c r="I227" i="3"/>
  <c r="J227" i="3" s="1"/>
  <c r="K226" i="3"/>
  <c r="E226" i="3"/>
  <c r="K225" i="3"/>
  <c r="E225" i="3"/>
  <c r="J225" i="3"/>
  <c r="K224" i="3"/>
  <c r="E224" i="3"/>
  <c r="J224" i="3"/>
  <c r="K223" i="3"/>
  <c r="E223" i="3"/>
  <c r="J223" i="3"/>
  <c r="K222" i="3"/>
  <c r="E222" i="3"/>
  <c r="J222" i="3"/>
  <c r="K221" i="3"/>
  <c r="E221" i="3"/>
  <c r="J221" i="3"/>
  <c r="K220" i="3"/>
  <c r="E220" i="3"/>
  <c r="K219" i="3"/>
  <c r="E219" i="3"/>
  <c r="J219" i="3"/>
  <c r="K218" i="3"/>
  <c r="E218" i="3"/>
  <c r="J218" i="3"/>
  <c r="K217" i="3"/>
  <c r="E217" i="3"/>
  <c r="J217" i="3"/>
  <c r="K216" i="3"/>
  <c r="E216" i="3"/>
  <c r="J216" i="3"/>
  <c r="K215" i="3"/>
  <c r="E215" i="3"/>
  <c r="J215" i="3"/>
  <c r="K214" i="3"/>
  <c r="E214" i="3"/>
  <c r="J214" i="3"/>
  <c r="K213" i="3"/>
  <c r="E213" i="3"/>
  <c r="J213" i="3"/>
  <c r="K212" i="3"/>
  <c r="E212" i="3"/>
  <c r="K211" i="3"/>
  <c r="E211" i="3"/>
  <c r="J211" i="3"/>
  <c r="K210" i="3"/>
  <c r="E210" i="3"/>
  <c r="J210" i="3"/>
  <c r="K209" i="3"/>
  <c r="E209" i="3"/>
  <c r="J209" i="3"/>
  <c r="K208" i="3"/>
  <c r="E208" i="3"/>
  <c r="J208" i="3"/>
  <c r="K207" i="3"/>
  <c r="E207" i="3"/>
  <c r="J207" i="3"/>
  <c r="K206" i="3"/>
  <c r="E206" i="3"/>
  <c r="J206" i="3"/>
  <c r="K205" i="3"/>
  <c r="E205" i="3"/>
  <c r="J205" i="3"/>
  <c r="K204" i="3"/>
  <c r="E204" i="3"/>
  <c r="K203" i="3"/>
  <c r="E203" i="3"/>
  <c r="J203" i="3"/>
  <c r="K202" i="3"/>
  <c r="E202" i="3"/>
  <c r="J202" i="3"/>
  <c r="K201" i="3"/>
  <c r="E201" i="3"/>
  <c r="J201" i="3"/>
  <c r="K200" i="3"/>
  <c r="E200" i="3"/>
  <c r="J200" i="3"/>
  <c r="K199" i="3"/>
  <c r="E199" i="3"/>
  <c r="J199" i="3"/>
  <c r="K198" i="3"/>
  <c r="E198" i="3"/>
  <c r="J198" i="3"/>
  <c r="K197" i="3"/>
  <c r="E197" i="3"/>
  <c r="J197" i="3"/>
  <c r="K196" i="3"/>
  <c r="E196" i="3"/>
  <c r="J196" i="3"/>
  <c r="K195" i="3"/>
  <c r="E195" i="3"/>
  <c r="I195" i="3"/>
  <c r="J195" i="3" s="1"/>
  <c r="K194" i="3"/>
  <c r="E194" i="3"/>
  <c r="J194" i="3"/>
  <c r="K193" i="3"/>
  <c r="E193" i="3"/>
  <c r="J193" i="3"/>
  <c r="K192" i="3"/>
  <c r="E192" i="3"/>
  <c r="I192" i="3"/>
  <c r="J192" i="3" s="1"/>
  <c r="K191" i="3"/>
  <c r="E191" i="3"/>
  <c r="J191" i="3"/>
  <c r="K190" i="3"/>
  <c r="E190" i="3"/>
  <c r="J190" i="3"/>
  <c r="K189" i="3"/>
  <c r="E189" i="3"/>
  <c r="I189" i="3"/>
  <c r="J189" i="3" s="1"/>
  <c r="K188" i="3"/>
  <c r="E188" i="3"/>
  <c r="J188" i="3"/>
  <c r="K187" i="3"/>
  <c r="E187" i="3"/>
  <c r="J187" i="3"/>
  <c r="K186" i="3"/>
  <c r="E186" i="3"/>
  <c r="J186" i="3"/>
  <c r="K185" i="3"/>
  <c r="E185" i="3"/>
  <c r="J185" i="3"/>
  <c r="K184" i="3"/>
  <c r="E184" i="3"/>
  <c r="J184" i="3"/>
  <c r="K183" i="3"/>
  <c r="E183" i="3"/>
  <c r="J183" i="3"/>
  <c r="K182" i="3"/>
  <c r="E182" i="3"/>
  <c r="J182" i="3"/>
  <c r="K181" i="3"/>
  <c r="E181" i="3"/>
  <c r="J181" i="3"/>
  <c r="K180" i="3"/>
  <c r="E180" i="3"/>
  <c r="J180" i="3"/>
  <c r="K179" i="3"/>
  <c r="E179" i="3"/>
  <c r="J179" i="3"/>
  <c r="K178" i="3"/>
  <c r="E178" i="3"/>
  <c r="J178" i="3"/>
  <c r="K177" i="3"/>
  <c r="E177" i="3"/>
  <c r="J177" i="3"/>
  <c r="K176" i="3"/>
  <c r="E176" i="3"/>
  <c r="J176" i="3"/>
  <c r="K175" i="3"/>
  <c r="E175" i="3"/>
  <c r="J175" i="3"/>
  <c r="K174" i="3"/>
  <c r="E174" i="3"/>
  <c r="J174" i="3"/>
  <c r="K173" i="3"/>
  <c r="E173" i="3"/>
  <c r="J173" i="3"/>
  <c r="K172" i="3"/>
  <c r="E172" i="3"/>
  <c r="J172" i="3"/>
  <c r="K171" i="3"/>
  <c r="E171" i="3"/>
  <c r="J171" i="3"/>
  <c r="K170" i="3"/>
  <c r="E170" i="3"/>
  <c r="J170" i="3"/>
  <c r="K169" i="3"/>
  <c r="E169" i="3"/>
  <c r="J169" i="3"/>
  <c r="K168" i="3"/>
  <c r="E168" i="3"/>
  <c r="J168" i="3"/>
  <c r="K167" i="3"/>
  <c r="E167" i="3"/>
  <c r="J167" i="3"/>
  <c r="K166" i="3"/>
  <c r="E166" i="3"/>
  <c r="I166" i="3"/>
  <c r="J166" i="3" s="1"/>
  <c r="K165" i="3"/>
  <c r="E165" i="3"/>
  <c r="J165" i="3"/>
  <c r="K164" i="3"/>
  <c r="E164" i="3"/>
  <c r="J164" i="3"/>
  <c r="K163" i="3"/>
  <c r="E163" i="3"/>
  <c r="I163" i="3"/>
  <c r="J163" i="3" s="1"/>
  <c r="K162" i="3"/>
  <c r="E162" i="3"/>
  <c r="I162" i="3"/>
  <c r="J162" i="3" s="1"/>
  <c r="K161" i="3"/>
  <c r="E161" i="3"/>
  <c r="J161" i="3"/>
  <c r="K160" i="3"/>
  <c r="E160" i="3"/>
  <c r="I160" i="3"/>
  <c r="J160" i="3" s="1"/>
  <c r="K159" i="3"/>
  <c r="E159" i="3"/>
  <c r="J159" i="3"/>
  <c r="K158" i="3"/>
  <c r="E158" i="3"/>
  <c r="J158" i="3"/>
  <c r="K157" i="3"/>
  <c r="E157" i="3"/>
  <c r="J157" i="3"/>
  <c r="K156" i="3"/>
  <c r="E156" i="3"/>
  <c r="J156" i="3"/>
  <c r="K155" i="3"/>
  <c r="E155" i="3"/>
  <c r="J155" i="3"/>
  <c r="K154" i="3"/>
  <c r="E154" i="3"/>
  <c r="J154" i="3"/>
  <c r="K153" i="3"/>
  <c r="E153" i="3"/>
  <c r="J153" i="3"/>
  <c r="K152" i="3"/>
  <c r="E152" i="3"/>
  <c r="J152" i="3"/>
  <c r="K151" i="3"/>
  <c r="E151" i="3"/>
  <c r="J151" i="3"/>
  <c r="K150" i="3"/>
  <c r="E150" i="3"/>
  <c r="J150" i="3"/>
  <c r="K149" i="3"/>
  <c r="E149" i="3"/>
  <c r="K148" i="3"/>
  <c r="E148" i="3"/>
  <c r="J148" i="3"/>
  <c r="K147" i="3"/>
  <c r="E147" i="3"/>
  <c r="K146" i="3"/>
  <c r="E146" i="3"/>
  <c r="J146" i="3"/>
  <c r="K145" i="3"/>
  <c r="E145" i="3"/>
  <c r="J145" i="3"/>
  <c r="K144" i="3"/>
  <c r="E144" i="3"/>
  <c r="J144" i="3"/>
  <c r="K143" i="3"/>
  <c r="E143" i="3"/>
  <c r="J143" i="3"/>
  <c r="K142" i="3"/>
  <c r="E142" i="3"/>
  <c r="J142" i="3"/>
  <c r="K141" i="3"/>
  <c r="E141" i="3"/>
  <c r="J141" i="3"/>
  <c r="K140" i="3"/>
  <c r="E140" i="3"/>
  <c r="J140" i="3"/>
  <c r="K139" i="3"/>
  <c r="E139" i="3"/>
  <c r="K138" i="3"/>
  <c r="E138" i="3"/>
  <c r="J138" i="3"/>
  <c r="K137" i="3"/>
  <c r="E137" i="3"/>
  <c r="J137" i="3"/>
  <c r="K136" i="3"/>
  <c r="E136" i="3"/>
  <c r="J136" i="3"/>
  <c r="K135" i="3"/>
  <c r="E135" i="3"/>
  <c r="J135" i="3"/>
  <c r="K134" i="3"/>
  <c r="E134" i="3"/>
  <c r="J134" i="3"/>
  <c r="K133" i="3"/>
  <c r="E133" i="3"/>
  <c r="K132" i="3"/>
  <c r="E132" i="3"/>
  <c r="J132" i="3"/>
  <c r="K131" i="3"/>
  <c r="E131" i="3"/>
  <c r="K130" i="3"/>
  <c r="E130" i="3"/>
  <c r="J130" i="3"/>
  <c r="K129" i="3"/>
  <c r="E129" i="3"/>
  <c r="I129" i="3"/>
  <c r="J129" i="3" s="1"/>
  <c r="K128" i="3"/>
  <c r="E128" i="3"/>
  <c r="I128" i="3"/>
  <c r="J128" i="3" s="1"/>
  <c r="K127" i="3"/>
  <c r="E127" i="3"/>
  <c r="J127" i="3"/>
  <c r="K126" i="3"/>
  <c r="E126" i="3"/>
  <c r="K125" i="3"/>
  <c r="E125" i="3"/>
  <c r="J125" i="3"/>
  <c r="K124" i="3"/>
  <c r="E124" i="3"/>
  <c r="J124" i="3"/>
  <c r="K123" i="3"/>
  <c r="E123" i="3"/>
  <c r="I123" i="3"/>
  <c r="J123" i="3" s="1"/>
  <c r="K122" i="3"/>
  <c r="E122" i="3"/>
  <c r="J122" i="3"/>
  <c r="K121" i="3"/>
  <c r="E121" i="3"/>
  <c r="J121" i="3"/>
  <c r="K120" i="3"/>
  <c r="E120" i="3"/>
  <c r="J120" i="3"/>
  <c r="K119" i="3"/>
  <c r="E119" i="3"/>
  <c r="J119" i="3"/>
  <c r="K118" i="3"/>
  <c r="E118" i="3"/>
  <c r="J118" i="3"/>
  <c r="K117" i="3"/>
  <c r="E117" i="3"/>
  <c r="J117" i="3"/>
  <c r="K116" i="3"/>
  <c r="E116" i="3"/>
  <c r="J116" i="3"/>
  <c r="K115" i="3"/>
  <c r="E115" i="3"/>
  <c r="J115" i="3"/>
  <c r="K114" i="3"/>
  <c r="E114" i="3"/>
  <c r="J114" i="3"/>
  <c r="K113" i="3"/>
  <c r="E113" i="3"/>
  <c r="J113" i="3"/>
  <c r="K112" i="3"/>
  <c r="E112" i="3"/>
  <c r="J112" i="3"/>
  <c r="K111" i="3"/>
  <c r="E111" i="3"/>
  <c r="J111" i="3"/>
  <c r="K110" i="3"/>
  <c r="E110" i="3"/>
  <c r="J110" i="3"/>
  <c r="K109" i="3"/>
  <c r="E109" i="3"/>
  <c r="J109" i="3"/>
  <c r="K108" i="3"/>
  <c r="E108" i="3"/>
  <c r="J108" i="3"/>
  <c r="K107" i="3"/>
  <c r="E107" i="3"/>
  <c r="J107" i="3"/>
  <c r="K106" i="3"/>
  <c r="E106" i="3"/>
  <c r="J106" i="3"/>
  <c r="K105" i="3"/>
  <c r="E105" i="3"/>
  <c r="J105" i="3"/>
  <c r="K104" i="3"/>
  <c r="E104" i="3"/>
  <c r="J104" i="3"/>
  <c r="K103" i="3"/>
  <c r="E103" i="3"/>
  <c r="J103" i="3"/>
  <c r="K102" i="3"/>
  <c r="E102" i="3"/>
  <c r="I102" i="3"/>
  <c r="J102" i="3" s="1"/>
  <c r="K101" i="3"/>
  <c r="E101" i="3"/>
  <c r="J101" i="3"/>
  <c r="K100" i="3"/>
  <c r="E100" i="3"/>
  <c r="J100" i="3"/>
  <c r="K99" i="3"/>
  <c r="E99" i="3"/>
  <c r="J99" i="3"/>
  <c r="K98" i="3"/>
  <c r="E98" i="3"/>
  <c r="J98" i="3"/>
  <c r="K97" i="3"/>
  <c r="E97" i="3"/>
  <c r="J97" i="3"/>
  <c r="K96" i="3"/>
  <c r="E96" i="3"/>
  <c r="J96" i="3"/>
  <c r="K95" i="3"/>
  <c r="E95" i="3"/>
  <c r="J95" i="3"/>
  <c r="K94" i="3"/>
  <c r="E94" i="3"/>
  <c r="J94" i="3"/>
  <c r="K93" i="3"/>
  <c r="E93" i="3"/>
  <c r="J93" i="3"/>
  <c r="K92" i="3"/>
  <c r="E92" i="3"/>
  <c r="I92" i="3"/>
  <c r="J92" i="3" s="1"/>
  <c r="K91" i="3"/>
  <c r="E91" i="3"/>
  <c r="J91" i="3"/>
  <c r="K90" i="3"/>
  <c r="E90" i="3"/>
  <c r="J90" i="3"/>
  <c r="K89" i="3"/>
  <c r="E89" i="3"/>
  <c r="J89" i="3"/>
  <c r="K88" i="3"/>
  <c r="E88" i="3"/>
  <c r="J88" i="3"/>
  <c r="K87" i="3"/>
  <c r="E87" i="3"/>
  <c r="J87" i="3"/>
  <c r="K86" i="3"/>
  <c r="E86" i="3"/>
  <c r="J86" i="3"/>
  <c r="K85" i="3"/>
  <c r="E85" i="3"/>
  <c r="J85" i="3"/>
  <c r="K84" i="3"/>
  <c r="E84" i="3"/>
  <c r="I84" i="3"/>
  <c r="J84" i="3" s="1"/>
  <c r="K83" i="3"/>
  <c r="E83" i="3"/>
  <c r="J83" i="3"/>
  <c r="K82" i="3"/>
  <c r="E82" i="3"/>
  <c r="I82" i="3"/>
  <c r="J82" i="3" s="1"/>
  <c r="K81" i="3"/>
  <c r="E81" i="3"/>
  <c r="J81" i="3"/>
  <c r="K80" i="3"/>
  <c r="E80" i="3"/>
  <c r="J80" i="3"/>
  <c r="K79" i="3"/>
  <c r="E79" i="3"/>
  <c r="J79" i="3"/>
  <c r="K78" i="3"/>
  <c r="E78" i="3"/>
  <c r="J78" i="3"/>
  <c r="K77" i="3"/>
  <c r="E77" i="3"/>
  <c r="J77" i="3"/>
  <c r="K76" i="3"/>
  <c r="E76" i="3"/>
  <c r="K75" i="3"/>
  <c r="E75" i="3"/>
  <c r="J75" i="3"/>
  <c r="K74" i="3"/>
  <c r="E74" i="3"/>
  <c r="J74" i="3"/>
  <c r="K73" i="3"/>
  <c r="E73" i="3"/>
  <c r="J73" i="3"/>
  <c r="K72" i="3"/>
  <c r="E72" i="3"/>
  <c r="J72" i="3"/>
  <c r="K71" i="3"/>
  <c r="E71" i="3"/>
  <c r="J71" i="3"/>
  <c r="K70" i="3"/>
  <c r="E70" i="3"/>
  <c r="J70" i="3"/>
  <c r="K69" i="3"/>
  <c r="E69" i="3"/>
  <c r="I69" i="3"/>
  <c r="J69" i="3" s="1"/>
  <c r="K68" i="3"/>
  <c r="E68" i="3"/>
  <c r="J68" i="3"/>
  <c r="K67" i="3"/>
  <c r="E67" i="3"/>
  <c r="J67" i="3"/>
  <c r="K66" i="3"/>
  <c r="E66" i="3"/>
  <c r="J66" i="3"/>
  <c r="K65" i="3"/>
  <c r="E65" i="3"/>
  <c r="J65" i="3"/>
  <c r="K64" i="3"/>
  <c r="E64" i="3"/>
  <c r="J64" i="3"/>
  <c r="K63" i="3"/>
  <c r="E63" i="3"/>
  <c r="J63" i="3"/>
  <c r="K62" i="3"/>
  <c r="E62" i="3"/>
  <c r="I62" i="3"/>
  <c r="J62" i="3" s="1"/>
  <c r="K61" i="3"/>
  <c r="E61" i="3"/>
  <c r="K60" i="3"/>
  <c r="E60" i="3"/>
  <c r="J60" i="3"/>
  <c r="K59" i="3"/>
  <c r="E59" i="3"/>
  <c r="K58" i="3"/>
  <c r="E58" i="3"/>
  <c r="J58" i="3"/>
  <c r="K57" i="3"/>
  <c r="E57" i="3"/>
  <c r="J57" i="3"/>
  <c r="K56" i="3"/>
  <c r="E56" i="3"/>
  <c r="J56" i="3"/>
  <c r="K55" i="3"/>
  <c r="E55" i="3"/>
  <c r="K54" i="3"/>
  <c r="E54" i="3"/>
  <c r="J54" i="3"/>
  <c r="K53" i="3"/>
  <c r="E53" i="3"/>
  <c r="J53" i="3"/>
  <c r="K52" i="3"/>
  <c r="E52" i="3"/>
  <c r="J52" i="3"/>
  <c r="K51" i="3"/>
  <c r="E51" i="3"/>
  <c r="K50" i="3"/>
  <c r="E50" i="3"/>
  <c r="J50" i="3"/>
  <c r="K49" i="3"/>
  <c r="E49" i="3"/>
  <c r="J49" i="3"/>
  <c r="K48" i="3"/>
  <c r="E48" i="3"/>
  <c r="J48" i="3"/>
  <c r="K47" i="3"/>
  <c r="E47" i="3"/>
  <c r="K46" i="3"/>
  <c r="E46" i="3"/>
  <c r="J46" i="3"/>
  <c r="K45" i="3"/>
  <c r="E45" i="3"/>
  <c r="K44" i="3"/>
  <c r="E44" i="3"/>
  <c r="J44" i="3"/>
  <c r="K43" i="3"/>
  <c r="E43" i="3"/>
  <c r="K42" i="3"/>
  <c r="E42" i="3"/>
  <c r="J42" i="3"/>
  <c r="K41" i="3"/>
  <c r="E41" i="3"/>
  <c r="J41" i="3"/>
  <c r="K40" i="3"/>
  <c r="E40" i="3"/>
  <c r="J40" i="3"/>
  <c r="K39" i="3"/>
  <c r="E39" i="3"/>
  <c r="K38" i="3"/>
  <c r="E38" i="3"/>
  <c r="J38" i="3"/>
  <c r="K37" i="3"/>
  <c r="E37" i="3"/>
  <c r="K36" i="3"/>
  <c r="E36" i="3"/>
  <c r="J36" i="3"/>
  <c r="K35" i="3"/>
  <c r="E35" i="3"/>
  <c r="K34" i="3"/>
  <c r="E34" i="3"/>
  <c r="J34" i="3"/>
  <c r="K33" i="3"/>
  <c r="E33" i="3"/>
  <c r="J33" i="3"/>
  <c r="K32" i="3"/>
  <c r="E32" i="3"/>
  <c r="J32" i="3"/>
  <c r="K31" i="3"/>
  <c r="E31" i="3"/>
  <c r="K30" i="3"/>
  <c r="E30" i="3"/>
  <c r="J30" i="3"/>
  <c r="K29" i="3"/>
  <c r="E29" i="3"/>
  <c r="K28" i="3"/>
  <c r="E28" i="3"/>
  <c r="J28" i="3"/>
  <c r="K27" i="3"/>
  <c r="E27" i="3"/>
  <c r="K26" i="3"/>
  <c r="E26" i="3"/>
  <c r="J26" i="3"/>
  <c r="K25" i="3"/>
  <c r="E25" i="3"/>
  <c r="J25" i="3"/>
  <c r="K24" i="3"/>
  <c r="E24" i="3"/>
  <c r="J24" i="3"/>
  <c r="K23" i="3"/>
  <c r="E23" i="3"/>
  <c r="K22" i="3"/>
  <c r="E22" i="3"/>
  <c r="J22" i="3"/>
  <c r="K21" i="3"/>
  <c r="E21" i="3"/>
  <c r="K20" i="3"/>
  <c r="E20" i="3"/>
  <c r="J20" i="3"/>
  <c r="K19" i="3"/>
  <c r="E19" i="3"/>
  <c r="K18" i="3"/>
  <c r="E18" i="3"/>
  <c r="J18" i="3"/>
  <c r="K17" i="3"/>
  <c r="E17" i="3"/>
  <c r="J17" i="3"/>
  <c r="K16" i="3"/>
  <c r="E16" i="3"/>
  <c r="J16" i="3"/>
  <c r="K15" i="3"/>
  <c r="E15" i="3"/>
  <c r="K14" i="3"/>
  <c r="E14" i="3"/>
  <c r="J14" i="3"/>
  <c r="K13" i="3"/>
  <c r="E13" i="3"/>
  <c r="K12" i="3"/>
  <c r="E12" i="3"/>
  <c r="J12" i="3"/>
  <c r="K11" i="3"/>
  <c r="E11" i="3"/>
  <c r="K10" i="3"/>
  <c r="E10" i="3"/>
  <c r="I10" i="3"/>
  <c r="J10" i="3" s="1"/>
  <c r="K9" i="3"/>
  <c r="E9" i="3"/>
  <c r="I9" i="3"/>
  <c r="J9" i="3" s="1"/>
  <c r="K8" i="3"/>
  <c r="E8" i="3"/>
  <c r="J8" i="3"/>
  <c r="K7" i="3"/>
  <c r="E7" i="3"/>
  <c r="J7" i="3"/>
  <c r="K6" i="3"/>
  <c r="E6" i="3"/>
  <c r="J6" i="3"/>
  <c r="K5" i="3"/>
  <c r="E5" i="3"/>
  <c r="J5" i="3"/>
  <c r="K4" i="3"/>
  <c r="E4" i="3"/>
  <c r="J4" i="3"/>
  <c r="K3" i="3"/>
  <c r="E3" i="3"/>
  <c r="J3" i="3"/>
  <c r="K2" i="3"/>
  <c r="E2" i="3"/>
  <c r="J2" i="3"/>
  <c r="F405" i="1"/>
  <c r="F398" i="1"/>
  <c r="F409" i="1"/>
  <c r="F414" i="1"/>
  <c r="F402" i="1"/>
  <c r="F415" i="1"/>
  <c r="F416" i="1"/>
  <c r="F399" i="1"/>
  <c r="F393" i="1"/>
  <c r="F400" i="1"/>
  <c r="F408" i="1"/>
  <c r="F413" i="1"/>
  <c r="F417" i="1"/>
  <c r="F407" i="1"/>
  <c r="F394" i="1"/>
  <c r="F403" i="1"/>
  <c r="F396" i="1"/>
  <c r="F410" i="1"/>
  <c r="F406" i="1"/>
  <c r="F401" i="1"/>
  <c r="F397" i="1"/>
  <c r="F411" i="1"/>
  <c r="F428" i="1"/>
  <c r="F424" i="1"/>
  <c r="L8" i="1"/>
  <c r="L3" i="1"/>
  <c r="L7" i="1"/>
  <c r="L5" i="1"/>
  <c r="L6" i="1"/>
  <c r="L2" i="1"/>
  <c r="L9" i="1"/>
  <c r="L4" i="1"/>
  <c r="L10" i="1"/>
  <c r="L23" i="1"/>
  <c r="L25" i="1"/>
  <c r="L13" i="1"/>
  <c r="L15" i="1"/>
  <c r="L22" i="1"/>
  <c r="L26" i="1"/>
  <c r="L27" i="1"/>
  <c r="L24" i="1"/>
  <c r="L14" i="1"/>
  <c r="L18" i="1"/>
  <c r="L16" i="1"/>
  <c r="L11" i="1"/>
  <c r="L19" i="1"/>
  <c r="L20" i="1"/>
  <c r="L21" i="1"/>
  <c r="L17" i="1"/>
  <c r="L12" i="1"/>
  <c r="L31" i="1"/>
  <c r="L30" i="1"/>
  <c r="L32" i="1"/>
  <c r="L36" i="1"/>
  <c r="L34" i="1"/>
  <c r="L28" i="1"/>
  <c r="L35" i="1"/>
  <c r="L33" i="1"/>
  <c r="L29" i="1"/>
  <c r="L43" i="1"/>
  <c r="L57" i="1"/>
  <c r="L37" i="1"/>
  <c r="L40" i="1"/>
  <c r="L48" i="1"/>
  <c r="L54" i="1"/>
  <c r="L38" i="1"/>
  <c r="L42" i="1"/>
  <c r="L49" i="1"/>
  <c r="L60" i="1"/>
  <c r="L45" i="1"/>
  <c r="L47" i="1"/>
  <c r="L53" i="1"/>
  <c r="L44" i="1"/>
  <c r="L46" i="1"/>
  <c r="L59" i="1"/>
  <c r="L39" i="1"/>
  <c r="L50" i="1"/>
  <c r="L41" i="1"/>
  <c r="L55" i="1"/>
  <c r="L56" i="1"/>
  <c r="L52" i="1"/>
  <c r="L51" i="1"/>
  <c r="L58" i="1"/>
  <c r="L61" i="1"/>
  <c r="L64" i="1"/>
  <c r="L75" i="1"/>
  <c r="L70" i="1"/>
  <c r="L65" i="1"/>
  <c r="L77" i="1"/>
  <c r="L69" i="1"/>
  <c r="L71" i="1"/>
  <c r="L79" i="1"/>
  <c r="L78" i="1"/>
  <c r="L63" i="1"/>
  <c r="L62" i="1"/>
  <c r="L76" i="1"/>
  <c r="L73" i="1"/>
  <c r="L67" i="1"/>
  <c r="L66" i="1"/>
  <c r="L68" i="1"/>
  <c r="L74" i="1"/>
  <c r="L72" i="1"/>
  <c r="L80" i="1"/>
  <c r="L91" i="1"/>
  <c r="L89" i="1"/>
  <c r="L94" i="1"/>
  <c r="L90" i="1"/>
  <c r="L84" i="1"/>
  <c r="L93" i="1"/>
  <c r="L95" i="1"/>
  <c r="L85" i="1"/>
  <c r="L81" i="1"/>
  <c r="L86" i="1"/>
  <c r="L87" i="1"/>
  <c r="L92" i="1"/>
  <c r="L82" i="1"/>
  <c r="L88" i="1"/>
  <c r="L83" i="1"/>
  <c r="L105" i="1"/>
  <c r="L116" i="1"/>
  <c r="L97" i="1"/>
  <c r="L100" i="1"/>
  <c r="L101" i="1"/>
  <c r="L112" i="1"/>
  <c r="L114" i="1"/>
  <c r="L99" i="1"/>
  <c r="L115" i="1"/>
  <c r="L109" i="1"/>
  <c r="L113" i="1"/>
  <c r="L96" i="1"/>
  <c r="L110" i="1"/>
  <c r="L106" i="1"/>
  <c r="L107" i="1"/>
  <c r="L108" i="1"/>
  <c r="L104" i="1"/>
  <c r="L103" i="1"/>
  <c r="L98" i="1"/>
  <c r="L117" i="1"/>
  <c r="L102" i="1"/>
  <c r="L111" i="1"/>
  <c r="L131" i="1"/>
  <c r="L125" i="1"/>
  <c r="L132" i="1"/>
  <c r="L134" i="1"/>
  <c r="L118" i="1"/>
  <c r="L138" i="1"/>
  <c r="L137" i="1"/>
  <c r="L135" i="1"/>
  <c r="L133" i="1"/>
  <c r="L139" i="1"/>
  <c r="L121" i="1"/>
  <c r="L129" i="1"/>
  <c r="L124" i="1"/>
  <c r="L126" i="1"/>
  <c r="L120" i="1"/>
  <c r="L136" i="1"/>
  <c r="L128" i="1"/>
  <c r="L127" i="1"/>
  <c r="L123" i="1"/>
  <c r="L130" i="1"/>
  <c r="L119" i="1"/>
  <c r="L122" i="1"/>
  <c r="L144" i="1"/>
  <c r="L140" i="1"/>
  <c r="L147" i="1"/>
  <c r="L143" i="1"/>
  <c r="L145" i="1"/>
  <c r="L142" i="1"/>
  <c r="L146" i="1"/>
  <c r="L148" i="1"/>
  <c r="L141" i="1"/>
  <c r="L150" i="1"/>
  <c r="L173" i="1"/>
  <c r="L170" i="1"/>
  <c r="L167" i="1"/>
  <c r="L175" i="1"/>
  <c r="L153" i="1"/>
  <c r="L168" i="1"/>
  <c r="L162" i="1"/>
  <c r="L163" i="1"/>
  <c r="L166" i="1"/>
  <c r="L160" i="1"/>
  <c r="L169" i="1"/>
  <c r="L159" i="1"/>
  <c r="L152" i="1"/>
  <c r="L164" i="1"/>
  <c r="L165" i="1"/>
  <c r="L154" i="1"/>
  <c r="L156" i="1"/>
  <c r="L161" i="1"/>
  <c r="L151" i="1"/>
  <c r="L149" i="1"/>
  <c r="L158" i="1"/>
  <c r="L157" i="1"/>
  <c r="L172" i="1"/>
  <c r="L155" i="1"/>
  <c r="L171" i="1"/>
  <c r="L174" i="1"/>
  <c r="L179" i="1"/>
  <c r="L193" i="1"/>
  <c r="L183" i="1"/>
  <c r="L188" i="1"/>
  <c r="L187" i="1"/>
  <c r="L192" i="1"/>
  <c r="L185" i="1"/>
  <c r="L199" i="1"/>
  <c r="L176" i="1"/>
  <c r="L200" i="1"/>
  <c r="L198" i="1"/>
  <c r="L177" i="1"/>
  <c r="L186" i="1"/>
  <c r="L191" i="1"/>
  <c r="L202" i="1"/>
  <c r="L189" i="1"/>
  <c r="L201" i="1"/>
  <c r="L182" i="1"/>
  <c r="L197" i="1"/>
  <c r="L195" i="1"/>
  <c r="L196" i="1"/>
  <c r="L181" i="1"/>
  <c r="L184" i="1"/>
  <c r="L178" i="1"/>
  <c r="L194" i="1"/>
  <c r="L190" i="1"/>
  <c r="L180" i="1"/>
  <c r="L203" i="1"/>
  <c r="L204" i="1"/>
  <c r="L213" i="1"/>
  <c r="L224" i="1"/>
  <c r="L217" i="1"/>
  <c r="L205" i="1"/>
  <c r="L222" i="1"/>
  <c r="L210" i="1"/>
  <c r="L220" i="1"/>
  <c r="L209" i="1"/>
  <c r="L223" i="1"/>
  <c r="L225" i="1"/>
  <c r="L212" i="1"/>
  <c r="L206" i="1"/>
  <c r="L214" i="1"/>
  <c r="L211" i="1"/>
  <c r="L208" i="1"/>
  <c r="L227" i="1"/>
  <c r="L226" i="1"/>
  <c r="L207" i="1"/>
  <c r="L218" i="1"/>
  <c r="L221" i="1"/>
  <c r="L219" i="1"/>
  <c r="L215" i="1"/>
  <c r="L216" i="1"/>
  <c r="L235" i="1"/>
  <c r="L243" i="1"/>
  <c r="L228" i="1"/>
  <c r="L232" i="1"/>
  <c r="L241" i="1"/>
  <c r="L231" i="1"/>
  <c r="L236" i="1"/>
  <c r="L245" i="1"/>
  <c r="L234" i="1"/>
  <c r="L233" i="1"/>
  <c r="L229" i="1"/>
  <c r="L239" i="1"/>
  <c r="L244" i="1"/>
  <c r="L230" i="1"/>
  <c r="L237" i="1"/>
  <c r="L242" i="1"/>
  <c r="L238" i="1"/>
  <c r="L240" i="1"/>
  <c r="L246" i="1"/>
  <c r="L250" i="1"/>
  <c r="L258" i="1"/>
  <c r="L267" i="1"/>
  <c r="L248" i="1"/>
  <c r="L255" i="1"/>
  <c r="L261" i="1"/>
  <c r="L253" i="1"/>
  <c r="L251" i="1"/>
  <c r="L249" i="1"/>
  <c r="L259" i="1"/>
  <c r="L263" i="1"/>
  <c r="L262" i="1"/>
  <c r="L265" i="1"/>
  <c r="L269" i="1"/>
  <c r="L268" i="1"/>
  <c r="L257" i="1"/>
  <c r="L256" i="1"/>
  <c r="L266" i="1"/>
  <c r="L252" i="1"/>
  <c r="L254" i="1"/>
  <c r="L247" i="1"/>
  <c r="L264" i="1"/>
  <c r="L260" i="1"/>
  <c r="L289" i="1"/>
  <c r="L284" i="1"/>
  <c r="L293" i="1"/>
  <c r="L276" i="1"/>
  <c r="L286" i="1"/>
  <c r="L272" i="1"/>
  <c r="L273" i="1"/>
  <c r="L281" i="1"/>
  <c r="L282" i="1"/>
  <c r="L291" i="1"/>
  <c r="L283" i="1"/>
  <c r="L277" i="1"/>
  <c r="L270" i="1"/>
  <c r="L271" i="1"/>
  <c r="L278" i="1"/>
  <c r="L292" i="1"/>
  <c r="L294" i="1"/>
  <c r="L279" i="1"/>
  <c r="L288" i="1"/>
  <c r="L274" i="1"/>
  <c r="L290" i="1"/>
  <c r="L287" i="1"/>
  <c r="L285" i="1"/>
  <c r="L275" i="1"/>
  <c r="L280" i="1"/>
  <c r="L295" i="1"/>
  <c r="L301" i="1"/>
  <c r="L300" i="1"/>
  <c r="L303" i="1"/>
  <c r="L296" i="1"/>
  <c r="L302" i="1"/>
  <c r="L305" i="1"/>
  <c r="L297" i="1"/>
  <c r="L306" i="1"/>
  <c r="L298" i="1"/>
  <c r="L304" i="1"/>
  <c r="L299" i="1"/>
  <c r="L322" i="1"/>
  <c r="L307" i="1"/>
  <c r="L317" i="1"/>
  <c r="L309" i="1"/>
  <c r="L313" i="1"/>
  <c r="L314" i="1"/>
  <c r="L321" i="1"/>
  <c r="L311" i="1"/>
  <c r="L318" i="1"/>
  <c r="L308" i="1"/>
  <c r="L315" i="1"/>
  <c r="L324" i="1"/>
  <c r="L310" i="1"/>
  <c r="L320" i="1"/>
  <c r="L326" i="1"/>
  <c r="L323" i="1"/>
  <c r="L319" i="1"/>
  <c r="L316" i="1"/>
  <c r="L312" i="1"/>
  <c r="L325" i="1"/>
  <c r="L327" i="1"/>
  <c r="L332" i="1"/>
  <c r="L329" i="1"/>
  <c r="L328" i="1"/>
  <c r="L331" i="1"/>
  <c r="L330" i="1"/>
  <c r="L334" i="1"/>
  <c r="L333" i="1"/>
  <c r="L343" i="1"/>
  <c r="L336" i="1"/>
  <c r="L356" i="1"/>
  <c r="L358" i="1"/>
  <c r="L341" i="1"/>
  <c r="L339" i="1"/>
  <c r="L338" i="1"/>
  <c r="L354" i="1"/>
  <c r="L347" i="1"/>
  <c r="L351" i="1"/>
  <c r="L344" i="1"/>
  <c r="L355" i="1"/>
  <c r="L345" i="1"/>
  <c r="L346" i="1"/>
  <c r="L340" i="1"/>
  <c r="L342" i="1"/>
  <c r="L352" i="1"/>
  <c r="L350" i="1"/>
  <c r="L353" i="1"/>
  <c r="L335" i="1"/>
  <c r="L349" i="1"/>
  <c r="L348" i="1"/>
  <c r="L357" i="1"/>
  <c r="L337" i="1"/>
  <c r="L371" i="1"/>
  <c r="L369" i="1"/>
  <c r="L375" i="1"/>
  <c r="L368" i="1"/>
  <c r="L365" i="1"/>
  <c r="L378" i="1"/>
  <c r="L367" i="1"/>
  <c r="L374" i="1"/>
  <c r="L362" i="1"/>
  <c r="L376" i="1"/>
  <c r="L361" i="1"/>
  <c r="L373" i="1"/>
  <c r="L377" i="1"/>
  <c r="L364" i="1"/>
  <c r="L359" i="1"/>
  <c r="L379" i="1"/>
  <c r="L360" i="1"/>
  <c r="L363" i="1"/>
  <c r="L380" i="1"/>
  <c r="L370" i="1"/>
  <c r="L372" i="1"/>
  <c r="L366" i="1"/>
  <c r="L384" i="1"/>
  <c r="L386" i="1"/>
  <c r="L391" i="1"/>
  <c r="L388" i="1"/>
  <c r="L381" i="1"/>
  <c r="L382" i="1"/>
  <c r="L385" i="1"/>
  <c r="L390" i="1"/>
  <c r="L383" i="1"/>
  <c r="L387" i="1"/>
  <c r="L389" i="1"/>
  <c r="M815" i="1" l="1"/>
  <c r="M775" i="1"/>
  <c r="M396" i="1"/>
  <c r="M602" i="1"/>
  <c r="J15" i="3"/>
  <c r="M15" i="3" s="1"/>
  <c r="J23" i="3"/>
  <c r="M23" i="3" s="1"/>
  <c r="J31" i="3"/>
  <c r="M31" i="3" s="1"/>
  <c r="J39" i="3"/>
  <c r="M39" i="3" s="1"/>
  <c r="J47" i="3"/>
  <c r="M47" i="3" s="1"/>
  <c r="J55" i="3"/>
  <c r="M55" i="3" s="1"/>
  <c r="J21" i="3"/>
  <c r="M21" i="3" s="1"/>
  <c r="J29" i="3"/>
  <c r="M29" i="3" s="1"/>
  <c r="J37" i="3"/>
  <c r="M37" i="3" s="1"/>
  <c r="J45" i="3"/>
  <c r="M45" i="3" s="1"/>
  <c r="J61" i="3"/>
  <c r="M61" i="3" s="1"/>
  <c r="J133" i="3"/>
  <c r="M133" i="3" s="1"/>
  <c r="J149" i="3"/>
  <c r="M149" i="3" s="1"/>
  <c r="J13" i="3"/>
  <c r="M13" i="3" s="1"/>
  <c r="J11" i="3"/>
  <c r="M11" i="3" s="1"/>
  <c r="J19" i="3"/>
  <c r="M19" i="3" s="1"/>
  <c r="J27" i="3"/>
  <c r="M27" i="3" s="1"/>
  <c r="J35" i="3"/>
  <c r="M35" i="3" s="1"/>
  <c r="J43" i="3"/>
  <c r="M43" i="3" s="1"/>
  <c r="J51" i="3"/>
  <c r="M51" i="3" s="1"/>
  <c r="J59" i="3"/>
  <c r="M59" i="3" s="1"/>
  <c r="J126" i="3"/>
  <c r="M126" i="3" s="1"/>
  <c r="J957" i="3"/>
  <c r="M957" i="3" s="1"/>
  <c r="J453" i="3"/>
  <c r="M453" i="3" s="1"/>
  <c r="J685" i="3"/>
  <c r="M685" i="3" s="1"/>
  <c r="J981" i="3"/>
  <c r="M981" i="3" s="1"/>
  <c r="J1378" i="3"/>
  <c r="M1378" i="3" s="1"/>
  <c r="J733" i="3"/>
  <c r="M733" i="3" s="1"/>
  <c r="J949" i="3"/>
  <c r="M949" i="3" s="1"/>
  <c r="J909" i="3"/>
  <c r="M909" i="3" s="1"/>
  <c r="J475" i="3"/>
  <c r="M475" i="3" s="1"/>
  <c r="J515" i="3"/>
  <c r="M515" i="3" s="1"/>
  <c r="M699" i="3"/>
  <c r="J971" i="3"/>
  <c r="M971" i="3" s="1"/>
  <c r="J1211" i="3"/>
  <c r="M1211" i="3" s="1"/>
  <c r="J1227" i="3"/>
  <c r="M1227" i="3" s="1"/>
  <c r="J469" i="3"/>
  <c r="M469" i="3" s="1"/>
  <c r="J568" i="3"/>
  <c r="M568" i="3" s="1"/>
  <c r="J1130" i="3"/>
  <c r="M1130" i="3" s="1"/>
  <c r="J357" i="3"/>
  <c r="M357" i="3" s="1"/>
  <c r="J451" i="3"/>
  <c r="M451" i="3" s="1"/>
  <c r="J318" i="3"/>
  <c r="M318" i="3" s="1"/>
  <c r="M694" i="3"/>
  <c r="J710" i="3"/>
  <c r="M710" i="3" s="1"/>
  <c r="M742" i="3"/>
  <c r="J683" i="3"/>
  <c r="M683" i="3" s="1"/>
  <c r="J739" i="3"/>
  <c r="M739" i="3" s="1"/>
  <c r="J1021" i="3"/>
  <c r="M1021" i="3" s="1"/>
  <c r="J1314" i="3"/>
  <c r="M1314" i="3" s="1"/>
  <c r="J1259" i="3"/>
  <c r="M1259" i="3" s="1"/>
  <c r="M377" i="3"/>
  <c r="M393" i="3"/>
  <c r="M449" i="3"/>
  <c r="M457" i="3"/>
  <c r="M465" i="3"/>
  <c r="M481" i="3"/>
  <c r="J505" i="3"/>
  <c r="M505" i="3" s="1"/>
  <c r="M513" i="3"/>
  <c r="J985" i="3"/>
  <c r="M985" i="3" s="1"/>
  <c r="J1085" i="3"/>
  <c r="M1085" i="3" s="1"/>
  <c r="M1133" i="3"/>
  <c r="M1149" i="3"/>
  <c r="J758" i="3"/>
  <c r="M758" i="3" s="1"/>
  <c r="J557" i="3"/>
  <c r="M557" i="3" s="1"/>
  <c r="J691" i="3"/>
  <c r="M691" i="3" s="1"/>
  <c r="J955" i="3"/>
  <c r="M955" i="3" s="1"/>
  <c r="J131" i="3"/>
  <c r="M131" i="3" s="1"/>
  <c r="J963" i="3"/>
  <c r="M963" i="3" s="1"/>
  <c r="J995" i="3"/>
  <c r="M995" i="3" s="1"/>
  <c r="J718" i="3"/>
  <c r="M718" i="3" s="1"/>
  <c r="M124" i="3"/>
  <c r="M148" i="3"/>
  <c r="J212" i="3"/>
  <c r="M212" i="3" s="1"/>
  <c r="J228" i="3"/>
  <c r="M228" i="3" s="1"/>
  <c r="M236" i="3"/>
  <c r="M244" i="3"/>
  <c r="M340" i="3"/>
  <c r="M396" i="3"/>
  <c r="M468" i="3"/>
  <c r="M524" i="3"/>
  <c r="M684" i="3"/>
  <c r="M692" i="3"/>
  <c r="J900" i="3"/>
  <c r="M900" i="3" s="1"/>
  <c r="M1012" i="3"/>
  <c r="M1020" i="3"/>
  <c r="J700" i="3"/>
  <c r="M700" i="3" s="1"/>
  <c r="J483" i="3"/>
  <c r="M483" i="3" s="1"/>
  <c r="J686" i="3"/>
  <c r="M686" i="3" s="1"/>
  <c r="J894" i="3"/>
  <c r="M894" i="3" s="1"/>
  <c r="J1457" i="3"/>
  <c r="M1457" i="3" s="1"/>
  <c r="J139" i="3"/>
  <c r="M139" i="3" s="1"/>
  <c r="J1243" i="3"/>
  <c r="M1243" i="3" s="1"/>
  <c r="J356" i="3"/>
  <c r="M356" i="3" s="1"/>
  <c r="J1004" i="3"/>
  <c r="M1004" i="3" s="1"/>
  <c r="J204" i="3"/>
  <c r="M204" i="3" s="1"/>
  <c r="J420" i="3"/>
  <c r="M420" i="3" s="1"/>
  <c r="M119" i="3"/>
  <c r="M559" i="3"/>
  <c r="J679" i="3"/>
  <c r="M679" i="3" s="1"/>
  <c r="M687" i="3"/>
  <c r="M727" i="3"/>
  <c r="M735" i="3"/>
  <c r="M1015" i="3"/>
  <c r="M1039" i="3"/>
  <c r="M1047" i="3"/>
  <c r="M1063" i="3"/>
  <c r="M1071" i="3"/>
  <c r="M1079" i="3"/>
  <c r="M1095" i="3"/>
  <c r="M1103" i="3"/>
  <c r="M1143" i="3"/>
  <c r="J507" i="3"/>
  <c r="M507" i="3" s="1"/>
  <c r="J708" i="3"/>
  <c r="M708" i="3" s="1"/>
  <c r="J987" i="3"/>
  <c r="M987" i="3" s="1"/>
  <c r="J1127" i="3"/>
  <c r="M1127" i="3" s="1"/>
  <c r="J560" i="3"/>
  <c r="M560" i="3" s="1"/>
  <c r="J973" i="3"/>
  <c r="M973" i="3" s="1"/>
  <c r="J76" i="3"/>
  <c r="M76" i="3" s="1"/>
  <c r="J147" i="3"/>
  <c r="M147" i="3" s="1"/>
  <c r="J285" i="3"/>
  <c r="M285" i="3" s="1"/>
  <c r="J373" i="3"/>
  <c r="M373" i="3" s="1"/>
  <c r="J220" i="3"/>
  <c r="M220" i="3" s="1"/>
  <c r="J497" i="3"/>
  <c r="M497" i="3" s="1"/>
  <c r="J766" i="3"/>
  <c r="M766" i="3" s="1"/>
  <c r="M146" i="3"/>
  <c r="M202" i="3"/>
  <c r="M218" i="3"/>
  <c r="M234" i="3"/>
  <c r="M242" i="3"/>
  <c r="M322" i="3"/>
  <c r="M370" i="3"/>
  <c r="M442" i="3"/>
  <c r="M466" i="3"/>
  <c r="M474" i="3"/>
  <c r="M514" i="3"/>
  <c r="M698" i="3"/>
  <c r="M762" i="3"/>
  <c r="J770" i="3"/>
  <c r="M770" i="3" s="1"/>
  <c r="M898" i="3"/>
  <c r="M1002" i="3"/>
  <c r="J647" i="3"/>
  <c r="M647" i="3" s="1"/>
  <c r="J716" i="3"/>
  <c r="M716" i="3" s="1"/>
  <c r="J997" i="3"/>
  <c r="M997" i="3" s="1"/>
  <c r="J445" i="3"/>
  <c r="M445" i="3" s="1"/>
  <c r="J472" i="3"/>
  <c r="M472" i="3" s="1"/>
  <c r="J226" i="3"/>
  <c r="M226" i="3" s="1"/>
  <c r="J772" i="3"/>
  <c r="M772" i="3" s="1"/>
  <c r="J1087" i="3"/>
  <c r="M1087" i="3" s="1"/>
  <c r="J381" i="3"/>
  <c r="M381" i="3" s="1"/>
  <c r="J467" i="3"/>
  <c r="M467" i="3" s="1"/>
  <c r="J1057" i="3"/>
  <c r="M1057" i="3" s="1"/>
  <c r="J1151" i="3"/>
  <c r="M1151" i="3" s="1"/>
  <c r="J702" i="3"/>
  <c r="M702" i="3" s="1"/>
  <c r="M641" i="1"/>
  <c r="M542" i="1"/>
  <c r="M487" i="1"/>
  <c r="M421" i="1"/>
  <c r="M403" i="1"/>
  <c r="L1168" i="3"/>
  <c r="L1160" i="3"/>
  <c r="L1144" i="3"/>
  <c r="L1096" i="3"/>
  <c r="L1080" i="3"/>
  <c r="L1032" i="3"/>
  <c r="L1040" i="3"/>
  <c r="L1071" i="3"/>
  <c r="L1360" i="3"/>
  <c r="L1224" i="3"/>
  <c r="L1185" i="3"/>
  <c r="L1178" i="3"/>
  <c r="L1122" i="3"/>
  <c r="L1058" i="3"/>
  <c r="L35" i="3"/>
  <c r="I693" i="3"/>
  <c r="I764" i="3"/>
  <c r="I979" i="3"/>
  <c r="I250" i="3"/>
  <c r="I1157" i="3"/>
  <c r="I1159" i="3"/>
  <c r="I1010" i="3"/>
  <c r="I695" i="3"/>
  <c r="I774" i="3"/>
  <c r="I989" i="3"/>
  <c r="M375" i="3"/>
  <c r="M320" i="3"/>
  <c r="M224" i="3"/>
  <c r="M49" i="3"/>
  <c r="M33" i="3"/>
  <c r="M17" i="3"/>
  <c r="M752" i="3"/>
  <c r="M135" i="3"/>
  <c r="M151" i="3"/>
  <c r="M263" i="3"/>
  <c r="L964" i="3"/>
  <c r="L503" i="3"/>
  <c r="L556" i="3"/>
  <c r="M760" i="3"/>
  <c r="L325" i="3"/>
  <c r="M493" i="3"/>
  <c r="M562" i="3"/>
  <c r="M649" i="3"/>
  <c r="M680" i="3"/>
  <c r="M696" i="3"/>
  <c r="M704" i="3"/>
  <c r="M728" i="3"/>
  <c r="L33" i="3"/>
  <c r="M1006" i="3"/>
  <c r="M1014" i="3"/>
  <c r="M1022" i="3"/>
  <c r="M688" i="3"/>
  <c r="M1204" i="3"/>
  <c r="M1220" i="3"/>
  <c r="M1300" i="3"/>
  <c r="M1364" i="3"/>
  <c r="M1435" i="3"/>
  <c r="L27" i="3"/>
  <c r="L125" i="3"/>
  <c r="L28" i="3"/>
  <c r="L447" i="3"/>
  <c r="L491" i="3"/>
  <c r="L141" i="3"/>
  <c r="L124" i="3"/>
  <c r="M312" i="3"/>
  <c r="L774" i="3"/>
  <c r="L7" i="3"/>
  <c r="L355" i="3"/>
  <c r="L34" i="3"/>
  <c r="L385" i="3"/>
  <c r="L485" i="3"/>
  <c r="L865" i="3"/>
  <c r="L120" i="3"/>
  <c r="L286" i="3"/>
  <c r="L310" i="3"/>
  <c r="L444" i="3"/>
  <c r="L504" i="3"/>
  <c r="L512" i="3"/>
  <c r="L520" i="3"/>
  <c r="L528" i="3"/>
  <c r="L543" i="3"/>
  <c r="M57" i="3"/>
  <c r="L818" i="3"/>
  <c r="L826" i="3"/>
  <c r="L834" i="3"/>
  <c r="L858" i="3"/>
  <c r="L882" i="3"/>
  <c r="L890" i="3"/>
  <c r="L998" i="3"/>
  <c r="L44" i="3"/>
  <c r="L264" i="3"/>
  <c r="L1004" i="3"/>
  <c r="L126" i="3"/>
  <c r="M200" i="3"/>
  <c r="L392" i="3"/>
  <c r="L532" i="3"/>
  <c r="L539" i="3"/>
  <c r="L312" i="3"/>
  <c r="L119" i="3"/>
  <c r="M729" i="3"/>
  <c r="M737" i="3"/>
  <c r="L280" i="3"/>
  <c r="M328" i="3"/>
  <c r="L421" i="3"/>
  <c r="L358" i="3"/>
  <c r="L18" i="3"/>
  <c r="M359" i="3"/>
  <c r="L12" i="3"/>
  <c r="M232" i="3"/>
  <c r="L465" i="3"/>
  <c r="L559" i="3"/>
  <c r="L604" i="3"/>
  <c r="L612" i="3"/>
  <c r="L620" i="3"/>
  <c r="L1008" i="3"/>
  <c r="M25" i="3"/>
  <c r="L17" i="3"/>
  <c r="M41" i="3"/>
  <c r="M555" i="3"/>
  <c r="M768" i="3"/>
  <c r="M714" i="3"/>
  <c r="M511" i="3"/>
  <c r="M819" i="1"/>
  <c r="M808" i="1"/>
  <c r="M804" i="1"/>
  <c r="M798" i="1"/>
  <c r="M747" i="1"/>
  <c r="M765" i="1"/>
  <c r="M707" i="1"/>
  <c r="M682" i="1"/>
  <c r="M611" i="1"/>
  <c r="M560" i="1"/>
  <c r="M493" i="1"/>
  <c r="M784" i="1"/>
  <c r="M771" i="1"/>
  <c r="M732" i="1"/>
  <c r="M720" i="1"/>
  <c r="M708" i="1"/>
  <c r="M690" i="1"/>
  <c r="M676" i="1"/>
  <c r="M654" i="1"/>
  <c r="M646" i="1"/>
  <c r="M564" i="1"/>
  <c r="M557" i="1"/>
  <c r="M535" i="1"/>
  <c r="M501" i="1"/>
  <c r="M504" i="1"/>
  <c r="M470" i="1"/>
  <c r="M451" i="1"/>
  <c r="M425" i="1"/>
  <c r="M721" i="1"/>
  <c r="M774" i="1"/>
  <c r="M640" i="1"/>
  <c r="M636" i="1"/>
  <c r="M662" i="1"/>
  <c r="M785" i="1"/>
  <c r="M793" i="1"/>
  <c r="M603" i="1"/>
  <c r="M577" i="1"/>
  <c r="M518" i="1"/>
  <c r="M454" i="1"/>
  <c r="M718" i="1"/>
  <c r="M736" i="1"/>
  <c r="M713" i="1"/>
  <c r="M696" i="1"/>
  <c r="M687" i="1"/>
  <c r="M658" i="1"/>
  <c r="M606" i="1"/>
  <c r="M643" i="1"/>
  <c r="M613" i="1"/>
  <c r="M807" i="1"/>
  <c r="M821" i="1"/>
  <c r="M522" i="1"/>
  <c r="M520" i="1"/>
  <c r="M511" i="1"/>
  <c r="M508" i="1"/>
  <c r="M503" i="1"/>
  <c r="M488" i="1"/>
  <c r="M478" i="1"/>
  <c r="M469" i="1"/>
  <c r="M467" i="1"/>
  <c r="M446" i="1"/>
  <c r="M449" i="1"/>
  <c r="M430" i="1"/>
  <c r="M436" i="1"/>
  <c r="M423" i="1"/>
  <c r="M392" i="1"/>
  <c r="M749" i="1"/>
  <c r="M695" i="1"/>
  <c r="M418" i="1"/>
  <c r="M816" i="1"/>
  <c r="M810" i="1"/>
  <c r="M778" i="1"/>
  <c r="M782" i="1"/>
  <c r="M794" i="1"/>
  <c r="M767" i="1"/>
  <c r="M755" i="1"/>
  <c r="M760" i="1"/>
  <c r="M759" i="1"/>
  <c r="M748" i="1"/>
  <c r="M717" i="1"/>
  <c r="M729" i="1"/>
  <c r="M728" i="1"/>
  <c r="M714" i="1"/>
  <c r="M703" i="1"/>
  <c r="M691" i="1"/>
  <c r="M680" i="1"/>
  <c r="M671" i="1"/>
  <c r="M684" i="1"/>
  <c r="M664" i="1"/>
  <c r="M659" i="1"/>
  <c r="M653" i="1"/>
  <c r="M639" i="1"/>
  <c r="M642" i="1"/>
  <c r="M627" i="1"/>
  <c r="M612" i="1"/>
  <c r="M600" i="1"/>
  <c r="M589" i="1"/>
  <c r="M597" i="1"/>
  <c r="M585" i="1"/>
  <c r="M572" i="1"/>
  <c r="M565" i="1"/>
  <c r="M552" i="1"/>
  <c r="M547" i="1"/>
  <c r="M546" i="1"/>
  <c r="M550" i="1"/>
  <c r="M781" i="1"/>
  <c r="M792" i="1"/>
  <c r="M768" i="1"/>
  <c r="M745" i="1"/>
  <c r="M725" i="1"/>
  <c r="M738" i="1"/>
  <c r="M702" i="1"/>
  <c r="M670" i="1"/>
  <c r="M686" i="1"/>
  <c r="M615" i="1"/>
  <c r="M598" i="1"/>
  <c r="M584" i="1"/>
  <c r="M537" i="1"/>
  <c r="M525" i="1"/>
  <c r="M524" i="1"/>
  <c r="M480" i="1"/>
  <c r="M474" i="1"/>
  <c r="M453" i="1"/>
  <c r="M431" i="1"/>
  <c r="M803" i="1"/>
  <c r="M800" i="1"/>
  <c r="M806" i="1"/>
  <c r="M790" i="1"/>
  <c r="M777" i="1"/>
  <c r="M786" i="1"/>
  <c r="M773" i="1"/>
  <c r="M742" i="1"/>
  <c r="M753" i="1"/>
  <c r="M733" i="1"/>
  <c r="M706" i="1"/>
  <c r="M701" i="1"/>
  <c r="M674" i="1"/>
  <c r="M655" i="1"/>
  <c r="M649" i="1"/>
  <c r="M608" i="1"/>
  <c r="M605" i="1"/>
  <c r="M583" i="1"/>
  <c r="M571" i="1"/>
  <c r="M533" i="1"/>
  <c r="M540" i="1"/>
  <c r="M498" i="1"/>
  <c r="M517" i="1"/>
  <c r="M472" i="1"/>
  <c r="M484" i="1"/>
  <c r="M447" i="1"/>
  <c r="M445" i="1"/>
  <c r="M420" i="1"/>
  <c r="M433" i="1"/>
  <c r="M442" i="1"/>
  <c r="M817" i="1"/>
  <c r="M812" i="1"/>
  <c r="M796" i="1"/>
  <c r="M652" i="1"/>
  <c r="M631" i="1"/>
  <c r="M599" i="1"/>
  <c r="M569" i="1"/>
  <c r="M563" i="1"/>
  <c r="M531" i="1"/>
  <c r="M492" i="1"/>
  <c r="M514" i="1"/>
  <c r="M477" i="1"/>
  <c r="M448" i="1"/>
  <c r="M825" i="1"/>
  <c r="M813" i="1"/>
  <c r="M809" i="1"/>
  <c r="M776" i="1"/>
  <c r="M783" i="1"/>
  <c r="M791" i="1"/>
  <c r="M743" i="1"/>
  <c r="M619" i="1"/>
  <c r="M397" i="1"/>
  <c r="M417" i="1"/>
  <c r="M402" i="1"/>
  <c r="M414" i="1"/>
  <c r="M799" i="1"/>
  <c r="M801" i="1"/>
  <c r="M802" i="1"/>
  <c r="M797" i="1"/>
  <c r="M772" i="1"/>
  <c r="M764" i="1"/>
  <c r="M756" i="1"/>
  <c r="M758" i="1"/>
  <c r="M719" i="1"/>
  <c r="M740" i="1"/>
  <c r="M731" i="1"/>
  <c r="M715" i="1"/>
  <c r="M716" i="1"/>
  <c r="M704" i="1"/>
  <c r="M698" i="1"/>
  <c r="M685" i="1"/>
  <c r="M673" i="1"/>
  <c r="M656" i="1"/>
  <c r="M665" i="1"/>
  <c r="M648" i="1"/>
  <c r="M635" i="1"/>
  <c r="M632" i="1"/>
  <c r="M633" i="1"/>
  <c r="M626" i="1"/>
  <c r="M617" i="1"/>
  <c r="M587" i="1"/>
  <c r="M588" i="1"/>
  <c r="M573" i="1"/>
  <c r="M567" i="1"/>
  <c r="M561" i="1"/>
  <c r="M539" i="1"/>
  <c r="M551" i="1"/>
  <c r="M549" i="1"/>
  <c r="M519" i="1"/>
  <c r="M500" i="1"/>
  <c r="M497" i="1"/>
  <c r="M491" i="1"/>
  <c r="M466" i="1"/>
  <c r="M481" i="1"/>
  <c r="M483" i="1"/>
  <c r="M464" i="1"/>
  <c r="M455" i="1"/>
  <c r="M440" i="1"/>
  <c r="M439" i="1"/>
  <c r="M441" i="1"/>
  <c r="M406" i="1"/>
  <c r="M408" i="1"/>
  <c r="M409" i="1"/>
  <c r="M410" i="1"/>
  <c r="M814" i="1"/>
  <c r="M805" i="1"/>
  <c r="M811" i="1"/>
  <c r="M795" i="1"/>
  <c r="M780" i="1"/>
  <c r="M766" i="1"/>
  <c r="M722" i="1"/>
  <c r="M710" i="1"/>
  <c r="M694" i="1"/>
  <c r="M675" i="1"/>
  <c r="M668" i="1"/>
  <c r="M638" i="1"/>
  <c r="M637" i="1"/>
  <c r="M592" i="1"/>
  <c r="M532" i="1"/>
  <c r="M489" i="1"/>
  <c r="M393" i="1"/>
  <c r="M399" i="1"/>
  <c r="M647" i="1"/>
  <c r="M644" i="1"/>
  <c r="M629" i="1"/>
  <c r="M630" i="1"/>
  <c r="M604" i="1"/>
  <c r="M591" i="1"/>
  <c r="M574" i="1"/>
  <c r="M566" i="1"/>
  <c r="M548" i="1"/>
  <c r="M541" i="1"/>
  <c r="M490" i="1"/>
  <c r="M510" i="1"/>
  <c r="M479" i="1"/>
  <c r="M482" i="1"/>
  <c r="M452" i="1"/>
  <c r="M429" i="1"/>
  <c r="M401" i="1"/>
  <c r="M413" i="1"/>
  <c r="M634" i="1"/>
  <c r="M623" i="1"/>
  <c r="M625" i="1"/>
  <c r="M596" i="1"/>
  <c r="M586" i="1"/>
  <c r="M562" i="1"/>
  <c r="M556" i="1"/>
  <c r="M530" i="1"/>
  <c r="M526" i="1"/>
  <c r="M494" i="1"/>
  <c r="M512" i="1"/>
  <c r="M471" i="1"/>
  <c r="M465" i="1"/>
  <c r="M400" i="1"/>
  <c r="M398" i="1"/>
  <c r="M621" i="1"/>
  <c r="M620" i="1"/>
  <c r="M610" i="1"/>
  <c r="M595" i="1"/>
  <c r="M582" i="1"/>
  <c r="M555" i="1"/>
  <c r="M545" i="1"/>
  <c r="M529" i="1"/>
  <c r="M496" i="1"/>
  <c r="M506" i="1"/>
  <c r="M462" i="1"/>
  <c r="M475" i="1"/>
  <c r="M443" i="1"/>
  <c r="M438" i="1"/>
  <c r="M422" i="1"/>
  <c r="M405" i="1"/>
  <c r="M787" i="1"/>
  <c r="M788" i="1"/>
  <c r="M769" i="1"/>
  <c r="M761" i="1"/>
  <c r="M757" i="1"/>
  <c r="M754" i="1"/>
  <c r="M741" i="1"/>
  <c r="M739" i="1"/>
  <c r="M726" i="1"/>
  <c r="M730" i="1"/>
  <c r="M711" i="1"/>
  <c r="M700" i="1"/>
  <c r="M689" i="1"/>
  <c r="M697" i="1"/>
  <c r="M688" i="1"/>
  <c r="M677" i="1"/>
  <c r="M663" i="1"/>
  <c r="M661" i="1"/>
  <c r="M614" i="1"/>
  <c r="M616" i="1"/>
  <c r="M581" i="1"/>
  <c r="M576" i="1"/>
  <c r="M553" i="1"/>
  <c r="M544" i="1"/>
  <c r="M523" i="1"/>
  <c r="M495" i="1"/>
  <c r="M502" i="1"/>
  <c r="M485" i="1"/>
  <c r="M458" i="1"/>
  <c r="M450" i="1"/>
  <c r="M426" i="1"/>
  <c r="M424" i="1"/>
  <c r="M404" i="1"/>
  <c r="M779" i="1"/>
  <c r="M789" i="1"/>
  <c r="M770" i="1"/>
  <c r="M763" i="1"/>
  <c r="M744" i="1"/>
  <c r="M752" i="1"/>
  <c r="M746" i="1"/>
  <c r="M723" i="1"/>
  <c r="M727" i="1"/>
  <c r="M724" i="1"/>
  <c r="M712" i="1"/>
  <c r="M699" i="1"/>
  <c r="M693" i="1"/>
  <c r="M679" i="1"/>
  <c r="M669" i="1"/>
  <c r="M672" i="1"/>
  <c r="M657" i="1"/>
  <c r="M660" i="1"/>
  <c r="M651" i="1"/>
  <c r="M645" i="1"/>
  <c r="M628" i="1"/>
  <c r="M609" i="1"/>
  <c r="M618" i="1"/>
  <c r="M624" i="1"/>
  <c r="M601" i="1"/>
  <c r="M593" i="1"/>
  <c r="M579" i="1"/>
  <c r="M578" i="1"/>
  <c r="M568" i="1"/>
  <c r="M559" i="1"/>
  <c r="M534" i="1"/>
  <c r="M536" i="1"/>
  <c r="M538" i="1"/>
  <c r="M528" i="1"/>
  <c r="M499" i="1"/>
  <c r="M515" i="1"/>
  <c r="M513" i="1"/>
  <c r="M516" i="1"/>
  <c r="M463" i="1"/>
  <c r="M476" i="1"/>
  <c r="M459" i="1"/>
  <c r="M461" i="1"/>
  <c r="M444" i="1"/>
  <c r="M437" i="1"/>
  <c r="M434" i="1"/>
  <c r="M419" i="1"/>
  <c r="M428" i="1"/>
  <c r="M394" i="1"/>
  <c r="M416" i="1"/>
  <c r="M412" i="1"/>
  <c r="M762" i="1"/>
  <c r="M750" i="1"/>
  <c r="M751" i="1"/>
  <c r="M737" i="1"/>
  <c r="M734" i="1"/>
  <c r="M735" i="1"/>
  <c r="M709" i="1"/>
  <c r="M705" i="1"/>
  <c r="M692" i="1"/>
  <c r="M683" i="1"/>
  <c r="M681" i="1"/>
  <c r="M678" i="1"/>
  <c r="M667" i="1"/>
  <c r="M666" i="1"/>
  <c r="M650" i="1"/>
  <c r="M622" i="1"/>
  <c r="M607" i="1"/>
  <c r="M590" i="1"/>
  <c r="M594" i="1"/>
  <c r="M580" i="1"/>
  <c r="M575" i="1"/>
  <c r="M570" i="1"/>
  <c r="M558" i="1"/>
  <c r="M554" i="1"/>
  <c r="M543" i="1"/>
  <c r="M521" i="1"/>
  <c r="M527" i="1"/>
  <c r="M505" i="1"/>
  <c r="M509" i="1"/>
  <c r="M507" i="1"/>
  <c r="M486" i="1"/>
  <c r="M468" i="1"/>
  <c r="M460" i="1"/>
  <c r="M473" i="1"/>
  <c r="M457" i="1"/>
  <c r="M456" i="1"/>
  <c r="M427" i="1"/>
  <c r="M435" i="1"/>
  <c r="M432" i="1"/>
  <c r="M411" i="1"/>
  <c r="M407" i="1"/>
  <c r="M415" i="1"/>
  <c r="M395" i="1"/>
  <c r="M1016" i="3"/>
  <c r="M682" i="3"/>
  <c r="M564" i="3"/>
  <c r="M471" i="3"/>
  <c r="L1069" i="3"/>
  <c r="L276" i="3"/>
  <c r="L284" i="3"/>
  <c r="L308" i="3"/>
  <c r="L316" i="3"/>
  <c r="L721" i="3"/>
  <c r="L824" i="3"/>
  <c r="L26" i="3"/>
  <c r="L36" i="3"/>
  <c r="L127" i="3"/>
  <c r="L357" i="3"/>
  <c r="L602" i="3"/>
  <c r="L610" i="3"/>
  <c r="L618" i="3"/>
  <c r="L641" i="3"/>
  <c r="L917" i="3"/>
  <c r="L1012" i="3"/>
  <c r="L11" i="3"/>
  <c r="L43" i="3"/>
  <c r="L435" i="3"/>
  <c r="L443" i="3"/>
  <c r="L751" i="3"/>
  <c r="L848" i="3"/>
  <c r="L888" i="3"/>
  <c r="L9" i="3"/>
  <c r="L19" i="3"/>
  <c r="L41" i="3"/>
  <c r="L142" i="3"/>
  <c r="L388" i="3"/>
  <c r="L441" i="3"/>
  <c r="L449" i="3"/>
  <c r="L492" i="3"/>
  <c r="L600" i="3"/>
  <c r="L814" i="3"/>
  <c r="L822" i="3"/>
  <c r="L830" i="3"/>
  <c r="L854" i="3"/>
  <c r="L862" i="3"/>
  <c r="L886" i="3"/>
  <c r="L894" i="3"/>
  <c r="L20" i="3"/>
  <c r="L42" i="3"/>
  <c r="L70" i="3"/>
  <c r="L143" i="3"/>
  <c r="L155" i="3"/>
  <c r="L353" i="3"/>
  <c r="L442" i="3"/>
  <c r="L501" i="3"/>
  <c r="L606" i="3"/>
  <c r="L614" i="3"/>
  <c r="L629" i="3"/>
  <c r="L645" i="3"/>
  <c r="L25" i="3"/>
  <c r="L305" i="3"/>
  <c r="L1006" i="3"/>
  <c r="M1008" i="3"/>
  <c r="M706" i="3"/>
  <c r="M690" i="3"/>
  <c r="M651" i="3"/>
  <c r="M495" i="3"/>
  <c r="M400" i="3"/>
  <c r="M153" i="3"/>
  <c r="M145" i="3"/>
  <c r="M137" i="3"/>
  <c r="M129" i="3"/>
  <c r="L495" i="3"/>
  <c r="L505" i="3"/>
  <c r="L510" i="3"/>
  <c r="L530" i="3"/>
  <c r="L551" i="3"/>
  <c r="L568" i="3"/>
  <c r="L608" i="3"/>
  <c r="L616" i="3"/>
  <c r="L647" i="3"/>
  <c r="L668" i="3"/>
  <c r="L820" i="3"/>
  <c r="L828" i="3"/>
  <c r="L852" i="3"/>
  <c r="L860" i="3"/>
  <c r="L884" i="3"/>
  <c r="L892" i="3"/>
  <c r="L969" i="3"/>
  <c r="L1010" i="3"/>
  <c r="M1072" i="3"/>
  <c r="M1088" i="3"/>
  <c r="M1096" i="3"/>
  <c r="M1104" i="3"/>
  <c r="M1112" i="3"/>
  <c r="M1152" i="3"/>
  <c r="M1160" i="3"/>
  <c r="M1168" i="3"/>
  <c r="M1176" i="3"/>
  <c r="M1326" i="3"/>
  <c r="M1389" i="3"/>
  <c r="M1413" i="3"/>
  <c r="M1445" i="3"/>
  <c r="L266" i="3"/>
  <c r="L351" i="3"/>
  <c r="L369" i="3"/>
  <c r="L409" i="3"/>
  <c r="L425" i="3"/>
  <c r="L433" i="3"/>
  <c r="L15" i="3"/>
  <c r="L22" i="3"/>
  <c r="L31" i="3"/>
  <c r="L38" i="3"/>
  <c r="L168" i="3"/>
  <c r="L314" i="3"/>
  <c r="L386" i="3"/>
  <c r="L446" i="3"/>
  <c r="L475" i="3"/>
  <c r="L282" i="3"/>
  <c r="L6" i="3"/>
  <c r="L13" i="3"/>
  <c r="L29" i="3"/>
  <c r="L327" i="3"/>
  <c r="L451" i="3"/>
  <c r="L493" i="3"/>
  <c r="L747" i="3"/>
  <c r="L813" i="3"/>
  <c r="M1425" i="3"/>
  <c r="L14" i="3"/>
  <c r="L23" i="3"/>
  <c r="L30" i="3"/>
  <c r="L39" i="3"/>
  <c r="L338" i="3"/>
  <c r="L368" i="3"/>
  <c r="L390" i="3"/>
  <c r="L395" i="3"/>
  <c r="L452" i="3"/>
  <c r="L489" i="3"/>
  <c r="L509" i="3"/>
  <c r="L727" i="3"/>
  <c r="L741" i="3"/>
  <c r="L745" i="3"/>
  <c r="L1002" i="3"/>
  <c r="L21" i="3"/>
  <c r="L37" i="3"/>
  <c r="L318" i="3"/>
  <c r="L445" i="3"/>
  <c r="L457" i="3"/>
  <c r="L514" i="3"/>
  <c r="L560" i="3"/>
  <c r="L801" i="3"/>
  <c r="M1048" i="3"/>
  <c r="M10" i="3"/>
  <c r="L71" i="3"/>
  <c r="M85" i="3"/>
  <c r="M107" i="3"/>
  <c r="M163" i="3"/>
  <c r="M181" i="3"/>
  <c r="M195" i="3"/>
  <c r="M223" i="3"/>
  <c r="M235" i="3"/>
  <c r="M249" i="3"/>
  <c r="L389" i="3"/>
  <c r="L77" i="3"/>
  <c r="L93" i="3"/>
  <c r="L95" i="3"/>
  <c r="L99" i="3"/>
  <c r="L101" i="3"/>
  <c r="L103" i="3"/>
  <c r="L107" i="3"/>
  <c r="L109" i="3"/>
  <c r="L111" i="3"/>
  <c r="L157" i="3"/>
  <c r="L159" i="3"/>
  <c r="L163" i="3"/>
  <c r="L165" i="3"/>
  <c r="L171" i="3"/>
  <c r="L173" i="3"/>
  <c r="L175" i="3"/>
  <c r="L179" i="3"/>
  <c r="L181" i="3"/>
  <c r="L183" i="3"/>
  <c r="L187" i="3"/>
  <c r="L189" i="3"/>
  <c r="L193" i="3"/>
  <c r="L211" i="3"/>
  <c r="L213" i="3"/>
  <c r="L219" i="3"/>
  <c r="L245" i="3"/>
  <c r="L247" i="3"/>
  <c r="L251" i="3"/>
  <c r="L259" i="3"/>
  <c r="M265" i="3"/>
  <c r="M275" i="3"/>
  <c r="M287" i="3"/>
  <c r="M289" i="3"/>
  <c r="M291" i="3"/>
  <c r="M293" i="3"/>
  <c r="M297" i="3"/>
  <c r="M299" i="3"/>
  <c r="M301" i="3"/>
  <c r="M303" i="3"/>
  <c r="M305" i="3"/>
  <c r="M307" i="3"/>
  <c r="M311" i="3"/>
  <c r="L75" i="3"/>
  <c r="M83" i="3"/>
  <c r="M161" i="3"/>
  <c r="M171" i="3"/>
  <c r="M185" i="3"/>
  <c r="M193" i="3"/>
  <c r="M197" i="3"/>
  <c r="M211" i="3"/>
  <c r="M219" i="3"/>
  <c r="M225" i="3"/>
  <c r="M233" i="3"/>
  <c r="M239" i="3"/>
  <c r="M247" i="3"/>
  <c r="M12" i="3"/>
  <c r="M16" i="3"/>
  <c r="M18" i="3"/>
  <c r="M20" i="3"/>
  <c r="M24" i="3"/>
  <c r="M26" i="3"/>
  <c r="M28" i="3"/>
  <c r="M32" i="3"/>
  <c r="M34" i="3"/>
  <c r="M36" i="3"/>
  <c r="M40" i="3"/>
  <c r="M42" i="3"/>
  <c r="M44" i="3"/>
  <c r="M48" i="3"/>
  <c r="M50" i="3"/>
  <c r="M52" i="3"/>
  <c r="M56" i="3"/>
  <c r="M58" i="3"/>
  <c r="M60" i="3"/>
  <c r="L123" i="3"/>
  <c r="M125" i="3"/>
  <c r="M130" i="3"/>
  <c r="L313" i="3"/>
  <c r="L319" i="3"/>
  <c r="L337" i="3"/>
  <c r="L350" i="3"/>
  <c r="L352" i="3"/>
  <c r="M358" i="3"/>
  <c r="M360" i="3"/>
  <c r="M101" i="3"/>
  <c r="M167" i="3"/>
  <c r="M191" i="3"/>
  <c r="M201" i="3"/>
  <c r="M215" i="3"/>
  <c r="M227" i="3"/>
  <c r="M243" i="3"/>
  <c r="M401" i="3"/>
  <c r="M99" i="3"/>
  <c r="M109" i="3"/>
  <c r="L147" i="3"/>
  <c r="M169" i="3"/>
  <c r="M187" i="3"/>
  <c r="M203" i="3"/>
  <c r="M217" i="3"/>
  <c r="M231" i="3"/>
  <c r="M241" i="3"/>
  <c r="L387" i="3"/>
  <c r="M397" i="3"/>
  <c r="L72" i="3"/>
  <c r="M78" i="3"/>
  <c r="M80" i="3"/>
  <c r="M82" i="3"/>
  <c r="M84" i="3"/>
  <c r="L476" i="3"/>
  <c r="L478" i="3"/>
  <c r="L480" i="3"/>
  <c r="L482" i="3"/>
  <c r="M492" i="3"/>
  <c r="M77" i="3"/>
  <c r="M159" i="3"/>
  <c r="M165" i="3"/>
  <c r="M183" i="3"/>
  <c r="M189" i="3"/>
  <c r="M199" i="3"/>
  <c r="M213" i="3"/>
  <c r="M221" i="3"/>
  <c r="M229" i="3"/>
  <c r="M237" i="3"/>
  <c r="M245" i="3"/>
  <c r="M251" i="3"/>
  <c r="M259" i="3"/>
  <c r="L391" i="3"/>
  <c r="L10" i="3"/>
  <c r="L394" i="3"/>
  <c r="L412" i="3"/>
  <c r="L414" i="3"/>
  <c r="L416" i="3"/>
  <c r="L418" i="3"/>
  <c r="M424" i="3"/>
  <c r="M426" i="3"/>
  <c r="M428" i="3"/>
  <c r="M432" i="3"/>
  <c r="M436" i="3"/>
  <c r="L494" i="3"/>
  <c r="L496" i="3"/>
  <c r="L500" i="3"/>
  <c r="L502" i="3"/>
  <c r="L524" i="3"/>
  <c r="L55" i="3"/>
  <c r="L65" i="3"/>
  <c r="L76" i="3"/>
  <c r="L78" i="3"/>
  <c r="L92" i="3"/>
  <c r="L94" i="3"/>
  <c r="L96" i="3"/>
  <c r="L100" i="3"/>
  <c r="L102" i="3"/>
  <c r="L104" i="3"/>
  <c r="L108" i="3"/>
  <c r="L110" i="3"/>
  <c r="L156" i="3"/>
  <c r="L158" i="3"/>
  <c r="L162" i="3"/>
  <c r="L164" i="3"/>
  <c r="L172" i="3"/>
  <c r="L174" i="3"/>
  <c r="L178" i="3"/>
  <c r="L180" i="3"/>
  <c r="L182" i="3"/>
  <c r="L186" i="3"/>
  <c r="L188" i="3"/>
  <c r="L212" i="3"/>
  <c r="L218" i="3"/>
  <c r="L244" i="3"/>
  <c r="L250" i="3"/>
  <c r="L260" i="3"/>
  <c r="M264" i="3"/>
  <c r="M266" i="3"/>
  <c r="M288" i="3"/>
  <c r="M290" i="3"/>
  <c r="M292" i="3"/>
  <c r="M296" i="3"/>
  <c r="M302" i="3"/>
  <c r="M304" i="3"/>
  <c r="M306" i="3"/>
  <c r="M372" i="3"/>
  <c r="M374" i="3"/>
  <c r="M376" i="3"/>
  <c r="M378" i="3"/>
  <c r="M380" i="3"/>
  <c r="M382" i="3"/>
  <c r="L411" i="3"/>
  <c r="L415" i="3"/>
  <c r="L417" i="3"/>
  <c r="L419" i="3"/>
  <c r="M421" i="3"/>
  <c r="M423" i="3"/>
  <c r="M425" i="3"/>
  <c r="M427" i="3"/>
  <c r="M429" i="3"/>
  <c r="M435" i="3"/>
  <c r="M437" i="3"/>
  <c r="L477" i="3"/>
  <c r="L522" i="3"/>
  <c r="M530" i="3"/>
  <c r="M532" i="3"/>
  <c r="M539" i="3"/>
  <c r="M544" i="3"/>
  <c r="M561" i="3"/>
  <c r="M620" i="3"/>
  <c r="M622" i="3"/>
  <c r="M624" i="3"/>
  <c r="M627" i="3"/>
  <c r="M629" i="3"/>
  <c r="M631" i="3"/>
  <c r="M639" i="3"/>
  <c r="M722" i="3"/>
  <c r="L743" i="3"/>
  <c r="L744" i="3"/>
  <c r="L750" i="3"/>
  <c r="L752" i="3"/>
  <c r="L758" i="3"/>
  <c r="M780" i="3"/>
  <c r="L467" i="3"/>
  <c r="M482" i="3"/>
  <c r="L511" i="3"/>
  <c r="L515" i="3"/>
  <c r="L561" i="3"/>
  <c r="L563" i="3"/>
  <c r="L565" i="3"/>
  <c r="L567" i="3"/>
  <c r="M569" i="3"/>
  <c r="M747" i="3"/>
  <c r="M749" i="3"/>
  <c r="M751" i="3"/>
  <c r="M755" i="3"/>
  <c r="M757" i="3"/>
  <c r="M761" i="3"/>
  <c r="L918" i="3"/>
  <c r="L922" i="3"/>
  <c r="L925" i="3"/>
  <c r="L929" i="3"/>
  <c r="L931" i="3"/>
  <c r="L933" i="3"/>
  <c r="L937" i="3"/>
  <c r="L939" i="3"/>
  <c r="L941" i="3"/>
  <c r="L945" i="3"/>
  <c r="L947" i="3"/>
  <c r="L949" i="3"/>
  <c r="L951" i="3"/>
  <c r="L953" i="3"/>
  <c r="L971" i="3"/>
  <c r="L973" i="3"/>
  <c r="L975" i="3"/>
  <c r="L977" i="3"/>
  <c r="L979" i="3"/>
  <c r="L999" i="3"/>
  <c r="L1001" i="3"/>
  <c r="M1003" i="3"/>
  <c r="M1005" i="3"/>
  <c r="M1009" i="3"/>
  <c r="M1011" i="3"/>
  <c r="L523" i="3"/>
  <c r="M525" i="3"/>
  <c r="M527" i="3"/>
  <c r="M529" i="3"/>
  <c r="M531" i="3"/>
  <c r="M533" i="3"/>
  <c r="M535" i="3"/>
  <c r="M537" i="3"/>
  <c r="M538" i="3"/>
  <c r="M540" i="3"/>
  <c r="M542" i="3"/>
  <c r="M550" i="3"/>
  <c r="L571" i="3"/>
  <c r="L573" i="3"/>
  <c r="L579" i="3"/>
  <c r="L581" i="3"/>
  <c r="L583" i="3"/>
  <c r="L585" i="3"/>
  <c r="L589" i="3"/>
  <c r="L593" i="3"/>
  <c r="L597" i="3"/>
  <c r="L599" i="3"/>
  <c r="M601" i="3"/>
  <c r="M605" i="3"/>
  <c r="M607" i="3"/>
  <c r="M609" i="3"/>
  <c r="M613" i="3"/>
  <c r="M615" i="3"/>
  <c r="M617" i="3"/>
  <c r="M625" i="3"/>
  <c r="M630" i="3"/>
  <c r="M632" i="3"/>
  <c r="M638" i="3"/>
  <c r="M646" i="3"/>
  <c r="M673" i="3"/>
  <c r="M799" i="3"/>
  <c r="L1017" i="3"/>
  <c r="M132" i="3"/>
  <c r="M138" i="3"/>
  <c r="M140" i="3"/>
  <c r="L275" i="3"/>
  <c r="L279" i="3"/>
  <c r="L283" i="3"/>
  <c r="L285" i="3"/>
  <c r="L307" i="3"/>
  <c r="M313" i="3"/>
  <c r="M315" i="3"/>
  <c r="M317" i="3"/>
  <c r="M319" i="3"/>
  <c r="M321" i="3"/>
  <c r="M323" i="3"/>
  <c r="M325" i="3"/>
  <c r="M327" i="3"/>
  <c r="M329" i="3"/>
  <c r="M331" i="3"/>
  <c r="M333" i="3"/>
  <c r="M339" i="3"/>
  <c r="M342" i="3"/>
  <c r="M350" i="3"/>
  <c r="L371" i="3"/>
  <c r="M415" i="3"/>
  <c r="L420" i="3"/>
  <c r="L422" i="3"/>
  <c r="L428" i="3"/>
  <c r="L430" i="3"/>
  <c r="L432" i="3"/>
  <c r="L434" i="3"/>
  <c r="M446" i="3"/>
  <c r="M448" i="3"/>
  <c r="M450" i="3"/>
  <c r="M452" i="3"/>
  <c r="M456" i="3"/>
  <c r="L486" i="3"/>
  <c r="L488" i="3"/>
  <c r="L490" i="3"/>
  <c r="M496" i="3"/>
  <c r="M500" i="3"/>
  <c r="M506" i="3"/>
  <c r="L518" i="3"/>
  <c r="L525" i="3"/>
  <c r="L527" i="3"/>
  <c r="L531" i="3"/>
  <c r="L533" i="3"/>
  <c r="L540" i="3"/>
  <c r="L550" i="3"/>
  <c r="L552" i="3"/>
  <c r="L554" i="3"/>
  <c r="M556" i="3"/>
  <c r="L605" i="3"/>
  <c r="L607" i="3"/>
  <c r="L609" i="3"/>
  <c r="L613" i="3"/>
  <c r="L615" i="3"/>
  <c r="L617" i="3"/>
  <c r="L628" i="3"/>
  <c r="L630" i="3"/>
  <c r="L640" i="3"/>
  <c r="L644" i="3"/>
  <c r="L646" i="3"/>
  <c r="M648" i="3"/>
  <c r="L781" i="3"/>
  <c r="L783" i="3"/>
  <c r="L785" i="3"/>
  <c r="L787" i="3"/>
  <c r="L789" i="3"/>
  <c r="L793" i="3"/>
  <c r="L795" i="3"/>
  <c r="M833" i="3"/>
  <c r="M835" i="3"/>
  <c r="M839" i="3"/>
  <c r="M841" i="3"/>
  <c r="M851" i="3"/>
  <c r="M853" i="3"/>
  <c r="M855" i="3"/>
  <c r="M857" i="3"/>
  <c r="M859" i="3"/>
  <c r="M863" i="3"/>
  <c r="M1273" i="3"/>
  <c r="L815" i="3"/>
  <c r="L817" i="3"/>
  <c r="L819" i="3"/>
  <c r="L821" i="3"/>
  <c r="L823" i="3"/>
  <c r="L825" i="3"/>
  <c r="L827" i="3"/>
  <c r="L829" i="3"/>
  <c r="L831" i="3"/>
  <c r="L833" i="3"/>
  <c r="L849" i="3"/>
  <c r="L851" i="3"/>
  <c r="L853" i="3"/>
  <c r="L857" i="3"/>
  <c r="L859" i="3"/>
  <c r="L863" i="3"/>
  <c r="M883" i="3"/>
  <c r="M887" i="3"/>
  <c r="M891" i="3"/>
  <c r="M893" i="3"/>
  <c r="M952" i="3"/>
  <c r="M954" i="3"/>
  <c r="M956" i="3"/>
  <c r="M958" i="3"/>
  <c r="M960" i="3"/>
  <c r="M962" i="3"/>
  <c r="M964" i="3"/>
  <c r="M980" i="3"/>
  <c r="M86" i="3"/>
  <c r="M88" i="3"/>
  <c r="M90" i="3"/>
  <c r="M92" i="3"/>
  <c r="M96" i="3"/>
  <c r="M98" i="3"/>
  <c r="M100" i="3"/>
  <c r="M102" i="3"/>
  <c r="M104" i="3"/>
  <c r="M106" i="3"/>
  <c r="M108" i="3"/>
  <c r="M110" i="3"/>
  <c r="M112" i="3"/>
  <c r="M114" i="3"/>
  <c r="L146" i="3"/>
  <c r="L148" i="3"/>
  <c r="M162" i="3"/>
  <c r="M164" i="3"/>
  <c r="M170" i="3"/>
  <c r="M172" i="3"/>
  <c r="M180" i="3"/>
  <c r="M186" i="3"/>
  <c r="M188" i="3"/>
  <c r="M194" i="3"/>
  <c r="M196" i="3"/>
  <c r="L393" i="3"/>
  <c r="L439" i="3"/>
  <c r="L669" i="3"/>
  <c r="L671" i="3"/>
  <c r="L675" i="3"/>
  <c r="L677" i="3"/>
  <c r="L679" i="3"/>
  <c r="L683" i="3"/>
  <c r="L867" i="3"/>
  <c r="L869" i="3"/>
  <c r="L871" i="3"/>
  <c r="L873" i="3"/>
  <c r="L875" i="3"/>
  <c r="L877" i="3"/>
  <c r="L879" i="3"/>
  <c r="L881" i="3"/>
  <c r="L885" i="3"/>
  <c r="L887" i="3"/>
  <c r="L893" i="3"/>
  <c r="M1402" i="3"/>
  <c r="M1339" i="3"/>
  <c r="L778" i="3"/>
  <c r="M782" i="3"/>
  <c r="M784" i="3"/>
  <c r="M786" i="3"/>
  <c r="M788" i="3"/>
  <c r="M790" i="3"/>
  <c r="M792" i="3"/>
  <c r="M794" i="3"/>
  <c r="M798" i="3"/>
  <c r="M800" i="3"/>
  <c r="L842" i="3"/>
  <c r="L919" i="3"/>
  <c r="L921" i="3"/>
  <c r="L924" i="3"/>
  <c r="L926" i="3"/>
  <c r="L930" i="3"/>
  <c r="L932" i="3"/>
  <c r="L934" i="3"/>
  <c r="L938" i="3"/>
  <c r="L940" i="3"/>
  <c r="L942" i="3"/>
  <c r="L946" i="3"/>
  <c r="L948" i="3"/>
  <c r="L950" i="3"/>
  <c r="M970" i="3"/>
  <c r="M972" i="3"/>
  <c r="M974" i="3"/>
  <c r="M976" i="3"/>
  <c r="M978" i="3"/>
  <c r="M1026" i="3"/>
  <c r="M1456" i="3"/>
  <c r="M1448" i="3"/>
  <c r="M1440" i="3"/>
  <c r="M1432" i="3"/>
  <c r="M1424" i="3"/>
  <c r="M1416" i="3"/>
  <c r="M1408" i="3"/>
  <c r="M1400" i="3"/>
  <c r="M1392" i="3"/>
  <c r="M1385" i="3"/>
  <c r="M1377" i="3"/>
  <c r="M1369" i="3"/>
  <c r="M1361" i="3"/>
  <c r="M1353" i="3"/>
  <c r="M1345" i="3"/>
  <c r="M1337" i="3"/>
  <c r="M1329" i="3"/>
  <c r="M1321" i="3"/>
  <c r="M1313" i="3"/>
  <c r="M1305" i="3"/>
  <c r="M1297" i="3"/>
  <c r="M1289" i="3"/>
  <c r="M1281" i="3"/>
  <c r="M1265" i="3"/>
  <c r="M1257" i="3"/>
  <c r="M1249" i="3"/>
  <c r="M1241" i="3"/>
  <c r="M1233" i="3"/>
  <c r="M1225" i="3"/>
  <c r="M1217" i="3"/>
  <c r="M1209" i="3"/>
  <c r="M1201" i="3"/>
  <c r="M1194" i="3"/>
  <c r="M1186" i="3"/>
  <c r="M1179" i="3"/>
  <c r="M1171" i="3"/>
  <c r="M1163" i="3"/>
  <c r="M1155" i="3"/>
  <c r="M1147" i="3"/>
  <c r="M1139" i="3"/>
  <c r="M1131" i="3"/>
  <c r="M1123" i="3"/>
  <c r="M1115" i="3"/>
  <c r="M1107" i="3"/>
  <c r="M1099" i="3"/>
  <c r="M1091" i="3"/>
  <c r="M1083" i="3"/>
  <c r="M1075" i="3"/>
  <c r="M1067" i="3"/>
  <c r="M1059" i="3"/>
  <c r="M1051" i="3"/>
  <c r="M1043" i="3"/>
  <c r="M1035" i="3"/>
  <c r="L670" i="3"/>
  <c r="L672" i="3"/>
  <c r="L676" i="3"/>
  <c r="L678" i="3"/>
  <c r="L680" i="3"/>
  <c r="L684" i="3"/>
  <c r="L686" i="3"/>
  <c r="L688" i="3"/>
  <c r="L692" i="3"/>
  <c r="L694" i="3"/>
  <c r="L696" i="3"/>
  <c r="L722" i="3"/>
  <c r="L724" i="3"/>
  <c r="L726" i="3"/>
  <c r="M730" i="3"/>
  <c r="M732" i="3"/>
  <c r="M734" i="3"/>
  <c r="M738" i="3"/>
  <c r="L780" i="3"/>
  <c r="L782" i="3"/>
  <c r="L786" i="3"/>
  <c r="L788" i="3"/>
  <c r="L790" i="3"/>
  <c r="L794" i="3"/>
  <c r="L796" i="3"/>
  <c r="M832" i="3"/>
  <c r="M834" i="3"/>
  <c r="M836" i="3"/>
  <c r="M838" i="3"/>
  <c r="M840" i="3"/>
  <c r="M850" i="3"/>
  <c r="M852" i="3"/>
  <c r="M858" i="3"/>
  <c r="M862" i="3"/>
  <c r="L866" i="3"/>
  <c r="M920" i="3"/>
  <c r="L970" i="3"/>
  <c r="L972" i="3"/>
  <c r="L974" i="3"/>
  <c r="M982" i="3"/>
  <c r="M984" i="3"/>
  <c r="M986" i="3"/>
  <c r="M988" i="3"/>
  <c r="M990" i="3"/>
  <c r="M992" i="3"/>
  <c r="M994" i="3"/>
  <c r="M996" i="3"/>
  <c r="M998" i="3"/>
  <c r="M1455" i="3"/>
  <c r="M1447" i="3"/>
  <c r="M1439" i="3"/>
  <c r="M1431" i="3"/>
  <c r="M1423" i="3"/>
  <c r="M1415" i="3"/>
  <c r="M1407" i="3"/>
  <c r="M1399" i="3"/>
  <c r="L1113" i="3"/>
  <c r="L1022" i="3"/>
  <c r="M2" i="3"/>
  <c r="L47" i="3"/>
  <c r="L51" i="3"/>
  <c r="L57" i="3"/>
  <c r="M65" i="3"/>
  <c r="M117" i="3"/>
  <c r="L131" i="3"/>
  <c r="L133" i="3"/>
  <c r="L139" i="3"/>
  <c r="L150" i="3"/>
  <c r="M154" i="3"/>
  <c r="L167" i="3"/>
  <c r="L194" i="3"/>
  <c r="L196" i="3"/>
  <c r="L202" i="3"/>
  <c r="M208" i="3"/>
  <c r="M210" i="3"/>
  <c r="L221" i="3"/>
  <c r="L227" i="3"/>
  <c r="L229" i="3"/>
  <c r="L235" i="3"/>
  <c r="L237" i="3"/>
  <c r="L239" i="3"/>
  <c r="L241" i="3"/>
  <c r="M252" i="3"/>
  <c r="M258" i="3"/>
  <c r="L265" i="3"/>
  <c r="M269" i="3"/>
  <c r="M271" i="3"/>
  <c r="M273" i="3"/>
  <c r="L288" i="3"/>
  <c r="L290" i="3"/>
  <c r="L292" i="3"/>
  <c r="L294" i="3"/>
  <c r="L296" i="3"/>
  <c r="L298" i="3"/>
  <c r="L300" i="3"/>
  <c r="L302" i="3"/>
  <c r="L304" i="3"/>
  <c r="L306" i="3"/>
  <c r="L323" i="3"/>
  <c r="L329" i="3"/>
  <c r="M335" i="3"/>
  <c r="L340" i="3"/>
  <c r="L341" i="3"/>
  <c r="M343" i="3"/>
  <c r="M345" i="3"/>
  <c r="M349" i="3"/>
  <c r="M362" i="3"/>
  <c r="M364" i="3"/>
  <c r="M366" i="3"/>
  <c r="M368" i="3"/>
  <c r="L373" i="3"/>
  <c r="L375" i="3"/>
  <c r="L377" i="3"/>
  <c r="L379" i="3"/>
  <c r="L381" i="3"/>
  <c r="M383" i="3"/>
  <c r="M385" i="3"/>
  <c r="L396" i="3"/>
  <c r="L398" i="3"/>
  <c r="M404" i="3"/>
  <c r="M406" i="3"/>
  <c r="M408" i="3"/>
  <c r="M441" i="3"/>
  <c r="L454" i="3"/>
  <c r="L456" i="3"/>
  <c r="M460" i="3"/>
  <c r="M464" i="3"/>
  <c r="L469" i="3"/>
  <c r="L472" i="3"/>
  <c r="M485" i="3"/>
  <c r="M498" i="3"/>
  <c r="M509" i="3"/>
  <c r="M516" i="3"/>
  <c r="L535" i="3"/>
  <c r="L544" i="3"/>
  <c r="M545" i="3"/>
  <c r="M549" i="3"/>
  <c r="L621" i="3"/>
  <c r="M623" i="3"/>
  <c r="M633" i="3"/>
  <c r="M635" i="3"/>
  <c r="M637" i="3"/>
  <c r="M652" i="3"/>
  <c r="M654" i="3"/>
  <c r="M656" i="3"/>
  <c r="M660" i="3"/>
  <c r="M662" i="3"/>
  <c r="M664" i="3"/>
  <c r="M668" i="3"/>
  <c r="M681" i="3"/>
  <c r="M796" i="3"/>
  <c r="M848" i="3"/>
  <c r="M897" i="3"/>
  <c r="M899" i="3"/>
  <c r="L1025" i="3"/>
  <c r="M1193" i="3"/>
  <c r="M4" i="3"/>
  <c r="L45" i="3"/>
  <c r="L49" i="3"/>
  <c r="L53" i="3"/>
  <c r="L59" i="3"/>
  <c r="M63" i="3"/>
  <c r="M67" i="3"/>
  <c r="M69" i="3"/>
  <c r="L73" i="3"/>
  <c r="L80" i="3"/>
  <c r="L84" i="3"/>
  <c r="L86" i="3"/>
  <c r="L88" i="3"/>
  <c r="M115" i="3"/>
  <c r="L135" i="3"/>
  <c r="L2" i="3"/>
  <c r="L4" i="3"/>
  <c r="M8" i="3"/>
  <c r="M46" i="3"/>
  <c r="L61" i="3"/>
  <c r="L63" i="3"/>
  <c r="L67" i="3"/>
  <c r="L69" i="3"/>
  <c r="M75" i="3"/>
  <c r="M87" i="3"/>
  <c r="M94" i="3"/>
  <c r="L115" i="3"/>
  <c r="L117" i="3"/>
  <c r="M123" i="3"/>
  <c r="L128" i="3"/>
  <c r="M141" i="3"/>
  <c r="M143" i="3"/>
  <c r="L154" i="3"/>
  <c r="M156" i="3"/>
  <c r="M173" i="3"/>
  <c r="M175" i="3"/>
  <c r="M177" i="3"/>
  <c r="M179" i="3"/>
  <c r="L204" i="3"/>
  <c r="L210" i="3"/>
  <c r="M222" i="3"/>
  <c r="L243" i="3"/>
  <c r="L252" i="3"/>
  <c r="L258" i="3"/>
  <c r="M262" i="3"/>
  <c r="L271" i="3"/>
  <c r="L273" i="3"/>
  <c r="M279" i="3"/>
  <c r="M281" i="3"/>
  <c r="M283" i="3"/>
  <c r="L335" i="3"/>
  <c r="M337" i="3"/>
  <c r="L343" i="3"/>
  <c r="L345" i="3"/>
  <c r="L347" i="3"/>
  <c r="L349" i="3"/>
  <c r="M351" i="3"/>
  <c r="M353" i="3"/>
  <c r="L360" i="3"/>
  <c r="L366" i="3"/>
  <c r="L383" i="3"/>
  <c r="M387" i="3"/>
  <c r="M389" i="3"/>
  <c r="L402" i="3"/>
  <c r="L404" i="3"/>
  <c r="L406" i="3"/>
  <c r="M410" i="3"/>
  <c r="M412" i="3"/>
  <c r="M414" i="3"/>
  <c r="M416" i="3"/>
  <c r="L437" i="3"/>
  <c r="M443" i="3"/>
  <c r="L458" i="3"/>
  <c r="L460" i="3"/>
  <c r="L462" i="3"/>
  <c r="L464" i="3"/>
  <c r="M476" i="3"/>
  <c r="M480" i="3"/>
  <c r="L483" i="3"/>
  <c r="M487" i="3"/>
  <c r="M489" i="3"/>
  <c r="M491" i="3"/>
  <c r="L498" i="3"/>
  <c r="L507" i="3"/>
  <c r="L516" i="3"/>
  <c r="M522" i="3"/>
  <c r="L538" i="3"/>
  <c r="L545" i="3"/>
  <c r="L549" i="3"/>
  <c r="M551" i="3"/>
  <c r="M572" i="3"/>
  <c r="M576" i="3"/>
  <c r="M580" i="3"/>
  <c r="M584" i="3"/>
  <c r="M588" i="3"/>
  <c r="M592" i="3"/>
  <c r="M594" i="3"/>
  <c r="M596" i="3"/>
  <c r="M600" i="3"/>
  <c r="L623" i="3"/>
  <c r="L631" i="3"/>
  <c r="L633" i="3"/>
  <c r="L637" i="3"/>
  <c r="L648" i="3"/>
  <c r="L652" i="3"/>
  <c r="L803" i="3"/>
  <c r="L805" i="3"/>
  <c r="L807" i="3"/>
  <c r="L809" i="3"/>
  <c r="L811" i="3"/>
  <c r="M817" i="3"/>
  <c r="M819" i="3"/>
  <c r="M823" i="3"/>
  <c r="M827" i="3"/>
  <c r="M829" i="3"/>
  <c r="L844" i="3"/>
  <c r="L846" i="3"/>
  <c r="M864" i="3"/>
  <c r="L895" i="3"/>
  <c r="L901" i="3"/>
  <c r="L1020" i="3"/>
  <c r="M3" i="3"/>
  <c r="M5" i="3"/>
  <c r="L46" i="3"/>
  <c r="L50" i="3"/>
  <c r="L52" i="3"/>
  <c r="L54" i="3"/>
  <c r="L58" i="3"/>
  <c r="L60" i="3"/>
  <c r="M62" i="3"/>
  <c r="M64" i="3"/>
  <c r="M66" i="3"/>
  <c r="M68" i="3"/>
  <c r="M70" i="3"/>
  <c r="L79" i="3"/>
  <c r="L83" i="3"/>
  <c r="L85" i="3"/>
  <c r="L87" i="3"/>
  <c r="M91" i="3"/>
  <c r="M111" i="3"/>
  <c r="L112" i="3"/>
  <c r="M116" i="3"/>
  <c r="M118" i="3"/>
  <c r="L130" i="3"/>
  <c r="L132" i="3"/>
  <c r="L134" i="3"/>
  <c r="L138" i="3"/>
  <c r="L149" i="3"/>
  <c r="L151" i="3"/>
  <c r="M155" i="3"/>
  <c r="L166" i="3"/>
  <c r="L170" i="3"/>
  <c r="L195" i="3"/>
  <c r="L197" i="3"/>
  <c r="L199" i="3"/>
  <c r="L201" i="3"/>
  <c r="L203" i="3"/>
  <c r="M205" i="3"/>
  <c r="M207" i="3"/>
  <c r="M209" i="3"/>
  <c r="L220" i="3"/>
  <c r="L226" i="3"/>
  <c r="L228" i="3"/>
  <c r="L234" i="3"/>
  <c r="L236" i="3"/>
  <c r="L242" i="3"/>
  <c r="M253" i="3"/>
  <c r="M255" i="3"/>
  <c r="M257" i="3"/>
  <c r="M270" i="3"/>
  <c r="M272" i="3"/>
  <c r="M274" i="3"/>
  <c r="L289" i="3"/>
  <c r="L293" i="3"/>
  <c r="L297" i="3"/>
  <c r="L303" i="3"/>
  <c r="L320" i="3"/>
  <c r="L322" i="3"/>
  <c r="L324" i="3"/>
  <c r="L326" i="3"/>
  <c r="L328" i="3"/>
  <c r="L330" i="3"/>
  <c r="L332" i="3"/>
  <c r="M334" i="3"/>
  <c r="M336" i="3"/>
  <c r="M344" i="3"/>
  <c r="M346" i="3"/>
  <c r="M348" i="3"/>
  <c r="L356" i="3"/>
  <c r="L359" i="3"/>
  <c r="M361" i="3"/>
  <c r="M365" i="3"/>
  <c r="M367" i="3"/>
  <c r="L374" i="3"/>
  <c r="L376" i="3"/>
  <c r="M384" i="3"/>
  <c r="M394" i="3"/>
  <c r="L397" i="3"/>
  <c r="L399" i="3"/>
  <c r="M403" i="3"/>
  <c r="M405" i="3"/>
  <c r="M407" i="3"/>
  <c r="M409" i="3"/>
  <c r="L436" i="3"/>
  <c r="M438" i="3"/>
  <c r="M440" i="3"/>
  <c r="L453" i="3"/>
  <c r="M459" i="3"/>
  <c r="M461" i="3"/>
  <c r="L468" i="3"/>
  <c r="L473" i="3"/>
  <c r="M484" i="3"/>
  <c r="M499" i="3"/>
  <c r="L506" i="3"/>
  <c r="M508" i="3"/>
  <c r="M517" i="3"/>
  <c r="M519" i="3"/>
  <c r="L536" i="3"/>
  <c r="M546" i="3"/>
  <c r="M548" i="3"/>
  <c r="M563" i="3"/>
  <c r="M565" i="3"/>
  <c r="M567" i="3"/>
  <c r="M611" i="3"/>
  <c r="L701" i="3"/>
  <c r="L703" i="3"/>
  <c r="L707" i="3"/>
  <c r="L709" i="3"/>
  <c r="L711" i="3"/>
  <c r="L713" i="3"/>
  <c r="L719" i="3"/>
  <c r="M725" i="3"/>
  <c r="M763" i="3"/>
  <c r="M765" i="3"/>
  <c r="M769" i="3"/>
  <c r="M771" i="3"/>
  <c r="M773" i="3"/>
  <c r="L798" i="3"/>
  <c r="M847" i="3"/>
  <c r="L966" i="3"/>
  <c r="L3" i="3"/>
  <c r="L5" i="3"/>
  <c r="M7" i="3"/>
  <c r="M9" i="3"/>
  <c r="L62" i="3"/>
  <c r="L64" i="3"/>
  <c r="L66" i="3"/>
  <c r="L68" i="3"/>
  <c r="M72" i="3"/>
  <c r="M74" i="3"/>
  <c r="L91" i="3"/>
  <c r="M93" i="3"/>
  <c r="L116" i="3"/>
  <c r="L118" i="3"/>
  <c r="M120" i="3"/>
  <c r="M122" i="3"/>
  <c r="L140" i="3"/>
  <c r="M157" i="3"/>
  <c r="M178" i="3"/>
  <c r="L205" i="3"/>
  <c r="L207" i="3"/>
  <c r="L209" i="3"/>
  <c r="L253" i="3"/>
  <c r="L257" i="3"/>
  <c r="L270" i="3"/>
  <c r="L274" i="3"/>
  <c r="M276" i="3"/>
  <c r="M280" i="3"/>
  <c r="M282" i="3"/>
  <c r="M309" i="3"/>
  <c r="L334" i="3"/>
  <c r="L336" i="3"/>
  <c r="L344" i="3"/>
  <c r="M352" i="3"/>
  <c r="M354" i="3"/>
  <c r="L361" i="3"/>
  <c r="L363" i="3"/>
  <c r="L365" i="3"/>
  <c r="L367" i="3"/>
  <c r="M369" i="3"/>
  <c r="L382" i="3"/>
  <c r="L384" i="3"/>
  <c r="M388" i="3"/>
  <c r="M390" i="3"/>
  <c r="M392" i="3"/>
  <c r="L401" i="3"/>
  <c r="L403" i="3"/>
  <c r="L405" i="3"/>
  <c r="M411" i="3"/>
  <c r="M413" i="3"/>
  <c r="M417" i="3"/>
  <c r="M419" i="3"/>
  <c r="L423" i="3"/>
  <c r="L438" i="3"/>
  <c r="L440" i="3"/>
  <c r="M444" i="3"/>
  <c r="L459" i="3"/>
  <c r="L461" i="3"/>
  <c r="L463" i="3"/>
  <c r="M479" i="3"/>
  <c r="L484" i="3"/>
  <c r="M490" i="3"/>
  <c r="L499" i="3"/>
  <c r="M501" i="3"/>
  <c r="M503" i="3"/>
  <c r="L508" i="3"/>
  <c r="L517" i="3"/>
  <c r="L519" i="3"/>
  <c r="M521" i="3"/>
  <c r="M523" i="3"/>
  <c r="L546" i="3"/>
  <c r="L653" i="3"/>
  <c r="L655" i="3"/>
  <c r="L657" i="3"/>
  <c r="L661" i="3"/>
  <c r="L663" i="3"/>
  <c r="L665" i="3"/>
  <c r="M670" i="3"/>
  <c r="M672" i="3"/>
  <c r="M674" i="3"/>
  <c r="M676" i="3"/>
  <c r="M678" i="3"/>
  <c r="L753" i="3"/>
  <c r="L755" i="3"/>
  <c r="L757" i="3"/>
  <c r="L759" i="3"/>
  <c r="L761" i="3"/>
  <c r="M889" i="3"/>
  <c r="L902" i="3"/>
  <c r="L906" i="3"/>
  <c r="L908" i="3"/>
  <c r="L914" i="3"/>
  <c r="L916" i="3"/>
  <c r="M918" i="3"/>
  <c r="M922" i="3"/>
  <c r="M925" i="3"/>
  <c r="M929" i="3"/>
  <c r="M931" i="3"/>
  <c r="M933" i="3"/>
  <c r="M937" i="3"/>
  <c r="M939" i="3"/>
  <c r="M941" i="3"/>
  <c r="M947" i="3"/>
  <c r="L1003" i="3"/>
  <c r="L1005" i="3"/>
  <c r="L1007" i="3"/>
  <c r="L1009" i="3"/>
  <c r="L1011" i="3"/>
  <c r="M1013" i="3"/>
  <c r="M1391" i="3"/>
  <c r="M1384" i="3"/>
  <c r="M1376" i="3"/>
  <c r="M1368" i="3"/>
  <c r="M1360" i="3"/>
  <c r="M1352" i="3"/>
  <c r="M1344" i="3"/>
  <c r="M1336" i="3"/>
  <c r="M1328" i="3"/>
  <c r="M1320" i="3"/>
  <c r="M1312" i="3"/>
  <c r="M1304" i="3"/>
  <c r="M1296" i="3"/>
  <c r="M1288" i="3"/>
  <c r="M1280" i="3"/>
  <c r="M1272" i="3"/>
  <c r="M1264" i="3"/>
  <c r="M1256" i="3"/>
  <c r="M1248" i="3"/>
  <c r="M1240" i="3"/>
  <c r="M1232" i="3"/>
  <c r="M1224" i="3"/>
  <c r="M1216" i="3"/>
  <c r="M1208" i="3"/>
  <c r="M1200" i="3"/>
  <c r="M1185" i="3"/>
  <c r="M1178" i="3"/>
  <c r="M1170" i="3"/>
  <c r="M1162" i="3"/>
  <c r="M1154" i="3"/>
  <c r="M1146" i="3"/>
  <c r="M1138" i="3"/>
  <c r="M1122" i="3"/>
  <c r="M1114" i="3"/>
  <c r="M1106" i="3"/>
  <c r="M1098" i="3"/>
  <c r="M1090" i="3"/>
  <c r="M1082" i="3"/>
  <c r="M1074" i="3"/>
  <c r="M1066" i="3"/>
  <c r="M1058" i="3"/>
  <c r="M1050" i="3"/>
  <c r="M1042" i="3"/>
  <c r="M1034" i="3"/>
  <c r="M720" i="3"/>
  <c r="L729" i="3"/>
  <c r="L731" i="3"/>
  <c r="L733" i="3"/>
  <c r="L735" i="3"/>
  <c r="L737" i="3"/>
  <c r="L739" i="3"/>
  <c r="L763" i="3"/>
  <c r="L765" i="3"/>
  <c r="L767" i="3"/>
  <c r="L769" i="3"/>
  <c r="L771" i="3"/>
  <c r="L773" i="3"/>
  <c r="M777" i="3"/>
  <c r="M779" i="3"/>
  <c r="M802" i="3"/>
  <c r="M804" i="3"/>
  <c r="M806" i="3"/>
  <c r="M810" i="3"/>
  <c r="M812" i="3"/>
  <c r="L835" i="3"/>
  <c r="L837" i="3"/>
  <c r="L841" i="3"/>
  <c r="M843" i="3"/>
  <c r="M845" i="3"/>
  <c r="M861" i="3"/>
  <c r="M866" i="3"/>
  <c r="M868" i="3"/>
  <c r="M874" i="3"/>
  <c r="M876" i="3"/>
  <c r="M880" i="3"/>
  <c r="L897" i="3"/>
  <c r="L899" i="3"/>
  <c r="M905" i="3"/>
  <c r="M907" i="3"/>
  <c r="M913" i="3"/>
  <c r="M915" i="3"/>
  <c r="M917" i="3"/>
  <c r="L955" i="3"/>
  <c r="L957" i="3"/>
  <c r="L959" i="3"/>
  <c r="L961" i="3"/>
  <c r="L963" i="3"/>
  <c r="M965" i="3"/>
  <c r="M969" i="3"/>
  <c r="L980" i="3"/>
  <c r="L982" i="3"/>
  <c r="L984" i="3"/>
  <c r="L986" i="3"/>
  <c r="L988" i="3"/>
  <c r="L990" i="3"/>
  <c r="L996" i="3"/>
  <c r="M1000" i="3"/>
  <c r="L1013" i="3"/>
  <c r="L1015" i="3"/>
  <c r="M1019" i="3"/>
  <c r="L1023" i="3"/>
  <c r="M1024" i="3"/>
  <c r="M1454" i="3"/>
  <c r="M1446" i="3"/>
  <c r="M1438" i="3"/>
  <c r="M1430" i="3"/>
  <c r="M1422" i="3"/>
  <c r="M1414" i="3"/>
  <c r="M1406" i="3"/>
  <c r="M1398" i="3"/>
  <c r="M1390" i="3"/>
  <c r="M1383" i="3"/>
  <c r="M1375" i="3"/>
  <c r="M1184" i="3"/>
  <c r="M1177" i="3"/>
  <c r="M1169" i="3"/>
  <c r="M1161" i="3"/>
  <c r="M1121" i="3"/>
  <c r="M1113" i="3"/>
  <c r="M1097" i="3"/>
  <c r="L557" i="3"/>
  <c r="L570" i="3"/>
  <c r="L574" i="3"/>
  <c r="L576" i="3"/>
  <c r="L578" i="3"/>
  <c r="L580" i="3"/>
  <c r="L584" i="3"/>
  <c r="L586" i="3"/>
  <c r="L592" i="3"/>
  <c r="L594" i="3"/>
  <c r="L596" i="3"/>
  <c r="M604" i="3"/>
  <c r="M608" i="3"/>
  <c r="M610" i="3"/>
  <c r="M612" i="3"/>
  <c r="M616" i="3"/>
  <c r="L625" i="3"/>
  <c r="M634" i="3"/>
  <c r="L639" i="3"/>
  <c r="M641" i="3"/>
  <c r="M643" i="3"/>
  <c r="M645" i="3"/>
  <c r="L654" i="3"/>
  <c r="L656" i="3"/>
  <c r="L660" i="3"/>
  <c r="L662" i="3"/>
  <c r="L664" i="3"/>
  <c r="M669" i="3"/>
  <c r="M671" i="3"/>
  <c r="M675" i="3"/>
  <c r="M677" i="3"/>
  <c r="L681" i="3"/>
  <c r="L700" i="3"/>
  <c r="L702" i="3"/>
  <c r="L704" i="3"/>
  <c r="L708" i="3"/>
  <c r="L710" i="3"/>
  <c r="L712" i="3"/>
  <c r="L714" i="3"/>
  <c r="L716" i="3"/>
  <c r="L720" i="3"/>
  <c r="M726" i="3"/>
  <c r="M743" i="3"/>
  <c r="M744" i="3"/>
  <c r="M746" i="3"/>
  <c r="M750" i="3"/>
  <c r="L775" i="3"/>
  <c r="L777" i="3"/>
  <c r="L779" i="3"/>
  <c r="M781" i="3"/>
  <c r="M785" i="3"/>
  <c r="M787" i="3"/>
  <c r="M789" i="3"/>
  <c r="M791" i="3"/>
  <c r="M793" i="3"/>
  <c r="M795" i="3"/>
  <c r="L804" i="3"/>
  <c r="L806" i="3"/>
  <c r="L808" i="3"/>
  <c r="L810" i="3"/>
  <c r="L812" i="3"/>
  <c r="M816" i="3"/>
  <c r="M818" i="3"/>
  <c r="M820" i="3"/>
  <c r="M824" i="3"/>
  <c r="M828" i="3"/>
  <c r="M830" i="3"/>
  <c r="M849" i="3"/>
  <c r="L861" i="3"/>
  <c r="L868" i="3"/>
  <c r="L870" i="3"/>
  <c r="L874" i="3"/>
  <c r="L876" i="3"/>
  <c r="L878" i="3"/>
  <c r="M882" i="3"/>
  <c r="M884" i="3"/>
  <c r="M888" i="3"/>
  <c r="M890" i="3"/>
  <c r="M892" i="3"/>
  <c r="L903" i="3"/>
  <c r="L905" i="3"/>
  <c r="L909" i="3"/>
  <c r="L911" i="3"/>
  <c r="L915" i="3"/>
  <c r="M919" i="3"/>
  <c r="M921" i="3"/>
  <c r="M923" i="3"/>
  <c r="M924" i="3"/>
  <c r="M926" i="3"/>
  <c r="M928" i="3"/>
  <c r="M930" i="3"/>
  <c r="M934" i="3"/>
  <c r="M936" i="3"/>
  <c r="M938" i="3"/>
  <c r="M942" i="3"/>
  <c r="M944" i="3"/>
  <c r="M946" i="3"/>
  <c r="L965" i="3"/>
  <c r="L967" i="3"/>
  <c r="L1019" i="3"/>
  <c r="L1021" i="3"/>
  <c r="M1453" i="3"/>
  <c r="M1437" i="3"/>
  <c r="M1429" i="3"/>
  <c r="M1421" i="3"/>
  <c r="M1405" i="3"/>
  <c r="M1397" i="3"/>
  <c r="M1382" i="3"/>
  <c r="M1374" i="3"/>
  <c r="M1366" i="3"/>
  <c r="M1358" i="3"/>
  <c r="M1350" i="3"/>
  <c r="M1342" i="3"/>
  <c r="M1334" i="3"/>
  <c r="M1318" i="3"/>
  <c r="M1310" i="3"/>
  <c r="M1302" i="3"/>
  <c r="M1294" i="3"/>
  <c r="M1452" i="3"/>
  <c r="M1444" i="3"/>
  <c r="M1436" i="3"/>
  <c r="M1428" i="3"/>
  <c r="M1420" i="3"/>
  <c r="M1412" i="3"/>
  <c r="M1167" i="3"/>
  <c r="M1451" i="3"/>
  <c r="M1443" i="3"/>
  <c r="M1427" i="3"/>
  <c r="M1419" i="3"/>
  <c r="M1411" i="3"/>
  <c r="M1403" i="3"/>
  <c r="M1395" i="3"/>
  <c r="M1388" i="3"/>
  <c r="M1380" i="3"/>
  <c r="M1372" i="3"/>
  <c r="M1356" i="3"/>
  <c r="M1348" i="3"/>
  <c r="M1340" i="3"/>
  <c r="M1332" i="3"/>
  <c r="M1324" i="3"/>
  <c r="M1316" i="3"/>
  <c r="M1308" i="3"/>
  <c r="M1292" i="3"/>
  <c r="M1284" i="3"/>
  <c r="M1276" i="3"/>
  <c r="M1268" i="3"/>
  <c r="M1260" i="3"/>
  <c r="M1252" i="3"/>
  <c r="M1244" i="3"/>
  <c r="M1236" i="3"/>
  <c r="M1228" i="3"/>
  <c r="M1212" i="3"/>
  <c r="L1257" i="3"/>
  <c r="L1043" i="3"/>
  <c r="M558" i="3"/>
  <c r="M573" i="3"/>
  <c r="M575" i="3"/>
  <c r="M577" i="3"/>
  <c r="M581" i="3"/>
  <c r="M583" i="3"/>
  <c r="M585" i="3"/>
  <c r="M587" i="3"/>
  <c r="M589" i="3"/>
  <c r="M591" i="3"/>
  <c r="M593" i="3"/>
  <c r="M599" i="3"/>
  <c r="L611" i="3"/>
  <c r="M619" i="3"/>
  <c r="L622" i="3"/>
  <c r="L624" i="3"/>
  <c r="L632" i="3"/>
  <c r="L636" i="3"/>
  <c r="L638" i="3"/>
  <c r="M640" i="3"/>
  <c r="L649" i="3"/>
  <c r="M653" i="3"/>
  <c r="M655" i="3"/>
  <c r="M657" i="3"/>
  <c r="M659" i="3"/>
  <c r="M661" i="3"/>
  <c r="M663" i="3"/>
  <c r="M665" i="3"/>
  <c r="M667" i="3"/>
  <c r="L685" i="3"/>
  <c r="L687" i="3"/>
  <c r="L691" i="3"/>
  <c r="L693" i="3"/>
  <c r="L695" i="3"/>
  <c r="L699" i="3"/>
  <c r="M701" i="3"/>
  <c r="M703" i="3"/>
  <c r="M707" i="3"/>
  <c r="M709" i="3"/>
  <c r="M711" i="3"/>
  <c r="M715" i="3"/>
  <c r="M719" i="3"/>
  <c r="M721" i="3"/>
  <c r="L725" i="3"/>
  <c r="L728" i="3"/>
  <c r="L730" i="3"/>
  <c r="L734" i="3"/>
  <c r="L736" i="3"/>
  <c r="L738" i="3"/>
  <c r="L740" i="3"/>
  <c r="M759" i="3"/>
  <c r="L762" i="3"/>
  <c r="L764" i="3"/>
  <c r="L766" i="3"/>
  <c r="L770" i="3"/>
  <c r="L772" i="3"/>
  <c r="M776" i="3"/>
  <c r="M778" i="3"/>
  <c r="M803" i="3"/>
  <c r="M809" i="3"/>
  <c r="M811" i="3"/>
  <c r="L836" i="3"/>
  <c r="L840" i="3"/>
  <c r="M846" i="3"/>
  <c r="M867" i="3"/>
  <c r="M873" i="3"/>
  <c r="M875" i="3"/>
  <c r="M881" i="3"/>
  <c r="L889" i="3"/>
  <c r="L898" i="3"/>
  <c r="L900" i="3"/>
  <c r="M904" i="3"/>
  <c r="M906" i="3"/>
  <c r="M908" i="3"/>
  <c r="M910" i="3"/>
  <c r="M912" i="3"/>
  <c r="M914" i="3"/>
  <c r="M916" i="3"/>
  <c r="L956" i="3"/>
  <c r="L958" i="3"/>
  <c r="L960" i="3"/>
  <c r="M966" i="3"/>
  <c r="M968" i="3"/>
  <c r="L981" i="3"/>
  <c r="L983" i="3"/>
  <c r="L985" i="3"/>
  <c r="L987" i="3"/>
  <c r="L989" i="3"/>
  <c r="L991" i="3"/>
  <c r="L993" i="3"/>
  <c r="L995" i="3"/>
  <c r="L997" i="3"/>
  <c r="L1014" i="3"/>
  <c r="M1018" i="3"/>
  <c r="M1450" i="3"/>
  <c r="M1442" i="3"/>
  <c r="M1434" i="3"/>
  <c r="M1426" i="3"/>
  <c r="M1418" i="3"/>
  <c r="M1410" i="3"/>
  <c r="M1394" i="3"/>
  <c r="M1387" i="3"/>
  <c r="M1379" i="3"/>
  <c r="M1371" i="3"/>
  <c r="M1363" i="3"/>
  <c r="M1355" i="3"/>
  <c r="M1347" i="3"/>
  <c r="M1331" i="3"/>
  <c r="M1323" i="3"/>
  <c r="M1315" i="3"/>
  <c r="M1307" i="3"/>
  <c r="M1299" i="3"/>
  <c r="M1291" i="3"/>
  <c r="M1283" i="3"/>
  <c r="M1275" i="3"/>
  <c r="M1267" i="3"/>
  <c r="M1251" i="3"/>
  <c r="M1235" i="3"/>
  <c r="M1219" i="3"/>
  <c r="M1203" i="3"/>
  <c r="M1093" i="3"/>
  <c r="M1069" i="3"/>
  <c r="M1449" i="3"/>
  <c r="M1441" i="3"/>
  <c r="M1433" i="3"/>
  <c r="M1417" i="3"/>
  <c r="M1409" i="3"/>
  <c r="M1401" i="3"/>
  <c r="M1393" i="3"/>
  <c r="M1386" i="3"/>
  <c r="M1370" i="3"/>
  <c r="M1362" i="3"/>
  <c r="M1354" i="3"/>
  <c r="M1346" i="3"/>
  <c r="M1338" i="3"/>
  <c r="M1330" i="3"/>
  <c r="M1322" i="3"/>
  <c r="M1306" i="3"/>
  <c r="M1298" i="3"/>
  <c r="M1290" i="3"/>
  <c r="M1282" i="3"/>
  <c r="M1274" i="3"/>
  <c r="M1266" i="3"/>
  <c r="M1258" i="3"/>
  <c r="M1250" i="3"/>
  <c r="M1242" i="3"/>
  <c r="M1234" i="3"/>
  <c r="M1226" i="3"/>
  <c r="M1218" i="3"/>
  <c r="M1210" i="3"/>
  <c r="M1202" i="3"/>
  <c r="M1195" i="3"/>
  <c r="M1187" i="3"/>
  <c r="M1148" i="3"/>
  <c r="M1140" i="3"/>
  <c r="M1124" i="3"/>
  <c r="M1084" i="3"/>
  <c r="M1076" i="3"/>
  <c r="M1060" i="3"/>
  <c r="M1172" i="3"/>
  <c r="M1164" i="3"/>
  <c r="M1156" i="3"/>
  <c r="M1132" i="3"/>
  <c r="M1116" i="3"/>
  <c r="M1108" i="3"/>
  <c r="M1100" i="3"/>
  <c r="M1092" i="3"/>
  <c r="M1068" i="3"/>
  <c r="M1052" i="3"/>
  <c r="M1044" i="3"/>
  <c r="M1036" i="3"/>
  <c r="M1028" i="3"/>
  <c r="L1450" i="3"/>
  <c r="L1442" i="3"/>
  <c r="L1434" i="3"/>
  <c r="L1426" i="3"/>
  <c r="L1418" i="3"/>
  <c r="L1410" i="3"/>
  <c r="L1402" i="3"/>
  <c r="L1394" i="3"/>
  <c r="L1387" i="3"/>
  <c r="L1379" i="3"/>
  <c r="L1371" i="3"/>
  <c r="L1323" i="3"/>
  <c r="L1307" i="3"/>
  <c r="L1117" i="3"/>
  <c r="M1027" i="3"/>
  <c r="L1457" i="3"/>
  <c r="L1449" i="3"/>
  <c r="L1441" i="3"/>
  <c r="L1433" i="3"/>
  <c r="L1425" i="3"/>
  <c r="L1417" i="3"/>
  <c r="L1409" i="3"/>
  <c r="L1401" i="3"/>
  <c r="L1393" i="3"/>
  <c r="L1386" i="3"/>
  <c r="L1378" i="3"/>
  <c r="L1370" i="3"/>
  <c r="M1367" i="3"/>
  <c r="M1359" i="3"/>
  <c r="M1351" i="3"/>
  <c r="M1343" i="3"/>
  <c r="M1335" i="3"/>
  <c r="M1327" i="3"/>
  <c r="M1319" i="3"/>
  <c r="M1311" i="3"/>
  <c r="M1303" i="3"/>
  <c r="M1295" i="3"/>
  <c r="M1287" i="3"/>
  <c r="M1279" i="3"/>
  <c r="M1271" i="3"/>
  <c r="M1263" i="3"/>
  <c r="M1255" i="3"/>
  <c r="M1247" i="3"/>
  <c r="M1239" i="3"/>
  <c r="M1231" i="3"/>
  <c r="M1223" i="3"/>
  <c r="M1215" i="3"/>
  <c r="M1207" i="3"/>
  <c r="M1199" i="3"/>
  <c r="M1192" i="3"/>
  <c r="M1153" i="3"/>
  <c r="M1145" i="3"/>
  <c r="M1137" i="3"/>
  <c r="M1129" i="3"/>
  <c r="M1105" i="3"/>
  <c r="M1089" i="3"/>
  <c r="M1081" i="3"/>
  <c r="M1073" i="3"/>
  <c r="M1065" i="3"/>
  <c r="M1049" i="3"/>
  <c r="M1041" i="3"/>
  <c r="M1033" i="3"/>
  <c r="L1455" i="3"/>
  <c r="L1447" i="3"/>
  <c r="L1439" i="3"/>
  <c r="L1431" i="3"/>
  <c r="L1423" i="3"/>
  <c r="L1415" i="3"/>
  <c r="L1407" i="3"/>
  <c r="L1399" i="3"/>
  <c r="L1391" i="3"/>
  <c r="L1384" i="3"/>
  <c r="L1376" i="3"/>
  <c r="L1368" i="3"/>
  <c r="L1352" i="3"/>
  <c r="L1248" i="3"/>
  <c r="L1240" i="3"/>
  <c r="L1162" i="3"/>
  <c r="L1114" i="3"/>
  <c r="L1098" i="3"/>
  <c r="L1050" i="3"/>
  <c r="L1034" i="3"/>
  <c r="M1286" i="3"/>
  <c r="M1278" i="3"/>
  <c r="M1270" i="3"/>
  <c r="M1262" i="3"/>
  <c r="M1254" i="3"/>
  <c r="M1246" i="3"/>
  <c r="M1238" i="3"/>
  <c r="M1230" i="3"/>
  <c r="M1222" i="3"/>
  <c r="M1214" i="3"/>
  <c r="M1206" i="3"/>
  <c r="M1198" i="3"/>
  <c r="M1191" i="3"/>
  <c r="M1183" i="3"/>
  <c r="M1144" i="3"/>
  <c r="M1136" i="3"/>
  <c r="M1128" i="3"/>
  <c r="M1120" i="3"/>
  <c r="M1080" i="3"/>
  <c r="M1064" i="3"/>
  <c r="M1056" i="3"/>
  <c r="L1454" i="3"/>
  <c r="L1446" i="3"/>
  <c r="L1438" i="3"/>
  <c r="L1430" i="3"/>
  <c r="L1422" i="3"/>
  <c r="L1414" i="3"/>
  <c r="L1406" i="3"/>
  <c r="L1398" i="3"/>
  <c r="L1390" i="3"/>
  <c r="L1383" i="3"/>
  <c r="L1375" i="3"/>
  <c r="L1367" i="3"/>
  <c r="L1359" i="3"/>
  <c r="L1351" i="3"/>
  <c r="L1343" i="3"/>
  <c r="L1335" i="3"/>
  <c r="L1327" i="3"/>
  <c r="L1319" i="3"/>
  <c r="L1311" i="3"/>
  <c r="L1303" i="3"/>
  <c r="L1295" i="3"/>
  <c r="L1287" i="3"/>
  <c r="L1279" i="3"/>
  <c r="L1271" i="3"/>
  <c r="L1263" i="3"/>
  <c r="L1255" i="3"/>
  <c r="L1247" i="3"/>
  <c r="L1239" i="3"/>
  <c r="L1231" i="3"/>
  <c r="L1223" i="3"/>
  <c r="L1215" i="3"/>
  <c r="L1207" i="3"/>
  <c r="L1199" i="3"/>
  <c r="L1192" i="3"/>
  <c r="L1184" i="3"/>
  <c r="L1177" i="3"/>
  <c r="M1404" i="3"/>
  <c r="M1396" i="3"/>
  <c r="M1381" i="3"/>
  <c r="M1373" i="3"/>
  <c r="M1365" i="3"/>
  <c r="M1357" i="3"/>
  <c r="M1349" i="3"/>
  <c r="M1341" i="3"/>
  <c r="M1333" i="3"/>
  <c r="M1325" i="3"/>
  <c r="M1317" i="3"/>
  <c r="M1309" i="3"/>
  <c r="M1301" i="3"/>
  <c r="M1293" i="3"/>
  <c r="M1285" i="3"/>
  <c r="M1277" i="3"/>
  <c r="M1269" i="3"/>
  <c r="M1261" i="3"/>
  <c r="M1253" i="3"/>
  <c r="M1245" i="3"/>
  <c r="M1237" i="3"/>
  <c r="M1229" i="3"/>
  <c r="M1221" i="3"/>
  <c r="M1213" i="3"/>
  <c r="M1205" i="3"/>
  <c r="M1197" i="3"/>
  <c r="M1190" i="3"/>
  <c r="M1182" i="3"/>
  <c r="M1175" i="3"/>
  <c r="M1135" i="3"/>
  <c r="M1119" i="3"/>
  <c r="M1111" i="3"/>
  <c r="M1055" i="3"/>
  <c r="M1031" i="3"/>
  <c r="M1196" i="3"/>
  <c r="M1189" i="3"/>
  <c r="M1181" i="3"/>
  <c r="M1174" i="3"/>
  <c r="M1166" i="3"/>
  <c r="M1158" i="3"/>
  <c r="M1150" i="3"/>
  <c r="M1142" i="3"/>
  <c r="M1134" i="3"/>
  <c r="M1126" i="3"/>
  <c r="M1118" i="3"/>
  <c r="M1110" i="3"/>
  <c r="M1102" i="3"/>
  <c r="M1094" i="3"/>
  <c r="M1086" i="3"/>
  <c r="M1078" i="3"/>
  <c r="M1070" i="3"/>
  <c r="M1062" i="3"/>
  <c r="M1054" i="3"/>
  <c r="M1046" i="3"/>
  <c r="M1038" i="3"/>
  <c r="M1030" i="3"/>
  <c r="M1188" i="3"/>
  <c r="M1180" i="3"/>
  <c r="M1173" i="3"/>
  <c r="M1165" i="3"/>
  <c r="M1141" i="3"/>
  <c r="M1125" i="3"/>
  <c r="M1117" i="3"/>
  <c r="M1109" i="3"/>
  <c r="M1101" i="3"/>
  <c r="M1077" i="3"/>
  <c r="M1061" i="3"/>
  <c r="M1053" i="3"/>
  <c r="M1045" i="3"/>
  <c r="M1037" i="3"/>
  <c r="M1029" i="3"/>
  <c r="L1300" i="3"/>
  <c r="L1142" i="3"/>
  <c r="L1456" i="3"/>
  <c r="L1448" i="3"/>
  <c r="L1440" i="3"/>
  <c r="L1432" i="3"/>
  <c r="L1424" i="3"/>
  <c r="L1416" i="3"/>
  <c r="L1408" i="3"/>
  <c r="L1400" i="3"/>
  <c r="L1392" i="3"/>
  <c r="L1385" i="3"/>
  <c r="L1377" i="3"/>
  <c r="L1369" i="3"/>
  <c r="L1361" i="3"/>
  <c r="L1353" i="3"/>
  <c r="L1345" i="3"/>
  <c r="L1337" i="3"/>
  <c r="L1329" i="3"/>
  <c r="L1321" i="3"/>
  <c r="L1313" i="3"/>
  <c r="L1305" i="3"/>
  <c r="L1297" i="3"/>
  <c r="L1289" i="3"/>
  <c r="L1281" i="3"/>
  <c r="L1273" i="3"/>
  <c r="L1265" i="3"/>
  <c r="L1249" i="3"/>
  <c r="L1241" i="3"/>
  <c r="L1233" i="3"/>
  <c r="L1225" i="3"/>
  <c r="L1217" i="3"/>
  <c r="L1209" i="3"/>
  <c r="L1201" i="3"/>
  <c r="L1194" i="3"/>
  <c r="L1186" i="3"/>
  <c r="L1179" i="3"/>
  <c r="L1171" i="3"/>
  <c r="L1163" i="3"/>
  <c r="L1155" i="3"/>
  <c r="L1147" i="3"/>
  <c r="L1139" i="3"/>
  <c r="L1131" i="3"/>
  <c r="L1123" i="3"/>
  <c r="L1115" i="3"/>
  <c r="L1107" i="3"/>
  <c r="L1099" i="3"/>
  <c r="L1091" i="3"/>
  <c r="L1083" i="3"/>
  <c r="L1075" i="3"/>
  <c r="L1067" i="3"/>
  <c r="L1059" i="3"/>
  <c r="L1051" i="3"/>
  <c r="L1035" i="3"/>
  <c r="L1169" i="3"/>
  <c r="L1161" i="3"/>
  <c r="L1153" i="3"/>
  <c r="L1145" i="3"/>
  <c r="L1105" i="3"/>
  <c r="L1089" i="3"/>
  <c r="L1049" i="3"/>
  <c r="L1041" i="3"/>
  <c r="M1040" i="3"/>
  <c r="M1032" i="3"/>
  <c r="L1358" i="3"/>
  <c r="L1334" i="3"/>
  <c r="L1318" i="3"/>
  <c r="L1310" i="3"/>
  <c r="L1302" i="3"/>
  <c r="L1270" i="3"/>
  <c r="L1230" i="3"/>
  <c r="L1222" i="3"/>
  <c r="L1104" i="3"/>
  <c r="L1221" i="3"/>
  <c r="L1197" i="3"/>
  <c r="L1159" i="3"/>
  <c r="L1151" i="3"/>
  <c r="L1031" i="3"/>
  <c r="L1451" i="3"/>
  <c r="L1443" i="3"/>
  <c r="L1435" i="3"/>
  <c r="L1427" i="3"/>
  <c r="L1419" i="3"/>
  <c r="L1411" i="3"/>
  <c r="L1403" i="3"/>
  <c r="L1395" i="3"/>
  <c r="L1388" i="3"/>
  <c r="L1380" i="3"/>
  <c r="L1372" i="3"/>
  <c r="L1356" i="3"/>
  <c r="L1340" i="3"/>
  <c r="L1332" i="3"/>
  <c r="L1324" i="3"/>
  <c r="L1316" i="3"/>
  <c r="L1308" i="3"/>
  <c r="L1292" i="3"/>
  <c r="L1276" i="3"/>
  <c r="L1268" i="3"/>
  <c r="L1260" i="3"/>
  <c r="L1252" i="3"/>
  <c r="L1244" i="3"/>
  <c r="L1236" i="3"/>
  <c r="L1228" i="3"/>
  <c r="L1220" i="3"/>
  <c r="L1212" i="3"/>
  <c r="L1204" i="3"/>
  <c r="L1196" i="3"/>
  <c r="L1181" i="3"/>
  <c r="L1174" i="3"/>
  <c r="L1166" i="3"/>
  <c r="L1158" i="3"/>
  <c r="L1150" i="3"/>
  <c r="L1134" i="3"/>
  <c r="L1126" i="3"/>
  <c r="L1118" i="3"/>
  <c r="L1110" i="3"/>
  <c r="L1102" i="3"/>
  <c r="L1094" i="3"/>
  <c r="L1086" i="3"/>
  <c r="L1078" i="3"/>
  <c r="L1070" i="3"/>
  <c r="L1054" i="3"/>
  <c r="L1363" i="3"/>
  <c r="L1355" i="3"/>
  <c r="L1347" i="3"/>
  <c r="L1339" i="3"/>
  <c r="L1331" i="3"/>
  <c r="L1315" i="3"/>
  <c r="L1299" i="3"/>
  <c r="L1291" i="3"/>
  <c r="L1283" i="3"/>
  <c r="L1275" i="3"/>
  <c r="L1267" i="3"/>
  <c r="L1259" i="3"/>
  <c r="L1251" i="3"/>
  <c r="L1243" i="3"/>
  <c r="L1235" i="3"/>
  <c r="L1227" i="3"/>
  <c r="L1219" i="3"/>
  <c r="L1211" i="3"/>
  <c r="L1203" i="3"/>
  <c r="L1188" i="3"/>
  <c r="L1180" i="3"/>
  <c r="L1173" i="3"/>
  <c r="L1165" i="3"/>
  <c r="L1157" i="3"/>
  <c r="L1149" i="3"/>
  <c r="L1141" i="3"/>
  <c r="L1133" i="3"/>
  <c r="L1125" i="3"/>
  <c r="L1109" i="3"/>
  <c r="L1101" i="3"/>
  <c r="L1093" i="3"/>
  <c r="L1085" i="3"/>
  <c r="L1077" i="3"/>
  <c r="L1061" i="3"/>
  <c r="L1053" i="3"/>
  <c r="L1045" i="3"/>
  <c r="L1037" i="3"/>
  <c r="L1362" i="3"/>
  <c r="L1354" i="3"/>
  <c r="L1346" i="3"/>
  <c r="L1338" i="3"/>
  <c r="L1330" i="3"/>
  <c r="L1322" i="3"/>
  <c r="L1314" i="3"/>
  <c r="L1306" i="3"/>
  <c r="L1298" i="3"/>
  <c r="L1290" i="3"/>
  <c r="L1282" i="3"/>
  <c r="L1274" i="3"/>
  <c r="L1266" i="3"/>
  <c r="L1258" i="3"/>
  <c r="L1250" i="3"/>
  <c r="L1242" i="3"/>
  <c r="L1234" i="3"/>
  <c r="L1226" i="3"/>
  <c r="L1218" i="3"/>
  <c r="L1210" i="3"/>
  <c r="L1202" i="3"/>
  <c r="L1195" i="3"/>
  <c r="L1187" i="3"/>
  <c r="L1172" i="3"/>
  <c r="L1164" i="3"/>
  <c r="L1156" i="3"/>
  <c r="L1148" i="3"/>
  <c r="L1140" i="3"/>
  <c r="L1132" i="3"/>
  <c r="L1124" i="3"/>
  <c r="L1116" i="3"/>
  <c r="L1108" i="3"/>
  <c r="L1100" i="3"/>
  <c r="L1092" i="3"/>
  <c r="L1084" i="3"/>
  <c r="L1076" i="3"/>
  <c r="L1068" i="3"/>
  <c r="L1060" i="3"/>
  <c r="L1052" i="3"/>
  <c r="L1044" i="3"/>
  <c r="L1036" i="3"/>
  <c r="L1344" i="3"/>
  <c r="L1336" i="3"/>
  <c r="L1328" i="3"/>
  <c r="L1320" i="3"/>
  <c r="L1312" i="3"/>
  <c r="L1304" i="3"/>
  <c r="L1296" i="3"/>
  <c r="L1288" i="3"/>
  <c r="L1280" i="3"/>
  <c r="L1272" i="3"/>
  <c r="L1264" i="3"/>
  <c r="L1256" i="3"/>
  <c r="L1232" i="3"/>
  <c r="L1216" i="3"/>
  <c r="L1208" i="3"/>
  <c r="L1200" i="3"/>
  <c r="L1193" i="3"/>
  <c r="L1170" i="3"/>
  <c r="L1154" i="3"/>
  <c r="L1146" i="3"/>
  <c r="L1138" i="3"/>
  <c r="L1130" i="3"/>
  <c r="L1106" i="3"/>
  <c r="L1090" i="3"/>
  <c r="L1082" i="3"/>
  <c r="L1074" i="3"/>
  <c r="L1066" i="3"/>
  <c r="L1042" i="3"/>
  <c r="L1137" i="3"/>
  <c r="L1129" i="3"/>
  <c r="L1121" i="3"/>
  <c r="L1097" i="3"/>
  <c r="L1081" i="3"/>
  <c r="L1073" i="3"/>
  <c r="L1065" i="3"/>
  <c r="L1057" i="3"/>
  <c r="L1033" i="3"/>
  <c r="L1262" i="3"/>
  <c r="L1254" i="3"/>
  <c r="L1246" i="3"/>
  <c r="L1238" i="3"/>
  <c r="L1214" i="3"/>
  <c r="L1198" i="3"/>
  <c r="L1191" i="3"/>
  <c r="L1183" i="3"/>
  <c r="L1176" i="3"/>
  <c r="L1152" i="3"/>
  <c r="L1136" i="3"/>
  <c r="L1128" i="3"/>
  <c r="L1120" i="3"/>
  <c r="L1112" i="3"/>
  <c r="L1088" i="3"/>
  <c r="L1072" i="3"/>
  <c r="L1064" i="3"/>
  <c r="L1056" i="3"/>
  <c r="L1048" i="3"/>
  <c r="L1365" i="3"/>
  <c r="L1357" i="3"/>
  <c r="L1349" i="3"/>
  <c r="L1341" i="3"/>
  <c r="L1333" i="3"/>
  <c r="L1325" i="3"/>
  <c r="L1317" i="3"/>
  <c r="L1309" i="3"/>
  <c r="L1301" i="3"/>
  <c r="L1293" i="3"/>
  <c r="L1285" i="3"/>
  <c r="L1277" i="3"/>
  <c r="L1269" i="3"/>
  <c r="L1253" i="3"/>
  <c r="L1245" i="3"/>
  <c r="L1237" i="3"/>
  <c r="L1229" i="3"/>
  <c r="L1205" i="3"/>
  <c r="L1190" i="3"/>
  <c r="L1182" i="3"/>
  <c r="L1175" i="3"/>
  <c r="L1167" i="3"/>
  <c r="L1143" i="3"/>
  <c r="L1127" i="3"/>
  <c r="L1119" i="3"/>
  <c r="L1111" i="3"/>
  <c r="L1103" i="3"/>
  <c r="L1079" i="3"/>
  <c r="L1063" i="3"/>
  <c r="L1055" i="3"/>
  <c r="L1047" i="3"/>
  <c r="L1039" i="3"/>
  <c r="L1046" i="3"/>
  <c r="L1038" i="3"/>
  <c r="L339" i="3"/>
  <c r="M975" i="3"/>
  <c r="M103" i="3"/>
  <c r="L121" i="3"/>
  <c r="M182" i="3"/>
  <c r="M206" i="3"/>
  <c r="M418" i="3"/>
  <c r="M431" i="3"/>
  <c r="M470" i="3"/>
  <c r="M526" i="3"/>
  <c r="M553" i="3"/>
  <c r="L619" i="3"/>
  <c r="M689" i="3"/>
  <c r="M14" i="3"/>
  <c r="L105" i="3"/>
  <c r="M230" i="3"/>
  <c r="M261" i="3"/>
  <c r="L268" i="3"/>
  <c r="L287" i="3"/>
  <c r="L346" i="3"/>
  <c r="L348" i="3"/>
  <c r="L378" i="3"/>
  <c r="L380" i="3"/>
  <c r="M402" i="3"/>
  <c r="L526" i="3"/>
  <c r="L555" i="3"/>
  <c r="L587" i="3"/>
  <c r="M606" i="3"/>
  <c r="L689" i="3"/>
  <c r="M717" i="3"/>
  <c r="L839" i="3"/>
  <c r="M860" i="3"/>
  <c r="M902" i="3"/>
  <c r="L230" i="3"/>
  <c r="L232" i="3"/>
  <c r="L315" i="3"/>
  <c r="L317" i="3"/>
  <c r="M439" i="3"/>
  <c r="M502" i="3"/>
  <c r="M566" i="3"/>
  <c r="M582" i="3"/>
  <c r="M614" i="3"/>
  <c r="L717" i="3"/>
  <c r="M767" i="3"/>
  <c r="L784" i="3"/>
  <c r="L791" i="3"/>
  <c r="M808" i="3"/>
  <c r="M825" i="3"/>
  <c r="M991" i="3"/>
  <c r="L291" i="3"/>
  <c r="M1023" i="3"/>
  <c r="M30" i="3"/>
  <c r="M150" i="3"/>
  <c r="M174" i="3"/>
  <c r="M267" i="3"/>
  <c r="M295" i="3"/>
  <c r="L626" i="3"/>
  <c r="L697" i="3"/>
  <c r="M712" i="3"/>
  <c r="L797" i="3"/>
  <c r="L799" i="3"/>
  <c r="M801" i="3"/>
  <c r="M967" i="3"/>
  <c r="M999" i="3"/>
  <c r="M53" i="3"/>
  <c r="L136" i="3"/>
  <c r="L190" i="3"/>
  <c r="L192" i="3"/>
  <c r="L214" i="3"/>
  <c r="L238" i="3"/>
  <c r="L240" i="3"/>
  <c r="L254" i="3"/>
  <c r="L295" i="3"/>
  <c r="M579" i="3"/>
  <c r="L603" i="3"/>
  <c r="L8" i="3"/>
  <c r="L24" i="3"/>
  <c r="L40" i="3"/>
  <c r="L81" i="3"/>
  <c r="M127" i="3"/>
  <c r="L144" i="3"/>
  <c r="M190" i="3"/>
  <c r="L198" i="3"/>
  <c r="L200" i="3"/>
  <c r="M238" i="3"/>
  <c r="M434" i="3"/>
  <c r="M455" i="3"/>
  <c r="M494" i="3"/>
  <c r="L595" i="3"/>
  <c r="L642" i="3"/>
  <c r="M797" i="3"/>
  <c r="L943" i="3"/>
  <c r="M166" i="3"/>
  <c r="L184" i="3"/>
  <c r="L370" i="3"/>
  <c r="L634" i="3"/>
  <c r="L16" i="3"/>
  <c r="L32" i="3"/>
  <c r="L48" i="3"/>
  <c r="M95" i="3"/>
  <c r="L113" i="3"/>
  <c r="M158" i="3"/>
  <c r="L176" i="3"/>
  <c r="M214" i="3"/>
  <c r="L222" i="3"/>
  <c r="L224" i="3"/>
  <c r="M254" i="3"/>
  <c r="L267" i="3"/>
  <c r="L372" i="3"/>
  <c r="M399" i="3"/>
  <c r="L431" i="3"/>
  <c r="M510" i="3"/>
  <c r="M518" i="3"/>
  <c r="L705" i="3"/>
  <c r="M869" i="3"/>
  <c r="M871" i="3"/>
  <c r="L269" i="3"/>
  <c r="L299" i="3"/>
  <c r="L309" i="3"/>
  <c r="L321" i="3"/>
  <c r="L331" i="3"/>
  <c r="L362" i="3"/>
  <c r="L407" i="3"/>
  <c r="M6" i="3"/>
  <c r="M22" i="3"/>
  <c r="M38" i="3"/>
  <c r="M79" i="3"/>
  <c r="L97" i="3"/>
  <c r="M142" i="3"/>
  <c r="L160" i="3"/>
  <c r="L206" i="3"/>
  <c r="L216" i="3"/>
  <c r="M246" i="3"/>
  <c r="L256" i="3"/>
  <c r="L261" i="3"/>
  <c r="M277" i="3"/>
  <c r="L301" i="3"/>
  <c r="L311" i="3"/>
  <c r="L333" i="3"/>
  <c r="L342" i="3"/>
  <c r="L364" i="3"/>
  <c r="M391" i="3"/>
  <c r="M626" i="3"/>
  <c r="M71" i="3"/>
  <c r="L89" i="3"/>
  <c r="M134" i="3"/>
  <c r="L152" i="3"/>
  <c r="M198" i="3"/>
  <c r="L208" i="3"/>
  <c r="L246" i="3"/>
  <c r="L248" i="3"/>
  <c r="L277" i="3"/>
  <c r="L354" i="3"/>
  <c r="M386" i="3"/>
  <c r="M447" i="3"/>
  <c r="L534" i="3"/>
  <c r="L562" i="3"/>
  <c r="M574" i="3"/>
  <c r="M697" i="3"/>
  <c r="L802" i="3"/>
  <c r="M458" i="3"/>
  <c r="M463" i="3"/>
  <c r="M473" i="3"/>
  <c r="M478" i="3"/>
  <c r="M598" i="3"/>
  <c r="M603" i="3"/>
  <c r="M666" i="3"/>
  <c r="L673" i="3"/>
  <c r="M754" i="3"/>
  <c r="M756" i="3"/>
  <c r="L776" i="3"/>
  <c r="M813" i="3"/>
  <c r="L838" i="3"/>
  <c r="M896" i="3"/>
  <c r="M959" i="3"/>
  <c r="M547" i="3"/>
  <c r="M552" i="3"/>
  <c r="M590" i="3"/>
  <c r="M658" i="3"/>
  <c r="L666" i="3"/>
  <c r="L732" i="3"/>
  <c r="L756" i="3"/>
  <c r="M783" i="3"/>
  <c r="M805" i="3"/>
  <c r="M821" i="3"/>
  <c r="M842" i="3"/>
  <c r="L855" i="3"/>
  <c r="M865" i="3"/>
  <c r="M872" i="3"/>
  <c r="L883" i="3"/>
  <c r="L904" i="3"/>
  <c r="L912" i="3"/>
  <c r="L920" i="3"/>
  <c r="M927" i="3"/>
  <c r="M932" i="3"/>
  <c r="M935" i="3"/>
  <c r="M951" i="3"/>
  <c r="M541" i="3"/>
  <c r="L547" i="3"/>
  <c r="L575" i="3"/>
  <c r="M650" i="3"/>
  <c r="L658" i="3"/>
  <c r="M748" i="3"/>
  <c r="L768" i="3"/>
  <c r="M807" i="3"/>
  <c r="M837" i="3"/>
  <c r="L847" i="3"/>
  <c r="M877" i="3"/>
  <c r="M885" i="3"/>
  <c r="M895" i="3"/>
  <c r="M901" i="3"/>
  <c r="L927" i="3"/>
  <c r="L935" i="3"/>
  <c r="M983" i="3"/>
  <c r="L455" i="3"/>
  <c r="L470" i="3"/>
  <c r="M486" i="3"/>
  <c r="M534" i="3"/>
  <c r="L541" i="3"/>
  <c r="M595" i="3"/>
  <c r="M597" i="3"/>
  <c r="M642" i="3"/>
  <c r="L650" i="3"/>
  <c r="M705" i="3"/>
  <c r="M723" i="3"/>
  <c r="M731" i="3"/>
  <c r="M736" i="3"/>
  <c r="L748" i="3"/>
  <c r="L760" i="3"/>
  <c r="M775" i="3"/>
  <c r="M831" i="3"/>
  <c r="M940" i="3"/>
  <c r="M943" i="3"/>
  <c r="M945" i="3"/>
  <c r="M948" i="3"/>
  <c r="M1007" i="3"/>
  <c r="M278" i="3"/>
  <c r="L281" i="3"/>
  <c r="L74" i="3"/>
  <c r="L82" i="3"/>
  <c r="L90" i="3"/>
  <c r="L98" i="3"/>
  <c r="L106" i="3"/>
  <c r="L114" i="3"/>
  <c r="L122" i="3"/>
  <c r="L129" i="3"/>
  <c r="L137" i="3"/>
  <c r="L145" i="3"/>
  <c r="L153" i="3"/>
  <c r="L161" i="3"/>
  <c r="L169" i="3"/>
  <c r="L177" i="3"/>
  <c r="L185" i="3"/>
  <c r="L249" i="3"/>
  <c r="L56" i="3"/>
  <c r="M192" i="3"/>
  <c r="L231" i="3"/>
  <c r="M256" i="3"/>
  <c r="M54" i="3"/>
  <c r="M73" i="3"/>
  <c r="M81" i="3"/>
  <c r="M89" i="3"/>
  <c r="M97" i="3"/>
  <c r="M105" i="3"/>
  <c r="M113" i="3"/>
  <c r="M121" i="3"/>
  <c r="M128" i="3"/>
  <c r="M136" i="3"/>
  <c r="M144" i="3"/>
  <c r="M152" i="3"/>
  <c r="M160" i="3"/>
  <c r="M168" i="3"/>
  <c r="M176" i="3"/>
  <c r="M184" i="3"/>
  <c r="L223" i="3"/>
  <c r="L233" i="3"/>
  <c r="M248" i="3"/>
  <c r="L215" i="3"/>
  <c r="L225" i="3"/>
  <c r="M240" i="3"/>
  <c r="L217" i="3"/>
  <c r="L263" i="3"/>
  <c r="L191" i="3"/>
  <c r="M216" i="3"/>
  <c r="L255" i="3"/>
  <c r="L427" i="3"/>
  <c r="M347" i="3"/>
  <c r="M355" i="3"/>
  <c r="M363" i="3"/>
  <c r="M371" i="3"/>
  <c r="M379" i="3"/>
  <c r="M268" i="3"/>
  <c r="L278" i="3"/>
  <c r="M308" i="3"/>
  <c r="M324" i="3"/>
  <c r="M341" i="3"/>
  <c r="M433" i="3"/>
  <c r="L474" i="3"/>
  <c r="M286" i="3"/>
  <c r="M298" i="3"/>
  <c r="M314" i="3"/>
  <c r="M330" i="3"/>
  <c r="L262" i="3"/>
  <c r="L272" i="3"/>
  <c r="M260" i="3"/>
  <c r="M294" i="3"/>
  <c r="M310" i="3"/>
  <c r="M326" i="3"/>
  <c r="M338" i="3"/>
  <c r="M398" i="3"/>
  <c r="L471" i="3"/>
  <c r="M284" i="3"/>
  <c r="M300" i="3"/>
  <c r="M316" i="3"/>
  <c r="M332" i="3"/>
  <c r="M395" i="3"/>
  <c r="L400" i="3"/>
  <c r="L413" i="3"/>
  <c r="L424" i="3"/>
  <c r="M462" i="3"/>
  <c r="L466" i="3"/>
  <c r="M504" i="3"/>
  <c r="L513" i="3"/>
  <c r="L521" i="3"/>
  <c r="L529" i="3"/>
  <c r="L537" i="3"/>
  <c r="L558" i="3"/>
  <c r="M571" i="3"/>
  <c r="M512" i="3"/>
  <c r="M520" i="3"/>
  <c r="M528" i="3"/>
  <c r="M536" i="3"/>
  <c r="M543" i="3"/>
  <c r="L566" i="3"/>
  <c r="L408" i="3"/>
  <c r="M430" i="3"/>
  <c r="L448" i="3"/>
  <c r="M477" i="3"/>
  <c r="L481" i="3"/>
  <c r="M621" i="3"/>
  <c r="M422" i="3"/>
  <c r="M454" i="3"/>
  <c r="L487" i="3"/>
  <c r="L591" i="3"/>
  <c r="L426" i="3"/>
  <c r="L410" i="3"/>
  <c r="L429" i="3"/>
  <c r="L450" i="3"/>
  <c r="L479" i="3"/>
  <c r="M488" i="3"/>
  <c r="L497" i="3"/>
  <c r="L542" i="3"/>
  <c r="M554" i="3"/>
  <c r="L564" i="3"/>
  <c r="L569" i="3"/>
  <c r="L577" i="3"/>
  <c r="L588" i="3"/>
  <c r="M745" i="3"/>
  <c r="M602" i="3"/>
  <c r="L627" i="3"/>
  <c r="L635" i="3"/>
  <c r="L643" i="3"/>
  <c r="L651" i="3"/>
  <c r="L659" i="3"/>
  <c r="L667" i="3"/>
  <c r="L674" i="3"/>
  <c r="L682" i="3"/>
  <c r="L690" i="3"/>
  <c r="L698" i="3"/>
  <c r="L706" i="3"/>
  <c r="L572" i="3"/>
  <c r="M586" i="3"/>
  <c r="L598" i="3"/>
  <c r="M618" i="3"/>
  <c r="L548" i="3"/>
  <c r="L553" i="3"/>
  <c r="M570" i="3"/>
  <c r="M578" i="3"/>
  <c r="L590" i="3"/>
  <c r="M628" i="3"/>
  <c r="M636" i="3"/>
  <c r="M644" i="3"/>
  <c r="L582" i="3"/>
  <c r="L601" i="3"/>
  <c r="M741" i="3"/>
  <c r="M724" i="3"/>
  <c r="M815" i="3"/>
  <c r="M856" i="3"/>
  <c r="M879" i="3"/>
  <c r="L968" i="3"/>
  <c r="M826" i="3"/>
  <c r="L843" i="3"/>
  <c r="L715" i="3"/>
  <c r="L742" i="3"/>
  <c r="L746" i="3"/>
  <c r="M713" i="3"/>
  <c r="M753" i="3"/>
  <c r="L754" i="3"/>
  <c r="L845" i="3"/>
  <c r="L718" i="3"/>
  <c r="L723" i="3"/>
  <c r="M740" i="3"/>
  <c r="L749" i="3"/>
  <c r="M844" i="3"/>
  <c r="L850" i="3"/>
  <c r="L891" i="3"/>
  <c r="L800" i="3"/>
  <c r="M822" i="3"/>
  <c r="L864" i="3"/>
  <c r="M886" i="3"/>
  <c r="M911" i="3"/>
  <c r="L944" i="3"/>
  <c r="M950" i="3"/>
  <c r="L976" i="3"/>
  <c r="L994" i="3"/>
  <c r="M1001" i="3"/>
  <c r="M993" i="3"/>
  <c r="L816" i="3"/>
  <c r="L880" i="3"/>
  <c r="L907" i="3"/>
  <c r="L978" i="3"/>
  <c r="L1024" i="3"/>
  <c r="L792" i="3"/>
  <c r="M814" i="3"/>
  <c r="L856" i="3"/>
  <c r="M878" i="3"/>
  <c r="M903" i="3"/>
  <c r="L936" i="3"/>
  <c r="L952" i="3"/>
  <c r="M977" i="3"/>
  <c r="L1016" i="3"/>
  <c r="L832" i="3"/>
  <c r="M854" i="3"/>
  <c r="L896" i="3"/>
  <c r="L910" i="3"/>
  <c r="L913" i="3"/>
  <c r="L923" i="3"/>
  <c r="L962" i="3"/>
  <c r="L1026" i="3"/>
  <c r="L872" i="3"/>
  <c r="L954" i="3"/>
  <c r="M961" i="3"/>
  <c r="L1000" i="3"/>
  <c r="L1018" i="3"/>
  <c r="M1025" i="3"/>
  <c r="M870" i="3"/>
  <c r="L928" i="3"/>
  <c r="M953" i="3"/>
  <c r="L992" i="3"/>
  <c r="M1017" i="3"/>
  <c r="F8" i="1"/>
  <c r="M8" i="1" s="1"/>
  <c r="F3" i="1"/>
  <c r="M3" i="1" s="1"/>
  <c r="F7" i="1"/>
  <c r="M7" i="1" s="1"/>
  <c r="F5" i="1"/>
  <c r="M5" i="1" s="1"/>
  <c r="F6" i="1"/>
  <c r="M6" i="1" s="1"/>
  <c r="F2" i="1"/>
  <c r="M2" i="1" s="1"/>
  <c r="F9" i="1"/>
  <c r="M9" i="1" s="1"/>
  <c r="F4" i="1"/>
  <c r="M4" i="1" s="1"/>
  <c r="F10" i="1"/>
  <c r="M10" i="1" s="1"/>
  <c r="F23" i="1"/>
  <c r="M23" i="1" s="1"/>
  <c r="F25" i="1"/>
  <c r="M25" i="1" s="1"/>
  <c r="F13" i="1"/>
  <c r="M13" i="1" s="1"/>
  <c r="F15" i="1"/>
  <c r="M15" i="1" s="1"/>
  <c r="F22" i="1"/>
  <c r="M22" i="1" s="1"/>
  <c r="F26" i="1"/>
  <c r="M26" i="1" s="1"/>
  <c r="F27" i="1"/>
  <c r="M27" i="1" s="1"/>
  <c r="F24" i="1"/>
  <c r="M24" i="1" s="1"/>
  <c r="F14" i="1"/>
  <c r="M14" i="1" s="1"/>
  <c r="F18" i="1"/>
  <c r="M18" i="1" s="1"/>
  <c r="F16" i="1"/>
  <c r="M16" i="1" s="1"/>
  <c r="F11" i="1"/>
  <c r="M11" i="1" s="1"/>
  <c r="F19" i="1"/>
  <c r="M19" i="1" s="1"/>
  <c r="F20" i="1"/>
  <c r="M20" i="1" s="1"/>
  <c r="F21" i="1"/>
  <c r="M21" i="1" s="1"/>
  <c r="F17" i="1"/>
  <c r="M17" i="1" s="1"/>
  <c r="F12" i="1"/>
  <c r="M12" i="1" s="1"/>
  <c r="F31" i="1"/>
  <c r="M31" i="1" s="1"/>
  <c r="F30" i="1"/>
  <c r="M30" i="1" s="1"/>
  <c r="F32" i="1"/>
  <c r="M32" i="1" s="1"/>
  <c r="F36" i="1"/>
  <c r="M36" i="1" s="1"/>
  <c r="F34" i="1"/>
  <c r="M34" i="1" s="1"/>
  <c r="F28" i="1"/>
  <c r="M28" i="1" s="1"/>
  <c r="F35" i="1"/>
  <c r="M35" i="1" s="1"/>
  <c r="F33" i="1"/>
  <c r="M33" i="1" s="1"/>
  <c r="F29" i="1"/>
  <c r="M29" i="1" s="1"/>
  <c r="F43" i="1"/>
  <c r="M43" i="1" s="1"/>
  <c r="F57" i="1"/>
  <c r="M57" i="1" s="1"/>
  <c r="F37" i="1"/>
  <c r="M37" i="1" s="1"/>
  <c r="F40" i="1"/>
  <c r="M40" i="1" s="1"/>
  <c r="F48" i="1"/>
  <c r="M48" i="1" s="1"/>
  <c r="F54" i="1"/>
  <c r="M54" i="1" s="1"/>
  <c r="F38" i="1"/>
  <c r="M38" i="1" s="1"/>
  <c r="F42" i="1"/>
  <c r="M42" i="1" s="1"/>
  <c r="F49" i="1"/>
  <c r="M49" i="1" s="1"/>
  <c r="F60" i="1"/>
  <c r="M60" i="1" s="1"/>
  <c r="F45" i="1"/>
  <c r="M45" i="1" s="1"/>
  <c r="F47" i="1"/>
  <c r="M47" i="1" s="1"/>
  <c r="F53" i="1"/>
  <c r="M53" i="1" s="1"/>
  <c r="F44" i="1"/>
  <c r="M44" i="1" s="1"/>
  <c r="F46" i="1"/>
  <c r="M46" i="1" s="1"/>
  <c r="F59" i="1"/>
  <c r="M59" i="1" s="1"/>
  <c r="F39" i="1"/>
  <c r="M39" i="1" s="1"/>
  <c r="F50" i="1"/>
  <c r="M50" i="1" s="1"/>
  <c r="F41" i="1"/>
  <c r="M41" i="1" s="1"/>
  <c r="F55" i="1"/>
  <c r="M55" i="1" s="1"/>
  <c r="F56" i="1"/>
  <c r="M56" i="1" s="1"/>
  <c r="F52" i="1"/>
  <c r="M52" i="1" s="1"/>
  <c r="F51" i="1"/>
  <c r="M51" i="1" s="1"/>
  <c r="F58" i="1"/>
  <c r="M58" i="1" s="1"/>
  <c r="F61" i="1"/>
  <c r="M61" i="1" s="1"/>
  <c r="F64" i="1"/>
  <c r="M64" i="1" s="1"/>
  <c r="F75" i="1"/>
  <c r="M75" i="1" s="1"/>
  <c r="F70" i="1"/>
  <c r="M70" i="1" s="1"/>
  <c r="F65" i="1"/>
  <c r="M65" i="1" s="1"/>
  <c r="F77" i="1"/>
  <c r="M77" i="1" s="1"/>
  <c r="F69" i="1"/>
  <c r="M69" i="1" s="1"/>
  <c r="F71" i="1"/>
  <c r="M71" i="1" s="1"/>
  <c r="F79" i="1"/>
  <c r="M79" i="1" s="1"/>
  <c r="F78" i="1"/>
  <c r="M78" i="1" s="1"/>
  <c r="F63" i="1"/>
  <c r="M63" i="1" s="1"/>
  <c r="F62" i="1"/>
  <c r="M62" i="1" s="1"/>
  <c r="F76" i="1"/>
  <c r="M76" i="1" s="1"/>
  <c r="F73" i="1"/>
  <c r="M73" i="1" s="1"/>
  <c r="F67" i="1"/>
  <c r="M67" i="1" s="1"/>
  <c r="F66" i="1"/>
  <c r="M66" i="1" s="1"/>
  <c r="F68" i="1"/>
  <c r="M68" i="1" s="1"/>
  <c r="F74" i="1"/>
  <c r="M74" i="1" s="1"/>
  <c r="F72" i="1"/>
  <c r="M72" i="1" s="1"/>
  <c r="F80" i="1"/>
  <c r="M80" i="1" s="1"/>
  <c r="F91" i="1"/>
  <c r="M91" i="1" s="1"/>
  <c r="F89" i="1"/>
  <c r="M89" i="1" s="1"/>
  <c r="F94" i="1"/>
  <c r="M94" i="1" s="1"/>
  <c r="F90" i="1"/>
  <c r="M90" i="1" s="1"/>
  <c r="F84" i="1"/>
  <c r="M84" i="1" s="1"/>
  <c r="F93" i="1"/>
  <c r="M93" i="1" s="1"/>
  <c r="F95" i="1"/>
  <c r="M95" i="1" s="1"/>
  <c r="F85" i="1"/>
  <c r="M85" i="1" s="1"/>
  <c r="F81" i="1"/>
  <c r="M81" i="1" s="1"/>
  <c r="F86" i="1"/>
  <c r="M86" i="1" s="1"/>
  <c r="F87" i="1"/>
  <c r="M87" i="1" s="1"/>
  <c r="F92" i="1"/>
  <c r="M92" i="1" s="1"/>
  <c r="F82" i="1"/>
  <c r="M82" i="1" s="1"/>
  <c r="F88" i="1"/>
  <c r="M88" i="1" s="1"/>
  <c r="F83" i="1"/>
  <c r="M83" i="1" s="1"/>
  <c r="F105" i="1"/>
  <c r="M105" i="1" s="1"/>
  <c r="F116" i="1"/>
  <c r="M116" i="1" s="1"/>
  <c r="F97" i="1"/>
  <c r="M97" i="1" s="1"/>
  <c r="F100" i="1"/>
  <c r="M100" i="1" s="1"/>
  <c r="F101" i="1"/>
  <c r="M101" i="1" s="1"/>
  <c r="F112" i="1"/>
  <c r="M112" i="1" s="1"/>
  <c r="F114" i="1"/>
  <c r="M114" i="1" s="1"/>
  <c r="F99" i="1"/>
  <c r="M99" i="1" s="1"/>
  <c r="F115" i="1"/>
  <c r="M115" i="1" s="1"/>
  <c r="F109" i="1"/>
  <c r="M109" i="1" s="1"/>
  <c r="F113" i="1"/>
  <c r="M113" i="1" s="1"/>
  <c r="F96" i="1"/>
  <c r="M96" i="1" s="1"/>
  <c r="F110" i="1"/>
  <c r="M110" i="1" s="1"/>
  <c r="F106" i="1"/>
  <c r="M106" i="1" s="1"/>
  <c r="F107" i="1"/>
  <c r="M107" i="1" s="1"/>
  <c r="F108" i="1"/>
  <c r="M108" i="1" s="1"/>
  <c r="F104" i="1"/>
  <c r="M104" i="1" s="1"/>
  <c r="F103" i="1"/>
  <c r="M103" i="1" s="1"/>
  <c r="F98" i="1"/>
  <c r="M98" i="1" s="1"/>
  <c r="F117" i="1"/>
  <c r="M117" i="1" s="1"/>
  <c r="F102" i="1"/>
  <c r="M102" i="1" s="1"/>
  <c r="F111" i="1"/>
  <c r="M111" i="1" s="1"/>
  <c r="F131" i="1"/>
  <c r="M131" i="1" s="1"/>
  <c r="F125" i="1"/>
  <c r="M125" i="1" s="1"/>
  <c r="F132" i="1"/>
  <c r="M132" i="1" s="1"/>
  <c r="F134" i="1"/>
  <c r="M134" i="1" s="1"/>
  <c r="F118" i="1"/>
  <c r="M118" i="1" s="1"/>
  <c r="F138" i="1"/>
  <c r="M138" i="1" s="1"/>
  <c r="F137" i="1"/>
  <c r="M137" i="1" s="1"/>
  <c r="F135" i="1"/>
  <c r="M135" i="1" s="1"/>
  <c r="F133" i="1"/>
  <c r="M133" i="1" s="1"/>
  <c r="F139" i="1"/>
  <c r="M139" i="1" s="1"/>
  <c r="F121" i="1"/>
  <c r="M121" i="1" s="1"/>
  <c r="F129" i="1"/>
  <c r="M129" i="1" s="1"/>
  <c r="F124" i="1"/>
  <c r="M124" i="1" s="1"/>
  <c r="F126" i="1"/>
  <c r="M126" i="1" s="1"/>
  <c r="F120" i="1"/>
  <c r="M120" i="1" s="1"/>
  <c r="F136" i="1"/>
  <c r="M136" i="1" s="1"/>
  <c r="F128" i="1"/>
  <c r="M128" i="1" s="1"/>
  <c r="F127" i="1"/>
  <c r="M127" i="1" s="1"/>
  <c r="F123" i="1"/>
  <c r="M123" i="1" s="1"/>
  <c r="F130" i="1"/>
  <c r="M130" i="1" s="1"/>
  <c r="F119" i="1"/>
  <c r="M119" i="1" s="1"/>
  <c r="F122" i="1"/>
  <c r="M122" i="1" s="1"/>
  <c r="F144" i="1"/>
  <c r="M144" i="1" s="1"/>
  <c r="F140" i="1"/>
  <c r="M140" i="1" s="1"/>
  <c r="F147" i="1"/>
  <c r="M147" i="1" s="1"/>
  <c r="F143" i="1"/>
  <c r="M143" i="1" s="1"/>
  <c r="F145" i="1"/>
  <c r="M145" i="1" s="1"/>
  <c r="F142" i="1"/>
  <c r="M142" i="1" s="1"/>
  <c r="F146" i="1"/>
  <c r="M146" i="1" s="1"/>
  <c r="F148" i="1"/>
  <c r="M148" i="1" s="1"/>
  <c r="F141" i="1"/>
  <c r="M141" i="1" s="1"/>
  <c r="F150" i="1"/>
  <c r="M150" i="1" s="1"/>
  <c r="F173" i="1"/>
  <c r="M173" i="1" s="1"/>
  <c r="F170" i="1"/>
  <c r="M170" i="1" s="1"/>
  <c r="F167" i="1"/>
  <c r="M167" i="1" s="1"/>
  <c r="F175" i="1"/>
  <c r="M175" i="1" s="1"/>
  <c r="F153" i="1"/>
  <c r="M153" i="1" s="1"/>
  <c r="F168" i="1"/>
  <c r="M168" i="1" s="1"/>
  <c r="F162" i="1"/>
  <c r="M162" i="1" s="1"/>
  <c r="F163" i="1"/>
  <c r="M163" i="1" s="1"/>
  <c r="F166" i="1"/>
  <c r="M166" i="1" s="1"/>
  <c r="F160" i="1"/>
  <c r="M160" i="1" s="1"/>
  <c r="F169" i="1"/>
  <c r="M169" i="1" s="1"/>
  <c r="F159" i="1"/>
  <c r="M159" i="1" s="1"/>
  <c r="F152" i="1"/>
  <c r="M152" i="1" s="1"/>
  <c r="F164" i="1"/>
  <c r="M164" i="1" s="1"/>
  <c r="F165" i="1"/>
  <c r="M165" i="1" s="1"/>
  <c r="F154" i="1"/>
  <c r="M154" i="1" s="1"/>
  <c r="F156" i="1"/>
  <c r="M156" i="1" s="1"/>
  <c r="F161" i="1"/>
  <c r="M161" i="1" s="1"/>
  <c r="F151" i="1"/>
  <c r="M151" i="1" s="1"/>
  <c r="F149" i="1"/>
  <c r="M149" i="1" s="1"/>
  <c r="F158" i="1"/>
  <c r="M158" i="1" s="1"/>
  <c r="F157" i="1"/>
  <c r="M157" i="1" s="1"/>
  <c r="F172" i="1"/>
  <c r="M172" i="1" s="1"/>
  <c r="F155" i="1"/>
  <c r="M155" i="1" s="1"/>
  <c r="F171" i="1"/>
  <c r="M171" i="1" s="1"/>
  <c r="F174" i="1"/>
  <c r="M174" i="1" s="1"/>
  <c r="F179" i="1"/>
  <c r="M179" i="1" s="1"/>
  <c r="F193" i="1"/>
  <c r="M193" i="1" s="1"/>
  <c r="F183" i="1"/>
  <c r="M183" i="1" s="1"/>
  <c r="F188" i="1"/>
  <c r="M188" i="1" s="1"/>
  <c r="F187" i="1"/>
  <c r="M187" i="1" s="1"/>
  <c r="F192" i="1"/>
  <c r="M192" i="1" s="1"/>
  <c r="F185" i="1"/>
  <c r="M185" i="1" s="1"/>
  <c r="F199" i="1"/>
  <c r="M199" i="1" s="1"/>
  <c r="F176" i="1"/>
  <c r="M176" i="1" s="1"/>
  <c r="F200" i="1"/>
  <c r="M200" i="1" s="1"/>
  <c r="F198" i="1"/>
  <c r="M198" i="1" s="1"/>
  <c r="F177" i="1"/>
  <c r="M177" i="1" s="1"/>
  <c r="F186" i="1"/>
  <c r="M186" i="1" s="1"/>
  <c r="F191" i="1"/>
  <c r="M191" i="1" s="1"/>
  <c r="F202" i="1"/>
  <c r="M202" i="1" s="1"/>
  <c r="F189" i="1"/>
  <c r="M189" i="1" s="1"/>
  <c r="F201" i="1"/>
  <c r="M201" i="1" s="1"/>
  <c r="F182" i="1"/>
  <c r="M182" i="1" s="1"/>
  <c r="F197" i="1"/>
  <c r="M197" i="1" s="1"/>
  <c r="F195" i="1"/>
  <c r="M195" i="1" s="1"/>
  <c r="F196" i="1"/>
  <c r="M196" i="1" s="1"/>
  <c r="F181" i="1"/>
  <c r="M181" i="1" s="1"/>
  <c r="F184" i="1"/>
  <c r="M184" i="1" s="1"/>
  <c r="F178" i="1"/>
  <c r="M178" i="1" s="1"/>
  <c r="F194" i="1"/>
  <c r="M194" i="1" s="1"/>
  <c r="F190" i="1"/>
  <c r="M190" i="1" s="1"/>
  <c r="F180" i="1"/>
  <c r="M180" i="1" s="1"/>
  <c r="F203" i="1"/>
  <c r="M203" i="1" s="1"/>
  <c r="F204" i="1"/>
  <c r="M204" i="1" s="1"/>
  <c r="F213" i="1"/>
  <c r="M213" i="1" s="1"/>
  <c r="F224" i="1"/>
  <c r="M224" i="1" s="1"/>
  <c r="F217" i="1"/>
  <c r="M217" i="1" s="1"/>
  <c r="F205" i="1"/>
  <c r="M205" i="1" s="1"/>
  <c r="F222" i="1"/>
  <c r="M222" i="1" s="1"/>
  <c r="F210" i="1"/>
  <c r="M210" i="1" s="1"/>
  <c r="F220" i="1"/>
  <c r="M220" i="1" s="1"/>
  <c r="F209" i="1"/>
  <c r="M209" i="1" s="1"/>
  <c r="F223" i="1"/>
  <c r="M223" i="1" s="1"/>
  <c r="F225" i="1"/>
  <c r="M225" i="1" s="1"/>
  <c r="F212" i="1"/>
  <c r="M212" i="1" s="1"/>
  <c r="F206" i="1"/>
  <c r="M206" i="1" s="1"/>
  <c r="F214" i="1"/>
  <c r="M214" i="1" s="1"/>
  <c r="F211" i="1"/>
  <c r="M211" i="1" s="1"/>
  <c r="F208" i="1"/>
  <c r="M208" i="1" s="1"/>
  <c r="F227" i="1"/>
  <c r="M227" i="1" s="1"/>
  <c r="F226" i="1"/>
  <c r="M226" i="1" s="1"/>
  <c r="F207" i="1"/>
  <c r="M207" i="1" s="1"/>
  <c r="F218" i="1"/>
  <c r="M218" i="1" s="1"/>
  <c r="F221" i="1"/>
  <c r="M221" i="1" s="1"/>
  <c r="F219" i="1"/>
  <c r="M219" i="1" s="1"/>
  <c r="F215" i="1"/>
  <c r="M215" i="1" s="1"/>
  <c r="F216" i="1"/>
  <c r="M216" i="1" s="1"/>
  <c r="F235" i="1"/>
  <c r="M235" i="1" s="1"/>
  <c r="F243" i="1"/>
  <c r="M243" i="1" s="1"/>
  <c r="F228" i="1"/>
  <c r="M228" i="1" s="1"/>
  <c r="F232" i="1"/>
  <c r="M232" i="1" s="1"/>
  <c r="F241" i="1"/>
  <c r="M241" i="1" s="1"/>
  <c r="F231" i="1"/>
  <c r="M231" i="1" s="1"/>
  <c r="F236" i="1"/>
  <c r="M236" i="1" s="1"/>
  <c r="F245" i="1"/>
  <c r="M245" i="1" s="1"/>
  <c r="F234" i="1"/>
  <c r="M234" i="1" s="1"/>
  <c r="F233" i="1"/>
  <c r="M233" i="1" s="1"/>
  <c r="F229" i="1"/>
  <c r="M229" i="1" s="1"/>
  <c r="F239" i="1"/>
  <c r="M239" i="1" s="1"/>
  <c r="F244" i="1"/>
  <c r="M244" i="1" s="1"/>
  <c r="F230" i="1"/>
  <c r="M230" i="1" s="1"/>
  <c r="F237" i="1"/>
  <c r="M237" i="1" s="1"/>
  <c r="F242" i="1"/>
  <c r="M242" i="1" s="1"/>
  <c r="F238" i="1"/>
  <c r="M238" i="1" s="1"/>
  <c r="F240" i="1"/>
  <c r="M240" i="1" s="1"/>
  <c r="F246" i="1"/>
  <c r="M246" i="1" s="1"/>
  <c r="F250" i="1"/>
  <c r="M250" i="1" s="1"/>
  <c r="F258" i="1"/>
  <c r="M258" i="1" s="1"/>
  <c r="F267" i="1"/>
  <c r="M267" i="1" s="1"/>
  <c r="F248" i="1"/>
  <c r="M248" i="1" s="1"/>
  <c r="F255" i="1"/>
  <c r="M255" i="1" s="1"/>
  <c r="F261" i="1"/>
  <c r="M261" i="1" s="1"/>
  <c r="F253" i="1"/>
  <c r="M253" i="1" s="1"/>
  <c r="F251" i="1"/>
  <c r="M251" i="1" s="1"/>
  <c r="F249" i="1"/>
  <c r="M249" i="1" s="1"/>
  <c r="F259" i="1"/>
  <c r="M259" i="1" s="1"/>
  <c r="F263" i="1"/>
  <c r="M263" i="1" s="1"/>
  <c r="F262" i="1"/>
  <c r="M262" i="1" s="1"/>
  <c r="F265" i="1"/>
  <c r="M265" i="1" s="1"/>
  <c r="F269" i="1"/>
  <c r="M269" i="1" s="1"/>
  <c r="F268" i="1"/>
  <c r="M268" i="1" s="1"/>
  <c r="F257" i="1"/>
  <c r="M257" i="1" s="1"/>
  <c r="F256" i="1"/>
  <c r="M256" i="1" s="1"/>
  <c r="F266" i="1"/>
  <c r="M266" i="1" s="1"/>
  <c r="F252" i="1"/>
  <c r="M252" i="1" s="1"/>
  <c r="F254" i="1"/>
  <c r="M254" i="1" s="1"/>
  <c r="F247" i="1"/>
  <c r="M247" i="1" s="1"/>
  <c r="F264" i="1"/>
  <c r="M264" i="1" s="1"/>
  <c r="F260" i="1"/>
  <c r="M260" i="1" s="1"/>
  <c r="F289" i="1"/>
  <c r="M289" i="1" s="1"/>
  <c r="F284" i="1"/>
  <c r="M284" i="1" s="1"/>
  <c r="F293" i="1"/>
  <c r="M293" i="1" s="1"/>
  <c r="F276" i="1"/>
  <c r="M276" i="1" s="1"/>
  <c r="F286" i="1"/>
  <c r="M286" i="1" s="1"/>
  <c r="F272" i="1"/>
  <c r="M272" i="1" s="1"/>
  <c r="F273" i="1"/>
  <c r="M273" i="1" s="1"/>
  <c r="F281" i="1"/>
  <c r="M281" i="1" s="1"/>
  <c r="F282" i="1"/>
  <c r="M282" i="1" s="1"/>
  <c r="F291" i="1"/>
  <c r="M291" i="1" s="1"/>
  <c r="F283" i="1"/>
  <c r="M283" i="1" s="1"/>
  <c r="F277" i="1"/>
  <c r="M277" i="1" s="1"/>
  <c r="F270" i="1"/>
  <c r="M270" i="1" s="1"/>
  <c r="F271" i="1"/>
  <c r="M271" i="1" s="1"/>
  <c r="F278" i="1"/>
  <c r="M278" i="1" s="1"/>
  <c r="F292" i="1"/>
  <c r="M292" i="1" s="1"/>
  <c r="F294" i="1"/>
  <c r="M294" i="1" s="1"/>
  <c r="F279" i="1"/>
  <c r="M279" i="1" s="1"/>
  <c r="F288" i="1"/>
  <c r="M288" i="1" s="1"/>
  <c r="F274" i="1"/>
  <c r="M274" i="1" s="1"/>
  <c r="F290" i="1"/>
  <c r="M290" i="1" s="1"/>
  <c r="F287" i="1"/>
  <c r="M287" i="1" s="1"/>
  <c r="F285" i="1"/>
  <c r="M285" i="1" s="1"/>
  <c r="F275" i="1"/>
  <c r="M275" i="1" s="1"/>
  <c r="F280" i="1"/>
  <c r="M280" i="1" s="1"/>
  <c r="F295" i="1"/>
  <c r="M295" i="1" s="1"/>
  <c r="F301" i="1"/>
  <c r="M301" i="1" s="1"/>
  <c r="F300" i="1"/>
  <c r="M300" i="1" s="1"/>
  <c r="F303" i="1"/>
  <c r="M303" i="1" s="1"/>
  <c r="F296" i="1"/>
  <c r="M296" i="1" s="1"/>
  <c r="F302" i="1"/>
  <c r="M302" i="1" s="1"/>
  <c r="F305" i="1"/>
  <c r="M305" i="1" s="1"/>
  <c r="F297" i="1"/>
  <c r="M297" i="1" s="1"/>
  <c r="F306" i="1"/>
  <c r="M306" i="1" s="1"/>
  <c r="F298" i="1"/>
  <c r="M298" i="1" s="1"/>
  <c r="F304" i="1"/>
  <c r="M304" i="1" s="1"/>
  <c r="F299" i="1"/>
  <c r="M299" i="1" s="1"/>
  <c r="F322" i="1"/>
  <c r="M322" i="1" s="1"/>
  <c r="F307" i="1"/>
  <c r="M307" i="1" s="1"/>
  <c r="F317" i="1"/>
  <c r="M317" i="1" s="1"/>
  <c r="F309" i="1"/>
  <c r="M309" i="1" s="1"/>
  <c r="F313" i="1"/>
  <c r="M313" i="1" s="1"/>
  <c r="F314" i="1"/>
  <c r="M314" i="1" s="1"/>
  <c r="F321" i="1"/>
  <c r="M321" i="1" s="1"/>
  <c r="F311" i="1"/>
  <c r="M311" i="1" s="1"/>
  <c r="F318" i="1"/>
  <c r="M318" i="1" s="1"/>
  <c r="F308" i="1"/>
  <c r="M308" i="1" s="1"/>
  <c r="F315" i="1"/>
  <c r="M315" i="1" s="1"/>
  <c r="F324" i="1"/>
  <c r="M324" i="1" s="1"/>
  <c r="F310" i="1"/>
  <c r="M310" i="1" s="1"/>
  <c r="F320" i="1"/>
  <c r="M320" i="1" s="1"/>
  <c r="F326" i="1"/>
  <c r="M326" i="1" s="1"/>
  <c r="F323" i="1"/>
  <c r="M323" i="1" s="1"/>
  <c r="F319" i="1"/>
  <c r="M319" i="1" s="1"/>
  <c r="F316" i="1"/>
  <c r="M316" i="1" s="1"/>
  <c r="F312" i="1"/>
  <c r="M312" i="1" s="1"/>
  <c r="F325" i="1"/>
  <c r="M325" i="1" s="1"/>
  <c r="F327" i="1"/>
  <c r="M327" i="1" s="1"/>
  <c r="F332" i="1"/>
  <c r="M332" i="1" s="1"/>
  <c r="F329" i="1"/>
  <c r="M329" i="1" s="1"/>
  <c r="F328" i="1"/>
  <c r="M328" i="1" s="1"/>
  <c r="F331" i="1"/>
  <c r="M331" i="1" s="1"/>
  <c r="F330" i="1"/>
  <c r="M330" i="1" s="1"/>
  <c r="F334" i="1"/>
  <c r="M334" i="1" s="1"/>
  <c r="F333" i="1"/>
  <c r="M333" i="1" s="1"/>
  <c r="F343" i="1"/>
  <c r="M343" i="1" s="1"/>
  <c r="F336" i="1"/>
  <c r="M336" i="1" s="1"/>
  <c r="F356" i="1"/>
  <c r="M356" i="1" s="1"/>
  <c r="F358" i="1"/>
  <c r="M358" i="1" s="1"/>
  <c r="F341" i="1"/>
  <c r="M341" i="1" s="1"/>
  <c r="F339" i="1"/>
  <c r="M339" i="1" s="1"/>
  <c r="F338" i="1"/>
  <c r="M338" i="1" s="1"/>
  <c r="F354" i="1"/>
  <c r="M354" i="1" s="1"/>
  <c r="F347" i="1"/>
  <c r="M347" i="1" s="1"/>
  <c r="F351" i="1"/>
  <c r="M351" i="1" s="1"/>
  <c r="F344" i="1"/>
  <c r="M344" i="1" s="1"/>
  <c r="F355" i="1"/>
  <c r="M355" i="1" s="1"/>
  <c r="F345" i="1"/>
  <c r="M345" i="1" s="1"/>
  <c r="F346" i="1"/>
  <c r="M346" i="1" s="1"/>
  <c r="F340" i="1"/>
  <c r="M340" i="1" s="1"/>
  <c r="F342" i="1"/>
  <c r="M342" i="1" s="1"/>
  <c r="F352" i="1"/>
  <c r="M352" i="1" s="1"/>
  <c r="F350" i="1"/>
  <c r="M350" i="1" s="1"/>
  <c r="F353" i="1"/>
  <c r="M353" i="1" s="1"/>
  <c r="F335" i="1"/>
  <c r="M335" i="1" s="1"/>
  <c r="F349" i="1"/>
  <c r="M349" i="1" s="1"/>
  <c r="F348" i="1"/>
  <c r="M348" i="1" s="1"/>
  <c r="F357" i="1"/>
  <c r="M357" i="1" s="1"/>
  <c r="F337" i="1"/>
  <c r="M337" i="1" s="1"/>
  <c r="F371" i="1"/>
  <c r="M371" i="1" s="1"/>
  <c r="F369" i="1"/>
  <c r="M369" i="1" s="1"/>
  <c r="F375" i="1"/>
  <c r="M375" i="1" s="1"/>
  <c r="F368" i="1"/>
  <c r="M368" i="1" s="1"/>
  <c r="F365" i="1"/>
  <c r="M365" i="1" s="1"/>
  <c r="F378" i="1"/>
  <c r="M378" i="1" s="1"/>
  <c r="F367" i="1"/>
  <c r="M367" i="1" s="1"/>
  <c r="F374" i="1"/>
  <c r="M374" i="1" s="1"/>
  <c r="F362" i="1"/>
  <c r="M362" i="1" s="1"/>
  <c r="F376" i="1"/>
  <c r="M376" i="1" s="1"/>
  <c r="F361" i="1"/>
  <c r="M361" i="1" s="1"/>
  <c r="F373" i="1"/>
  <c r="M373" i="1" s="1"/>
  <c r="F377" i="1"/>
  <c r="M377" i="1" s="1"/>
  <c r="F364" i="1"/>
  <c r="M364" i="1" s="1"/>
  <c r="F359" i="1"/>
  <c r="M359" i="1" s="1"/>
  <c r="F379" i="1"/>
  <c r="M379" i="1" s="1"/>
  <c r="F360" i="1"/>
  <c r="M360" i="1" s="1"/>
  <c r="F363" i="1"/>
  <c r="M363" i="1" s="1"/>
  <c r="F380" i="1"/>
  <c r="M380" i="1" s="1"/>
  <c r="F370" i="1"/>
  <c r="M370" i="1" s="1"/>
  <c r="F372" i="1"/>
  <c r="M372" i="1" s="1"/>
  <c r="F366" i="1"/>
  <c r="M366" i="1" s="1"/>
  <c r="F384" i="1"/>
  <c r="M384" i="1" s="1"/>
  <c r="F386" i="1"/>
  <c r="M386" i="1" s="1"/>
  <c r="F391" i="1"/>
  <c r="M391" i="1" s="1"/>
  <c r="F388" i="1"/>
  <c r="M388" i="1" s="1"/>
  <c r="F381" i="1"/>
  <c r="M381" i="1" s="1"/>
  <c r="F382" i="1"/>
  <c r="M382" i="1" s="1"/>
  <c r="F385" i="1"/>
  <c r="M385" i="1" s="1"/>
  <c r="F390" i="1"/>
  <c r="M390" i="1" s="1"/>
  <c r="F383" i="1"/>
  <c r="M383" i="1" s="1"/>
  <c r="F387" i="1"/>
  <c r="M387" i="1" s="1"/>
  <c r="F389" i="1"/>
  <c r="M389" i="1" s="1"/>
  <c r="J1010" i="3" l="1"/>
  <c r="M1010" i="3" s="1"/>
  <c r="J1159" i="3"/>
  <c r="M1159" i="3" s="1"/>
  <c r="J1157" i="3"/>
  <c r="M1157" i="3" s="1"/>
  <c r="J250" i="3"/>
  <c r="M250" i="3" s="1"/>
  <c r="J979" i="3"/>
  <c r="M979" i="3" s="1"/>
  <c r="J989" i="3"/>
  <c r="M989" i="3" s="1"/>
  <c r="J764" i="3"/>
  <c r="M764" i="3" s="1"/>
  <c r="J774" i="3"/>
  <c r="M774" i="3" s="1"/>
  <c r="J693" i="3"/>
  <c r="M693" i="3" s="1"/>
  <c r="J695" i="3"/>
  <c r="M695" i="3" s="1"/>
  <c r="K198" i="1" l="1"/>
  <c r="N198" i="1" s="1"/>
  <c r="K21" i="1" l="1"/>
  <c r="N21" i="1" s="1"/>
  <c r="K732" i="1"/>
  <c r="N732" i="1" s="1"/>
  <c r="K736" i="1"/>
  <c r="N736" i="1" s="1"/>
  <c r="K310" i="1"/>
  <c r="N310" i="1" s="1"/>
  <c r="K573" i="1"/>
  <c r="N573" i="1" s="1"/>
  <c r="K308" i="1"/>
  <c r="N308" i="1" s="1"/>
  <c r="K58" i="1"/>
  <c r="N58" i="1" s="1"/>
  <c r="K345" i="1"/>
  <c r="N345" i="1" s="1"/>
  <c r="K534" i="1"/>
  <c r="N534" i="1" s="1"/>
  <c r="K395" i="1"/>
  <c r="N395" i="1" s="1"/>
  <c r="K707" i="1"/>
  <c r="N707" i="1" s="1"/>
  <c r="K754" i="1"/>
  <c r="N754" i="1" s="1"/>
  <c r="K360" i="1"/>
  <c r="N360" i="1" s="1"/>
  <c r="K567" i="1"/>
  <c r="N567" i="1" s="1"/>
  <c r="K415" i="1"/>
  <c r="N415" i="1" s="1"/>
  <c r="K639" i="1"/>
  <c r="N639" i="1" s="1"/>
  <c r="K741" i="1"/>
  <c r="N741" i="1" s="1"/>
  <c r="K626" i="1"/>
  <c r="N626" i="1" s="1"/>
  <c r="K234" i="1"/>
  <c r="N234" i="1" s="1"/>
  <c r="K122" i="1"/>
  <c r="N122" i="1" s="1"/>
  <c r="K528" i="1"/>
  <c r="N528" i="1" s="1"/>
  <c r="K200" i="1"/>
  <c r="N200" i="1" s="1"/>
  <c r="K196" i="1"/>
  <c r="N196" i="1" s="1"/>
  <c r="K560" i="1"/>
  <c r="N560" i="1" s="1"/>
  <c r="K752" i="1"/>
  <c r="N752" i="1" s="1"/>
  <c r="K727" i="1"/>
  <c r="N727" i="1" s="1"/>
  <c r="K962" i="1"/>
  <c r="N962" i="1" s="1"/>
  <c r="K708" i="1"/>
  <c r="N708" i="1" s="1"/>
  <c r="K511" i="1"/>
  <c r="N511" i="1" s="1"/>
  <c r="K449" i="1"/>
  <c r="N449" i="1" s="1"/>
  <c r="K617" i="1"/>
  <c r="N617" i="1" s="1"/>
  <c r="K734" i="1"/>
  <c r="N734" i="1" s="1"/>
  <c r="K337" i="1"/>
  <c r="N337" i="1" s="1"/>
  <c r="K453" i="1"/>
  <c r="N453" i="1" s="1"/>
  <c r="K555" i="1"/>
  <c r="N555" i="1" s="1"/>
  <c r="K276" i="1"/>
  <c r="N276" i="1" s="1"/>
  <c r="K714" i="1"/>
  <c r="N714" i="1" s="1"/>
  <c r="K548" i="1"/>
  <c r="N548" i="1" s="1"/>
  <c r="K603" i="1"/>
  <c r="N603" i="1" s="1"/>
  <c r="K535" i="1"/>
  <c r="N535" i="1" s="1"/>
  <c r="K278" i="1"/>
  <c r="N278" i="1" s="1"/>
  <c r="K31" i="1"/>
  <c r="N31" i="1" s="1"/>
  <c r="K33" i="1"/>
  <c r="N33" i="1" s="1"/>
  <c r="K169" i="1"/>
  <c r="N169" i="1" s="1"/>
  <c r="K685" i="1"/>
  <c r="N685" i="1" s="1"/>
  <c r="K18" i="1"/>
  <c r="N18" i="1" s="1"/>
  <c r="K12" i="1"/>
  <c r="N12" i="1" s="1"/>
  <c r="K299" i="1"/>
  <c r="N299" i="1" s="1"/>
  <c r="K230" i="1"/>
  <c r="N230" i="1" s="1"/>
  <c r="K335" i="1"/>
  <c r="N335" i="1" s="1"/>
  <c r="K679" i="1"/>
  <c r="N679" i="1" s="1"/>
  <c r="K554" i="1"/>
  <c r="N554" i="1" s="1"/>
  <c r="K488" i="1"/>
  <c r="N488" i="1" s="1"/>
  <c r="K163" i="1"/>
  <c r="N163" i="1" s="1"/>
  <c r="K426" i="1"/>
  <c r="N426" i="1" s="1"/>
  <c r="K368" i="1"/>
  <c r="N368" i="1" s="1"/>
  <c r="K236" i="1"/>
  <c r="N236" i="1" s="1"/>
  <c r="K329" i="1"/>
  <c r="N329" i="1" s="1"/>
  <c r="K129" i="1"/>
  <c r="N129" i="1" s="1"/>
</calcChain>
</file>

<file path=xl/sharedStrings.xml><?xml version="1.0" encoding="utf-8"?>
<sst xmlns="http://schemas.openxmlformats.org/spreadsheetml/2006/main" count="22637" uniqueCount="2737">
  <si>
    <t>STD Name</t>
  </si>
  <si>
    <t>Batch Name</t>
  </si>
  <si>
    <t>Batch Measured Date</t>
  </si>
  <si>
    <t>Batch Measured Time</t>
  </si>
  <si>
    <t xml:space="preserve">D65 10 Deg     </t>
  </si>
  <si>
    <t xml:space="preserve">F11 10 Deg     </t>
  </si>
  <si>
    <t xml:space="preserve">Fail    </t>
  </si>
  <si>
    <t xml:space="preserve">more blue      </t>
  </si>
  <si>
    <t xml:space="preserve">Pass    </t>
  </si>
  <si>
    <t xml:space="preserve">more red       </t>
  </si>
  <si>
    <t xml:space="preserve">A 10 Deg       </t>
  </si>
  <si>
    <t xml:space="preserve">F02 10 Deg     </t>
  </si>
  <si>
    <t xml:space="preserve">more yellow    </t>
  </si>
  <si>
    <t xml:space="preserve">Warn    </t>
  </si>
  <si>
    <t xml:space="preserve">U3000 10 Deg   </t>
  </si>
  <si>
    <t xml:space="preserve">more green     </t>
  </si>
  <si>
    <t xml:space="preserve">LED-B2 10 Deg  </t>
  </si>
  <si>
    <t xml:space="preserve">LED-B3 10 Deg  </t>
  </si>
  <si>
    <t xml:space="preserve">U3500 10 Deg   </t>
  </si>
  <si>
    <t xml:space="preserve">Actual Quadrant </t>
  </si>
  <si>
    <t xml:space="preserve">Approval </t>
  </si>
  <si>
    <t xml:space="preserve">Point Range </t>
  </si>
  <si>
    <t xml:space="preserve">Quadrant </t>
  </si>
  <si>
    <t xml:space="preserve">Match </t>
  </si>
  <si>
    <t xml:space="preserve">Distance For Illuminant </t>
  </si>
  <si>
    <t xml:space="preserve">Within Range /Over Range </t>
  </si>
  <si>
    <t xml:space="preserve">Status </t>
  </si>
  <si>
    <t>FB260000734</t>
  </si>
  <si>
    <t>FB250028631</t>
  </si>
  <si>
    <t>FB260000508</t>
  </si>
  <si>
    <t>FB260000300</t>
  </si>
  <si>
    <t>FB260000171</t>
  </si>
  <si>
    <t>FB260000728</t>
  </si>
  <si>
    <t>FB250028604</t>
  </si>
  <si>
    <t>FB260000302</t>
  </si>
  <si>
    <t>FB260000347</t>
  </si>
  <si>
    <t>FB260000720</t>
  </si>
  <si>
    <t>FB260000729</t>
  </si>
  <si>
    <t>FB260000696</t>
  </si>
  <si>
    <t>FB250027479</t>
  </si>
  <si>
    <t>FB260000695</t>
  </si>
  <si>
    <t>FB250027502</t>
  </si>
  <si>
    <t>FB260000730</t>
  </si>
  <si>
    <t>FB260000735</t>
  </si>
  <si>
    <t>FB260000777</t>
  </si>
  <si>
    <t>FB260000733</t>
  </si>
  <si>
    <t>FB260000334</t>
  </si>
  <si>
    <t>FB250027991</t>
  </si>
  <si>
    <t>FB260000776</t>
  </si>
  <si>
    <t>FB260000174</t>
  </si>
  <si>
    <t>FB250028629</t>
  </si>
  <si>
    <t>FB260000732</t>
  </si>
  <si>
    <t>FB260000504</t>
  </si>
  <si>
    <t>FB260000512</t>
  </si>
  <si>
    <t>FB260000505</t>
  </si>
  <si>
    <t>FB260000169</t>
  </si>
  <si>
    <t>FB250028493</t>
  </si>
  <si>
    <t>FB260000305</t>
  </si>
  <si>
    <t>FB260000343</t>
  </si>
  <si>
    <t>FB250027504</t>
  </si>
  <si>
    <t>FB260000986</t>
  </si>
  <si>
    <t>FB260000736</t>
  </si>
  <si>
    <t>FB250027207</t>
  </si>
  <si>
    <t>FB250027751</t>
  </si>
  <si>
    <t>FB250026529</t>
  </si>
  <si>
    <t>FB250028644</t>
  </si>
  <si>
    <t>FB260000311</t>
  </si>
  <si>
    <t>FB250027503</t>
  </si>
  <si>
    <t>FB250026292</t>
  </si>
  <si>
    <t>FB260000731</t>
  </si>
  <si>
    <t>FB260000525</t>
  </si>
  <si>
    <t>FB260001033</t>
  </si>
  <si>
    <t>FB260000310</t>
  </si>
  <si>
    <t>FB250027226</t>
  </si>
  <si>
    <t>FB250027219</t>
  </si>
  <si>
    <t>FB250027247</t>
  </si>
  <si>
    <t>FB260000345</t>
  </si>
  <si>
    <t>FB250027752</t>
  </si>
  <si>
    <t>FB260000344</t>
  </si>
  <si>
    <t>FB260000510</t>
  </si>
  <si>
    <t>FB260000335</t>
  </si>
  <si>
    <t>FB250027225</t>
  </si>
  <si>
    <t>FB260000775</t>
  </si>
  <si>
    <t>FB260000980</t>
  </si>
  <si>
    <t>FB250028646</t>
  </si>
  <si>
    <t>FB260001055</t>
  </si>
  <si>
    <t>FB260001185</t>
  </si>
  <si>
    <t>FB250027232</t>
  </si>
  <si>
    <t>FB260000516</t>
  </si>
  <si>
    <t>FB260000774</t>
  </si>
  <si>
    <t>FB260001063</t>
  </si>
  <si>
    <t>FB260001183</t>
  </si>
  <si>
    <t>FB260001101</t>
  </si>
  <si>
    <t>FB250026527</t>
  </si>
  <si>
    <t>FB260001188</t>
  </si>
  <si>
    <t>FB260001099</t>
  </si>
  <si>
    <t>FB250024796</t>
  </si>
  <si>
    <t>FB260000765</t>
  </si>
  <si>
    <t>FB260001326</t>
  </si>
  <si>
    <t>FB260001337</t>
  </si>
  <si>
    <t>FB250026376</t>
  </si>
  <si>
    <t>FB250026369</t>
  </si>
  <si>
    <t>FB260000307</t>
  </si>
  <si>
    <t>FB260000511</t>
  </si>
  <si>
    <t>FB260000346</t>
  </si>
  <si>
    <t>FB260001339</t>
  </si>
  <si>
    <t>FB260001338</t>
  </si>
  <si>
    <t>FB260001335</t>
  </si>
  <si>
    <t>FB260000522</t>
  </si>
  <si>
    <t>FB250028088</t>
  </si>
  <si>
    <t>FB250028502</t>
  </si>
  <si>
    <t>FB260001061</t>
  </si>
  <si>
    <t>FB260000503</t>
  </si>
  <si>
    <t>FB260001336</t>
  </si>
  <si>
    <t>FB260001064</t>
  </si>
  <si>
    <t>FB260001189</t>
  </si>
  <si>
    <t>FB260001340</t>
  </si>
  <si>
    <t>FB250028003</t>
  </si>
  <si>
    <t>FB260001429</t>
  </si>
  <si>
    <t>FB260001498</t>
  </si>
  <si>
    <t>FB250028506</t>
  </si>
  <si>
    <t>FB260000690</t>
  </si>
  <si>
    <t>FB260001246</t>
  </si>
  <si>
    <t>FB260000253</t>
  </si>
  <si>
    <t>FB250026653</t>
  </si>
  <si>
    <t>FB250026650</t>
  </si>
  <si>
    <t>FB260001432</t>
  </si>
  <si>
    <t>FB250028492</t>
  </si>
  <si>
    <t>FB260001369</t>
  </si>
  <si>
    <t>FB260000698</t>
  </si>
  <si>
    <t>FB260001430</t>
  </si>
  <si>
    <t>FB260000693</t>
  </si>
  <si>
    <t>FB260001698</t>
  </si>
  <si>
    <t>FB260000332</t>
  </si>
  <si>
    <t>FB260001539</t>
  </si>
  <si>
    <t>FB260000719</t>
  </si>
  <si>
    <t>FB260000676</t>
  </si>
  <si>
    <t>FB260000677</t>
  </si>
  <si>
    <t>FB250027411</t>
  </si>
  <si>
    <t>FB260000718</t>
  </si>
  <si>
    <t>FB260000686</t>
  </si>
  <si>
    <t>FB260001541</t>
  </si>
  <si>
    <t>FB260000526</t>
  </si>
  <si>
    <t>FB260000675</t>
  </si>
  <si>
    <t>FB250027773</t>
  </si>
  <si>
    <t>FB260001542</t>
  </si>
  <si>
    <t>FB250028491</t>
  </si>
  <si>
    <t>FB260000291</t>
  </si>
  <si>
    <t>FB250027413</t>
  </si>
  <si>
    <t>FR260000019</t>
  </si>
  <si>
    <t>FB260001790</t>
  </si>
  <si>
    <t>FB250027774</t>
  </si>
  <si>
    <t>FB260000694</t>
  </si>
  <si>
    <t>FB260001898</t>
  </si>
  <si>
    <t>FB260001084</t>
  </si>
  <si>
    <t>FB260000769</t>
  </si>
  <si>
    <t>FB260001722</t>
  </si>
  <si>
    <t>FB250027507</t>
  </si>
  <si>
    <t>FB260001068</t>
  </si>
  <si>
    <t>FB260001077</t>
  </si>
  <si>
    <t>FB260001070</t>
  </si>
  <si>
    <t>FB260001089</t>
  </si>
  <si>
    <t>FB260001088</t>
  </si>
  <si>
    <t>FB260001703</t>
  </si>
  <si>
    <t>FB260001958</t>
  </si>
  <si>
    <t>FB260000760</t>
  </si>
  <si>
    <t>FB260001759</t>
  </si>
  <si>
    <t>FB260001689</t>
  </si>
  <si>
    <t>FB260000680</t>
  </si>
  <si>
    <t>FB260000688</t>
  </si>
  <si>
    <t>FB260001665</t>
  </si>
  <si>
    <t>FB260001431</t>
  </si>
  <si>
    <t>FB260000771</t>
  </si>
  <si>
    <t>FB260001076</t>
  </si>
  <si>
    <t>FB260001349</t>
  </si>
  <si>
    <t>FB260001069</t>
  </si>
  <si>
    <t>FB260001543</t>
  </si>
  <si>
    <t>FB260001062</t>
  </si>
  <si>
    <t>FB260001243</t>
  </si>
  <si>
    <t>FB250027771</t>
  </si>
  <si>
    <t>FB260001095</t>
  </si>
  <si>
    <t>FB260001512</t>
  </si>
  <si>
    <t>FB260001959</t>
  </si>
  <si>
    <t>FB260001353</t>
  </si>
  <si>
    <t>FB260001356</t>
  </si>
  <si>
    <t>FB260000717</t>
  </si>
  <si>
    <t>FB250028089</t>
  </si>
  <si>
    <t>FB260001354</t>
  </si>
  <si>
    <t>FB250027775</t>
  </si>
  <si>
    <t>FB260001191</t>
  </si>
  <si>
    <t>FB260000684</t>
  </si>
  <si>
    <t>FB260001900</t>
  </si>
  <si>
    <t>FB260001693</t>
  </si>
  <si>
    <t>FB260001510</t>
  </si>
  <si>
    <t>FB260001796</t>
  </si>
  <si>
    <t>FB260001091</t>
  </si>
  <si>
    <t>FB260000683</t>
  </si>
  <si>
    <t>FB260001049</t>
  </si>
  <si>
    <t>FB260001073</t>
  </si>
  <si>
    <t>FB250028655</t>
  </si>
  <si>
    <t>FB260001362</t>
  </si>
  <si>
    <t>FB260000716</t>
  </si>
  <si>
    <t>FB260001783</t>
  </si>
  <si>
    <t>FB260001067</t>
  </si>
  <si>
    <t>FB260000870</t>
  </si>
  <si>
    <t>FB260001217</t>
  </si>
  <si>
    <t>FB260001950</t>
  </si>
  <si>
    <t>FB260001508</t>
  </si>
  <si>
    <t>FB260001363</t>
  </si>
  <si>
    <t>FB260000761</t>
  </si>
  <si>
    <t>FB260001355</t>
  </si>
  <si>
    <t>FB260000767</t>
  </si>
  <si>
    <t>FB250027674</t>
  </si>
  <si>
    <t>FB250027772</t>
  </si>
  <si>
    <t>FB260001350</t>
  </si>
  <si>
    <t>FB260001723</t>
  </si>
  <si>
    <t>FB260000333</t>
  </si>
  <si>
    <t>FB260001214</t>
  </si>
  <si>
    <t>FB260001071</t>
  </si>
  <si>
    <t>FB260001514</t>
  </si>
  <si>
    <t>FB260001190</t>
  </si>
  <si>
    <t>FB260002154</t>
  </si>
  <si>
    <t>FB260001505</t>
  </si>
  <si>
    <t>FB260001254</t>
  </si>
  <si>
    <t>FB260002056</t>
  </si>
  <si>
    <t>FB260001229</t>
  </si>
  <si>
    <t>FB260001092</t>
  </si>
  <si>
    <t>FB260000296</t>
  </si>
  <si>
    <t>FB260000295</t>
  </si>
  <si>
    <t>FB260001348</t>
  </si>
  <si>
    <t>FB260000293</t>
  </si>
  <si>
    <t>FB260001364</t>
  </si>
  <si>
    <t>FB260000292</t>
  </si>
  <si>
    <t>FB260000780</t>
  </si>
  <si>
    <t>FB260002210</t>
  </si>
  <si>
    <t>FB260001138</t>
  </si>
  <si>
    <t>FB260000290</t>
  </si>
  <si>
    <t>FB260002209</t>
  </si>
  <si>
    <t>FB260001081</t>
  </si>
  <si>
    <t>FB260002153</t>
  </si>
  <si>
    <t>FB260000167</t>
  </si>
  <si>
    <t>FB260000246</t>
  </si>
  <si>
    <t>FB260001218</t>
  </si>
  <si>
    <t>FB260002285</t>
  </si>
  <si>
    <t>FB260002208</t>
  </si>
  <si>
    <t>FB250028489</t>
  </si>
  <si>
    <t>FB260001346</t>
  </si>
  <si>
    <t>FR260000024</t>
  </si>
  <si>
    <t>FB250024765</t>
  </si>
  <si>
    <t>FB250024764</t>
  </si>
  <si>
    <t>FB260001367</t>
  </si>
  <si>
    <t>FB260001274</t>
  </si>
  <si>
    <t>FB260001093</t>
  </si>
  <si>
    <t>FB260001347</t>
  </si>
  <si>
    <t>FB260001758</t>
  </si>
  <si>
    <t>FB260000297</t>
  </si>
  <si>
    <t>FB260002135</t>
  </si>
  <si>
    <t>FB260001080</t>
  </si>
  <si>
    <t>FB260001273</t>
  </si>
  <si>
    <t>FB260001245</t>
  </si>
  <si>
    <t>FB260002311</t>
  </si>
  <si>
    <t>FB260002430</t>
  </si>
  <si>
    <t>FB260001066</t>
  </si>
  <si>
    <t>FB260002312</t>
  </si>
  <si>
    <t>FB260002351</t>
  </si>
  <si>
    <t>FB260002215</t>
  </si>
  <si>
    <t>FB260001352</t>
  </si>
  <si>
    <t>FB260001728</t>
  </si>
  <si>
    <t>FB260002217</t>
  </si>
  <si>
    <t>FB260001530</t>
  </si>
  <si>
    <t>FB260002431</t>
  </si>
  <si>
    <t>FB260001343</t>
  </si>
  <si>
    <t>FB260001527</t>
  </si>
  <si>
    <t>FB260001517</t>
  </si>
  <si>
    <t>FB260001961</t>
  </si>
  <si>
    <t>FB260002300</t>
  </si>
  <si>
    <t>FB260000507</t>
  </si>
  <si>
    <t>FB260000763</t>
  </si>
  <si>
    <t>FB260002284</t>
  </si>
  <si>
    <t>FB260001137</t>
  </si>
  <si>
    <t>FB260001784</t>
  </si>
  <si>
    <t>FB260002413</t>
  </si>
  <si>
    <t>FB260001516</t>
  </si>
  <si>
    <t>FB260002638</t>
  </si>
  <si>
    <t>FB260002639</t>
  </si>
  <si>
    <t>FB260002138</t>
  </si>
  <si>
    <t>FB260000674</t>
  </si>
  <si>
    <t>FB260002349</t>
  </si>
  <si>
    <t>FB260001244</t>
  </si>
  <si>
    <t>FB260002640</t>
  </si>
  <si>
    <t>FB260001688</t>
  </si>
  <si>
    <t>FB260000331</t>
  </si>
  <si>
    <t>FB260002412</t>
  </si>
  <si>
    <t>FB260002330</t>
  </si>
  <si>
    <t>FB260002392</t>
  </si>
  <si>
    <t>FB260002168</t>
  </si>
  <si>
    <t>FB260002549</t>
  </si>
  <si>
    <t>FB260001368</t>
  </si>
  <si>
    <t>FB260002058</t>
  </si>
  <si>
    <t>FB260002432</t>
  </si>
  <si>
    <t>FB260001090</t>
  </si>
  <si>
    <t>FB260001799</t>
  </si>
  <si>
    <t>FB260001692</t>
  </si>
  <si>
    <t>FB260001907</t>
  </si>
  <si>
    <t>FB260001725</t>
  </si>
  <si>
    <t>FB260001691</t>
  </si>
  <si>
    <t>FB260001518</t>
  </si>
  <si>
    <t>FB260002539</t>
  </si>
  <si>
    <t>FB260002538</t>
  </si>
  <si>
    <t>FB260002348</t>
  </si>
  <si>
    <t>FB260002236</t>
  </si>
  <si>
    <t>FB250027673</t>
  </si>
  <si>
    <t>FB260001048</t>
  </si>
  <si>
    <t>FB260000762</t>
  </si>
  <si>
    <t>FB260002130</t>
  </si>
  <si>
    <t>FB260001094</t>
  </si>
  <si>
    <t>FR260000030</t>
  </si>
  <si>
    <t>FB260003153</t>
  </si>
  <si>
    <t>FB260002063</t>
  </si>
  <si>
    <t>FB260001136</t>
  </si>
  <si>
    <t>FB260000341</t>
  </si>
  <si>
    <t>FB260002371</t>
  </si>
  <si>
    <t>FB260001503</t>
  </si>
  <si>
    <t>FB260001344</t>
  </si>
  <si>
    <t>FB260001085</t>
  </si>
  <si>
    <t>FB260001949</t>
  </si>
  <si>
    <t>FB260002151</t>
  </si>
  <si>
    <t>FB260002144</t>
  </si>
  <si>
    <t>FB260000764</t>
  </si>
  <si>
    <t>FB260000672</t>
  </si>
  <si>
    <t>FB260002314</t>
  </si>
  <si>
    <t>FB260001087</t>
  </si>
  <si>
    <t>FB260001509</t>
  </si>
  <si>
    <t>FB260002142</t>
  </si>
  <si>
    <t>FB260002143</t>
  </si>
  <si>
    <t>FB260002722</t>
  </si>
  <si>
    <t>FB260001360</t>
  </si>
  <si>
    <t>FB260003387</t>
  </si>
  <si>
    <t>FB260003383</t>
  </si>
  <si>
    <t>FB260003183</t>
  </si>
  <si>
    <t>FB260002150</t>
  </si>
  <si>
    <t>FB260002148</t>
  </si>
  <si>
    <t>FB260001428</t>
  </si>
  <si>
    <t>FB260003182</t>
  </si>
  <si>
    <t>FB260000256</t>
  </si>
  <si>
    <t>FB260002317</t>
  </si>
  <si>
    <t>FB260001798</t>
  </si>
  <si>
    <t>FB260002757</t>
  </si>
  <si>
    <t>FB260001075</t>
  </si>
  <si>
    <t>FB260003212</t>
  </si>
  <si>
    <t>FB260002129</t>
  </si>
  <si>
    <t>FB260002164</t>
  </si>
  <si>
    <t>FB260002146</t>
  </si>
  <si>
    <t>FB250027672</t>
  </si>
  <si>
    <t>FB260001359</t>
  </si>
  <si>
    <t>FB260001097</t>
  </si>
  <si>
    <t>FB260002755</t>
  </si>
  <si>
    <t>FB260000257</t>
  </si>
  <si>
    <t>FB260001948</t>
  </si>
  <si>
    <t>FB260002754</t>
  </si>
  <si>
    <t>FB260001357</t>
  </si>
  <si>
    <t>FB260002511</t>
  </si>
  <si>
    <t>FB260002249</t>
  </si>
  <si>
    <t>FB260002108</t>
  </si>
  <si>
    <t>FB260002057</t>
  </si>
  <si>
    <t>FB260001096</t>
  </si>
  <si>
    <t>FB260001522</t>
  </si>
  <si>
    <t>FB260000723</t>
  </si>
  <si>
    <t>FB260003541</t>
  </si>
  <si>
    <t>FB260003540</t>
  </si>
  <si>
    <t>FB260002766</t>
  </si>
  <si>
    <t>FB260001083</t>
  </si>
  <si>
    <t>FB260003536</t>
  </si>
  <si>
    <t>FB260002137</t>
  </si>
  <si>
    <t>FB260002417</t>
  </si>
  <si>
    <t>FB260002251</t>
  </si>
  <si>
    <t>FB260003537</t>
  </si>
  <si>
    <t>FB260003472</t>
  </si>
  <si>
    <t>FB260002166</t>
  </si>
  <si>
    <t>FB260002136</t>
  </si>
  <si>
    <t>FB260002327</t>
  </si>
  <si>
    <t>FB260001726</t>
  </si>
  <si>
    <t>FB260002101</t>
  </si>
  <si>
    <t>FB260000726</t>
  </si>
  <si>
    <t>FB260002240</t>
  </si>
  <si>
    <t>FB260000725</t>
  </si>
  <si>
    <t>FB260003434</t>
  </si>
  <si>
    <t>FB260003675</t>
  </si>
  <si>
    <t>FB260000724</t>
  </si>
  <si>
    <t>FB260002219</t>
  </si>
  <si>
    <t>FB260002753</t>
  </si>
  <si>
    <t>FB260002730</t>
  </si>
  <si>
    <t>FB260002134</t>
  </si>
  <si>
    <t>FB250023753</t>
  </si>
  <si>
    <t>FB260002359</t>
  </si>
  <si>
    <t>FB25482421</t>
  </si>
  <si>
    <t>FB260002221</t>
  </si>
  <si>
    <t>FB260002256</t>
  </si>
  <si>
    <t>FB260003186</t>
  </si>
  <si>
    <t>FB260002671</t>
  </si>
  <si>
    <t>FB260002255</t>
  </si>
  <si>
    <t>FB260002408</t>
  </si>
  <si>
    <t>FB260003611</t>
  </si>
  <si>
    <t>FB260002323</t>
  </si>
  <si>
    <t>FB260001956</t>
  </si>
  <si>
    <t>FB260002222</t>
  </si>
  <si>
    <t>FB260001548</t>
  </si>
  <si>
    <t>FB260002316</t>
  </si>
  <si>
    <t>FB260000502</t>
  </si>
  <si>
    <t>FB260003200</t>
  </si>
  <si>
    <t>FB260002104</t>
  </si>
  <si>
    <t>FB260002270</t>
  </si>
  <si>
    <t>FB260002105</t>
  </si>
  <si>
    <t>FB260003126</t>
  </si>
  <si>
    <t>FB260002767</t>
  </si>
  <si>
    <t>FB260003202</t>
  </si>
  <si>
    <t>FB260002207</t>
  </si>
  <si>
    <t>FB260002273</t>
  </si>
  <si>
    <t>FB260003203</t>
  </si>
  <si>
    <t>FB260002322</t>
  </si>
  <si>
    <t>FB260002242</t>
  </si>
  <si>
    <t>FB260002740</t>
  </si>
  <si>
    <t>FB260002253</t>
  </si>
  <si>
    <t>FB260003159</t>
  </si>
  <si>
    <t>FB260002742</t>
  </si>
  <si>
    <t>FB260000727</t>
  </si>
  <si>
    <t>FB260002246</t>
  </si>
  <si>
    <t>FB260002745</t>
  </si>
  <si>
    <t>FB260002106</t>
  </si>
  <si>
    <t>FB260004241</t>
  </si>
  <si>
    <t>FB260003411</t>
  </si>
  <si>
    <t>FB260002258</t>
  </si>
  <si>
    <t>FB260002241</t>
  </si>
  <si>
    <t>FB260002230</t>
  </si>
  <si>
    <t>FB260002668</t>
  </si>
  <si>
    <t>FB260002670</t>
  </si>
  <si>
    <t>FB260002501</t>
  </si>
  <si>
    <t>FB260002224</t>
  </si>
  <si>
    <t>FB260003551</t>
  </si>
  <si>
    <t>FB260002248</t>
  </si>
  <si>
    <t>FB260000766</t>
  </si>
  <si>
    <t>FB260003204</t>
  </si>
  <si>
    <t>FB260003422</t>
  </si>
  <si>
    <t>FB260002274</t>
  </si>
  <si>
    <t>FB260003440</t>
  </si>
  <si>
    <t>FB260002676</t>
  </si>
  <si>
    <t>FB260002227</t>
  </si>
  <si>
    <t>FB260002669</t>
  </si>
  <si>
    <t>FB260002244</t>
  </si>
  <si>
    <t>FB260002319</t>
  </si>
  <si>
    <t>FB260003166</t>
  </si>
  <si>
    <t>FB260002229</t>
  </si>
  <si>
    <t>FB260003438</t>
  </si>
  <si>
    <t>FB260002265</t>
  </si>
  <si>
    <t>FB260002254</t>
  </si>
  <si>
    <t>FB260002500</t>
  </si>
  <si>
    <t>FB260002326</t>
  </si>
  <si>
    <t>FB260002245</t>
  </si>
  <si>
    <t>FB260002262</t>
  </si>
  <si>
    <t>FB260002502</t>
  </si>
  <si>
    <t>FB260002367</t>
  </si>
  <si>
    <t>FB260003419</t>
  </si>
  <si>
    <t>FB260003439</t>
  </si>
  <si>
    <t>FB260003215</t>
  </si>
  <si>
    <t>FB260003421</t>
  </si>
  <si>
    <t>FB260002520</t>
  </si>
  <si>
    <t>FB260002507</t>
  </si>
  <si>
    <t>FB260002266</t>
  </si>
  <si>
    <t>FB260003179</t>
  </si>
  <si>
    <t>FB260003444</t>
  </si>
  <si>
    <t>FB260002250</t>
  </si>
  <si>
    <t>FB260002521</t>
  </si>
  <si>
    <t>FB260002674</t>
  </si>
  <si>
    <t>FB260002369</t>
  </si>
  <si>
    <t>FB260002738</t>
  </si>
  <si>
    <t>FB260002728</t>
  </si>
  <si>
    <t>FB260002267</t>
  </si>
  <si>
    <t>FB260004332</t>
  </si>
  <si>
    <t>FB260003443</t>
  </si>
  <si>
    <t>FB260003668</t>
  </si>
  <si>
    <t>FB260002272</t>
  </si>
  <si>
    <t>FB260002368</t>
  </si>
  <si>
    <t>FB260002315</t>
  </si>
  <si>
    <t>FB260003154</t>
  </si>
  <si>
    <t>FB260003742</t>
  </si>
  <si>
    <t>FB260003999</t>
  </si>
  <si>
    <t>FB260003452</t>
  </si>
  <si>
    <t>FB260003121</t>
  </si>
  <si>
    <t>FB260002741</t>
  </si>
  <si>
    <t>FB260004000</t>
  </si>
  <si>
    <t>FB260002325</t>
  </si>
  <si>
    <t>FB260002675</t>
  </si>
  <si>
    <t>FB260003998</t>
  </si>
  <si>
    <t>FB260002372</t>
  </si>
  <si>
    <t>FR260000046</t>
  </si>
  <si>
    <t>FB260002356</t>
  </si>
  <si>
    <t>FB260002697</t>
  </si>
  <si>
    <t>FB260003120</t>
  </si>
  <si>
    <t>FB260003548</t>
  </si>
  <si>
    <t>FB260002505</t>
  </si>
  <si>
    <t>FB260001954</t>
  </si>
  <si>
    <t>FB260001520</t>
  </si>
  <si>
    <t>FB260003756</t>
  </si>
  <si>
    <t>FB260002373</t>
  </si>
  <si>
    <t>FB260003124</t>
  </si>
  <si>
    <t>FB260003161</t>
  </si>
  <si>
    <t>FB260002504</t>
  </si>
  <si>
    <t>FB260003165</t>
  </si>
  <si>
    <t>FB260002264</t>
  </si>
  <si>
    <t>FB260002497</t>
  </si>
  <si>
    <t>FB260002506</t>
  </si>
  <si>
    <t>FB260003157</t>
  </si>
  <si>
    <t>FB260004561</t>
  </si>
  <si>
    <t>FB260002247</t>
  </si>
  <si>
    <t>FB260003426</t>
  </si>
  <si>
    <t>FB260004444</t>
  </si>
  <si>
    <t>FB260002374</t>
  </si>
  <si>
    <t>FB260003158</t>
  </si>
  <si>
    <t>FB260003180</t>
  </si>
  <si>
    <t>FB260002496</t>
  </si>
  <si>
    <t>FB260003679</t>
  </si>
  <si>
    <t>FB260004267</t>
  </si>
  <si>
    <t>FB260004001</t>
  </si>
  <si>
    <t>FB260003437</t>
  </si>
  <si>
    <t>FB260003171</t>
  </si>
  <si>
    <t>FB260002748</t>
  </si>
  <si>
    <t>FB260004880</t>
  </si>
  <si>
    <t>FB260003550</t>
  </si>
  <si>
    <t>FB260003699</t>
  </si>
  <si>
    <t>FB260003698</t>
  </si>
  <si>
    <t>FB260001953</t>
  </si>
  <si>
    <t>FB260002366</t>
  </si>
  <si>
    <t>FB260003696</t>
  </si>
  <si>
    <t>FB260003697</t>
  </si>
  <si>
    <t>FB260003684</t>
  </si>
  <si>
    <t>FB260002681</t>
  </si>
  <si>
    <t>FB260003160</t>
  </si>
  <si>
    <t>FB260002749</t>
  </si>
  <si>
    <t>FB260002672</t>
  </si>
  <si>
    <t>FB260003700</t>
  </si>
  <si>
    <t>FB260003763</t>
  </si>
  <si>
    <t>FB260003687</t>
  </si>
  <si>
    <t>FB260004913</t>
  </si>
  <si>
    <t>FB260003425</t>
  </si>
  <si>
    <t>FB260003676</t>
  </si>
  <si>
    <t>FB260003671</t>
  </si>
  <si>
    <t>FB260004002</t>
  </si>
  <si>
    <t>FB260004017</t>
  </si>
  <si>
    <t>FB260003762</t>
  </si>
  <si>
    <t>FB260005149</t>
  </si>
  <si>
    <t>FB260004871</t>
  </si>
  <si>
    <t>FB260002243</t>
  </si>
  <si>
    <t>FB260003680</t>
  </si>
  <si>
    <t>FB260003760</t>
  </si>
  <si>
    <t>FB260002519</t>
  </si>
  <si>
    <t>FB260005235</t>
  </si>
  <si>
    <t>FB260003689</t>
  </si>
  <si>
    <t>FB260003429</t>
  </si>
  <si>
    <t>FR260000092</t>
  </si>
  <si>
    <t>FB260005078</t>
  </si>
  <si>
    <t>FB260003433</t>
  </si>
  <si>
    <t>FB260002679</t>
  </si>
  <si>
    <t>FB260002355</t>
  </si>
  <si>
    <t>FB260003156</t>
  </si>
  <si>
    <t>FB260003163</t>
  </si>
  <si>
    <t>FB260003695</t>
  </si>
  <si>
    <t>FB260002737</t>
  </si>
  <si>
    <t>FB260003128</t>
  </si>
  <si>
    <t>FB260003424</t>
  </si>
  <si>
    <t>FB260004433</t>
  </si>
  <si>
    <t>FB260002257</t>
  </si>
  <si>
    <t>FB260003761</t>
  </si>
  <si>
    <t>FB260003133</t>
  </si>
  <si>
    <t>FB260004882</t>
  </si>
  <si>
    <t>FB260003677</t>
  </si>
  <si>
    <t>FB260002673</t>
  </si>
  <si>
    <t>FB260003125</t>
  </si>
  <si>
    <t>FB260004885</t>
  </si>
  <si>
    <t>FB260004021</t>
  </si>
  <si>
    <t>FB260005581</t>
  </si>
  <si>
    <t>FB260004037</t>
  </si>
  <si>
    <t>FB260004026</t>
  </si>
  <si>
    <t>FB260004544</t>
  </si>
  <si>
    <t>FB260002522</t>
  </si>
  <si>
    <t>FB260002747</t>
  </si>
  <si>
    <t>FB260004876</t>
  </si>
  <si>
    <t>FB260003686</t>
  </si>
  <si>
    <t>FB260005582</t>
  </si>
  <si>
    <t>FB260004039</t>
  </si>
  <si>
    <t>FB260002678</t>
  </si>
  <si>
    <t>FB260004875</t>
  </si>
  <si>
    <t>FB260003414</t>
  </si>
  <si>
    <t>FB260005580</t>
  </si>
  <si>
    <t>FB260003127</t>
  </si>
  <si>
    <t>FB260005570</t>
  </si>
  <si>
    <t>FB260003670</t>
  </si>
  <si>
    <t>FB260004204</t>
  </si>
  <si>
    <t>FB260003705</t>
  </si>
  <si>
    <t>FB260004041</t>
  </si>
  <si>
    <t>FB260003681</t>
  </si>
  <si>
    <t>FB260003132</t>
  </si>
  <si>
    <t>FB260003170</t>
  </si>
  <si>
    <t>FB260004879</t>
  </si>
  <si>
    <t>FB260003164</t>
  </si>
  <si>
    <t>FB260003431</t>
  </si>
  <si>
    <t>FB260004402</t>
  </si>
  <si>
    <t>FB260003702</t>
  </si>
  <si>
    <t>FB260003169</t>
  </si>
  <si>
    <t>FB260004035</t>
  </si>
  <si>
    <t>FB260003683</t>
  </si>
  <si>
    <t>FB260004395</t>
  </si>
  <si>
    <t>FB260005716</t>
  </si>
  <si>
    <t>FB260005434</t>
  </si>
  <si>
    <t>FB260004036</t>
  </si>
  <si>
    <t>FB260004914</t>
  </si>
  <si>
    <t>FB260003688</t>
  </si>
  <si>
    <t>FB2600004192</t>
  </si>
  <si>
    <t>FB260004410</t>
  </si>
  <si>
    <t>FB260004266</t>
  </si>
  <si>
    <t>FB260002746</t>
  </si>
  <si>
    <t>FB260004193</t>
  </si>
  <si>
    <t>FB260005714</t>
  </si>
  <si>
    <t>FB260003430</t>
  </si>
  <si>
    <t>FB260005433</t>
  </si>
  <si>
    <t>FB260005269</t>
  </si>
  <si>
    <t>FB260004733</t>
  </si>
  <si>
    <t>FB260004734</t>
  </si>
  <si>
    <t>FB260003704</t>
  </si>
  <si>
    <t>FB260004874</t>
  </si>
  <si>
    <t>FB260004754</t>
  </si>
  <si>
    <t>FB260005657</t>
  </si>
  <si>
    <t>FB260005715</t>
  </si>
  <si>
    <t>FB260004249</t>
  </si>
  <si>
    <t>FB260004526</t>
  </si>
  <si>
    <t>FB260005270</t>
  </si>
  <si>
    <t>FB260004195</t>
  </si>
  <si>
    <t>FB260005075</t>
  </si>
  <si>
    <t>FB260004488</t>
  </si>
  <si>
    <t>FB260004884</t>
  </si>
  <si>
    <t>FB260003162</t>
  </si>
  <si>
    <t>FB260005428</t>
  </si>
  <si>
    <t>FB260003436</t>
  </si>
  <si>
    <t>FB260004909</t>
  </si>
  <si>
    <t>FB260005244</t>
  </si>
  <si>
    <t>FB260004040</t>
  </si>
  <si>
    <t>FB260004254</t>
  </si>
  <si>
    <t>FB260004537</t>
  </si>
  <si>
    <t>FB260005683</t>
  </si>
  <si>
    <t>FB260006103</t>
  </si>
  <si>
    <t>FB260004245</t>
  </si>
  <si>
    <t>FB260005227</t>
  </si>
  <si>
    <t>FB260004202</t>
  </si>
  <si>
    <t>FB260004479</t>
  </si>
  <si>
    <t>FB260004352</t>
  </si>
  <si>
    <t>FB260003690</t>
  </si>
  <si>
    <t>FB260004487</t>
  </si>
  <si>
    <t>FB260004529</t>
  </si>
  <si>
    <t>FB260004530</t>
  </si>
  <si>
    <t>FB260004401</t>
  </si>
  <si>
    <t>FB260004447</t>
  </si>
  <si>
    <t>FB260003757</t>
  </si>
  <si>
    <t>FB260004852</t>
  </si>
  <si>
    <t>FB260004542</t>
  </si>
  <si>
    <t>FB260004029</t>
  </si>
  <si>
    <t>FB260004910</t>
  </si>
  <si>
    <t>FB260005656</t>
  </si>
  <si>
    <t>FB260005066</t>
  </si>
  <si>
    <t>FB260004493</t>
  </si>
  <si>
    <t>FB260005238</t>
  </si>
  <si>
    <t>FB260005072</t>
  </si>
  <si>
    <t>FB260005048</t>
  </si>
  <si>
    <t>FB260004538</t>
  </si>
  <si>
    <t>FB260004492</t>
  </si>
  <si>
    <t>FB260005271</t>
  </si>
  <si>
    <t>FB260004032</t>
  </si>
  <si>
    <t>FB260004251</t>
  </si>
  <si>
    <t>FB260004979</t>
  </si>
  <si>
    <t>FB260005073</t>
  </si>
  <si>
    <t>FB260004232</t>
  </si>
  <si>
    <t>FB260004398</t>
  </si>
  <si>
    <t>FB260005051</t>
  </si>
  <si>
    <t>FR260000136</t>
  </si>
  <si>
    <t>FB260004849</t>
  </si>
  <si>
    <t>FB260004912</t>
  </si>
  <si>
    <t>FB260005071</t>
  </si>
  <si>
    <t>FB260004756</t>
  </si>
  <si>
    <t>FB260003691</t>
  </si>
  <si>
    <t>FB260004854</t>
  </si>
  <si>
    <t>FB260005874</t>
  </si>
  <si>
    <t>FB260004244</t>
  </si>
  <si>
    <t>FB260005053</t>
  </si>
  <si>
    <t>FB260004397</t>
  </si>
  <si>
    <t>FB260005076</t>
  </si>
  <si>
    <t>FB260004755</t>
  </si>
  <si>
    <t>FB260005077</t>
  </si>
  <si>
    <t>FB260005064</t>
  </si>
  <si>
    <t>FB260005059</t>
  </si>
  <si>
    <t>FB260005584</t>
  </si>
  <si>
    <t>FB260003692</t>
  </si>
  <si>
    <t>FB260004396</t>
  </si>
  <si>
    <t>FB260005571</t>
  </si>
  <si>
    <t>FB260004975</t>
  </si>
  <si>
    <t>FB260004490</t>
  </si>
  <si>
    <t>FB260005655</t>
  </si>
  <si>
    <t>FB260004911</t>
  </si>
  <si>
    <t>FB260005057</t>
  </si>
  <si>
    <t>FB260006261</t>
  </si>
  <si>
    <t>FB260006252</t>
  </si>
  <si>
    <t>FB260004042</t>
  </si>
  <si>
    <t>FB260004033</t>
  </si>
  <si>
    <t>FB260005572</t>
  </si>
  <si>
    <t>FB260005422</t>
  </si>
  <si>
    <t>FB260006259</t>
  </si>
  <si>
    <t>FB260004540</t>
  </si>
  <si>
    <t>FB260004497</t>
  </si>
  <si>
    <t>FB260005429</t>
  </si>
  <si>
    <t>FB260006263</t>
  </si>
  <si>
    <t>Illuminant</t>
  </si>
  <si>
    <t>Illuminant 1</t>
  </si>
  <si>
    <t>Illuminant 2</t>
  </si>
  <si>
    <t xml:space="preserve">Dye Type </t>
  </si>
  <si>
    <t>Exhaust</t>
  </si>
  <si>
    <t xml:space="preserve"> L</t>
  </si>
  <si>
    <t>a</t>
  </si>
  <si>
    <t>b</t>
  </si>
  <si>
    <t xml:space="preserve"> DL</t>
  </si>
  <si>
    <t xml:space="preserve"> Da</t>
  </si>
  <si>
    <t xml:space="preserve"> Db</t>
  </si>
  <si>
    <t>DC</t>
  </si>
  <si>
    <t xml:space="preserve"> DH</t>
  </si>
  <si>
    <t xml:space="preserve"> DE</t>
  </si>
  <si>
    <t>Decision</t>
  </si>
  <si>
    <t>Comment</t>
  </si>
  <si>
    <t>Illuminant Status</t>
  </si>
  <si>
    <t>FB260006254</t>
  </si>
  <si>
    <t>FB260005200</t>
  </si>
  <si>
    <t>FB260006255</t>
  </si>
  <si>
    <t>FB260006258</t>
  </si>
  <si>
    <t>FB260004477</t>
  </si>
  <si>
    <t>FB260005583</t>
  </si>
  <si>
    <t>FB260004536</t>
  </si>
  <si>
    <t>FB260006257</t>
  </si>
  <si>
    <t>FB260005074</t>
  </si>
  <si>
    <t>FB260004491</t>
  </si>
  <si>
    <t>FB260005982</t>
  </si>
  <si>
    <t>FB260006256</t>
  </si>
  <si>
    <t>FB260004250</t>
  </si>
  <si>
    <t>FR260000142</t>
  </si>
  <si>
    <t>FB260004851</t>
  </si>
  <si>
    <t>FB260005786</t>
  </si>
  <si>
    <t>FB260005204</t>
  </si>
  <si>
    <t>FB260004528</t>
  </si>
  <si>
    <t>FB260005688</t>
  </si>
  <si>
    <t>FB260006262</t>
  </si>
  <si>
    <t>FB260005775</t>
  </si>
  <si>
    <t>FR260000143</t>
  </si>
  <si>
    <t>FB260005780</t>
  </si>
  <si>
    <t>FB260006102</t>
  </si>
  <si>
    <t>FB260004548</t>
  </si>
  <si>
    <t>FB260005431</t>
  </si>
  <si>
    <t>FB260004499</t>
  </si>
  <si>
    <t>FB260005972</t>
  </si>
  <si>
    <t>FB260005797</t>
  </si>
  <si>
    <t>FB260006637</t>
  </si>
  <si>
    <t>FB260005878</t>
  </si>
  <si>
    <t>FB260005884</t>
  </si>
  <si>
    <t>FB260005591</t>
  </si>
  <si>
    <t>FB260006126</t>
  </si>
  <si>
    <t>FB260005880</t>
  </si>
  <si>
    <t>FB260004541</t>
  </si>
  <si>
    <t>FB260005065</t>
  </si>
  <si>
    <t>FB260005595</t>
  </si>
  <si>
    <t>FB260004370</t>
  </si>
  <si>
    <t>FB260000329</t>
  </si>
  <si>
    <t>FB260005427</t>
  </si>
  <si>
    <t>FB260005203</t>
  </si>
  <si>
    <t>FB260004848</t>
  </si>
  <si>
    <t>FB260006773</t>
  </si>
  <si>
    <t>FB260005052</t>
  </si>
  <si>
    <t>FB260005799</t>
  </si>
  <si>
    <t>FB260005872</t>
  </si>
  <si>
    <t>FB260005791</t>
  </si>
  <si>
    <t>FB260005421</t>
  </si>
  <si>
    <t>FB260006455</t>
  </si>
  <si>
    <t>FR260000158</t>
  </si>
  <si>
    <t>FB260006649</t>
  </si>
  <si>
    <t>FB260005067</t>
  </si>
  <si>
    <t>FB260006304</t>
  </si>
  <si>
    <t>FB260006319</t>
  </si>
  <si>
    <t>FB260000330</t>
  </si>
  <si>
    <t>FB260005794</t>
  </si>
  <si>
    <t>FB260006176</t>
  </si>
  <si>
    <t>FB260005593</t>
  </si>
  <si>
    <t>FB260006133</t>
  </si>
  <si>
    <t>FB260006652</t>
  </si>
  <si>
    <t>FB260006308</t>
  </si>
  <si>
    <t>FB260006952</t>
  </si>
  <si>
    <t>FB260006654</t>
  </si>
  <si>
    <t>FB260007096</t>
  </si>
  <si>
    <t>FB260006120</t>
  </si>
  <si>
    <t>FB260005432</t>
  </si>
  <si>
    <t>FB260005868</t>
  </si>
  <si>
    <t>FB260006264</t>
  </si>
  <si>
    <t>FB260005987</t>
  </si>
  <si>
    <t>FB260004860</t>
  </si>
  <si>
    <t>FB260006267</t>
  </si>
  <si>
    <t>FB260004862</t>
  </si>
  <si>
    <t>FB260005055</t>
  </si>
  <si>
    <t>FB260006266</t>
  </si>
  <si>
    <t>FB260005653</t>
  </si>
  <si>
    <t>FB260006137</t>
  </si>
  <si>
    <t>FB250029102</t>
  </si>
  <si>
    <t>FB260005777</t>
  </si>
  <si>
    <t>FB260005225</t>
  </si>
  <si>
    <t>FB260005273</t>
  </si>
  <si>
    <t>FB260005649</t>
  </si>
  <si>
    <t>FB260005068</t>
  </si>
  <si>
    <t>FB260004857</t>
  </si>
  <si>
    <t>FB260004038</t>
  </si>
  <si>
    <t>FB260005417</t>
  </si>
  <si>
    <t>FB260005648</t>
  </si>
  <si>
    <t>FB260004269</t>
  </si>
  <si>
    <t>FB260005061</t>
  </si>
  <si>
    <t>FB260004501</t>
  </si>
  <si>
    <t>FB260004539</t>
  </si>
  <si>
    <t>FB260004252</t>
  </si>
  <si>
    <t>FB260005977</t>
  </si>
  <si>
    <t>FB260005060</t>
  </si>
  <si>
    <t>FB260004859</t>
  </si>
  <si>
    <t>FB260004403</t>
  </si>
  <si>
    <t>FB260005070</t>
  </si>
  <si>
    <t>FB260004400</t>
  </si>
  <si>
    <t>FB260004861</t>
  </si>
  <si>
    <t>FB260004201</t>
  </si>
  <si>
    <t>FB260005988</t>
  </si>
  <si>
    <t>FB260004495</t>
  </si>
  <si>
    <t>FB260004369</t>
  </si>
  <si>
    <t>FB260006282</t>
  </si>
  <si>
    <t>FB260006168</t>
  </si>
  <si>
    <t>FB260005885</t>
  </si>
  <si>
    <t>FB260006638</t>
  </si>
  <si>
    <t>FB260004419</t>
  </si>
  <si>
    <t>FB260005978</t>
  </si>
  <si>
    <t>FB260006124</t>
  </si>
  <si>
    <t>FB260005686</t>
  </si>
  <si>
    <t>FB260005589</t>
  </si>
  <si>
    <t>FB260004376</t>
  </si>
  <si>
    <t>FB260005879</t>
  </si>
  <si>
    <t>FB260006260</t>
  </si>
  <si>
    <t>FB260006170</t>
  </si>
  <si>
    <t>FB260006321</t>
  </si>
  <si>
    <t>FB260006753</t>
  </si>
  <si>
    <t>FB260004377</t>
  </si>
  <si>
    <t>FB260006123</t>
  </si>
  <si>
    <t>FB260005062</t>
  </si>
  <si>
    <t>FB260004850</t>
  </si>
  <si>
    <t>FB260005687</t>
  </si>
  <si>
    <t>FB260005587</t>
  </si>
  <si>
    <t>FB260005976</t>
  </si>
  <si>
    <t>FB260005050</t>
  </si>
  <si>
    <t>FB260006226</t>
  </si>
  <si>
    <t>FB260004237</t>
  </si>
  <si>
    <t>FB260006227</t>
  </si>
  <si>
    <t>FB260006166</t>
  </si>
  <si>
    <t>FB260004371</t>
  </si>
  <si>
    <t>FB260005435</t>
  </si>
  <si>
    <t>FB260005790</t>
  </si>
  <si>
    <t>FB260004527</t>
  </si>
  <si>
    <t>FB260006132</t>
  </si>
  <si>
    <t>FB260006127</t>
  </si>
  <si>
    <t>FB260004500</t>
  </si>
  <si>
    <t>FB260004886</t>
  </si>
  <si>
    <t>FB260004373</t>
  </si>
  <si>
    <t>FB260005981</t>
  </si>
  <si>
    <t>FB260005796</t>
  </si>
  <si>
    <t>FB260004481</t>
  </si>
  <si>
    <t>FB260005802</t>
  </si>
  <si>
    <t>FB260006316</t>
  </si>
  <si>
    <t>FB260005788</t>
  </si>
  <si>
    <t>FB260005980</t>
  </si>
  <si>
    <t>FB260004414</t>
  </si>
  <si>
    <t>FB260006218</t>
  </si>
  <si>
    <t>FB260005779</t>
  </si>
  <si>
    <t>FB260006169</t>
  </si>
  <si>
    <t>FB260005590</t>
  </si>
  <si>
    <t>FB260006283</t>
  </si>
  <si>
    <t>FB260006323</t>
  </si>
  <si>
    <t>FB260005800</t>
  </si>
  <si>
    <t>FB260004494</t>
  </si>
  <si>
    <t>FB260005817</t>
  </si>
  <si>
    <t>FB260006115</t>
  </si>
  <si>
    <t>FB260006217</t>
  </si>
  <si>
    <t>FB260006121</t>
  </si>
  <si>
    <t>FB260005873</t>
  </si>
  <si>
    <t>FB260005881</t>
  </si>
  <si>
    <t>FB260005974</t>
  </si>
  <si>
    <t>FB260004445</t>
  </si>
  <si>
    <t>FB260005871</t>
  </si>
  <si>
    <t>FB260006307</t>
  </si>
  <si>
    <t>FB260006135</t>
  </si>
  <si>
    <t>FB260007123</t>
  </si>
  <si>
    <t>FB260005883</t>
  </si>
  <si>
    <t>FB260005877</t>
  </si>
  <si>
    <t>FB260005781</t>
  </si>
  <si>
    <t>FB260007098</t>
  </si>
  <si>
    <t>FB260005783</t>
  </si>
  <si>
    <t>FB260006138</t>
  </si>
  <si>
    <t>FB260006317</t>
  </si>
  <si>
    <t>FB260006233</t>
  </si>
  <si>
    <t>FB260006306</t>
  </si>
  <si>
    <t>FB260006122</t>
  </si>
  <si>
    <t>FB260006142</t>
  </si>
  <si>
    <t>FB260006242</t>
  </si>
  <si>
    <t>FB260006742</t>
  </si>
  <si>
    <t>FB260005776</t>
  </si>
  <si>
    <t>FB260006210</t>
  </si>
  <si>
    <t>FB260006518</t>
  </si>
  <si>
    <t>FB260006139</t>
  </si>
  <si>
    <t>FB260005795</t>
  </si>
  <si>
    <t>FB260005787</t>
  </si>
  <si>
    <t>FB260006247</t>
  </si>
  <si>
    <t>FB260006648</t>
  </si>
  <si>
    <t>FB260006520</t>
  </si>
  <si>
    <t>FB260006657</t>
  </si>
  <si>
    <t>FB260007041</t>
  </si>
  <si>
    <t>FB260006793</t>
  </si>
  <si>
    <t>FB260006219</t>
  </si>
  <si>
    <t>FB260006212</t>
  </si>
  <si>
    <t>FB260006740</t>
  </si>
  <si>
    <t>FB260005985</t>
  </si>
  <si>
    <t>FB260006743</t>
  </si>
  <si>
    <t>FB260005594</t>
  </si>
  <si>
    <t>FB260006248</t>
  </si>
  <si>
    <t>FB260006464</t>
  </si>
  <si>
    <t>FB260006958</t>
  </si>
  <si>
    <t>FB260006465</t>
  </si>
  <si>
    <t>FB260006128</t>
  </si>
  <si>
    <t>FB260004522</t>
  </si>
  <si>
    <t>FB260005049</t>
  </si>
  <si>
    <t>FB260006136</t>
  </si>
  <si>
    <t>FB260006960</t>
  </si>
  <si>
    <t>FB260007097</t>
  </si>
  <si>
    <t>FB260006220</t>
  </si>
  <si>
    <t>FB260006797</t>
  </si>
  <si>
    <t>FB260005984</t>
  </si>
  <si>
    <t>FB260006953</t>
  </si>
  <si>
    <t>FB260006746</t>
  </si>
  <si>
    <t>FB260006664</t>
  </si>
  <si>
    <t>FB260006117</t>
  </si>
  <si>
    <t>FB260006224</t>
  </si>
  <si>
    <t>FB260000342</t>
  </si>
  <si>
    <t>FB250027315</t>
  </si>
  <si>
    <t>FB250028472</t>
  </si>
  <si>
    <t>FB250028321</t>
  </si>
  <si>
    <t>FB250027299</t>
  </si>
  <si>
    <t>FB250028565</t>
  </si>
  <si>
    <t>FB260000306</t>
  </si>
  <si>
    <t>FB260000328</t>
  </si>
  <si>
    <t>FB260000339</t>
  </si>
  <si>
    <t>FB250028487</t>
  </si>
  <si>
    <t>FB260001370</t>
  </si>
  <si>
    <t>FB260001500</t>
  </si>
  <si>
    <t>FB250028503</t>
  </si>
  <si>
    <t>FB260000165</t>
  </si>
  <si>
    <t>FB260000513</t>
  </si>
  <si>
    <t>FB260001699</t>
  </si>
  <si>
    <t>FB250028490</t>
  </si>
  <si>
    <t>FB260001697</t>
  </si>
  <si>
    <t>FB260001951</t>
  </si>
  <si>
    <t>FB260002734</t>
  </si>
  <si>
    <t>FB260000673</t>
  </si>
  <si>
    <t>FB260004525</t>
  </si>
  <si>
    <t>FB260004409</t>
  </si>
  <si>
    <t>FB260005805</t>
  </si>
  <si>
    <t>FB260005586</t>
  </si>
  <si>
    <t>FB260006320</t>
  </si>
  <si>
    <t>FB260006209</t>
  </si>
  <si>
    <t>FB260006650</t>
  </si>
  <si>
    <t>FB260005801</t>
  </si>
  <si>
    <t>FB260006486</t>
  </si>
  <si>
    <t>FB260006747</t>
  </si>
  <si>
    <t>FB260006119</t>
  </si>
  <si>
    <t>FB260007232</t>
  </si>
  <si>
    <t>FB260006144</t>
  </si>
  <si>
    <t>FB260006744</t>
  </si>
  <si>
    <t>FB260006208</t>
  </si>
  <si>
    <t>FB260007274</t>
  </si>
  <si>
    <t>FB260005804</t>
  </si>
  <si>
    <t>FB260006795</t>
  </si>
  <si>
    <t>FB260006164</t>
  </si>
  <si>
    <t>FB260006223</t>
  </si>
  <si>
    <t>FB260006225</t>
  </si>
  <si>
    <t>FB260007092</t>
  </si>
  <si>
    <t>FB260006171</t>
  </si>
  <si>
    <t>FB260006908</t>
  </si>
  <si>
    <t>FB260006131</t>
  </si>
  <si>
    <t>FB260006322</t>
  </si>
  <si>
    <t>FB260007513</t>
  </si>
  <si>
    <t>FB260006165</t>
  </si>
  <si>
    <t>FB260007049</t>
  </si>
  <si>
    <t>FR260000176</t>
  </si>
  <si>
    <t>FB260007510</t>
  </si>
  <si>
    <t>FB260006975</t>
  </si>
  <si>
    <t>FB260006663</t>
  </si>
  <si>
    <t>FB260006215</t>
  </si>
  <si>
    <t>FB260007527</t>
  </si>
  <si>
    <t>FB260005986</t>
  </si>
  <si>
    <t>FB260006662</t>
  </si>
  <si>
    <t>FB260006211</t>
  </si>
  <si>
    <t>FB260006194</t>
  </si>
  <si>
    <t>FB260006310</t>
  </si>
  <si>
    <t>FB260006235</t>
  </si>
  <si>
    <t>FB260007747</t>
  </si>
  <si>
    <t>FB260007746</t>
  </si>
  <si>
    <t>FB260006666</t>
  </si>
  <si>
    <t>FB260007790</t>
  </si>
  <si>
    <t>FB260007793</t>
  </si>
  <si>
    <t>FB260006478</t>
  </si>
  <si>
    <t>FB260006318</t>
  </si>
  <si>
    <t>FB260006228</t>
  </si>
  <si>
    <t>FB260007748</t>
  </si>
  <si>
    <t>FB260006799</t>
  </si>
  <si>
    <t>FB260007042</t>
  </si>
  <si>
    <t>FB260006749</t>
  </si>
  <si>
    <t>FB260007787</t>
  </si>
  <si>
    <t>FB260006791</t>
  </si>
  <si>
    <t>FB260006798</t>
  </si>
  <si>
    <t>FB260006451</t>
  </si>
  <si>
    <t>FB260006661</t>
  </si>
  <si>
    <t>FB260007512</t>
  </si>
  <si>
    <t>FB260006955</t>
  </si>
  <si>
    <t>FB260007516</t>
  </si>
  <si>
    <t>FB260005782</t>
  </si>
  <si>
    <t>FB260006805</t>
  </si>
  <si>
    <t>FB260006800</t>
  </si>
  <si>
    <t>FB260007792</t>
  </si>
  <si>
    <t>FB260006130</t>
  </si>
  <si>
    <t>FB260006751</t>
  </si>
  <si>
    <t>FB260006659</t>
  </si>
  <si>
    <t>FB260007067</t>
  </si>
  <si>
    <t>FB260006656</t>
  </si>
  <si>
    <t>FB260006315</t>
  </si>
  <si>
    <t>FB260007796</t>
  </si>
  <si>
    <t>FB260006452</t>
  </si>
  <si>
    <t>FB260007046</t>
  </si>
  <si>
    <t>FB260006236</t>
  </si>
  <si>
    <t>FB260006966</t>
  </si>
  <si>
    <t>FB260007275</t>
  </si>
  <si>
    <t>FB260006214</t>
  </si>
  <si>
    <t>FB260006910</t>
  </si>
  <si>
    <t>FB260007713</t>
  </si>
  <si>
    <t>FB260006312</t>
  </si>
  <si>
    <t>FB260007798</t>
  </si>
  <si>
    <t>FB260006118</t>
  </si>
  <si>
    <t>FB260006309</t>
  </si>
  <si>
    <t>FB260007830</t>
  </si>
  <si>
    <t>FB260006745</t>
  </si>
  <si>
    <t>FB260006895</t>
  </si>
  <si>
    <t>FB260006449</t>
  </si>
  <si>
    <t>FB260001100</t>
  </si>
  <si>
    <t>FB260002167</t>
  </si>
  <si>
    <t>FB260002321</t>
  </si>
  <si>
    <t>FB260004413.</t>
  </si>
  <si>
    <t>FB260004982</t>
  </si>
  <si>
    <t>FB260003466</t>
  </si>
  <si>
    <t>FB260006237</t>
  </si>
  <si>
    <t>FB260006792</t>
  </si>
  <si>
    <t>FB260007800</t>
  </si>
  <si>
    <t>FB260007106</t>
  </si>
  <si>
    <t>FB260006207</t>
  </si>
  <si>
    <t>FB260006232</t>
  </si>
  <si>
    <t>FB260006239</t>
  </si>
  <si>
    <t>FB260007518</t>
  </si>
  <si>
    <t>FB260006234</t>
  </si>
  <si>
    <t>FB260006826</t>
  </si>
  <si>
    <t>FB260007506</t>
  </si>
  <si>
    <t>FR260000181</t>
  </si>
  <si>
    <t>FB260006301</t>
  </si>
  <si>
    <t>FB260007736</t>
  </si>
  <si>
    <t>FB260006963</t>
  </si>
  <si>
    <t>FB260007043</t>
  </si>
  <si>
    <t>FB260006655</t>
  </si>
  <si>
    <t>FB260007594</t>
  </si>
  <si>
    <t>FB260007799</t>
  </si>
  <si>
    <t>FB260006803</t>
  </si>
  <si>
    <t>FB260007817</t>
  </si>
  <si>
    <t>FB260007818</t>
  </si>
  <si>
    <t>FB260006737</t>
  </si>
  <si>
    <t>FB260006748</t>
  </si>
  <si>
    <t>FB260006804</t>
  </si>
  <si>
    <t>FB260007514</t>
  </si>
  <si>
    <t>FB260007783</t>
  </si>
  <si>
    <t>FB260007833</t>
  </si>
  <si>
    <t>FB260007080</t>
  </si>
  <si>
    <t>FB260006243</t>
  </si>
  <si>
    <t>FB260006957</t>
  </si>
  <si>
    <t>FB260006643</t>
  </si>
  <si>
    <t>FB260007619</t>
  </si>
  <si>
    <t>FB260007069</t>
  </si>
  <si>
    <t>FB260006752</t>
  </si>
  <si>
    <t>FB260006667</t>
  </si>
  <si>
    <t>FB260007890</t>
  </si>
  <si>
    <t>FB260006653</t>
  </si>
  <si>
    <t>FB260007712</t>
  </si>
  <si>
    <t>FR260000179</t>
  </si>
  <si>
    <t>FB260006965</t>
  </si>
  <si>
    <t>FB260006790</t>
  </si>
  <si>
    <t>FB260006324</t>
  </si>
  <si>
    <t>FR260000180</t>
  </si>
  <si>
    <t>FB260007045</t>
  </si>
  <si>
    <t>FB260007782</t>
  </si>
  <si>
    <t>FB260006750</t>
  </si>
  <si>
    <t>FB260007050</t>
  </si>
  <si>
    <t>FB260006221</t>
  </si>
  <si>
    <t>FB260006810</t>
  </si>
  <si>
    <t>FB260007862</t>
  </si>
  <si>
    <t>FB260007110</t>
  </si>
  <si>
    <t>FB260008071</t>
  </si>
  <si>
    <t>FB260007784</t>
  </si>
  <si>
    <t>FB260007722</t>
  </si>
  <si>
    <t>FB260007212</t>
  </si>
  <si>
    <t>FB260008070</t>
  </si>
  <si>
    <t>FB260006229</t>
  </si>
  <si>
    <t>FB260006802</t>
  </si>
  <si>
    <t>FB260006222</t>
  </si>
  <si>
    <t>FR260000164</t>
  </si>
  <si>
    <t>FB260006970</t>
  </si>
  <si>
    <t>FB260006973</t>
  </si>
  <si>
    <t>FB260006956</t>
  </si>
  <si>
    <t>FB260007814</t>
  </si>
  <si>
    <t>FB260006811</t>
  </si>
  <si>
    <t>FB260007111</t>
  </si>
  <si>
    <t>FB260006647</t>
  </si>
  <si>
    <t>FB260008093</t>
  </si>
  <si>
    <t>FB260006961</t>
  </si>
  <si>
    <t>FB260008128</t>
  </si>
  <si>
    <t>FB260006645</t>
  </si>
  <si>
    <t>FB260007055</t>
  </si>
  <si>
    <t>FB260006213</t>
  </si>
  <si>
    <t>FB260006741</t>
  </si>
  <si>
    <t>FB260007816</t>
  </si>
  <si>
    <t>FB260006738</t>
  </si>
  <si>
    <t>FB250029214</t>
  </si>
  <si>
    <t>FB260006238</t>
  </si>
  <si>
    <t>FB250029215</t>
  </si>
  <si>
    <t>FB260007121</t>
  </si>
  <si>
    <t>FB260006974</t>
  </si>
  <si>
    <t>FB260006959</t>
  </si>
  <si>
    <t>FB260007119</t>
  </si>
  <si>
    <t>FB260007048</t>
  </si>
  <si>
    <t>FB260007108</t>
  </si>
  <si>
    <t>FB260007218</t>
  </si>
  <si>
    <t>FB260008021</t>
  </si>
  <si>
    <t>FB260006801</t>
  </si>
  <si>
    <t>FB260007056</t>
  </si>
  <si>
    <t>FB260007724</t>
  </si>
  <si>
    <t>FB260007716</t>
  </si>
  <si>
    <t>FB260007052</t>
  </si>
  <si>
    <t>FB260006141</t>
  </si>
  <si>
    <t>FB260007207</t>
  </si>
  <si>
    <t>FB260007863</t>
  </si>
  <si>
    <t>FB260007054</t>
  </si>
  <si>
    <t>FB260007725</t>
  </si>
  <si>
    <t>FB260007283</t>
  </si>
  <si>
    <t>FB260006129</t>
  </si>
  <si>
    <t>FB260007221</t>
  </si>
  <si>
    <t>FB260007220</t>
  </si>
  <si>
    <t>FB260007051</t>
  </si>
  <si>
    <t>FB260007730</t>
  </si>
  <si>
    <t>FB260006794</t>
  </si>
  <si>
    <t>FB260007059</t>
  </si>
  <si>
    <t>FB260007047</t>
  </si>
  <si>
    <t>FB260007273</t>
  </si>
  <si>
    <t>FB260007900</t>
  </si>
  <si>
    <t>FB260007803</t>
  </si>
  <si>
    <t>FB260008217</t>
  </si>
  <si>
    <t>FB260007507</t>
  </si>
  <si>
    <t>FB260007728</t>
  </si>
  <si>
    <t>FB260007857</t>
  </si>
  <si>
    <t>FB260006140</t>
  </si>
  <si>
    <t>FB260006240</t>
  </si>
  <si>
    <t>FB260007509</t>
  </si>
  <si>
    <t>FB260007729</t>
  </si>
  <si>
    <t>FB260007861</t>
  </si>
  <si>
    <t>FB260007902</t>
  </si>
  <si>
    <t>FB260007537</t>
  </si>
  <si>
    <t>FB260006949</t>
  </si>
  <si>
    <t>FB260007058</t>
  </si>
  <si>
    <t>FB260007848</t>
  </si>
  <si>
    <t>FB260007804</t>
  </si>
  <si>
    <t>FB260007847</t>
  </si>
  <si>
    <t>FB260007118</t>
  </si>
  <si>
    <t>FB260007924</t>
  </si>
  <si>
    <t>FB260007215</t>
  </si>
  <si>
    <t>FB260008228</t>
  </si>
  <si>
    <t>FB260007206</t>
  </si>
  <si>
    <t>FB250029228</t>
  </si>
  <si>
    <t>FB260007854</t>
  </si>
  <si>
    <t>FB260007719</t>
  </si>
  <si>
    <t>FB260007044</t>
  </si>
  <si>
    <t>FB260007057</t>
  </si>
  <si>
    <t>FB260007071</t>
  </si>
  <si>
    <t>FB260006314</t>
  </si>
  <si>
    <t>FB260007208</t>
  </si>
  <si>
    <t>FB260006909</t>
  </si>
  <si>
    <t>FB260007853</t>
  </si>
  <si>
    <t>FB260007903</t>
  </si>
  <si>
    <t>FB260007120</t>
  </si>
  <si>
    <t>FB260008218</t>
  </si>
  <si>
    <t>FB260007844</t>
  </si>
  <si>
    <t>FB260006735</t>
  </si>
  <si>
    <t>FB260007213</t>
  </si>
  <si>
    <t>FB260007064</t>
  </si>
  <si>
    <t>FB260007053</t>
  </si>
  <si>
    <t>FB260008311</t>
  </si>
  <si>
    <t>FB260007720</t>
  </si>
  <si>
    <t>FB260008074</t>
  </si>
  <si>
    <t>FB260006241</t>
  </si>
  <si>
    <t>FB260007809</t>
  </si>
  <si>
    <t>FB260008215</t>
  </si>
  <si>
    <t>FB260008232</t>
  </si>
  <si>
    <t>FB260007846</t>
  </si>
  <si>
    <t>FB260007536</t>
  </si>
  <si>
    <t>FB260007845</t>
  </si>
  <si>
    <t>FB260007519</t>
  </si>
  <si>
    <t>FB260007789</t>
  </si>
  <si>
    <t>FB260008309</t>
  </si>
  <si>
    <t>FB260007923</t>
  </si>
  <si>
    <t>FB260007921</t>
  </si>
  <si>
    <t>FB260007104</t>
  </si>
  <si>
    <t>FB260007856</t>
  </si>
  <si>
    <t>FB260007906</t>
  </si>
  <si>
    <t>FB260006969</t>
  </si>
  <si>
    <t>FB260007740</t>
  </si>
  <si>
    <t>FB260007718</t>
  </si>
  <si>
    <t>FB260007922</t>
  </si>
  <si>
    <t>FB260007723</t>
  </si>
  <si>
    <t>FB260007843</t>
  </si>
  <si>
    <t>FB260007219</t>
  </si>
  <si>
    <t>FB260007806</t>
  </si>
  <si>
    <t>FB260007214</t>
  </si>
  <si>
    <t>FB260007802</t>
  </si>
  <si>
    <t>FB260007810</t>
  </si>
  <si>
    <t>FB260008219</t>
  </si>
  <si>
    <t>FB260007859</t>
  </si>
  <si>
    <t>FB260006971</t>
  </si>
  <si>
    <t>FB260007815</t>
  </si>
  <si>
    <t>FB260008646</t>
  </si>
  <si>
    <t>FB260007812</t>
  </si>
  <si>
    <t>FB260008466</t>
  </si>
  <si>
    <t>FB260007910</t>
  </si>
  <si>
    <t>FB260008225</t>
  </si>
  <si>
    <t>FB260007917</t>
  </si>
  <si>
    <t>FB260008222</t>
  </si>
  <si>
    <t>FB260008538</t>
  </si>
  <si>
    <t>FB260007511</t>
  </si>
  <si>
    <t>FB260008226</t>
  </si>
  <si>
    <t>FB260007913</t>
  </si>
  <si>
    <t>FB260007721</t>
  </si>
  <si>
    <t>FB260008641</t>
  </si>
  <si>
    <t>FB260008661</t>
  </si>
  <si>
    <t>FB260007911</t>
  </si>
  <si>
    <t>FB260008559</t>
  </si>
  <si>
    <t>FB260007211</t>
  </si>
  <si>
    <t>FB260008708</t>
  </si>
  <si>
    <t>FR260000203</t>
  </si>
  <si>
    <t>FB260008518</t>
  </si>
  <si>
    <t>FB260008120</t>
  </si>
  <si>
    <t>FB260008524</t>
  </si>
  <si>
    <t>FB260006964</t>
  </si>
  <si>
    <t>FR260000201</t>
  </si>
  <si>
    <t>FB260008944</t>
  </si>
  <si>
    <t>FB260008523</t>
  </si>
  <si>
    <t>FB260008505</t>
  </si>
  <si>
    <t>FB260008947</t>
  </si>
  <si>
    <t>FR260000202</t>
  </si>
  <si>
    <t>FB260006244</t>
  </si>
  <si>
    <t>FB260007850</t>
  </si>
  <si>
    <t>FB260008861</t>
  </si>
  <si>
    <t>FB260007210</t>
  </si>
  <si>
    <t>FB260007849</t>
  </si>
  <si>
    <t>FB260007717</t>
  </si>
  <si>
    <t>FB260007735</t>
  </si>
  <si>
    <t>FB260007807</t>
  </si>
  <si>
    <t>FB260008540</t>
  </si>
  <si>
    <t>FB260008529</t>
  </si>
  <si>
    <t>FB260008220</t>
  </si>
  <si>
    <t>FB260008495</t>
  </si>
  <si>
    <t>FB260007520</t>
  </si>
  <si>
    <t>FB260008950</t>
  </si>
  <si>
    <t>FB260008525</t>
  </si>
  <si>
    <t>FB260007855</t>
  </si>
  <si>
    <t>FB260007813</t>
  </si>
  <si>
    <t>FB260008531</t>
  </si>
  <si>
    <t>FB260008520</t>
  </si>
  <si>
    <t>FB260007733</t>
  </si>
  <si>
    <t>FB260008221</t>
  </si>
  <si>
    <t>FB260008946</t>
  </si>
  <si>
    <t>FB260008497</t>
  </si>
  <si>
    <t>FB260008534</t>
  </si>
  <si>
    <t>FB260008494</t>
  </si>
  <si>
    <t>FB260008539</t>
  </si>
  <si>
    <t>FB260009126</t>
  </si>
  <si>
    <t>FB260009137</t>
  </si>
  <si>
    <t>FB260007920</t>
  </si>
  <si>
    <t>FB260009141</t>
  </si>
  <si>
    <t>FB260008535</t>
  </si>
  <si>
    <t>FB260007852</t>
  </si>
  <si>
    <t>FB260008493</t>
  </si>
  <si>
    <t>FB260008579</t>
  </si>
  <si>
    <t>FB260008513</t>
  </si>
  <si>
    <t>FB260007912</t>
  </si>
  <si>
    <t>FB260009143</t>
  </si>
  <si>
    <t>FB260008527</t>
  </si>
  <si>
    <t>FB260006813</t>
  </si>
  <si>
    <t>FB260007914</t>
  </si>
  <si>
    <t>FB260008537</t>
  </si>
  <si>
    <t>FB260008517</t>
  </si>
  <si>
    <t>FB260008510</t>
  </si>
  <si>
    <t>FB260008571</t>
  </si>
  <si>
    <t>FB260008724</t>
  </si>
  <si>
    <t>FB260009194</t>
  </si>
  <si>
    <t>FB260009144</t>
  </si>
  <si>
    <t>FB260008545</t>
  </si>
  <si>
    <t>FB260008957</t>
  </si>
  <si>
    <t>FB260008522</t>
  </si>
  <si>
    <t>FB260009145</t>
  </si>
  <si>
    <t>FB260009221</t>
  </si>
  <si>
    <t>FB260007916</t>
  </si>
  <si>
    <t>FB260008530</t>
  </si>
  <si>
    <t>FB260008958</t>
  </si>
  <si>
    <t>FB260009148</t>
  </si>
  <si>
    <t>FB260007851</t>
  </si>
  <si>
    <t>FB260008503</t>
  </si>
  <si>
    <t>FB260008499</t>
  </si>
  <si>
    <t>FB260007811</t>
  </si>
  <si>
    <t>FB260008506</t>
  </si>
  <si>
    <t>FB260009147</t>
  </si>
  <si>
    <t>FB260008512</t>
  </si>
  <si>
    <t>FB260008514</t>
  </si>
  <si>
    <t>FB260007925</t>
  </si>
  <si>
    <t>FB260008496</t>
  </si>
  <si>
    <t>FB260008702</t>
  </si>
  <si>
    <t>FB260009222</t>
  </si>
  <si>
    <t>FB260008519</t>
  </si>
  <si>
    <t>FB260008533</t>
  </si>
  <si>
    <t>FB260009223</t>
  </si>
  <si>
    <t>FB260008532</t>
  </si>
  <si>
    <t>FB260007919</t>
  </si>
  <si>
    <t>FB260009243</t>
  </si>
  <si>
    <t>FB260008501</t>
  </si>
  <si>
    <t>FB260007114</t>
  </si>
  <si>
    <t>FB260009314</t>
  </si>
  <si>
    <t>FB260009263</t>
  </si>
  <si>
    <t>FB260009237</t>
  </si>
  <si>
    <t>FB260008693</t>
  </si>
  <si>
    <t>FB260009224</t>
  </si>
  <si>
    <t>FB260008729</t>
  </si>
  <si>
    <t>FB260009315</t>
  </si>
  <si>
    <t>FB260008703</t>
  </si>
  <si>
    <t>FB260009249</t>
  </si>
  <si>
    <t>FB260008690</t>
  </si>
  <si>
    <t>FB260009248</t>
  </si>
  <si>
    <t>FB260007115</t>
  </si>
  <si>
    <t>FB260009402</t>
  </si>
  <si>
    <t>FB260008711</t>
  </si>
  <si>
    <t>FB260008710</t>
  </si>
  <si>
    <t>FB260008700</t>
  </si>
  <si>
    <t>FB260009273</t>
  </si>
  <si>
    <t>FB260008542</t>
  </si>
  <si>
    <t>FB260009247</t>
  </si>
  <si>
    <t>FB260007116</t>
  </si>
  <si>
    <t>FB260009260</t>
  </si>
  <si>
    <t>FB260009242S</t>
  </si>
  <si>
    <t>FB260009643</t>
  </si>
  <si>
    <t>FB260008547</t>
  </si>
  <si>
    <t>FB260009603</t>
  </si>
  <si>
    <t>FB260009675</t>
  </si>
  <si>
    <t>FB260009602</t>
  </si>
  <si>
    <t>FB260009257</t>
  </si>
  <si>
    <t>FB260009258</t>
  </si>
  <si>
    <t>FB260009270</t>
  </si>
  <si>
    <t>FB260008526</t>
  </si>
  <si>
    <t>FB260009296</t>
  </si>
  <si>
    <t>FB260009726</t>
  </si>
  <si>
    <t>FB260008546</t>
  </si>
  <si>
    <t>FB260009615</t>
  </si>
  <si>
    <t>FB260009318</t>
  </si>
  <si>
    <t>FB260009614</t>
  </si>
  <si>
    <t>FB260009710</t>
  </si>
  <si>
    <t>FB26000705</t>
  </si>
  <si>
    <t>FB260008701</t>
  </si>
  <si>
    <t>FB260009310</t>
  </si>
  <si>
    <t>FB260008073</t>
  </si>
  <si>
    <t>FB260009678</t>
  </si>
  <si>
    <t>FB260008491</t>
  </si>
  <si>
    <t>FB260009312</t>
  </si>
  <si>
    <t>FB260008544</t>
  </si>
  <si>
    <t>FB260009216</t>
  </si>
  <si>
    <t>FB260009309</t>
  </si>
  <si>
    <t>FB260009261</t>
  </si>
  <si>
    <t>FB260009259</t>
  </si>
  <si>
    <t>FB260009604</t>
  </si>
  <si>
    <t>FB260009634</t>
  </si>
  <si>
    <t>FB260008860</t>
  </si>
  <si>
    <t>FB260009280</t>
  </si>
  <si>
    <t>FB260009240</t>
  </si>
  <si>
    <t>FB260009301</t>
  </si>
  <si>
    <t>FB260009250</t>
  </si>
  <si>
    <t>FB260009233</t>
  </si>
  <si>
    <t>FB260009268</t>
  </si>
  <si>
    <t>FB260008732</t>
  </si>
  <si>
    <t>FB260008726</t>
  </si>
  <si>
    <t>FB260008521</t>
  </si>
  <si>
    <t>FB260009266</t>
  </si>
  <si>
    <t>FB260009311</t>
  </si>
  <si>
    <t>FB260008704</t>
  </si>
  <si>
    <t>FB260007222</t>
  </si>
  <si>
    <t>FB260008541</t>
  </si>
  <si>
    <t>FB260009717</t>
  </si>
  <si>
    <t>FB260009262</t>
  </si>
  <si>
    <t>FB260007727</t>
  </si>
  <si>
    <t>FR260000224</t>
  </si>
  <si>
    <t>FB260008727</t>
  </si>
  <si>
    <t>FB260009265</t>
  </si>
  <si>
    <t>FB260008722</t>
  </si>
  <si>
    <t>FB260007731</t>
  </si>
  <si>
    <t>FR260000227</t>
  </si>
  <si>
    <t>FB260009290</t>
  </si>
  <si>
    <t>FB260009403</t>
  </si>
  <si>
    <t>FB260008543</t>
  </si>
  <si>
    <t>FB260009289</t>
  </si>
  <si>
    <t>FB260009666</t>
  </si>
  <si>
    <t>FB260009264</t>
  </si>
  <si>
    <t>FB260009664</t>
  </si>
  <si>
    <t>FB260009291</t>
  </si>
  <si>
    <t>FB260009279</t>
  </si>
  <si>
    <t>FB260009293</t>
  </si>
  <si>
    <t>FB260008730</t>
  </si>
  <si>
    <t>FB260009708</t>
  </si>
  <si>
    <t>FB260009764</t>
  </si>
  <si>
    <t>FB260008216</t>
  </si>
  <si>
    <t>FB260009295</t>
  </si>
  <si>
    <t>FB260009718</t>
  </si>
  <si>
    <t>FB260007805</t>
  </si>
  <si>
    <t>FB260009771</t>
  </si>
  <si>
    <t>FB260008725</t>
  </si>
  <si>
    <t>FB260009292</t>
  </si>
  <si>
    <t>FB260009768</t>
  </si>
  <si>
    <t>FB260009709</t>
  </si>
  <si>
    <t>FB260009302</t>
  </si>
  <si>
    <t>FB260009662</t>
  </si>
  <si>
    <t>FB260009305</t>
  </si>
  <si>
    <t>FB260009244</t>
  </si>
  <si>
    <t>FB260009232</t>
  </si>
  <si>
    <t>FB260009770</t>
  </si>
  <si>
    <t>FB260009271</t>
  </si>
  <si>
    <t>FB260009256</t>
  </si>
  <si>
    <t>FB260009306</t>
  </si>
  <si>
    <t>FB260009663</t>
  </si>
  <si>
    <t>FB260009881</t>
  </si>
  <si>
    <t>FB260009879</t>
  </si>
  <si>
    <t>FB260009942</t>
  </si>
  <si>
    <t>FB260009288</t>
  </si>
  <si>
    <t>FB260009876</t>
  </si>
  <si>
    <t>FB260009763</t>
  </si>
  <si>
    <t>FB260009744</t>
  </si>
  <si>
    <t>FB260008696</t>
  </si>
  <si>
    <t>FB260008508</t>
  </si>
  <si>
    <t>FB260009307</t>
  </si>
  <si>
    <t>FB260008697</t>
  </si>
  <si>
    <t>FB260008692</t>
  </si>
  <si>
    <t>FB260010032</t>
  </si>
  <si>
    <t>FB260009819</t>
  </si>
  <si>
    <t>FB260010250</t>
  </si>
  <si>
    <t>FB260010320</t>
  </si>
  <si>
    <t>FB260008509</t>
  </si>
  <si>
    <t>FB260008507</t>
  </si>
  <si>
    <t>FB260007909</t>
  </si>
  <si>
    <t>FB260010112</t>
  </si>
  <si>
    <t>FB260010041</t>
  </si>
  <si>
    <t>FB260009668</t>
  </si>
  <si>
    <t>FB260009235</t>
  </si>
  <si>
    <t>FB260009297</t>
  </si>
  <si>
    <t>FB260009941</t>
  </si>
  <si>
    <t>FB260009882</t>
  </si>
  <si>
    <t>FB260009765</t>
  </si>
  <si>
    <t>FB260010050</t>
  </si>
  <si>
    <t>FB260009653</t>
  </si>
  <si>
    <t>FB260009231</t>
  </si>
  <si>
    <t>FB260009767</t>
  </si>
  <si>
    <t>FB260010235</t>
  </si>
  <si>
    <t>FB260010152</t>
  </si>
  <si>
    <t>FB260010175</t>
  </si>
  <si>
    <t>FB260010240</t>
  </si>
  <si>
    <t>FB260010153</t>
  </si>
  <si>
    <t>FB260009287</t>
  </si>
  <si>
    <t>FB260009661</t>
  </si>
  <si>
    <t>FB260009677</t>
  </si>
  <si>
    <t>FB260010238</t>
  </si>
  <si>
    <t>83484_SW087953</t>
  </si>
  <si>
    <t>84075_SJ108651</t>
  </si>
  <si>
    <t>C000000858_SW107053</t>
  </si>
  <si>
    <t>77303_SW052646</t>
  </si>
  <si>
    <t>11051_SW051738</t>
  </si>
  <si>
    <t>61851_SW105058</t>
  </si>
  <si>
    <t>61851_SF105061</t>
  </si>
  <si>
    <t>34988_SW041379</t>
  </si>
  <si>
    <t>83473_SW087953</t>
  </si>
  <si>
    <t>50947_SF051188</t>
  </si>
  <si>
    <t>84088_SJ108731</t>
  </si>
  <si>
    <t>66428_SW104502</t>
  </si>
  <si>
    <t>80281_SF051188</t>
  </si>
  <si>
    <t>C000001628_SF012050</t>
  </si>
  <si>
    <t>83116_SF050875</t>
  </si>
  <si>
    <t>34988_SF106678</t>
  </si>
  <si>
    <t>50947_SW102692</t>
  </si>
  <si>
    <t>75632_SF060100</t>
  </si>
  <si>
    <t>68086_SW041379</t>
  </si>
  <si>
    <t>C000000369_SW087953</t>
  </si>
  <si>
    <t>68086_SF106477</t>
  </si>
  <si>
    <t>C000001347_SF106678</t>
  </si>
  <si>
    <t>61851_SW104474</t>
  </si>
  <si>
    <t>74341_SF051188</t>
  </si>
  <si>
    <t>C000000861_SW107053</t>
  </si>
  <si>
    <t>77303_SF105061</t>
  </si>
  <si>
    <t>C000000794_SF106678</t>
  </si>
  <si>
    <t>C000000364_SW087953</t>
  </si>
  <si>
    <t>C000000375_SW087953</t>
  </si>
  <si>
    <t>87666_SF002050</t>
  </si>
  <si>
    <t>C000000701_SW107053</t>
  </si>
  <si>
    <t>84906_SJ109864</t>
  </si>
  <si>
    <t>83817_SJ109864</t>
  </si>
  <si>
    <t>83688_SJ109854</t>
  </si>
  <si>
    <t>C000001204_SW090104</t>
  </si>
  <si>
    <t>29245_SW054593</t>
  </si>
  <si>
    <t>22288_SW090822</t>
  </si>
  <si>
    <t>C000000702_SW107053</t>
  </si>
  <si>
    <t>49652_SF011212</t>
  </si>
  <si>
    <t>C000001503_SJ109854</t>
  </si>
  <si>
    <t>34988_SF106477</t>
  </si>
  <si>
    <t>83817_SJ109854</t>
  </si>
  <si>
    <t>C000000094_SF011212</t>
  </si>
  <si>
    <t>68086_SF106678</t>
  </si>
  <si>
    <t>C000000192_SW047041</t>
  </si>
  <si>
    <t>54451_SJ102177</t>
  </si>
  <si>
    <t>C000000367_SW087953</t>
  </si>
  <si>
    <t>83817_SJ109735</t>
  </si>
  <si>
    <t>86605_SW087953</t>
  </si>
  <si>
    <t>78476_SW048171</t>
  </si>
  <si>
    <t>66741_SW105171</t>
  </si>
  <si>
    <t>C000001204_SW00104</t>
  </si>
  <si>
    <t>69166_SJ104638</t>
  </si>
  <si>
    <t>78476_SF012046</t>
  </si>
  <si>
    <t>22288_SW041276</t>
  </si>
  <si>
    <t>11051_SW047383</t>
  </si>
  <si>
    <t>C000001225_SF011212</t>
  </si>
  <si>
    <t>83686_SJ109735</t>
  </si>
  <si>
    <t>83686_SJ109854</t>
  </si>
  <si>
    <t>83604_SJ106665</t>
  </si>
  <si>
    <t>74341_SJ101818</t>
  </si>
  <si>
    <t>61851CT</t>
  </si>
  <si>
    <t>61851_SW107568</t>
  </si>
  <si>
    <t>C000001239_SW084573</t>
  </si>
  <si>
    <t>83545_SJ109733</t>
  </si>
  <si>
    <t>49652_SW109029</t>
  </si>
  <si>
    <t>86671_SJ109735</t>
  </si>
  <si>
    <t>C000001501_SJ109854</t>
  </si>
  <si>
    <t>79845_SF002050</t>
  </si>
  <si>
    <t>83699_SJ109735</t>
  </si>
  <si>
    <t>84685_SF011212</t>
  </si>
  <si>
    <t>82875_SW052791</t>
  </si>
  <si>
    <t>11051_SW001166</t>
  </si>
  <si>
    <t>80779_SW052791</t>
  </si>
  <si>
    <t>84066_SJ108651</t>
  </si>
  <si>
    <t>11051_SW018108</t>
  </si>
  <si>
    <t>87485_SW044640</t>
  </si>
  <si>
    <t>83597_SW001166</t>
  </si>
  <si>
    <t>C000001388_SW051011</t>
  </si>
  <si>
    <t>86671_SJ109854</t>
  </si>
  <si>
    <t>C000001638_SW001166</t>
  </si>
  <si>
    <t>75080_SW102692</t>
  </si>
  <si>
    <t>84681_SW109029</t>
  </si>
  <si>
    <t>C000001686_SW102692</t>
  </si>
  <si>
    <t>83640_SW107053</t>
  </si>
  <si>
    <t>82876_SW052792</t>
  </si>
  <si>
    <t>61851_SW104504</t>
  </si>
  <si>
    <t>61851_SW085387</t>
  </si>
  <si>
    <t>87485_SW087953</t>
  </si>
  <si>
    <t>84685_SW109029</t>
  </si>
  <si>
    <t>11051_SW050111</t>
  </si>
  <si>
    <t>86148_SW000770</t>
  </si>
  <si>
    <t>C000001234_SW087953</t>
  </si>
  <si>
    <t>86609_SW087953</t>
  </si>
  <si>
    <t>59232_SF010404</t>
  </si>
  <si>
    <t>C000001504_SJ109735</t>
  </si>
  <si>
    <t>72629_SJ102177</t>
  </si>
  <si>
    <t>29245_SW107143</t>
  </si>
  <si>
    <t>C000001239_SW087953</t>
  </si>
  <si>
    <t>83688_SJ109735</t>
  </si>
  <si>
    <t>32094_SW018239</t>
  </si>
  <si>
    <t>71564_SW107053</t>
  </si>
  <si>
    <t>83545_SJ109863</t>
  </si>
  <si>
    <t>61851_SW107053</t>
  </si>
  <si>
    <t>85491_SW087953</t>
  </si>
  <si>
    <t>75080_SF051188</t>
  </si>
  <si>
    <t>66428_SF105061</t>
  </si>
  <si>
    <t>84906_SJ109735</t>
  </si>
  <si>
    <t>55741_SW018563</t>
  </si>
  <si>
    <t>29245_SW002030</t>
  </si>
  <si>
    <t>61851_SW105060</t>
  </si>
  <si>
    <t>77955_SJ108843</t>
  </si>
  <si>
    <t>33331_SW084573</t>
  </si>
  <si>
    <t>43101_SW053527</t>
  </si>
  <si>
    <t>C000001501_SJ109735</t>
  </si>
  <si>
    <t>C000001654_SW000633</t>
  </si>
  <si>
    <t>79263_SW104745</t>
  </si>
  <si>
    <t>36187_SW001060</t>
  </si>
  <si>
    <t>87710_SW090822</t>
  </si>
  <si>
    <t>C000001504_SJ109854</t>
  </si>
  <si>
    <t>C000000501_SW087953</t>
  </si>
  <si>
    <t>11051_SW000502</t>
  </si>
  <si>
    <t>74362_SW034504</t>
  </si>
  <si>
    <t>83686_SJ109864</t>
  </si>
  <si>
    <t>11051_SW103699</t>
  </si>
  <si>
    <t>37817_SW052249</t>
  </si>
  <si>
    <t>34988_SW101587</t>
  </si>
  <si>
    <t>C000001686_SF051188</t>
  </si>
  <si>
    <t>83484_SW042222</t>
  </si>
  <si>
    <t>33331_SW087953</t>
  </si>
  <si>
    <t>11051_SW000669</t>
  </si>
  <si>
    <t>86609_SW084573</t>
  </si>
  <si>
    <t>C000000996_SF012046</t>
  </si>
  <si>
    <t>61851_SW105065</t>
  </si>
  <si>
    <t>84063_SJ108651</t>
  </si>
  <si>
    <t>83473_SW044640</t>
  </si>
  <si>
    <t>75938_SW109084</t>
  </si>
  <si>
    <t>62454_SF106477</t>
  </si>
  <si>
    <t>61851_SW105064</t>
  </si>
  <si>
    <t>34988_SW034040</t>
  </si>
  <si>
    <t>C000001656_SW000770</t>
  </si>
  <si>
    <t>48294_SW000770</t>
  </si>
  <si>
    <t>79380_SF106477</t>
  </si>
  <si>
    <t>84088_SF106477</t>
  </si>
  <si>
    <t>C000001638_SW054593</t>
  </si>
  <si>
    <t>78351_SJ108923</t>
  </si>
  <si>
    <t>11051_SW006855</t>
  </si>
  <si>
    <t>34988_SW101405</t>
  </si>
  <si>
    <t>87485_SW050386</t>
  </si>
  <si>
    <t>C000001758_SW052249</t>
  </si>
  <si>
    <t>11051_SW103267</t>
  </si>
  <si>
    <t>85053_SW046485</t>
  </si>
  <si>
    <t>82840_SW107409</t>
  </si>
  <si>
    <t>C000000585_SW046485</t>
  </si>
  <si>
    <t>C000001815_SF050875</t>
  </si>
  <si>
    <t>72181_SW090104</t>
  </si>
  <si>
    <t>87562_SF106678</t>
  </si>
  <si>
    <t>79263_SW053308</t>
  </si>
  <si>
    <t>75500_SF051188</t>
  </si>
  <si>
    <t>50947_SW107402</t>
  </si>
  <si>
    <t>87370_SW053630</t>
  </si>
  <si>
    <t>C000000501_SW084573</t>
  </si>
  <si>
    <t>37817_SW040921</t>
  </si>
  <si>
    <t>84757_SJ109854</t>
  </si>
  <si>
    <t>59235_SF010404</t>
  </si>
  <si>
    <t>79263_SW048171</t>
  </si>
  <si>
    <t>32094_SW107378</t>
  </si>
  <si>
    <t>85440_SF106477</t>
  </si>
  <si>
    <t>85708_SF106477</t>
  </si>
  <si>
    <t>C000001796_SF012046</t>
  </si>
  <si>
    <t>C000001817_SW084573</t>
  </si>
  <si>
    <t>58053_SF106477</t>
  </si>
  <si>
    <t>72181_SW101499</t>
  </si>
  <si>
    <t>37817_SF060100</t>
  </si>
  <si>
    <t>77871_SF012050</t>
  </si>
  <si>
    <t>C000001816_SW084573</t>
  </si>
  <si>
    <t>84771_SJ108651</t>
  </si>
  <si>
    <t>85698_SW084573</t>
  </si>
  <si>
    <t>32094_SW046526</t>
  </si>
  <si>
    <t>53211_SJ101691</t>
  </si>
  <si>
    <t>C000001379_SW084573</t>
  </si>
  <si>
    <t>C000001492_SW052249</t>
  </si>
  <si>
    <t>C000000698_SF050875</t>
  </si>
  <si>
    <t>C000000104_SF011212</t>
  </si>
  <si>
    <t>37817_SF105678</t>
  </si>
  <si>
    <t>74802_SW044184</t>
  </si>
  <si>
    <t>C000001223_SF011212</t>
  </si>
  <si>
    <t>C000001327_SW090822</t>
  </si>
  <si>
    <t>C000002039_SW042931</t>
  </si>
  <si>
    <t>C000001868_SF011212</t>
  </si>
  <si>
    <t>85698ct_sw084573</t>
  </si>
  <si>
    <t>34988_SW042222</t>
  </si>
  <si>
    <t>80242_SF012050</t>
  </si>
  <si>
    <t>85932_SF106477</t>
  </si>
  <si>
    <t>83603_SJ106665</t>
  </si>
  <si>
    <t>49688_SW051806</t>
  </si>
  <si>
    <t>C000002039_SW053308</t>
  </si>
  <si>
    <t>28943_SJ053535</t>
  </si>
  <si>
    <t>87496_SW054520</t>
  </si>
  <si>
    <t>61862_SW040872</t>
  </si>
  <si>
    <t>84752_SW084573</t>
  </si>
  <si>
    <t>C000000601_SW040921</t>
  </si>
  <si>
    <t>87342_SW084573</t>
  </si>
  <si>
    <t>80781_SF002050</t>
  </si>
  <si>
    <t>C000001349_SJ108731</t>
  </si>
  <si>
    <t>C000001991_SW046455</t>
  </si>
  <si>
    <t>69750_SW046990</t>
  </si>
  <si>
    <t>87496_SW084573</t>
  </si>
  <si>
    <t>61572_SW040872</t>
  </si>
  <si>
    <t>C000002176_SW048171</t>
  </si>
  <si>
    <t>C000002122_SJ053535</t>
  </si>
  <si>
    <t>81264_SW041854</t>
  </si>
  <si>
    <t>C000002057_SW107322</t>
  </si>
  <si>
    <t>62444_SW041379</t>
  </si>
  <si>
    <t>69750_SW048171</t>
  </si>
  <si>
    <t>69330_SJ102250</t>
  </si>
  <si>
    <t>59658_SW040921</t>
  </si>
  <si>
    <t>C000000392_SF012050</t>
  </si>
  <si>
    <t>C000001991_SW048171</t>
  </si>
  <si>
    <t>C000002003_SW046455</t>
  </si>
  <si>
    <t>C000002091_SW042931</t>
  </si>
  <si>
    <t>79335_SW054520</t>
  </si>
  <si>
    <t>C000000514_SW052249</t>
  </si>
  <si>
    <t>C000002176_SW104745</t>
  </si>
  <si>
    <t>C000002135_SW104745</t>
  </si>
  <si>
    <t>87514_SJ109735</t>
  </si>
  <si>
    <t>C000000599_SW107378</t>
  </si>
  <si>
    <t>C000002176_SW107322</t>
  </si>
  <si>
    <t>C000001503_SJ109735</t>
  </si>
  <si>
    <t>C000002089_SW107322</t>
  </si>
  <si>
    <t>59658_SF060100</t>
  </si>
  <si>
    <t>C000000393_SF012050</t>
  </si>
  <si>
    <t>87593_SJ053535</t>
  </si>
  <si>
    <t>61851_SW106955</t>
  </si>
  <si>
    <t>36187_SF106477</t>
  </si>
  <si>
    <t>C000002143_SW107322</t>
  </si>
  <si>
    <t>77303_SW105058</t>
  </si>
  <si>
    <t>87514_SJ109854</t>
  </si>
  <si>
    <t>36187_SW052292</t>
  </si>
  <si>
    <t>C000000651_SW052249</t>
  </si>
  <si>
    <t>61851_SW106956</t>
  </si>
  <si>
    <t>76645_SW108511</t>
  </si>
  <si>
    <t>C000002135_SW042931</t>
  </si>
  <si>
    <t>79255_SF002050</t>
  </si>
  <si>
    <t>57929_SF010348</t>
  </si>
  <si>
    <t>69701_SW048171</t>
  </si>
  <si>
    <t>63495_SF011212</t>
  </si>
  <si>
    <t>c000002027_SJ109733</t>
  </si>
  <si>
    <t>57929_SW102956</t>
  </si>
  <si>
    <t>57929_SW087524</t>
  </si>
  <si>
    <t>C000000599_SW046526</t>
  </si>
  <si>
    <t>C000000514_SF105678</t>
  </si>
  <si>
    <t>34988_SW048803</t>
  </si>
  <si>
    <t>C000001770_SW084028</t>
  </si>
  <si>
    <t>C000001279_SW048803</t>
  </si>
  <si>
    <t>C000001279_SF106477</t>
  </si>
  <si>
    <t>34988_SW101394</t>
  </si>
  <si>
    <t>11051_SW000874</t>
  </si>
  <si>
    <t>C000001245_SW087953</t>
  </si>
  <si>
    <t>C000000651_SW040921</t>
  </si>
  <si>
    <t>85730_SW109695</t>
  </si>
  <si>
    <t>86331_SF106678</t>
  </si>
  <si>
    <t>36187_SW000770</t>
  </si>
  <si>
    <t>C000001891_SF050875</t>
  </si>
  <si>
    <t>C000001241_SW087953</t>
  </si>
  <si>
    <t>66491_SW085387</t>
  </si>
  <si>
    <t>C000002365_SW109029</t>
  </si>
  <si>
    <t>C000001435_SW052292</t>
  </si>
  <si>
    <t>C000000651_SF060100</t>
  </si>
  <si>
    <t>80875_SW001166</t>
  </si>
  <si>
    <t>29245_SW046455</t>
  </si>
  <si>
    <t>C000000392_SW046526</t>
  </si>
  <si>
    <t>85440_SW090104</t>
  </si>
  <si>
    <t>C000002107_SW048171</t>
  </si>
  <si>
    <t>29245_SW048171</t>
  </si>
  <si>
    <t>74362_SW002008</t>
  </si>
  <si>
    <t>C000002202_SW107322</t>
  </si>
  <si>
    <t>74362_SW049409</t>
  </si>
  <si>
    <t>86608_SW087953</t>
  </si>
  <si>
    <t>C000001039_SF106477</t>
  </si>
  <si>
    <t>80945_SW084573</t>
  </si>
  <si>
    <t>C000000792_SW052249</t>
  </si>
  <si>
    <t>67235_SW001166</t>
  </si>
  <si>
    <t>75632_SW052249</t>
  </si>
  <si>
    <t>C000001317_SF106678</t>
  </si>
  <si>
    <t>37817_SW040362</t>
  </si>
  <si>
    <t>C000001210_SW105171</t>
  </si>
  <si>
    <t>C000001622_SF051188</t>
  </si>
  <si>
    <t>C000001948_SW084573</t>
  </si>
  <si>
    <t>C000001217_SW105171</t>
  </si>
  <si>
    <t>C000001948_SW087953</t>
  </si>
  <si>
    <t>C000001211_SW105171</t>
  </si>
  <si>
    <t>C000001211_SW109695</t>
  </si>
  <si>
    <t>11051_SW000657</t>
  </si>
  <si>
    <t>C000002402_SW090104</t>
  </si>
  <si>
    <t>87371_SW084573</t>
  </si>
  <si>
    <t>68651_SJ104638</t>
  </si>
  <si>
    <t>C000001748_SW087953</t>
  </si>
  <si>
    <t>71709_SW090822</t>
  </si>
  <si>
    <t>32094_SW000874</t>
  </si>
  <si>
    <t>C000002403_SW090104</t>
  </si>
  <si>
    <t>78351_SJ108922</t>
  </si>
  <si>
    <t>C000000982_SW087953</t>
  </si>
  <si>
    <t>C000002194_SW601710</t>
  </si>
  <si>
    <t>C000002405_SW090104</t>
  </si>
  <si>
    <t>C000002408_SW090104</t>
  </si>
  <si>
    <t>C0000002406_SW090104</t>
  </si>
  <si>
    <t>C000002404_SW090104</t>
  </si>
  <si>
    <t>C000002409_SW090104</t>
  </si>
  <si>
    <t>76898_SF050875</t>
  </si>
  <si>
    <t>61862_SF060100</t>
  </si>
  <si>
    <t>C000001217_SW109695</t>
  </si>
  <si>
    <t>C000002027_SJ109733</t>
  </si>
  <si>
    <t>29245_SW085387</t>
  </si>
  <si>
    <t>69330_SB056800</t>
  </si>
  <si>
    <t>C000002407_SW090104</t>
  </si>
  <si>
    <t>C000001681_SF106477</t>
  </si>
  <si>
    <t>C000001565_SW087953</t>
  </si>
  <si>
    <t>C000001120_SW052249</t>
  </si>
  <si>
    <t>C000002027_SJ109863</t>
  </si>
  <si>
    <t>C000001868_SW109029</t>
  </si>
  <si>
    <t>C000001210_SW109695</t>
  </si>
  <si>
    <t>22288_SW108930</t>
  </si>
  <si>
    <t>77546_SF051188</t>
  </si>
  <si>
    <t>62444_SF106678</t>
  </si>
  <si>
    <t>87384_SF051188</t>
  </si>
  <si>
    <t>C000001751_SW087953</t>
  </si>
  <si>
    <t>C/APP</t>
  </si>
  <si>
    <t>N/ App</t>
  </si>
  <si>
    <t>Digital App</t>
  </si>
  <si>
    <t>FB260010154</t>
  </si>
  <si>
    <t>FB260009766</t>
  </si>
  <si>
    <t>FB260010174</t>
  </si>
  <si>
    <t>FB260010245</t>
  </si>
  <si>
    <t>FB260010342</t>
  </si>
  <si>
    <t>FB260008689</t>
  </si>
  <si>
    <t>FB260009670</t>
  </si>
  <si>
    <t>FB260009760</t>
  </si>
  <si>
    <t>FB260009466</t>
  </si>
  <si>
    <t>FB260009308</t>
  </si>
  <si>
    <t>FB260009467</t>
  </si>
  <si>
    <t>FB260009251</t>
  </si>
  <si>
    <t>FB260008705</t>
  </si>
  <si>
    <t>FB260009470</t>
  </si>
  <si>
    <t>FB260009374</t>
  </si>
  <si>
    <t>FB260009679</t>
  </si>
  <si>
    <t>FB260008707</t>
  </si>
  <si>
    <t>FB260010748</t>
  </si>
  <si>
    <t>FB260010729</t>
  </si>
  <si>
    <t>FB260010740</t>
  </si>
  <si>
    <t>FB260009283</t>
  </si>
  <si>
    <t>FB260010750</t>
  </si>
  <si>
    <t>FB260009656</t>
  </si>
  <si>
    <t>FB260009660</t>
  </si>
  <si>
    <t>FB260011137</t>
  </si>
  <si>
    <t>FB260010300</t>
  </si>
  <si>
    <t>FB260010497</t>
  </si>
  <si>
    <t>FB260009652</t>
  </si>
  <si>
    <t>FB260011136</t>
  </si>
  <si>
    <t>FB260010741</t>
  </si>
  <si>
    <t>FB260010720</t>
  </si>
  <si>
    <t>FB260010189</t>
  </si>
  <si>
    <t>FB260009858</t>
  </si>
  <si>
    <t>FB260010877</t>
  </si>
  <si>
    <t>FB260010734</t>
  </si>
  <si>
    <t>FB260010730</t>
  </si>
  <si>
    <t>FB260009855</t>
  </si>
  <si>
    <t>FB260010738</t>
  </si>
  <si>
    <t>FB260008498</t>
  </si>
  <si>
    <t>fr260000237</t>
  </si>
  <si>
    <t>FB260009856</t>
  </si>
  <si>
    <t>FB260009255</t>
  </si>
  <si>
    <t>FB260010728</t>
  </si>
  <si>
    <t>FB260010721</t>
  </si>
  <si>
    <t>FB260011012</t>
  </si>
  <si>
    <t>FB260010302</t>
  </si>
  <si>
    <t>FB260011359</t>
  </si>
  <si>
    <t>FB260010195</t>
  </si>
  <si>
    <t>FB260010498</t>
  </si>
  <si>
    <t>FB260011278</t>
  </si>
  <si>
    <t>FB260010193</t>
  </si>
  <si>
    <t>FB260011245</t>
  </si>
  <si>
    <t>FB260010205</t>
  </si>
  <si>
    <t>FB260009865</t>
  </si>
  <si>
    <t>FB260011235</t>
  </si>
  <si>
    <t>FB260011463</t>
  </si>
  <si>
    <t>FB260010800</t>
  </si>
  <si>
    <t>FB260010667</t>
  </si>
  <si>
    <t>FB260011034</t>
  </si>
  <si>
    <t>FB260009868</t>
  </si>
  <si>
    <t>FB260009816</t>
  </si>
  <si>
    <t>FB260009857</t>
  </si>
  <si>
    <t>FB260010818</t>
  </si>
  <si>
    <t>FB260010227</t>
  </si>
  <si>
    <t>FB260011514</t>
  </si>
  <si>
    <t>FB260011016</t>
  </si>
  <si>
    <t>FB260010646</t>
  </si>
  <si>
    <t>FB260010190</t>
  </si>
  <si>
    <t>FB260008490</t>
  </si>
  <si>
    <t>FB260011038</t>
  </si>
  <si>
    <t>FB260011412</t>
  </si>
  <si>
    <t>FB260011301</t>
  </si>
  <si>
    <t>FB260010803</t>
  </si>
  <si>
    <t>FB260009875</t>
  </si>
  <si>
    <t>FB260010203</t>
  </si>
  <si>
    <t>FB260010304</t>
  </si>
  <si>
    <t>fr260000240</t>
  </si>
  <si>
    <t>FB260010208</t>
  </si>
  <si>
    <t>FB260010779</t>
  </si>
  <si>
    <t>FB260011641</t>
  </si>
  <si>
    <t>FB260010251</t>
  </si>
  <si>
    <t>FB260009253</t>
  </si>
  <si>
    <t>FB260011291</t>
  </si>
  <si>
    <t>FB260011246</t>
  </si>
  <si>
    <t>FB260009867</t>
  </si>
  <si>
    <t>FB260010226</t>
  </si>
  <si>
    <t>FB260010206</t>
  </si>
  <si>
    <t>FB260011873</t>
  </si>
  <si>
    <t>FB260011647</t>
  </si>
  <si>
    <t>FB260010281</t>
  </si>
  <si>
    <t>FB260011172</t>
  </si>
  <si>
    <t>FB260011648</t>
  </si>
  <si>
    <t>FB260012017</t>
  </si>
  <si>
    <t>FB260010230</t>
  </si>
  <si>
    <t>FB260010200</t>
  </si>
  <si>
    <t>FB260010137</t>
  </si>
  <si>
    <t>FB260010673</t>
  </si>
  <si>
    <t>FB260012121</t>
  </si>
  <si>
    <t>FB260011250</t>
  </si>
  <si>
    <t>FB260011654</t>
  </si>
  <si>
    <t>FB260009873</t>
  </si>
  <si>
    <t>FB260010278</t>
  </si>
  <si>
    <t>FB260009282</t>
  </si>
  <si>
    <t>FB260010429</t>
  </si>
  <si>
    <t>FB260009671</t>
  </si>
  <si>
    <t>FB260010173</t>
  </si>
  <si>
    <t>FB260010396</t>
  </si>
  <si>
    <t>FB260010047</t>
  </si>
  <si>
    <t>FB260010035</t>
  </si>
  <si>
    <t>FB260010036</t>
  </si>
  <si>
    <t>FB260009820</t>
  </si>
  <si>
    <t>FB260010335</t>
  </si>
  <si>
    <t>FB260010073</t>
  </si>
  <si>
    <t>FB260010431</t>
  </si>
  <si>
    <t>FB260008706</t>
  </si>
  <si>
    <t>FB260009275</t>
  </si>
  <si>
    <t>FB260009236</t>
  </si>
  <si>
    <t>FB260010037</t>
  </si>
  <si>
    <t>FB260009672</t>
  </si>
  <si>
    <t>FB260009940</t>
  </si>
  <si>
    <t>FB260010299</t>
  </si>
  <si>
    <t>FB260009277</t>
  </si>
  <si>
    <t>FB260009286</t>
  </si>
  <si>
    <t>FB260009673</t>
  </si>
  <si>
    <t>FB260009285</t>
  </si>
  <si>
    <t>FB260010725</t>
  </si>
  <si>
    <t>FB260008492</t>
  </si>
  <si>
    <t>FB260010196</t>
  </si>
  <si>
    <t>FB260010506</t>
  </si>
  <si>
    <t>FB260009376</t>
  </si>
  <si>
    <t>FB260010949</t>
  </si>
  <si>
    <t>FB260009278</t>
  </si>
  <si>
    <t>FB260010737</t>
  </si>
  <si>
    <t>FB260009851</t>
  </si>
  <si>
    <t>FB260009654</t>
  </si>
  <si>
    <t>FB260010766</t>
  </si>
  <si>
    <t>FB260009276</t>
  </si>
  <si>
    <t>FB260008694</t>
  </si>
  <si>
    <t>FB260009281</t>
  </si>
  <si>
    <t>FB260010733</t>
  </si>
  <si>
    <t>FB260010794</t>
  </si>
  <si>
    <t>FB260009284</t>
  </si>
  <si>
    <t>FB260009883</t>
  </si>
  <si>
    <t>FB260010742</t>
  </si>
  <si>
    <t>FB260010054</t>
  </si>
  <si>
    <t>FB260010745</t>
  </si>
  <si>
    <t>FB260010761</t>
  </si>
  <si>
    <t>FB260010901</t>
  </si>
  <si>
    <t>FB260009316</t>
  </si>
  <si>
    <t>FB260010306</t>
  </si>
  <si>
    <t>FB260010902</t>
  </si>
  <si>
    <t>FB260009657</t>
  </si>
  <si>
    <t>FB260010866</t>
  </si>
  <si>
    <t>FB260010735</t>
  </si>
  <si>
    <t>FB260010860</t>
  </si>
  <si>
    <t>FB260009659</t>
  </si>
  <si>
    <t>FB260010760</t>
  </si>
  <si>
    <t>FB260009299</t>
  </si>
  <si>
    <t>FB260008515</t>
  </si>
  <si>
    <t>FB260010862</t>
  </si>
  <si>
    <t>FB260010757</t>
  </si>
  <si>
    <t>FB260010924</t>
  </si>
  <si>
    <t>FB260010731</t>
  </si>
  <si>
    <t>FB260010753</t>
  </si>
  <si>
    <t>FB260009814</t>
  </si>
  <si>
    <t>FB260010812</t>
  </si>
  <si>
    <t>FB260009758</t>
  </si>
  <si>
    <t>FB260010763</t>
  </si>
  <si>
    <t>FB260010759</t>
  </si>
  <si>
    <t>FB260009772</t>
  </si>
  <si>
    <t>FB260010758</t>
  </si>
  <si>
    <t>FB260009864</t>
  </si>
  <si>
    <t>FB260010755</t>
  </si>
  <si>
    <t>FB260010040</t>
  </si>
  <si>
    <t>FB260010043</t>
  </si>
  <si>
    <t>FB260010749</t>
  </si>
  <si>
    <t>FB260010727</t>
  </si>
  <si>
    <t>FB260010746</t>
  </si>
  <si>
    <t>FB260010995</t>
  </si>
  <si>
    <t>FB260010767</t>
  </si>
  <si>
    <t>FB260009859</t>
  </si>
  <si>
    <t>FB260009617</t>
  </si>
  <si>
    <t>FB260010756</t>
  </si>
  <si>
    <t>FB260009886</t>
  </si>
  <si>
    <t>FB260009866</t>
  </si>
  <si>
    <t>FB260010503</t>
  </si>
  <si>
    <t>FB260011187</t>
  </si>
  <si>
    <t>FB260010726</t>
  </si>
  <si>
    <t>FB260010723</t>
  </si>
  <si>
    <t>FB260009655</t>
  </si>
  <si>
    <t>FB260010724</t>
  </si>
  <si>
    <t>FB260011011</t>
  </si>
  <si>
    <t>FB260010751</t>
  </si>
  <si>
    <t>FB260009618</t>
  </si>
  <si>
    <t>FB260011095</t>
  </si>
  <si>
    <t>FB260010732</t>
  </si>
  <si>
    <t>FB260010739</t>
  </si>
  <si>
    <t>FB260011033</t>
  </si>
  <si>
    <t>FB260010039</t>
  </si>
  <si>
    <t>FB260009880</t>
  </si>
  <si>
    <t>FB260010747</t>
  </si>
  <si>
    <t>FB260009651</t>
  </si>
  <si>
    <t>FB260010210</t>
  </si>
  <si>
    <t>FB260011035</t>
  </si>
  <si>
    <t>FB260011229</t>
  </si>
  <si>
    <t>FB260011094</t>
  </si>
  <si>
    <t>FB260011093</t>
  </si>
  <si>
    <t>FB260011243</t>
  </si>
  <si>
    <t>FB260011098</t>
  </si>
  <si>
    <t>FB260009870</t>
  </si>
  <si>
    <t>FB260011006</t>
  </si>
  <si>
    <t>FB260009761</t>
  </si>
  <si>
    <t>FB260010239</t>
  </si>
  <si>
    <t>FB260011237</t>
  </si>
  <si>
    <t>FB260009254</t>
  </si>
  <si>
    <t>FB260010398</t>
  </si>
  <si>
    <t>FB260011111</t>
  </si>
  <si>
    <t>FB260011233</t>
  </si>
  <si>
    <t>FB260011223</t>
  </si>
  <si>
    <t>FB260011460</t>
  </si>
  <si>
    <t>FB260011110</t>
  </si>
  <si>
    <t>FB260011036</t>
  </si>
  <si>
    <t>FB260009762</t>
  </si>
  <si>
    <t>FB260009854</t>
  </si>
  <si>
    <t>FB260011230</t>
  </si>
  <si>
    <t>FB260010496</t>
  </si>
  <si>
    <t>FB260011236</t>
  </si>
  <si>
    <t>FB260010209</t>
  </si>
  <si>
    <t>FB260010817</t>
  </si>
  <si>
    <t>FB260009863</t>
  </si>
  <si>
    <t>FB260011037</t>
  </si>
  <si>
    <t>FB260011303</t>
  </si>
  <si>
    <t>FB260011419</t>
  </si>
  <si>
    <t>FB260010222</t>
  </si>
  <si>
    <t>FB260009815</t>
  </si>
  <si>
    <t>FB260010925</t>
  </si>
  <si>
    <t>FB260011518</t>
  </si>
  <si>
    <t>FB260011403</t>
  </si>
  <si>
    <t>FB260009759</t>
  </si>
  <si>
    <t>FB260010922</t>
  </si>
  <si>
    <t>FB260011517</t>
  </si>
  <si>
    <t>FB260010921</t>
  </si>
  <si>
    <t>FB260010920</t>
  </si>
  <si>
    <t>FB260010229</t>
  </si>
  <si>
    <t>FB260011395</t>
  </si>
  <si>
    <t>FB260011516</t>
  </si>
  <si>
    <t>FB260011515</t>
  </si>
  <si>
    <t>FB260010816</t>
  </si>
  <si>
    <t>FB260010201</t>
  </si>
  <si>
    <t>FB260010204</t>
  </si>
  <si>
    <t>FB260011408</t>
  </si>
  <si>
    <t>FB260011614</t>
  </si>
  <si>
    <t>FB260010508</t>
  </si>
  <si>
    <t>FB260010252</t>
  </si>
  <si>
    <t>FB260011644</t>
  </si>
  <si>
    <t>FB260010199</t>
  </si>
  <si>
    <t>FB260011831</t>
  </si>
  <si>
    <t>FB260009852</t>
  </si>
  <si>
    <t>FB260009853</t>
  </si>
  <si>
    <t>FB260010802</t>
  </si>
  <si>
    <t>FB260010211</t>
  </si>
  <si>
    <t>FB260011827</t>
  </si>
  <si>
    <t>FB260011646</t>
  </si>
  <si>
    <t>FB260009932</t>
  </si>
  <si>
    <t>FB260010481</t>
  </si>
  <si>
    <t>FB260011639</t>
  </si>
  <si>
    <t>FB260009937</t>
  </si>
  <si>
    <t>FB260010225</t>
  </si>
  <si>
    <t>FB260011965</t>
  </si>
  <si>
    <t>FB260010672</t>
  </si>
  <si>
    <t>FB260011645</t>
  </si>
  <si>
    <t>FB260011513</t>
  </si>
  <si>
    <t>FB260009934</t>
  </si>
  <si>
    <t>FB260011656</t>
  </si>
  <si>
    <t>FB260010213</t>
  </si>
  <si>
    <t>FB260010648</t>
  </si>
  <si>
    <t>FB260011880</t>
  </si>
  <si>
    <t>FB260011649</t>
  </si>
  <si>
    <t>FB260011657</t>
  </si>
  <si>
    <t>FB260012104</t>
  </si>
  <si>
    <t>FB260012018</t>
  </si>
  <si>
    <t>FB260011612</t>
  </si>
  <si>
    <t>FB260011615</t>
  </si>
  <si>
    <t>FB260010668</t>
  </si>
  <si>
    <t>FB260010207</t>
  </si>
  <si>
    <t>FB260011652</t>
  </si>
  <si>
    <t>FB260010259</t>
  </si>
  <si>
    <t>FB260011613</t>
  </si>
  <si>
    <t>FB260011651</t>
  </si>
  <si>
    <t>FB260011871</t>
  </si>
  <si>
    <t>FB260011658</t>
  </si>
  <si>
    <t>FB260011177</t>
  </si>
  <si>
    <t>FB260010215</t>
  </si>
  <si>
    <t>FB260011971</t>
  </si>
  <si>
    <t>FB260011968</t>
  </si>
  <si>
    <t>FB260010489</t>
  </si>
  <si>
    <t>FB260011970</t>
  </si>
  <si>
    <t>FB260010303</t>
  </si>
  <si>
    <t>FB260011173</t>
  </si>
  <si>
    <t>FB260012106</t>
  </si>
  <si>
    <t>FB260010237</t>
  </si>
  <si>
    <t>FB260010254</t>
  </si>
  <si>
    <t>FB260011611</t>
  </si>
  <si>
    <t>FB260010192</t>
  </si>
  <si>
    <t>FB260011662</t>
  </si>
  <si>
    <t>FB260011653</t>
  </si>
  <si>
    <t>FB260010249</t>
  </si>
  <si>
    <t>FB260011650</t>
  </si>
  <si>
    <t>FB260011875</t>
  </si>
  <si>
    <t>FB260011171</t>
  </si>
  <si>
    <t>FB260012019</t>
  </si>
  <si>
    <t>FB260012043</t>
  </si>
  <si>
    <t>FB260010509</t>
  </si>
  <si>
    <t>66491_SW105065</t>
  </si>
  <si>
    <t>C000000690_SW107143</t>
  </si>
  <si>
    <t>78382_SF106477</t>
  </si>
  <si>
    <t>C000000690_SW048171</t>
  </si>
  <si>
    <t>87475_SW084573</t>
  </si>
  <si>
    <t>59339_SW101587</t>
  </si>
  <si>
    <t>85013_SW084573</t>
  </si>
  <si>
    <t>87485_SW084573</t>
  </si>
  <si>
    <t>76823_SF106477</t>
  </si>
  <si>
    <t>C000002168_SW102692</t>
  </si>
  <si>
    <t>77546_SW102692</t>
  </si>
  <si>
    <t>63880_SW108511</t>
  </si>
  <si>
    <t>11051_SW000633</t>
  </si>
  <si>
    <t>C000001679_SW101587</t>
  </si>
  <si>
    <t>C000002372_SW000770</t>
  </si>
  <si>
    <t>39264_SW052292</t>
  </si>
  <si>
    <t>C000000690_SF012050</t>
  </si>
  <si>
    <t>C000002168_SF051188</t>
  </si>
  <si>
    <t>59339_SF106477</t>
  </si>
  <si>
    <t>C000000683_SW108930</t>
  </si>
  <si>
    <t>C000001722_SJ106665</t>
  </si>
  <si>
    <t>C000000690_SW103699</t>
  </si>
  <si>
    <t>62601_SW090822</t>
  </si>
  <si>
    <t>C000000690_SW103267</t>
  </si>
  <si>
    <t>C000002471_SF010348</t>
  </si>
  <si>
    <t>C000002322_SW105065</t>
  </si>
  <si>
    <t>FB260010212</t>
  </si>
  <si>
    <t>FB260011626</t>
  </si>
  <si>
    <t>FB260011881</t>
  </si>
  <si>
    <t>FB260011910</t>
  </si>
  <si>
    <t>FB260011877</t>
  </si>
  <si>
    <t>FB260012119</t>
  </si>
  <si>
    <t>FB260010820</t>
  </si>
  <si>
    <t>FB260010681</t>
  </si>
  <si>
    <t>FB260012177</t>
  </si>
  <si>
    <t>FB260010684</t>
  </si>
  <si>
    <t>FB260010689</t>
  </si>
  <si>
    <t>FB260010197</t>
  </si>
  <si>
    <t>FB260012118</t>
  </si>
  <si>
    <t>FB260012120</t>
  </si>
  <si>
    <t>FB260011882</t>
  </si>
  <si>
    <t>FB260011909</t>
  </si>
  <si>
    <t>FB260010490</t>
  </si>
  <si>
    <t>FB260011914</t>
  </si>
  <si>
    <t>FB260011911</t>
  </si>
  <si>
    <t>FB260010194</t>
  </si>
  <si>
    <t>FB260011265</t>
  </si>
  <si>
    <t>FB260012404</t>
  </si>
  <si>
    <t>FB260012190</t>
  </si>
  <si>
    <t>FB260012173</t>
  </si>
  <si>
    <t>FB260012193</t>
  </si>
  <si>
    <t>FB260012040</t>
  </si>
  <si>
    <t>FB260011913</t>
  </si>
  <si>
    <t>FB260012192</t>
  </si>
  <si>
    <t>FB260011916</t>
  </si>
  <si>
    <t>FB260011912</t>
  </si>
  <si>
    <t>FB260011917</t>
  </si>
  <si>
    <t>FB260011286</t>
  </si>
  <si>
    <t>FB260010815</t>
  </si>
  <si>
    <t>FB260012309</t>
  </si>
  <si>
    <t>FB260010221</t>
  </si>
  <si>
    <t>FB260012025</t>
  </si>
  <si>
    <t>FB260010499</t>
  </si>
  <si>
    <t>34988_SF048858</t>
  </si>
  <si>
    <t>FB260011610</t>
  </si>
  <si>
    <t>FB260011045</t>
  </si>
  <si>
    <t>FB260012157</t>
  </si>
  <si>
    <t>FB260011865</t>
  </si>
  <si>
    <t>FB260011731</t>
  </si>
  <si>
    <t>FB260010305</t>
  </si>
  <si>
    <t>FB260011623</t>
  </si>
  <si>
    <t>FB260012191</t>
  </si>
  <si>
    <t>FB260010507</t>
  </si>
  <si>
    <t>FB260012308</t>
  </si>
  <si>
    <t>FB260011719</t>
  </si>
  <si>
    <t>FB260011866</t>
  </si>
  <si>
    <t>FB260011257</t>
  </si>
  <si>
    <t>FB260011735</t>
  </si>
  <si>
    <t>FB260010683</t>
  </si>
  <si>
    <t>FB260010950</t>
  </si>
  <si>
    <t>FB260010928</t>
  </si>
  <si>
    <t>FB260010260</t>
  </si>
  <si>
    <t>FB260010500</t>
  </si>
  <si>
    <t>FB260011736</t>
  </si>
  <si>
    <t>FB260011828</t>
  </si>
  <si>
    <t>FB260011807</t>
  </si>
  <si>
    <t>FB260011732</t>
  </si>
  <si>
    <t>FB260011869</t>
  </si>
  <si>
    <t>FB260012127</t>
  </si>
  <si>
    <t>34988_SW085043</t>
  </si>
  <si>
    <t>FB260011700</t>
  </si>
  <si>
    <t>FB260010796</t>
  </si>
  <si>
    <t>FB260012703</t>
  </si>
  <si>
    <t>FB260011247</t>
  </si>
  <si>
    <t>FB260012140</t>
  </si>
  <si>
    <t>FB260011868</t>
  </si>
  <si>
    <t>FB260012765</t>
  </si>
  <si>
    <t>FB260010202</t>
  </si>
  <si>
    <t>FB260011717</t>
  </si>
  <si>
    <t>FB260012101</t>
  </si>
  <si>
    <t>FB260012206</t>
  </si>
  <si>
    <t>FB260010801</t>
  </si>
  <si>
    <t>87573_SF106477</t>
  </si>
  <si>
    <t>FB260009874</t>
  </si>
  <si>
    <t>FB260011734</t>
  </si>
  <si>
    <t>FB260011792</t>
  </si>
  <si>
    <t>FB260010243</t>
  </si>
  <si>
    <t>FB260011604</t>
  </si>
  <si>
    <t>FB260012394</t>
  </si>
  <si>
    <t>C000001247_SW087953</t>
  </si>
  <si>
    <t>FB260008557</t>
  </si>
  <si>
    <t>77415_SW034040</t>
  </si>
  <si>
    <t>FB260010927</t>
  </si>
  <si>
    <t>FB260010501</t>
  </si>
  <si>
    <t>FB260011141</t>
  </si>
  <si>
    <t>FB260010699</t>
  </si>
  <si>
    <t>FB260010216</t>
  </si>
  <si>
    <t>FB260011941</t>
  </si>
  <si>
    <t>FB260011046</t>
  </si>
  <si>
    <t>FB260011870</t>
  </si>
  <si>
    <t>FB260010248</t>
  </si>
  <si>
    <t>FB260011718</t>
  </si>
  <si>
    <t>FB260011176</t>
  </si>
  <si>
    <t>11051_SF012050</t>
  </si>
  <si>
    <t>FB260011155</t>
  </si>
  <si>
    <t>FB260012766</t>
  </si>
  <si>
    <t>C000001423_SW046990</t>
  </si>
  <si>
    <t>FB260010904</t>
  </si>
  <si>
    <t>FB260010502</t>
  </si>
  <si>
    <t>FB260012773</t>
  </si>
  <si>
    <t>C000001639_SW090104</t>
  </si>
  <si>
    <t>FB60010241</t>
  </si>
  <si>
    <t>77415_SF106477</t>
  </si>
  <si>
    <t>FB260010258</t>
  </si>
  <si>
    <t>FB260010645</t>
  </si>
  <si>
    <t>FB260010785</t>
  </si>
  <si>
    <t>36187_SF010348</t>
  </si>
  <si>
    <t>FB260011805</t>
  </si>
  <si>
    <t>FB260010504</t>
  </si>
  <si>
    <t>C000002178_SW102692</t>
  </si>
  <si>
    <t>FB260010676</t>
  </si>
  <si>
    <t>C000002233_SW034504</t>
  </si>
  <si>
    <t>FB260010220</t>
  </si>
  <si>
    <t>FB260012038</t>
  </si>
  <si>
    <t>FB260010784</t>
  </si>
  <si>
    <t>FB260012139</t>
  </si>
  <si>
    <t>FB260010505</t>
  </si>
  <si>
    <t>FB260012769</t>
  </si>
  <si>
    <t>FB260010697</t>
  </si>
  <si>
    <t>FB260012048</t>
  </si>
  <si>
    <t>FB260012687</t>
  </si>
  <si>
    <t>FB260010659</t>
  </si>
  <si>
    <t>FB260010255</t>
  </si>
  <si>
    <t>FB260013144</t>
  </si>
  <si>
    <t>FB260010217</t>
  </si>
  <si>
    <t>FB260011267</t>
  </si>
  <si>
    <t>FB260013138</t>
  </si>
  <si>
    <t>FB260012039</t>
  </si>
  <si>
    <t>FB260012678</t>
  </si>
  <si>
    <t>FB260010484</t>
  </si>
  <si>
    <t>FB260013014</t>
  </si>
  <si>
    <t>FB260012686</t>
  </si>
  <si>
    <t>FB260010642</t>
  </si>
  <si>
    <t>FB260013141</t>
  </si>
  <si>
    <t>FB260012688</t>
  </si>
  <si>
    <t>FB260011947</t>
  </si>
  <si>
    <t>FB260013142</t>
  </si>
  <si>
    <t>FB260011175</t>
  </si>
  <si>
    <t>FB260010797</t>
  </si>
  <si>
    <t>77415_SF106678</t>
  </si>
  <si>
    <t>FB260011165</t>
  </si>
  <si>
    <t>FB260012609</t>
  </si>
  <si>
    <t>FB260013145</t>
  </si>
  <si>
    <t>FB260012718</t>
  </si>
  <si>
    <t>FB260012720</t>
  </si>
  <si>
    <t>FB260013148</t>
  </si>
  <si>
    <t>FB260013147</t>
  </si>
  <si>
    <t>FB260013114</t>
  </si>
  <si>
    <t>FB260010787</t>
  </si>
  <si>
    <t>FB260012229</t>
  </si>
  <si>
    <t>C000001639_SF106477</t>
  </si>
  <si>
    <t>FB260010279</t>
  </si>
  <si>
    <t>FB260011174</t>
  </si>
  <si>
    <t>FB260013013</t>
  </si>
  <si>
    <t>FB260011164</t>
  </si>
  <si>
    <t>FB260011956</t>
  </si>
  <si>
    <t>FB260013134</t>
  </si>
  <si>
    <t>FB260013146</t>
  </si>
  <si>
    <t>86433_SF106477</t>
  </si>
  <si>
    <t>FB260011150</t>
  </si>
  <si>
    <t>FB260011974</t>
  </si>
  <si>
    <t>FB260010786</t>
  </si>
  <si>
    <t>FB260013111</t>
  </si>
  <si>
    <t>FB260010914</t>
  </si>
  <si>
    <t>84088_SW050162</t>
  </si>
  <si>
    <t>FB260011430</t>
  </si>
  <si>
    <t>FB260012230</t>
  </si>
  <si>
    <t>78382_SF048858</t>
  </si>
  <si>
    <t>FB260010492</t>
  </si>
  <si>
    <t>FB260013136</t>
  </si>
  <si>
    <t>FB260013150</t>
  </si>
  <si>
    <t>FB260013127</t>
  </si>
  <si>
    <t>FB260011153</t>
  </si>
  <si>
    <t>FB260012053</t>
  </si>
  <si>
    <t>C000002516_SW052292</t>
  </si>
  <si>
    <t>FB260012037</t>
  </si>
  <si>
    <t>FB260010218</t>
  </si>
  <si>
    <t>FB260011972</t>
  </si>
  <si>
    <t>FB260010694</t>
  </si>
  <si>
    <t>FB260013174</t>
  </si>
  <si>
    <t>FB260013175</t>
  </si>
  <si>
    <t>FB260011973</t>
  </si>
  <si>
    <t>FB260011596</t>
  </si>
  <si>
    <t>FB260011258</t>
  </si>
  <si>
    <t>FB260010798</t>
  </si>
  <si>
    <t>FB260011282</t>
  </si>
  <si>
    <t>FB260013168</t>
  </si>
  <si>
    <t>FB260013170</t>
  </si>
  <si>
    <t>FB260011156</t>
  </si>
  <si>
    <t>FB260012051</t>
  </si>
  <si>
    <t>FB260011256</t>
  </si>
  <si>
    <t>FB260013149</t>
  </si>
  <si>
    <t>FB260013176</t>
  </si>
  <si>
    <t>C000002451_SJ108651</t>
  </si>
  <si>
    <t>FB260011163</t>
  </si>
  <si>
    <t>FB260013226</t>
  </si>
  <si>
    <t>C000002322_SF105061</t>
  </si>
  <si>
    <t>FB260013321</t>
  </si>
  <si>
    <t>FB260011254</t>
  </si>
  <si>
    <t>FB260013259</t>
  </si>
  <si>
    <t>FB260011791</t>
  </si>
  <si>
    <t>FB260012211</t>
  </si>
  <si>
    <t>FB260013169</t>
  </si>
  <si>
    <t>FB260013273</t>
  </si>
  <si>
    <t>C000002322_SW105058</t>
  </si>
  <si>
    <t>FB260010223</t>
  </si>
  <si>
    <t>FB260010907</t>
  </si>
  <si>
    <t>FB260010911</t>
  </si>
  <si>
    <t>FB260013227</t>
  </si>
  <si>
    <t>FB260013228</t>
  </si>
  <si>
    <t>FB260012128</t>
  </si>
  <si>
    <t>FB260013436</t>
  </si>
  <si>
    <t>FB260013550</t>
  </si>
  <si>
    <t>FB260011800</t>
  </si>
  <si>
    <t>FB260013182</t>
  </si>
  <si>
    <t>FB260013349</t>
  </si>
  <si>
    <t>FB260010910</t>
  </si>
  <si>
    <t>FB260011251</t>
  </si>
  <si>
    <t>FB260013224</t>
  </si>
  <si>
    <t>FB260013234</t>
  </si>
  <si>
    <t>FB260013229</t>
  </si>
  <si>
    <t>FB260011162</t>
  </si>
  <si>
    <t>FB260012134</t>
  </si>
  <si>
    <t>FB260013233</t>
  </si>
  <si>
    <t>82919_SW090104</t>
  </si>
  <si>
    <t>FB260011943</t>
  </si>
  <si>
    <t>FB260010909</t>
  </si>
  <si>
    <t>C000001561_SF106678</t>
  </si>
  <si>
    <t>FB260010494</t>
  </si>
  <si>
    <t>FB260012228</t>
  </si>
  <si>
    <t>FB260013266</t>
  </si>
  <si>
    <t>FB260012135</t>
  </si>
  <si>
    <t>FB260013235</t>
  </si>
  <si>
    <t>C000001679_SF048858</t>
  </si>
  <si>
    <t>FB260011148</t>
  </si>
  <si>
    <t>FB260011269</t>
  </si>
  <si>
    <t>85440_SW050162</t>
  </si>
  <si>
    <t>FB260011609</t>
  </si>
  <si>
    <t>FB260011959</t>
  </si>
  <si>
    <t>FB260011142</t>
  </si>
  <si>
    <t>FB260013348</t>
  </si>
  <si>
    <t>FB260013345</t>
  </si>
  <si>
    <t>FB260013247</t>
  </si>
  <si>
    <t>FB260013269</t>
  </si>
  <si>
    <t>FB260011140</t>
  </si>
  <si>
    <t>FB260011799</t>
  </si>
  <si>
    <t>FB260011253</t>
  </si>
  <si>
    <t>FB260010819</t>
  </si>
  <si>
    <t>FB260012367</t>
  </si>
  <si>
    <t>FB260012214</t>
  </si>
  <si>
    <t>Q3</t>
  </si>
  <si>
    <t xml:space="preserve">Brand </t>
  </si>
  <si>
    <t>FB260009242</t>
  </si>
  <si>
    <t>fb260013493</t>
  </si>
  <si>
    <t>fb260013124</t>
  </si>
  <si>
    <t>fb260013230</t>
  </si>
  <si>
    <t>fb260013449</t>
  </si>
  <si>
    <t>fb260013267</t>
  </si>
  <si>
    <t>fb260010670</t>
  </si>
  <si>
    <t>fb260011812</t>
  </si>
  <si>
    <t>fb260010491</t>
  </si>
  <si>
    <t>fb260013754</t>
  </si>
  <si>
    <t>fb260012259</t>
  </si>
  <si>
    <t>fb260013346</t>
  </si>
  <si>
    <t>fb260013271</t>
  </si>
  <si>
    <t>fb260013434</t>
  </si>
  <si>
    <t>76537_SW052249</t>
  </si>
  <si>
    <t>FB260011147</t>
  </si>
  <si>
    <t>FB260013249</t>
  </si>
  <si>
    <t>FB260013455</t>
  </si>
  <si>
    <t>FB260013450</t>
  </si>
  <si>
    <t>FB260011697</t>
  </si>
  <si>
    <t>fb260013684</t>
  </si>
  <si>
    <t>C000001423_SW048171</t>
  </si>
  <si>
    <t>FB260011139</t>
  </si>
  <si>
    <t>fb260013162</t>
  </si>
  <si>
    <t>fb260013756</t>
  </si>
  <si>
    <t>11051_SW000770</t>
  </si>
  <si>
    <t>fb260011948</t>
  </si>
  <si>
    <t>fb260011252</t>
  </si>
  <si>
    <t>FB260011723</t>
  </si>
  <si>
    <t>fb260012262</t>
  </si>
  <si>
    <t>C000001679_SF106477</t>
  </si>
  <si>
    <t>fb260011798</t>
  </si>
  <si>
    <t>C000001469_SW048171</t>
  </si>
  <si>
    <t>fb260010781</t>
  </si>
  <si>
    <t>fb260013520</t>
  </si>
  <si>
    <t>fb260011720</t>
  </si>
  <si>
    <t>fb260013459</t>
  </si>
  <si>
    <t>fb260012220</t>
  </si>
  <si>
    <t>fb260013757</t>
  </si>
  <si>
    <t>fb260013232</t>
  </si>
  <si>
    <t>fb260013250</t>
  </si>
  <si>
    <t>fb260011724</t>
  </si>
  <si>
    <t>fb260012261</t>
  </si>
  <si>
    <t>fb260011721</t>
  </si>
  <si>
    <t>fb260013803</t>
  </si>
  <si>
    <t>fb260011522</t>
  </si>
  <si>
    <t>fb260011616</t>
  </si>
  <si>
    <t>FB260012764</t>
  </si>
  <si>
    <t>fb260011698</t>
  </si>
  <si>
    <t>fb260013914</t>
  </si>
  <si>
    <t>FB260011262</t>
  </si>
  <si>
    <t>C000002178_SF051188</t>
  </si>
  <si>
    <t>FB260013601</t>
  </si>
  <si>
    <t>FB260013343</t>
  </si>
  <si>
    <t>FB260013903</t>
  </si>
  <si>
    <t>FB260013922</t>
  </si>
  <si>
    <t>FB260011600</t>
  </si>
  <si>
    <t>FB260011273</t>
  </si>
  <si>
    <t>FB260013738</t>
  </si>
  <si>
    <t>FB260013923</t>
  </si>
  <si>
    <t>FB260013802</t>
  </si>
  <si>
    <t>fb260011280</t>
  </si>
  <si>
    <t>fb260013924</t>
  </si>
  <si>
    <t>fb260013034</t>
  </si>
  <si>
    <t>fb260011292</t>
  </si>
  <si>
    <t>fb260011255</t>
  </si>
  <si>
    <t>fb260011725</t>
  </si>
  <si>
    <t>fb260011722</t>
  </si>
  <si>
    <t>85708_SF048858</t>
  </si>
  <si>
    <t>fb260011699</t>
  </si>
  <si>
    <t>fb260013122</t>
  </si>
  <si>
    <t>FB260011149</t>
  </si>
  <si>
    <t>FB260010656</t>
  </si>
  <si>
    <t>C000002638_SW107322</t>
  </si>
  <si>
    <t>FB260011270</t>
  </si>
  <si>
    <t>FB260011274</t>
  </si>
  <si>
    <t>FB260013920</t>
  </si>
  <si>
    <t>FB260013251</t>
  </si>
  <si>
    <t>FB260013915</t>
  </si>
  <si>
    <t>FB260013121</t>
  </si>
  <si>
    <t>59339_SW034040</t>
  </si>
  <si>
    <t>FB260011595</t>
  </si>
  <si>
    <t>FB260010680</t>
  </si>
  <si>
    <t>C000001626_SF048858</t>
  </si>
  <si>
    <t>fb260011260</t>
  </si>
  <si>
    <t>fb260013960</t>
  </si>
  <si>
    <t>fb260013964</t>
  </si>
  <si>
    <t>fb260012258</t>
  </si>
  <si>
    <t>fb260013805</t>
  </si>
  <si>
    <t>fb260013925</t>
  </si>
  <si>
    <t>fb260011593</t>
  </si>
  <si>
    <t>fb260010795</t>
  </si>
  <si>
    <t>fb260010679</t>
  </si>
  <si>
    <t>66168_SW084573</t>
  </si>
  <si>
    <t>fb260014171</t>
  </si>
  <si>
    <t>fb260013921</t>
  </si>
  <si>
    <t>fb260013926</t>
  </si>
  <si>
    <t>fb260013505</t>
  </si>
  <si>
    <t>fb260011279</t>
  </si>
  <si>
    <t>C000001679_SW034040</t>
  </si>
  <si>
    <t>fb260011814</t>
  </si>
  <si>
    <t>fb260013031</t>
  </si>
  <si>
    <t>79255_SF010348</t>
  </si>
  <si>
    <t>FB260011955</t>
  </si>
  <si>
    <t>FB260013965</t>
  </si>
  <si>
    <t>FB260011268</t>
  </si>
  <si>
    <t>FB260013928</t>
  </si>
  <si>
    <t>FB260013961</t>
  </si>
  <si>
    <t>FB260014076</t>
  </si>
  <si>
    <t>C000002561_SW107322</t>
  </si>
  <si>
    <t>FB260011161</t>
  </si>
  <si>
    <t>FB260013929</t>
  </si>
  <si>
    <t>FB260010917</t>
  </si>
  <si>
    <t>C000002698_SF106477</t>
  </si>
  <si>
    <t>FB260012800</t>
  </si>
  <si>
    <t>FB260013776</t>
  </si>
  <si>
    <t>34988_SW051910</t>
  </si>
  <si>
    <t>fb260012369</t>
  </si>
  <si>
    <t>fb260011264</t>
  </si>
  <si>
    <t>fb260013963</t>
  </si>
  <si>
    <t>fb260011151</t>
  </si>
  <si>
    <t>fb260011813</t>
  </si>
  <si>
    <t>83640_SW106955</t>
  </si>
  <si>
    <t>fb260014165</t>
  </si>
  <si>
    <t>fb260011602</t>
  </si>
  <si>
    <t>34988_SW100755</t>
  </si>
  <si>
    <t>fb260012376</t>
  </si>
  <si>
    <t>fb260010804</t>
  </si>
  <si>
    <t>fb260013933</t>
  </si>
  <si>
    <t>FB260013931</t>
  </si>
  <si>
    <t>FB260013600</t>
  </si>
  <si>
    <t>fb260011815</t>
  </si>
  <si>
    <t>fb260010224</t>
  </si>
  <si>
    <t>FB260011806</t>
  </si>
  <si>
    <t>FB260013936</t>
  </si>
  <si>
    <t>FB260013816</t>
  </si>
  <si>
    <t>FB260011248</t>
  </si>
  <si>
    <t>FB260011592</t>
  </si>
  <si>
    <t>77917_SF048858</t>
  </si>
  <si>
    <t>FB260011152</t>
  </si>
  <si>
    <t>FB260014330</t>
  </si>
  <si>
    <t>C000002453_SW048171</t>
  </si>
  <si>
    <t>FB260012209</t>
  </si>
  <si>
    <t>FB260013541</t>
  </si>
  <si>
    <t>FB260011789</t>
  </si>
  <si>
    <t>FB260014223</t>
  </si>
  <si>
    <t>FB260014222</t>
  </si>
  <si>
    <t>FB260011950</t>
  </si>
  <si>
    <t>FB260013817</t>
  </si>
  <si>
    <t>FB260013937</t>
  </si>
  <si>
    <t>FB260013939</t>
  </si>
  <si>
    <t>FB260012260</t>
  </si>
  <si>
    <t>FB260014164</t>
  </si>
  <si>
    <t>FB260013938</t>
  </si>
  <si>
    <t>83640_SW106959</t>
  </si>
  <si>
    <t>FB260014232</t>
  </si>
  <si>
    <t>FB260013940</t>
  </si>
  <si>
    <t>FB260014335</t>
  </si>
  <si>
    <t>FB260011249</t>
  </si>
  <si>
    <t>FB260014035</t>
  </si>
  <si>
    <t>FB260013943</t>
  </si>
  <si>
    <t>FB260011796</t>
  </si>
  <si>
    <t>FB260013515</t>
  </si>
  <si>
    <t>61851_SW106959</t>
  </si>
  <si>
    <t>FB260014234</t>
  </si>
  <si>
    <t>FB260014166</t>
  </si>
  <si>
    <t>FB260012129</t>
  </si>
  <si>
    <t>FB260011146</t>
  </si>
  <si>
    <t>FB260010804</t>
  </si>
  <si>
    <t>FB260011266</t>
  </si>
  <si>
    <t>FB260014034</t>
  </si>
  <si>
    <t>FB260013941</t>
  </si>
  <si>
    <t>FB260013942</t>
  </si>
  <si>
    <t>FB260014337</t>
  </si>
  <si>
    <t>FB260011275</t>
  </si>
  <si>
    <t>FB260014237</t>
  </si>
  <si>
    <t>61851_SW107263</t>
  </si>
  <si>
    <t>FB260014163</t>
  </si>
  <si>
    <t>FB260013944</t>
  </si>
  <si>
    <t>FB260010682</t>
  </si>
  <si>
    <t>FB260013799</t>
  </si>
  <si>
    <t>FB260011144</t>
  </si>
  <si>
    <t>FB260013457</t>
  </si>
  <si>
    <t>FB260013509</t>
  </si>
  <si>
    <t>FB260013640</t>
  </si>
  <si>
    <t>FB260010224</t>
  </si>
  <si>
    <t>C000001198_SF106477</t>
  </si>
  <si>
    <t>FB260011964</t>
  </si>
  <si>
    <t>FB260014036</t>
  </si>
  <si>
    <t>FB260014239</t>
  </si>
  <si>
    <t>FB260013945</t>
  </si>
  <si>
    <t>FB260013932</t>
  </si>
  <si>
    <t>FB260014353</t>
  </si>
  <si>
    <t>FB260011958</t>
  </si>
  <si>
    <t>FB260014400</t>
  </si>
  <si>
    <t>FB260014395</t>
  </si>
  <si>
    <t>FB260011145</t>
  </si>
  <si>
    <t>FB260014167</t>
  </si>
  <si>
    <t>FB260013638</t>
  </si>
  <si>
    <t>FB260014354</t>
  </si>
  <si>
    <t>FB260006325</t>
  </si>
  <si>
    <t>C000002698_SW048803</t>
  </si>
  <si>
    <t>FB260011702</t>
  </si>
  <si>
    <t>FB260011166</t>
  </si>
  <si>
    <t>FB260011945</t>
  </si>
  <si>
    <t>FB260013642</t>
  </si>
  <si>
    <t>FB260011793</t>
  </si>
  <si>
    <t>FB260014168</t>
  </si>
  <si>
    <t>FB260014197</t>
  </si>
  <si>
    <t>FB260011167</t>
  </si>
  <si>
    <t>FB260013641</t>
  </si>
  <si>
    <t>FB260014355</t>
  </si>
  <si>
    <t>C000002471_SW052292</t>
  </si>
  <si>
    <t>FB260011263</t>
  </si>
  <si>
    <t>FB260011794</t>
  </si>
  <si>
    <t>FB260014401</t>
  </si>
  <si>
    <t>FB260014403</t>
  </si>
  <si>
    <t>37817_SJ108194</t>
  </si>
  <si>
    <t>FB260012142</t>
  </si>
  <si>
    <t>FB260012622</t>
  </si>
  <si>
    <t>FB260011168</t>
  </si>
  <si>
    <t>C000002431_SW048171</t>
  </si>
  <si>
    <t>FB260012131</t>
  </si>
  <si>
    <t>FB260013639</t>
  </si>
  <si>
    <t>FB260012818</t>
  </si>
  <si>
    <t>FB260014341</t>
  </si>
  <si>
    <t>FB260012141</t>
  </si>
  <si>
    <t>FB260012213</t>
  </si>
  <si>
    <t>FB260011431</t>
  </si>
  <si>
    <t>FB260010905</t>
  </si>
  <si>
    <t>FB260014579</t>
  </si>
  <si>
    <t>FB260011597</t>
  </si>
  <si>
    <t>71564_SW106955</t>
  </si>
  <si>
    <t>FB260014209</t>
  </si>
  <si>
    <t>FB260012216</t>
  </si>
  <si>
    <t>FB260011598</t>
  </si>
  <si>
    <t>FB260010704</t>
  </si>
  <si>
    <t>FB260014582</t>
  </si>
  <si>
    <t>FB260011720</t>
  </si>
  <si>
    <t>FB260014583</t>
  </si>
  <si>
    <t>FB260013125</t>
  </si>
  <si>
    <t>FB260014338</t>
  </si>
  <si>
    <t>FB260011952</t>
  </si>
  <si>
    <t>FB260013035</t>
  </si>
  <si>
    <t>FB260011259</t>
  </si>
  <si>
    <t>FB260012370</t>
  </si>
  <si>
    <t>FB260012212</t>
  </si>
  <si>
    <t>FB260014590</t>
  </si>
  <si>
    <t>C000002604_SF012050</t>
  </si>
  <si>
    <t>FB260011819</t>
  </si>
  <si>
    <t>FB260013793</t>
  </si>
  <si>
    <t>FB260014588</t>
  </si>
  <si>
    <t>71564_SW106959</t>
  </si>
  <si>
    <t>FB260014233</t>
  </si>
  <si>
    <t>FB260014736</t>
  </si>
  <si>
    <t>FB260014577</t>
  </si>
  <si>
    <t>59339_SW085043</t>
  </si>
  <si>
    <t>FB260012387</t>
  </si>
  <si>
    <t>FB260013949</t>
  </si>
  <si>
    <t>FB260013523</t>
  </si>
  <si>
    <t>11051_SW047460</t>
  </si>
  <si>
    <t>FB260012297</t>
  </si>
  <si>
    <t>C000002422_SW048171</t>
  </si>
  <si>
    <t>FB260011790</t>
  </si>
  <si>
    <t>85440_SW101405</t>
  </si>
  <si>
    <t>FB260013161</t>
  </si>
  <si>
    <t>FB260014581</t>
  </si>
  <si>
    <t>FB260014563</t>
  </si>
  <si>
    <t>FB260014735</t>
  </si>
  <si>
    <t>FB260013603</t>
  </si>
  <si>
    <t>FB260012300</t>
  </si>
  <si>
    <t>FB260014340</t>
  </si>
  <si>
    <t>FB260013100</t>
  </si>
  <si>
    <t>FB260012154</t>
  </si>
  <si>
    <t>FB260014888</t>
  </si>
  <si>
    <t>FB260014734</t>
  </si>
  <si>
    <t>FB260014499</t>
  </si>
  <si>
    <t>FB260013028</t>
  </si>
  <si>
    <t>FB260013493</t>
  </si>
  <si>
    <t>FB260011786</t>
  </si>
  <si>
    <t>FB260011277</t>
  </si>
  <si>
    <t>FB260013522</t>
  </si>
  <si>
    <t>FB260012620</t>
  </si>
  <si>
    <t>FB260013246</t>
  </si>
  <si>
    <t>FB260012383</t>
  </si>
  <si>
    <t>FB260013607</t>
  </si>
  <si>
    <t>FB260014500</t>
  </si>
  <si>
    <t>FB260014889</t>
  </si>
  <si>
    <t>FB260012816</t>
  </si>
  <si>
    <t>FB260014498</t>
  </si>
  <si>
    <t>FB260013502</t>
  </si>
  <si>
    <t>FB260012294</t>
  </si>
  <si>
    <t>FB260011946</t>
  </si>
  <si>
    <t>FB260010703</t>
  </si>
  <si>
    <t>FB260014532</t>
  </si>
  <si>
    <t>FB260013546</t>
  </si>
  <si>
    <t>FB260012363</t>
  </si>
  <si>
    <t>C000001626_SF106477</t>
  </si>
  <si>
    <t>FB260013609</t>
  </si>
  <si>
    <t>FB260014501</t>
  </si>
  <si>
    <t>FB260010654</t>
  </si>
  <si>
    <t>FB260014815</t>
  </si>
  <si>
    <t>C000001237_SW087953</t>
  </si>
  <si>
    <t>FB260011261</t>
  </si>
  <si>
    <t>FB260013782</t>
  </si>
  <si>
    <t>FB260014535</t>
  </si>
  <si>
    <t>FB260013030</t>
  </si>
  <si>
    <t>FB260014737</t>
  </si>
  <si>
    <t>FB260014738</t>
  </si>
  <si>
    <t>FB260012023</t>
  </si>
  <si>
    <t>FB260013245</t>
  </si>
  <si>
    <t>87485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</si>
</sst>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4" borderId="0" xfId="0" applyFill="1"/>
    <xf numFmtId="0" fontId="0" fillId="34" borderId="10" xfId="0" applyFill="1" applyBorder="1"/>
    <xf numFmtId="0" fontId="0" fillId="33" borderId="11" xfId="0" applyFill="1" applyBorder="1"/>
    <xf numFmtId="0" fontId="0" fillId="34" borderId="10" xfId="0" applyFill="1" applyBorder="1" applyAlignment="1">
      <alignment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center" vertical="center"/>
    </xf>
    <xf numFmtId="0" fontId="0" fillId="0" borderId="10" xfId="0" applyBorder="1"/>
    <xf numFmtId="0" fontId="0" fillId="33" borderId="12" xfId="0" applyFill="1" applyBorder="1"/>
    <xf numFmtId="14" fontId="0" fillId="33" borderId="11" xfId="0" applyNumberFormat="1" applyFill="1" applyBorder="1"/>
    <xf numFmtId="14" fontId="0" fillId="34" borderId="0" xfId="0" applyNumberFormat="1" applyFill="1"/>
    <xf numFmtId="14" fontId="0" fillId="34" borderId="0" xfId="0" applyNumberFormat="1" applyFill="1" applyAlignment="1">
      <alignment vertical="center"/>
    </xf>
    <xf numFmtId="0" fontId="0" fillId="35" borderId="0" xfId="0" applyFill="1"/>
    <xf numFmtId="164" fontId="0" fillId="33" borderId="11" xfId="0" applyNumberFormat="1" applyFill="1" applyBorder="1"/>
    <xf numFmtId="164" fontId="0" fillId="0" borderId="10" xfId="0" applyNumberFormat="1" applyBorder="1"/>
    <xf numFmtId="164" fontId="0" fillId="34" borderId="0" xfId="0" applyNumberFormat="1" applyFill="1" applyAlignment="1">
      <alignment vertical="center"/>
    </xf>
    <xf numFmtId="0" fontId="0" fillId="36" borderId="10" xfId="0" applyFill="1" applyBorder="1"/>
    <xf numFmtId="0" fontId="0" fillId="36" borderId="10" xfId="0" applyFill="1" applyBorder="1" applyAlignment="1">
      <alignment vertical="center"/>
    </xf>
    <xf numFmtId="14" fontId="0" fillId="0" borderId="10" xfId="0" applyNumberFormat="1" applyBorder="1"/>
    <xf numFmtId="2" fontId="0" fillId="33" borderId="12" xfId="0" applyNumberFormat="1" applyFill="1" applyBorder="1"/>
    <xf numFmtId="2" fontId="0" fillId="0" borderId="10" xfId="0" applyNumberFormat="1" applyBorder="1"/>
    <xf numFmtId="2" fontId="0" fillId="34" borderId="0" xfId="0" applyNumberFormat="1" applyFill="1" applyAlignment="1">
      <alignment vertical="center"/>
    </xf>
    <xf numFmtId="15" fontId="0" fillId="0" borderId="0" xfId="0" applyNumberFormat="1"/>
    <xf numFmtId="21" fontId="0" fillId="0" borderId="0" xfId="0" applyNumberFormat="1"/>
    <xf numFmtId="15" fontId="0" fillId="0" borderId="10" xfId="0" applyNumberFormat="1" applyBorder="1"/>
    <xf numFmtId="14" fontId="0" fillId="0" borderId="0" xfId="0" applyNumberFormat="1"/>
    <xf numFmtId="21" fontId="0" fillId="0" borderId="10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0" fontId="0" fillId="35" borderId="0" xfId="0" applyFill="1" applyAlignment="1">
      <alignment vertical="center"/>
    </xf>
    <xf numFmtId="15" fontId="0" fillId="35" borderId="0" xfId="0" applyNumberFormat="1" applyFill="1"/>
    <xf numFmtId="2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Color%20Lab%20Analysis%20New%20-%20June/Table.xlsx" TargetMode="External"/><Relationship Id="rId1" Type="http://schemas.openxmlformats.org/officeDocument/2006/relationships/externalLinkPath" Target="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Assinged%20Quadrent%20marking%20details%20Main%20Sheet.xlsx" TargetMode="External"/><Relationship Id="rId1" Type="http://schemas.openxmlformats.org/officeDocument/2006/relationships/externalLinkPath" Target="Assinged%20Quadrent%20marking%20details%20Main%20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Color%20Lab%20Analysis%20New%20-%20June/Assinged%20Quadrent%20Mark%20-%20Sandaruwan%20Sheet.xlsx" TargetMode="External"/><Relationship Id="rId1" Type="http://schemas.openxmlformats.org/officeDocument/2006/relationships/externalLinkPath" Target="Assinged%20Quadrent%20Mark%20-%20Sandaruwan%20Shee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Approved%20%20C%20and%20N%20Main%20Sheet.xlsx" TargetMode="External"/><Relationship Id="rId1" Type="http://schemas.openxmlformats.org/officeDocument/2006/relationships/externalLinkPath" Target="Approved%20%20C%20and%20N%20Main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">
          <cell r="A2" t="str">
            <v>FB250000719</v>
          </cell>
          <cell r="D2" t="str">
            <v>VSS</v>
          </cell>
        </row>
        <row r="3">
          <cell r="A3" t="str">
            <v>FB250001226</v>
          </cell>
          <cell r="D3" t="str">
            <v>CK</v>
          </cell>
        </row>
        <row r="4">
          <cell r="A4" t="str">
            <v>FB250002634</v>
          </cell>
          <cell r="D4" t="str">
            <v>PEP</v>
          </cell>
        </row>
        <row r="5">
          <cell r="A5" t="str">
            <v>FB250002726</v>
          </cell>
          <cell r="D5" t="str">
            <v>TEZ</v>
          </cell>
        </row>
        <row r="6">
          <cell r="A6" t="str">
            <v>FB250002731</v>
          </cell>
          <cell r="D6" t="str">
            <v>TEZ</v>
          </cell>
        </row>
        <row r="7">
          <cell r="A7" t="str">
            <v>FB250004134</v>
          </cell>
          <cell r="D7" t="str">
            <v>INT1</v>
          </cell>
        </row>
        <row r="8">
          <cell r="A8" t="str">
            <v>FB250009959</v>
          </cell>
          <cell r="D8" t="str">
            <v>CK</v>
          </cell>
        </row>
        <row r="9">
          <cell r="A9" t="str">
            <v>FB250014106</v>
          </cell>
          <cell r="D9" t="str">
            <v>SPA</v>
          </cell>
        </row>
        <row r="10">
          <cell r="A10" t="str">
            <v>FB250014845</v>
          </cell>
          <cell r="D10" t="str">
            <v>SKI</v>
          </cell>
        </row>
        <row r="11">
          <cell r="A11" t="str">
            <v>FB250015875</v>
          </cell>
          <cell r="D11" t="str">
            <v>INT1</v>
          </cell>
        </row>
        <row r="12">
          <cell r="A12" t="str">
            <v>FB250016048</v>
          </cell>
          <cell r="D12" t="str">
            <v>LBI</v>
          </cell>
        </row>
        <row r="13">
          <cell r="A13" t="str">
            <v>FB250017239</v>
          </cell>
          <cell r="D13" t="str">
            <v>GAP</v>
          </cell>
        </row>
        <row r="14">
          <cell r="A14" t="str">
            <v>FB250017276</v>
          </cell>
          <cell r="D14" t="str">
            <v>SAV</v>
          </cell>
        </row>
        <row r="15">
          <cell r="A15" t="str">
            <v>FB250017726</v>
          </cell>
          <cell r="D15" t="str">
            <v>SKI</v>
          </cell>
        </row>
        <row r="16">
          <cell r="A16" t="str">
            <v>FB250017821</v>
          </cell>
          <cell r="D16" t="str">
            <v>INT1</v>
          </cell>
        </row>
        <row r="17">
          <cell r="A17" t="str">
            <v>FB250017822</v>
          </cell>
          <cell r="D17" t="str">
            <v>INT1</v>
          </cell>
        </row>
        <row r="18">
          <cell r="A18" t="str">
            <v>FB250017829</v>
          </cell>
          <cell r="D18" t="str">
            <v>LULU</v>
          </cell>
        </row>
        <row r="19">
          <cell r="A19" t="str">
            <v>FB250017841</v>
          </cell>
          <cell r="D19" t="str">
            <v>CK</v>
          </cell>
        </row>
        <row r="20">
          <cell r="A20" t="str">
            <v>FB250017902</v>
          </cell>
          <cell r="D20" t="str">
            <v>CK</v>
          </cell>
        </row>
        <row r="21">
          <cell r="A21" t="str">
            <v>FB250018334</v>
          </cell>
          <cell r="D21" t="str">
            <v>INT1</v>
          </cell>
        </row>
        <row r="22">
          <cell r="A22" t="str">
            <v>FB250018335</v>
          </cell>
          <cell r="D22" t="str">
            <v>INT1</v>
          </cell>
        </row>
        <row r="23">
          <cell r="A23" t="str">
            <v>FB250020907</v>
          </cell>
          <cell r="D23" t="str">
            <v>M&amp;S</v>
          </cell>
        </row>
        <row r="24">
          <cell r="A24" t="str">
            <v>FB250020908</v>
          </cell>
          <cell r="D24" t="str">
            <v>M&amp;S</v>
          </cell>
        </row>
        <row r="25">
          <cell r="A25" t="str">
            <v>FB250021610</v>
          </cell>
          <cell r="D25" t="str">
            <v>VSS</v>
          </cell>
        </row>
        <row r="26">
          <cell r="A26" t="str">
            <v>FB250021647</v>
          </cell>
          <cell r="D26" t="str">
            <v>NIK</v>
          </cell>
        </row>
        <row r="27">
          <cell r="A27" t="str">
            <v>FB250022561</v>
          </cell>
          <cell r="D27" t="str">
            <v>M&amp;S</v>
          </cell>
        </row>
        <row r="28">
          <cell r="A28" t="str">
            <v>FB250022571</v>
          </cell>
          <cell r="D28" t="str">
            <v>LULU</v>
          </cell>
        </row>
        <row r="29">
          <cell r="A29" t="str">
            <v>FB250023666</v>
          </cell>
          <cell r="D29" t="str">
            <v>VSS</v>
          </cell>
        </row>
        <row r="30">
          <cell r="A30" t="str">
            <v>FB250023740</v>
          </cell>
          <cell r="D30" t="str">
            <v>VSS</v>
          </cell>
        </row>
        <row r="31">
          <cell r="A31" t="str">
            <v>FB250023753</v>
          </cell>
          <cell r="D31" t="str">
            <v>TORD</v>
          </cell>
        </row>
        <row r="32">
          <cell r="A32" t="str">
            <v>FB250023800</v>
          </cell>
          <cell r="D32" t="str">
            <v>M&amp;S</v>
          </cell>
        </row>
        <row r="33">
          <cell r="A33" t="str">
            <v>FB250023808</v>
          </cell>
          <cell r="D33" t="str">
            <v>VSS</v>
          </cell>
        </row>
        <row r="34">
          <cell r="A34" t="str">
            <v>FB250023976</v>
          </cell>
          <cell r="D34" t="str">
            <v>M&amp;S</v>
          </cell>
        </row>
        <row r="35">
          <cell r="A35" t="str">
            <v>FB250023992</v>
          </cell>
          <cell r="D35" t="str">
            <v>LULU</v>
          </cell>
        </row>
        <row r="36">
          <cell r="A36" t="str">
            <v>FB250024477</v>
          </cell>
          <cell r="D36" t="str">
            <v>CK</v>
          </cell>
        </row>
        <row r="37">
          <cell r="A37" t="str">
            <v>FB250024538</v>
          </cell>
          <cell r="D37" t="str">
            <v>M&amp;S</v>
          </cell>
        </row>
        <row r="38">
          <cell r="A38" t="str">
            <v>FB250024549</v>
          </cell>
          <cell r="D38" t="str">
            <v>LULU</v>
          </cell>
        </row>
        <row r="39">
          <cell r="A39" t="str">
            <v>FB250024764</v>
          </cell>
          <cell r="D39" t="str">
            <v>LULU</v>
          </cell>
        </row>
        <row r="40">
          <cell r="A40" t="str">
            <v>FB250024765</v>
          </cell>
          <cell r="D40" t="str">
            <v>LULU</v>
          </cell>
        </row>
        <row r="41">
          <cell r="A41" t="str">
            <v>FB250024796</v>
          </cell>
          <cell r="D41" t="str">
            <v>TORD</v>
          </cell>
        </row>
        <row r="42">
          <cell r="A42" t="str">
            <v>FB250024936</v>
          </cell>
          <cell r="D42" t="str">
            <v>VSS</v>
          </cell>
        </row>
        <row r="43">
          <cell r="A43" t="str">
            <v>FB250024965</v>
          </cell>
          <cell r="D43" t="str">
            <v>VSS</v>
          </cell>
        </row>
        <row r="44">
          <cell r="A44" t="str">
            <v>FB250025044</v>
          </cell>
          <cell r="D44" t="str">
            <v>TORD</v>
          </cell>
        </row>
        <row r="45">
          <cell r="A45" t="str">
            <v>FB250025315</v>
          </cell>
          <cell r="D45" t="str">
            <v>LULU</v>
          </cell>
        </row>
        <row r="46">
          <cell r="A46" t="str">
            <v>FB250025375</v>
          </cell>
          <cell r="D46" t="str">
            <v>LBI</v>
          </cell>
        </row>
        <row r="47">
          <cell r="A47" t="str">
            <v>FB250025786</v>
          </cell>
          <cell r="D47" t="str">
            <v>M&amp;S</v>
          </cell>
        </row>
        <row r="48">
          <cell r="A48" t="str">
            <v>FB250025949</v>
          </cell>
          <cell r="D48" t="str">
            <v>M&amp;S</v>
          </cell>
        </row>
        <row r="49">
          <cell r="A49" t="str">
            <v>FB250025974</v>
          </cell>
          <cell r="D49" t="str">
            <v>NEWB</v>
          </cell>
        </row>
        <row r="50">
          <cell r="A50" t="str">
            <v>FB250026029</v>
          </cell>
          <cell r="D50" t="str">
            <v>VSS</v>
          </cell>
        </row>
        <row r="51">
          <cell r="A51" t="str">
            <v>FB250026032</v>
          </cell>
          <cell r="D51" t="str">
            <v>VSS</v>
          </cell>
        </row>
        <row r="52">
          <cell r="A52" t="str">
            <v>FB250026274</v>
          </cell>
          <cell r="D52" t="str">
            <v>LULU</v>
          </cell>
        </row>
        <row r="53">
          <cell r="A53" t="str">
            <v>FB250026292</v>
          </cell>
          <cell r="D53" t="str">
            <v>M&amp;S</v>
          </cell>
        </row>
        <row r="54">
          <cell r="A54" t="str">
            <v>FB250026307</v>
          </cell>
          <cell r="D54" t="str">
            <v>NIK</v>
          </cell>
        </row>
        <row r="55">
          <cell r="A55" t="str">
            <v>FB250026369</v>
          </cell>
          <cell r="D55" t="str">
            <v>TORD</v>
          </cell>
        </row>
        <row r="56">
          <cell r="A56" t="str">
            <v>FB250026376</v>
          </cell>
          <cell r="D56" t="str">
            <v>NIK</v>
          </cell>
        </row>
        <row r="57">
          <cell r="A57" t="str">
            <v>FB250026495</v>
          </cell>
          <cell r="D57" t="str">
            <v>INT1</v>
          </cell>
        </row>
        <row r="58">
          <cell r="A58" t="str">
            <v>FB250026499</v>
          </cell>
          <cell r="D58" t="str">
            <v>NEX</v>
          </cell>
        </row>
        <row r="59">
          <cell r="A59" t="str">
            <v>FB250026501</v>
          </cell>
          <cell r="D59" t="str">
            <v>NEX</v>
          </cell>
        </row>
        <row r="60">
          <cell r="A60" t="str">
            <v>FB250026502</v>
          </cell>
          <cell r="D60" t="str">
            <v>NEX</v>
          </cell>
        </row>
        <row r="61">
          <cell r="A61" t="str">
            <v>FB250026527</v>
          </cell>
          <cell r="D61" t="str">
            <v>M&amp;S</v>
          </cell>
        </row>
        <row r="62">
          <cell r="A62" t="str">
            <v>FB250026529</v>
          </cell>
          <cell r="D62" t="str">
            <v>LULU</v>
          </cell>
        </row>
        <row r="63">
          <cell r="A63" t="str">
            <v>FB250026549</v>
          </cell>
          <cell r="D63" t="str">
            <v>LBI</v>
          </cell>
        </row>
        <row r="64">
          <cell r="A64" t="str">
            <v>FB250026650</v>
          </cell>
          <cell r="D64" t="str">
            <v>M&amp;S</v>
          </cell>
        </row>
        <row r="65">
          <cell r="A65" t="str">
            <v>FB250026653</v>
          </cell>
          <cell r="D65" t="str">
            <v>M&amp;S</v>
          </cell>
        </row>
        <row r="66">
          <cell r="A66" t="str">
            <v>FB250026663</v>
          </cell>
          <cell r="D66" t="str">
            <v>TESCO</v>
          </cell>
        </row>
        <row r="67">
          <cell r="A67" t="str">
            <v>FB250026845</v>
          </cell>
          <cell r="D67" t="str">
            <v>NIK</v>
          </cell>
        </row>
        <row r="68">
          <cell r="A68" t="str">
            <v>FB250026846</v>
          </cell>
          <cell r="D68" t="str">
            <v>NIK</v>
          </cell>
        </row>
        <row r="69">
          <cell r="A69" t="str">
            <v>FB250026864</v>
          </cell>
          <cell r="D69" t="str">
            <v>VSS</v>
          </cell>
        </row>
        <row r="70">
          <cell r="A70" t="str">
            <v>FB250026886</v>
          </cell>
          <cell r="D70" t="str">
            <v>VSS</v>
          </cell>
        </row>
        <row r="71">
          <cell r="A71" t="str">
            <v>FB250026887</v>
          </cell>
          <cell r="D71" t="str">
            <v>CHICOS</v>
          </cell>
        </row>
        <row r="72">
          <cell r="A72" t="str">
            <v>FB250026888</v>
          </cell>
          <cell r="D72" t="str">
            <v>CHICOS</v>
          </cell>
        </row>
        <row r="73">
          <cell r="A73" t="str">
            <v>FB250026898</v>
          </cell>
          <cell r="D73" t="str">
            <v>VSS</v>
          </cell>
        </row>
        <row r="74">
          <cell r="A74" t="str">
            <v>FB250026951</v>
          </cell>
          <cell r="D74" t="str">
            <v>M&amp;S</v>
          </cell>
        </row>
        <row r="75">
          <cell r="A75" t="str">
            <v>FB250026953</v>
          </cell>
          <cell r="D75" t="str">
            <v>M&amp;S</v>
          </cell>
        </row>
        <row r="76">
          <cell r="A76" t="str">
            <v>FB250026954</v>
          </cell>
          <cell r="D76" t="str">
            <v>M&amp;S</v>
          </cell>
        </row>
        <row r="77">
          <cell r="A77" t="str">
            <v>FB250026956</v>
          </cell>
          <cell r="D77" t="str">
            <v>M&amp;S</v>
          </cell>
        </row>
        <row r="78">
          <cell r="A78" t="str">
            <v>FB250026992</v>
          </cell>
          <cell r="D78" t="str">
            <v>CK</v>
          </cell>
        </row>
        <row r="79">
          <cell r="A79" t="str">
            <v>FB250026994</v>
          </cell>
          <cell r="D79" t="str">
            <v>CK</v>
          </cell>
        </row>
        <row r="80">
          <cell r="A80" t="str">
            <v>FB250027017</v>
          </cell>
          <cell r="D80" t="str">
            <v>CK</v>
          </cell>
        </row>
        <row r="81">
          <cell r="A81" t="str">
            <v>FB250027037</v>
          </cell>
          <cell r="D81" t="str">
            <v>PINK</v>
          </cell>
        </row>
        <row r="82">
          <cell r="A82" t="str">
            <v>FB250027042</v>
          </cell>
          <cell r="D82" t="str">
            <v>VSS</v>
          </cell>
        </row>
        <row r="83">
          <cell r="A83" t="str">
            <v>FB250027046</v>
          </cell>
          <cell r="D83" t="str">
            <v>CHICOS</v>
          </cell>
        </row>
        <row r="84">
          <cell r="A84" t="str">
            <v>FB250027047</v>
          </cell>
          <cell r="D84" t="str">
            <v>CHICOS</v>
          </cell>
        </row>
        <row r="85">
          <cell r="A85" t="str">
            <v>FB250027049</v>
          </cell>
          <cell r="D85" t="str">
            <v>WACE</v>
          </cell>
        </row>
        <row r="86">
          <cell r="A86" t="str">
            <v>FB250027054</v>
          </cell>
          <cell r="D86" t="str">
            <v>NEWB</v>
          </cell>
        </row>
        <row r="87">
          <cell r="A87" t="str">
            <v>FB250027055</v>
          </cell>
          <cell r="D87" t="str">
            <v>WACE</v>
          </cell>
        </row>
        <row r="88">
          <cell r="A88" t="str">
            <v>FB250027064</v>
          </cell>
          <cell r="D88" t="str">
            <v>ESS2</v>
          </cell>
        </row>
        <row r="89">
          <cell r="A89" t="str">
            <v>FB250027098</v>
          </cell>
          <cell r="D89" t="str">
            <v>NEX</v>
          </cell>
        </row>
        <row r="90">
          <cell r="A90" t="str">
            <v>FB250027101</v>
          </cell>
          <cell r="D90" t="str">
            <v>NIK</v>
          </cell>
        </row>
        <row r="91">
          <cell r="A91" t="str">
            <v>FB250027102</v>
          </cell>
          <cell r="D91" t="str">
            <v>NIK</v>
          </cell>
        </row>
        <row r="92">
          <cell r="A92" t="str">
            <v>FB250027103</v>
          </cell>
          <cell r="D92" t="str">
            <v>NIK</v>
          </cell>
        </row>
        <row r="93">
          <cell r="A93" t="str">
            <v>FB250027107</v>
          </cell>
          <cell r="D93" t="str">
            <v>VSS</v>
          </cell>
        </row>
        <row r="94">
          <cell r="A94" t="str">
            <v>FB250027129</v>
          </cell>
          <cell r="D94" t="str">
            <v>KOM</v>
          </cell>
        </row>
        <row r="95">
          <cell r="A95" t="str">
            <v>FB250027132</v>
          </cell>
          <cell r="D95" t="str">
            <v>NEWB</v>
          </cell>
        </row>
        <row r="96">
          <cell r="A96" t="str">
            <v>FB250027207</v>
          </cell>
          <cell r="D96" t="str">
            <v>LBI</v>
          </cell>
        </row>
        <row r="97">
          <cell r="A97" t="str">
            <v>FB250027219</v>
          </cell>
          <cell r="D97" t="str">
            <v>WACE</v>
          </cell>
        </row>
        <row r="98">
          <cell r="A98" t="str">
            <v>FB250027225</v>
          </cell>
          <cell r="D98" t="str">
            <v>PINK</v>
          </cell>
        </row>
        <row r="99">
          <cell r="A99" t="str">
            <v>FB250027226</v>
          </cell>
          <cell r="D99" t="str">
            <v>PINK</v>
          </cell>
        </row>
        <row r="100">
          <cell r="A100" t="str">
            <v>FB250027227</v>
          </cell>
          <cell r="D100" t="str">
            <v>NIK</v>
          </cell>
        </row>
        <row r="101">
          <cell r="A101" t="str">
            <v>FB250027229</v>
          </cell>
          <cell r="D101" t="str">
            <v>PINK</v>
          </cell>
        </row>
        <row r="102">
          <cell r="A102" t="str">
            <v>FB250027230</v>
          </cell>
          <cell r="D102" t="str">
            <v>PINK</v>
          </cell>
        </row>
        <row r="103">
          <cell r="A103" t="str">
            <v>FB250027232</v>
          </cell>
          <cell r="D103" t="str">
            <v>NIK</v>
          </cell>
        </row>
        <row r="104">
          <cell r="A104" t="str">
            <v>FB250027238</v>
          </cell>
          <cell r="D104" t="str">
            <v>M&amp;S</v>
          </cell>
        </row>
        <row r="105">
          <cell r="A105" t="str">
            <v>FB250027247</v>
          </cell>
          <cell r="D105" t="str">
            <v>NIK</v>
          </cell>
        </row>
        <row r="106">
          <cell r="A106" t="str">
            <v>FB250027268</v>
          </cell>
          <cell r="D106" t="str">
            <v>TEZ</v>
          </cell>
        </row>
        <row r="107">
          <cell r="A107" t="str">
            <v>FB250027296</v>
          </cell>
          <cell r="D107" t="str">
            <v>PINK</v>
          </cell>
        </row>
        <row r="108">
          <cell r="A108" t="str">
            <v>FB250027297</v>
          </cell>
          <cell r="D108" t="str">
            <v>PINK</v>
          </cell>
        </row>
        <row r="109">
          <cell r="A109" t="str">
            <v>FB250027299</v>
          </cell>
          <cell r="D109" t="str">
            <v>PINK</v>
          </cell>
        </row>
        <row r="110">
          <cell r="A110" t="str">
            <v>FB250027304</v>
          </cell>
          <cell r="D110" t="str">
            <v>PINK</v>
          </cell>
        </row>
        <row r="111">
          <cell r="A111" t="str">
            <v>FB250027305</v>
          </cell>
          <cell r="D111" t="str">
            <v>PINK</v>
          </cell>
        </row>
        <row r="112">
          <cell r="A112" t="str">
            <v>FB250027309</v>
          </cell>
          <cell r="D112" t="str">
            <v>PINK</v>
          </cell>
        </row>
        <row r="113">
          <cell r="A113" t="str">
            <v>FB250027313</v>
          </cell>
          <cell r="D113" t="str">
            <v>PINK</v>
          </cell>
        </row>
        <row r="114">
          <cell r="A114" t="str">
            <v>FB250027314</v>
          </cell>
          <cell r="D114" t="str">
            <v>PINK</v>
          </cell>
        </row>
        <row r="115">
          <cell r="A115" t="str">
            <v>FB250027315</v>
          </cell>
          <cell r="D115" t="str">
            <v>PINK</v>
          </cell>
        </row>
        <row r="116">
          <cell r="A116" t="str">
            <v>FB250027316</v>
          </cell>
          <cell r="D116" t="str">
            <v>PINK</v>
          </cell>
        </row>
        <row r="117">
          <cell r="A117" t="str">
            <v>FB250027367</v>
          </cell>
          <cell r="D117" t="str">
            <v>PINK</v>
          </cell>
        </row>
        <row r="118">
          <cell r="A118" t="str">
            <v>FB250027372</v>
          </cell>
          <cell r="D118" t="str">
            <v>PINK</v>
          </cell>
        </row>
        <row r="119">
          <cell r="A119" t="str">
            <v>FB250027411</v>
          </cell>
          <cell r="D119" t="str">
            <v>PINK</v>
          </cell>
        </row>
        <row r="120">
          <cell r="A120" t="str">
            <v>FB250027413</v>
          </cell>
          <cell r="D120" t="str">
            <v>PINK</v>
          </cell>
        </row>
        <row r="121">
          <cell r="A121" t="str">
            <v>FB250027414</v>
          </cell>
          <cell r="D121" t="str">
            <v>PINK</v>
          </cell>
        </row>
        <row r="122">
          <cell r="A122" t="str">
            <v>FB250027435</v>
          </cell>
          <cell r="D122" t="str">
            <v>M&amp;S</v>
          </cell>
        </row>
        <row r="123">
          <cell r="A123" t="str">
            <v>FB250027443</v>
          </cell>
          <cell r="D123" t="str">
            <v>PINK</v>
          </cell>
        </row>
        <row r="124">
          <cell r="A124" t="str">
            <v>FB250027444</v>
          </cell>
          <cell r="D124" t="str">
            <v>PINK</v>
          </cell>
        </row>
        <row r="125">
          <cell r="A125" t="str">
            <v>FB250027467</v>
          </cell>
          <cell r="D125" t="str">
            <v>LULU</v>
          </cell>
        </row>
        <row r="126">
          <cell r="A126" t="str">
            <v>FB250027479</v>
          </cell>
          <cell r="D126" t="str">
            <v>LBI</v>
          </cell>
        </row>
        <row r="127">
          <cell r="A127" t="str">
            <v>FB250027481</v>
          </cell>
          <cell r="D127" t="str">
            <v>PINK</v>
          </cell>
        </row>
        <row r="128">
          <cell r="A128" t="str">
            <v>FB250027485</v>
          </cell>
          <cell r="D128" t="str">
            <v>PINK</v>
          </cell>
        </row>
        <row r="129">
          <cell r="A129" t="str">
            <v>FB250027487</v>
          </cell>
          <cell r="D129" t="str">
            <v>VSS</v>
          </cell>
        </row>
        <row r="130">
          <cell r="A130" t="str">
            <v>FB250027502</v>
          </cell>
          <cell r="D130" t="str">
            <v>CK</v>
          </cell>
        </row>
        <row r="131">
          <cell r="A131" t="str">
            <v>FB250027503</v>
          </cell>
          <cell r="D131" t="str">
            <v>TEZ</v>
          </cell>
        </row>
        <row r="132">
          <cell r="A132" t="str">
            <v>FB250027504</v>
          </cell>
          <cell r="D132" t="str">
            <v>TEZ</v>
          </cell>
        </row>
        <row r="133">
          <cell r="A133" t="str">
            <v>FB250027507</v>
          </cell>
          <cell r="D133" t="str">
            <v>WACE</v>
          </cell>
        </row>
        <row r="134">
          <cell r="A134" t="str">
            <v>FB250027525</v>
          </cell>
          <cell r="D134" t="str">
            <v>M&amp;S</v>
          </cell>
        </row>
        <row r="135">
          <cell r="A135" t="str">
            <v>FB250027526</v>
          </cell>
          <cell r="D135" t="str">
            <v>M&amp;S</v>
          </cell>
        </row>
        <row r="136">
          <cell r="A136" t="str">
            <v>FB250027530</v>
          </cell>
          <cell r="D136" t="str">
            <v>PINK</v>
          </cell>
        </row>
        <row r="137">
          <cell r="A137" t="str">
            <v>FB250027545</v>
          </cell>
          <cell r="D137" t="str">
            <v>VSS</v>
          </cell>
        </row>
        <row r="138">
          <cell r="A138" t="str">
            <v>FB250027561</v>
          </cell>
          <cell r="D138" t="str">
            <v>THX</v>
          </cell>
        </row>
        <row r="139">
          <cell r="A139" t="str">
            <v>FB250027568</v>
          </cell>
          <cell r="D139" t="str">
            <v>M&amp;S</v>
          </cell>
        </row>
        <row r="140">
          <cell r="A140" t="str">
            <v>FB250027577</v>
          </cell>
          <cell r="D140" t="str">
            <v>TORD</v>
          </cell>
        </row>
        <row r="141">
          <cell r="A141" t="str">
            <v>FB250027584</v>
          </cell>
          <cell r="D141" t="str">
            <v>NIK</v>
          </cell>
        </row>
        <row r="142">
          <cell r="A142" t="str">
            <v>FB250027597</v>
          </cell>
          <cell r="D142" t="str">
            <v>LULU</v>
          </cell>
        </row>
        <row r="143">
          <cell r="A143" t="str">
            <v>FB250027616</v>
          </cell>
          <cell r="D143" t="str">
            <v>VSS</v>
          </cell>
        </row>
        <row r="144">
          <cell r="A144" t="str">
            <v>FB250027618</v>
          </cell>
          <cell r="D144" t="str">
            <v>VSS</v>
          </cell>
        </row>
        <row r="145">
          <cell r="A145" t="str">
            <v>FB250027619</v>
          </cell>
          <cell r="D145" t="str">
            <v>VSS</v>
          </cell>
        </row>
        <row r="146">
          <cell r="A146" t="str">
            <v>FB250027621</v>
          </cell>
          <cell r="D146" t="str">
            <v>VSS</v>
          </cell>
        </row>
        <row r="147">
          <cell r="A147" t="str">
            <v>FB250027622</v>
          </cell>
          <cell r="D147" t="str">
            <v>VSS</v>
          </cell>
        </row>
        <row r="148">
          <cell r="A148" t="str">
            <v>FB250027624</v>
          </cell>
          <cell r="D148" t="str">
            <v>VSS</v>
          </cell>
        </row>
        <row r="149">
          <cell r="A149" t="str">
            <v>FB250027625</v>
          </cell>
          <cell r="D149" t="str">
            <v>VSS</v>
          </cell>
        </row>
        <row r="150">
          <cell r="A150" t="str">
            <v>FB250027629</v>
          </cell>
          <cell r="D150" t="str">
            <v>VSS</v>
          </cell>
        </row>
        <row r="151">
          <cell r="A151" t="str">
            <v>FB250027672</v>
          </cell>
          <cell r="D151" t="str">
            <v>NIK</v>
          </cell>
        </row>
        <row r="152">
          <cell r="A152" t="str">
            <v>FB250027673</v>
          </cell>
          <cell r="D152" t="str">
            <v>NIK</v>
          </cell>
        </row>
        <row r="153">
          <cell r="A153" t="str">
            <v>FB250027674</v>
          </cell>
          <cell r="D153" t="str">
            <v>NIK</v>
          </cell>
        </row>
        <row r="154">
          <cell r="A154" t="str">
            <v>FB250027697</v>
          </cell>
          <cell r="D154" t="str">
            <v>NIK</v>
          </cell>
        </row>
        <row r="155">
          <cell r="A155" t="str">
            <v>FB250027721</v>
          </cell>
          <cell r="D155" t="str">
            <v>KOM</v>
          </cell>
        </row>
        <row r="156">
          <cell r="A156" t="str">
            <v>FB250027726</v>
          </cell>
          <cell r="D156" t="str">
            <v>LULU</v>
          </cell>
        </row>
        <row r="157">
          <cell r="A157" t="str">
            <v>FB250027727</v>
          </cell>
          <cell r="D157" t="str">
            <v>WACE</v>
          </cell>
        </row>
        <row r="158">
          <cell r="A158" t="str">
            <v>FB250027728</v>
          </cell>
          <cell r="D158" t="str">
            <v>WACE</v>
          </cell>
        </row>
        <row r="159">
          <cell r="A159" t="str">
            <v>FB250027751</v>
          </cell>
          <cell r="D159" t="str">
            <v>VSS</v>
          </cell>
        </row>
        <row r="160">
          <cell r="A160" t="str">
            <v>FB250027752</v>
          </cell>
          <cell r="D160" t="str">
            <v>VSS</v>
          </cell>
        </row>
        <row r="161">
          <cell r="A161" t="str">
            <v>FB250027754</v>
          </cell>
          <cell r="D161" t="str">
            <v>VSS</v>
          </cell>
        </row>
        <row r="162">
          <cell r="A162" t="str">
            <v>FB250027771</v>
          </cell>
          <cell r="D162" t="str">
            <v>LULU</v>
          </cell>
        </row>
        <row r="163">
          <cell r="A163" t="str">
            <v>FB250027772</v>
          </cell>
          <cell r="D163" t="str">
            <v>LULU</v>
          </cell>
        </row>
        <row r="164">
          <cell r="A164" t="str">
            <v>FB250027773</v>
          </cell>
          <cell r="D164" t="str">
            <v>LULU</v>
          </cell>
        </row>
        <row r="165">
          <cell r="A165" t="str">
            <v>FB250027774</v>
          </cell>
          <cell r="D165" t="str">
            <v>LULU</v>
          </cell>
        </row>
        <row r="166">
          <cell r="A166" t="str">
            <v>FB250027775</v>
          </cell>
          <cell r="D166" t="str">
            <v>LULU</v>
          </cell>
        </row>
        <row r="167">
          <cell r="A167" t="str">
            <v>FB250027880</v>
          </cell>
          <cell r="D167" t="str">
            <v>WACE</v>
          </cell>
        </row>
        <row r="168">
          <cell r="A168" t="str">
            <v>FB250027881</v>
          </cell>
          <cell r="D168" t="str">
            <v>WACE</v>
          </cell>
        </row>
        <row r="169">
          <cell r="A169" t="str">
            <v>FB250027883</v>
          </cell>
          <cell r="D169" t="str">
            <v>WACE</v>
          </cell>
        </row>
        <row r="170">
          <cell r="A170" t="str">
            <v>FB250027884</v>
          </cell>
          <cell r="D170" t="str">
            <v>M&amp;S</v>
          </cell>
        </row>
        <row r="171">
          <cell r="A171" t="str">
            <v>FB250027885</v>
          </cell>
          <cell r="D171" t="str">
            <v>M&amp;S</v>
          </cell>
        </row>
        <row r="172">
          <cell r="A172" t="str">
            <v>FB250027886</v>
          </cell>
          <cell r="D172" t="str">
            <v>M&amp;S</v>
          </cell>
        </row>
        <row r="173">
          <cell r="A173" t="str">
            <v>FB250027887</v>
          </cell>
          <cell r="D173" t="str">
            <v>M&amp;S</v>
          </cell>
        </row>
        <row r="174">
          <cell r="A174" t="str">
            <v>FB250027888</v>
          </cell>
          <cell r="D174" t="str">
            <v>M&amp;S</v>
          </cell>
        </row>
        <row r="175">
          <cell r="A175" t="str">
            <v>FB250027889</v>
          </cell>
          <cell r="D175" t="str">
            <v>M&amp;S</v>
          </cell>
        </row>
        <row r="176">
          <cell r="A176" t="str">
            <v>FB250027891</v>
          </cell>
          <cell r="D176" t="str">
            <v>M&amp;S</v>
          </cell>
        </row>
        <row r="177">
          <cell r="A177" t="str">
            <v>FB250027892</v>
          </cell>
          <cell r="D177" t="str">
            <v>M&amp;S</v>
          </cell>
        </row>
        <row r="178">
          <cell r="A178" t="str">
            <v>FB250027893</v>
          </cell>
          <cell r="D178" t="str">
            <v>M&amp;S</v>
          </cell>
        </row>
        <row r="179">
          <cell r="A179" t="str">
            <v>FB250027894</v>
          </cell>
          <cell r="D179" t="str">
            <v>M&amp;S</v>
          </cell>
        </row>
        <row r="180">
          <cell r="A180" t="str">
            <v>FB250027895</v>
          </cell>
          <cell r="D180" t="str">
            <v>M&amp;S</v>
          </cell>
        </row>
        <row r="181">
          <cell r="A181" t="str">
            <v>FB250027896</v>
          </cell>
          <cell r="D181" t="str">
            <v>M&amp;S</v>
          </cell>
        </row>
        <row r="182">
          <cell r="A182" t="str">
            <v>FB250027913</v>
          </cell>
          <cell r="D182" t="str">
            <v>M&amp;S</v>
          </cell>
        </row>
        <row r="183">
          <cell r="A183" t="str">
            <v>FB250027991</v>
          </cell>
          <cell r="D183" t="str">
            <v>LULU</v>
          </cell>
        </row>
        <row r="184">
          <cell r="A184" t="str">
            <v>FB250028003</v>
          </cell>
          <cell r="D184" t="str">
            <v>WACE</v>
          </cell>
        </row>
        <row r="185">
          <cell r="A185" t="str">
            <v>FB250028037</v>
          </cell>
          <cell r="D185" t="str">
            <v>KOM</v>
          </cell>
        </row>
        <row r="186">
          <cell r="A186" t="str">
            <v>FB250028042</v>
          </cell>
          <cell r="D186" t="str">
            <v>NIK</v>
          </cell>
        </row>
        <row r="187">
          <cell r="A187" t="str">
            <v>FB250028068</v>
          </cell>
          <cell r="D187" t="str">
            <v>VSS</v>
          </cell>
        </row>
        <row r="188">
          <cell r="A188" t="str">
            <v>FB250028070</v>
          </cell>
          <cell r="D188" t="str">
            <v>WACE</v>
          </cell>
        </row>
        <row r="189">
          <cell r="A189" t="str">
            <v>FB250028076</v>
          </cell>
          <cell r="D189" t="str">
            <v>VSS</v>
          </cell>
        </row>
        <row r="190">
          <cell r="A190" t="str">
            <v>FB250028088</v>
          </cell>
          <cell r="D190" t="str">
            <v>LULU</v>
          </cell>
        </row>
        <row r="191">
          <cell r="A191" t="str">
            <v>FB250028089</v>
          </cell>
          <cell r="D191" t="str">
            <v>LULU</v>
          </cell>
        </row>
        <row r="192">
          <cell r="A192" t="str">
            <v>FB250028092</v>
          </cell>
          <cell r="D192" t="str">
            <v>VSS</v>
          </cell>
        </row>
        <row r="193">
          <cell r="A193" t="str">
            <v>FB250028093</v>
          </cell>
          <cell r="D193" t="str">
            <v>VSS</v>
          </cell>
        </row>
        <row r="194">
          <cell r="A194" t="str">
            <v>FB250028095</v>
          </cell>
          <cell r="D194" t="str">
            <v>VSS</v>
          </cell>
        </row>
        <row r="195">
          <cell r="A195" t="str">
            <v>FB250028106</v>
          </cell>
          <cell r="D195" t="str">
            <v>VSS</v>
          </cell>
        </row>
        <row r="196">
          <cell r="A196" t="str">
            <v>FB250028108</v>
          </cell>
          <cell r="D196" t="str">
            <v>VSS</v>
          </cell>
        </row>
        <row r="197">
          <cell r="A197" t="str">
            <v>FB250028128</v>
          </cell>
          <cell r="D197" t="str">
            <v>VSS</v>
          </cell>
        </row>
        <row r="198">
          <cell r="A198" t="str">
            <v>FB250028129</v>
          </cell>
          <cell r="D198" t="str">
            <v>VSS</v>
          </cell>
        </row>
        <row r="199">
          <cell r="A199" t="str">
            <v>FB250028130</v>
          </cell>
          <cell r="D199" t="str">
            <v>VSS</v>
          </cell>
        </row>
        <row r="200">
          <cell r="A200" t="str">
            <v>FB250028131</v>
          </cell>
          <cell r="D200" t="str">
            <v>VSS</v>
          </cell>
        </row>
        <row r="201">
          <cell r="A201" t="str">
            <v>FB250028140</v>
          </cell>
          <cell r="D201" t="str">
            <v>M&amp;S</v>
          </cell>
        </row>
        <row r="202">
          <cell r="A202" t="str">
            <v>FB250028145</v>
          </cell>
          <cell r="D202" t="str">
            <v>M&amp;S</v>
          </cell>
        </row>
        <row r="203">
          <cell r="A203" t="str">
            <v>FB250028150</v>
          </cell>
          <cell r="D203" t="str">
            <v>PINK</v>
          </cell>
        </row>
        <row r="204">
          <cell r="A204" t="str">
            <v>FB250028258</v>
          </cell>
          <cell r="D204" t="str">
            <v>TORD</v>
          </cell>
        </row>
        <row r="205">
          <cell r="A205" t="str">
            <v>FB250028261</v>
          </cell>
          <cell r="D205" t="str">
            <v>TORD</v>
          </cell>
        </row>
        <row r="206">
          <cell r="A206" t="str">
            <v>FB250028282</v>
          </cell>
          <cell r="D206" t="str">
            <v>VSS</v>
          </cell>
        </row>
        <row r="207">
          <cell r="A207" t="str">
            <v>FB250028286</v>
          </cell>
          <cell r="D207" t="str">
            <v>WACE</v>
          </cell>
        </row>
        <row r="208">
          <cell r="A208" t="str">
            <v>FB250028295</v>
          </cell>
          <cell r="D208" t="str">
            <v>VSS</v>
          </cell>
        </row>
        <row r="209">
          <cell r="A209" t="str">
            <v>FB250028296</v>
          </cell>
          <cell r="D209" t="str">
            <v>VSS</v>
          </cell>
        </row>
        <row r="210">
          <cell r="A210" t="str">
            <v>FB250028304</v>
          </cell>
          <cell r="D210" t="str">
            <v>M&amp;S</v>
          </cell>
        </row>
        <row r="211">
          <cell r="A211" t="str">
            <v>FB250028305</v>
          </cell>
          <cell r="D211" t="str">
            <v>M&amp;S</v>
          </cell>
        </row>
        <row r="212">
          <cell r="A212" t="str">
            <v>FB250028321</v>
          </cell>
          <cell r="D212" t="str">
            <v>INT1</v>
          </cell>
        </row>
        <row r="213">
          <cell r="A213" t="str">
            <v>FB250028347</v>
          </cell>
          <cell r="D213" t="str">
            <v>M&amp;S</v>
          </cell>
        </row>
        <row r="214">
          <cell r="A214" t="str">
            <v>FB250028350</v>
          </cell>
          <cell r="D214" t="str">
            <v>LBI</v>
          </cell>
        </row>
        <row r="215">
          <cell r="A215" t="str">
            <v>FB250028355</v>
          </cell>
          <cell r="D215" t="str">
            <v>VSS</v>
          </cell>
        </row>
        <row r="216">
          <cell r="A216" t="str">
            <v>FB250028358</v>
          </cell>
          <cell r="D216" t="str">
            <v>VSS</v>
          </cell>
        </row>
        <row r="217">
          <cell r="A217" t="str">
            <v>FB250028373</v>
          </cell>
          <cell r="D217" t="str">
            <v>VSS</v>
          </cell>
        </row>
        <row r="218">
          <cell r="A218" t="str">
            <v>FB250028376</v>
          </cell>
          <cell r="D218" t="str">
            <v>LULU</v>
          </cell>
        </row>
        <row r="219">
          <cell r="A219" t="str">
            <v>FB250028378</v>
          </cell>
          <cell r="D219" t="str">
            <v>LULU</v>
          </cell>
        </row>
        <row r="220">
          <cell r="A220" t="str">
            <v>FB250028414</v>
          </cell>
          <cell r="D220" t="str">
            <v>M&amp;S</v>
          </cell>
        </row>
        <row r="221">
          <cell r="A221" t="str">
            <v>FB250028428</v>
          </cell>
          <cell r="D221" t="str">
            <v>HAR</v>
          </cell>
        </row>
        <row r="222">
          <cell r="A222" t="str">
            <v>FB250028445</v>
          </cell>
          <cell r="D222" t="str">
            <v>VSS</v>
          </cell>
        </row>
        <row r="223">
          <cell r="A223" t="str">
            <v>FB250028469</v>
          </cell>
          <cell r="D223" t="str">
            <v>TEZ</v>
          </cell>
        </row>
        <row r="224">
          <cell r="A224" t="str">
            <v>FB250028470</v>
          </cell>
          <cell r="D224" t="str">
            <v>TEZ</v>
          </cell>
        </row>
        <row r="225">
          <cell r="A225" t="str">
            <v>FB250028471</v>
          </cell>
          <cell r="D225" t="str">
            <v>INT1</v>
          </cell>
        </row>
        <row r="226">
          <cell r="A226" t="str">
            <v>FB250028472</v>
          </cell>
          <cell r="D226" t="str">
            <v>TEZ</v>
          </cell>
        </row>
        <row r="227">
          <cell r="A227" t="str">
            <v>FB250028484</v>
          </cell>
          <cell r="D227" t="str">
            <v>M&amp;S</v>
          </cell>
        </row>
        <row r="228">
          <cell r="A228" t="str">
            <v>FB250028487</v>
          </cell>
          <cell r="D228" t="str">
            <v>M&amp;S</v>
          </cell>
        </row>
        <row r="229">
          <cell r="A229" t="str">
            <v>FB250028489</v>
          </cell>
          <cell r="D229" t="str">
            <v>M&amp;S</v>
          </cell>
        </row>
        <row r="230">
          <cell r="A230" t="str">
            <v>FB250028490</v>
          </cell>
          <cell r="D230" t="str">
            <v>M&amp;S</v>
          </cell>
        </row>
        <row r="231">
          <cell r="A231" t="str">
            <v>FB250028491</v>
          </cell>
          <cell r="D231" t="str">
            <v>M&amp;S</v>
          </cell>
        </row>
        <row r="232">
          <cell r="A232" t="str">
            <v>FB250028492</v>
          </cell>
          <cell r="D232" t="str">
            <v>M&amp;S</v>
          </cell>
        </row>
        <row r="233">
          <cell r="A233" t="str">
            <v>FB250028493</v>
          </cell>
          <cell r="D233" t="str">
            <v>INT1</v>
          </cell>
        </row>
        <row r="234">
          <cell r="A234" t="str">
            <v>FB250028494</v>
          </cell>
          <cell r="D234" t="str">
            <v>INT1</v>
          </cell>
        </row>
        <row r="235">
          <cell r="A235" t="str">
            <v>FB250028496</v>
          </cell>
          <cell r="D235" t="str">
            <v>M&amp;S</v>
          </cell>
        </row>
        <row r="236">
          <cell r="A236" t="str">
            <v>FB250028498</v>
          </cell>
          <cell r="D236" t="str">
            <v>M&amp;S</v>
          </cell>
        </row>
        <row r="237">
          <cell r="A237" t="str">
            <v>FB250028500</v>
          </cell>
          <cell r="D237" t="str">
            <v>M&amp;S</v>
          </cell>
        </row>
        <row r="238">
          <cell r="A238" t="str">
            <v>FB250028502</v>
          </cell>
          <cell r="D238" t="str">
            <v>M&amp;S</v>
          </cell>
        </row>
        <row r="239">
          <cell r="A239" t="str">
            <v>FB250028503</v>
          </cell>
          <cell r="D239" t="str">
            <v>LBI</v>
          </cell>
        </row>
        <row r="240">
          <cell r="A240" t="str">
            <v>FB250028506</v>
          </cell>
          <cell r="D240" t="str">
            <v>NIK</v>
          </cell>
        </row>
        <row r="241">
          <cell r="A241" t="str">
            <v>FB250028507</v>
          </cell>
          <cell r="D241" t="str">
            <v>TEZ</v>
          </cell>
        </row>
        <row r="242">
          <cell r="A242" t="str">
            <v>FB250028509</v>
          </cell>
          <cell r="D242" t="str">
            <v>VSS</v>
          </cell>
        </row>
        <row r="243">
          <cell r="A243" t="str">
            <v>FB250028515</v>
          </cell>
          <cell r="D243" t="str">
            <v>PINK</v>
          </cell>
        </row>
        <row r="244">
          <cell r="A244" t="str">
            <v>FB250028529</v>
          </cell>
          <cell r="D244" t="str">
            <v>VSS</v>
          </cell>
        </row>
        <row r="245">
          <cell r="A245" t="str">
            <v>FB250028533</v>
          </cell>
          <cell r="D245" t="str">
            <v>VSS</v>
          </cell>
        </row>
        <row r="246">
          <cell r="A246" t="str">
            <v>FB250028534</v>
          </cell>
          <cell r="D246" t="str">
            <v>PINK</v>
          </cell>
        </row>
        <row r="247">
          <cell r="A247" t="str">
            <v>FB250028535</v>
          </cell>
          <cell r="D247" t="str">
            <v>VSS</v>
          </cell>
        </row>
        <row r="248">
          <cell r="A248" t="str">
            <v>FB250028536</v>
          </cell>
          <cell r="D248" t="str">
            <v>VSS</v>
          </cell>
        </row>
        <row r="249">
          <cell r="A249" t="str">
            <v>FB250028538</v>
          </cell>
          <cell r="D249" t="str">
            <v>PINK</v>
          </cell>
        </row>
        <row r="250">
          <cell r="A250" t="str">
            <v>FB250028542</v>
          </cell>
          <cell r="D250" t="str">
            <v>PINK</v>
          </cell>
        </row>
        <row r="251">
          <cell r="A251" t="str">
            <v>FB250028546</v>
          </cell>
          <cell r="D251" t="str">
            <v>TORD</v>
          </cell>
        </row>
        <row r="252">
          <cell r="A252" t="str">
            <v>FB250028557</v>
          </cell>
          <cell r="D252" t="str">
            <v>PINK</v>
          </cell>
        </row>
        <row r="253">
          <cell r="A253" t="str">
            <v>FB250028559</v>
          </cell>
          <cell r="D253" t="str">
            <v>LBI</v>
          </cell>
        </row>
        <row r="254">
          <cell r="A254" t="str">
            <v>FB250028560</v>
          </cell>
          <cell r="D254" t="str">
            <v>VSS</v>
          </cell>
        </row>
        <row r="255">
          <cell r="A255" t="str">
            <v>FB250028561</v>
          </cell>
          <cell r="D255" t="str">
            <v>VSS</v>
          </cell>
        </row>
        <row r="256">
          <cell r="A256" t="str">
            <v>FB250028562</v>
          </cell>
          <cell r="D256" t="str">
            <v>VSS</v>
          </cell>
        </row>
        <row r="257">
          <cell r="A257" t="str">
            <v>FB250028563</v>
          </cell>
          <cell r="D257" t="str">
            <v>PINK</v>
          </cell>
        </row>
        <row r="258">
          <cell r="A258" t="str">
            <v>FB250028564</v>
          </cell>
          <cell r="D258" t="str">
            <v>VSS</v>
          </cell>
        </row>
        <row r="259">
          <cell r="A259" t="str">
            <v>FB250028565</v>
          </cell>
          <cell r="D259" t="str">
            <v>PINK</v>
          </cell>
        </row>
        <row r="260">
          <cell r="A260" t="str">
            <v>FB250028566</v>
          </cell>
          <cell r="D260" t="str">
            <v>VSS</v>
          </cell>
        </row>
        <row r="261">
          <cell r="A261" t="str">
            <v>FB250028567</v>
          </cell>
          <cell r="D261" t="str">
            <v>VSS</v>
          </cell>
        </row>
        <row r="262">
          <cell r="A262" t="str">
            <v>FB250028570</v>
          </cell>
          <cell r="D262" t="str">
            <v>PINK</v>
          </cell>
        </row>
        <row r="263">
          <cell r="A263" t="str">
            <v>FB250028571</v>
          </cell>
          <cell r="D263" t="str">
            <v>VSS</v>
          </cell>
        </row>
        <row r="264">
          <cell r="A264" t="str">
            <v>FB250028573</v>
          </cell>
          <cell r="D264" t="str">
            <v>PINK</v>
          </cell>
        </row>
        <row r="265">
          <cell r="A265" t="str">
            <v>FB250028574</v>
          </cell>
          <cell r="D265" t="str">
            <v>VSS</v>
          </cell>
        </row>
        <row r="266">
          <cell r="A266" t="str">
            <v>FB250028575</v>
          </cell>
          <cell r="D266" t="str">
            <v>VSS</v>
          </cell>
        </row>
        <row r="267">
          <cell r="A267" t="str">
            <v>FB250028577</v>
          </cell>
          <cell r="D267" t="str">
            <v>VSS</v>
          </cell>
        </row>
        <row r="268">
          <cell r="A268" t="str">
            <v>FB250028578</v>
          </cell>
          <cell r="D268" t="str">
            <v>NIK</v>
          </cell>
        </row>
        <row r="269">
          <cell r="A269" t="str">
            <v>FB250028579</v>
          </cell>
          <cell r="D269" t="str">
            <v>NIK</v>
          </cell>
        </row>
        <row r="270">
          <cell r="A270" t="str">
            <v>FB250028580</v>
          </cell>
          <cell r="D270" t="str">
            <v>NIK</v>
          </cell>
        </row>
        <row r="271">
          <cell r="A271" t="str">
            <v>FB250028581</v>
          </cell>
          <cell r="D271" t="str">
            <v>NIK</v>
          </cell>
        </row>
        <row r="272">
          <cell r="A272" t="str">
            <v>FB250028582</v>
          </cell>
          <cell r="D272" t="str">
            <v>NIK</v>
          </cell>
        </row>
        <row r="273">
          <cell r="A273" t="str">
            <v>FB250028583</v>
          </cell>
          <cell r="D273" t="str">
            <v>PINK</v>
          </cell>
        </row>
        <row r="274">
          <cell r="A274" t="str">
            <v>FB250028585</v>
          </cell>
          <cell r="D274" t="str">
            <v>NIK</v>
          </cell>
        </row>
        <row r="275">
          <cell r="A275" t="str">
            <v>FB250028586</v>
          </cell>
          <cell r="D275" t="str">
            <v>PINK</v>
          </cell>
        </row>
        <row r="276">
          <cell r="A276" t="str">
            <v>FB250028587</v>
          </cell>
          <cell r="D276" t="str">
            <v>PINK</v>
          </cell>
        </row>
        <row r="277">
          <cell r="A277" t="str">
            <v>FB250028589</v>
          </cell>
          <cell r="D277" t="str">
            <v>PINK</v>
          </cell>
        </row>
        <row r="278">
          <cell r="A278" t="str">
            <v>FB250028590</v>
          </cell>
          <cell r="D278" t="str">
            <v>VSS</v>
          </cell>
        </row>
        <row r="279">
          <cell r="A279" t="str">
            <v>FB250028593</v>
          </cell>
          <cell r="D279" t="str">
            <v>WACE</v>
          </cell>
        </row>
        <row r="280">
          <cell r="A280" t="str">
            <v>FB250028596</v>
          </cell>
          <cell r="D280" t="str">
            <v>INT1</v>
          </cell>
        </row>
        <row r="281">
          <cell r="A281" t="str">
            <v>FB250028597</v>
          </cell>
          <cell r="D281" t="str">
            <v>PINK</v>
          </cell>
        </row>
        <row r="282">
          <cell r="A282" t="str">
            <v>FB250028598</v>
          </cell>
          <cell r="D282" t="str">
            <v>PINK</v>
          </cell>
        </row>
        <row r="283">
          <cell r="A283" t="str">
            <v>FB250028599</v>
          </cell>
          <cell r="D283" t="str">
            <v>PINK</v>
          </cell>
        </row>
        <row r="284">
          <cell r="A284" t="str">
            <v>FB250028600</v>
          </cell>
          <cell r="D284" t="str">
            <v>PINK</v>
          </cell>
        </row>
        <row r="285">
          <cell r="A285" t="str">
            <v>FB250028601</v>
          </cell>
          <cell r="D285" t="str">
            <v>PINK</v>
          </cell>
        </row>
        <row r="286">
          <cell r="A286" t="str">
            <v>FB250028602</v>
          </cell>
          <cell r="D286" t="str">
            <v>PINK</v>
          </cell>
        </row>
        <row r="287">
          <cell r="A287" t="str">
            <v>FB250028603</v>
          </cell>
          <cell r="D287" t="str">
            <v>PINK</v>
          </cell>
        </row>
        <row r="288">
          <cell r="A288" t="str">
            <v>FB250028604</v>
          </cell>
          <cell r="D288" t="str">
            <v>INT1</v>
          </cell>
        </row>
        <row r="289">
          <cell r="A289" t="str">
            <v>FB250028605</v>
          </cell>
          <cell r="D289" t="str">
            <v>INT1</v>
          </cell>
        </row>
        <row r="290">
          <cell r="A290" t="str">
            <v>FB250028607</v>
          </cell>
          <cell r="D290" t="str">
            <v>PINK</v>
          </cell>
        </row>
        <row r="291">
          <cell r="A291" t="str">
            <v>FB250028608</v>
          </cell>
          <cell r="D291" t="str">
            <v>INT1</v>
          </cell>
        </row>
        <row r="292">
          <cell r="A292" t="str">
            <v>FB250028609</v>
          </cell>
          <cell r="D292" t="str">
            <v>PINK</v>
          </cell>
        </row>
        <row r="293">
          <cell r="A293" t="str">
            <v>FB250028610</v>
          </cell>
          <cell r="D293" t="str">
            <v>PINK</v>
          </cell>
        </row>
        <row r="294">
          <cell r="A294" t="str">
            <v>FB250028611</v>
          </cell>
          <cell r="D294" t="str">
            <v>VSS</v>
          </cell>
        </row>
        <row r="295">
          <cell r="A295" t="str">
            <v>FB250028612</v>
          </cell>
          <cell r="D295" t="str">
            <v>SOM</v>
          </cell>
        </row>
        <row r="296">
          <cell r="A296" t="str">
            <v>FB250028613</v>
          </cell>
          <cell r="D296" t="str">
            <v>VSS</v>
          </cell>
        </row>
        <row r="297">
          <cell r="A297" t="str">
            <v>FB250028614</v>
          </cell>
          <cell r="D297" t="str">
            <v>VSS</v>
          </cell>
        </row>
        <row r="298">
          <cell r="A298" t="str">
            <v>FB250028615</v>
          </cell>
          <cell r="D298" t="str">
            <v>VSS</v>
          </cell>
        </row>
        <row r="299">
          <cell r="A299" t="str">
            <v>FB250028616</v>
          </cell>
          <cell r="D299" t="str">
            <v>VSS</v>
          </cell>
        </row>
        <row r="300">
          <cell r="A300" t="str">
            <v>FB250028617</v>
          </cell>
          <cell r="D300" t="str">
            <v>VSS</v>
          </cell>
        </row>
        <row r="301">
          <cell r="A301" t="str">
            <v>FB250028618</v>
          </cell>
          <cell r="D301" t="str">
            <v>VSS</v>
          </cell>
        </row>
        <row r="302">
          <cell r="A302" t="str">
            <v>FB250028619</v>
          </cell>
          <cell r="D302" t="str">
            <v>VSS</v>
          </cell>
        </row>
        <row r="303">
          <cell r="A303" t="str">
            <v>FB250028620</v>
          </cell>
          <cell r="D303" t="str">
            <v>TORD</v>
          </cell>
        </row>
        <row r="304">
          <cell r="A304" t="str">
            <v>FB250028621</v>
          </cell>
          <cell r="D304" t="str">
            <v>VSS</v>
          </cell>
        </row>
        <row r="305">
          <cell r="A305" t="str">
            <v>FB250028622</v>
          </cell>
          <cell r="D305" t="str">
            <v>VSS</v>
          </cell>
        </row>
        <row r="306">
          <cell r="A306" t="str">
            <v>FB250028623</v>
          </cell>
          <cell r="D306" t="str">
            <v>VSS</v>
          </cell>
        </row>
        <row r="307">
          <cell r="A307" t="str">
            <v>FB250028624</v>
          </cell>
          <cell r="D307" t="str">
            <v>VSS</v>
          </cell>
        </row>
        <row r="308">
          <cell r="A308" t="str">
            <v>FB250028625</v>
          </cell>
          <cell r="D308" t="str">
            <v>VSS</v>
          </cell>
        </row>
        <row r="309">
          <cell r="A309" t="str">
            <v>FB250028626</v>
          </cell>
          <cell r="D309" t="str">
            <v>VSS</v>
          </cell>
        </row>
        <row r="310">
          <cell r="A310" t="str">
            <v>FB250028629</v>
          </cell>
          <cell r="D310" t="str">
            <v>LULU</v>
          </cell>
        </row>
        <row r="311">
          <cell r="A311" t="str">
            <v>FB250028631</v>
          </cell>
          <cell r="D311" t="str">
            <v>LULU</v>
          </cell>
        </row>
        <row r="312">
          <cell r="A312" t="str">
            <v>FB250028632</v>
          </cell>
          <cell r="D312" t="str">
            <v>LULU</v>
          </cell>
        </row>
        <row r="313">
          <cell r="A313" t="str">
            <v>FB250028634</v>
          </cell>
          <cell r="D313" t="str">
            <v>LULU</v>
          </cell>
        </row>
        <row r="314">
          <cell r="A314" t="str">
            <v>FB250028635</v>
          </cell>
          <cell r="D314" t="str">
            <v>LULU</v>
          </cell>
        </row>
        <row r="315">
          <cell r="A315" t="str">
            <v>FB250028636</v>
          </cell>
          <cell r="D315" t="str">
            <v>LULU</v>
          </cell>
        </row>
        <row r="316">
          <cell r="A316" t="str">
            <v>FB250028638</v>
          </cell>
          <cell r="D316" t="str">
            <v>LULU</v>
          </cell>
        </row>
        <row r="317">
          <cell r="A317" t="str">
            <v>FB250028639</v>
          </cell>
          <cell r="D317" t="str">
            <v>LULU</v>
          </cell>
        </row>
        <row r="318">
          <cell r="A318" t="str">
            <v>FB250028644</v>
          </cell>
          <cell r="D318" t="str">
            <v>LULU</v>
          </cell>
        </row>
        <row r="319">
          <cell r="A319" t="str">
            <v>FB250028646</v>
          </cell>
          <cell r="D319" t="str">
            <v>LULU</v>
          </cell>
        </row>
        <row r="320">
          <cell r="A320" t="str">
            <v>FB250028647</v>
          </cell>
          <cell r="D320" t="str">
            <v>TORD</v>
          </cell>
        </row>
        <row r="321">
          <cell r="A321" t="str">
            <v>FB250028648</v>
          </cell>
          <cell r="D321" t="str">
            <v>LULU</v>
          </cell>
        </row>
        <row r="322">
          <cell r="A322" t="str">
            <v>FB250028649</v>
          </cell>
          <cell r="D322" t="str">
            <v>LULU</v>
          </cell>
        </row>
        <row r="323">
          <cell r="A323" t="str">
            <v>FB250028651</v>
          </cell>
          <cell r="D323" t="str">
            <v>LULU</v>
          </cell>
        </row>
        <row r="324">
          <cell r="A324" t="str">
            <v>FB250028652</v>
          </cell>
          <cell r="D324" t="str">
            <v>LULU</v>
          </cell>
        </row>
        <row r="325">
          <cell r="A325" t="str">
            <v>FB250028653</v>
          </cell>
          <cell r="D325" t="str">
            <v>NIK</v>
          </cell>
        </row>
        <row r="326">
          <cell r="A326" t="str">
            <v>FB250028654</v>
          </cell>
          <cell r="D326" t="str">
            <v>LULU</v>
          </cell>
        </row>
        <row r="327">
          <cell r="A327" t="str">
            <v>FB250028655</v>
          </cell>
          <cell r="D327" t="str">
            <v>M&amp;S</v>
          </cell>
        </row>
        <row r="328">
          <cell r="A328" t="str">
            <v>FB250028659</v>
          </cell>
          <cell r="D328" t="str">
            <v>PINK</v>
          </cell>
        </row>
        <row r="329">
          <cell r="A329" t="str">
            <v>FB250028660</v>
          </cell>
          <cell r="D329" t="str">
            <v>ESS2</v>
          </cell>
        </row>
        <row r="330">
          <cell r="A330" t="str">
            <v>FB250028661</v>
          </cell>
          <cell r="D330" t="str">
            <v>VSS</v>
          </cell>
        </row>
        <row r="331">
          <cell r="A331" t="str">
            <v>FB250028662</v>
          </cell>
          <cell r="D331" t="str">
            <v>VSS</v>
          </cell>
        </row>
        <row r="332">
          <cell r="A332" t="str">
            <v>FB250028664</v>
          </cell>
          <cell r="D332" t="str">
            <v>VSS</v>
          </cell>
        </row>
        <row r="333">
          <cell r="A333" t="str">
            <v>FB250028666</v>
          </cell>
          <cell r="D333" t="str">
            <v>M&amp;S</v>
          </cell>
        </row>
        <row r="334">
          <cell r="A334" t="str">
            <v>FB250028667</v>
          </cell>
          <cell r="D334" t="str">
            <v>M&amp;S</v>
          </cell>
        </row>
        <row r="335">
          <cell r="A335" t="str">
            <v>FB250028668</v>
          </cell>
          <cell r="D335" t="str">
            <v>WACE</v>
          </cell>
        </row>
        <row r="336">
          <cell r="A336" t="str">
            <v>FB250028669</v>
          </cell>
          <cell r="D336" t="str">
            <v>NEWB</v>
          </cell>
        </row>
        <row r="337">
          <cell r="A337" t="str">
            <v>FB250028670</v>
          </cell>
          <cell r="D337" t="str">
            <v>NIK</v>
          </cell>
        </row>
        <row r="338">
          <cell r="A338" t="str">
            <v>FB250028671</v>
          </cell>
          <cell r="D338" t="str">
            <v>NIK</v>
          </cell>
        </row>
        <row r="339">
          <cell r="A339" t="str">
            <v>FB250028675</v>
          </cell>
          <cell r="D339" t="str">
            <v>M&amp;S</v>
          </cell>
        </row>
        <row r="340">
          <cell r="A340" t="str">
            <v>FB250028676</v>
          </cell>
          <cell r="D340" t="str">
            <v>TORD</v>
          </cell>
        </row>
        <row r="341">
          <cell r="A341" t="str">
            <v>FB250028677</v>
          </cell>
          <cell r="D341" t="str">
            <v>CK</v>
          </cell>
        </row>
        <row r="342">
          <cell r="A342" t="str">
            <v>FB250028678</v>
          </cell>
          <cell r="D342" t="str">
            <v>NIK</v>
          </cell>
        </row>
        <row r="343">
          <cell r="A343" t="str">
            <v>FB250028679</v>
          </cell>
          <cell r="D343" t="str">
            <v>CK</v>
          </cell>
        </row>
        <row r="344">
          <cell r="A344" t="str">
            <v>FB250028685</v>
          </cell>
          <cell r="D344" t="str">
            <v>CK</v>
          </cell>
        </row>
        <row r="345">
          <cell r="A345" t="str">
            <v>FB250028689</v>
          </cell>
          <cell r="D345" t="str">
            <v>WACE</v>
          </cell>
        </row>
        <row r="346">
          <cell r="A346" t="str">
            <v>FB250028690</v>
          </cell>
          <cell r="D346" t="str">
            <v>M&amp;S</v>
          </cell>
        </row>
        <row r="347">
          <cell r="A347" t="str">
            <v>FB250028691</v>
          </cell>
          <cell r="D347" t="str">
            <v>LULU</v>
          </cell>
        </row>
        <row r="348">
          <cell r="A348" t="str">
            <v>FB250028692</v>
          </cell>
          <cell r="D348" t="str">
            <v>VSS</v>
          </cell>
        </row>
        <row r="349">
          <cell r="A349" t="str">
            <v>FB250028693</v>
          </cell>
          <cell r="D349" t="str">
            <v>CK</v>
          </cell>
        </row>
        <row r="350">
          <cell r="A350" t="str">
            <v>FB250028694</v>
          </cell>
          <cell r="D350" t="str">
            <v>LULU</v>
          </cell>
        </row>
        <row r="351">
          <cell r="A351" t="str">
            <v>FB250028695</v>
          </cell>
          <cell r="D351" t="str">
            <v>NEX</v>
          </cell>
        </row>
        <row r="352">
          <cell r="A352" t="str">
            <v>FB250028696</v>
          </cell>
          <cell r="D352" t="str">
            <v>LULU</v>
          </cell>
        </row>
        <row r="353">
          <cell r="A353" t="str">
            <v>FB250028697</v>
          </cell>
          <cell r="D353" t="str">
            <v>LULU</v>
          </cell>
        </row>
        <row r="354">
          <cell r="A354" t="str">
            <v>FB250028700</v>
          </cell>
          <cell r="D354" t="str">
            <v>LULU</v>
          </cell>
        </row>
        <row r="355">
          <cell r="A355" t="str">
            <v>FB250028703</v>
          </cell>
          <cell r="D355" t="str">
            <v>LULU</v>
          </cell>
        </row>
        <row r="356">
          <cell r="A356" t="str">
            <v>FB250028704</v>
          </cell>
          <cell r="D356" t="str">
            <v>LULU</v>
          </cell>
        </row>
        <row r="357">
          <cell r="A357" t="str">
            <v>FB250028705</v>
          </cell>
          <cell r="D357" t="str">
            <v>M&amp;S</v>
          </cell>
        </row>
        <row r="358">
          <cell r="A358" t="str">
            <v>FB250028706</v>
          </cell>
          <cell r="D358" t="str">
            <v>NIK</v>
          </cell>
        </row>
        <row r="359">
          <cell r="A359" t="str">
            <v>FB250028707</v>
          </cell>
          <cell r="D359" t="str">
            <v>VSS</v>
          </cell>
        </row>
        <row r="360">
          <cell r="A360" t="str">
            <v>FB250028708</v>
          </cell>
          <cell r="D360" t="str">
            <v>VSS</v>
          </cell>
        </row>
        <row r="361">
          <cell r="A361" t="str">
            <v>FB250028709</v>
          </cell>
          <cell r="D361" t="str">
            <v>VSS</v>
          </cell>
        </row>
        <row r="362">
          <cell r="A362" t="str">
            <v>FB250028710</v>
          </cell>
          <cell r="D362" t="str">
            <v>VSS</v>
          </cell>
        </row>
        <row r="363">
          <cell r="A363" t="str">
            <v>FB250028711</v>
          </cell>
          <cell r="D363" t="str">
            <v>VSS</v>
          </cell>
        </row>
        <row r="364">
          <cell r="A364" t="str">
            <v>FB250028712</v>
          </cell>
          <cell r="D364" t="str">
            <v>VSS</v>
          </cell>
        </row>
        <row r="365">
          <cell r="A365" t="str">
            <v>FB250028713</v>
          </cell>
          <cell r="D365" t="str">
            <v>CHICOS</v>
          </cell>
        </row>
        <row r="366">
          <cell r="A366" t="str">
            <v>FB250028714</v>
          </cell>
          <cell r="D366" t="str">
            <v>VSS</v>
          </cell>
        </row>
        <row r="367">
          <cell r="A367" t="str">
            <v>FB250028715</v>
          </cell>
          <cell r="D367" t="str">
            <v>PINK</v>
          </cell>
        </row>
        <row r="368">
          <cell r="A368" t="str">
            <v>FB250028716</v>
          </cell>
          <cell r="D368" t="str">
            <v>PINK</v>
          </cell>
        </row>
        <row r="369">
          <cell r="A369" t="str">
            <v>FB250028717</v>
          </cell>
          <cell r="D369" t="str">
            <v>NIK</v>
          </cell>
        </row>
        <row r="370">
          <cell r="A370" t="str">
            <v>FB250028719</v>
          </cell>
          <cell r="D370" t="str">
            <v>INT1</v>
          </cell>
        </row>
        <row r="371">
          <cell r="A371" t="str">
            <v>FB250028720</v>
          </cell>
          <cell r="D371" t="str">
            <v>PINK</v>
          </cell>
        </row>
        <row r="372">
          <cell r="A372" t="str">
            <v>FB250028721</v>
          </cell>
          <cell r="D372" t="str">
            <v>PINK</v>
          </cell>
        </row>
        <row r="373">
          <cell r="A373" t="str">
            <v>FB250028722</v>
          </cell>
          <cell r="D373" t="str">
            <v>PINK</v>
          </cell>
        </row>
        <row r="374">
          <cell r="A374" t="str">
            <v>FB250028723</v>
          </cell>
          <cell r="D374" t="str">
            <v>PINK</v>
          </cell>
        </row>
        <row r="375">
          <cell r="A375" t="str">
            <v>FB250028724</v>
          </cell>
          <cell r="D375" t="str">
            <v>PINK</v>
          </cell>
        </row>
        <row r="376">
          <cell r="A376" t="str">
            <v>FB250028725</v>
          </cell>
          <cell r="D376" t="str">
            <v>PINK</v>
          </cell>
        </row>
        <row r="377">
          <cell r="A377" t="str">
            <v>FB250028726</v>
          </cell>
          <cell r="D377" t="str">
            <v>PINK</v>
          </cell>
        </row>
        <row r="378">
          <cell r="A378" t="str">
            <v>FB250028727</v>
          </cell>
          <cell r="D378" t="str">
            <v>PINK</v>
          </cell>
        </row>
        <row r="379">
          <cell r="A379" t="str">
            <v>FB250028728</v>
          </cell>
          <cell r="D379" t="str">
            <v>PINK</v>
          </cell>
        </row>
        <row r="380">
          <cell r="A380" t="str">
            <v>FB250028729</v>
          </cell>
          <cell r="D380" t="str">
            <v>PINK</v>
          </cell>
        </row>
        <row r="381">
          <cell r="A381" t="str">
            <v>FB250028731</v>
          </cell>
          <cell r="D381" t="str">
            <v>TORD</v>
          </cell>
        </row>
        <row r="382">
          <cell r="A382" t="str">
            <v>FB250028732</v>
          </cell>
          <cell r="D382" t="str">
            <v>M&amp;S</v>
          </cell>
        </row>
        <row r="383">
          <cell r="A383" t="str">
            <v>FB250028733</v>
          </cell>
          <cell r="D383" t="str">
            <v>WACE</v>
          </cell>
        </row>
        <row r="384">
          <cell r="A384" t="str">
            <v>FB250028735</v>
          </cell>
          <cell r="D384" t="str">
            <v>WACE</v>
          </cell>
        </row>
        <row r="385">
          <cell r="A385" t="str">
            <v>FB250028736</v>
          </cell>
          <cell r="D385" t="str">
            <v>M&amp;S</v>
          </cell>
        </row>
        <row r="386">
          <cell r="A386" t="str">
            <v>FB250028737</v>
          </cell>
          <cell r="D386" t="str">
            <v>VSS</v>
          </cell>
        </row>
        <row r="387">
          <cell r="A387" t="str">
            <v>FB250028738</v>
          </cell>
          <cell r="D387" t="str">
            <v>INT1</v>
          </cell>
        </row>
        <row r="388">
          <cell r="A388" t="str">
            <v>FB250028739</v>
          </cell>
          <cell r="D388" t="str">
            <v>VSS</v>
          </cell>
        </row>
        <row r="389">
          <cell r="A389" t="str">
            <v>FB250028740</v>
          </cell>
          <cell r="D389" t="str">
            <v>VSS</v>
          </cell>
        </row>
        <row r="390">
          <cell r="A390" t="str">
            <v>FB250028741</v>
          </cell>
          <cell r="D390" t="str">
            <v>VSS</v>
          </cell>
        </row>
        <row r="391">
          <cell r="A391" t="str">
            <v>FB250028743</v>
          </cell>
          <cell r="D391" t="str">
            <v>VSS</v>
          </cell>
        </row>
        <row r="392">
          <cell r="A392" t="str">
            <v>FB250028744</v>
          </cell>
          <cell r="D392" t="str">
            <v>VSS</v>
          </cell>
        </row>
        <row r="393">
          <cell r="A393" t="str">
            <v>FB250028745</v>
          </cell>
          <cell r="D393" t="str">
            <v>WACE</v>
          </cell>
        </row>
        <row r="394">
          <cell r="A394" t="str">
            <v>FB250028750</v>
          </cell>
          <cell r="D394" t="str">
            <v>NIK</v>
          </cell>
        </row>
        <row r="395">
          <cell r="A395" t="str">
            <v>FB250028751</v>
          </cell>
          <cell r="D395" t="str">
            <v>NIK</v>
          </cell>
        </row>
        <row r="396">
          <cell r="A396" t="str">
            <v>FB250028753</v>
          </cell>
          <cell r="D396" t="str">
            <v>NEWB</v>
          </cell>
        </row>
        <row r="397">
          <cell r="A397" t="str">
            <v>FB250028761</v>
          </cell>
          <cell r="D397" t="str">
            <v>VSS</v>
          </cell>
        </row>
        <row r="398">
          <cell r="A398" t="str">
            <v>FB250028762</v>
          </cell>
          <cell r="D398" t="str">
            <v>VSS</v>
          </cell>
        </row>
        <row r="399">
          <cell r="A399" t="str">
            <v>FB250028763</v>
          </cell>
          <cell r="D399" t="str">
            <v>VSS</v>
          </cell>
        </row>
        <row r="400">
          <cell r="A400" t="str">
            <v>FB250028764</v>
          </cell>
          <cell r="D400" t="str">
            <v>VSS</v>
          </cell>
        </row>
        <row r="401">
          <cell r="A401" t="str">
            <v>FB250028765</v>
          </cell>
          <cell r="D401" t="str">
            <v>VSS</v>
          </cell>
        </row>
        <row r="402">
          <cell r="A402" t="str">
            <v>FB250028766</v>
          </cell>
          <cell r="D402" t="str">
            <v>VSS</v>
          </cell>
        </row>
        <row r="403">
          <cell r="A403" t="str">
            <v>FB250028767</v>
          </cell>
          <cell r="D403" t="str">
            <v>VSS</v>
          </cell>
        </row>
        <row r="404">
          <cell r="A404" t="str">
            <v>FB250028768</v>
          </cell>
          <cell r="D404" t="str">
            <v>VSS</v>
          </cell>
        </row>
        <row r="405">
          <cell r="A405" t="str">
            <v>FB250028769</v>
          </cell>
          <cell r="D405" t="str">
            <v>VSS</v>
          </cell>
        </row>
        <row r="406">
          <cell r="A406" t="str">
            <v>FB250028770</v>
          </cell>
          <cell r="D406" t="str">
            <v>VSS</v>
          </cell>
        </row>
        <row r="407">
          <cell r="A407" t="str">
            <v>FB250028771</v>
          </cell>
          <cell r="D407" t="str">
            <v>VSS</v>
          </cell>
        </row>
        <row r="408">
          <cell r="A408" t="str">
            <v>FB250028772</v>
          </cell>
          <cell r="D408" t="str">
            <v>WACE</v>
          </cell>
        </row>
        <row r="409">
          <cell r="A409" t="str">
            <v>FB250028773</v>
          </cell>
          <cell r="D409" t="str">
            <v>THX</v>
          </cell>
        </row>
        <row r="410">
          <cell r="A410" t="str">
            <v>FB250028774</v>
          </cell>
          <cell r="D410" t="str">
            <v>NIK</v>
          </cell>
        </row>
        <row r="411">
          <cell r="A411" t="str">
            <v>FB250028775</v>
          </cell>
          <cell r="D411" t="str">
            <v>NIK</v>
          </cell>
        </row>
        <row r="412">
          <cell r="A412" t="str">
            <v>FB250028776</v>
          </cell>
          <cell r="D412" t="str">
            <v>VSS</v>
          </cell>
        </row>
        <row r="413">
          <cell r="A413" t="str">
            <v>FB250028777</v>
          </cell>
          <cell r="D413" t="str">
            <v>LBI</v>
          </cell>
        </row>
        <row r="414">
          <cell r="A414" t="str">
            <v>FB250028778</v>
          </cell>
          <cell r="D414" t="str">
            <v>VSS</v>
          </cell>
        </row>
        <row r="415">
          <cell r="A415" t="str">
            <v>FB250028779</v>
          </cell>
          <cell r="D415" t="str">
            <v>VSS</v>
          </cell>
        </row>
        <row r="416">
          <cell r="A416" t="str">
            <v>FB250028780</v>
          </cell>
          <cell r="D416" t="str">
            <v>LULU</v>
          </cell>
        </row>
        <row r="417">
          <cell r="A417" t="str">
            <v>FB250028781</v>
          </cell>
          <cell r="D417" t="str">
            <v>LULU</v>
          </cell>
        </row>
        <row r="418">
          <cell r="A418" t="str">
            <v>FB250028782</v>
          </cell>
          <cell r="D418" t="str">
            <v>LULU</v>
          </cell>
        </row>
        <row r="419">
          <cell r="A419" t="str">
            <v>FB250028783</v>
          </cell>
          <cell r="D419" t="str">
            <v>LULU</v>
          </cell>
        </row>
        <row r="420">
          <cell r="A420" t="str">
            <v>FB250028788</v>
          </cell>
          <cell r="D420" t="str">
            <v>CK</v>
          </cell>
        </row>
        <row r="421">
          <cell r="A421" t="str">
            <v>FB250028789</v>
          </cell>
          <cell r="D421" t="str">
            <v>CK</v>
          </cell>
        </row>
        <row r="422">
          <cell r="A422" t="str">
            <v>FB250028790</v>
          </cell>
          <cell r="D422" t="str">
            <v>LULU</v>
          </cell>
        </row>
        <row r="423">
          <cell r="A423" t="str">
            <v>FB250028791</v>
          </cell>
          <cell r="D423" t="str">
            <v>LULU</v>
          </cell>
        </row>
        <row r="424">
          <cell r="A424" t="str">
            <v>FB250028792</v>
          </cell>
          <cell r="D424" t="str">
            <v>WACE</v>
          </cell>
        </row>
        <row r="425">
          <cell r="A425" t="str">
            <v>FB250028793</v>
          </cell>
          <cell r="D425" t="str">
            <v>INT1</v>
          </cell>
        </row>
        <row r="426">
          <cell r="A426" t="str">
            <v>FB250028795</v>
          </cell>
          <cell r="D426" t="str">
            <v>M&amp;S</v>
          </cell>
        </row>
        <row r="427">
          <cell r="A427" t="str">
            <v>FB250028796</v>
          </cell>
          <cell r="D427" t="str">
            <v>M&amp;S</v>
          </cell>
        </row>
        <row r="428">
          <cell r="A428" t="str">
            <v>FB250028797</v>
          </cell>
          <cell r="D428" t="str">
            <v>LULU</v>
          </cell>
        </row>
        <row r="429">
          <cell r="A429" t="str">
            <v>FB250028798</v>
          </cell>
          <cell r="D429" t="str">
            <v>WACE</v>
          </cell>
        </row>
        <row r="430">
          <cell r="A430" t="str">
            <v>FB250028799</v>
          </cell>
          <cell r="D430" t="str">
            <v>LULU</v>
          </cell>
        </row>
        <row r="431">
          <cell r="A431" t="str">
            <v>FB250028800</v>
          </cell>
          <cell r="D431" t="str">
            <v>LULU</v>
          </cell>
        </row>
        <row r="432">
          <cell r="A432" t="str">
            <v>FB250028801</v>
          </cell>
          <cell r="D432" t="str">
            <v>M&amp;S</v>
          </cell>
        </row>
        <row r="433">
          <cell r="A433" t="str">
            <v>FB250028803</v>
          </cell>
          <cell r="D433" t="str">
            <v>NIK</v>
          </cell>
        </row>
        <row r="434">
          <cell r="A434" t="str">
            <v>FB250028804</v>
          </cell>
          <cell r="D434" t="str">
            <v>NIK</v>
          </cell>
        </row>
        <row r="435">
          <cell r="A435" t="str">
            <v>FB250028807</v>
          </cell>
          <cell r="D435" t="str">
            <v>WACE</v>
          </cell>
        </row>
        <row r="436">
          <cell r="A436" t="str">
            <v>FB250028808</v>
          </cell>
          <cell r="D436" t="str">
            <v>TORD</v>
          </cell>
        </row>
        <row r="437">
          <cell r="A437" t="str">
            <v>FB250028810</v>
          </cell>
          <cell r="D437" t="str">
            <v>LULU</v>
          </cell>
        </row>
        <row r="438">
          <cell r="A438" t="str">
            <v>FB250028811</v>
          </cell>
          <cell r="D438" t="str">
            <v>LULU</v>
          </cell>
        </row>
        <row r="439">
          <cell r="A439" t="str">
            <v>FB250028812</v>
          </cell>
          <cell r="D439" t="str">
            <v>LULU</v>
          </cell>
        </row>
        <row r="440">
          <cell r="A440" t="str">
            <v>FB250028813</v>
          </cell>
          <cell r="D440" t="str">
            <v>CK</v>
          </cell>
        </row>
        <row r="441">
          <cell r="A441" t="str">
            <v>FB250028814</v>
          </cell>
          <cell r="D441" t="str">
            <v>M&amp;S</v>
          </cell>
        </row>
        <row r="442">
          <cell r="A442" t="str">
            <v>FB250028816</v>
          </cell>
          <cell r="D442" t="str">
            <v>VSS</v>
          </cell>
        </row>
        <row r="443">
          <cell r="A443" t="str">
            <v>FB250028818</v>
          </cell>
          <cell r="D443" t="str">
            <v>VSS</v>
          </cell>
        </row>
        <row r="444">
          <cell r="A444" t="str">
            <v>FB250028819</v>
          </cell>
          <cell r="D444" t="str">
            <v>VSS</v>
          </cell>
        </row>
        <row r="445">
          <cell r="A445" t="str">
            <v>FB250028821</v>
          </cell>
          <cell r="D445" t="str">
            <v>VSS</v>
          </cell>
        </row>
        <row r="446">
          <cell r="A446" t="str">
            <v>FB250028823</v>
          </cell>
          <cell r="D446" t="str">
            <v>VSS</v>
          </cell>
        </row>
        <row r="447">
          <cell r="A447" t="str">
            <v>FB250028824</v>
          </cell>
          <cell r="D447" t="str">
            <v>VSS</v>
          </cell>
        </row>
        <row r="448">
          <cell r="A448" t="str">
            <v>FB250028826</v>
          </cell>
          <cell r="D448" t="str">
            <v>VSS</v>
          </cell>
        </row>
        <row r="449">
          <cell r="A449" t="str">
            <v>FB250028827</v>
          </cell>
          <cell r="D449" t="str">
            <v>VSS</v>
          </cell>
        </row>
        <row r="450">
          <cell r="A450" t="str">
            <v>FB250028829</v>
          </cell>
          <cell r="D450" t="str">
            <v>VSS</v>
          </cell>
        </row>
        <row r="451">
          <cell r="A451" t="str">
            <v>FB250028830</v>
          </cell>
          <cell r="D451" t="str">
            <v>VSS</v>
          </cell>
        </row>
        <row r="452">
          <cell r="A452" t="str">
            <v>FB250028831</v>
          </cell>
          <cell r="D452" t="str">
            <v>VSS</v>
          </cell>
        </row>
        <row r="453">
          <cell r="A453" t="str">
            <v>FB250028832</v>
          </cell>
          <cell r="D453" t="str">
            <v>M&amp;S</v>
          </cell>
        </row>
        <row r="454">
          <cell r="A454" t="str">
            <v>FB250028833</v>
          </cell>
          <cell r="D454" t="str">
            <v>WACE</v>
          </cell>
        </row>
        <row r="455">
          <cell r="A455" t="str">
            <v>FB250028837</v>
          </cell>
          <cell r="D455" t="str">
            <v>PINK</v>
          </cell>
        </row>
        <row r="456">
          <cell r="A456" t="str">
            <v>FB250028839</v>
          </cell>
          <cell r="D456" t="str">
            <v>WACE</v>
          </cell>
        </row>
        <row r="457">
          <cell r="A457" t="str">
            <v>FB250028840</v>
          </cell>
          <cell r="D457" t="str">
            <v>LULU</v>
          </cell>
        </row>
        <row r="458">
          <cell r="A458" t="str">
            <v>FB250028841</v>
          </cell>
          <cell r="D458" t="str">
            <v>LULU</v>
          </cell>
        </row>
        <row r="459">
          <cell r="A459" t="str">
            <v>FB250028842</v>
          </cell>
          <cell r="D459" t="str">
            <v>LULU</v>
          </cell>
        </row>
        <row r="460">
          <cell r="A460" t="str">
            <v>FB250028845</v>
          </cell>
          <cell r="D460" t="str">
            <v>VSS</v>
          </cell>
        </row>
        <row r="461">
          <cell r="A461" t="str">
            <v>FB250028846</v>
          </cell>
          <cell r="D461" t="str">
            <v>VSS</v>
          </cell>
        </row>
        <row r="462">
          <cell r="A462" t="str">
            <v>FB250028848</v>
          </cell>
          <cell r="D462" t="str">
            <v>VSS</v>
          </cell>
        </row>
        <row r="463">
          <cell r="A463" t="str">
            <v>FB250028849</v>
          </cell>
          <cell r="D463" t="str">
            <v>VSS</v>
          </cell>
        </row>
        <row r="464">
          <cell r="A464" t="str">
            <v>FB250028851</v>
          </cell>
          <cell r="D464" t="str">
            <v>VSS</v>
          </cell>
        </row>
        <row r="465">
          <cell r="A465" t="str">
            <v>FB250028853</v>
          </cell>
          <cell r="D465" t="str">
            <v>VSS</v>
          </cell>
        </row>
        <row r="466">
          <cell r="A466" t="str">
            <v>FB250028854</v>
          </cell>
          <cell r="D466" t="str">
            <v>NEWB</v>
          </cell>
        </row>
        <row r="467">
          <cell r="A467" t="str">
            <v>FB250028855</v>
          </cell>
          <cell r="D467" t="str">
            <v>KOM</v>
          </cell>
        </row>
        <row r="468">
          <cell r="A468" t="str">
            <v>FB250028856</v>
          </cell>
          <cell r="D468" t="str">
            <v>KOM</v>
          </cell>
        </row>
        <row r="469">
          <cell r="A469" t="str">
            <v>FB250028857</v>
          </cell>
          <cell r="D469" t="str">
            <v>KOM</v>
          </cell>
        </row>
        <row r="470">
          <cell r="A470" t="str">
            <v>FB250028858</v>
          </cell>
          <cell r="D470" t="str">
            <v>VSS</v>
          </cell>
        </row>
        <row r="471">
          <cell r="A471" t="str">
            <v>FB250028859</v>
          </cell>
          <cell r="D471" t="str">
            <v>NEWB</v>
          </cell>
        </row>
        <row r="472">
          <cell r="A472" t="str">
            <v>FB250028861</v>
          </cell>
          <cell r="D472" t="str">
            <v>VSS</v>
          </cell>
        </row>
        <row r="473">
          <cell r="A473" t="str">
            <v>FB250028862</v>
          </cell>
          <cell r="D473" t="str">
            <v>VSS</v>
          </cell>
        </row>
        <row r="474">
          <cell r="A474" t="str">
            <v>FB250028863</v>
          </cell>
          <cell r="D474" t="str">
            <v>LULU</v>
          </cell>
        </row>
        <row r="475">
          <cell r="A475" t="str">
            <v>FB250028864</v>
          </cell>
          <cell r="D475" t="str">
            <v>LULU</v>
          </cell>
        </row>
        <row r="476">
          <cell r="A476" t="str">
            <v>FB250028865</v>
          </cell>
          <cell r="D476" t="str">
            <v>TORD</v>
          </cell>
        </row>
        <row r="477">
          <cell r="A477" t="str">
            <v>FB250028867</v>
          </cell>
          <cell r="D477" t="str">
            <v>TORD</v>
          </cell>
        </row>
        <row r="478">
          <cell r="A478" t="str">
            <v>FB250028868</v>
          </cell>
          <cell r="D478" t="str">
            <v>TORD</v>
          </cell>
        </row>
        <row r="479">
          <cell r="A479" t="str">
            <v>FB250028869</v>
          </cell>
          <cell r="D479" t="str">
            <v>M&amp;S</v>
          </cell>
        </row>
        <row r="480">
          <cell r="A480" t="str">
            <v>FB250028870</v>
          </cell>
          <cell r="D480" t="str">
            <v>VSS</v>
          </cell>
        </row>
        <row r="481">
          <cell r="A481" t="str">
            <v>FB250028871</v>
          </cell>
          <cell r="D481" t="str">
            <v>VSS</v>
          </cell>
        </row>
        <row r="482">
          <cell r="A482" t="str">
            <v>FB250028872</v>
          </cell>
          <cell r="D482" t="str">
            <v>VSS</v>
          </cell>
        </row>
        <row r="483">
          <cell r="A483" t="str">
            <v>FB250028873</v>
          </cell>
          <cell r="D483" t="str">
            <v>VSS</v>
          </cell>
        </row>
        <row r="484">
          <cell r="A484" t="str">
            <v>FB250028874</v>
          </cell>
          <cell r="D484" t="str">
            <v>WACE</v>
          </cell>
        </row>
        <row r="485">
          <cell r="A485" t="str">
            <v>FB250028875</v>
          </cell>
          <cell r="D485" t="str">
            <v>TORD</v>
          </cell>
        </row>
        <row r="486">
          <cell r="A486" t="str">
            <v>FB250028876</v>
          </cell>
          <cell r="D486" t="str">
            <v>WACE</v>
          </cell>
        </row>
        <row r="487">
          <cell r="A487" t="str">
            <v>FB250028878</v>
          </cell>
          <cell r="D487" t="str">
            <v>LULU</v>
          </cell>
        </row>
        <row r="488">
          <cell r="A488" t="str">
            <v>FB250028879</v>
          </cell>
          <cell r="D488" t="str">
            <v>CK</v>
          </cell>
        </row>
        <row r="489">
          <cell r="A489" t="str">
            <v>FB250028880</v>
          </cell>
          <cell r="D489" t="str">
            <v>WACE</v>
          </cell>
        </row>
        <row r="490">
          <cell r="A490" t="str">
            <v>FB250028881</v>
          </cell>
          <cell r="D490" t="str">
            <v>WACE</v>
          </cell>
        </row>
        <row r="491">
          <cell r="A491" t="str">
            <v>FB250028882</v>
          </cell>
          <cell r="D491" t="str">
            <v>INT1</v>
          </cell>
        </row>
        <row r="492">
          <cell r="A492" t="str">
            <v>FB250028892</v>
          </cell>
          <cell r="D492" t="str">
            <v>PINK</v>
          </cell>
        </row>
        <row r="493">
          <cell r="A493" t="str">
            <v>FB250028893</v>
          </cell>
          <cell r="D493" t="str">
            <v>PINK</v>
          </cell>
        </row>
        <row r="494">
          <cell r="A494" t="str">
            <v>FB250028894</v>
          </cell>
          <cell r="D494" t="str">
            <v>VSS</v>
          </cell>
        </row>
        <row r="495">
          <cell r="A495" t="str">
            <v>FB250028895</v>
          </cell>
          <cell r="D495" t="str">
            <v>VSS</v>
          </cell>
        </row>
        <row r="496">
          <cell r="A496" t="str">
            <v>FB250028896</v>
          </cell>
          <cell r="D496" t="str">
            <v>VSS</v>
          </cell>
        </row>
        <row r="497">
          <cell r="A497" t="str">
            <v>FB250028897</v>
          </cell>
          <cell r="D497" t="str">
            <v>VSS</v>
          </cell>
        </row>
        <row r="498">
          <cell r="A498" t="str">
            <v>FB250028900</v>
          </cell>
          <cell r="D498" t="str">
            <v>M&amp;S</v>
          </cell>
        </row>
        <row r="499">
          <cell r="A499" t="str">
            <v>FB250028901</v>
          </cell>
          <cell r="D499" t="str">
            <v>NEWB</v>
          </cell>
        </row>
        <row r="500">
          <cell r="A500" t="str">
            <v>FB250028902</v>
          </cell>
          <cell r="D500" t="str">
            <v>NIK</v>
          </cell>
        </row>
        <row r="501">
          <cell r="A501" t="str">
            <v>FB250028903</v>
          </cell>
          <cell r="D501" t="str">
            <v>NIK</v>
          </cell>
        </row>
        <row r="502">
          <cell r="A502" t="str">
            <v>FB250028904</v>
          </cell>
          <cell r="D502" t="str">
            <v>NIK</v>
          </cell>
        </row>
        <row r="503">
          <cell r="A503" t="str">
            <v>FB250028905</v>
          </cell>
          <cell r="D503" t="str">
            <v>NIK</v>
          </cell>
        </row>
        <row r="504">
          <cell r="A504" t="str">
            <v>FB250028906</v>
          </cell>
          <cell r="D504" t="str">
            <v>NIK</v>
          </cell>
        </row>
        <row r="505">
          <cell r="A505" t="str">
            <v>FB250028907</v>
          </cell>
          <cell r="D505" t="str">
            <v>NIK</v>
          </cell>
        </row>
        <row r="506">
          <cell r="A506" t="str">
            <v>FB250028908</v>
          </cell>
          <cell r="D506" t="str">
            <v>NIK</v>
          </cell>
        </row>
        <row r="507">
          <cell r="A507" t="str">
            <v>FB250028909</v>
          </cell>
          <cell r="D507" t="str">
            <v>NIK</v>
          </cell>
        </row>
        <row r="508">
          <cell r="A508" t="str">
            <v>FB250028910</v>
          </cell>
          <cell r="D508" t="str">
            <v>NIK</v>
          </cell>
        </row>
        <row r="509">
          <cell r="A509" t="str">
            <v>FB250028911</v>
          </cell>
          <cell r="D509" t="str">
            <v>NIK</v>
          </cell>
        </row>
        <row r="510">
          <cell r="A510" t="str">
            <v>FB250028912</v>
          </cell>
          <cell r="D510" t="str">
            <v>NIK</v>
          </cell>
        </row>
        <row r="511">
          <cell r="A511" t="str">
            <v>FB250028913</v>
          </cell>
          <cell r="D511" t="str">
            <v>NIK</v>
          </cell>
        </row>
        <row r="512">
          <cell r="A512" t="str">
            <v>FB250028914</v>
          </cell>
          <cell r="D512" t="str">
            <v>NIK</v>
          </cell>
        </row>
        <row r="513">
          <cell r="A513" t="str">
            <v>FB250028915</v>
          </cell>
          <cell r="D513" t="str">
            <v>NIK</v>
          </cell>
        </row>
        <row r="514">
          <cell r="A514" t="str">
            <v>FB250028916</v>
          </cell>
          <cell r="D514" t="str">
            <v>NIK</v>
          </cell>
        </row>
        <row r="515">
          <cell r="A515" t="str">
            <v>FB250028917</v>
          </cell>
          <cell r="D515" t="str">
            <v>NIK</v>
          </cell>
        </row>
        <row r="516">
          <cell r="A516" t="str">
            <v>FB250028918</v>
          </cell>
          <cell r="D516" t="str">
            <v>NIK</v>
          </cell>
        </row>
        <row r="517">
          <cell r="A517" t="str">
            <v>FB250028919</v>
          </cell>
          <cell r="D517" t="str">
            <v>NIK</v>
          </cell>
        </row>
        <row r="518">
          <cell r="A518" t="str">
            <v>FB250028920</v>
          </cell>
          <cell r="D518" t="str">
            <v>NIK</v>
          </cell>
        </row>
        <row r="519">
          <cell r="A519" t="str">
            <v>FB250028921</v>
          </cell>
          <cell r="D519" t="str">
            <v>NIK</v>
          </cell>
        </row>
        <row r="520">
          <cell r="A520" t="str">
            <v>FB250028922</v>
          </cell>
          <cell r="D520" t="str">
            <v>NIK</v>
          </cell>
        </row>
        <row r="521">
          <cell r="A521" t="str">
            <v>FB250028923</v>
          </cell>
          <cell r="D521" t="str">
            <v>NIK</v>
          </cell>
        </row>
        <row r="522">
          <cell r="A522" t="str">
            <v>FB250028926</v>
          </cell>
          <cell r="D522" t="str">
            <v>VSS</v>
          </cell>
        </row>
        <row r="523">
          <cell r="A523" t="str">
            <v>FB250028933</v>
          </cell>
          <cell r="D523" t="str">
            <v>PINK</v>
          </cell>
        </row>
        <row r="524">
          <cell r="A524" t="str">
            <v>FB250028936</v>
          </cell>
          <cell r="D524" t="str">
            <v>WACE</v>
          </cell>
        </row>
        <row r="525">
          <cell r="A525" t="str">
            <v>FB250028937</v>
          </cell>
          <cell r="D525" t="str">
            <v>WACE</v>
          </cell>
        </row>
        <row r="526">
          <cell r="A526" t="str">
            <v>FB250028939</v>
          </cell>
          <cell r="D526" t="str">
            <v>M&amp;S</v>
          </cell>
        </row>
        <row r="527">
          <cell r="A527" t="str">
            <v>FB250028940</v>
          </cell>
          <cell r="D527" t="str">
            <v>M&amp;S</v>
          </cell>
        </row>
        <row r="528">
          <cell r="A528" t="str">
            <v>FB250028942</v>
          </cell>
          <cell r="D528" t="str">
            <v>CK</v>
          </cell>
        </row>
        <row r="529">
          <cell r="A529" t="str">
            <v>FB250028944</v>
          </cell>
          <cell r="D529" t="str">
            <v>WACE</v>
          </cell>
        </row>
        <row r="530">
          <cell r="A530" t="str">
            <v>FB250028945</v>
          </cell>
          <cell r="D530" t="str">
            <v>WACE</v>
          </cell>
        </row>
        <row r="531">
          <cell r="A531" t="str">
            <v>FB250028946</v>
          </cell>
          <cell r="D531" t="str">
            <v>NIK</v>
          </cell>
        </row>
        <row r="532">
          <cell r="A532" t="str">
            <v>FB250028947</v>
          </cell>
          <cell r="D532" t="str">
            <v>NIK</v>
          </cell>
        </row>
        <row r="533">
          <cell r="A533" t="str">
            <v>FB250028948</v>
          </cell>
          <cell r="D533" t="str">
            <v>NIK</v>
          </cell>
        </row>
        <row r="534">
          <cell r="A534" t="str">
            <v>FB250028949</v>
          </cell>
          <cell r="D534" t="str">
            <v>WACE</v>
          </cell>
        </row>
        <row r="535">
          <cell r="A535" t="str">
            <v>FB250028950</v>
          </cell>
          <cell r="D535" t="str">
            <v>NIK</v>
          </cell>
        </row>
        <row r="536">
          <cell r="A536" t="str">
            <v>FB250028952</v>
          </cell>
          <cell r="D536" t="str">
            <v>VSS</v>
          </cell>
        </row>
        <row r="537">
          <cell r="A537" t="str">
            <v>FB250028953</v>
          </cell>
          <cell r="D537" t="str">
            <v>VSS</v>
          </cell>
        </row>
        <row r="538">
          <cell r="A538" t="str">
            <v>FB250028954</v>
          </cell>
          <cell r="D538" t="str">
            <v>VSS</v>
          </cell>
        </row>
        <row r="539">
          <cell r="A539" t="str">
            <v>FB250028955</v>
          </cell>
          <cell r="D539" t="str">
            <v>PINK</v>
          </cell>
        </row>
        <row r="540">
          <cell r="A540" t="str">
            <v>FB250028956</v>
          </cell>
          <cell r="D540" t="str">
            <v>PINK</v>
          </cell>
        </row>
        <row r="541">
          <cell r="A541" t="str">
            <v>FB250028958</v>
          </cell>
          <cell r="D541" t="str">
            <v>PINK</v>
          </cell>
        </row>
        <row r="542">
          <cell r="A542" t="str">
            <v>FB250028959</v>
          </cell>
          <cell r="D542" t="str">
            <v>PINK</v>
          </cell>
        </row>
        <row r="543">
          <cell r="A543" t="str">
            <v>FB250028960</v>
          </cell>
          <cell r="D543" t="str">
            <v>VSS</v>
          </cell>
        </row>
        <row r="544">
          <cell r="A544" t="str">
            <v>FB250028961</v>
          </cell>
          <cell r="D544" t="str">
            <v>VSS</v>
          </cell>
        </row>
        <row r="545">
          <cell r="A545" t="str">
            <v>FB250028962</v>
          </cell>
          <cell r="D545" t="str">
            <v>VSS</v>
          </cell>
        </row>
        <row r="546">
          <cell r="A546" t="str">
            <v>FB250028963</v>
          </cell>
          <cell r="D546" t="str">
            <v>VSS</v>
          </cell>
        </row>
        <row r="547">
          <cell r="A547" t="str">
            <v>FB250028964</v>
          </cell>
          <cell r="D547" t="str">
            <v>NIK</v>
          </cell>
        </row>
        <row r="548">
          <cell r="A548" t="str">
            <v>FB250028967</v>
          </cell>
          <cell r="D548" t="str">
            <v>SAA</v>
          </cell>
        </row>
        <row r="549">
          <cell r="A549" t="str">
            <v>FB250028975</v>
          </cell>
          <cell r="D549" t="str">
            <v>VSS</v>
          </cell>
        </row>
        <row r="550">
          <cell r="A550" t="str">
            <v>FB250028976</v>
          </cell>
          <cell r="D550" t="str">
            <v>VSS</v>
          </cell>
        </row>
        <row r="551">
          <cell r="A551" t="str">
            <v>FB250028977</v>
          </cell>
          <cell r="D551" t="str">
            <v>VSS</v>
          </cell>
        </row>
        <row r="552">
          <cell r="A552" t="str">
            <v>FB250028978</v>
          </cell>
          <cell r="D552" t="str">
            <v>VSS</v>
          </cell>
        </row>
        <row r="553">
          <cell r="A553" t="str">
            <v>FB250028979</v>
          </cell>
          <cell r="D553" t="str">
            <v>VSS</v>
          </cell>
        </row>
        <row r="554">
          <cell r="A554" t="str">
            <v>FB250028980</v>
          </cell>
          <cell r="D554" t="str">
            <v>VSS</v>
          </cell>
        </row>
        <row r="555">
          <cell r="A555" t="str">
            <v>FB250028981</v>
          </cell>
          <cell r="D555" t="str">
            <v>VSS</v>
          </cell>
        </row>
        <row r="556">
          <cell r="A556" t="str">
            <v>FB250028982</v>
          </cell>
          <cell r="D556" t="str">
            <v>VSS</v>
          </cell>
        </row>
        <row r="557">
          <cell r="A557" t="str">
            <v>FB250028983</v>
          </cell>
          <cell r="D557" t="str">
            <v>GAPO</v>
          </cell>
        </row>
        <row r="558">
          <cell r="A558" t="str">
            <v>FB250028984</v>
          </cell>
          <cell r="D558" t="str">
            <v>VSS</v>
          </cell>
        </row>
        <row r="559">
          <cell r="A559" t="str">
            <v>FB250028985</v>
          </cell>
          <cell r="D559" t="str">
            <v>VSS</v>
          </cell>
        </row>
        <row r="560">
          <cell r="A560" t="str">
            <v>FB250028986</v>
          </cell>
          <cell r="D560" t="str">
            <v>NIK</v>
          </cell>
        </row>
        <row r="561">
          <cell r="A561" t="str">
            <v>FB250028987</v>
          </cell>
          <cell r="D561" t="str">
            <v>VSS</v>
          </cell>
        </row>
        <row r="562">
          <cell r="A562" t="str">
            <v>FB250028988</v>
          </cell>
          <cell r="D562" t="str">
            <v>GAPO</v>
          </cell>
        </row>
        <row r="563">
          <cell r="A563" t="str">
            <v>FB250028989</v>
          </cell>
          <cell r="D563" t="str">
            <v>GAPO</v>
          </cell>
        </row>
        <row r="564">
          <cell r="A564" t="str">
            <v>FB250028990</v>
          </cell>
          <cell r="D564" t="str">
            <v>GAPO</v>
          </cell>
        </row>
        <row r="565">
          <cell r="A565" t="str">
            <v>FB250028991</v>
          </cell>
          <cell r="D565" t="str">
            <v>GAPO</v>
          </cell>
        </row>
        <row r="566">
          <cell r="A566" t="str">
            <v>FB250028992</v>
          </cell>
          <cell r="D566" t="str">
            <v>GAPO</v>
          </cell>
        </row>
        <row r="567">
          <cell r="A567" t="str">
            <v>FB250028993</v>
          </cell>
          <cell r="D567" t="str">
            <v>NIK</v>
          </cell>
        </row>
        <row r="568">
          <cell r="A568" t="str">
            <v>FB250028994</v>
          </cell>
          <cell r="D568" t="str">
            <v>VSS</v>
          </cell>
        </row>
        <row r="569">
          <cell r="A569" t="str">
            <v>FB250028995</v>
          </cell>
          <cell r="D569" t="str">
            <v>VSS</v>
          </cell>
        </row>
        <row r="570">
          <cell r="A570" t="str">
            <v>FB250028996</v>
          </cell>
          <cell r="D570" t="str">
            <v>VSS</v>
          </cell>
        </row>
        <row r="571">
          <cell r="A571" t="str">
            <v>FB250028997</v>
          </cell>
          <cell r="D571" t="str">
            <v>NIK</v>
          </cell>
        </row>
        <row r="572">
          <cell r="A572" t="str">
            <v>FB250028998</v>
          </cell>
          <cell r="D572" t="str">
            <v>VSS</v>
          </cell>
        </row>
        <row r="573">
          <cell r="A573" t="str">
            <v>FB250029002</v>
          </cell>
          <cell r="D573" t="str">
            <v>GAPO</v>
          </cell>
        </row>
        <row r="574">
          <cell r="A574" t="str">
            <v>FB250029004</v>
          </cell>
          <cell r="D574" t="str">
            <v>NIK</v>
          </cell>
        </row>
        <row r="575">
          <cell r="A575" t="str">
            <v>FB250029005</v>
          </cell>
          <cell r="D575" t="str">
            <v>GAPO</v>
          </cell>
        </row>
        <row r="576">
          <cell r="A576" t="str">
            <v>FB250029006</v>
          </cell>
          <cell r="D576" t="str">
            <v>LULU</v>
          </cell>
        </row>
        <row r="577">
          <cell r="A577" t="str">
            <v>FB250029008</v>
          </cell>
          <cell r="D577" t="str">
            <v>ASIC</v>
          </cell>
        </row>
        <row r="578">
          <cell r="A578" t="str">
            <v>FB250029011</v>
          </cell>
          <cell r="D578" t="str">
            <v>VSS</v>
          </cell>
        </row>
        <row r="579">
          <cell r="A579" t="str">
            <v>FB250029012</v>
          </cell>
          <cell r="D579" t="str">
            <v>VSS</v>
          </cell>
        </row>
        <row r="580">
          <cell r="A580" t="str">
            <v>FB250029014</v>
          </cell>
          <cell r="D580" t="str">
            <v>NIK</v>
          </cell>
        </row>
        <row r="581">
          <cell r="A581" t="str">
            <v>FB250029016</v>
          </cell>
          <cell r="D581" t="str">
            <v>VSS</v>
          </cell>
        </row>
        <row r="582">
          <cell r="A582" t="str">
            <v>FB250029019</v>
          </cell>
          <cell r="D582" t="str">
            <v>VSS</v>
          </cell>
        </row>
        <row r="583">
          <cell r="A583" t="str">
            <v>FB250029020</v>
          </cell>
          <cell r="D583" t="str">
            <v>VSS</v>
          </cell>
        </row>
        <row r="584">
          <cell r="A584" t="str">
            <v>FB250029021</v>
          </cell>
          <cell r="D584" t="str">
            <v>VSS</v>
          </cell>
        </row>
        <row r="585">
          <cell r="A585" t="str">
            <v>FB250029022</v>
          </cell>
          <cell r="D585" t="str">
            <v>VSS</v>
          </cell>
        </row>
        <row r="586">
          <cell r="A586" t="str">
            <v>FB250029023</v>
          </cell>
          <cell r="D586" t="str">
            <v>CK</v>
          </cell>
        </row>
        <row r="587">
          <cell r="A587" t="str">
            <v>FB250029024</v>
          </cell>
          <cell r="D587" t="str">
            <v>VSS</v>
          </cell>
        </row>
        <row r="588">
          <cell r="A588" t="str">
            <v>FB250029025</v>
          </cell>
          <cell r="D588" t="str">
            <v>VSS</v>
          </cell>
        </row>
        <row r="589">
          <cell r="A589" t="str">
            <v>FB250029026</v>
          </cell>
          <cell r="D589" t="str">
            <v>VSS</v>
          </cell>
        </row>
        <row r="590">
          <cell r="A590" t="str">
            <v>FB250029027</v>
          </cell>
          <cell r="D590" t="str">
            <v>VSS</v>
          </cell>
        </row>
        <row r="591">
          <cell r="A591" t="str">
            <v>FB250029028</v>
          </cell>
          <cell r="D591" t="str">
            <v>VSS</v>
          </cell>
        </row>
        <row r="592">
          <cell r="A592" t="str">
            <v>FB250029029</v>
          </cell>
          <cell r="D592" t="str">
            <v>VSS</v>
          </cell>
        </row>
        <row r="593">
          <cell r="A593" t="str">
            <v>FB250029031</v>
          </cell>
          <cell r="D593" t="str">
            <v>WACE</v>
          </cell>
        </row>
        <row r="594">
          <cell r="A594" t="str">
            <v>FB250029032</v>
          </cell>
          <cell r="D594" t="str">
            <v>NIK</v>
          </cell>
        </row>
        <row r="595">
          <cell r="A595" t="str">
            <v>FB250029033</v>
          </cell>
          <cell r="D595" t="str">
            <v>CK</v>
          </cell>
        </row>
        <row r="596">
          <cell r="A596" t="str">
            <v>FB250029048</v>
          </cell>
          <cell r="D596" t="str">
            <v>PINK</v>
          </cell>
        </row>
        <row r="597">
          <cell r="A597" t="str">
            <v>FB250029049</v>
          </cell>
          <cell r="D597" t="str">
            <v>WACE</v>
          </cell>
        </row>
        <row r="598">
          <cell r="A598" t="str">
            <v>FB250029051</v>
          </cell>
          <cell r="D598" t="str">
            <v>KOM</v>
          </cell>
        </row>
        <row r="599">
          <cell r="A599" t="str">
            <v>FB250029052</v>
          </cell>
          <cell r="D599" t="str">
            <v>KOM</v>
          </cell>
        </row>
        <row r="600">
          <cell r="A600" t="str">
            <v>FB250029053</v>
          </cell>
          <cell r="D600" t="str">
            <v>THEU</v>
          </cell>
        </row>
        <row r="601">
          <cell r="A601" t="str">
            <v>FB250029054</v>
          </cell>
          <cell r="D601" t="str">
            <v>THEU</v>
          </cell>
        </row>
        <row r="602">
          <cell r="A602" t="str">
            <v>FB250029055</v>
          </cell>
          <cell r="D602" t="str">
            <v>NIK</v>
          </cell>
        </row>
        <row r="603">
          <cell r="A603" t="str">
            <v>FB250029056</v>
          </cell>
          <cell r="D603" t="str">
            <v>NIK</v>
          </cell>
        </row>
        <row r="604">
          <cell r="A604" t="str">
            <v>FB250029057</v>
          </cell>
          <cell r="D604" t="str">
            <v>NIK</v>
          </cell>
        </row>
        <row r="605">
          <cell r="A605" t="str">
            <v>FB250029058</v>
          </cell>
          <cell r="D605" t="str">
            <v>WACE</v>
          </cell>
        </row>
        <row r="606">
          <cell r="A606" t="str">
            <v>FB250029061</v>
          </cell>
          <cell r="D606" t="str">
            <v>WACE</v>
          </cell>
        </row>
        <row r="607">
          <cell r="A607" t="str">
            <v>FB250029062</v>
          </cell>
          <cell r="D607" t="str">
            <v>PINK</v>
          </cell>
        </row>
        <row r="608">
          <cell r="A608" t="str">
            <v>FB250029063</v>
          </cell>
          <cell r="D608" t="str">
            <v>WACE</v>
          </cell>
        </row>
        <row r="609">
          <cell r="A609" t="str">
            <v>FB250029064</v>
          </cell>
          <cell r="D609" t="str">
            <v>M&amp;S</v>
          </cell>
        </row>
        <row r="610">
          <cell r="A610" t="str">
            <v>FB250029065</v>
          </cell>
          <cell r="D610" t="str">
            <v>M&amp;S</v>
          </cell>
        </row>
        <row r="611">
          <cell r="A611" t="str">
            <v>FB250029066</v>
          </cell>
          <cell r="D611" t="str">
            <v>GAPO</v>
          </cell>
        </row>
        <row r="612">
          <cell r="A612" t="str">
            <v>FB250029068</v>
          </cell>
          <cell r="D612" t="str">
            <v>LBI</v>
          </cell>
        </row>
        <row r="613">
          <cell r="A613" t="str">
            <v>FB250029069</v>
          </cell>
          <cell r="D613" t="str">
            <v>ASIC</v>
          </cell>
        </row>
        <row r="614">
          <cell r="A614" t="str">
            <v>FB250029070</v>
          </cell>
          <cell r="D614" t="str">
            <v>WACE</v>
          </cell>
        </row>
        <row r="615">
          <cell r="A615" t="str">
            <v>FB250029071</v>
          </cell>
          <cell r="D615" t="str">
            <v>ESS2</v>
          </cell>
        </row>
        <row r="616">
          <cell r="A616" t="str">
            <v>FB250029072</v>
          </cell>
          <cell r="D616" t="str">
            <v>WACE</v>
          </cell>
        </row>
        <row r="617">
          <cell r="A617" t="str">
            <v>FB250029073</v>
          </cell>
          <cell r="D617" t="str">
            <v>WACE</v>
          </cell>
        </row>
        <row r="618">
          <cell r="A618" t="str">
            <v>FB250029074</v>
          </cell>
          <cell r="D618" t="str">
            <v>PINK</v>
          </cell>
        </row>
        <row r="619">
          <cell r="A619" t="str">
            <v>FB250029075</v>
          </cell>
          <cell r="D619" t="str">
            <v>CK</v>
          </cell>
        </row>
        <row r="620">
          <cell r="A620" t="str">
            <v>FB250029076</v>
          </cell>
          <cell r="D620" t="str">
            <v>CK</v>
          </cell>
        </row>
        <row r="621">
          <cell r="A621" t="str">
            <v>FB250029077</v>
          </cell>
          <cell r="D621" t="str">
            <v>WACE</v>
          </cell>
        </row>
        <row r="622">
          <cell r="A622" t="str">
            <v>FB250029078</v>
          </cell>
          <cell r="D622" t="str">
            <v>WACE</v>
          </cell>
        </row>
        <row r="623">
          <cell r="A623" t="str">
            <v>FB250029079</v>
          </cell>
          <cell r="D623" t="str">
            <v>PINK</v>
          </cell>
        </row>
        <row r="624">
          <cell r="A624" t="str">
            <v>FB250029080</v>
          </cell>
          <cell r="D624" t="str">
            <v>PINK</v>
          </cell>
        </row>
        <row r="625">
          <cell r="A625" t="str">
            <v>FB250029081</v>
          </cell>
          <cell r="D625" t="str">
            <v>NIK</v>
          </cell>
        </row>
        <row r="626">
          <cell r="A626" t="str">
            <v>FB250029082</v>
          </cell>
          <cell r="D626" t="str">
            <v>M&amp;S</v>
          </cell>
        </row>
        <row r="627">
          <cell r="A627" t="str">
            <v>FB250029083</v>
          </cell>
          <cell r="D627" t="str">
            <v>M&amp;S</v>
          </cell>
        </row>
        <row r="628">
          <cell r="A628" t="str">
            <v>FB250029084</v>
          </cell>
          <cell r="D628" t="str">
            <v>M&amp;S</v>
          </cell>
        </row>
        <row r="629">
          <cell r="A629" t="str">
            <v>FB250029085</v>
          </cell>
          <cell r="D629" t="str">
            <v>M&amp;S</v>
          </cell>
        </row>
        <row r="630">
          <cell r="A630" t="str">
            <v>FB250029090</v>
          </cell>
          <cell r="D630" t="str">
            <v>PINK</v>
          </cell>
        </row>
        <row r="631">
          <cell r="A631" t="str">
            <v>FB250029096</v>
          </cell>
          <cell r="D631" t="str">
            <v>NEWB</v>
          </cell>
        </row>
        <row r="632">
          <cell r="A632" t="str">
            <v>FB250029097</v>
          </cell>
          <cell r="D632" t="str">
            <v>NEWB</v>
          </cell>
        </row>
        <row r="633">
          <cell r="A633" t="str">
            <v>FB250029098</v>
          </cell>
          <cell r="D633" t="str">
            <v>NEWB</v>
          </cell>
        </row>
        <row r="634">
          <cell r="A634" t="str">
            <v>FB250029100</v>
          </cell>
          <cell r="D634" t="str">
            <v>NEWB</v>
          </cell>
        </row>
        <row r="635">
          <cell r="A635" t="str">
            <v>FB250029102</v>
          </cell>
          <cell r="D635" t="str">
            <v>PINK</v>
          </cell>
        </row>
        <row r="636">
          <cell r="A636" t="str">
            <v>FB250029104</v>
          </cell>
          <cell r="D636" t="str">
            <v>PINK</v>
          </cell>
        </row>
        <row r="637">
          <cell r="A637" t="str">
            <v>FB250029105</v>
          </cell>
          <cell r="D637" t="str">
            <v>PINK</v>
          </cell>
        </row>
        <row r="638">
          <cell r="A638" t="str">
            <v>FB250029109</v>
          </cell>
          <cell r="D638" t="str">
            <v>CK</v>
          </cell>
        </row>
        <row r="639">
          <cell r="A639" t="str">
            <v>FB250029110</v>
          </cell>
          <cell r="D639" t="str">
            <v>GAP</v>
          </cell>
        </row>
        <row r="640">
          <cell r="A640" t="str">
            <v>FB250029115</v>
          </cell>
          <cell r="D640" t="str">
            <v>CK</v>
          </cell>
        </row>
        <row r="641">
          <cell r="A641" t="str">
            <v>FB250029116</v>
          </cell>
          <cell r="D641" t="str">
            <v>M&amp;S</v>
          </cell>
        </row>
        <row r="642">
          <cell r="A642" t="str">
            <v>FB250029117</v>
          </cell>
          <cell r="D642" t="str">
            <v>M&amp;S</v>
          </cell>
        </row>
        <row r="643">
          <cell r="A643" t="str">
            <v>FB250029118</v>
          </cell>
          <cell r="D643" t="str">
            <v>M&amp;S</v>
          </cell>
        </row>
        <row r="644">
          <cell r="A644" t="str">
            <v>FB250029120</v>
          </cell>
          <cell r="D644" t="str">
            <v>GAP</v>
          </cell>
        </row>
        <row r="645">
          <cell r="A645" t="str">
            <v>FB250029121</v>
          </cell>
          <cell r="D645" t="str">
            <v>PINK</v>
          </cell>
        </row>
        <row r="646">
          <cell r="A646" t="str">
            <v>FB250029122</v>
          </cell>
          <cell r="D646" t="str">
            <v>PINK</v>
          </cell>
        </row>
        <row r="647">
          <cell r="A647" t="str">
            <v>FB250029123</v>
          </cell>
          <cell r="D647" t="str">
            <v>PINK</v>
          </cell>
        </row>
        <row r="648">
          <cell r="A648" t="str">
            <v>FB250029124</v>
          </cell>
          <cell r="D648" t="str">
            <v>PINK</v>
          </cell>
        </row>
        <row r="649">
          <cell r="A649" t="str">
            <v>FB250029125</v>
          </cell>
          <cell r="D649" t="str">
            <v>PINK</v>
          </cell>
        </row>
        <row r="650">
          <cell r="A650" t="str">
            <v>FB250029126</v>
          </cell>
          <cell r="D650" t="str">
            <v>PINK</v>
          </cell>
        </row>
        <row r="651">
          <cell r="A651" t="str">
            <v>FB250029127</v>
          </cell>
          <cell r="D651" t="str">
            <v>VSS</v>
          </cell>
        </row>
        <row r="652">
          <cell r="A652" t="str">
            <v>FB250029128</v>
          </cell>
          <cell r="D652" t="str">
            <v>VSS</v>
          </cell>
        </row>
        <row r="653">
          <cell r="A653" t="str">
            <v>FB250029132</v>
          </cell>
          <cell r="D653" t="str">
            <v>TJEL</v>
          </cell>
        </row>
        <row r="654">
          <cell r="A654" t="str">
            <v>FB250029133</v>
          </cell>
          <cell r="D654" t="str">
            <v>TJEL</v>
          </cell>
        </row>
        <row r="655">
          <cell r="A655" t="str">
            <v>FB250029134</v>
          </cell>
          <cell r="D655" t="str">
            <v>VSS</v>
          </cell>
        </row>
        <row r="656">
          <cell r="A656" t="str">
            <v>FB250029135</v>
          </cell>
          <cell r="D656" t="str">
            <v>VSS</v>
          </cell>
        </row>
        <row r="657">
          <cell r="A657" t="str">
            <v>FB250029136</v>
          </cell>
          <cell r="D657" t="str">
            <v>NIK</v>
          </cell>
        </row>
        <row r="658">
          <cell r="A658" t="str">
            <v>FB250029137</v>
          </cell>
          <cell r="D658" t="str">
            <v>NIK</v>
          </cell>
        </row>
        <row r="659">
          <cell r="A659" t="str">
            <v>FB250029138</v>
          </cell>
          <cell r="D659" t="str">
            <v>LULU</v>
          </cell>
        </row>
        <row r="660">
          <cell r="A660" t="str">
            <v>FB250029139</v>
          </cell>
          <cell r="D660" t="str">
            <v>LULU</v>
          </cell>
        </row>
        <row r="661">
          <cell r="A661" t="str">
            <v>FB250029140</v>
          </cell>
          <cell r="D661" t="str">
            <v>LULU</v>
          </cell>
        </row>
        <row r="662">
          <cell r="A662" t="str">
            <v>FB250029141</v>
          </cell>
          <cell r="D662" t="str">
            <v>LULU</v>
          </cell>
        </row>
        <row r="663">
          <cell r="A663" t="str">
            <v>FB250029142</v>
          </cell>
          <cell r="D663" t="str">
            <v>LULU</v>
          </cell>
        </row>
        <row r="664">
          <cell r="A664" t="str">
            <v>FB250029143</v>
          </cell>
          <cell r="D664" t="str">
            <v>LULU</v>
          </cell>
        </row>
        <row r="665">
          <cell r="A665" t="str">
            <v>FB250029144</v>
          </cell>
          <cell r="D665" t="str">
            <v>LULU</v>
          </cell>
        </row>
        <row r="666">
          <cell r="A666" t="str">
            <v>FB250029145</v>
          </cell>
          <cell r="D666" t="str">
            <v>LULU</v>
          </cell>
        </row>
        <row r="667">
          <cell r="A667" t="str">
            <v>FB250029146</v>
          </cell>
          <cell r="D667" t="str">
            <v>CK</v>
          </cell>
        </row>
        <row r="668">
          <cell r="A668" t="str">
            <v>FB250029147</v>
          </cell>
          <cell r="D668" t="str">
            <v>CK</v>
          </cell>
        </row>
        <row r="669">
          <cell r="A669" t="str">
            <v>FB250029148</v>
          </cell>
          <cell r="D669" t="str">
            <v>PINK</v>
          </cell>
        </row>
        <row r="670">
          <cell r="A670" t="str">
            <v>FB250029150</v>
          </cell>
          <cell r="D670" t="str">
            <v>PINK</v>
          </cell>
        </row>
        <row r="671">
          <cell r="A671" t="str">
            <v>FB250029151</v>
          </cell>
          <cell r="D671" t="str">
            <v>PINK</v>
          </cell>
        </row>
        <row r="672">
          <cell r="A672" t="str">
            <v>FB250029153</v>
          </cell>
          <cell r="D672" t="str">
            <v>PINK</v>
          </cell>
        </row>
        <row r="673">
          <cell r="A673" t="str">
            <v>FB250029154</v>
          </cell>
          <cell r="D673" t="str">
            <v>PINK</v>
          </cell>
        </row>
        <row r="674">
          <cell r="A674" t="str">
            <v>FB250029155</v>
          </cell>
          <cell r="D674" t="str">
            <v>M&amp;S</v>
          </cell>
        </row>
        <row r="675">
          <cell r="A675" t="str">
            <v>FB250029156</v>
          </cell>
          <cell r="D675" t="str">
            <v>LULU</v>
          </cell>
        </row>
        <row r="676">
          <cell r="A676" t="str">
            <v>FB250029157</v>
          </cell>
          <cell r="D676" t="str">
            <v>CK</v>
          </cell>
        </row>
        <row r="677">
          <cell r="A677" t="str">
            <v>FB250029163</v>
          </cell>
          <cell r="D677" t="str">
            <v>PINK</v>
          </cell>
        </row>
        <row r="678">
          <cell r="A678" t="str">
            <v>FB250029164</v>
          </cell>
          <cell r="D678" t="str">
            <v>PINK</v>
          </cell>
        </row>
        <row r="679">
          <cell r="A679" t="str">
            <v>FB250029165</v>
          </cell>
          <cell r="D679" t="str">
            <v>M&amp;S</v>
          </cell>
        </row>
        <row r="680">
          <cell r="A680" t="str">
            <v>FB250029166</v>
          </cell>
          <cell r="D680" t="str">
            <v>M&amp;S</v>
          </cell>
        </row>
        <row r="681">
          <cell r="A681" t="str">
            <v>FB250029167</v>
          </cell>
          <cell r="D681" t="str">
            <v>M&amp;S</v>
          </cell>
        </row>
        <row r="682">
          <cell r="A682" t="str">
            <v>FB250029168</v>
          </cell>
          <cell r="D682" t="str">
            <v>M&amp;S</v>
          </cell>
        </row>
        <row r="683">
          <cell r="A683" t="str">
            <v>FB250029169</v>
          </cell>
          <cell r="D683" t="str">
            <v>LULU</v>
          </cell>
        </row>
        <row r="684">
          <cell r="A684" t="str">
            <v>FB250029170</v>
          </cell>
          <cell r="D684" t="str">
            <v>ESS2</v>
          </cell>
        </row>
        <row r="685">
          <cell r="A685" t="str">
            <v>FB250029171</v>
          </cell>
          <cell r="D685" t="str">
            <v>PINK</v>
          </cell>
        </row>
        <row r="686">
          <cell r="A686" t="str">
            <v>FB250029172</v>
          </cell>
          <cell r="D686" t="str">
            <v>PINK</v>
          </cell>
        </row>
        <row r="687">
          <cell r="A687" t="str">
            <v>FB250029173</v>
          </cell>
          <cell r="D687" t="str">
            <v>PINK</v>
          </cell>
        </row>
        <row r="688">
          <cell r="A688" t="str">
            <v>FB250029176</v>
          </cell>
          <cell r="D688" t="str">
            <v>VSS</v>
          </cell>
        </row>
        <row r="689">
          <cell r="A689" t="str">
            <v>FB250029177</v>
          </cell>
          <cell r="D689" t="str">
            <v>VSS</v>
          </cell>
        </row>
        <row r="690">
          <cell r="A690" t="str">
            <v>FB250029178</v>
          </cell>
          <cell r="D690" t="str">
            <v>VSS</v>
          </cell>
        </row>
        <row r="691">
          <cell r="A691" t="str">
            <v>FB250029179</v>
          </cell>
          <cell r="D691" t="str">
            <v>VSS</v>
          </cell>
        </row>
        <row r="692">
          <cell r="A692" t="str">
            <v>FB250029180</v>
          </cell>
          <cell r="D692" t="str">
            <v>VSS</v>
          </cell>
        </row>
        <row r="693">
          <cell r="A693" t="str">
            <v>FB250029181</v>
          </cell>
          <cell r="D693" t="str">
            <v>VSS</v>
          </cell>
        </row>
        <row r="694">
          <cell r="A694" t="str">
            <v>FB250029182</v>
          </cell>
          <cell r="D694" t="str">
            <v>VSS</v>
          </cell>
        </row>
        <row r="695">
          <cell r="A695" t="str">
            <v>FB250029183</v>
          </cell>
          <cell r="D695" t="str">
            <v>NIK</v>
          </cell>
        </row>
        <row r="696">
          <cell r="A696" t="str">
            <v>FB250029184</v>
          </cell>
          <cell r="D696" t="str">
            <v>NIK</v>
          </cell>
        </row>
        <row r="697">
          <cell r="A697" t="str">
            <v>FB250029185</v>
          </cell>
          <cell r="D697" t="str">
            <v>LBI</v>
          </cell>
        </row>
        <row r="698">
          <cell r="A698" t="str">
            <v>FB250029186</v>
          </cell>
          <cell r="D698" t="str">
            <v>NIK</v>
          </cell>
        </row>
        <row r="699">
          <cell r="A699" t="str">
            <v>FB250029188</v>
          </cell>
          <cell r="D699" t="str">
            <v>NIK</v>
          </cell>
        </row>
        <row r="700">
          <cell r="A700" t="str">
            <v>FB250029190</v>
          </cell>
          <cell r="D700" t="str">
            <v>NIK</v>
          </cell>
        </row>
        <row r="701">
          <cell r="A701" t="str">
            <v>FB250029191</v>
          </cell>
          <cell r="D701" t="str">
            <v>NIK</v>
          </cell>
        </row>
        <row r="702">
          <cell r="A702" t="str">
            <v>FB250029193</v>
          </cell>
          <cell r="D702" t="str">
            <v>CHICOS</v>
          </cell>
        </row>
        <row r="703">
          <cell r="A703" t="str">
            <v>FB250029194</v>
          </cell>
          <cell r="D703" t="str">
            <v>CHICOS</v>
          </cell>
        </row>
        <row r="704">
          <cell r="A704" t="str">
            <v>FB250029195</v>
          </cell>
          <cell r="D704" t="str">
            <v>LBI</v>
          </cell>
        </row>
        <row r="705">
          <cell r="A705" t="str">
            <v>FB250029196</v>
          </cell>
          <cell r="D705" t="str">
            <v>M&amp;S</v>
          </cell>
        </row>
        <row r="706">
          <cell r="A706" t="str">
            <v>FB250029197</v>
          </cell>
          <cell r="D706" t="str">
            <v>LULU</v>
          </cell>
        </row>
        <row r="707">
          <cell r="A707" t="str">
            <v>FB250029200</v>
          </cell>
          <cell r="D707" t="str">
            <v>NEX</v>
          </cell>
        </row>
        <row r="708">
          <cell r="A708" t="str">
            <v>FB250029201</v>
          </cell>
          <cell r="D708" t="str">
            <v>NEX</v>
          </cell>
        </row>
        <row r="709">
          <cell r="A709" t="str">
            <v>FB250029203</v>
          </cell>
          <cell r="D709" t="str">
            <v>M&amp;S</v>
          </cell>
        </row>
        <row r="710">
          <cell r="A710" t="str">
            <v>FB250029204</v>
          </cell>
          <cell r="D710" t="str">
            <v>M&amp;S</v>
          </cell>
        </row>
        <row r="711">
          <cell r="A711" t="str">
            <v>FB250029205</v>
          </cell>
          <cell r="D711" t="str">
            <v>GAP</v>
          </cell>
        </row>
        <row r="712">
          <cell r="A712" t="str">
            <v>FB250029206</v>
          </cell>
          <cell r="D712" t="str">
            <v>PINK</v>
          </cell>
        </row>
        <row r="713">
          <cell r="A713" t="str">
            <v>FB250029207</v>
          </cell>
          <cell r="D713" t="str">
            <v>WACE</v>
          </cell>
        </row>
        <row r="714">
          <cell r="A714" t="str">
            <v>FB250029208</v>
          </cell>
          <cell r="D714" t="str">
            <v>WACE</v>
          </cell>
        </row>
        <row r="715">
          <cell r="A715" t="str">
            <v>FB250029214</v>
          </cell>
          <cell r="D715" t="str">
            <v>VSS</v>
          </cell>
        </row>
        <row r="716">
          <cell r="A716" t="str">
            <v>FB250029215</v>
          </cell>
          <cell r="D716" t="str">
            <v>VSS</v>
          </cell>
        </row>
        <row r="717">
          <cell r="A717" t="str">
            <v>FB250029216</v>
          </cell>
          <cell r="D717" t="str">
            <v>LULU</v>
          </cell>
        </row>
        <row r="718">
          <cell r="A718" t="str">
            <v>FB250029217</v>
          </cell>
          <cell r="D718" t="str">
            <v>PINK</v>
          </cell>
        </row>
        <row r="719">
          <cell r="A719" t="str">
            <v>FB250029218</v>
          </cell>
          <cell r="D719" t="str">
            <v>WACE</v>
          </cell>
        </row>
        <row r="720">
          <cell r="A720" t="str">
            <v>FB250029220</v>
          </cell>
          <cell r="D720" t="str">
            <v>WACE</v>
          </cell>
        </row>
        <row r="721">
          <cell r="A721" t="str">
            <v>FB250029221</v>
          </cell>
          <cell r="D721" t="str">
            <v>M&amp;S</v>
          </cell>
        </row>
        <row r="722">
          <cell r="A722" t="str">
            <v>FB250029222</v>
          </cell>
          <cell r="D722" t="str">
            <v>PINK</v>
          </cell>
        </row>
        <row r="723">
          <cell r="A723" t="str">
            <v>FB250029223</v>
          </cell>
          <cell r="D723" t="str">
            <v>PINK</v>
          </cell>
        </row>
        <row r="724">
          <cell r="A724" t="str">
            <v>FB250029224</v>
          </cell>
          <cell r="D724" t="str">
            <v>CHICOS</v>
          </cell>
        </row>
        <row r="725">
          <cell r="A725" t="str">
            <v>FB250029225</v>
          </cell>
          <cell r="D725" t="str">
            <v>VSS</v>
          </cell>
        </row>
        <row r="726">
          <cell r="A726" t="str">
            <v>FB250029226</v>
          </cell>
          <cell r="D726" t="str">
            <v>VSS</v>
          </cell>
        </row>
        <row r="727">
          <cell r="A727" t="str">
            <v>FB250029227</v>
          </cell>
          <cell r="D727" t="str">
            <v>VSS</v>
          </cell>
        </row>
        <row r="728">
          <cell r="A728" t="str">
            <v>FB250029228</v>
          </cell>
          <cell r="D728" t="str">
            <v>VSS</v>
          </cell>
        </row>
        <row r="729">
          <cell r="A729" t="str">
            <v>FB250029229</v>
          </cell>
          <cell r="D729" t="str">
            <v>VSS</v>
          </cell>
        </row>
        <row r="730">
          <cell r="A730" t="str">
            <v>FB250029230</v>
          </cell>
          <cell r="D730" t="str">
            <v>VSS</v>
          </cell>
        </row>
        <row r="731">
          <cell r="A731" t="str">
            <v>FB250029231</v>
          </cell>
          <cell r="D731" t="str">
            <v>VSS</v>
          </cell>
        </row>
        <row r="732">
          <cell r="A732" t="str">
            <v>FB250029232</v>
          </cell>
          <cell r="D732" t="str">
            <v>VSS</v>
          </cell>
        </row>
        <row r="733">
          <cell r="A733" t="str">
            <v>FB250029233</v>
          </cell>
          <cell r="D733" t="str">
            <v>VSS</v>
          </cell>
        </row>
        <row r="734">
          <cell r="A734" t="str">
            <v>FB250029234</v>
          </cell>
          <cell r="D734" t="str">
            <v>VSS</v>
          </cell>
        </row>
        <row r="735">
          <cell r="A735" t="str">
            <v>FB250029235</v>
          </cell>
          <cell r="D735" t="str">
            <v>VSS</v>
          </cell>
        </row>
        <row r="736">
          <cell r="A736" t="str">
            <v>FB250029236</v>
          </cell>
          <cell r="D736" t="str">
            <v>VSS</v>
          </cell>
        </row>
        <row r="737">
          <cell r="A737" t="str">
            <v>FB250029237</v>
          </cell>
          <cell r="D737" t="str">
            <v>VSS</v>
          </cell>
        </row>
        <row r="738">
          <cell r="A738" t="str">
            <v>FB250029238</v>
          </cell>
          <cell r="D738" t="str">
            <v>LULU</v>
          </cell>
        </row>
        <row r="739">
          <cell r="A739" t="str">
            <v>FB250029239</v>
          </cell>
          <cell r="D739" t="str">
            <v>LULU</v>
          </cell>
        </row>
        <row r="740">
          <cell r="A740" t="str">
            <v>FB250029240</v>
          </cell>
          <cell r="D740" t="str">
            <v>CK</v>
          </cell>
        </row>
        <row r="741">
          <cell r="A741" t="str">
            <v>FB250029243</v>
          </cell>
          <cell r="D741" t="str">
            <v>CHICOS</v>
          </cell>
        </row>
        <row r="742">
          <cell r="A742" t="str">
            <v>FB250029245</v>
          </cell>
          <cell r="D742" t="str">
            <v>CHICOS</v>
          </cell>
        </row>
        <row r="743">
          <cell r="A743" t="str">
            <v>FB250029247</v>
          </cell>
          <cell r="D743" t="str">
            <v>M&amp;S</v>
          </cell>
        </row>
        <row r="744">
          <cell r="A744" t="str">
            <v>FB250029248</v>
          </cell>
          <cell r="D744" t="str">
            <v>M&amp;S</v>
          </cell>
        </row>
        <row r="745">
          <cell r="A745" t="str">
            <v>FB250029249</v>
          </cell>
          <cell r="D745" t="str">
            <v>M&amp;S</v>
          </cell>
        </row>
        <row r="746">
          <cell r="A746" t="str">
            <v>FB250029250</v>
          </cell>
          <cell r="D746" t="str">
            <v>M&amp;S</v>
          </cell>
        </row>
        <row r="747">
          <cell r="A747" t="str">
            <v>FB250029251</v>
          </cell>
          <cell r="D747" t="str">
            <v>M&amp;S</v>
          </cell>
        </row>
        <row r="748">
          <cell r="A748" t="str">
            <v>FB250029252</v>
          </cell>
          <cell r="D748" t="str">
            <v>LULU</v>
          </cell>
        </row>
        <row r="749">
          <cell r="A749" t="str">
            <v>FB250029253</v>
          </cell>
          <cell r="D749" t="str">
            <v>M&amp;S</v>
          </cell>
        </row>
        <row r="750">
          <cell r="A750" t="str">
            <v>FB250029254</v>
          </cell>
          <cell r="D750" t="str">
            <v>LULU</v>
          </cell>
        </row>
        <row r="751">
          <cell r="A751" t="str">
            <v>FB250029255</v>
          </cell>
          <cell r="D751" t="str">
            <v>PINK</v>
          </cell>
        </row>
        <row r="752">
          <cell r="A752" t="str">
            <v>FB250029256</v>
          </cell>
          <cell r="D752" t="str">
            <v>PINK</v>
          </cell>
        </row>
        <row r="753">
          <cell r="A753" t="str">
            <v>FB250029257</v>
          </cell>
          <cell r="D753" t="str">
            <v>PINK</v>
          </cell>
        </row>
        <row r="754">
          <cell r="A754" t="str">
            <v>FB250029258</v>
          </cell>
          <cell r="D754" t="str">
            <v>PINK</v>
          </cell>
        </row>
        <row r="755">
          <cell r="A755" t="str">
            <v>FB250029260</v>
          </cell>
          <cell r="D755" t="str">
            <v>PINK</v>
          </cell>
        </row>
        <row r="756">
          <cell r="A756" t="str">
            <v>FB250029261</v>
          </cell>
          <cell r="D756" t="str">
            <v>PINK</v>
          </cell>
        </row>
        <row r="757">
          <cell r="A757" t="str">
            <v>FB250029262</v>
          </cell>
          <cell r="D757" t="str">
            <v>PINK</v>
          </cell>
        </row>
        <row r="758">
          <cell r="A758" t="str">
            <v>FB250029263</v>
          </cell>
          <cell r="D758" t="str">
            <v>PINK</v>
          </cell>
        </row>
        <row r="759">
          <cell r="A759" t="str">
            <v>FB250029265</v>
          </cell>
          <cell r="D759" t="str">
            <v>LULU</v>
          </cell>
        </row>
        <row r="760">
          <cell r="A760" t="str">
            <v>FB250029267</v>
          </cell>
          <cell r="D760" t="str">
            <v>M&amp;S</v>
          </cell>
        </row>
        <row r="761">
          <cell r="A761" t="str">
            <v>FB250029268</v>
          </cell>
          <cell r="D761" t="str">
            <v>HAR</v>
          </cell>
        </row>
        <row r="762">
          <cell r="A762" t="str">
            <v>FB250029269</v>
          </cell>
          <cell r="D762" t="str">
            <v>INT1</v>
          </cell>
        </row>
        <row r="763">
          <cell r="A763" t="str">
            <v>FB250029270</v>
          </cell>
          <cell r="D763" t="str">
            <v>INT1</v>
          </cell>
        </row>
        <row r="764">
          <cell r="A764" t="str">
            <v>FB250029271</v>
          </cell>
          <cell r="D764" t="str">
            <v>PINK</v>
          </cell>
        </row>
        <row r="765">
          <cell r="A765" t="str">
            <v>FB250029272</v>
          </cell>
          <cell r="D765" t="str">
            <v>PINK</v>
          </cell>
        </row>
        <row r="766">
          <cell r="A766" t="str">
            <v>FB250029273</v>
          </cell>
          <cell r="D766" t="str">
            <v>PINK</v>
          </cell>
        </row>
        <row r="767">
          <cell r="A767" t="str">
            <v>FB250029277</v>
          </cell>
          <cell r="D767" t="str">
            <v>LBI</v>
          </cell>
        </row>
        <row r="768">
          <cell r="A768" t="str">
            <v>FB250029280</v>
          </cell>
          <cell r="D768" t="str">
            <v>LBI</v>
          </cell>
        </row>
        <row r="769">
          <cell r="A769" t="str">
            <v>FB250029281</v>
          </cell>
          <cell r="D769" t="str">
            <v>LBI</v>
          </cell>
        </row>
        <row r="770">
          <cell r="A770" t="str">
            <v>FB250029282</v>
          </cell>
          <cell r="D770" t="str">
            <v>CK</v>
          </cell>
        </row>
        <row r="771">
          <cell r="A771" t="str">
            <v>FB250029283</v>
          </cell>
          <cell r="D771" t="str">
            <v>CHICOS</v>
          </cell>
        </row>
        <row r="772">
          <cell r="A772" t="str">
            <v>FB250029284</v>
          </cell>
          <cell r="D772" t="str">
            <v>PINK</v>
          </cell>
        </row>
        <row r="773">
          <cell r="A773" t="str">
            <v>FB250029285</v>
          </cell>
          <cell r="D773" t="str">
            <v>CHICOS</v>
          </cell>
        </row>
        <row r="774">
          <cell r="A774" t="str">
            <v>FB250029286</v>
          </cell>
          <cell r="D774" t="str">
            <v>CHICOS</v>
          </cell>
        </row>
        <row r="775">
          <cell r="A775" t="str">
            <v>FB250029287</v>
          </cell>
          <cell r="D775" t="str">
            <v>VSS</v>
          </cell>
        </row>
        <row r="776">
          <cell r="A776" t="str">
            <v>FB250029288</v>
          </cell>
          <cell r="D776" t="str">
            <v>M&amp;S</v>
          </cell>
        </row>
        <row r="777">
          <cell r="A777" t="str">
            <v>FB250029289</v>
          </cell>
          <cell r="D777" t="str">
            <v>M&amp;S</v>
          </cell>
        </row>
        <row r="778">
          <cell r="A778" t="str">
            <v>FB250029290</v>
          </cell>
          <cell r="D778" t="str">
            <v>M&amp;S</v>
          </cell>
        </row>
        <row r="779">
          <cell r="A779" t="str">
            <v>FB250029291</v>
          </cell>
          <cell r="D779" t="str">
            <v>M&amp;S</v>
          </cell>
        </row>
        <row r="780">
          <cell r="A780" t="str">
            <v>FB250029292</v>
          </cell>
          <cell r="D780" t="str">
            <v>M&amp;S</v>
          </cell>
        </row>
        <row r="781">
          <cell r="A781" t="str">
            <v>FB250029293</v>
          </cell>
          <cell r="D781" t="str">
            <v>M&amp;S</v>
          </cell>
        </row>
        <row r="782">
          <cell r="A782" t="str">
            <v>FB250029294</v>
          </cell>
          <cell r="D782" t="str">
            <v>M&amp;S</v>
          </cell>
        </row>
        <row r="783">
          <cell r="A783" t="str">
            <v>FB250029295</v>
          </cell>
          <cell r="D783" t="str">
            <v>LULU</v>
          </cell>
        </row>
        <row r="784">
          <cell r="A784" t="str">
            <v>FB250029296</v>
          </cell>
          <cell r="D784" t="str">
            <v>LULU</v>
          </cell>
        </row>
        <row r="785">
          <cell r="A785" t="str">
            <v>FB250029298</v>
          </cell>
          <cell r="D785" t="str">
            <v>M&amp;S</v>
          </cell>
        </row>
        <row r="786">
          <cell r="A786" t="str">
            <v>FB250029299</v>
          </cell>
          <cell r="D786" t="str">
            <v>M&amp;S</v>
          </cell>
        </row>
        <row r="787">
          <cell r="A787" t="str">
            <v>FB250029300</v>
          </cell>
          <cell r="D787" t="str">
            <v>M&amp;S</v>
          </cell>
        </row>
        <row r="788">
          <cell r="A788" t="str">
            <v>FB250029301</v>
          </cell>
          <cell r="D788" t="str">
            <v>M&amp;S</v>
          </cell>
        </row>
        <row r="789">
          <cell r="A789" t="str">
            <v>FB250029302</v>
          </cell>
          <cell r="D789" t="str">
            <v>LULU</v>
          </cell>
        </row>
        <row r="790">
          <cell r="A790" t="str">
            <v>FB250029303</v>
          </cell>
          <cell r="D790" t="str">
            <v>M&amp;S</v>
          </cell>
        </row>
        <row r="791">
          <cell r="A791" t="str">
            <v>FB250029304</v>
          </cell>
          <cell r="D791" t="str">
            <v>NEWB</v>
          </cell>
        </row>
        <row r="792">
          <cell r="A792" t="str">
            <v>FB250029305</v>
          </cell>
          <cell r="D792" t="str">
            <v>M&amp;S</v>
          </cell>
        </row>
        <row r="793">
          <cell r="A793" t="str">
            <v>FB250029307</v>
          </cell>
          <cell r="D793" t="str">
            <v>M&amp;S</v>
          </cell>
        </row>
        <row r="794">
          <cell r="A794" t="str">
            <v>FB250029317</v>
          </cell>
          <cell r="D794" t="str">
            <v>M&amp;S</v>
          </cell>
        </row>
        <row r="795">
          <cell r="A795" t="str">
            <v>FB250029318</v>
          </cell>
          <cell r="D795" t="str">
            <v>M&amp;S</v>
          </cell>
        </row>
        <row r="796">
          <cell r="A796" t="str">
            <v>FB250029321</v>
          </cell>
          <cell r="D796" t="str">
            <v>WACE</v>
          </cell>
        </row>
        <row r="797">
          <cell r="A797" t="str">
            <v>FB250029322</v>
          </cell>
          <cell r="D797" t="str">
            <v>CK</v>
          </cell>
        </row>
        <row r="798">
          <cell r="A798" t="str">
            <v>FB250029323</v>
          </cell>
          <cell r="D798" t="str">
            <v>VSS</v>
          </cell>
        </row>
        <row r="799">
          <cell r="A799" t="str">
            <v>FB250029324</v>
          </cell>
          <cell r="D799" t="str">
            <v>VSS</v>
          </cell>
        </row>
        <row r="800">
          <cell r="A800" t="str">
            <v>FB250029325</v>
          </cell>
          <cell r="D800" t="str">
            <v>VSS</v>
          </cell>
        </row>
        <row r="801">
          <cell r="A801" t="str">
            <v>FB250029329</v>
          </cell>
          <cell r="D801" t="str">
            <v>GAP</v>
          </cell>
        </row>
        <row r="802">
          <cell r="A802" t="str">
            <v>FB250029332</v>
          </cell>
          <cell r="D802" t="str">
            <v>WACE</v>
          </cell>
        </row>
        <row r="803">
          <cell r="A803" t="str">
            <v>FB250029333</v>
          </cell>
          <cell r="D803" t="str">
            <v>WACE</v>
          </cell>
        </row>
        <row r="804">
          <cell r="A804" t="str">
            <v>FB250029334</v>
          </cell>
          <cell r="D804" t="str">
            <v>WACE</v>
          </cell>
        </row>
        <row r="805">
          <cell r="A805" t="str">
            <v>FB250029335</v>
          </cell>
          <cell r="D805" t="str">
            <v>CHICOS</v>
          </cell>
        </row>
        <row r="806">
          <cell r="A806" t="str">
            <v>FB250029339</v>
          </cell>
          <cell r="D806" t="str">
            <v>ASIC</v>
          </cell>
        </row>
        <row r="807">
          <cell r="A807" t="str">
            <v>FB260000005</v>
          </cell>
          <cell r="D807" t="str">
            <v>TJEL</v>
          </cell>
        </row>
        <row r="808">
          <cell r="A808" t="str">
            <v>FB260000006</v>
          </cell>
          <cell r="D808" t="str">
            <v>TJEL</v>
          </cell>
        </row>
        <row r="809">
          <cell r="A809" t="str">
            <v>FB260000007</v>
          </cell>
          <cell r="D809" t="str">
            <v>TJEL</v>
          </cell>
        </row>
        <row r="810">
          <cell r="A810" t="str">
            <v>FB260000008</v>
          </cell>
          <cell r="D810" t="str">
            <v>INT1</v>
          </cell>
        </row>
        <row r="811">
          <cell r="A811" t="str">
            <v>FB260000010</v>
          </cell>
          <cell r="D811" t="str">
            <v>INT1</v>
          </cell>
        </row>
        <row r="812">
          <cell r="A812" t="str">
            <v>FB260000011</v>
          </cell>
          <cell r="D812" t="str">
            <v>INT1</v>
          </cell>
        </row>
        <row r="813">
          <cell r="A813" t="str">
            <v>FB260000012</v>
          </cell>
          <cell r="D813" t="str">
            <v>INT1</v>
          </cell>
        </row>
        <row r="814">
          <cell r="A814" t="str">
            <v>FB260000013</v>
          </cell>
          <cell r="D814" t="str">
            <v>NEX</v>
          </cell>
        </row>
        <row r="815">
          <cell r="A815" t="str">
            <v>FB260000015</v>
          </cell>
          <cell r="D815" t="str">
            <v>WACE</v>
          </cell>
        </row>
        <row r="816">
          <cell r="A816" t="str">
            <v>FB260000019</v>
          </cell>
          <cell r="D816" t="str">
            <v>WACE</v>
          </cell>
        </row>
        <row r="817">
          <cell r="A817" t="str">
            <v>FB260000021</v>
          </cell>
          <cell r="D817" t="str">
            <v>LULU</v>
          </cell>
        </row>
        <row r="818">
          <cell r="A818" t="str">
            <v>FB260000022</v>
          </cell>
          <cell r="D818" t="str">
            <v>NIK</v>
          </cell>
        </row>
        <row r="819">
          <cell r="A819" t="str">
            <v>FB260000026</v>
          </cell>
          <cell r="D819" t="str">
            <v>NIK</v>
          </cell>
        </row>
        <row r="820">
          <cell r="A820" t="str">
            <v>FB260000027</v>
          </cell>
          <cell r="D820" t="str">
            <v>TJEL</v>
          </cell>
        </row>
        <row r="821">
          <cell r="A821" t="str">
            <v>FB260000028</v>
          </cell>
          <cell r="D821" t="str">
            <v>M&amp;S</v>
          </cell>
        </row>
        <row r="822">
          <cell r="A822" t="str">
            <v>FB260000029</v>
          </cell>
          <cell r="D822" t="str">
            <v>M&amp;S</v>
          </cell>
        </row>
        <row r="823">
          <cell r="A823" t="str">
            <v>FB260000030</v>
          </cell>
          <cell r="D823" t="str">
            <v>M&amp;S</v>
          </cell>
        </row>
        <row r="824">
          <cell r="A824" t="str">
            <v>FB260000039</v>
          </cell>
          <cell r="D824" t="str">
            <v>M&amp;S</v>
          </cell>
        </row>
        <row r="825">
          <cell r="A825" t="str">
            <v>FB260000040</v>
          </cell>
          <cell r="D825" t="str">
            <v>WACE</v>
          </cell>
        </row>
        <row r="826">
          <cell r="A826" t="str">
            <v>FB260000046</v>
          </cell>
          <cell r="D826" t="str">
            <v>WACE</v>
          </cell>
        </row>
        <row r="827">
          <cell r="A827" t="str">
            <v>FB260000047</v>
          </cell>
          <cell r="D827" t="str">
            <v>WACE</v>
          </cell>
        </row>
        <row r="828">
          <cell r="A828" t="str">
            <v>FB260000048</v>
          </cell>
          <cell r="D828" t="str">
            <v>HAR</v>
          </cell>
        </row>
        <row r="829">
          <cell r="A829" t="str">
            <v>FB260000049</v>
          </cell>
          <cell r="D829" t="str">
            <v>HAR</v>
          </cell>
        </row>
        <row r="830">
          <cell r="A830" t="str">
            <v>FB260000057</v>
          </cell>
          <cell r="D830" t="str">
            <v>WACE</v>
          </cell>
        </row>
        <row r="831">
          <cell r="A831" t="str">
            <v>FB260000060</v>
          </cell>
          <cell r="D831" t="str">
            <v>PINK</v>
          </cell>
        </row>
        <row r="832">
          <cell r="A832" t="str">
            <v>FB260000062</v>
          </cell>
          <cell r="D832" t="str">
            <v>PINK</v>
          </cell>
        </row>
        <row r="833">
          <cell r="A833" t="str">
            <v>FB260000067</v>
          </cell>
          <cell r="D833" t="str">
            <v>VSS</v>
          </cell>
        </row>
        <row r="834">
          <cell r="A834" t="str">
            <v>FB260000068</v>
          </cell>
          <cell r="D834" t="str">
            <v>VSS</v>
          </cell>
        </row>
        <row r="835">
          <cell r="A835" t="str">
            <v>FB260000069</v>
          </cell>
          <cell r="D835" t="str">
            <v>VSS</v>
          </cell>
        </row>
        <row r="836">
          <cell r="A836" t="str">
            <v>FB260000071</v>
          </cell>
          <cell r="D836" t="str">
            <v>VSS</v>
          </cell>
        </row>
        <row r="837">
          <cell r="A837" t="str">
            <v>FB260000072</v>
          </cell>
          <cell r="D837" t="str">
            <v>VSS</v>
          </cell>
        </row>
        <row r="838">
          <cell r="A838" t="str">
            <v>FB260000073</v>
          </cell>
          <cell r="D838" t="str">
            <v>VSS</v>
          </cell>
        </row>
        <row r="839">
          <cell r="A839" t="str">
            <v>FB260000076</v>
          </cell>
          <cell r="D839" t="str">
            <v>VSS</v>
          </cell>
        </row>
        <row r="840">
          <cell r="A840" t="str">
            <v>FB260000080</v>
          </cell>
          <cell r="D840" t="str">
            <v>CHICOS</v>
          </cell>
        </row>
        <row r="841">
          <cell r="A841" t="str">
            <v>FB260000081</v>
          </cell>
          <cell r="D841" t="str">
            <v>CHICOS</v>
          </cell>
        </row>
        <row r="842">
          <cell r="A842" t="str">
            <v>FB260000082</v>
          </cell>
          <cell r="D842" t="str">
            <v>CHICOS</v>
          </cell>
        </row>
        <row r="843">
          <cell r="A843" t="str">
            <v>FB260000083</v>
          </cell>
          <cell r="D843" t="str">
            <v>CHICOS</v>
          </cell>
        </row>
        <row r="844">
          <cell r="A844" t="str">
            <v>FB260000084</v>
          </cell>
          <cell r="D844" t="str">
            <v>CHICOS</v>
          </cell>
        </row>
        <row r="845">
          <cell r="A845" t="str">
            <v>FB260000088</v>
          </cell>
          <cell r="D845" t="str">
            <v>ESS2</v>
          </cell>
        </row>
        <row r="846">
          <cell r="A846" t="str">
            <v>FB260000089</v>
          </cell>
          <cell r="D846" t="str">
            <v>ESS2</v>
          </cell>
        </row>
        <row r="847">
          <cell r="A847" t="str">
            <v>FB260000090</v>
          </cell>
          <cell r="D847" t="str">
            <v>ESS2</v>
          </cell>
        </row>
        <row r="848">
          <cell r="A848" t="str">
            <v>FB260000091</v>
          </cell>
          <cell r="D848" t="str">
            <v>ESS2</v>
          </cell>
        </row>
        <row r="849">
          <cell r="A849" t="str">
            <v>FB260000095</v>
          </cell>
          <cell r="D849" t="str">
            <v>NEX</v>
          </cell>
        </row>
        <row r="850">
          <cell r="A850" t="str">
            <v>FB260000098</v>
          </cell>
          <cell r="D850" t="str">
            <v>VSS</v>
          </cell>
        </row>
        <row r="851">
          <cell r="A851" t="str">
            <v>FB260000099</v>
          </cell>
          <cell r="D851" t="str">
            <v>VSS</v>
          </cell>
        </row>
        <row r="852">
          <cell r="A852" t="str">
            <v>FB260000101</v>
          </cell>
          <cell r="D852" t="str">
            <v>M&amp;S</v>
          </cell>
        </row>
        <row r="853">
          <cell r="A853" t="str">
            <v>FB260000102</v>
          </cell>
          <cell r="D853" t="str">
            <v>VSS</v>
          </cell>
        </row>
        <row r="854">
          <cell r="A854" t="str">
            <v>FB260000103</v>
          </cell>
          <cell r="D854" t="str">
            <v>NIK</v>
          </cell>
        </row>
        <row r="855">
          <cell r="A855" t="str">
            <v>FB260000111</v>
          </cell>
          <cell r="D855" t="str">
            <v>PINK</v>
          </cell>
        </row>
        <row r="856">
          <cell r="A856" t="str">
            <v>FB260000114</v>
          </cell>
          <cell r="D856" t="str">
            <v>WACE</v>
          </cell>
        </row>
        <row r="857">
          <cell r="A857" t="str">
            <v>FB260000115</v>
          </cell>
          <cell r="D857" t="str">
            <v>WACE</v>
          </cell>
        </row>
        <row r="858">
          <cell r="A858" t="str">
            <v>FB260000119</v>
          </cell>
          <cell r="D858" t="str">
            <v>VSS</v>
          </cell>
        </row>
        <row r="859">
          <cell r="A859" t="str">
            <v>FB260000120</v>
          </cell>
          <cell r="D859" t="str">
            <v>VSS</v>
          </cell>
        </row>
        <row r="860">
          <cell r="A860" t="str">
            <v>FB260000123</v>
          </cell>
          <cell r="D860" t="str">
            <v>VSS</v>
          </cell>
        </row>
        <row r="861">
          <cell r="A861" t="str">
            <v>FB260000124</v>
          </cell>
          <cell r="D861" t="str">
            <v>VSS</v>
          </cell>
        </row>
        <row r="862">
          <cell r="A862" t="str">
            <v>FB260000128</v>
          </cell>
          <cell r="D862" t="str">
            <v>VSS</v>
          </cell>
        </row>
        <row r="863">
          <cell r="A863" t="str">
            <v>FB260000132</v>
          </cell>
          <cell r="D863" t="str">
            <v>WACE</v>
          </cell>
        </row>
        <row r="864">
          <cell r="A864" t="str">
            <v>FB260000133</v>
          </cell>
          <cell r="D864" t="str">
            <v>WACE</v>
          </cell>
        </row>
        <row r="865">
          <cell r="A865" t="str">
            <v>FB260000134</v>
          </cell>
          <cell r="D865" t="str">
            <v>WAC</v>
          </cell>
        </row>
        <row r="866">
          <cell r="A866" t="str">
            <v>FB260000137</v>
          </cell>
          <cell r="D866" t="str">
            <v>VSS</v>
          </cell>
        </row>
        <row r="867">
          <cell r="A867" t="str">
            <v>FB260000138</v>
          </cell>
          <cell r="D867" t="str">
            <v>TORD</v>
          </cell>
        </row>
        <row r="868">
          <cell r="A868" t="str">
            <v>FB260000139</v>
          </cell>
          <cell r="D868" t="str">
            <v>WACE</v>
          </cell>
        </row>
        <row r="869">
          <cell r="A869" t="str">
            <v>FB260000145</v>
          </cell>
          <cell r="D869" t="str">
            <v>VSS</v>
          </cell>
        </row>
        <row r="870">
          <cell r="A870" t="str">
            <v>FB260000146</v>
          </cell>
          <cell r="D870" t="str">
            <v>VSS</v>
          </cell>
        </row>
        <row r="871">
          <cell r="A871" t="str">
            <v>FB260000147</v>
          </cell>
          <cell r="D871" t="str">
            <v>VSS</v>
          </cell>
        </row>
        <row r="872">
          <cell r="A872" t="str">
            <v>FB260000152</v>
          </cell>
          <cell r="D872" t="str">
            <v>WACE</v>
          </cell>
        </row>
        <row r="873">
          <cell r="A873" t="str">
            <v>FB260000154</v>
          </cell>
          <cell r="D873" t="str">
            <v>VSS</v>
          </cell>
        </row>
        <row r="874">
          <cell r="A874" t="str">
            <v>FB260000162</v>
          </cell>
          <cell r="D874" t="str">
            <v>VSS</v>
          </cell>
        </row>
        <row r="875">
          <cell r="A875" t="str">
            <v>FB260000165</v>
          </cell>
          <cell r="D875" t="str">
            <v>LULU</v>
          </cell>
        </row>
        <row r="876">
          <cell r="A876" t="str">
            <v>FB260000167</v>
          </cell>
          <cell r="D876" t="str">
            <v>LULU</v>
          </cell>
        </row>
        <row r="877">
          <cell r="A877" t="str">
            <v>FB260000169</v>
          </cell>
          <cell r="D877" t="str">
            <v>VSS</v>
          </cell>
        </row>
        <row r="878">
          <cell r="A878" t="str">
            <v>FB260000171</v>
          </cell>
          <cell r="D878" t="str">
            <v>PINK</v>
          </cell>
        </row>
        <row r="879">
          <cell r="A879" t="str">
            <v>FB260000172</v>
          </cell>
          <cell r="D879" t="str">
            <v>CHICOS</v>
          </cell>
        </row>
        <row r="880">
          <cell r="A880" t="str">
            <v>FB260000173</v>
          </cell>
          <cell r="D880" t="str">
            <v>M&amp;S</v>
          </cell>
        </row>
        <row r="881">
          <cell r="A881" t="str">
            <v>FB260000174</v>
          </cell>
          <cell r="D881" t="str">
            <v>VSS</v>
          </cell>
        </row>
        <row r="882">
          <cell r="A882" t="str">
            <v>FB260000181</v>
          </cell>
          <cell r="D882" t="str">
            <v>NIK</v>
          </cell>
        </row>
        <row r="883">
          <cell r="A883" t="str">
            <v>FB260000183</v>
          </cell>
          <cell r="D883" t="str">
            <v>M&amp;S</v>
          </cell>
        </row>
        <row r="884">
          <cell r="A884" t="str">
            <v>FB260000184</v>
          </cell>
          <cell r="D884" t="str">
            <v>LULU</v>
          </cell>
        </row>
        <row r="885">
          <cell r="A885" t="str">
            <v>FB260000186</v>
          </cell>
          <cell r="D885" t="str">
            <v>LULU</v>
          </cell>
        </row>
        <row r="886">
          <cell r="A886" t="str">
            <v>FB260000187</v>
          </cell>
          <cell r="D886" t="str">
            <v>LBI</v>
          </cell>
        </row>
        <row r="887">
          <cell r="A887" t="str">
            <v>FB260000188</v>
          </cell>
          <cell r="D887" t="str">
            <v>LBI</v>
          </cell>
        </row>
        <row r="888">
          <cell r="A888" t="str">
            <v>FB260000190</v>
          </cell>
          <cell r="D888" t="str">
            <v>CK</v>
          </cell>
        </row>
        <row r="889">
          <cell r="A889" t="str">
            <v>FB260000191</v>
          </cell>
          <cell r="D889" t="str">
            <v>CK</v>
          </cell>
        </row>
        <row r="890">
          <cell r="A890" t="str">
            <v>FB260000197</v>
          </cell>
          <cell r="D890" t="str">
            <v>WACE</v>
          </cell>
        </row>
        <row r="891">
          <cell r="A891" t="str">
            <v>FB260000199</v>
          </cell>
          <cell r="D891" t="str">
            <v>NEWB</v>
          </cell>
        </row>
        <row r="892">
          <cell r="A892" t="str">
            <v>FB260000200</v>
          </cell>
          <cell r="D892" t="str">
            <v>PINK</v>
          </cell>
        </row>
        <row r="893">
          <cell r="A893" t="str">
            <v>FB260000208</v>
          </cell>
          <cell r="D893" t="str">
            <v>VSS</v>
          </cell>
        </row>
        <row r="894">
          <cell r="A894" t="str">
            <v>FB260000209</v>
          </cell>
          <cell r="D894" t="str">
            <v>VSS</v>
          </cell>
        </row>
        <row r="895">
          <cell r="A895" t="str">
            <v>FB260000212</v>
          </cell>
          <cell r="D895" t="str">
            <v>INT1</v>
          </cell>
        </row>
        <row r="896">
          <cell r="A896" t="str">
            <v>FB260000213</v>
          </cell>
          <cell r="D896" t="str">
            <v>GLA</v>
          </cell>
        </row>
        <row r="897">
          <cell r="A897" t="str">
            <v>FB260000214</v>
          </cell>
          <cell r="D897" t="str">
            <v>WAC</v>
          </cell>
        </row>
        <row r="898">
          <cell r="A898" t="str">
            <v>FB260000215</v>
          </cell>
          <cell r="D898" t="str">
            <v>NIK</v>
          </cell>
        </row>
        <row r="899">
          <cell r="A899" t="str">
            <v>FB260000216</v>
          </cell>
          <cell r="D899" t="str">
            <v>M&amp;S</v>
          </cell>
        </row>
        <row r="900">
          <cell r="A900" t="str">
            <v>FB260000219</v>
          </cell>
          <cell r="D900" t="str">
            <v>WACE</v>
          </cell>
        </row>
        <row r="901">
          <cell r="A901" t="str">
            <v>FB260000220</v>
          </cell>
          <cell r="D901" t="str">
            <v>M&amp;S</v>
          </cell>
        </row>
        <row r="902">
          <cell r="A902" t="str">
            <v>FB260000229</v>
          </cell>
          <cell r="D902" t="str">
            <v>WACE</v>
          </cell>
        </row>
        <row r="903">
          <cell r="A903" t="str">
            <v>FB260000231</v>
          </cell>
          <cell r="D903" t="str">
            <v>LBI</v>
          </cell>
        </row>
        <row r="904">
          <cell r="A904" t="str">
            <v>FB260000232</v>
          </cell>
          <cell r="D904" t="str">
            <v>LBI</v>
          </cell>
        </row>
        <row r="905">
          <cell r="A905" t="str">
            <v>FB260000233</v>
          </cell>
          <cell r="D905" t="str">
            <v>TEZ</v>
          </cell>
        </row>
        <row r="906">
          <cell r="A906" t="str">
            <v>FB260000234</v>
          </cell>
          <cell r="D906" t="str">
            <v>TEZ</v>
          </cell>
        </row>
        <row r="907">
          <cell r="A907" t="str">
            <v>FB260000235</v>
          </cell>
          <cell r="D907" t="str">
            <v>WACE</v>
          </cell>
        </row>
        <row r="908">
          <cell r="A908" t="str">
            <v>FB260000236</v>
          </cell>
          <cell r="D908" t="str">
            <v>WACE</v>
          </cell>
        </row>
        <row r="909">
          <cell r="A909" t="str">
            <v>FB260000238</v>
          </cell>
          <cell r="D909" t="str">
            <v>WACE</v>
          </cell>
        </row>
        <row r="910">
          <cell r="A910" t="str">
            <v>FB260000239</v>
          </cell>
          <cell r="D910" t="str">
            <v>WAC</v>
          </cell>
        </row>
        <row r="911">
          <cell r="A911" t="str">
            <v>FB260000240</v>
          </cell>
          <cell r="D911" t="str">
            <v>TORD</v>
          </cell>
        </row>
        <row r="912">
          <cell r="A912" t="str">
            <v>FB260000241</v>
          </cell>
          <cell r="D912" t="str">
            <v>WACE</v>
          </cell>
        </row>
        <row r="913">
          <cell r="A913" t="str">
            <v>FB260000242</v>
          </cell>
          <cell r="D913" t="str">
            <v>ASIC</v>
          </cell>
        </row>
        <row r="914">
          <cell r="A914" t="str">
            <v>FB260000244</v>
          </cell>
          <cell r="D914" t="str">
            <v>ASIC</v>
          </cell>
        </row>
        <row r="915">
          <cell r="A915" t="str">
            <v>FB260000246</v>
          </cell>
          <cell r="D915" t="str">
            <v>LULU</v>
          </cell>
        </row>
        <row r="916">
          <cell r="A916" t="str">
            <v>FB260000248</v>
          </cell>
          <cell r="D916" t="str">
            <v>VSS</v>
          </cell>
        </row>
        <row r="917">
          <cell r="A917" t="str">
            <v>FB260000250</v>
          </cell>
          <cell r="D917" t="str">
            <v>PINK</v>
          </cell>
        </row>
        <row r="918">
          <cell r="A918" t="str">
            <v>FB260000251</v>
          </cell>
          <cell r="D918" t="str">
            <v>PINK</v>
          </cell>
        </row>
        <row r="919">
          <cell r="A919" t="str">
            <v>FB260000253</v>
          </cell>
          <cell r="D919" t="str">
            <v>M&amp;S</v>
          </cell>
        </row>
        <row r="920">
          <cell r="A920" t="str">
            <v>FB260000256</v>
          </cell>
          <cell r="D920" t="str">
            <v>M&amp;S</v>
          </cell>
        </row>
        <row r="921">
          <cell r="A921" t="str">
            <v>FB260000257</v>
          </cell>
          <cell r="D921" t="str">
            <v>M&amp;S</v>
          </cell>
        </row>
        <row r="922">
          <cell r="A922" t="str">
            <v>FB260000258</v>
          </cell>
          <cell r="D922" t="str">
            <v>M&amp;S</v>
          </cell>
        </row>
        <row r="923">
          <cell r="A923" t="str">
            <v>FB260000259</v>
          </cell>
          <cell r="D923" t="str">
            <v>M&amp;S</v>
          </cell>
        </row>
        <row r="924">
          <cell r="A924" t="str">
            <v>FB260000262</v>
          </cell>
          <cell r="D924" t="str">
            <v>LULU</v>
          </cell>
        </row>
        <row r="925">
          <cell r="A925" t="str">
            <v>FB260000263</v>
          </cell>
          <cell r="D925" t="str">
            <v>LULU</v>
          </cell>
        </row>
        <row r="926">
          <cell r="A926" t="str">
            <v>FB260000264</v>
          </cell>
          <cell r="D926" t="str">
            <v>LBI</v>
          </cell>
        </row>
        <row r="927">
          <cell r="A927" t="str">
            <v>FB260000267</v>
          </cell>
          <cell r="D927" t="str">
            <v>LULU</v>
          </cell>
        </row>
        <row r="928">
          <cell r="A928" t="str">
            <v>FB260000268</v>
          </cell>
          <cell r="D928" t="str">
            <v>WACE</v>
          </cell>
        </row>
        <row r="929">
          <cell r="A929" t="str">
            <v>FB260000273</v>
          </cell>
          <cell r="D929" t="str">
            <v>WACE</v>
          </cell>
        </row>
        <row r="930">
          <cell r="A930" t="str">
            <v>FB260000274</v>
          </cell>
          <cell r="D930" t="str">
            <v>ASIC</v>
          </cell>
        </row>
        <row r="931">
          <cell r="A931" t="str">
            <v>FB260000275</v>
          </cell>
          <cell r="D931" t="str">
            <v>ASIC</v>
          </cell>
        </row>
        <row r="932">
          <cell r="A932" t="str">
            <v>FB260000277</v>
          </cell>
          <cell r="D932" t="str">
            <v>NIK</v>
          </cell>
        </row>
        <row r="933">
          <cell r="A933" t="str">
            <v>FB260000278</v>
          </cell>
          <cell r="D933" t="str">
            <v>M&amp;S</v>
          </cell>
        </row>
        <row r="934">
          <cell r="A934" t="str">
            <v>FB260000279</v>
          </cell>
          <cell r="D934" t="str">
            <v>M&amp;S</v>
          </cell>
        </row>
        <row r="935">
          <cell r="A935" t="str">
            <v>FB260000280</v>
          </cell>
          <cell r="D935" t="str">
            <v>M&amp;S</v>
          </cell>
        </row>
        <row r="936">
          <cell r="A936" t="str">
            <v>FB260000281</v>
          </cell>
          <cell r="D936" t="str">
            <v>M&amp;S</v>
          </cell>
        </row>
        <row r="937">
          <cell r="A937" t="str">
            <v>FB260000282</v>
          </cell>
          <cell r="D937" t="str">
            <v>M&amp;S</v>
          </cell>
        </row>
        <row r="938">
          <cell r="A938" t="str">
            <v>FB260000283</v>
          </cell>
          <cell r="D938" t="str">
            <v>M&amp;S</v>
          </cell>
        </row>
        <row r="939">
          <cell r="A939" t="str">
            <v>FB260000286</v>
          </cell>
          <cell r="D939" t="str">
            <v>SKI</v>
          </cell>
        </row>
        <row r="940">
          <cell r="A940" t="str">
            <v>FB260000290</v>
          </cell>
          <cell r="D940" t="str">
            <v>LULU</v>
          </cell>
        </row>
        <row r="941">
          <cell r="A941" t="str">
            <v>FB260000291</v>
          </cell>
          <cell r="D941" t="str">
            <v>LULU</v>
          </cell>
        </row>
        <row r="942">
          <cell r="A942" t="str">
            <v>FB260000292</v>
          </cell>
          <cell r="D942" t="str">
            <v>LULU</v>
          </cell>
        </row>
        <row r="943">
          <cell r="A943" t="str">
            <v>FB260000293</v>
          </cell>
          <cell r="D943" t="str">
            <v>LULU</v>
          </cell>
        </row>
        <row r="944">
          <cell r="A944" t="str">
            <v>FB260000294</v>
          </cell>
          <cell r="D944" t="str">
            <v>LULU</v>
          </cell>
        </row>
        <row r="945">
          <cell r="A945" t="str">
            <v>FB260000295</v>
          </cell>
          <cell r="D945" t="str">
            <v>LULU</v>
          </cell>
        </row>
        <row r="946">
          <cell r="A946" t="str">
            <v>FB260000296</v>
          </cell>
          <cell r="D946" t="str">
            <v>LULU</v>
          </cell>
        </row>
        <row r="947">
          <cell r="A947" t="str">
            <v>FB260000297</v>
          </cell>
          <cell r="D947" t="str">
            <v>LULU</v>
          </cell>
        </row>
        <row r="948">
          <cell r="A948" t="str">
            <v>FB260000300</v>
          </cell>
          <cell r="D948" t="str">
            <v>LBI</v>
          </cell>
        </row>
        <row r="949">
          <cell r="A949" t="str">
            <v>FB260000302</v>
          </cell>
          <cell r="D949" t="str">
            <v>LBI</v>
          </cell>
        </row>
        <row r="950">
          <cell r="A950" t="str">
            <v>FB260000304</v>
          </cell>
          <cell r="D950" t="str">
            <v>M&amp;S</v>
          </cell>
        </row>
        <row r="951">
          <cell r="A951" t="str">
            <v>FB260000305</v>
          </cell>
          <cell r="D951" t="str">
            <v>M&amp;S</v>
          </cell>
        </row>
        <row r="952">
          <cell r="A952" t="str">
            <v>FB260000306</v>
          </cell>
          <cell r="D952" t="str">
            <v>WACE</v>
          </cell>
        </row>
        <row r="953">
          <cell r="A953" t="str">
            <v>FB260000307</v>
          </cell>
          <cell r="D953" t="str">
            <v>NIK</v>
          </cell>
        </row>
        <row r="954">
          <cell r="A954" t="str">
            <v>FB260000308</v>
          </cell>
          <cell r="D954" t="str">
            <v>ESS2</v>
          </cell>
        </row>
        <row r="955">
          <cell r="A955" t="str">
            <v>FB260000310</v>
          </cell>
          <cell r="D955" t="str">
            <v>LULU</v>
          </cell>
        </row>
        <row r="956">
          <cell r="A956" t="str">
            <v>FB260000311</v>
          </cell>
          <cell r="D956" t="str">
            <v>JOC1</v>
          </cell>
        </row>
        <row r="957">
          <cell r="A957" t="str">
            <v>FB260000312</v>
          </cell>
          <cell r="D957" t="str">
            <v>NEX</v>
          </cell>
        </row>
        <row r="958">
          <cell r="A958" t="str">
            <v>FB260000313</v>
          </cell>
          <cell r="D958" t="str">
            <v>NEX</v>
          </cell>
        </row>
        <row r="959">
          <cell r="A959" t="str">
            <v>FB260000314</v>
          </cell>
          <cell r="D959" t="str">
            <v>NEX</v>
          </cell>
        </row>
        <row r="960">
          <cell r="A960" t="str">
            <v>FB260000315</v>
          </cell>
          <cell r="D960" t="str">
            <v>NEX</v>
          </cell>
        </row>
        <row r="961">
          <cell r="A961" t="str">
            <v>FB260000329</v>
          </cell>
          <cell r="D961" t="str">
            <v>M&amp;S</v>
          </cell>
        </row>
        <row r="962">
          <cell r="A962" t="str">
            <v>FB260000331</v>
          </cell>
          <cell r="D962" t="str">
            <v>M&amp;S</v>
          </cell>
        </row>
        <row r="963">
          <cell r="A963" t="str">
            <v>FB260000332</v>
          </cell>
          <cell r="D963" t="str">
            <v>M&amp;S</v>
          </cell>
        </row>
        <row r="964">
          <cell r="A964" t="str">
            <v>FB260000333</v>
          </cell>
          <cell r="D964" t="str">
            <v>M&amp;S</v>
          </cell>
        </row>
        <row r="965">
          <cell r="A965" t="str">
            <v>FB260000334</v>
          </cell>
          <cell r="D965" t="str">
            <v>M&amp;S</v>
          </cell>
        </row>
        <row r="966">
          <cell r="A966" t="str">
            <v>FB260000335</v>
          </cell>
          <cell r="D966" t="str">
            <v>M&amp;S</v>
          </cell>
        </row>
        <row r="967">
          <cell r="A967" t="str">
            <v>FB260000339</v>
          </cell>
          <cell r="D967" t="str">
            <v>INT1</v>
          </cell>
        </row>
        <row r="968">
          <cell r="A968" t="str">
            <v>FB260000341</v>
          </cell>
          <cell r="D968" t="str">
            <v>M&amp;S</v>
          </cell>
        </row>
        <row r="969">
          <cell r="A969" t="str">
            <v>FB260000342</v>
          </cell>
          <cell r="D969" t="str">
            <v>LULU</v>
          </cell>
        </row>
        <row r="970">
          <cell r="A970" t="str">
            <v>FB260000343</v>
          </cell>
          <cell r="D970" t="str">
            <v>LBI</v>
          </cell>
        </row>
        <row r="971">
          <cell r="A971" t="str">
            <v>FB260000344</v>
          </cell>
          <cell r="D971" t="str">
            <v>VSS</v>
          </cell>
        </row>
        <row r="972">
          <cell r="A972" t="str">
            <v>FB260000345</v>
          </cell>
          <cell r="D972" t="str">
            <v>TEZ</v>
          </cell>
        </row>
        <row r="973">
          <cell r="A973" t="str">
            <v>FB260000346</v>
          </cell>
          <cell r="D973" t="str">
            <v>M&amp;S</v>
          </cell>
        </row>
        <row r="974">
          <cell r="A974" t="str">
            <v>FB260000348</v>
          </cell>
          <cell r="D974" t="str">
            <v>INT1</v>
          </cell>
        </row>
        <row r="975">
          <cell r="A975" t="str">
            <v>FB260000349</v>
          </cell>
          <cell r="D975" t="str">
            <v>PEP</v>
          </cell>
        </row>
        <row r="976">
          <cell r="A976" t="str">
            <v>FB260000350</v>
          </cell>
          <cell r="D976" t="str">
            <v>WACE</v>
          </cell>
        </row>
        <row r="977">
          <cell r="A977" t="str">
            <v>FB260000351</v>
          </cell>
          <cell r="D977" t="str">
            <v>VSS</v>
          </cell>
        </row>
        <row r="978">
          <cell r="A978" t="str">
            <v>FB260000352</v>
          </cell>
          <cell r="D978" t="str">
            <v>VSS</v>
          </cell>
        </row>
        <row r="979">
          <cell r="A979" t="str">
            <v>FB260000353</v>
          </cell>
          <cell r="D979" t="str">
            <v>VSS</v>
          </cell>
        </row>
        <row r="980">
          <cell r="A980" t="str">
            <v>FB260000354</v>
          </cell>
          <cell r="D980" t="str">
            <v>VSS</v>
          </cell>
        </row>
        <row r="981">
          <cell r="A981" t="str">
            <v>FB260000355</v>
          </cell>
          <cell r="D981" t="str">
            <v>VSS</v>
          </cell>
        </row>
        <row r="982">
          <cell r="A982" t="str">
            <v>FB260000359</v>
          </cell>
          <cell r="D982" t="str">
            <v>VSS</v>
          </cell>
        </row>
        <row r="983">
          <cell r="A983" t="str">
            <v>FB260000361</v>
          </cell>
          <cell r="D983" t="str">
            <v>VSS</v>
          </cell>
        </row>
        <row r="984">
          <cell r="A984" t="str">
            <v>FB260000362</v>
          </cell>
          <cell r="D984" t="str">
            <v>VSS</v>
          </cell>
        </row>
        <row r="985">
          <cell r="A985" t="str">
            <v>FB260000363</v>
          </cell>
          <cell r="D985" t="str">
            <v>VSS</v>
          </cell>
        </row>
        <row r="986">
          <cell r="A986" t="str">
            <v>FB260000369</v>
          </cell>
          <cell r="D986" t="str">
            <v>TJEL</v>
          </cell>
        </row>
        <row r="987">
          <cell r="A987" t="str">
            <v>FB260000370</v>
          </cell>
          <cell r="D987" t="str">
            <v>TJEL</v>
          </cell>
        </row>
        <row r="988">
          <cell r="A988" t="str">
            <v>FB260000371</v>
          </cell>
          <cell r="D988" t="str">
            <v>TJEL</v>
          </cell>
        </row>
        <row r="989">
          <cell r="A989" t="str">
            <v>FB260000372</v>
          </cell>
          <cell r="D989" t="str">
            <v>TJEL</v>
          </cell>
        </row>
        <row r="990">
          <cell r="A990" t="str">
            <v>FB260000374</v>
          </cell>
          <cell r="D990" t="str">
            <v>INT1</v>
          </cell>
        </row>
        <row r="991">
          <cell r="A991" t="str">
            <v>FB260000375</v>
          </cell>
          <cell r="D991" t="str">
            <v>INT1</v>
          </cell>
        </row>
        <row r="992">
          <cell r="A992" t="str">
            <v>FB260000376</v>
          </cell>
          <cell r="D992" t="str">
            <v>INT1</v>
          </cell>
        </row>
        <row r="993">
          <cell r="A993" t="str">
            <v>FB260000377</v>
          </cell>
          <cell r="D993" t="str">
            <v>INT1</v>
          </cell>
        </row>
        <row r="994">
          <cell r="A994" t="str">
            <v>FB260000378</v>
          </cell>
          <cell r="D994" t="str">
            <v>INT1</v>
          </cell>
        </row>
        <row r="995">
          <cell r="A995" t="str">
            <v>FB260000379</v>
          </cell>
          <cell r="D995" t="str">
            <v>INT1</v>
          </cell>
        </row>
        <row r="996">
          <cell r="A996" t="str">
            <v>FB260000380</v>
          </cell>
          <cell r="D996" t="str">
            <v>INT1</v>
          </cell>
        </row>
        <row r="997">
          <cell r="A997" t="str">
            <v>FB260000381</v>
          </cell>
          <cell r="D997" t="str">
            <v>INT1</v>
          </cell>
        </row>
        <row r="998">
          <cell r="A998" t="str">
            <v>FB260000382</v>
          </cell>
          <cell r="D998" t="str">
            <v>INT1</v>
          </cell>
        </row>
        <row r="999">
          <cell r="A999" t="str">
            <v>FB260000383</v>
          </cell>
          <cell r="D999" t="str">
            <v>INT1</v>
          </cell>
        </row>
        <row r="1000">
          <cell r="A1000" t="str">
            <v>FB260000384</v>
          </cell>
          <cell r="D1000" t="str">
            <v>INT1</v>
          </cell>
        </row>
        <row r="1001">
          <cell r="A1001" t="str">
            <v>FB260000385</v>
          </cell>
          <cell r="D1001" t="str">
            <v>INT1</v>
          </cell>
        </row>
        <row r="1002">
          <cell r="A1002" t="str">
            <v>FB260000386</v>
          </cell>
          <cell r="D1002" t="str">
            <v>INT1</v>
          </cell>
        </row>
        <row r="1003">
          <cell r="A1003" t="str">
            <v>FB260000387</v>
          </cell>
          <cell r="D1003" t="str">
            <v>INT1</v>
          </cell>
        </row>
        <row r="1004">
          <cell r="A1004" t="str">
            <v>FB260000388</v>
          </cell>
          <cell r="D1004" t="str">
            <v>INT1</v>
          </cell>
        </row>
        <row r="1005">
          <cell r="A1005" t="str">
            <v>FB260000389</v>
          </cell>
          <cell r="D1005" t="str">
            <v>INT1</v>
          </cell>
        </row>
        <row r="1006">
          <cell r="A1006" t="str">
            <v>FB260000390</v>
          </cell>
          <cell r="D1006" t="str">
            <v>SPEE</v>
          </cell>
        </row>
        <row r="1007">
          <cell r="A1007" t="str">
            <v>FB260000391</v>
          </cell>
          <cell r="D1007" t="str">
            <v>NIK</v>
          </cell>
        </row>
        <row r="1008">
          <cell r="A1008" t="str">
            <v>FB260000392</v>
          </cell>
          <cell r="D1008" t="str">
            <v>PINK</v>
          </cell>
        </row>
        <row r="1009">
          <cell r="A1009" t="str">
            <v>FB260000394</v>
          </cell>
          <cell r="D1009" t="str">
            <v>WACE</v>
          </cell>
        </row>
        <row r="1010">
          <cell r="A1010" t="str">
            <v>FB260000397</v>
          </cell>
          <cell r="D1010" t="str">
            <v>VSS</v>
          </cell>
        </row>
        <row r="1011">
          <cell r="A1011" t="str">
            <v>FB260000398</v>
          </cell>
          <cell r="D1011" t="str">
            <v>VSS</v>
          </cell>
        </row>
        <row r="1012">
          <cell r="A1012" t="str">
            <v>FB260000399</v>
          </cell>
          <cell r="D1012" t="str">
            <v>VSS</v>
          </cell>
        </row>
        <row r="1013">
          <cell r="A1013" t="str">
            <v>FB260000400</v>
          </cell>
          <cell r="D1013" t="str">
            <v>VSS</v>
          </cell>
        </row>
        <row r="1014">
          <cell r="A1014" t="str">
            <v>FB260000401</v>
          </cell>
          <cell r="D1014" t="str">
            <v>VSS</v>
          </cell>
        </row>
        <row r="1015">
          <cell r="A1015" t="str">
            <v>FB260000402</v>
          </cell>
          <cell r="D1015" t="str">
            <v>VSS</v>
          </cell>
        </row>
        <row r="1016">
          <cell r="A1016" t="str">
            <v>FB260000406</v>
          </cell>
          <cell r="D1016" t="str">
            <v>VSS</v>
          </cell>
        </row>
        <row r="1017">
          <cell r="A1017" t="str">
            <v>FB260000407</v>
          </cell>
          <cell r="D1017" t="str">
            <v>VSS</v>
          </cell>
        </row>
        <row r="1018">
          <cell r="A1018" t="str">
            <v>FB260000409</v>
          </cell>
          <cell r="D1018" t="str">
            <v>VSS</v>
          </cell>
        </row>
        <row r="1019">
          <cell r="A1019" t="str">
            <v>FB260000410</v>
          </cell>
          <cell r="D1019" t="str">
            <v>VSS</v>
          </cell>
        </row>
        <row r="1020">
          <cell r="A1020" t="str">
            <v>FB260000411</v>
          </cell>
          <cell r="D1020" t="str">
            <v>VSS</v>
          </cell>
        </row>
        <row r="1021">
          <cell r="A1021" t="str">
            <v>FB260000412</v>
          </cell>
          <cell r="D1021" t="str">
            <v>VSS</v>
          </cell>
        </row>
        <row r="1022">
          <cell r="A1022" t="str">
            <v>FB260000414</v>
          </cell>
          <cell r="D1022" t="str">
            <v>VSS</v>
          </cell>
        </row>
        <row r="1023">
          <cell r="A1023" t="str">
            <v>FB260000415</v>
          </cell>
          <cell r="D1023" t="str">
            <v>WACE</v>
          </cell>
        </row>
        <row r="1024">
          <cell r="A1024" t="str">
            <v>FB260000416</v>
          </cell>
          <cell r="D1024" t="str">
            <v>WACE</v>
          </cell>
        </row>
        <row r="1025">
          <cell r="A1025" t="str">
            <v>FB260000421</v>
          </cell>
          <cell r="D1025" t="str">
            <v>WACE</v>
          </cell>
        </row>
        <row r="1026">
          <cell r="A1026" t="str">
            <v>FB260000422</v>
          </cell>
          <cell r="D1026" t="str">
            <v>WACE</v>
          </cell>
        </row>
        <row r="1027">
          <cell r="A1027" t="str">
            <v>FB260000424</v>
          </cell>
          <cell r="D1027" t="str">
            <v>INT1</v>
          </cell>
        </row>
        <row r="1028">
          <cell r="A1028" t="str">
            <v>FB260000439</v>
          </cell>
          <cell r="D1028" t="str">
            <v>M&amp;S</v>
          </cell>
        </row>
        <row r="1029">
          <cell r="A1029" t="str">
            <v>FB260000440</v>
          </cell>
          <cell r="D1029" t="str">
            <v>M&amp;S</v>
          </cell>
        </row>
        <row r="1030">
          <cell r="A1030" t="str">
            <v>FB260000441</v>
          </cell>
          <cell r="D1030" t="str">
            <v>LULU</v>
          </cell>
        </row>
        <row r="1031">
          <cell r="A1031" t="str">
            <v>FB260000442</v>
          </cell>
          <cell r="D1031" t="str">
            <v>LULU</v>
          </cell>
        </row>
        <row r="1032">
          <cell r="A1032" t="str">
            <v>FB260000443</v>
          </cell>
          <cell r="D1032" t="str">
            <v>LBI</v>
          </cell>
        </row>
        <row r="1033">
          <cell r="A1033" t="str">
            <v>FB260000444</v>
          </cell>
          <cell r="D1033" t="str">
            <v>LBI</v>
          </cell>
        </row>
        <row r="1034">
          <cell r="A1034" t="str">
            <v>FB260000445</v>
          </cell>
          <cell r="D1034" t="str">
            <v>LBI</v>
          </cell>
        </row>
        <row r="1035">
          <cell r="A1035" t="str">
            <v>FB260000446</v>
          </cell>
          <cell r="D1035" t="str">
            <v>LBI</v>
          </cell>
        </row>
        <row r="1036">
          <cell r="A1036" t="str">
            <v>FB260000447</v>
          </cell>
          <cell r="D1036" t="str">
            <v>WACE</v>
          </cell>
        </row>
        <row r="1037">
          <cell r="A1037" t="str">
            <v>FB260000448</v>
          </cell>
          <cell r="D1037" t="str">
            <v>WACE</v>
          </cell>
        </row>
        <row r="1038">
          <cell r="A1038" t="str">
            <v>FB260000449</v>
          </cell>
          <cell r="D1038" t="str">
            <v>WACE</v>
          </cell>
        </row>
        <row r="1039">
          <cell r="A1039" t="str">
            <v>FB260000450</v>
          </cell>
          <cell r="D1039" t="str">
            <v>WACE</v>
          </cell>
        </row>
        <row r="1040">
          <cell r="A1040" t="str">
            <v>FB260000451</v>
          </cell>
          <cell r="D1040" t="str">
            <v>WACE</v>
          </cell>
        </row>
        <row r="1041">
          <cell r="A1041" t="str">
            <v>FB260000452</v>
          </cell>
          <cell r="D1041" t="str">
            <v>PINK</v>
          </cell>
        </row>
        <row r="1042">
          <cell r="A1042" t="str">
            <v>FB260000453</v>
          </cell>
          <cell r="D1042" t="str">
            <v>PINK</v>
          </cell>
        </row>
        <row r="1043">
          <cell r="A1043" t="str">
            <v>FB260000454</v>
          </cell>
          <cell r="D1043" t="str">
            <v>PINK</v>
          </cell>
        </row>
        <row r="1044">
          <cell r="A1044" t="str">
            <v>FB260000455</v>
          </cell>
          <cell r="D1044" t="str">
            <v>PINK</v>
          </cell>
        </row>
        <row r="1045">
          <cell r="A1045" t="str">
            <v>FB260000456</v>
          </cell>
          <cell r="D1045" t="str">
            <v>WACE</v>
          </cell>
        </row>
        <row r="1046">
          <cell r="A1046" t="str">
            <v>FB260000457</v>
          </cell>
          <cell r="D1046" t="str">
            <v>WACE</v>
          </cell>
        </row>
        <row r="1047">
          <cell r="A1047" t="str">
            <v>FB260000458</v>
          </cell>
          <cell r="D1047" t="str">
            <v>VSS</v>
          </cell>
        </row>
        <row r="1048">
          <cell r="A1048" t="str">
            <v>FB260000459</v>
          </cell>
          <cell r="D1048" t="str">
            <v>WACE</v>
          </cell>
        </row>
        <row r="1049">
          <cell r="A1049" t="str">
            <v>FB260000460</v>
          </cell>
          <cell r="D1049" t="str">
            <v>WACE</v>
          </cell>
        </row>
        <row r="1050">
          <cell r="A1050" t="str">
            <v>FB260000462</v>
          </cell>
          <cell r="D1050" t="str">
            <v>M&amp;S</v>
          </cell>
        </row>
        <row r="1051">
          <cell r="A1051" t="str">
            <v>FB260000463</v>
          </cell>
          <cell r="D1051" t="str">
            <v>WACE</v>
          </cell>
        </row>
        <row r="1052">
          <cell r="A1052" t="str">
            <v>FB260000464</v>
          </cell>
          <cell r="D1052" t="str">
            <v>WACE</v>
          </cell>
        </row>
        <row r="1053">
          <cell r="A1053" t="str">
            <v>FB260000465</v>
          </cell>
          <cell r="D1053" t="str">
            <v>M&amp;S</v>
          </cell>
        </row>
        <row r="1054">
          <cell r="A1054" t="str">
            <v>FB260000466</v>
          </cell>
          <cell r="D1054" t="str">
            <v>M&amp;S</v>
          </cell>
        </row>
        <row r="1055">
          <cell r="A1055" t="str">
            <v>FB260000467</v>
          </cell>
          <cell r="D1055" t="str">
            <v>M&amp;S</v>
          </cell>
        </row>
        <row r="1056">
          <cell r="A1056" t="str">
            <v>FB260000468</v>
          </cell>
          <cell r="D1056" t="str">
            <v>M&amp;S</v>
          </cell>
        </row>
        <row r="1057">
          <cell r="A1057" t="str">
            <v>FB260000469</v>
          </cell>
          <cell r="D1057" t="str">
            <v>ASIC</v>
          </cell>
        </row>
        <row r="1058">
          <cell r="A1058" t="str">
            <v>FB260000470</v>
          </cell>
          <cell r="D1058" t="str">
            <v>ASIC</v>
          </cell>
        </row>
        <row r="1059">
          <cell r="A1059" t="str">
            <v>FB260000473</v>
          </cell>
          <cell r="D1059" t="str">
            <v>LULU</v>
          </cell>
        </row>
        <row r="1060">
          <cell r="A1060" t="str">
            <v>FB260000480</v>
          </cell>
          <cell r="D1060" t="str">
            <v>M&amp;S</v>
          </cell>
        </row>
        <row r="1061">
          <cell r="A1061" t="str">
            <v>FB260000483</v>
          </cell>
          <cell r="D1061" t="str">
            <v>M&amp;S</v>
          </cell>
        </row>
        <row r="1062">
          <cell r="A1062" t="str">
            <v>FB260000485</v>
          </cell>
          <cell r="D1062" t="str">
            <v>NEWB</v>
          </cell>
        </row>
        <row r="1063">
          <cell r="A1063" t="str">
            <v>FB260000495</v>
          </cell>
          <cell r="D1063" t="str">
            <v>VSS</v>
          </cell>
        </row>
        <row r="1064">
          <cell r="A1064" t="str">
            <v>FB260000497</v>
          </cell>
          <cell r="D1064" t="str">
            <v>M&amp;S</v>
          </cell>
        </row>
        <row r="1065">
          <cell r="A1065" t="str">
            <v>FB260000498</v>
          </cell>
          <cell r="D1065" t="str">
            <v>LULU</v>
          </cell>
        </row>
        <row r="1066">
          <cell r="A1066" t="str">
            <v>FB260000499</v>
          </cell>
          <cell r="D1066" t="str">
            <v>M&amp;S</v>
          </cell>
        </row>
        <row r="1067">
          <cell r="A1067" t="str">
            <v>FB260000502</v>
          </cell>
          <cell r="D1067" t="str">
            <v>M&amp;S</v>
          </cell>
        </row>
        <row r="1068">
          <cell r="A1068" t="str">
            <v>FB260000503</v>
          </cell>
          <cell r="D1068" t="str">
            <v>LBI</v>
          </cell>
        </row>
        <row r="1069">
          <cell r="A1069" t="str">
            <v>FB260000504</v>
          </cell>
          <cell r="D1069" t="str">
            <v>LBI</v>
          </cell>
        </row>
        <row r="1070">
          <cell r="A1070" t="str">
            <v>FB260000505</v>
          </cell>
          <cell r="D1070" t="str">
            <v>LBI</v>
          </cell>
        </row>
        <row r="1071">
          <cell r="A1071" t="str">
            <v>FB260000507</v>
          </cell>
          <cell r="D1071" t="str">
            <v>WACE</v>
          </cell>
        </row>
        <row r="1072">
          <cell r="A1072" t="str">
            <v>FB260000508</v>
          </cell>
          <cell r="D1072" t="str">
            <v>PINK</v>
          </cell>
        </row>
        <row r="1073">
          <cell r="A1073" t="str">
            <v>FB260000510</v>
          </cell>
          <cell r="D1073" t="str">
            <v>M&amp;S</v>
          </cell>
        </row>
        <row r="1074">
          <cell r="A1074" t="str">
            <v>FB260000511</v>
          </cell>
          <cell r="D1074" t="str">
            <v>WACE</v>
          </cell>
        </row>
        <row r="1075">
          <cell r="A1075" t="str">
            <v>FB260000512</v>
          </cell>
          <cell r="D1075" t="str">
            <v>INT1</v>
          </cell>
        </row>
        <row r="1076">
          <cell r="A1076" t="str">
            <v>FB260000513</v>
          </cell>
          <cell r="D1076" t="str">
            <v>WAC</v>
          </cell>
        </row>
        <row r="1077">
          <cell r="A1077" t="str">
            <v>FB260000516</v>
          </cell>
          <cell r="D1077" t="str">
            <v>NIK</v>
          </cell>
        </row>
        <row r="1078">
          <cell r="A1078" t="str">
            <v>FB260000517</v>
          </cell>
          <cell r="D1078" t="str">
            <v>M&amp;S</v>
          </cell>
        </row>
        <row r="1079">
          <cell r="A1079" t="str">
            <v>FB260000518</v>
          </cell>
          <cell r="D1079" t="str">
            <v>M&amp;S</v>
          </cell>
        </row>
        <row r="1080">
          <cell r="A1080" t="str">
            <v>FB260000519</v>
          </cell>
          <cell r="D1080" t="str">
            <v>M&amp;S</v>
          </cell>
        </row>
        <row r="1081">
          <cell r="A1081" t="str">
            <v>FB260000521</v>
          </cell>
          <cell r="D1081" t="str">
            <v>M&amp;S</v>
          </cell>
        </row>
        <row r="1082">
          <cell r="A1082" t="str">
            <v>FB260000522</v>
          </cell>
          <cell r="D1082" t="str">
            <v>M&amp;S</v>
          </cell>
        </row>
        <row r="1083">
          <cell r="A1083" t="str">
            <v>FB260000523</v>
          </cell>
          <cell r="D1083" t="str">
            <v>M&amp;S</v>
          </cell>
        </row>
        <row r="1084">
          <cell r="A1084" t="str">
            <v>FB260000524</v>
          </cell>
          <cell r="D1084" t="str">
            <v>M&amp;S</v>
          </cell>
        </row>
        <row r="1085">
          <cell r="A1085" t="str">
            <v>FB260000525</v>
          </cell>
          <cell r="D1085" t="str">
            <v>M&amp;S</v>
          </cell>
        </row>
        <row r="1086">
          <cell r="A1086" t="str">
            <v>FB260000526</v>
          </cell>
          <cell r="D1086" t="str">
            <v>M&amp;S</v>
          </cell>
        </row>
        <row r="1087">
          <cell r="A1087" t="str">
            <v>FB260000529</v>
          </cell>
          <cell r="D1087" t="str">
            <v>M&amp;S</v>
          </cell>
        </row>
        <row r="1088">
          <cell r="A1088" t="str">
            <v>FB260000530</v>
          </cell>
          <cell r="D1088" t="str">
            <v>LULU</v>
          </cell>
        </row>
        <row r="1089">
          <cell r="A1089" t="str">
            <v>FB260000533</v>
          </cell>
          <cell r="D1089" t="str">
            <v>LULU</v>
          </cell>
        </row>
        <row r="1090">
          <cell r="A1090" t="str">
            <v>FB260000534</v>
          </cell>
          <cell r="D1090" t="str">
            <v>LBI</v>
          </cell>
        </row>
        <row r="1091">
          <cell r="A1091" t="str">
            <v>FB260000535</v>
          </cell>
          <cell r="D1091" t="str">
            <v>LBI</v>
          </cell>
        </row>
        <row r="1092">
          <cell r="A1092" t="str">
            <v>FB260000536</v>
          </cell>
          <cell r="D1092" t="str">
            <v>WACE</v>
          </cell>
        </row>
        <row r="1093">
          <cell r="A1093" t="str">
            <v>FB260000537</v>
          </cell>
          <cell r="D1093" t="str">
            <v>WACE</v>
          </cell>
        </row>
        <row r="1094">
          <cell r="A1094" t="str">
            <v>FB260000539</v>
          </cell>
          <cell r="D1094" t="str">
            <v>WACE</v>
          </cell>
        </row>
        <row r="1095">
          <cell r="A1095" t="str">
            <v>FB260000540</v>
          </cell>
          <cell r="D1095" t="str">
            <v>WACE</v>
          </cell>
        </row>
        <row r="1096">
          <cell r="A1096" t="str">
            <v>FB260000541</v>
          </cell>
          <cell r="D1096" t="str">
            <v>WACE</v>
          </cell>
        </row>
        <row r="1097">
          <cell r="A1097" t="str">
            <v>FB260000542</v>
          </cell>
          <cell r="D1097" t="str">
            <v>WACE</v>
          </cell>
        </row>
        <row r="1098">
          <cell r="A1098" t="str">
            <v>FB260000543</v>
          </cell>
          <cell r="D1098" t="str">
            <v>WACE</v>
          </cell>
        </row>
        <row r="1099">
          <cell r="A1099" t="str">
            <v>FB260000544</v>
          </cell>
          <cell r="D1099" t="str">
            <v>WACE</v>
          </cell>
        </row>
        <row r="1100">
          <cell r="A1100" t="str">
            <v>FB260000545</v>
          </cell>
          <cell r="D1100" t="str">
            <v>WACE</v>
          </cell>
        </row>
        <row r="1101">
          <cell r="A1101" t="str">
            <v>FB260000546</v>
          </cell>
          <cell r="D1101" t="str">
            <v>WACE</v>
          </cell>
        </row>
        <row r="1102">
          <cell r="A1102" t="str">
            <v>FB260000547</v>
          </cell>
          <cell r="D1102" t="str">
            <v>WACE</v>
          </cell>
        </row>
        <row r="1103">
          <cell r="A1103" t="str">
            <v>FB260000549</v>
          </cell>
          <cell r="D1103" t="str">
            <v>WACE</v>
          </cell>
        </row>
        <row r="1104">
          <cell r="A1104" t="str">
            <v>FB260000551</v>
          </cell>
          <cell r="D1104" t="str">
            <v>PINK</v>
          </cell>
        </row>
        <row r="1105">
          <cell r="A1105" t="str">
            <v>FB260000552</v>
          </cell>
          <cell r="D1105" t="str">
            <v>WACE</v>
          </cell>
        </row>
        <row r="1106">
          <cell r="A1106" t="str">
            <v>FB260000553</v>
          </cell>
          <cell r="D1106" t="str">
            <v>WACE</v>
          </cell>
        </row>
        <row r="1107">
          <cell r="A1107" t="str">
            <v>FB260000556</v>
          </cell>
          <cell r="D1107" t="str">
            <v>WACE</v>
          </cell>
        </row>
        <row r="1108">
          <cell r="A1108" t="str">
            <v>FB260000558</v>
          </cell>
          <cell r="D1108" t="str">
            <v>VSS</v>
          </cell>
        </row>
        <row r="1109">
          <cell r="A1109" t="str">
            <v>FB260000560</v>
          </cell>
          <cell r="D1109" t="str">
            <v>WACE</v>
          </cell>
        </row>
        <row r="1110">
          <cell r="A1110" t="str">
            <v>FB260000561</v>
          </cell>
          <cell r="D1110" t="str">
            <v>WACE</v>
          </cell>
        </row>
        <row r="1111">
          <cell r="A1111" t="str">
            <v>FB260000562</v>
          </cell>
          <cell r="D1111" t="str">
            <v>WACE</v>
          </cell>
        </row>
        <row r="1112">
          <cell r="A1112" t="str">
            <v>FB260000564</v>
          </cell>
          <cell r="D1112" t="str">
            <v>WACE</v>
          </cell>
        </row>
        <row r="1113">
          <cell r="A1113" t="str">
            <v>FB260000569</v>
          </cell>
          <cell r="D1113" t="str">
            <v>WACE</v>
          </cell>
        </row>
        <row r="1114">
          <cell r="A1114" t="str">
            <v>FB260000570</v>
          </cell>
          <cell r="D1114" t="str">
            <v>WACE</v>
          </cell>
        </row>
        <row r="1115">
          <cell r="A1115" t="str">
            <v>FB260000571</v>
          </cell>
          <cell r="D1115" t="str">
            <v>THX</v>
          </cell>
        </row>
        <row r="1116">
          <cell r="A1116" t="str">
            <v>FB260000572</v>
          </cell>
          <cell r="D1116" t="str">
            <v>THX</v>
          </cell>
        </row>
        <row r="1117">
          <cell r="A1117" t="str">
            <v>FB260000574</v>
          </cell>
          <cell r="D1117" t="str">
            <v>NIK</v>
          </cell>
        </row>
        <row r="1118">
          <cell r="A1118" t="str">
            <v>FB260000575</v>
          </cell>
          <cell r="D1118" t="str">
            <v>NIK</v>
          </cell>
        </row>
        <row r="1119">
          <cell r="A1119" t="str">
            <v>FB260000576</v>
          </cell>
          <cell r="D1119" t="str">
            <v>NIK</v>
          </cell>
        </row>
        <row r="1120">
          <cell r="A1120" t="str">
            <v>FB260000577</v>
          </cell>
          <cell r="D1120" t="str">
            <v>TEZ</v>
          </cell>
        </row>
        <row r="1121">
          <cell r="A1121" t="str">
            <v>FB260000578</v>
          </cell>
          <cell r="D1121" t="str">
            <v>CK</v>
          </cell>
        </row>
        <row r="1122">
          <cell r="A1122" t="str">
            <v>FB260000579</v>
          </cell>
          <cell r="D1122" t="str">
            <v>TEZ</v>
          </cell>
        </row>
        <row r="1123">
          <cell r="A1123" t="str">
            <v>FB260000580</v>
          </cell>
          <cell r="D1123" t="str">
            <v>LBI</v>
          </cell>
        </row>
        <row r="1124">
          <cell r="A1124" t="str">
            <v>FB260000581</v>
          </cell>
          <cell r="D1124" t="str">
            <v>NIK</v>
          </cell>
        </row>
        <row r="1125">
          <cell r="A1125" t="str">
            <v>FB260000582</v>
          </cell>
          <cell r="D1125" t="str">
            <v>NIK</v>
          </cell>
        </row>
        <row r="1126">
          <cell r="A1126" t="str">
            <v>FB260000583</v>
          </cell>
          <cell r="D1126" t="str">
            <v>TORD</v>
          </cell>
        </row>
        <row r="1127">
          <cell r="A1127" t="str">
            <v>FB260000584</v>
          </cell>
          <cell r="D1127" t="str">
            <v>M&amp;S</v>
          </cell>
        </row>
        <row r="1128">
          <cell r="A1128" t="str">
            <v>FB260000585</v>
          </cell>
          <cell r="D1128" t="str">
            <v>M&amp;S</v>
          </cell>
        </row>
        <row r="1129">
          <cell r="A1129" t="str">
            <v>FB260000587</v>
          </cell>
          <cell r="D1129" t="str">
            <v>M&amp;S</v>
          </cell>
        </row>
        <row r="1130">
          <cell r="A1130" t="str">
            <v>FB260000588</v>
          </cell>
          <cell r="D1130" t="str">
            <v>M&amp;S</v>
          </cell>
        </row>
        <row r="1131">
          <cell r="A1131" t="str">
            <v>FB260000589</v>
          </cell>
          <cell r="D1131" t="str">
            <v>M&amp;S</v>
          </cell>
        </row>
        <row r="1132">
          <cell r="A1132" t="str">
            <v>FB260000590</v>
          </cell>
          <cell r="D1132" t="str">
            <v>M&amp;S</v>
          </cell>
        </row>
        <row r="1133">
          <cell r="A1133" t="str">
            <v>FB260000594</v>
          </cell>
          <cell r="D1133" t="str">
            <v>M&amp;S</v>
          </cell>
        </row>
        <row r="1134">
          <cell r="A1134" t="str">
            <v>FB260000595</v>
          </cell>
          <cell r="D1134" t="str">
            <v>M&amp;S</v>
          </cell>
        </row>
        <row r="1135">
          <cell r="A1135" t="str">
            <v>FB260000596</v>
          </cell>
          <cell r="D1135" t="str">
            <v>M&amp;S</v>
          </cell>
        </row>
        <row r="1136">
          <cell r="A1136" t="str">
            <v>FB260000597</v>
          </cell>
          <cell r="D1136" t="str">
            <v>M&amp;S</v>
          </cell>
        </row>
        <row r="1137">
          <cell r="A1137" t="str">
            <v>FB260000601</v>
          </cell>
          <cell r="D1137" t="str">
            <v>CK</v>
          </cell>
        </row>
        <row r="1138">
          <cell r="A1138" t="str">
            <v>FB260000603</v>
          </cell>
          <cell r="D1138" t="str">
            <v>VSS</v>
          </cell>
        </row>
        <row r="1139">
          <cell r="A1139" t="str">
            <v>FB260000607</v>
          </cell>
          <cell r="D1139" t="str">
            <v>SKI</v>
          </cell>
        </row>
        <row r="1140">
          <cell r="A1140" t="str">
            <v>FB260000608</v>
          </cell>
          <cell r="D1140" t="str">
            <v>WACE</v>
          </cell>
        </row>
        <row r="1141">
          <cell r="A1141" t="str">
            <v>FB260000609</v>
          </cell>
          <cell r="D1141" t="str">
            <v>VSS</v>
          </cell>
        </row>
        <row r="1142">
          <cell r="A1142" t="str">
            <v>FB260000610</v>
          </cell>
          <cell r="D1142" t="str">
            <v>VSS</v>
          </cell>
        </row>
        <row r="1143">
          <cell r="A1143" t="str">
            <v>FB260000612</v>
          </cell>
          <cell r="D1143" t="str">
            <v>VSS</v>
          </cell>
        </row>
        <row r="1144">
          <cell r="A1144" t="str">
            <v>FB260000613</v>
          </cell>
          <cell r="D1144" t="str">
            <v>VSS</v>
          </cell>
        </row>
        <row r="1145">
          <cell r="A1145" t="str">
            <v>FB260000614</v>
          </cell>
          <cell r="D1145" t="str">
            <v>VSS</v>
          </cell>
        </row>
        <row r="1146">
          <cell r="A1146" t="str">
            <v>FB260000615</v>
          </cell>
          <cell r="D1146" t="str">
            <v>VSS</v>
          </cell>
        </row>
        <row r="1147">
          <cell r="A1147" t="str">
            <v>FB260000617</v>
          </cell>
          <cell r="D1147" t="str">
            <v>VSS</v>
          </cell>
        </row>
        <row r="1148">
          <cell r="A1148" t="str">
            <v>FB260000618</v>
          </cell>
          <cell r="D1148" t="str">
            <v>VSS</v>
          </cell>
        </row>
        <row r="1149">
          <cell r="A1149" t="str">
            <v>FB260000619</v>
          </cell>
          <cell r="D1149" t="str">
            <v>VSS</v>
          </cell>
        </row>
        <row r="1150">
          <cell r="A1150" t="str">
            <v>FB260000620</v>
          </cell>
          <cell r="D1150" t="str">
            <v>VSS</v>
          </cell>
        </row>
        <row r="1151">
          <cell r="A1151" t="str">
            <v>FB260000621</v>
          </cell>
          <cell r="D1151" t="str">
            <v>VSS</v>
          </cell>
        </row>
        <row r="1152">
          <cell r="A1152" t="str">
            <v>FB260000622</v>
          </cell>
          <cell r="D1152" t="str">
            <v>SPEE</v>
          </cell>
        </row>
        <row r="1153">
          <cell r="A1153" t="str">
            <v>FB260000623</v>
          </cell>
          <cell r="D1153" t="str">
            <v>VSS</v>
          </cell>
        </row>
        <row r="1154">
          <cell r="A1154" t="str">
            <v>FB260000625</v>
          </cell>
          <cell r="D1154" t="str">
            <v>VSS</v>
          </cell>
        </row>
        <row r="1155">
          <cell r="A1155" t="str">
            <v>FB260000628</v>
          </cell>
          <cell r="D1155" t="str">
            <v>VSS</v>
          </cell>
        </row>
        <row r="1156">
          <cell r="A1156" t="str">
            <v>FB260000629</v>
          </cell>
          <cell r="D1156" t="str">
            <v>VSS</v>
          </cell>
        </row>
        <row r="1157">
          <cell r="A1157" t="str">
            <v>FB260000630</v>
          </cell>
          <cell r="D1157" t="str">
            <v>VSS</v>
          </cell>
        </row>
        <row r="1158">
          <cell r="A1158" t="str">
            <v>FB260000631</v>
          </cell>
          <cell r="D1158" t="str">
            <v>VSS</v>
          </cell>
        </row>
        <row r="1159">
          <cell r="A1159" t="str">
            <v>FB260000632</v>
          </cell>
          <cell r="D1159" t="str">
            <v>VSS</v>
          </cell>
        </row>
        <row r="1160">
          <cell r="A1160" t="str">
            <v>FB260000633</v>
          </cell>
          <cell r="D1160" t="str">
            <v>VSS</v>
          </cell>
        </row>
        <row r="1161">
          <cell r="A1161" t="str">
            <v>FB260000634</v>
          </cell>
          <cell r="D1161" t="str">
            <v>VSS</v>
          </cell>
        </row>
        <row r="1162">
          <cell r="A1162" t="str">
            <v>FB260000636</v>
          </cell>
          <cell r="D1162" t="str">
            <v>LBI</v>
          </cell>
        </row>
        <row r="1163">
          <cell r="A1163" t="str">
            <v>FB260000641</v>
          </cell>
          <cell r="D1163" t="str">
            <v>NEWB</v>
          </cell>
        </row>
        <row r="1164">
          <cell r="A1164" t="str">
            <v>FB260000644</v>
          </cell>
          <cell r="D1164" t="str">
            <v>LULU</v>
          </cell>
        </row>
        <row r="1165">
          <cell r="A1165" t="str">
            <v>FB260000645</v>
          </cell>
          <cell r="D1165" t="str">
            <v>LULU</v>
          </cell>
        </row>
        <row r="1166">
          <cell r="A1166" t="str">
            <v>FB260000646</v>
          </cell>
          <cell r="D1166" t="str">
            <v>LULU</v>
          </cell>
        </row>
        <row r="1167">
          <cell r="A1167" t="str">
            <v>FB260000647</v>
          </cell>
          <cell r="D1167" t="str">
            <v>LULU</v>
          </cell>
        </row>
        <row r="1168">
          <cell r="A1168" t="str">
            <v>FB260000648</v>
          </cell>
          <cell r="D1168" t="str">
            <v>LULU</v>
          </cell>
        </row>
        <row r="1169">
          <cell r="A1169" t="str">
            <v>FB260000649</v>
          </cell>
          <cell r="D1169" t="str">
            <v>LULU</v>
          </cell>
        </row>
        <row r="1170">
          <cell r="A1170" t="str">
            <v>FB260000650</v>
          </cell>
          <cell r="D1170" t="str">
            <v>LULU</v>
          </cell>
        </row>
        <row r="1171">
          <cell r="A1171" t="str">
            <v>FB260000651</v>
          </cell>
          <cell r="D1171" t="str">
            <v>LULU</v>
          </cell>
        </row>
        <row r="1172">
          <cell r="A1172" t="str">
            <v>FB260000652</v>
          </cell>
          <cell r="D1172" t="str">
            <v>LULU</v>
          </cell>
        </row>
        <row r="1173">
          <cell r="A1173" t="str">
            <v>FB260000653</v>
          </cell>
          <cell r="D1173" t="str">
            <v>LULU</v>
          </cell>
        </row>
        <row r="1174">
          <cell r="A1174" t="str">
            <v>FB260000654</v>
          </cell>
          <cell r="D1174" t="str">
            <v>LULU</v>
          </cell>
        </row>
        <row r="1175">
          <cell r="A1175" t="str">
            <v>FB260000655</v>
          </cell>
          <cell r="D1175" t="str">
            <v>LULU</v>
          </cell>
        </row>
        <row r="1176">
          <cell r="A1176" t="str">
            <v>FB260000656</v>
          </cell>
          <cell r="D1176" t="str">
            <v>LULU</v>
          </cell>
        </row>
        <row r="1177">
          <cell r="A1177" t="str">
            <v>FB260000657</v>
          </cell>
          <cell r="D1177" t="str">
            <v>LULU</v>
          </cell>
        </row>
        <row r="1178">
          <cell r="A1178" t="str">
            <v>FB260000658</v>
          </cell>
          <cell r="D1178" t="str">
            <v>LULU</v>
          </cell>
        </row>
        <row r="1179">
          <cell r="A1179" t="str">
            <v>FB260000659</v>
          </cell>
          <cell r="D1179" t="str">
            <v>LULU</v>
          </cell>
        </row>
        <row r="1180">
          <cell r="A1180" t="str">
            <v>FB260000660</v>
          </cell>
          <cell r="D1180" t="str">
            <v>LULU</v>
          </cell>
        </row>
        <row r="1181">
          <cell r="A1181" t="str">
            <v>FB260000661</v>
          </cell>
          <cell r="D1181" t="str">
            <v>LULU</v>
          </cell>
        </row>
        <row r="1182">
          <cell r="A1182" t="str">
            <v>FB260000662</v>
          </cell>
          <cell r="D1182" t="str">
            <v>LULU</v>
          </cell>
        </row>
        <row r="1183">
          <cell r="A1183" t="str">
            <v>FB260000667</v>
          </cell>
          <cell r="D1183" t="str">
            <v>LULU</v>
          </cell>
        </row>
        <row r="1184">
          <cell r="A1184" t="str">
            <v>FB260000668</v>
          </cell>
          <cell r="D1184" t="str">
            <v>LULU</v>
          </cell>
        </row>
        <row r="1185">
          <cell r="A1185" t="str">
            <v>FB260000670</v>
          </cell>
          <cell r="D1185" t="str">
            <v>VSS</v>
          </cell>
        </row>
        <row r="1186">
          <cell r="A1186" t="str">
            <v>FB260000672</v>
          </cell>
          <cell r="D1186" t="str">
            <v>M&amp;S</v>
          </cell>
        </row>
        <row r="1187">
          <cell r="A1187" t="str">
            <v>FB260000673</v>
          </cell>
          <cell r="D1187" t="str">
            <v>M&amp;S</v>
          </cell>
        </row>
        <row r="1188">
          <cell r="A1188" t="str">
            <v>FB260000674</v>
          </cell>
          <cell r="D1188" t="str">
            <v>TEZ</v>
          </cell>
        </row>
        <row r="1189">
          <cell r="A1189" t="str">
            <v>FB260000675</v>
          </cell>
          <cell r="D1189" t="str">
            <v>WACE</v>
          </cell>
        </row>
        <row r="1190">
          <cell r="A1190" t="str">
            <v>FB260000676</v>
          </cell>
          <cell r="D1190" t="str">
            <v>WACE</v>
          </cell>
        </row>
        <row r="1191">
          <cell r="A1191" t="str">
            <v>FB260000677</v>
          </cell>
          <cell r="D1191" t="str">
            <v>WACE</v>
          </cell>
        </row>
        <row r="1192">
          <cell r="A1192" t="str">
            <v>FB260000680</v>
          </cell>
          <cell r="D1192" t="str">
            <v>WACE</v>
          </cell>
        </row>
        <row r="1193">
          <cell r="A1193" t="str">
            <v>FB260000683</v>
          </cell>
          <cell r="D1193" t="str">
            <v>GLA</v>
          </cell>
        </row>
        <row r="1194">
          <cell r="A1194" t="str">
            <v>FB260000684</v>
          </cell>
          <cell r="D1194" t="str">
            <v>M&amp;S</v>
          </cell>
        </row>
        <row r="1195">
          <cell r="A1195" t="str">
            <v>FB260000685</v>
          </cell>
          <cell r="D1195" t="str">
            <v>M&amp;S</v>
          </cell>
        </row>
        <row r="1196">
          <cell r="A1196" t="str">
            <v>FB260000686</v>
          </cell>
          <cell r="D1196" t="str">
            <v>M&amp;S</v>
          </cell>
        </row>
        <row r="1197">
          <cell r="A1197" t="str">
            <v>FB260000687</v>
          </cell>
          <cell r="D1197" t="str">
            <v>M&amp;S</v>
          </cell>
        </row>
        <row r="1198">
          <cell r="A1198" t="str">
            <v>FB260000688</v>
          </cell>
          <cell r="D1198" t="str">
            <v>INT1</v>
          </cell>
        </row>
        <row r="1199">
          <cell r="A1199" t="str">
            <v>FB260000689</v>
          </cell>
          <cell r="D1199" t="str">
            <v>INT1</v>
          </cell>
        </row>
        <row r="1200">
          <cell r="A1200" t="str">
            <v>FB260000690</v>
          </cell>
          <cell r="D1200" t="str">
            <v>INT1</v>
          </cell>
        </row>
        <row r="1201">
          <cell r="A1201" t="str">
            <v>FB260000691</v>
          </cell>
          <cell r="D1201" t="str">
            <v>INT1</v>
          </cell>
        </row>
        <row r="1202">
          <cell r="A1202" t="str">
            <v>FB260000692</v>
          </cell>
          <cell r="D1202" t="str">
            <v>INT1</v>
          </cell>
        </row>
        <row r="1203">
          <cell r="A1203" t="str">
            <v>FB260000693</v>
          </cell>
          <cell r="D1203" t="str">
            <v>M&amp;S</v>
          </cell>
        </row>
        <row r="1204">
          <cell r="A1204" t="str">
            <v>FB260000694</v>
          </cell>
          <cell r="D1204" t="str">
            <v>M&amp;S</v>
          </cell>
        </row>
        <row r="1205">
          <cell r="A1205" t="str">
            <v>FB260000695</v>
          </cell>
          <cell r="D1205" t="str">
            <v>PINK</v>
          </cell>
        </row>
        <row r="1206">
          <cell r="A1206" t="str">
            <v>FB260000696</v>
          </cell>
          <cell r="D1206" t="str">
            <v>PINK</v>
          </cell>
        </row>
        <row r="1207">
          <cell r="A1207" t="str">
            <v>FB260000697</v>
          </cell>
          <cell r="D1207" t="str">
            <v>NIK</v>
          </cell>
        </row>
        <row r="1208">
          <cell r="A1208" t="str">
            <v>FB260000698</v>
          </cell>
          <cell r="D1208" t="str">
            <v>M&amp;S</v>
          </cell>
        </row>
        <row r="1209">
          <cell r="A1209" t="str">
            <v>FB260000699</v>
          </cell>
          <cell r="D1209" t="str">
            <v>M&amp;S</v>
          </cell>
        </row>
        <row r="1210">
          <cell r="A1210" t="str">
            <v>FB260000702</v>
          </cell>
          <cell r="D1210" t="str">
            <v>M&amp;S</v>
          </cell>
        </row>
        <row r="1211">
          <cell r="A1211" t="str">
            <v>FB260000703</v>
          </cell>
          <cell r="D1211" t="str">
            <v>NIK</v>
          </cell>
        </row>
        <row r="1212">
          <cell r="A1212" t="str">
            <v>FB260000704</v>
          </cell>
          <cell r="D1212" t="str">
            <v>NIK</v>
          </cell>
        </row>
        <row r="1213">
          <cell r="A1213" t="str">
            <v>FB260000705</v>
          </cell>
          <cell r="D1213" t="str">
            <v>NIK</v>
          </cell>
        </row>
        <row r="1214">
          <cell r="A1214" t="str">
            <v>FB260000710</v>
          </cell>
          <cell r="D1214" t="str">
            <v>VSS</v>
          </cell>
        </row>
        <row r="1215">
          <cell r="A1215" t="str">
            <v>FB260000711</v>
          </cell>
          <cell r="D1215" t="str">
            <v>LULU</v>
          </cell>
        </row>
        <row r="1216">
          <cell r="A1216" t="str">
            <v>FB260000712</v>
          </cell>
          <cell r="D1216" t="str">
            <v>M&amp;S</v>
          </cell>
        </row>
        <row r="1217">
          <cell r="A1217" t="str">
            <v>FB260000713</v>
          </cell>
          <cell r="D1217" t="str">
            <v>NIK</v>
          </cell>
        </row>
        <row r="1218">
          <cell r="A1218" t="str">
            <v>FB260000714</v>
          </cell>
          <cell r="D1218" t="str">
            <v>OTHERS</v>
          </cell>
        </row>
        <row r="1219">
          <cell r="A1219" t="str">
            <v>FB260000715</v>
          </cell>
          <cell r="D1219" t="str">
            <v>WACE</v>
          </cell>
        </row>
        <row r="1220">
          <cell r="A1220" t="str">
            <v>FB260000716</v>
          </cell>
          <cell r="D1220" t="str">
            <v>WACE</v>
          </cell>
        </row>
        <row r="1221">
          <cell r="A1221" t="str">
            <v>FB260000717</v>
          </cell>
          <cell r="D1221" t="str">
            <v>WACE</v>
          </cell>
        </row>
        <row r="1222">
          <cell r="A1222" t="str">
            <v>FB260000718</v>
          </cell>
          <cell r="D1222" t="str">
            <v>WACE</v>
          </cell>
        </row>
        <row r="1223">
          <cell r="A1223" t="str">
            <v>FB260000719</v>
          </cell>
          <cell r="D1223" t="str">
            <v>WACE</v>
          </cell>
        </row>
        <row r="1224">
          <cell r="A1224" t="str">
            <v>FB260000720</v>
          </cell>
          <cell r="D1224" t="str">
            <v>KOM</v>
          </cell>
        </row>
        <row r="1225">
          <cell r="A1225" t="str">
            <v>FB260000723</v>
          </cell>
          <cell r="D1225" t="str">
            <v>M&amp;S</v>
          </cell>
        </row>
        <row r="1226">
          <cell r="A1226" t="str">
            <v>FB260000724</v>
          </cell>
          <cell r="D1226" t="str">
            <v>M&amp;S</v>
          </cell>
        </row>
        <row r="1227">
          <cell r="A1227" t="str">
            <v>FB260000725</v>
          </cell>
          <cell r="D1227" t="str">
            <v>M&amp;S</v>
          </cell>
        </row>
        <row r="1228">
          <cell r="A1228" t="str">
            <v>FB260000726</v>
          </cell>
          <cell r="D1228" t="str">
            <v>M&amp;S</v>
          </cell>
        </row>
        <row r="1229">
          <cell r="A1229" t="str">
            <v>FB260000727</v>
          </cell>
          <cell r="D1229" t="str">
            <v>M&amp;S</v>
          </cell>
        </row>
        <row r="1230">
          <cell r="A1230" t="str">
            <v>FB260000728</v>
          </cell>
          <cell r="D1230" t="str">
            <v>PINK</v>
          </cell>
        </row>
        <row r="1231">
          <cell r="A1231" t="str">
            <v>FB260000729</v>
          </cell>
          <cell r="D1231" t="str">
            <v>VSS</v>
          </cell>
        </row>
        <row r="1232">
          <cell r="A1232" t="str">
            <v>FB260000730</v>
          </cell>
          <cell r="D1232" t="str">
            <v>VSS</v>
          </cell>
        </row>
        <row r="1233">
          <cell r="A1233" t="str">
            <v>FB260000731</v>
          </cell>
          <cell r="D1233" t="str">
            <v>VSS</v>
          </cell>
        </row>
        <row r="1234">
          <cell r="A1234" t="str">
            <v>FB260000732</v>
          </cell>
          <cell r="D1234" t="str">
            <v>VSS</v>
          </cell>
        </row>
        <row r="1235">
          <cell r="A1235" t="str">
            <v>FB260000733</v>
          </cell>
          <cell r="D1235" t="str">
            <v>VSS</v>
          </cell>
        </row>
        <row r="1236">
          <cell r="A1236" t="str">
            <v>FB260000734</v>
          </cell>
          <cell r="D1236" t="str">
            <v>VSS</v>
          </cell>
        </row>
        <row r="1237">
          <cell r="A1237" t="str">
            <v>FB260000735</v>
          </cell>
          <cell r="D1237" t="str">
            <v>VSS</v>
          </cell>
        </row>
        <row r="1238">
          <cell r="A1238" t="str">
            <v>FB260000736</v>
          </cell>
          <cell r="D1238" t="str">
            <v>INT1</v>
          </cell>
        </row>
        <row r="1239">
          <cell r="A1239" t="str">
            <v>FB260000737</v>
          </cell>
          <cell r="D1239" t="str">
            <v>HAR</v>
          </cell>
        </row>
        <row r="1240">
          <cell r="A1240" t="str">
            <v>FB260000738</v>
          </cell>
          <cell r="D1240" t="str">
            <v>NIK</v>
          </cell>
        </row>
        <row r="1241">
          <cell r="A1241" t="str">
            <v>FB260000739</v>
          </cell>
          <cell r="D1241" t="str">
            <v>NIK</v>
          </cell>
        </row>
        <row r="1242">
          <cell r="A1242" t="str">
            <v>FB260000741</v>
          </cell>
          <cell r="D1242" t="str">
            <v>NIK</v>
          </cell>
        </row>
        <row r="1243">
          <cell r="A1243" t="str">
            <v>FB260000742</v>
          </cell>
          <cell r="D1243" t="str">
            <v>NIK</v>
          </cell>
        </row>
        <row r="1244">
          <cell r="A1244" t="str">
            <v>FB260000744</v>
          </cell>
          <cell r="D1244" t="str">
            <v>NIK</v>
          </cell>
        </row>
        <row r="1245">
          <cell r="A1245" t="str">
            <v>FB260000756</v>
          </cell>
          <cell r="D1245" t="str">
            <v>VSS</v>
          </cell>
        </row>
        <row r="1246">
          <cell r="A1246" t="str">
            <v>FB260000758</v>
          </cell>
          <cell r="D1246" t="str">
            <v>LBI</v>
          </cell>
        </row>
        <row r="1247">
          <cell r="A1247" t="str">
            <v>FB260000759</v>
          </cell>
          <cell r="D1247" t="str">
            <v>WACE</v>
          </cell>
        </row>
        <row r="1248">
          <cell r="A1248" t="str">
            <v>FB260000760</v>
          </cell>
          <cell r="D1248" t="str">
            <v>LBI</v>
          </cell>
        </row>
        <row r="1249">
          <cell r="A1249" t="str">
            <v>FB260000761</v>
          </cell>
          <cell r="D1249" t="str">
            <v>LBI</v>
          </cell>
        </row>
        <row r="1250">
          <cell r="A1250" t="str">
            <v>FB260000762</v>
          </cell>
          <cell r="D1250" t="str">
            <v>M&amp;S</v>
          </cell>
        </row>
        <row r="1251">
          <cell r="A1251" t="str">
            <v>FB260000763</v>
          </cell>
          <cell r="D1251" t="str">
            <v>M&amp;S</v>
          </cell>
        </row>
        <row r="1252">
          <cell r="A1252" t="str">
            <v>FB260000764</v>
          </cell>
          <cell r="D1252" t="str">
            <v>M&amp;S</v>
          </cell>
        </row>
        <row r="1253">
          <cell r="A1253" t="str">
            <v>FB260000765</v>
          </cell>
          <cell r="D1253" t="str">
            <v>NEWB</v>
          </cell>
        </row>
        <row r="1254">
          <cell r="A1254" t="str">
            <v>FB260000766</v>
          </cell>
          <cell r="D1254" t="str">
            <v>WACE</v>
          </cell>
        </row>
        <row r="1255">
          <cell r="A1255" t="str">
            <v>FB260000767</v>
          </cell>
          <cell r="D1255" t="str">
            <v>LULU</v>
          </cell>
        </row>
        <row r="1256">
          <cell r="A1256" t="str">
            <v>FB260000769</v>
          </cell>
          <cell r="D1256" t="str">
            <v>LULU</v>
          </cell>
        </row>
        <row r="1257">
          <cell r="A1257" t="str">
            <v>FB260000771</v>
          </cell>
          <cell r="D1257" t="str">
            <v>LULU</v>
          </cell>
        </row>
        <row r="1258">
          <cell r="A1258" t="str">
            <v>FB260000774</v>
          </cell>
          <cell r="D1258" t="str">
            <v>VSS</v>
          </cell>
        </row>
        <row r="1259">
          <cell r="A1259" t="str">
            <v>FB260000775</v>
          </cell>
          <cell r="D1259" t="str">
            <v>VSS</v>
          </cell>
        </row>
        <row r="1260">
          <cell r="A1260" t="str">
            <v>FB260000776</v>
          </cell>
          <cell r="D1260" t="str">
            <v>VSS</v>
          </cell>
        </row>
        <row r="1261">
          <cell r="A1261" t="str">
            <v>FB260000777</v>
          </cell>
          <cell r="D1261" t="str">
            <v>INT1</v>
          </cell>
        </row>
        <row r="1262">
          <cell r="A1262" t="str">
            <v>FB260000778</v>
          </cell>
          <cell r="D1262" t="str">
            <v>M&amp;S</v>
          </cell>
        </row>
        <row r="1263">
          <cell r="A1263" t="str">
            <v>FB260000779</v>
          </cell>
          <cell r="D1263" t="str">
            <v>WACE</v>
          </cell>
        </row>
        <row r="1264">
          <cell r="A1264" t="str">
            <v>FB260000780</v>
          </cell>
          <cell r="D1264" t="str">
            <v>PINK</v>
          </cell>
        </row>
        <row r="1265">
          <cell r="A1265" t="str">
            <v>FB260000781</v>
          </cell>
          <cell r="D1265" t="str">
            <v>VSS</v>
          </cell>
        </row>
        <row r="1266">
          <cell r="A1266" t="str">
            <v>FB260000783</v>
          </cell>
          <cell r="D1266" t="str">
            <v>VSS</v>
          </cell>
        </row>
        <row r="1267">
          <cell r="A1267" t="str">
            <v>FB260000784</v>
          </cell>
          <cell r="D1267" t="str">
            <v>VSS</v>
          </cell>
        </row>
        <row r="1268">
          <cell r="A1268" t="str">
            <v>FB260000785</v>
          </cell>
          <cell r="D1268" t="str">
            <v>VSS</v>
          </cell>
        </row>
        <row r="1269">
          <cell r="A1269" t="str">
            <v>FB260000786</v>
          </cell>
          <cell r="D1269" t="str">
            <v>VSS</v>
          </cell>
        </row>
        <row r="1270">
          <cell r="A1270" t="str">
            <v>FB260000787</v>
          </cell>
          <cell r="D1270" t="str">
            <v>VSS</v>
          </cell>
        </row>
        <row r="1271">
          <cell r="A1271" t="str">
            <v>FB260000788</v>
          </cell>
          <cell r="D1271" t="str">
            <v>VSS</v>
          </cell>
        </row>
        <row r="1272">
          <cell r="A1272" t="str">
            <v>FB260000789</v>
          </cell>
          <cell r="D1272" t="str">
            <v>VSS</v>
          </cell>
        </row>
        <row r="1273">
          <cell r="A1273" t="str">
            <v>FB260000790</v>
          </cell>
          <cell r="D1273" t="str">
            <v>VSS</v>
          </cell>
        </row>
        <row r="1274">
          <cell r="A1274" t="str">
            <v>FB260000791</v>
          </cell>
          <cell r="D1274" t="str">
            <v>VSS</v>
          </cell>
        </row>
        <row r="1275">
          <cell r="A1275" t="str">
            <v>FB260000792</v>
          </cell>
          <cell r="D1275" t="str">
            <v>VSS</v>
          </cell>
        </row>
        <row r="1276">
          <cell r="A1276" t="str">
            <v>FB260000793</v>
          </cell>
          <cell r="D1276" t="str">
            <v>PEP</v>
          </cell>
        </row>
        <row r="1277">
          <cell r="A1277" t="str">
            <v>FB260000794</v>
          </cell>
          <cell r="D1277" t="str">
            <v>VSS</v>
          </cell>
        </row>
        <row r="1278">
          <cell r="A1278" t="str">
            <v>FB260000795</v>
          </cell>
          <cell r="D1278" t="str">
            <v>VSS</v>
          </cell>
        </row>
        <row r="1279">
          <cell r="A1279" t="str">
            <v>FB260000796</v>
          </cell>
          <cell r="D1279" t="str">
            <v>VSS</v>
          </cell>
        </row>
        <row r="1280">
          <cell r="A1280" t="str">
            <v>FB260000797</v>
          </cell>
          <cell r="D1280" t="str">
            <v>VSS</v>
          </cell>
        </row>
        <row r="1281">
          <cell r="A1281" t="str">
            <v>FB260000798</v>
          </cell>
          <cell r="D1281" t="str">
            <v>PEP</v>
          </cell>
        </row>
        <row r="1282">
          <cell r="A1282" t="str">
            <v>FB260000799</v>
          </cell>
          <cell r="D1282" t="str">
            <v>VSS</v>
          </cell>
        </row>
        <row r="1283">
          <cell r="A1283" t="str">
            <v>FB260000800</v>
          </cell>
          <cell r="D1283" t="str">
            <v>VSS</v>
          </cell>
        </row>
        <row r="1284">
          <cell r="A1284" t="str">
            <v>FB260000801</v>
          </cell>
          <cell r="D1284" t="str">
            <v>PEP</v>
          </cell>
        </row>
        <row r="1285">
          <cell r="A1285" t="str">
            <v>FB260000802</v>
          </cell>
          <cell r="D1285" t="str">
            <v>VSS</v>
          </cell>
        </row>
        <row r="1286">
          <cell r="A1286" t="str">
            <v>FB260000803</v>
          </cell>
          <cell r="D1286" t="str">
            <v>VSS</v>
          </cell>
        </row>
        <row r="1287">
          <cell r="A1287" t="str">
            <v>FB260000804</v>
          </cell>
          <cell r="D1287" t="str">
            <v>VSS</v>
          </cell>
        </row>
        <row r="1288">
          <cell r="A1288" t="str">
            <v>FB260000805</v>
          </cell>
          <cell r="D1288" t="str">
            <v>VSS</v>
          </cell>
        </row>
        <row r="1289">
          <cell r="A1289" t="str">
            <v>FB260000806</v>
          </cell>
          <cell r="D1289" t="str">
            <v>VSS</v>
          </cell>
        </row>
        <row r="1290">
          <cell r="A1290" t="str">
            <v>FB260000807</v>
          </cell>
          <cell r="D1290" t="str">
            <v>VSS</v>
          </cell>
        </row>
        <row r="1291">
          <cell r="A1291" t="str">
            <v>FB260000808</v>
          </cell>
          <cell r="D1291" t="str">
            <v>VSS</v>
          </cell>
        </row>
        <row r="1292">
          <cell r="A1292" t="str">
            <v>FB260000809</v>
          </cell>
          <cell r="D1292" t="str">
            <v>VSS</v>
          </cell>
        </row>
        <row r="1293">
          <cell r="A1293" t="str">
            <v>FB260000810</v>
          </cell>
          <cell r="D1293" t="str">
            <v>VSS</v>
          </cell>
        </row>
        <row r="1294">
          <cell r="A1294" t="str">
            <v>FB260000811</v>
          </cell>
          <cell r="D1294" t="str">
            <v>VSS</v>
          </cell>
        </row>
        <row r="1295">
          <cell r="A1295" t="str">
            <v>FB260000812</v>
          </cell>
          <cell r="D1295" t="str">
            <v>VSS</v>
          </cell>
        </row>
        <row r="1296">
          <cell r="A1296" t="str">
            <v>FB260000813</v>
          </cell>
          <cell r="D1296" t="str">
            <v>VSS</v>
          </cell>
        </row>
        <row r="1297">
          <cell r="A1297" t="str">
            <v>FB260000814</v>
          </cell>
          <cell r="D1297" t="str">
            <v>VSS</v>
          </cell>
        </row>
        <row r="1298">
          <cell r="A1298" t="str">
            <v>FB260000815</v>
          </cell>
          <cell r="D1298" t="str">
            <v>VSS</v>
          </cell>
        </row>
        <row r="1299">
          <cell r="A1299" t="str">
            <v>FB260000816</v>
          </cell>
          <cell r="D1299" t="str">
            <v>VSS</v>
          </cell>
        </row>
        <row r="1300">
          <cell r="A1300" t="str">
            <v>FB260000817</v>
          </cell>
          <cell r="D1300" t="str">
            <v>VSS</v>
          </cell>
        </row>
        <row r="1301">
          <cell r="A1301" t="str">
            <v>FB260000818</v>
          </cell>
          <cell r="D1301" t="str">
            <v>VSS</v>
          </cell>
        </row>
        <row r="1302">
          <cell r="A1302" t="str">
            <v>FB260000819</v>
          </cell>
          <cell r="D1302" t="str">
            <v>VSS</v>
          </cell>
        </row>
        <row r="1303">
          <cell r="A1303" t="str">
            <v>FB260000820</v>
          </cell>
          <cell r="D1303" t="str">
            <v>VSS</v>
          </cell>
        </row>
        <row r="1304">
          <cell r="A1304" t="str">
            <v>FB260000821</v>
          </cell>
          <cell r="D1304" t="str">
            <v>VSS</v>
          </cell>
        </row>
        <row r="1305">
          <cell r="A1305" t="str">
            <v>FB260000822</v>
          </cell>
          <cell r="D1305" t="str">
            <v>VSS</v>
          </cell>
        </row>
        <row r="1306">
          <cell r="A1306" t="str">
            <v>FB260000823</v>
          </cell>
          <cell r="D1306" t="str">
            <v>VSS</v>
          </cell>
        </row>
        <row r="1307">
          <cell r="A1307" t="str">
            <v>FB260000824</v>
          </cell>
          <cell r="D1307" t="str">
            <v>VSS</v>
          </cell>
        </row>
        <row r="1308">
          <cell r="A1308" t="str">
            <v>FB260000825</v>
          </cell>
          <cell r="D1308" t="str">
            <v>SPEE</v>
          </cell>
        </row>
        <row r="1309">
          <cell r="A1309" t="str">
            <v>FB260000826</v>
          </cell>
          <cell r="D1309" t="str">
            <v>VSS</v>
          </cell>
        </row>
        <row r="1310">
          <cell r="A1310" t="str">
            <v>FB260000827</v>
          </cell>
          <cell r="D1310" t="str">
            <v>LULU</v>
          </cell>
        </row>
        <row r="1311">
          <cell r="A1311" t="str">
            <v>FB260000828</v>
          </cell>
          <cell r="D1311" t="str">
            <v>NIK</v>
          </cell>
        </row>
        <row r="1312">
          <cell r="A1312" t="str">
            <v>FB260000829</v>
          </cell>
          <cell r="D1312" t="str">
            <v>NIK</v>
          </cell>
        </row>
        <row r="1313">
          <cell r="A1313" t="str">
            <v>FB260000830</v>
          </cell>
          <cell r="D1313" t="str">
            <v>NIK</v>
          </cell>
        </row>
        <row r="1314">
          <cell r="A1314" t="str">
            <v>FB260000831</v>
          </cell>
          <cell r="D1314" t="str">
            <v>NIK</v>
          </cell>
        </row>
        <row r="1315">
          <cell r="A1315" t="str">
            <v>FB260000832</v>
          </cell>
          <cell r="D1315" t="str">
            <v>NIK</v>
          </cell>
        </row>
        <row r="1316">
          <cell r="A1316" t="str">
            <v>FB260000833</v>
          </cell>
          <cell r="D1316" t="str">
            <v>NIK</v>
          </cell>
        </row>
        <row r="1317">
          <cell r="A1317" t="str">
            <v>FB260000834</v>
          </cell>
          <cell r="D1317" t="str">
            <v>NIK</v>
          </cell>
        </row>
        <row r="1318">
          <cell r="A1318" t="str">
            <v>FB260000836</v>
          </cell>
          <cell r="D1318" t="str">
            <v>NIK</v>
          </cell>
        </row>
        <row r="1319">
          <cell r="A1319" t="str">
            <v>FB260000837</v>
          </cell>
          <cell r="D1319" t="str">
            <v>NIK</v>
          </cell>
        </row>
        <row r="1320">
          <cell r="A1320" t="str">
            <v>FB260000838</v>
          </cell>
          <cell r="D1320" t="str">
            <v>NIK</v>
          </cell>
        </row>
        <row r="1321">
          <cell r="A1321" t="str">
            <v>FB260000839</v>
          </cell>
          <cell r="D1321" t="str">
            <v>NIK</v>
          </cell>
        </row>
        <row r="1322">
          <cell r="A1322" t="str">
            <v>FB260000840</v>
          </cell>
          <cell r="D1322" t="str">
            <v>NIK</v>
          </cell>
        </row>
        <row r="1323">
          <cell r="A1323" t="str">
            <v>FB260000841</v>
          </cell>
          <cell r="D1323" t="str">
            <v>NIK</v>
          </cell>
        </row>
        <row r="1324">
          <cell r="A1324" t="str">
            <v>FB260000842</v>
          </cell>
          <cell r="D1324" t="str">
            <v>NIK</v>
          </cell>
        </row>
        <row r="1325">
          <cell r="A1325" t="str">
            <v>FB260000844</v>
          </cell>
          <cell r="D1325" t="str">
            <v>NIK</v>
          </cell>
        </row>
        <row r="1326">
          <cell r="A1326" t="str">
            <v>FB260000845</v>
          </cell>
          <cell r="D1326" t="str">
            <v>NIK</v>
          </cell>
        </row>
        <row r="1327">
          <cell r="A1327" t="str">
            <v>FB260000846</v>
          </cell>
          <cell r="D1327" t="str">
            <v>NIK</v>
          </cell>
        </row>
        <row r="1328">
          <cell r="A1328" t="str">
            <v>FB260000848</v>
          </cell>
          <cell r="D1328" t="str">
            <v>NIK</v>
          </cell>
        </row>
        <row r="1329">
          <cell r="A1329" t="str">
            <v>FB260000849</v>
          </cell>
          <cell r="D1329" t="str">
            <v>NIK</v>
          </cell>
        </row>
        <row r="1330">
          <cell r="A1330" t="str">
            <v>FB260000851</v>
          </cell>
          <cell r="D1330" t="str">
            <v>NIK</v>
          </cell>
        </row>
        <row r="1331">
          <cell r="A1331" t="str">
            <v>FB260000852</v>
          </cell>
          <cell r="D1331" t="str">
            <v>NIK</v>
          </cell>
        </row>
        <row r="1332">
          <cell r="A1332" t="str">
            <v>FB260000853</v>
          </cell>
          <cell r="D1332" t="str">
            <v>VSS</v>
          </cell>
        </row>
        <row r="1333">
          <cell r="A1333" t="str">
            <v>FB260000854</v>
          </cell>
          <cell r="D1333" t="str">
            <v>VSS</v>
          </cell>
        </row>
        <row r="1334">
          <cell r="A1334" t="str">
            <v>FB260000855</v>
          </cell>
          <cell r="D1334" t="str">
            <v>VSS</v>
          </cell>
        </row>
        <row r="1335">
          <cell r="A1335" t="str">
            <v>FB260000856</v>
          </cell>
          <cell r="D1335" t="str">
            <v>VSS</v>
          </cell>
        </row>
        <row r="1336">
          <cell r="A1336" t="str">
            <v>FB260000857</v>
          </cell>
          <cell r="D1336" t="str">
            <v>VSS</v>
          </cell>
        </row>
        <row r="1337">
          <cell r="A1337" t="str">
            <v>FB260000858</v>
          </cell>
          <cell r="D1337" t="str">
            <v>VSS</v>
          </cell>
        </row>
        <row r="1338">
          <cell r="A1338" t="str">
            <v>FB260000859</v>
          </cell>
          <cell r="D1338" t="str">
            <v>VSS</v>
          </cell>
        </row>
        <row r="1339">
          <cell r="A1339" t="str">
            <v>FB260000860</v>
          </cell>
          <cell r="D1339" t="str">
            <v>VSS</v>
          </cell>
        </row>
        <row r="1340">
          <cell r="A1340" t="str">
            <v>FB260000861</v>
          </cell>
          <cell r="D1340" t="str">
            <v>VSS</v>
          </cell>
        </row>
        <row r="1341">
          <cell r="A1341" t="str">
            <v>FB260000862</v>
          </cell>
          <cell r="D1341" t="str">
            <v>VSS</v>
          </cell>
        </row>
        <row r="1342">
          <cell r="A1342" t="str">
            <v>FB260000863</v>
          </cell>
          <cell r="D1342" t="str">
            <v>VSS</v>
          </cell>
        </row>
        <row r="1343">
          <cell r="A1343" t="str">
            <v>FB260000864</v>
          </cell>
          <cell r="D1343" t="str">
            <v>VSS</v>
          </cell>
        </row>
        <row r="1344">
          <cell r="A1344" t="str">
            <v>FB260000865</v>
          </cell>
          <cell r="D1344" t="str">
            <v>VSS</v>
          </cell>
        </row>
        <row r="1345">
          <cell r="A1345" t="str">
            <v>FB260000866</v>
          </cell>
          <cell r="D1345" t="str">
            <v>VSS</v>
          </cell>
        </row>
        <row r="1346">
          <cell r="A1346" t="str">
            <v>FB260000867</v>
          </cell>
          <cell r="D1346" t="str">
            <v>VSS</v>
          </cell>
        </row>
        <row r="1347">
          <cell r="A1347" t="str">
            <v>FB260000868</v>
          </cell>
          <cell r="D1347" t="str">
            <v>TORD</v>
          </cell>
        </row>
        <row r="1348">
          <cell r="A1348" t="str">
            <v>FB260000870</v>
          </cell>
          <cell r="D1348" t="str">
            <v>LULU</v>
          </cell>
        </row>
        <row r="1349">
          <cell r="A1349" t="str">
            <v>FB260000871</v>
          </cell>
          <cell r="D1349" t="str">
            <v>SAA</v>
          </cell>
        </row>
        <row r="1350">
          <cell r="A1350" t="str">
            <v>FB260000873</v>
          </cell>
          <cell r="D1350" t="str">
            <v>VSS</v>
          </cell>
        </row>
        <row r="1351">
          <cell r="A1351" t="str">
            <v>FB260000874</v>
          </cell>
          <cell r="D1351" t="str">
            <v>WACE</v>
          </cell>
        </row>
        <row r="1352">
          <cell r="A1352" t="str">
            <v>FB260000875</v>
          </cell>
          <cell r="D1352" t="str">
            <v>WACE</v>
          </cell>
        </row>
        <row r="1353">
          <cell r="A1353" t="str">
            <v>FB260000876</v>
          </cell>
          <cell r="D1353" t="str">
            <v>PINK</v>
          </cell>
        </row>
        <row r="1354">
          <cell r="A1354" t="str">
            <v>FB260000877</v>
          </cell>
          <cell r="D1354" t="str">
            <v>PINK</v>
          </cell>
        </row>
        <row r="1355">
          <cell r="A1355" t="str">
            <v>FB260000881</v>
          </cell>
          <cell r="D1355" t="str">
            <v>WACE</v>
          </cell>
        </row>
        <row r="1356">
          <cell r="A1356" t="str">
            <v>FB260000882</v>
          </cell>
          <cell r="D1356" t="str">
            <v>PINK</v>
          </cell>
        </row>
        <row r="1357">
          <cell r="A1357" t="str">
            <v>FB260000883</v>
          </cell>
          <cell r="D1357" t="str">
            <v>PINK</v>
          </cell>
        </row>
        <row r="1358">
          <cell r="A1358" t="str">
            <v>FB260000884</v>
          </cell>
          <cell r="D1358" t="str">
            <v>VSS</v>
          </cell>
        </row>
        <row r="1359">
          <cell r="A1359" t="str">
            <v>FB260000885</v>
          </cell>
          <cell r="D1359" t="str">
            <v>VSS</v>
          </cell>
        </row>
        <row r="1360">
          <cell r="A1360" t="str">
            <v>FB260000886</v>
          </cell>
          <cell r="D1360" t="str">
            <v>VSS</v>
          </cell>
        </row>
        <row r="1361">
          <cell r="A1361" t="str">
            <v>FB260000887</v>
          </cell>
          <cell r="D1361" t="str">
            <v>VSS</v>
          </cell>
        </row>
        <row r="1362">
          <cell r="A1362" t="str">
            <v>FB260000888</v>
          </cell>
          <cell r="D1362" t="str">
            <v>VSS</v>
          </cell>
        </row>
        <row r="1363">
          <cell r="A1363" t="str">
            <v>FB260000889</v>
          </cell>
          <cell r="D1363" t="str">
            <v>M&amp;S</v>
          </cell>
        </row>
        <row r="1364">
          <cell r="A1364" t="str">
            <v>FB260000890</v>
          </cell>
          <cell r="D1364" t="str">
            <v>LULU</v>
          </cell>
        </row>
        <row r="1365">
          <cell r="A1365" t="str">
            <v>FB260000891</v>
          </cell>
          <cell r="D1365" t="str">
            <v>LULU</v>
          </cell>
        </row>
        <row r="1366">
          <cell r="A1366" t="str">
            <v>FB260000892</v>
          </cell>
          <cell r="D1366" t="str">
            <v>CK</v>
          </cell>
        </row>
        <row r="1367">
          <cell r="A1367" t="str">
            <v>FB260000893</v>
          </cell>
          <cell r="D1367" t="str">
            <v>CK</v>
          </cell>
        </row>
        <row r="1368">
          <cell r="A1368" t="str">
            <v>FB260000894</v>
          </cell>
          <cell r="D1368" t="str">
            <v>CK</v>
          </cell>
        </row>
        <row r="1369">
          <cell r="A1369" t="str">
            <v>FB260000895</v>
          </cell>
          <cell r="D1369" t="str">
            <v>LULU</v>
          </cell>
        </row>
        <row r="1370">
          <cell r="A1370" t="str">
            <v>FB260000896</v>
          </cell>
          <cell r="D1370" t="str">
            <v>LULU</v>
          </cell>
        </row>
        <row r="1371">
          <cell r="A1371" t="str">
            <v>FB260000897</v>
          </cell>
          <cell r="D1371" t="str">
            <v>LULU</v>
          </cell>
        </row>
        <row r="1372">
          <cell r="A1372" t="str">
            <v>FB260000898</v>
          </cell>
          <cell r="D1372" t="str">
            <v>LULU</v>
          </cell>
        </row>
        <row r="1373">
          <cell r="A1373" t="str">
            <v>FB260000899</v>
          </cell>
          <cell r="D1373" t="str">
            <v>LULU</v>
          </cell>
        </row>
        <row r="1374">
          <cell r="A1374" t="str">
            <v>FB260000901</v>
          </cell>
          <cell r="D1374" t="str">
            <v>LULU</v>
          </cell>
        </row>
        <row r="1375">
          <cell r="A1375" t="str">
            <v>FB260000902</v>
          </cell>
          <cell r="D1375" t="str">
            <v>LBI</v>
          </cell>
        </row>
        <row r="1376">
          <cell r="A1376" t="str">
            <v>FB260000903</v>
          </cell>
          <cell r="D1376" t="str">
            <v>LBI</v>
          </cell>
        </row>
        <row r="1377">
          <cell r="A1377" t="str">
            <v>FB260000904</v>
          </cell>
          <cell r="D1377" t="str">
            <v>LBI</v>
          </cell>
        </row>
        <row r="1378">
          <cell r="A1378" t="str">
            <v>FB260000905</v>
          </cell>
          <cell r="D1378" t="str">
            <v>LBI</v>
          </cell>
        </row>
        <row r="1379">
          <cell r="A1379" t="str">
            <v>FB260000906</v>
          </cell>
          <cell r="D1379" t="str">
            <v>LBI</v>
          </cell>
        </row>
        <row r="1380">
          <cell r="A1380" t="str">
            <v>FB260000907</v>
          </cell>
          <cell r="D1380" t="str">
            <v>LBI</v>
          </cell>
        </row>
        <row r="1381">
          <cell r="A1381" t="str">
            <v>FB260000908</v>
          </cell>
          <cell r="D1381" t="str">
            <v>VSS</v>
          </cell>
        </row>
        <row r="1382">
          <cell r="A1382" t="str">
            <v>FB260000909</v>
          </cell>
          <cell r="D1382" t="str">
            <v>VSS</v>
          </cell>
        </row>
        <row r="1383">
          <cell r="A1383" t="str">
            <v>FB260000910</v>
          </cell>
          <cell r="D1383" t="str">
            <v>VSS</v>
          </cell>
        </row>
        <row r="1384">
          <cell r="A1384" t="str">
            <v>FB260000911</v>
          </cell>
          <cell r="D1384" t="str">
            <v>WACE</v>
          </cell>
        </row>
        <row r="1385">
          <cell r="A1385" t="str">
            <v>FB260000912</v>
          </cell>
          <cell r="D1385" t="str">
            <v>WACE</v>
          </cell>
        </row>
        <row r="1386">
          <cell r="A1386" t="str">
            <v>FB260000913</v>
          </cell>
          <cell r="D1386" t="str">
            <v>HAR</v>
          </cell>
        </row>
        <row r="1387">
          <cell r="A1387" t="str">
            <v>FB260000914</v>
          </cell>
          <cell r="D1387" t="str">
            <v>HAR</v>
          </cell>
        </row>
        <row r="1388">
          <cell r="A1388" t="str">
            <v>FB260000915</v>
          </cell>
          <cell r="D1388" t="str">
            <v>WACE</v>
          </cell>
        </row>
        <row r="1389">
          <cell r="A1389" t="str">
            <v>FB260000918</v>
          </cell>
          <cell r="D1389" t="str">
            <v>WACE</v>
          </cell>
        </row>
        <row r="1390">
          <cell r="A1390" t="str">
            <v>FB260000919</v>
          </cell>
          <cell r="D1390" t="str">
            <v>WACE</v>
          </cell>
        </row>
        <row r="1391">
          <cell r="A1391" t="str">
            <v>FB260000920</v>
          </cell>
          <cell r="D1391" t="str">
            <v>WACE</v>
          </cell>
        </row>
        <row r="1392">
          <cell r="A1392" t="str">
            <v>FB260000921</v>
          </cell>
          <cell r="D1392" t="str">
            <v>WACE</v>
          </cell>
        </row>
        <row r="1393">
          <cell r="A1393" t="str">
            <v>FB260000922</v>
          </cell>
          <cell r="D1393" t="str">
            <v>WACE</v>
          </cell>
        </row>
        <row r="1394">
          <cell r="A1394" t="str">
            <v>FB260000923</v>
          </cell>
          <cell r="D1394" t="str">
            <v>WACE</v>
          </cell>
        </row>
        <row r="1395">
          <cell r="A1395" t="str">
            <v>FB260000925</v>
          </cell>
          <cell r="D1395" t="str">
            <v>LBI</v>
          </cell>
        </row>
        <row r="1396">
          <cell r="A1396" t="str">
            <v>FB260000927</v>
          </cell>
          <cell r="D1396" t="str">
            <v>LBI</v>
          </cell>
        </row>
        <row r="1397">
          <cell r="A1397" t="str">
            <v>FB260000928</v>
          </cell>
          <cell r="D1397" t="str">
            <v>LBI</v>
          </cell>
        </row>
        <row r="1398">
          <cell r="A1398" t="str">
            <v>FB260000929</v>
          </cell>
          <cell r="D1398" t="str">
            <v>LBI</v>
          </cell>
        </row>
        <row r="1399">
          <cell r="A1399" t="str">
            <v>FB260000930</v>
          </cell>
          <cell r="D1399" t="str">
            <v>LBI</v>
          </cell>
        </row>
        <row r="1400">
          <cell r="A1400" t="str">
            <v>FB260000931</v>
          </cell>
          <cell r="D1400" t="str">
            <v>LBI</v>
          </cell>
        </row>
        <row r="1401">
          <cell r="A1401" t="str">
            <v>FB260000932</v>
          </cell>
          <cell r="D1401" t="str">
            <v>LBI</v>
          </cell>
        </row>
        <row r="1402">
          <cell r="A1402" t="str">
            <v>FB260000933</v>
          </cell>
          <cell r="D1402" t="str">
            <v>LBI</v>
          </cell>
        </row>
        <row r="1403">
          <cell r="A1403" t="str">
            <v>FB260000934</v>
          </cell>
          <cell r="D1403" t="str">
            <v>LBI</v>
          </cell>
        </row>
        <row r="1404">
          <cell r="A1404" t="str">
            <v>FB260000935</v>
          </cell>
          <cell r="D1404" t="str">
            <v>SKI</v>
          </cell>
        </row>
        <row r="1405">
          <cell r="A1405" t="str">
            <v>FB260000939</v>
          </cell>
          <cell r="D1405" t="str">
            <v>WACE</v>
          </cell>
        </row>
        <row r="1406">
          <cell r="A1406" t="str">
            <v>FB260000940</v>
          </cell>
          <cell r="D1406" t="str">
            <v>WACE</v>
          </cell>
        </row>
        <row r="1407">
          <cell r="A1407" t="str">
            <v>FB260000942</v>
          </cell>
          <cell r="D1407" t="str">
            <v>CK</v>
          </cell>
        </row>
        <row r="1408">
          <cell r="A1408" t="str">
            <v>FB260000943</v>
          </cell>
          <cell r="D1408" t="str">
            <v>NIK</v>
          </cell>
        </row>
        <row r="1409">
          <cell r="A1409" t="str">
            <v>FB260000944</v>
          </cell>
          <cell r="D1409" t="str">
            <v>NIK</v>
          </cell>
        </row>
        <row r="1410">
          <cell r="A1410" t="str">
            <v>FB260000945</v>
          </cell>
          <cell r="D1410" t="str">
            <v>NIK</v>
          </cell>
        </row>
        <row r="1411">
          <cell r="A1411" t="str">
            <v>FB260000946</v>
          </cell>
          <cell r="D1411" t="str">
            <v>TORD</v>
          </cell>
        </row>
        <row r="1412">
          <cell r="A1412" t="str">
            <v>FB260000947</v>
          </cell>
          <cell r="D1412" t="str">
            <v>M&amp;S</v>
          </cell>
        </row>
        <row r="1413">
          <cell r="A1413" t="str">
            <v>FB260000948</v>
          </cell>
          <cell r="D1413" t="str">
            <v>M&amp;S</v>
          </cell>
        </row>
        <row r="1414">
          <cell r="A1414" t="str">
            <v>FB260000949</v>
          </cell>
          <cell r="D1414" t="str">
            <v>LBI</v>
          </cell>
        </row>
        <row r="1415">
          <cell r="A1415" t="str">
            <v>FB260000950</v>
          </cell>
          <cell r="D1415" t="str">
            <v>LBI</v>
          </cell>
        </row>
        <row r="1416">
          <cell r="A1416" t="str">
            <v>FB260000951</v>
          </cell>
          <cell r="D1416" t="str">
            <v>LBI</v>
          </cell>
        </row>
        <row r="1417">
          <cell r="A1417" t="str">
            <v>FB260000953</v>
          </cell>
          <cell r="D1417" t="str">
            <v>WACE</v>
          </cell>
        </row>
        <row r="1418">
          <cell r="A1418" t="str">
            <v>FB260000954</v>
          </cell>
          <cell r="D1418" t="str">
            <v>WACE</v>
          </cell>
        </row>
        <row r="1419">
          <cell r="A1419" t="str">
            <v>FB260000955</v>
          </cell>
          <cell r="D1419" t="str">
            <v>WACE</v>
          </cell>
        </row>
        <row r="1420">
          <cell r="A1420" t="str">
            <v>FB260000956</v>
          </cell>
          <cell r="D1420" t="str">
            <v>M&amp;S</v>
          </cell>
        </row>
        <row r="1421">
          <cell r="A1421" t="str">
            <v>FB260000957</v>
          </cell>
          <cell r="D1421" t="str">
            <v>M&amp;S</v>
          </cell>
        </row>
        <row r="1422">
          <cell r="A1422" t="str">
            <v>FB260000958</v>
          </cell>
          <cell r="D1422" t="str">
            <v>M&amp;S</v>
          </cell>
        </row>
        <row r="1423">
          <cell r="A1423" t="str">
            <v>FB260000959</v>
          </cell>
          <cell r="D1423" t="str">
            <v>M&amp;S</v>
          </cell>
        </row>
        <row r="1424">
          <cell r="A1424" t="str">
            <v>FB260000960</v>
          </cell>
          <cell r="D1424" t="str">
            <v>M&amp;S</v>
          </cell>
        </row>
        <row r="1425">
          <cell r="A1425" t="str">
            <v>FB260000961</v>
          </cell>
          <cell r="D1425" t="str">
            <v>M&amp;S</v>
          </cell>
        </row>
        <row r="1426">
          <cell r="A1426" t="str">
            <v>FB260000962</v>
          </cell>
          <cell r="D1426" t="str">
            <v>M&amp;S</v>
          </cell>
        </row>
        <row r="1427">
          <cell r="A1427" t="str">
            <v>FB260000963</v>
          </cell>
          <cell r="D1427" t="str">
            <v>M&amp;S</v>
          </cell>
        </row>
        <row r="1428">
          <cell r="A1428" t="str">
            <v>FB260000964</v>
          </cell>
          <cell r="D1428" t="str">
            <v>M&amp;S</v>
          </cell>
        </row>
        <row r="1429">
          <cell r="A1429" t="str">
            <v>FB260000965</v>
          </cell>
          <cell r="D1429" t="str">
            <v>M&amp;S</v>
          </cell>
        </row>
        <row r="1430">
          <cell r="A1430" t="str">
            <v>FB260000966</v>
          </cell>
          <cell r="D1430" t="str">
            <v>M&amp;S</v>
          </cell>
        </row>
        <row r="1431">
          <cell r="A1431" t="str">
            <v>FB260000967</v>
          </cell>
          <cell r="D1431" t="str">
            <v>M&amp;S</v>
          </cell>
        </row>
        <row r="1432">
          <cell r="A1432" t="str">
            <v>FB260000968</v>
          </cell>
          <cell r="D1432" t="str">
            <v>CK</v>
          </cell>
        </row>
        <row r="1433">
          <cell r="A1433" t="str">
            <v>FB260000969</v>
          </cell>
          <cell r="D1433" t="str">
            <v>CK</v>
          </cell>
        </row>
        <row r="1434">
          <cell r="A1434" t="str">
            <v>FB260000970</v>
          </cell>
          <cell r="D1434" t="str">
            <v>CK</v>
          </cell>
        </row>
        <row r="1435">
          <cell r="A1435" t="str">
            <v>FB260000971</v>
          </cell>
          <cell r="D1435" t="str">
            <v>THEU</v>
          </cell>
        </row>
        <row r="1436">
          <cell r="A1436" t="str">
            <v>FB260000972</v>
          </cell>
          <cell r="D1436" t="str">
            <v>WACE</v>
          </cell>
        </row>
        <row r="1437">
          <cell r="A1437" t="str">
            <v>FB260000973</v>
          </cell>
          <cell r="D1437" t="str">
            <v>WACE</v>
          </cell>
        </row>
        <row r="1438">
          <cell r="A1438" t="str">
            <v>FB260000975</v>
          </cell>
          <cell r="D1438" t="str">
            <v>LULU</v>
          </cell>
        </row>
        <row r="1439">
          <cell r="A1439" t="str">
            <v>FB260000979</v>
          </cell>
          <cell r="D1439" t="str">
            <v>INT1</v>
          </cell>
        </row>
        <row r="1440">
          <cell r="A1440" t="str">
            <v>FB260000980</v>
          </cell>
          <cell r="D1440" t="str">
            <v>PINK</v>
          </cell>
        </row>
        <row r="1441">
          <cell r="A1441" t="str">
            <v>FB260000982</v>
          </cell>
          <cell r="D1441" t="str">
            <v>VSS</v>
          </cell>
        </row>
        <row r="1442">
          <cell r="A1442" t="str">
            <v>FB260000983</v>
          </cell>
          <cell r="D1442" t="str">
            <v>NIK</v>
          </cell>
        </row>
        <row r="1443">
          <cell r="A1443" t="str">
            <v>FB260000986</v>
          </cell>
          <cell r="D1443" t="str">
            <v>PINK</v>
          </cell>
        </row>
        <row r="1444">
          <cell r="A1444" t="str">
            <v>FB260000987</v>
          </cell>
          <cell r="D1444" t="str">
            <v>NIK</v>
          </cell>
        </row>
        <row r="1445">
          <cell r="A1445" t="str">
            <v>FB260000988</v>
          </cell>
          <cell r="D1445" t="str">
            <v>NIK</v>
          </cell>
        </row>
        <row r="1446">
          <cell r="A1446" t="str">
            <v>FB260000990</v>
          </cell>
          <cell r="D1446" t="str">
            <v>NIK</v>
          </cell>
        </row>
        <row r="1447">
          <cell r="A1447" t="str">
            <v>FB260000992</v>
          </cell>
          <cell r="D1447" t="str">
            <v>NIK</v>
          </cell>
        </row>
        <row r="1448">
          <cell r="A1448" t="str">
            <v>FB260000993</v>
          </cell>
          <cell r="D1448" t="str">
            <v>TORD</v>
          </cell>
        </row>
        <row r="1449">
          <cell r="A1449" t="str">
            <v>FB260000994</v>
          </cell>
          <cell r="D1449" t="str">
            <v>NIK</v>
          </cell>
        </row>
        <row r="1450">
          <cell r="A1450" t="str">
            <v>FB260000995</v>
          </cell>
          <cell r="D1450" t="str">
            <v>NIK</v>
          </cell>
        </row>
        <row r="1451">
          <cell r="A1451" t="str">
            <v>FB260000998</v>
          </cell>
          <cell r="D1451" t="str">
            <v>NIK</v>
          </cell>
        </row>
        <row r="1452">
          <cell r="A1452" t="str">
            <v>FB260000999</v>
          </cell>
          <cell r="D1452" t="str">
            <v>NIK</v>
          </cell>
        </row>
        <row r="1453">
          <cell r="A1453" t="str">
            <v>FB260001002</v>
          </cell>
          <cell r="D1453" t="str">
            <v>NIK</v>
          </cell>
        </row>
        <row r="1454">
          <cell r="A1454" t="str">
            <v>FB260001004</v>
          </cell>
          <cell r="D1454" t="str">
            <v>NIK</v>
          </cell>
        </row>
        <row r="1455">
          <cell r="A1455" t="str">
            <v>FB260001005</v>
          </cell>
          <cell r="D1455" t="str">
            <v>NIK</v>
          </cell>
        </row>
        <row r="1456">
          <cell r="A1456" t="str">
            <v>FB260001006</v>
          </cell>
          <cell r="D1456" t="str">
            <v>NIK</v>
          </cell>
        </row>
        <row r="1457">
          <cell r="A1457" t="str">
            <v>FB260001012</v>
          </cell>
          <cell r="D1457" t="str">
            <v>NIK</v>
          </cell>
        </row>
        <row r="1458">
          <cell r="A1458" t="str">
            <v>FB260001020</v>
          </cell>
          <cell r="D1458" t="str">
            <v>NIK</v>
          </cell>
        </row>
        <row r="1459">
          <cell r="A1459" t="str">
            <v>FB260001021</v>
          </cell>
          <cell r="D1459" t="str">
            <v>NIK</v>
          </cell>
        </row>
        <row r="1460">
          <cell r="A1460" t="str">
            <v>FB260001022</v>
          </cell>
          <cell r="D1460" t="str">
            <v>NIK</v>
          </cell>
        </row>
        <row r="1461">
          <cell r="A1461" t="str">
            <v>FB260001023</v>
          </cell>
          <cell r="D1461" t="str">
            <v>VSS</v>
          </cell>
        </row>
        <row r="1462">
          <cell r="A1462" t="str">
            <v>FB260001024</v>
          </cell>
          <cell r="D1462" t="str">
            <v>LULU</v>
          </cell>
        </row>
        <row r="1463">
          <cell r="A1463" t="str">
            <v>FB260001025</v>
          </cell>
          <cell r="D1463" t="str">
            <v>LULU</v>
          </cell>
        </row>
        <row r="1464">
          <cell r="A1464" t="str">
            <v>FB260001026</v>
          </cell>
          <cell r="D1464" t="str">
            <v>PEP</v>
          </cell>
        </row>
        <row r="1465">
          <cell r="A1465" t="str">
            <v>FB260001027</v>
          </cell>
          <cell r="D1465" t="str">
            <v>NIK</v>
          </cell>
        </row>
        <row r="1466">
          <cell r="A1466" t="str">
            <v>FB260001028</v>
          </cell>
          <cell r="D1466" t="str">
            <v>NIK</v>
          </cell>
        </row>
        <row r="1467">
          <cell r="A1467" t="str">
            <v>FB260001029</v>
          </cell>
          <cell r="D1467" t="str">
            <v>PEP</v>
          </cell>
        </row>
        <row r="1468">
          <cell r="A1468" t="str">
            <v>FB260001030</v>
          </cell>
          <cell r="D1468" t="str">
            <v>VSS</v>
          </cell>
        </row>
        <row r="1469">
          <cell r="A1469" t="str">
            <v>FB260001031</v>
          </cell>
          <cell r="D1469" t="str">
            <v>TORD</v>
          </cell>
        </row>
        <row r="1470">
          <cell r="A1470" t="str">
            <v>FB260001032</v>
          </cell>
          <cell r="D1470" t="str">
            <v>WACE</v>
          </cell>
        </row>
        <row r="1471">
          <cell r="A1471" t="str">
            <v>FB260001033</v>
          </cell>
          <cell r="D1471" t="str">
            <v>LULU</v>
          </cell>
        </row>
        <row r="1472">
          <cell r="A1472" t="str">
            <v>FB260001035</v>
          </cell>
          <cell r="D1472" t="str">
            <v>TORD</v>
          </cell>
        </row>
        <row r="1473">
          <cell r="A1473" t="str">
            <v>FB260001044</v>
          </cell>
          <cell r="D1473" t="str">
            <v>M&amp;S</v>
          </cell>
        </row>
        <row r="1474">
          <cell r="A1474" t="str">
            <v>FB260001045</v>
          </cell>
          <cell r="D1474" t="str">
            <v>LULU</v>
          </cell>
        </row>
        <row r="1475">
          <cell r="A1475" t="str">
            <v>FB260001046</v>
          </cell>
          <cell r="D1475" t="str">
            <v>LULU</v>
          </cell>
        </row>
        <row r="1476">
          <cell r="A1476" t="str">
            <v>FB260001047</v>
          </cell>
          <cell r="D1476" t="str">
            <v>M&amp;S</v>
          </cell>
        </row>
        <row r="1477">
          <cell r="A1477" t="str">
            <v>FB260001048</v>
          </cell>
          <cell r="D1477" t="str">
            <v>LULU</v>
          </cell>
        </row>
        <row r="1478">
          <cell r="A1478" t="str">
            <v>FB260001049</v>
          </cell>
          <cell r="D1478" t="str">
            <v>LULU</v>
          </cell>
        </row>
        <row r="1479">
          <cell r="A1479" t="str">
            <v>FB260001050</v>
          </cell>
          <cell r="D1479" t="str">
            <v>HAR</v>
          </cell>
        </row>
        <row r="1480">
          <cell r="A1480" t="str">
            <v>FB260001051</v>
          </cell>
          <cell r="D1480" t="str">
            <v>M&amp;S</v>
          </cell>
        </row>
        <row r="1481">
          <cell r="A1481" t="str">
            <v>FB260001052</v>
          </cell>
          <cell r="D1481" t="str">
            <v>M&amp;S</v>
          </cell>
        </row>
        <row r="1482">
          <cell r="A1482" t="str">
            <v>FB260001055</v>
          </cell>
          <cell r="D1482" t="str">
            <v>M&amp;S</v>
          </cell>
        </row>
        <row r="1483">
          <cell r="A1483" t="str">
            <v>FB260001057</v>
          </cell>
          <cell r="D1483" t="str">
            <v>DUN</v>
          </cell>
        </row>
        <row r="1484">
          <cell r="A1484" t="str">
            <v>FB260001058</v>
          </cell>
          <cell r="D1484" t="str">
            <v>DUN</v>
          </cell>
        </row>
        <row r="1485">
          <cell r="A1485" t="str">
            <v>FB260001059</v>
          </cell>
          <cell r="D1485" t="str">
            <v>VSS</v>
          </cell>
        </row>
        <row r="1486">
          <cell r="A1486" t="str">
            <v>FB260001060</v>
          </cell>
          <cell r="D1486" t="str">
            <v>VSS</v>
          </cell>
        </row>
        <row r="1487">
          <cell r="A1487" t="str">
            <v>FB260001061</v>
          </cell>
          <cell r="D1487" t="str">
            <v>LULU</v>
          </cell>
        </row>
        <row r="1488">
          <cell r="A1488" t="str">
            <v>FB260001062</v>
          </cell>
          <cell r="D1488" t="str">
            <v>LULU</v>
          </cell>
        </row>
        <row r="1489">
          <cell r="A1489" t="str">
            <v>FB260001063</v>
          </cell>
          <cell r="D1489" t="str">
            <v>LULU</v>
          </cell>
        </row>
        <row r="1490">
          <cell r="A1490" t="str">
            <v>FB260001064</v>
          </cell>
          <cell r="D1490" t="str">
            <v>LULU</v>
          </cell>
        </row>
        <row r="1491">
          <cell r="A1491" t="str">
            <v>FB260001066</v>
          </cell>
          <cell r="D1491" t="str">
            <v>WACE</v>
          </cell>
        </row>
        <row r="1492">
          <cell r="A1492" t="str">
            <v>FB260001067</v>
          </cell>
          <cell r="D1492" t="str">
            <v>WACE</v>
          </cell>
        </row>
        <row r="1493">
          <cell r="A1493" t="str">
            <v>FB260001068</v>
          </cell>
          <cell r="D1493" t="str">
            <v>LBI</v>
          </cell>
        </row>
        <row r="1494">
          <cell r="A1494" t="str">
            <v>FB260001069</v>
          </cell>
          <cell r="D1494" t="str">
            <v>LBI</v>
          </cell>
        </row>
        <row r="1495">
          <cell r="A1495" t="str">
            <v>FB260001070</v>
          </cell>
          <cell r="D1495" t="str">
            <v>LBI</v>
          </cell>
        </row>
        <row r="1496">
          <cell r="A1496" t="str">
            <v>FB260001071</v>
          </cell>
          <cell r="D1496" t="str">
            <v>M&amp;S</v>
          </cell>
        </row>
        <row r="1497">
          <cell r="A1497" t="str">
            <v>FB260001072</v>
          </cell>
          <cell r="D1497" t="str">
            <v>WACE</v>
          </cell>
        </row>
        <row r="1498">
          <cell r="A1498" t="str">
            <v>FB260001073</v>
          </cell>
          <cell r="D1498" t="str">
            <v>M&amp;S</v>
          </cell>
        </row>
        <row r="1499">
          <cell r="A1499" t="str">
            <v>FB260001074</v>
          </cell>
          <cell r="D1499" t="str">
            <v>LBI</v>
          </cell>
        </row>
        <row r="1500">
          <cell r="A1500" t="str">
            <v>FB260001075</v>
          </cell>
          <cell r="D1500" t="str">
            <v>LBI</v>
          </cell>
        </row>
        <row r="1501">
          <cell r="A1501" t="str">
            <v>FB260001076</v>
          </cell>
          <cell r="D1501" t="str">
            <v>M&amp;S</v>
          </cell>
        </row>
        <row r="1502">
          <cell r="A1502" t="str">
            <v>FB260001077</v>
          </cell>
          <cell r="D1502" t="str">
            <v>M&amp;S</v>
          </cell>
        </row>
        <row r="1503">
          <cell r="A1503" t="str">
            <v>FB260001078</v>
          </cell>
          <cell r="D1503" t="str">
            <v>M&amp;S</v>
          </cell>
        </row>
        <row r="1504">
          <cell r="A1504" t="str">
            <v>FB260001079</v>
          </cell>
          <cell r="D1504" t="str">
            <v>M&amp;S</v>
          </cell>
        </row>
        <row r="1505">
          <cell r="A1505" t="str">
            <v>FB260001080</v>
          </cell>
          <cell r="D1505" t="str">
            <v>INT1</v>
          </cell>
        </row>
        <row r="1506">
          <cell r="A1506" t="str">
            <v>FB260001081</v>
          </cell>
          <cell r="D1506" t="str">
            <v>INT1</v>
          </cell>
        </row>
        <row r="1507">
          <cell r="A1507" t="str">
            <v>FB260001082</v>
          </cell>
          <cell r="D1507" t="str">
            <v>LULU</v>
          </cell>
        </row>
        <row r="1508">
          <cell r="A1508" t="str">
            <v>FB260001083</v>
          </cell>
          <cell r="D1508" t="str">
            <v>LULU</v>
          </cell>
        </row>
        <row r="1509">
          <cell r="A1509" t="str">
            <v>FB260001084</v>
          </cell>
          <cell r="D1509" t="str">
            <v>LULU</v>
          </cell>
        </row>
        <row r="1510">
          <cell r="A1510" t="str">
            <v>FB260001085</v>
          </cell>
          <cell r="D1510" t="str">
            <v>LULU</v>
          </cell>
        </row>
        <row r="1511">
          <cell r="A1511" t="str">
            <v>FB260001086</v>
          </cell>
          <cell r="D1511" t="str">
            <v>LULU</v>
          </cell>
        </row>
        <row r="1512">
          <cell r="A1512" t="str">
            <v>FB260001087</v>
          </cell>
          <cell r="D1512" t="str">
            <v>LULU</v>
          </cell>
        </row>
        <row r="1513">
          <cell r="A1513" t="str">
            <v>FB260001088</v>
          </cell>
          <cell r="D1513" t="str">
            <v>LULU</v>
          </cell>
        </row>
        <row r="1514">
          <cell r="A1514" t="str">
            <v>FB260001089</v>
          </cell>
          <cell r="D1514" t="str">
            <v>LULU</v>
          </cell>
        </row>
        <row r="1515">
          <cell r="A1515" t="str">
            <v>FB260001090</v>
          </cell>
          <cell r="D1515" t="str">
            <v>LULU</v>
          </cell>
        </row>
        <row r="1516">
          <cell r="A1516" t="str">
            <v>FB260001091</v>
          </cell>
          <cell r="D1516" t="str">
            <v>LULU</v>
          </cell>
        </row>
        <row r="1517">
          <cell r="A1517" t="str">
            <v>FB260001092</v>
          </cell>
          <cell r="D1517" t="str">
            <v>LULU</v>
          </cell>
        </row>
        <row r="1518">
          <cell r="A1518" t="str">
            <v>FB260001093</v>
          </cell>
          <cell r="D1518" t="str">
            <v>LULU</v>
          </cell>
        </row>
        <row r="1519">
          <cell r="A1519" t="str">
            <v>FB260001094</v>
          </cell>
          <cell r="D1519" t="str">
            <v>LULU</v>
          </cell>
        </row>
        <row r="1520">
          <cell r="A1520" t="str">
            <v>FB260001095</v>
          </cell>
          <cell r="D1520" t="str">
            <v>LULU</v>
          </cell>
        </row>
        <row r="1521">
          <cell r="A1521" t="str">
            <v>FB260001096</v>
          </cell>
          <cell r="D1521" t="str">
            <v>LULU</v>
          </cell>
        </row>
        <row r="1522">
          <cell r="A1522" t="str">
            <v>FB260001097</v>
          </cell>
          <cell r="D1522" t="str">
            <v>LULU</v>
          </cell>
        </row>
        <row r="1523">
          <cell r="A1523" t="str">
            <v>FB260001099</v>
          </cell>
          <cell r="D1523" t="str">
            <v>LULU</v>
          </cell>
        </row>
        <row r="1524">
          <cell r="A1524" t="str">
            <v>FB260001100</v>
          </cell>
          <cell r="D1524" t="str">
            <v>INT1</v>
          </cell>
        </row>
        <row r="1525">
          <cell r="A1525" t="str">
            <v>FB260001101</v>
          </cell>
          <cell r="D1525" t="str">
            <v>INT1</v>
          </cell>
        </row>
        <row r="1526">
          <cell r="A1526" t="str">
            <v>FB260001103</v>
          </cell>
          <cell r="D1526" t="str">
            <v>NIK</v>
          </cell>
        </row>
        <row r="1527">
          <cell r="A1527" t="str">
            <v>FB260001104</v>
          </cell>
          <cell r="D1527" t="str">
            <v>PINK</v>
          </cell>
        </row>
        <row r="1528">
          <cell r="A1528" t="str">
            <v>FB260001105</v>
          </cell>
          <cell r="D1528" t="str">
            <v>NIK</v>
          </cell>
        </row>
        <row r="1529">
          <cell r="A1529" t="str">
            <v>FB260001106</v>
          </cell>
          <cell r="D1529" t="str">
            <v>NIK</v>
          </cell>
        </row>
        <row r="1530">
          <cell r="A1530" t="str">
            <v>FB260001107</v>
          </cell>
          <cell r="D1530" t="str">
            <v>NIK</v>
          </cell>
        </row>
        <row r="1531">
          <cell r="A1531" t="str">
            <v>FB260001108</v>
          </cell>
          <cell r="D1531" t="str">
            <v>NIK</v>
          </cell>
        </row>
        <row r="1532">
          <cell r="A1532" t="str">
            <v>FB260001109</v>
          </cell>
          <cell r="D1532" t="str">
            <v>NIK</v>
          </cell>
        </row>
        <row r="1533">
          <cell r="A1533" t="str">
            <v>FB260001110</v>
          </cell>
          <cell r="D1533" t="str">
            <v>WACE</v>
          </cell>
        </row>
        <row r="1534">
          <cell r="A1534" t="str">
            <v>FB260001111</v>
          </cell>
          <cell r="D1534" t="str">
            <v>VSS</v>
          </cell>
        </row>
        <row r="1535">
          <cell r="A1535" t="str">
            <v>FB260001112</v>
          </cell>
          <cell r="D1535" t="str">
            <v>VSS</v>
          </cell>
        </row>
        <row r="1536">
          <cell r="A1536" t="str">
            <v>FB260001113</v>
          </cell>
          <cell r="D1536" t="str">
            <v>WACE</v>
          </cell>
        </row>
        <row r="1537">
          <cell r="A1537" t="str">
            <v>FB260001114</v>
          </cell>
          <cell r="D1537" t="str">
            <v>M&amp;S</v>
          </cell>
        </row>
        <row r="1538">
          <cell r="A1538" t="str">
            <v>FB260001115</v>
          </cell>
          <cell r="D1538" t="str">
            <v>VSS</v>
          </cell>
        </row>
        <row r="1539">
          <cell r="A1539" t="str">
            <v>FB260001117</v>
          </cell>
          <cell r="D1539" t="str">
            <v>VSS</v>
          </cell>
        </row>
        <row r="1540">
          <cell r="A1540" t="str">
            <v>FB260001118</v>
          </cell>
          <cell r="D1540" t="str">
            <v>VSS</v>
          </cell>
        </row>
        <row r="1541">
          <cell r="A1541" t="str">
            <v>FB260001119</v>
          </cell>
          <cell r="D1541" t="str">
            <v>NIK</v>
          </cell>
        </row>
        <row r="1542">
          <cell r="A1542" t="str">
            <v>FB260001120</v>
          </cell>
          <cell r="D1542" t="str">
            <v>LULU</v>
          </cell>
        </row>
        <row r="1543">
          <cell r="A1543" t="str">
            <v>FB260001123</v>
          </cell>
          <cell r="D1543" t="str">
            <v>LULU</v>
          </cell>
        </row>
        <row r="1544">
          <cell r="A1544" t="str">
            <v>FB260001124</v>
          </cell>
          <cell r="D1544" t="str">
            <v>LULU</v>
          </cell>
        </row>
        <row r="1545">
          <cell r="A1545" t="str">
            <v>FB260001125</v>
          </cell>
          <cell r="D1545" t="str">
            <v>VSS</v>
          </cell>
        </row>
        <row r="1546">
          <cell r="A1546" t="str">
            <v>FB260001127</v>
          </cell>
          <cell r="D1546" t="str">
            <v>VSS</v>
          </cell>
        </row>
        <row r="1547">
          <cell r="A1547" t="str">
            <v>FB260001129</v>
          </cell>
          <cell r="D1547" t="str">
            <v>M&amp;S</v>
          </cell>
        </row>
        <row r="1548">
          <cell r="A1548" t="str">
            <v>FB260001131</v>
          </cell>
          <cell r="D1548" t="str">
            <v>LULU</v>
          </cell>
        </row>
        <row r="1549">
          <cell r="A1549" t="str">
            <v>FB260001132</v>
          </cell>
          <cell r="D1549" t="str">
            <v>NIK</v>
          </cell>
        </row>
        <row r="1550">
          <cell r="A1550" t="str">
            <v>FB260001133</v>
          </cell>
          <cell r="D1550" t="str">
            <v>NIK</v>
          </cell>
        </row>
        <row r="1551">
          <cell r="A1551" t="str">
            <v>FB260001134</v>
          </cell>
          <cell r="D1551" t="str">
            <v>PINK</v>
          </cell>
        </row>
        <row r="1552">
          <cell r="A1552" t="str">
            <v>FB260001135</v>
          </cell>
          <cell r="D1552" t="str">
            <v>VSS</v>
          </cell>
        </row>
        <row r="1553">
          <cell r="A1553" t="str">
            <v>FB260001136</v>
          </cell>
          <cell r="D1553" t="str">
            <v>NIK</v>
          </cell>
        </row>
        <row r="1554">
          <cell r="A1554" t="str">
            <v>FB260001137</v>
          </cell>
          <cell r="D1554" t="str">
            <v>NIK</v>
          </cell>
        </row>
        <row r="1555">
          <cell r="A1555" t="str">
            <v>FB260001138</v>
          </cell>
          <cell r="D1555" t="str">
            <v>NIK</v>
          </cell>
        </row>
        <row r="1556">
          <cell r="A1556" t="str">
            <v>FB260001139</v>
          </cell>
          <cell r="D1556" t="str">
            <v>NIK</v>
          </cell>
        </row>
        <row r="1557">
          <cell r="A1557" t="str">
            <v>FB260001140</v>
          </cell>
          <cell r="D1557" t="str">
            <v>NIK</v>
          </cell>
        </row>
        <row r="1558">
          <cell r="A1558" t="str">
            <v>FB260001141</v>
          </cell>
          <cell r="D1558" t="str">
            <v>NIK</v>
          </cell>
        </row>
        <row r="1559">
          <cell r="A1559" t="str">
            <v>FB260001142</v>
          </cell>
          <cell r="D1559" t="str">
            <v>NIK</v>
          </cell>
        </row>
        <row r="1560">
          <cell r="A1560" t="str">
            <v>FB260001143</v>
          </cell>
          <cell r="D1560" t="str">
            <v>NIK</v>
          </cell>
        </row>
        <row r="1561">
          <cell r="A1561" t="str">
            <v>FB260001144</v>
          </cell>
          <cell r="D1561" t="str">
            <v>LULU</v>
          </cell>
        </row>
        <row r="1562">
          <cell r="A1562" t="str">
            <v>FB260001146</v>
          </cell>
          <cell r="D1562" t="str">
            <v>LULU</v>
          </cell>
        </row>
        <row r="1563">
          <cell r="A1563" t="str">
            <v>FB260001147</v>
          </cell>
          <cell r="D1563" t="str">
            <v>VSS</v>
          </cell>
        </row>
        <row r="1564">
          <cell r="A1564" t="str">
            <v>FB260001148</v>
          </cell>
          <cell r="D1564" t="str">
            <v>VSS</v>
          </cell>
        </row>
        <row r="1565">
          <cell r="A1565" t="str">
            <v>FB260001149</v>
          </cell>
          <cell r="D1565" t="str">
            <v>LULU</v>
          </cell>
        </row>
        <row r="1566">
          <cell r="A1566" t="str">
            <v>FB260001150</v>
          </cell>
          <cell r="D1566" t="str">
            <v>SAA</v>
          </cell>
        </row>
        <row r="1567">
          <cell r="A1567" t="str">
            <v>FB260001151</v>
          </cell>
          <cell r="D1567" t="str">
            <v>HAR</v>
          </cell>
        </row>
        <row r="1568">
          <cell r="A1568" t="str">
            <v>FB260001152</v>
          </cell>
          <cell r="D1568" t="str">
            <v>KOM</v>
          </cell>
        </row>
        <row r="1569">
          <cell r="A1569" t="str">
            <v>FB260001153</v>
          </cell>
          <cell r="D1569" t="str">
            <v>WACE</v>
          </cell>
        </row>
        <row r="1570">
          <cell r="A1570" t="str">
            <v>FB260001155</v>
          </cell>
          <cell r="D1570" t="str">
            <v>LULU</v>
          </cell>
        </row>
        <row r="1571">
          <cell r="A1571" t="str">
            <v>FB260001156</v>
          </cell>
          <cell r="D1571" t="str">
            <v>INT1</v>
          </cell>
        </row>
        <row r="1572">
          <cell r="A1572" t="str">
            <v>FB260001157</v>
          </cell>
          <cell r="D1572" t="str">
            <v>INT1</v>
          </cell>
        </row>
        <row r="1573">
          <cell r="A1573" t="str">
            <v>FB260001158</v>
          </cell>
          <cell r="D1573" t="str">
            <v>INT1</v>
          </cell>
        </row>
        <row r="1574">
          <cell r="A1574" t="str">
            <v>FB260001159</v>
          </cell>
          <cell r="D1574" t="str">
            <v>INT1</v>
          </cell>
        </row>
        <row r="1575">
          <cell r="A1575" t="str">
            <v>FB260001160</v>
          </cell>
          <cell r="D1575" t="str">
            <v>NIK</v>
          </cell>
        </row>
        <row r="1576">
          <cell r="A1576" t="str">
            <v>FB260001161</v>
          </cell>
          <cell r="D1576" t="str">
            <v>NIK</v>
          </cell>
        </row>
        <row r="1577">
          <cell r="A1577" t="str">
            <v>FB260001162</v>
          </cell>
          <cell r="D1577" t="str">
            <v>NIK</v>
          </cell>
        </row>
        <row r="1578">
          <cell r="A1578" t="str">
            <v>FB260001163</v>
          </cell>
          <cell r="D1578" t="str">
            <v>NIK</v>
          </cell>
        </row>
        <row r="1579">
          <cell r="A1579" t="str">
            <v>FB260001164</v>
          </cell>
          <cell r="D1579" t="str">
            <v>NIK</v>
          </cell>
        </row>
        <row r="1580">
          <cell r="A1580" t="str">
            <v>FB260001165</v>
          </cell>
          <cell r="D1580" t="str">
            <v>HAR</v>
          </cell>
        </row>
        <row r="1581">
          <cell r="A1581" t="str">
            <v>FB260001166</v>
          </cell>
          <cell r="D1581" t="str">
            <v>NIK</v>
          </cell>
        </row>
        <row r="1582">
          <cell r="A1582" t="str">
            <v>FB260001167</v>
          </cell>
          <cell r="D1582" t="str">
            <v>NIK</v>
          </cell>
        </row>
        <row r="1583">
          <cell r="A1583" t="str">
            <v>FB260001168</v>
          </cell>
          <cell r="D1583" t="str">
            <v>NIK</v>
          </cell>
        </row>
        <row r="1584">
          <cell r="A1584" t="str">
            <v>FB260001169</v>
          </cell>
          <cell r="D1584" t="str">
            <v>NIK</v>
          </cell>
        </row>
        <row r="1585">
          <cell r="A1585" t="str">
            <v>FB260001170</v>
          </cell>
          <cell r="D1585" t="str">
            <v>LULU</v>
          </cell>
        </row>
        <row r="1586">
          <cell r="A1586" t="str">
            <v>FB260001171</v>
          </cell>
          <cell r="D1586" t="str">
            <v>M&amp;S</v>
          </cell>
        </row>
        <row r="1587">
          <cell r="A1587" t="str">
            <v>FB260001172</v>
          </cell>
          <cell r="D1587" t="str">
            <v>HAR</v>
          </cell>
        </row>
        <row r="1588">
          <cell r="A1588" t="str">
            <v>FB260001173</v>
          </cell>
          <cell r="D1588" t="str">
            <v>LULU</v>
          </cell>
        </row>
        <row r="1589">
          <cell r="A1589" t="str">
            <v>FB260001174</v>
          </cell>
          <cell r="D1589" t="str">
            <v>VSS</v>
          </cell>
        </row>
        <row r="1590">
          <cell r="A1590" t="str">
            <v>FB260001176</v>
          </cell>
          <cell r="D1590" t="str">
            <v>PINK</v>
          </cell>
        </row>
        <row r="1591">
          <cell r="A1591" t="str">
            <v>FB260001177</v>
          </cell>
          <cell r="D1591" t="str">
            <v>M&amp;S</v>
          </cell>
        </row>
        <row r="1592">
          <cell r="A1592" t="str">
            <v>FB260001180</v>
          </cell>
          <cell r="D1592" t="str">
            <v>M&amp;S</v>
          </cell>
        </row>
        <row r="1593">
          <cell r="A1593" t="str">
            <v>FB260001183</v>
          </cell>
          <cell r="D1593" t="str">
            <v>VSS</v>
          </cell>
        </row>
        <row r="1594">
          <cell r="A1594" t="str">
            <v>FB260001184</v>
          </cell>
          <cell r="D1594" t="str">
            <v>TORD</v>
          </cell>
        </row>
        <row r="1595">
          <cell r="A1595" t="str">
            <v>FB260001185</v>
          </cell>
          <cell r="D1595" t="str">
            <v>VSS</v>
          </cell>
        </row>
        <row r="1596">
          <cell r="A1596" t="str">
            <v>FB260001187</v>
          </cell>
          <cell r="D1596" t="str">
            <v>TORD</v>
          </cell>
        </row>
        <row r="1597">
          <cell r="A1597" t="str">
            <v>FB260001188</v>
          </cell>
          <cell r="D1597" t="str">
            <v>VSS</v>
          </cell>
        </row>
        <row r="1598">
          <cell r="A1598" t="str">
            <v>FB260001189</v>
          </cell>
          <cell r="D1598" t="str">
            <v>M&amp;S</v>
          </cell>
        </row>
        <row r="1599">
          <cell r="A1599" t="str">
            <v>FB260001190</v>
          </cell>
          <cell r="D1599" t="str">
            <v>M&amp;S</v>
          </cell>
        </row>
        <row r="1600">
          <cell r="A1600" t="str">
            <v>FB260001191</v>
          </cell>
          <cell r="D1600" t="str">
            <v>M&amp;S</v>
          </cell>
        </row>
        <row r="1601">
          <cell r="A1601" t="str">
            <v>FB260001192</v>
          </cell>
          <cell r="D1601" t="str">
            <v>NIK</v>
          </cell>
        </row>
        <row r="1602">
          <cell r="A1602" t="str">
            <v>FB260001193</v>
          </cell>
          <cell r="D1602" t="str">
            <v>VSS</v>
          </cell>
        </row>
        <row r="1603">
          <cell r="A1603" t="str">
            <v>FB260001194</v>
          </cell>
          <cell r="D1603" t="str">
            <v>VSS</v>
          </cell>
        </row>
        <row r="1604">
          <cell r="A1604" t="str">
            <v>FB260001196</v>
          </cell>
          <cell r="D1604" t="str">
            <v>VSS</v>
          </cell>
        </row>
        <row r="1605">
          <cell r="A1605" t="str">
            <v>FB260001197</v>
          </cell>
          <cell r="D1605" t="str">
            <v>VSS</v>
          </cell>
        </row>
        <row r="1606">
          <cell r="A1606" t="str">
            <v>FB260001198</v>
          </cell>
          <cell r="D1606" t="str">
            <v>VSS</v>
          </cell>
        </row>
        <row r="1607">
          <cell r="A1607" t="str">
            <v>FB260001200</v>
          </cell>
          <cell r="D1607" t="str">
            <v>VSS</v>
          </cell>
        </row>
        <row r="1608">
          <cell r="A1608" t="str">
            <v>FB260001202</v>
          </cell>
          <cell r="D1608" t="str">
            <v>VSS</v>
          </cell>
        </row>
        <row r="1609">
          <cell r="A1609" t="str">
            <v>FB260001212</v>
          </cell>
          <cell r="D1609" t="str">
            <v>VSS</v>
          </cell>
        </row>
        <row r="1610">
          <cell r="A1610" t="str">
            <v>FB260001213</v>
          </cell>
          <cell r="D1610" t="str">
            <v>VSS</v>
          </cell>
        </row>
        <row r="1611">
          <cell r="A1611" t="str">
            <v>FB260001214</v>
          </cell>
          <cell r="D1611" t="str">
            <v>NIK</v>
          </cell>
        </row>
        <row r="1612">
          <cell r="A1612" t="str">
            <v>FB260001216</v>
          </cell>
          <cell r="D1612" t="str">
            <v>M&amp;S</v>
          </cell>
        </row>
        <row r="1613">
          <cell r="A1613" t="str">
            <v>FB260001217</v>
          </cell>
          <cell r="D1613" t="str">
            <v>INT1</v>
          </cell>
        </row>
        <row r="1614">
          <cell r="A1614" t="str">
            <v>FB260001218</v>
          </cell>
          <cell r="D1614" t="str">
            <v>INT1</v>
          </cell>
        </row>
        <row r="1615">
          <cell r="A1615" t="str">
            <v>FB260001219</v>
          </cell>
          <cell r="D1615" t="str">
            <v>CK</v>
          </cell>
        </row>
        <row r="1616">
          <cell r="A1616" t="str">
            <v>FB260001220</v>
          </cell>
          <cell r="D1616" t="str">
            <v>CK</v>
          </cell>
        </row>
        <row r="1617">
          <cell r="A1617" t="str">
            <v>FB260001221</v>
          </cell>
          <cell r="D1617" t="str">
            <v>THEU</v>
          </cell>
        </row>
        <row r="1618">
          <cell r="A1618" t="str">
            <v>FB260001222</v>
          </cell>
          <cell r="D1618" t="str">
            <v>CK</v>
          </cell>
        </row>
        <row r="1619">
          <cell r="A1619" t="str">
            <v>FB260001223</v>
          </cell>
          <cell r="D1619" t="str">
            <v>CK</v>
          </cell>
        </row>
        <row r="1620">
          <cell r="A1620" t="str">
            <v>FB260001224</v>
          </cell>
          <cell r="D1620" t="str">
            <v>CK</v>
          </cell>
        </row>
        <row r="1621">
          <cell r="A1621" t="str">
            <v>FB260001225</v>
          </cell>
          <cell r="D1621" t="str">
            <v>CK</v>
          </cell>
        </row>
        <row r="1622">
          <cell r="A1622" t="str">
            <v>FB260001226</v>
          </cell>
          <cell r="D1622" t="str">
            <v>CK</v>
          </cell>
        </row>
        <row r="1623">
          <cell r="A1623" t="str">
            <v>FB260001227</v>
          </cell>
          <cell r="D1623" t="str">
            <v>CK</v>
          </cell>
        </row>
        <row r="1624">
          <cell r="A1624" t="str">
            <v>FB260001228</v>
          </cell>
          <cell r="D1624" t="str">
            <v>CK</v>
          </cell>
        </row>
        <row r="1625">
          <cell r="A1625" t="str">
            <v>FB260001229</v>
          </cell>
          <cell r="D1625" t="str">
            <v>M&amp;S</v>
          </cell>
        </row>
        <row r="1626">
          <cell r="A1626" t="str">
            <v>FB260001230</v>
          </cell>
          <cell r="D1626" t="str">
            <v>CK</v>
          </cell>
        </row>
        <row r="1627">
          <cell r="A1627" t="str">
            <v>FB260001231</v>
          </cell>
          <cell r="D1627" t="str">
            <v>CK</v>
          </cell>
        </row>
        <row r="1628">
          <cell r="A1628" t="str">
            <v>FB260001232</v>
          </cell>
          <cell r="D1628" t="str">
            <v>CK</v>
          </cell>
        </row>
        <row r="1629">
          <cell r="A1629" t="str">
            <v>FB260001233</v>
          </cell>
          <cell r="D1629" t="str">
            <v>CK</v>
          </cell>
        </row>
        <row r="1630">
          <cell r="A1630" t="str">
            <v>FB260001234</v>
          </cell>
          <cell r="D1630" t="str">
            <v>CK</v>
          </cell>
        </row>
        <row r="1631">
          <cell r="A1631" t="str">
            <v>FB260001235</v>
          </cell>
          <cell r="D1631" t="str">
            <v>CK</v>
          </cell>
        </row>
        <row r="1632">
          <cell r="A1632" t="str">
            <v>FB260001236</v>
          </cell>
          <cell r="D1632" t="str">
            <v>CK</v>
          </cell>
        </row>
        <row r="1633">
          <cell r="A1633" t="str">
            <v>FB260001237</v>
          </cell>
          <cell r="D1633" t="str">
            <v>CK</v>
          </cell>
        </row>
        <row r="1634">
          <cell r="A1634" t="str">
            <v>FB260001238</v>
          </cell>
          <cell r="D1634" t="str">
            <v>CK</v>
          </cell>
        </row>
        <row r="1635">
          <cell r="A1635" t="str">
            <v>FB260001239</v>
          </cell>
          <cell r="D1635" t="str">
            <v>CK</v>
          </cell>
        </row>
        <row r="1636">
          <cell r="A1636" t="str">
            <v>FB260001240</v>
          </cell>
          <cell r="D1636" t="str">
            <v>CK</v>
          </cell>
        </row>
        <row r="1637">
          <cell r="A1637" t="str">
            <v>FB260001241</v>
          </cell>
          <cell r="D1637" t="str">
            <v>CK</v>
          </cell>
        </row>
        <row r="1638">
          <cell r="A1638" t="str">
            <v>FB260001242</v>
          </cell>
          <cell r="D1638" t="str">
            <v>CK</v>
          </cell>
        </row>
        <row r="1639">
          <cell r="A1639" t="str">
            <v>FB260001243</v>
          </cell>
          <cell r="D1639" t="str">
            <v>LULU</v>
          </cell>
        </row>
        <row r="1640">
          <cell r="A1640" t="str">
            <v>FB260001244</v>
          </cell>
          <cell r="D1640" t="str">
            <v>LULU</v>
          </cell>
        </row>
        <row r="1641">
          <cell r="A1641" t="str">
            <v>FB260001245</v>
          </cell>
          <cell r="D1641" t="str">
            <v>LULU</v>
          </cell>
        </row>
        <row r="1642">
          <cell r="A1642" t="str">
            <v>FB260001246</v>
          </cell>
          <cell r="D1642" t="str">
            <v>LULU</v>
          </cell>
        </row>
        <row r="1643">
          <cell r="A1643" t="str">
            <v>FB260001248</v>
          </cell>
          <cell r="D1643" t="str">
            <v>NIK</v>
          </cell>
        </row>
        <row r="1644">
          <cell r="A1644" t="str">
            <v>FB260001253</v>
          </cell>
          <cell r="D1644" t="str">
            <v>NIK</v>
          </cell>
        </row>
        <row r="1645">
          <cell r="A1645" t="str">
            <v>FB260001254</v>
          </cell>
          <cell r="D1645" t="str">
            <v>LULU</v>
          </cell>
        </row>
        <row r="1646">
          <cell r="A1646" t="str">
            <v>FB260001255</v>
          </cell>
          <cell r="D1646" t="str">
            <v>NIK</v>
          </cell>
        </row>
        <row r="1647">
          <cell r="A1647" t="str">
            <v>FB260001256</v>
          </cell>
          <cell r="D1647" t="str">
            <v>TJEL</v>
          </cell>
        </row>
        <row r="1648">
          <cell r="A1648" t="str">
            <v>FB260001257</v>
          </cell>
          <cell r="D1648" t="str">
            <v>TJEL</v>
          </cell>
        </row>
        <row r="1649">
          <cell r="A1649" t="str">
            <v>FB260001258</v>
          </cell>
          <cell r="D1649" t="str">
            <v>TJEL</v>
          </cell>
        </row>
        <row r="1650">
          <cell r="A1650" t="str">
            <v>FB260001259</v>
          </cell>
          <cell r="D1650" t="str">
            <v>TJEL</v>
          </cell>
        </row>
        <row r="1651">
          <cell r="A1651" t="str">
            <v>FB260001260</v>
          </cell>
          <cell r="D1651" t="str">
            <v>TJEL</v>
          </cell>
        </row>
        <row r="1652">
          <cell r="A1652" t="str">
            <v>FB260001261</v>
          </cell>
          <cell r="D1652" t="str">
            <v>TJEL</v>
          </cell>
        </row>
        <row r="1653">
          <cell r="A1653" t="str">
            <v>FB260001262</v>
          </cell>
          <cell r="D1653" t="str">
            <v>TJEL</v>
          </cell>
        </row>
        <row r="1654">
          <cell r="A1654" t="str">
            <v>FB260001263</v>
          </cell>
          <cell r="D1654" t="str">
            <v>TJEL</v>
          </cell>
        </row>
        <row r="1655">
          <cell r="A1655" t="str">
            <v>FB260001264</v>
          </cell>
          <cell r="D1655" t="str">
            <v>CK</v>
          </cell>
        </row>
        <row r="1656">
          <cell r="A1656" t="str">
            <v>FB260001265</v>
          </cell>
          <cell r="D1656" t="str">
            <v>CK</v>
          </cell>
        </row>
        <row r="1657">
          <cell r="A1657" t="str">
            <v>FB260001266</v>
          </cell>
          <cell r="D1657" t="str">
            <v>CK</v>
          </cell>
        </row>
        <row r="1658">
          <cell r="A1658" t="str">
            <v>FB260001267</v>
          </cell>
          <cell r="D1658" t="str">
            <v>TJEL</v>
          </cell>
        </row>
        <row r="1659">
          <cell r="A1659" t="str">
            <v>FB260001268</v>
          </cell>
          <cell r="D1659" t="str">
            <v>VSS</v>
          </cell>
        </row>
        <row r="1660">
          <cell r="A1660" t="str">
            <v>FB260001269</v>
          </cell>
          <cell r="D1660" t="str">
            <v>VSS</v>
          </cell>
        </row>
        <row r="1661">
          <cell r="A1661" t="str">
            <v>FB260001270</v>
          </cell>
          <cell r="D1661" t="str">
            <v>VSS</v>
          </cell>
        </row>
        <row r="1662">
          <cell r="A1662" t="str">
            <v>FB260001271</v>
          </cell>
          <cell r="D1662" t="str">
            <v>VSS</v>
          </cell>
        </row>
        <row r="1663">
          <cell r="A1663" t="str">
            <v>FB260001272</v>
          </cell>
          <cell r="D1663" t="str">
            <v>VSS</v>
          </cell>
        </row>
        <row r="1664">
          <cell r="A1664" t="str">
            <v>FB260001273</v>
          </cell>
          <cell r="D1664" t="str">
            <v>VSS</v>
          </cell>
        </row>
        <row r="1665">
          <cell r="A1665" t="str">
            <v>FB260001274</v>
          </cell>
          <cell r="D1665" t="str">
            <v>VSS</v>
          </cell>
        </row>
        <row r="1666">
          <cell r="A1666" t="str">
            <v>FB260001275</v>
          </cell>
          <cell r="D1666" t="str">
            <v>NIK</v>
          </cell>
        </row>
        <row r="1667">
          <cell r="A1667" t="str">
            <v>FB260001276</v>
          </cell>
          <cell r="D1667" t="str">
            <v>SPEE</v>
          </cell>
        </row>
        <row r="1668">
          <cell r="A1668" t="str">
            <v>FB260001277</v>
          </cell>
          <cell r="D1668" t="str">
            <v>SPEE</v>
          </cell>
        </row>
        <row r="1669">
          <cell r="A1669" t="str">
            <v>FB260001278</v>
          </cell>
          <cell r="D1669" t="str">
            <v>SPEE</v>
          </cell>
        </row>
        <row r="1670">
          <cell r="A1670" t="str">
            <v>FB260001279</v>
          </cell>
          <cell r="D1670" t="str">
            <v>SPEE</v>
          </cell>
        </row>
        <row r="1671">
          <cell r="A1671" t="str">
            <v>FB260001280</v>
          </cell>
          <cell r="D1671" t="str">
            <v>SPEE</v>
          </cell>
        </row>
        <row r="1672">
          <cell r="A1672" t="str">
            <v>FB260001281</v>
          </cell>
          <cell r="D1672" t="str">
            <v>SPEE</v>
          </cell>
        </row>
        <row r="1673">
          <cell r="A1673" t="str">
            <v>FB260001282</v>
          </cell>
          <cell r="D1673" t="str">
            <v>SPEE</v>
          </cell>
        </row>
        <row r="1674">
          <cell r="A1674" t="str">
            <v>FB260001283</v>
          </cell>
          <cell r="D1674" t="str">
            <v>SPEE</v>
          </cell>
        </row>
        <row r="1675">
          <cell r="A1675" t="str">
            <v>FB260001287</v>
          </cell>
          <cell r="D1675" t="str">
            <v>VSS</v>
          </cell>
        </row>
        <row r="1676">
          <cell r="A1676" t="str">
            <v>FB260001288</v>
          </cell>
          <cell r="D1676" t="str">
            <v>VSS</v>
          </cell>
        </row>
        <row r="1677">
          <cell r="A1677" t="str">
            <v>FB260001289</v>
          </cell>
          <cell r="D1677" t="str">
            <v>NIK</v>
          </cell>
        </row>
        <row r="1678">
          <cell r="A1678" t="str">
            <v>FB260001290</v>
          </cell>
          <cell r="D1678" t="str">
            <v>CK</v>
          </cell>
        </row>
        <row r="1679">
          <cell r="A1679" t="str">
            <v>FB260001293</v>
          </cell>
          <cell r="D1679" t="str">
            <v>VSS</v>
          </cell>
        </row>
        <row r="1680">
          <cell r="A1680" t="str">
            <v>FB260001294</v>
          </cell>
          <cell r="D1680" t="str">
            <v>NIK</v>
          </cell>
        </row>
        <row r="1681">
          <cell r="A1681" t="str">
            <v>FB260001295</v>
          </cell>
          <cell r="D1681" t="str">
            <v>NIK</v>
          </cell>
        </row>
        <row r="1682">
          <cell r="A1682" t="str">
            <v>FB260001296</v>
          </cell>
          <cell r="D1682" t="str">
            <v>NIK</v>
          </cell>
        </row>
        <row r="1683">
          <cell r="A1683" t="str">
            <v>FB260001297</v>
          </cell>
          <cell r="D1683" t="str">
            <v>VSS</v>
          </cell>
        </row>
        <row r="1684">
          <cell r="A1684" t="str">
            <v>FB260001298</v>
          </cell>
          <cell r="D1684" t="str">
            <v>VSS</v>
          </cell>
        </row>
        <row r="1685">
          <cell r="A1685" t="str">
            <v>FB260001299</v>
          </cell>
          <cell r="D1685" t="str">
            <v>VSS</v>
          </cell>
        </row>
        <row r="1686">
          <cell r="A1686" t="str">
            <v>FB260001300</v>
          </cell>
          <cell r="D1686" t="str">
            <v>VSS</v>
          </cell>
        </row>
        <row r="1687">
          <cell r="A1687" t="str">
            <v>FB260001301</v>
          </cell>
          <cell r="D1687" t="str">
            <v>VSS</v>
          </cell>
        </row>
        <row r="1688">
          <cell r="A1688" t="str">
            <v>FB260001302</v>
          </cell>
          <cell r="D1688" t="str">
            <v>VSS</v>
          </cell>
        </row>
        <row r="1689">
          <cell r="A1689" t="str">
            <v>FB260001308</v>
          </cell>
          <cell r="D1689" t="str">
            <v>VSS</v>
          </cell>
        </row>
        <row r="1690">
          <cell r="A1690" t="str">
            <v>FB260001309</v>
          </cell>
          <cell r="D1690" t="str">
            <v>VSS</v>
          </cell>
        </row>
        <row r="1691">
          <cell r="A1691" t="str">
            <v>FB260001315</v>
          </cell>
          <cell r="D1691" t="str">
            <v>VSS</v>
          </cell>
        </row>
        <row r="1692">
          <cell r="A1692" t="str">
            <v>FB260001317</v>
          </cell>
          <cell r="D1692" t="str">
            <v>VSS</v>
          </cell>
        </row>
        <row r="1693">
          <cell r="A1693" t="str">
            <v>FB260001318</v>
          </cell>
          <cell r="D1693" t="str">
            <v>VSS</v>
          </cell>
        </row>
        <row r="1694">
          <cell r="A1694" t="str">
            <v>FB260001319</v>
          </cell>
          <cell r="D1694" t="str">
            <v>VSS</v>
          </cell>
        </row>
        <row r="1695">
          <cell r="A1695" t="str">
            <v>FB260001321</v>
          </cell>
          <cell r="D1695" t="str">
            <v>NIK</v>
          </cell>
        </row>
        <row r="1696">
          <cell r="A1696" t="str">
            <v>FB260001322</v>
          </cell>
          <cell r="D1696" t="str">
            <v>LBI</v>
          </cell>
        </row>
        <row r="1697">
          <cell r="A1697" t="str">
            <v>FB260001323</v>
          </cell>
          <cell r="D1697" t="str">
            <v>NIK</v>
          </cell>
        </row>
        <row r="1698">
          <cell r="A1698" t="str">
            <v>FB260001324</v>
          </cell>
          <cell r="D1698" t="str">
            <v>LBI</v>
          </cell>
        </row>
        <row r="1699">
          <cell r="A1699" t="str">
            <v>FB260001325</v>
          </cell>
          <cell r="D1699" t="str">
            <v>NIK</v>
          </cell>
        </row>
        <row r="1700">
          <cell r="A1700" t="str">
            <v>FB260001326</v>
          </cell>
          <cell r="D1700" t="str">
            <v>NIK</v>
          </cell>
        </row>
        <row r="1701">
          <cell r="A1701" t="str">
            <v>FB260001327</v>
          </cell>
          <cell r="D1701" t="str">
            <v>LIN</v>
          </cell>
        </row>
        <row r="1702">
          <cell r="A1702" t="str">
            <v>FB260001328</v>
          </cell>
          <cell r="D1702" t="str">
            <v>NIK</v>
          </cell>
        </row>
        <row r="1703">
          <cell r="A1703" t="str">
            <v>FB260001330</v>
          </cell>
          <cell r="D1703" t="str">
            <v>NIK</v>
          </cell>
        </row>
        <row r="1704">
          <cell r="A1704" t="str">
            <v>FB260001331</v>
          </cell>
          <cell r="D1704" t="str">
            <v>NIK</v>
          </cell>
        </row>
        <row r="1705">
          <cell r="A1705" t="str">
            <v>FB260001332</v>
          </cell>
          <cell r="D1705" t="str">
            <v>NIK</v>
          </cell>
        </row>
        <row r="1706">
          <cell r="A1706" t="str">
            <v>FB260001333</v>
          </cell>
          <cell r="D1706" t="str">
            <v>NIK</v>
          </cell>
        </row>
        <row r="1707">
          <cell r="A1707" t="str">
            <v>FB260001334</v>
          </cell>
          <cell r="D1707" t="str">
            <v>NIK</v>
          </cell>
        </row>
        <row r="1708">
          <cell r="A1708" t="str">
            <v>FB260001335</v>
          </cell>
          <cell r="D1708" t="str">
            <v>NIK</v>
          </cell>
        </row>
        <row r="1709">
          <cell r="A1709" t="str">
            <v>FB260001336</v>
          </cell>
          <cell r="D1709" t="str">
            <v>NIK</v>
          </cell>
        </row>
        <row r="1710">
          <cell r="A1710" t="str">
            <v>FB260001337</v>
          </cell>
          <cell r="D1710" t="str">
            <v>NIK</v>
          </cell>
        </row>
        <row r="1711">
          <cell r="A1711" t="str">
            <v>FB260001338</v>
          </cell>
          <cell r="D1711" t="str">
            <v>NIK</v>
          </cell>
        </row>
        <row r="1712">
          <cell r="A1712" t="str">
            <v>FB260001339</v>
          </cell>
          <cell r="D1712" t="str">
            <v>NIK</v>
          </cell>
        </row>
        <row r="1713">
          <cell r="A1713" t="str">
            <v>FB260001340</v>
          </cell>
          <cell r="D1713" t="str">
            <v>NIK</v>
          </cell>
        </row>
        <row r="1714">
          <cell r="A1714" t="str">
            <v>FB260001342</v>
          </cell>
          <cell r="D1714" t="str">
            <v>M&amp;S</v>
          </cell>
        </row>
        <row r="1715">
          <cell r="A1715" t="str">
            <v>FB260001343</v>
          </cell>
          <cell r="D1715" t="str">
            <v>LULU</v>
          </cell>
        </row>
        <row r="1716">
          <cell r="A1716" t="str">
            <v>FB260001344</v>
          </cell>
          <cell r="D1716" t="str">
            <v>M&amp;S</v>
          </cell>
        </row>
        <row r="1717">
          <cell r="A1717" t="str">
            <v>FB260001346</v>
          </cell>
          <cell r="D1717" t="str">
            <v>INT1</v>
          </cell>
        </row>
        <row r="1718">
          <cell r="A1718" t="str">
            <v>FB260001347</v>
          </cell>
          <cell r="D1718" t="str">
            <v>WACE</v>
          </cell>
        </row>
        <row r="1719">
          <cell r="A1719" t="str">
            <v>FB260001348</v>
          </cell>
          <cell r="D1719" t="str">
            <v>LBI</v>
          </cell>
        </row>
        <row r="1720">
          <cell r="A1720" t="str">
            <v>FB260001349</v>
          </cell>
          <cell r="D1720" t="str">
            <v>VSS</v>
          </cell>
        </row>
        <row r="1721">
          <cell r="A1721" t="str">
            <v>FB260001350</v>
          </cell>
          <cell r="D1721" t="str">
            <v>VSS</v>
          </cell>
        </row>
        <row r="1722">
          <cell r="A1722" t="str">
            <v>FB260001351</v>
          </cell>
          <cell r="D1722" t="str">
            <v>WACE</v>
          </cell>
        </row>
        <row r="1723">
          <cell r="A1723" t="str">
            <v>FB260001352</v>
          </cell>
          <cell r="D1723" t="str">
            <v>NIK</v>
          </cell>
        </row>
        <row r="1724">
          <cell r="A1724" t="str">
            <v>FB260001353</v>
          </cell>
          <cell r="D1724" t="str">
            <v>M&amp;S</v>
          </cell>
        </row>
        <row r="1725">
          <cell r="A1725" t="str">
            <v>FB260001354</v>
          </cell>
          <cell r="D1725" t="str">
            <v>M&amp;S</v>
          </cell>
        </row>
        <row r="1726">
          <cell r="A1726" t="str">
            <v>FB260001355</v>
          </cell>
          <cell r="D1726" t="str">
            <v>INT1</v>
          </cell>
        </row>
        <row r="1727">
          <cell r="A1727" t="str">
            <v>FB260001356</v>
          </cell>
          <cell r="D1727" t="str">
            <v>LULU</v>
          </cell>
        </row>
        <row r="1728">
          <cell r="A1728" t="str">
            <v>FB260001357</v>
          </cell>
          <cell r="D1728" t="str">
            <v>LULU</v>
          </cell>
        </row>
        <row r="1729">
          <cell r="A1729" t="str">
            <v>FB260001358</v>
          </cell>
          <cell r="D1729" t="str">
            <v>NIK</v>
          </cell>
        </row>
        <row r="1730">
          <cell r="A1730" t="str">
            <v>FB260001359</v>
          </cell>
          <cell r="D1730" t="str">
            <v>LULU</v>
          </cell>
        </row>
        <row r="1731">
          <cell r="A1731" t="str">
            <v>FB260001360</v>
          </cell>
          <cell r="D1731" t="str">
            <v>M&amp;S</v>
          </cell>
        </row>
        <row r="1732">
          <cell r="A1732" t="str">
            <v>FB260001362</v>
          </cell>
          <cell r="D1732" t="str">
            <v>NIK</v>
          </cell>
        </row>
        <row r="1733">
          <cell r="A1733" t="str">
            <v>FB260001363</v>
          </cell>
          <cell r="D1733" t="str">
            <v>NIK</v>
          </cell>
        </row>
        <row r="1734">
          <cell r="A1734" t="str">
            <v>FB260001364</v>
          </cell>
          <cell r="D1734" t="str">
            <v>NIK</v>
          </cell>
        </row>
        <row r="1735">
          <cell r="A1735" t="str">
            <v>FB260001365</v>
          </cell>
          <cell r="D1735" t="str">
            <v>M&amp;S</v>
          </cell>
        </row>
        <row r="1736">
          <cell r="A1736" t="str">
            <v>FB260001367</v>
          </cell>
          <cell r="D1736" t="str">
            <v>VSS</v>
          </cell>
        </row>
        <row r="1737">
          <cell r="A1737" t="str">
            <v>FB260001368</v>
          </cell>
          <cell r="D1737" t="str">
            <v>CHICOS</v>
          </cell>
        </row>
        <row r="1738">
          <cell r="A1738" t="str">
            <v>FB260001369</v>
          </cell>
          <cell r="D1738" t="str">
            <v>NIK</v>
          </cell>
        </row>
        <row r="1739">
          <cell r="A1739" t="str">
            <v>FB260001370</v>
          </cell>
          <cell r="D1739" t="str">
            <v>NIK</v>
          </cell>
        </row>
        <row r="1740">
          <cell r="A1740" t="str">
            <v>FB260001371</v>
          </cell>
          <cell r="D1740" t="str">
            <v>PINK</v>
          </cell>
        </row>
        <row r="1741">
          <cell r="A1741" t="str">
            <v>FB260001376</v>
          </cell>
          <cell r="D1741" t="str">
            <v>M&amp;S</v>
          </cell>
        </row>
        <row r="1742">
          <cell r="A1742" t="str">
            <v>FB260001377</v>
          </cell>
          <cell r="D1742" t="str">
            <v>M&amp;S</v>
          </cell>
        </row>
        <row r="1743">
          <cell r="A1743" t="str">
            <v>FB260001380</v>
          </cell>
          <cell r="D1743" t="str">
            <v>NIK</v>
          </cell>
        </row>
        <row r="1744">
          <cell r="A1744" t="str">
            <v>FB260001381</v>
          </cell>
          <cell r="D1744" t="str">
            <v>NIK</v>
          </cell>
        </row>
        <row r="1745">
          <cell r="A1745" t="str">
            <v>FB260001382</v>
          </cell>
          <cell r="D1745" t="str">
            <v>NIK</v>
          </cell>
        </row>
        <row r="1746">
          <cell r="A1746" t="str">
            <v>FB260001383</v>
          </cell>
          <cell r="D1746" t="str">
            <v>NIK</v>
          </cell>
        </row>
        <row r="1747">
          <cell r="A1747" t="str">
            <v>FB260001384</v>
          </cell>
          <cell r="D1747" t="str">
            <v>NIK</v>
          </cell>
        </row>
        <row r="1748">
          <cell r="A1748" t="str">
            <v>FB260001385</v>
          </cell>
          <cell r="D1748" t="str">
            <v>VSS</v>
          </cell>
        </row>
        <row r="1749">
          <cell r="A1749" t="str">
            <v>FB260001386</v>
          </cell>
          <cell r="D1749" t="str">
            <v>NIK</v>
          </cell>
        </row>
        <row r="1750">
          <cell r="A1750" t="str">
            <v>FB260001387</v>
          </cell>
          <cell r="D1750" t="str">
            <v>NIK</v>
          </cell>
        </row>
        <row r="1751">
          <cell r="A1751" t="str">
            <v>FB260001390</v>
          </cell>
          <cell r="D1751" t="str">
            <v>M&amp;S</v>
          </cell>
        </row>
        <row r="1752">
          <cell r="A1752" t="str">
            <v>FB260001391</v>
          </cell>
          <cell r="D1752" t="str">
            <v>M&amp;S</v>
          </cell>
        </row>
        <row r="1753">
          <cell r="A1753" t="str">
            <v>FB260001392</v>
          </cell>
          <cell r="D1753" t="str">
            <v>NIK</v>
          </cell>
        </row>
        <row r="1754">
          <cell r="A1754" t="str">
            <v>FB260001394</v>
          </cell>
          <cell r="D1754" t="str">
            <v>LULU</v>
          </cell>
        </row>
        <row r="1755">
          <cell r="A1755" t="str">
            <v>FB260001396</v>
          </cell>
          <cell r="D1755" t="str">
            <v>INT1</v>
          </cell>
        </row>
        <row r="1756">
          <cell r="A1756" t="str">
            <v>FB260001397</v>
          </cell>
          <cell r="D1756" t="str">
            <v>INT1</v>
          </cell>
        </row>
        <row r="1757">
          <cell r="A1757" t="str">
            <v>FB260001399</v>
          </cell>
          <cell r="D1757" t="str">
            <v>HAR</v>
          </cell>
        </row>
        <row r="1758">
          <cell r="A1758" t="str">
            <v>FB260001400</v>
          </cell>
          <cell r="D1758" t="str">
            <v>HAR</v>
          </cell>
        </row>
        <row r="1759">
          <cell r="A1759" t="str">
            <v>FB260001402</v>
          </cell>
          <cell r="D1759" t="str">
            <v>VSS</v>
          </cell>
        </row>
        <row r="1760">
          <cell r="A1760" t="str">
            <v>FB260001403</v>
          </cell>
          <cell r="D1760" t="str">
            <v>VSS</v>
          </cell>
        </row>
        <row r="1761">
          <cell r="A1761" t="str">
            <v>FB260001404</v>
          </cell>
          <cell r="D1761" t="str">
            <v>VSS</v>
          </cell>
        </row>
        <row r="1762">
          <cell r="A1762" t="str">
            <v>FB260001405</v>
          </cell>
          <cell r="D1762" t="str">
            <v>VSS</v>
          </cell>
        </row>
        <row r="1763">
          <cell r="A1763" t="str">
            <v>FB260001407</v>
          </cell>
          <cell r="D1763" t="str">
            <v>M&amp;S</v>
          </cell>
        </row>
        <row r="1764">
          <cell r="A1764" t="str">
            <v>FB260001408</v>
          </cell>
          <cell r="D1764" t="str">
            <v>M&amp;S</v>
          </cell>
        </row>
        <row r="1765">
          <cell r="A1765" t="str">
            <v>FB260001410</v>
          </cell>
          <cell r="D1765" t="str">
            <v>PINK</v>
          </cell>
        </row>
        <row r="1766">
          <cell r="A1766" t="str">
            <v>FB260001412</v>
          </cell>
          <cell r="D1766" t="str">
            <v>NIK</v>
          </cell>
        </row>
        <row r="1767">
          <cell r="A1767" t="str">
            <v>FB260001413</v>
          </cell>
          <cell r="D1767" t="str">
            <v>HAR</v>
          </cell>
        </row>
        <row r="1768">
          <cell r="A1768" t="str">
            <v>FB260001414</v>
          </cell>
          <cell r="D1768" t="str">
            <v>HAR</v>
          </cell>
        </row>
        <row r="1769">
          <cell r="A1769" t="str">
            <v>FB260001416</v>
          </cell>
          <cell r="D1769" t="str">
            <v>NEWB</v>
          </cell>
        </row>
        <row r="1770">
          <cell r="A1770" t="str">
            <v>FB260001417</v>
          </cell>
          <cell r="D1770" t="str">
            <v>THX</v>
          </cell>
        </row>
        <row r="1771">
          <cell r="A1771" t="str">
            <v>FB260001418</v>
          </cell>
          <cell r="D1771" t="str">
            <v>NIK</v>
          </cell>
        </row>
        <row r="1772">
          <cell r="A1772" t="str">
            <v>FB260001421</v>
          </cell>
          <cell r="D1772" t="str">
            <v>VSS</v>
          </cell>
        </row>
        <row r="1773">
          <cell r="A1773" t="str">
            <v>FB260001422</v>
          </cell>
          <cell r="D1773" t="str">
            <v>NIK</v>
          </cell>
        </row>
        <row r="1774">
          <cell r="A1774" t="str">
            <v>FB260001423</v>
          </cell>
          <cell r="D1774" t="str">
            <v>NIK</v>
          </cell>
        </row>
        <row r="1775">
          <cell r="A1775" t="str">
            <v>FB260001425</v>
          </cell>
          <cell r="D1775" t="str">
            <v>VSS</v>
          </cell>
        </row>
        <row r="1776">
          <cell r="A1776" t="str">
            <v>FB260001426</v>
          </cell>
          <cell r="D1776" t="str">
            <v>VSS</v>
          </cell>
        </row>
        <row r="1777">
          <cell r="A1777" t="str">
            <v>FB260001427</v>
          </cell>
          <cell r="D1777" t="str">
            <v>M&amp;S</v>
          </cell>
        </row>
        <row r="1778">
          <cell r="A1778" t="str">
            <v>FB260001428</v>
          </cell>
          <cell r="D1778" t="str">
            <v>CK</v>
          </cell>
        </row>
        <row r="1779">
          <cell r="A1779" t="str">
            <v>FB260001429</v>
          </cell>
          <cell r="D1779" t="str">
            <v>INT1</v>
          </cell>
        </row>
        <row r="1780">
          <cell r="A1780" t="str">
            <v>FB260001430</v>
          </cell>
          <cell r="D1780" t="str">
            <v>INT1</v>
          </cell>
        </row>
        <row r="1781">
          <cell r="A1781" t="str">
            <v>FB260001431</v>
          </cell>
          <cell r="D1781" t="str">
            <v>LULU</v>
          </cell>
        </row>
        <row r="1782">
          <cell r="A1782" t="str">
            <v>FB260001432</v>
          </cell>
          <cell r="D1782" t="str">
            <v>LULU</v>
          </cell>
        </row>
        <row r="1783">
          <cell r="A1783" t="str">
            <v>FB260001434</v>
          </cell>
          <cell r="D1783" t="str">
            <v>CK</v>
          </cell>
        </row>
        <row r="1784">
          <cell r="A1784" t="str">
            <v>FB260001438</v>
          </cell>
          <cell r="D1784" t="str">
            <v>NIK</v>
          </cell>
        </row>
        <row r="1785">
          <cell r="A1785" t="str">
            <v>FB260001441</v>
          </cell>
          <cell r="D1785" t="str">
            <v>NIK</v>
          </cell>
        </row>
        <row r="1786">
          <cell r="A1786" t="str">
            <v>FB260001442</v>
          </cell>
          <cell r="D1786" t="str">
            <v>NIK</v>
          </cell>
        </row>
        <row r="1787">
          <cell r="A1787" t="str">
            <v>FB260001443</v>
          </cell>
          <cell r="D1787" t="str">
            <v>NIK</v>
          </cell>
        </row>
        <row r="1788">
          <cell r="A1788" t="str">
            <v>FB260001444</v>
          </cell>
          <cell r="D1788" t="str">
            <v>VSS</v>
          </cell>
        </row>
        <row r="1789">
          <cell r="A1789" t="str">
            <v>FB260001447</v>
          </cell>
          <cell r="D1789" t="str">
            <v>VSS</v>
          </cell>
        </row>
        <row r="1790">
          <cell r="A1790" t="str">
            <v>FB260001448</v>
          </cell>
          <cell r="D1790" t="str">
            <v>LBI</v>
          </cell>
        </row>
        <row r="1791">
          <cell r="A1791" t="str">
            <v>FB260001449</v>
          </cell>
          <cell r="D1791" t="str">
            <v>WACE</v>
          </cell>
        </row>
        <row r="1792">
          <cell r="A1792" t="str">
            <v>FB260001452</v>
          </cell>
          <cell r="D1792" t="str">
            <v>LULU</v>
          </cell>
        </row>
        <row r="1793">
          <cell r="A1793" t="str">
            <v>FB260001453</v>
          </cell>
          <cell r="D1793" t="str">
            <v>TJEL</v>
          </cell>
        </row>
        <row r="1794">
          <cell r="A1794" t="str">
            <v>FB260001454</v>
          </cell>
          <cell r="D1794" t="str">
            <v>CK</v>
          </cell>
        </row>
        <row r="1795">
          <cell r="A1795" t="str">
            <v>FB260001455</v>
          </cell>
          <cell r="D1795" t="str">
            <v>INT1</v>
          </cell>
        </row>
        <row r="1796">
          <cell r="A1796" t="str">
            <v>FB260001457</v>
          </cell>
          <cell r="D1796" t="str">
            <v>HAR</v>
          </cell>
        </row>
        <row r="1797">
          <cell r="A1797" t="str">
            <v>FB260001463</v>
          </cell>
          <cell r="D1797" t="str">
            <v>INT1</v>
          </cell>
        </row>
        <row r="1798">
          <cell r="A1798" t="str">
            <v>FB260001464</v>
          </cell>
          <cell r="D1798" t="str">
            <v>INT1</v>
          </cell>
        </row>
        <row r="1799">
          <cell r="A1799" t="str">
            <v>FB260001465</v>
          </cell>
          <cell r="D1799" t="str">
            <v>INT1</v>
          </cell>
        </row>
        <row r="1800">
          <cell r="A1800" t="str">
            <v>FB260001466</v>
          </cell>
          <cell r="D1800" t="str">
            <v>M&amp;S</v>
          </cell>
        </row>
        <row r="1801">
          <cell r="A1801" t="str">
            <v>FB260001467</v>
          </cell>
          <cell r="D1801" t="str">
            <v>M&amp;S</v>
          </cell>
        </row>
        <row r="1802">
          <cell r="A1802" t="str">
            <v>FB260001468</v>
          </cell>
          <cell r="D1802" t="str">
            <v>NIK</v>
          </cell>
        </row>
        <row r="1803">
          <cell r="A1803" t="str">
            <v>FB260001469</v>
          </cell>
          <cell r="D1803" t="str">
            <v>NIK</v>
          </cell>
        </row>
        <row r="1804">
          <cell r="A1804" t="str">
            <v>FB260001470</v>
          </cell>
          <cell r="D1804" t="str">
            <v>HAR</v>
          </cell>
        </row>
        <row r="1805">
          <cell r="A1805" t="str">
            <v>FB260001471</v>
          </cell>
          <cell r="D1805" t="str">
            <v>VSS</v>
          </cell>
        </row>
        <row r="1806">
          <cell r="A1806" t="str">
            <v>FB260001472</v>
          </cell>
          <cell r="D1806" t="str">
            <v>HAR</v>
          </cell>
        </row>
        <row r="1807">
          <cell r="A1807" t="str">
            <v>FB260001473</v>
          </cell>
          <cell r="D1807" t="str">
            <v>VSS</v>
          </cell>
        </row>
        <row r="1808">
          <cell r="A1808" t="str">
            <v>FB260001478</v>
          </cell>
          <cell r="D1808" t="str">
            <v>INT1</v>
          </cell>
        </row>
        <row r="1809">
          <cell r="A1809" t="str">
            <v>FB260001479</v>
          </cell>
          <cell r="D1809" t="str">
            <v>INT1</v>
          </cell>
        </row>
        <row r="1810">
          <cell r="A1810" t="str">
            <v>FB260001480</v>
          </cell>
          <cell r="D1810" t="str">
            <v>INT1</v>
          </cell>
        </row>
        <row r="1811">
          <cell r="A1811" t="str">
            <v>FB260001481</v>
          </cell>
          <cell r="D1811" t="str">
            <v>INT1</v>
          </cell>
        </row>
        <row r="1812">
          <cell r="A1812" t="str">
            <v>FB260001483</v>
          </cell>
          <cell r="D1812" t="str">
            <v>LULU</v>
          </cell>
        </row>
        <row r="1813">
          <cell r="A1813" t="str">
            <v>FB260001485</v>
          </cell>
          <cell r="D1813" t="str">
            <v>PINK</v>
          </cell>
        </row>
        <row r="1814">
          <cell r="A1814" t="str">
            <v>FB260001487</v>
          </cell>
          <cell r="D1814" t="str">
            <v>VSS</v>
          </cell>
        </row>
        <row r="1815">
          <cell r="A1815" t="str">
            <v>FB260001489</v>
          </cell>
          <cell r="D1815" t="str">
            <v>VSS</v>
          </cell>
        </row>
        <row r="1816">
          <cell r="A1816" t="str">
            <v>FB260001498</v>
          </cell>
          <cell r="D1816" t="str">
            <v>VSS</v>
          </cell>
        </row>
        <row r="1817">
          <cell r="A1817" t="str">
            <v>FB260001499</v>
          </cell>
          <cell r="D1817" t="str">
            <v>VSS</v>
          </cell>
        </row>
        <row r="1818">
          <cell r="A1818" t="str">
            <v>FB260001500</v>
          </cell>
          <cell r="D1818" t="str">
            <v>VSS</v>
          </cell>
        </row>
        <row r="1819">
          <cell r="A1819" t="str">
            <v>FB260001501</v>
          </cell>
          <cell r="D1819" t="str">
            <v>INT1</v>
          </cell>
        </row>
        <row r="1820">
          <cell r="A1820" t="str">
            <v>FB260001502</v>
          </cell>
          <cell r="D1820" t="str">
            <v>VSS</v>
          </cell>
        </row>
        <row r="1821">
          <cell r="A1821" t="str">
            <v>FB260001503</v>
          </cell>
          <cell r="D1821" t="str">
            <v>M&amp;S</v>
          </cell>
        </row>
        <row r="1822">
          <cell r="A1822" t="str">
            <v>FB260001504</v>
          </cell>
          <cell r="D1822" t="str">
            <v>PINK</v>
          </cell>
        </row>
        <row r="1823">
          <cell r="A1823" t="str">
            <v>FB260001505</v>
          </cell>
          <cell r="D1823" t="str">
            <v>M&amp;S</v>
          </cell>
        </row>
        <row r="1824">
          <cell r="A1824" t="str">
            <v>FB260001507</v>
          </cell>
          <cell r="D1824" t="str">
            <v>LULU</v>
          </cell>
        </row>
        <row r="1825">
          <cell r="A1825" t="str">
            <v>FB260001508</v>
          </cell>
          <cell r="D1825" t="str">
            <v>M&amp;S</v>
          </cell>
        </row>
        <row r="1826">
          <cell r="A1826" t="str">
            <v>FB260001509</v>
          </cell>
          <cell r="D1826" t="str">
            <v>LULU</v>
          </cell>
        </row>
        <row r="1827">
          <cell r="A1827" t="str">
            <v>FB260001510</v>
          </cell>
          <cell r="D1827" t="str">
            <v>LULU</v>
          </cell>
        </row>
        <row r="1828">
          <cell r="A1828" t="str">
            <v>FB260001511</v>
          </cell>
          <cell r="D1828" t="str">
            <v>VSS</v>
          </cell>
        </row>
        <row r="1829">
          <cell r="A1829" t="str">
            <v>FB260001512</v>
          </cell>
          <cell r="D1829" t="str">
            <v>VSS</v>
          </cell>
        </row>
        <row r="1830">
          <cell r="A1830" t="str">
            <v>FB260001513</v>
          </cell>
          <cell r="D1830" t="str">
            <v>LULU</v>
          </cell>
        </row>
        <row r="1831">
          <cell r="A1831" t="str">
            <v>FB260001514</v>
          </cell>
          <cell r="D1831" t="str">
            <v>INT1</v>
          </cell>
        </row>
        <row r="1832">
          <cell r="A1832" t="str">
            <v>FB260001515</v>
          </cell>
          <cell r="D1832" t="str">
            <v>VSS</v>
          </cell>
        </row>
        <row r="1833">
          <cell r="A1833" t="str">
            <v>FB260001516</v>
          </cell>
          <cell r="D1833" t="str">
            <v>VSS</v>
          </cell>
        </row>
        <row r="1834">
          <cell r="A1834" t="str">
            <v>FB260001517</v>
          </cell>
          <cell r="D1834" t="str">
            <v>VSS</v>
          </cell>
        </row>
        <row r="1835">
          <cell r="A1835" t="str">
            <v>FB260001518</v>
          </cell>
          <cell r="D1835" t="str">
            <v>VSS</v>
          </cell>
        </row>
        <row r="1836">
          <cell r="A1836" t="str">
            <v>FB260001519</v>
          </cell>
          <cell r="D1836" t="str">
            <v>VSS</v>
          </cell>
        </row>
        <row r="1837">
          <cell r="A1837" t="str">
            <v>FB260001520</v>
          </cell>
          <cell r="D1837" t="str">
            <v>VSS</v>
          </cell>
        </row>
        <row r="1838">
          <cell r="A1838" t="str">
            <v>FB260001521</v>
          </cell>
          <cell r="D1838" t="str">
            <v>VSS</v>
          </cell>
        </row>
        <row r="1839">
          <cell r="A1839" t="str">
            <v>FB260001522</v>
          </cell>
          <cell r="D1839" t="str">
            <v>VSS</v>
          </cell>
        </row>
        <row r="1840">
          <cell r="A1840" t="str">
            <v>FB260001523</v>
          </cell>
          <cell r="D1840" t="str">
            <v>TORD</v>
          </cell>
        </row>
        <row r="1841">
          <cell r="A1841" t="str">
            <v>FB260001525</v>
          </cell>
          <cell r="D1841" t="str">
            <v>ASIC</v>
          </cell>
        </row>
        <row r="1842">
          <cell r="A1842" t="str">
            <v>FB260001527</v>
          </cell>
          <cell r="D1842" t="str">
            <v>VSS</v>
          </cell>
        </row>
        <row r="1843">
          <cell r="A1843" t="str">
            <v>FB260001530</v>
          </cell>
          <cell r="D1843" t="str">
            <v>ASIC</v>
          </cell>
        </row>
        <row r="1844">
          <cell r="A1844" t="str">
            <v>FB260001531</v>
          </cell>
          <cell r="D1844" t="str">
            <v>LULU</v>
          </cell>
        </row>
        <row r="1845">
          <cell r="A1845" t="str">
            <v>FB260001532</v>
          </cell>
          <cell r="D1845" t="str">
            <v>NIK</v>
          </cell>
        </row>
        <row r="1846">
          <cell r="A1846" t="str">
            <v>FB260001533</v>
          </cell>
          <cell r="D1846" t="str">
            <v>HAR</v>
          </cell>
        </row>
        <row r="1847">
          <cell r="A1847" t="str">
            <v>FB260001534</v>
          </cell>
          <cell r="D1847" t="str">
            <v>LULU</v>
          </cell>
        </row>
        <row r="1848">
          <cell r="A1848" t="str">
            <v>FB260001535</v>
          </cell>
          <cell r="D1848" t="str">
            <v>HAR</v>
          </cell>
        </row>
        <row r="1849">
          <cell r="A1849" t="str">
            <v>FB260001536</v>
          </cell>
          <cell r="D1849" t="str">
            <v>M&amp;S</v>
          </cell>
        </row>
        <row r="1850">
          <cell r="A1850" t="str">
            <v>FB260001537</v>
          </cell>
          <cell r="D1850" t="str">
            <v>ASIC</v>
          </cell>
        </row>
        <row r="1851">
          <cell r="A1851" t="str">
            <v>FB260001538</v>
          </cell>
          <cell r="D1851" t="str">
            <v>LULU</v>
          </cell>
        </row>
        <row r="1852">
          <cell r="A1852" t="str">
            <v>FB260001539</v>
          </cell>
          <cell r="D1852" t="str">
            <v>M&amp;S</v>
          </cell>
        </row>
        <row r="1853">
          <cell r="A1853" t="str">
            <v>FB260001540</v>
          </cell>
          <cell r="D1853" t="str">
            <v>VSS</v>
          </cell>
        </row>
        <row r="1854">
          <cell r="A1854" t="str">
            <v>FB260001541</v>
          </cell>
          <cell r="D1854" t="str">
            <v>LULU</v>
          </cell>
        </row>
        <row r="1855">
          <cell r="A1855" t="str">
            <v>FB260001542</v>
          </cell>
          <cell r="D1855" t="str">
            <v>M&amp;S</v>
          </cell>
        </row>
        <row r="1856">
          <cell r="A1856" t="str">
            <v>FB260001543</v>
          </cell>
          <cell r="D1856" t="str">
            <v>M&amp;S</v>
          </cell>
        </row>
        <row r="1857">
          <cell r="A1857" t="str">
            <v>FB260001545</v>
          </cell>
          <cell r="D1857" t="str">
            <v>LAS</v>
          </cell>
        </row>
        <row r="1858">
          <cell r="A1858" t="str">
            <v>FB260001549</v>
          </cell>
          <cell r="D1858" t="str">
            <v>PINK</v>
          </cell>
        </row>
        <row r="1859">
          <cell r="A1859" t="str">
            <v>FB260001550</v>
          </cell>
          <cell r="D1859" t="str">
            <v>VSS</v>
          </cell>
        </row>
        <row r="1860">
          <cell r="A1860" t="str">
            <v>FB260001551</v>
          </cell>
          <cell r="D1860" t="str">
            <v>TJEL</v>
          </cell>
        </row>
        <row r="1861">
          <cell r="A1861" t="str">
            <v>FB260001552</v>
          </cell>
          <cell r="D1861" t="str">
            <v>TJEL</v>
          </cell>
        </row>
        <row r="1862">
          <cell r="A1862" t="str">
            <v>FB260001553</v>
          </cell>
          <cell r="D1862" t="str">
            <v>NEX</v>
          </cell>
        </row>
        <row r="1863">
          <cell r="A1863" t="str">
            <v>FB260001554</v>
          </cell>
          <cell r="D1863" t="str">
            <v>VSS</v>
          </cell>
        </row>
        <row r="1864">
          <cell r="A1864" t="str">
            <v>FB260001555</v>
          </cell>
          <cell r="D1864" t="str">
            <v>VSS</v>
          </cell>
        </row>
        <row r="1865">
          <cell r="A1865" t="str">
            <v>FB260001556</v>
          </cell>
          <cell r="D1865" t="str">
            <v>INT1</v>
          </cell>
        </row>
        <row r="1866">
          <cell r="A1866" t="str">
            <v>FB260001557</v>
          </cell>
          <cell r="D1866" t="str">
            <v>VSS</v>
          </cell>
        </row>
        <row r="1867">
          <cell r="A1867" t="str">
            <v>FB260001558</v>
          </cell>
          <cell r="D1867" t="str">
            <v>VSS</v>
          </cell>
        </row>
        <row r="1868">
          <cell r="A1868" t="str">
            <v>FB260001559</v>
          </cell>
          <cell r="D1868" t="str">
            <v>VSS</v>
          </cell>
        </row>
        <row r="1869">
          <cell r="A1869" t="str">
            <v>FB260001560</v>
          </cell>
          <cell r="D1869" t="str">
            <v>INT1</v>
          </cell>
        </row>
        <row r="1870">
          <cell r="A1870" t="str">
            <v>FB260001561</v>
          </cell>
          <cell r="D1870" t="str">
            <v>INT1</v>
          </cell>
        </row>
        <row r="1871">
          <cell r="A1871" t="str">
            <v>FB260001562</v>
          </cell>
          <cell r="D1871" t="str">
            <v>INT1</v>
          </cell>
        </row>
        <row r="1872">
          <cell r="A1872" t="str">
            <v>FB260001563</v>
          </cell>
          <cell r="D1872" t="str">
            <v>INT1</v>
          </cell>
        </row>
        <row r="1873">
          <cell r="A1873" t="str">
            <v>FB260001564</v>
          </cell>
          <cell r="D1873" t="str">
            <v>INT1</v>
          </cell>
        </row>
        <row r="1874">
          <cell r="A1874" t="str">
            <v>FB260001565</v>
          </cell>
          <cell r="D1874" t="str">
            <v>INT1</v>
          </cell>
        </row>
        <row r="1875">
          <cell r="A1875" t="str">
            <v>FB260001566</v>
          </cell>
          <cell r="D1875" t="str">
            <v>INT1</v>
          </cell>
        </row>
        <row r="1876">
          <cell r="A1876" t="str">
            <v>FB260001567</v>
          </cell>
          <cell r="D1876" t="str">
            <v>INT1</v>
          </cell>
        </row>
        <row r="1877">
          <cell r="A1877" t="str">
            <v>FB260001568</v>
          </cell>
          <cell r="D1877" t="str">
            <v>INT1</v>
          </cell>
        </row>
        <row r="1878">
          <cell r="A1878" t="str">
            <v>FB260001569</v>
          </cell>
          <cell r="D1878" t="str">
            <v>SPEE</v>
          </cell>
        </row>
        <row r="1879">
          <cell r="A1879" t="str">
            <v>FB260001570</v>
          </cell>
          <cell r="D1879" t="str">
            <v>SPEE</v>
          </cell>
        </row>
        <row r="1880">
          <cell r="A1880" t="str">
            <v>FB260001571</v>
          </cell>
          <cell r="D1880" t="str">
            <v>SPEE</v>
          </cell>
        </row>
        <row r="1881">
          <cell r="A1881" t="str">
            <v>FB260001572</v>
          </cell>
          <cell r="D1881" t="str">
            <v>SPEE</v>
          </cell>
        </row>
        <row r="1882">
          <cell r="A1882" t="str">
            <v>FB260001573</v>
          </cell>
          <cell r="D1882" t="str">
            <v>VSS</v>
          </cell>
        </row>
        <row r="1883">
          <cell r="A1883" t="str">
            <v>FB260001574</v>
          </cell>
          <cell r="D1883" t="str">
            <v>NIK</v>
          </cell>
        </row>
        <row r="1884">
          <cell r="A1884" t="str">
            <v>FB260001575</v>
          </cell>
          <cell r="D1884" t="str">
            <v>VSS</v>
          </cell>
        </row>
        <row r="1885">
          <cell r="A1885" t="str">
            <v>FB260001576</v>
          </cell>
          <cell r="D1885" t="str">
            <v>VSS</v>
          </cell>
        </row>
        <row r="1886">
          <cell r="A1886" t="str">
            <v>FB260001577</v>
          </cell>
          <cell r="D1886" t="str">
            <v>VSS</v>
          </cell>
        </row>
        <row r="1887">
          <cell r="A1887" t="str">
            <v>FB260001578</v>
          </cell>
          <cell r="D1887" t="str">
            <v>VSS</v>
          </cell>
        </row>
        <row r="1888">
          <cell r="A1888" t="str">
            <v>FB260001581</v>
          </cell>
          <cell r="D1888" t="str">
            <v>NIK</v>
          </cell>
        </row>
        <row r="1889">
          <cell r="A1889" t="str">
            <v>FB260001599</v>
          </cell>
          <cell r="D1889" t="str">
            <v>NIK</v>
          </cell>
        </row>
        <row r="1890">
          <cell r="A1890" t="str">
            <v>FB260001600</v>
          </cell>
          <cell r="D1890" t="str">
            <v>NIK</v>
          </cell>
        </row>
        <row r="1891">
          <cell r="A1891" t="str">
            <v>FB260001602</v>
          </cell>
          <cell r="D1891" t="str">
            <v>M&amp;S</v>
          </cell>
        </row>
        <row r="1892">
          <cell r="A1892" t="str">
            <v>FB260001603</v>
          </cell>
          <cell r="D1892" t="str">
            <v>M&amp;S</v>
          </cell>
        </row>
        <row r="1893">
          <cell r="A1893" t="str">
            <v>FB260001604</v>
          </cell>
          <cell r="D1893" t="str">
            <v>LULU</v>
          </cell>
        </row>
        <row r="1894">
          <cell r="A1894" t="str">
            <v>FB260001605</v>
          </cell>
          <cell r="D1894" t="str">
            <v>LULU</v>
          </cell>
        </row>
        <row r="1895">
          <cell r="A1895" t="str">
            <v>FB260001611</v>
          </cell>
          <cell r="D1895" t="str">
            <v>WACE</v>
          </cell>
        </row>
        <row r="1896">
          <cell r="A1896" t="str">
            <v>FB260001612</v>
          </cell>
          <cell r="D1896" t="str">
            <v>WACE</v>
          </cell>
        </row>
        <row r="1897">
          <cell r="A1897" t="str">
            <v>FB260001613</v>
          </cell>
          <cell r="D1897" t="str">
            <v>TORD</v>
          </cell>
        </row>
        <row r="1898">
          <cell r="A1898" t="str">
            <v>FB260001614</v>
          </cell>
          <cell r="D1898" t="str">
            <v>TORD</v>
          </cell>
        </row>
        <row r="1899">
          <cell r="A1899" t="str">
            <v>FB260001615</v>
          </cell>
          <cell r="D1899" t="str">
            <v>M&amp;S</v>
          </cell>
        </row>
        <row r="1900">
          <cell r="A1900" t="str">
            <v>FB260001618</v>
          </cell>
          <cell r="D1900" t="str">
            <v>VSS</v>
          </cell>
        </row>
        <row r="1901">
          <cell r="A1901" t="str">
            <v>FB260001620</v>
          </cell>
          <cell r="D1901" t="str">
            <v>LBI</v>
          </cell>
        </row>
        <row r="1902">
          <cell r="A1902" t="str">
            <v>FB260001621</v>
          </cell>
          <cell r="D1902" t="str">
            <v>CK</v>
          </cell>
        </row>
        <row r="1903">
          <cell r="A1903" t="str">
            <v>FB260001623</v>
          </cell>
          <cell r="D1903" t="str">
            <v>LULU</v>
          </cell>
        </row>
        <row r="1904">
          <cell r="A1904" t="str">
            <v>FB260001624</v>
          </cell>
          <cell r="D1904" t="str">
            <v>PINK</v>
          </cell>
        </row>
        <row r="1905">
          <cell r="A1905" t="str">
            <v>FB260001625</v>
          </cell>
          <cell r="D1905" t="str">
            <v>NIK</v>
          </cell>
        </row>
        <row r="1906">
          <cell r="A1906" t="str">
            <v>FB260001627</v>
          </cell>
          <cell r="D1906" t="str">
            <v>PINK</v>
          </cell>
        </row>
        <row r="1907">
          <cell r="A1907" t="str">
            <v>FB260001628</v>
          </cell>
          <cell r="D1907" t="str">
            <v>NIK</v>
          </cell>
        </row>
        <row r="1908">
          <cell r="A1908" t="str">
            <v>FB260001629</v>
          </cell>
          <cell r="D1908" t="str">
            <v>PINK</v>
          </cell>
        </row>
        <row r="1909">
          <cell r="A1909" t="str">
            <v>FB260001630</v>
          </cell>
          <cell r="D1909" t="str">
            <v>PINK</v>
          </cell>
        </row>
        <row r="1910">
          <cell r="A1910" t="str">
            <v>FB260001631</v>
          </cell>
          <cell r="D1910" t="str">
            <v>VSS</v>
          </cell>
        </row>
        <row r="1911">
          <cell r="A1911" t="str">
            <v>FB260001632</v>
          </cell>
          <cell r="D1911" t="str">
            <v>PEP</v>
          </cell>
        </row>
        <row r="1912">
          <cell r="A1912" t="str">
            <v>FB260001634</v>
          </cell>
          <cell r="D1912" t="str">
            <v>PEP</v>
          </cell>
        </row>
        <row r="1913">
          <cell r="A1913" t="str">
            <v>FB260001635</v>
          </cell>
          <cell r="D1913" t="str">
            <v>PEP</v>
          </cell>
        </row>
        <row r="1914">
          <cell r="A1914" t="str">
            <v>FB260001636</v>
          </cell>
          <cell r="D1914" t="str">
            <v>PEP</v>
          </cell>
        </row>
        <row r="1915">
          <cell r="A1915" t="str">
            <v>FB260001643</v>
          </cell>
          <cell r="D1915" t="str">
            <v>LULU</v>
          </cell>
        </row>
        <row r="1916">
          <cell r="A1916" t="str">
            <v>FB260001644</v>
          </cell>
          <cell r="D1916" t="str">
            <v>TJEL</v>
          </cell>
        </row>
        <row r="1917">
          <cell r="A1917" t="str">
            <v>FB260001645</v>
          </cell>
          <cell r="D1917" t="str">
            <v>TJEL</v>
          </cell>
        </row>
        <row r="1918">
          <cell r="A1918" t="str">
            <v>FB260001646</v>
          </cell>
          <cell r="D1918" t="str">
            <v>TORD</v>
          </cell>
        </row>
        <row r="1919">
          <cell r="A1919" t="str">
            <v>FB260001647</v>
          </cell>
          <cell r="D1919" t="str">
            <v>M&amp;S</v>
          </cell>
        </row>
        <row r="1920">
          <cell r="A1920" t="str">
            <v>FB260001648</v>
          </cell>
          <cell r="D1920" t="str">
            <v>PINK</v>
          </cell>
        </row>
        <row r="1921">
          <cell r="A1921" t="str">
            <v>FB260001649</v>
          </cell>
          <cell r="D1921" t="str">
            <v>VSS</v>
          </cell>
        </row>
        <row r="1922">
          <cell r="A1922" t="str">
            <v>FB260001652</v>
          </cell>
          <cell r="D1922" t="str">
            <v>CK</v>
          </cell>
        </row>
        <row r="1923">
          <cell r="A1923" t="str">
            <v>FB260001653</v>
          </cell>
          <cell r="D1923" t="str">
            <v>CK</v>
          </cell>
        </row>
        <row r="1924">
          <cell r="A1924" t="str">
            <v>FB260001655</v>
          </cell>
          <cell r="D1924" t="str">
            <v>CK</v>
          </cell>
        </row>
        <row r="1925">
          <cell r="A1925" t="str">
            <v>FB260001656</v>
          </cell>
          <cell r="D1925" t="str">
            <v>VSS</v>
          </cell>
        </row>
        <row r="1926">
          <cell r="A1926" t="str">
            <v>FB260001657</v>
          </cell>
          <cell r="D1926" t="str">
            <v>VSS</v>
          </cell>
        </row>
        <row r="1927">
          <cell r="A1927" t="str">
            <v>FB260001658</v>
          </cell>
          <cell r="D1927" t="str">
            <v>CK</v>
          </cell>
        </row>
        <row r="1928">
          <cell r="A1928" t="str">
            <v>FB260001659</v>
          </cell>
          <cell r="D1928" t="str">
            <v>PINK</v>
          </cell>
        </row>
        <row r="1929">
          <cell r="A1929" t="str">
            <v>FB260001660</v>
          </cell>
          <cell r="D1929" t="str">
            <v>CK</v>
          </cell>
        </row>
        <row r="1930">
          <cell r="A1930" t="str">
            <v>FB260001661</v>
          </cell>
          <cell r="D1930" t="str">
            <v>NIK</v>
          </cell>
        </row>
        <row r="1931">
          <cell r="A1931" t="str">
            <v>FB260001662</v>
          </cell>
          <cell r="D1931" t="str">
            <v>NIK</v>
          </cell>
        </row>
        <row r="1932">
          <cell r="A1932" t="str">
            <v>FB260001663</v>
          </cell>
          <cell r="D1932" t="str">
            <v>PEP</v>
          </cell>
        </row>
        <row r="1933">
          <cell r="A1933" t="str">
            <v>FB260001668</v>
          </cell>
          <cell r="D1933" t="str">
            <v>LULU</v>
          </cell>
        </row>
        <row r="1934">
          <cell r="A1934" t="str">
            <v>FB260001669</v>
          </cell>
          <cell r="D1934" t="str">
            <v>LULU</v>
          </cell>
        </row>
        <row r="1935">
          <cell r="A1935" t="str">
            <v>FB260001670</v>
          </cell>
          <cell r="D1935" t="str">
            <v>VSS</v>
          </cell>
        </row>
        <row r="1936">
          <cell r="A1936" t="str">
            <v>FB260001671</v>
          </cell>
          <cell r="D1936" t="str">
            <v>VSS</v>
          </cell>
        </row>
        <row r="1937">
          <cell r="A1937" t="str">
            <v>FB260001672</v>
          </cell>
          <cell r="D1937" t="str">
            <v>VSS</v>
          </cell>
        </row>
        <row r="1938">
          <cell r="A1938" t="str">
            <v>FB260001673</v>
          </cell>
          <cell r="D1938" t="str">
            <v>VSS</v>
          </cell>
        </row>
        <row r="1939">
          <cell r="A1939" t="str">
            <v>FB260001674</v>
          </cell>
          <cell r="D1939" t="str">
            <v>NIK</v>
          </cell>
        </row>
        <row r="1940">
          <cell r="A1940" t="str">
            <v>FB260001675</v>
          </cell>
          <cell r="D1940" t="str">
            <v>NIK</v>
          </cell>
        </row>
        <row r="1941">
          <cell r="A1941" t="str">
            <v>FB260001677</v>
          </cell>
          <cell r="D1941" t="str">
            <v>LULU</v>
          </cell>
        </row>
        <row r="1942">
          <cell r="A1942" t="str">
            <v>FB260001678</v>
          </cell>
          <cell r="D1942" t="str">
            <v>LULU</v>
          </cell>
        </row>
        <row r="1943">
          <cell r="A1943" t="str">
            <v>FB260001679</v>
          </cell>
          <cell r="D1943" t="str">
            <v>LULU</v>
          </cell>
        </row>
        <row r="1944">
          <cell r="A1944" t="str">
            <v>FB260001680</v>
          </cell>
          <cell r="D1944" t="str">
            <v>NIK</v>
          </cell>
        </row>
        <row r="1945">
          <cell r="A1945" t="str">
            <v>FB260001687</v>
          </cell>
          <cell r="D1945" t="str">
            <v>M&amp;S</v>
          </cell>
        </row>
        <row r="1946">
          <cell r="A1946" t="str">
            <v>FB260001688</v>
          </cell>
          <cell r="D1946" t="str">
            <v>LULU</v>
          </cell>
        </row>
        <row r="1947">
          <cell r="A1947" t="str">
            <v>FB260001689</v>
          </cell>
          <cell r="D1947" t="str">
            <v>LBI</v>
          </cell>
        </row>
        <row r="1948">
          <cell r="A1948" t="str">
            <v>FB260001690</v>
          </cell>
          <cell r="D1948" t="str">
            <v>M&amp;S</v>
          </cell>
        </row>
        <row r="1949">
          <cell r="A1949" t="str">
            <v>FB260001691</v>
          </cell>
          <cell r="D1949" t="str">
            <v>VSS</v>
          </cell>
        </row>
        <row r="1950">
          <cell r="A1950" t="str">
            <v>FB260001692</v>
          </cell>
          <cell r="D1950" t="str">
            <v>VSS</v>
          </cell>
        </row>
        <row r="1951">
          <cell r="A1951" t="str">
            <v>FB260001693</v>
          </cell>
          <cell r="D1951" t="str">
            <v>M&amp;S</v>
          </cell>
        </row>
        <row r="1952">
          <cell r="A1952" t="str">
            <v>FB260001694</v>
          </cell>
          <cell r="D1952" t="str">
            <v>M&amp;S</v>
          </cell>
        </row>
        <row r="1953">
          <cell r="A1953" t="str">
            <v>FB260001695</v>
          </cell>
          <cell r="D1953" t="str">
            <v>PINK</v>
          </cell>
        </row>
        <row r="1954">
          <cell r="A1954" t="str">
            <v>FB260001696</v>
          </cell>
          <cell r="D1954" t="str">
            <v>PINK</v>
          </cell>
        </row>
        <row r="1955">
          <cell r="A1955" t="str">
            <v>FB260001697</v>
          </cell>
          <cell r="D1955" t="str">
            <v>PINK</v>
          </cell>
        </row>
        <row r="1956">
          <cell r="A1956" t="str">
            <v>FB260001698</v>
          </cell>
          <cell r="D1956" t="str">
            <v>PINK</v>
          </cell>
        </row>
        <row r="1957">
          <cell r="A1957" t="str">
            <v>FB260001699</v>
          </cell>
          <cell r="D1957" t="str">
            <v>M&amp;S</v>
          </cell>
        </row>
        <row r="1958">
          <cell r="A1958" t="str">
            <v>FB260001703</v>
          </cell>
          <cell r="D1958" t="str">
            <v>M&amp;S</v>
          </cell>
        </row>
        <row r="1959">
          <cell r="A1959" t="str">
            <v>FB260001704</v>
          </cell>
          <cell r="D1959" t="str">
            <v>ASIC</v>
          </cell>
        </row>
        <row r="1960">
          <cell r="A1960" t="str">
            <v>FB260001705</v>
          </cell>
          <cell r="D1960" t="str">
            <v>ASIC</v>
          </cell>
        </row>
        <row r="1961">
          <cell r="A1961" t="str">
            <v>FB260001706</v>
          </cell>
          <cell r="D1961" t="str">
            <v>VSS</v>
          </cell>
        </row>
        <row r="1962">
          <cell r="A1962" t="str">
            <v>FB260001707</v>
          </cell>
          <cell r="D1962" t="str">
            <v>VSS</v>
          </cell>
        </row>
        <row r="1963">
          <cell r="A1963" t="str">
            <v>FB260001712</v>
          </cell>
          <cell r="D1963" t="str">
            <v>VSS</v>
          </cell>
        </row>
        <row r="1964">
          <cell r="A1964" t="str">
            <v>FB260001713</v>
          </cell>
          <cell r="D1964" t="str">
            <v>WACE</v>
          </cell>
        </row>
        <row r="1965">
          <cell r="A1965" t="str">
            <v>FB260001716</v>
          </cell>
          <cell r="D1965" t="str">
            <v>VSS</v>
          </cell>
        </row>
        <row r="1966">
          <cell r="A1966" t="str">
            <v>FB260001718</v>
          </cell>
          <cell r="D1966" t="str">
            <v>VSS</v>
          </cell>
        </row>
        <row r="1967">
          <cell r="A1967" t="str">
            <v>FB260001719</v>
          </cell>
          <cell r="D1967" t="str">
            <v>NEX</v>
          </cell>
        </row>
        <row r="1968">
          <cell r="A1968" t="str">
            <v>FB260001721</v>
          </cell>
          <cell r="D1968" t="str">
            <v>VSS</v>
          </cell>
        </row>
        <row r="1969">
          <cell r="A1969" t="str">
            <v>FB260001722</v>
          </cell>
          <cell r="D1969" t="str">
            <v>LULU</v>
          </cell>
        </row>
        <row r="1970">
          <cell r="A1970" t="str">
            <v>FB260001723</v>
          </cell>
          <cell r="D1970" t="str">
            <v>LULU</v>
          </cell>
        </row>
        <row r="1971">
          <cell r="A1971" t="str">
            <v>FB260001724</v>
          </cell>
          <cell r="D1971" t="str">
            <v>INT1</v>
          </cell>
        </row>
        <row r="1972">
          <cell r="A1972" t="str">
            <v>FB260001725</v>
          </cell>
          <cell r="D1972" t="str">
            <v>LBI</v>
          </cell>
        </row>
        <row r="1973">
          <cell r="A1973" t="str">
            <v>FB260001726</v>
          </cell>
          <cell r="D1973" t="str">
            <v>LBI</v>
          </cell>
        </row>
        <row r="1974">
          <cell r="A1974" t="str">
            <v>FB260001727</v>
          </cell>
          <cell r="D1974" t="str">
            <v>SKI</v>
          </cell>
        </row>
        <row r="1975">
          <cell r="A1975" t="str">
            <v>FB260001728</v>
          </cell>
          <cell r="D1975" t="str">
            <v>INT1</v>
          </cell>
        </row>
        <row r="1976">
          <cell r="A1976" t="str">
            <v>FB260001729</v>
          </cell>
          <cell r="D1976" t="str">
            <v>PINK</v>
          </cell>
        </row>
        <row r="1977">
          <cell r="A1977" t="str">
            <v>FB260001730</v>
          </cell>
          <cell r="D1977" t="str">
            <v>VSS</v>
          </cell>
        </row>
        <row r="1978">
          <cell r="A1978" t="str">
            <v>FB260001731</v>
          </cell>
          <cell r="D1978" t="str">
            <v>VSS</v>
          </cell>
        </row>
        <row r="1979">
          <cell r="A1979" t="str">
            <v>FB260001732</v>
          </cell>
          <cell r="D1979" t="str">
            <v>VSS</v>
          </cell>
        </row>
        <row r="1980">
          <cell r="A1980" t="str">
            <v>FB260001734</v>
          </cell>
          <cell r="D1980" t="str">
            <v>HAR</v>
          </cell>
        </row>
        <row r="1981">
          <cell r="A1981" t="str">
            <v>FB260001736</v>
          </cell>
          <cell r="D1981" t="str">
            <v>LULU</v>
          </cell>
        </row>
        <row r="1982">
          <cell r="A1982" t="str">
            <v>FB260001737</v>
          </cell>
          <cell r="D1982" t="str">
            <v>TORD</v>
          </cell>
        </row>
        <row r="1983">
          <cell r="A1983" t="str">
            <v>FB260001738</v>
          </cell>
          <cell r="D1983" t="str">
            <v>M&amp;S</v>
          </cell>
        </row>
        <row r="1984">
          <cell r="A1984" t="str">
            <v>FB260001740</v>
          </cell>
          <cell r="D1984" t="str">
            <v>NEX</v>
          </cell>
        </row>
        <row r="1985">
          <cell r="A1985" t="str">
            <v>FB260001741</v>
          </cell>
          <cell r="D1985" t="str">
            <v>CK</v>
          </cell>
        </row>
        <row r="1986">
          <cell r="A1986" t="str">
            <v>FB260001742</v>
          </cell>
          <cell r="D1986" t="str">
            <v>CK</v>
          </cell>
        </row>
        <row r="1987">
          <cell r="A1987" t="str">
            <v>FB260001743</v>
          </cell>
          <cell r="D1987" t="str">
            <v>CK</v>
          </cell>
        </row>
        <row r="1988">
          <cell r="A1988" t="str">
            <v>FB260001744</v>
          </cell>
          <cell r="D1988" t="str">
            <v>CK</v>
          </cell>
        </row>
        <row r="1989">
          <cell r="A1989" t="str">
            <v>FB260001745</v>
          </cell>
          <cell r="D1989" t="str">
            <v>CK</v>
          </cell>
        </row>
        <row r="1990">
          <cell r="A1990" t="str">
            <v>FB260001746</v>
          </cell>
          <cell r="D1990" t="str">
            <v>PEP</v>
          </cell>
        </row>
        <row r="1991">
          <cell r="A1991" t="str">
            <v>FB260001747</v>
          </cell>
          <cell r="D1991" t="str">
            <v>CK</v>
          </cell>
        </row>
        <row r="1992">
          <cell r="A1992" t="str">
            <v>FB260001748</v>
          </cell>
          <cell r="D1992" t="str">
            <v>WACE</v>
          </cell>
        </row>
        <row r="1993">
          <cell r="A1993" t="str">
            <v>FB260001752</v>
          </cell>
          <cell r="D1993" t="str">
            <v>WACE</v>
          </cell>
        </row>
        <row r="1994">
          <cell r="A1994" t="str">
            <v>FB260001754</v>
          </cell>
          <cell r="D1994" t="str">
            <v>VSS</v>
          </cell>
        </row>
        <row r="1995">
          <cell r="A1995" t="str">
            <v>FB260001755</v>
          </cell>
          <cell r="D1995" t="str">
            <v>VSS</v>
          </cell>
        </row>
        <row r="1996">
          <cell r="A1996" t="str">
            <v>FB260001756</v>
          </cell>
          <cell r="D1996" t="str">
            <v>VSS</v>
          </cell>
        </row>
        <row r="1997">
          <cell r="A1997" t="str">
            <v>FB260001757</v>
          </cell>
          <cell r="D1997" t="str">
            <v>M&amp;S</v>
          </cell>
        </row>
        <row r="1998">
          <cell r="A1998" t="str">
            <v>FB260001758</v>
          </cell>
          <cell r="D1998" t="str">
            <v>VSS</v>
          </cell>
        </row>
        <row r="1999">
          <cell r="A1999" t="str">
            <v>FB260001759</v>
          </cell>
          <cell r="D1999" t="str">
            <v>TEZ</v>
          </cell>
        </row>
        <row r="2000">
          <cell r="A2000" t="str">
            <v>FB260001761</v>
          </cell>
          <cell r="D2000" t="str">
            <v>SOM</v>
          </cell>
        </row>
        <row r="2001">
          <cell r="A2001" t="str">
            <v>FB260001762</v>
          </cell>
          <cell r="D2001" t="str">
            <v>SOM</v>
          </cell>
        </row>
        <row r="2002">
          <cell r="A2002" t="str">
            <v>FB260001763</v>
          </cell>
          <cell r="D2002" t="str">
            <v>VSS</v>
          </cell>
        </row>
        <row r="2003">
          <cell r="A2003" t="str">
            <v>FB260001764</v>
          </cell>
          <cell r="D2003" t="str">
            <v>VSS</v>
          </cell>
        </row>
        <row r="2004">
          <cell r="A2004" t="str">
            <v>FB260001765</v>
          </cell>
          <cell r="D2004" t="str">
            <v>VSS</v>
          </cell>
        </row>
        <row r="2005">
          <cell r="A2005" t="str">
            <v>FB260001766</v>
          </cell>
          <cell r="D2005" t="str">
            <v>VSS</v>
          </cell>
        </row>
        <row r="2006">
          <cell r="A2006" t="str">
            <v>FB260001767</v>
          </cell>
          <cell r="D2006" t="str">
            <v>PEP</v>
          </cell>
        </row>
        <row r="2007">
          <cell r="A2007" t="str">
            <v>FB260001768</v>
          </cell>
          <cell r="D2007" t="str">
            <v>NIK</v>
          </cell>
        </row>
        <row r="2008">
          <cell r="A2008" t="str">
            <v>FB260001769</v>
          </cell>
          <cell r="D2008" t="str">
            <v>NIK</v>
          </cell>
        </row>
        <row r="2009">
          <cell r="A2009" t="str">
            <v>FB260001770</v>
          </cell>
          <cell r="D2009" t="str">
            <v>NIK</v>
          </cell>
        </row>
        <row r="2010">
          <cell r="A2010" t="str">
            <v>FB260001771</v>
          </cell>
          <cell r="D2010" t="str">
            <v>NIK</v>
          </cell>
        </row>
        <row r="2011">
          <cell r="A2011" t="str">
            <v>FB260001772</v>
          </cell>
          <cell r="D2011" t="str">
            <v>NIK</v>
          </cell>
        </row>
        <row r="2012">
          <cell r="A2012" t="str">
            <v>FB260001773</v>
          </cell>
          <cell r="D2012" t="str">
            <v>NIK</v>
          </cell>
        </row>
        <row r="2013">
          <cell r="A2013" t="str">
            <v>FB260001774</v>
          </cell>
          <cell r="D2013" t="str">
            <v>NIK</v>
          </cell>
        </row>
        <row r="2014">
          <cell r="A2014" t="str">
            <v>FB260001775</v>
          </cell>
          <cell r="D2014" t="str">
            <v>VSS</v>
          </cell>
        </row>
        <row r="2015">
          <cell r="A2015" t="str">
            <v>FB260001776</v>
          </cell>
          <cell r="D2015" t="str">
            <v>VSS</v>
          </cell>
        </row>
        <row r="2016">
          <cell r="A2016" t="str">
            <v>FB260001777</v>
          </cell>
          <cell r="D2016" t="str">
            <v>VSS</v>
          </cell>
        </row>
        <row r="2017">
          <cell r="A2017" t="str">
            <v>FB260001783</v>
          </cell>
          <cell r="D2017" t="str">
            <v>M&amp;S</v>
          </cell>
        </row>
        <row r="2018">
          <cell r="A2018" t="str">
            <v>FB260001784</v>
          </cell>
          <cell r="D2018" t="str">
            <v>M&amp;S</v>
          </cell>
        </row>
        <row r="2019">
          <cell r="A2019" t="str">
            <v>FB260001785</v>
          </cell>
          <cell r="D2019" t="str">
            <v>M&amp;S</v>
          </cell>
        </row>
        <row r="2020">
          <cell r="A2020" t="str">
            <v>FB260001786</v>
          </cell>
          <cell r="D2020" t="str">
            <v>WACE</v>
          </cell>
        </row>
        <row r="2021">
          <cell r="A2021" t="str">
            <v>FB260001787</v>
          </cell>
          <cell r="D2021" t="str">
            <v>PINK</v>
          </cell>
        </row>
        <row r="2022">
          <cell r="A2022" t="str">
            <v>FB260001788</v>
          </cell>
          <cell r="D2022" t="str">
            <v>PINK</v>
          </cell>
        </row>
        <row r="2023">
          <cell r="A2023" t="str">
            <v>FB260001789</v>
          </cell>
          <cell r="D2023" t="str">
            <v>PINK</v>
          </cell>
        </row>
        <row r="2024">
          <cell r="A2024" t="str">
            <v>FB260001790</v>
          </cell>
          <cell r="D2024" t="str">
            <v>LULU</v>
          </cell>
        </row>
        <row r="2025">
          <cell r="A2025" t="str">
            <v>FB260001791</v>
          </cell>
          <cell r="D2025" t="str">
            <v>M&amp;S</v>
          </cell>
        </row>
        <row r="2026">
          <cell r="A2026" t="str">
            <v>FB260001792</v>
          </cell>
          <cell r="D2026" t="str">
            <v>LULU</v>
          </cell>
        </row>
        <row r="2027">
          <cell r="A2027" t="str">
            <v>FB260001794</v>
          </cell>
          <cell r="D2027" t="str">
            <v>LULU</v>
          </cell>
        </row>
        <row r="2028">
          <cell r="A2028" t="str">
            <v>FB260001796</v>
          </cell>
          <cell r="D2028" t="str">
            <v>LULU</v>
          </cell>
        </row>
        <row r="2029">
          <cell r="A2029" t="str">
            <v>FB260001797</v>
          </cell>
          <cell r="D2029" t="str">
            <v>PEP</v>
          </cell>
        </row>
        <row r="2030">
          <cell r="A2030" t="str">
            <v>FB260001799</v>
          </cell>
          <cell r="D2030" t="str">
            <v>M&amp;S</v>
          </cell>
        </row>
        <row r="2031">
          <cell r="A2031" t="str">
            <v>FB260001800</v>
          </cell>
          <cell r="D2031" t="str">
            <v>PINK</v>
          </cell>
        </row>
        <row r="2032">
          <cell r="A2032" t="str">
            <v>FB260001801</v>
          </cell>
          <cell r="D2032" t="str">
            <v>PINK</v>
          </cell>
        </row>
        <row r="2033">
          <cell r="A2033" t="str">
            <v>FB260001802</v>
          </cell>
          <cell r="D2033" t="str">
            <v>PINK</v>
          </cell>
        </row>
        <row r="2034">
          <cell r="A2034" t="str">
            <v>FB260001803</v>
          </cell>
          <cell r="D2034" t="str">
            <v>PINK</v>
          </cell>
        </row>
        <row r="2035">
          <cell r="A2035" t="str">
            <v>FB260001804</v>
          </cell>
          <cell r="D2035" t="str">
            <v>PINK</v>
          </cell>
        </row>
        <row r="2036">
          <cell r="A2036" t="str">
            <v>FB260001805</v>
          </cell>
          <cell r="D2036" t="str">
            <v>VSS</v>
          </cell>
        </row>
        <row r="2037">
          <cell r="A2037" t="str">
            <v>FB260001806</v>
          </cell>
          <cell r="D2037" t="str">
            <v>NIK</v>
          </cell>
        </row>
        <row r="2038">
          <cell r="A2038" t="str">
            <v>FB260001807</v>
          </cell>
          <cell r="D2038" t="str">
            <v>VSS</v>
          </cell>
        </row>
        <row r="2039">
          <cell r="A2039" t="str">
            <v>FB260001808</v>
          </cell>
          <cell r="D2039" t="str">
            <v>VSS</v>
          </cell>
        </row>
        <row r="2040">
          <cell r="A2040" t="str">
            <v>FB260001813</v>
          </cell>
          <cell r="D2040" t="str">
            <v>VSS</v>
          </cell>
        </row>
        <row r="2041">
          <cell r="A2041" t="str">
            <v>FB260001814</v>
          </cell>
          <cell r="D2041" t="str">
            <v>VSS</v>
          </cell>
        </row>
        <row r="2042">
          <cell r="A2042" t="str">
            <v>FB260001815</v>
          </cell>
          <cell r="D2042" t="str">
            <v>INT1</v>
          </cell>
        </row>
        <row r="2043">
          <cell r="A2043" t="str">
            <v>FB260001816</v>
          </cell>
          <cell r="D2043" t="str">
            <v>INT1</v>
          </cell>
        </row>
        <row r="2044">
          <cell r="A2044" t="str">
            <v>FB260001817</v>
          </cell>
          <cell r="D2044" t="str">
            <v>INT1</v>
          </cell>
        </row>
        <row r="2045">
          <cell r="A2045" t="str">
            <v>FB260001818</v>
          </cell>
          <cell r="D2045" t="str">
            <v>INT1</v>
          </cell>
        </row>
        <row r="2046">
          <cell r="A2046" t="str">
            <v>FB260001819</v>
          </cell>
          <cell r="D2046" t="str">
            <v>TJEL</v>
          </cell>
        </row>
        <row r="2047">
          <cell r="A2047" t="str">
            <v>FB260001820</v>
          </cell>
          <cell r="D2047" t="str">
            <v>INT1</v>
          </cell>
        </row>
        <row r="2048">
          <cell r="A2048" t="str">
            <v>FB260001821</v>
          </cell>
          <cell r="D2048" t="str">
            <v>INT1</v>
          </cell>
        </row>
        <row r="2049">
          <cell r="A2049" t="str">
            <v>FB260001822</v>
          </cell>
          <cell r="D2049" t="str">
            <v>INT1</v>
          </cell>
        </row>
        <row r="2050">
          <cell r="A2050" t="str">
            <v>FB260001824</v>
          </cell>
          <cell r="D2050" t="str">
            <v>VSS</v>
          </cell>
        </row>
        <row r="2051">
          <cell r="A2051" t="str">
            <v>FB260001825</v>
          </cell>
          <cell r="D2051" t="str">
            <v>VSS</v>
          </cell>
        </row>
        <row r="2052">
          <cell r="A2052" t="str">
            <v>FB260001826</v>
          </cell>
          <cell r="D2052" t="str">
            <v>VSS</v>
          </cell>
        </row>
        <row r="2053">
          <cell r="A2053" t="str">
            <v>FB260001827</v>
          </cell>
          <cell r="D2053" t="str">
            <v>VSS</v>
          </cell>
        </row>
        <row r="2054">
          <cell r="A2054" t="str">
            <v>FB260001828</v>
          </cell>
          <cell r="D2054" t="str">
            <v>VSS</v>
          </cell>
        </row>
        <row r="2055">
          <cell r="A2055" t="str">
            <v>FB260001829</v>
          </cell>
          <cell r="D2055" t="str">
            <v>VSS</v>
          </cell>
        </row>
        <row r="2056">
          <cell r="A2056" t="str">
            <v>FB260001830</v>
          </cell>
          <cell r="D2056" t="str">
            <v>VSS</v>
          </cell>
        </row>
        <row r="2057">
          <cell r="A2057" t="str">
            <v>FB260001831</v>
          </cell>
          <cell r="D2057" t="str">
            <v>VSS</v>
          </cell>
        </row>
        <row r="2058">
          <cell r="A2058" t="str">
            <v>FB260001832</v>
          </cell>
          <cell r="D2058" t="str">
            <v>NIK</v>
          </cell>
        </row>
        <row r="2059">
          <cell r="A2059" t="str">
            <v>FB260001833</v>
          </cell>
          <cell r="D2059" t="str">
            <v>NIK</v>
          </cell>
        </row>
        <row r="2060">
          <cell r="A2060" t="str">
            <v>FB260001834</v>
          </cell>
          <cell r="D2060" t="str">
            <v>NIK</v>
          </cell>
        </row>
        <row r="2061">
          <cell r="A2061" t="str">
            <v>FB260001835</v>
          </cell>
          <cell r="D2061" t="str">
            <v>LBI</v>
          </cell>
        </row>
        <row r="2062">
          <cell r="A2062" t="str">
            <v>FB260001836</v>
          </cell>
          <cell r="D2062" t="str">
            <v>WACE</v>
          </cell>
        </row>
        <row r="2063">
          <cell r="A2063" t="str">
            <v>FB260001837</v>
          </cell>
          <cell r="D2063" t="str">
            <v>LULU</v>
          </cell>
        </row>
        <row r="2064">
          <cell r="A2064" t="str">
            <v>FB260001838</v>
          </cell>
          <cell r="D2064" t="str">
            <v>VSS</v>
          </cell>
        </row>
        <row r="2065">
          <cell r="A2065" t="str">
            <v>FB260001839</v>
          </cell>
          <cell r="D2065" t="str">
            <v>VSS</v>
          </cell>
        </row>
        <row r="2066">
          <cell r="A2066" t="str">
            <v>FB260001840</v>
          </cell>
          <cell r="D2066" t="str">
            <v>VSS</v>
          </cell>
        </row>
        <row r="2067">
          <cell r="A2067" t="str">
            <v>FB260001841</v>
          </cell>
          <cell r="D2067" t="str">
            <v>VSS</v>
          </cell>
        </row>
        <row r="2068">
          <cell r="A2068" t="str">
            <v>FB260001843</v>
          </cell>
          <cell r="D2068" t="str">
            <v>TORD</v>
          </cell>
        </row>
        <row r="2069">
          <cell r="A2069" t="str">
            <v>FB260001844</v>
          </cell>
          <cell r="D2069" t="str">
            <v>TORD</v>
          </cell>
        </row>
        <row r="2070">
          <cell r="A2070" t="str">
            <v>FB260001845</v>
          </cell>
          <cell r="D2070" t="str">
            <v>TORD</v>
          </cell>
        </row>
        <row r="2071">
          <cell r="A2071" t="str">
            <v>FB260001846</v>
          </cell>
          <cell r="D2071" t="str">
            <v>INT1</v>
          </cell>
        </row>
        <row r="2072">
          <cell r="A2072" t="str">
            <v>FB260001847</v>
          </cell>
          <cell r="D2072" t="str">
            <v>CK</v>
          </cell>
        </row>
        <row r="2073">
          <cell r="A2073" t="str">
            <v>FB260001848</v>
          </cell>
          <cell r="D2073" t="str">
            <v>CK</v>
          </cell>
        </row>
        <row r="2074">
          <cell r="A2074" t="str">
            <v>FB260001851</v>
          </cell>
          <cell r="D2074" t="str">
            <v>INT1</v>
          </cell>
        </row>
        <row r="2075">
          <cell r="A2075" t="str">
            <v>FB260001853</v>
          </cell>
          <cell r="D2075" t="str">
            <v>CK</v>
          </cell>
        </row>
        <row r="2076">
          <cell r="A2076" t="str">
            <v>FB260001854</v>
          </cell>
          <cell r="D2076" t="str">
            <v>CK</v>
          </cell>
        </row>
        <row r="2077">
          <cell r="A2077" t="str">
            <v>FB260001855</v>
          </cell>
          <cell r="D2077" t="str">
            <v>CK</v>
          </cell>
        </row>
        <row r="2078">
          <cell r="A2078" t="str">
            <v>FB260001856</v>
          </cell>
          <cell r="D2078" t="str">
            <v>WACE</v>
          </cell>
        </row>
        <row r="2079">
          <cell r="A2079" t="str">
            <v>FB260001857</v>
          </cell>
          <cell r="D2079" t="str">
            <v>WACE</v>
          </cell>
        </row>
        <row r="2080">
          <cell r="A2080" t="str">
            <v>FB260001858</v>
          </cell>
          <cell r="D2080" t="str">
            <v>WACE</v>
          </cell>
        </row>
        <row r="2081">
          <cell r="A2081" t="str">
            <v>FB260001859</v>
          </cell>
          <cell r="D2081" t="str">
            <v>WACE</v>
          </cell>
        </row>
        <row r="2082">
          <cell r="A2082" t="str">
            <v>FB260001860</v>
          </cell>
          <cell r="D2082" t="str">
            <v>WACE</v>
          </cell>
        </row>
        <row r="2083">
          <cell r="A2083" t="str">
            <v>FB260001861</v>
          </cell>
          <cell r="D2083" t="str">
            <v>WACE</v>
          </cell>
        </row>
        <row r="2084">
          <cell r="A2084" t="str">
            <v>FB260001862</v>
          </cell>
          <cell r="D2084" t="str">
            <v>VSS</v>
          </cell>
        </row>
        <row r="2085">
          <cell r="A2085" t="str">
            <v>FB260001863</v>
          </cell>
          <cell r="D2085" t="str">
            <v>VSS</v>
          </cell>
        </row>
        <row r="2086">
          <cell r="A2086" t="str">
            <v>FB260001864</v>
          </cell>
          <cell r="D2086" t="str">
            <v>NIK</v>
          </cell>
        </row>
        <row r="2087">
          <cell r="A2087" t="str">
            <v>FB260001865</v>
          </cell>
          <cell r="D2087" t="str">
            <v>NIK</v>
          </cell>
        </row>
        <row r="2088">
          <cell r="A2088" t="str">
            <v>FB260001866</v>
          </cell>
          <cell r="D2088" t="str">
            <v>VSS</v>
          </cell>
        </row>
        <row r="2089">
          <cell r="A2089" t="str">
            <v>FB260001867</v>
          </cell>
          <cell r="D2089" t="str">
            <v>VSS</v>
          </cell>
        </row>
        <row r="2090">
          <cell r="A2090" t="str">
            <v>FB260001868</v>
          </cell>
          <cell r="D2090" t="str">
            <v>NIK</v>
          </cell>
        </row>
        <row r="2091">
          <cell r="A2091" t="str">
            <v>FB260001869</v>
          </cell>
          <cell r="D2091" t="str">
            <v>NIK</v>
          </cell>
        </row>
        <row r="2092">
          <cell r="A2092" t="str">
            <v>FB260001870</v>
          </cell>
          <cell r="D2092" t="str">
            <v>VSS</v>
          </cell>
        </row>
        <row r="2093">
          <cell r="A2093" t="str">
            <v>FB260001871</v>
          </cell>
          <cell r="D2093" t="str">
            <v>VSS</v>
          </cell>
        </row>
        <row r="2094">
          <cell r="A2094" t="str">
            <v>FB260001873</v>
          </cell>
          <cell r="D2094" t="str">
            <v>NIK</v>
          </cell>
        </row>
        <row r="2095">
          <cell r="A2095" t="str">
            <v>FB260001874</v>
          </cell>
          <cell r="D2095" t="str">
            <v>VSS</v>
          </cell>
        </row>
        <row r="2096">
          <cell r="A2096" t="str">
            <v>FB260001876</v>
          </cell>
          <cell r="D2096" t="str">
            <v>VSS</v>
          </cell>
        </row>
        <row r="2097">
          <cell r="A2097" t="str">
            <v>FB260001882</v>
          </cell>
          <cell r="D2097" t="str">
            <v>VSS</v>
          </cell>
        </row>
        <row r="2098">
          <cell r="A2098" t="str">
            <v>FB260001883</v>
          </cell>
          <cell r="D2098" t="str">
            <v>WACE</v>
          </cell>
        </row>
        <row r="2099">
          <cell r="A2099" t="str">
            <v>FB260001884</v>
          </cell>
          <cell r="D2099" t="str">
            <v>VSS</v>
          </cell>
        </row>
        <row r="2100">
          <cell r="A2100" t="str">
            <v>FB260001885</v>
          </cell>
          <cell r="D2100" t="str">
            <v>WACE</v>
          </cell>
        </row>
        <row r="2101">
          <cell r="A2101" t="str">
            <v>FB260001886</v>
          </cell>
          <cell r="D2101" t="str">
            <v>VSS</v>
          </cell>
        </row>
        <row r="2102">
          <cell r="A2102" t="str">
            <v>FB260001888</v>
          </cell>
          <cell r="D2102" t="str">
            <v>VSS</v>
          </cell>
        </row>
        <row r="2103">
          <cell r="A2103" t="str">
            <v>FB260001889</v>
          </cell>
          <cell r="D2103" t="str">
            <v>VSS</v>
          </cell>
        </row>
        <row r="2104">
          <cell r="A2104" t="str">
            <v>FB260001890</v>
          </cell>
          <cell r="D2104" t="str">
            <v>WACE</v>
          </cell>
        </row>
        <row r="2105">
          <cell r="A2105" t="str">
            <v>FB260001891</v>
          </cell>
          <cell r="D2105" t="str">
            <v>VSS</v>
          </cell>
        </row>
        <row r="2106">
          <cell r="A2106" t="str">
            <v>FB260001892</v>
          </cell>
          <cell r="D2106" t="str">
            <v>VSS</v>
          </cell>
        </row>
        <row r="2107">
          <cell r="A2107" t="str">
            <v>FB260001893</v>
          </cell>
          <cell r="D2107" t="str">
            <v>VSS</v>
          </cell>
        </row>
        <row r="2108">
          <cell r="A2108" t="str">
            <v>FB260001894</v>
          </cell>
          <cell r="D2108" t="str">
            <v>PINK</v>
          </cell>
        </row>
        <row r="2109">
          <cell r="A2109" t="str">
            <v>FB260001895</v>
          </cell>
          <cell r="D2109" t="str">
            <v>VSS</v>
          </cell>
        </row>
        <row r="2110">
          <cell r="A2110" t="str">
            <v>FB260001896</v>
          </cell>
          <cell r="D2110" t="str">
            <v>PINK</v>
          </cell>
        </row>
        <row r="2111">
          <cell r="A2111" t="str">
            <v>FB260001897</v>
          </cell>
          <cell r="D2111" t="str">
            <v>LULU</v>
          </cell>
        </row>
        <row r="2112">
          <cell r="A2112" t="str">
            <v>FB260001898</v>
          </cell>
          <cell r="D2112" t="str">
            <v>VSS</v>
          </cell>
        </row>
        <row r="2113">
          <cell r="A2113" t="str">
            <v>FB260001900</v>
          </cell>
          <cell r="D2113" t="str">
            <v>M&amp;S</v>
          </cell>
        </row>
        <row r="2114">
          <cell r="A2114" t="str">
            <v>FB260001901</v>
          </cell>
          <cell r="D2114" t="str">
            <v>LULU</v>
          </cell>
        </row>
        <row r="2115">
          <cell r="A2115" t="str">
            <v>FB260001902</v>
          </cell>
          <cell r="D2115" t="str">
            <v>LULU</v>
          </cell>
        </row>
        <row r="2116">
          <cell r="A2116" t="str">
            <v>FB260001903</v>
          </cell>
          <cell r="D2116" t="str">
            <v>LULU</v>
          </cell>
        </row>
        <row r="2117">
          <cell r="A2117" t="str">
            <v>FB260001905</v>
          </cell>
          <cell r="D2117" t="str">
            <v>VSS</v>
          </cell>
        </row>
        <row r="2118">
          <cell r="A2118" t="str">
            <v>FB260001907</v>
          </cell>
          <cell r="D2118" t="str">
            <v>INT1</v>
          </cell>
        </row>
        <row r="2119">
          <cell r="A2119" t="str">
            <v>FB260001908</v>
          </cell>
          <cell r="D2119" t="str">
            <v>NIK</v>
          </cell>
        </row>
        <row r="2120">
          <cell r="A2120" t="str">
            <v>FB260001909</v>
          </cell>
          <cell r="D2120" t="str">
            <v>LULU</v>
          </cell>
        </row>
        <row r="2121">
          <cell r="A2121" t="str">
            <v>FB260001910</v>
          </cell>
          <cell r="D2121" t="str">
            <v>PEP</v>
          </cell>
        </row>
        <row r="2122">
          <cell r="A2122" t="str">
            <v>FB260001911</v>
          </cell>
          <cell r="D2122" t="str">
            <v>PEP</v>
          </cell>
        </row>
        <row r="2123">
          <cell r="A2123" t="str">
            <v>FB260001914</v>
          </cell>
          <cell r="D2123" t="str">
            <v>VSS</v>
          </cell>
        </row>
        <row r="2124">
          <cell r="A2124" t="str">
            <v>FB260001915</v>
          </cell>
          <cell r="D2124" t="str">
            <v>VSS</v>
          </cell>
        </row>
        <row r="2125">
          <cell r="A2125" t="str">
            <v>FB260001916</v>
          </cell>
          <cell r="D2125" t="str">
            <v>VSS</v>
          </cell>
        </row>
        <row r="2126">
          <cell r="A2126" t="str">
            <v>FB260001917</v>
          </cell>
          <cell r="D2126" t="str">
            <v>VSS</v>
          </cell>
        </row>
        <row r="2127">
          <cell r="A2127" t="str">
            <v>FB260001918</v>
          </cell>
          <cell r="D2127" t="str">
            <v>VSS</v>
          </cell>
        </row>
        <row r="2128">
          <cell r="A2128" t="str">
            <v>FB260001919</v>
          </cell>
          <cell r="D2128" t="str">
            <v>VSS</v>
          </cell>
        </row>
        <row r="2129">
          <cell r="A2129" t="str">
            <v>FB260001920</v>
          </cell>
          <cell r="D2129" t="str">
            <v>VSS</v>
          </cell>
        </row>
        <row r="2130">
          <cell r="A2130" t="str">
            <v>FB260001921</v>
          </cell>
          <cell r="D2130" t="str">
            <v>VSS</v>
          </cell>
        </row>
        <row r="2131">
          <cell r="A2131" t="str">
            <v>FB260001922</v>
          </cell>
          <cell r="D2131" t="str">
            <v>VSS</v>
          </cell>
        </row>
        <row r="2132">
          <cell r="A2132" t="str">
            <v>FB260001923</v>
          </cell>
          <cell r="D2132" t="str">
            <v>VSS</v>
          </cell>
        </row>
        <row r="2133">
          <cell r="A2133" t="str">
            <v>FB260001924</v>
          </cell>
          <cell r="D2133" t="str">
            <v>VSS</v>
          </cell>
        </row>
        <row r="2134">
          <cell r="A2134" t="str">
            <v>FB260001925</v>
          </cell>
          <cell r="D2134" t="str">
            <v>VSS</v>
          </cell>
        </row>
        <row r="2135">
          <cell r="A2135" t="str">
            <v>FB260001926</v>
          </cell>
          <cell r="D2135" t="str">
            <v>VSS</v>
          </cell>
        </row>
        <row r="2136">
          <cell r="A2136" t="str">
            <v>FB260001927</v>
          </cell>
          <cell r="D2136" t="str">
            <v>VSS</v>
          </cell>
        </row>
        <row r="2137">
          <cell r="A2137" t="str">
            <v>FB260001928</v>
          </cell>
          <cell r="D2137" t="str">
            <v>VSS</v>
          </cell>
        </row>
        <row r="2138">
          <cell r="A2138" t="str">
            <v>FB260001929</v>
          </cell>
          <cell r="D2138" t="str">
            <v>WACE</v>
          </cell>
        </row>
        <row r="2139">
          <cell r="A2139" t="str">
            <v>FB260001930</v>
          </cell>
          <cell r="D2139" t="str">
            <v>VSS</v>
          </cell>
        </row>
        <row r="2140">
          <cell r="A2140" t="str">
            <v>FB260001931</v>
          </cell>
          <cell r="D2140" t="str">
            <v>VSS</v>
          </cell>
        </row>
        <row r="2141">
          <cell r="A2141" t="str">
            <v>FB260001932</v>
          </cell>
          <cell r="D2141" t="str">
            <v>VSS</v>
          </cell>
        </row>
        <row r="2142">
          <cell r="A2142" t="str">
            <v>FB260001933</v>
          </cell>
          <cell r="D2142" t="str">
            <v>VSS</v>
          </cell>
        </row>
        <row r="2143">
          <cell r="A2143" t="str">
            <v>FB260001935</v>
          </cell>
          <cell r="D2143" t="str">
            <v>VSS</v>
          </cell>
        </row>
        <row r="2144">
          <cell r="A2144" t="str">
            <v>FB260001936</v>
          </cell>
          <cell r="D2144" t="str">
            <v>VSS</v>
          </cell>
        </row>
        <row r="2145">
          <cell r="A2145" t="str">
            <v>FB260001937</v>
          </cell>
          <cell r="D2145" t="str">
            <v>VSS</v>
          </cell>
        </row>
        <row r="2146">
          <cell r="A2146" t="str">
            <v>FB260001938</v>
          </cell>
          <cell r="D2146" t="str">
            <v>VSS</v>
          </cell>
        </row>
        <row r="2147">
          <cell r="A2147" t="str">
            <v>FB260001939</v>
          </cell>
          <cell r="D2147" t="str">
            <v>VSS</v>
          </cell>
        </row>
        <row r="2148">
          <cell r="A2148" t="str">
            <v>FB260001940</v>
          </cell>
          <cell r="D2148" t="str">
            <v>VSS</v>
          </cell>
        </row>
        <row r="2149">
          <cell r="A2149" t="str">
            <v>FB260001941</v>
          </cell>
          <cell r="D2149" t="str">
            <v>VSS</v>
          </cell>
        </row>
        <row r="2150">
          <cell r="A2150" t="str">
            <v>FB260001942</v>
          </cell>
          <cell r="D2150" t="str">
            <v>VSS</v>
          </cell>
        </row>
        <row r="2151">
          <cell r="A2151" t="str">
            <v>FB260001943</v>
          </cell>
          <cell r="D2151" t="str">
            <v>VSS</v>
          </cell>
        </row>
        <row r="2152">
          <cell r="A2152" t="str">
            <v>FB260001944</v>
          </cell>
          <cell r="D2152" t="str">
            <v>VSS</v>
          </cell>
        </row>
        <row r="2153">
          <cell r="A2153" t="str">
            <v>FB260001945</v>
          </cell>
          <cell r="D2153" t="str">
            <v>VSS</v>
          </cell>
        </row>
        <row r="2154">
          <cell r="A2154" t="str">
            <v>FB260001946</v>
          </cell>
          <cell r="D2154" t="str">
            <v>VSS</v>
          </cell>
        </row>
        <row r="2155">
          <cell r="A2155" t="str">
            <v>FB260001947</v>
          </cell>
          <cell r="D2155" t="str">
            <v>LULU</v>
          </cell>
        </row>
        <row r="2156">
          <cell r="A2156" t="str">
            <v>FB260001948</v>
          </cell>
          <cell r="D2156" t="str">
            <v>LBI</v>
          </cell>
        </row>
        <row r="2157">
          <cell r="A2157" t="str">
            <v>FB260001949</v>
          </cell>
          <cell r="D2157" t="str">
            <v>WACE</v>
          </cell>
        </row>
        <row r="2158">
          <cell r="A2158" t="str">
            <v>FB260001950</v>
          </cell>
          <cell r="D2158" t="str">
            <v>KOM</v>
          </cell>
        </row>
        <row r="2159">
          <cell r="A2159" t="str">
            <v>FB260001951</v>
          </cell>
          <cell r="D2159" t="str">
            <v>NIK</v>
          </cell>
        </row>
        <row r="2160">
          <cell r="A2160" t="str">
            <v>FB260001952</v>
          </cell>
          <cell r="D2160" t="str">
            <v>NIK</v>
          </cell>
        </row>
        <row r="2161">
          <cell r="A2161" t="str">
            <v>FB260001953</v>
          </cell>
          <cell r="D2161" t="str">
            <v>M&amp;S</v>
          </cell>
        </row>
        <row r="2162">
          <cell r="A2162" t="str">
            <v>FB260001954</v>
          </cell>
          <cell r="D2162" t="str">
            <v>PINK</v>
          </cell>
        </row>
        <row r="2163">
          <cell r="A2163" t="str">
            <v>FB260001955</v>
          </cell>
          <cell r="D2163" t="str">
            <v>NIK</v>
          </cell>
        </row>
        <row r="2164">
          <cell r="A2164" t="str">
            <v>FB260001956</v>
          </cell>
          <cell r="D2164" t="str">
            <v>WACE</v>
          </cell>
        </row>
        <row r="2165">
          <cell r="A2165" t="str">
            <v>FB260001957</v>
          </cell>
          <cell r="D2165" t="str">
            <v>WACE</v>
          </cell>
        </row>
        <row r="2166">
          <cell r="A2166" t="str">
            <v>FB260001958</v>
          </cell>
          <cell r="D2166" t="str">
            <v>M&amp;S</v>
          </cell>
        </row>
        <row r="2167">
          <cell r="A2167" t="str">
            <v>FB260001959</v>
          </cell>
          <cell r="D2167" t="str">
            <v>M&amp;S</v>
          </cell>
        </row>
        <row r="2168">
          <cell r="A2168" t="str">
            <v>FB260001961</v>
          </cell>
          <cell r="D2168" t="str">
            <v>VSS</v>
          </cell>
        </row>
        <row r="2169">
          <cell r="A2169" t="str">
            <v>FB260001962</v>
          </cell>
          <cell r="D2169" t="str">
            <v>VSS</v>
          </cell>
        </row>
        <row r="2170">
          <cell r="A2170" t="str">
            <v>FB260001964</v>
          </cell>
          <cell r="D2170" t="str">
            <v>VSS</v>
          </cell>
        </row>
        <row r="2171">
          <cell r="A2171" t="str">
            <v>FB260001965</v>
          </cell>
          <cell r="D2171" t="str">
            <v>VSS</v>
          </cell>
        </row>
        <row r="2172">
          <cell r="A2172" t="str">
            <v>FB260001966</v>
          </cell>
          <cell r="D2172" t="str">
            <v>VSS</v>
          </cell>
        </row>
        <row r="2173">
          <cell r="A2173" t="str">
            <v>FB260001967</v>
          </cell>
          <cell r="D2173" t="str">
            <v>VSS</v>
          </cell>
        </row>
        <row r="2174">
          <cell r="A2174" t="str">
            <v>FB260001968</v>
          </cell>
          <cell r="D2174" t="str">
            <v>VSS</v>
          </cell>
        </row>
        <row r="2175">
          <cell r="A2175" t="str">
            <v>FB260001969</v>
          </cell>
          <cell r="D2175" t="str">
            <v>NIK</v>
          </cell>
        </row>
        <row r="2176">
          <cell r="A2176" t="str">
            <v>FB260001970</v>
          </cell>
          <cell r="D2176" t="str">
            <v>VSS</v>
          </cell>
        </row>
        <row r="2177">
          <cell r="A2177" t="str">
            <v>FB260001971</v>
          </cell>
          <cell r="D2177" t="str">
            <v>VSS</v>
          </cell>
        </row>
        <row r="2178">
          <cell r="A2178" t="str">
            <v>FB260001972</v>
          </cell>
          <cell r="D2178" t="str">
            <v>VSS</v>
          </cell>
        </row>
        <row r="2179">
          <cell r="A2179" t="str">
            <v>FB260001973</v>
          </cell>
          <cell r="D2179" t="str">
            <v>VSS</v>
          </cell>
        </row>
        <row r="2180">
          <cell r="A2180" t="str">
            <v>FB260001974</v>
          </cell>
          <cell r="D2180" t="str">
            <v>VSS</v>
          </cell>
        </row>
        <row r="2181">
          <cell r="A2181" t="str">
            <v>FB260001975</v>
          </cell>
          <cell r="D2181" t="str">
            <v>VSS</v>
          </cell>
        </row>
        <row r="2182">
          <cell r="A2182" t="str">
            <v>FB260001976</v>
          </cell>
          <cell r="D2182" t="str">
            <v>VSS</v>
          </cell>
        </row>
        <row r="2183">
          <cell r="A2183" t="str">
            <v>FB260001977</v>
          </cell>
          <cell r="D2183" t="str">
            <v>VSS</v>
          </cell>
        </row>
        <row r="2184">
          <cell r="A2184" t="str">
            <v>FB260001978</v>
          </cell>
          <cell r="D2184" t="str">
            <v>VSS</v>
          </cell>
        </row>
        <row r="2185">
          <cell r="A2185" t="str">
            <v>FB260001979</v>
          </cell>
          <cell r="D2185" t="str">
            <v>VSS</v>
          </cell>
        </row>
        <row r="2186">
          <cell r="A2186" t="str">
            <v>FB260001980</v>
          </cell>
          <cell r="D2186" t="str">
            <v>VSS</v>
          </cell>
        </row>
        <row r="2187">
          <cell r="A2187" t="str">
            <v>FB260001987</v>
          </cell>
          <cell r="D2187" t="str">
            <v>NIK</v>
          </cell>
        </row>
        <row r="2188">
          <cell r="A2188" t="str">
            <v>FB260001988</v>
          </cell>
          <cell r="D2188" t="str">
            <v>TJEL</v>
          </cell>
        </row>
        <row r="2189">
          <cell r="A2189" t="str">
            <v>FB260001995</v>
          </cell>
          <cell r="D2189" t="str">
            <v>PINK</v>
          </cell>
        </row>
        <row r="2190">
          <cell r="A2190" t="str">
            <v>FB260001996</v>
          </cell>
          <cell r="D2190" t="str">
            <v>NIK</v>
          </cell>
        </row>
        <row r="2191">
          <cell r="A2191" t="str">
            <v>FB260001997</v>
          </cell>
          <cell r="D2191" t="str">
            <v>M&amp;S</v>
          </cell>
        </row>
        <row r="2192">
          <cell r="A2192" t="str">
            <v>FB260001998</v>
          </cell>
          <cell r="D2192" t="str">
            <v>NIK</v>
          </cell>
        </row>
        <row r="2193">
          <cell r="A2193" t="str">
            <v>FB260002000</v>
          </cell>
          <cell r="D2193" t="str">
            <v>LULU</v>
          </cell>
        </row>
        <row r="2194">
          <cell r="A2194" t="str">
            <v>FB260002001</v>
          </cell>
          <cell r="D2194" t="str">
            <v>LULU</v>
          </cell>
        </row>
        <row r="2195">
          <cell r="A2195" t="str">
            <v>FB260002002</v>
          </cell>
          <cell r="D2195" t="str">
            <v>LULU</v>
          </cell>
        </row>
        <row r="2196">
          <cell r="A2196" t="str">
            <v>FB260002008</v>
          </cell>
          <cell r="D2196" t="str">
            <v>LBI</v>
          </cell>
        </row>
        <row r="2197">
          <cell r="A2197" t="str">
            <v>FB260002009</v>
          </cell>
          <cell r="D2197" t="str">
            <v>LULU</v>
          </cell>
        </row>
        <row r="2198">
          <cell r="A2198" t="str">
            <v>FB260002010</v>
          </cell>
          <cell r="D2198" t="str">
            <v>NIK</v>
          </cell>
        </row>
        <row r="2199">
          <cell r="A2199" t="str">
            <v>FB260002011</v>
          </cell>
          <cell r="D2199" t="str">
            <v>NIK</v>
          </cell>
        </row>
        <row r="2200">
          <cell r="A2200" t="str">
            <v>FB260002012</v>
          </cell>
          <cell r="D2200" t="str">
            <v>ASIC</v>
          </cell>
        </row>
        <row r="2201">
          <cell r="A2201" t="str">
            <v>FB260002013</v>
          </cell>
          <cell r="D2201" t="str">
            <v>NEWB</v>
          </cell>
        </row>
        <row r="2202">
          <cell r="A2202" t="str">
            <v>FB260002014</v>
          </cell>
          <cell r="D2202" t="str">
            <v>NEWB</v>
          </cell>
        </row>
        <row r="2203">
          <cell r="A2203" t="str">
            <v>FB260002015</v>
          </cell>
          <cell r="D2203" t="str">
            <v>NEWB</v>
          </cell>
        </row>
        <row r="2204">
          <cell r="A2204" t="str">
            <v>FB260002016</v>
          </cell>
          <cell r="D2204" t="str">
            <v>NEWB</v>
          </cell>
        </row>
        <row r="2205">
          <cell r="A2205" t="str">
            <v>FB260002017</v>
          </cell>
          <cell r="D2205" t="str">
            <v>INT1</v>
          </cell>
        </row>
        <row r="2206">
          <cell r="A2206" t="str">
            <v>FB260002018</v>
          </cell>
          <cell r="D2206" t="str">
            <v>CK</v>
          </cell>
        </row>
        <row r="2207">
          <cell r="A2207" t="str">
            <v>FB260002019</v>
          </cell>
          <cell r="D2207" t="str">
            <v>CK</v>
          </cell>
        </row>
        <row r="2208">
          <cell r="A2208" t="str">
            <v>FB260002020</v>
          </cell>
          <cell r="D2208" t="str">
            <v>CK</v>
          </cell>
        </row>
        <row r="2209">
          <cell r="A2209" t="str">
            <v>FB260002021</v>
          </cell>
          <cell r="D2209" t="str">
            <v>CK</v>
          </cell>
        </row>
        <row r="2210">
          <cell r="A2210" t="str">
            <v>FB260002022</v>
          </cell>
          <cell r="D2210" t="str">
            <v>WACE</v>
          </cell>
        </row>
        <row r="2211">
          <cell r="A2211" t="str">
            <v>FB260002023</v>
          </cell>
          <cell r="D2211" t="str">
            <v>WACE</v>
          </cell>
        </row>
        <row r="2212">
          <cell r="A2212" t="str">
            <v>FB260002024</v>
          </cell>
          <cell r="D2212" t="str">
            <v>WACE</v>
          </cell>
        </row>
        <row r="2213">
          <cell r="A2213" t="str">
            <v>FB260002025</v>
          </cell>
          <cell r="D2213" t="str">
            <v>WACE</v>
          </cell>
        </row>
        <row r="2214">
          <cell r="A2214" t="str">
            <v>FB260002026</v>
          </cell>
          <cell r="D2214" t="str">
            <v>VSS</v>
          </cell>
        </row>
        <row r="2215">
          <cell r="A2215" t="str">
            <v>FB260002027</v>
          </cell>
          <cell r="D2215" t="str">
            <v>WACE</v>
          </cell>
        </row>
        <row r="2216">
          <cell r="A2216" t="str">
            <v>FB260002028</v>
          </cell>
          <cell r="D2216" t="str">
            <v>WACE</v>
          </cell>
        </row>
        <row r="2217">
          <cell r="A2217" t="str">
            <v>FB260002030</v>
          </cell>
          <cell r="D2217" t="str">
            <v>WACE</v>
          </cell>
        </row>
        <row r="2218">
          <cell r="A2218" t="str">
            <v>FB260002031</v>
          </cell>
          <cell r="D2218" t="str">
            <v>PINK</v>
          </cell>
        </row>
        <row r="2219">
          <cell r="A2219" t="str">
            <v>FB260002032</v>
          </cell>
          <cell r="D2219" t="str">
            <v>VSS</v>
          </cell>
        </row>
        <row r="2220">
          <cell r="A2220" t="str">
            <v>FB260002034</v>
          </cell>
          <cell r="D2220" t="str">
            <v>VSS</v>
          </cell>
        </row>
        <row r="2221">
          <cell r="A2221" t="str">
            <v>FB260002035</v>
          </cell>
          <cell r="D2221" t="str">
            <v>VSS</v>
          </cell>
        </row>
        <row r="2222">
          <cell r="A2222" t="str">
            <v>FB260002039</v>
          </cell>
          <cell r="D2222" t="str">
            <v>LBI</v>
          </cell>
        </row>
        <row r="2223">
          <cell r="A2223" t="str">
            <v>FB260002040</v>
          </cell>
          <cell r="D2223" t="str">
            <v>LBI</v>
          </cell>
        </row>
        <row r="2224">
          <cell r="A2224" t="str">
            <v>FB260002041</v>
          </cell>
          <cell r="D2224" t="str">
            <v>LBI</v>
          </cell>
        </row>
        <row r="2225">
          <cell r="A2225" t="str">
            <v>FB260002042</v>
          </cell>
          <cell r="D2225" t="str">
            <v>LBI</v>
          </cell>
        </row>
        <row r="2226">
          <cell r="A2226" t="str">
            <v>FB260002043</v>
          </cell>
          <cell r="D2226" t="str">
            <v>LBI</v>
          </cell>
        </row>
        <row r="2227">
          <cell r="A2227" t="str">
            <v>FB260002044</v>
          </cell>
          <cell r="D2227" t="str">
            <v>LULU</v>
          </cell>
        </row>
        <row r="2228">
          <cell r="A2228" t="str">
            <v>FB260002045</v>
          </cell>
          <cell r="D2228" t="str">
            <v>LULU</v>
          </cell>
        </row>
        <row r="2229">
          <cell r="A2229" t="str">
            <v>FB260002046</v>
          </cell>
          <cell r="D2229" t="str">
            <v>NIK</v>
          </cell>
        </row>
        <row r="2230">
          <cell r="A2230" t="str">
            <v>FB260002048</v>
          </cell>
          <cell r="D2230" t="str">
            <v>VSS</v>
          </cell>
        </row>
        <row r="2231">
          <cell r="A2231" t="str">
            <v>FB260002049</v>
          </cell>
          <cell r="D2231" t="str">
            <v>INT1</v>
          </cell>
        </row>
        <row r="2232">
          <cell r="A2232" t="str">
            <v>FB260002056</v>
          </cell>
          <cell r="D2232" t="str">
            <v>M&amp;S</v>
          </cell>
        </row>
        <row r="2233">
          <cell r="A2233" t="str">
            <v>FB260002057</v>
          </cell>
          <cell r="D2233" t="str">
            <v>LULU</v>
          </cell>
        </row>
        <row r="2234">
          <cell r="A2234" t="str">
            <v>FB260002058</v>
          </cell>
          <cell r="D2234" t="str">
            <v>LULU</v>
          </cell>
        </row>
        <row r="2235">
          <cell r="A2235" t="str">
            <v>FB260002062</v>
          </cell>
          <cell r="D2235" t="str">
            <v>M&amp;S</v>
          </cell>
        </row>
        <row r="2236">
          <cell r="A2236" t="str">
            <v>FB260002063</v>
          </cell>
          <cell r="D2236" t="str">
            <v>INT1</v>
          </cell>
        </row>
        <row r="2237">
          <cell r="A2237" t="str">
            <v>FB260002065</v>
          </cell>
          <cell r="D2237" t="str">
            <v>LBI</v>
          </cell>
        </row>
        <row r="2238">
          <cell r="A2238" t="str">
            <v>FB260002066</v>
          </cell>
          <cell r="D2238" t="str">
            <v>M&amp;S</v>
          </cell>
        </row>
        <row r="2239">
          <cell r="A2239" t="str">
            <v>FB260002067</v>
          </cell>
          <cell r="D2239" t="str">
            <v>INT1</v>
          </cell>
        </row>
        <row r="2240">
          <cell r="A2240" t="str">
            <v>FB260002068</v>
          </cell>
          <cell r="D2240" t="str">
            <v>INT1</v>
          </cell>
        </row>
        <row r="2241">
          <cell r="A2241" t="str">
            <v>FB260002069</v>
          </cell>
          <cell r="D2241" t="str">
            <v>INT1</v>
          </cell>
        </row>
        <row r="2242">
          <cell r="A2242" t="str">
            <v>FB260002070</v>
          </cell>
          <cell r="D2242" t="str">
            <v>VSS</v>
          </cell>
        </row>
        <row r="2243">
          <cell r="A2243" t="str">
            <v>FB260002071</v>
          </cell>
          <cell r="D2243" t="str">
            <v>VSS</v>
          </cell>
        </row>
        <row r="2244">
          <cell r="A2244" t="str">
            <v>FB260002072</v>
          </cell>
          <cell r="D2244" t="str">
            <v>VSS</v>
          </cell>
        </row>
        <row r="2245">
          <cell r="A2245" t="str">
            <v>FB260002073</v>
          </cell>
          <cell r="D2245" t="str">
            <v>VSS</v>
          </cell>
        </row>
        <row r="2246">
          <cell r="A2246" t="str">
            <v>FB260002074</v>
          </cell>
          <cell r="D2246" t="str">
            <v>VSS</v>
          </cell>
        </row>
        <row r="2247">
          <cell r="A2247" t="str">
            <v>FB260002075</v>
          </cell>
          <cell r="D2247" t="str">
            <v>NIK</v>
          </cell>
        </row>
        <row r="2248">
          <cell r="A2248" t="str">
            <v>FB260002076</v>
          </cell>
          <cell r="D2248" t="str">
            <v>NIK</v>
          </cell>
        </row>
        <row r="2249">
          <cell r="A2249" t="str">
            <v>FB260002078</v>
          </cell>
          <cell r="D2249" t="str">
            <v>M&amp;S</v>
          </cell>
        </row>
        <row r="2250">
          <cell r="A2250" t="str">
            <v>FB260002079</v>
          </cell>
          <cell r="D2250" t="str">
            <v>NIK</v>
          </cell>
        </row>
        <row r="2251">
          <cell r="A2251" t="str">
            <v>FB260002080</v>
          </cell>
          <cell r="D2251" t="str">
            <v>WACE</v>
          </cell>
        </row>
        <row r="2252">
          <cell r="A2252" t="str">
            <v>FB260002082</v>
          </cell>
          <cell r="D2252" t="str">
            <v>VSS</v>
          </cell>
        </row>
        <row r="2253">
          <cell r="A2253" t="str">
            <v>FB260002083</v>
          </cell>
          <cell r="D2253" t="str">
            <v>VSS</v>
          </cell>
        </row>
        <row r="2254">
          <cell r="A2254" t="str">
            <v>FB260002084</v>
          </cell>
          <cell r="D2254" t="str">
            <v>CHICOS</v>
          </cell>
        </row>
        <row r="2255">
          <cell r="A2255" t="str">
            <v>FB260002085</v>
          </cell>
          <cell r="D2255" t="str">
            <v>WACE</v>
          </cell>
        </row>
        <row r="2256">
          <cell r="A2256" t="str">
            <v>FB260002088</v>
          </cell>
          <cell r="D2256" t="str">
            <v>NIK</v>
          </cell>
        </row>
        <row r="2257">
          <cell r="A2257" t="str">
            <v>FB260002092</v>
          </cell>
          <cell r="D2257" t="str">
            <v>VSS</v>
          </cell>
        </row>
        <row r="2258">
          <cell r="A2258" t="str">
            <v>FB260002093</v>
          </cell>
          <cell r="D2258" t="str">
            <v>VSS</v>
          </cell>
        </row>
        <row r="2259">
          <cell r="A2259" t="str">
            <v>FB260002094</v>
          </cell>
          <cell r="D2259" t="str">
            <v>HAR</v>
          </cell>
        </row>
        <row r="2260">
          <cell r="A2260" t="str">
            <v>FB260002095</v>
          </cell>
          <cell r="D2260" t="str">
            <v>M&amp;S</v>
          </cell>
        </row>
        <row r="2261">
          <cell r="A2261" t="str">
            <v>FB260002096</v>
          </cell>
          <cell r="D2261" t="str">
            <v>INT1</v>
          </cell>
        </row>
        <row r="2262">
          <cell r="A2262" t="str">
            <v>FB260002098</v>
          </cell>
          <cell r="D2262" t="str">
            <v>LULU</v>
          </cell>
        </row>
        <row r="2263">
          <cell r="A2263" t="str">
            <v>FB260002099</v>
          </cell>
          <cell r="D2263" t="str">
            <v>LULU</v>
          </cell>
        </row>
        <row r="2264">
          <cell r="A2264" t="str">
            <v>FB260002100</v>
          </cell>
          <cell r="D2264" t="str">
            <v>M&amp;S</v>
          </cell>
        </row>
        <row r="2265">
          <cell r="A2265" t="str">
            <v>FB260002101</v>
          </cell>
          <cell r="D2265" t="str">
            <v>LBI</v>
          </cell>
        </row>
        <row r="2266">
          <cell r="A2266" t="str">
            <v>FB260002102</v>
          </cell>
          <cell r="D2266" t="str">
            <v>PINK</v>
          </cell>
        </row>
        <row r="2267">
          <cell r="A2267" t="str">
            <v>FB260002104</v>
          </cell>
          <cell r="D2267" t="str">
            <v>M&amp;S</v>
          </cell>
        </row>
        <row r="2268">
          <cell r="A2268" t="str">
            <v>FB260002105</v>
          </cell>
          <cell r="D2268" t="str">
            <v>PINK</v>
          </cell>
        </row>
        <row r="2269">
          <cell r="A2269" t="str">
            <v>FB260002106</v>
          </cell>
          <cell r="D2269" t="str">
            <v>PINK</v>
          </cell>
        </row>
        <row r="2270">
          <cell r="A2270" t="str">
            <v>FB260002107</v>
          </cell>
          <cell r="D2270" t="str">
            <v>TORD</v>
          </cell>
        </row>
        <row r="2271">
          <cell r="A2271" t="str">
            <v>FB260002108</v>
          </cell>
          <cell r="D2271" t="str">
            <v>WACE</v>
          </cell>
        </row>
        <row r="2272">
          <cell r="A2272" t="str">
            <v>FB260002109</v>
          </cell>
          <cell r="D2272" t="str">
            <v>M&amp;S</v>
          </cell>
        </row>
        <row r="2273">
          <cell r="A2273" t="str">
            <v>FB260002110</v>
          </cell>
          <cell r="D2273" t="str">
            <v>LBI</v>
          </cell>
        </row>
        <row r="2274">
          <cell r="A2274" t="str">
            <v>FB260002111</v>
          </cell>
          <cell r="D2274" t="str">
            <v>LBI</v>
          </cell>
        </row>
        <row r="2275">
          <cell r="A2275" t="str">
            <v>FB260002112</v>
          </cell>
          <cell r="D2275" t="str">
            <v>HAR</v>
          </cell>
        </row>
        <row r="2276">
          <cell r="A2276" t="str">
            <v>FB260002113</v>
          </cell>
          <cell r="D2276" t="str">
            <v>HAR</v>
          </cell>
        </row>
        <row r="2277">
          <cell r="A2277" t="str">
            <v>FB260002114</v>
          </cell>
          <cell r="D2277" t="str">
            <v>HAR</v>
          </cell>
        </row>
        <row r="2278">
          <cell r="A2278" t="str">
            <v>FB260002115</v>
          </cell>
          <cell r="D2278" t="str">
            <v>HAR</v>
          </cell>
        </row>
        <row r="2279">
          <cell r="A2279" t="str">
            <v>FB260002116</v>
          </cell>
          <cell r="D2279" t="str">
            <v>CK</v>
          </cell>
        </row>
        <row r="2280">
          <cell r="A2280" t="str">
            <v>FB260002117</v>
          </cell>
          <cell r="D2280" t="str">
            <v>WACE</v>
          </cell>
        </row>
        <row r="2281">
          <cell r="A2281" t="str">
            <v>FB260002118</v>
          </cell>
          <cell r="D2281" t="str">
            <v>VSS</v>
          </cell>
        </row>
        <row r="2282">
          <cell r="A2282" t="str">
            <v>FB260002119</v>
          </cell>
          <cell r="D2282" t="str">
            <v>VSS</v>
          </cell>
        </row>
        <row r="2283">
          <cell r="A2283" t="str">
            <v>FB260002120</v>
          </cell>
          <cell r="D2283" t="str">
            <v>VSS</v>
          </cell>
        </row>
        <row r="2284">
          <cell r="A2284" t="str">
            <v>FB260002122</v>
          </cell>
          <cell r="D2284" t="str">
            <v>VSS</v>
          </cell>
        </row>
        <row r="2285">
          <cell r="A2285" t="str">
            <v>FB260002124</v>
          </cell>
          <cell r="D2285" t="str">
            <v>LIN</v>
          </cell>
        </row>
        <row r="2286">
          <cell r="A2286" t="str">
            <v>FB260002127</v>
          </cell>
          <cell r="D2286" t="str">
            <v>M&amp;S</v>
          </cell>
        </row>
        <row r="2287">
          <cell r="A2287" t="str">
            <v>FB260002128</v>
          </cell>
          <cell r="D2287" t="str">
            <v>M&amp;S</v>
          </cell>
        </row>
        <row r="2288">
          <cell r="A2288" t="str">
            <v>FB260002129</v>
          </cell>
          <cell r="D2288" t="str">
            <v>M&amp;S</v>
          </cell>
        </row>
        <row r="2289">
          <cell r="A2289" t="str">
            <v>FB260002130</v>
          </cell>
          <cell r="D2289" t="str">
            <v>M&amp;S</v>
          </cell>
        </row>
        <row r="2290">
          <cell r="A2290" t="str">
            <v>FB260002131</v>
          </cell>
          <cell r="D2290" t="str">
            <v>NIK</v>
          </cell>
        </row>
        <row r="2291">
          <cell r="A2291" t="str">
            <v>FB260002132</v>
          </cell>
          <cell r="D2291" t="str">
            <v>INT1</v>
          </cell>
        </row>
        <row r="2292">
          <cell r="A2292" t="str">
            <v>FB260002133</v>
          </cell>
          <cell r="D2292" t="str">
            <v>WACE</v>
          </cell>
        </row>
        <row r="2293">
          <cell r="A2293" t="str">
            <v>FB260002134</v>
          </cell>
          <cell r="D2293" t="str">
            <v>LULU</v>
          </cell>
        </row>
        <row r="2294">
          <cell r="A2294" t="str">
            <v>FB260002135</v>
          </cell>
          <cell r="D2294" t="str">
            <v>LULU</v>
          </cell>
        </row>
        <row r="2295">
          <cell r="A2295" t="str">
            <v>FB260002136</v>
          </cell>
          <cell r="D2295" t="str">
            <v>LULU</v>
          </cell>
        </row>
        <row r="2296">
          <cell r="A2296" t="str">
            <v>FB260002137</v>
          </cell>
          <cell r="D2296" t="str">
            <v>INT1</v>
          </cell>
        </row>
        <row r="2297">
          <cell r="A2297" t="str">
            <v>FB260002139</v>
          </cell>
          <cell r="D2297" t="str">
            <v>WACE</v>
          </cell>
        </row>
        <row r="2298">
          <cell r="A2298" t="str">
            <v>FB260002142</v>
          </cell>
          <cell r="D2298" t="str">
            <v>NIK</v>
          </cell>
        </row>
        <row r="2299">
          <cell r="A2299" t="str">
            <v>FB260002143</v>
          </cell>
          <cell r="D2299" t="str">
            <v>NIK</v>
          </cell>
        </row>
        <row r="2300">
          <cell r="A2300" t="str">
            <v>FB260002144</v>
          </cell>
          <cell r="D2300" t="str">
            <v>NIK</v>
          </cell>
        </row>
        <row r="2301">
          <cell r="A2301" t="str">
            <v>FB260002146</v>
          </cell>
          <cell r="D2301" t="str">
            <v>NIK</v>
          </cell>
        </row>
        <row r="2302">
          <cell r="A2302" t="str">
            <v>FB260002148</v>
          </cell>
          <cell r="D2302" t="str">
            <v>CK</v>
          </cell>
        </row>
        <row r="2303">
          <cell r="A2303" t="str">
            <v>FB260002150</v>
          </cell>
          <cell r="D2303" t="str">
            <v>NIK</v>
          </cell>
        </row>
        <row r="2304">
          <cell r="A2304" t="str">
            <v>FB260002151</v>
          </cell>
          <cell r="D2304" t="str">
            <v>PEP</v>
          </cell>
        </row>
        <row r="2305">
          <cell r="A2305" t="str">
            <v>FB260002153</v>
          </cell>
          <cell r="D2305" t="str">
            <v>NIK</v>
          </cell>
        </row>
        <row r="2306">
          <cell r="A2306" t="str">
            <v>FB260002154</v>
          </cell>
          <cell r="D2306" t="str">
            <v>NIK</v>
          </cell>
        </row>
        <row r="2307">
          <cell r="A2307" t="str">
            <v>FB260002155</v>
          </cell>
          <cell r="D2307" t="str">
            <v>LULU</v>
          </cell>
        </row>
        <row r="2308">
          <cell r="A2308" t="str">
            <v>FB260002156</v>
          </cell>
          <cell r="D2308" t="str">
            <v>M&amp;S</v>
          </cell>
        </row>
        <row r="2309">
          <cell r="A2309" t="str">
            <v>FB260002157</v>
          </cell>
          <cell r="D2309" t="str">
            <v>M&amp;S</v>
          </cell>
        </row>
        <row r="2310">
          <cell r="A2310" t="str">
            <v>FB260002158</v>
          </cell>
          <cell r="D2310" t="str">
            <v>M&amp;S</v>
          </cell>
        </row>
        <row r="2311">
          <cell r="A2311" t="str">
            <v>FB260002161</v>
          </cell>
          <cell r="D2311" t="str">
            <v>NIK</v>
          </cell>
        </row>
        <row r="2312">
          <cell r="A2312" t="str">
            <v>FB260002162</v>
          </cell>
          <cell r="D2312" t="str">
            <v>NIK</v>
          </cell>
        </row>
        <row r="2313">
          <cell r="A2313" t="str">
            <v>FB260002163</v>
          </cell>
          <cell r="D2313" t="str">
            <v>PINK</v>
          </cell>
        </row>
        <row r="2314">
          <cell r="A2314" t="str">
            <v>FB260002164</v>
          </cell>
          <cell r="D2314" t="str">
            <v>M&amp;S</v>
          </cell>
        </row>
        <row r="2315">
          <cell r="A2315" t="str">
            <v>FB260002166</v>
          </cell>
          <cell r="D2315" t="str">
            <v>LULU</v>
          </cell>
        </row>
        <row r="2316">
          <cell r="A2316" t="str">
            <v>FB260002167</v>
          </cell>
          <cell r="D2316" t="str">
            <v>WACE</v>
          </cell>
        </row>
        <row r="2317">
          <cell r="A2317" t="str">
            <v>FB260002168</v>
          </cell>
          <cell r="D2317" t="str">
            <v>INT1</v>
          </cell>
        </row>
        <row r="2318">
          <cell r="A2318" t="str">
            <v>FB260002169</v>
          </cell>
          <cell r="D2318" t="str">
            <v>CK</v>
          </cell>
        </row>
        <row r="2319">
          <cell r="A2319" t="str">
            <v>FB260002170</v>
          </cell>
          <cell r="D2319" t="str">
            <v>VSS</v>
          </cell>
        </row>
        <row r="2320">
          <cell r="A2320" t="str">
            <v>FB260002171</v>
          </cell>
          <cell r="D2320" t="str">
            <v>VSS</v>
          </cell>
        </row>
        <row r="2321">
          <cell r="A2321" t="str">
            <v>FB260002172</v>
          </cell>
          <cell r="D2321" t="str">
            <v>INT1</v>
          </cell>
        </row>
        <row r="2322">
          <cell r="A2322" t="str">
            <v>FB260002173</v>
          </cell>
          <cell r="D2322" t="str">
            <v>VSS</v>
          </cell>
        </row>
        <row r="2323">
          <cell r="A2323" t="str">
            <v>FB260002174</v>
          </cell>
          <cell r="D2323" t="str">
            <v>VSS</v>
          </cell>
        </row>
        <row r="2324">
          <cell r="A2324" t="str">
            <v>FB260002175</v>
          </cell>
          <cell r="D2324" t="str">
            <v>VSS</v>
          </cell>
        </row>
        <row r="2325">
          <cell r="A2325" t="str">
            <v>FB260002176</v>
          </cell>
          <cell r="D2325" t="str">
            <v>VSS</v>
          </cell>
        </row>
        <row r="2326">
          <cell r="A2326" t="str">
            <v>FB260002177</v>
          </cell>
          <cell r="D2326" t="str">
            <v>VSS</v>
          </cell>
        </row>
        <row r="2327">
          <cell r="A2327" t="str">
            <v>FB260002178</v>
          </cell>
          <cell r="D2327" t="str">
            <v>VSS</v>
          </cell>
        </row>
        <row r="2328">
          <cell r="A2328" t="str">
            <v>FB260002179</v>
          </cell>
          <cell r="D2328" t="str">
            <v>VSS</v>
          </cell>
        </row>
        <row r="2329">
          <cell r="A2329" t="str">
            <v>FB260002180</v>
          </cell>
          <cell r="D2329" t="str">
            <v>VSS</v>
          </cell>
        </row>
        <row r="2330">
          <cell r="A2330" t="str">
            <v>FB260002181</v>
          </cell>
          <cell r="D2330" t="str">
            <v>LBI</v>
          </cell>
        </row>
        <row r="2331">
          <cell r="A2331" t="str">
            <v>FB260002182</v>
          </cell>
          <cell r="D2331" t="str">
            <v>LULU</v>
          </cell>
        </row>
        <row r="2332">
          <cell r="A2332" t="str">
            <v>FB260002183</v>
          </cell>
          <cell r="D2332" t="str">
            <v>LULU</v>
          </cell>
        </row>
        <row r="2333">
          <cell r="A2333" t="str">
            <v>FB260002184</v>
          </cell>
          <cell r="D2333" t="str">
            <v>WACE</v>
          </cell>
        </row>
        <row r="2334">
          <cell r="A2334" t="str">
            <v>FB260002185</v>
          </cell>
          <cell r="D2334" t="str">
            <v>VSS</v>
          </cell>
        </row>
        <row r="2335">
          <cell r="A2335" t="str">
            <v>FB260002186</v>
          </cell>
          <cell r="D2335" t="str">
            <v>HAR</v>
          </cell>
        </row>
        <row r="2336">
          <cell r="A2336" t="str">
            <v>FB260002187</v>
          </cell>
          <cell r="D2336" t="str">
            <v>HAR</v>
          </cell>
        </row>
        <row r="2337">
          <cell r="A2337" t="str">
            <v>FB260002188</v>
          </cell>
          <cell r="D2337" t="str">
            <v>HAR</v>
          </cell>
        </row>
        <row r="2338">
          <cell r="A2338" t="str">
            <v>FB260002189</v>
          </cell>
          <cell r="D2338" t="str">
            <v>NIK</v>
          </cell>
        </row>
        <row r="2339">
          <cell r="A2339" t="str">
            <v>FB260002190</v>
          </cell>
          <cell r="D2339" t="str">
            <v>INT1</v>
          </cell>
        </row>
        <row r="2340">
          <cell r="A2340" t="str">
            <v>FB260002191</v>
          </cell>
          <cell r="D2340" t="str">
            <v>ASIC</v>
          </cell>
        </row>
        <row r="2341">
          <cell r="A2341" t="str">
            <v>FB260002192</v>
          </cell>
          <cell r="D2341" t="str">
            <v>VSS</v>
          </cell>
        </row>
        <row r="2342">
          <cell r="A2342" t="str">
            <v>FB260002193</v>
          </cell>
          <cell r="D2342" t="str">
            <v>VSS</v>
          </cell>
        </row>
        <row r="2343">
          <cell r="A2343" t="str">
            <v>FB260002194</v>
          </cell>
          <cell r="D2343" t="str">
            <v>HAR</v>
          </cell>
        </row>
        <row r="2344">
          <cell r="A2344" t="str">
            <v>FB260002195</v>
          </cell>
          <cell r="D2344" t="str">
            <v>CK</v>
          </cell>
        </row>
        <row r="2345">
          <cell r="A2345" t="str">
            <v>FB260002196</v>
          </cell>
          <cell r="D2345" t="str">
            <v>WACE</v>
          </cell>
        </row>
        <row r="2346">
          <cell r="A2346" t="str">
            <v>FB260002197</v>
          </cell>
          <cell r="D2346" t="str">
            <v>NIK</v>
          </cell>
        </row>
        <row r="2347">
          <cell r="A2347" t="str">
            <v>FB260002199</v>
          </cell>
          <cell r="D2347" t="str">
            <v>WACE</v>
          </cell>
        </row>
        <row r="2348">
          <cell r="A2348" t="str">
            <v>FB260002205</v>
          </cell>
          <cell r="D2348" t="str">
            <v>LULU</v>
          </cell>
        </row>
        <row r="2349">
          <cell r="A2349" t="str">
            <v>FB260002206</v>
          </cell>
          <cell r="D2349" t="str">
            <v>LULU</v>
          </cell>
        </row>
        <row r="2350">
          <cell r="A2350" t="str">
            <v>FB260002207</v>
          </cell>
          <cell r="D2350" t="str">
            <v>NEWB</v>
          </cell>
        </row>
        <row r="2351">
          <cell r="A2351" t="str">
            <v>FB260002208</v>
          </cell>
          <cell r="D2351" t="str">
            <v>LULU</v>
          </cell>
        </row>
        <row r="2352">
          <cell r="A2352" t="str">
            <v>FB260002209</v>
          </cell>
          <cell r="D2352" t="str">
            <v>VSS</v>
          </cell>
        </row>
        <row r="2353">
          <cell r="A2353" t="str">
            <v>FB260002210</v>
          </cell>
          <cell r="D2353" t="str">
            <v>VSS</v>
          </cell>
        </row>
        <row r="2354">
          <cell r="A2354" t="str">
            <v>FB260002213</v>
          </cell>
          <cell r="D2354" t="str">
            <v>PINK</v>
          </cell>
        </row>
        <row r="2355">
          <cell r="A2355" t="str">
            <v>FB260002215</v>
          </cell>
          <cell r="D2355" t="str">
            <v>M&amp;S</v>
          </cell>
        </row>
        <row r="2356">
          <cell r="A2356" t="str">
            <v>FB260002217</v>
          </cell>
          <cell r="D2356" t="str">
            <v>LULU</v>
          </cell>
        </row>
        <row r="2357">
          <cell r="A2357" t="str">
            <v>FB260002218</v>
          </cell>
          <cell r="D2357" t="str">
            <v>TORD</v>
          </cell>
        </row>
        <row r="2358">
          <cell r="A2358" t="str">
            <v>FB260002219</v>
          </cell>
          <cell r="D2358" t="str">
            <v>LBI</v>
          </cell>
        </row>
        <row r="2359">
          <cell r="A2359" t="str">
            <v>FB260002220</v>
          </cell>
          <cell r="D2359" t="str">
            <v>M&amp;S</v>
          </cell>
        </row>
        <row r="2360">
          <cell r="A2360" t="str">
            <v>FB260002221</v>
          </cell>
          <cell r="D2360" t="str">
            <v>LBI</v>
          </cell>
        </row>
        <row r="2361">
          <cell r="A2361" t="str">
            <v>FB260002222</v>
          </cell>
          <cell r="D2361" t="str">
            <v>LBI</v>
          </cell>
        </row>
        <row r="2362">
          <cell r="A2362" t="str">
            <v>FB260002223</v>
          </cell>
          <cell r="D2362" t="str">
            <v>TORD</v>
          </cell>
        </row>
        <row r="2363">
          <cell r="A2363" t="str">
            <v>FB260002224</v>
          </cell>
          <cell r="D2363" t="str">
            <v>WACE</v>
          </cell>
        </row>
        <row r="2364">
          <cell r="A2364" t="str">
            <v>FB260002227</v>
          </cell>
          <cell r="D2364" t="str">
            <v>WACE</v>
          </cell>
        </row>
        <row r="2365">
          <cell r="A2365" t="str">
            <v>FB260002228</v>
          </cell>
          <cell r="D2365" t="str">
            <v>VSS</v>
          </cell>
        </row>
        <row r="2366">
          <cell r="A2366" t="str">
            <v>FB260002229</v>
          </cell>
          <cell r="D2366" t="str">
            <v>VSS</v>
          </cell>
        </row>
        <row r="2367">
          <cell r="A2367" t="str">
            <v>FB260002230</v>
          </cell>
          <cell r="D2367" t="str">
            <v>VSS</v>
          </cell>
        </row>
        <row r="2368">
          <cell r="A2368" t="str">
            <v>FB260002233</v>
          </cell>
          <cell r="D2368" t="str">
            <v>WACE</v>
          </cell>
        </row>
        <row r="2369">
          <cell r="A2369" t="str">
            <v>FB260002236</v>
          </cell>
          <cell r="D2369" t="str">
            <v>LBI</v>
          </cell>
        </row>
        <row r="2370">
          <cell r="A2370" t="str">
            <v>FB260002238</v>
          </cell>
          <cell r="D2370" t="str">
            <v>M&amp;S</v>
          </cell>
        </row>
        <row r="2371">
          <cell r="A2371" t="str">
            <v>FB260002239</v>
          </cell>
          <cell r="D2371" t="str">
            <v>M&amp;S</v>
          </cell>
        </row>
        <row r="2372">
          <cell r="A2372" t="str">
            <v>FB260002240</v>
          </cell>
          <cell r="D2372" t="str">
            <v>VSS</v>
          </cell>
        </row>
        <row r="2373">
          <cell r="A2373" t="str">
            <v>FB260002241</v>
          </cell>
          <cell r="D2373" t="str">
            <v>VSS</v>
          </cell>
        </row>
        <row r="2374">
          <cell r="A2374" t="str">
            <v>FB260002242</v>
          </cell>
          <cell r="D2374" t="str">
            <v>PINK</v>
          </cell>
        </row>
        <row r="2375">
          <cell r="A2375" t="str">
            <v>FB260002243</v>
          </cell>
          <cell r="D2375" t="str">
            <v>PINK</v>
          </cell>
        </row>
        <row r="2376">
          <cell r="A2376" t="str">
            <v>FB260002244</v>
          </cell>
          <cell r="D2376" t="str">
            <v>LULU</v>
          </cell>
        </row>
        <row r="2377">
          <cell r="A2377" t="str">
            <v>FB260002245</v>
          </cell>
          <cell r="D2377" t="str">
            <v>LULU</v>
          </cell>
        </row>
        <row r="2378">
          <cell r="A2378" t="str">
            <v>FB260002246</v>
          </cell>
          <cell r="D2378" t="str">
            <v>LULU</v>
          </cell>
        </row>
        <row r="2379">
          <cell r="A2379" t="str">
            <v>FB260002247</v>
          </cell>
          <cell r="D2379" t="str">
            <v>LULU</v>
          </cell>
        </row>
        <row r="2380">
          <cell r="A2380" t="str">
            <v>FB260002248</v>
          </cell>
          <cell r="D2380" t="str">
            <v>LULU</v>
          </cell>
        </row>
        <row r="2381">
          <cell r="A2381" t="str">
            <v>FB260002249</v>
          </cell>
          <cell r="D2381" t="str">
            <v>LULU</v>
          </cell>
        </row>
        <row r="2382">
          <cell r="A2382" t="str">
            <v>FB260002250</v>
          </cell>
          <cell r="D2382" t="str">
            <v>KOM</v>
          </cell>
        </row>
        <row r="2383">
          <cell r="A2383" t="str">
            <v>FB260002251</v>
          </cell>
          <cell r="D2383" t="str">
            <v>M&amp;S</v>
          </cell>
        </row>
        <row r="2384">
          <cell r="A2384" t="str">
            <v>FB260002252</v>
          </cell>
          <cell r="D2384" t="str">
            <v>NIK</v>
          </cell>
        </row>
        <row r="2385">
          <cell r="A2385" t="str">
            <v>FB260002253</v>
          </cell>
          <cell r="D2385" t="str">
            <v>INT1</v>
          </cell>
        </row>
        <row r="2386">
          <cell r="A2386" t="str">
            <v>FB260002254</v>
          </cell>
          <cell r="D2386" t="str">
            <v>CK</v>
          </cell>
        </row>
        <row r="2387">
          <cell r="A2387" t="str">
            <v>FB260002255</v>
          </cell>
          <cell r="D2387" t="str">
            <v>VSS</v>
          </cell>
        </row>
        <row r="2388">
          <cell r="A2388" t="str">
            <v>FB260002257</v>
          </cell>
          <cell r="D2388" t="str">
            <v>NEWB</v>
          </cell>
        </row>
        <row r="2389">
          <cell r="A2389" t="str">
            <v>FB260002258</v>
          </cell>
          <cell r="D2389" t="str">
            <v>PINK</v>
          </cell>
        </row>
        <row r="2390">
          <cell r="A2390" t="str">
            <v>FB260002260</v>
          </cell>
          <cell r="D2390" t="str">
            <v>WACE</v>
          </cell>
        </row>
        <row r="2391">
          <cell r="A2391" t="str">
            <v>FB260002262</v>
          </cell>
          <cell r="D2391" t="str">
            <v>WACE</v>
          </cell>
        </row>
        <row r="2392">
          <cell r="A2392" t="str">
            <v>FB260002263</v>
          </cell>
          <cell r="D2392" t="str">
            <v>PINK</v>
          </cell>
        </row>
        <row r="2393">
          <cell r="A2393" t="str">
            <v>FB260002264</v>
          </cell>
          <cell r="D2393" t="str">
            <v>PINK</v>
          </cell>
        </row>
        <row r="2394">
          <cell r="A2394" t="str">
            <v>FB260002265</v>
          </cell>
          <cell r="D2394" t="str">
            <v>PINK</v>
          </cell>
        </row>
        <row r="2395">
          <cell r="A2395" t="str">
            <v>FB260002266</v>
          </cell>
          <cell r="D2395" t="str">
            <v>PINK</v>
          </cell>
        </row>
        <row r="2396">
          <cell r="A2396" t="str">
            <v>FB260002267</v>
          </cell>
          <cell r="D2396" t="str">
            <v>PINK</v>
          </cell>
        </row>
        <row r="2397">
          <cell r="A2397" t="str">
            <v>FB260002268</v>
          </cell>
          <cell r="D2397" t="str">
            <v>PINK</v>
          </cell>
        </row>
        <row r="2398">
          <cell r="A2398" t="str">
            <v>FB260002269</v>
          </cell>
          <cell r="D2398" t="str">
            <v>PINK</v>
          </cell>
        </row>
        <row r="2399">
          <cell r="A2399" t="str">
            <v>FB260002270</v>
          </cell>
          <cell r="D2399" t="str">
            <v>PINK</v>
          </cell>
        </row>
        <row r="2400">
          <cell r="A2400" t="str">
            <v>FB260002271</v>
          </cell>
          <cell r="D2400" t="str">
            <v>PINK</v>
          </cell>
        </row>
        <row r="2401">
          <cell r="A2401" t="str">
            <v>FB260002272</v>
          </cell>
          <cell r="D2401" t="str">
            <v>PINK</v>
          </cell>
        </row>
        <row r="2402">
          <cell r="A2402" t="str">
            <v>FB260002273</v>
          </cell>
          <cell r="D2402" t="str">
            <v>LULU</v>
          </cell>
        </row>
        <row r="2403">
          <cell r="A2403" t="str">
            <v>FB260002274</v>
          </cell>
          <cell r="D2403" t="str">
            <v>M&amp;S</v>
          </cell>
        </row>
        <row r="2404">
          <cell r="A2404" t="str">
            <v>FB260002275</v>
          </cell>
          <cell r="D2404" t="str">
            <v>WACE</v>
          </cell>
        </row>
        <row r="2405">
          <cell r="A2405" t="str">
            <v>FB260002279</v>
          </cell>
          <cell r="D2405" t="str">
            <v>NIK</v>
          </cell>
        </row>
        <row r="2406">
          <cell r="A2406" t="str">
            <v>FB260002284</v>
          </cell>
          <cell r="D2406" t="str">
            <v>LULU</v>
          </cell>
        </row>
        <row r="2407">
          <cell r="A2407" t="str">
            <v>FB260002285</v>
          </cell>
          <cell r="D2407" t="str">
            <v>LULU</v>
          </cell>
        </row>
        <row r="2408">
          <cell r="A2408" t="str">
            <v>FB260002286</v>
          </cell>
          <cell r="D2408" t="str">
            <v>VSS</v>
          </cell>
        </row>
        <row r="2409">
          <cell r="A2409" t="str">
            <v>FB260002287</v>
          </cell>
          <cell r="D2409" t="str">
            <v>VSS</v>
          </cell>
        </row>
        <row r="2410">
          <cell r="A2410" t="str">
            <v>FB260002288</v>
          </cell>
          <cell r="D2410" t="str">
            <v>VSS</v>
          </cell>
        </row>
        <row r="2411">
          <cell r="A2411" t="str">
            <v>FB260002289</v>
          </cell>
          <cell r="D2411" t="str">
            <v>VSS</v>
          </cell>
        </row>
        <row r="2412">
          <cell r="A2412" t="str">
            <v>FB260002290</v>
          </cell>
          <cell r="D2412" t="str">
            <v>VSS</v>
          </cell>
        </row>
        <row r="2413">
          <cell r="A2413" t="str">
            <v>FB260002291</v>
          </cell>
          <cell r="D2413" t="str">
            <v>VSS</v>
          </cell>
        </row>
        <row r="2414">
          <cell r="A2414" t="str">
            <v>FB260002292</v>
          </cell>
          <cell r="D2414" t="str">
            <v>VSS</v>
          </cell>
        </row>
        <row r="2415">
          <cell r="A2415" t="str">
            <v>FB260002293</v>
          </cell>
          <cell r="D2415" t="str">
            <v>SOM</v>
          </cell>
        </row>
        <row r="2416">
          <cell r="A2416" t="str">
            <v>FB260002294</v>
          </cell>
          <cell r="D2416" t="str">
            <v>M&amp;S</v>
          </cell>
        </row>
        <row r="2417">
          <cell r="A2417" t="str">
            <v>FB260002295</v>
          </cell>
          <cell r="D2417" t="str">
            <v>NIK</v>
          </cell>
        </row>
        <row r="2418">
          <cell r="A2418" t="str">
            <v>FB260002296</v>
          </cell>
          <cell r="D2418" t="str">
            <v>NIK</v>
          </cell>
        </row>
        <row r="2419">
          <cell r="A2419" t="str">
            <v>FB260002299</v>
          </cell>
          <cell r="D2419" t="str">
            <v>M&amp;S</v>
          </cell>
        </row>
        <row r="2420">
          <cell r="A2420" t="str">
            <v>FB260002300</v>
          </cell>
          <cell r="D2420" t="str">
            <v>LULU</v>
          </cell>
        </row>
        <row r="2421">
          <cell r="A2421" t="str">
            <v>FB260002301</v>
          </cell>
          <cell r="D2421" t="str">
            <v>NIK</v>
          </cell>
        </row>
        <row r="2422">
          <cell r="A2422" t="str">
            <v>FB260002302</v>
          </cell>
          <cell r="D2422" t="str">
            <v>NIK</v>
          </cell>
        </row>
        <row r="2423">
          <cell r="A2423" t="str">
            <v>FB260002303</v>
          </cell>
          <cell r="D2423" t="str">
            <v>NIK</v>
          </cell>
        </row>
        <row r="2424">
          <cell r="A2424" t="str">
            <v>FB260002304</v>
          </cell>
          <cell r="D2424" t="str">
            <v>NIK</v>
          </cell>
        </row>
        <row r="2425">
          <cell r="A2425" t="str">
            <v>FB260002305</v>
          </cell>
          <cell r="D2425" t="str">
            <v>NIK</v>
          </cell>
        </row>
        <row r="2426">
          <cell r="A2426" t="str">
            <v>FB260002306</v>
          </cell>
          <cell r="D2426" t="str">
            <v>NIK</v>
          </cell>
        </row>
        <row r="2427">
          <cell r="A2427" t="str">
            <v>FB260002307</v>
          </cell>
          <cell r="D2427" t="str">
            <v>NIK</v>
          </cell>
        </row>
        <row r="2428">
          <cell r="A2428" t="str">
            <v>FB260002308</v>
          </cell>
          <cell r="D2428" t="str">
            <v>NIK</v>
          </cell>
        </row>
        <row r="2429">
          <cell r="A2429" t="str">
            <v>FB260002310</v>
          </cell>
          <cell r="D2429" t="str">
            <v>NIK</v>
          </cell>
        </row>
        <row r="2430">
          <cell r="A2430" t="str">
            <v>FB260002311</v>
          </cell>
          <cell r="D2430" t="str">
            <v>M&amp;S</v>
          </cell>
        </row>
        <row r="2431">
          <cell r="A2431" t="str">
            <v>FB260002312</v>
          </cell>
          <cell r="D2431" t="str">
            <v>M&amp;S</v>
          </cell>
        </row>
        <row r="2432">
          <cell r="A2432" t="str">
            <v>FB260002314</v>
          </cell>
          <cell r="D2432" t="str">
            <v>LBI</v>
          </cell>
        </row>
        <row r="2433">
          <cell r="A2433" t="str">
            <v>FB260002315</v>
          </cell>
          <cell r="D2433" t="str">
            <v>LBI</v>
          </cell>
        </row>
        <row r="2434">
          <cell r="A2434" t="str">
            <v>FB260002316</v>
          </cell>
          <cell r="D2434" t="str">
            <v>LBI</v>
          </cell>
        </row>
        <row r="2435">
          <cell r="A2435" t="str">
            <v>FB260002317</v>
          </cell>
          <cell r="D2435" t="str">
            <v>M&amp;S</v>
          </cell>
        </row>
        <row r="2436">
          <cell r="A2436" t="str">
            <v>FB260002319</v>
          </cell>
          <cell r="D2436" t="str">
            <v>PINK</v>
          </cell>
        </row>
        <row r="2437">
          <cell r="A2437" t="str">
            <v>FB260002321</v>
          </cell>
          <cell r="D2437" t="str">
            <v>INT1</v>
          </cell>
        </row>
        <row r="2438">
          <cell r="A2438" t="str">
            <v>FB260002322</v>
          </cell>
          <cell r="D2438" t="str">
            <v>NEWB</v>
          </cell>
        </row>
        <row r="2439">
          <cell r="A2439" t="str">
            <v>FB260002323</v>
          </cell>
          <cell r="D2439" t="str">
            <v>M&amp;S</v>
          </cell>
        </row>
        <row r="2440">
          <cell r="A2440" t="str">
            <v>FB260002324</v>
          </cell>
          <cell r="D2440" t="str">
            <v>INT1</v>
          </cell>
        </row>
        <row r="2441">
          <cell r="A2441" t="str">
            <v>FB260002325</v>
          </cell>
          <cell r="D2441" t="str">
            <v>WACE</v>
          </cell>
        </row>
        <row r="2442">
          <cell r="A2442" t="str">
            <v>FB260002326</v>
          </cell>
          <cell r="D2442" t="str">
            <v>WACE</v>
          </cell>
        </row>
        <row r="2443">
          <cell r="A2443" t="str">
            <v>FB260002327</v>
          </cell>
          <cell r="D2443" t="str">
            <v>VSS</v>
          </cell>
        </row>
        <row r="2444">
          <cell r="A2444" t="str">
            <v>FB260002330</v>
          </cell>
          <cell r="D2444" t="str">
            <v>GAPO</v>
          </cell>
        </row>
        <row r="2445">
          <cell r="A2445" t="str">
            <v>FB260002331</v>
          </cell>
          <cell r="D2445" t="str">
            <v>CK</v>
          </cell>
        </row>
        <row r="2446">
          <cell r="A2446" t="str">
            <v>FB260002332</v>
          </cell>
          <cell r="D2446" t="str">
            <v>CK</v>
          </cell>
        </row>
        <row r="2447">
          <cell r="A2447" t="str">
            <v>FB260002333</v>
          </cell>
          <cell r="D2447" t="str">
            <v>CK</v>
          </cell>
        </row>
        <row r="2448">
          <cell r="A2448" t="str">
            <v>FB260002334</v>
          </cell>
          <cell r="D2448" t="str">
            <v>CK</v>
          </cell>
        </row>
        <row r="2449">
          <cell r="A2449" t="str">
            <v>FB260002336</v>
          </cell>
          <cell r="D2449" t="str">
            <v>INT1</v>
          </cell>
        </row>
        <row r="2450">
          <cell r="A2450" t="str">
            <v>FB260002338</v>
          </cell>
          <cell r="D2450" t="str">
            <v>LULU</v>
          </cell>
        </row>
        <row r="2451">
          <cell r="A2451" t="str">
            <v>FB260002339</v>
          </cell>
          <cell r="D2451" t="str">
            <v>LULU</v>
          </cell>
        </row>
        <row r="2452">
          <cell r="A2452" t="str">
            <v>FB260002341</v>
          </cell>
          <cell r="D2452" t="str">
            <v>NIK</v>
          </cell>
        </row>
        <row r="2453">
          <cell r="A2453" t="str">
            <v>FB260002342</v>
          </cell>
          <cell r="D2453" t="str">
            <v>NIK</v>
          </cell>
        </row>
        <row r="2454">
          <cell r="A2454" t="str">
            <v>FB260002343</v>
          </cell>
          <cell r="D2454" t="str">
            <v>NIK</v>
          </cell>
        </row>
        <row r="2455">
          <cell r="A2455" t="str">
            <v>FB260002344</v>
          </cell>
          <cell r="D2455" t="str">
            <v>NIK</v>
          </cell>
        </row>
        <row r="2456">
          <cell r="A2456" t="str">
            <v>FB260002345</v>
          </cell>
          <cell r="D2456" t="str">
            <v>PINK</v>
          </cell>
        </row>
        <row r="2457">
          <cell r="A2457" t="str">
            <v>FB260002348</v>
          </cell>
          <cell r="D2457" t="str">
            <v>VSS</v>
          </cell>
        </row>
        <row r="2458">
          <cell r="A2458" t="str">
            <v>FB260002349</v>
          </cell>
          <cell r="D2458" t="str">
            <v>VSS</v>
          </cell>
        </row>
        <row r="2459">
          <cell r="A2459" t="str">
            <v>FB260002351</v>
          </cell>
          <cell r="D2459" t="str">
            <v>VSS</v>
          </cell>
        </row>
        <row r="2460">
          <cell r="A2460" t="str">
            <v>FB260002355</v>
          </cell>
          <cell r="D2460" t="str">
            <v>LBI</v>
          </cell>
        </row>
        <row r="2461">
          <cell r="A2461" t="str">
            <v>FB260002356</v>
          </cell>
          <cell r="D2461" t="str">
            <v>LBI</v>
          </cell>
        </row>
        <row r="2462">
          <cell r="A2462" t="str">
            <v>FB260002357</v>
          </cell>
          <cell r="D2462" t="str">
            <v>TORD</v>
          </cell>
        </row>
        <row r="2463">
          <cell r="A2463" t="str">
            <v>FB260002358</v>
          </cell>
          <cell r="D2463" t="str">
            <v>HAR</v>
          </cell>
        </row>
        <row r="2464">
          <cell r="A2464" t="str">
            <v>FB260002359</v>
          </cell>
          <cell r="D2464" t="str">
            <v>PEP</v>
          </cell>
        </row>
        <row r="2465">
          <cell r="A2465" t="str">
            <v>FB260002360</v>
          </cell>
          <cell r="D2465" t="str">
            <v>HAR</v>
          </cell>
        </row>
        <row r="2466">
          <cell r="A2466" t="str">
            <v>FB260002361</v>
          </cell>
          <cell r="D2466" t="str">
            <v>HAR</v>
          </cell>
        </row>
        <row r="2467">
          <cell r="A2467" t="str">
            <v>FB260002362</v>
          </cell>
          <cell r="D2467" t="str">
            <v>TORD</v>
          </cell>
        </row>
        <row r="2468">
          <cell r="A2468" t="str">
            <v>FB260002364</v>
          </cell>
          <cell r="D2468" t="str">
            <v>INT1</v>
          </cell>
        </row>
        <row r="2469">
          <cell r="A2469" t="str">
            <v>FB260002365</v>
          </cell>
          <cell r="D2469" t="str">
            <v>INT1</v>
          </cell>
        </row>
        <row r="2470">
          <cell r="A2470" t="str">
            <v>FB260002366</v>
          </cell>
          <cell r="D2470" t="str">
            <v>GLA</v>
          </cell>
        </row>
        <row r="2471">
          <cell r="A2471" t="str">
            <v>FB260002367</v>
          </cell>
          <cell r="D2471" t="str">
            <v>NEX</v>
          </cell>
        </row>
        <row r="2472">
          <cell r="A2472" t="str">
            <v>FB260002368</v>
          </cell>
          <cell r="D2472" t="str">
            <v>PINK</v>
          </cell>
        </row>
        <row r="2473">
          <cell r="A2473" t="str">
            <v>FB260002369</v>
          </cell>
          <cell r="D2473" t="str">
            <v>WACE</v>
          </cell>
        </row>
        <row r="2474">
          <cell r="A2474" t="str">
            <v>FB260002371</v>
          </cell>
          <cell r="D2474" t="str">
            <v>VSS</v>
          </cell>
        </row>
        <row r="2475">
          <cell r="A2475" t="str">
            <v>FB260002372</v>
          </cell>
          <cell r="D2475" t="str">
            <v>PINK</v>
          </cell>
        </row>
        <row r="2476">
          <cell r="A2476" t="str">
            <v>FB260002373</v>
          </cell>
          <cell r="D2476" t="str">
            <v>PINK</v>
          </cell>
        </row>
        <row r="2477">
          <cell r="A2477" t="str">
            <v>FB260002374</v>
          </cell>
          <cell r="D2477" t="str">
            <v>PINK</v>
          </cell>
        </row>
        <row r="2478">
          <cell r="A2478" t="str">
            <v>FB260002375</v>
          </cell>
          <cell r="D2478" t="str">
            <v>PINK</v>
          </cell>
        </row>
        <row r="2479">
          <cell r="A2479" t="str">
            <v>FB260002376</v>
          </cell>
          <cell r="D2479" t="str">
            <v>PINK</v>
          </cell>
        </row>
        <row r="2480">
          <cell r="A2480" t="str">
            <v>FB260002377</v>
          </cell>
          <cell r="D2480" t="str">
            <v>PINK</v>
          </cell>
        </row>
        <row r="2481">
          <cell r="A2481" t="str">
            <v>FB260002378</v>
          </cell>
          <cell r="D2481" t="str">
            <v>PINK</v>
          </cell>
        </row>
        <row r="2482">
          <cell r="A2482" t="str">
            <v>FB260002379</v>
          </cell>
          <cell r="D2482" t="str">
            <v>PINK</v>
          </cell>
        </row>
        <row r="2483">
          <cell r="A2483" t="str">
            <v>FB260002380</v>
          </cell>
          <cell r="D2483" t="str">
            <v>WACE</v>
          </cell>
        </row>
        <row r="2484">
          <cell r="A2484" t="str">
            <v>FB260002381</v>
          </cell>
          <cell r="D2484" t="str">
            <v>NIK</v>
          </cell>
        </row>
        <row r="2485">
          <cell r="A2485" t="str">
            <v>FB260002382</v>
          </cell>
          <cell r="D2485" t="str">
            <v>VSS</v>
          </cell>
        </row>
        <row r="2486">
          <cell r="A2486" t="str">
            <v>FB260002383</v>
          </cell>
          <cell r="D2486" t="str">
            <v>VSS</v>
          </cell>
        </row>
        <row r="2487">
          <cell r="A2487" t="str">
            <v>FB260002384</v>
          </cell>
          <cell r="D2487" t="str">
            <v>VSS</v>
          </cell>
        </row>
        <row r="2488">
          <cell r="A2488" t="str">
            <v>FB260002389</v>
          </cell>
          <cell r="D2488" t="str">
            <v>VSS</v>
          </cell>
        </row>
        <row r="2489">
          <cell r="A2489" t="str">
            <v>FB260002390</v>
          </cell>
          <cell r="D2489" t="str">
            <v>VSS</v>
          </cell>
        </row>
        <row r="2490">
          <cell r="A2490" t="str">
            <v>FB260002391</v>
          </cell>
          <cell r="D2490" t="str">
            <v>VSS</v>
          </cell>
        </row>
        <row r="2491">
          <cell r="A2491" t="str">
            <v>FB260002392</v>
          </cell>
          <cell r="D2491" t="str">
            <v>VSS</v>
          </cell>
        </row>
        <row r="2492">
          <cell r="A2492" t="str">
            <v>FB260002393</v>
          </cell>
          <cell r="D2492" t="str">
            <v>VSS</v>
          </cell>
        </row>
        <row r="2493">
          <cell r="A2493" t="str">
            <v>FB260002395</v>
          </cell>
          <cell r="D2493" t="str">
            <v>VSS</v>
          </cell>
        </row>
        <row r="2494">
          <cell r="A2494" t="str">
            <v>FB260002396</v>
          </cell>
          <cell r="D2494" t="str">
            <v>VSS</v>
          </cell>
        </row>
        <row r="2495">
          <cell r="A2495" t="str">
            <v>FB260002397</v>
          </cell>
          <cell r="D2495" t="str">
            <v>VSS</v>
          </cell>
        </row>
        <row r="2496">
          <cell r="A2496" t="str">
            <v>FB260002398</v>
          </cell>
          <cell r="D2496" t="str">
            <v>VSS</v>
          </cell>
        </row>
        <row r="2497">
          <cell r="A2497" t="str">
            <v>FB260002399</v>
          </cell>
          <cell r="D2497" t="str">
            <v>VSS</v>
          </cell>
        </row>
        <row r="2498">
          <cell r="A2498" t="str">
            <v>FB260002400</v>
          </cell>
          <cell r="D2498" t="str">
            <v>VSS</v>
          </cell>
        </row>
        <row r="2499">
          <cell r="A2499" t="str">
            <v>FB260002401</v>
          </cell>
          <cell r="D2499" t="str">
            <v>VSS</v>
          </cell>
        </row>
        <row r="2500">
          <cell r="A2500" t="str">
            <v>FB260002402</v>
          </cell>
          <cell r="D2500" t="str">
            <v>VSS</v>
          </cell>
        </row>
        <row r="2501">
          <cell r="A2501" t="str">
            <v>FB260002403</v>
          </cell>
          <cell r="D2501" t="str">
            <v>VSS</v>
          </cell>
        </row>
        <row r="2502">
          <cell r="A2502" t="str">
            <v>FB260002404</v>
          </cell>
          <cell r="D2502" t="str">
            <v>VSS</v>
          </cell>
        </row>
        <row r="2503">
          <cell r="A2503" t="str">
            <v>FB260002405</v>
          </cell>
          <cell r="D2503" t="str">
            <v>VSS</v>
          </cell>
        </row>
        <row r="2504">
          <cell r="A2504" t="str">
            <v>FB260002406</v>
          </cell>
          <cell r="D2504" t="str">
            <v>VSS</v>
          </cell>
        </row>
        <row r="2505">
          <cell r="A2505" t="str">
            <v>FB260002407</v>
          </cell>
          <cell r="D2505" t="str">
            <v>VSS</v>
          </cell>
        </row>
        <row r="2506">
          <cell r="A2506" t="str">
            <v>FB260002408</v>
          </cell>
          <cell r="D2506" t="str">
            <v>VSS</v>
          </cell>
        </row>
        <row r="2507">
          <cell r="A2507" t="str">
            <v>FB260002409</v>
          </cell>
          <cell r="D2507" t="str">
            <v>VSS</v>
          </cell>
        </row>
        <row r="2508">
          <cell r="A2508" t="str">
            <v>FB260002410</v>
          </cell>
          <cell r="D2508" t="str">
            <v>VSS</v>
          </cell>
        </row>
        <row r="2509">
          <cell r="A2509" t="str">
            <v>FB260002412</v>
          </cell>
          <cell r="D2509" t="str">
            <v>VSS</v>
          </cell>
        </row>
        <row r="2510">
          <cell r="A2510" t="str">
            <v>FB260002413</v>
          </cell>
          <cell r="D2510" t="str">
            <v>VSS</v>
          </cell>
        </row>
        <row r="2511">
          <cell r="A2511" t="str">
            <v>FB260002414</v>
          </cell>
          <cell r="D2511" t="str">
            <v>VSS</v>
          </cell>
        </row>
        <row r="2512">
          <cell r="A2512" t="str">
            <v>FB260002415</v>
          </cell>
          <cell r="D2512" t="str">
            <v>VSS</v>
          </cell>
        </row>
        <row r="2513">
          <cell r="A2513" t="str">
            <v>FB260002416</v>
          </cell>
          <cell r="D2513" t="str">
            <v>VSS</v>
          </cell>
        </row>
        <row r="2514">
          <cell r="A2514" t="str">
            <v>FB260002417</v>
          </cell>
          <cell r="D2514" t="str">
            <v>VSS</v>
          </cell>
        </row>
        <row r="2515">
          <cell r="A2515" t="str">
            <v>FB260002418</v>
          </cell>
          <cell r="D2515" t="str">
            <v>VSS</v>
          </cell>
        </row>
        <row r="2516">
          <cell r="A2516" t="str">
            <v>FB260002419</v>
          </cell>
          <cell r="D2516" t="str">
            <v>VSS</v>
          </cell>
        </row>
        <row r="2517">
          <cell r="A2517" t="str">
            <v>FB260002420</v>
          </cell>
          <cell r="D2517" t="str">
            <v>VSS</v>
          </cell>
        </row>
        <row r="2518">
          <cell r="A2518" t="str">
            <v>FB260002421</v>
          </cell>
          <cell r="D2518" t="str">
            <v>VSS</v>
          </cell>
        </row>
        <row r="2519">
          <cell r="A2519" t="str">
            <v>FB260002425</v>
          </cell>
          <cell r="D2519" t="str">
            <v>VSS</v>
          </cell>
        </row>
        <row r="2520">
          <cell r="A2520" t="str">
            <v>FB260002426</v>
          </cell>
          <cell r="D2520" t="str">
            <v>VSS</v>
          </cell>
        </row>
        <row r="2521">
          <cell r="A2521" t="str">
            <v>FB260002427</v>
          </cell>
          <cell r="D2521" t="str">
            <v>LULU</v>
          </cell>
        </row>
        <row r="2522">
          <cell r="A2522" t="str">
            <v>FB260002428</v>
          </cell>
          <cell r="D2522" t="str">
            <v>LULU</v>
          </cell>
        </row>
        <row r="2523">
          <cell r="A2523" t="str">
            <v>FB260002429</v>
          </cell>
          <cell r="D2523" t="str">
            <v>TORD</v>
          </cell>
        </row>
        <row r="2524">
          <cell r="A2524" t="str">
            <v>FB260002430</v>
          </cell>
          <cell r="D2524" t="str">
            <v>WACE</v>
          </cell>
        </row>
        <row r="2525">
          <cell r="A2525" t="str">
            <v>FB260002431</v>
          </cell>
          <cell r="D2525" t="str">
            <v>WACE</v>
          </cell>
        </row>
        <row r="2526">
          <cell r="A2526" t="str">
            <v>FB260002432</v>
          </cell>
          <cell r="D2526" t="str">
            <v>NIK</v>
          </cell>
        </row>
        <row r="2527">
          <cell r="A2527" t="str">
            <v>FB260002433</v>
          </cell>
          <cell r="D2527" t="str">
            <v>INT1</v>
          </cell>
        </row>
        <row r="2528">
          <cell r="A2528" t="str">
            <v>FB260002434</v>
          </cell>
          <cell r="D2528" t="str">
            <v>INT1</v>
          </cell>
        </row>
        <row r="2529">
          <cell r="A2529" t="str">
            <v>FB260002435</v>
          </cell>
          <cell r="D2529" t="str">
            <v>SPEE</v>
          </cell>
        </row>
        <row r="2530">
          <cell r="A2530" t="str">
            <v>FB260002436</v>
          </cell>
          <cell r="D2530" t="str">
            <v>INT1</v>
          </cell>
        </row>
        <row r="2531">
          <cell r="A2531" t="str">
            <v>FB260002437</v>
          </cell>
          <cell r="D2531" t="str">
            <v>OTHERS</v>
          </cell>
        </row>
        <row r="2532">
          <cell r="A2532" t="str">
            <v>FB260002438</v>
          </cell>
          <cell r="D2532" t="str">
            <v>WAC</v>
          </cell>
        </row>
        <row r="2533">
          <cell r="A2533" t="str">
            <v>FB260002439</v>
          </cell>
          <cell r="D2533" t="str">
            <v>SOM</v>
          </cell>
        </row>
        <row r="2534">
          <cell r="A2534" t="str">
            <v>FB260002440</v>
          </cell>
          <cell r="D2534" t="str">
            <v>VSS</v>
          </cell>
        </row>
        <row r="2535">
          <cell r="A2535" t="str">
            <v>FB260002441</v>
          </cell>
          <cell r="D2535" t="str">
            <v>M&amp;S</v>
          </cell>
        </row>
        <row r="2536">
          <cell r="A2536" t="str">
            <v>FB260002442</v>
          </cell>
          <cell r="D2536" t="str">
            <v>PEP</v>
          </cell>
        </row>
        <row r="2537">
          <cell r="A2537" t="str">
            <v>FB260002443</v>
          </cell>
          <cell r="D2537" t="str">
            <v>VSS</v>
          </cell>
        </row>
        <row r="2538">
          <cell r="A2538" t="str">
            <v>FB260002444</v>
          </cell>
          <cell r="D2538" t="str">
            <v>VSS</v>
          </cell>
        </row>
        <row r="2539">
          <cell r="A2539" t="str">
            <v>FB260002445</v>
          </cell>
          <cell r="D2539" t="str">
            <v>VSS</v>
          </cell>
        </row>
        <row r="2540">
          <cell r="A2540" t="str">
            <v>FB260002449</v>
          </cell>
          <cell r="D2540" t="str">
            <v>VSS</v>
          </cell>
        </row>
        <row r="2541">
          <cell r="A2541" t="str">
            <v>FB260002450</v>
          </cell>
          <cell r="D2541" t="str">
            <v>VSS</v>
          </cell>
        </row>
        <row r="2542">
          <cell r="A2542" t="str">
            <v>FB260002451</v>
          </cell>
          <cell r="D2542" t="str">
            <v>VSS</v>
          </cell>
        </row>
        <row r="2543">
          <cell r="A2543" t="str">
            <v>FB260002452</v>
          </cell>
          <cell r="D2543" t="str">
            <v>VSS</v>
          </cell>
        </row>
        <row r="2544">
          <cell r="A2544" t="str">
            <v>FB260002453</v>
          </cell>
          <cell r="D2544" t="str">
            <v>VSS</v>
          </cell>
        </row>
        <row r="2545">
          <cell r="A2545" t="str">
            <v>FB260002454</v>
          </cell>
          <cell r="D2545" t="str">
            <v>VSS</v>
          </cell>
        </row>
        <row r="2546">
          <cell r="A2546" t="str">
            <v>FB260002455</v>
          </cell>
          <cell r="D2546" t="str">
            <v>VSS</v>
          </cell>
        </row>
        <row r="2547">
          <cell r="A2547" t="str">
            <v>FB260002456</v>
          </cell>
          <cell r="D2547" t="str">
            <v>VSS</v>
          </cell>
        </row>
        <row r="2548">
          <cell r="A2548" t="str">
            <v>FB260002458</v>
          </cell>
          <cell r="D2548" t="str">
            <v>LBI</v>
          </cell>
        </row>
        <row r="2549">
          <cell r="A2549" t="str">
            <v>FB260002459</v>
          </cell>
          <cell r="D2549" t="str">
            <v>VSS</v>
          </cell>
        </row>
        <row r="2550">
          <cell r="A2550" t="str">
            <v>FB260002461</v>
          </cell>
          <cell r="D2550" t="str">
            <v>VSS</v>
          </cell>
        </row>
        <row r="2551">
          <cell r="A2551" t="str">
            <v>FB260002462</v>
          </cell>
          <cell r="D2551" t="str">
            <v>VSS</v>
          </cell>
        </row>
        <row r="2552">
          <cell r="A2552" t="str">
            <v>FB260002463</v>
          </cell>
          <cell r="D2552" t="str">
            <v>VSS</v>
          </cell>
        </row>
        <row r="2553">
          <cell r="A2553" t="str">
            <v>FB260002464</v>
          </cell>
          <cell r="D2553" t="str">
            <v>HAR</v>
          </cell>
        </row>
        <row r="2554">
          <cell r="A2554" t="str">
            <v>FB260002465</v>
          </cell>
          <cell r="D2554" t="str">
            <v>TJEL</v>
          </cell>
        </row>
        <row r="2555">
          <cell r="A2555" t="str">
            <v>FB260002466</v>
          </cell>
          <cell r="D2555" t="str">
            <v>LBI</v>
          </cell>
        </row>
        <row r="2556">
          <cell r="A2556" t="str">
            <v>FB260002467</v>
          </cell>
          <cell r="D2556" t="str">
            <v>GLA</v>
          </cell>
        </row>
        <row r="2557">
          <cell r="A2557" t="str">
            <v>FB260002468</v>
          </cell>
          <cell r="D2557" t="str">
            <v>WACE</v>
          </cell>
        </row>
        <row r="2558">
          <cell r="A2558" t="str">
            <v>FB260002470</v>
          </cell>
          <cell r="D2558" t="str">
            <v>WACE</v>
          </cell>
        </row>
        <row r="2559">
          <cell r="A2559" t="str">
            <v>FB260002471</v>
          </cell>
          <cell r="D2559" t="str">
            <v>HAR</v>
          </cell>
        </row>
        <row r="2560">
          <cell r="A2560" t="str">
            <v>FB260002472</v>
          </cell>
          <cell r="D2560" t="str">
            <v>INT1</v>
          </cell>
        </row>
        <row r="2561">
          <cell r="A2561" t="str">
            <v>FB260002473</v>
          </cell>
          <cell r="D2561" t="str">
            <v>PINK</v>
          </cell>
        </row>
        <row r="2562">
          <cell r="A2562" t="str">
            <v>FB260002474</v>
          </cell>
          <cell r="D2562" t="str">
            <v>CK</v>
          </cell>
        </row>
        <row r="2563">
          <cell r="A2563" t="str">
            <v>FB260002475</v>
          </cell>
          <cell r="D2563" t="str">
            <v>PINK</v>
          </cell>
        </row>
        <row r="2564">
          <cell r="A2564" t="str">
            <v>FB260002476</v>
          </cell>
          <cell r="D2564" t="str">
            <v>PINK</v>
          </cell>
        </row>
        <row r="2565">
          <cell r="A2565" t="str">
            <v>FB260002478</v>
          </cell>
          <cell r="D2565" t="str">
            <v>VSS</v>
          </cell>
        </row>
        <row r="2566">
          <cell r="A2566" t="str">
            <v>FB260002479</v>
          </cell>
          <cell r="D2566" t="str">
            <v>VSS</v>
          </cell>
        </row>
        <row r="2567">
          <cell r="A2567" t="str">
            <v>FB260002480</v>
          </cell>
          <cell r="D2567" t="str">
            <v>VSS</v>
          </cell>
        </row>
        <row r="2568">
          <cell r="A2568" t="str">
            <v>FB260002482</v>
          </cell>
          <cell r="D2568" t="str">
            <v>CK</v>
          </cell>
        </row>
        <row r="2569">
          <cell r="A2569" t="str">
            <v>FB260002483</v>
          </cell>
          <cell r="D2569" t="str">
            <v>CK</v>
          </cell>
        </row>
        <row r="2570">
          <cell r="A2570" t="str">
            <v>FB260002484</v>
          </cell>
          <cell r="D2570" t="str">
            <v>CK</v>
          </cell>
        </row>
        <row r="2571">
          <cell r="A2571" t="str">
            <v>FB260002485</v>
          </cell>
          <cell r="D2571" t="str">
            <v>VSS</v>
          </cell>
        </row>
        <row r="2572">
          <cell r="A2572" t="str">
            <v>FB260002486</v>
          </cell>
          <cell r="D2572" t="str">
            <v>VSS</v>
          </cell>
        </row>
        <row r="2573">
          <cell r="A2573" t="str">
            <v>FB260002487</v>
          </cell>
          <cell r="D2573" t="str">
            <v>VSS</v>
          </cell>
        </row>
        <row r="2574">
          <cell r="A2574" t="str">
            <v>FB260002489</v>
          </cell>
          <cell r="D2574" t="str">
            <v>CK</v>
          </cell>
        </row>
        <row r="2575">
          <cell r="A2575" t="str">
            <v>FB260002490</v>
          </cell>
          <cell r="D2575" t="str">
            <v>VSS</v>
          </cell>
        </row>
        <row r="2576">
          <cell r="A2576" t="str">
            <v>FB260002491</v>
          </cell>
          <cell r="D2576" t="str">
            <v>NEWB</v>
          </cell>
        </row>
        <row r="2577">
          <cell r="A2577" t="str">
            <v>FB260002493</v>
          </cell>
          <cell r="D2577" t="str">
            <v>INT1</v>
          </cell>
        </row>
        <row r="2578">
          <cell r="A2578" t="str">
            <v>FB260002496</v>
          </cell>
          <cell r="D2578" t="str">
            <v>INT1</v>
          </cell>
        </row>
        <row r="2579">
          <cell r="A2579" t="str">
            <v>FB260002497</v>
          </cell>
          <cell r="D2579" t="str">
            <v>TORD</v>
          </cell>
        </row>
        <row r="2580">
          <cell r="A2580" t="str">
            <v>FB260002498</v>
          </cell>
          <cell r="D2580" t="str">
            <v>M&amp;S</v>
          </cell>
        </row>
        <row r="2581">
          <cell r="A2581" t="str">
            <v>FB260002500</v>
          </cell>
          <cell r="D2581" t="str">
            <v>VSS</v>
          </cell>
        </row>
        <row r="2582">
          <cell r="A2582" t="str">
            <v>FB260002501</v>
          </cell>
          <cell r="D2582" t="str">
            <v>VSS</v>
          </cell>
        </row>
        <row r="2583">
          <cell r="A2583" t="str">
            <v>FB260002502</v>
          </cell>
          <cell r="D2583" t="str">
            <v>VSS</v>
          </cell>
        </row>
        <row r="2584">
          <cell r="A2584" t="str">
            <v>FB260002503</v>
          </cell>
          <cell r="D2584" t="str">
            <v>VSS</v>
          </cell>
        </row>
        <row r="2585">
          <cell r="A2585" t="str">
            <v>FB260002504</v>
          </cell>
          <cell r="D2585" t="str">
            <v>CK</v>
          </cell>
        </row>
        <row r="2586">
          <cell r="A2586" t="str">
            <v>FB260002505</v>
          </cell>
          <cell r="D2586" t="str">
            <v>WACE</v>
          </cell>
        </row>
        <row r="2587">
          <cell r="A2587" t="str">
            <v>FB260002506</v>
          </cell>
          <cell r="D2587" t="str">
            <v>PINK</v>
          </cell>
        </row>
        <row r="2588">
          <cell r="A2588" t="str">
            <v>FB260002507</v>
          </cell>
          <cell r="D2588" t="str">
            <v>PINK</v>
          </cell>
        </row>
        <row r="2589">
          <cell r="A2589" t="str">
            <v>FB260002510</v>
          </cell>
          <cell r="D2589" t="str">
            <v>VSS</v>
          </cell>
        </row>
        <row r="2590">
          <cell r="A2590" t="str">
            <v>FB260002511</v>
          </cell>
          <cell r="D2590" t="str">
            <v>M&amp;S</v>
          </cell>
        </row>
        <row r="2591">
          <cell r="A2591" t="str">
            <v>FB260002512</v>
          </cell>
          <cell r="D2591" t="str">
            <v>M&amp;S</v>
          </cell>
        </row>
        <row r="2592">
          <cell r="A2592" t="str">
            <v>FB260002513</v>
          </cell>
          <cell r="D2592" t="str">
            <v>PEP</v>
          </cell>
        </row>
        <row r="2593">
          <cell r="A2593" t="str">
            <v>FB260002514</v>
          </cell>
          <cell r="D2593" t="str">
            <v>WACE</v>
          </cell>
        </row>
        <row r="2594">
          <cell r="A2594" t="str">
            <v>FB260002518</v>
          </cell>
          <cell r="D2594" t="str">
            <v>PINK</v>
          </cell>
        </row>
        <row r="2595">
          <cell r="A2595" t="str">
            <v>FB260002519</v>
          </cell>
          <cell r="D2595" t="str">
            <v>CK</v>
          </cell>
        </row>
        <row r="2596">
          <cell r="A2596" t="str">
            <v>FB260002520</v>
          </cell>
          <cell r="D2596" t="str">
            <v>VSS</v>
          </cell>
        </row>
        <row r="2597">
          <cell r="A2597" t="str">
            <v>FB260002521</v>
          </cell>
          <cell r="D2597" t="str">
            <v>VSS</v>
          </cell>
        </row>
        <row r="2598">
          <cell r="A2598" t="str">
            <v>FB260002522</v>
          </cell>
          <cell r="D2598" t="str">
            <v>VSS</v>
          </cell>
        </row>
        <row r="2599">
          <cell r="A2599" t="str">
            <v>FB260002523</v>
          </cell>
          <cell r="D2599" t="str">
            <v>PINK</v>
          </cell>
        </row>
        <row r="2600">
          <cell r="A2600" t="str">
            <v>FB260002524</v>
          </cell>
          <cell r="D2600" t="str">
            <v>PINK</v>
          </cell>
        </row>
        <row r="2601">
          <cell r="A2601" t="str">
            <v>FB260002526</v>
          </cell>
          <cell r="D2601" t="str">
            <v>PINK</v>
          </cell>
        </row>
        <row r="2602">
          <cell r="A2602" t="str">
            <v>FB260002527</v>
          </cell>
          <cell r="D2602" t="str">
            <v>PINK</v>
          </cell>
        </row>
        <row r="2603">
          <cell r="A2603" t="str">
            <v>FB260002528</v>
          </cell>
          <cell r="D2603" t="str">
            <v>PINK</v>
          </cell>
        </row>
        <row r="2604">
          <cell r="A2604" t="str">
            <v>FB260002529</v>
          </cell>
          <cell r="D2604" t="str">
            <v>PINK</v>
          </cell>
        </row>
        <row r="2605">
          <cell r="A2605" t="str">
            <v>FB260002530</v>
          </cell>
          <cell r="D2605" t="str">
            <v>PINK</v>
          </cell>
        </row>
        <row r="2606">
          <cell r="A2606" t="str">
            <v>FB260002531</v>
          </cell>
          <cell r="D2606" t="str">
            <v>PINK</v>
          </cell>
        </row>
        <row r="2607">
          <cell r="A2607" t="str">
            <v>FB260002532</v>
          </cell>
          <cell r="D2607" t="str">
            <v>PINK</v>
          </cell>
        </row>
        <row r="2608">
          <cell r="A2608" t="str">
            <v>FB260002533</v>
          </cell>
          <cell r="D2608" t="str">
            <v>PINK</v>
          </cell>
        </row>
        <row r="2609">
          <cell r="A2609" t="str">
            <v>FB260002534</v>
          </cell>
          <cell r="D2609" t="str">
            <v>PINK</v>
          </cell>
        </row>
        <row r="2610">
          <cell r="A2610" t="str">
            <v>FB260002535</v>
          </cell>
          <cell r="D2610" t="str">
            <v>PINK</v>
          </cell>
        </row>
        <row r="2611">
          <cell r="A2611" t="str">
            <v>FB260002536</v>
          </cell>
          <cell r="D2611" t="str">
            <v>PINK</v>
          </cell>
        </row>
        <row r="2612">
          <cell r="A2612" t="str">
            <v>FB260002537</v>
          </cell>
          <cell r="D2612" t="str">
            <v>PINK</v>
          </cell>
        </row>
        <row r="2613">
          <cell r="A2613" t="str">
            <v>FB260002538</v>
          </cell>
          <cell r="D2613" t="str">
            <v>PINK</v>
          </cell>
        </row>
        <row r="2614">
          <cell r="A2614" t="str">
            <v>FB260002539</v>
          </cell>
          <cell r="D2614" t="str">
            <v>PINK</v>
          </cell>
        </row>
        <row r="2615">
          <cell r="A2615" t="str">
            <v>FB260002540</v>
          </cell>
          <cell r="D2615" t="str">
            <v>WACE</v>
          </cell>
        </row>
        <row r="2616">
          <cell r="A2616" t="str">
            <v>FB260002541</v>
          </cell>
          <cell r="D2616" t="str">
            <v>INT1</v>
          </cell>
        </row>
        <row r="2617">
          <cell r="A2617" t="str">
            <v>FB260002542</v>
          </cell>
          <cell r="D2617" t="str">
            <v>WACE</v>
          </cell>
        </row>
        <row r="2618">
          <cell r="A2618" t="str">
            <v>FB260002543</v>
          </cell>
          <cell r="D2618" t="str">
            <v>VSS</v>
          </cell>
        </row>
        <row r="2619">
          <cell r="A2619" t="str">
            <v>FB260002544</v>
          </cell>
          <cell r="D2619" t="str">
            <v>VSS</v>
          </cell>
        </row>
        <row r="2620">
          <cell r="A2620" t="str">
            <v>FB260002545</v>
          </cell>
          <cell r="D2620" t="str">
            <v>VSS</v>
          </cell>
        </row>
        <row r="2621">
          <cell r="A2621" t="str">
            <v>FB260002546</v>
          </cell>
          <cell r="D2621" t="str">
            <v>VSS</v>
          </cell>
        </row>
        <row r="2622">
          <cell r="A2622" t="str">
            <v>FB260002547</v>
          </cell>
          <cell r="D2622" t="str">
            <v>SPEE</v>
          </cell>
        </row>
        <row r="2623">
          <cell r="A2623" t="str">
            <v>FB260002548</v>
          </cell>
          <cell r="D2623" t="str">
            <v>WACE</v>
          </cell>
        </row>
        <row r="2624">
          <cell r="A2624" t="str">
            <v>FB260002549</v>
          </cell>
          <cell r="D2624" t="str">
            <v>INT1</v>
          </cell>
        </row>
        <row r="2625">
          <cell r="A2625" t="str">
            <v>FB260002550</v>
          </cell>
          <cell r="D2625" t="str">
            <v>NIK</v>
          </cell>
        </row>
        <row r="2626">
          <cell r="A2626" t="str">
            <v>FB260002551</v>
          </cell>
          <cell r="D2626" t="str">
            <v>NIK</v>
          </cell>
        </row>
        <row r="2627">
          <cell r="A2627" t="str">
            <v>FB260002552</v>
          </cell>
          <cell r="D2627" t="str">
            <v>TORD</v>
          </cell>
        </row>
        <row r="2628">
          <cell r="A2628" t="str">
            <v>FB260002553</v>
          </cell>
          <cell r="D2628" t="str">
            <v>LBI</v>
          </cell>
        </row>
        <row r="2629">
          <cell r="A2629" t="str">
            <v>FB260002554</v>
          </cell>
          <cell r="D2629" t="str">
            <v>LBI</v>
          </cell>
        </row>
        <row r="2630">
          <cell r="A2630" t="str">
            <v>FB260002556</v>
          </cell>
          <cell r="D2630" t="str">
            <v>VSS</v>
          </cell>
        </row>
        <row r="2631">
          <cell r="A2631" t="str">
            <v>FB260002557</v>
          </cell>
          <cell r="D2631" t="str">
            <v>LULU</v>
          </cell>
        </row>
        <row r="2632">
          <cell r="A2632" t="str">
            <v>FB260002558</v>
          </cell>
          <cell r="D2632" t="str">
            <v>HAR</v>
          </cell>
        </row>
        <row r="2633">
          <cell r="A2633" t="str">
            <v>FB260002559</v>
          </cell>
          <cell r="D2633" t="str">
            <v>NIK</v>
          </cell>
        </row>
        <row r="2634">
          <cell r="A2634" t="str">
            <v>FB260002560</v>
          </cell>
          <cell r="D2634" t="str">
            <v>NIK</v>
          </cell>
        </row>
        <row r="2635">
          <cell r="A2635" t="str">
            <v>FB260002561</v>
          </cell>
          <cell r="D2635" t="str">
            <v>HAR</v>
          </cell>
        </row>
        <row r="2636">
          <cell r="A2636" t="str">
            <v>FB260002562</v>
          </cell>
          <cell r="D2636" t="str">
            <v>HAR</v>
          </cell>
        </row>
        <row r="2637">
          <cell r="A2637" t="str">
            <v>FB260002563</v>
          </cell>
          <cell r="D2637" t="str">
            <v>NIK</v>
          </cell>
        </row>
        <row r="2638">
          <cell r="A2638" t="str">
            <v>FB260002564</v>
          </cell>
          <cell r="D2638" t="str">
            <v>LBI</v>
          </cell>
        </row>
        <row r="2639">
          <cell r="A2639" t="str">
            <v>FB260002565</v>
          </cell>
          <cell r="D2639" t="str">
            <v>HAR</v>
          </cell>
        </row>
        <row r="2640">
          <cell r="A2640" t="str">
            <v>FB260002566</v>
          </cell>
          <cell r="D2640" t="str">
            <v>HAR</v>
          </cell>
        </row>
        <row r="2641">
          <cell r="A2641" t="str">
            <v>FB260002567</v>
          </cell>
          <cell r="D2641" t="str">
            <v>HAR</v>
          </cell>
        </row>
        <row r="2642">
          <cell r="A2642" t="str">
            <v>FB260002569</v>
          </cell>
          <cell r="D2642" t="str">
            <v>ASIC</v>
          </cell>
        </row>
        <row r="2643">
          <cell r="A2643" t="str">
            <v>FB260002570</v>
          </cell>
          <cell r="D2643" t="str">
            <v>ASIC</v>
          </cell>
        </row>
        <row r="2644">
          <cell r="A2644" t="str">
            <v>FB260002572</v>
          </cell>
          <cell r="D2644" t="str">
            <v>HAR</v>
          </cell>
        </row>
        <row r="2645">
          <cell r="A2645" t="str">
            <v>FB260002573</v>
          </cell>
          <cell r="D2645" t="str">
            <v>LULU</v>
          </cell>
        </row>
        <row r="2646">
          <cell r="A2646" t="str">
            <v>FB260002574</v>
          </cell>
          <cell r="D2646" t="str">
            <v>WACE</v>
          </cell>
        </row>
        <row r="2647">
          <cell r="A2647" t="str">
            <v>FB260002575</v>
          </cell>
          <cell r="D2647" t="str">
            <v>WACE</v>
          </cell>
        </row>
        <row r="2648">
          <cell r="A2648" t="str">
            <v>FB260002576</v>
          </cell>
          <cell r="D2648" t="str">
            <v>WACE</v>
          </cell>
        </row>
        <row r="2649">
          <cell r="A2649" t="str">
            <v>FB260002577</v>
          </cell>
          <cell r="D2649" t="str">
            <v>INT1</v>
          </cell>
        </row>
        <row r="2650">
          <cell r="A2650" t="str">
            <v>FB260002578</v>
          </cell>
          <cell r="D2650" t="str">
            <v>CK</v>
          </cell>
        </row>
        <row r="2651">
          <cell r="A2651" t="str">
            <v>FB260002579</v>
          </cell>
          <cell r="D2651" t="str">
            <v>WACE</v>
          </cell>
        </row>
        <row r="2652">
          <cell r="A2652" t="str">
            <v>FB260002580</v>
          </cell>
          <cell r="D2652" t="str">
            <v>INT1</v>
          </cell>
        </row>
        <row r="2653">
          <cell r="A2653" t="str">
            <v>FB260002583</v>
          </cell>
          <cell r="D2653" t="str">
            <v>WACE</v>
          </cell>
        </row>
        <row r="2654">
          <cell r="A2654" t="str">
            <v>FB260002584</v>
          </cell>
          <cell r="D2654" t="str">
            <v>VSS</v>
          </cell>
        </row>
        <row r="2655">
          <cell r="A2655" t="str">
            <v>FB260002585</v>
          </cell>
          <cell r="D2655" t="str">
            <v>WACE</v>
          </cell>
        </row>
        <row r="2656">
          <cell r="A2656" t="str">
            <v>FB260002586</v>
          </cell>
          <cell r="D2656" t="str">
            <v>CK</v>
          </cell>
        </row>
        <row r="2657">
          <cell r="A2657" t="str">
            <v>FB260002587</v>
          </cell>
          <cell r="D2657" t="str">
            <v>VSS</v>
          </cell>
        </row>
        <row r="2658">
          <cell r="A2658" t="str">
            <v>FB260002588</v>
          </cell>
          <cell r="D2658" t="str">
            <v>VSS</v>
          </cell>
        </row>
        <row r="2659">
          <cell r="A2659" t="str">
            <v>FB260002589</v>
          </cell>
          <cell r="D2659" t="str">
            <v>PINK</v>
          </cell>
        </row>
        <row r="2660">
          <cell r="A2660" t="str">
            <v>FB260002590</v>
          </cell>
          <cell r="D2660" t="str">
            <v>WACE</v>
          </cell>
        </row>
        <row r="2661">
          <cell r="A2661" t="str">
            <v>FB260002591</v>
          </cell>
          <cell r="D2661" t="str">
            <v>VSS</v>
          </cell>
        </row>
        <row r="2662">
          <cell r="A2662" t="str">
            <v>FB260002592</v>
          </cell>
          <cell r="D2662" t="str">
            <v>VSS</v>
          </cell>
        </row>
        <row r="2663">
          <cell r="A2663" t="str">
            <v>FB260002593</v>
          </cell>
          <cell r="D2663" t="str">
            <v>PINK</v>
          </cell>
        </row>
        <row r="2664">
          <cell r="A2664" t="str">
            <v>FB260002594</v>
          </cell>
          <cell r="D2664" t="str">
            <v>PINK</v>
          </cell>
        </row>
        <row r="2665">
          <cell r="A2665" t="str">
            <v>FB260002595</v>
          </cell>
          <cell r="D2665" t="str">
            <v>VSS</v>
          </cell>
        </row>
        <row r="2666">
          <cell r="A2666" t="str">
            <v>FB260002596</v>
          </cell>
          <cell r="D2666" t="str">
            <v>PINK</v>
          </cell>
        </row>
        <row r="2667">
          <cell r="A2667" t="str">
            <v>FB260002597</v>
          </cell>
          <cell r="D2667" t="str">
            <v>PINK</v>
          </cell>
        </row>
        <row r="2668">
          <cell r="A2668" t="str">
            <v>FB260002598</v>
          </cell>
          <cell r="D2668" t="str">
            <v>PINK</v>
          </cell>
        </row>
        <row r="2669">
          <cell r="A2669" t="str">
            <v>FB260002599</v>
          </cell>
          <cell r="D2669" t="str">
            <v>PINK</v>
          </cell>
        </row>
        <row r="2670">
          <cell r="A2670" t="str">
            <v>FB260002600</v>
          </cell>
          <cell r="D2670" t="str">
            <v>PINK</v>
          </cell>
        </row>
        <row r="2671">
          <cell r="A2671" t="str">
            <v>FB260002601</v>
          </cell>
          <cell r="D2671" t="str">
            <v>PINK</v>
          </cell>
        </row>
        <row r="2672">
          <cell r="A2672" t="str">
            <v>FB260002602</v>
          </cell>
          <cell r="D2672" t="str">
            <v>PINK</v>
          </cell>
        </row>
        <row r="2673">
          <cell r="A2673" t="str">
            <v>FB260002603</v>
          </cell>
          <cell r="D2673" t="str">
            <v>WACE</v>
          </cell>
        </row>
        <row r="2674">
          <cell r="A2674" t="str">
            <v>FB260002604</v>
          </cell>
          <cell r="D2674" t="str">
            <v>PINK</v>
          </cell>
        </row>
        <row r="2675">
          <cell r="A2675" t="str">
            <v>FB260002605</v>
          </cell>
          <cell r="D2675" t="str">
            <v>PINK</v>
          </cell>
        </row>
        <row r="2676">
          <cell r="A2676" t="str">
            <v>FB260002606</v>
          </cell>
          <cell r="D2676" t="str">
            <v>CK</v>
          </cell>
        </row>
        <row r="2677">
          <cell r="A2677" t="str">
            <v>FB260002607</v>
          </cell>
          <cell r="D2677" t="str">
            <v>CK</v>
          </cell>
        </row>
        <row r="2678">
          <cell r="A2678" t="str">
            <v>FB260002608</v>
          </cell>
          <cell r="D2678" t="str">
            <v>VSS</v>
          </cell>
        </row>
        <row r="2679">
          <cell r="A2679" t="str">
            <v>FB260002609</v>
          </cell>
          <cell r="D2679" t="str">
            <v>VSS</v>
          </cell>
        </row>
        <row r="2680">
          <cell r="A2680" t="str">
            <v>FB260002610</v>
          </cell>
          <cell r="D2680" t="str">
            <v>VSS</v>
          </cell>
        </row>
        <row r="2681">
          <cell r="A2681" t="str">
            <v>FB260002611</v>
          </cell>
          <cell r="D2681" t="str">
            <v>VSS</v>
          </cell>
        </row>
        <row r="2682">
          <cell r="A2682" t="str">
            <v>FB260002612</v>
          </cell>
          <cell r="D2682" t="str">
            <v>VSS</v>
          </cell>
        </row>
        <row r="2683">
          <cell r="A2683" t="str">
            <v>FB260002613</v>
          </cell>
          <cell r="D2683" t="str">
            <v>VSS</v>
          </cell>
        </row>
        <row r="2684">
          <cell r="A2684" t="str">
            <v>FB260002615</v>
          </cell>
          <cell r="D2684" t="str">
            <v>VSS</v>
          </cell>
        </row>
        <row r="2685">
          <cell r="A2685" t="str">
            <v>FB260002616</v>
          </cell>
          <cell r="D2685" t="str">
            <v>VSS</v>
          </cell>
        </row>
        <row r="2686">
          <cell r="A2686" t="str">
            <v>FB260002617</v>
          </cell>
          <cell r="D2686" t="str">
            <v>VSS</v>
          </cell>
        </row>
        <row r="2687">
          <cell r="A2687" t="str">
            <v>FB260002618</v>
          </cell>
          <cell r="D2687" t="str">
            <v>VSS</v>
          </cell>
        </row>
        <row r="2688">
          <cell r="A2688" t="str">
            <v>FB260002619</v>
          </cell>
          <cell r="D2688" t="str">
            <v>CK</v>
          </cell>
        </row>
        <row r="2689">
          <cell r="A2689" t="str">
            <v>FB260002620</v>
          </cell>
          <cell r="D2689" t="str">
            <v>CK</v>
          </cell>
        </row>
        <row r="2690">
          <cell r="A2690" t="str">
            <v>FB260002621</v>
          </cell>
          <cell r="D2690" t="str">
            <v>VSS</v>
          </cell>
        </row>
        <row r="2691">
          <cell r="A2691" t="str">
            <v>FB260002622</v>
          </cell>
          <cell r="D2691" t="str">
            <v>VSS</v>
          </cell>
        </row>
        <row r="2692">
          <cell r="A2692" t="str">
            <v>FB260002623</v>
          </cell>
          <cell r="D2692" t="str">
            <v>CK</v>
          </cell>
        </row>
        <row r="2693">
          <cell r="A2693" t="str">
            <v>FB260002627</v>
          </cell>
          <cell r="D2693" t="str">
            <v>VSS</v>
          </cell>
        </row>
        <row r="2694">
          <cell r="A2694" t="str">
            <v>FB260002628</v>
          </cell>
          <cell r="D2694" t="str">
            <v>VSS</v>
          </cell>
        </row>
        <row r="2695">
          <cell r="A2695" t="str">
            <v>FB260002636</v>
          </cell>
          <cell r="D2695" t="str">
            <v>VSS</v>
          </cell>
        </row>
        <row r="2696">
          <cell r="A2696" t="str">
            <v>FB260002637</v>
          </cell>
          <cell r="D2696" t="str">
            <v>LULU</v>
          </cell>
        </row>
        <row r="2697">
          <cell r="A2697" t="str">
            <v>FB260002638</v>
          </cell>
          <cell r="D2697" t="str">
            <v>LULU</v>
          </cell>
        </row>
        <row r="2698">
          <cell r="A2698" t="str">
            <v>FB260002639</v>
          </cell>
          <cell r="D2698" t="str">
            <v>LULU</v>
          </cell>
        </row>
        <row r="2699">
          <cell r="A2699" t="str">
            <v>FB260002640</v>
          </cell>
          <cell r="D2699" t="str">
            <v>LULU</v>
          </cell>
        </row>
        <row r="2700">
          <cell r="A2700" t="str">
            <v>FB260002641</v>
          </cell>
          <cell r="D2700" t="str">
            <v>LULU</v>
          </cell>
        </row>
        <row r="2701">
          <cell r="A2701" t="str">
            <v>FB260002644</v>
          </cell>
          <cell r="D2701" t="str">
            <v>WACE</v>
          </cell>
        </row>
        <row r="2702">
          <cell r="A2702" t="str">
            <v>FB260002647</v>
          </cell>
          <cell r="D2702" t="str">
            <v>LULU</v>
          </cell>
        </row>
        <row r="2703">
          <cell r="A2703" t="str">
            <v>FB260002650</v>
          </cell>
          <cell r="D2703" t="str">
            <v>VSS</v>
          </cell>
        </row>
        <row r="2704">
          <cell r="A2704" t="str">
            <v>FB260002651</v>
          </cell>
          <cell r="D2704" t="str">
            <v>VSS</v>
          </cell>
        </row>
        <row r="2705">
          <cell r="A2705" t="str">
            <v>FB260002652</v>
          </cell>
          <cell r="D2705" t="str">
            <v>VSS</v>
          </cell>
        </row>
        <row r="2706">
          <cell r="A2706" t="str">
            <v>FB260002653</v>
          </cell>
          <cell r="D2706" t="str">
            <v>VSS</v>
          </cell>
        </row>
        <row r="2707">
          <cell r="A2707" t="str">
            <v>FB260002658</v>
          </cell>
          <cell r="D2707" t="str">
            <v>M&amp;S</v>
          </cell>
        </row>
        <row r="2708">
          <cell r="A2708" t="str">
            <v>FB260002659</v>
          </cell>
          <cell r="D2708" t="str">
            <v>CK</v>
          </cell>
        </row>
        <row r="2709">
          <cell r="A2709" t="str">
            <v>FB260002660</v>
          </cell>
          <cell r="D2709" t="str">
            <v>CK</v>
          </cell>
        </row>
        <row r="2710">
          <cell r="A2710" t="str">
            <v>FB260002661</v>
          </cell>
          <cell r="D2710" t="str">
            <v>CK</v>
          </cell>
        </row>
        <row r="2711">
          <cell r="A2711" t="str">
            <v>FB260002663</v>
          </cell>
          <cell r="D2711" t="str">
            <v>M&amp;S</v>
          </cell>
        </row>
        <row r="2712">
          <cell r="A2712" t="str">
            <v>FB260002664</v>
          </cell>
          <cell r="D2712" t="str">
            <v>M&amp;S</v>
          </cell>
        </row>
        <row r="2713">
          <cell r="A2713" t="str">
            <v>FB260002665</v>
          </cell>
          <cell r="D2713" t="str">
            <v>VSS</v>
          </cell>
        </row>
        <row r="2714">
          <cell r="A2714" t="str">
            <v>FB260002666</v>
          </cell>
          <cell r="D2714" t="str">
            <v>LBI</v>
          </cell>
        </row>
        <row r="2715">
          <cell r="A2715" t="str">
            <v>FB260002667</v>
          </cell>
          <cell r="D2715" t="str">
            <v>PINK</v>
          </cell>
        </row>
        <row r="2716">
          <cell r="A2716" t="str">
            <v>FB260002668</v>
          </cell>
          <cell r="D2716" t="str">
            <v>INT1</v>
          </cell>
        </row>
        <row r="2717">
          <cell r="A2717" t="str">
            <v>FB260002669</v>
          </cell>
          <cell r="D2717" t="str">
            <v>VSS</v>
          </cell>
        </row>
        <row r="2718">
          <cell r="A2718" t="str">
            <v>FB260002670</v>
          </cell>
          <cell r="D2718" t="str">
            <v>VSS</v>
          </cell>
        </row>
        <row r="2719">
          <cell r="A2719" t="str">
            <v>FB260002671</v>
          </cell>
          <cell r="D2719" t="str">
            <v>INT1</v>
          </cell>
        </row>
        <row r="2720">
          <cell r="A2720" t="str">
            <v>FB260002672</v>
          </cell>
          <cell r="D2720" t="str">
            <v>VSS</v>
          </cell>
        </row>
        <row r="2721">
          <cell r="A2721" t="str">
            <v>FB260002673</v>
          </cell>
          <cell r="D2721" t="str">
            <v>VSS</v>
          </cell>
        </row>
        <row r="2722">
          <cell r="A2722" t="str">
            <v>FB260002674</v>
          </cell>
          <cell r="D2722" t="str">
            <v>WACE</v>
          </cell>
        </row>
        <row r="2723">
          <cell r="A2723" t="str">
            <v>FB260002675</v>
          </cell>
          <cell r="D2723" t="str">
            <v>WACE</v>
          </cell>
        </row>
        <row r="2724">
          <cell r="A2724" t="str">
            <v>FB260002676</v>
          </cell>
          <cell r="D2724" t="str">
            <v>VSS</v>
          </cell>
        </row>
        <row r="2725">
          <cell r="A2725" t="str">
            <v>FB260002677</v>
          </cell>
          <cell r="D2725" t="str">
            <v>PINK</v>
          </cell>
        </row>
        <row r="2726">
          <cell r="A2726" t="str">
            <v>FB260002678</v>
          </cell>
          <cell r="D2726" t="str">
            <v>CK</v>
          </cell>
        </row>
        <row r="2727">
          <cell r="A2727" t="str">
            <v>FB260002679</v>
          </cell>
          <cell r="D2727" t="str">
            <v>M&amp;S</v>
          </cell>
        </row>
        <row r="2728">
          <cell r="A2728" t="str">
            <v>FB260002680</v>
          </cell>
          <cell r="D2728" t="str">
            <v>WACE</v>
          </cell>
        </row>
        <row r="2729">
          <cell r="A2729" t="str">
            <v>FB260002681</v>
          </cell>
          <cell r="D2729" t="str">
            <v>WACE</v>
          </cell>
        </row>
        <row r="2730">
          <cell r="A2730" t="str">
            <v>FB260002682</v>
          </cell>
          <cell r="D2730" t="str">
            <v>VSS</v>
          </cell>
        </row>
        <row r="2731">
          <cell r="A2731" t="str">
            <v>FB260002683</v>
          </cell>
          <cell r="D2731" t="str">
            <v>VSS</v>
          </cell>
        </row>
        <row r="2732">
          <cell r="A2732" t="str">
            <v>FB260002684</v>
          </cell>
          <cell r="D2732" t="str">
            <v>VSS</v>
          </cell>
        </row>
        <row r="2733">
          <cell r="A2733" t="str">
            <v>FB260002685</v>
          </cell>
          <cell r="D2733" t="str">
            <v>VSS</v>
          </cell>
        </row>
        <row r="2734">
          <cell r="A2734" t="str">
            <v>FB260002686</v>
          </cell>
          <cell r="D2734" t="str">
            <v>VSS</v>
          </cell>
        </row>
        <row r="2735">
          <cell r="A2735" t="str">
            <v>FB260002687</v>
          </cell>
          <cell r="D2735" t="str">
            <v>VSS</v>
          </cell>
        </row>
        <row r="2736">
          <cell r="A2736" t="str">
            <v>FB260002688</v>
          </cell>
          <cell r="D2736" t="str">
            <v>VSS</v>
          </cell>
        </row>
        <row r="2737">
          <cell r="A2737" t="str">
            <v>FB260002689</v>
          </cell>
          <cell r="D2737" t="str">
            <v>VSS</v>
          </cell>
        </row>
        <row r="2738">
          <cell r="A2738" t="str">
            <v>FB260002690</v>
          </cell>
          <cell r="D2738" t="str">
            <v>VSS</v>
          </cell>
        </row>
        <row r="2739">
          <cell r="A2739" t="str">
            <v>FB260002691</v>
          </cell>
          <cell r="D2739" t="str">
            <v>VSS</v>
          </cell>
        </row>
        <row r="2740">
          <cell r="A2740" t="str">
            <v>FB260002692</v>
          </cell>
          <cell r="D2740" t="str">
            <v>VSS</v>
          </cell>
        </row>
        <row r="2741">
          <cell r="A2741" t="str">
            <v>FB260002693</v>
          </cell>
          <cell r="D2741" t="str">
            <v>VSS</v>
          </cell>
        </row>
        <row r="2742">
          <cell r="A2742" t="str">
            <v>FB260002694</v>
          </cell>
          <cell r="D2742" t="str">
            <v>VSS</v>
          </cell>
        </row>
        <row r="2743">
          <cell r="A2743" t="str">
            <v>FB260002695</v>
          </cell>
          <cell r="D2743" t="str">
            <v>VSS</v>
          </cell>
        </row>
        <row r="2744">
          <cell r="A2744" t="str">
            <v>FB260002696</v>
          </cell>
          <cell r="D2744" t="str">
            <v>VSS</v>
          </cell>
        </row>
        <row r="2745">
          <cell r="A2745" t="str">
            <v>FB260002697</v>
          </cell>
          <cell r="D2745" t="str">
            <v>LULU</v>
          </cell>
        </row>
        <row r="2746">
          <cell r="A2746" t="str">
            <v>FB260002698</v>
          </cell>
          <cell r="D2746" t="str">
            <v>VSS</v>
          </cell>
        </row>
        <row r="2747">
          <cell r="A2747" t="str">
            <v>FB260002699</v>
          </cell>
          <cell r="D2747" t="str">
            <v>SPEE</v>
          </cell>
        </row>
        <row r="2748">
          <cell r="A2748" t="str">
            <v>FB260002700</v>
          </cell>
          <cell r="D2748" t="str">
            <v>VSS</v>
          </cell>
        </row>
        <row r="2749">
          <cell r="A2749" t="str">
            <v>FB260002701</v>
          </cell>
          <cell r="D2749" t="str">
            <v>VSS</v>
          </cell>
        </row>
        <row r="2750">
          <cell r="A2750" t="str">
            <v>FB260002702</v>
          </cell>
          <cell r="D2750" t="str">
            <v>VSS</v>
          </cell>
        </row>
        <row r="2751">
          <cell r="A2751" t="str">
            <v>FB260002703</v>
          </cell>
          <cell r="D2751" t="str">
            <v>VSS</v>
          </cell>
        </row>
        <row r="2752">
          <cell r="A2752" t="str">
            <v>FB260002704</v>
          </cell>
          <cell r="D2752" t="str">
            <v>VSS</v>
          </cell>
        </row>
        <row r="2753">
          <cell r="A2753" t="str">
            <v>FB260002705</v>
          </cell>
          <cell r="D2753" t="str">
            <v>LULU</v>
          </cell>
        </row>
        <row r="2754">
          <cell r="A2754" t="str">
            <v>FB260002706</v>
          </cell>
          <cell r="D2754" t="str">
            <v>M&amp;S</v>
          </cell>
        </row>
        <row r="2755">
          <cell r="A2755" t="str">
            <v>FB260002707</v>
          </cell>
          <cell r="D2755" t="str">
            <v>M&amp;S</v>
          </cell>
        </row>
        <row r="2756">
          <cell r="A2756" t="str">
            <v>FB260002711</v>
          </cell>
          <cell r="D2756" t="str">
            <v>NIK</v>
          </cell>
        </row>
        <row r="2757">
          <cell r="A2757" t="str">
            <v>FB260002713</v>
          </cell>
          <cell r="D2757" t="str">
            <v>VSS</v>
          </cell>
        </row>
        <row r="2758">
          <cell r="A2758" t="str">
            <v>FB260002714</v>
          </cell>
          <cell r="D2758" t="str">
            <v>VSS</v>
          </cell>
        </row>
        <row r="2759">
          <cell r="A2759" t="str">
            <v>FB260002715</v>
          </cell>
          <cell r="D2759" t="str">
            <v>VSS</v>
          </cell>
        </row>
        <row r="2760">
          <cell r="A2760" t="str">
            <v>FB260002716</v>
          </cell>
          <cell r="D2760" t="str">
            <v>VSS</v>
          </cell>
        </row>
        <row r="2761">
          <cell r="A2761" t="str">
            <v>FB260002717</v>
          </cell>
          <cell r="D2761" t="str">
            <v>VSS</v>
          </cell>
        </row>
        <row r="2762">
          <cell r="A2762" t="str">
            <v>FB260002718</v>
          </cell>
          <cell r="D2762" t="str">
            <v>VSS</v>
          </cell>
        </row>
        <row r="2763">
          <cell r="A2763" t="str">
            <v>FB260002719</v>
          </cell>
          <cell r="D2763" t="str">
            <v>VSS</v>
          </cell>
        </row>
        <row r="2764">
          <cell r="A2764" t="str">
            <v>FB260002720</v>
          </cell>
          <cell r="D2764" t="str">
            <v>INT1</v>
          </cell>
        </row>
        <row r="2765">
          <cell r="A2765" t="str">
            <v>FB260002721</v>
          </cell>
          <cell r="D2765" t="str">
            <v>VSS</v>
          </cell>
        </row>
        <row r="2766">
          <cell r="A2766" t="str">
            <v>FB260002722</v>
          </cell>
          <cell r="D2766" t="str">
            <v>M&amp;S</v>
          </cell>
        </row>
        <row r="2767">
          <cell r="A2767" t="str">
            <v>FB260002723</v>
          </cell>
          <cell r="D2767" t="str">
            <v>M&amp;S</v>
          </cell>
        </row>
        <row r="2768">
          <cell r="A2768" t="str">
            <v>FB260002725</v>
          </cell>
          <cell r="D2768" t="str">
            <v>LULU</v>
          </cell>
        </row>
        <row r="2769">
          <cell r="A2769" t="str">
            <v>FB260002727</v>
          </cell>
          <cell r="D2769" t="str">
            <v>WACE</v>
          </cell>
        </row>
        <row r="2770">
          <cell r="A2770" t="str">
            <v>FB260002728</v>
          </cell>
          <cell r="D2770" t="str">
            <v>LBI</v>
          </cell>
        </row>
        <row r="2771">
          <cell r="A2771" t="str">
            <v>FB260002729</v>
          </cell>
          <cell r="D2771" t="str">
            <v>LULU</v>
          </cell>
        </row>
        <row r="2772">
          <cell r="A2772" t="str">
            <v>FB260002730</v>
          </cell>
          <cell r="D2772" t="str">
            <v>LULU</v>
          </cell>
        </row>
        <row r="2773">
          <cell r="A2773" t="str">
            <v>FB260002731</v>
          </cell>
          <cell r="D2773" t="str">
            <v>LULU</v>
          </cell>
        </row>
        <row r="2774">
          <cell r="A2774" t="str">
            <v>FB260002734</v>
          </cell>
          <cell r="D2774" t="str">
            <v>M&amp;S</v>
          </cell>
        </row>
        <row r="2775">
          <cell r="A2775" t="str">
            <v>FB260002736</v>
          </cell>
          <cell r="D2775" t="str">
            <v>M&amp;S</v>
          </cell>
        </row>
        <row r="2776">
          <cell r="A2776" t="str">
            <v>FB260002737</v>
          </cell>
          <cell r="D2776" t="str">
            <v>LULU</v>
          </cell>
        </row>
        <row r="2777">
          <cell r="A2777" t="str">
            <v>FB260002738</v>
          </cell>
          <cell r="D2777" t="str">
            <v>VSS</v>
          </cell>
        </row>
        <row r="2778">
          <cell r="A2778" t="str">
            <v>FB260002740</v>
          </cell>
          <cell r="D2778" t="str">
            <v>INT1</v>
          </cell>
        </row>
        <row r="2779">
          <cell r="A2779" t="str">
            <v>FB260002741</v>
          </cell>
          <cell r="D2779" t="str">
            <v>WACE</v>
          </cell>
        </row>
        <row r="2780">
          <cell r="A2780" t="str">
            <v>FB260002742</v>
          </cell>
          <cell r="D2780" t="str">
            <v>VSS</v>
          </cell>
        </row>
        <row r="2781">
          <cell r="A2781" t="str">
            <v>FB260002743</v>
          </cell>
          <cell r="D2781" t="str">
            <v>PINK</v>
          </cell>
        </row>
        <row r="2782">
          <cell r="A2782" t="str">
            <v>FB260002744</v>
          </cell>
          <cell r="D2782" t="str">
            <v>PINK</v>
          </cell>
        </row>
        <row r="2783">
          <cell r="A2783" t="str">
            <v>FB260002745</v>
          </cell>
          <cell r="D2783" t="str">
            <v>WACE</v>
          </cell>
        </row>
        <row r="2784">
          <cell r="A2784" t="str">
            <v>FB260002746</v>
          </cell>
          <cell r="D2784" t="str">
            <v>CK</v>
          </cell>
        </row>
        <row r="2785">
          <cell r="A2785" t="str">
            <v>FB260002747</v>
          </cell>
          <cell r="D2785" t="str">
            <v>M&amp;S</v>
          </cell>
        </row>
        <row r="2786">
          <cell r="A2786" t="str">
            <v>FB260002748</v>
          </cell>
          <cell r="D2786" t="str">
            <v>M&amp;S</v>
          </cell>
        </row>
        <row r="2787">
          <cell r="A2787" t="str">
            <v>FB260002749</v>
          </cell>
          <cell r="D2787" t="str">
            <v>VSS</v>
          </cell>
        </row>
        <row r="2788">
          <cell r="A2788" t="str">
            <v>FB260002750</v>
          </cell>
          <cell r="D2788" t="str">
            <v>VSS</v>
          </cell>
        </row>
        <row r="2789">
          <cell r="A2789" t="str">
            <v>FB260002751</v>
          </cell>
          <cell r="D2789" t="str">
            <v>VSS</v>
          </cell>
        </row>
        <row r="2790">
          <cell r="A2790" t="str">
            <v>FB260002752</v>
          </cell>
          <cell r="D2790" t="str">
            <v>VSS</v>
          </cell>
        </row>
        <row r="2791">
          <cell r="A2791" t="str">
            <v>FB260002753</v>
          </cell>
          <cell r="D2791" t="str">
            <v>PINK</v>
          </cell>
        </row>
        <row r="2792">
          <cell r="A2792" t="str">
            <v>FB260002754</v>
          </cell>
          <cell r="D2792" t="str">
            <v>PINK</v>
          </cell>
        </row>
        <row r="2793">
          <cell r="A2793" t="str">
            <v>FB260002755</v>
          </cell>
          <cell r="D2793" t="str">
            <v>PINK</v>
          </cell>
        </row>
        <row r="2794">
          <cell r="A2794" t="str">
            <v>FB260002757</v>
          </cell>
          <cell r="D2794" t="str">
            <v>PINK</v>
          </cell>
        </row>
        <row r="2795">
          <cell r="A2795" t="str">
            <v>FB260002758</v>
          </cell>
          <cell r="D2795" t="str">
            <v>VSS</v>
          </cell>
        </row>
        <row r="2796">
          <cell r="A2796" t="str">
            <v>FB260002760</v>
          </cell>
          <cell r="D2796" t="str">
            <v>VSS</v>
          </cell>
        </row>
        <row r="2797">
          <cell r="A2797" t="str">
            <v>FB260002761</v>
          </cell>
          <cell r="D2797" t="str">
            <v>VSS</v>
          </cell>
        </row>
        <row r="2798">
          <cell r="A2798" t="str">
            <v>FB260002762</v>
          </cell>
          <cell r="D2798" t="str">
            <v>VSS</v>
          </cell>
        </row>
        <row r="2799">
          <cell r="A2799" t="str">
            <v>FB260002763</v>
          </cell>
          <cell r="D2799" t="str">
            <v>PINK</v>
          </cell>
        </row>
        <row r="2800">
          <cell r="A2800" t="str">
            <v>FB260002764</v>
          </cell>
          <cell r="D2800" t="str">
            <v>VSS</v>
          </cell>
        </row>
        <row r="2801">
          <cell r="A2801" t="str">
            <v>FB260002765</v>
          </cell>
          <cell r="D2801" t="str">
            <v>VSS</v>
          </cell>
        </row>
        <row r="2802">
          <cell r="A2802" t="str">
            <v>FB260002766</v>
          </cell>
          <cell r="D2802" t="str">
            <v>PINK</v>
          </cell>
        </row>
        <row r="2803">
          <cell r="A2803" t="str">
            <v>FB260002767</v>
          </cell>
          <cell r="D2803" t="str">
            <v>PINK</v>
          </cell>
        </row>
        <row r="2804">
          <cell r="A2804" t="str">
            <v>FB260002768</v>
          </cell>
          <cell r="D2804" t="str">
            <v>VSS</v>
          </cell>
        </row>
        <row r="2805">
          <cell r="A2805" t="str">
            <v>FB260002769</v>
          </cell>
          <cell r="D2805" t="str">
            <v>VSS</v>
          </cell>
        </row>
        <row r="2806">
          <cell r="A2806" t="str">
            <v>FB260002770</v>
          </cell>
          <cell r="D2806" t="str">
            <v>VSS</v>
          </cell>
        </row>
        <row r="2807">
          <cell r="A2807" t="str">
            <v>FB260002771</v>
          </cell>
          <cell r="D2807" t="str">
            <v>VSS</v>
          </cell>
        </row>
        <row r="2808">
          <cell r="A2808" t="str">
            <v>FB260002773</v>
          </cell>
          <cell r="D2808" t="str">
            <v>VSS</v>
          </cell>
        </row>
        <row r="2809">
          <cell r="A2809" t="str">
            <v>FB260002774</v>
          </cell>
          <cell r="D2809" t="str">
            <v>VSS</v>
          </cell>
        </row>
        <row r="2810">
          <cell r="A2810" t="str">
            <v>FB260002775</v>
          </cell>
          <cell r="D2810" t="str">
            <v>VSS</v>
          </cell>
        </row>
        <row r="2811">
          <cell r="A2811" t="str">
            <v>FB260002776</v>
          </cell>
          <cell r="D2811" t="str">
            <v>VSS</v>
          </cell>
        </row>
        <row r="2812">
          <cell r="A2812" t="str">
            <v>FB260002777</v>
          </cell>
          <cell r="D2812" t="str">
            <v>VSS</v>
          </cell>
        </row>
        <row r="2813">
          <cell r="A2813" t="str">
            <v>FB260002778</v>
          </cell>
          <cell r="D2813" t="str">
            <v>VSS</v>
          </cell>
        </row>
        <row r="2814">
          <cell r="A2814" t="str">
            <v>FB260002779</v>
          </cell>
          <cell r="D2814" t="str">
            <v>VSS</v>
          </cell>
        </row>
        <row r="2815">
          <cell r="A2815" t="str">
            <v>FB260002780</v>
          </cell>
          <cell r="D2815" t="str">
            <v>SPEE</v>
          </cell>
        </row>
        <row r="2816">
          <cell r="A2816" t="str">
            <v>FB260002782</v>
          </cell>
          <cell r="D2816" t="str">
            <v>WACE</v>
          </cell>
        </row>
        <row r="2817">
          <cell r="A2817" t="str">
            <v>FB260002789</v>
          </cell>
          <cell r="D2817" t="str">
            <v>VSS</v>
          </cell>
        </row>
        <row r="2818">
          <cell r="A2818" t="str">
            <v>FB260002790</v>
          </cell>
          <cell r="D2818" t="str">
            <v>VSS</v>
          </cell>
        </row>
        <row r="2819">
          <cell r="A2819" t="str">
            <v>FB260002791</v>
          </cell>
          <cell r="D2819" t="str">
            <v>VSS</v>
          </cell>
        </row>
        <row r="2820">
          <cell r="A2820" t="str">
            <v>FB260002793</v>
          </cell>
          <cell r="D2820" t="str">
            <v>VSS</v>
          </cell>
        </row>
        <row r="2821">
          <cell r="A2821" t="str">
            <v>FB260002794</v>
          </cell>
          <cell r="D2821" t="str">
            <v>VSS</v>
          </cell>
        </row>
        <row r="2822">
          <cell r="A2822" t="str">
            <v>FB260002795</v>
          </cell>
          <cell r="D2822" t="str">
            <v>VSS</v>
          </cell>
        </row>
        <row r="2823">
          <cell r="A2823" t="str">
            <v>FB260002796</v>
          </cell>
          <cell r="D2823" t="str">
            <v>VSS</v>
          </cell>
        </row>
        <row r="2824">
          <cell r="A2824" t="str">
            <v>FB260002797</v>
          </cell>
          <cell r="D2824" t="str">
            <v>VSS</v>
          </cell>
        </row>
        <row r="2825">
          <cell r="A2825" t="str">
            <v>FB260002798</v>
          </cell>
          <cell r="D2825" t="str">
            <v>VSS</v>
          </cell>
        </row>
        <row r="2826">
          <cell r="A2826" t="str">
            <v>FB260002799</v>
          </cell>
          <cell r="D2826" t="str">
            <v>VSS</v>
          </cell>
        </row>
        <row r="2827">
          <cell r="A2827" t="str">
            <v>FB260002806</v>
          </cell>
          <cell r="D2827" t="str">
            <v>VSS</v>
          </cell>
        </row>
        <row r="2828">
          <cell r="A2828" t="str">
            <v>FB260002807</v>
          </cell>
          <cell r="D2828" t="str">
            <v>VSS</v>
          </cell>
        </row>
        <row r="2829">
          <cell r="A2829" t="str">
            <v>FB260002808</v>
          </cell>
          <cell r="D2829" t="str">
            <v>WACE</v>
          </cell>
        </row>
        <row r="2830">
          <cell r="A2830" t="str">
            <v>FB260002810</v>
          </cell>
          <cell r="D2830" t="str">
            <v>WACE</v>
          </cell>
        </row>
        <row r="2831">
          <cell r="A2831" t="str">
            <v>FB260002818</v>
          </cell>
          <cell r="D2831" t="str">
            <v>LBI</v>
          </cell>
        </row>
        <row r="2832">
          <cell r="A2832" t="str">
            <v>FB260002823</v>
          </cell>
          <cell r="D2832" t="str">
            <v>TORD</v>
          </cell>
        </row>
        <row r="2833">
          <cell r="A2833" t="str">
            <v>FB260002824</v>
          </cell>
          <cell r="D2833" t="str">
            <v>TORD</v>
          </cell>
        </row>
        <row r="2834">
          <cell r="A2834" t="str">
            <v>FB260002825</v>
          </cell>
          <cell r="D2834" t="str">
            <v>LBI</v>
          </cell>
        </row>
        <row r="2835">
          <cell r="A2835" t="str">
            <v>FB260002826</v>
          </cell>
          <cell r="D2835" t="str">
            <v>LBI</v>
          </cell>
        </row>
        <row r="2836">
          <cell r="A2836" t="str">
            <v>FB260002827</v>
          </cell>
          <cell r="D2836" t="str">
            <v>LBI</v>
          </cell>
        </row>
        <row r="2837">
          <cell r="A2837" t="str">
            <v>FB260002828</v>
          </cell>
          <cell r="D2837" t="str">
            <v>LBI</v>
          </cell>
        </row>
        <row r="2838">
          <cell r="A2838" t="str">
            <v>FB260002829</v>
          </cell>
          <cell r="D2838" t="str">
            <v>LBI</v>
          </cell>
        </row>
        <row r="2839">
          <cell r="A2839" t="str">
            <v>FB260002830</v>
          </cell>
          <cell r="D2839" t="str">
            <v>LBI</v>
          </cell>
        </row>
        <row r="2840">
          <cell r="A2840" t="str">
            <v>FB260002831</v>
          </cell>
          <cell r="D2840" t="str">
            <v>LBI</v>
          </cell>
        </row>
        <row r="2841">
          <cell r="A2841" t="str">
            <v>FB260002832</v>
          </cell>
          <cell r="D2841" t="str">
            <v>LBI</v>
          </cell>
        </row>
        <row r="2842">
          <cell r="A2842" t="str">
            <v>FB260002833</v>
          </cell>
          <cell r="D2842" t="str">
            <v>LBI</v>
          </cell>
        </row>
        <row r="2843">
          <cell r="A2843" t="str">
            <v>FB260002834</v>
          </cell>
          <cell r="D2843" t="str">
            <v>LBI</v>
          </cell>
        </row>
        <row r="2844">
          <cell r="A2844" t="str">
            <v>FB260002835</v>
          </cell>
          <cell r="D2844" t="str">
            <v>LBI</v>
          </cell>
        </row>
        <row r="2845">
          <cell r="A2845" t="str">
            <v>FB260002836</v>
          </cell>
          <cell r="D2845" t="str">
            <v>LBI</v>
          </cell>
        </row>
        <row r="2846">
          <cell r="A2846" t="str">
            <v>FB260002838</v>
          </cell>
          <cell r="D2846" t="str">
            <v>LULU</v>
          </cell>
        </row>
        <row r="2847">
          <cell r="A2847" t="str">
            <v>FB260002839</v>
          </cell>
          <cell r="D2847" t="str">
            <v>M&amp;S</v>
          </cell>
        </row>
        <row r="2848">
          <cell r="A2848" t="str">
            <v>FB260002841</v>
          </cell>
          <cell r="D2848" t="str">
            <v>LULU</v>
          </cell>
        </row>
        <row r="2849">
          <cell r="A2849" t="str">
            <v>FB260002842</v>
          </cell>
          <cell r="D2849" t="str">
            <v>LULU</v>
          </cell>
        </row>
        <row r="2850">
          <cell r="A2850" t="str">
            <v>FB260002843</v>
          </cell>
          <cell r="D2850" t="str">
            <v>LULU</v>
          </cell>
        </row>
        <row r="2851">
          <cell r="A2851" t="str">
            <v>FB260002844</v>
          </cell>
          <cell r="D2851" t="str">
            <v>LULU</v>
          </cell>
        </row>
        <row r="2852">
          <cell r="A2852" t="str">
            <v>FB260002845</v>
          </cell>
          <cell r="D2852" t="str">
            <v>LULU</v>
          </cell>
        </row>
        <row r="2853">
          <cell r="A2853" t="str">
            <v>FB260002846</v>
          </cell>
          <cell r="D2853" t="str">
            <v>LULU</v>
          </cell>
        </row>
        <row r="2854">
          <cell r="A2854" t="str">
            <v>FB260002847</v>
          </cell>
          <cell r="D2854" t="str">
            <v>LULU</v>
          </cell>
        </row>
        <row r="2855">
          <cell r="A2855" t="str">
            <v>FB260002848</v>
          </cell>
          <cell r="D2855" t="str">
            <v>LULU</v>
          </cell>
        </row>
        <row r="2856">
          <cell r="A2856" t="str">
            <v>FB260002849</v>
          </cell>
          <cell r="D2856" t="str">
            <v>HAR</v>
          </cell>
        </row>
        <row r="2857">
          <cell r="A2857" t="str">
            <v>FB260002850</v>
          </cell>
          <cell r="D2857" t="str">
            <v>LULU</v>
          </cell>
        </row>
        <row r="2858">
          <cell r="A2858" t="str">
            <v>FB260002851</v>
          </cell>
          <cell r="D2858" t="str">
            <v>LULU</v>
          </cell>
        </row>
        <row r="2859">
          <cell r="A2859" t="str">
            <v>FB260002852</v>
          </cell>
          <cell r="D2859" t="str">
            <v>HAR</v>
          </cell>
        </row>
        <row r="2860">
          <cell r="A2860" t="str">
            <v>FB260002853</v>
          </cell>
          <cell r="D2860" t="str">
            <v>HAR</v>
          </cell>
        </row>
        <row r="2861">
          <cell r="A2861" t="str">
            <v>FB260002854</v>
          </cell>
          <cell r="D2861" t="str">
            <v>TORD</v>
          </cell>
        </row>
        <row r="2862">
          <cell r="A2862" t="str">
            <v>FB260002855</v>
          </cell>
          <cell r="D2862" t="str">
            <v>INT1</v>
          </cell>
        </row>
        <row r="2863">
          <cell r="A2863" t="str">
            <v>FB260002856</v>
          </cell>
          <cell r="D2863" t="str">
            <v>HAR</v>
          </cell>
        </row>
        <row r="2864">
          <cell r="A2864" t="str">
            <v>FB260002857</v>
          </cell>
          <cell r="D2864" t="str">
            <v>NEX</v>
          </cell>
        </row>
        <row r="2865">
          <cell r="A2865" t="str">
            <v>FB260002858</v>
          </cell>
          <cell r="D2865" t="str">
            <v>ASIC</v>
          </cell>
        </row>
        <row r="2866">
          <cell r="A2866" t="str">
            <v>FB260002859</v>
          </cell>
          <cell r="D2866" t="str">
            <v>VSS</v>
          </cell>
        </row>
        <row r="2867">
          <cell r="A2867" t="str">
            <v>FB260002860</v>
          </cell>
          <cell r="D2867" t="str">
            <v>NEX</v>
          </cell>
        </row>
        <row r="2868">
          <cell r="A2868" t="str">
            <v>FB260002861</v>
          </cell>
          <cell r="D2868" t="str">
            <v>NEX</v>
          </cell>
        </row>
        <row r="2869">
          <cell r="A2869" t="str">
            <v>FB260002862</v>
          </cell>
          <cell r="D2869" t="str">
            <v>VSS</v>
          </cell>
        </row>
        <row r="2870">
          <cell r="A2870" t="str">
            <v>FB260002863</v>
          </cell>
          <cell r="D2870" t="str">
            <v>HAR</v>
          </cell>
        </row>
        <row r="2871">
          <cell r="A2871" t="str">
            <v>FB260002864</v>
          </cell>
          <cell r="D2871" t="str">
            <v>HAR</v>
          </cell>
        </row>
        <row r="2872">
          <cell r="A2872" t="str">
            <v>FB260002865</v>
          </cell>
          <cell r="D2872" t="str">
            <v>VSS</v>
          </cell>
        </row>
        <row r="2873">
          <cell r="A2873" t="str">
            <v>FB260002866</v>
          </cell>
          <cell r="D2873" t="str">
            <v>INT1</v>
          </cell>
        </row>
        <row r="2874">
          <cell r="A2874" t="str">
            <v>FB260002867</v>
          </cell>
          <cell r="D2874" t="str">
            <v>INT1</v>
          </cell>
        </row>
        <row r="2875">
          <cell r="A2875" t="str">
            <v>FB260002868</v>
          </cell>
          <cell r="D2875" t="str">
            <v>LULU</v>
          </cell>
        </row>
        <row r="2876">
          <cell r="A2876" t="str">
            <v>FB260002869</v>
          </cell>
          <cell r="D2876" t="str">
            <v>LULU</v>
          </cell>
        </row>
        <row r="2877">
          <cell r="A2877" t="str">
            <v>FB260002870</v>
          </cell>
          <cell r="D2877" t="str">
            <v>LULU</v>
          </cell>
        </row>
        <row r="2878">
          <cell r="A2878" t="str">
            <v>FB260002871</v>
          </cell>
          <cell r="D2878" t="str">
            <v>LULU</v>
          </cell>
        </row>
        <row r="2879">
          <cell r="A2879" t="str">
            <v>FB260002872</v>
          </cell>
          <cell r="D2879" t="str">
            <v>PINK</v>
          </cell>
        </row>
        <row r="2880">
          <cell r="A2880" t="str">
            <v>FB260002873</v>
          </cell>
          <cell r="D2880" t="str">
            <v>PINK</v>
          </cell>
        </row>
        <row r="2881">
          <cell r="A2881" t="str">
            <v>FB260002874</v>
          </cell>
          <cell r="D2881" t="str">
            <v>PINK</v>
          </cell>
        </row>
        <row r="2882">
          <cell r="A2882" t="str">
            <v>FB260002875</v>
          </cell>
          <cell r="D2882" t="str">
            <v>PINK</v>
          </cell>
        </row>
        <row r="2883">
          <cell r="A2883" t="str">
            <v>FB260002876</v>
          </cell>
          <cell r="D2883" t="str">
            <v>PINK</v>
          </cell>
        </row>
        <row r="2884">
          <cell r="A2884" t="str">
            <v>FB260002877</v>
          </cell>
          <cell r="D2884" t="str">
            <v>PINK</v>
          </cell>
        </row>
        <row r="2885">
          <cell r="A2885" t="str">
            <v>FB260002878</v>
          </cell>
          <cell r="D2885" t="str">
            <v>CK</v>
          </cell>
        </row>
        <row r="2886">
          <cell r="A2886" t="str">
            <v>FB260002879</v>
          </cell>
          <cell r="D2886" t="str">
            <v>PINK</v>
          </cell>
        </row>
        <row r="2887">
          <cell r="A2887" t="str">
            <v>FB260002880</v>
          </cell>
          <cell r="D2887" t="str">
            <v>WACE</v>
          </cell>
        </row>
        <row r="2888">
          <cell r="A2888" t="str">
            <v>FB260002881</v>
          </cell>
          <cell r="D2888" t="str">
            <v>WACE</v>
          </cell>
        </row>
        <row r="2889">
          <cell r="A2889" t="str">
            <v>FB260002882</v>
          </cell>
          <cell r="D2889" t="str">
            <v>WACE</v>
          </cell>
        </row>
        <row r="2890">
          <cell r="A2890" t="str">
            <v>FB260002883</v>
          </cell>
          <cell r="D2890" t="str">
            <v>WACE</v>
          </cell>
        </row>
        <row r="2891">
          <cell r="A2891" t="str">
            <v>FB260002884</v>
          </cell>
          <cell r="D2891" t="str">
            <v>WACE</v>
          </cell>
        </row>
        <row r="2892">
          <cell r="A2892" t="str">
            <v>FB260002885</v>
          </cell>
          <cell r="D2892" t="str">
            <v>WACE</v>
          </cell>
        </row>
        <row r="2893">
          <cell r="A2893" t="str">
            <v>FB260002886</v>
          </cell>
          <cell r="D2893" t="str">
            <v>WACE</v>
          </cell>
        </row>
        <row r="2894">
          <cell r="A2894" t="str">
            <v>FB260002887</v>
          </cell>
          <cell r="D2894" t="str">
            <v>WACE</v>
          </cell>
        </row>
        <row r="2895">
          <cell r="A2895" t="str">
            <v>FB260002888</v>
          </cell>
          <cell r="D2895" t="str">
            <v>CK</v>
          </cell>
        </row>
        <row r="2896">
          <cell r="A2896" t="str">
            <v>FB260002889</v>
          </cell>
          <cell r="D2896" t="str">
            <v>INT1</v>
          </cell>
        </row>
        <row r="2897">
          <cell r="A2897" t="str">
            <v>FB260002890</v>
          </cell>
          <cell r="D2897" t="str">
            <v>VSS</v>
          </cell>
        </row>
        <row r="2898">
          <cell r="A2898" t="str">
            <v>FB260002891</v>
          </cell>
          <cell r="D2898" t="str">
            <v>WACE</v>
          </cell>
        </row>
        <row r="2899">
          <cell r="A2899" t="str">
            <v>FB260002892</v>
          </cell>
          <cell r="D2899" t="str">
            <v>ASIC</v>
          </cell>
        </row>
        <row r="2900">
          <cell r="A2900" t="str">
            <v>FB260002893</v>
          </cell>
          <cell r="D2900" t="str">
            <v>WACE</v>
          </cell>
        </row>
        <row r="2901">
          <cell r="A2901" t="str">
            <v>FB260002894</v>
          </cell>
          <cell r="D2901" t="str">
            <v>CK</v>
          </cell>
        </row>
        <row r="2902">
          <cell r="A2902" t="str">
            <v>FB260002895</v>
          </cell>
          <cell r="D2902" t="str">
            <v>VSS</v>
          </cell>
        </row>
        <row r="2903">
          <cell r="A2903" t="str">
            <v>FB260002897</v>
          </cell>
          <cell r="D2903" t="str">
            <v>PINK</v>
          </cell>
        </row>
        <row r="2904">
          <cell r="A2904" t="str">
            <v>FB260002899</v>
          </cell>
          <cell r="D2904" t="str">
            <v>VSS</v>
          </cell>
        </row>
        <row r="2905">
          <cell r="A2905" t="str">
            <v>FB260002901</v>
          </cell>
          <cell r="D2905" t="str">
            <v>VSS</v>
          </cell>
        </row>
        <row r="2906">
          <cell r="A2906" t="str">
            <v>FB260002903</v>
          </cell>
          <cell r="D2906" t="str">
            <v>VSS</v>
          </cell>
        </row>
        <row r="2907">
          <cell r="A2907" t="str">
            <v>FB260002904</v>
          </cell>
          <cell r="D2907" t="str">
            <v>VSS</v>
          </cell>
        </row>
        <row r="2908">
          <cell r="A2908" t="str">
            <v>FB260002906</v>
          </cell>
          <cell r="D2908" t="str">
            <v>VSS</v>
          </cell>
        </row>
        <row r="2909">
          <cell r="A2909" t="str">
            <v>FB260002907</v>
          </cell>
          <cell r="D2909" t="str">
            <v>VSS</v>
          </cell>
        </row>
        <row r="2910">
          <cell r="A2910" t="str">
            <v>FB260002908</v>
          </cell>
          <cell r="D2910" t="str">
            <v>VSS</v>
          </cell>
        </row>
        <row r="2911">
          <cell r="A2911" t="str">
            <v>FB260002909</v>
          </cell>
          <cell r="D2911" t="str">
            <v>CK</v>
          </cell>
        </row>
        <row r="2912">
          <cell r="A2912" t="str">
            <v>FB260002910</v>
          </cell>
          <cell r="D2912" t="str">
            <v>VSS</v>
          </cell>
        </row>
        <row r="2913">
          <cell r="A2913" t="str">
            <v>FB260002911</v>
          </cell>
          <cell r="D2913" t="str">
            <v>VSS</v>
          </cell>
        </row>
        <row r="2914">
          <cell r="A2914" t="str">
            <v>FB260002912</v>
          </cell>
          <cell r="D2914" t="str">
            <v>VSS</v>
          </cell>
        </row>
        <row r="2915">
          <cell r="A2915" t="str">
            <v>FB260002913</v>
          </cell>
          <cell r="D2915" t="str">
            <v>VSS</v>
          </cell>
        </row>
        <row r="2916">
          <cell r="A2916" t="str">
            <v>FB260002916</v>
          </cell>
          <cell r="D2916" t="str">
            <v>PINK</v>
          </cell>
        </row>
        <row r="2917">
          <cell r="A2917" t="str">
            <v>FB260002917</v>
          </cell>
          <cell r="D2917" t="str">
            <v>PINK</v>
          </cell>
        </row>
        <row r="2918">
          <cell r="A2918" t="str">
            <v>FB260002918</v>
          </cell>
          <cell r="D2918" t="str">
            <v>PINK</v>
          </cell>
        </row>
        <row r="2919">
          <cell r="A2919" t="str">
            <v>FB260002920</v>
          </cell>
          <cell r="D2919" t="str">
            <v>PINK</v>
          </cell>
        </row>
        <row r="2920">
          <cell r="A2920" t="str">
            <v>FB260002922</v>
          </cell>
          <cell r="D2920" t="str">
            <v>PINK</v>
          </cell>
        </row>
        <row r="2921">
          <cell r="A2921" t="str">
            <v>FB260002923</v>
          </cell>
          <cell r="D2921" t="str">
            <v>PINK</v>
          </cell>
        </row>
        <row r="2922">
          <cell r="A2922" t="str">
            <v>FB260002924</v>
          </cell>
          <cell r="D2922" t="str">
            <v>PINK</v>
          </cell>
        </row>
        <row r="2923">
          <cell r="A2923" t="str">
            <v>FB260002925</v>
          </cell>
          <cell r="D2923" t="str">
            <v>PINK</v>
          </cell>
        </row>
        <row r="2924">
          <cell r="A2924" t="str">
            <v>FB260002926</v>
          </cell>
          <cell r="D2924" t="str">
            <v>PINK</v>
          </cell>
        </row>
        <row r="2925">
          <cell r="A2925" t="str">
            <v>FB260002927</v>
          </cell>
          <cell r="D2925" t="str">
            <v>PINK</v>
          </cell>
        </row>
        <row r="2926">
          <cell r="A2926" t="str">
            <v>FB260002928</v>
          </cell>
          <cell r="D2926" t="str">
            <v>PINK</v>
          </cell>
        </row>
        <row r="2927">
          <cell r="A2927" t="str">
            <v>FB260002929</v>
          </cell>
          <cell r="D2927" t="str">
            <v>PINK</v>
          </cell>
        </row>
        <row r="2928">
          <cell r="A2928" t="str">
            <v>FB260002931</v>
          </cell>
          <cell r="D2928" t="str">
            <v>PINK</v>
          </cell>
        </row>
        <row r="2929">
          <cell r="A2929" t="str">
            <v>FB260002932</v>
          </cell>
          <cell r="D2929" t="str">
            <v>PINK</v>
          </cell>
        </row>
        <row r="2930">
          <cell r="A2930" t="str">
            <v>FB260002933</v>
          </cell>
          <cell r="D2930" t="str">
            <v>PINK</v>
          </cell>
        </row>
        <row r="2931">
          <cell r="A2931" t="str">
            <v>FB260002934</v>
          </cell>
          <cell r="D2931" t="str">
            <v>CK</v>
          </cell>
        </row>
        <row r="2932">
          <cell r="A2932" t="str">
            <v>FB260002935</v>
          </cell>
          <cell r="D2932" t="str">
            <v>CK</v>
          </cell>
        </row>
        <row r="2933">
          <cell r="A2933" t="str">
            <v>FB260002937</v>
          </cell>
          <cell r="D2933" t="str">
            <v>CK</v>
          </cell>
        </row>
        <row r="2934">
          <cell r="A2934" t="str">
            <v>FB260002938</v>
          </cell>
          <cell r="D2934" t="str">
            <v>CK</v>
          </cell>
        </row>
        <row r="2935">
          <cell r="A2935" t="str">
            <v>FB260002939</v>
          </cell>
          <cell r="D2935" t="str">
            <v>CK</v>
          </cell>
        </row>
        <row r="2936">
          <cell r="A2936" t="str">
            <v>FB260002940</v>
          </cell>
          <cell r="D2936" t="str">
            <v>CK</v>
          </cell>
        </row>
        <row r="2937">
          <cell r="A2937" t="str">
            <v>FB260002941</v>
          </cell>
          <cell r="D2937" t="str">
            <v>CK</v>
          </cell>
        </row>
        <row r="2938">
          <cell r="A2938" t="str">
            <v>FB260002942</v>
          </cell>
          <cell r="D2938" t="str">
            <v>CK</v>
          </cell>
        </row>
        <row r="2939">
          <cell r="A2939" t="str">
            <v>FB260002943</v>
          </cell>
          <cell r="D2939" t="str">
            <v>CK</v>
          </cell>
        </row>
        <row r="2940">
          <cell r="A2940" t="str">
            <v>FB260002944</v>
          </cell>
          <cell r="D2940" t="str">
            <v>CK</v>
          </cell>
        </row>
        <row r="2941">
          <cell r="A2941" t="str">
            <v>FB260002945</v>
          </cell>
          <cell r="D2941" t="str">
            <v>CK</v>
          </cell>
        </row>
        <row r="2942">
          <cell r="A2942" t="str">
            <v>FB260002946</v>
          </cell>
          <cell r="D2942" t="str">
            <v>CK</v>
          </cell>
        </row>
        <row r="2943">
          <cell r="A2943" t="str">
            <v>FB260002947</v>
          </cell>
          <cell r="D2943" t="str">
            <v>CK</v>
          </cell>
        </row>
        <row r="2944">
          <cell r="A2944" t="str">
            <v>FB260002948</v>
          </cell>
          <cell r="D2944" t="str">
            <v>CK</v>
          </cell>
        </row>
        <row r="2945">
          <cell r="A2945" t="str">
            <v>FB260002950</v>
          </cell>
          <cell r="D2945" t="str">
            <v>VSS</v>
          </cell>
        </row>
        <row r="2946">
          <cell r="A2946" t="str">
            <v>FB260002951</v>
          </cell>
          <cell r="D2946" t="str">
            <v>VSS</v>
          </cell>
        </row>
        <row r="2947">
          <cell r="A2947" t="str">
            <v>FB260002952</v>
          </cell>
          <cell r="D2947" t="str">
            <v>VSS</v>
          </cell>
        </row>
        <row r="2948">
          <cell r="A2948" t="str">
            <v>FB260002953</v>
          </cell>
          <cell r="D2948" t="str">
            <v>VSS</v>
          </cell>
        </row>
        <row r="2949">
          <cell r="A2949" t="str">
            <v>FB260002954</v>
          </cell>
          <cell r="D2949" t="str">
            <v>VSS</v>
          </cell>
        </row>
        <row r="2950">
          <cell r="A2950" t="str">
            <v>FB260002955</v>
          </cell>
          <cell r="D2950" t="str">
            <v>VSS</v>
          </cell>
        </row>
        <row r="2951">
          <cell r="A2951" t="str">
            <v>FB260002956</v>
          </cell>
          <cell r="D2951" t="str">
            <v>VSS</v>
          </cell>
        </row>
        <row r="2952">
          <cell r="A2952" t="str">
            <v>FB260002958</v>
          </cell>
          <cell r="D2952" t="str">
            <v>VSS</v>
          </cell>
        </row>
        <row r="2953">
          <cell r="A2953" t="str">
            <v>FB260002959</v>
          </cell>
          <cell r="D2953" t="str">
            <v>VSS</v>
          </cell>
        </row>
        <row r="2954">
          <cell r="A2954" t="str">
            <v>FB260002960</v>
          </cell>
          <cell r="D2954" t="str">
            <v>VSS</v>
          </cell>
        </row>
        <row r="2955">
          <cell r="A2955" t="str">
            <v>FB260002961</v>
          </cell>
          <cell r="D2955" t="str">
            <v>VSS</v>
          </cell>
        </row>
        <row r="2956">
          <cell r="A2956" t="str">
            <v>FB260002962</v>
          </cell>
          <cell r="D2956" t="str">
            <v>PINK</v>
          </cell>
        </row>
        <row r="2957">
          <cell r="A2957" t="str">
            <v>FB260002963</v>
          </cell>
          <cell r="D2957" t="str">
            <v>PINK</v>
          </cell>
        </row>
        <row r="2958">
          <cell r="A2958" t="str">
            <v>FB260002964</v>
          </cell>
          <cell r="D2958" t="str">
            <v>PINK</v>
          </cell>
        </row>
        <row r="2959">
          <cell r="A2959" t="str">
            <v>FB260002965</v>
          </cell>
          <cell r="D2959" t="str">
            <v>CK</v>
          </cell>
        </row>
        <row r="2960">
          <cell r="A2960" t="str">
            <v>FB260002966</v>
          </cell>
          <cell r="D2960" t="str">
            <v>CK</v>
          </cell>
        </row>
        <row r="2961">
          <cell r="A2961" t="str">
            <v>FB260002967</v>
          </cell>
          <cell r="D2961" t="str">
            <v>CK</v>
          </cell>
        </row>
        <row r="2962">
          <cell r="A2962" t="str">
            <v>FB260002968</v>
          </cell>
          <cell r="D2962" t="str">
            <v>CK</v>
          </cell>
        </row>
        <row r="2963">
          <cell r="A2963" t="str">
            <v>FB260002969</v>
          </cell>
          <cell r="D2963" t="str">
            <v>CK</v>
          </cell>
        </row>
        <row r="2964">
          <cell r="A2964" t="str">
            <v>FB260002970</v>
          </cell>
          <cell r="D2964" t="str">
            <v>CK</v>
          </cell>
        </row>
        <row r="2965">
          <cell r="A2965" t="str">
            <v>FB260002971</v>
          </cell>
          <cell r="D2965" t="str">
            <v>CK</v>
          </cell>
        </row>
        <row r="2966">
          <cell r="A2966" t="str">
            <v>FB260002972</v>
          </cell>
          <cell r="D2966" t="str">
            <v>VSS</v>
          </cell>
        </row>
        <row r="2967">
          <cell r="A2967" t="str">
            <v>FB260002973</v>
          </cell>
          <cell r="D2967" t="str">
            <v>VSS</v>
          </cell>
        </row>
        <row r="2968">
          <cell r="A2968" t="str">
            <v>FB260002974</v>
          </cell>
          <cell r="D2968" t="str">
            <v>VSS</v>
          </cell>
        </row>
        <row r="2969">
          <cell r="A2969" t="str">
            <v>FB260002976</v>
          </cell>
          <cell r="D2969" t="str">
            <v>CK</v>
          </cell>
        </row>
        <row r="2970">
          <cell r="A2970" t="str">
            <v>FB260002977</v>
          </cell>
          <cell r="D2970" t="str">
            <v>CK</v>
          </cell>
        </row>
        <row r="2971">
          <cell r="A2971" t="str">
            <v>FB260002978</v>
          </cell>
          <cell r="D2971" t="str">
            <v>CK</v>
          </cell>
        </row>
        <row r="2972">
          <cell r="A2972" t="str">
            <v>FB260002979</v>
          </cell>
          <cell r="D2972" t="str">
            <v>CK</v>
          </cell>
        </row>
        <row r="2973">
          <cell r="A2973" t="str">
            <v>FB260002980</v>
          </cell>
          <cell r="D2973" t="str">
            <v>CK</v>
          </cell>
        </row>
        <row r="2974">
          <cell r="A2974" t="str">
            <v>FB260002981</v>
          </cell>
          <cell r="D2974" t="str">
            <v>CK</v>
          </cell>
        </row>
        <row r="2975">
          <cell r="A2975" t="str">
            <v>FB260002982</v>
          </cell>
          <cell r="D2975" t="str">
            <v>VSS</v>
          </cell>
        </row>
        <row r="2976">
          <cell r="A2976" t="str">
            <v>FB260002983</v>
          </cell>
          <cell r="D2976" t="str">
            <v>CK</v>
          </cell>
        </row>
        <row r="2977">
          <cell r="A2977" t="str">
            <v>FB260002984</v>
          </cell>
          <cell r="D2977" t="str">
            <v>CK</v>
          </cell>
        </row>
        <row r="2978">
          <cell r="A2978" t="str">
            <v>FB260002985</v>
          </cell>
          <cell r="D2978" t="str">
            <v>CK</v>
          </cell>
        </row>
        <row r="2979">
          <cell r="A2979" t="str">
            <v>FB260002986</v>
          </cell>
          <cell r="D2979" t="str">
            <v>CK</v>
          </cell>
        </row>
        <row r="2980">
          <cell r="A2980" t="str">
            <v>FB260002987</v>
          </cell>
          <cell r="D2980" t="str">
            <v>CK</v>
          </cell>
        </row>
        <row r="2981">
          <cell r="A2981" t="str">
            <v>FB260002988</v>
          </cell>
          <cell r="D2981" t="str">
            <v>CK</v>
          </cell>
        </row>
        <row r="2982">
          <cell r="A2982" t="str">
            <v>FB260002989</v>
          </cell>
          <cell r="D2982" t="str">
            <v>CK</v>
          </cell>
        </row>
        <row r="2983">
          <cell r="A2983" t="str">
            <v>FB260002990</v>
          </cell>
          <cell r="D2983" t="str">
            <v>VSS</v>
          </cell>
        </row>
        <row r="2984">
          <cell r="A2984" t="str">
            <v>FB260002991</v>
          </cell>
          <cell r="D2984" t="str">
            <v>CK</v>
          </cell>
        </row>
        <row r="2985">
          <cell r="A2985" t="str">
            <v>FB260002992</v>
          </cell>
          <cell r="D2985" t="str">
            <v>VSS</v>
          </cell>
        </row>
        <row r="2986">
          <cell r="A2986" t="str">
            <v>FB260002993</v>
          </cell>
          <cell r="D2986" t="str">
            <v>VSS</v>
          </cell>
        </row>
        <row r="2987">
          <cell r="A2987" t="str">
            <v>FB260002994</v>
          </cell>
          <cell r="D2987" t="str">
            <v>VSS</v>
          </cell>
        </row>
        <row r="2988">
          <cell r="A2988" t="str">
            <v>FB260002995</v>
          </cell>
          <cell r="D2988" t="str">
            <v>PINK</v>
          </cell>
        </row>
        <row r="2989">
          <cell r="A2989" t="str">
            <v>FB260002996</v>
          </cell>
          <cell r="D2989" t="str">
            <v>VSS</v>
          </cell>
        </row>
        <row r="2990">
          <cell r="A2990" t="str">
            <v>FB260002997</v>
          </cell>
          <cell r="D2990" t="str">
            <v>VSS</v>
          </cell>
        </row>
        <row r="2991">
          <cell r="A2991" t="str">
            <v>FB260002998</v>
          </cell>
          <cell r="D2991" t="str">
            <v>PINK</v>
          </cell>
        </row>
        <row r="2992">
          <cell r="A2992" t="str">
            <v>FB260002999</v>
          </cell>
          <cell r="D2992" t="str">
            <v>PINK</v>
          </cell>
        </row>
        <row r="2993">
          <cell r="A2993" t="str">
            <v>FB260003000</v>
          </cell>
          <cell r="D2993" t="str">
            <v>PINK</v>
          </cell>
        </row>
        <row r="2994">
          <cell r="A2994" t="str">
            <v>FB260003001</v>
          </cell>
          <cell r="D2994" t="str">
            <v>VSS</v>
          </cell>
        </row>
        <row r="2995">
          <cell r="A2995" t="str">
            <v>FB260003002</v>
          </cell>
          <cell r="D2995" t="str">
            <v>VSS</v>
          </cell>
        </row>
        <row r="2996">
          <cell r="A2996" t="str">
            <v>FB260003003</v>
          </cell>
          <cell r="D2996" t="str">
            <v>VSS</v>
          </cell>
        </row>
        <row r="2997">
          <cell r="A2997" t="str">
            <v>FB260003004</v>
          </cell>
          <cell r="D2997" t="str">
            <v>VSS</v>
          </cell>
        </row>
        <row r="2998">
          <cell r="A2998" t="str">
            <v>FB260003005</v>
          </cell>
          <cell r="D2998" t="str">
            <v>PINK</v>
          </cell>
        </row>
        <row r="2999">
          <cell r="A2999" t="str">
            <v>FB260003006</v>
          </cell>
          <cell r="D2999" t="str">
            <v>PINK</v>
          </cell>
        </row>
        <row r="3000">
          <cell r="A3000" t="str">
            <v>FB260003007</v>
          </cell>
          <cell r="D3000" t="str">
            <v>PINK</v>
          </cell>
        </row>
        <row r="3001">
          <cell r="A3001" t="str">
            <v>FB260003008</v>
          </cell>
          <cell r="D3001" t="str">
            <v>PINK</v>
          </cell>
        </row>
        <row r="3002">
          <cell r="A3002" t="str">
            <v>FB260003009</v>
          </cell>
          <cell r="D3002" t="str">
            <v>ASIC</v>
          </cell>
        </row>
        <row r="3003">
          <cell r="A3003" t="str">
            <v>FB260003010</v>
          </cell>
          <cell r="D3003" t="str">
            <v>VSS</v>
          </cell>
        </row>
        <row r="3004">
          <cell r="A3004" t="str">
            <v>FB260003011</v>
          </cell>
          <cell r="D3004" t="str">
            <v>VSS</v>
          </cell>
        </row>
        <row r="3005">
          <cell r="A3005" t="str">
            <v>FB260003013</v>
          </cell>
          <cell r="D3005" t="str">
            <v>VSS</v>
          </cell>
        </row>
        <row r="3006">
          <cell r="A3006" t="str">
            <v>FB260003014</v>
          </cell>
          <cell r="D3006" t="str">
            <v>VSS</v>
          </cell>
        </row>
        <row r="3007">
          <cell r="A3007" t="str">
            <v>FB260003015</v>
          </cell>
          <cell r="D3007" t="str">
            <v>VSS</v>
          </cell>
        </row>
        <row r="3008">
          <cell r="A3008" t="str">
            <v>FB260003016</v>
          </cell>
          <cell r="D3008" t="str">
            <v>WACE</v>
          </cell>
        </row>
        <row r="3009">
          <cell r="A3009" t="str">
            <v>FB260003017</v>
          </cell>
          <cell r="D3009" t="str">
            <v>M&amp;S</v>
          </cell>
        </row>
        <row r="3010">
          <cell r="A3010" t="str">
            <v>FB260003018</v>
          </cell>
          <cell r="D3010" t="str">
            <v>VSS</v>
          </cell>
        </row>
        <row r="3011">
          <cell r="A3011" t="str">
            <v>FB260003019</v>
          </cell>
          <cell r="D3011" t="str">
            <v>VSS</v>
          </cell>
        </row>
        <row r="3012">
          <cell r="A3012" t="str">
            <v>FB260003020</v>
          </cell>
          <cell r="D3012" t="str">
            <v>VSS</v>
          </cell>
        </row>
        <row r="3013">
          <cell r="A3013" t="str">
            <v>FB260003021</v>
          </cell>
          <cell r="D3013" t="str">
            <v>M&amp;S</v>
          </cell>
        </row>
        <row r="3014">
          <cell r="A3014" t="str">
            <v>FB260003022</v>
          </cell>
          <cell r="D3014" t="str">
            <v>M&amp;S</v>
          </cell>
        </row>
        <row r="3015">
          <cell r="A3015" t="str">
            <v>FB260003023</v>
          </cell>
          <cell r="D3015" t="str">
            <v>M&amp;S</v>
          </cell>
        </row>
        <row r="3016">
          <cell r="A3016" t="str">
            <v>FB260003024</v>
          </cell>
          <cell r="D3016" t="str">
            <v>CK</v>
          </cell>
        </row>
        <row r="3017">
          <cell r="A3017" t="str">
            <v>FB260003025</v>
          </cell>
          <cell r="D3017" t="str">
            <v>CK</v>
          </cell>
        </row>
        <row r="3018">
          <cell r="A3018" t="str">
            <v>FB260003026</v>
          </cell>
          <cell r="D3018" t="str">
            <v>VSS</v>
          </cell>
        </row>
        <row r="3019">
          <cell r="A3019" t="str">
            <v>FB260003027</v>
          </cell>
          <cell r="D3019" t="str">
            <v>WACE</v>
          </cell>
        </row>
        <row r="3020">
          <cell r="A3020" t="str">
            <v>FB260003029</v>
          </cell>
          <cell r="D3020" t="str">
            <v>VSS</v>
          </cell>
        </row>
        <row r="3021">
          <cell r="A3021" t="str">
            <v>FB260003030</v>
          </cell>
          <cell r="D3021" t="str">
            <v>VSS</v>
          </cell>
        </row>
        <row r="3022">
          <cell r="A3022" t="str">
            <v>FB260003031</v>
          </cell>
          <cell r="D3022" t="str">
            <v>WACE</v>
          </cell>
        </row>
        <row r="3023">
          <cell r="A3023" t="str">
            <v>FB260003032</v>
          </cell>
          <cell r="D3023" t="str">
            <v>VSS</v>
          </cell>
        </row>
        <row r="3024">
          <cell r="A3024" t="str">
            <v>FB260003033</v>
          </cell>
          <cell r="D3024" t="str">
            <v>VSS</v>
          </cell>
        </row>
        <row r="3025">
          <cell r="A3025" t="str">
            <v>FB260003034</v>
          </cell>
          <cell r="D3025" t="str">
            <v>VSS</v>
          </cell>
        </row>
        <row r="3026">
          <cell r="A3026" t="str">
            <v>FB260003035</v>
          </cell>
          <cell r="D3026" t="str">
            <v>VSS</v>
          </cell>
        </row>
        <row r="3027">
          <cell r="A3027" t="str">
            <v>FB260003036</v>
          </cell>
          <cell r="D3027" t="str">
            <v>VSS</v>
          </cell>
        </row>
        <row r="3028">
          <cell r="A3028" t="str">
            <v>FB260003037</v>
          </cell>
          <cell r="D3028" t="str">
            <v>VSS</v>
          </cell>
        </row>
        <row r="3029">
          <cell r="A3029" t="str">
            <v>FB260003038</v>
          </cell>
          <cell r="D3029" t="str">
            <v>VSS</v>
          </cell>
        </row>
        <row r="3030">
          <cell r="A3030" t="str">
            <v>FB260003039</v>
          </cell>
          <cell r="D3030" t="str">
            <v>VSS</v>
          </cell>
        </row>
        <row r="3031">
          <cell r="A3031" t="str">
            <v>FB260003041</v>
          </cell>
          <cell r="D3031" t="str">
            <v>VSS</v>
          </cell>
        </row>
        <row r="3032">
          <cell r="A3032" t="str">
            <v>FB260003042</v>
          </cell>
          <cell r="D3032" t="str">
            <v>VSS</v>
          </cell>
        </row>
        <row r="3033">
          <cell r="A3033" t="str">
            <v>FB260003045</v>
          </cell>
          <cell r="D3033" t="str">
            <v>VSS</v>
          </cell>
        </row>
        <row r="3034">
          <cell r="A3034" t="str">
            <v>FB260003046</v>
          </cell>
          <cell r="D3034" t="str">
            <v>VSS</v>
          </cell>
        </row>
        <row r="3035">
          <cell r="A3035" t="str">
            <v>FB260003047</v>
          </cell>
          <cell r="D3035" t="str">
            <v>VSS</v>
          </cell>
        </row>
        <row r="3036">
          <cell r="A3036" t="str">
            <v>FB260003048</v>
          </cell>
          <cell r="D3036" t="str">
            <v>VSS</v>
          </cell>
        </row>
        <row r="3037">
          <cell r="A3037" t="str">
            <v>FB260003050</v>
          </cell>
          <cell r="D3037" t="str">
            <v>VSS</v>
          </cell>
        </row>
        <row r="3038">
          <cell r="A3038" t="str">
            <v>FB260003051</v>
          </cell>
          <cell r="D3038" t="str">
            <v>VSS</v>
          </cell>
        </row>
        <row r="3039">
          <cell r="A3039" t="str">
            <v>FB260003054</v>
          </cell>
          <cell r="D3039" t="str">
            <v>VSS</v>
          </cell>
        </row>
        <row r="3040">
          <cell r="A3040" t="str">
            <v>FB260003055</v>
          </cell>
          <cell r="D3040" t="str">
            <v>VSS</v>
          </cell>
        </row>
        <row r="3041">
          <cell r="A3041" t="str">
            <v>FB260003058</v>
          </cell>
          <cell r="D3041" t="str">
            <v>VSS</v>
          </cell>
        </row>
        <row r="3042">
          <cell r="A3042" t="str">
            <v>FB260003060</v>
          </cell>
          <cell r="D3042" t="str">
            <v>VSS</v>
          </cell>
        </row>
        <row r="3043">
          <cell r="A3043" t="str">
            <v>FB260003062</v>
          </cell>
          <cell r="D3043" t="str">
            <v>VSS</v>
          </cell>
        </row>
        <row r="3044">
          <cell r="A3044" t="str">
            <v>FB260003063</v>
          </cell>
          <cell r="D3044" t="str">
            <v>VSS</v>
          </cell>
        </row>
        <row r="3045">
          <cell r="A3045" t="str">
            <v>FB260003064</v>
          </cell>
          <cell r="D3045" t="str">
            <v>VSS</v>
          </cell>
        </row>
        <row r="3046">
          <cell r="A3046" t="str">
            <v>FB260003066</v>
          </cell>
          <cell r="D3046" t="str">
            <v>VSS</v>
          </cell>
        </row>
        <row r="3047">
          <cell r="A3047" t="str">
            <v>FB260003067</v>
          </cell>
          <cell r="D3047" t="str">
            <v>VSS</v>
          </cell>
        </row>
        <row r="3048">
          <cell r="A3048" t="str">
            <v>FB260003068</v>
          </cell>
          <cell r="D3048" t="str">
            <v>VSS</v>
          </cell>
        </row>
        <row r="3049">
          <cell r="A3049" t="str">
            <v>FB260003069</v>
          </cell>
          <cell r="D3049" t="str">
            <v>VSS</v>
          </cell>
        </row>
        <row r="3050">
          <cell r="A3050" t="str">
            <v>FB260003071</v>
          </cell>
          <cell r="D3050" t="str">
            <v>VSS</v>
          </cell>
        </row>
        <row r="3051">
          <cell r="A3051" t="str">
            <v>FB260003073</v>
          </cell>
          <cell r="D3051" t="str">
            <v>VSS</v>
          </cell>
        </row>
        <row r="3052">
          <cell r="A3052" t="str">
            <v>FB260003074</v>
          </cell>
          <cell r="D3052" t="str">
            <v>VSS</v>
          </cell>
        </row>
        <row r="3053">
          <cell r="A3053" t="str">
            <v>FB260003075</v>
          </cell>
          <cell r="D3053" t="str">
            <v>VSS</v>
          </cell>
        </row>
        <row r="3054">
          <cell r="A3054" t="str">
            <v>FB260003076</v>
          </cell>
          <cell r="D3054" t="str">
            <v>VSS</v>
          </cell>
        </row>
        <row r="3055">
          <cell r="A3055" t="str">
            <v>FB260003077</v>
          </cell>
          <cell r="D3055" t="str">
            <v>VSS</v>
          </cell>
        </row>
        <row r="3056">
          <cell r="A3056" t="str">
            <v>FB260003078</v>
          </cell>
          <cell r="D3056" t="str">
            <v>VSS</v>
          </cell>
        </row>
        <row r="3057">
          <cell r="A3057" t="str">
            <v>FB260003079</v>
          </cell>
          <cell r="D3057" t="str">
            <v>VSS</v>
          </cell>
        </row>
        <row r="3058">
          <cell r="A3058" t="str">
            <v>FB260003080</v>
          </cell>
          <cell r="D3058" t="str">
            <v>VSS</v>
          </cell>
        </row>
        <row r="3059">
          <cell r="A3059" t="str">
            <v>FB260003081</v>
          </cell>
          <cell r="D3059" t="str">
            <v>VSS</v>
          </cell>
        </row>
        <row r="3060">
          <cell r="A3060" t="str">
            <v>FB260003082</v>
          </cell>
          <cell r="D3060" t="str">
            <v>VSS</v>
          </cell>
        </row>
        <row r="3061">
          <cell r="A3061" t="str">
            <v>FB260003083</v>
          </cell>
          <cell r="D3061" t="str">
            <v>VSS</v>
          </cell>
        </row>
        <row r="3062">
          <cell r="A3062" t="str">
            <v>FB260003084</v>
          </cell>
          <cell r="D3062" t="str">
            <v>VSS</v>
          </cell>
        </row>
        <row r="3063">
          <cell r="A3063" t="str">
            <v>FB260003085</v>
          </cell>
          <cell r="D3063" t="str">
            <v>VSS</v>
          </cell>
        </row>
        <row r="3064">
          <cell r="A3064" t="str">
            <v>FB260003086</v>
          </cell>
          <cell r="D3064" t="str">
            <v>VSS</v>
          </cell>
        </row>
        <row r="3065">
          <cell r="A3065" t="str">
            <v>FB260003087</v>
          </cell>
          <cell r="D3065" t="str">
            <v>VSS</v>
          </cell>
        </row>
        <row r="3066">
          <cell r="A3066" t="str">
            <v>FB260003090</v>
          </cell>
          <cell r="D3066" t="str">
            <v>VSS</v>
          </cell>
        </row>
        <row r="3067">
          <cell r="A3067" t="str">
            <v>FB260003091</v>
          </cell>
          <cell r="D3067" t="str">
            <v>VSS</v>
          </cell>
        </row>
        <row r="3068">
          <cell r="A3068" t="str">
            <v>FB260003092</v>
          </cell>
          <cell r="D3068" t="str">
            <v>VSS</v>
          </cell>
        </row>
        <row r="3069">
          <cell r="A3069" t="str">
            <v>FB260003093</v>
          </cell>
          <cell r="D3069" t="str">
            <v>VSS</v>
          </cell>
        </row>
        <row r="3070">
          <cell r="A3070" t="str">
            <v>FB260003094</v>
          </cell>
          <cell r="D3070" t="str">
            <v>VSS</v>
          </cell>
        </row>
        <row r="3071">
          <cell r="A3071" t="str">
            <v>FB260003095</v>
          </cell>
          <cell r="D3071" t="str">
            <v>VSS</v>
          </cell>
        </row>
        <row r="3072">
          <cell r="A3072" t="str">
            <v>FB260003100</v>
          </cell>
          <cell r="D3072" t="str">
            <v>PINK</v>
          </cell>
        </row>
        <row r="3073">
          <cell r="A3073" t="str">
            <v>FB260003102</v>
          </cell>
          <cell r="D3073" t="str">
            <v>VSS</v>
          </cell>
        </row>
        <row r="3074">
          <cell r="A3074" t="str">
            <v>FB260003103</v>
          </cell>
          <cell r="D3074" t="str">
            <v>VSS</v>
          </cell>
        </row>
        <row r="3075">
          <cell r="A3075" t="str">
            <v>FB260003113</v>
          </cell>
          <cell r="D3075" t="str">
            <v>VSS</v>
          </cell>
        </row>
        <row r="3076">
          <cell r="A3076" t="str">
            <v>FB260003114</v>
          </cell>
          <cell r="D3076" t="str">
            <v>VSS</v>
          </cell>
        </row>
        <row r="3077">
          <cell r="A3077" t="str">
            <v>FB260003118</v>
          </cell>
          <cell r="D3077" t="str">
            <v>VSS</v>
          </cell>
        </row>
        <row r="3078">
          <cell r="A3078" t="str">
            <v>FB260003120</v>
          </cell>
          <cell r="D3078" t="str">
            <v>LBI</v>
          </cell>
        </row>
        <row r="3079">
          <cell r="A3079" t="str">
            <v>FB260003121</v>
          </cell>
          <cell r="D3079" t="str">
            <v>INT1</v>
          </cell>
        </row>
        <row r="3080">
          <cell r="A3080" t="str">
            <v>FB260003124</v>
          </cell>
          <cell r="D3080" t="str">
            <v>LBI</v>
          </cell>
        </row>
        <row r="3081">
          <cell r="A3081" t="str">
            <v>FB260003125</v>
          </cell>
          <cell r="D3081" t="str">
            <v>VSS</v>
          </cell>
        </row>
        <row r="3082">
          <cell r="A3082" t="str">
            <v>FB260003126</v>
          </cell>
          <cell r="D3082" t="str">
            <v>VSS</v>
          </cell>
        </row>
        <row r="3083">
          <cell r="A3083" t="str">
            <v>FB260003127</v>
          </cell>
          <cell r="D3083" t="str">
            <v>LULU</v>
          </cell>
        </row>
        <row r="3084">
          <cell r="A3084" t="str">
            <v>FB260003128</v>
          </cell>
          <cell r="D3084" t="str">
            <v>PINK</v>
          </cell>
        </row>
        <row r="3085">
          <cell r="A3085" t="str">
            <v>FB260003129</v>
          </cell>
          <cell r="D3085" t="str">
            <v>PINK</v>
          </cell>
        </row>
        <row r="3086">
          <cell r="A3086" t="str">
            <v>FB260003130</v>
          </cell>
          <cell r="D3086" t="str">
            <v>PINK</v>
          </cell>
        </row>
        <row r="3087">
          <cell r="A3087" t="str">
            <v>FB260003131</v>
          </cell>
          <cell r="D3087" t="str">
            <v>PINK</v>
          </cell>
        </row>
        <row r="3088">
          <cell r="A3088" t="str">
            <v>FB260003132</v>
          </cell>
          <cell r="D3088" t="str">
            <v>CK</v>
          </cell>
        </row>
        <row r="3089">
          <cell r="A3089" t="str">
            <v>FB260003133</v>
          </cell>
          <cell r="D3089" t="str">
            <v>INT1</v>
          </cell>
        </row>
        <row r="3090">
          <cell r="A3090" t="str">
            <v>FB260003134</v>
          </cell>
          <cell r="D3090" t="str">
            <v>PINK</v>
          </cell>
        </row>
        <row r="3091">
          <cell r="A3091" t="str">
            <v>FB260003138</v>
          </cell>
          <cell r="D3091" t="str">
            <v>VSS</v>
          </cell>
        </row>
        <row r="3092">
          <cell r="A3092" t="str">
            <v>FB260003139</v>
          </cell>
          <cell r="D3092" t="str">
            <v>VSS</v>
          </cell>
        </row>
        <row r="3093">
          <cell r="A3093" t="str">
            <v>FB260003140</v>
          </cell>
          <cell r="D3093" t="str">
            <v>VSS</v>
          </cell>
        </row>
        <row r="3094">
          <cell r="A3094" t="str">
            <v>FB260003141</v>
          </cell>
          <cell r="D3094" t="str">
            <v>VSS</v>
          </cell>
        </row>
        <row r="3095">
          <cell r="A3095" t="str">
            <v>FB260003142</v>
          </cell>
          <cell r="D3095" t="str">
            <v>VSS</v>
          </cell>
        </row>
        <row r="3096">
          <cell r="A3096" t="str">
            <v>FB260003143</v>
          </cell>
          <cell r="D3096" t="str">
            <v>VSS</v>
          </cell>
        </row>
        <row r="3097">
          <cell r="A3097" t="str">
            <v>FB260003144</v>
          </cell>
          <cell r="D3097" t="str">
            <v>VSS</v>
          </cell>
        </row>
        <row r="3098">
          <cell r="A3098" t="str">
            <v>FB260003145</v>
          </cell>
          <cell r="D3098" t="str">
            <v>VSS</v>
          </cell>
        </row>
        <row r="3099">
          <cell r="A3099" t="str">
            <v>FB260003146</v>
          </cell>
          <cell r="D3099" t="str">
            <v>VSS</v>
          </cell>
        </row>
        <row r="3100">
          <cell r="A3100" t="str">
            <v>FB260003147</v>
          </cell>
          <cell r="D3100" t="str">
            <v>VSS</v>
          </cell>
        </row>
        <row r="3101">
          <cell r="A3101" t="str">
            <v>FB260003148</v>
          </cell>
          <cell r="D3101" t="str">
            <v>VSS</v>
          </cell>
        </row>
        <row r="3102">
          <cell r="A3102" t="str">
            <v>FB260003149</v>
          </cell>
          <cell r="D3102" t="str">
            <v>NIK</v>
          </cell>
        </row>
        <row r="3103">
          <cell r="A3103" t="str">
            <v>FB260003150</v>
          </cell>
          <cell r="D3103" t="str">
            <v>NIK</v>
          </cell>
        </row>
        <row r="3104">
          <cell r="A3104" t="str">
            <v>FB260003151</v>
          </cell>
          <cell r="D3104" t="str">
            <v>VSS</v>
          </cell>
        </row>
        <row r="3105">
          <cell r="A3105" t="str">
            <v>FB260003152</v>
          </cell>
          <cell r="D3105" t="str">
            <v>VSS</v>
          </cell>
        </row>
        <row r="3106">
          <cell r="A3106" t="str">
            <v>FB260003153</v>
          </cell>
          <cell r="D3106" t="str">
            <v>VSS</v>
          </cell>
        </row>
        <row r="3107">
          <cell r="A3107" t="str">
            <v>FB260003154</v>
          </cell>
          <cell r="D3107" t="str">
            <v>VSS</v>
          </cell>
        </row>
        <row r="3108">
          <cell r="A3108" t="str">
            <v>FB260003156</v>
          </cell>
          <cell r="D3108" t="str">
            <v>VSS</v>
          </cell>
        </row>
        <row r="3109">
          <cell r="A3109" t="str">
            <v>FB260003157</v>
          </cell>
          <cell r="D3109" t="str">
            <v>LBI</v>
          </cell>
        </row>
        <row r="3110">
          <cell r="A3110" t="str">
            <v>FB260003158</v>
          </cell>
          <cell r="D3110" t="str">
            <v>INT1</v>
          </cell>
        </row>
        <row r="3111">
          <cell r="A3111" t="str">
            <v>FB260003160</v>
          </cell>
          <cell r="D3111" t="str">
            <v>LULU</v>
          </cell>
        </row>
        <row r="3112">
          <cell r="A3112" t="str">
            <v>FB260003161</v>
          </cell>
          <cell r="D3112" t="str">
            <v>THX</v>
          </cell>
        </row>
        <row r="3113">
          <cell r="A3113" t="str">
            <v>FB260003162</v>
          </cell>
          <cell r="D3113" t="str">
            <v>LULU</v>
          </cell>
        </row>
        <row r="3114">
          <cell r="A3114" t="str">
            <v>FB260003163</v>
          </cell>
          <cell r="D3114" t="str">
            <v>LULU</v>
          </cell>
        </row>
        <row r="3115">
          <cell r="A3115" t="str">
            <v>FB260003164</v>
          </cell>
          <cell r="D3115" t="str">
            <v>PINK</v>
          </cell>
        </row>
        <row r="3116">
          <cell r="A3116" t="str">
            <v>FB260003165</v>
          </cell>
          <cell r="D3116" t="str">
            <v>VSS</v>
          </cell>
        </row>
        <row r="3117">
          <cell r="A3117" t="str">
            <v>FB260003166</v>
          </cell>
          <cell r="D3117" t="str">
            <v>VSS</v>
          </cell>
        </row>
        <row r="3118">
          <cell r="A3118" t="str">
            <v>FB260003167</v>
          </cell>
          <cell r="D3118" t="str">
            <v>M&amp;S</v>
          </cell>
        </row>
        <row r="3119">
          <cell r="A3119" t="str">
            <v>FB260003168</v>
          </cell>
          <cell r="D3119" t="str">
            <v>PINK</v>
          </cell>
        </row>
        <row r="3120">
          <cell r="A3120" t="str">
            <v>FB260003169</v>
          </cell>
          <cell r="D3120" t="str">
            <v>KOM</v>
          </cell>
        </row>
        <row r="3121">
          <cell r="A3121" t="str">
            <v>FB260003170</v>
          </cell>
          <cell r="D3121" t="str">
            <v>CK</v>
          </cell>
        </row>
        <row r="3122">
          <cell r="A3122" t="str">
            <v>FB260003171</v>
          </cell>
          <cell r="D3122" t="str">
            <v>M&amp;S</v>
          </cell>
        </row>
        <row r="3123">
          <cell r="A3123" t="str">
            <v>FB260003173</v>
          </cell>
          <cell r="D3123" t="str">
            <v>VSS</v>
          </cell>
        </row>
        <row r="3124">
          <cell r="A3124" t="str">
            <v>FB260003174</v>
          </cell>
          <cell r="D3124" t="str">
            <v>VSS</v>
          </cell>
        </row>
        <row r="3125">
          <cell r="A3125" t="str">
            <v>FB260003176</v>
          </cell>
          <cell r="D3125" t="str">
            <v>VSS</v>
          </cell>
        </row>
        <row r="3126">
          <cell r="A3126" t="str">
            <v>FB260003177</v>
          </cell>
          <cell r="D3126" t="str">
            <v>VSS</v>
          </cell>
        </row>
        <row r="3127">
          <cell r="A3127" t="str">
            <v>FB260003179</v>
          </cell>
          <cell r="D3127" t="str">
            <v>VSS</v>
          </cell>
        </row>
        <row r="3128">
          <cell r="A3128" t="str">
            <v>FB260003180</v>
          </cell>
          <cell r="D3128" t="str">
            <v>VSS</v>
          </cell>
        </row>
        <row r="3129">
          <cell r="A3129" t="str">
            <v>FB260003182</v>
          </cell>
          <cell r="D3129" t="str">
            <v>NIK</v>
          </cell>
        </row>
        <row r="3130">
          <cell r="A3130" t="str">
            <v>FB260003183</v>
          </cell>
          <cell r="D3130" t="str">
            <v>WACE</v>
          </cell>
        </row>
        <row r="3131">
          <cell r="A3131" t="str">
            <v>FB260003185</v>
          </cell>
          <cell r="D3131" t="str">
            <v>WACE</v>
          </cell>
        </row>
        <row r="3132">
          <cell r="A3132" t="str">
            <v>FB260003186</v>
          </cell>
          <cell r="D3132" t="str">
            <v>PINK</v>
          </cell>
        </row>
        <row r="3133">
          <cell r="A3133" t="str">
            <v>FB260003187</v>
          </cell>
          <cell r="D3133" t="str">
            <v>VSS</v>
          </cell>
        </row>
        <row r="3134">
          <cell r="A3134" t="str">
            <v>FB260003188</v>
          </cell>
          <cell r="D3134" t="str">
            <v>VSS</v>
          </cell>
        </row>
        <row r="3135">
          <cell r="A3135" t="str">
            <v>FB260003189</v>
          </cell>
          <cell r="D3135" t="str">
            <v>VSS</v>
          </cell>
        </row>
        <row r="3136">
          <cell r="A3136" t="str">
            <v>FB260003190</v>
          </cell>
          <cell r="D3136" t="str">
            <v>VSS</v>
          </cell>
        </row>
        <row r="3137">
          <cell r="A3137" t="str">
            <v>FB260003191</v>
          </cell>
          <cell r="D3137" t="str">
            <v>VSS</v>
          </cell>
        </row>
        <row r="3138">
          <cell r="A3138" t="str">
            <v>FB260003192</v>
          </cell>
          <cell r="D3138" t="str">
            <v>VSS</v>
          </cell>
        </row>
        <row r="3139">
          <cell r="A3139" t="str">
            <v>FB260003193</v>
          </cell>
          <cell r="D3139" t="str">
            <v>VSS</v>
          </cell>
        </row>
        <row r="3140">
          <cell r="A3140" t="str">
            <v>FB260003194</v>
          </cell>
          <cell r="D3140" t="str">
            <v>VSS</v>
          </cell>
        </row>
        <row r="3141">
          <cell r="A3141" t="str">
            <v>FB260003195</v>
          </cell>
          <cell r="D3141" t="str">
            <v>VSS</v>
          </cell>
        </row>
        <row r="3142">
          <cell r="A3142" t="str">
            <v>FB260003196</v>
          </cell>
          <cell r="D3142" t="str">
            <v>VSS</v>
          </cell>
        </row>
        <row r="3143">
          <cell r="A3143" t="str">
            <v>FB260003197</v>
          </cell>
          <cell r="D3143" t="str">
            <v>VSS</v>
          </cell>
        </row>
        <row r="3144">
          <cell r="A3144" t="str">
            <v>FB260003198</v>
          </cell>
          <cell r="D3144" t="str">
            <v>VSS</v>
          </cell>
        </row>
        <row r="3145">
          <cell r="A3145" t="str">
            <v>FB260003199</v>
          </cell>
          <cell r="D3145" t="str">
            <v>VSS</v>
          </cell>
        </row>
        <row r="3146">
          <cell r="A3146" t="str">
            <v>FB260003200</v>
          </cell>
          <cell r="D3146" t="str">
            <v>PINK</v>
          </cell>
        </row>
        <row r="3147">
          <cell r="A3147" t="str">
            <v>FB260003201</v>
          </cell>
          <cell r="D3147" t="str">
            <v>M&amp;S</v>
          </cell>
        </row>
        <row r="3148">
          <cell r="A3148" t="str">
            <v>FB260003202</v>
          </cell>
          <cell r="D3148" t="str">
            <v>M&amp;S</v>
          </cell>
        </row>
        <row r="3149">
          <cell r="A3149" t="str">
            <v>FB260003203</v>
          </cell>
          <cell r="D3149" t="str">
            <v>M&amp;S</v>
          </cell>
        </row>
        <row r="3150">
          <cell r="A3150" t="str">
            <v>FB260003204</v>
          </cell>
          <cell r="D3150" t="str">
            <v>M&amp;S</v>
          </cell>
        </row>
        <row r="3151">
          <cell r="A3151" t="str">
            <v>FB260003205</v>
          </cell>
          <cell r="D3151" t="str">
            <v>LULU</v>
          </cell>
        </row>
        <row r="3152">
          <cell r="A3152" t="str">
            <v>FB260003206</v>
          </cell>
          <cell r="D3152" t="str">
            <v>LULU</v>
          </cell>
        </row>
        <row r="3153">
          <cell r="A3153" t="str">
            <v>FB260003207</v>
          </cell>
          <cell r="D3153" t="str">
            <v>VSS</v>
          </cell>
        </row>
        <row r="3154">
          <cell r="A3154" t="str">
            <v>FB260003208</v>
          </cell>
          <cell r="D3154" t="str">
            <v>VSS</v>
          </cell>
        </row>
        <row r="3155">
          <cell r="A3155" t="str">
            <v>FB260003209</v>
          </cell>
          <cell r="D3155" t="str">
            <v>VSS</v>
          </cell>
        </row>
        <row r="3156">
          <cell r="A3156" t="str">
            <v>FB260003210</v>
          </cell>
          <cell r="D3156" t="str">
            <v>VSS</v>
          </cell>
        </row>
        <row r="3157">
          <cell r="A3157" t="str">
            <v>FB260003211</v>
          </cell>
          <cell r="D3157" t="str">
            <v>VSS</v>
          </cell>
        </row>
        <row r="3158">
          <cell r="A3158" t="str">
            <v>FB260003212</v>
          </cell>
          <cell r="D3158" t="str">
            <v>NIK</v>
          </cell>
        </row>
        <row r="3159">
          <cell r="A3159" t="str">
            <v>FB260003213</v>
          </cell>
          <cell r="D3159" t="str">
            <v>VSS</v>
          </cell>
        </row>
        <row r="3160">
          <cell r="A3160" t="str">
            <v>FB260003214</v>
          </cell>
          <cell r="D3160" t="str">
            <v>NIK</v>
          </cell>
        </row>
        <row r="3161">
          <cell r="A3161" t="str">
            <v>FB260003215</v>
          </cell>
          <cell r="D3161" t="str">
            <v>NIK</v>
          </cell>
        </row>
        <row r="3162">
          <cell r="A3162" t="str">
            <v>FB260003216</v>
          </cell>
          <cell r="D3162" t="str">
            <v>NIK</v>
          </cell>
        </row>
        <row r="3163">
          <cell r="A3163" t="str">
            <v>FB260003219</v>
          </cell>
          <cell r="D3163" t="str">
            <v>NIK</v>
          </cell>
        </row>
        <row r="3164">
          <cell r="A3164" t="str">
            <v>FB260003220</v>
          </cell>
          <cell r="D3164" t="str">
            <v>NIK</v>
          </cell>
        </row>
        <row r="3165">
          <cell r="A3165" t="str">
            <v>FB260003222</v>
          </cell>
          <cell r="D3165" t="str">
            <v>NIK</v>
          </cell>
        </row>
        <row r="3166">
          <cell r="A3166" t="str">
            <v>FB260003223</v>
          </cell>
          <cell r="D3166" t="str">
            <v>NIK</v>
          </cell>
        </row>
        <row r="3167">
          <cell r="A3167" t="str">
            <v>FB260003226</v>
          </cell>
          <cell r="D3167" t="str">
            <v>NIK</v>
          </cell>
        </row>
        <row r="3168">
          <cell r="A3168" t="str">
            <v>FB260003228</v>
          </cell>
          <cell r="D3168" t="str">
            <v>NIK</v>
          </cell>
        </row>
        <row r="3169">
          <cell r="A3169" t="str">
            <v>FB260003230</v>
          </cell>
          <cell r="D3169" t="str">
            <v>NIK</v>
          </cell>
        </row>
        <row r="3170">
          <cell r="A3170" t="str">
            <v>FB260003234</v>
          </cell>
          <cell r="D3170" t="str">
            <v>VSS</v>
          </cell>
        </row>
        <row r="3171">
          <cell r="A3171" t="str">
            <v>FB260003236</v>
          </cell>
          <cell r="D3171" t="str">
            <v>VSS</v>
          </cell>
        </row>
        <row r="3172">
          <cell r="A3172" t="str">
            <v>FB260003244</v>
          </cell>
          <cell r="D3172" t="str">
            <v>NIK</v>
          </cell>
        </row>
        <row r="3173">
          <cell r="A3173" t="str">
            <v>FB260003246</v>
          </cell>
          <cell r="D3173" t="str">
            <v>NIK</v>
          </cell>
        </row>
        <row r="3174">
          <cell r="A3174" t="str">
            <v>FB260003249</v>
          </cell>
          <cell r="D3174" t="str">
            <v>NIK</v>
          </cell>
        </row>
        <row r="3175">
          <cell r="A3175" t="str">
            <v>FB260003251</v>
          </cell>
          <cell r="D3175" t="str">
            <v>NIK</v>
          </cell>
        </row>
        <row r="3176">
          <cell r="A3176" t="str">
            <v>FB260003253</v>
          </cell>
          <cell r="D3176" t="str">
            <v>NIK</v>
          </cell>
        </row>
        <row r="3177">
          <cell r="A3177" t="str">
            <v>FB260003255</v>
          </cell>
          <cell r="D3177" t="str">
            <v>NIK</v>
          </cell>
        </row>
        <row r="3178">
          <cell r="A3178" t="str">
            <v>FB260003259</v>
          </cell>
          <cell r="D3178" t="str">
            <v>NIK</v>
          </cell>
        </row>
        <row r="3179">
          <cell r="A3179" t="str">
            <v>FB260003260</v>
          </cell>
          <cell r="D3179" t="str">
            <v>NIK</v>
          </cell>
        </row>
        <row r="3180">
          <cell r="A3180" t="str">
            <v>FB260003261</v>
          </cell>
          <cell r="D3180" t="str">
            <v>NIK</v>
          </cell>
        </row>
        <row r="3181">
          <cell r="A3181" t="str">
            <v>FB260003265</v>
          </cell>
          <cell r="D3181" t="str">
            <v>NIK</v>
          </cell>
        </row>
        <row r="3182">
          <cell r="A3182" t="str">
            <v>FB260003266</v>
          </cell>
          <cell r="D3182" t="str">
            <v>NIK</v>
          </cell>
        </row>
        <row r="3183">
          <cell r="A3183" t="str">
            <v>FB260003268</v>
          </cell>
          <cell r="D3183" t="str">
            <v>NIK</v>
          </cell>
        </row>
        <row r="3184">
          <cell r="A3184" t="str">
            <v>FB260003269</v>
          </cell>
          <cell r="D3184" t="str">
            <v>NIK</v>
          </cell>
        </row>
        <row r="3185">
          <cell r="A3185" t="str">
            <v>FB260003272</v>
          </cell>
          <cell r="D3185" t="str">
            <v>NIK</v>
          </cell>
        </row>
        <row r="3186">
          <cell r="A3186" t="str">
            <v>FB260003280</v>
          </cell>
          <cell r="D3186" t="str">
            <v>VSS</v>
          </cell>
        </row>
        <row r="3187">
          <cell r="A3187" t="str">
            <v>FB260003283</v>
          </cell>
          <cell r="D3187" t="str">
            <v>NIK</v>
          </cell>
        </row>
        <row r="3188">
          <cell r="A3188" t="str">
            <v>FB260003286</v>
          </cell>
          <cell r="D3188" t="str">
            <v>VSS</v>
          </cell>
        </row>
        <row r="3189">
          <cell r="A3189" t="str">
            <v>FB260003287</v>
          </cell>
          <cell r="D3189" t="str">
            <v>VSS</v>
          </cell>
        </row>
        <row r="3190">
          <cell r="A3190" t="str">
            <v>FB260003289</v>
          </cell>
          <cell r="D3190" t="str">
            <v>VSS</v>
          </cell>
        </row>
        <row r="3191">
          <cell r="A3191" t="str">
            <v>FB260003290</v>
          </cell>
          <cell r="D3191" t="str">
            <v>VSS</v>
          </cell>
        </row>
        <row r="3192">
          <cell r="A3192" t="str">
            <v>FB260003291</v>
          </cell>
          <cell r="D3192" t="str">
            <v>VSS</v>
          </cell>
        </row>
        <row r="3193">
          <cell r="A3193" t="str">
            <v>FB260003292</v>
          </cell>
          <cell r="D3193" t="str">
            <v>VSS</v>
          </cell>
        </row>
        <row r="3194">
          <cell r="A3194" t="str">
            <v>FB260003296</v>
          </cell>
          <cell r="D3194" t="str">
            <v>VSS</v>
          </cell>
        </row>
        <row r="3195">
          <cell r="A3195" t="str">
            <v>FB260003297</v>
          </cell>
          <cell r="D3195" t="str">
            <v>VSS</v>
          </cell>
        </row>
        <row r="3196">
          <cell r="A3196" t="str">
            <v>FB260003298</v>
          </cell>
          <cell r="D3196" t="str">
            <v>VSS</v>
          </cell>
        </row>
        <row r="3197">
          <cell r="A3197" t="str">
            <v>FB260003301</v>
          </cell>
          <cell r="D3197" t="str">
            <v>STRUL</v>
          </cell>
        </row>
        <row r="3198">
          <cell r="A3198" t="str">
            <v>FB260003302</v>
          </cell>
          <cell r="D3198" t="str">
            <v>NIK</v>
          </cell>
        </row>
        <row r="3199">
          <cell r="A3199" t="str">
            <v>FB260003303</v>
          </cell>
          <cell r="D3199" t="str">
            <v>NIK</v>
          </cell>
        </row>
        <row r="3200">
          <cell r="A3200" t="str">
            <v>FB260003304</v>
          </cell>
          <cell r="D3200" t="str">
            <v>NIK</v>
          </cell>
        </row>
        <row r="3201">
          <cell r="A3201" t="str">
            <v>FB260003305</v>
          </cell>
          <cell r="D3201" t="str">
            <v>NIK</v>
          </cell>
        </row>
        <row r="3202">
          <cell r="A3202" t="str">
            <v>FB260003306</v>
          </cell>
          <cell r="D3202" t="str">
            <v>NIK</v>
          </cell>
        </row>
        <row r="3203">
          <cell r="A3203" t="str">
            <v>FB260003307</v>
          </cell>
          <cell r="D3203" t="str">
            <v>NIK</v>
          </cell>
        </row>
        <row r="3204">
          <cell r="A3204" t="str">
            <v>FB260003308</v>
          </cell>
          <cell r="D3204" t="str">
            <v>NIK</v>
          </cell>
        </row>
        <row r="3205">
          <cell r="A3205" t="str">
            <v>FB260003309</v>
          </cell>
          <cell r="D3205" t="str">
            <v>NIK</v>
          </cell>
        </row>
        <row r="3206">
          <cell r="A3206" t="str">
            <v>FB260003310</v>
          </cell>
          <cell r="D3206" t="str">
            <v>NIK</v>
          </cell>
        </row>
        <row r="3207">
          <cell r="A3207" t="str">
            <v>FB260003311</v>
          </cell>
          <cell r="D3207" t="str">
            <v>NIK</v>
          </cell>
        </row>
        <row r="3208">
          <cell r="A3208" t="str">
            <v>FB260003312</v>
          </cell>
          <cell r="D3208" t="str">
            <v>NIK</v>
          </cell>
        </row>
        <row r="3209">
          <cell r="A3209" t="str">
            <v>FB260003313</v>
          </cell>
          <cell r="D3209" t="str">
            <v>NIK</v>
          </cell>
        </row>
        <row r="3210">
          <cell r="A3210" t="str">
            <v>FB260003314</v>
          </cell>
          <cell r="D3210" t="str">
            <v>NIK</v>
          </cell>
        </row>
        <row r="3211">
          <cell r="A3211" t="str">
            <v>FB260003315</v>
          </cell>
          <cell r="D3211" t="str">
            <v>NIK</v>
          </cell>
        </row>
        <row r="3212">
          <cell r="A3212" t="str">
            <v>FB260003316</v>
          </cell>
          <cell r="D3212" t="str">
            <v>NIK</v>
          </cell>
        </row>
        <row r="3213">
          <cell r="A3213" t="str">
            <v>FB260003317</v>
          </cell>
          <cell r="D3213" t="str">
            <v>NIK</v>
          </cell>
        </row>
        <row r="3214">
          <cell r="A3214" t="str">
            <v>FB260003318</v>
          </cell>
          <cell r="D3214" t="str">
            <v>NIK</v>
          </cell>
        </row>
        <row r="3215">
          <cell r="A3215" t="str">
            <v>FB260003319</v>
          </cell>
          <cell r="D3215" t="str">
            <v>NIK</v>
          </cell>
        </row>
        <row r="3216">
          <cell r="A3216" t="str">
            <v>FB260003320</v>
          </cell>
          <cell r="D3216" t="str">
            <v>NIK</v>
          </cell>
        </row>
        <row r="3217">
          <cell r="A3217" t="str">
            <v>FB260003321</v>
          </cell>
          <cell r="D3217" t="str">
            <v>NIK</v>
          </cell>
        </row>
        <row r="3218">
          <cell r="A3218" t="str">
            <v>FB260003322</v>
          </cell>
          <cell r="D3218" t="str">
            <v>NIK</v>
          </cell>
        </row>
        <row r="3219">
          <cell r="A3219" t="str">
            <v>FB260003323</v>
          </cell>
          <cell r="D3219" t="str">
            <v>SW</v>
          </cell>
        </row>
        <row r="3220">
          <cell r="A3220" t="str">
            <v>FB260003324</v>
          </cell>
          <cell r="D3220" t="str">
            <v>VSS</v>
          </cell>
        </row>
        <row r="3221">
          <cell r="A3221" t="str">
            <v>FB260003325</v>
          </cell>
          <cell r="D3221" t="str">
            <v>VSS</v>
          </cell>
        </row>
        <row r="3222">
          <cell r="A3222" t="str">
            <v>FB260003326</v>
          </cell>
          <cell r="D3222" t="str">
            <v>VSS</v>
          </cell>
        </row>
        <row r="3223">
          <cell r="A3223" t="str">
            <v>FB260003327</v>
          </cell>
          <cell r="D3223" t="str">
            <v>VSS</v>
          </cell>
        </row>
        <row r="3224">
          <cell r="A3224" t="str">
            <v>FB260003328</v>
          </cell>
          <cell r="D3224" t="str">
            <v>VSS</v>
          </cell>
        </row>
        <row r="3225">
          <cell r="A3225" t="str">
            <v>FB260003329</v>
          </cell>
          <cell r="D3225" t="str">
            <v>VSS</v>
          </cell>
        </row>
        <row r="3226">
          <cell r="A3226" t="str">
            <v>FB260003330</v>
          </cell>
          <cell r="D3226" t="str">
            <v>NIK</v>
          </cell>
        </row>
        <row r="3227">
          <cell r="A3227" t="str">
            <v>FB260003331</v>
          </cell>
          <cell r="D3227" t="str">
            <v>VSS</v>
          </cell>
        </row>
        <row r="3228">
          <cell r="A3228" t="str">
            <v>FB260003332</v>
          </cell>
          <cell r="D3228" t="str">
            <v>VSS</v>
          </cell>
        </row>
        <row r="3229">
          <cell r="A3229" t="str">
            <v>FB260003333</v>
          </cell>
          <cell r="D3229" t="str">
            <v>VSS</v>
          </cell>
        </row>
        <row r="3230">
          <cell r="A3230" t="str">
            <v>FB260003334</v>
          </cell>
          <cell r="D3230" t="str">
            <v>VSS</v>
          </cell>
        </row>
        <row r="3231">
          <cell r="A3231" t="str">
            <v>FB260003335</v>
          </cell>
          <cell r="D3231" t="str">
            <v>VSS</v>
          </cell>
        </row>
        <row r="3232">
          <cell r="A3232" t="str">
            <v>FB260003336</v>
          </cell>
          <cell r="D3232" t="str">
            <v>VSS</v>
          </cell>
        </row>
        <row r="3233">
          <cell r="A3233" t="str">
            <v>FB260003337</v>
          </cell>
          <cell r="D3233" t="str">
            <v>VSS</v>
          </cell>
        </row>
        <row r="3234">
          <cell r="A3234" t="str">
            <v>FB260003338</v>
          </cell>
          <cell r="D3234" t="str">
            <v>VSS</v>
          </cell>
        </row>
        <row r="3235">
          <cell r="A3235" t="str">
            <v>FB260003339</v>
          </cell>
          <cell r="D3235" t="str">
            <v>VSS</v>
          </cell>
        </row>
        <row r="3236">
          <cell r="A3236" t="str">
            <v>FB260003340</v>
          </cell>
          <cell r="D3236" t="str">
            <v>VSS</v>
          </cell>
        </row>
        <row r="3237">
          <cell r="A3237" t="str">
            <v>FB260003341</v>
          </cell>
          <cell r="D3237" t="str">
            <v>NIK</v>
          </cell>
        </row>
        <row r="3238">
          <cell r="A3238" t="str">
            <v>FB260003342</v>
          </cell>
          <cell r="D3238" t="str">
            <v>NIK</v>
          </cell>
        </row>
        <row r="3239">
          <cell r="A3239" t="str">
            <v>FB260003343</v>
          </cell>
          <cell r="D3239" t="str">
            <v>NIK</v>
          </cell>
        </row>
        <row r="3240">
          <cell r="A3240" t="str">
            <v>FB260003344</v>
          </cell>
          <cell r="D3240" t="str">
            <v>VSS</v>
          </cell>
        </row>
        <row r="3241">
          <cell r="A3241" t="str">
            <v>FB260003345</v>
          </cell>
          <cell r="D3241" t="str">
            <v>VSS</v>
          </cell>
        </row>
        <row r="3242">
          <cell r="A3242" t="str">
            <v>FB260003346</v>
          </cell>
          <cell r="D3242" t="str">
            <v>VSS</v>
          </cell>
        </row>
        <row r="3243">
          <cell r="A3243" t="str">
            <v>FB260003347</v>
          </cell>
          <cell r="D3243" t="str">
            <v>VSS</v>
          </cell>
        </row>
        <row r="3244">
          <cell r="A3244" t="str">
            <v>FB260003348</v>
          </cell>
          <cell r="D3244" t="str">
            <v>VSS</v>
          </cell>
        </row>
        <row r="3245">
          <cell r="A3245" t="str">
            <v>FB260003349</v>
          </cell>
          <cell r="D3245" t="str">
            <v>VSS</v>
          </cell>
        </row>
        <row r="3246">
          <cell r="A3246" t="str">
            <v>FB260003350</v>
          </cell>
          <cell r="D3246" t="str">
            <v>VSS</v>
          </cell>
        </row>
        <row r="3247">
          <cell r="A3247" t="str">
            <v>FB260003352</v>
          </cell>
          <cell r="D3247" t="str">
            <v>VSS</v>
          </cell>
        </row>
        <row r="3248">
          <cell r="A3248" t="str">
            <v>FB260003354</v>
          </cell>
          <cell r="D3248" t="str">
            <v>NIK</v>
          </cell>
        </row>
        <row r="3249">
          <cell r="A3249" t="str">
            <v>FB260003356</v>
          </cell>
          <cell r="D3249" t="str">
            <v>NIK</v>
          </cell>
        </row>
        <row r="3250">
          <cell r="A3250" t="str">
            <v>FB260003357</v>
          </cell>
          <cell r="D3250" t="str">
            <v>NIK</v>
          </cell>
        </row>
        <row r="3251">
          <cell r="A3251" t="str">
            <v>FB260003359</v>
          </cell>
          <cell r="D3251" t="str">
            <v>VSS</v>
          </cell>
        </row>
        <row r="3252">
          <cell r="A3252" t="str">
            <v>FB260003360</v>
          </cell>
          <cell r="D3252" t="str">
            <v>VSS</v>
          </cell>
        </row>
        <row r="3253">
          <cell r="A3253" t="str">
            <v>FB260003361</v>
          </cell>
          <cell r="D3253" t="str">
            <v>VSS</v>
          </cell>
        </row>
        <row r="3254">
          <cell r="A3254" t="str">
            <v>FB260003362</v>
          </cell>
          <cell r="D3254" t="str">
            <v>VSS</v>
          </cell>
        </row>
        <row r="3255">
          <cell r="A3255" t="str">
            <v>FB260003363</v>
          </cell>
          <cell r="D3255" t="str">
            <v>VSS</v>
          </cell>
        </row>
        <row r="3256">
          <cell r="A3256" t="str">
            <v>FB260003364</v>
          </cell>
          <cell r="D3256" t="str">
            <v>VSS</v>
          </cell>
        </row>
        <row r="3257">
          <cell r="A3257" t="str">
            <v>FB260003369</v>
          </cell>
          <cell r="D3257" t="str">
            <v>VSS</v>
          </cell>
        </row>
        <row r="3258">
          <cell r="A3258" t="str">
            <v>FB260003370</v>
          </cell>
          <cell r="D3258" t="str">
            <v>VSS</v>
          </cell>
        </row>
        <row r="3259">
          <cell r="A3259" t="str">
            <v>FB260003373</v>
          </cell>
          <cell r="D3259" t="str">
            <v>VSS</v>
          </cell>
        </row>
        <row r="3260">
          <cell r="A3260" t="str">
            <v>FB260003383</v>
          </cell>
          <cell r="D3260" t="str">
            <v>LBI</v>
          </cell>
        </row>
        <row r="3261">
          <cell r="A3261" t="str">
            <v>FB260003387</v>
          </cell>
          <cell r="D3261" t="str">
            <v>LULU</v>
          </cell>
        </row>
        <row r="3262">
          <cell r="A3262" t="str">
            <v>FB260003390</v>
          </cell>
          <cell r="D3262" t="str">
            <v>NIK</v>
          </cell>
        </row>
        <row r="3263">
          <cell r="A3263" t="str">
            <v>FB260003394</v>
          </cell>
          <cell r="D3263" t="str">
            <v>NIK</v>
          </cell>
        </row>
        <row r="3264">
          <cell r="A3264" t="str">
            <v>FB260003397</v>
          </cell>
          <cell r="D3264" t="str">
            <v>NIK</v>
          </cell>
        </row>
        <row r="3265">
          <cell r="A3265" t="str">
            <v>FB260003411</v>
          </cell>
          <cell r="D3265" t="str">
            <v>WACE</v>
          </cell>
        </row>
        <row r="3266">
          <cell r="A3266" t="str">
            <v>FB260003414</v>
          </cell>
          <cell r="D3266" t="str">
            <v>LBI</v>
          </cell>
        </row>
        <row r="3267">
          <cell r="A3267" t="str">
            <v>FB260003415</v>
          </cell>
          <cell r="D3267" t="str">
            <v>NIK</v>
          </cell>
        </row>
        <row r="3268">
          <cell r="A3268" t="str">
            <v>FB260003421</v>
          </cell>
          <cell r="D3268" t="str">
            <v>NEX</v>
          </cell>
        </row>
        <row r="3269">
          <cell r="A3269" t="str">
            <v>FB260003422</v>
          </cell>
          <cell r="D3269" t="str">
            <v>M&amp;S</v>
          </cell>
        </row>
        <row r="3270">
          <cell r="A3270" t="str">
            <v>FB260003423</v>
          </cell>
          <cell r="D3270" t="str">
            <v>WACE</v>
          </cell>
        </row>
        <row r="3271">
          <cell r="A3271" t="str">
            <v>FB260003424</v>
          </cell>
          <cell r="D3271" t="str">
            <v>INT1</v>
          </cell>
        </row>
        <row r="3272">
          <cell r="A3272" t="str">
            <v>FB260003425</v>
          </cell>
          <cell r="D3272" t="str">
            <v>WACE</v>
          </cell>
        </row>
        <row r="3273">
          <cell r="A3273" t="str">
            <v>FB260003426</v>
          </cell>
          <cell r="D3273" t="str">
            <v>WACE</v>
          </cell>
        </row>
        <row r="3274">
          <cell r="A3274" t="str">
            <v>FB260003428</v>
          </cell>
          <cell r="D3274" t="str">
            <v>M&amp;S</v>
          </cell>
        </row>
        <row r="3275">
          <cell r="A3275" t="str">
            <v>FB260003429</v>
          </cell>
          <cell r="D3275" t="str">
            <v>PINK</v>
          </cell>
        </row>
        <row r="3276">
          <cell r="A3276" t="str">
            <v>FB260003430</v>
          </cell>
          <cell r="D3276" t="str">
            <v>PINK</v>
          </cell>
        </row>
        <row r="3277">
          <cell r="A3277" t="str">
            <v>FB260003431</v>
          </cell>
          <cell r="D3277" t="str">
            <v>PINK</v>
          </cell>
        </row>
        <row r="3278">
          <cell r="A3278" t="str">
            <v>FB260003433</v>
          </cell>
          <cell r="D3278" t="str">
            <v>PINK</v>
          </cell>
        </row>
        <row r="3279">
          <cell r="A3279" t="str">
            <v>FB260003434</v>
          </cell>
          <cell r="D3279" t="str">
            <v>PINK</v>
          </cell>
        </row>
        <row r="3280">
          <cell r="A3280" t="str">
            <v>FB260003436</v>
          </cell>
          <cell r="D3280" t="str">
            <v>NIK</v>
          </cell>
        </row>
        <row r="3281">
          <cell r="A3281" t="str">
            <v>FB260003437</v>
          </cell>
          <cell r="D3281" t="str">
            <v>M&amp;S</v>
          </cell>
        </row>
        <row r="3282">
          <cell r="A3282" t="str">
            <v>FB260003438</v>
          </cell>
          <cell r="D3282" t="str">
            <v>NIK</v>
          </cell>
        </row>
        <row r="3283">
          <cell r="A3283" t="str">
            <v>FB260003439</v>
          </cell>
          <cell r="D3283" t="str">
            <v>NIK</v>
          </cell>
        </row>
        <row r="3284">
          <cell r="A3284" t="str">
            <v>FB260003440</v>
          </cell>
          <cell r="D3284" t="str">
            <v>NIK</v>
          </cell>
        </row>
        <row r="3285">
          <cell r="A3285" t="str">
            <v>FB260003441</v>
          </cell>
          <cell r="D3285" t="str">
            <v>NIK</v>
          </cell>
        </row>
        <row r="3286">
          <cell r="A3286" t="str">
            <v>FB260003442</v>
          </cell>
          <cell r="D3286" t="str">
            <v>NIK</v>
          </cell>
        </row>
        <row r="3287">
          <cell r="A3287" t="str">
            <v>FB260003443</v>
          </cell>
          <cell r="D3287" t="str">
            <v>NIK</v>
          </cell>
        </row>
        <row r="3288">
          <cell r="A3288" t="str">
            <v>FB260003444</v>
          </cell>
          <cell r="D3288" t="str">
            <v>NIK</v>
          </cell>
        </row>
        <row r="3289">
          <cell r="A3289" t="str">
            <v>FB260003446</v>
          </cell>
          <cell r="D3289" t="str">
            <v>NIK</v>
          </cell>
        </row>
        <row r="3290">
          <cell r="A3290" t="str">
            <v>FB260003447</v>
          </cell>
          <cell r="D3290" t="str">
            <v>NIK</v>
          </cell>
        </row>
        <row r="3291">
          <cell r="A3291" t="str">
            <v>FB260003448</v>
          </cell>
          <cell r="D3291" t="str">
            <v>NIK</v>
          </cell>
        </row>
        <row r="3292">
          <cell r="A3292" t="str">
            <v>FB260003449</v>
          </cell>
          <cell r="D3292" t="str">
            <v>NIK</v>
          </cell>
        </row>
        <row r="3293">
          <cell r="A3293" t="str">
            <v>FB260003450</v>
          </cell>
          <cell r="D3293" t="str">
            <v>NIK</v>
          </cell>
        </row>
        <row r="3294">
          <cell r="A3294" t="str">
            <v>FB260003451</v>
          </cell>
          <cell r="D3294" t="str">
            <v>NIK</v>
          </cell>
        </row>
        <row r="3295">
          <cell r="A3295" t="str">
            <v>FB260003452</v>
          </cell>
          <cell r="D3295" t="str">
            <v>NIK</v>
          </cell>
        </row>
        <row r="3296">
          <cell r="A3296" t="str">
            <v>FB260003454</v>
          </cell>
          <cell r="D3296" t="str">
            <v>SW</v>
          </cell>
        </row>
        <row r="3297">
          <cell r="A3297" t="str">
            <v>FB260003455</v>
          </cell>
          <cell r="D3297" t="str">
            <v>SW</v>
          </cell>
        </row>
        <row r="3298">
          <cell r="A3298" t="str">
            <v>FB260003456</v>
          </cell>
          <cell r="D3298" t="str">
            <v>SW</v>
          </cell>
        </row>
        <row r="3299">
          <cell r="A3299" t="str">
            <v>FB260003457</v>
          </cell>
          <cell r="D3299" t="str">
            <v>SW</v>
          </cell>
        </row>
        <row r="3300">
          <cell r="A3300" t="str">
            <v>FB260003458</v>
          </cell>
          <cell r="D3300" t="str">
            <v>SW</v>
          </cell>
        </row>
        <row r="3301">
          <cell r="A3301" t="str">
            <v>FB260003459</v>
          </cell>
          <cell r="D3301" t="str">
            <v>SW</v>
          </cell>
        </row>
        <row r="3302">
          <cell r="A3302" t="str">
            <v>FB260003460</v>
          </cell>
          <cell r="D3302" t="str">
            <v>VSS</v>
          </cell>
        </row>
        <row r="3303">
          <cell r="A3303" t="str">
            <v>FB260003461</v>
          </cell>
          <cell r="D3303" t="str">
            <v>SW</v>
          </cell>
        </row>
        <row r="3304">
          <cell r="A3304" t="str">
            <v>FB260003462</v>
          </cell>
          <cell r="D3304" t="str">
            <v>VSS</v>
          </cell>
        </row>
        <row r="3305">
          <cell r="A3305" t="str">
            <v>FB260003463</v>
          </cell>
          <cell r="D3305" t="str">
            <v>VSS</v>
          </cell>
        </row>
        <row r="3306">
          <cell r="A3306" t="str">
            <v>FB260003464</v>
          </cell>
          <cell r="D3306" t="str">
            <v>VSS</v>
          </cell>
        </row>
        <row r="3307">
          <cell r="A3307" t="str">
            <v>FB260003465</v>
          </cell>
          <cell r="D3307" t="str">
            <v>INT1</v>
          </cell>
        </row>
        <row r="3308">
          <cell r="A3308" t="str">
            <v>FB260003466</v>
          </cell>
          <cell r="D3308" t="str">
            <v>INT1</v>
          </cell>
        </row>
        <row r="3309">
          <cell r="A3309" t="str">
            <v>FB260003467</v>
          </cell>
          <cell r="D3309" t="str">
            <v>WACE</v>
          </cell>
        </row>
        <row r="3310">
          <cell r="A3310" t="str">
            <v>FB260003469</v>
          </cell>
          <cell r="D3310" t="str">
            <v>STRUL</v>
          </cell>
        </row>
        <row r="3311">
          <cell r="A3311" t="str">
            <v>FB260003470</v>
          </cell>
          <cell r="D3311" t="str">
            <v>STRUL</v>
          </cell>
        </row>
        <row r="3312">
          <cell r="A3312" t="str">
            <v>FB260003472</v>
          </cell>
          <cell r="D3312" t="str">
            <v>PINK</v>
          </cell>
        </row>
        <row r="3313">
          <cell r="A3313" t="str">
            <v>FB260003473</v>
          </cell>
          <cell r="D3313" t="str">
            <v>PINK</v>
          </cell>
        </row>
        <row r="3314">
          <cell r="A3314" t="str">
            <v>FB260003474</v>
          </cell>
          <cell r="D3314" t="str">
            <v>PINK</v>
          </cell>
        </row>
        <row r="3315">
          <cell r="A3315" t="str">
            <v>FB260003475</v>
          </cell>
          <cell r="D3315" t="str">
            <v>M&amp;S</v>
          </cell>
        </row>
        <row r="3316">
          <cell r="A3316" t="str">
            <v>FB260003476</v>
          </cell>
          <cell r="D3316" t="str">
            <v>SOM</v>
          </cell>
        </row>
        <row r="3317">
          <cell r="A3317" t="str">
            <v>FB260003478</v>
          </cell>
          <cell r="D3317" t="str">
            <v>NIK</v>
          </cell>
        </row>
        <row r="3318">
          <cell r="A3318" t="str">
            <v>FB260003484</v>
          </cell>
          <cell r="D3318" t="str">
            <v>PINK</v>
          </cell>
        </row>
        <row r="3319">
          <cell r="A3319" t="str">
            <v>FB260003485</v>
          </cell>
          <cell r="D3319" t="str">
            <v>PINK</v>
          </cell>
        </row>
        <row r="3320">
          <cell r="A3320" t="str">
            <v>FB260003486</v>
          </cell>
          <cell r="D3320" t="str">
            <v>PINK</v>
          </cell>
        </row>
        <row r="3321">
          <cell r="A3321" t="str">
            <v>FB260003487</v>
          </cell>
          <cell r="D3321" t="str">
            <v>PINK</v>
          </cell>
        </row>
        <row r="3322">
          <cell r="A3322" t="str">
            <v>FB260003488</v>
          </cell>
          <cell r="D3322" t="str">
            <v>PINK</v>
          </cell>
        </row>
        <row r="3323">
          <cell r="A3323" t="str">
            <v>FB260003489</v>
          </cell>
          <cell r="D3323" t="str">
            <v>PINK</v>
          </cell>
        </row>
        <row r="3324">
          <cell r="A3324" t="str">
            <v>FB260003490</v>
          </cell>
          <cell r="D3324" t="str">
            <v>PINK</v>
          </cell>
        </row>
        <row r="3325">
          <cell r="A3325" t="str">
            <v>FB260003491</v>
          </cell>
          <cell r="D3325" t="str">
            <v>PINK</v>
          </cell>
        </row>
        <row r="3326">
          <cell r="A3326" t="str">
            <v>FB260003493</v>
          </cell>
          <cell r="D3326" t="str">
            <v>PINK</v>
          </cell>
        </row>
        <row r="3327">
          <cell r="A3327" t="str">
            <v>FB260003494</v>
          </cell>
          <cell r="D3327" t="str">
            <v>PINK</v>
          </cell>
        </row>
        <row r="3328">
          <cell r="A3328" t="str">
            <v>FB260003495</v>
          </cell>
          <cell r="D3328" t="str">
            <v>PINK</v>
          </cell>
        </row>
        <row r="3329">
          <cell r="A3329" t="str">
            <v>FB260003497</v>
          </cell>
          <cell r="D3329" t="str">
            <v>PINK</v>
          </cell>
        </row>
        <row r="3330">
          <cell r="A3330" t="str">
            <v>FB260003498</v>
          </cell>
          <cell r="D3330" t="str">
            <v>PINK</v>
          </cell>
        </row>
        <row r="3331">
          <cell r="A3331" t="str">
            <v>FB260003499</v>
          </cell>
          <cell r="D3331" t="str">
            <v>PINK</v>
          </cell>
        </row>
        <row r="3332">
          <cell r="A3332" t="str">
            <v>FB260003516</v>
          </cell>
          <cell r="D3332" t="str">
            <v>GAP</v>
          </cell>
        </row>
        <row r="3333">
          <cell r="A3333" t="str">
            <v>FB260003517</v>
          </cell>
          <cell r="D3333" t="str">
            <v>GAP</v>
          </cell>
        </row>
        <row r="3334">
          <cell r="A3334" t="str">
            <v>FB260003518</v>
          </cell>
          <cell r="D3334" t="str">
            <v>GAP</v>
          </cell>
        </row>
        <row r="3335">
          <cell r="A3335" t="str">
            <v>FB260003519</v>
          </cell>
          <cell r="D3335" t="str">
            <v>GAP</v>
          </cell>
        </row>
        <row r="3336">
          <cell r="A3336" t="str">
            <v>FB260003520</v>
          </cell>
          <cell r="D3336" t="str">
            <v>GAP</v>
          </cell>
        </row>
        <row r="3337">
          <cell r="A3337" t="str">
            <v>FB260003521</v>
          </cell>
          <cell r="D3337" t="str">
            <v>GAP</v>
          </cell>
        </row>
        <row r="3338">
          <cell r="A3338" t="str">
            <v>FB260003522</v>
          </cell>
          <cell r="D3338" t="str">
            <v>GAP</v>
          </cell>
        </row>
        <row r="3339">
          <cell r="A3339" t="str">
            <v>FB260003523</v>
          </cell>
          <cell r="D3339" t="str">
            <v>GAP</v>
          </cell>
        </row>
        <row r="3340">
          <cell r="A3340" t="str">
            <v>FB260003524</v>
          </cell>
          <cell r="D3340" t="str">
            <v>GAP</v>
          </cell>
        </row>
        <row r="3341">
          <cell r="A3341" t="str">
            <v>FB260003525</v>
          </cell>
          <cell r="D3341" t="str">
            <v>GAP</v>
          </cell>
        </row>
        <row r="3342">
          <cell r="A3342" t="str">
            <v>FB260003526</v>
          </cell>
          <cell r="D3342" t="str">
            <v>GAP</v>
          </cell>
        </row>
        <row r="3343">
          <cell r="A3343" t="str">
            <v>FB260003527</v>
          </cell>
          <cell r="D3343" t="str">
            <v>GAP</v>
          </cell>
        </row>
        <row r="3344">
          <cell r="A3344" t="str">
            <v>FB260003528</v>
          </cell>
          <cell r="D3344" t="str">
            <v>GAP</v>
          </cell>
        </row>
        <row r="3345">
          <cell r="A3345" t="str">
            <v>FB260003536</v>
          </cell>
          <cell r="D3345" t="str">
            <v>NIK</v>
          </cell>
        </row>
        <row r="3346">
          <cell r="A3346" t="str">
            <v>FB260003537</v>
          </cell>
          <cell r="D3346" t="str">
            <v>NIK</v>
          </cell>
        </row>
        <row r="3347">
          <cell r="A3347" t="str">
            <v>FB260003540</v>
          </cell>
          <cell r="D3347" t="str">
            <v>PINK</v>
          </cell>
        </row>
        <row r="3348">
          <cell r="A3348" t="str">
            <v>FB260003541</v>
          </cell>
          <cell r="D3348" t="str">
            <v>PINK</v>
          </cell>
        </row>
        <row r="3349">
          <cell r="A3349" t="str">
            <v>FB260003548</v>
          </cell>
          <cell r="D3349" t="str">
            <v>NIK</v>
          </cell>
        </row>
        <row r="3350">
          <cell r="A3350" t="str">
            <v>FB260003549</v>
          </cell>
          <cell r="D3350" t="str">
            <v>PEP</v>
          </cell>
        </row>
        <row r="3351">
          <cell r="A3351" t="str">
            <v>FB260003550</v>
          </cell>
          <cell r="D3351" t="str">
            <v>NIK</v>
          </cell>
        </row>
        <row r="3352">
          <cell r="A3352" t="str">
            <v>FB260003551</v>
          </cell>
          <cell r="D3352" t="str">
            <v>NIK</v>
          </cell>
        </row>
        <row r="3353">
          <cell r="A3353" t="str">
            <v>FB260003552</v>
          </cell>
          <cell r="D3353" t="str">
            <v>PEP</v>
          </cell>
        </row>
        <row r="3354">
          <cell r="A3354" t="str">
            <v>FB260003553</v>
          </cell>
          <cell r="D3354" t="str">
            <v>NIK</v>
          </cell>
        </row>
        <row r="3355">
          <cell r="A3355" t="str">
            <v>FB260003554</v>
          </cell>
          <cell r="D3355" t="str">
            <v>NIK</v>
          </cell>
        </row>
        <row r="3356">
          <cell r="A3356" t="str">
            <v>FB260003555</v>
          </cell>
          <cell r="D3356" t="str">
            <v>CK</v>
          </cell>
        </row>
        <row r="3357">
          <cell r="A3357" t="str">
            <v>FB260003556</v>
          </cell>
          <cell r="D3357" t="str">
            <v>CK</v>
          </cell>
        </row>
        <row r="3358">
          <cell r="A3358" t="str">
            <v>FB260003557</v>
          </cell>
          <cell r="D3358" t="str">
            <v>CK</v>
          </cell>
        </row>
        <row r="3359">
          <cell r="A3359" t="str">
            <v>FB260003558</v>
          </cell>
          <cell r="D3359" t="str">
            <v>VSS</v>
          </cell>
        </row>
        <row r="3360">
          <cell r="A3360" t="str">
            <v>FB260003559</v>
          </cell>
          <cell r="D3360" t="str">
            <v>VSS</v>
          </cell>
        </row>
        <row r="3361">
          <cell r="A3361" t="str">
            <v>FB260003560</v>
          </cell>
          <cell r="D3361" t="str">
            <v>VSS</v>
          </cell>
        </row>
        <row r="3362">
          <cell r="A3362" t="str">
            <v>FB260003561</v>
          </cell>
          <cell r="D3362" t="str">
            <v>VSS</v>
          </cell>
        </row>
        <row r="3363">
          <cell r="A3363" t="str">
            <v>FB260003562</v>
          </cell>
          <cell r="D3363" t="str">
            <v>VSS</v>
          </cell>
        </row>
        <row r="3364">
          <cell r="A3364" t="str">
            <v>FB260003563</v>
          </cell>
          <cell r="D3364" t="str">
            <v>VSS</v>
          </cell>
        </row>
        <row r="3365">
          <cell r="A3365" t="str">
            <v>FB260003564</v>
          </cell>
          <cell r="D3365" t="str">
            <v>VSS</v>
          </cell>
        </row>
        <row r="3366">
          <cell r="A3366" t="str">
            <v>FB260003565</v>
          </cell>
          <cell r="D3366" t="str">
            <v>NIK</v>
          </cell>
        </row>
        <row r="3367">
          <cell r="A3367" t="str">
            <v>FB260003566</v>
          </cell>
          <cell r="D3367" t="str">
            <v>VSS</v>
          </cell>
        </row>
        <row r="3368">
          <cell r="A3368" t="str">
            <v>FB260003567</v>
          </cell>
          <cell r="D3368" t="str">
            <v>VSS</v>
          </cell>
        </row>
        <row r="3369">
          <cell r="A3369" t="str">
            <v>FB260003568</v>
          </cell>
          <cell r="D3369" t="str">
            <v>NIK</v>
          </cell>
        </row>
        <row r="3370">
          <cell r="A3370" t="str">
            <v>FB260003569</v>
          </cell>
          <cell r="D3370" t="str">
            <v>VSS</v>
          </cell>
        </row>
        <row r="3371">
          <cell r="A3371" t="str">
            <v>FB260003570</v>
          </cell>
          <cell r="D3371" t="str">
            <v>NIK</v>
          </cell>
        </row>
        <row r="3372">
          <cell r="A3372" t="str">
            <v>FB260003571</v>
          </cell>
          <cell r="D3372" t="str">
            <v>VSS</v>
          </cell>
        </row>
        <row r="3373">
          <cell r="A3373" t="str">
            <v>FB260003572</v>
          </cell>
          <cell r="D3373" t="str">
            <v>NIK</v>
          </cell>
        </row>
        <row r="3374">
          <cell r="A3374" t="str">
            <v>FB260003573</v>
          </cell>
          <cell r="D3374" t="str">
            <v>VSS</v>
          </cell>
        </row>
        <row r="3375">
          <cell r="A3375" t="str">
            <v>FB260003574</v>
          </cell>
          <cell r="D3375" t="str">
            <v>VSS</v>
          </cell>
        </row>
        <row r="3376">
          <cell r="A3376" t="str">
            <v>FB260003575</v>
          </cell>
          <cell r="D3376" t="str">
            <v>VSS</v>
          </cell>
        </row>
        <row r="3377">
          <cell r="A3377" t="str">
            <v>FB260003576</v>
          </cell>
          <cell r="D3377" t="str">
            <v>VSS</v>
          </cell>
        </row>
        <row r="3378">
          <cell r="A3378" t="str">
            <v>FB260003577</v>
          </cell>
          <cell r="D3378" t="str">
            <v>VSS</v>
          </cell>
        </row>
        <row r="3379">
          <cell r="A3379" t="str">
            <v>FB260003578</v>
          </cell>
          <cell r="D3379" t="str">
            <v>VSS</v>
          </cell>
        </row>
        <row r="3380">
          <cell r="A3380" t="str">
            <v>FB260003579</v>
          </cell>
          <cell r="D3380" t="str">
            <v>VSS</v>
          </cell>
        </row>
        <row r="3381">
          <cell r="A3381" t="str">
            <v>FB260003580</v>
          </cell>
          <cell r="D3381" t="str">
            <v>VSS</v>
          </cell>
        </row>
        <row r="3382">
          <cell r="A3382" t="str">
            <v>FB260003581</v>
          </cell>
          <cell r="D3382" t="str">
            <v>VSS</v>
          </cell>
        </row>
        <row r="3383">
          <cell r="A3383" t="str">
            <v>FB260003582</v>
          </cell>
          <cell r="D3383" t="str">
            <v>VSS</v>
          </cell>
        </row>
        <row r="3384">
          <cell r="A3384" t="str">
            <v>FB260003583</v>
          </cell>
          <cell r="D3384" t="str">
            <v>VSS</v>
          </cell>
        </row>
        <row r="3385">
          <cell r="A3385" t="str">
            <v>FB260003584</v>
          </cell>
          <cell r="D3385" t="str">
            <v>VSS</v>
          </cell>
        </row>
        <row r="3386">
          <cell r="A3386" t="str">
            <v>FB260003585</v>
          </cell>
          <cell r="D3386" t="str">
            <v>VSS</v>
          </cell>
        </row>
        <row r="3387">
          <cell r="A3387" t="str">
            <v>FB260003586</v>
          </cell>
          <cell r="D3387" t="str">
            <v>VSS</v>
          </cell>
        </row>
        <row r="3388">
          <cell r="A3388" t="str">
            <v>FB260003587</v>
          </cell>
          <cell r="D3388" t="str">
            <v>VSS</v>
          </cell>
        </row>
        <row r="3389">
          <cell r="A3389" t="str">
            <v>FB260003588</v>
          </cell>
          <cell r="D3389" t="str">
            <v>VSS</v>
          </cell>
        </row>
        <row r="3390">
          <cell r="A3390" t="str">
            <v>FB260003589</v>
          </cell>
          <cell r="D3390" t="str">
            <v>VSS</v>
          </cell>
        </row>
        <row r="3391">
          <cell r="A3391" t="str">
            <v>FB260003590</v>
          </cell>
          <cell r="D3391" t="str">
            <v>VSS</v>
          </cell>
        </row>
        <row r="3392">
          <cell r="A3392" t="str">
            <v>FB260003591</v>
          </cell>
          <cell r="D3392" t="str">
            <v>VSS</v>
          </cell>
        </row>
        <row r="3393">
          <cell r="A3393" t="str">
            <v>FB260003592</v>
          </cell>
          <cell r="D3393" t="str">
            <v>VSS</v>
          </cell>
        </row>
        <row r="3394">
          <cell r="A3394" t="str">
            <v>FB260003593</v>
          </cell>
          <cell r="D3394" t="str">
            <v>VSS</v>
          </cell>
        </row>
        <row r="3395">
          <cell r="A3395" t="str">
            <v>FB260003594</v>
          </cell>
          <cell r="D3395" t="str">
            <v>VSS</v>
          </cell>
        </row>
        <row r="3396">
          <cell r="A3396" t="str">
            <v>FB260003595</v>
          </cell>
          <cell r="D3396" t="str">
            <v>VSS</v>
          </cell>
        </row>
        <row r="3397">
          <cell r="A3397" t="str">
            <v>FB260003596</v>
          </cell>
          <cell r="D3397" t="str">
            <v>VSS</v>
          </cell>
        </row>
        <row r="3398">
          <cell r="A3398" t="str">
            <v>FB260003597</v>
          </cell>
          <cell r="D3398" t="str">
            <v>VSS</v>
          </cell>
        </row>
        <row r="3399">
          <cell r="A3399" t="str">
            <v>FB260003598</v>
          </cell>
          <cell r="D3399" t="str">
            <v>VSS</v>
          </cell>
        </row>
        <row r="3400">
          <cell r="A3400" t="str">
            <v>FB260003599</v>
          </cell>
          <cell r="D3400" t="str">
            <v>VSS</v>
          </cell>
        </row>
        <row r="3401">
          <cell r="A3401" t="str">
            <v>FB260003600</v>
          </cell>
          <cell r="D3401" t="str">
            <v>VSS</v>
          </cell>
        </row>
        <row r="3402">
          <cell r="A3402" t="str">
            <v>FB260003601</v>
          </cell>
          <cell r="D3402" t="str">
            <v>VSS</v>
          </cell>
        </row>
        <row r="3403">
          <cell r="A3403" t="str">
            <v>FB260003602</v>
          </cell>
          <cell r="D3403" t="str">
            <v>VSS</v>
          </cell>
        </row>
        <row r="3404">
          <cell r="A3404" t="str">
            <v>FB260003603</v>
          </cell>
          <cell r="D3404" t="str">
            <v>VSS</v>
          </cell>
        </row>
        <row r="3405">
          <cell r="A3405" t="str">
            <v>FB260003604</v>
          </cell>
          <cell r="D3405" t="str">
            <v>VSS</v>
          </cell>
        </row>
        <row r="3406">
          <cell r="A3406" t="str">
            <v>FB260003605</v>
          </cell>
          <cell r="D3406" t="str">
            <v>VSS</v>
          </cell>
        </row>
        <row r="3407">
          <cell r="A3407" t="str">
            <v>FB260003606</v>
          </cell>
          <cell r="D3407" t="str">
            <v>VSS</v>
          </cell>
        </row>
        <row r="3408">
          <cell r="A3408" t="str">
            <v>FB260003607</v>
          </cell>
          <cell r="D3408" t="str">
            <v>VSS</v>
          </cell>
        </row>
        <row r="3409">
          <cell r="A3409" t="str">
            <v>FB260003608</v>
          </cell>
          <cell r="D3409" t="str">
            <v>SW</v>
          </cell>
        </row>
        <row r="3410">
          <cell r="A3410" t="str">
            <v>FB260003611</v>
          </cell>
          <cell r="D3410" t="str">
            <v>LULU</v>
          </cell>
        </row>
        <row r="3411">
          <cell r="A3411" t="str">
            <v>FB260003612</v>
          </cell>
          <cell r="D3411" t="str">
            <v>NIK</v>
          </cell>
        </row>
        <row r="3412">
          <cell r="A3412" t="str">
            <v>FB260003615</v>
          </cell>
          <cell r="D3412" t="str">
            <v>WACE</v>
          </cell>
        </row>
        <row r="3413">
          <cell r="A3413" t="str">
            <v>FB260003616</v>
          </cell>
          <cell r="D3413" t="str">
            <v>NIK</v>
          </cell>
        </row>
        <row r="3414">
          <cell r="A3414" t="str">
            <v>FB260003620</v>
          </cell>
          <cell r="D3414" t="str">
            <v>NIK</v>
          </cell>
        </row>
        <row r="3415">
          <cell r="A3415" t="str">
            <v>FB260003621</v>
          </cell>
          <cell r="D3415" t="str">
            <v>NIK</v>
          </cell>
        </row>
        <row r="3416">
          <cell r="A3416" t="str">
            <v>FB260003623</v>
          </cell>
          <cell r="D3416" t="str">
            <v>NIK</v>
          </cell>
        </row>
        <row r="3417">
          <cell r="A3417" t="str">
            <v>FB260003624</v>
          </cell>
          <cell r="D3417" t="str">
            <v>NIK</v>
          </cell>
        </row>
        <row r="3418">
          <cell r="A3418" t="str">
            <v>FB260003626</v>
          </cell>
          <cell r="D3418" t="str">
            <v>NIK</v>
          </cell>
        </row>
        <row r="3419">
          <cell r="A3419" t="str">
            <v>FB260003638</v>
          </cell>
          <cell r="D3419" t="str">
            <v>PINK</v>
          </cell>
        </row>
        <row r="3420">
          <cell r="A3420" t="str">
            <v>FB260003639</v>
          </cell>
          <cell r="D3420" t="str">
            <v>PINK</v>
          </cell>
        </row>
        <row r="3421">
          <cell r="A3421" t="str">
            <v>FB260003640</v>
          </cell>
          <cell r="D3421" t="str">
            <v>PINK</v>
          </cell>
        </row>
        <row r="3422">
          <cell r="A3422" t="str">
            <v>FB260003641</v>
          </cell>
          <cell r="D3422" t="str">
            <v>PINK</v>
          </cell>
        </row>
        <row r="3423">
          <cell r="A3423" t="str">
            <v>FB260003642</v>
          </cell>
          <cell r="D3423" t="str">
            <v>NIK</v>
          </cell>
        </row>
        <row r="3424">
          <cell r="A3424" t="str">
            <v>FB260003643</v>
          </cell>
          <cell r="D3424" t="str">
            <v>NIK</v>
          </cell>
        </row>
        <row r="3425">
          <cell r="A3425" t="str">
            <v>FB260003644</v>
          </cell>
          <cell r="D3425" t="str">
            <v>NIK</v>
          </cell>
        </row>
        <row r="3426">
          <cell r="A3426" t="str">
            <v>FB260003645</v>
          </cell>
          <cell r="D3426" t="str">
            <v>NIK</v>
          </cell>
        </row>
        <row r="3427">
          <cell r="A3427" t="str">
            <v>FB260003646</v>
          </cell>
          <cell r="D3427" t="str">
            <v>NIK</v>
          </cell>
        </row>
        <row r="3428">
          <cell r="A3428" t="str">
            <v>FB260003647</v>
          </cell>
          <cell r="D3428" t="str">
            <v>NIK</v>
          </cell>
        </row>
        <row r="3429">
          <cell r="A3429" t="str">
            <v>FB260003648</v>
          </cell>
          <cell r="D3429" t="str">
            <v>NIK</v>
          </cell>
        </row>
        <row r="3430">
          <cell r="A3430" t="str">
            <v>FB260003649</v>
          </cell>
          <cell r="D3430" t="str">
            <v>NIK</v>
          </cell>
        </row>
        <row r="3431">
          <cell r="A3431" t="str">
            <v>FB260003651</v>
          </cell>
          <cell r="D3431" t="str">
            <v>NIK</v>
          </cell>
        </row>
        <row r="3432">
          <cell r="A3432" t="str">
            <v>FB260003652</v>
          </cell>
          <cell r="D3432" t="str">
            <v>NIK</v>
          </cell>
        </row>
        <row r="3433">
          <cell r="A3433" t="str">
            <v>FB260003653</v>
          </cell>
          <cell r="D3433" t="str">
            <v>NIK</v>
          </cell>
        </row>
        <row r="3434">
          <cell r="A3434" t="str">
            <v>FB260003654</v>
          </cell>
          <cell r="D3434" t="str">
            <v>NIK</v>
          </cell>
        </row>
        <row r="3435">
          <cell r="A3435" t="str">
            <v>FB260003655</v>
          </cell>
          <cell r="D3435" t="str">
            <v>NIK</v>
          </cell>
        </row>
        <row r="3436">
          <cell r="A3436" t="str">
            <v>FB260003656</v>
          </cell>
          <cell r="D3436" t="str">
            <v>NIK</v>
          </cell>
        </row>
        <row r="3437">
          <cell r="A3437" t="str">
            <v>FB260003660</v>
          </cell>
          <cell r="D3437" t="str">
            <v>PINK</v>
          </cell>
        </row>
        <row r="3438">
          <cell r="A3438" t="str">
            <v>FB260003661</v>
          </cell>
          <cell r="D3438" t="str">
            <v>PINK</v>
          </cell>
        </row>
        <row r="3439">
          <cell r="A3439" t="str">
            <v>FB260003662</v>
          </cell>
          <cell r="D3439" t="str">
            <v>PINK</v>
          </cell>
        </row>
        <row r="3440">
          <cell r="A3440" t="str">
            <v>FB260003664</v>
          </cell>
          <cell r="D3440" t="str">
            <v>PINK</v>
          </cell>
        </row>
        <row r="3441">
          <cell r="A3441" t="str">
            <v>FB260003665</v>
          </cell>
          <cell r="D3441" t="str">
            <v>M&amp;S</v>
          </cell>
        </row>
        <row r="3442">
          <cell r="A3442" t="str">
            <v>FB260003666</v>
          </cell>
          <cell r="D3442" t="str">
            <v>M&amp;S</v>
          </cell>
        </row>
        <row r="3443">
          <cell r="A3443" t="str">
            <v>FB260003667</v>
          </cell>
          <cell r="D3443" t="str">
            <v>INT1</v>
          </cell>
        </row>
        <row r="3444">
          <cell r="A3444" t="str">
            <v>FB260003668</v>
          </cell>
          <cell r="D3444" t="str">
            <v>INT1</v>
          </cell>
        </row>
        <row r="3445">
          <cell r="A3445" t="str">
            <v>FB260003669</v>
          </cell>
          <cell r="D3445" t="str">
            <v>INT1</v>
          </cell>
        </row>
        <row r="3446">
          <cell r="A3446" t="str">
            <v>FB260003670</v>
          </cell>
          <cell r="D3446" t="str">
            <v>LBI</v>
          </cell>
        </row>
        <row r="3447">
          <cell r="A3447" t="str">
            <v>FB260003671</v>
          </cell>
          <cell r="D3447" t="str">
            <v>LBI</v>
          </cell>
        </row>
        <row r="3448">
          <cell r="A3448" t="str">
            <v>FB260003675</v>
          </cell>
          <cell r="D3448" t="str">
            <v>M&amp;S</v>
          </cell>
        </row>
        <row r="3449">
          <cell r="A3449" t="str">
            <v>FB260003676</v>
          </cell>
          <cell r="D3449" t="str">
            <v>INT1</v>
          </cell>
        </row>
        <row r="3450">
          <cell r="A3450" t="str">
            <v>FB260003677</v>
          </cell>
          <cell r="D3450" t="str">
            <v>TORD</v>
          </cell>
        </row>
        <row r="3451">
          <cell r="A3451" t="str">
            <v>FB260003678</v>
          </cell>
          <cell r="D3451" t="str">
            <v>TORD</v>
          </cell>
        </row>
        <row r="3452">
          <cell r="A3452" t="str">
            <v>FB260003679</v>
          </cell>
          <cell r="D3452" t="str">
            <v>M&amp;S</v>
          </cell>
        </row>
        <row r="3453">
          <cell r="A3453" t="str">
            <v>FB260003680</v>
          </cell>
          <cell r="D3453" t="str">
            <v>PINK</v>
          </cell>
        </row>
        <row r="3454">
          <cell r="A3454" t="str">
            <v>FB260003681</v>
          </cell>
          <cell r="D3454" t="str">
            <v>PINK</v>
          </cell>
        </row>
        <row r="3455">
          <cell r="A3455" t="str">
            <v>FB260003682</v>
          </cell>
          <cell r="D3455" t="str">
            <v>WACE</v>
          </cell>
        </row>
        <row r="3456">
          <cell r="A3456" t="str">
            <v>FB260003683</v>
          </cell>
          <cell r="D3456" t="str">
            <v>CK</v>
          </cell>
        </row>
        <row r="3457">
          <cell r="A3457" t="str">
            <v>FB260003684</v>
          </cell>
          <cell r="D3457" t="str">
            <v>WACE</v>
          </cell>
        </row>
        <row r="3458">
          <cell r="A3458" t="str">
            <v>FB260003685</v>
          </cell>
          <cell r="D3458" t="str">
            <v>WACE</v>
          </cell>
        </row>
        <row r="3459">
          <cell r="A3459" t="str">
            <v>FB260003686</v>
          </cell>
          <cell r="D3459" t="str">
            <v>PINK</v>
          </cell>
        </row>
        <row r="3460">
          <cell r="A3460" t="str">
            <v>FB260003687</v>
          </cell>
          <cell r="D3460" t="str">
            <v>PINK</v>
          </cell>
        </row>
        <row r="3461">
          <cell r="A3461" t="str">
            <v>FB260003688</v>
          </cell>
          <cell r="D3461" t="str">
            <v>PINK</v>
          </cell>
        </row>
        <row r="3462">
          <cell r="A3462" t="str">
            <v>FB260003689</v>
          </cell>
          <cell r="D3462" t="str">
            <v>WACE</v>
          </cell>
        </row>
        <row r="3463">
          <cell r="A3463" t="str">
            <v>FB260003690</v>
          </cell>
          <cell r="D3463" t="str">
            <v>PINK</v>
          </cell>
        </row>
        <row r="3464">
          <cell r="A3464" t="str">
            <v>FB260003691</v>
          </cell>
          <cell r="D3464" t="str">
            <v>PINK</v>
          </cell>
        </row>
        <row r="3465">
          <cell r="A3465" t="str">
            <v>FB260003692</v>
          </cell>
          <cell r="D3465" t="str">
            <v>PINK</v>
          </cell>
        </row>
        <row r="3466">
          <cell r="A3466" t="str">
            <v>FB260003695</v>
          </cell>
          <cell r="D3466" t="str">
            <v>CK</v>
          </cell>
        </row>
        <row r="3467">
          <cell r="A3467" t="str">
            <v>FB260003696</v>
          </cell>
          <cell r="D3467" t="str">
            <v>M&amp;S</v>
          </cell>
        </row>
        <row r="3468">
          <cell r="A3468" t="str">
            <v>FB260003697</v>
          </cell>
          <cell r="D3468" t="str">
            <v>VSS</v>
          </cell>
        </row>
        <row r="3469">
          <cell r="A3469" t="str">
            <v>FB260003698</v>
          </cell>
          <cell r="D3469" t="str">
            <v>VSS</v>
          </cell>
        </row>
        <row r="3470">
          <cell r="A3470" t="str">
            <v>FB260003699</v>
          </cell>
          <cell r="D3470" t="str">
            <v>VSS</v>
          </cell>
        </row>
        <row r="3471">
          <cell r="A3471" t="str">
            <v>FB260003700</v>
          </cell>
          <cell r="D3471" t="str">
            <v>VSS</v>
          </cell>
        </row>
        <row r="3472">
          <cell r="A3472" t="str">
            <v>FB260003701</v>
          </cell>
          <cell r="D3472" t="str">
            <v>VSS</v>
          </cell>
        </row>
        <row r="3473">
          <cell r="A3473" t="str">
            <v>FB260003702</v>
          </cell>
          <cell r="D3473" t="str">
            <v>VSS</v>
          </cell>
        </row>
        <row r="3474">
          <cell r="A3474" t="str">
            <v>FB260003703</v>
          </cell>
          <cell r="D3474" t="str">
            <v>M&amp;S</v>
          </cell>
        </row>
        <row r="3475">
          <cell r="A3475" t="str">
            <v>FB260003704</v>
          </cell>
          <cell r="D3475" t="str">
            <v>NIK</v>
          </cell>
        </row>
        <row r="3476">
          <cell r="A3476" t="str">
            <v>FB260003705</v>
          </cell>
          <cell r="D3476" t="str">
            <v>WACE</v>
          </cell>
        </row>
        <row r="3477">
          <cell r="A3477" t="str">
            <v>FB260003706</v>
          </cell>
          <cell r="D3477" t="str">
            <v>NIK</v>
          </cell>
        </row>
        <row r="3478">
          <cell r="A3478" t="str">
            <v>FB260003707</v>
          </cell>
          <cell r="D3478" t="str">
            <v>NIK</v>
          </cell>
        </row>
        <row r="3479">
          <cell r="A3479" t="str">
            <v>FB260003708</v>
          </cell>
          <cell r="D3479" t="str">
            <v>NIK</v>
          </cell>
        </row>
        <row r="3480">
          <cell r="A3480" t="str">
            <v>FB260003709</v>
          </cell>
          <cell r="D3480" t="str">
            <v>NIK</v>
          </cell>
        </row>
        <row r="3481">
          <cell r="A3481" t="str">
            <v>FB260003710</v>
          </cell>
          <cell r="D3481" t="str">
            <v>NIK</v>
          </cell>
        </row>
        <row r="3482">
          <cell r="A3482" t="str">
            <v>FB260003712</v>
          </cell>
          <cell r="D3482" t="str">
            <v>LULU</v>
          </cell>
        </row>
        <row r="3483">
          <cell r="A3483" t="str">
            <v>FB260003714</v>
          </cell>
          <cell r="D3483" t="str">
            <v>PEP</v>
          </cell>
        </row>
        <row r="3484">
          <cell r="A3484" t="str">
            <v>FB260003718</v>
          </cell>
          <cell r="D3484" t="str">
            <v>VSS</v>
          </cell>
        </row>
        <row r="3485">
          <cell r="A3485" t="str">
            <v>FB260003719</v>
          </cell>
          <cell r="D3485" t="str">
            <v>VSS</v>
          </cell>
        </row>
        <row r="3486">
          <cell r="A3486" t="str">
            <v>FB260003721</v>
          </cell>
          <cell r="D3486" t="str">
            <v>PINK</v>
          </cell>
        </row>
        <row r="3487">
          <cell r="A3487" t="str">
            <v>FB260003722</v>
          </cell>
          <cell r="D3487" t="str">
            <v>SW</v>
          </cell>
        </row>
        <row r="3488">
          <cell r="A3488" t="str">
            <v>FB260003723</v>
          </cell>
          <cell r="D3488" t="str">
            <v>SW</v>
          </cell>
        </row>
        <row r="3489">
          <cell r="A3489" t="str">
            <v>FB260003724</v>
          </cell>
          <cell r="D3489" t="str">
            <v>INT1</v>
          </cell>
        </row>
        <row r="3490">
          <cell r="A3490" t="str">
            <v>FB260003725</v>
          </cell>
          <cell r="D3490" t="str">
            <v>NIK</v>
          </cell>
        </row>
        <row r="3491">
          <cell r="A3491" t="str">
            <v>FB260003726</v>
          </cell>
          <cell r="D3491" t="str">
            <v>NIK</v>
          </cell>
        </row>
        <row r="3492">
          <cell r="A3492" t="str">
            <v>FB260003730</v>
          </cell>
          <cell r="D3492" t="str">
            <v>NIK</v>
          </cell>
        </row>
        <row r="3493">
          <cell r="A3493" t="str">
            <v>FB260003731</v>
          </cell>
          <cell r="D3493" t="str">
            <v>NIK</v>
          </cell>
        </row>
        <row r="3494">
          <cell r="A3494" t="str">
            <v>FB260003732</v>
          </cell>
          <cell r="D3494" t="str">
            <v>NIK</v>
          </cell>
        </row>
        <row r="3495">
          <cell r="A3495" t="str">
            <v>FB260003733</v>
          </cell>
          <cell r="D3495" t="str">
            <v>NIK</v>
          </cell>
        </row>
        <row r="3496">
          <cell r="A3496" t="str">
            <v>FB260003734</v>
          </cell>
          <cell r="D3496" t="str">
            <v>NIK</v>
          </cell>
        </row>
        <row r="3497">
          <cell r="A3497" t="str">
            <v>FB260003735</v>
          </cell>
          <cell r="D3497" t="str">
            <v>NIK</v>
          </cell>
        </row>
        <row r="3498">
          <cell r="A3498" t="str">
            <v>FB260003736</v>
          </cell>
          <cell r="D3498" t="str">
            <v>WAC</v>
          </cell>
        </row>
        <row r="3499">
          <cell r="A3499" t="str">
            <v>FB260003737</v>
          </cell>
          <cell r="D3499" t="str">
            <v>VSS</v>
          </cell>
        </row>
        <row r="3500">
          <cell r="A3500" t="str">
            <v>FB260003738</v>
          </cell>
          <cell r="D3500" t="str">
            <v>VSS</v>
          </cell>
        </row>
        <row r="3501">
          <cell r="A3501" t="str">
            <v>FB260003739</v>
          </cell>
          <cell r="D3501" t="str">
            <v>VSS</v>
          </cell>
        </row>
        <row r="3502">
          <cell r="A3502" t="str">
            <v>FB260003742</v>
          </cell>
          <cell r="D3502" t="str">
            <v>M&amp;S</v>
          </cell>
        </row>
        <row r="3503">
          <cell r="A3503" t="str">
            <v>FB260003743</v>
          </cell>
          <cell r="D3503" t="str">
            <v>THX</v>
          </cell>
        </row>
        <row r="3504">
          <cell r="A3504" t="str">
            <v>FB260003744</v>
          </cell>
          <cell r="D3504" t="str">
            <v>VSS</v>
          </cell>
        </row>
        <row r="3505">
          <cell r="A3505" t="str">
            <v>FB260003745</v>
          </cell>
          <cell r="D3505" t="str">
            <v>VSS</v>
          </cell>
        </row>
        <row r="3506">
          <cell r="A3506" t="str">
            <v>FB260003746</v>
          </cell>
          <cell r="D3506" t="str">
            <v>NIK</v>
          </cell>
        </row>
        <row r="3507">
          <cell r="A3507" t="str">
            <v>FB260003747</v>
          </cell>
          <cell r="D3507" t="str">
            <v>NIK</v>
          </cell>
        </row>
        <row r="3508">
          <cell r="A3508" t="str">
            <v>FB260003748</v>
          </cell>
          <cell r="D3508" t="str">
            <v>PINK</v>
          </cell>
        </row>
        <row r="3509">
          <cell r="A3509" t="str">
            <v>FB260003750</v>
          </cell>
          <cell r="D3509" t="str">
            <v>NIK</v>
          </cell>
        </row>
        <row r="3510">
          <cell r="A3510" t="str">
            <v>FB260003751</v>
          </cell>
          <cell r="D3510" t="str">
            <v>NIK</v>
          </cell>
        </row>
        <row r="3511">
          <cell r="A3511" t="str">
            <v>FB260003752</v>
          </cell>
          <cell r="D3511" t="str">
            <v>VSS</v>
          </cell>
        </row>
        <row r="3512">
          <cell r="A3512" t="str">
            <v>FB260003753</v>
          </cell>
          <cell r="D3512" t="str">
            <v>VSS</v>
          </cell>
        </row>
        <row r="3513">
          <cell r="A3513" t="str">
            <v>FB260003756</v>
          </cell>
          <cell r="D3513" t="str">
            <v>INT1</v>
          </cell>
        </row>
        <row r="3514">
          <cell r="A3514" t="str">
            <v>FB260003757</v>
          </cell>
          <cell r="D3514" t="str">
            <v>PINK</v>
          </cell>
        </row>
        <row r="3515">
          <cell r="A3515" t="str">
            <v>FB260003759</v>
          </cell>
          <cell r="D3515" t="str">
            <v>PINK</v>
          </cell>
        </row>
        <row r="3516">
          <cell r="A3516" t="str">
            <v>FB260003760</v>
          </cell>
          <cell r="D3516" t="str">
            <v>CK</v>
          </cell>
        </row>
        <row r="3517">
          <cell r="A3517" t="str">
            <v>FB260003761</v>
          </cell>
          <cell r="D3517" t="str">
            <v>CK</v>
          </cell>
        </row>
        <row r="3518">
          <cell r="A3518" t="str">
            <v>FB260003762</v>
          </cell>
          <cell r="D3518" t="str">
            <v>VSS</v>
          </cell>
        </row>
        <row r="3519">
          <cell r="A3519" t="str">
            <v>FB260003763</v>
          </cell>
          <cell r="D3519" t="str">
            <v>VSS</v>
          </cell>
        </row>
        <row r="3520">
          <cell r="A3520" t="str">
            <v>FB260003764</v>
          </cell>
          <cell r="D3520" t="str">
            <v>PINK</v>
          </cell>
        </row>
        <row r="3521">
          <cell r="A3521" t="str">
            <v>FB260003765</v>
          </cell>
          <cell r="D3521" t="str">
            <v>PINK</v>
          </cell>
        </row>
        <row r="3522">
          <cell r="A3522" t="str">
            <v>FB260003766</v>
          </cell>
          <cell r="D3522" t="str">
            <v>PINK</v>
          </cell>
        </row>
        <row r="3523">
          <cell r="A3523" t="str">
            <v>FB260003767</v>
          </cell>
          <cell r="D3523" t="str">
            <v>PINK</v>
          </cell>
        </row>
        <row r="3524">
          <cell r="A3524" t="str">
            <v>FB260003768</v>
          </cell>
          <cell r="D3524" t="str">
            <v>VSS</v>
          </cell>
        </row>
        <row r="3525">
          <cell r="A3525" t="str">
            <v>FB260003769</v>
          </cell>
          <cell r="D3525" t="str">
            <v>VSS</v>
          </cell>
        </row>
        <row r="3526">
          <cell r="A3526" t="str">
            <v>FB260003772</v>
          </cell>
          <cell r="D3526" t="str">
            <v>LBI</v>
          </cell>
        </row>
        <row r="3527">
          <cell r="A3527" t="str">
            <v>FB260003774</v>
          </cell>
          <cell r="D3527" t="str">
            <v>LBI</v>
          </cell>
        </row>
        <row r="3528">
          <cell r="A3528" t="str">
            <v>FB260003775</v>
          </cell>
          <cell r="D3528" t="str">
            <v>LBI</v>
          </cell>
        </row>
        <row r="3529">
          <cell r="A3529" t="str">
            <v>FB260003780</v>
          </cell>
          <cell r="D3529" t="str">
            <v>SW</v>
          </cell>
        </row>
        <row r="3530">
          <cell r="A3530" t="str">
            <v>FB260003781</v>
          </cell>
          <cell r="D3530" t="str">
            <v>SW</v>
          </cell>
        </row>
        <row r="3531">
          <cell r="A3531" t="str">
            <v>FB260003782</v>
          </cell>
          <cell r="D3531" t="str">
            <v>WACE</v>
          </cell>
        </row>
        <row r="3532">
          <cell r="A3532" t="str">
            <v>FB260003783</v>
          </cell>
          <cell r="D3532" t="str">
            <v>SOM</v>
          </cell>
        </row>
        <row r="3533">
          <cell r="A3533" t="str">
            <v>FB260003784</v>
          </cell>
          <cell r="D3533" t="str">
            <v>VSS</v>
          </cell>
        </row>
        <row r="3534">
          <cell r="A3534" t="str">
            <v>FB260003785</v>
          </cell>
          <cell r="D3534" t="str">
            <v>VSS</v>
          </cell>
        </row>
        <row r="3535">
          <cell r="A3535" t="str">
            <v>FB260003786</v>
          </cell>
          <cell r="D3535" t="str">
            <v>VSS</v>
          </cell>
        </row>
        <row r="3536">
          <cell r="A3536" t="str">
            <v>FB260003787</v>
          </cell>
          <cell r="D3536" t="str">
            <v>VSS</v>
          </cell>
        </row>
        <row r="3537">
          <cell r="A3537" t="str">
            <v>FB260003788</v>
          </cell>
          <cell r="D3537" t="str">
            <v>VSS</v>
          </cell>
        </row>
        <row r="3538">
          <cell r="A3538" t="str">
            <v>FB260003789</v>
          </cell>
          <cell r="D3538" t="str">
            <v>SPEE</v>
          </cell>
        </row>
        <row r="3539">
          <cell r="A3539" t="str">
            <v>FB260003790</v>
          </cell>
          <cell r="D3539" t="str">
            <v>SPEE</v>
          </cell>
        </row>
        <row r="3540">
          <cell r="A3540" t="str">
            <v>FB260003791</v>
          </cell>
          <cell r="D3540" t="str">
            <v>SPEE</v>
          </cell>
        </row>
        <row r="3541">
          <cell r="A3541" t="str">
            <v>FB260003792</v>
          </cell>
          <cell r="D3541" t="str">
            <v>SPEE</v>
          </cell>
        </row>
        <row r="3542">
          <cell r="A3542" t="str">
            <v>FB260003793</v>
          </cell>
          <cell r="D3542" t="str">
            <v>SPEE</v>
          </cell>
        </row>
        <row r="3543">
          <cell r="A3543" t="str">
            <v>FB260003794</v>
          </cell>
          <cell r="D3543" t="str">
            <v>SPEE</v>
          </cell>
        </row>
        <row r="3544">
          <cell r="A3544" t="str">
            <v>FB260003795</v>
          </cell>
          <cell r="D3544" t="str">
            <v>SPEE</v>
          </cell>
        </row>
        <row r="3545">
          <cell r="A3545" t="str">
            <v>FB260003797</v>
          </cell>
          <cell r="D3545" t="str">
            <v>LBI</v>
          </cell>
        </row>
        <row r="3546">
          <cell r="A3546" t="str">
            <v>FB260003799</v>
          </cell>
          <cell r="D3546" t="str">
            <v>LBI</v>
          </cell>
        </row>
        <row r="3547">
          <cell r="A3547" t="str">
            <v>FB260003800</v>
          </cell>
          <cell r="D3547" t="str">
            <v>LBI</v>
          </cell>
        </row>
        <row r="3548">
          <cell r="A3548" t="str">
            <v>FB260003801</v>
          </cell>
          <cell r="D3548" t="str">
            <v>LBI</v>
          </cell>
        </row>
        <row r="3549">
          <cell r="A3549" t="str">
            <v>FB260003802</v>
          </cell>
          <cell r="D3549" t="str">
            <v>LBI</v>
          </cell>
        </row>
        <row r="3550">
          <cell r="A3550" t="str">
            <v>FB260003803</v>
          </cell>
          <cell r="D3550" t="str">
            <v>LULU</v>
          </cell>
        </row>
        <row r="3551">
          <cell r="A3551" t="str">
            <v>FB260003804</v>
          </cell>
          <cell r="D3551" t="str">
            <v>LULU</v>
          </cell>
        </row>
        <row r="3552">
          <cell r="A3552" t="str">
            <v>FB260003805</v>
          </cell>
          <cell r="D3552" t="str">
            <v>LULU</v>
          </cell>
        </row>
        <row r="3553">
          <cell r="A3553" t="str">
            <v>FB260003806</v>
          </cell>
          <cell r="D3553" t="str">
            <v>M&amp;S</v>
          </cell>
        </row>
        <row r="3554">
          <cell r="A3554" t="str">
            <v>FB260003807</v>
          </cell>
          <cell r="D3554" t="str">
            <v>LULU</v>
          </cell>
        </row>
        <row r="3555">
          <cell r="A3555" t="str">
            <v>FB260003808</v>
          </cell>
          <cell r="D3555" t="str">
            <v>LULU</v>
          </cell>
        </row>
        <row r="3556">
          <cell r="A3556" t="str">
            <v>FB260003809</v>
          </cell>
          <cell r="D3556" t="str">
            <v>ESS2</v>
          </cell>
        </row>
        <row r="3557">
          <cell r="A3557" t="str">
            <v>FB260003810</v>
          </cell>
          <cell r="D3557" t="str">
            <v>LULU</v>
          </cell>
        </row>
        <row r="3558">
          <cell r="A3558" t="str">
            <v>FB260003811</v>
          </cell>
          <cell r="D3558" t="str">
            <v>LULU</v>
          </cell>
        </row>
        <row r="3559">
          <cell r="A3559" t="str">
            <v>FB260003812</v>
          </cell>
          <cell r="D3559" t="str">
            <v>PINK</v>
          </cell>
        </row>
        <row r="3560">
          <cell r="A3560" t="str">
            <v>FB260003813</v>
          </cell>
          <cell r="D3560" t="str">
            <v>M&amp;S</v>
          </cell>
        </row>
        <row r="3561">
          <cell r="A3561" t="str">
            <v>FB260003814</v>
          </cell>
          <cell r="D3561" t="str">
            <v>M&amp;S</v>
          </cell>
        </row>
        <row r="3562">
          <cell r="A3562" t="str">
            <v>FB260003815</v>
          </cell>
          <cell r="D3562" t="str">
            <v>CK</v>
          </cell>
        </row>
        <row r="3563">
          <cell r="A3563" t="str">
            <v>FB260003817</v>
          </cell>
          <cell r="D3563" t="str">
            <v>CK</v>
          </cell>
        </row>
        <row r="3564">
          <cell r="A3564" t="str">
            <v>FB260003818</v>
          </cell>
          <cell r="D3564" t="str">
            <v>CK</v>
          </cell>
        </row>
        <row r="3565">
          <cell r="A3565" t="str">
            <v>FB260003819</v>
          </cell>
          <cell r="D3565" t="str">
            <v>CK</v>
          </cell>
        </row>
        <row r="3566">
          <cell r="A3566" t="str">
            <v>FB260003820</v>
          </cell>
          <cell r="D3566" t="str">
            <v>CK</v>
          </cell>
        </row>
        <row r="3567">
          <cell r="A3567" t="str">
            <v>FB260003821</v>
          </cell>
          <cell r="D3567" t="str">
            <v>CK</v>
          </cell>
        </row>
        <row r="3568">
          <cell r="A3568" t="str">
            <v>FB260003822</v>
          </cell>
          <cell r="D3568" t="str">
            <v>VSS</v>
          </cell>
        </row>
        <row r="3569">
          <cell r="A3569" t="str">
            <v>FB260003823</v>
          </cell>
          <cell r="D3569" t="str">
            <v>VSS</v>
          </cell>
        </row>
        <row r="3570">
          <cell r="A3570" t="str">
            <v>FB260003824</v>
          </cell>
          <cell r="D3570" t="str">
            <v>VSS</v>
          </cell>
        </row>
        <row r="3571">
          <cell r="A3571" t="str">
            <v>FB260003825</v>
          </cell>
          <cell r="D3571" t="str">
            <v>VSS</v>
          </cell>
        </row>
        <row r="3572">
          <cell r="A3572" t="str">
            <v>FB260003826</v>
          </cell>
          <cell r="D3572" t="str">
            <v>VSS</v>
          </cell>
        </row>
        <row r="3573">
          <cell r="A3573" t="str">
            <v>FB260003827</v>
          </cell>
          <cell r="D3573" t="str">
            <v>VSS</v>
          </cell>
        </row>
        <row r="3574">
          <cell r="A3574" t="str">
            <v>FB260003828</v>
          </cell>
          <cell r="D3574" t="str">
            <v>VSS</v>
          </cell>
        </row>
        <row r="3575">
          <cell r="A3575" t="str">
            <v>FB260003829</v>
          </cell>
          <cell r="D3575" t="str">
            <v>VSS</v>
          </cell>
        </row>
        <row r="3576">
          <cell r="A3576" t="str">
            <v>FB260003830</v>
          </cell>
          <cell r="D3576" t="str">
            <v>VSS</v>
          </cell>
        </row>
        <row r="3577">
          <cell r="A3577" t="str">
            <v>FB260003831</v>
          </cell>
          <cell r="D3577" t="str">
            <v>VSS</v>
          </cell>
        </row>
        <row r="3578">
          <cell r="A3578" t="str">
            <v>FB260003832</v>
          </cell>
          <cell r="D3578" t="str">
            <v>VSS</v>
          </cell>
        </row>
        <row r="3579">
          <cell r="A3579" t="str">
            <v>FB260003833</v>
          </cell>
          <cell r="D3579" t="str">
            <v>VSS</v>
          </cell>
        </row>
        <row r="3580">
          <cell r="A3580" t="str">
            <v>FB260003834</v>
          </cell>
          <cell r="D3580" t="str">
            <v>VSS</v>
          </cell>
        </row>
        <row r="3581">
          <cell r="A3581" t="str">
            <v>FB260003835</v>
          </cell>
          <cell r="D3581" t="str">
            <v>VSS</v>
          </cell>
        </row>
        <row r="3582">
          <cell r="A3582" t="str">
            <v>FB260003836</v>
          </cell>
          <cell r="D3582" t="str">
            <v>VSS</v>
          </cell>
        </row>
        <row r="3583">
          <cell r="A3583" t="str">
            <v>FB260003837</v>
          </cell>
          <cell r="D3583" t="str">
            <v>VSS</v>
          </cell>
        </row>
        <row r="3584">
          <cell r="A3584" t="str">
            <v>FB260003838</v>
          </cell>
          <cell r="D3584" t="str">
            <v>VSS</v>
          </cell>
        </row>
        <row r="3585">
          <cell r="A3585" t="str">
            <v>FB260003839</v>
          </cell>
          <cell r="D3585" t="str">
            <v>VSS</v>
          </cell>
        </row>
        <row r="3586">
          <cell r="A3586" t="str">
            <v>FB260003841</v>
          </cell>
          <cell r="D3586" t="str">
            <v>VSS</v>
          </cell>
        </row>
        <row r="3587">
          <cell r="A3587" t="str">
            <v>FB260003842</v>
          </cell>
          <cell r="D3587" t="str">
            <v>VSS</v>
          </cell>
        </row>
        <row r="3588">
          <cell r="A3588" t="str">
            <v>FB260003843</v>
          </cell>
          <cell r="D3588" t="str">
            <v>VSS</v>
          </cell>
        </row>
        <row r="3589">
          <cell r="A3589" t="str">
            <v>FB260003844</v>
          </cell>
          <cell r="D3589" t="str">
            <v>VSS</v>
          </cell>
        </row>
        <row r="3590">
          <cell r="A3590" t="str">
            <v>FB260003845</v>
          </cell>
          <cell r="D3590" t="str">
            <v>VSS</v>
          </cell>
        </row>
        <row r="3591">
          <cell r="A3591" t="str">
            <v>FB260003846</v>
          </cell>
          <cell r="D3591" t="str">
            <v>VSS</v>
          </cell>
        </row>
        <row r="3592">
          <cell r="A3592" t="str">
            <v>FB260003847</v>
          </cell>
          <cell r="D3592" t="str">
            <v>VSS</v>
          </cell>
        </row>
        <row r="3593">
          <cell r="A3593" t="str">
            <v>FB260003848</v>
          </cell>
          <cell r="D3593" t="str">
            <v>VSS</v>
          </cell>
        </row>
        <row r="3594">
          <cell r="A3594" t="str">
            <v>FB260003849</v>
          </cell>
          <cell r="D3594" t="str">
            <v>WACE</v>
          </cell>
        </row>
        <row r="3595">
          <cell r="A3595" t="str">
            <v>FB260003850</v>
          </cell>
          <cell r="D3595" t="str">
            <v>WACE</v>
          </cell>
        </row>
        <row r="3596">
          <cell r="A3596" t="str">
            <v>FB260003852</v>
          </cell>
          <cell r="D3596" t="str">
            <v>WACE</v>
          </cell>
        </row>
        <row r="3597">
          <cell r="A3597" t="str">
            <v>FB260003853</v>
          </cell>
          <cell r="D3597" t="str">
            <v>VSS</v>
          </cell>
        </row>
        <row r="3598">
          <cell r="A3598" t="str">
            <v>FB260003854</v>
          </cell>
          <cell r="D3598" t="str">
            <v>VSS</v>
          </cell>
        </row>
        <row r="3599">
          <cell r="A3599" t="str">
            <v>FB260003855</v>
          </cell>
          <cell r="D3599" t="str">
            <v>VSS</v>
          </cell>
        </row>
        <row r="3600">
          <cell r="A3600" t="str">
            <v>FB260003856</v>
          </cell>
          <cell r="D3600" t="str">
            <v>VSS</v>
          </cell>
        </row>
        <row r="3601">
          <cell r="A3601" t="str">
            <v>FB260003857</v>
          </cell>
          <cell r="D3601" t="str">
            <v>VSS</v>
          </cell>
        </row>
        <row r="3602">
          <cell r="A3602" t="str">
            <v>FB260003858</v>
          </cell>
          <cell r="D3602" t="str">
            <v>VSS</v>
          </cell>
        </row>
        <row r="3603">
          <cell r="A3603" t="str">
            <v>FB260003859</v>
          </cell>
          <cell r="D3603" t="str">
            <v>VSS</v>
          </cell>
        </row>
        <row r="3604">
          <cell r="A3604" t="str">
            <v>FB260003862</v>
          </cell>
          <cell r="D3604" t="str">
            <v>VSS</v>
          </cell>
        </row>
        <row r="3605">
          <cell r="A3605" t="str">
            <v>FB260003863</v>
          </cell>
          <cell r="D3605" t="str">
            <v>VSS</v>
          </cell>
        </row>
        <row r="3606">
          <cell r="A3606" t="str">
            <v>FB260003864</v>
          </cell>
          <cell r="D3606" t="str">
            <v>VSS</v>
          </cell>
        </row>
        <row r="3607">
          <cell r="A3607" t="str">
            <v>FB260003865</v>
          </cell>
          <cell r="D3607" t="str">
            <v>VSS</v>
          </cell>
        </row>
        <row r="3608">
          <cell r="A3608" t="str">
            <v>FB260003866</v>
          </cell>
          <cell r="D3608" t="str">
            <v>VSS</v>
          </cell>
        </row>
        <row r="3609">
          <cell r="A3609" t="str">
            <v>FB260003869</v>
          </cell>
          <cell r="D3609" t="str">
            <v>VSS</v>
          </cell>
        </row>
        <row r="3610">
          <cell r="A3610" t="str">
            <v>FB260003870</v>
          </cell>
          <cell r="D3610" t="str">
            <v>VSS</v>
          </cell>
        </row>
        <row r="3611">
          <cell r="A3611" t="str">
            <v>FB260003871</v>
          </cell>
          <cell r="D3611" t="str">
            <v>VSS</v>
          </cell>
        </row>
        <row r="3612">
          <cell r="A3612" t="str">
            <v>FB260003872</v>
          </cell>
          <cell r="D3612" t="str">
            <v>VSS</v>
          </cell>
        </row>
        <row r="3613">
          <cell r="A3613" t="str">
            <v>FB260003876</v>
          </cell>
          <cell r="D3613" t="str">
            <v>NIK</v>
          </cell>
        </row>
        <row r="3614">
          <cell r="A3614" t="str">
            <v>FB260003877</v>
          </cell>
          <cell r="D3614" t="str">
            <v>VSS</v>
          </cell>
        </row>
        <row r="3615">
          <cell r="A3615" t="str">
            <v>FB260003880</v>
          </cell>
          <cell r="D3615" t="str">
            <v>CK</v>
          </cell>
        </row>
        <row r="3616">
          <cell r="A3616" t="str">
            <v>FB260003882</v>
          </cell>
          <cell r="D3616" t="str">
            <v>M&amp;S</v>
          </cell>
        </row>
        <row r="3617">
          <cell r="A3617" t="str">
            <v>FB260003883</v>
          </cell>
          <cell r="D3617" t="str">
            <v>SW</v>
          </cell>
        </row>
        <row r="3618">
          <cell r="A3618" t="str">
            <v>FB260003884</v>
          </cell>
          <cell r="D3618" t="str">
            <v>SW</v>
          </cell>
        </row>
        <row r="3619">
          <cell r="A3619" t="str">
            <v>FB260003885</v>
          </cell>
          <cell r="D3619" t="str">
            <v>NEX</v>
          </cell>
        </row>
        <row r="3620">
          <cell r="A3620" t="str">
            <v>FB260003886</v>
          </cell>
          <cell r="D3620" t="str">
            <v>NEX</v>
          </cell>
        </row>
        <row r="3621">
          <cell r="A3621" t="str">
            <v>FB260003887</v>
          </cell>
          <cell r="D3621" t="str">
            <v>VSS</v>
          </cell>
        </row>
        <row r="3622">
          <cell r="A3622" t="str">
            <v>FB260003888</v>
          </cell>
          <cell r="D3622" t="str">
            <v>VSS</v>
          </cell>
        </row>
        <row r="3623">
          <cell r="A3623" t="str">
            <v>FB260003889</v>
          </cell>
          <cell r="D3623" t="str">
            <v>VSS</v>
          </cell>
        </row>
        <row r="3624">
          <cell r="A3624" t="str">
            <v>FB260003890</v>
          </cell>
          <cell r="D3624" t="str">
            <v>VSS</v>
          </cell>
        </row>
        <row r="3625">
          <cell r="A3625" t="str">
            <v>FB260003891</v>
          </cell>
          <cell r="D3625" t="str">
            <v>VSS</v>
          </cell>
        </row>
        <row r="3626">
          <cell r="A3626" t="str">
            <v>FB260003892</v>
          </cell>
          <cell r="D3626" t="str">
            <v>VSS</v>
          </cell>
        </row>
        <row r="3627">
          <cell r="A3627" t="str">
            <v>FB260003893</v>
          </cell>
          <cell r="D3627" t="str">
            <v>VSS</v>
          </cell>
        </row>
        <row r="3628">
          <cell r="A3628" t="str">
            <v>FB260003894</v>
          </cell>
          <cell r="D3628" t="str">
            <v>VSS</v>
          </cell>
        </row>
        <row r="3629">
          <cell r="A3629" t="str">
            <v>FB260003895</v>
          </cell>
          <cell r="D3629" t="str">
            <v>VSS</v>
          </cell>
        </row>
        <row r="3630">
          <cell r="A3630" t="str">
            <v>FB260003896</v>
          </cell>
          <cell r="D3630" t="str">
            <v>VSS</v>
          </cell>
        </row>
        <row r="3631">
          <cell r="A3631" t="str">
            <v>FB260003897</v>
          </cell>
          <cell r="D3631" t="str">
            <v>VSS</v>
          </cell>
        </row>
        <row r="3632">
          <cell r="A3632" t="str">
            <v>FB260003898</v>
          </cell>
          <cell r="D3632" t="str">
            <v>VSS</v>
          </cell>
        </row>
        <row r="3633">
          <cell r="A3633" t="str">
            <v>FB260003899</v>
          </cell>
          <cell r="D3633" t="str">
            <v>VSS</v>
          </cell>
        </row>
        <row r="3634">
          <cell r="A3634" t="str">
            <v>FB260003901</v>
          </cell>
          <cell r="D3634" t="str">
            <v>VSS</v>
          </cell>
        </row>
        <row r="3635">
          <cell r="A3635" t="str">
            <v>FB260003902</v>
          </cell>
          <cell r="D3635" t="str">
            <v>VSS</v>
          </cell>
        </row>
        <row r="3636">
          <cell r="A3636" t="str">
            <v>FB260003903</v>
          </cell>
          <cell r="D3636" t="str">
            <v>VSS</v>
          </cell>
        </row>
        <row r="3637">
          <cell r="A3637" t="str">
            <v>FB260003904</v>
          </cell>
          <cell r="D3637" t="str">
            <v>VSS</v>
          </cell>
        </row>
        <row r="3638">
          <cell r="A3638" t="str">
            <v>FB260003905</v>
          </cell>
          <cell r="D3638" t="str">
            <v>VSS</v>
          </cell>
        </row>
        <row r="3639">
          <cell r="A3639" t="str">
            <v>FB260003906</v>
          </cell>
          <cell r="D3639" t="str">
            <v>VSS</v>
          </cell>
        </row>
        <row r="3640">
          <cell r="A3640" t="str">
            <v>FB260003907</v>
          </cell>
          <cell r="D3640" t="str">
            <v>NIK</v>
          </cell>
        </row>
        <row r="3641">
          <cell r="A3641" t="str">
            <v>FB260003929</v>
          </cell>
          <cell r="D3641" t="str">
            <v>VSS</v>
          </cell>
        </row>
        <row r="3642">
          <cell r="A3642" t="str">
            <v>FB260003930</v>
          </cell>
          <cell r="D3642" t="str">
            <v>VSS</v>
          </cell>
        </row>
        <row r="3643">
          <cell r="A3643" t="str">
            <v>FB260003931</v>
          </cell>
          <cell r="D3643" t="str">
            <v>WACE</v>
          </cell>
        </row>
        <row r="3644">
          <cell r="A3644" t="str">
            <v>FB260003938</v>
          </cell>
          <cell r="D3644" t="str">
            <v>VSS</v>
          </cell>
        </row>
        <row r="3645">
          <cell r="A3645" t="str">
            <v>FB260003939</v>
          </cell>
          <cell r="D3645" t="str">
            <v>NIK</v>
          </cell>
        </row>
        <row r="3646">
          <cell r="A3646" t="str">
            <v>FB260003940</v>
          </cell>
          <cell r="D3646" t="str">
            <v>NIK</v>
          </cell>
        </row>
        <row r="3647">
          <cell r="A3647" t="str">
            <v>FB260003941</v>
          </cell>
          <cell r="D3647" t="str">
            <v>NIK</v>
          </cell>
        </row>
        <row r="3648">
          <cell r="A3648" t="str">
            <v>FB260003942</v>
          </cell>
          <cell r="D3648" t="str">
            <v>NIK</v>
          </cell>
        </row>
        <row r="3649">
          <cell r="A3649" t="str">
            <v>FB260003943</v>
          </cell>
          <cell r="D3649" t="str">
            <v>NIK</v>
          </cell>
        </row>
        <row r="3650">
          <cell r="A3650" t="str">
            <v>FB260003944</v>
          </cell>
          <cell r="D3650" t="str">
            <v>NIK</v>
          </cell>
        </row>
        <row r="3651">
          <cell r="A3651" t="str">
            <v>FB260003945</v>
          </cell>
          <cell r="D3651" t="str">
            <v>NIK</v>
          </cell>
        </row>
        <row r="3652">
          <cell r="A3652" t="str">
            <v>FB260003946</v>
          </cell>
          <cell r="D3652" t="str">
            <v>NIK</v>
          </cell>
        </row>
        <row r="3653">
          <cell r="A3653" t="str">
            <v>FB260003948</v>
          </cell>
          <cell r="D3653" t="str">
            <v>NIK</v>
          </cell>
        </row>
        <row r="3654">
          <cell r="A3654" t="str">
            <v>FB260003949</v>
          </cell>
          <cell r="D3654" t="str">
            <v>PINK</v>
          </cell>
        </row>
        <row r="3655">
          <cell r="A3655" t="str">
            <v>FB260003950</v>
          </cell>
          <cell r="D3655" t="str">
            <v>PINK</v>
          </cell>
        </row>
        <row r="3656">
          <cell r="A3656" t="str">
            <v>FB260003954</v>
          </cell>
          <cell r="D3656" t="str">
            <v>AMA</v>
          </cell>
        </row>
        <row r="3657">
          <cell r="A3657" t="str">
            <v>FB260003957</v>
          </cell>
          <cell r="D3657" t="str">
            <v>VSS</v>
          </cell>
        </row>
        <row r="3658">
          <cell r="A3658" t="str">
            <v>FB260003958</v>
          </cell>
          <cell r="D3658" t="str">
            <v>VSS</v>
          </cell>
        </row>
        <row r="3659">
          <cell r="A3659" t="str">
            <v>FB260003959</v>
          </cell>
          <cell r="D3659" t="str">
            <v>VSS</v>
          </cell>
        </row>
        <row r="3660">
          <cell r="A3660" t="str">
            <v>FB260003960</v>
          </cell>
          <cell r="D3660" t="str">
            <v>VSS</v>
          </cell>
        </row>
        <row r="3661">
          <cell r="A3661" t="str">
            <v>FB260003961</v>
          </cell>
          <cell r="D3661" t="str">
            <v>VSS</v>
          </cell>
        </row>
        <row r="3662">
          <cell r="A3662" t="str">
            <v>FB260003962</v>
          </cell>
          <cell r="D3662" t="str">
            <v>VSS</v>
          </cell>
        </row>
        <row r="3663">
          <cell r="A3663" t="str">
            <v>FB260003963</v>
          </cell>
          <cell r="D3663" t="str">
            <v>VSS</v>
          </cell>
        </row>
        <row r="3664">
          <cell r="A3664" t="str">
            <v>FB260003964</v>
          </cell>
          <cell r="D3664" t="str">
            <v>VSS</v>
          </cell>
        </row>
        <row r="3665">
          <cell r="A3665" t="str">
            <v>FB260003966</v>
          </cell>
          <cell r="D3665" t="str">
            <v>THX</v>
          </cell>
        </row>
        <row r="3666">
          <cell r="A3666" t="str">
            <v>FB260003972</v>
          </cell>
          <cell r="D3666" t="str">
            <v>NEWB</v>
          </cell>
        </row>
        <row r="3667">
          <cell r="A3667" t="str">
            <v>FB260003976</v>
          </cell>
          <cell r="D3667" t="str">
            <v>VSS</v>
          </cell>
        </row>
        <row r="3668">
          <cell r="A3668" t="str">
            <v>FB260003980</v>
          </cell>
          <cell r="D3668" t="str">
            <v>VSS</v>
          </cell>
        </row>
        <row r="3669">
          <cell r="A3669" t="str">
            <v>FB260003983</v>
          </cell>
          <cell r="D3669" t="str">
            <v>NEWB</v>
          </cell>
        </row>
        <row r="3670">
          <cell r="A3670" t="str">
            <v>FB260003984</v>
          </cell>
          <cell r="D3670" t="str">
            <v>PINK</v>
          </cell>
        </row>
        <row r="3671">
          <cell r="A3671" t="str">
            <v>FB260003985</v>
          </cell>
          <cell r="D3671" t="str">
            <v>PINK</v>
          </cell>
        </row>
        <row r="3672">
          <cell r="A3672" t="str">
            <v>FB260003988</v>
          </cell>
          <cell r="D3672" t="str">
            <v>HAR</v>
          </cell>
        </row>
        <row r="3673">
          <cell r="A3673" t="str">
            <v>FB260003989</v>
          </cell>
          <cell r="D3673" t="str">
            <v>NEWB</v>
          </cell>
        </row>
        <row r="3674">
          <cell r="A3674" t="str">
            <v>FB260003990</v>
          </cell>
          <cell r="D3674" t="str">
            <v>HAR</v>
          </cell>
        </row>
        <row r="3675">
          <cell r="A3675" t="str">
            <v>FB260003992</v>
          </cell>
          <cell r="D3675" t="str">
            <v>PINK</v>
          </cell>
        </row>
        <row r="3676">
          <cell r="A3676" t="str">
            <v>FB260003993</v>
          </cell>
          <cell r="D3676" t="str">
            <v>PINK</v>
          </cell>
        </row>
        <row r="3677">
          <cell r="A3677" t="str">
            <v>FB260003994</v>
          </cell>
          <cell r="D3677" t="str">
            <v>PINK</v>
          </cell>
        </row>
        <row r="3678">
          <cell r="A3678" t="str">
            <v>FB260003995</v>
          </cell>
          <cell r="D3678" t="str">
            <v>PINK</v>
          </cell>
        </row>
        <row r="3679">
          <cell r="A3679" t="str">
            <v>FB260003996</v>
          </cell>
          <cell r="D3679" t="str">
            <v>NIK</v>
          </cell>
        </row>
        <row r="3680">
          <cell r="A3680" t="str">
            <v>FB260003997</v>
          </cell>
          <cell r="D3680" t="str">
            <v>PINK</v>
          </cell>
        </row>
        <row r="3681">
          <cell r="A3681" t="str">
            <v>FB260003998</v>
          </cell>
          <cell r="D3681" t="str">
            <v>GAPO</v>
          </cell>
        </row>
        <row r="3682">
          <cell r="A3682" t="str">
            <v>FB260003999</v>
          </cell>
          <cell r="D3682" t="str">
            <v>GAPO</v>
          </cell>
        </row>
        <row r="3683">
          <cell r="A3683" t="str">
            <v>FB260004000</v>
          </cell>
          <cell r="D3683" t="str">
            <v>GAPO</v>
          </cell>
        </row>
        <row r="3684">
          <cell r="A3684" t="str">
            <v>FB260004001</v>
          </cell>
          <cell r="D3684" t="str">
            <v>GAPO</v>
          </cell>
        </row>
        <row r="3685">
          <cell r="A3685" t="str">
            <v>FB260004002</v>
          </cell>
          <cell r="D3685" t="str">
            <v>GAPO</v>
          </cell>
        </row>
        <row r="3686">
          <cell r="A3686" t="str">
            <v>FB260004005</v>
          </cell>
          <cell r="D3686" t="str">
            <v>NIK</v>
          </cell>
        </row>
        <row r="3687">
          <cell r="A3687" t="str">
            <v>FB260004006</v>
          </cell>
          <cell r="D3687" t="str">
            <v>VSS</v>
          </cell>
        </row>
        <row r="3688">
          <cell r="A3688" t="str">
            <v>FB260004007</v>
          </cell>
          <cell r="D3688" t="str">
            <v>NIK</v>
          </cell>
        </row>
        <row r="3689">
          <cell r="A3689" t="str">
            <v>FB260004008</v>
          </cell>
          <cell r="D3689" t="str">
            <v>NIK</v>
          </cell>
        </row>
        <row r="3690">
          <cell r="A3690" t="str">
            <v>FB260004009</v>
          </cell>
          <cell r="D3690" t="str">
            <v>NIK</v>
          </cell>
        </row>
        <row r="3691">
          <cell r="A3691" t="str">
            <v>FB260004010</v>
          </cell>
          <cell r="D3691" t="str">
            <v>NIK</v>
          </cell>
        </row>
        <row r="3692">
          <cell r="A3692" t="str">
            <v>FB260004012</v>
          </cell>
          <cell r="D3692" t="str">
            <v>NIK</v>
          </cell>
        </row>
        <row r="3693">
          <cell r="A3693" t="str">
            <v>FB260004014</v>
          </cell>
          <cell r="D3693" t="str">
            <v>NIK</v>
          </cell>
        </row>
        <row r="3694">
          <cell r="A3694" t="str">
            <v>FB260004017</v>
          </cell>
          <cell r="D3694" t="str">
            <v>TORD</v>
          </cell>
        </row>
        <row r="3695">
          <cell r="A3695" t="str">
            <v>FB260004018</v>
          </cell>
          <cell r="D3695" t="str">
            <v>NIK</v>
          </cell>
        </row>
        <row r="3696">
          <cell r="A3696" t="str">
            <v>FB260004019</v>
          </cell>
          <cell r="D3696" t="str">
            <v>TORD</v>
          </cell>
        </row>
        <row r="3697">
          <cell r="A3697" t="str">
            <v>FB260004020</v>
          </cell>
          <cell r="D3697" t="str">
            <v>PINK</v>
          </cell>
        </row>
        <row r="3698">
          <cell r="A3698" t="str">
            <v>FB260004021</v>
          </cell>
          <cell r="D3698" t="str">
            <v>TORD</v>
          </cell>
        </row>
        <row r="3699">
          <cell r="A3699" t="str">
            <v>FB260004022</v>
          </cell>
          <cell r="D3699" t="str">
            <v>WACE</v>
          </cell>
        </row>
        <row r="3700">
          <cell r="A3700" t="str">
            <v>FB260004024</v>
          </cell>
          <cell r="D3700" t="str">
            <v>ASIC</v>
          </cell>
        </row>
        <row r="3701">
          <cell r="A3701" t="str">
            <v>FB260004025</v>
          </cell>
          <cell r="D3701" t="str">
            <v>ASIC</v>
          </cell>
        </row>
        <row r="3702">
          <cell r="A3702" t="str">
            <v>FB260004026</v>
          </cell>
          <cell r="D3702" t="str">
            <v>PINK</v>
          </cell>
        </row>
        <row r="3703">
          <cell r="A3703" t="str">
            <v>FB260004027</v>
          </cell>
          <cell r="D3703" t="str">
            <v>THEU</v>
          </cell>
        </row>
        <row r="3704">
          <cell r="A3704" t="str">
            <v>FB260004029</v>
          </cell>
          <cell r="D3704" t="str">
            <v>PINK</v>
          </cell>
        </row>
        <row r="3705">
          <cell r="A3705" t="str">
            <v>FB260004030</v>
          </cell>
          <cell r="D3705" t="str">
            <v>PINK</v>
          </cell>
        </row>
        <row r="3706">
          <cell r="A3706" t="str">
            <v>FB260004031</v>
          </cell>
          <cell r="D3706" t="str">
            <v>PINK</v>
          </cell>
        </row>
        <row r="3707">
          <cell r="A3707" t="str">
            <v>FB260004032</v>
          </cell>
          <cell r="D3707" t="str">
            <v>PINK</v>
          </cell>
        </row>
        <row r="3708">
          <cell r="A3708" t="str">
            <v>FB260004033</v>
          </cell>
          <cell r="D3708" t="str">
            <v>PINK</v>
          </cell>
        </row>
        <row r="3709">
          <cell r="A3709" t="str">
            <v>FB260004034</v>
          </cell>
          <cell r="D3709" t="str">
            <v>PINK</v>
          </cell>
        </row>
        <row r="3710">
          <cell r="A3710" t="str">
            <v>FB260004035</v>
          </cell>
          <cell r="D3710" t="str">
            <v>VSS</v>
          </cell>
        </row>
        <row r="3711">
          <cell r="A3711" t="str">
            <v>FB260004036</v>
          </cell>
          <cell r="D3711" t="str">
            <v>VSS</v>
          </cell>
        </row>
        <row r="3712">
          <cell r="A3712" t="str">
            <v>FB260004037</v>
          </cell>
          <cell r="D3712" t="str">
            <v>WACE</v>
          </cell>
        </row>
        <row r="3713">
          <cell r="A3713" t="str">
            <v>FB260004038</v>
          </cell>
          <cell r="D3713" t="str">
            <v>NEX</v>
          </cell>
        </row>
        <row r="3714">
          <cell r="A3714" t="str">
            <v>FB260004039</v>
          </cell>
          <cell r="D3714" t="str">
            <v>NIK</v>
          </cell>
        </row>
        <row r="3715">
          <cell r="A3715" t="str">
            <v>FB260004040</v>
          </cell>
          <cell r="D3715" t="str">
            <v>VSS</v>
          </cell>
        </row>
        <row r="3716">
          <cell r="A3716" t="str">
            <v>FB260004041</v>
          </cell>
          <cell r="D3716" t="str">
            <v>NIK</v>
          </cell>
        </row>
        <row r="3717">
          <cell r="A3717" t="str">
            <v>FB260004042</v>
          </cell>
          <cell r="D3717" t="str">
            <v>VSS</v>
          </cell>
        </row>
        <row r="3718">
          <cell r="A3718" t="str">
            <v>FB260004043</v>
          </cell>
          <cell r="D3718" t="str">
            <v>NIK</v>
          </cell>
        </row>
        <row r="3719">
          <cell r="A3719" t="str">
            <v>FB260004044</v>
          </cell>
          <cell r="D3719" t="str">
            <v>NIK</v>
          </cell>
        </row>
        <row r="3720">
          <cell r="A3720" t="str">
            <v>FB260004045</v>
          </cell>
          <cell r="D3720" t="str">
            <v>NIK</v>
          </cell>
        </row>
        <row r="3721">
          <cell r="A3721" t="str">
            <v>FB260004046</v>
          </cell>
          <cell r="D3721" t="str">
            <v>NIK</v>
          </cell>
        </row>
        <row r="3722">
          <cell r="A3722" t="str">
            <v>FB260004048</v>
          </cell>
          <cell r="D3722" t="str">
            <v>SPEE</v>
          </cell>
        </row>
        <row r="3723">
          <cell r="A3723" t="str">
            <v>FB260004053</v>
          </cell>
          <cell r="D3723" t="str">
            <v>VSS</v>
          </cell>
        </row>
        <row r="3724">
          <cell r="A3724" t="str">
            <v>FB260004054</v>
          </cell>
          <cell r="D3724" t="str">
            <v>VSS</v>
          </cell>
        </row>
        <row r="3725">
          <cell r="A3725" t="str">
            <v>FB260004060</v>
          </cell>
          <cell r="D3725" t="str">
            <v>VSS</v>
          </cell>
        </row>
        <row r="3726">
          <cell r="A3726" t="str">
            <v>FB260004061</v>
          </cell>
          <cell r="D3726" t="str">
            <v>LBI</v>
          </cell>
        </row>
        <row r="3727">
          <cell r="A3727" t="str">
            <v>FB260004069</v>
          </cell>
          <cell r="D3727" t="str">
            <v>VSS</v>
          </cell>
        </row>
        <row r="3728">
          <cell r="A3728" t="str">
            <v>FB260004073</v>
          </cell>
          <cell r="D3728" t="str">
            <v>VSS</v>
          </cell>
        </row>
        <row r="3729">
          <cell r="A3729" t="str">
            <v>FB260004076</v>
          </cell>
          <cell r="D3729" t="str">
            <v>VSS</v>
          </cell>
        </row>
        <row r="3730">
          <cell r="A3730" t="str">
            <v>FB260004080</v>
          </cell>
          <cell r="D3730" t="str">
            <v>WACE</v>
          </cell>
        </row>
        <row r="3731">
          <cell r="A3731" t="str">
            <v>FB260004081</v>
          </cell>
          <cell r="D3731" t="str">
            <v>WACE</v>
          </cell>
        </row>
        <row r="3732">
          <cell r="A3732" t="str">
            <v>FB260004082</v>
          </cell>
          <cell r="D3732" t="str">
            <v>VSS</v>
          </cell>
        </row>
        <row r="3733">
          <cell r="A3733" t="str">
            <v>FB260004083</v>
          </cell>
          <cell r="D3733" t="str">
            <v>VSS</v>
          </cell>
        </row>
        <row r="3734">
          <cell r="A3734" t="str">
            <v>FB260004084</v>
          </cell>
          <cell r="D3734" t="str">
            <v>VSS</v>
          </cell>
        </row>
        <row r="3735">
          <cell r="A3735" t="str">
            <v>FB260004085</v>
          </cell>
          <cell r="D3735" t="str">
            <v>VSS</v>
          </cell>
        </row>
        <row r="3736">
          <cell r="A3736" t="str">
            <v>FB260004086</v>
          </cell>
          <cell r="D3736" t="str">
            <v>VSS</v>
          </cell>
        </row>
        <row r="3737">
          <cell r="A3737" t="str">
            <v>FB260004087</v>
          </cell>
          <cell r="D3737" t="str">
            <v>VSS</v>
          </cell>
        </row>
        <row r="3738">
          <cell r="A3738" t="str">
            <v>FB260004088</v>
          </cell>
          <cell r="D3738" t="str">
            <v>VSS</v>
          </cell>
        </row>
        <row r="3739">
          <cell r="A3739" t="str">
            <v>FB260004091</v>
          </cell>
          <cell r="D3739" t="str">
            <v>WACE</v>
          </cell>
        </row>
        <row r="3740">
          <cell r="A3740" t="str">
            <v>FB260004094</v>
          </cell>
          <cell r="D3740" t="str">
            <v>WACE</v>
          </cell>
        </row>
        <row r="3741">
          <cell r="A3741" t="str">
            <v>FB260004095</v>
          </cell>
          <cell r="D3741" t="str">
            <v>M&amp;S</v>
          </cell>
        </row>
        <row r="3742">
          <cell r="A3742" t="str">
            <v>FB260004096</v>
          </cell>
          <cell r="D3742" t="str">
            <v>NIK</v>
          </cell>
        </row>
        <row r="3743">
          <cell r="A3743" t="str">
            <v>FB260004097</v>
          </cell>
          <cell r="D3743" t="str">
            <v>NIK</v>
          </cell>
        </row>
        <row r="3744">
          <cell r="A3744" t="str">
            <v>FB260004101</v>
          </cell>
          <cell r="D3744" t="str">
            <v>NIK</v>
          </cell>
        </row>
        <row r="3745">
          <cell r="A3745" t="str">
            <v>FB260004103</v>
          </cell>
          <cell r="D3745" t="str">
            <v>CK</v>
          </cell>
        </row>
        <row r="3746">
          <cell r="A3746" t="str">
            <v>FB260004104</v>
          </cell>
          <cell r="D3746" t="str">
            <v>CK</v>
          </cell>
        </row>
        <row r="3747">
          <cell r="A3747" t="str">
            <v>FB260004107</v>
          </cell>
          <cell r="D3747" t="str">
            <v>LBI</v>
          </cell>
        </row>
        <row r="3748">
          <cell r="A3748" t="str">
            <v>FB260004109</v>
          </cell>
          <cell r="D3748" t="str">
            <v>LBI</v>
          </cell>
        </row>
        <row r="3749">
          <cell r="A3749" t="str">
            <v>FB260004110</v>
          </cell>
          <cell r="D3749" t="str">
            <v>LULU</v>
          </cell>
        </row>
        <row r="3750">
          <cell r="A3750" t="str">
            <v>FB260004111</v>
          </cell>
          <cell r="D3750" t="str">
            <v>LULU</v>
          </cell>
        </row>
        <row r="3751">
          <cell r="A3751" t="str">
            <v>FB260004112</v>
          </cell>
          <cell r="D3751" t="str">
            <v>LULU</v>
          </cell>
        </row>
        <row r="3752">
          <cell r="A3752" t="str">
            <v>FB260004113</v>
          </cell>
          <cell r="D3752" t="str">
            <v>LULU</v>
          </cell>
        </row>
        <row r="3753">
          <cell r="A3753" t="str">
            <v>FB260004114</v>
          </cell>
          <cell r="D3753" t="str">
            <v>LULU</v>
          </cell>
        </row>
        <row r="3754">
          <cell r="A3754" t="str">
            <v>FB260004115</v>
          </cell>
          <cell r="D3754" t="str">
            <v>VSS</v>
          </cell>
        </row>
        <row r="3755">
          <cell r="A3755" t="str">
            <v>FB260004116</v>
          </cell>
          <cell r="D3755" t="str">
            <v>PINK</v>
          </cell>
        </row>
        <row r="3756">
          <cell r="A3756" t="str">
            <v>FB260004119</v>
          </cell>
          <cell r="D3756" t="str">
            <v>M&amp;S</v>
          </cell>
        </row>
        <row r="3757">
          <cell r="A3757" t="str">
            <v>FB260004120</v>
          </cell>
          <cell r="D3757" t="str">
            <v>LULU</v>
          </cell>
        </row>
        <row r="3758">
          <cell r="A3758" t="str">
            <v>FB260004121</v>
          </cell>
          <cell r="D3758" t="str">
            <v>LULU</v>
          </cell>
        </row>
        <row r="3759">
          <cell r="A3759" t="str">
            <v>FB260004122</v>
          </cell>
          <cell r="D3759" t="str">
            <v>CK</v>
          </cell>
        </row>
        <row r="3760">
          <cell r="A3760" t="str">
            <v>FB260004123</v>
          </cell>
          <cell r="D3760" t="str">
            <v>CK</v>
          </cell>
        </row>
        <row r="3761">
          <cell r="A3761" t="str">
            <v>FB260004124</v>
          </cell>
          <cell r="D3761" t="str">
            <v>CK</v>
          </cell>
        </row>
        <row r="3762">
          <cell r="A3762" t="str">
            <v>FB260004125</v>
          </cell>
          <cell r="D3762" t="str">
            <v>CK</v>
          </cell>
        </row>
        <row r="3763">
          <cell r="A3763" t="str">
            <v>FB260004126</v>
          </cell>
          <cell r="D3763" t="str">
            <v>CK</v>
          </cell>
        </row>
        <row r="3764">
          <cell r="A3764" t="str">
            <v>FB260004128</v>
          </cell>
          <cell r="D3764" t="str">
            <v>CK</v>
          </cell>
        </row>
        <row r="3765">
          <cell r="A3765" t="str">
            <v>FB260004129</v>
          </cell>
          <cell r="D3765" t="str">
            <v>VSS</v>
          </cell>
        </row>
        <row r="3766">
          <cell r="A3766" t="str">
            <v>FB260004130</v>
          </cell>
          <cell r="D3766" t="str">
            <v>VSS</v>
          </cell>
        </row>
        <row r="3767">
          <cell r="A3767" t="str">
            <v>FB260004131</v>
          </cell>
          <cell r="D3767" t="str">
            <v>VSS</v>
          </cell>
        </row>
        <row r="3768">
          <cell r="A3768" t="str">
            <v>FB260004132</v>
          </cell>
          <cell r="D3768" t="str">
            <v>VSS</v>
          </cell>
        </row>
        <row r="3769">
          <cell r="A3769" t="str">
            <v>FB260004134</v>
          </cell>
          <cell r="D3769" t="str">
            <v>VSS</v>
          </cell>
        </row>
        <row r="3770">
          <cell r="A3770" t="str">
            <v>FB260004135</v>
          </cell>
          <cell r="D3770" t="str">
            <v>VSS</v>
          </cell>
        </row>
        <row r="3771">
          <cell r="A3771" t="str">
            <v>FB260004136</v>
          </cell>
          <cell r="D3771" t="str">
            <v>VSS</v>
          </cell>
        </row>
        <row r="3772">
          <cell r="A3772" t="str">
            <v>FB260004137</v>
          </cell>
          <cell r="D3772" t="str">
            <v>VSS</v>
          </cell>
        </row>
        <row r="3773">
          <cell r="A3773" t="str">
            <v>FB260004138</v>
          </cell>
          <cell r="D3773" t="str">
            <v>VSS</v>
          </cell>
        </row>
        <row r="3774">
          <cell r="A3774" t="str">
            <v>FB260004140</v>
          </cell>
          <cell r="D3774" t="str">
            <v>VSS</v>
          </cell>
        </row>
        <row r="3775">
          <cell r="A3775" t="str">
            <v>FB260004141</v>
          </cell>
          <cell r="D3775" t="str">
            <v>VSS</v>
          </cell>
        </row>
        <row r="3776">
          <cell r="A3776" t="str">
            <v>FB260004143</v>
          </cell>
          <cell r="D3776" t="str">
            <v>VSS</v>
          </cell>
        </row>
        <row r="3777">
          <cell r="A3777" t="str">
            <v>FB260004145</v>
          </cell>
          <cell r="D3777" t="str">
            <v>VSS</v>
          </cell>
        </row>
        <row r="3778">
          <cell r="A3778" t="str">
            <v>FB260004146</v>
          </cell>
          <cell r="D3778" t="str">
            <v>VSS</v>
          </cell>
        </row>
        <row r="3779">
          <cell r="A3779" t="str">
            <v>FB260004147</v>
          </cell>
          <cell r="D3779" t="str">
            <v>CK</v>
          </cell>
        </row>
        <row r="3780">
          <cell r="A3780" t="str">
            <v>FB260004148</v>
          </cell>
          <cell r="D3780" t="str">
            <v>VSS</v>
          </cell>
        </row>
        <row r="3781">
          <cell r="A3781" t="str">
            <v>FB260004149</v>
          </cell>
          <cell r="D3781" t="str">
            <v>VSS</v>
          </cell>
        </row>
        <row r="3782">
          <cell r="A3782" t="str">
            <v>FB260004150</v>
          </cell>
          <cell r="D3782" t="str">
            <v>VSS</v>
          </cell>
        </row>
        <row r="3783">
          <cell r="A3783" t="str">
            <v>FB260004151</v>
          </cell>
          <cell r="D3783" t="str">
            <v>SW</v>
          </cell>
        </row>
        <row r="3784">
          <cell r="A3784" t="str">
            <v>FB260004152</v>
          </cell>
          <cell r="D3784" t="str">
            <v>SW</v>
          </cell>
        </row>
        <row r="3785">
          <cell r="A3785" t="str">
            <v>FB260004153</v>
          </cell>
          <cell r="D3785" t="str">
            <v>THEU</v>
          </cell>
        </row>
        <row r="3786">
          <cell r="A3786" t="str">
            <v>FB260004154</v>
          </cell>
          <cell r="D3786" t="str">
            <v>CK</v>
          </cell>
        </row>
        <row r="3787">
          <cell r="A3787" t="str">
            <v>FB260004155</v>
          </cell>
          <cell r="D3787" t="str">
            <v>VSS</v>
          </cell>
        </row>
        <row r="3788">
          <cell r="A3788" t="str">
            <v>FB260004156</v>
          </cell>
          <cell r="D3788" t="str">
            <v>VSS</v>
          </cell>
        </row>
        <row r="3789">
          <cell r="A3789" t="str">
            <v>FB260004157</v>
          </cell>
          <cell r="D3789" t="str">
            <v>PINK</v>
          </cell>
        </row>
        <row r="3790">
          <cell r="A3790" t="str">
            <v>FB260004159</v>
          </cell>
          <cell r="D3790" t="str">
            <v>PINK</v>
          </cell>
        </row>
        <row r="3791">
          <cell r="A3791" t="str">
            <v>FB260004160</v>
          </cell>
          <cell r="D3791" t="str">
            <v>PINK</v>
          </cell>
        </row>
        <row r="3792">
          <cell r="A3792" t="str">
            <v>FB260004161</v>
          </cell>
          <cell r="D3792" t="str">
            <v>PINK</v>
          </cell>
        </row>
        <row r="3793">
          <cell r="A3793" t="str">
            <v>FB260004163</v>
          </cell>
          <cell r="D3793" t="str">
            <v>VSS</v>
          </cell>
        </row>
        <row r="3794">
          <cell r="A3794" t="str">
            <v>FB260004167</v>
          </cell>
          <cell r="D3794" t="str">
            <v>WACE</v>
          </cell>
        </row>
        <row r="3795">
          <cell r="A3795" t="str">
            <v>FB260004168</v>
          </cell>
          <cell r="D3795" t="str">
            <v>WACE</v>
          </cell>
        </row>
        <row r="3796">
          <cell r="A3796" t="str">
            <v>FB260004173</v>
          </cell>
          <cell r="D3796" t="str">
            <v>NEWB</v>
          </cell>
        </row>
        <row r="3797">
          <cell r="A3797" t="str">
            <v>FB260004174</v>
          </cell>
          <cell r="D3797" t="str">
            <v>NEWB</v>
          </cell>
        </row>
        <row r="3798">
          <cell r="A3798" t="str">
            <v>FB260004175</v>
          </cell>
          <cell r="D3798" t="str">
            <v>NEWB</v>
          </cell>
        </row>
        <row r="3799">
          <cell r="A3799" t="str">
            <v>FB260004176</v>
          </cell>
          <cell r="D3799" t="str">
            <v>CK</v>
          </cell>
        </row>
        <row r="3800">
          <cell r="A3800" t="str">
            <v>FB260004177</v>
          </cell>
          <cell r="D3800" t="str">
            <v>CK</v>
          </cell>
        </row>
        <row r="3801">
          <cell r="A3801" t="str">
            <v>FB260004178</v>
          </cell>
          <cell r="D3801" t="str">
            <v>CK</v>
          </cell>
        </row>
        <row r="3802">
          <cell r="A3802" t="str">
            <v>FB260004179</v>
          </cell>
          <cell r="D3802" t="str">
            <v>CK</v>
          </cell>
        </row>
        <row r="3803">
          <cell r="A3803" t="str">
            <v>FB260004182</v>
          </cell>
          <cell r="D3803" t="str">
            <v>VSS</v>
          </cell>
        </row>
        <row r="3804">
          <cell r="A3804" t="str">
            <v>FB260004183</v>
          </cell>
          <cell r="D3804" t="str">
            <v>VSS</v>
          </cell>
        </row>
        <row r="3805">
          <cell r="A3805" t="str">
            <v>FB260004186</v>
          </cell>
          <cell r="D3805" t="str">
            <v>VSS</v>
          </cell>
        </row>
        <row r="3806">
          <cell r="A3806" t="str">
            <v>FB260004187</v>
          </cell>
          <cell r="D3806" t="str">
            <v>VSS</v>
          </cell>
        </row>
        <row r="3807">
          <cell r="A3807" t="str">
            <v>FB260004188</v>
          </cell>
          <cell r="D3807" t="str">
            <v>VSS</v>
          </cell>
        </row>
        <row r="3808">
          <cell r="A3808" t="str">
            <v>FB260004189</v>
          </cell>
          <cell r="D3808" t="str">
            <v>VSS</v>
          </cell>
        </row>
        <row r="3809">
          <cell r="A3809" t="str">
            <v>FB260004192</v>
          </cell>
          <cell r="D3809" t="str">
            <v>LBI</v>
          </cell>
        </row>
        <row r="3810">
          <cell r="A3810" t="str">
            <v>FB260004193</v>
          </cell>
          <cell r="D3810" t="str">
            <v>ESS2</v>
          </cell>
        </row>
        <row r="3811">
          <cell r="A3811" t="str">
            <v>FB260004194</v>
          </cell>
          <cell r="D3811" t="str">
            <v>CK</v>
          </cell>
        </row>
        <row r="3812">
          <cell r="A3812" t="str">
            <v>FB260004195</v>
          </cell>
          <cell r="D3812" t="str">
            <v>PINK</v>
          </cell>
        </row>
        <row r="3813">
          <cell r="A3813" t="str">
            <v>FB260004196</v>
          </cell>
          <cell r="D3813" t="str">
            <v>PINK</v>
          </cell>
        </row>
        <row r="3814">
          <cell r="A3814" t="str">
            <v>FB260004197</v>
          </cell>
          <cell r="D3814" t="str">
            <v>PINK</v>
          </cell>
        </row>
        <row r="3815">
          <cell r="A3815" t="str">
            <v>FB260004198</v>
          </cell>
          <cell r="D3815" t="str">
            <v>PINK</v>
          </cell>
        </row>
        <row r="3816">
          <cell r="A3816" t="str">
            <v>FB260004200</v>
          </cell>
          <cell r="D3816" t="str">
            <v>PINK</v>
          </cell>
        </row>
        <row r="3817">
          <cell r="A3817" t="str">
            <v>FB260004201</v>
          </cell>
          <cell r="D3817" t="str">
            <v>WACE</v>
          </cell>
        </row>
        <row r="3818">
          <cell r="A3818" t="str">
            <v>FB260004202</v>
          </cell>
          <cell r="D3818" t="str">
            <v>VSS</v>
          </cell>
        </row>
        <row r="3819">
          <cell r="A3819" t="str">
            <v>FB260004203</v>
          </cell>
          <cell r="D3819" t="str">
            <v>PINK</v>
          </cell>
        </row>
        <row r="3820">
          <cell r="A3820" t="str">
            <v>FB260004204</v>
          </cell>
          <cell r="D3820" t="str">
            <v>WACE</v>
          </cell>
        </row>
        <row r="3821">
          <cell r="A3821" t="str">
            <v>FB260004205</v>
          </cell>
          <cell r="D3821" t="str">
            <v>WACE</v>
          </cell>
        </row>
        <row r="3822">
          <cell r="A3822" t="str">
            <v>FB260004206</v>
          </cell>
          <cell r="D3822" t="str">
            <v>VSS</v>
          </cell>
        </row>
        <row r="3823">
          <cell r="A3823" t="str">
            <v>FB260004207</v>
          </cell>
          <cell r="D3823" t="str">
            <v>VSS</v>
          </cell>
        </row>
        <row r="3824">
          <cell r="A3824" t="str">
            <v>FB260004208</v>
          </cell>
          <cell r="D3824" t="str">
            <v>VSS</v>
          </cell>
        </row>
        <row r="3825">
          <cell r="A3825" t="str">
            <v>FB260004209</v>
          </cell>
          <cell r="D3825" t="str">
            <v>VSS</v>
          </cell>
        </row>
        <row r="3826">
          <cell r="A3826" t="str">
            <v>FB260004210</v>
          </cell>
          <cell r="D3826" t="str">
            <v>VSS</v>
          </cell>
        </row>
        <row r="3827">
          <cell r="A3827" t="str">
            <v>FB260004211</v>
          </cell>
          <cell r="D3827" t="str">
            <v>VSS</v>
          </cell>
        </row>
        <row r="3828">
          <cell r="A3828" t="str">
            <v>FB260004212</v>
          </cell>
          <cell r="D3828" t="str">
            <v>VSS</v>
          </cell>
        </row>
        <row r="3829">
          <cell r="A3829" t="str">
            <v>FB260004213</v>
          </cell>
          <cell r="D3829" t="str">
            <v>VSS</v>
          </cell>
        </row>
        <row r="3830">
          <cell r="A3830" t="str">
            <v>FB260004214</v>
          </cell>
          <cell r="D3830" t="str">
            <v>VSS</v>
          </cell>
        </row>
        <row r="3831">
          <cell r="A3831" t="str">
            <v>FB260004215</v>
          </cell>
          <cell r="D3831" t="str">
            <v>VSS</v>
          </cell>
        </row>
        <row r="3832">
          <cell r="A3832" t="str">
            <v>FB260004216</v>
          </cell>
          <cell r="D3832" t="str">
            <v>VSS</v>
          </cell>
        </row>
        <row r="3833">
          <cell r="A3833" t="str">
            <v>FB260004217</v>
          </cell>
          <cell r="D3833" t="str">
            <v>VSS</v>
          </cell>
        </row>
        <row r="3834">
          <cell r="A3834" t="str">
            <v>FB260004218</v>
          </cell>
          <cell r="D3834" t="str">
            <v>VSS</v>
          </cell>
        </row>
        <row r="3835">
          <cell r="A3835" t="str">
            <v>FB260004219</v>
          </cell>
          <cell r="D3835" t="str">
            <v>VSS</v>
          </cell>
        </row>
        <row r="3836">
          <cell r="A3836" t="str">
            <v>FB260004220</v>
          </cell>
          <cell r="D3836" t="str">
            <v>VSS</v>
          </cell>
        </row>
        <row r="3837">
          <cell r="A3837" t="str">
            <v>FB260004221</v>
          </cell>
          <cell r="D3837" t="str">
            <v>VSS</v>
          </cell>
        </row>
        <row r="3838">
          <cell r="A3838" t="str">
            <v>FB260004222</v>
          </cell>
          <cell r="D3838" t="str">
            <v>VSS</v>
          </cell>
        </row>
        <row r="3839">
          <cell r="A3839" t="str">
            <v>FB260004223</v>
          </cell>
          <cell r="D3839" t="str">
            <v>VSS</v>
          </cell>
        </row>
        <row r="3840">
          <cell r="A3840" t="str">
            <v>FB260004224</v>
          </cell>
          <cell r="D3840" t="str">
            <v>VSS</v>
          </cell>
        </row>
        <row r="3841">
          <cell r="A3841" t="str">
            <v>FB260004225</v>
          </cell>
          <cell r="D3841" t="str">
            <v>SPEE</v>
          </cell>
        </row>
        <row r="3842">
          <cell r="A3842" t="str">
            <v>FB260004227</v>
          </cell>
          <cell r="D3842" t="str">
            <v>NIK</v>
          </cell>
        </row>
        <row r="3843">
          <cell r="A3843" t="str">
            <v>FB260004228</v>
          </cell>
          <cell r="D3843" t="str">
            <v>NIK</v>
          </cell>
        </row>
        <row r="3844">
          <cell r="A3844" t="str">
            <v>FB260004229</v>
          </cell>
          <cell r="D3844" t="str">
            <v>NIK</v>
          </cell>
        </row>
        <row r="3845">
          <cell r="A3845" t="str">
            <v>FB260004231</v>
          </cell>
          <cell r="D3845" t="str">
            <v>WACE</v>
          </cell>
        </row>
        <row r="3846">
          <cell r="A3846" t="str">
            <v>FB260004232</v>
          </cell>
          <cell r="D3846" t="str">
            <v>PINK</v>
          </cell>
        </row>
        <row r="3847">
          <cell r="A3847" t="str">
            <v>FB260004233</v>
          </cell>
          <cell r="D3847" t="str">
            <v>NIK</v>
          </cell>
        </row>
        <row r="3848">
          <cell r="A3848" t="str">
            <v>FB260004234</v>
          </cell>
          <cell r="D3848" t="str">
            <v>VSS</v>
          </cell>
        </row>
        <row r="3849">
          <cell r="A3849" t="str">
            <v>FB260004235</v>
          </cell>
          <cell r="D3849" t="str">
            <v>PINK</v>
          </cell>
        </row>
        <row r="3850">
          <cell r="A3850" t="str">
            <v>FB260004236</v>
          </cell>
          <cell r="D3850" t="str">
            <v>VSS</v>
          </cell>
        </row>
        <row r="3851">
          <cell r="A3851" t="str">
            <v>FB260004237</v>
          </cell>
          <cell r="D3851" t="str">
            <v>PINK</v>
          </cell>
        </row>
        <row r="3852">
          <cell r="A3852" t="str">
            <v>FB260004238</v>
          </cell>
          <cell r="D3852" t="str">
            <v>PINK</v>
          </cell>
        </row>
        <row r="3853">
          <cell r="A3853" t="str">
            <v>FB260004239</v>
          </cell>
          <cell r="D3853" t="str">
            <v>PINK</v>
          </cell>
        </row>
        <row r="3854">
          <cell r="A3854" t="str">
            <v>FB260004241</v>
          </cell>
          <cell r="D3854" t="str">
            <v>NIK</v>
          </cell>
        </row>
        <row r="3855">
          <cell r="A3855" t="str">
            <v>FB260004244</v>
          </cell>
          <cell r="D3855" t="str">
            <v>LBI</v>
          </cell>
        </row>
        <row r="3856">
          <cell r="A3856" t="str">
            <v>FB260004245</v>
          </cell>
          <cell r="D3856" t="str">
            <v>PINK</v>
          </cell>
        </row>
        <row r="3857">
          <cell r="A3857" t="str">
            <v>FB260004246</v>
          </cell>
          <cell r="D3857" t="str">
            <v>PINK</v>
          </cell>
        </row>
        <row r="3858">
          <cell r="A3858" t="str">
            <v>FB260004247</v>
          </cell>
          <cell r="D3858" t="str">
            <v>PINK</v>
          </cell>
        </row>
        <row r="3859">
          <cell r="A3859" t="str">
            <v>FB260004248</v>
          </cell>
          <cell r="D3859" t="str">
            <v>PINK</v>
          </cell>
        </row>
        <row r="3860">
          <cell r="A3860" t="str">
            <v>FB260004249</v>
          </cell>
          <cell r="D3860" t="str">
            <v>M&amp;S</v>
          </cell>
        </row>
        <row r="3861">
          <cell r="A3861" t="str">
            <v>FB260004250</v>
          </cell>
          <cell r="D3861" t="str">
            <v>AMA</v>
          </cell>
        </row>
        <row r="3862">
          <cell r="A3862" t="str">
            <v>FB260004251</v>
          </cell>
          <cell r="D3862" t="str">
            <v>GAP</v>
          </cell>
        </row>
        <row r="3863">
          <cell r="A3863" t="str">
            <v>FB260004252</v>
          </cell>
          <cell r="D3863" t="str">
            <v>PINK</v>
          </cell>
        </row>
        <row r="3864">
          <cell r="A3864" t="str">
            <v>FB260004253</v>
          </cell>
          <cell r="D3864" t="str">
            <v>PINK</v>
          </cell>
        </row>
        <row r="3865">
          <cell r="A3865" t="str">
            <v>FB260004254</v>
          </cell>
          <cell r="D3865" t="str">
            <v>VSS</v>
          </cell>
        </row>
        <row r="3866">
          <cell r="A3866" t="str">
            <v>FB260004255</v>
          </cell>
          <cell r="D3866" t="str">
            <v>PINK</v>
          </cell>
        </row>
        <row r="3867">
          <cell r="A3867" t="str">
            <v>FB260004258</v>
          </cell>
          <cell r="D3867" t="str">
            <v>VSS</v>
          </cell>
        </row>
        <row r="3868">
          <cell r="A3868" t="str">
            <v>FB260004263</v>
          </cell>
          <cell r="D3868" t="str">
            <v>WACE</v>
          </cell>
        </row>
        <row r="3869">
          <cell r="A3869" t="str">
            <v>FB260004265</v>
          </cell>
          <cell r="D3869" t="str">
            <v>NIK</v>
          </cell>
        </row>
        <row r="3870">
          <cell r="A3870" t="str">
            <v>FB260004266</v>
          </cell>
          <cell r="D3870" t="str">
            <v>ASIC</v>
          </cell>
        </row>
        <row r="3871">
          <cell r="A3871" t="str">
            <v>FB260004267</v>
          </cell>
          <cell r="D3871" t="str">
            <v>WACE</v>
          </cell>
        </row>
        <row r="3872">
          <cell r="A3872" t="str">
            <v>FB260004269</v>
          </cell>
          <cell r="D3872" t="str">
            <v>NIK</v>
          </cell>
        </row>
        <row r="3873">
          <cell r="A3873" t="str">
            <v>FB260004270</v>
          </cell>
          <cell r="D3873" t="str">
            <v>CK</v>
          </cell>
        </row>
        <row r="3874">
          <cell r="A3874" t="str">
            <v>FB260004271</v>
          </cell>
          <cell r="D3874" t="str">
            <v>WACE</v>
          </cell>
        </row>
        <row r="3875">
          <cell r="A3875" t="str">
            <v>FB260004272</v>
          </cell>
          <cell r="D3875" t="str">
            <v>NIK</v>
          </cell>
        </row>
        <row r="3876">
          <cell r="A3876" t="str">
            <v>FB260004273</v>
          </cell>
          <cell r="D3876" t="str">
            <v>NIK</v>
          </cell>
        </row>
        <row r="3877">
          <cell r="A3877" t="str">
            <v>FB260004274</v>
          </cell>
          <cell r="D3877" t="str">
            <v>NIK</v>
          </cell>
        </row>
        <row r="3878">
          <cell r="A3878" t="str">
            <v>FB260004275</v>
          </cell>
          <cell r="D3878" t="str">
            <v>NIK</v>
          </cell>
        </row>
        <row r="3879">
          <cell r="A3879" t="str">
            <v>FB260004276</v>
          </cell>
          <cell r="D3879" t="str">
            <v>NIK</v>
          </cell>
        </row>
        <row r="3880">
          <cell r="A3880" t="str">
            <v>FB260004277</v>
          </cell>
          <cell r="D3880" t="str">
            <v>NIK</v>
          </cell>
        </row>
        <row r="3881">
          <cell r="A3881" t="str">
            <v>FB260004278</v>
          </cell>
          <cell r="D3881" t="str">
            <v>NIK</v>
          </cell>
        </row>
        <row r="3882">
          <cell r="A3882" t="str">
            <v>FB260004279</v>
          </cell>
          <cell r="D3882" t="str">
            <v>NIK</v>
          </cell>
        </row>
        <row r="3883">
          <cell r="A3883" t="str">
            <v>FB260004282</v>
          </cell>
          <cell r="D3883" t="str">
            <v>SPEE</v>
          </cell>
        </row>
        <row r="3884">
          <cell r="A3884" t="str">
            <v>FB260004284</v>
          </cell>
          <cell r="D3884" t="str">
            <v>THX</v>
          </cell>
        </row>
        <row r="3885">
          <cell r="A3885" t="str">
            <v>FB260004285</v>
          </cell>
          <cell r="D3885" t="str">
            <v>LBI</v>
          </cell>
        </row>
        <row r="3886">
          <cell r="A3886" t="str">
            <v>FB260004287</v>
          </cell>
          <cell r="D3886" t="str">
            <v>LULU</v>
          </cell>
        </row>
        <row r="3887">
          <cell r="A3887" t="str">
            <v>FB260004288</v>
          </cell>
          <cell r="D3887" t="str">
            <v>LULU</v>
          </cell>
        </row>
        <row r="3888">
          <cell r="A3888" t="str">
            <v>FB260004290</v>
          </cell>
          <cell r="D3888" t="str">
            <v>ASIC</v>
          </cell>
        </row>
        <row r="3889">
          <cell r="A3889" t="str">
            <v>FB260004291</v>
          </cell>
          <cell r="D3889" t="str">
            <v>CK</v>
          </cell>
        </row>
        <row r="3890">
          <cell r="A3890" t="str">
            <v>FB260004292</v>
          </cell>
          <cell r="D3890" t="str">
            <v>CK</v>
          </cell>
        </row>
        <row r="3891">
          <cell r="A3891" t="str">
            <v>FB260004293</v>
          </cell>
          <cell r="D3891" t="str">
            <v>CK</v>
          </cell>
        </row>
        <row r="3892">
          <cell r="A3892" t="str">
            <v>FB260004294</v>
          </cell>
          <cell r="D3892" t="str">
            <v>VSS</v>
          </cell>
        </row>
        <row r="3893">
          <cell r="A3893" t="str">
            <v>FB260004295</v>
          </cell>
          <cell r="D3893" t="str">
            <v>VSS</v>
          </cell>
        </row>
        <row r="3894">
          <cell r="A3894" t="str">
            <v>FB260004296</v>
          </cell>
          <cell r="D3894" t="str">
            <v>VSS</v>
          </cell>
        </row>
        <row r="3895">
          <cell r="A3895" t="str">
            <v>FB260004298</v>
          </cell>
          <cell r="D3895" t="str">
            <v>PINK</v>
          </cell>
        </row>
        <row r="3896">
          <cell r="A3896" t="str">
            <v>FB260004299</v>
          </cell>
          <cell r="D3896" t="str">
            <v>VSS</v>
          </cell>
        </row>
        <row r="3897">
          <cell r="A3897" t="str">
            <v>FB260004300</v>
          </cell>
          <cell r="D3897" t="str">
            <v>PINK</v>
          </cell>
        </row>
        <row r="3898">
          <cell r="A3898" t="str">
            <v>FB260004301</v>
          </cell>
          <cell r="D3898" t="str">
            <v>PINK</v>
          </cell>
        </row>
        <row r="3899">
          <cell r="A3899" t="str">
            <v>FB260004302</v>
          </cell>
          <cell r="D3899" t="str">
            <v>PINK</v>
          </cell>
        </row>
        <row r="3900">
          <cell r="A3900" t="str">
            <v>FB260004304</v>
          </cell>
          <cell r="D3900" t="str">
            <v>PINK</v>
          </cell>
        </row>
        <row r="3901">
          <cell r="A3901" t="str">
            <v>FB260004306</v>
          </cell>
          <cell r="D3901" t="str">
            <v>PINK</v>
          </cell>
        </row>
        <row r="3902">
          <cell r="A3902" t="str">
            <v>FB260004308</v>
          </cell>
          <cell r="D3902" t="str">
            <v>PINK</v>
          </cell>
        </row>
        <row r="3903">
          <cell r="A3903" t="str">
            <v>FB260004311</v>
          </cell>
          <cell r="D3903" t="str">
            <v>PINK</v>
          </cell>
        </row>
        <row r="3904">
          <cell r="A3904" t="str">
            <v>FB260004312</v>
          </cell>
          <cell r="D3904" t="str">
            <v>ESS2</v>
          </cell>
        </row>
        <row r="3905">
          <cell r="A3905" t="str">
            <v>FB260004313</v>
          </cell>
          <cell r="D3905" t="str">
            <v>GAP</v>
          </cell>
        </row>
        <row r="3906">
          <cell r="A3906" t="str">
            <v>FB260004314</v>
          </cell>
          <cell r="D3906" t="str">
            <v>WACE</v>
          </cell>
        </row>
        <row r="3907">
          <cell r="A3907" t="str">
            <v>FB260004316</v>
          </cell>
          <cell r="D3907" t="str">
            <v>WACE</v>
          </cell>
        </row>
        <row r="3908">
          <cell r="A3908" t="str">
            <v>FB260004319</v>
          </cell>
          <cell r="D3908" t="str">
            <v>CK</v>
          </cell>
        </row>
        <row r="3909">
          <cell r="A3909" t="str">
            <v>FB260004320</v>
          </cell>
          <cell r="D3909" t="str">
            <v>CK</v>
          </cell>
        </row>
        <row r="3910">
          <cell r="A3910" t="str">
            <v>FB260004321</v>
          </cell>
          <cell r="D3910" t="str">
            <v>CK</v>
          </cell>
        </row>
        <row r="3911">
          <cell r="A3911" t="str">
            <v>FB260004322</v>
          </cell>
          <cell r="D3911" t="str">
            <v>CK</v>
          </cell>
        </row>
        <row r="3912">
          <cell r="A3912" t="str">
            <v>FB260004323</v>
          </cell>
          <cell r="D3912" t="str">
            <v>ESS2</v>
          </cell>
        </row>
        <row r="3913">
          <cell r="A3913" t="str">
            <v>FB260004324</v>
          </cell>
          <cell r="D3913" t="str">
            <v>NIK</v>
          </cell>
        </row>
        <row r="3914">
          <cell r="A3914" t="str">
            <v>FB260004325</v>
          </cell>
          <cell r="D3914" t="str">
            <v>NIK</v>
          </cell>
        </row>
        <row r="3915">
          <cell r="A3915" t="str">
            <v>FB260004326</v>
          </cell>
          <cell r="D3915" t="str">
            <v>NIK</v>
          </cell>
        </row>
        <row r="3916">
          <cell r="A3916" t="str">
            <v>FB260004327</v>
          </cell>
          <cell r="D3916" t="str">
            <v>NIK</v>
          </cell>
        </row>
        <row r="3917">
          <cell r="A3917" t="str">
            <v>FB260004328</v>
          </cell>
          <cell r="D3917" t="str">
            <v>NIK</v>
          </cell>
        </row>
        <row r="3918">
          <cell r="A3918" t="str">
            <v>FB260004329</v>
          </cell>
          <cell r="D3918" t="str">
            <v>NIK</v>
          </cell>
        </row>
        <row r="3919">
          <cell r="A3919" t="str">
            <v>FB260004331</v>
          </cell>
          <cell r="D3919" t="str">
            <v>NIK</v>
          </cell>
        </row>
        <row r="3920">
          <cell r="A3920" t="str">
            <v>FB260004332</v>
          </cell>
          <cell r="D3920" t="str">
            <v>VSS</v>
          </cell>
        </row>
        <row r="3921">
          <cell r="A3921" t="str">
            <v>FB260004333</v>
          </cell>
          <cell r="D3921" t="str">
            <v>LULU</v>
          </cell>
        </row>
        <row r="3922">
          <cell r="A3922" t="str">
            <v>FB260004334</v>
          </cell>
          <cell r="D3922" t="str">
            <v>CK</v>
          </cell>
        </row>
        <row r="3923">
          <cell r="A3923" t="str">
            <v>FB260004335</v>
          </cell>
          <cell r="D3923" t="str">
            <v>TJEL</v>
          </cell>
        </row>
        <row r="3924">
          <cell r="A3924" t="str">
            <v>FB260004336</v>
          </cell>
          <cell r="D3924" t="str">
            <v>VSS</v>
          </cell>
        </row>
        <row r="3925">
          <cell r="A3925" t="str">
            <v>FB260004338</v>
          </cell>
          <cell r="D3925" t="str">
            <v>VSS</v>
          </cell>
        </row>
        <row r="3926">
          <cell r="A3926" t="str">
            <v>FB260004352</v>
          </cell>
          <cell r="D3926" t="str">
            <v>LULU</v>
          </cell>
        </row>
        <row r="3927">
          <cell r="A3927" t="str">
            <v>FB260004354</v>
          </cell>
          <cell r="D3927" t="str">
            <v>M&amp;S</v>
          </cell>
        </row>
        <row r="3928">
          <cell r="A3928" t="str">
            <v>FB260004356</v>
          </cell>
          <cell r="D3928" t="str">
            <v>NIK</v>
          </cell>
        </row>
        <row r="3929">
          <cell r="A3929" t="str">
            <v>FB260004360</v>
          </cell>
          <cell r="D3929" t="str">
            <v>PINK</v>
          </cell>
        </row>
        <row r="3930">
          <cell r="A3930" t="str">
            <v>FB260004361</v>
          </cell>
          <cell r="D3930" t="str">
            <v>PINK</v>
          </cell>
        </row>
        <row r="3931">
          <cell r="A3931" t="str">
            <v>FB260004362</v>
          </cell>
          <cell r="D3931" t="str">
            <v>PINK</v>
          </cell>
        </row>
        <row r="3932">
          <cell r="A3932" t="str">
            <v>FB260004363</v>
          </cell>
          <cell r="D3932" t="str">
            <v>GAP</v>
          </cell>
        </row>
        <row r="3933">
          <cell r="A3933" t="str">
            <v>FB260004364</v>
          </cell>
          <cell r="D3933" t="str">
            <v>GAP</v>
          </cell>
        </row>
        <row r="3934">
          <cell r="A3934" t="str">
            <v>FB260004365</v>
          </cell>
          <cell r="D3934" t="str">
            <v>GAP</v>
          </cell>
        </row>
        <row r="3935">
          <cell r="A3935" t="str">
            <v>FB260004366</v>
          </cell>
          <cell r="D3935" t="str">
            <v>ESS2</v>
          </cell>
        </row>
        <row r="3936">
          <cell r="A3936" t="str">
            <v>FB260004367</v>
          </cell>
          <cell r="D3936" t="str">
            <v>GAP</v>
          </cell>
        </row>
        <row r="3937">
          <cell r="A3937" t="str">
            <v>FB260004368</v>
          </cell>
          <cell r="D3937" t="str">
            <v>GAP</v>
          </cell>
        </row>
        <row r="3938">
          <cell r="A3938" t="str">
            <v>FB260004369</v>
          </cell>
          <cell r="D3938" t="str">
            <v>VSS</v>
          </cell>
        </row>
        <row r="3939">
          <cell r="A3939" t="str">
            <v>FB260004370</v>
          </cell>
          <cell r="D3939" t="str">
            <v>VSS</v>
          </cell>
        </row>
        <row r="3940">
          <cell r="A3940" t="str">
            <v>FB260004371</v>
          </cell>
          <cell r="D3940" t="str">
            <v>VSS</v>
          </cell>
        </row>
        <row r="3941">
          <cell r="A3941" t="str">
            <v>FB260004372</v>
          </cell>
          <cell r="D3941" t="str">
            <v>M&amp;S</v>
          </cell>
        </row>
        <row r="3942">
          <cell r="A3942" t="str">
            <v>FB260004373</v>
          </cell>
          <cell r="D3942" t="str">
            <v>VSS</v>
          </cell>
        </row>
        <row r="3943">
          <cell r="A3943" t="str">
            <v>FB260004374</v>
          </cell>
          <cell r="D3943" t="str">
            <v>M&amp;S</v>
          </cell>
        </row>
        <row r="3944">
          <cell r="A3944" t="str">
            <v>FB260004376</v>
          </cell>
          <cell r="D3944" t="str">
            <v>VSS</v>
          </cell>
        </row>
        <row r="3945">
          <cell r="A3945" t="str">
            <v>FB260004377</v>
          </cell>
          <cell r="D3945" t="str">
            <v>VSS</v>
          </cell>
        </row>
        <row r="3946">
          <cell r="A3946" t="str">
            <v>FB260004378</v>
          </cell>
          <cell r="D3946" t="str">
            <v>M&amp;S</v>
          </cell>
        </row>
        <row r="3947">
          <cell r="A3947" t="str">
            <v>FB260004379</v>
          </cell>
          <cell r="D3947" t="str">
            <v>VSS</v>
          </cell>
        </row>
        <row r="3948">
          <cell r="A3948" t="str">
            <v>FB260004380</v>
          </cell>
          <cell r="D3948" t="str">
            <v>M&amp;S</v>
          </cell>
        </row>
        <row r="3949">
          <cell r="A3949" t="str">
            <v>FB260004381</v>
          </cell>
          <cell r="D3949" t="str">
            <v>M&amp;S</v>
          </cell>
        </row>
        <row r="3950">
          <cell r="A3950" t="str">
            <v>FB260004384</v>
          </cell>
          <cell r="D3950" t="str">
            <v>WACE</v>
          </cell>
        </row>
        <row r="3951">
          <cell r="A3951" t="str">
            <v>FB260004385</v>
          </cell>
          <cell r="D3951" t="str">
            <v>WACE</v>
          </cell>
        </row>
        <row r="3952">
          <cell r="A3952" t="str">
            <v>FB260004387</v>
          </cell>
          <cell r="D3952" t="str">
            <v>HAR</v>
          </cell>
        </row>
        <row r="3953">
          <cell r="A3953" t="str">
            <v>FB260004388</v>
          </cell>
          <cell r="D3953" t="str">
            <v>HAR</v>
          </cell>
        </row>
        <row r="3954">
          <cell r="A3954" t="str">
            <v>FB260004392</v>
          </cell>
          <cell r="D3954" t="str">
            <v>VSS</v>
          </cell>
        </row>
        <row r="3955">
          <cell r="A3955" t="str">
            <v>FB260004393</v>
          </cell>
          <cell r="D3955" t="str">
            <v>VSS</v>
          </cell>
        </row>
        <row r="3956">
          <cell r="A3956" t="str">
            <v>FB260004395</v>
          </cell>
          <cell r="D3956" t="str">
            <v>INT1</v>
          </cell>
        </row>
        <row r="3957">
          <cell r="A3957" t="str">
            <v>FB260004396</v>
          </cell>
          <cell r="D3957" t="str">
            <v>INT1</v>
          </cell>
        </row>
        <row r="3958">
          <cell r="A3958" t="str">
            <v>FB260004397</v>
          </cell>
          <cell r="D3958" t="str">
            <v>LBI</v>
          </cell>
        </row>
        <row r="3959">
          <cell r="A3959" t="str">
            <v>FB260004398</v>
          </cell>
          <cell r="D3959" t="str">
            <v>LBI</v>
          </cell>
        </row>
        <row r="3960">
          <cell r="A3960" t="str">
            <v>FB260004400</v>
          </cell>
          <cell r="D3960" t="str">
            <v>LULU</v>
          </cell>
        </row>
        <row r="3961">
          <cell r="A3961" t="str">
            <v>FB260004401</v>
          </cell>
          <cell r="D3961" t="str">
            <v>LULU</v>
          </cell>
        </row>
        <row r="3962">
          <cell r="A3962" t="str">
            <v>FB260004402</v>
          </cell>
          <cell r="D3962" t="str">
            <v>PINK</v>
          </cell>
        </row>
        <row r="3963">
          <cell r="A3963" t="str">
            <v>FB260004403</v>
          </cell>
          <cell r="D3963" t="str">
            <v>M&amp;S</v>
          </cell>
        </row>
        <row r="3964">
          <cell r="A3964" t="str">
            <v>FB260004404</v>
          </cell>
          <cell r="D3964" t="str">
            <v>PINK</v>
          </cell>
        </row>
        <row r="3965">
          <cell r="A3965" t="str">
            <v>FB260004405</v>
          </cell>
          <cell r="D3965" t="str">
            <v>PINK</v>
          </cell>
        </row>
        <row r="3966">
          <cell r="A3966" t="str">
            <v>FB260004407</v>
          </cell>
          <cell r="D3966" t="str">
            <v>PINK</v>
          </cell>
        </row>
        <row r="3967">
          <cell r="A3967" t="str">
            <v>FB260004409</v>
          </cell>
          <cell r="D3967" t="str">
            <v>LULU</v>
          </cell>
        </row>
        <row r="3968">
          <cell r="A3968" t="str">
            <v>FB260004410</v>
          </cell>
          <cell r="D3968" t="str">
            <v>CK</v>
          </cell>
        </row>
        <row r="3969">
          <cell r="A3969" t="str">
            <v>FB260004411</v>
          </cell>
          <cell r="D3969" t="str">
            <v>NIK</v>
          </cell>
        </row>
        <row r="3970">
          <cell r="A3970" t="str">
            <v>FB260004412</v>
          </cell>
          <cell r="D3970" t="str">
            <v>NIK</v>
          </cell>
        </row>
        <row r="3971">
          <cell r="A3971" t="str">
            <v>FB260004413</v>
          </cell>
          <cell r="D3971" t="str">
            <v>VSS</v>
          </cell>
        </row>
        <row r="3972">
          <cell r="A3972" t="str">
            <v>FB260004414</v>
          </cell>
          <cell r="D3972" t="str">
            <v>GAP</v>
          </cell>
        </row>
        <row r="3973">
          <cell r="A3973" t="str">
            <v>FB260004415</v>
          </cell>
          <cell r="D3973" t="str">
            <v>PINK</v>
          </cell>
        </row>
        <row r="3974">
          <cell r="A3974" t="str">
            <v>FB260004416</v>
          </cell>
          <cell r="D3974" t="str">
            <v>PINK</v>
          </cell>
        </row>
        <row r="3975">
          <cell r="A3975" t="str">
            <v>FB260004417</v>
          </cell>
          <cell r="D3975" t="str">
            <v>VSS</v>
          </cell>
        </row>
        <row r="3976">
          <cell r="A3976" t="str">
            <v>FB260004418</v>
          </cell>
          <cell r="D3976" t="str">
            <v>VSS</v>
          </cell>
        </row>
        <row r="3977">
          <cell r="A3977" t="str">
            <v>FB260004419</v>
          </cell>
          <cell r="D3977" t="str">
            <v>NIK</v>
          </cell>
        </row>
        <row r="3978">
          <cell r="A3978" t="str">
            <v>FB260004422</v>
          </cell>
          <cell r="D3978" t="str">
            <v>NIK</v>
          </cell>
        </row>
        <row r="3979">
          <cell r="A3979" t="str">
            <v>FB260004423</v>
          </cell>
          <cell r="D3979" t="str">
            <v>INT1</v>
          </cell>
        </row>
        <row r="3980">
          <cell r="A3980" t="str">
            <v>FB260004424</v>
          </cell>
          <cell r="D3980" t="str">
            <v>SW</v>
          </cell>
        </row>
        <row r="3981">
          <cell r="A3981" t="str">
            <v>FB260004425</v>
          </cell>
          <cell r="D3981" t="str">
            <v>SW</v>
          </cell>
        </row>
        <row r="3982">
          <cell r="A3982" t="str">
            <v>FB260004426</v>
          </cell>
          <cell r="D3982" t="str">
            <v>INT1</v>
          </cell>
        </row>
        <row r="3983">
          <cell r="A3983" t="str">
            <v>FB260004427</v>
          </cell>
          <cell r="D3983" t="str">
            <v>INT1</v>
          </cell>
        </row>
        <row r="3984">
          <cell r="A3984" t="str">
            <v>FB260004428</v>
          </cell>
          <cell r="D3984" t="str">
            <v>INT1</v>
          </cell>
        </row>
        <row r="3985">
          <cell r="A3985" t="str">
            <v>FB260004429</v>
          </cell>
          <cell r="D3985" t="str">
            <v>INT1</v>
          </cell>
        </row>
        <row r="3986">
          <cell r="A3986" t="str">
            <v>FB260004430</v>
          </cell>
          <cell r="D3986" t="str">
            <v>INT1</v>
          </cell>
        </row>
        <row r="3987">
          <cell r="A3987" t="str">
            <v>FB260004431</v>
          </cell>
          <cell r="D3987" t="str">
            <v>INT1</v>
          </cell>
        </row>
        <row r="3988">
          <cell r="A3988" t="str">
            <v>FB260004432</v>
          </cell>
          <cell r="D3988" t="str">
            <v>INT1</v>
          </cell>
        </row>
        <row r="3989">
          <cell r="A3989" t="str">
            <v>FB260004434</v>
          </cell>
          <cell r="D3989" t="str">
            <v>INT1</v>
          </cell>
        </row>
        <row r="3990">
          <cell r="A3990" t="str">
            <v>FB260004435</v>
          </cell>
          <cell r="D3990" t="str">
            <v>INT1</v>
          </cell>
        </row>
        <row r="3991">
          <cell r="A3991" t="str">
            <v>FB260004436</v>
          </cell>
          <cell r="D3991" t="str">
            <v>INT1</v>
          </cell>
        </row>
        <row r="3992">
          <cell r="A3992" t="str">
            <v>FB260004437</v>
          </cell>
          <cell r="D3992" t="str">
            <v>INT1</v>
          </cell>
        </row>
        <row r="3993">
          <cell r="A3993" t="str">
            <v>FB260004438</v>
          </cell>
          <cell r="D3993" t="str">
            <v>INT1</v>
          </cell>
        </row>
        <row r="3994">
          <cell r="A3994" t="str">
            <v>FB260004439</v>
          </cell>
          <cell r="D3994" t="str">
            <v>INT1</v>
          </cell>
        </row>
        <row r="3995">
          <cell r="A3995" t="str">
            <v>FB260004440</v>
          </cell>
          <cell r="D3995" t="str">
            <v>INT1</v>
          </cell>
        </row>
        <row r="3996">
          <cell r="A3996" t="str">
            <v>FB260004441</v>
          </cell>
          <cell r="D3996" t="str">
            <v>INT1</v>
          </cell>
        </row>
        <row r="3997">
          <cell r="A3997" t="str">
            <v>FB260004442</v>
          </cell>
          <cell r="D3997" t="str">
            <v>INT1</v>
          </cell>
        </row>
        <row r="3998">
          <cell r="A3998" t="str">
            <v>FB260004443</v>
          </cell>
          <cell r="D3998" t="str">
            <v>INT1</v>
          </cell>
        </row>
        <row r="3999">
          <cell r="A3999" t="str">
            <v>FB260004444</v>
          </cell>
          <cell r="D3999" t="str">
            <v>VSS</v>
          </cell>
        </row>
        <row r="4000">
          <cell r="A4000" t="str">
            <v>FB260004445</v>
          </cell>
          <cell r="D4000" t="str">
            <v>M&amp;S</v>
          </cell>
        </row>
        <row r="4001">
          <cell r="A4001" t="str">
            <v>FB260004446</v>
          </cell>
          <cell r="D4001" t="str">
            <v>M&amp;S</v>
          </cell>
        </row>
        <row r="4002">
          <cell r="A4002" t="str">
            <v>FB260004447</v>
          </cell>
          <cell r="D4002" t="str">
            <v>PINK</v>
          </cell>
        </row>
        <row r="4003">
          <cell r="A4003" t="str">
            <v>FB260004448</v>
          </cell>
          <cell r="D4003" t="str">
            <v>INT1</v>
          </cell>
        </row>
        <row r="4004">
          <cell r="A4004" t="str">
            <v>FB260004455</v>
          </cell>
          <cell r="D4004" t="str">
            <v>NIK</v>
          </cell>
        </row>
        <row r="4005">
          <cell r="A4005" t="str">
            <v>FB260004456</v>
          </cell>
          <cell r="D4005" t="str">
            <v>NIK</v>
          </cell>
        </row>
        <row r="4006">
          <cell r="A4006" t="str">
            <v>FB260004458</v>
          </cell>
          <cell r="D4006" t="str">
            <v>PINK</v>
          </cell>
        </row>
        <row r="4007">
          <cell r="A4007" t="str">
            <v>FB260004460</v>
          </cell>
          <cell r="D4007" t="str">
            <v>VSS</v>
          </cell>
        </row>
        <row r="4008">
          <cell r="A4008" t="str">
            <v>FB260004461</v>
          </cell>
          <cell r="D4008" t="str">
            <v>VSS</v>
          </cell>
        </row>
        <row r="4009">
          <cell r="A4009" t="str">
            <v>FB260004462</v>
          </cell>
          <cell r="D4009" t="str">
            <v>VSS</v>
          </cell>
        </row>
        <row r="4010">
          <cell r="A4010" t="str">
            <v>FB260004463</v>
          </cell>
          <cell r="D4010" t="str">
            <v>VSS</v>
          </cell>
        </row>
        <row r="4011">
          <cell r="A4011" t="str">
            <v>FB260004469</v>
          </cell>
          <cell r="D4011" t="str">
            <v>INT1</v>
          </cell>
        </row>
        <row r="4012">
          <cell r="A4012" t="str">
            <v>FB260004470</v>
          </cell>
          <cell r="D4012" t="str">
            <v>INT1</v>
          </cell>
        </row>
        <row r="4013">
          <cell r="A4013" t="str">
            <v>FB260004472</v>
          </cell>
          <cell r="D4013" t="str">
            <v>VSS</v>
          </cell>
        </row>
        <row r="4014">
          <cell r="A4014" t="str">
            <v>FB260004473</v>
          </cell>
          <cell r="D4014" t="str">
            <v>VSS</v>
          </cell>
        </row>
        <row r="4015">
          <cell r="A4015" t="str">
            <v>FB260004474</v>
          </cell>
          <cell r="D4015" t="str">
            <v>VSS</v>
          </cell>
        </row>
        <row r="4016">
          <cell r="A4016" t="str">
            <v>FB260004475</v>
          </cell>
          <cell r="D4016" t="str">
            <v>PINK</v>
          </cell>
        </row>
        <row r="4017">
          <cell r="A4017" t="str">
            <v>FB260004476</v>
          </cell>
          <cell r="D4017" t="str">
            <v>PINK</v>
          </cell>
        </row>
        <row r="4018">
          <cell r="A4018" t="str">
            <v>FB260004477</v>
          </cell>
          <cell r="D4018" t="str">
            <v>VSS</v>
          </cell>
        </row>
        <row r="4019">
          <cell r="A4019" t="str">
            <v>FB260004479</v>
          </cell>
          <cell r="D4019" t="str">
            <v>VSS</v>
          </cell>
        </row>
        <row r="4020">
          <cell r="A4020" t="str">
            <v>FB260004480</v>
          </cell>
          <cell r="D4020" t="str">
            <v>PINK</v>
          </cell>
        </row>
        <row r="4021">
          <cell r="A4021" t="str">
            <v>FB260004481</v>
          </cell>
          <cell r="D4021" t="str">
            <v>VSS</v>
          </cell>
        </row>
        <row r="4022">
          <cell r="A4022" t="str">
            <v>FB260004482</v>
          </cell>
          <cell r="D4022" t="str">
            <v>PINK</v>
          </cell>
        </row>
        <row r="4023">
          <cell r="A4023" t="str">
            <v>FB260004483</v>
          </cell>
          <cell r="D4023" t="str">
            <v>NEWB</v>
          </cell>
        </row>
        <row r="4024">
          <cell r="A4024" t="str">
            <v>FB260004485</v>
          </cell>
          <cell r="D4024" t="str">
            <v>VSS</v>
          </cell>
        </row>
        <row r="4025">
          <cell r="A4025" t="str">
            <v>FB260004486</v>
          </cell>
          <cell r="D4025" t="str">
            <v>VSS</v>
          </cell>
        </row>
        <row r="4026">
          <cell r="A4026" t="str">
            <v>FB260004487</v>
          </cell>
          <cell r="D4026" t="str">
            <v>VSS</v>
          </cell>
        </row>
        <row r="4027">
          <cell r="A4027" t="str">
            <v>FB260004488</v>
          </cell>
          <cell r="D4027" t="str">
            <v>VSS</v>
          </cell>
        </row>
        <row r="4028">
          <cell r="A4028" t="str">
            <v>FB260004489</v>
          </cell>
          <cell r="D4028" t="str">
            <v>VSS</v>
          </cell>
        </row>
        <row r="4029">
          <cell r="A4029" t="str">
            <v>FB260004490</v>
          </cell>
          <cell r="D4029" t="str">
            <v>VSS</v>
          </cell>
        </row>
        <row r="4030">
          <cell r="A4030" t="str">
            <v>FB260004491</v>
          </cell>
          <cell r="D4030" t="str">
            <v>VSS</v>
          </cell>
        </row>
        <row r="4031">
          <cell r="A4031" t="str">
            <v>FB260004492</v>
          </cell>
          <cell r="D4031" t="str">
            <v>VSS</v>
          </cell>
        </row>
        <row r="4032">
          <cell r="A4032" t="str">
            <v>FB260004493</v>
          </cell>
          <cell r="D4032" t="str">
            <v>VSS</v>
          </cell>
        </row>
        <row r="4033">
          <cell r="A4033" t="str">
            <v>FB260004494</v>
          </cell>
          <cell r="D4033" t="str">
            <v>VSS</v>
          </cell>
        </row>
        <row r="4034">
          <cell r="A4034" t="str">
            <v>FB260004495</v>
          </cell>
          <cell r="D4034" t="str">
            <v>VSS</v>
          </cell>
        </row>
        <row r="4035">
          <cell r="A4035" t="str">
            <v>FB260004496</v>
          </cell>
          <cell r="D4035" t="str">
            <v>PINK</v>
          </cell>
        </row>
        <row r="4036">
          <cell r="A4036" t="str">
            <v>FB260004497</v>
          </cell>
          <cell r="D4036" t="str">
            <v>VSS</v>
          </cell>
        </row>
        <row r="4037">
          <cell r="A4037" t="str">
            <v>FB260004498</v>
          </cell>
          <cell r="D4037" t="str">
            <v>VSS</v>
          </cell>
        </row>
        <row r="4038">
          <cell r="A4038" t="str">
            <v>FB260004499</v>
          </cell>
          <cell r="D4038" t="str">
            <v>VSS</v>
          </cell>
        </row>
        <row r="4039">
          <cell r="A4039" t="str">
            <v>FB260004500</v>
          </cell>
          <cell r="D4039" t="str">
            <v>PINK</v>
          </cell>
        </row>
        <row r="4040">
          <cell r="A4040" t="str">
            <v>FB260004501</v>
          </cell>
          <cell r="D4040" t="str">
            <v>PINK</v>
          </cell>
        </row>
        <row r="4041">
          <cell r="A4041" t="str">
            <v>FB260004502</v>
          </cell>
          <cell r="D4041" t="str">
            <v>VSS</v>
          </cell>
        </row>
        <row r="4042">
          <cell r="A4042" t="str">
            <v>FB260004503</v>
          </cell>
          <cell r="D4042" t="str">
            <v>INT1</v>
          </cell>
        </row>
        <row r="4043">
          <cell r="A4043" t="str">
            <v>FB260004505</v>
          </cell>
          <cell r="D4043" t="str">
            <v>INT1</v>
          </cell>
        </row>
        <row r="4044">
          <cell r="A4044" t="str">
            <v>FB260004509</v>
          </cell>
          <cell r="D4044" t="str">
            <v>NIK</v>
          </cell>
        </row>
        <row r="4045">
          <cell r="A4045" t="str">
            <v>FB260004510</v>
          </cell>
          <cell r="D4045" t="str">
            <v>VSS</v>
          </cell>
        </row>
        <row r="4046">
          <cell r="A4046" t="str">
            <v>FB260004511</v>
          </cell>
          <cell r="D4046" t="str">
            <v>NIK</v>
          </cell>
        </row>
        <row r="4047">
          <cell r="A4047" t="str">
            <v>FB260004512</v>
          </cell>
          <cell r="D4047" t="str">
            <v>WACE</v>
          </cell>
        </row>
        <row r="4048">
          <cell r="A4048" t="str">
            <v>FB260004513</v>
          </cell>
          <cell r="D4048" t="str">
            <v>VSS</v>
          </cell>
        </row>
        <row r="4049">
          <cell r="A4049" t="str">
            <v>FB260004514</v>
          </cell>
          <cell r="D4049" t="str">
            <v>VSS</v>
          </cell>
        </row>
        <row r="4050">
          <cell r="A4050" t="str">
            <v>FB260004515</v>
          </cell>
          <cell r="D4050" t="str">
            <v>PINK</v>
          </cell>
        </row>
        <row r="4051">
          <cell r="A4051" t="str">
            <v>FB260004516</v>
          </cell>
          <cell r="D4051" t="str">
            <v>NIK</v>
          </cell>
        </row>
        <row r="4052">
          <cell r="A4052" t="str">
            <v>FB260004517</v>
          </cell>
          <cell r="D4052" t="str">
            <v>VSS</v>
          </cell>
        </row>
        <row r="4053">
          <cell r="A4053" t="str">
            <v>FB260004519</v>
          </cell>
          <cell r="D4053" t="str">
            <v>VSS</v>
          </cell>
        </row>
        <row r="4054">
          <cell r="A4054" t="str">
            <v>FB260004521</v>
          </cell>
          <cell r="D4054" t="str">
            <v>VSS</v>
          </cell>
        </row>
        <row r="4055">
          <cell r="A4055" t="str">
            <v>FB260004522</v>
          </cell>
          <cell r="D4055" t="str">
            <v>VSS</v>
          </cell>
        </row>
        <row r="4056">
          <cell r="A4056" t="str">
            <v>FB260004523</v>
          </cell>
          <cell r="D4056" t="str">
            <v>VSS</v>
          </cell>
        </row>
        <row r="4057">
          <cell r="A4057" t="str">
            <v>FB260004524</v>
          </cell>
          <cell r="D4057" t="str">
            <v>VSS</v>
          </cell>
        </row>
        <row r="4058">
          <cell r="A4058" t="str">
            <v>FB260004525</v>
          </cell>
          <cell r="D4058" t="str">
            <v>VSS</v>
          </cell>
        </row>
        <row r="4059">
          <cell r="A4059" t="str">
            <v>FB260004526</v>
          </cell>
          <cell r="D4059" t="str">
            <v>INT1</v>
          </cell>
        </row>
        <row r="4060">
          <cell r="A4060" t="str">
            <v>FB260004527</v>
          </cell>
          <cell r="D4060" t="str">
            <v>M&amp;S</v>
          </cell>
        </row>
        <row r="4061">
          <cell r="A4061" t="str">
            <v>FB260004529</v>
          </cell>
          <cell r="D4061" t="str">
            <v>LULU</v>
          </cell>
        </row>
        <row r="4062">
          <cell r="A4062" t="str">
            <v>FB260004530</v>
          </cell>
          <cell r="D4062" t="str">
            <v>LULU</v>
          </cell>
        </row>
        <row r="4063">
          <cell r="A4063" t="str">
            <v>FB260004536</v>
          </cell>
          <cell r="D4063" t="str">
            <v>CK</v>
          </cell>
        </row>
        <row r="4064">
          <cell r="A4064" t="str">
            <v>FB260004537</v>
          </cell>
          <cell r="D4064" t="str">
            <v>VSS</v>
          </cell>
        </row>
        <row r="4065">
          <cell r="A4065" t="str">
            <v>FB260004538</v>
          </cell>
          <cell r="D4065" t="str">
            <v>VSS</v>
          </cell>
        </row>
        <row r="4066">
          <cell r="A4066" t="str">
            <v>FB260004539</v>
          </cell>
          <cell r="D4066" t="str">
            <v>VSS</v>
          </cell>
        </row>
        <row r="4067">
          <cell r="A4067" t="str">
            <v>FB260004540</v>
          </cell>
          <cell r="D4067" t="str">
            <v>VSS</v>
          </cell>
        </row>
        <row r="4068">
          <cell r="A4068" t="str">
            <v>FB260004541</v>
          </cell>
          <cell r="D4068" t="str">
            <v>VSS</v>
          </cell>
        </row>
        <row r="4069">
          <cell r="A4069" t="str">
            <v>FB260004542</v>
          </cell>
          <cell r="D4069" t="str">
            <v>VSS</v>
          </cell>
        </row>
        <row r="4070">
          <cell r="A4070" t="str">
            <v>FB260004543</v>
          </cell>
          <cell r="D4070" t="str">
            <v>NIK</v>
          </cell>
        </row>
        <row r="4071">
          <cell r="A4071" t="str">
            <v>FB260004544</v>
          </cell>
          <cell r="D4071" t="str">
            <v>NIK</v>
          </cell>
        </row>
        <row r="4072">
          <cell r="A4072" t="str">
            <v>FB260004545</v>
          </cell>
          <cell r="D4072" t="str">
            <v>NIK</v>
          </cell>
        </row>
        <row r="4073">
          <cell r="A4073" t="str">
            <v>FB260004547</v>
          </cell>
          <cell r="D4073" t="str">
            <v>VSS</v>
          </cell>
        </row>
        <row r="4074">
          <cell r="A4074" t="str">
            <v>FB260004548</v>
          </cell>
          <cell r="D4074" t="str">
            <v>PINK</v>
          </cell>
        </row>
        <row r="4075">
          <cell r="A4075" t="str">
            <v>FB260004550</v>
          </cell>
          <cell r="D4075" t="str">
            <v>WACE</v>
          </cell>
        </row>
        <row r="4076">
          <cell r="A4076" t="str">
            <v>FB260004552</v>
          </cell>
          <cell r="D4076" t="str">
            <v>WACE</v>
          </cell>
        </row>
        <row r="4077">
          <cell r="A4077" t="str">
            <v>FB260004553</v>
          </cell>
          <cell r="D4077" t="str">
            <v>VSS</v>
          </cell>
        </row>
        <row r="4078">
          <cell r="A4078" t="str">
            <v>FB260004554</v>
          </cell>
          <cell r="D4078" t="str">
            <v>VSS</v>
          </cell>
        </row>
        <row r="4079">
          <cell r="A4079" t="str">
            <v>FB260004555</v>
          </cell>
          <cell r="D4079" t="str">
            <v>VSS</v>
          </cell>
        </row>
        <row r="4080">
          <cell r="A4080" t="str">
            <v>FB260004556</v>
          </cell>
          <cell r="D4080" t="str">
            <v>VSS</v>
          </cell>
        </row>
        <row r="4081">
          <cell r="A4081" t="str">
            <v>FB260004557</v>
          </cell>
          <cell r="D4081" t="str">
            <v>WACE</v>
          </cell>
        </row>
        <row r="4082">
          <cell r="A4082" t="str">
            <v>FB260004558</v>
          </cell>
          <cell r="D4082" t="str">
            <v>VSS</v>
          </cell>
        </row>
        <row r="4083">
          <cell r="A4083" t="str">
            <v>FB260004559</v>
          </cell>
          <cell r="D4083" t="str">
            <v>VSS</v>
          </cell>
        </row>
        <row r="4084">
          <cell r="A4084" t="str">
            <v>FB260004560</v>
          </cell>
          <cell r="D4084" t="str">
            <v>PINK</v>
          </cell>
        </row>
        <row r="4085">
          <cell r="A4085" t="str">
            <v>FB260004561</v>
          </cell>
          <cell r="D4085" t="str">
            <v>TORD</v>
          </cell>
        </row>
        <row r="4086">
          <cell r="A4086" t="str">
            <v>FB260004563</v>
          </cell>
          <cell r="D4086" t="str">
            <v>SPEE</v>
          </cell>
        </row>
        <row r="4087">
          <cell r="A4087" t="str">
            <v>FB260004564</v>
          </cell>
          <cell r="D4087" t="str">
            <v>VSS</v>
          </cell>
        </row>
        <row r="4088">
          <cell r="A4088" t="str">
            <v>FB260004567</v>
          </cell>
          <cell r="D4088" t="str">
            <v>NIK</v>
          </cell>
        </row>
        <row r="4089">
          <cell r="A4089" t="str">
            <v>FB260004568</v>
          </cell>
          <cell r="D4089" t="str">
            <v>NIK</v>
          </cell>
        </row>
        <row r="4090">
          <cell r="A4090" t="str">
            <v>FB260004569</v>
          </cell>
          <cell r="D4090" t="str">
            <v>NIK</v>
          </cell>
        </row>
        <row r="4091">
          <cell r="A4091" t="str">
            <v>FB260004570</v>
          </cell>
          <cell r="D4091" t="str">
            <v>NIK</v>
          </cell>
        </row>
        <row r="4092">
          <cell r="A4092" t="str">
            <v>FB260004571</v>
          </cell>
          <cell r="D4092" t="str">
            <v>NIK</v>
          </cell>
        </row>
        <row r="4093">
          <cell r="A4093" t="str">
            <v>FB260004572</v>
          </cell>
          <cell r="D4093" t="str">
            <v>NIK</v>
          </cell>
        </row>
        <row r="4094">
          <cell r="A4094" t="str">
            <v>FB260004573</v>
          </cell>
          <cell r="D4094" t="str">
            <v>NIK</v>
          </cell>
        </row>
        <row r="4095">
          <cell r="A4095" t="str">
            <v>FB260004574</v>
          </cell>
          <cell r="D4095" t="str">
            <v>PINK</v>
          </cell>
        </row>
        <row r="4096">
          <cell r="A4096" t="str">
            <v>FB260004575</v>
          </cell>
          <cell r="D4096" t="str">
            <v>PINK</v>
          </cell>
        </row>
        <row r="4097">
          <cell r="A4097" t="str">
            <v>FB260004576</v>
          </cell>
          <cell r="D4097" t="str">
            <v>LULU</v>
          </cell>
        </row>
        <row r="4098">
          <cell r="A4098" t="str">
            <v>FB260004580</v>
          </cell>
          <cell r="D4098" t="str">
            <v>LULU</v>
          </cell>
        </row>
        <row r="4099">
          <cell r="A4099" t="str">
            <v>FB260004581</v>
          </cell>
          <cell r="D4099" t="str">
            <v>LULU</v>
          </cell>
        </row>
        <row r="4100">
          <cell r="A4100" t="str">
            <v>FB260004582</v>
          </cell>
          <cell r="D4100" t="str">
            <v>PINK</v>
          </cell>
        </row>
        <row r="4101">
          <cell r="A4101" t="str">
            <v>FB260004583</v>
          </cell>
          <cell r="D4101" t="str">
            <v>PINK</v>
          </cell>
        </row>
        <row r="4102">
          <cell r="A4102" t="str">
            <v>FB260004584</v>
          </cell>
          <cell r="D4102" t="str">
            <v>PINK</v>
          </cell>
        </row>
        <row r="4103">
          <cell r="A4103" t="str">
            <v>FB260004585</v>
          </cell>
          <cell r="D4103" t="str">
            <v>PINK</v>
          </cell>
        </row>
        <row r="4104">
          <cell r="A4104" t="str">
            <v>FB260004588</v>
          </cell>
          <cell r="D4104" t="str">
            <v>PINK</v>
          </cell>
        </row>
        <row r="4105">
          <cell r="A4105" t="str">
            <v>FB260004589</v>
          </cell>
          <cell r="D4105" t="str">
            <v>PINK</v>
          </cell>
        </row>
        <row r="4106">
          <cell r="A4106" t="str">
            <v>FB260004590</v>
          </cell>
          <cell r="D4106" t="str">
            <v>VSS</v>
          </cell>
        </row>
        <row r="4107">
          <cell r="A4107" t="str">
            <v>FB260004591</v>
          </cell>
          <cell r="D4107" t="str">
            <v>VSS</v>
          </cell>
        </row>
        <row r="4108">
          <cell r="A4108" t="str">
            <v>FB260004592</v>
          </cell>
          <cell r="D4108" t="str">
            <v>VSS</v>
          </cell>
        </row>
        <row r="4109">
          <cell r="A4109" t="str">
            <v>FB260004593</v>
          </cell>
          <cell r="D4109" t="str">
            <v>VSS</v>
          </cell>
        </row>
        <row r="4110">
          <cell r="A4110" t="str">
            <v>FB260004594</v>
          </cell>
          <cell r="D4110" t="str">
            <v>VSS</v>
          </cell>
        </row>
        <row r="4111">
          <cell r="A4111" t="str">
            <v>FB260004595</v>
          </cell>
          <cell r="D4111" t="str">
            <v>VSS</v>
          </cell>
        </row>
        <row r="4112">
          <cell r="A4112" t="str">
            <v>FB260004596</v>
          </cell>
          <cell r="D4112" t="str">
            <v>VSS</v>
          </cell>
        </row>
        <row r="4113">
          <cell r="A4113" t="str">
            <v>FB260004598</v>
          </cell>
          <cell r="D4113" t="str">
            <v>VSS</v>
          </cell>
        </row>
        <row r="4114">
          <cell r="A4114" t="str">
            <v>FB260004600</v>
          </cell>
          <cell r="D4114" t="str">
            <v>VSS</v>
          </cell>
        </row>
        <row r="4115">
          <cell r="A4115" t="str">
            <v>FB260004601</v>
          </cell>
          <cell r="D4115" t="str">
            <v>VSS</v>
          </cell>
        </row>
        <row r="4116">
          <cell r="A4116" t="str">
            <v>FB260004604</v>
          </cell>
          <cell r="D4116" t="str">
            <v>VSS</v>
          </cell>
        </row>
        <row r="4117">
          <cell r="A4117" t="str">
            <v>FB260004605</v>
          </cell>
          <cell r="D4117" t="str">
            <v>VSS</v>
          </cell>
        </row>
        <row r="4118">
          <cell r="A4118" t="str">
            <v>FB260004607</v>
          </cell>
          <cell r="D4118" t="str">
            <v>VSS</v>
          </cell>
        </row>
        <row r="4119">
          <cell r="A4119" t="str">
            <v>FB260004608</v>
          </cell>
          <cell r="D4119" t="str">
            <v>VSS</v>
          </cell>
        </row>
        <row r="4120">
          <cell r="A4120" t="str">
            <v>FB260004609</v>
          </cell>
          <cell r="D4120" t="str">
            <v>NIK</v>
          </cell>
        </row>
        <row r="4121">
          <cell r="A4121" t="str">
            <v>FB260004615</v>
          </cell>
          <cell r="D4121" t="str">
            <v>VSS</v>
          </cell>
        </row>
        <row r="4122">
          <cell r="A4122" t="str">
            <v>FB260004616</v>
          </cell>
          <cell r="D4122" t="str">
            <v>CK</v>
          </cell>
        </row>
        <row r="4123">
          <cell r="A4123" t="str">
            <v>FB260004617</v>
          </cell>
          <cell r="D4123" t="str">
            <v>NIK</v>
          </cell>
        </row>
        <row r="4124">
          <cell r="A4124" t="str">
            <v>FB260004618</v>
          </cell>
          <cell r="D4124" t="str">
            <v>NIK</v>
          </cell>
        </row>
        <row r="4125">
          <cell r="A4125" t="str">
            <v>FB260004619</v>
          </cell>
          <cell r="D4125" t="str">
            <v>NIK</v>
          </cell>
        </row>
        <row r="4126">
          <cell r="A4126" t="str">
            <v>FB260004620</v>
          </cell>
          <cell r="D4126" t="str">
            <v>NIK</v>
          </cell>
        </row>
        <row r="4127">
          <cell r="A4127" t="str">
            <v>FB260004621</v>
          </cell>
          <cell r="D4127" t="str">
            <v>NIK</v>
          </cell>
        </row>
        <row r="4128">
          <cell r="A4128" t="str">
            <v>FB260004622</v>
          </cell>
          <cell r="D4128" t="str">
            <v>NIK</v>
          </cell>
        </row>
        <row r="4129">
          <cell r="A4129" t="str">
            <v>FB260004623</v>
          </cell>
          <cell r="D4129" t="str">
            <v>NIK</v>
          </cell>
        </row>
        <row r="4130">
          <cell r="A4130" t="str">
            <v>FB260004624</v>
          </cell>
          <cell r="D4130" t="str">
            <v>NIK</v>
          </cell>
        </row>
        <row r="4131">
          <cell r="A4131" t="str">
            <v>FB260004625</v>
          </cell>
          <cell r="D4131" t="str">
            <v>NIK</v>
          </cell>
        </row>
        <row r="4132">
          <cell r="A4132" t="str">
            <v>FB260004633</v>
          </cell>
          <cell r="D4132" t="str">
            <v>VSS</v>
          </cell>
        </row>
        <row r="4133">
          <cell r="A4133" t="str">
            <v>FB260004636</v>
          </cell>
          <cell r="D4133" t="str">
            <v>VSS</v>
          </cell>
        </row>
        <row r="4134">
          <cell r="A4134" t="str">
            <v>FB260004637</v>
          </cell>
          <cell r="D4134" t="str">
            <v>VSS</v>
          </cell>
        </row>
        <row r="4135">
          <cell r="A4135" t="str">
            <v>FB260004638</v>
          </cell>
          <cell r="D4135" t="str">
            <v>VSS</v>
          </cell>
        </row>
        <row r="4136">
          <cell r="A4136" t="str">
            <v>FB260004641</v>
          </cell>
          <cell r="D4136" t="str">
            <v>VSS</v>
          </cell>
        </row>
        <row r="4137">
          <cell r="A4137" t="str">
            <v>FB260004642</v>
          </cell>
          <cell r="D4137" t="str">
            <v>VSS</v>
          </cell>
        </row>
        <row r="4138">
          <cell r="A4138" t="str">
            <v>FB260004644</v>
          </cell>
          <cell r="D4138" t="str">
            <v>VSS</v>
          </cell>
        </row>
        <row r="4139">
          <cell r="A4139" t="str">
            <v>FB260004645</v>
          </cell>
          <cell r="D4139" t="str">
            <v>VSS</v>
          </cell>
        </row>
        <row r="4140">
          <cell r="A4140" t="str">
            <v>FB260004646</v>
          </cell>
          <cell r="D4140" t="str">
            <v>VSS</v>
          </cell>
        </row>
        <row r="4141">
          <cell r="A4141" t="str">
            <v>FB260004648</v>
          </cell>
          <cell r="D4141" t="str">
            <v>VSS</v>
          </cell>
        </row>
        <row r="4142">
          <cell r="A4142" t="str">
            <v>FB260004649</v>
          </cell>
          <cell r="D4142" t="str">
            <v>VSS</v>
          </cell>
        </row>
        <row r="4143">
          <cell r="A4143" t="str">
            <v>FB260004650</v>
          </cell>
          <cell r="D4143" t="str">
            <v>VSS</v>
          </cell>
        </row>
        <row r="4144">
          <cell r="A4144" t="str">
            <v>FB260004651</v>
          </cell>
          <cell r="D4144" t="str">
            <v>VSS</v>
          </cell>
        </row>
        <row r="4145">
          <cell r="A4145" t="str">
            <v>FB260004652</v>
          </cell>
          <cell r="D4145" t="str">
            <v>VSS</v>
          </cell>
        </row>
        <row r="4146">
          <cell r="A4146" t="str">
            <v>FB260004653</v>
          </cell>
          <cell r="D4146" t="str">
            <v>VSS</v>
          </cell>
        </row>
        <row r="4147">
          <cell r="A4147" t="str">
            <v>FB260004654</v>
          </cell>
          <cell r="D4147" t="str">
            <v>VSS</v>
          </cell>
        </row>
        <row r="4148">
          <cell r="A4148" t="str">
            <v>FB260004655</v>
          </cell>
          <cell r="D4148" t="str">
            <v>NIK</v>
          </cell>
        </row>
        <row r="4149">
          <cell r="A4149" t="str">
            <v>FB260004656</v>
          </cell>
          <cell r="D4149" t="str">
            <v>LBI</v>
          </cell>
        </row>
        <row r="4150">
          <cell r="A4150" t="str">
            <v>FB260004657</v>
          </cell>
          <cell r="D4150" t="str">
            <v>LBI</v>
          </cell>
        </row>
        <row r="4151">
          <cell r="A4151" t="str">
            <v>FB260004658</v>
          </cell>
          <cell r="D4151" t="str">
            <v>LBI</v>
          </cell>
        </row>
        <row r="4152">
          <cell r="A4152" t="str">
            <v>FB260004659</v>
          </cell>
          <cell r="D4152" t="str">
            <v>LBI</v>
          </cell>
        </row>
        <row r="4153">
          <cell r="A4153" t="str">
            <v>FB260004660</v>
          </cell>
          <cell r="D4153" t="str">
            <v>LBI</v>
          </cell>
        </row>
        <row r="4154">
          <cell r="A4154" t="str">
            <v>FB260004661</v>
          </cell>
          <cell r="D4154" t="str">
            <v>LBI</v>
          </cell>
        </row>
        <row r="4155">
          <cell r="A4155" t="str">
            <v>FB260004662</v>
          </cell>
          <cell r="D4155" t="str">
            <v>LULU</v>
          </cell>
        </row>
        <row r="4156">
          <cell r="A4156" t="str">
            <v>FB260004663</v>
          </cell>
          <cell r="D4156" t="str">
            <v>LULU</v>
          </cell>
        </row>
        <row r="4157">
          <cell r="A4157" t="str">
            <v>FB260004664</v>
          </cell>
          <cell r="D4157" t="str">
            <v>LULU</v>
          </cell>
        </row>
        <row r="4158">
          <cell r="A4158" t="str">
            <v>FB260004665</v>
          </cell>
          <cell r="D4158" t="str">
            <v>LULU</v>
          </cell>
        </row>
        <row r="4159">
          <cell r="A4159" t="str">
            <v>FB260004667</v>
          </cell>
          <cell r="D4159" t="str">
            <v>LBI</v>
          </cell>
        </row>
        <row r="4160">
          <cell r="A4160" t="str">
            <v>FB260004668</v>
          </cell>
          <cell r="D4160" t="str">
            <v>LULU</v>
          </cell>
        </row>
        <row r="4161">
          <cell r="A4161" t="str">
            <v>FB260004669</v>
          </cell>
          <cell r="D4161" t="str">
            <v>CK</v>
          </cell>
        </row>
        <row r="4162">
          <cell r="A4162" t="str">
            <v>FB260004670</v>
          </cell>
          <cell r="D4162" t="str">
            <v>CK</v>
          </cell>
        </row>
        <row r="4163">
          <cell r="A4163" t="str">
            <v>FB260004671</v>
          </cell>
          <cell r="D4163" t="str">
            <v>CK</v>
          </cell>
        </row>
        <row r="4164">
          <cell r="A4164" t="str">
            <v>FB260004672</v>
          </cell>
          <cell r="D4164" t="str">
            <v>CK</v>
          </cell>
        </row>
        <row r="4165">
          <cell r="A4165" t="str">
            <v>FB260004673</v>
          </cell>
          <cell r="D4165" t="str">
            <v>VSS</v>
          </cell>
        </row>
        <row r="4166">
          <cell r="A4166" t="str">
            <v>FB260004674</v>
          </cell>
          <cell r="D4166" t="str">
            <v>CK</v>
          </cell>
        </row>
        <row r="4167">
          <cell r="A4167" t="str">
            <v>FB260004675</v>
          </cell>
          <cell r="D4167" t="str">
            <v>CK</v>
          </cell>
        </row>
        <row r="4168">
          <cell r="A4168" t="str">
            <v>FB260004676</v>
          </cell>
          <cell r="D4168" t="str">
            <v>CK</v>
          </cell>
        </row>
        <row r="4169">
          <cell r="A4169" t="str">
            <v>FB260004677</v>
          </cell>
          <cell r="D4169" t="str">
            <v>ASIC</v>
          </cell>
        </row>
        <row r="4170">
          <cell r="A4170" t="str">
            <v>FB260004678</v>
          </cell>
          <cell r="D4170" t="str">
            <v>ASIC</v>
          </cell>
        </row>
        <row r="4171">
          <cell r="A4171" t="str">
            <v>FB260004679</v>
          </cell>
          <cell r="D4171" t="str">
            <v>CK</v>
          </cell>
        </row>
        <row r="4172">
          <cell r="A4172" t="str">
            <v>FB260004684</v>
          </cell>
          <cell r="D4172" t="str">
            <v>VSS</v>
          </cell>
        </row>
        <row r="4173">
          <cell r="A4173" t="str">
            <v>FB260004685</v>
          </cell>
          <cell r="D4173" t="str">
            <v>TJEL</v>
          </cell>
        </row>
        <row r="4174">
          <cell r="A4174" t="str">
            <v>FB260004686</v>
          </cell>
          <cell r="D4174" t="str">
            <v>VSS</v>
          </cell>
        </row>
        <row r="4175">
          <cell r="A4175" t="str">
            <v>FB260004687</v>
          </cell>
          <cell r="D4175" t="str">
            <v>VSS</v>
          </cell>
        </row>
        <row r="4176">
          <cell r="A4176" t="str">
            <v>FB260004688</v>
          </cell>
          <cell r="D4176" t="str">
            <v>VSS</v>
          </cell>
        </row>
        <row r="4177">
          <cell r="A4177" t="str">
            <v>FB260004690</v>
          </cell>
          <cell r="D4177" t="str">
            <v>TJEL</v>
          </cell>
        </row>
        <row r="4178">
          <cell r="A4178" t="str">
            <v>FB260004691</v>
          </cell>
          <cell r="D4178" t="str">
            <v>TJEL</v>
          </cell>
        </row>
        <row r="4179">
          <cell r="A4179" t="str">
            <v>FB260004692</v>
          </cell>
          <cell r="D4179" t="str">
            <v>TJEL</v>
          </cell>
        </row>
        <row r="4180">
          <cell r="A4180" t="str">
            <v>FB260004693</v>
          </cell>
          <cell r="D4180" t="str">
            <v>TJEL</v>
          </cell>
        </row>
        <row r="4181">
          <cell r="A4181" t="str">
            <v>FB260004694</v>
          </cell>
          <cell r="D4181" t="str">
            <v>VSS</v>
          </cell>
        </row>
        <row r="4182">
          <cell r="A4182" t="str">
            <v>FB260004695</v>
          </cell>
          <cell r="D4182" t="str">
            <v>VSS</v>
          </cell>
        </row>
        <row r="4183">
          <cell r="A4183" t="str">
            <v>FB260004696</v>
          </cell>
          <cell r="D4183" t="str">
            <v>VSS</v>
          </cell>
        </row>
        <row r="4184">
          <cell r="A4184" t="str">
            <v>FB260004697</v>
          </cell>
          <cell r="D4184" t="str">
            <v>PINK</v>
          </cell>
        </row>
        <row r="4185">
          <cell r="A4185" t="str">
            <v>FB260004698</v>
          </cell>
          <cell r="D4185" t="str">
            <v>PINK</v>
          </cell>
        </row>
        <row r="4186">
          <cell r="A4186" t="str">
            <v>FB260004699</v>
          </cell>
          <cell r="D4186" t="str">
            <v>PINK</v>
          </cell>
        </row>
        <row r="4187">
          <cell r="A4187" t="str">
            <v>FB260004700</v>
          </cell>
          <cell r="D4187" t="str">
            <v>PINK</v>
          </cell>
        </row>
        <row r="4188">
          <cell r="A4188" t="str">
            <v>FB260004701</v>
          </cell>
          <cell r="D4188" t="str">
            <v>PINK</v>
          </cell>
        </row>
        <row r="4189">
          <cell r="A4189" t="str">
            <v>FB260004702</v>
          </cell>
          <cell r="D4189" t="str">
            <v>PINK</v>
          </cell>
        </row>
        <row r="4190">
          <cell r="A4190" t="str">
            <v>FB260004703</v>
          </cell>
          <cell r="D4190" t="str">
            <v>CK</v>
          </cell>
        </row>
        <row r="4191">
          <cell r="A4191" t="str">
            <v>FB260004704</v>
          </cell>
          <cell r="D4191" t="str">
            <v>THX</v>
          </cell>
        </row>
        <row r="4192">
          <cell r="A4192" t="str">
            <v>FB260004705</v>
          </cell>
          <cell r="D4192" t="str">
            <v>M&amp;S</v>
          </cell>
        </row>
        <row r="4193">
          <cell r="A4193" t="str">
            <v>FB260004706</v>
          </cell>
          <cell r="D4193" t="str">
            <v>GAP</v>
          </cell>
        </row>
        <row r="4194">
          <cell r="A4194" t="str">
            <v>FB260004708</v>
          </cell>
          <cell r="D4194" t="str">
            <v>ESS2</v>
          </cell>
        </row>
        <row r="4195">
          <cell r="A4195" t="str">
            <v>FB260004709</v>
          </cell>
          <cell r="D4195" t="str">
            <v>WACE</v>
          </cell>
        </row>
        <row r="4196">
          <cell r="A4196" t="str">
            <v>FB260004710</v>
          </cell>
          <cell r="D4196" t="str">
            <v>WACE</v>
          </cell>
        </row>
        <row r="4197">
          <cell r="A4197" t="str">
            <v>FB260004711</v>
          </cell>
          <cell r="D4197" t="str">
            <v>THEU</v>
          </cell>
        </row>
        <row r="4198">
          <cell r="A4198" t="str">
            <v>FB260004713</v>
          </cell>
          <cell r="D4198" t="str">
            <v>THEU</v>
          </cell>
        </row>
        <row r="4199">
          <cell r="A4199" t="str">
            <v>FB260004714</v>
          </cell>
          <cell r="D4199" t="str">
            <v>THEU</v>
          </cell>
        </row>
        <row r="4200">
          <cell r="A4200" t="str">
            <v>FB260004716</v>
          </cell>
          <cell r="D4200" t="str">
            <v>THEU</v>
          </cell>
        </row>
        <row r="4201">
          <cell r="A4201" t="str">
            <v>FB260004718</v>
          </cell>
          <cell r="D4201" t="str">
            <v>LULU</v>
          </cell>
        </row>
        <row r="4202">
          <cell r="A4202" t="str">
            <v>FB260004719</v>
          </cell>
          <cell r="D4202" t="str">
            <v>CK</v>
          </cell>
        </row>
        <row r="4203">
          <cell r="A4203" t="str">
            <v>FB260004720</v>
          </cell>
          <cell r="D4203" t="str">
            <v>VSS</v>
          </cell>
        </row>
        <row r="4204">
          <cell r="A4204" t="str">
            <v>FB260004721</v>
          </cell>
          <cell r="D4204" t="str">
            <v>VSS</v>
          </cell>
        </row>
        <row r="4205">
          <cell r="A4205" t="str">
            <v>FB260004722</v>
          </cell>
          <cell r="D4205" t="str">
            <v>VSS</v>
          </cell>
        </row>
        <row r="4206">
          <cell r="A4206" t="str">
            <v>FB260004723</v>
          </cell>
          <cell r="D4206" t="str">
            <v>VSS</v>
          </cell>
        </row>
        <row r="4207">
          <cell r="A4207" t="str">
            <v>FB260004724</v>
          </cell>
          <cell r="D4207" t="str">
            <v>VSS</v>
          </cell>
        </row>
        <row r="4208">
          <cell r="A4208" t="str">
            <v>FB260004725</v>
          </cell>
          <cell r="D4208" t="str">
            <v>VSS</v>
          </cell>
        </row>
        <row r="4209">
          <cell r="A4209" t="str">
            <v>FB260004729</v>
          </cell>
          <cell r="D4209" t="str">
            <v>NIK</v>
          </cell>
        </row>
        <row r="4210">
          <cell r="A4210" t="str">
            <v>FB260004733</v>
          </cell>
          <cell r="D4210" t="str">
            <v>NIK</v>
          </cell>
        </row>
        <row r="4211">
          <cell r="A4211" t="str">
            <v>FB260004734</v>
          </cell>
          <cell r="D4211" t="str">
            <v>NIK</v>
          </cell>
        </row>
        <row r="4212">
          <cell r="A4212" t="str">
            <v>FB260004737</v>
          </cell>
          <cell r="D4212" t="str">
            <v>M&amp;S</v>
          </cell>
        </row>
        <row r="4213">
          <cell r="A4213" t="str">
            <v>FB260004738</v>
          </cell>
          <cell r="D4213" t="str">
            <v>M&amp;S</v>
          </cell>
        </row>
        <row r="4214">
          <cell r="A4214" t="str">
            <v>FB260004743</v>
          </cell>
          <cell r="D4214" t="str">
            <v>VSS</v>
          </cell>
        </row>
        <row r="4215">
          <cell r="A4215" t="str">
            <v>FB260004746</v>
          </cell>
          <cell r="D4215" t="str">
            <v>VSS</v>
          </cell>
        </row>
        <row r="4216">
          <cell r="A4216" t="str">
            <v>FB260004747</v>
          </cell>
          <cell r="D4216" t="str">
            <v>VSS</v>
          </cell>
        </row>
        <row r="4217">
          <cell r="A4217" t="str">
            <v>FB260004748</v>
          </cell>
          <cell r="D4217" t="str">
            <v>VSS</v>
          </cell>
        </row>
        <row r="4218">
          <cell r="A4218" t="str">
            <v>FB260004749</v>
          </cell>
          <cell r="D4218" t="str">
            <v>VSS</v>
          </cell>
        </row>
        <row r="4219">
          <cell r="A4219" t="str">
            <v>FB260004750</v>
          </cell>
          <cell r="D4219" t="str">
            <v>VSS</v>
          </cell>
        </row>
        <row r="4220">
          <cell r="A4220" t="str">
            <v>FB260004751</v>
          </cell>
          <cell r="D4220" t="str">
            <v>VSS</v>
          </cell>
        </row>
        <row r="4221">
          <cell r="A4221" t="str">
            <v>FB260004752</v>
          </cell>
          <cell r="D4221" t="str">
            <v>NEWB</v>
          </cell>
        </row>
        <row r="4222">
          <cell r="A4222" t="str">
            <v>FB260004753</v>
          </cell>
          <cell r="D4222" t="str">
            <v>NEWB</v>
          </cell>
        </row>
        <row r="4223">
          <cell r="A4223" t="str">
            <v>FB260004754</v>
          </cell>
          <cell r="D4223" t="str">
            <v>NIK</v>
          </cell>
        </row>
        <row r="4224">
          <cell r="A4224" t="str">
            <v>FB260004755</v>
          </cell>
          <cell r="D4224" t="str">
            <v>NIK</v>
          </cell>
        </row>
        <row r="4225">
          <cell r="A4225" t="str">
            <v>FB260004756</v>
          </cell>
          <cell r="D4225" t="str">
            <v>NIK</v>
          </cell>
        </row>
        <row r="4226">
          <cell r="A4226" t="str">
            <v>FB260004757</v>
          </cell>
          <cell r="D4226" t="str">
            <v>CK</v>
          </cell>
        </row>
        <row r="4227">
          <cell r="A4227" t="str">
            <v>FB260004758</v>
          </cell>
          <cell r="D4227" t="str">
            <v>LBI</v>
          </cell>
        </row>
        <row r="4228">
          <cell r="A4228" t="str">
            <v>FB260004759</v>
          </cell>
          <cell r="D4228" t="str">
            <v>LBI</v>
          </cell>
        </row>
        <row r="4229">
          <cell r="A4229" t="str">
            <v>FB260004760</v>
          </cell>
          <cell r="D4229" t="str">
            <v>LBI</v>
          </cell>
        </row>
        <row r="4230">
          <cell r="A4230" t="str">
            <v>FB260004761</v>
          </cell>
          <cell r="D4230" t="str">
            <v>LBI</v>
          </cell>
        </row>
        <row r="4231">
          <cell r="A4231" t="str">
            <v>FB260004762</v>
          </cell>
          <cell r="D4231" t="str">
            <v>CK</v>
          </cell>
        </row>
        <row r="4232">
          <cell r="A4232" t="str">
            <v>FB260004764</v>
          </cell>
          <cell r="D4232" t="str">
            <v>M&amp;S</v>
          </cell>
        </row>
        <row r="4233">
          <cell r="A4233" t="str">
            <v>FB260004765</v>
          </cell>
          <cell r="D4233" t="str">
            <v>M&amp;S</v>
          </cell>
        </row>
        <row r="4234">
          <cell r="A4234" t="str">
            <v>FB260004766</v>
          </cell>
          <cell r="D4234" t="str">
            <v>PINK</v>
          </cell>
        </row>
        <row r="4235">
          <cell r="A4235" t="str">
            <v>FB260004767</v>
          </cell>
          <cell r="D4235" t="str">
            <v>WACE</v>
          </cell>
        </row>
        <row r="4236">
          <cell r="A4236" t="str">
            <v>FB260004768</v>
          </cell>
          <cell r="D4236" t="str">
            <v>ESS2</v>
          </cell>
        </row>
        <row r="4237">
          <cell r="A4237" t="str">
            <v>FB260004769</v>
          </cell>
          <cell r="D4237" t="str">
            <v>WACE</v>
          </cell>
        </row>
        <row r="4238">
          <cell r="A4238" t="str">
            <v>FB260004770</v>
          </cell>
          <cell r="D4238" t="str">
            <v>M&amp;S</v>
          </cell>
        </row>
        <row r="4239">
          <cell r="A4239" t="str">
            <v>FB260004771</v>
          </cell>
          <cell r="D4239" t="str">
            <v>HAR</v>
          </cell>
        </row>
        <row r="4240">
          <cell r="A4240" t="str">
            <v>FB260004772</v>
          </cell>
          <cell r="D4240" t="str">
            <v>CK</v>
          </cell>
        </row>
        <row r="4241">
          <cell r="A4241" t="str">
            <v>FB260004774</v>
          </cell>
          <cell r="D4241" t="str">
            <v>NIK</v>
          </cell>
        </row>
        <row r="4242">
          <cell r="A4242" t="str">
            <v>FB260004775</v>
          </cell>
          <cell r="D4242" t="str">
            <v>VSS</v>
          </cell>
        </row>
        <row r="4243">
          <cell r="A4243" t="str">
            <v>FB260004776</v>
          </cell>
          <cell r="D4243" t="str">
            <v>VSS</v>
          </cell>
        </row>
        <row r="4244">
          <cell r="A4244" t="str">
            <v>FB260004777</v>
          </cell>
          <cell r="D4244" t="str">
            <v>VSS</v>
          </cell>
        </row>
        <row r="4245">
          <cell r="A4245" t="str">
            <v>FB260004778</v>
          </cell>
          <cell r="D4245" t="str">
            <v>VSS</v>
          </cell>
        </row>
        <row r="4246">
          <cell r="A4246" t="str">
            <v>FB260004779</v>
          </cell>
          <cell r="D4246" t="str">
            <v>M&amp;S</v>
          </cell>
        </row>
        <row r="4247">
          <cell r="A4247" t="str">
            <v>FB260004780</v>
          </cell>
          <cell r="D4247" t="str">
            <v>VSS</v>
          </cell>
        </row>
        <row r="4248">
          <cell r="A4248" t="str">
            <v>FB260004781</v>
          </cell>
          <cell r="D4248" t="str">
            <v>GAPO</v>
          </cell>
        </row>
        <row r="4249">
          <cell r="A4249" t="str">
            <v>FB260004782</v>
          </cell>
          <cell r="D4249" t="str">
            <v>VSS</v>
          </cell>
        </row>
        <row r="4250">
          <cell r="A4250" t="str">
            <v>FB260004783</v>
          </cell>
          <cell r="D4250" t="str">
            <v>VSS</v>
          </cell>
        </row>
        <row r="4251">
          <cell r="A4251" t="str">
            <v>FB260004784</v>
          </cell>
          <cell r="D4251" t="str">
            <v>GAPO</v>
          </cell>
        </row>
        <row r="4252">
          <cell r="A4252" t="str">
            <v>FB260004785</v>
          </cell>
          <cell r="D4252" t="str">
            <v>GAPO</v>
          </cell>
        </row>
        <row r="4253">
          <cell r="A4253" t="str">
            <v>FB260004787</v>
          </cell>
          <cell r="D4253" t="str">
            <v>VSS</v>
          </cell>
        </row>
        <row r="4254">
          <cell r="A4254" t="str">
            <v>FB260004788</v>
          </cell>
          <cell r="D4254" t="str">
            <v>VSS</v>
          </cell>
        </row>
        <row r="4255">
          <cell r="A4255" t="str">
            <v>FB260004789</v>
          </cell>
          <cell r="D4255" t="str">
            <v>VSS</v>
          </cell>
        </row>
        <row r="4256">
          <cell r="A4256" t="str">
            <v>FB260004790</v>
          </cell>
          <cell r="D4256" t="str">
            <v>VSS</v>
          </cell>
        </row>
        <row r="4257">
          <cell r="A4257" t="str">
            <v>FB260004791</v>
          </cell>
          <cell r="D4257" t="str">
            <v>VSS</v>
          </cell>
        </row>
        <row r="4258">
          <cell r="A4258" t="str">
            <v>FB260004792</v>
          </cell>
          <cell r="D4258" t="str">
            <v>GAPO</v>
          </cell>
        </row>
        <row r="4259">
          <cell r="A4259" t="str">
            <v>FB260004793</v>
          </cell>
          <cell r="D4259" t="str">
            <v>NIK</v>
          </cell>
        </row>
        <row r="4260">
          <cell r="A4260" t="str">
            <v>FB260004794</v>
          </cell>
          <cell r="D4260" t="str">
            <v>VSS</v>
          </cell>
        </row>
        <row r="4261">
          <cell r="A4261" t="str">
            <v>FB260004796</v>
          </cell>
          <cell r="D4261" t="str">
            <v>NIK</v>
          </cell>
        </row>
        <row r="4262">
          <cell r="A4262" t="str">
            <v>FB260004800</v>
          </cell>
          <cell r="D4262" t="str">
            <v>NIK</v>
          </cell>
        </row>
        <row r="4263">
          <cell r="A4263" t="str">
            <v>FB260004801</v>
          </cell>
          <cell r="D4263" t="str">
            <v>VSS</v>
          </cell>
        </row>
        <row r="4264">
          <cell r="A4264" t="str">
            <v>FB260004802</v>
          </cell>
          <cell r="D4264" t="str">
            <v>VSS</v>
          </cell>
        </row>
        <row r="4265">
          <cell r="A4265" t="str">
            <v>FB260004805</v>
          </cell>
          <cell r="D4265" t="str">
            <v>NIK</v>
          </cell>
        </row>
        <row r="4266">
          <cell r="A4266" t="str">
            <v>FB260004806</v>
          </cell>
          <cell r="D4266" t="str">
            <v>NIK</v>
          </cell>
        </row>
        <row r="4267">
          <cell r="A4267" t="str">
            <v>FB260004807</v>
          </cell>
          <cell r="D4267" t="str">
            <v>NIK</v>
          </cell>
        </row>
        <row r="4268">
          <cell r="A4268" t="str">
            <v>FB260004808</v>
          </cell>
          <cell r="D4268" t="str">
            <v>NIK</v>
          </cell>
        </row>
        <row r="4269">
          <cell r="A4269" t="str">
            <v>FB260004809</v>
          </cell>
          <cell r="D4269" t="str">
            <v>NIK</v>
          </cell>
        </row>
        <row r="4270">
          <cell r="A4270" t="str">
            <v>FB260004812</v>
          </cell>
          <cell r="D4270" t="str">
            <v>NIK</v>
          </cell>
        </row>
        <row r="4271">
          <cell r="A4271" t="str">
            <v>FB260004813</v>
          </cell>
          <cell r="D4271" t="str">
            <v>VSS</v>
          </cell>
        </row>
        <row r="4272">
          <cell r="A4272" t="str">
            <v>FB260004815</v>
          </cell>
          <cell r="D4272" t="str">
            <v>NIK</v>
          </cell>
        </row>
        <row r="4273">
          <cell r="A4273" t="str">
            <v>FB260004817</v>
          </cell>
          <cell r="D4273" t="str">
            <v>NIK</v>
          </cell>
        </row>
        <row r="4274">
          <cell r="A4274" t="str">
            <v>FB260004818</v>
          </cell>
          <cell r="D4274" t="str">
            <v>NIK</v>
          </cell>
        </row>
        <row r="4275">
          <cell r="A4275" t="str">
            <v>FB260004820</v>
          </cell>
          <cell r="D4275" t="str">
            <v>NIK</v>
          </cell>
        </row>
        <row r="4276">
          <cell r="A4276" t="str">
            <v>FB260004821</v>
          </cell>
          <cell r="D4276" t="str">
            <v>NIK</v>
          </cell>
        </row>
        <row r="4277">
          <cell r="A4277" t="str">
            <v>FB260004830</v>
          </cell>
          <cell r="D4277" t="str">
            <v>NIK</v>
          </cell>
        </row>
        <row r="4278">
          <cell r="A4278" t="str">
            <v>FB260004831</v>
          </cell>
          <cell r="D4278" t="str">
            <v>NIK</v>
          </cell>
        </row>
        <row r="4279">
          <cell r="A4279" t="str">
            <v>FB260004832</v>
          </cell>
          <cell r="D4279" t="str">
            <v>NIK</v>
          </cell>
        </row>
        <row r="4280">
          <cell r="A4280" t="str">
            <v>FB260004835</v>
          </cell>
          <cell r="D4280" t="str">
            <v>NIK</v>
          </cell>
        </row>
        <row r="4281">
          <cell r="A4281" t="str">
            <v>FB260004836</v>
          </cell>
          <cell r="D4281" t="str">
            <v>NIK</v>
          </cell>
        </row>
        <row r="4282">
          <cell r="A4282" t="str">
            <v>FB260004837</v>
          </cell>
          <cell r="D4282" t="str">
            <v>NIK</v>
          </cell>
        </row>
        <row r="4283">
          <cell r="A4283" t="str">
            <v>FB260004838</v>
          </cell>
          <cell r="D4283" t="str">
            <v>NIK</v>
          </cell>
        </row>
        <row r="4284">
          <cell r="A4284" t="str">
            <v>FB260004839</v>
          </cell>
          <cell r="D4284" t="str">
            <v>NIK</v>
          </cell>
        </row>
        <row r="4285">
          <cell r="A4285" t="str">
            <v>FB260004845</v>
          </cell>
          <cell r="D4285" t="str">
            <v>CK</v>
          </cell>
        </row>
        <row r="4286">
          <cell r="A4286" t="str">
            <v>FB260004847</v>
          </cell>
          <cell r="D4286" t="str">
            <v>CK</v>
          </cell>
        </row>
        <row r="4287">
          <cell r="A4287" t="str">
            <v>FB260004848</v>
          </cell>
          <cell r="D4287" t="str">
            <v>LBI</v>
          </cell>
        </row>
        <row r="4288">
          <cell r="A4288" t="str">
            <v>FB260004849</v>
          </cell>
          <cell r="D4288" t="str">
            <v>LBI</v>
          </cell>
        </row>
        <row r="4289">
          <cell r="A4289" t="str">
            <v>FB260004850</v>
          </cell>
          <cell r="D4289" t="str">
            <v>LBI</v>
          </cell>
        </row>
        <row r="4290">
          <cell r="A4290" t="str">
            <v>FB260004851</v>
          </cell>
          <cell r="D4290" t="str">
            <v>LULU</v>
          </cell>
        </row>
        <row r="4291">
          <cell r="A4291" t="str">
            <v>FB260004852</v>
          </cell>
          <cell r="D4291" t="str">
            <v>M&amp;S</v>
          </cell>
        </row>
        <row r="4292">
          <cell r="A4292" t="str">
            <v>FB260004854</v>
          </cell>
          <cell r="D4292" t="str">
            <v>VSS</v>
          </cell>
        </row>
        <row r="4293">
          <cell r="A4293" t="str">
            <v>FB260004857</v>
          </cell>
          <cell r="D4293" t="str">
            <v>VSS</v>
          </cell>
        </row>
        <row r="4294">
          <cell r="A4294" t="str">
            <v>FB260004858</v>
          </cell>
          <cell r="D4294" t="str">
            <v>VSS</v>
          </cell>
        </row>
        <row r="4295">
          <cell r="A4295" t="str">
            <v>FB260004859</v>
          </cell>
          <cell r="D4295" t="str">
            <v>SW</v>
          </cell>
        </row>
        <row r="4296">
          <cell r="A4296" t="str">
            <v>FB260004860</v>
          </cell>
          <cell r="D4296" t="str">
            <v>THEU</v>
          </cell>
        </row>
        <row r="4297">
          <cell r="A4297" t="str">
            <v>FB260004861</v>
          </cell>
          <cell r="D4297" t="str">
            <v>THEU</v>
          </cell>
        </row>
        <row r="4298">
          <cell r="A4298" t="str">
            <v>FB260004862</v>
          </cell>
          <cell r="D4298" t="str">
            <v>VSS</v>
          </cell>
        </row>
        <row r="4299">
          <cell r="A4299" t="str">
            <v>FB260004864</v>
          </cell>
          <cell r="D4299" t="str">
            <v>PINK</v>
          </cell>
        </row>
        <row r="4300">
          <cell r="A4300" t="str">
            <v>FB260004865</v>
          </cell>
          <cell r="D4300" t="str">
            <v>GAP</v>
          </cell>
        </row>
        <row r="4301">
          <cell r="A4301" t="str">
            <v>FB260004866</v>
          </cell>
          <cell r="D4301" t="str">
            <v>PINK</v>
          </cell>
        </row>
        <row r="4302">
          <cell r="A4302" t="str">
            <v>FB260004867</v>
          </cell>
          <cell r="D4302" t="str">
            <v>PINK</v>
          </cell>
        </row>
        <row r="4303">
          <cell r="A4303" t="str">
            <v>FB260004870</v>
          </cell>
          <cell r="D4303" t="str">
            <v>NIK</v>
          </cell>
        </row>
        <row r="4304">
          <cell r="A4304" t="str">
            <v>FB260004871</v>
          </cell>
          <cell r="D4304" t="str">
            <v>VSS</v>
          </cell>
        </row>
        <row r="4305">
          <cell r="A4305" t="str">
            <v>FB260004873</v>
          </cell>
          <cell r="D4305" t="str">
            <v>NIK</v>
          </cell>
        </row>
        <row r="4306">
          <cell r="A4306" t="str">
            <v>FB260004874</v>
          </cell>
          <cell r="D4306" t="str">
            <v>VSS</v>
          </cell>
        </row>
        <row r="4307">
          <cell r="A4307" t="str">
            <v>FB260004875</v>
          </cell>
          <cell r="D4307" t="str">
            <v>VSS</v>
          </cell>
        </row>
        <row r="4308">
          <cell r="A4308" t="str">
            <v>FB260004876</v>
          </cell>
          <cell r="D4308" t="str">
            <v>VSS</v>
          </cell>
        </row>
        <row r="4309">
          <cell r="A4309" t="str">
            <v>FB260004877</v>
          </cell>
          <cell r="D4309" t="str">
            <v>NIK</v>
          </cell>
        </row>
        <row r="4310">
          <cell r="A4310" t="str">
            <v>FB260004878</v>
          </cell>
          <cell r="D4310" t="str">
            <v>NIK</v>
          </cell>
        </row>
        <row r="4311">
          <cell r="A4311" t="str">
            <v>FB260004879</v>
          </cell>
          <cell r="D4311" t="str">
            <v>VSS</v>
          </cell>
        </row>
        <row r="4312">
          <cell r="A4312" t="str">
            <v>FB260004880</v>
          </cell>
          <cell r="D4312" t="str">
            <v>VSS</v>
          </cell>
        </row>
        <row r="4313">
          <cell r="A4313" t="str">
            <v>FB260004882</v>
          </cell>
          <cell r="D4313" t="str">
            <v>VSS</v>
          </cell>
        </row>
        <row r="4314">
          <cell r="A4314" t="str">
            <v>FB260004883</v>
          </cell>
          <cell r="D4314" t="str">
            <v>NIK</v>
          </cell>
        </row>
        <row r="4315">
          <cell r="A4315" t="str">
            <v>FB260004884</v>
          </cell>
          <cell r="D4315" t="str">
            <v>VSS</v>
          </cell>
        </row>
        <row r="4316">
          <cell r="A4316" t="str">
            <v>FB260004885</v>
          </cell>
          <cell r="D4316" t="str">
            <v>VSS</v>
          </cell>
        </row>
        <row r="4317">
          <cell r="A4317" t="str">
            <v>FB260004886</v>
          </cell>
          <cell r="D4317" t="str">
            <v>NIK</v>
          </cell>
        </row>
        <row r="4318">
          <cell r="A4318" t="str">
            <v>FB260004888</v>
          </cell>
          <cell r="D4318" t="str">
            <v>NIK</v>
          </cell>
        </row>
        <row r="4319">
          <cell r="A4319" t="str">
            <v>FB260004890</v>
          </cell>
          <cell r="D4319" t="str">
            <v>NIK</v>
          </cell>
        </row>
        <row r="4320">
          <cell r="A4320" t="str">
            <v>FB260004891</v>
          </cell>
          <cell r="D4320" t="str">
            <v>NIK</v>
          </cell>
        </row>
        <row r="4321">
          <cell r="A4321" t="str">
            <v>FB260004892</v>
          </cell>
          <cell r="D4321" t="str">
            <v>NIK</v>
          </cell>
        </row>
        <row r="4322">
          <cell r="A4322" t="str">
            <v>FB260004894</v>
          </cell>
          <cell r="D4322" t="str">
            <v>NIK</v>
          </cell>
        </row>
        <row r="4323">
          <cell r="A4323" t="str">
            <v>FB260004899</v>
          </cell>
          <cell r="D4323" t="str">
            <v>NIK</v>
          </cell>
        </row>
        <row r="4324">
          <cell r="A4324" t="str">
            <v>FB260004900</v>
          </cell>
          <cell r="D4324" t="str">
            <v>NIK</v>
          </cell>
        </row>
        <row r="4325">
          <cell r="A4325" t="str">
            <v>FB260004901</v>
          </cell>
          <cell r="D4325" t="str">
            <v>NIK</v>
          </cell>
        </row>
        <row r="4326">
          <cell r="A4326" t="str">
            <v>FB260004902</v>
          </cell>
          <cell r="D4326" t="str">
            <v>NIK</v>
          </cell>
        </row>
        <row r="4327">
          <cell r="A4327" t="str">
            <v>FB260004903</v>
          </cell>
          <cell r="D4327" t="str">
            <v>NIK</v>
          </cell>
        </row>
        <row r="4328">
          <cell r="A4328" t="str">
            <v>FB260004904</v>
          </cell>
          <cell r="D4328" t="str">
            <v>NIK</v>
          </cell>
        </row>
        <row r="4329">
          <cell r="A4329" t="str">
            <v>FB260004906</v>
          </cell>
          <cell r="D4329" t="str">
            <v>NIK</v>
          </cell>
        </row>
        <row r="4330">
          <cell r="A4330" t="str">
            <v>FB260004909</v>
          </cell>
          <cell r="D4330" t="str">
            <v>PINK</v>
          </cell>
        </row>
        <row r="4331">
          <cell r="A4331" t="str">
            <v>FB260004910</v>
          </cell>
          <cell r="D4331" t="str">
            <v>PINK</v>
          </cell>
        </row>
        <row r="4332">
          <cell r="A4332" t="str">
            <v>FB260004911</v>
          </cell>
          <cell r="D4332" t="str">
            <v>PINK</v>
          </cell>
        </row>
        <row r="4333">
          <cell r="A4333" t="str">
            <v>FB260004912</v>
          </cell>
          <cell r="D4333" t="str">
            <v>PINK</v>
          </cell>
        </row>
        <row r="4334">
          <cell r="A4334" t="str">
            <v>FB260004913</v>
          </cell>
          <cell r="D4334" t="str">
            <v>VSS</v>
          </cell>
        </row>
        <row r="4335">
          <cell r="A4335" t="str">
            <v>FB260004914</v>
          </cell>
          <cell r="D4335" t="str">
            <v>VSS</v>
          </cell>
        </row>
        <row r="4336">
          <cell r="A4336" t="str">
            <v>FB260004917</v>
          </cell>
          <cell r="D4336" t="str">
            <v>LULU</v>
          </cell>
        </row>
        <row r="4337">
          <cell r="A4337" t="str">
            <v>FB260004918</v>
          </cell>
          <cell r="D4337" t="str">
            <v>GAP</v>
          </cell>
        </row>
        <row r="4338">
          <cell r="A4338" t="str">
            <v>FB260004919</v>
          </cell>
          <cell r="D4338" t="str">
            <v>TJEL</v>
          </cell>
        </row>
        <row r="4339">
          <cell r="A4339" t="str">
            <v>FB260004922</v>
          </cell>
          <cell r="D4339" t="str">
            <v>TJEL</v>
          </cell>
        </row>
        <row r="4340">
          <cell r="A4340" t="str">
            <v>FB260004923</v>
          </cell>
          <cell r="D4340" t="str">
            <v>TJEL</v>
          </cell>
        </row>
        <row r="4341">
          <cell r="A4341" t="str">
            <v>FB260004924</v>
          </cell>
          <cell r="D4341" t="str">
            <v>WAC</v>
          </cell>
        </row>
        <row r="4342">
          <cell r="A4342" t="str">
            <v>FB260004925</v>
          </cell>
          <cell r="D4342" t="str">
            <v>WAC</v>
          </cell>
        </row>
        <row r="4343">
          <cell r="A4343" t="str">
            <v>FB260004926</v>
          </cell>
          <cell r="D4343" t="str">
            <v>NIK</v>
          </cell>
        </row>
        <row r="4344">
          <cell r="A4344" t="str">
            <v>FB260004927</v>
          </cell>
          <cell r="D4344" t="str">
            <v>NIK</v>
          </cell>
        </row>
        <row r="4345">
          <cell r="A4345" t="str">
            <v>FB260004928</v>
          </cell>
          <cell r="D4345" t="str">
            <v>NIK</v>
          </cell>
        </row>
        <row r="4346">
          <cell r="A4346" t="str">
            <v>FB260004929</v>
          </cell>
          <cell r="D4346" t="str">
            <v>NIK</v>
          </cell>
        </row>
        <row r="4347">
          <cell r="A4347" t="str">
            <v>FB260004930</v>
          </cell>
          <cell r="D4347" t="str">
            <v>NIK</v>
          </cell>
        </row>
        <row r="4348">
          <cell r="A4348" t="str">
            <v>FB260004931</v>
          </cell>
          <cell r="D4348" t="str">
            <v>NIK</v>
          </cell>
        </row>
        <row r="4349">
          <cell r="A4349" t="str">
            <v>FB260004932</v>
          </cell>
          <cell r="D4349" t="str">
            <v>NIK</v>
          </cell>
        </row>
        <row r="4350">
          <cell r="A4350" t="str">
            <v>FB260004933</v>
          </cell>
          <cell r="D4350" t="str">
            <v>NIK</v>
          </cell>
        </row>
        <row r="4351">
          <cell r="A4351" t="str">
            <v>FB260004934</v>
          </cell>
          <cell r="D4351" t="str">
            <v>NIK</v>
          </cell>
        </row>
        <row r="4352">
          <cell r="A4352" t="str">
            <v>FB260004935</v>
          </cell>
          <cell r="D4352" t="str">
            <v>NIK</v>
          </cell>
        </row>
        <row r="4353">
          <cell r="A4353" t="str">
            <v>FB260004936</v>
          </cell>
          <cell r="D4353" t="str">
            <v>NIK</v>
          </cell>
        </row>
        <row r="4354">
          <cell r="A4354" t="str">
            <v>FB260004937</v>
          </cell>
          <cell r="D4354" t="str">
            <v>NIK</v>
          </cell>
        </row>
        <row r="4355">
          <cell r="A4355" t="str">
            <v>FB260004938</v>
          </cell>
          <cell r="D4355" t="str">
            <v>NIK</v>
          </cell>
        </row>
        <row r="4356">
          <cell r="A4356" t="str">
            <v>FB260004939</v>
          </cell>
          <cell r="D4356" t="str">
            <v>NIK</v>
          </cell>
        </row>
        <row r="4357">
          <cell r="A4357" t="str">
            <v>FB260004940</v>
          </cell>
          <cell r="D4357" t="str">
            <v>NIK</v>
          </cell>
        </row>
        <row r="4358">
          <cell r="A4358" t="str">
            <v>FB260004941</v>
          </cell>
          <cell r="D4358" t="str">
            <v>NIK</v>
          </cell>
        </row>
        <row r="4359">
          <cell r="A4359" t="str">
            <v>FB260004942</v>
          </cell>
          <cell r="D4359" t="str">
            <v>NIK</v>
          </cell>
        </row>
        <row r="4360">
          <cell r="A4360" t="str">
            <v>FB260004943</v>
          </cell>
          <cell r="D4360" t="str">
            <v>NIK</v>
          </cell>
        </row>
        <row r="4361">
          <cell r="A4361" t="str">
            <v>FB260004944</v>
          </cell>
          <cell r="D4361" t="str">
            <v>NIK</v>
          </cell>
        </row>
        <row r="4362">
          <cell r="A4362" t="str">
            <v>FB260004945</v>
          </cell>
          <cell r="D4362" t="str">
            <v>NIK</v>
          </cell>
        </row>
        <row r="4363">
          <cell r="A4363" t="str">
            <v>FB260004946</v>
          </cell>
          <cell r="D4363" t="str">
            <v>NIK</v>
          </cell>
        </row>
        <row r="4364">
          <cell r="A4364" t="str">
            <v>FB260004947</v>
          </cell>
          <cell r="D4364" t="str">
            <v>NIK</v>
          </cell>
        </row>
        <row r="4365">
          <cell r="A4365" t="str">
            <v>FB260004948</v>
          </cell>
          <cell r="D4365" t="str">
            <v>NIK</v>
          </cell>
        </row>
        <row r="4366">
          <cell r="A4366" t="str">
            <v>FB260004949</v>
          </cell>
          <cell r="D4366" t="str">
            <v>NIK</v>
          </cell>
        </row>
        <row r="4367">
          <cell r="A4367" t="str">
            <v>FB260004950</v>
          </cell>
          <cell r="D4367" t="str">
            <v>NIK</v>
          </cell>
        </row>
        <row r="4368">
          <cell r="A4368" t="str">
            <v>FB260004951</v>
          </cell>
          <cell r="D4368" t="str">
            <v>NIK</v>
          </cell>
        </row>
        <row r="4369">
          <cell r="A4369" t="str">
            <v>FB260004952</v>
          </cell>
          <cell r="D4369" t="str">
            <v>NIK</v>
          </cell>
        </row>
        <row r="4370">
          <cell r="A4370" t="str">
            <v>FB260004953</v>
          </cell>
          <cell r="D4370" t="str">
            <v>NIK</v>
          </cell>
        </row>
        <row r="4371">
          <cell r="A4371" t="str">
            <v>FB260004954</v>
          </cell>
          <cell r="D4371" t="str">
            <v>NIK</v>
          </cell>
        </row>
        <row r="4372">
          <cell r="A4372" t="str">
            <v>FB260004955</v>
          </cell>
          <cell r="D4372" t="str">
            <v>NIK</v>
          </cell>
        </row>
        <row r="4373">
          <cell r="A4373" t="str">
            <v>FB260004956</v>
          </cell>
          <cell r="D4373" t="str">
            <v>NIK</v>
          </cell>
        </row>
        <row r="4374">
          <cell r="A4374" t="str">
            <v>FB260004957</v>
          </cell>
          <cell r="D4374" t="str">
            <v>NIK</v>
          </cell>
        </row>
        <row r="4375">
          <cell r="A4375" t="str">
            <v>FB260004958</v>
          </cell>
          <cell r="D4375" t="str">
            <v>NIK</v>
          </cell>
        </row>
        <row r="4376">
          <cell r="A4376" t="str">
            <v>FB260004959</v>
          </cell>
          <cell r="D4376" t="str">
            <v>NIK</v>
          </cell>
        </row>
        <row r="4377">
          <cell r="A4377" t="str">
            <v>FB260004960</v>
          </cell>
          <cell r="D4377" t="str">
            <v>NIK</v>
          </cell>
        </row>
        <row r="4378">
          <cell r="A4378" t="str">
            <v>FB260004961</v>
          </cell>
          <cell r="D4378" t="str">
            <v>NIK</v>
          </cell>
        </row>
        <row r="4379">
          <cell r="A4379" t="str">
            <v>FB260004962</v>
          </cell>
          <cell r="D4379" t="str">
            <v>SPEE</v>
          </cell>
        </row>
        <row r="4380">
          <cell r="A4380" t="str">
            <v>FB260004963</v>
          </cell>
          <cell r="D4380" t="str">
            <v>SPEE</v>
          </cell>
        </row>
        <row r="4381">
          <cell r="A4381" t="str">
            <v>FB260004964</v>
          </cell>
          <cell r="D4381" t="str">
            <v>VSS</v>
          </cell>
        </row>
        <row r="4382">
          <cell r="A4382" t="str">
            <v>FB260004965</v>
          </cell>
          <cell r="D4382" t="str">
            <v>LULU</v>
          </cell>
        </row>
        <row r="4383">
          <cell r="A4383" t="str">
            <v>FB260004966</v>
          </cell>
          <cell r="D4383" t="str">
            <v>VSS</v>
          </cell>
        </row>
        <row r="4384">
          <cell r="A4384" t="str">
            <v>FB260004967</v>
          </cell>
          <cell r="D4384" t="str">
            <v>VSS</v>
          </cell>
        </row>
        <row r="4385">
          <cell r="A4385" t="str">
            <v>FB260004968</v>
          </cell>
          <cell r="D4385" t="str">
            <v>VSS</v>
          </cell>
        </row>
        <row r="4386">
          <cell r="A4386" t="str">
            <v>FB260004971</v>
          </cell>
          <cell r="D4386" t="str">
            <v>NIK</v>
          </cell>
        </row>
        <row r="4387">
          <cell r="A4387" t="str">
            <v>FB260004972</v>
          </cell>
          <cell r="D4387" t="str">
            <v>NIK</v>
          </cell>
        </row>
        <row r="4388">
          <cell r="A4388" t="str">
            <v>FB260004975</v>
          </cell>
          <cell r="D4388" t="str">
            <v>NIK</v>
          </cell>
        </row>
        <row r="4389">
          <cell r="A4389" t="str">
            <v>FB260004976</v>
          </cell>
          <cell r="D4389" t="str">
            <v>VSS</v>
          </cell>
        </row>
        <row r="4390">
          <cell r="A4390" t="str">
            <v>FB260004977</v>
          </cell>
          <cell r="D4390" t="str">
            <v>NIK</v>
          </cell>
        </row>
        <row r="4391">
          <cell r="A4391" t="str">
            <v>FB260004979</v>
          </cell>
          <cell r="D4391" t="str">
            <v>PINK</v>
          </cell>
        </row>
        <row r="4392">
          <cell r="A4392" t="str">
            <v>FB260004982</v>
          </cell>
          <cell r="D4392" t="str">
            <v>PINK</v>
          </cell>
        </row>
        <row r="4393">
          <cell r="A4393" t="str">
            <v>FB260004983</v>
          </cell>
          <cell r="D4393" t="str">
            <v>VSS</v>
          </cell>
        </row>
        <row r="4394">
          <cell r="A4394" t="str">
            <v>FB260004984</v>
          </cell>
          <cell r="D4394" t="str">
            <v>VSS</v>
          </cell>
        </row>
        <row r="4395">
          <cell r="A4395" t="str">
            <v>FB260004985</v>
          </cell>
          <cell r="D4395" t="str">
            <v>VSS</v>
          </cell>
        </row>
        <row r="4396">
          <cell r="A4396" t="str">
            <v>FB260004986</v>
          </cell>
          <cell r="D4396" t="str">
            <v>VSS</v>
          </cell>
        </row>
        <row r="4397">
          <cell r="A4397" t="str">
            <v>FB260004990</v>
          </cell>
          <cell r="D4397" t="str">
            <v>WACE</v>
          </cell>
        </row>
        <row r="4398">
          <cell r="A4398" t="str">
            <v>FB260004994</v>
          </cell>
          <cell r="D4398" t="str">
            <v>VSS</v>
          </cell>
        </row>
        <row r="4399">
          <cell r="A4399" t="str">
            <v>FB260004995</v>
          </cell>
          <cell r="D4399" t="str">
            <v>VSS</v>
          </cell>
        </row>
        <row r="4400">
          <cell r="A4400" t="str">
            <v>FB260004996</v>
          </cell>
          <cell r="D4400" t="str">
            <v>VSS</v>
          </cell>
        </row>
        <row r="4401">
          <cell r="A4401" t="str">
            <v>FB260004997</v>
          </cell>
          <cell r="D4401" t="str">
            <v>NIK</v>
          </cell>
        </row>
        <row r="4402">
          <cell r="A4402" t="str">
            <v>FB260004998</v>
          </cell>
          <cell r="D4402" t="str">
            <v>NIK</v>
          </cell>
        </row>
        <row r="4403">
          <cell r="A4403" t="str">
            <v>FB260004999</v>
          </cell>
          <cell r="D4403" t="str">
            <v>NIK</v>
          </cell>
        </row>
        <row r="4404">
          <cell r="A4404" t="str">
            <v>FB260005000</v>
          </cell>
          <cell r="D4404" t="str">
            <v>NIK</v>
          </cell>
        </row>
        <row r="4405">
          <cell r="A4405" t="str">
            <v>FB260005002</v>
          </cell>
          <cell r="D4405" t="str">
            <v>VSS</v>
          </cell>
        </row>
        <row r="4406">
          <cell r="A4406" t="str">
            <v>FB260005004</v>
          </cell>
          <cell r="D4406" t="str">
            <v>NIK</v>
          </cell>
        </row>
        <row r="4407">
          <cell r="A4407" t="str">
            <v>FB260005006</v>
          </cell>
          <cell r="D4407" t="str">
            <v>NIK</v>
          </cell>
        </row>
        <row r="4408">
          <cell r="A4408" t="str">
            <v>FB260005008</v>
          </cell>
          <cell r="D4408" t="str">
            <v>VSS</v>
          </cell>
        </row>
        <row r="4409">
          <cell r="A4409" t="str">
            <v>FB260005009</v>
          </cell>
          <cell r="D4409" t="str">
            <v>VSS</v>
          </cell>
        </row>
        <row r="4410">
          <cell r="A4410" t="str">
            <v>FB260005010</v>
          </cell>
          <cell r="D4410" t="str">
            <v>VSS</v>
          </cell>
        </row>
        <row r="4411">
          <cell r="A4411" t="str">
            <v>FB260005012</v>
          </cell>
          <cell r="D4411" t="str">
            <v>NIK</v>
          </cell>
        </row>
        <row r="4412">
          <cell r="A4412" t="str">
            <v>FB260005014</v>
          </cell>
          <cell r="D4412" t="str">
            <v>VSS</v>
          </cell>
        </row>
        <row r="4413">
          <cell r="A4413" t="str">
            <v>FB260005021</v>
          </cell>
          <cell r="D4413" t="str">
            <v>NIK</v>
          </cell>
        </row>
        <row r="4414">
          <cell r="A4414" t="str">
            <v>FB260005022</v>
          </cell>
          <cell r="D4414" t="str">
            <v>NIK</v>
          </cell>
        </row>
        <row r="4415">
          <cell r="A4415" t="str">
            <v>FB260005024</v>
          </cell>
          <cell r="D4415" t="str">
            <v>NKSKI</v>
          </cell>
        </row>
        <row r="4416">
          <cell r="A4416" t="str">
            <v>FB260005025</v>
          </cell>
          <cell r="D4416" t="str">
            <v>NIK</v>
          </cell>
        </row>
        <row r="4417">
          <cell r="A4417" t="str">
            <v>FB260005027</v>
          </cell>
          <cell r="D4417" t="str">
            <v>VSS</v>
          </cell>
        </row>
        <row r="4418">
          <cell r="A4418" t="str">
            <v>FB260005028</v>
          </cell>
          <cell r="D4418" t="str">
            <v>NIK</v>
          </cell>
        </row>
        <row r="4419">
          <cell r="A4419" t="str">
            <v>FB260005030</v>
          </cell>
          <cell r="D4419" t="str">
            <v>NKSKI</v>
          </cell>
        </row>
        <row r="4420">
          <cell r="A4420" t="str">
            <v>FB260005036</v>
          </cell>
          <cell r="D4420" t="str">
            <v>GAPO</v>
          </cell>
        </row>
        <row r="4421">
          <cell r="A4421" t="str">
            <v>FB260005037</v>
          </cell>
          <cell r="D4421" t="str">
            <v>VSS</v>
          </cell>
        </row>
        <row r="4422">
          <cell r="A4422" t="str">
            <v>FB260005039</v>
          </cell>
          <cell r="D4422" t="str">
            <v>GAPO</v>
          </cell>
        </row>
        <row r="4423">
          <cell r="A4423" t="str">
            <v>FB260005041</v>
          </cell>
          <cell r="D4423" t="str">
            <v>GAP</v>
          </cell>
        </row>
        <row r="4424">
          <cell r="A4424" t="str">
            <v>FB260005042</v>
          </cell>
          <cell r="D4424" t="str">
            <v>GAP</v>
          </cell>
        </row>
        <row r="4425">
          <cell r="A4425" t="str">
            <v>FB260005043</v>
          </cell>
          <cell r="D4425" t="str">
            <v>GAP</v>
          </cell>
        </row>
        <row r="4426">
          <cell r="A4426" t="str">
            <v>FB260005044</v>
          </cell>
          <cell r="D4426" t="str">
            <v>GAP</v>
          </cell>
        </row>
        <row r="4427">
          <cell r="A4427" t="str">
            <v>FB260005045</v>
          </cell>
          <cell r="D4427" t="str">
            <v>GAP</v>
          </cell>
        </row>
        <row r="4428">
          <cell r="A4428" t="str">
            <v>FB260005046</v>
          </cell>
          <cell r="D4428" t="str">
            <v>GAP</v>
          </cell>
        </row>
        <row r="4429">
          <cell r="A4429" t="str">
            <v>FB260005047</v>
          </cell>
          <cell r="D4429" t="str">
            <v>GAP</v>
          </cell>
        </row>
        <row r="4430">
          <cell r="A4430" t="str">
            <v>FB260005048</v>
          </cell>
          <cell r="D4430" t="str">
            <v>LBI</v>
          </cell>
        </row>
        <row r="4431">
          <cell r="A4431" t="str">
            <v>FB260005049</v>
          </cell>
          <cell r="D4431" t="str">
            <v>LBI</v>
          </cell>
        </row>
        <row r="4432">
          <cell r="A4432" t="str">
            <v>FB260005050</v>
          </cell>
          <cell r="D4432" t="str">
            <v>LBI</v>
          </cell>
        </row>
        <row r="4433">
          <cell r="A4433" t="str">
            <v>FB260005051</v>
          </cell>
          <cell r="D4433" t="str">
            <v>LBI</v>
          </cell>
        </row>
        <row r="4434">
          <cell r="A4434" t="str">
            <v>FB260005052</v>
          </cell>
          <cell r="D4434" t="str">
            <v>LBI</v>
          </cell>
        </row>
        <row r="4435">
          <cell r="A4435" t="str">
            <v>FB260005053</v>
          </cell>
          <cell r="D4435" t="str">
            <v>LBI</v>
          </cell>
        </row>
        <row r="4436">
          <cell r="A4436" t="str">
            <v>FB260005055</v>
          </cell>
          <cell r="D4436" t="str">
            <v>LBI</v>
          </cell>
        </row>
        <row r="4437">
          <cell r="A4437" t="str">
            <v>FB260005057</v>
          </cell>
          <cell r="D4437" t="str">
            <v>VSS</v>
          </cell>
        </row>
        <row r="4438">
          <cell r="A4438" t="str">
            <v>FB260005059</v>
          </cell>
          <cell r="D4438" t="str">
            <v>VSS</v>
          </cell>
        </row>
        <row r="4439">
          <cell r="A4439" t="str">
            <v>FB260005060</v>
          </cell>
          <cell r="D4439" t="str">
            <v>VSS</v>
          </cell>
        </row>
        <row r="4440">
          <cell r="A4440" t="str">
            <v>FB260005061</v>
          </cell>
          <cell r="D4440" t="str">
            <v>VSS</v>
          </cell>
        </row>
        <row r="4441">
          <cell r="A4441" t="str">
            <v>FB260005062</v>
          </cell>
          <cell r="D4441" t="str">
            <v>WACE</v>
          </cell>
        </row>
        <row r="4442">
          <cell r="A4442" t="str">
            <v>FB260005064</v>
          </cell>
          <cell r="D4442" t="str">
            <v>CK</v>
          </cell>
        </row>
        <row r="4443">
          <cell r="A4443" t="str">
            <v>FB260005065</v>
          </cell>
          <cell r="D4443" t="str">
            <v>SW</v>
          </cell>
        </row>
        <row r="4444">
          <cell r="A4444" t="str">
            <v>FB260005066</v>
          </cell>
          <cell r="D4444" t="str">
            <v>VSS</v>
          </cell>
        </row>
        <row r="4445">
          <cell r="A4445" t="str">
            <v>FB260005067</v>
          </cell>
          <cell r="D4445" t="str">
            <v>WACE</v>
          </cell>
        </row>
        <row r="4446">
          <cell r="A4446" t="str">
            <v>FB260005068</v>
          </cell>
          <cell r="D4446" t="str">
            <v>PINK</v>
          </cell>
        </row>
        <row r="4447">
          <cell r="A4447" t="str">
            <v>FB260005069</v>
          </cell>
          <cell r="D4447" t="str">
            <v>PINK</v>
          </cell>
        </row>
        <row r="4448">
          <cell r="A4448" t="str">
            <v>FB260005070</v>
          </cell>
          <cell r="D4448" t="str">
            <v>CK</v>
          </cell>
        </row>
        <row r="4449">
          <cell r="A4449" t="str">
            <v>FB260005071</v>
          </cell>
          <cell r="D4449" t="str">
            <v>NIK</v>
          </cell>
        </row>
        <row r="4450">
          <cell r="A4450" t="str">
            <v>FB260005072</v>
          </cell>
          <cell r="D4450" t="str">
            <v>NIK</v>
          </cell>
        </row>
        <row r="4451">
          <cell r="A4451" t="str">
            <v>FB260005073</v>
          </cell>
          <cell r="D4451" t="str">
            <v>NIK</v>
          </cell>
        </row>
        <row r="4452">
          <cell r="A4452" t="str">
            <v>FB260005074</v>
          </cell>
          <cell r="D4452" t="str">
            <v>NIK</v>
          </cell>
        </row>
        <row r="4453">
          <cell r="A4453" t="str">
            <v>FB260005075</v>
          </cell>
          <cell r="D4453" t="str">
            <v>PINK</v>
          </cell>
        </row>
        <row r="4454">
          <cell r="A4454" t="str">
            <v>FB260005076</v>
          </cell>
          <cell r="D4454" t="str">
            <v>PINK</v>
          </cell>
        </row>
        <row r="4455">
          <cell r="A4455" t="str">
            <v>FB260005077</v>
          </cell>
          <cell r="D4455" t="str">
            <v>PINK</v>
          </cell>
        </row>
        <row r="4456">
          <cell r="A4456" t="str">
            <v>FB260005078</v>
          </cell>
          <cell r="D4456" t="str">
            <v>LULU</v>
          </cell>
        </row>
        <row r="4457">
          <cell r="A4457" t="str">
            <v>FB260005080</v>
          </cell>
          <cell r="D4457" t="str">
            <v>TORD</v>
          </cell>
        </row>
        <row r="4458">
          <cell r="A4458" t="str">
            <v>FB260005082</v>
          </cell>
          <cell r="D4458" t="str">
            <v>NIK</v>
          </cell>
        </row>
        <row r="4459">
          <cell r="A4459" t="str">
            <v>FB260005083</v>
          </cell>
          <cell r="D4459" t="str">
            <v>NIK</v>
          </cell>
        </row>
        <row r="4460">
          <cell r="A4460" t="str">
            <v>FB260005084</v>
          </cell>
          <cell r="D4460" t="str">
            <v>NIK</v>
          </cell>
        </row>
        <row r="4461">
          <cell r="A4461" t="str">
            <v>FB260005085</v>
          </cell>
          <cell r="D4461" t="str">
            <v>NIK</v>
          </cell>
        </row>
        <row r="4462">
          <cell r="A4462" t="str">
            <v>FB260005086</v>
          </cell>
          <cell r="D4462" t="str">
            <v>NIK</v>
          </cell>
        </row>
        <row r="4463">
          <cell r="A4463" t="str">
            <v>FB260005087</v>
          </cell>
          <cell r="D4463" t="str">
            <v>NIK</v>
          </cell>
        </row>
        <row r="4464">
          <cell r="A4464" t="str">
            <v>FB260005088</v>
          </cell>
          <cell r="D4464" t="str">
            <v>NIK</v>
          </cell>
        </row>
        <row r="4465">
          <cell r="A4465" t="str">
            <v>FB260005089</v>
          </cell>
          <cell r="D4465" t="str">
            <v>NIK</v>
          </cell>
        </row>
        <row r="4466">
          <cell r="A4466" t="str">
            <v>FB260005090</v>
          </cell>
          <cell r="D4466" t="str">
            <v>NIK</v>
          </cell>
        </row>
        <row r="4467">
          <cell r="A4467" t="str">
            <v>FB260005091</v>
          </cell>
          <cell r="D4467" t="str">
            <v>NIK</v>
          </cell>
        </row>
        <row r="4468">
          <cell r="A4468" t="str">
            <v>FB260005092</v>
          </cell>
          <cell r="D4468" t="str">
            <v>NIK</v>
          </cell>
        </row>
        <row r="4469">
          <cell r="A4469" t="str">
            <v>FB260005093</v>
          </cell>
          <cell r="D4469" t="str">
            <v>NIK</v>
          </cell>
        </row>
        <row r="4470">
          <cell r="A4470" t="str">
            <v>FB260005094</v>
          </cell>
          <cell r="D4470" t="str">
            <v>NIK</v>
          </cell>
        </row>
        <row r="4471">
          <cell r="A4471" t="str">
            <v>FB260005095</v>
          </cell>
          <cell r="D4471" t="str">
            <v>NIK</v>
          </cell>
        </row>
        <row r="4472">
          <cell r="A4472" t="str">
            <v>FB260005096</v>
          </cell>
          <cell r="D4472" t="str">
            <v>NIK</v>
          </cell>
        </row>
        <row r="4473">
          <cell r="A4473" t="str">
            <v>FB260005097</v>
          </cell>
          <cell r="D4473" t="str">
            <v>NIK</v>
          </cell>
        </row>
        <row r="4474">
          <cell r="A4474" t="str">
            <v>FB260005098</v>
          </cell>
          <cell r="D4474" t="str">
            <v>NIK</v>
          </cell>
        </row>
        <row r="4475">
          <cell r="A4475" t="str">
            <v>FB260005100</v>
          </cell>
          <cell r="D4475" t="str">
            <v>NIK</v>
          </cell>
        </row>
        <row r="4476">
          <cell r="A4476" t="str">
            <v>FB260005101</v>
          </cell>
          <cell r="D4476" t="str">
            <v>NIK</v>
          </cell>
        </row>
        <row r="4477">
          <cell r="A4477" t="str">
            <v>FB260005102</v>
          </cell>
          <cell r="D4477" t="str">
            <v>CHICOS</v>
          </cell>
        </row>
        <row r="4478">
          <cell r="A4478" t="str">
            <v>FB260005103</v>
          </cell>
          <cell r="D4478" t="str">
            <v>CHICOS</v>
          </cell>
        </row>
        <row r="4479">
          <cell r="A4479" t="str">
            <v>FB260005104</v>
          </cell>
          <cell r="D4479" t="str">
            <v>NIK</v>
          </cell>
        </row>
        <row r="4480">
          <cell r="A4480" t="str">
            <v>FB260005105</v>
          </cell>
          <cell r="D4480" t="str">
            <v>NIK</v>
          </cell>
        </row>
        <row r="4481">
          <cell r="A4481" t="str">
            <v>FB260005106</v>
          </cell>
          <cell r="D4481" t="str">
            <v>NIK</v>
          </cell>
        </row>
        <row r="4482">
          <cell r="A4482" t="str">
            <v>FB260005107</v>
          </cell>
          <cell r="D4482" t="str">
            <v>NIK</v>
          </cell>
        </row>
        <row r="4483">
          <cell r="A4483" t="str">
            <v>FB260005108</v>
          </cell>
          <cell r="D4483" t="str">
            <v>CHICOS</v>
          </cell>
        </row>
        <row r="4484">
          <cell r="A4484" t="str">
            <v>FB260005109</v>
          </cell>
          <cell r="D4484" t="str">
            <v>NIK</v>
          </cell>
        </row>
        <row r="4485">
          <cell r="A4485" t="str">
            <v>FB260005110</v>
          </cell>
          <cell r="D4485" t="str">
            <v>CHICOS</v>
          </cell>
        </row>
        <row r="4486">
          <cell r="A4486" t="str">
            <v>FB260005111</v>
          </cell>
          <cell r="D4486" t="str">
            <v>NIK</v>
          </cell>
        </row>
        <row r="4487">
          <cell r="A4487" t="str">
            <v>FB260005112</v>
          </cell>
          <cell r="D4487" t="str">
            <v>NIK</v>
          </cell>
        </row>
        <row r="4488">
          <cell r="A4488" t="str">
            <v>FB260005113</v>
          </cell>
          <cell r="D4488" t="str">
            <v>VSS</v>
          </cell>
        </row>
        <row r="4489">
          <cell r="A4489" t="str">
            <v>FB260005114</v>
          </cell>
          <cell r="D4489" t="str">
            <v>NIK</v>
          </cell>
        </row>
        <row r="4490">
          <cell r="A4490" t="str">
            <v>FB260005115</v>
          </cell>
          <cell r="D4490" t="str">
            <v>VSS</v>
          </cell>
        </row>
        <row r="4491">
          <cell r="A4491" t="str">
            <v>FB260005116</v>
          </cell>
          <cell r="D4491" t="str">
            <v>VSS</v>
          </cell>
        </row>
        <row r="4492">
          <cell r="A4492" t="str">
            <v>FB260005117</v>
          </cell>
          <cell r="D4492" t="str">
            <v>VSS</v>
          </cell>
        </row>
        <row r="4493">
          <cell r="A4493" t="str">
            <v>FB260005118</v>
          </cell>
          <cell r="D4493" t="str">
            <v>VSS</v>
          </cell>
        </row>
        <row r="4494">
          <cell r="A4494" t="str">
            <v>FB260005119</v>
          </cell>
          <cell r="D4494" t="str">
            <v>VSS</v>
          </cell>
        </row>
        <row r="4495">
          <cell r="A4495" t="str">
            <v>FB260005120</v>
          </cell>
          <cell r="D4495" t="str">
            <v>VSS</v>
          </cell>
        </row>
        <row r="4496">
          <cell r="A4496" t="str">
            <v>FB260005121</v>
          </cell>
          <cell r="D4496" t="str">
            <v>VSS</v>
          </cell>
        </row>
        <row r="4497">
          <cell r="A4497" t="str">
            <v>FB260005122</v>
          </cell>
          <cell r="D4497" t="str">
            <v>VSS</v>
          </cell>
        </row>
        <row r="4498">
          <cell r="A4498" t="str">
            <v>FB260005123</v>
          </cell>
          <cell r="D4498" t="str">
            <v>VSS</v>
          </cell>
        </row>
        <row r="4499">
          <cell r="A4499" t="str">
            <v>FB260005124</v>
          </cell>
          <cell r="D4499" t="str">
            <v>VSS</v>
          </cell>
        </row>
        <row r="4500">
          <cell r="A4500" t="str">
            <v>FB260005125</v>
          </cell>
          <cell r="D4500" t="str">
            <v>VSS</v>
          </cell>
        </row>
        <row r="4501">
          <cell r="A4501" t="str">
            <v>FB260005126</v>
          </cell>
          <cell r="D4501" t="str">
            <v>VSS</v>
          </cell>
        </row>
        <row r="4502">
          <cell r="A4502" t="str">
            <v>FB260005133</v>
          </cell>
          <cell r="D4502" t="str">
            <v>PEP</v>
          </cell>
        </row>
        <row r="4503">
          <cell r="A4503" t="str">
            <v>FB260005140</v>
          </cell>
          <cell r="D4503" t="str">
            <v>WACE</v>
          </cell>
        </row>
        <row r="4504">
          <cell r="A4504" t="str">
            <v>FB260005142</v>
          </cell>
          <cell r="D4504" t="str">
            <v>CK</v>
          </cell>
        </row>
        <row r="4505">
          <cell r="A4505" t="str">
            <v>FB260005143</v>
          </cell>
          <cell r="D4505" t="str">
            <v>CK</v>
          </cell>
        </row>
        <row r="4506">
          <cell r="A4506" t="str">
            <v>FB260005144</v>
          </cell>
          <cell r="D4506" t="str">
            <v>CK</v>
          </cell>
        </row>
        <row r="4507">
          <cell r="A4507" t="str">
            <v>FB260005145</v>
          </cell>
          <cell r="D4507" t="str">
            <v>CK</v>
          </cell>
        </row>
        <row r="4508">
          <cell r="A4508" t="str">
            <v>FB260005146</v>
          </cell>
          <cell r="D4508" t="str">
            <v>CK</v>
          </cell>
        </row>
        <row r="4509">
          <cell r="A4509" t="str">
            <v>FB260005147</v>
          </cell>
          <cell r="D4509" t="str">
            <v>CK</v>
          </cell>
        </row>
        <row r="4510">
          <cell r="A4510" t="str">
            <v>FB260005149</v>
          </cell>
          <cell r="D4510" t="str">
            <v>KOM</v>
          </cell>
        </row>
        <row r="4511">
          <cell r="A4511" t="str">
            <v>FB260005150</v>
          </cell>
          <cell r="D4511" t="str">
            <v>CK</v>
          </cell>
        </row>
        <row r="4512">
          <cell r="A4512" t="str">
            <v>FB260005151</v>
          </cell>
          <cell r="D4512" t="str">
            <v>PINK</v>
          </cell>
        </row>
        <row r="4513">
          <cell r="A4513" t="str">
            <v>FB260005152</v>
          </cell>
          <cell r="D4513" t="str">
            <v>NIK</v>
          </cell>
        </row>
        <row r="4514">
          <cell r="A4514" t="str">
            <v>FB260005153</v>
          </cell>
          <cell r="D4514" t="str">
            <v>NIK</v>
          </cell>
        </row>
        <row r="4515">
          <cell r="A4515" t="str">
            <v>FB260005154</v>
          </cell>
          <cell r="D4515" t="str">
            <v>PINK</v>
          </cell>
        </row>
        <row r="4516">
          <cell r="A4516" t="str">
            <v>FB260005155</v>
          </cell>
          <cell r="D4516" t="str">
            <v>PINK</v>
          </cell>
        </row>
        <row r="4517">
          <cell r="A4517" t="str">
            <v>FB260005156</v>
          </cell>
          <cell r="D4517" t="str">
            <v>VSS</v>
          </cell>
        </row>
        <row r="4518">
          <cell r="A4518" t="str">
            <v>FB260005157</v>
          </cell>
          <cell r="D4518" t="str">
            <v>VSS</v>
          </cell>
        </row>
        <row r="4519">
          <cell r="A4519" t="str">
            <v>FB260005158</v>
          </cell>
          <cell r="D4519" t="str">
            <v>VSS</v>
          </cell>
        </row>
        <row r="4520">
          <cell r="A4520" t="str">
            <v>FB260005159</v>
          </cell>
          <cell r="D4520" t="str">
            <v>PINK</v>
          </cell>
        </row>
        <row r="4521">
          <cell r="A4521" t="str">
            <v>FB260005160</v>
          </cell>
          <cell r="D4521" t="str">
            <v>VSS</v>
          </cell>
        </row>
        <row r="4522">
          <cell r="A4522" t="str">
            <v>FB260005161</v>
          </cell>
          <cell r="D4522" t="str">
            <v>VSS</v>
          </cell>
        </row>
        <row r="4523">
          <cell r="A4523" t="str">
            <v>FB260005162</v>
          </cell>
          <cell r="D4523" t="str">
            <v>VSS</v>
          </cell>
        </row>
        <row r="4524">
          <cell r="A4524" t="str">
            <v>FB260005164</v>
          </cell>
          <cell r="D4524" t="str">
            <v>VSS</v>
          </cell>
        </row>
        <row r="4525">
          <cell r="A4525" t="str">
            <v>FB260005165</v>
          </cell>
          <cell r="D4525" t="str">
            <v>VSS</v>
          </cell>
        </row>
        <row r="4526">
          <cell r="A4526" t="str">
            <v>FB260005166</v>
          </cell>
          <cell r="D4526" t="str">
            <v>VSS</v>
          </cell>
        </row>
        <row r="4527">
          <cell r="A4527" t="str">
            <v>FB260005167</v>
          </cell>
          <cell r="D4527" t="str">
            <v>VSS</v>
          </cell>
        </row>
        <row r="4528">
          <cell r="A4528" t="str">
            <v>FB260005169</v>
          </cell>
          <cell r="D4528" t="str">
            <v>VSS</v>
          </cell>
        </row>
        <row r="4529">
          <cell r="A4529" t="str">
            <v>FB260005170</v>
          </cell>
          <cell r="D4529" t="str">
            <v>VSS</v>
          </cell>
        </row>
        <row r="4530">
          <cell r="A4530" t="str">
            <v>FB260005171</v>
          </cell>
          <cell r="D4530" t="str">
            <v>VSS</v>
          </cell>
        </row>
        <row r="4531">
          <cell r="A4531" t="str">
            <v>FB260005173</v>
          </cell>
          <cell r="D4531" t="str">
            <v>VSS</v>
          </cell>
        </row>
        <row r="4532">
          <cell r="A4532" t="str">
            <v>FB260005174</v>
          </cell>
          <cell r="D4532" t="str">
            <v>VSS</v>
          </cell>
        </row>
        <row r="4533">
          <cell r="A4533" t="str">
            <v>FB260005175</v>
          </cell>
          <cell r="D4533" t="str">
            <v>VSS</v>
          </cell>
        </row>
        <row r="4534">
          <cell r="A4534" t="str">
            <v>FB260005177</v>
          </cell>
          <cell r="D4534" t="str">
            <v>VSS</v>
          </cell>
        </row>
        <row r="4535">
          <cell r="A4535" t="str">
            <v>FB260005178</v>
          </cell>
          <cell r="D4535" t="str">
            <v>VSS</v>
          </cell>
        </row>
        <row r="4536">
          <cell r="A4536" t="str">
            <v>FB260005179</v>
          </cell>
          <cell r="D4536" t="str">
            <v>VSS</v>
          </cell>
        </row>
        <row r="4537">
          <cell r="A4537" t="str">
            <v>FB260005180</v>
          </cell>
          <cell r="D4537" t="str">
            <v>VSS</v>
          </cell>
        </row>
        <row r="4538">
          <cell r="A4538" t="str">
            <v>FB260005181</v>
          </cell>
          <cell r="D4538" t="str">
            <v>VSS</v>
          </cell>
        </row>
        <row r="4539">
          <cell r="A4539" t="str">
            <v>FB260005182</v>
          </cell>
          <cell r="D4539" t="str">
            <v>VSS</v>
          </cell>
        </row>
        <row r="4540">
          <cell r="A4540" t="str">
            <v>FB260005184</v>
          </cell>
          <cell r="D4540" t="str">
            <v>VSS</v>
          </cell>
        </row>
        <row r="4541">
          <cell r="A4541" t="str">
            <v>FB260005185</v>
          </cell>
          <cell r="D4541" t="str">
            <v>VSS</v>
          </cell>
        </row>
        <row r="4542">
          <cell r="A4542" t="str">
            <v>FB260005186</v>
          </cell>
          <cell r="D4542" t="str">
            <v>VSS</v>
          </cell>
        </row>
        <row r="4543">
          <cell r="A4543" t="str">
            <v>FB260005187</v>
          </cell>
          <cell r="D4543" t="str">
            <v>VSS</v>
          </cell>
        </row>
        <row r="4544">
          <cell r="A4544" t="str">
            <v>FB260005188</v>
          </cell>
          <cell r="D4544" t="str">
            <v>VSS</v>
          </cell>
        </row>
        <row r="4545">
          <cell r="A4545" t="str">
            <v>FB260005189</v>
          </cell>
          <cell r="D4545" t="str">
            <v>VSS</v>
          </cell>
        </row>
        <row r="4546">
          <cell r="A4546" t="str">
            <v>FB260005191</v>
          </cell>
          <cell r="D4546" t="str">
            <v>VSS</v>
          </cell>
        </row>
        <row r="4547">
          <cell r="A4547" t="str">
            <v>FB260005193</v>
          </cell>
          <cell r="D4547" t="str">
            <v>VSS</v>
          </cell>
        </row>
        <row r="4548">
          <cell r="A4548" t="str">
            <v>FB260005194</v>
          </cell>
          <cell r="D4548" t="str">
            <v>VSS</v>
          </cell>
        </row>
        <row r="4549">
          <cell r="A4549" t="str">
            <v>FB260005195</v>
          </cell>
          <cell r="D4549" t="str">
            <v>VSS</v>
          </cell>
        </row>
        <row r="4550">
          <cell r="A4550" t="str">
            <v>FB260005196</v>
          </cell>
          <cell r="D4550" t="str">
            <v>VSS</v>
          </cell>
        </row>
        <row r="4551">
          <cell r="A4551" t="str">
            <v>FB260005198</v>
          </cell>
          <cell r="D4551" t="str">
            <v>VSS</v>
          </cell>
        </row>
        <row r="4552">
          <cell r="A4552" t="str">
            <v>FB260005199</v>
          </cell>
          <cell r="D4552" t="str">
            <v>LBI</v>
          </cell>
        </row>
        <row r="4553">
          <cell r="A4553" t="str">
            <v>FB260005200</v>
          </cell>
          <cell r="D4553" t="str">
            <v>LULU</v>
          </cell>
        </row>
        <row r="4554">
          <cell r="A4554" t="str">
            <v>FB260005202</v>
          </cell>
          <cell r="D4554" t="str">
            <v>CK</v>
          </cell>
        </row>
        <row r="4555">
          <cell r="A4555" t="str">
            <v>FB260005203</v>
          </cell>
          <cell r="D4555" t="str">
            <v>VSS</v>
          </cell>
        </row>
        <row r="4556">
          <cell r="A4556" t="str">
            <v>FB260005204</v>
          </cell>
          <cell r="D4556" t="str">
            <v>VSS</v>
          </cell>
        </row>
        <row r="4557">
          <cell r="A4557" t="str">
            <v>FB260005205</v>
          </cell>
          <cell r="D4557" t="str">
            <v>CK</v>
          </cell>
        </row>
        <row r="4558">
          <cell r="A4558" t="str">
            <v>FB260005208</v>
          </cell>
          <cell r="D4558" t="str">
            <v>VSS</v>
          </cell>
        </row>
        <row r="4559">
          <cell r="A4559" t="str">
            <v>FB260005209</v>
          </cell>
          <cell r="D4559" t="str">
            <v>VSS</v>
          </cell>
        </row>
        <row r="4560">
          <cell r="A4560" t="str">
            <v>FB260005210</v>
          </cell>
          <cell r="D4560" t="str">
            <v>NIK</v>
          </cell>
        </row>
        <row r="4561">
          <cell r="A4561" t="str">
            <v>FB260005211</v>
          </cell>
          <cell r="D4561" t="str">
            <v>NIK</v>
          </cell>
        </row>
        <row r="4562">
          <cell r="A4562" t="str">
            <v>FB260005213</v>
          </cell>
          <cell r="D4562" t="str">
            <v>NIK</v>
          </cell>
        </row>
        <row r="4563">
          <cell r="A4563" t="str">
            <v>FB260005214</v>
          </cell>
          <cell r="D4563" t="str">
            <v>NIK</v>
          </cell>
        </row>
        <row r="4564">
          <cell r="A4564" t="str">
            <v>FB260005220</v>
          </cell>
          <cell r="D4564" t="str">
            <v>GAP</v>
          </cell>
        </row>
        <row r="4565">
          <cell r="A4565" t="str">
            <v>FB260005221</v>
          </cell>
          <cell r="D4565" t="str">
            <v>VSS</v>
          </cell>
        </row>
        <row r="4566">
          <cell r="A4566" t="str">
            <v>FB260005222</v>
          </cell>
          <cell r="D4566" t="str">
            <v>VSS</v>
          </cell>
        </row>
        <row r="4567">
          <cell r="A4567" t="str">
            <v>FB260005223</v>
          </cell>
          <cell r="D4567" t="str">
            <v>VSS</v>
          </cell>
        </row>
        <row r="4568">
          <cell r="A4568" t="str">
            <v>FB260005224</v>
          </cell>
          <cell r="D4568" t="str">
            <v>THX</v>
          </cell>
        </row>
        <row r="4569">
          <cell r="A4569" t="str">
            <v>FB260005225</v>
          </cell>
          <cell r="D4569" t="str">
            <v>NKSKI</v>
          </cell>
        </row>
        <row r="4570">
          <cell r="A4570" t="str">
            <v>FB260005227</v>
          </cell>
          <cell r="D4570" t="str">
            <v>VSS</v>
          </cell>
        </row>
        <row r="4571">
          <cell r="A4571" t="str">
            <v>FB260005231</v>
          </cell>
          <cell r="D4571" t="str">
            <v>VSS</v>
          </cell>
        </row>
        <row r="4572">
          <cell r="A4572" t="str">
            <v>FB260005232</v>
          </cell>
          <cell r="D4572" t="str">
            <v>VSS</v>
          </cell>
        </row>
        <row r="4573">
          <cell r="A4573" t="str">
            <v>FB260005233</v>
          </cell>
          <cell r="D4573" t="str">
            <v>VSS</v>
          </cell>
        </row>
        <row r="4574">
          <cell r="A4574" t="str">
            <v>FB260005235</v>
          </cell>
          <cell r="D4574" t="str">
            <v>LULU</v>
          </cell>
        </row>
        <row r="4575">
          <cell r="A4575" t="str">
            <v>FB260005238</v>
          </cell>
          <cell r="D4575" t="str">
            <v>M&amp;S</v>
          </cell>
        </row>
        <row r="4576">
          <cell r="A4576" t="str">
            <v>FB260005239</v>
          </cell>
          <cell r="D4576" t="str">
            <v>CK</v>
          </cell>
        </row>
        <row r="4577">
          <cell r="A4577" t="str">
            <v>FB260005240</v>
          </cell>
          <cell r="D4577" t="str">
            <v>WACE</v>
          </cell>
        </row>
        <row r="4578">
          <cell r="A4578" t="str">
            <v>FB260005241</v>
          </cell>
          <cell r="D4578" t="str">
            <v>VSS</v>
          </cell>
        </row>
        <row r="4579">
          <cell r="A4579" t="str">
            <v>FB260005243</v>
          </cell>
          <cell r="D4579" t="str">
            <v>CK</v>
          </cell>
        </row>
        <row r="4580">
          <cell r="A4580" t="str">
            <v>FB260005244</v>
          </cell>
          <cell r="D4580" t="str">
            <v>NIK</v>
          </cell>
        </row>
        <row r="4581">
          <cell r="A4581" t="str">
            <v>FB260005245</v>
          </cell>
          <cell r="D4581" t="str">
            <v>CK</v>
          </cell>
        </row>
        <row r="4582">
          <cell r="A4582" t="str">
            <v>FB260005251</v>
          </cell>
          <cell r="D4582" t="str">
            <v>GAPO</v>
          </cell>
        </row>
        <row r="4583">
          <cell r="A4583" t="str">
            <v>FB260005252</v>
          </cell>
          <cell r="D4583" t="str">
            <v>GAP</v>
          </cell>
        </row>
        <row r="4584">
          <cell r="A4584" t="str">
            <v>FB260005259</v>
          </cell>
          <cell r="D4584" t="str">
            <v>GAP</v>
          </cell>
        </row>
        <row r="4585">
          <cell r="A4585" t="str">
            <v>FB260005260</v>
          </cell>
          <cell r="D4585" t="str">
            <v>GAPO</v>
          </cell>
        </row>
        <row r="4586">
          <cell r="A4586" t="str">
            <v>FB260005261</v>
          </cell>
          <cell r="D4586" t="str">
            <v>GAPO</v>
          </cell>
        </row>
        <row r="4587">
          <cell r="A4587" t="str">
            <v>FB260005262</v>
          </cell>
          <cell r="D4587" t="str">
            <v>GAP</v>
          </cell>
        </row>
        <row r="4588">
          <cell r="A4588" t="str">
            <v>FB260005263</v>
          </cell>
          <cell r="D4588" t="str">
            <v>VSS</v>
          </cell>
        </row>
        <row r="4589">
          <cell r="A4589" t="str">
            <v>FB260005267</v>
          </cell>
          <cell r="D4589" t="str">
            <v>VSS</v>
          </cell>
        </row>
        <row r="4590">
          <cell r="A4590" t="str">
            <v>FB260005268</v>
          </cell>
          <cell r="D4590" t="str">
            <v>VSS</v>
          </cell>
        </row>
        <row r="4591">
          <cell r="A4591" t="str">
            <v>FB260005269</v>
          </cell>
          <cell r="D4591" t="str">
            <v>NIK</v>
          </cell>
        </row>
        <row r="4592">
          <cell r="A4592" t="str">
            <v>FB260005270</v>
          </cell>
          <cell r="D4592" t="str">
            <v>M&amp;S</v>
          </cell>
        </row>
        <row r="4593">
          <cell r="A4593" t="str">
            <v>FB260005271</v>
          </cell>
          <cell r="D4593" t="str">
            <v>ODL</v>
          </cell>
        </row>
        <row r="4594">
          <cell r="A4594" t="str">
            <v>FB260005272</v>
          </cell>
          <cell r="D4594" t="str">
            <v>NIK</v>
          </cell>
        </row>
        <row r="4595">
          <cell r="A4595" t="str">
            <v>FB260005273</v>
          </cell>
          <cell r="D4595" t="str">
            <v>NIK</v>
          </cell>
        </row>
        <row r="4596">
          <cell r="A4596" t="str">
            <v>FB260005275</v>
          </cell>
          <cell r="D4596" t="str">
            <v>WACE</v>
          </cell>
        </row>
        <row r="4597">
          <cell r="A4597" t="str">
            <v>FB260005276</v>
          </cell>
          <cell r="D4597" t="str">
            <v>M&amp;S</v>
          </cell>
        </row>
        <row r="4598">
          <cell r="A4598" t="str">
            <v>FB260005281</v>
          </cell>
          <cell r="D4598" t="str">
            <v>LULU</v>
          </cell>
        </row>
        <row r="4599">
          <cell r="A4599" t="str">
            <v>FB260005282</v>
          </cell>
          <cell r="D4599" t="str">
            <v>LULU</v>
          </cell>
        </row>
        <row r="4600">
          <cell r="A4600" t="str">
            <v>FB260005283</v>
          </cell>
          <cell r="D4600" t="str">
            <v>LULU</v>
          </cell>
        </row>
        <row r="4601">
          <cell r="A4601" t="str">
            <v>FB260005284</v>
          </cell>
          <cell r="D4601" t="str">
            <v>LULU</v>
          </cell>
        </row>
        <row r="4602">
          <cell r="A4602" t="str">
            <v>FB260005285</v>
          </cell>
          <cell r="D4602" t="str">
            <v>LULU</v>
          </cell>
        </row>
        <row r="4603">
          <cell r="A4603" t="str">
            <v>FB260005286</v>
          </cell>
          <cell r="D4603" t="str">
            <v>LULU</v>
          </cell>
        </row>
        <row r="4604">
          <cell r="A4604" t="str">
            <v>FB260005287</v>
          </cell>
          <cell r="D4604" t="str">
            <v>LULU</v>
          </cell>
        </row>
        <row r="4605">
          <cell r="A4605" t="str">
            <v>FB260005288</v>
          </cell>
          <cell r="D4605" t="str">
            <v>LULU</v>
          </cell>
        </row>
        <row r="4606">
          <cell r="A4606" t="str">
            <v>FB260005289</v>
          </cell>
          <cell r="D4606" t="str">
            <v>LULU</v>
          </cell>
        </row>
        <row r="4607">
          <cell r="A4607" t="str">
            <v>FB260005291</v>
          </cell>
          <cell r="D4607" t="str">
            <v>LULU</v>
          </cell>
        </row>
        <row r="4608">
          <cell r="A4608" t="str">
            <v>FB260005293</v>
          </cell>
          <cell r="D4608" t="str">
            <v>LBI</v>
          </cell>
        </row>
        <row r="4609">
          <cell r="A4609" t="str">
            <v>FB260005294</v>
          </cell>
          <cell r="D4609" t="str">
            <v>LBI</v>
          </cell>
        </row>
        <row r="4610">
          <cell r="A4610" t="str">
            <v>FB260005295</v>
          </cell>
          <cell r="D4610" t="str">
            <v>LBI</v>
          </cell>
        </row>
        <row r="4611">
          <cell r="A4611" t="str">
            <v>FB260005296</v>
          </cell>
          <cell r="D4611" t="str">
            <v>LBI</v>
          </cell>
        </row>
        <row r="4612">
          <cell r="A4612" t="str">
            <v>FB260005297</v>
          </cell>
          <cell r="D4612" t="str">
            <v>CK</v>
          </cell>
        </row>
        <row r="4613">
          <cell r="A4613" t="str">
            <v>FB260005298</v>
          </cell>
          <cell r="D4613" t="str">
            <v>VSS</v>
          </cell>
        </row>
        <row r="4614">
          <cell r="A4614" t="str">
            <v>FB260005299</v>
          </cell>
          <cell r="D4614" t="str">
            <v>VSS</v>
          </cell>
        </row>
        <row r="4615">
          <cell r="A4615" t="str">
            <v>FB260005300</v>
          </cell>
          <cell r="D4615" t="str">
            <v>VSS</v>
          </cell>
        </row>
        <row r="4616">
          <cell r="A4616" t="str">
            <v>FB260005301</v>
          </cell>
          <cell r="D4616" t="str">
            <v>CK</v>
          </cell>
        </row>
        <row r="4617">
          <cell r="A4617" t="str">
            <v>FB260005302</v>
          </cell>
          <cell r="D4617" t="str">
            <v>VSS</v>
          </cell>
        </row>
        <row r="4618">
          <cell r="A4618" t="str">
            <v>FB260005306</v>
          </cell>
          <cell r="D4618" t="str">
            <v>TJEL</v>
          </cell>
        </row>
        <row r="4619">
          <cell r="A4619" t="str">
            <v>FB260005311</v>
          </cell>
          <cell r="D4619" t="str">
            <v>TJEL</v>
          </cell>
        </row>
        <row r="4620">
          <cell r="A4620" t="str">
            <v>FB260005312</v>
          </cell>
          <cell r="D4620" t="str">
            <v>CK</v>
          </cell>
        </row>
        <row r="4621">
          <cell r="A4621" t="str">
            <v>FB260005315</v>
          </cell>
          <cell r="D4621" t="str">
            <v>VSS</v>
          </cell>
        </row>
        <row r="4622">
          <cell r="A4622" t="str">
            <v>FB260005317</v>
          </cell>
          <cell r="D4622" t="str">
            <v>THEU</v>
          </cell>
        </row>
        <row r="4623">
          <cell r="A4623" t="str">
            <v>FB260005319</v>
          </cell>
          <cell r="D4623" t="str">
            <v>CK</v>
          </cell>
        </row>
        <row r="4624">
          <cell r="A4624" t="str">
            <v>FB260005320</v>
          </cell>
          <cell r="D4624" t="str">
            <v>CK</v>
          </cell>
        </row>
        <row r="4625">
          <cell r="A4625" t="str">
            <v>FB260005322</v>
          </cell>
          <cell r="D4625" t="str">
            <v>CK</v>
          </cell>
        </row>
        <row r="4626">
          <cell r="A4626" t="str">
            <v>FB260005323</v>
          </cell>
          <cell r="D4626" t="str">
            <v>CK</v>
          </cell>
        </row>
        <row r="4627">
          <cell r="A4627" t="str">
            <v>FB260005324</v>
          </cell>
          <cell r="D4627" t="str">
            <v>CK</v>
          </cell>
        </row>
        <row r="4628">
          <cell r="A4628" t="str">
            <v>FB260005325</v>
          </cell>
          <cell r="D4628" t="str">
            <v>CK</v>
          </cell>
        </row>
        <row r="4629">
          <cell r="A4629" t="str">
            <v>FB260005326</v>
          </cell>
          <cell r="D4629" t="str">
            <v>THEU</v>
          </cell>
        </row>
        <row r="4630">
          <cell r="A4630" t="str">
            <v>FB260005327</v>
          </cell>
          <cell r="D4630" t="str">
            <v>TORD</v>
          </cell>
        </row>
        <row r="4631">
          <cell r="A4631" t="str">
            <v>FB260005328</v>
          </cell>
          <cell r="D4631" t="str">
            <v>TORD</v>
          </cell>
        </row>
        <row r="4632">
          <cell r="A4632" t="str">
            <v>FB260005330</v>
          </cell>
          <cell r="D4632" t="str">
            <v>SW</v>
          </cell>
        </row>
        <row r="4633">
          <cell r="A4633" t="str">
            <v>FB260005331</v>
          </cell>
          <cell r="D4633" t="str">
            <v>SW</v>
          </cell>
        </row>
        <row r="4634">
          <cell r="A4634" t="str">
            <v>FB260005334</v>
          </cell>
          <cell r="D4634" t="str">
            <v>CK</v>
          </cell>
        </row>
        <row r="4635">
          <cell r="A4635" t="str">
            <v>FB260005336</v>
          </cell>
          <cell r="D4635" t="str">
            <v>VSS</v>
          </cell>
        </row>
        <row r="4636">
          <cell r="A4636" t="str">
            <v>FB260005339</v>
          </cell>
          <cell r="D4636" t="str">
            <v>VSS</v>
          </cell>
        </row>
        <row r="4637">
          <cell r="A4637" t="str">
            <v>FB260005340</v>
          </cell>
          <cell r="D4637" t="str">
            <v>NIK</v>
          </cell>
        </row>
        <row r="4638">
          <cell r="A4638" t="str">
            <v>FB260005346</v>
          </cell>
          <cell r="D4638" t="str">
            <v>GAP</v>
          </cell>
        </row>
        <row r="4639">
          <cell r="A4639" t="str">
            <v>FB260005347</v>
          </cell>
          <cell r="D4639" t="str">
            <v>GAP</v>
          </cell>
        </row>
        <row r="4640">
          <cell r="A4640" t="str">
            <v>FB260005348</v>
          </cell>
          <cell r="D4640" t="str">
            <v>GAP</v>
          </cell>
        </row>
        <row r="4641">
          <cell r="A4641" t="str">
            <v>FB260005349</v>
          </cell>
          <cell r="D4641" t="str">
            <v>GAP</v>
          </cell>
        </row>
        <row r="4642">
          <cell r="A4642" t="str">
            <v>FB260005350</v>
          </cell>
          <cell r="D4642" t="str">
            <v>GAPO</v>
          </cell>
        </row>
        <row r="4643">
          <cell r="A4643" t="str">
            <v>FB260005351</v>
          </cell>
          <cell r="D4643" t="str">
            <v>GAP</v>
          </cell>
        </row>
        <row r="4644">
          <cell r="A4644" t="str">
            <v>FB260005352</v>
          </cell>
          <cell r="D4644" t="str">
            <v>NIK</v>
          </cell>
        </row>
        <row r="4645">
          <cell r="A4645" t="str">
            <v>FB260005354</v>
          </cell>
          <cell r="D4645" t="str">
            <v>NIK</v>
          </cell>
        </row>
        <row r="4646">
          <cell r="A4646" t="str">
            <v>FB260005362</v>
          </cell>
          <cell r="D4646" t="str">
            <v>GAP</v>
          </cell>
        </row>
        <row r="4647">
          <cell r="A4647" t="str">
            <v>FB260005363</v>
          </cell>
          <cell r="D4647" t="str">
            <v>GAP</v>
          </cell>
        </row>
        <row r="4648">
          <cell r="A4648" t="str">
            <v>FB260005366</v>
          </cell>
          <cell r="D4648" t="str">
            <v>NIK</v>
          </cell>
        </row>
        <row r="4649">
          <cell r="A4649" t="str">
            <v>FB260005371</v>
          </cell>
          <cell r="D4649" t="str">
            <v>LULU</v>
          </cell>
        </row>
        <row r="4650">
          <cell r="A4650" t="str">
            <v>FB260005372</v>
          </cell>
          <cell r="D4650" t="str">
            <v>LULU</v>
          </cell>
        </row>
        <row r="4651">
          <cell r="A4651" t="str">
            <v>FB260005375</v>
          </cell>
          <cell r="D4651" t="str">
            <v>TJEL</v>
          </cell>
        </row>
        <row r="4652">
          <cell r="A4652" t="str">
            <v>FB260005378</v>
          </cell>
          <cell r="D4652" t="str">
            <v>TJEL</v>
          </cell>
        </row>
        <row r="4653">
          <cell r="A4653" t="str">
            <v>FB260005379</v>
          </cell>
          <cell r="D4653" t="str">
            <v>TORD</v>
          </cell>
        </row>
        <row r="4654">
          <cell r="A4654" t="str">
            <v>FB260005380</v>
          </cell>
          <cell r="D4654" t="str">
            <v>CK</v>
          </cell>
        </row>
        <row r="4655">
          <cell r="A4655" t="str">
            <v>FB260005381</v>
          </cell>
          <cell r="D4655" t="str">
            <v>NIK</v>
          </cell>
        </row>
        <row r="4656">
          <cell r="A4656" t="str">
            <v>FB260005382</v>
          </cell>
          <cell r="D4656" t="str">
            <v>CK</v>
          </cell>
        </row>
        <row r="4657">
          <cell r="A4657" t="str">
            <v>FB260005384</v>
          </cell>
          <cell r="D4657" t="str">
            <v>VSS</v>
          </cell>
        </row>
        <row r="4658">
          <cell r="A4658" t="str">
            <v>FB260005385</v>
          </cell>
          <cell r="D4658" t="str">
            <v>VSS</v>
          </cell>
        </row>
        <row r="4659">
          <cell r="A4659" t="str">
            <v>FB260005387</v>
          </cell>
          <cell r="D4659" t="str">
            <v>NIK</v>
          </cell>
        </row>
        <row r="4660">
          <cell r="A4660" t="str">
            <v>FB260005388</v>
          </cell>
          <cell r="D4660" t="str">
            <v>VSS</v>
          </cell>
        </row>
        <row r="4661">
          <cell r="A4661" t="str">
            <v>FB260005389</v>
          </cell>
          <cell r="D4661" t="str">
            <v>GAP</v>
          </cell>
        </row>
        <row r="4662">
          <cell r="A4662" t="str">
            <v>FB260005390</v>
          </cell>
          <cell r="D4662" t="str">
            <v>VSS</v>
          </cell>
        </row>
        <row r="4663">
          <cell r="A4663" t="str">
            <v>FB260005391</v>
          </cell>
          <cell r="D4663" t="str">
            <v>VSS</v>
          </cell>
        </row>
        <row r="4664">
          <cell r="A4664" t="str">
            <v>FB260005393</v>
          </cell>
          <cell r="D4664" t="str">
            <v>NIK</v>
          </cell>
        </row>
        <row r="4665">
          <cell r="A4665" t="str">
            <v>FB260005395</v>
          </cell>
          <cell r="D4665" t="str">
            <v>NIK</v>
          </cell>
        </row>
        <row r="4666">
          <cell r="A4666" t="str">
            <v>FB260005396</v>
          </cell>
          <cell r="D4666" t="str">
            <v>NIK</v>
          </cell>
        </row>
        <row r="4667">
          <cell r="A4667" t="str">
            <v>FB260005397</v>
          </cell>
          <cell r="D4667" t="str">
            <v>NIK</v>
          </cell>
        </row>
        <row r="4668">
          <cell r="A4668" t="str">
            <v>FB260005398</v>
          </cell>
          <cell r="D4668" t="str">
            <v>NIK</v>
          </cell>
        </row>
        <row r="4669">
          <cell r="A4669" t="str">
            <v>FB260005404</v>
          </cell>
          <cell r="D4669" t="str">
            <v>VSS</v>
          </cell>
        </row>
        <row r="4670">
          <cell r="A4670" t="str">
            <v>FB260005405</v>
          </cell>
          <cell r="D4670" t="str">
            <v>VSS</v>
          </cell>
        </row>
        <row r="4671">
          <cell r="A4671" t="str">
            <v>FB260005407</v>
          </cell>
          <cell r="D4671" t="str">
            <v>VSS</v>
          </cell>
        </row>
        <row r="4672">
          <cell r="A4672" t="str">
            <v>FB260005408</v>
          </cell>
          <cell r="D4672" t="str">
            <v>LULU</v>
          </cell>
        </row>
        <row r="4673">
          <cell r="A4673" t="str">
            <v>FB260005409</v>
          </cell>
          <cell r="D4673" t="str">
            <v>VSS</v>
          </cell>
        </row>
        <row r="4674">
          <cell r="A4674" t="str">
            <v>FB260005410</v>
          </cell>
          <cell r="D4674" t="str">
            <v>VSS</v>
          </cell>
        </row>
        <row r="4675">
          <cell r="A4675" t="str">
            <v>FB260005411</v>
          </cell>
          <cell r="D4675" t="str">
            <v>VSS</v>
          </cell>
        </row>
        <row r="4676">
          <cell r="A4676" t="str">
            <v>FB260005415</v>
          </cell>
          <cell r="D4676" t="str">
            <v>VSS</v>
          </cell>
        </row>
        <row r="4677">
          <cell r="A4677" t="str">
            <v>FB260005417</v>
          </cell>
          <cell r="D4677" t="str">
            <v>LULU</v>
          </cell>
        </row>
        <row r="4678">
          <cell r="A4678" t="str">
            <v>FB260005420</v>
          </cell>
          <cell r="D4678" t="str">
            <v>LULU</v>
          </cell>
        </row>
        <row r="4679">
          <cell r="A4679" t="str">
            <v>FB260005421</v>
          </cell>
          <cell r="D4679" t="str">
            <v>VSS</v>
          </cell>
        </row>
        <row r="4680">
          <cell r="A4680" t="str">
            <v>FB260005422</v>
          </cell>
          <cell r="D4680" t="str">
            <v>CK</v>
          </cell>
        </row>
        <row r="4681">
          <cell r="A4681" t="str">
            <v>FB260005424</v>
          </cell>
          <cell r="D4681" t="str">
            <v>PINK</v>
          </cell>
        </row>
        <row r="4682">
          <cell r="A4682" t="str">
            <v>FB260005425</v>
          </cell>
          <cell r="D4682" t="str">
            <v>VSS</v>
          </cell>
        </row>
        <row r="4683">
          <cell r="A4683" t="str">
            <v>FB260005426</v>
          </cell>
          <cell r="D4683" t="str">
            <v>THEU</v>
          </cell>
        </row>
        <row r="4684">
          <cell r="A4684" t="str">
            <v>FB260005427</v>
          </cell>
          <cell r="D4684" t="str">
            <v>THEU</v>
          </cell>
        </row>
        <row r="4685">
          <cell r="A4685" t="str">
            <v>FB260005428</v>
          </cell>
          <cell r="D4685" t="str">
            <v>VSS</v>
          </cell>
        </row>
        <row r="4686">
          <cell r="A4686" t="str">
            <v>FB260005429</v>
          </cell>
          <cell r="D4686" t="str">
            <v>GAP</v>
          </cell>
        </row>
        <row r="4687">
          <cell r="A4687" t="str">
            <v>FB260005430</v>
          </cell>
          <cell r="D4687" t="str">
            <v>TORD</v>
          </cell>
        </row>
        <row r="4688">
          <cell r="A4688" t="str">
            <v>FB260005431</v>
          </cell>
          <cell r="D4688" t="str">
            <v>NIK</v>
          </cell>
        </row>
        <row r="4689">
          <cell r="A4689" t="str">
            <v>FB260005432</v>
          </cell>
          <cell r="D4689" t="str">
            <v>NIK</v>
          </cell>
        </row>
        <row r="4690">
          <cell r="A4690" t="str">
            <v>FB260005433</v>
          </cell>
          <cell r="D4690" t="str">
            <v>M&amp;S</v>
          </cell>
        </row>
        <row r="4691">
          <cell r="A4691" t="str">
            <v>FB260005434</v>
          </cell>
          <cell r="D4691" t="str">
            <v>M&amp;S</v>
          </cell>
        </row>
        <row r="4692">
          <cell r="A4692" t="str">
            <v>FB260005435</v>
          </cell>
          <cell r="D4692" t="str">
            <v>VSS</v>
          </cell>
        </row>
        <row r="4693">
          <cell r="A4693" t="str">
            <v>FB260005436</v>
          </cell>
          <cell r="D4693" t="str">
            <v>VSS</v>
          </cell>
        </row>
        <row r="4694">
          <cell r="A4694" t="str">
            <v>FB260005437</v>
          </cell>
          <cell r="D4694" t="str">
            <v>VSS</v>
          </cell>
        </row>
        <row r="4695">
          <cell r="A4695" t="str">
            <v>FB260005438</v>
          </cell>
          <cell r="D4695" t="str">
            <v>VSS</v>
          </cell>
        </row>
        <row r="4696">
          <cell r="A4696" t="str">
            <v>FB260005439</v>
          </cell>
          <cell r="D4696" t="str">
            <v>NIK</v>
          </cell>
        </row>
        <row r="4697">
          <cell r="A4697" t="str">
            <v>FB260005440</v>
          </cell>
          <cell r="D4697" t="str">
            <v>NIK</v>
          </cell>
        </row>
        <row r="4698">
          <cell r="A4698" t="str">
            <v>FB260005441</v>
          </cell>
          <cell r="D4698" t="str">
            <v>NIK</v>
          </cell>
        </row>
        <row r="4699">
          <cell r="A4699" t="str">
            <v>FB260005442</v>
          </cell>
          <cell r="D4699" t="str">
            <v>NIK</v>
          </cell>
        </row>
        <row r="4700">
          <cell r="A4700" t="str">
            <v>FB260005443</v>
          </cell>
          <cell r="D4700" t="str">
            <v>VSS</v>
          </cell>
        </row>
        <row r="4701">
          <cell r="A4701" t="str">
            <v>FB260005444</v>
          </cell>
          <cell r="D4701" t="str">
            <v>NIK</v>
          </cell>
        </row>
        <row r="4702">
          <cell r="A4702" t="str">
            <v>FB260005445</v>
          </cell>
          <cell r="D4702" t="str">
            <v>M&amp;S</v>
          </cell>
        </row>
        <row r="4703">
          <cell r="A4703" t="str">
            <v>FB260005446</v>
          </cell>
          <cell r="D4703" t="str">
            <v>NIK</v>
          </cell>
        </row>
        <row r="4704">
          <cell r="A4704" t="str">
            <v>FB260005447</v>
          </cell>
          <cell r="D4704" t="str">
            <v>NIK</v>
          </cell>
        </row>
        <row r="4705">
          <cell r="A4705" t="str">
            <v>FB260005448</v>
          </cell>
          <cell r="D4705" t="str">
            <v>NIK</v>
          </cell>
        </row>
        <row r="4706">
          <cell r="A4706" t="str">
            <v>FB260005449</v>
          </cell>
          <cell r="D4706" t="str">
            <v>NIK</v>
          </cell>
        </row>
        <row r="4707">
          <cell r="A4707" t="str">
            <v>FB260005450</v>
          </cell>
          <cell r="D4707" t="str">
            <v>NIK</v>
          </cell>
        </row>
        <row r="4708">
          <cell r="A4708" t="str">
            <v>FB260005451</v>
          </cell>
          <cell r="D4708" t="str">
            <v>NIK</v>
          </cell>
        </row>
        <row r="4709">
          <cell r="A4709" t="str">
            <v>FB260005452</v>
          </cell>
          <cell r="D4709" t="str">
            <v>NIK</v>
          </cell>
        </row>
        <row r="4710">
          <cell r="A4710" t="str">
            <v>FB260005453</v>
          </cell>
          <cell r="D4710" t="str">
            <v>NIK</v>
          </cell>
        </row>
        <row r="4711">
          <cell r="A4711" t="str">
            <v>FB260005454</v>
          </cell>
          <cell r="D4711" t="str">
            <v>NIK</v>
          </cell>
        </row>
        <row r="4712">
          <cell r="A4712" t="str">
            <v>FB260005455</v>
          </cell>
          <cell r="D4712" t="str">
            <v>NIK</v>
          </cell>
        </row>
        <row r="4713">
          <cell r="A4713" t="str">
            <v>FB260005456</v>
          </cell>
          <cell r="D4713" t="str">
            <v>NIK</v>
          </cell>
        </row>
        <row r="4714">
          <cell r="A4714" t="str">
            <v>FB260005457</v>
          </cell>
          <cell r="D4714" t="str">
            <v>NIK</v>
          </cell>
        </row>
        <row r="4715">
          <cell r="A4715" t="str">
            <v>FB260005458</v>
          </cell>
          <cell r="D4715" t="str">
            <v>NIK</v>
          </cell>
        </row>
        <row r="4716">
          <cell r="A4716" t="str">
            <v>FB260005460</v>
          </cell>
          <cell r="D4716" t="str">
            <v>NIK</v>
          </cell>
        </row>
        <row r="4717">
          <cell r="A4717" t="str">
            <v>FB260005461</v>
          </cell>
          <cell r="D4717" t="str">
            <v>NIK</v>
          </cell>
        </row>
        <row r="4718">
          <cell r="A4718" t="str">
            <v>FB260005462</v>
          </cell>
          <cell r="D4718" t="str">
            <v>NIK</v>
          </cell>
        </row>
        <row r="4719">
          <cell r="A4719" t="str">
            <v>FB260005463</v>
          </cell>
          <cell r="D4719" t="str">
            <v>NIK</v>
          </cell>
        </row>
        <row r="4720">
          <cell r="A4720" t="str">
            <v>FB260005464</v>
          </cell>
          <cell r="D4720" t="str">
            <v>NIK</v>
          </cell>
        </row>
        <row r="4721">
          <cell r="A4721" t="str">
            <v>FB260005465</v>
          </cell>
          <cell r="D4721" t="str">
            <v>NIK</v>
          </cell>
        </row>
        <row r="4722">
          <cell r="A4722" t="str">
            <v>FB260005466</v>
          </cell>
          <cell r="D4722" t="str">
            <v>NIK</v>
          </cell>
        </row>
        <row r="4723">
          <cell r="A4723" t="str">
            <v>FB260005467</v>
          </cell>
          <cell r="D4723" t="str">
            <v>NIK</v>
          </cell>
        </row>
        <row r="4724">
          <cell r="A4724" t="str">
            <v>FB260005468</v>
          </cell>
          <cell r="D4724" t="str">
            <v>NIK</v>
          </cell>
        </row>
        <row r="4725">
          <cell r="A4725" t="str">
            <v>FB260005469</v>
          </cell>
          <cell r="D4725" t="str">
            <v>NIK</v>
          </cell>
        </row>
        <row r="4726">
          <cell r="A4726" t="str">
            <v>FB260005471</v>
          </cell>
          <cell r="D4726" t="str">
            <v>NIK</v>
          </cell>
        </row>
        <row r="4727">
          <cell r="A4727" t="str">
            <v>FB260005473</v>
          </cell>
          <cell r="D4727" t="str">
            <v>NIK</v>
          </cell>
        </row>
        <row r="4728">
          <cell r="A4728" t="str">
            <v>FB260005474</v>
          </cell>
          <cell r="D4728" t="str">
            <v>NIK</v>
          </cell>
        </row>
        <row r="4729">
          <cell r="A4729" t="str">
            <v>FB260005475</v>
          </cell>
          <cell r="D4729" t="str">
            <v>NIK</v>
          </cell>
        </row>
        <row r="4730">
          <cell r="A4730" t="str">
            <v>FB260005476</v>
          </cell>
          <cell r="D4730" t="str">
            <v>NIK</v>
          </cell>
        </row>
        <row r="4731">
          <cell r="A4731" t="str">
            <v>FB260005477</v>
          </cell>
          <cell r="D4731" t="str">
            <v>NIK</v>
          </cell>
        </row>
        <row r="4732">
          <cell r="A4732" t="str">
            <v>FB260005478</v>
          </cell>
          <cell r="D4732" t="str">
            <v>NIK</v>
          </cell>
        </row>
        <row r="4733">
          <cell r="A4733" t="str">
            <v>FB260005479</v>
          </cell>
          <cell r="D4733" t="str">
            <v>NIK</v>
          </cell>
        </row>
        <row r="4734">
          <cell r="A4734" t="str">
            <v>FB260005480</v>
          </cell>
          <cell r="D4734" t="str">
            <v>NIK</v>
          </cell>
        </row>
        <row r="4735">
          <cell r="A4735" t="str">
            <v>FB260005481</v>
          </cell>
          <cell r="D4735" t="str">
            <v>NIK</v>
          </cell>
        </row>
        <row r="4736">
          <cell r="A4736" t="str">
            <v>FB260005482</v>
          </cell>
          <cell r="D4736" t="str">
            <v>M&amp;S</v>
          </cell>
        </row>
        <row r="4737">
          <cell r="A4737" t="str">
            <v>FB260005483</v>
          </cell>
          <cell r="D4737" t="str">
            <v>TJEL</v>
          </cell>
        </row>
        <row r="4738">
          <cell r="A4738" t="str">
            <v>FB260005486</v>
          </cell>
          <cell r="D4738" t="str">
            <v>VSS</v>
          </cell>
        </row>
        <row r="4739">
          <cell r="A4739" t="str">
            <v>FB260005487</v>
          </cell>
          <cell r="D4739" t="str">
            <v>VSS</v>
          </cell>
        </row>
        <row r="4740">
          <cell r="A4740" t="str">
            <v>FB260005491</v>
          </cell>
          <cell r="D4740" t="str">
            <v>NIK</v>
          </cell>
        </row>
        <row r="4741">
          <cell r="A4741" t="str">
            <v>FB260005493</v>
          </cell>
          <cell r="D4741" t="str">
            <v>NIK</v>
          </cell>
        </row>
        <row r="4742">
          <cell r="A4742" t="str">
            <v>FB260005498</v>
          </cell>
          <cell r="D4742" t="str">
            <v>NIK</v>
          </cell>
        </row>
        <row r="4743">
          <cell r="A4743" t="str">
            <v>FB260005499</v>
          </cell>
          <cell r="D4743" t="str">
            <v>NIK</v>
          </cell>
        </row>
        <row r="4744">
          <cell r="A4744" t="str">
            <v>FB260005504</v>
          </cell>
          <cell r="D4744" t="str">
            <v>NIK</v>
          </cell>
        </row>
        <row r="4745">
          <cell r="A4745" t="str">
            <v>FB260005506</v>
          </cell>
          <cell r="D4745" t="str">
            <v>NIK</v>
          </cell>
        </row>
        <row r="4746">
          <cell r="A4746" t="str">
            <v>FB260005508</v>
          </cell>
          <cell r="D4746" t="str">
            <v>NIK</v>
          </cell>
        </row>
        <row r="4747">
          <cell r="A4747" t="str">
            <v>FB260005509</v>
          </cell>
          <cell r="D4747" t="str">
            <v>NIK</v>
          </cell>
        </row>
        <row r="4748">
          <cell r="A4748" t="str">
            <v>FB260005511</v>
          </cell>
          <cell r="D4748" t="str">
            <v>NIK</v>
          </cell>
        </row>
        <row r="4749">
          <cell r="A4749" t="str">
            <v>FB260005513</v>
          </cell>
          <cell r="D4749" t="str">
            <v>LULU</v>
          </cell>
        </row>
        <row r="4750">
          <cell r="A4750" t="str">
            <v>FB260005514</v>
          </cell>
          <cell r="D4750" t="str">
            <v>LULU</v>
          </cell>
        </row>
        <row r="4751">
          <cell r="A4751" t="str">
            <v>FB260005515</v>
          </cell>
          <cell r="D4751" t="str">
            <v>LULU</v>
          </cell>
        </row>
        <row r="4752">
          <cell r="A4752" t="str">
            <v>FB260005516</v>
          </cell>
          <cell r="D4752" t="str">
            <v>LULU</v>
          </cell>
        </row>
        <row r="4753">
          <cell r="A4753" t="str">
            <v>FB260005517</v>
          </cell>
          <cell r="D4753" t="str">
            <v>LULU</v>
          </cell>
        </row>
        <row r="4754">
          <cell r="A4754" t="str">
            <v>FB260005518</v>
          </cell>
          <cell r="D4754" t="str">
            <v>LULU</v>
          </cell>
        </row>
        <row r="4755">
          <cell r="A4755" t="str">
            <v>FB260005519</v>
          </cell>
          <cell r="D4755" t="str">
            <v>NIK</v>
          </cell>
        </row>
        <row r="4756">
          <cell r="A4756" t="str">
            <v>FB260005520</v>
          </cell>
          <cell r="D4756" t="str">
            <v>LULU</v>
          </cell>
        </row>
        <row r="4757">
          <cell r="A4757" t="str">
            <v>FB260005524</v>
          </cell>
          <cell r="D4757" t="str">
            <v>LBI</v>
          </cell>
        </row>
        <row r="4758">
          <cell r="A4758" t="str">
            <v>FB260005525</v>
          </cell>
          <cell r="D4758" t="str">
            <v>LBI</v>
          </cell>
        </row>
        <row r="4759">
          <cell r="A4759" t="str">
            <v>FB260005526</v>
          </cell>
          <cell r="D4759" t="str">
            <v>LULU</v>
          </cell>
        </row>
        <row r="4760">
          <cell r="A4760" t="str">
            <v>FB260005527</v>
          </cell>
          <cell r="D4760" t="str">
            <v>TORD</v>
          </cell>
        </row>
        <row r="4761">
          <cell r="A4761" t="str">
            <v>FB260005530</v>
          </cell>
          <cell r="D4761" t="str">
            <v>ESS2</v>
          </cell>
        </row>
        <row r="4762">
          <cell r="A4762" t="str">
            <v>FB260005531</v>
          </cell>
          <cell r="D4762" t="str">
            <v>NIK</v>
          </cell>
        </row>
        <row r="4763">
          <cell r="A4763" t="str">
            <v>FB260005532</v>
          </cell>
          <cell r="D4763" t="str">
            <v>CK</v>
          </cell>
        </row>
        <row r="4764">
          <cell r="A4764" t="str">
            <v>FB260005533</v>
          </cell>
          <cell r="D4764" t="str">
            <v>CK</v>
          </cell>
        </row>
        <row r="4765">
          <cell r="A4765" t="str">
            <v>FB260005534</v>
          </cell>
          <cell r="D4765" t="str">
            <v>WACE</v>
          </cell>
        </row>
        <row r="4766">
          <cell r="A4766" t="str">
            <v>FB260005535</v>
          </cell>
          <cell r="D4766" t="str">
            <v>NIK</v>
          </cell>
        </row>
        <row r="4767">
          <cell r="A4767" t="str">
            <v>FB260005536</v>
          </cell>
          <cell r="D4767" t="str">
            <v>NIK</v>
          </cell>
        </row>
        <row r="4768">
          <cell r="A4768" t="str">
            <v>FB260005537</v>
          </cell>
          <cell r="D4768" t="str">
            <v>WACE</v>
          </cell>
        </row>
        <row r="4769">
          <cell r="A4769" t="str">
            <v>FB260005538</v>
          </cell>
          <cell r="D4769" t="str">
            <v>THEU</v>
          </cell>
        </row>
        <row r="4770">
          <cell r="A4770" t="str">
            <v>FB260005539</v>
          </cell>
          <cell r="D4770" t="str">
            <v>GAP</v>
          </cell>
        </row>
        <row r="4771">
          <cell r="A4771" t="str">
            <v>FB260005540</v>
          </cell>
          <cell r="D4771" t="str">
            <v>SAA</v>
          </cell>
        </row>
        <row r="4772">
          <cell r="A4772" t="str">
            <v>FB260005541</v>
          </cell>
          <cell r="D4772" t="str">
            <v>CHICOS</v>
          </cell>
        </row>
        <row r="4773">
          <cell r="A4773" t="str">
            <v>FB260005543</v>
          </cell>
          <cell r="D4773" t="str">
            <v>VSS</v>
          </cell>
        </row>
        <row r="4774">
          <cell r="A4774" t="str">
            <v>FB260005544</v>
          </cell>
          <cell r="D4774" t="str">
            <v>NIK</v>
          </cell>
        </row>
        <row r="4775">
          <cell r="A4775" t="str">
            <v>FB260005546</v>
          </cell>
          <cell r="D4775" t="str">
            <v>NIK</v>
          </cell>
        </row>
        <row r="4776">
          <cell r="A4776" t="str">
            <v>FB260005548</v>
          </cell>
          <cell r="D4776" t="str">
            <v>NIK</v>
          </cell>
        </row>
        <row r="4777">
          <cell r="A4777" t="str">
            <v>FB260005550</v>
          </cell>
          <cell r="D4777" t="str">
            <v>NIK</v>
          </cell>
        </row>
        <row r="4778">
          <cell r="A4778" t="str">
            <v>FB260005551</v>
          </cell>
          <cell r="D4778" t="str">
            <v>NIK</v>
          </cell>
        </row>
        <row r="4779">
          <cell r="A4779" t="str">
            <v>FB260005552</v>
          </cell>
          <cell r="D4779" t="str">
            <v>NIK</v>
          </cell>
        </row>
        <row r="4780">
          <cell r="A4780" t="str">
            <v>FB260005556</v>
          </cell>
          <cell r="D4780" t="str">
            <v>NIK</v>
          </cell>
        </row>
        <row r="4781">
          <cell r="A4781" t="str">
            <v>FB260005557</v>
          </cell>
          <cell r="D4781" t="str">
            <v>NIK</v>
          </cell>
        </row>
        <row r="4782">
          <cell r="A4782" t="str">
            <v>FB260005558</v>
          </cell>
          <cell r="D4782" t="str">
            <v>NIK</v>
          </cell>
        </row>
        <row r="4783">
          <cell r="A4783" t="str">
            <v>FB260005560</v>
          </cell>
          <cell r="D4783" t="str">
            <v>NIK</v>
          </cell>
        </row>
        <row r="4784">
          <cell r="A4784" t="str">
            <v>FB260005561</v>
          </cell>
          <cell r="D4784" t="str">
            <v>CK</v>
          </cell>
        </row>
        <row r="4785">
          <cell r="A4785" t="str">
            <v>FB260005564</v>
          </cell>
          <cell r="D4785" t="str">
            <v>NIK</v>
          </cell>
        </row>
        <row r="4786">
          <cell r="A4786" t="str">
            <v>FB260005565</v>
          </cell>
          <cell r="D4786" t="str">
            <v>CK</v>
          </cell>
        </row>
        <row r="4787">
          <cell r="A4787" t="str">
            <v>FB260005568</v>
          </cell>
          <cell r="D4787" t="str">
            <v>NIK</v>
          </cell>
        </row>
        <row r="4788">
          <cell r="A4788" t="str">
            <v>FB260005569</v>
          </cell>
          <cell r="D4788" t="str">
            <v>NIK</v>
          </cell>
        </row>
        <row r="4789">
          <cell r="A4789" t="str">
            <v>FB260005570</v>
          </cell>
          <cell r="D4789" t="str">
            <v>INT1</v>
          </cell>
        </row>
        <row r="4790">
          <cell r="A4790" t="str">
            <v>FB260005571</v>
          </cell>
          <cell r="D4790" t="str">
            <v>M&amp;S</v>
          </cell>
        </row>
        <row r="4791">
          <cell r="A4791" t="str">
            <v>FB260005572</v>
          </cell>
          <cell r="D4791" t="str">
            <v>M&amp;S</v>
          </cell>
        </row>
        <row r="4792">
          <cell r="A4792" t="str">
            <v>FB260005577</v>
          </cell>
          <cell r="D4792" t="str">
            <v>NIK</v>
          </cell>
        </row>
        <row r="4793">
          <cell r="A4793" t="str">
            <v>FB260005578</v>
          </cell>
          <cell r="D4793" t="str">
            <v>TORD</v>
          </cell>
        </row>
        <row r="4794">
          <cell r="A4794" t="str">
            <v>FB260005579</v>
          </cell>
          <cell r="D4794" t="str">
            <v>ODL</v>
          </cell>
        </row>
        <row r="4795">
          <cell r="A4795" t="str">
            <v>FB260005580</v>
          </cell>
          <cell r="D4795" t="str">
            <v>M&amp;S</v>
          </cell>
        </row>
        <row r="4796">
          <cell r="A4796" t="str">
            <v>FB260005581</v>
          </cell>
          <cell r="D4796" t="str">
            <v>M&amp;S</v>
          </cell>
        </row>
        <row r="4797">
          <cell r="A4797" t="str">
            <v>FB260005582</v>
          </cell>
          <cell r="D4797" t="str">
            <v>M&amp;S</v>
          </cell>
        </row>
        <row r="4798">
          <cell r="A4798" t="str">
            <v>FB260005583</v>
          </cell>
          <cell r="D4798" t="str">
            <v>VSS</v>
          </cell>
        </row>
        <row r="4799">
          <cell r="A4799" t="str">
            <v>FB260005584</v>
          </cell>
          <cell r="D4799" t="str">
            <v>NIK</v>
          </cell>
        </row>
        <row r="4800">
          <cell r="A4800" t="str">
            <v>FB260005585</v>
          </cell>
          <cell r="D4800" t="str">
            <v>PINK</v>
          </cell>
        </row>
        <row r="4801">
          <cell r="A4801" t="str">
            <v>FB260005586</v>
          </cell>
          <cell r="D4801" t="str">
            <v>ESS2</v>
          </cell>
        </row>
        <row r="4802">
          <cell r="A4802" t="str">
            <v>FB260005587</v>
          </cell>
          <cell r="D4802" t="str">
            <v>ESS2</v>
          </cell>
        </row>
        <row r="4803">
          <cell r="A4803" t="str">
            <v>FB260005588</v>
          </cell>
          <cell r="D4803" t="str">
            <v>TORD</v>
          </cell>
        </row>
        <row r="4804">
          <cell r="A4804" t="str">
            <v>FB260005590</v>
          </cell>
          <cell r="D4804" t="str">
            <v>NIK</v>
          </cell>
        </row>
        <row r="4805">
          <cell r="A4805" t="str">
            <v>FB260005591</v>
          </cell>
          <cell r="D4805" t="str">
            <v>VSS</v>
          </cell>
        </row>
        <row r="4806">
          <cell r="A4806" t="str">
            <v>FB260005592</v>
          </cell>
          <cell r="D4806" t="str">
            <v>NIK</v>
          </cell>
        </row>
        <row r="4807">
          <cell r="A4807" t="str">
            <v>FB260005593</v>
          </cell>
          <cell r="D4807" t="str">
            <v>VSS</v>
          </cell>
        </row>
        <row r="4808">
          <cell r="A4808" t="str">
            <v>FB260005594</v>
          </cell>
          <cell r="D4808" t="str">
            <v>VSS</v>
          </cell>
        </row>
        <row r="4809">
          <cell r="A4809" t="str">
            <v>FB260005597</v>
          </cell>
          <cell r="D4809" t="str">
            <v>NIK</v>
          </cell>
        </row>
        <row r="4810">
          <cell r="A4810" t="str">
            <v>FB260005598</v>
          </cell>
          <cell r="D4810" t="str">
            <v>GAPO</v>
          </cell>
        </row>
        <row r="4811">
          <cell r="A4811" t="str">
            <v>FB260005599</v>
          </cell>
          <cell r="D4811" t="str">
            <v>VSS</v>
          </cell>
        </row>
        <row r="4812">
          <cell r="A4812" t="str">
            <v>FB260005600</v>
          </cell>
          <cell r="D4812" t="str">
            <v>VSS</v>
          </cell>
        </row>
        <row r="4813">
          <cell r="A4813" t="str">
            <v>FB260005602</v>
          </cell>
          <cell r="D4813" t="str">
            <v>VSS</v>
          </cell>
        </row>
        <row r="4814">
          <cell r="A4814" t="str">
            <v>FB260005605</v>
          </cell>
          <cell r="D4814" t="str">
            <v>VSS</v>
          </cell>
        </row>
        <row r="4815">
          <cell r="A4815" t="str">
            <v>FB260005606</v>
          </cell>
          <cell r="D4815" t="str">
            <v>VSS</v>
          </cell>
        </row>
        <row r="4816">
          <cell r="A4816" t="str">
            <v>FB260005607</v>
          </cell>
          <cell r="D4816" t="str">
            <v>VSS</v>
          </cell>
        </row>
        <row r="4817">
          <cell r="A4817" t="str">
            <v>FB260005608</v>
          </cell>
          <cell r="D4817" t="str">
            <v>VSS</v>
          </cell>
        </row>
        <row r="4818">
          <cell r="A4818" t="str">
            <v>FB260005609</v>
          </cell>
          <cell r="D4818" t="str">
            <v>VSS</v>
          </cell>
        </row>
        <row r="4819">
          <cell r="A4819" t="str">
            <v>FB260005610</v>
          </cell>
          <cell r="D4819" t="str">
            <v>NIK</v>
          </cell>
        </row>
        <row r="4820">
          <cell r="A4820" t="str">
            <v>FB260005611</v>
          </cell>
          <cell r="D4820" t="str">
            <v>NIK</v>
          </cell>
        </row>
        <row r="4821">
          <cell r="A4821" t="str">
            <v>FB260005612</v>
          </cell>
          <cell r="D4821" t="str">
            <v>NIK</v>
          </cell>
        </row>
        <row r="4822">
          <cell r="A4822" t="str">
            <v>FB260005613</v>
          </cell>
          <cell r="D4822" t="str">
            <v>NIK</v>
          </cell>
        </row>
        <row r="4823">
          <cell r="A4823" t="str">
            <v>FB260005614</v>
          </cell>
          <cell r="D4823" t="str">
            <v>NIK</v>
          </cell>
        </row>
        <row r="4824">
          <cell r="A4824" t="str">
            <v>FB260005615</v>
          </cell>
          <cell r="D4824" t="str">
            <v>NIK</v>
          </cell>
        </row>
        <row r="4825">
          <cell r="A4825" t="str">
            <v>FB260005616</v>
          </cell>
          <cell r="D4825" t="str">
            <v>CHICOS</v>
          </cell>
        </row>
        <row r="4826">
          <cell r="A4826" t="str">
            <v>FB260005617</v>
          </cell>
          <cell r="D4826" t="str">
            <v>NIK</v>
          </cell>
        </row>
        <row r="4827">
          <cell r="A4827" t="str">
            <v>FB260005620</v>
          </cell>
          <cell r="D4827" t="str">
            <v>NIK</v>
          </cell>
        </row>
        <row r="4828">
          <cell r="A4828" t="str">
            <v>FB260005621</v>
          </cell>
          <cell r="D4828" t="str">
            <v>NIK</v>
          </cell>
        </row>
        <row r="4829">
          <cell r="A4829" t="str">
            <v>FB260005622</v>
          </cell>
          <cell r="D4829" t="str">
            <v>NIK</v>
          </cell>
        </row>
        <row r="4830">
          <cell r="A4830" t="str">
            <v>FB260005623</v>
          </cell>
          <cell r="D4830" t="str">
            <v>VSS</v>
          </cell>
        </row>
        <row r="4831">
          <cell r="A4831" t="str">
            <v>FB260005624</v>
          </cell>
          <cell r="D4831" t="str">
            <v>VSS</v>
          </cell>
        </row>
        <row r="4832">
          <cell r="A4832" t="str">
            <v>FB260005625</v>
          </cell>
          <cell r="D4832" t="str">
            <v>VSS</v>
          </cell>
        </row>
        <row r="4833">
          <cell r="A4833" t="str">
            <v>FB260005626</v>
          </cell>
          <cell r="D4833" t="str">
            <v>VSS</v>
          </cell>
        </row>
        <row r="4834">
          <cell r="A4834" t="str">
            <v>FB260005627</v>
          </cell>
          <cell r="D4834" t="str">
            <v>NIK</v>
          </cell>
        </row>
        <row r="4835">
          <cell r="A4835" t="str">
            <v>FB260005628</v>
          </cell>
          <cell r="D4835" t="str">
            <v>NIK</v>
          </cell>
        </row>
        <row r="4836">
          <cell r="A4836" t="str">
            <v>FB260005629</v>
          </cell>
          <cell r="D4836" t="str">
            <v>NIK</v>
          </cell>
        </row>
        <row r="4837">
          <cell r="A4837" t="str">
            <v>FB260005630</v>
          </cell>
          <cell r="D4837" t="str">
            <v>NIK</v>
          </cell>
        </row>
        <row r="4838">
          <cell r="A4838" t="str">
            <v>FB260005631</v>
          </cell>
          <cell r="D4838" t="str">
            <v>NIK</v>
          </cell>
        </row>
        <row r="4839">
          <cell r="A4839" t="str">
            <v>FB260005632</v>
          </cell>
          <cell r="D4839" t="str">
            <v>NIK</v>
          </cell>
        </row>
        <row r="4840">
          <cell r="A4840" t="str">
            <v>FB260005633</v>
          </cell>
          <cell r="D4840" t="str">
            <v>NIK</v>
          </cell>
        </row>
        <row r="4841">
          <cell r="A4841" t="str">
            <v>FB260005634</v>
          </cell>
          <cell r="D4841" t="str">
            <v>VSS</v>
          </cell>
        </row>
        <row r="4842">
          <cell r="A4842" t="str">
            <v>FB260005635</v>
          </cell>
          <cell r="D4842" t="str">
            <v>NIK</v>
          </cell>
        </row>
        <row r="4843">
          <cell r="A4843" t="str">
            <v>FB260005636</v>
          </cell>
          <cell r="D4843" t="str">
            <v>NIK</v>
          </cell>
        </row>
        <row r="4844">
          <cell r="A4844" t="str">
            <v>FB260005637</v>
          </cell>
          <cell r="D4844" t="str">
            <v>NIK</v>
          </cell>
        </row>
        <row r="4845">
          <cell r="A4845" t="str">
            <v>FB260005638</v>
          </cell>
          <cell r="D4845" t="str">
            <v>VSS</v>
          </cell>
        </row>
        <row r="4846">
          <cell r="A4846" t="str">
            <v>FB260005639</v>
          </cell>
          <cell r="D4846" t="str">
            <v>VSS</v>
          </cell>
        </row>
        <row r="4847">
          <cell r="A4847" t="str">
            <v>FB260005640</v>
          </cell>
          <cell r="D4847" t="str">
            <v>VSS</v>
          </cell>
        </row>
        <row r="4848">
          <cell r="A4848" t="str">
            <v>FB260005641</v>
          </cell>
          <cell r="D4848" t="str">
            <v>NIK</v>
          </cell>
        </row>
        <row r="4849">
          <cell r="A4849" t="str">
            <v>FB260005642</v>
          </cell>
          <cell r="D4849" t="str">
            <v>PINK</v>
          </cell>
        </row>
        <row r="4850">
          <cell r="A4850" t="str">
            <v>FB260005643</v>
          </cell>
          <cell r="D4850" t="str">
            <v>TJEL</v>
          </cell>
        </row>
        <row r="4851">
          <cell r="A4851" t="str">
            <v>FB260005645</v>
          </cell>
          <cell r="D4851" t="str">
            <v>PINK</v>
          </cell>
        </row>
        <row r="4852">
          <cell r="A4852" t="str">
            <v>FB260005646</v>
          </cell>
          <cell r="D4852" t="str">
            <v>PINK</v>
          </cell>
        </row>
        <row r="4853">
          <cell r="A4853" t="str">
            <v>FB260005648</v>
          </cell>
          <cell r="D4853" t="str">
            <v>PINK</v>
          </cell>
        </row>
        <row r="4854">
          <cell r="A4854" t="str">
            <v>FB260005649</v>
          </cell>
          <cell r="D4854" t="str">
            <v>PINK</v>
          </cell>
        </row>
        <row r="4855">
          <cell r="A4855" t="str">
            <v>FB260005650</v>
          </cell>
          <cell r="D4855" t="str">
            <v>PINK</v>
          </cell>
        </row>
        <row r="4856">
          <cell r="A4856" t="str">
            <v>FB260005651</v>
          </cell>
          <cell r="D4856" t="str">
            <v>PINK</v>
          </cell>
        </row>
        <row r="4857">
          <cell r="A4857" t="str">
            <v>FB260005652</v>
          </cell>
          <cell r="D4857" t="str">
            <v>PINK</v>
          </cell>
        </row>
        <row r="4858">
          <cell r="A4858" t="str">
            <v>FB260005653</v>
          </cell>
          <cell r="D4858" t="str">
            <v>PINK</v>
          </cell>
        </row>
        <row r="4859">
          <cell r="A4859" t="str">
            <v>FB260005655</v>
          </cell>
          <cell r="D4859" t="str">
            <v>VSS</v>
          </cell>
        </row>
        <row r="4860">
          <cell r="A4860" t="str">
            <v>FB260005656</v>
          </cell>
          <cell r="D4860" t="str">
            <v>VSS</v>
          </cell>
        </row>
        <row r="4861">
          <cell r="A4861" t="str">
            <v>FB260005657</v>
          </cell>
          <cell r="D4861" t="str">
            <v>VSS</v>
          </cell>
        </row>
        <row r="4862">
          <cell r="A4862" t="str">
            <v>FB260005658</v>
          </cell>
          <cell r="D4862" t="str">
            <v>VSS</v>
          </cell>
        </row>
        <row r="4863">
          <cell r="A4863" t="str">
            <v>FB260005659</v>
          </cell>
          <cell r="D4863" t="str">
            <v>M&amp;S</v>
          </cell>
        </row>
        <row r="4864">
          <cell r="A4864" t="str">
            <v>FB260005661</v>
          </cell>
          <cell r="D4864" t="str">
            <v>M&amp;S</v>
          </cell>
        </row>
        <row r="4865">
          <cell r="A4865" t="str">
            <v>FB260005662</v>
          </cell>
          <cell r="D4865" t="str">
            <v>CK</v>
          </cell>
        </row>
        <row r="4866">
          <cell r="A4866" t="str">
            <v>FB260005663</v>
          </cell>
          <cell r="D4866" t="str">
            <v>NIK</v>
          </cell>
        </row>
        <row r="4867">
          <cell r="A4867" t="str">
            <v>FB260005666</v>
          </cell>
          <cell r="D4867" t="str">
            <v>NIK</v>
          </cell>
        </row>
        <row r="4868">
          <cell r="A4868" t="str">
            <v>FB260005667</v>
          </cell>
          <cell r="D4868" t="str">
            <v>NIK</v>
          </cell>
        </row>
        <row r="4869">
          <cell r="A4869" t="str">
            <v>FB260005668</v>
          </cell>
          <cell r="D4869" t="str">
            <v>TORD</v>
          </cell>
        </row>
        <row r="4870">
          <cell r="A4870" t="str">
            <v>FB260005669</v>
          </cell>
          <cell r="D4870" t="str">
            <v>TORD</v>
          </cell>
        </row>
        <row r="4871">
          <cell r="A4871" t="str">
            <v>FB260005670</v>
          </cell>
          <cell r="D4871" t="str">
            <v>WACE</v>
          </cell>
        </row>
        <row r="4872">
          <cell r="A4872" t="str">
            <v>FB260005672</v>
          </cell>
          <cell r="D4872" t="str">
            <v>WACE</v>
          </cell>
        </row>
        <row r="4873">
          <cell r="A4873" t="str">
            <v>FB260005673</v>
          </cell>
          <cell r="D4873" t="str">
            <v>VSS</v>
          </cell>
        </row>
        <row r="4874">
          <cell r="A4874" t="str">
            <v>FB260005675</v>
          </cell>
          <cell r="D4874" t="str">
            <v>VSS</v>
          </cell>
        </row>
        <row r="4875">
          <cell r="A4875" t="str">
            <v>FB260005676</v>
          </cell>
          <cell r="D4875" t="str">
            <v>VSS</v>
          </cell>
        </row>
        <row r="4876">
          <cell r="A4876" t="str">
            <v>FB260005679</v>
          </cell>
          <cell r="D4876" t="str">
            <v>CK</v>
          </cell>
        </row>
        <row r="4877">
          <cell r="A4877" t="str">
            <v>FB260005681</v>
          </cell>
          <cell r="D4877" t="str">
            <v>LULU</v>
          </cell>
        </row>
        <row r="4878">
          <cell r="A4878" t="str">
            <v>FB260005683</v>
          </cell>
          <cell r="D4878" t="str">
            <v>LULU</v>
          </cell>
        </row>
        <row r="4879">
          <cell r="A4879" t="str">
            <v>FB260005685</v>
          </cell>
          <cell r="D4879" t="str">
            <v>PINK</v>
          </cell>
        </row>
        <row r="4880">
          <cell r="A4880" t="str">
            <v>FB260005686</v>
          </cell>
          <cell r="D4880" t="str">
            <v>VSS</v>
          </cell>
        </row>
        <row r="4881">
          <cell r="A4881" t="str">
            <v>FB260005687</v>
          </cell>
          <cell r="D4881" t="str">
            <v>NKSKI</v>
          </cell>
        </row>
        <row r="4882">
          <cell r="A4882" t="str">
            <v>FB260005688</v>
          </cell>
          <cell r="D4882" t="str">
            <v>VSS</v>
          </cell>
        </row>
        <row r="4883">
          <cell r="A4883" t="str">
            <v>FB260005689</v>
          </cell>
          <cell r="D4883" t="str">
            <v>VSS</v>
          </cell>
        </row>
        <row r="4884">
          <cell r="A4884" t="str">
            <v>FB260005690</v>
          </cell>
          <cell r="D4884" t="str">
            <v>INT1</v>
          </cell>
        </row>
        <row r="4885">
          <cell r="A4885" t="str">
            <v>FB260005691</v>
          </cell>
          <cell r="D4885" t="str">
            <v>SPEE</v>
          </cell>
        </row>
        <row r="4886">
          <cell r="A4886" t="str">
            <v>FB260005694</v>
          </cell>
          <cell r="D4886" t="str">
            <v>VSS</v>
          </cell>
        </row>
        <row r="4887">
          <cell r="A4887" t="str">
            <v>FB260005695</v>
          </cell>
          <cell r="D4887" t="str">
            <v>VSS</v>
          </cell>
        </row>
        <row r="4888">
          <cell r="A4888" t="str">
            <v>FB260005696</v>
          </cell>
          <cell r="D4888" t="str">
            <v>VSS</v>
          </cell>
        </row>
        <row r="4889">
          <cell r="A4889" t="str">
            <v>FB260005697</v>
          </cell>
          <cell r="D4889" t="str">
            <v>VSS</v>
          </cell>
        </row>
        <row r="4890">
          <cell r="A4890" t="str">
            <v>FB260005699</v>
          </cell>
          <cell r="D4890" t="str">
            <v>VSS</v>
          </cell>
        </row>
        <row r="4891">
          <cell r="A4891" t="str">
            <v>FB260005700</v>
          </cell>
          <cell r="D4891" t="str">
            <v>VSS</v>
          </cell>
        </row>
        <row r="4892">
          <cell r="A4892" t="str">
            <v>FB260005701</v>
          </cell>
          <cell r="D4892" t="str">
            <v>VSS</v>
          </cell>
        </row>
        <row r="4893">
          <cell r="A4893" t="str">
            <v>FB260005702</v>
          </cell>
          <cell r="D4893" t="str">
            <v>VSS</v>
          </cell>
        </row>
        <row r="4894">
          <cell r="A4894" t="str">
            <v>FB260005703</v>
          </cell>
          <cell r="D4894" t="str">
            <v>VSS</v>
          </cell>
        </row>
        <row r="4895">
          <cell r="A4895" t="str">
            <v>FB260005704</v>
          </cell>
          <cell r="D4895" t="str">
            <v>VSS</v>
          </cell>
        </row>
        <row r="4896">
          <cell r="A4896" t="str">
            <v>FB260005705</v>
          </cell>
          <cell r="D4896" t="str">
            <v>VSS</v>
          </cell>
        </row>
        <row r="4897">
          <cell r="A4897" t="str">
            <v>FB260005706</v>
          </cell>
          <cell r="D4897" t="str">
            <v>VSS</v>
          </cell>
        </row>
        <row r="4898">
          <cell r="A4898" t="str">
            <v>FB260005707</v>
          </cell>
          <cell r="D4898" t="str">
            <v>VSS</v>
          </cell>
        </row>
        <row r="4899">
          <cell r="A4899" t="str">
            <v>FB260005708</v>
          </cell>
          <cell r="D4899" t="str">
            <v>VSS</v>
          </cell>
        </row>
        <row r="4900">
          <cell r="A4900" t="str">
            <v>FB260005709</v>
          </cell>
          <cell r="D4900" t="str">
            <v>VSS</v>
          </cell>
        </row>
        <row r="4901">
          <cell r="A4901" t="str">
            <v>FB260005711</v>
          </cell>
          <cell r="D4901" t="str">
            <v>VSS</v>
          </cell>
        </row>
        <row r="4902">
          <cell r="A4902" t="str">
            <v>FB260005712</v>
          </cell>
          <cell r="D4902" t="str">
            <v>VSS</v>
          </cell>
        </row>
        <row r="4903">
          <cell r="A4903" t="str">
            <v>FB260005713</v>
          </cell>
          <cell r="D4903" t="str">
            <v>VSS</v>
          </cell>
        </row>
        <row r="4904">
          <cell r="A4904" t="str">
            <v>FB260005714</v>
          </cell>
          <cell r="D4904" t="str">
            <v>VSS</v>
          </cell>
        </row>
        <row r="4905">
          <cell r="A4905" t="str">
            <v>FB260005715</v>
          </cell>
          <cell r="D4905" t="str">
            <v>VSS</v>
          </cell>
        </row>
        <row r="4906">
          <cell r="A4906" t="str">
            <v>FB260005716</v>
          </cell>
          <cell r="D4906" t="str">
            <v>VSS</v>
          </cell>
        </row>
        <row r="4907">
          <cell r="A4907" t="str">
            <v>FB260005719</v>
          </cell>
          <cell r="D4907" t="str">
            <v>VSS</v>
          </cell>
        </row>
        <row r="4908">
          <cell r="A4908" t="str">
            <v>FB260005720</v>
          </cell>
          <cell r="D4908" t="str">
            <v>INT1</v>
          </cell>
        </row>
        <row r="4909">
          <cell r="A4909" t="str">
            <v>FB260005721</v>
          </cell>
          <cell r="D4909" t="str">
            <v>INT1</v>
          </cell>
        </row>
        <row r="4910">
          <cell r="A4910" t="str">
            <v>FB260005722</v>
          </cell>
          <cell r="D4910" t="str">
            <v>LULU</v>
          </cell>
        </row>
        <row r="4911">
          <cell r="A4911" t="str">
            <v>FB260005724</v>
          </cell>
          <cell r="D4911" t="str">
            <v>LBI</v>
          </cell>
        </row>
        <row r="4912">
          <cell r="A4912" t="str">
            <v>FB260005726</v>
          </cell>
          <cell r="D4912" t="str">
            <v>M&amp;S</v>
          </cell>
        </row>
        <row r="4913">
          <cell r="A4913" t="str">
            <v>FB260005727</v>
          </cell>
          <cell r="D4913" t="str">
            <v>M&amp;S</v>
          </cell>
        </row>
        <row r="4914">
          <cell r="A4914" t="str">
            <v>FB260005728</v>
          </cell>
          <cell r="D4914" t="str">
            <v>SPA</v>
          </cell>
        </row>
        <row r="4915">
          <cell r="A4915" t="str">
            <v>FB260005729</v>
          </cell>
          <cell r="D4915" t="str">
            <v>M&amp;S</v>
          </cell>
        </row>
        <row r="4916">
          <cell r="A4916" t="str">
            <v>FB260005730</v>
          </cell>
          <cell r="D4916" t="str">
            <v>TORD</v>
          </cell>
        </row>
        <row r="4917">
          <cell r="A4917" t="str">
            <v>FB260005731</v>
          </cell>
          <cell r="D4917" t="str">
            <v>TORD</v>
          </cell>
        </row>
        <row r="4918">
          <cell r="A4918" t="str">
            <v>FB260005732</v>
          </cell>
          <cell r="D4918" t="str">
            <v>TORD</v>
          </cell>
        </row>
        <row r="4919">
          <cell r="A4919" t="str">
            <v>FB260005734</v>
          </cell>
          <cell r="D4919" t="str">
            <v>ESS2</v>
          </cell>
        </row>
        <row r="4920">
          <cell r="A4920" t="str">
            <v>FB260005735</v>
          </cell>
          <cell r="D4920" t="str">
            <v>TJEL</v>
          </cell>
        </row>
        <row r="4921">
          <cell r="A4921" t="str">
            <v>FB260005736</v>
          </cell>
          <cell r="D4921" t="str">
            <v>VSS</v>
          </cell>
        </row>
        <row r="4922">
          <cell r="A4922" t="str">
            <v>FB260005737</v>
          </cell>
          <cell r="D4922" t="str">
            <v>TJEL</v>
          </cell>
        </row>
        <row r="4923">
          <cell r="A4923" t="str">
            <v>FB260005740</v>
          </cell>
          <cell r="D4923" t="str">
            <v>CK</v>
          </cell>
        </row>
        <row r="4924">
          <cell r="A4924" t="str">
            <v>FB260005741</v>
          </cell>
          <cell r="D4924" t="str">
            <v>M&amp;S</v>
          </cell>
        </row>
        <row r="4925">
          <cell r="A4925" t="str">
            <v>FB260005742</v>
          </cell>
          <cell r="D4925" t="str">
            <v>SPA</v>
          </cell>
        </row>
        <row r="4926">
          <cell r="A4926" t="str">
            <v>FB260005743</v>
          </cell>
          <cell r="D4926" t="str">
            <v>CK</v>
          </cell>
        </row>
        <row r="4927">
          <cell r="A4927" t="str">
            <v>FB260005744</v>
          </cell>
          <cell r="D4927" t="str">
            <v>NIK</v>
          </cell>
        </row>
        <row r="4928">
          <cell r="A4928" t="str">
            <v>FB260005745</v>
          </cell>
          <cell r="D4928" t="str">
            <v>LULU</v>
          </cell>
        </row>
        <row r="4929">
          <cell r="A4929" t="str">
            <v>FB260005747</v>
          </cell>
          <cell r="D4929" t="str">
            <v>WACE</v>
          </cell>
        </row>
        <row r="4930">
          <cell r="A4930" t="str">
            <v>FB260005748</v>
          </cell>
          <cell r="D4930" t="str">
            <v>CK</v>
          </cell>
        </row>
        <row r="4931">
          <cell r="A4931" t="str">
            <v>FB260005749</v>
          </cell>
          <cell r="D4931" t="str">
            <v>WACE</v>
          </cell>
        </row>
        <row r="4932">
          <cell r="A4932" t="str">
            <v>FB260005750</v>
          </cell>
          <cell r="D4932" t="str">
            <v>CK</v>
          </cell>
        </row>
        <row r="4933">
          <cell r="A4933" t="str">
            <v>FB260005751</v>
          </cell>
          <cell r="D4933" t="str">
            <v>WACE</v>
          </cell>
        </row>
        <row r="4934">
          <cell r="A4934" t="str">
            <v>FB260005752</v>
          </cell>
          <cell r="D4934" t="str">
            <v>WACE</v>
          </cell>
        </row>
        <row r="4935">
          <cell r="A4935" t="str">
            <v>FB260005754</v>
          </cell>
          <cell r="D4935" t="str">
            <v>WACE</v>
          </cell>
        </row>
        <row r="4936">
          <cell r="A4936" t="str">
            <v>FB260005756</v>
          </cell>
          <cell r="D4936" t="str">
            <v>CHICOS</v>
          </cell>
        </row>
        <row r="4937">
          <cell r="A4937" t="str">
            <v>FB260005757</v>
          </cell>
          <cell r="D4937" t="str">
            <v>CK</v>
          </cell>
        </row>
        <row r="4938">
          <cell r="A4938" t="str">
            <v>FB260005758</v>
          </cell>
          <cell r="D4938" t="str">
            <v>CHICOS</v>
          </cell>
        </row>
        <row r="4939">
          <cell r="A4939" t="str">
            <v>FB260005760</v>
          </cell>
          <cell r="D4939" t="str">
            <v>CHICOS</v>
          </cell>
        </row>
        <row r="4940">
          <cell r="A4940" t="str">
            <v>FB260005762</v>
          </cell>
          <cell r="D4940" t="str">
            <v>ASIC</v>
          </cell>
        </row>
        <row r="4941">
          <cell r="A4941" t="str">
            <v>FB260005766</v>
          </cell>
          <cell r="D4941" t="str">
            <v>NIK</v>
          </cell>
        </row>
        <row r="4942">
          <cell r="A4942" t="str">
            <v>FB260005767</v>
          </cell>
          <cell r="D4942" t="str">
            <v>VSS</v>
          </cell>
        </row>
        <row r="4943">
          <cell r="A4943" t="str">
            <v>FB260005768</v>
          </cell>
          <cell r="D4943" t="str">
            <v>VSS</v>
          </cell>
        </row>
        <row r="4944">
          <cell r="A4944" t="str">
            <v>FB260005769</v>
          </cell>
          <cell r="D4944" t="str">
            <v>VSS</v>
          </cell>
        </row>
        <row r="4945">
          <cell r="A4945" t="str">
            <v>FB260005772</v>
          </cell>
          <cell r="D4945" t="str">
            <v>NIK</v>
          </cell>
        </row>
        <row r="4946">
          <cell r="A4946" t="str">
            <v>FB260005773</v>
          </cell>
          <cell r="D4946" t="str">
            <v>NIK</v>
          </cell>
        </row>
        <row r="4947">
          <cell r="A4947" t="str">
            <v>FB260005774</v>
          </cell>
          <cell r="D4947" t="str">
            <v>NIK</v>
          </cell>
        </row>
        <row r="4948">
          <cell r="A4948" t="str">
            <v>FB260005775</v>
          </cell>
          <cell r="D4948" t="str">
            <v>LBI</v>
          </cell>
        </row>
        <row r="4949">
          <cell r="A4949" t="str">
            <v>FB260005776</v>
          </cell>
          <cell r="D4949" t="str">
            <v>INT1</v>
          </cell>
        </row>
        <row r="4950">
          <cell r="A4950" t="str">
            <v>FB260005777</v>
          </cell>
          <cell r="D4950" t="str">
            <v>LULU</v>
          </cell>
        </row>
        <row r="4951">
          <cell r="A4951" t="str">
            <v>FB260005778</v>
          </cell>
          <cell r="D4951" t="str">
            <v>LULU</v>
          </cell>
        </row>
        <row r="4952">
          <cell r="A4952" t="str">
            <v>FB260005779</v>
          </cell>
          <cell r="D4952" t="str">
            <v>LULU</v>
          </cell>
        </row>
        <row r="4953">
          <cell r="A4953" t="str">
            <v>FB260005780</v>
          </cell>
          <cell r="D4953" t="str">
            <v>LULU</v>
          </cell>
        </row>
        <row r="4954">
          <cell r="A4954" t="str">
            <v>FB260005781</v>
          </cell>
          <cell r="D4954" t="str">
            <v>LULU</v>
          </cell>
        </row>
        <row r="4955">
          <cell r="A4955" t="str">
            <v>FB260005782</v>
          </cell>
          <cell r="D4955" t="str">
            <v>LBI</v>
          </cell>
        </row>
        <row r="4956">
          <cell r="A4956" t="str">
            <v>FB260005783</v>
          </cell>
          <cell r="D4956" t="str">
            <v>M&amp;S</v>
          </cell>
        </row>
        <row r="4957">
          <cell r="A4957" t="str">
            <v>FB260005786</v>
          </cell>
          <cell r="D4957" t="str">
            <v>LULU</v>
          </cell>
        </row>
        <row r="4958">
          <cell r="A4958" t="str">
            <v>FB260005787</v>
          </cell>
          <cell r="D4958" t="str">
            <v>VSS</v>
          </cell>
        </row>
        <row r="4959">
          <cell r="A4959" t="str">
            <v>FB260005788</v>
          </cell>
          <cell r="D4959" t="str">
            <v>VSS</v>
          </cell>
        </row>
        <row r="4960">
          <cell r="A4960" t="str">
            <v>FB260005789</v>
          </cell>
          <cell r="D4960" t="str">
            <v>VSS</v>
          </cell>
        </row>
        <row r="4961">
          <cell r="A4961" t="str">
            <v>FB260005790</v>
          </cell>
          <cell r="D4961" t="str">
            <v>VSS</v>
          </cell>
        </row>
        <row r="4962">
          <cell r="A4962" t="str">
            <v>FB260005791</v>
          </cell>
          <cell r="D4962" t="str">
            <v>VSS</v>
          </cell>
        </row>
        <row r="4963">
          <cell r="A4963" t="str">
            <v>FB260005792</v>
          </cell>
          <cell r="D4963" t="str">
            <v>PINK</v>
          </cell>
        </row>
        <row r="4964">
          <cell r="A4964" t="str">
            <v>FB260005793</v>
          </cell>
          <cell r="D4964" t="str">
            <v>PINK</v>
          </cell>
        </row>
        <row r="4965">
          <cell r="A4965" t="str">
            <v>FB260005794</v>
          </cell>
          <cell r="D4965" t="str">
            <v>VSS</v>
          </cell>
        </row>
        <row r="4966">
          <cell r="A4966" t="str">
            <v>FB260005795</v>
          </cell>
          <cell r="D4966" t="str">
            <v>VSS</v>
          </cell>
        </row>
        <row r="4967">
          <cell r="A4967" t="str">
            <v>FB260005796</v>
          </cell>
          <cell r="D4967" t="str">
            <v>THEU</v>
          </cell>
        </row>
        <row r="4968">
          <cell r="A4968" t="str">
            <v>FB260005797</v>
          </cell>
          <cell r="D4968" t="str">
            <v>CK</v>
          </cell>
        </row>
        <row r="4969">
          <cell r="A4969" t="str">
            <v>FB260005799</v>
          </cell>
          <cell r="D4969" t="str">
            <v>GAPO</v>
          </cell>
        </row>
        <row r="4970">
          <cell r="A4970" t="str">
            <v>FB260005800</v>
          </cell>
          <cell r="D4970" t="str">
            <v>NKSKI</v>
          </cell>
        </row>
        <row r="4971">
          <cell r="A4971" t="str">
            <v>FB260005801</v>
          </cell>
          <cell r="D4971" t="str">
            <v>NKSKI</v>
          </cell>
        </row>
        <row r="4972">
          <cell r="A4972" t="str">
            <v>FB260005802</v>
          </cell>
          <cell r="D4972" t="str">
            <v>VSS</v>
          </cell>
        </row>
        <row r="4973">
          <cell r="A4973" t="str">
            <v>FB260005804</v>
          </cell>
          <cell r="D4973" t="str">
            <v>ASIC</v>
          </cell>
        </row>
        <row r="4974">
          <cell r="A4974" t="str">
            <v>FB260005805</v>
          </cell>
          <cell r="D4974" t="str">
            <v>GAP</v>
          </cell>
        </row>
        <row r="4975">
          <cell r="A4975" t="str">
            <v>FB260005806</v>
          </cell>
          <cell r="D4975" t="str">
            <v>LULU</v>
          </cell>
        </row>
        <row r="4976">
          <cell r="A4976" t="str">
            <v>FB260005807</v>
          </cell>
          <cell r="D4976" t="str">
            <v>VSS</v>
          </cell>
        </row>
        <row r="4977">
          <cell r="A4977" t="str">
            <v>FB260005808</v>
          </cell>
          <cell r="D4977" t="str">
            <v>VSS</v>
          </cell>
        </row>
        <row r="4978">
          <cell r="A4978" t="str">
            <v>FB260005809</v>
          </cell>
          <cell r="D4978" t="str">
            <v>VSS</v>
          </cell>
        </row>
        <row r="4979">
          <cell r="A4979" t="str">
            <v>FB260005810</v>
          </cell>
          <cell r="D4979" t="str">
            <v>VSS</v>
          </cell>
        </row>
        <row r="4980">
          <cell r="A4980" t="str">
            <v>FB260005811</v>
          </cell>
          <cell r="D4980" t="str">
            <v>VSS</v>
          </cell>
        </row>
        <row r="4981">
          <cell r="A4981" t="str">
            <v>FB260005812</v>
          </cell>
          <cell r="D4981" t="str">
            <v>VSS</v>
          </cell>
        </row>
        <row r="4982">
          <cell r="A4982" t="str">
            <v>FB260005813</v>
          </cell>
          <cell r="D4982" t="str">
            <v>VSS</v>
          </cell>
        </row>
        <row r="4983">
          <cell r="A4983" t="str">
            <v>FB260005814</v>
          </cell>
          <cell r="D4983" t="str">
            <v>VSS</v>
          </cell>
        </row>
        <row r="4984">
          <cell r="A4984" t="str">
            <v>FB260005815</v>
          </cell>
          <cell r="D4984" t="str">
            <v>VSS</v>
          </cell>
        </row>
        <row r="4985">
          <cell r="A4985" t="str">
            <v>FB260005816</v>
          </cell>
          <cell r="D4985" t="str">
            <v>VSS</v>
          </cell>
        </row>
        <row r="4986">
          <cell r="A4986" t="str">
            <v>FB260005817</v>
          </cell>
          <cell r="D4986" t="str">
            <v>WACE</v>
          </cell>
        </row>
        <row r="4987">
          <cell r="A4987" t="str">
            <v>FB260005818</v>
          </cell>
          <cell r="D4987" t="str">
            <v>WACE</v>
          </cell>
        </row>
        <row r="4988">
          <cell r="A4988" t="str">
            <v>FB260005819</v>
          </cell>
          <cell r="D4988" t="str">
            <v>M&amp;S</v>
          </cell>
        </row>
        <row r="4989">
          <cell r="A4989" t="str">
            <v>FB260005820</v>
          </cell>
          <cell r="D4989" t="str">
            <v>VSS</v>
          </cell>
        </row>
        <row r="4990">
          <cell r="A4990" t="str">
            <v>FB260005821</v>
          </cell>
          <cell r="D4990" t="str">
            <v>VSS</v>
          </cell>
        </row>
        <row r="4991">
          <cell r="A4991" t="str">
            <v>FB260005822</v>
          </cell>
          <cell r="D4991" t="str">
            <v>PINK</v>
          </cell>
        </row>
        <row r="4992">
          <cell r="A4992" t="str">
            <v>FB260005823</v>
          </cell>
          <cell r="D4992" t="str">
            <v>PINK</v>
          </cell>
        </row>
        <row r="4993">
          <cell r="A4993" t="str">
            <v>FB260005824</v>
          </cell>
          <cell r="D4993" t="str">
            <v>PINK</v>
          </cell>
        </row>
        <row r="4994">
          <cell r="A4994" t="str">
            <v>FB260005825</v>
          </cell>
          <cell r="D4994" t="str">
            <v>PINK</v>
          </cell>
        </row>
        <row r="4995">
          <cell r="A4995" t="str">
            <v>FB260005826</v>
          </cell>
          <cell r="D4995" t="str">
            <v>PINK</v>
          </cell>
        </row>
        <row r="4996">
          <cell r="A4996" t="str">
            <v>FB260005827</v>
          </cell>
          <cell r="D4996" t="str">
            <v>PINK</v>
          </cell>
        </row>
        <row r="4997">
          <cell r="A4997" t="str">
            <v>FB260005828</v>
          </cell>
          <cell r="D4997" t="str">
            <v>LULU</v>
          </cell>
        </row>
        <row r="4998">
          <cell r="A4998" t="str">
            <v>FB260005829</v>
          </cell>
          <cell r="D4998" t="str">
            <v>LULU</v>
          </cell>
        </row>
        <row r="4999">
          <cell r="A4999" t="str">
            <v>FB260005830</v>
          </cell>
          <cell r="D4999" t="str">
            <v>LULU</v>
          </cell>
        </row>
        <row r="5000">
          <cell r="A5000" t="str">
            <v>FB260005831</v>
          </cell>
          <cell r="D5000" t="str">
            <v>LULU</v>
          </cell>
        </row>
        <row r="5001">
          <cell r="A5001" t="str">
            <v>FB260005832</v>
          </cell>
          <cell r="D5001" t="str">
            <v>LULU</v>
          </cell>
        </row>
        <row r="5002">
          <cell r="A5002" t="str">
            <v>FB260005834</v>
          </cell>
          <cell r="D5002" t="str">
            <v>LBI</v>
          </cell>
        </row>
        <row r="5003">
          <cell r="A5003" t="str">
            <v>FB260005835</v>
          </cell>
          <cell r="D5003" t="str">
            <v>M&amp;S</v>
          </cell>
        </row>
        <row r="5004">
          <cell r="A5004" t="str">
            <v>FB260005836</v>
          </cell>
          <cell r="D5004" t="str">
            <v>VSS</v>
          </cell>
        </row>
        <row r="5005">
          <cell r="A5005" t="str">
            <v>FB260005838</v>
          </cell>
          <cell r="D5005" t="str">
            <v>TJEL</v>
          </cell>
        </row>
        <row r="5006">
          <cell r="A5006" t="str">
            <v>FB260005839</v>
          </cell>
          <cell r="D5006" t="str">
            <v>TJEL</v>
          </cell>
        </row>
        <row r="5007">
          <cell r="A5007" t="str">
            <v>FB260005841</v>
          </cell>
          <cell r="D5007" t="str">
            <v>CK</v>
          </cell>
        </row>
        <row r="5008">
          <cell r="A5008" t="str">
            <v>FB260005843</v>
          </cell>
          <cell r="D5008" t="str">
            <v>TJEL</v>
          </cell>
        </row>
        <row r="5009">
          <cell r="A5009" t="str">
            <v>FB260005845</v>
          </cell>
          <cell r="D5009" t="str">
            <v>CK</v>
          </cell>
        </row>
        <row r="5010">
          <cell r="A5010" t="str">
            <v>FB260005846</v>
          </cell>
          <cell r="D5010" t="str">
            <v>VSS</v>
          </cell>
        </row>
        <row r="5011">
          <cell r="A5011" t="str">
            <v>FB260005847</v>
          </cell>
          <cell r="D5011" t="str">
            <v>CK</v>
          </cell>
        </row>
        <row r="5012">
          <cell r="A5012" t="str">
            <v>FB260005849</v>
          </cell>
          <cell r="D5012" t="str">
            <v>ESS2</v>
          </cell>
        </row>
        <row r="5013">
          <cell r="A5013" t="str">
            <v>FB260005850</v>
          </cell>
          <cell r="D5013" t="str">
            <v>THEU</v>
          </cell>
        </row>
        <row r="5014">
          <cell r="A5014" t="str">
            <v>FB260005851</v>
          </cell>
          <cell r="D5014" t="str">
            <v>CK</v>
          </cell>
        </row>
        <row r="5015">
          <cell r="A5015" t="str">
            <v>FB260005852</v>
          </cell>
          <cell r="D5015" t="str">
            <v>CK</v>
          </cell>
        </row>
        <row r="5016">
          <cell r="A5016" t="str">
            <v>FB260005853</v>
          </cell>
          <cell r="D5016" t="str">
            <v>CK</v>
          </cell>
        </row>
        <row r="5017">
          <cell r="A5017" t="str">
            <v>FB260005854</v>
          </cell>
          <cell r="D5017" t="str">
            <v>VSS</v>
          </cell>
        </row>
        <row r="5018">
          <cell r="A5018" t="str">
            <v>FB260005855</v>
          </cell>
          <cell r="D5018" t="str">
            <v>CHICOS</v>
          </cell>
        </row>
        <row r="5019">
          <cell r="A5019" t="str">
            <v>FB260005856</v>
          </cell>
          <cell r="D5019" t="str">
            <v>CHICOS</v>
          </cell>
        </row>
        <row r="5020">
          <cell r="A5020" t="str">
            <v>FB260005859</v>
          </cell>
          <cell r="D5020" t="str">
            <v>GAP</v>
          </cell>
        </row>
        <row r="5021">
          <cell r="A5021" t="str">
            <v>FB260005860</v>
          </cell>
          <cell r="D5021" t="str">
            <v>GAP</v>
          </cell>
        </row>
        <row r="5022">
          <cell r="A5022" t="str">
            <v>FB260005862</v>
          </cell>
          <cell r="D5022" t="str">
            <v>GAP</v>
          </cell>
        </row>
        <row r="5023">
          <cell r="A5023" t="str">
            <v>FB260005864</v>
          </cell>
          <cell r="D5023" t="str">
            <v>PINK</v>
          </cell>
        </row>
        <row r="5024">
          <cell r="A5024" t="str">
            <v>FB260005865</v>
          </cell>
          <cell r="D5024" t="str">
            <v>THX</v>
          </cell>
        </row>
        <row r="5025">
          <cell r="A5025" t="str">
            <v>FB260005868</v>
          </cell>
          <cell r="D5025" t="str">
            <v>LULU</v>
          </cell>
        </row>
        <row r="5026">
          <cell r="A5026" t="str">
            <v>FB260005871</v>
          </cell>
          <cell r="D5026" t="str">
            <v>ESS2</v>
          </cell>
        </row>
        <row r="5027">
          <cell r="A5027" t="str">
            <v>FB260005872</v>
          </cell>
          <cell r="D5027" t="str">
            <v>VSS</v>
          </cell>
        </row>
        <row r="5028">
          <cell r="A5028" t="str">
            <v>FB260005873</v>
          </cell>
          <cell r="D5028" t="str">
            <v>VSS</v>
          </cell>
        </row>
        <row r="5029">
          <cell r="A5029" t="str">
            <v>FB260005874</v>
          </cell>
          <cell r="D5029" t="str">
            <v>VSS</v>
          </cell>
        </row>
        <row r="5030">
          <cell r="A5030" t="str">
            <v>FB260005875</v>
          </cell>
          <cell r="D5030" t="str">
            <v>PINK</v>
          </cell>
        </row>
        <row r="5031">
          <cell r="A5031" t="str">
            <v>FB260005877</v>
          </cell>
          <cell r="D5031" t="str">
            <v>CK</v>
          </cell>
        </row>
        <row r="5032">
          <cell r="A5032" t="str">
            <v>FB260005878</v>
          </cell>
          <cell r="D5032" t="str">
            <v>TORD</v>
          </cell>
        </row>
        <row r="5033">
          <cell r="A5033" t="str">
            <v>FB260005879</v>
          </cell>
          <cell r="D5033" t="str">
            <v>CK</v>
          </cell>
        </row>
        <row r="5034">
          <cell r="A5034" t="str">
            <v>FB260005880</v>
          </cell>
          <cell r="D5034" t="str">
            <v>NIK</v>
          </cell>
        </row>
        <row r="5035">
          <cell r="A5035" t="str">
            <v>FB260005881</v>
          </cell>
          <cell r="D5035" t="str">
            <v>NIK</v>
          </cell>
        </row>
        <row r="5036">
          <cell r="A5036" t="str">
            <v>FB260005882</v>
          </cell>
          <cell r="D5036" t="str">
            <v>CHICOS</v>
          </cell>
        </row>
        <row r="5037">
          <cell r="A5037" t="str">
            <v>FB260005883</v>
          </cell>
          <cell r="D5037" t="str">
            <v>GAP</v>
          </cell>
        </row>
        <row r="5038">
          <cell r="A5038" t="str">
            <v>FB260005884</v>
          </cell>
          <cell r="D5038" t="str">
            <v>GAP</v>
          </cell>
        </row>
        <row r="5039">
          <cell r="A5039" t="str">
            <v>FB260005885</v>
          </cell>
          <cell r="D5039" t="str">
            <v>GAP</v>
          </cell>
        </row>
        <row r="5040">
          <cell r="A5040" t="str">
            <v>FB260005888</v>
          </cell>
          <cell r="D5040" t="str">
            <v>LULU</v>
          </cell>
        </row>
        <row r="5041">
          <cell r="A5041" t="str">
            <v>FB260005889</v>
          </cell>
          <cell r="D5041" t="str">
            <v>VSS</v>
          </cell>
        </row>
        <row r="5042">
          <cell r="A5042" t="str">
            <v>FB260005890</v>
          </cell>
          <cell r="D5042" t="str">
            <v>VSS</v>
          </cell>
        </row>
        <row r="5043">
          <cell r="A5043" t="str">
            <v>FB260005891</v>
          </cell>
          <cell r="D5043" t="str">
            <v>VSS</v>
          </cell>
        </row>
        <row r="5044">
          <cell r="A5044" t="str">
            <v>FB260005898</v>
          </cell>
          <cell r="D5044" t="str">
            <v>NIK</v>
          </cell>
        </row>
        <row r="5045">
          <cell r="A5045" t="str">
            <v>FB260005899</v>
          </cell>
          <cell r="D5045" t="str">
            <v>NIK</v>
          </cell>
        </row>
        <row r="5046">
          <cell r="A5046" t="str">
            <v>FB260005900</v>
          </cell>
          <cell r="D5046" t="str">
            <v>VSS</v>
          </cell>
        </row>
        <row r="5047">
          <cell r="A5047" t="str">
            <v>FB260005909</v>
          </cell>
          <cell r="D5047" t="str">
            <v>LULU</v>
          </cell>
        </row>
        <row r="5048">
          <cell r="A5048" t="str">
            <v>FB260005910</v>
          </cell>
          <cell r="D5048" t="str">
            <v>LULU</v>
          </cell>
        </row>
        <row r="5049">
          <cell r="A5049" t="str">
            <v>FB260005911</v>
          </cell>
          <cell r="D5049" t="str">
            <v>M&amp;S</v>
          </cell>
        </row>
        <row r="5050">
          <cell r="A5050" t="str">
            <v>FB260005912</v>
          </cell>
          <cell r="D5050" t="str">
            <v>M&amp;S</v>
          </cell>
        </row>
        <row r="5051">
          <cell r="A5051" t="str">
            <v>FB260005913</v>
          </cell>
          <cell r="D5051" t="str">
            <v>M&amp;S</v>
          </cell>
        </row>
        <row r="5052">
          <cell r="A5052" t="str">
            <v>FB260005914</v>
          </cell>
          <cell r="D5052" t="str">
            <v>M&amp;S</v>
          </cell>
        </row>
        <row r="5053">
          <cell r="A5053" t="str">
            <v>FB260005915</v>
          </cell>
          <cell r="D5053" t="str">
            <v>M&amp;S</v>
          </cell>
        </row>
        <row r="5054">
          <cell r="A5054" t="str">
            <v>FB260005916</v>
          </cell>
          <cell r="D5054" t="str">
            <v>M&amp;S</v>
          </cell>
        </row>
        <row r="5055">
          <cell r="A5055" t="str">
            <v>FB260005917</v>
          </cell>
          <cell r="D5055" t="str">
            <v>M&amp;S</v>
          </cell>
        </row>
        <row r="5056">
          <cell r="A5056" t="str">
            <v>FB260005918</v>
          </cell>
          <cell r="D5056" t="str">
            <v>M&amp;S</v>
          </cell>
        </row>
        <row r="5057">
          <cell r="A5057" t="str">
            <v>FB260005919</v>
          </cell>
          <cell r="D5057" t="str">
            <v>M&amp;S</v>
          </cell>
        </row>
        <row r="5058">
          <cell r="A5058" t="str">
            <v>FB260005920</v>
          </cell>
          <cell r="D5058" t="str">
            <v>M&amp;S</v>
          </cell>
        </row>
        <row r="5059">
          <cell r="A5059" t="str">
            <v>FB260005921</v>
          </cell>
          <cell r="D5059" t="str">
            <v>M&amp;S</v>
          </cell>
        </row>
        <row r="5060">
          <cell r="A5060" t="str">
            <v>FB260005922</v>
          </cell>
          <cell r="D5060" t="str">
            <v>M&amp;S</v>
          </cell>
        </row>
        <row r="5061">
          <cell r="A5061" t="str">
            <v>FB260005923</v>
          </cell>
          <cell r="D5061" t="str">
            <v>M&amp;S</v>
          </cell>
        </row>
        <row r="5062">
          <cell r="A5062" t="str">
            <v>FB260005924</v>
          </cell>
          <cell r="D5062" t="str">
            <v>M&amp;S</v>
          </cell>
        </row>
        <row r="5063">
          <cell r="A5063" t="str">
            <v>FB260005925</v>
          </cell>
          <cell r="D5063" t="str">
            <v>M&amp;S</v>
          </cell>
        </row>
        <row r="5064">
          <cell r="A5064" t="str">
            <v>FB260005926</v>
          </cell>
          <cell r="D5064" t="str">
            <v>LULU</v>
          </cell>
        </row>
        <row r="5065">
          <cell r="A5065" t="str">
            <v>FB260005928</v>
          </cell>
          <cell r="D5065" t="str">
            <v>TJEL</v>
          </cell>
        </row>
        <row r="5066">
          <cell r="A5066" t="str">
            <v>FB260005930</v>
          </cell>
          <cell r="D5066" t="str">
            <v>CK</v>
          </cell>
        </row>
        <row r="5067">
          <cell r="A5067" t="str">
            <v>FB260005931</v>
          </cell>
          <cell r="D5067" t="str">
            <v>CHICOS</v>
          </cell>
        </row>
        <row r="5068">
          <cell r="A5068" t="str">
            <v>FB260005932</v>
          </cell>
          <cell r="D5068" t="str">
            <v>CHICOS</v>
          </cell>
        </row>
        <row r="5069">
          <cell r="A5069" t="str">
            <v>FB260005933</v>
          </cell>
          <cell r="D5069" t="str">
            <v>LULU</v>
          </cell>
        </row>
        <row r="5070">
          <cell r="A5070" t="str">
            <v>FB260005934</v>
          </cell>
          <cell r="D5070" t="str">
            <v>CK</v>
          </cell>
        </row>
        <row r="5071">
          <cell r="A5071" t="str">
            <v>FB260005935</v>
          </cell>
          <cell r="D5071" t="str">
            <v>CK</v>
          </cell>
        </row>
        <row r="5072">
          <cell r="A5072" t="str">
            <v>FB260005936</v>
          </cell>
          <cell r="D5072" t="str">
            <v>CK</v>
          </cell>
        </row>
        <row r="5073">
          <cell r="A5073" t="str">
            <v>FB260005937</v>
          </cell>
          <cell r="D5073" t="str">
            <v>CK</v>
          </cell>
        </row>
        <row r="5074">
          <cell r="A5074" t="str">
            <v>FB260005938</v>
          </cell>
          <cell r="D5074" t="str">
            <v>CHICOS</v>
          </cell>
        </row>
        <row r="5075">
          <cell r="A5075" t="str">
            <v>FB260005947</v>
          </cell>
          <cell r="D5075" t="str">
            <v>GAPO</v>
          </cell>
        </row>
        <row r="5076">
          <cell r="A5076" t="str">
            <v>FB260005948</v>
          </cell>
          <cell r="D5076" t="str">
            <v>WACE</v>
          </cell>
        </row>
        <row r="5077">
          <cell r="A5077" t="str">
            <v>FB260005949</v>
          </cell>
          <cell r="D5077" t="str">
            <v>GAP</v>
          </cell>
        </row>
        <row r="5078">
          <cell r="A5078" t="str">
            <v>FB260005950</v>
          </cell>
          <cell r="D5078" t="str">
            <v>WACE</v>
          </cell>
        </row>
        <row r="5079">
          <cell r="A5079" t="str">
            <v>FB260005951</v>
          </cell>
          <cell r="D5079" t="str">
            <v>GAP</v>
          </cell>
        </row>
        <row r="5080">
          <cell r="A5080" t="str">
            <v>FB260005952</v>
          </cell>
          <cell r="D5080" t="str">
            <v>GAP</v>
          </cell>
        </row>
        <row r="5081">
          <cell r="A5081" t="str">
            <v>FB260005954</v>
          </cell>
          <cell r="D5081" t="str">
            <v>GAP</v>
          </cell>
        </row>
        <row r="5082">
          <cell r="A5082" t="str">
            <v>FB260005955</v>
          </cell>
          <cell r="D5082" t="str">
            <v>GAP</v>
          </cell>
        </row>
        <row r="5083">
          <cell r="A5083" t="str">
            <v>FB260005956</v>
          </cell>
          <cell r="D5083" t="str">
            <v>GAP</v>
          </cell>
        </row>
        <row r="5084">
          <cell r="A5084" t="str">
            <v>FB260005957</v>
          </cell>
          <cell r="D5084" t="str">
            <v>NEWB</v>
          </cell>
        </row>
        <row r="5085">
          <cell r="A5085" t="str">
            <v>FB260005958</v>
          </cell>
          <cell r="D5085" t="str">
            <v>NEWB</v>
          </cell>
        </row>
        <row r="5086">
          <cell r="A5086" t="str">
            <v>FB260005959</v>
          </cell>
          <cell r="D5086" t="str">
            <v>NEWB</v>
          </cell>
        </row>
        <row r="5087">
          <cell r="A5087" t="str">
            <v>FB260005960</v>
          </cell>
          <cell r="D5087" t="str">
            <v>NEWB</v>
          </cell>
        </row>
        <row r="5088">
          <cell r="A5088" t="str">
            <v>FB260005961</v>
          </cell>
          <cell r="D5088" t="str">
            <v>NEWB</v>
          </cell>
        </row>
        <row r="5089">
          <cell r="A5089" t="str">
            <v>FB260005962</v>
          </cell>
          <cell r="D5089" t="str">
            <v>VSS</v>
          </cell>
        </row>
        <row r="5090">
          <cell r="A5090" t="str">
            <v>FB260005963</v>
          </cell>
          <cell r="D5090" t="str">
            <v>NEWB</v>
          </cell>
        </row>
        <row r="5091">
          <cell r="A5091" t="str">
            <v>FB260005968</v>
          </cell>
          <cell r="D5091" t="str">
            <v>VSS</v>
          </cell>
        </row>
        <row r="5092">
          <cell r="A5092" t="str">
            <v>FB260005969</v>
          </cell>
          <cell r="D5092" t="str">
            <v>ASIC</v>
          </cell>
        </row>
        <row r="5093">
          <cell r="A5093" t="str">
            <v>FB260005971</v>
          </cell>
          <cell r="D5093" t="str">
            <v>INT1</v>
          </cell>
        </row>
        <row r="5094">
          <cell r="A5094" t="str">
            <v>FB260005972</v>
          </cell>
          <cell r="D5094" t="str">
            <v>LULU</v>
          </cell>
        </row>
        <row r="5095">
          <cell r="A5095" t="str">
            <v>FB260005973</v>
          </cell>
          <cell r="D5095" t="str">
            <v>LULU</v>
          </cell>
        </row>
        <row r="5096">
          <cell r="A5096" t="str">
            <v>FB260005974</v>
          </cell>
          <cell r="D5096" t="str">
            <v>LULU</v>
          </cell>
        </row>
        <row r="5097">
          <cell r="A5097" t="str">
            <v>FB260005976</v>
          </cell>
          <cell r="D5097" t="str">
            <v>LULU</v>
          </cell>
        </row>
        <row r="5098">
          <cell r="A5098" t="str">
            <v>FB260005977</v>
          </cell>
          <cell r="D5098" t="str">
            <v>VSS</v>
          </cell>
        </row>
        <row r="5099">
          <cell r="A5099" t="str">
            <v>FB260005978</v>
          </cell>
          <cell r="D5099" t="str">
            <v>VSS</v>
          </cell>
        </row>
        <row r="5100">
          <cell r="A5100" t="str">
            <v>FB260005979</v>
          </cell>
          <cell r="D5100" t="str">
            <v>VSS</v>
          </cell>
        </row>
        <row r="5101">
          <cell r="A5101" t="str">
            <v>FB260005980</v>
          </cell>
          <cell r="D5101" t="str">
            <v>VSS</v>
          </cell>
        </row>
        <row r="5102">
          <cell r="A5102" t="str">
            <v>FB260005981</v>
          </cell>
          <cell r="D5102" t="str">
            <v>VSS</v>
          </cell>
        </row>
        <row r="5103">
          <cell r="A5103" t="str">
            <v>FB260005982</v>
          </cell>
          <cell r="D5103" t="str">
            <v>VSS</v>
          </cell>
        </row>
        <row r="5104">
          <cell r="A5104" t="str">
            <v>FB260005983</v>
          </cell>
          <cell r="D5104" t="str">
            <v>WACE</v>
          </cell>
        </row>
        <row r="5105">
          <cell r="A5105" t="str">
            <v>FB260005984</v>
          </cell>
          <cell r="D5105" t="str">
            <v>WACE</v>
          </cell>
        </row>
        <row r="5106">
          <cell r="A5106" t="str">
            <v>FB260005985</v>
          </cell>
          <cell r="D5106" t="str">
            <v>ESS2</v>
          </cell>
        </row>
        <row r="5107">
          <cell r="A5107" t="str">
            <v>FB260005986</v>
          </cell>
          <cell r="D5107" t="str">
            <v>NIK</v>
          </cell>
        </row>
        <row r="5108">
          <cell r="A5108" t="str">
            <v>FB260005987</v>
          </cell>
          <cell r="D5108" t="str">
            <v>NIK</v>
          </cell>
        </row>
        <row r="5109">
          <cell r="A5109" t="str">
            <v>FB260005988</v>
          </cell>
          <cell r="D5109" t="str">
            <v>GAP</v>
          </cell>
        </row>
        <row r="5110">
          <cell r="A5110" t="str">
            <v>FB260005990</v>
          </cell>
          <cell r="D5110" t="str">
            <v>VSS</v>
          </cell>
        </row>
        <row r="5111">
          <cell r="A5111" t="str">
            <v>FB260005991</v>
          </cell>
          <cell r="D5111" t="str">
            <v>VSS</v>
          </cell>
        </row>
        <row r="5112">
          <cell r="A5112" t="str">
            <v>FB260005993</v>
          </cell>
          <cell r="D5112" t="str">
            <v>VSS</v>
          </cell>
        </row>
        <row r="5113">
          <cell r="A5113" t="str">
            <v>FB260005994</v>
          </cell>
          <cell r="D5113" t="str">
            <v>VSS</v>
          </cell>
        </row>
        <row r="5114">
          <cell r="A5114" t="str">
            <v>FB260005995</v>
          </cell>
          <cell r="D5114" t="str">
            <v>VSS</v>
          </cell>
        </row>
        <row r="5115">
          <cell r="A5115" t="str">
            <v>FB260005996</v>
          </cell>
          <cell r="D5115" t="str">
            <v>VSS</v>
          </cell>
        </row>
        <row r="5116">
          <cell r="A5116" t="str">
            <v>FB260005997</v>
          </cell>
          <cell r="D5116" t="str">
            <v>VSS</v>
          </cell>
        </row>
        <row r="5117">
          <cell r="A5117" t="str">
            <v>FB260005998</v>
          </cell>
          <cell r="D5117" t="str">
            <v>VSS</v>
          </cell>
        </row>
        <row r="5118">
          <cell r="A5118" t="str">
            <v>FB260005999</v>
          </cell>
          <cell r="D5118" t="str">
            <v>VSS</v>
          </cell>
        </row>
        <row r="5119">
          <cell r="A5119" t="str">
            <v>FB260006000</v>
          </cell>
          <cell r="D5119" t="str">
            <v>VSS</v>
          </cell>
        </row>
        <row r="5120">
          <cell r="A5120" t="str">
            <v>FB260006001</v>
          </cell>
          <cell r="D5120" t="str">
            <v>VSS</v>
          </cell>
        </row>
        <row r="5121">
          <cell r="A5121" t="str">
            <v>FB260006002</v>
          </cell>
          <cell r="D5121" t="str">
            <v>VSS</v>
          </cell>
        </row>
        <row r="5122">
          <cell r="A5122" t="str">
            <v>FB260006003</v>
          </cell>
          <cell r="D5122" t="str">
            <v>VSS</v>
          </cell>
        </row>
        <row r="5123">
          <cell r="A5123" t="str">
            <v>FB260006004</v>
          </cell>
          <cell r="D5123" t="str">
            <v>VSS</v>
          </cell>
        </row>
        <row r="5124">
          <cell r="A5124" t="str">
            <v>FB260006005</v>
          </cell>
          <cell r="D5124" t="str">
            <v>VSS</v>
          </cell>
        </row>
        <row r="5125">
          <cell r="A5125" t="str">
            <v>FB260006011</v>
          </cell>
          <cell r="D5125" t="str">
            <v>LBI</v>
          </cell>
        </row>
        <row r="5126">
          <cell r="A5126" t="str">
            <v>FB260006014</v>
          </cell>
          <cell r="D5126" t="str">
            <v>VSS</v>
          </cell>
        </row>
        <row r="5127">
          <cell r="A5127" t="str">
            <v>FB260006015</v>
          </cell>
          <cell r="D5127" t="str">
            <v>VSS</v>
          </cell>
        </row>
        <row r="5128">
          <cell r="A5128" t="str">
            <v>FB260006016</v>
          </cell>
          <cell r="D5128" t="str">
            <v>VSS</v>
          </cell>
        </row>
        <row r="5129">
          <cell r="A5129" t="str">
            <v>FB260006018</v>
          </cell>
          <cell r="D5129" t="str">
            <v>TJEL</v>
          </cell>
        </row>
        <row r="5130">
          <cell r="A5130" t="str">
            <v>FB260006019</v>
          </cell>
          <cell r="D5130" t="str">
            <v>TJEL</v>
          </cell>
        </row>
        <row r="5131">
          <cell r="A5131" t="str">
            <v>FB260006020</v>
          </cell>
          <cell r="D5131" t="str">
            <v>NIK</v>
          </cell>
        </row>
        <row r="5132">
          <cell r="A5132" t="str">
            <v>FB260006021</v>
          </cell>
          <cell r="D5132" t="str">
            <v>NIK</v>
          </cell>
        </row>
        <row r="5133">
          <cell r="A5133" t="str">
            <v>FB260006022</v>
          </cell>
          <cell r="D5133" t="str">
            <v>LULU</v>
          </cell>
        </row>
        <row r="5134">
          <cell r="A5134" t="str">
            <v>FB260006023</v>
          </cell>
          <cell r="D5134" t="str">
            <v>NIK</v>
          </cell>
        </row>
        <row r="5135">
          <cell r="A5135" t="str">
            <v>FB260006024</v>
          </cell>
          <cell r="D5135" t="str">
            <v>NIK</v>
          </cell>
        </row>
        <row r="5136">
          <cell r="A5136" t="str">
            <v>FB260006025</v>
          </cell>
          <cell r="D5136" t="str">
            <v>WACE</v>
          </cell>
        </row>
        <row r="5137">
          <cell r="A5137" t="str">
            <v>FB260006026</v>
          </cell>
          <cell r="D5137" t="str">
            <v>LBI</v>
          </cell>
        </row>
        <row r="5138">
          <cell r="A5138" t="str">
            <v>FB260006027</v>
          </cell>
          <cell r="D5138" t="str">
            <v>LBI</v>
          </cell>
        </row>
        <row r="5139">
          <cell r="A5139" t="str">
            <v>FB260006028</v>
          </cell>
          <cell r="D5139" t="str">
            <v>LULU</v>
          </cell>
        </row>
        <row r="5140">
          <cell r="A5140" t="str">
            <v>FB260006029</v>
          </cell>
          <cell r="D5140" t="str">
            <v>LULU</v>
          </cell>
        </row>
        <row r="5141">
          <cell r="A5141" t="str">
            <v>FB260006030</v>
          </cell>
          <cell r="D5141" t="str">
            <v>LULU</v>
          </cell>
        </row>
        <row r="5142">
          <cell r="A5142" t="str">
            <v>FB260006031</v>
          </cell>
          <cell r="D5142" t="str">
            <v>LULU</v>
          </cell>
        </row>
        <row r="5143">
          <cell r="A5143" t="str">
            <v>FB260006032</v>
          </cell>
          <cell r="D5143" t="str">
            <v>LULU</v>
          </cell>
        </row>
        <row r="5144">
          <cell r="A5144" t="str">
            <v>FB260006033</v>
          </cell>
          <cell r="D5144" t="str">
            <v>LULU</v>
          </cell>
        </row>
        <row r="5145">
          <cell r="A5145" t="str">
            <v>FB260006034</v>
          </cell>
          <cell r="D5145" t="str">
            <v>M&amp;S</v>
          </cell>
        </row>
        <row r="5146">
          <cell r="A5146" t="str">
            <v>FB260006035</v>
          </cell>
          <cell r="D5146" t="str">
            <v>M&amp;S</v>
          </cell>
        </row>
        <row r="5147">
          <cell r="A5147" t="str">
            <v>FB260006036</v>
          </cell>
          <cell r="D5147" t="str">
            <v>SPA</v>
          </cell>
        </row>
        <row r="5148">
          <cell r="A5148" t="str">
            <v>FB260006037</v>
          </cell>
          <cell r="D5148" t="str">
            <v>SPA</v>
          </cell>
        </row>
        <row r="5149">
          <cell r="A5149" t="str">
            <v>FB260006038</v>
          </cell>
          <cell r="D5149" t="str">
            <v>SPA</v>
          </cell>
        </row>
        <row r="5150">
          <cell r="A5150" t="str">
            <v>FB260006039</v>
          </cell>
          <cell r="D5150" t="str">
            <v>M&amp;S</v>
          </cell>
        </row>
        <row r="5151">
          <cell r="A5151" t="str">
            <v>FB260006040</v>
          </cell>
          <cell r="D5151" t="str">
            <v>M&amp;S</v>
          </cell>
        </row>
        <row r="5152">
          <cell r="A5152" t="str">
            <v>FB260006041</v>
          </cell>
          <cell r="D5152" t="str">
            <v>M&amp;S</v>
          </cell>
        </row>
        <row r="5153">
          <cell r="A5153" t="str">
            <v>FB260006042</v>
          </cell>
          <cell r="D5153" t="str">
            <v>M&amp;S</v>
          </cell>
        </row>
        <row r="5154">
          <cell r="A5154" t="str">
            <v>FB260006043</v>
          </cell>
          <cell r="D5154" t="str">
            <v>TJEL</v>
          </cell>
        </row>
        <row r="5155">
          <cell r="A5155" t="str">
            <v>FB260006044</v>
          </cell>
          <cell r="D5155" t="str">
            <v>TJEL</v>
          </cell>
        </row>
        <row r="5156">
          <cell r="A5156" t="str">
            <v>FB260006045</v>
          </cell>
          <cell r="D5156" t="str">
            <v>CK</v>
          </cell>
        </row>
        <row r="5157">
          <cell r="A5157" t="str">
            <v>FB260006047</v>
          </cell>
          <cell r="D5157" t="str">
            <v>CK</v>
          </cell>
        </row>
        <row r="5158">
          <cell r="A5158" t="str">
            <v>FB260006048</v>
          </cell>
          <cell r="D5158" t="str">
            <v>CK</v>
          </cell>
        </row>
        <row r="5159">
          <cell r="A5159" t="str">
            <v>FB260006049</v>
          </cell>
          <cell r="D5159" t="str">
            <v>CK</v>
          </cell>
        </row>
        <row r="5160">
          <cell r="A5160" t="str">
            <v>FB260006050</v>
          </cell>
          <cell r="D5160" t="str">
            <v>CK</v>
          </cell>
        </row>
        <row r="5161">
          <cell r="A5161" t="str">
            <v>FB260006051</v>
          </cell>
          <cell r="D5161" t="str">
            <v>CK</v>
          </cell>
        </row>
        <row r="5162">
          <cell r="A5162" t="str">
            <v>FB260006052</v>
          </cell>
          <cell r="D5162" t="str">
            <v>WACE</v>
          </cell>
        </row>
        <row r="5163">
          <cell r="A5163" t="str">
            <v>FB260006053</v>
          </cell>
          <cell r="D5163" t="str">
            <v>TJEL</v>
          </cell>
        </row>
        <row r="5164">
          <cell r="A5164" t="str">
            <v>FB260006054</v>
          </cell>
          <cell r="D5164" t="str">
            <v>CK</v>
          </cell>
        </row>
        <row r="5165">
          <cell r="A5165" t="str">
            <v>FB260006055</v>
          </cell>
          <cell r="D5165" t="str">
            <v>CK</v>
          </cell>
        </row>
        <row r="5166">
          <cell r="A5166" t="str">
            <v>FB260006056</v>
          </cell>
          <cell r="D5166" t="str">
            <v>CK</v>
          </cell>
        </row>
        <row r="5167">
          <cell r="A5167" t="str">
            <v>FB260006057</v>
          </cell>
          <cell r="D5167" t="str">
            <v>CK</v>
          </cell>
        </row>
        <row r="5168">
          <cell r="A5168" t="str">
            <v>FB260006058</v>
          </cell>
          <cell r="D5168" t="str">
            <v>CK</v>
          </cell>
        </row>
        <row r="5169">
          <cell r="A5169" t="str">
            <v>FB260006060</v>
          </cell>
          <cell r="D5169" t="str">
            <v>CHICOS</v>
          </cell>
        </row>
        <row r="5170">
          <cell r="A5170" t="str">
            <v>FB260006061</v>
          </cell>
          <cell r="D5170" t="str">
            <v>CHICOS</v>
          </cell>
        </row>
        <row r="5171">
          <cell r="A5171" t="str">
            <v>FB260006063</v>
          </cell>
          <cell r="D5171" t="str">
            <v>LULU</v>
          </cell>
        </row>
        <row r="5172">
          <cell r="A5172" t="str">
            <v>FB260006064</v>
          </cell>
          <cell r="D5172" t="str">
            <v>CHICOS</v>
          </cell>
        </row>
        <row r="5173">
          <cell r="A5173" t="str">
            <v>FB260006065</v>
          </cell>
          <cell r="D5173" t="str">
            <v>CHICOS</v>
          </cell>
        </row>
        <row r="5174">
          <cell r="A5174" t="str">
            <v>FB260006066</v>
          </cell>
          <cell r="D5174" t="str">
            <v>CHICOS</v>
          </cell>
        </row>
        <row r="5175">
          <cell r="A5175" t="str">
            <v>FB260006068</v>
          </cell>
          <cell r="D5175" t="str">
            <v>GAPO</v>
          </cell>
        </row>
        <row r="5176">
          <cell r="A5176" t="str">
            <v>FB260006069</v>
          </cell>
          <cell r="D5176" t="str">
            <v>GAP</v>
          </cell>
        </row>
        <row r="5177">
          <cell r="A5177" t="str">
            <v>FB260006070</v>
          </cell>
          <cell r="D5177" t="str">
            <v>CHICOS</v>
          </cell>
        </row>
        <row r="5178">
          <cell r="A5178" t="str">
            <v>FB260006078</v>
          </cell>
          <cell r="D5178" t="str">
            <v>CHICOS</v>
          </cell>
        </row>
        <row r="5179">
          <cell r="A5179" t="str">
            <v>FB260006079</v>
          </cell>
          <cell r="D5179" t="str">
            <v>DUN</v>
          </cell>
        </row>
        <row r="5180">
          <cell r="A5180" t="str">
            <v>FB260006080</v>
          </cell>
          <cell r="D5180" t="str">
            <v>CHICOS</v>
          </cell>
        </row>
        <row r="5181">
          <cell r="A5181" t="str">
            <v>FB260006081</v>
          </cell>
          <cell r="D5181" t="str">
            <v>GAP</v>
          </cell>
        </row>
        <row r="5182">
          <cell r="A5182" t="str">
            <v>FB260006082</v>
          </cell>
          <cell r="D5182" t="str">
            <v>CHICOS</v>
          </cell>
        </row>
        <row r="5183">
          <cell r="A5183" t="str">
            <v>FB260006083</v>
          </cell>
          <cell r="D5183" t="str">
            <v>CHICOS</v>
          </cell>
        </row>
        <row r="5184">
          <cell r="A5184" t="str">
            <v>FB260006084</v>
          </cell>
          <cell r="D5184" t="str">
            <v>THX</v>
          </cell>
        </row>
        <row r="5185">
          <cell r="A5185" t="str">
            <v>FB260006087</v>
          </cell>
          <cell r="D5185" t="str">
            <v>GAP</v>
          </cell>
        </row>
        <row r="5186">
          <cell r="A5186" t="str">
            <v>FB260006088</v>
          </cell>
          <cell r="D5186" t="str">
            <v>GAP</v>
          </cell>
        </row>
        <row r="5187">
          <cell r="A5187" t="str">
            <v>FB260006089</v>
          </cell>
          <cell r="D5187" t="str">
            <v>GAP</v>
          </cell>
        </row>
        <row r="5188">
          <cell r="A5188" t="str">
            <v>FB260006090</v>
          </cell>
          <cell r="D5188" t="str">
            <v>WACE</v>
          </cell>
        </row>
        <row r="5189">
          <cell r="A5189" t="str">
            <v>FB260006091</v>
          </cell>
          <cell r="D5189" t="str">
            <v>M&amp;S</v>
          </cell>
        </row>
        <row r="5190">
          <cell r="A5190" t="str">
            <v>FB260006092</v>
          </cell>
          <cell r="D5190" t="str">
            <v>GAP</v>
          </cell>
        </row>
        <row r="5191">
          <cell r="A5191" t="str">
            <v>FB260006093</v>
          </cell>
          <cell r="D5191" t="str">
            <v>GAP</v>
          </cell>
        </row>
        <row r="5192">
          <cell r="A5192" t="str">
            <v>FB260006094</v>
          </cell>
          <cell r="D5192" t="str">
            <v>M&amp;S</v>
          </cell>
        </row>
        <row r="5193">
          <cell r="A5193" t="str">
            <v>FB260006095</v>
          </cell>
          <cell r="D5193" t="str">
            <v>GAP</v>
          </cell>
        </row>
        <row r="5194">
          <cell r="A5194" t="str">
            <v>FB260006097</v>
          </cell>
          <cell r="D5194" t="str">
            <v>WACE</v>
          </cell>
        </row>
        <row r="5195">
          <cell r="A5195" t="str">
            <v>FB260006100</v>
          </cell>
          <cell r="D5195" t="str">
            <v>M&amp;S</v>
          </cell>
        </row>
        <row r="5196">
          <cell r="A5196" t="str">
            <v>FB260006101</v>
          </cell>
          <cell r="D5196" t="str">
            <v>VSS</v>
          </cell>
        </row>
        <row r="5197">
          <cell r="A5197" t="str">
            <v>FB260006102</v>
          </cell>
          <cell r="D5197" t="str">
            <v>VSS</v>
          </cell>
        </row>
        <row r="5198">
          <cell r="A5198" t="str">
            <v>FB260006103</v>
          </cell>
          <cell r="D5198" t="str">
            <v>NIK</v>
          </cell>
        </row>
        <row r="5199">
          <cell r="A5199" t="str">
            <v>FB260006104</v>
          </cell>
          <cell r="D5199" t="str">
            <v>LULU</v>
          </cell>
        </row>
        <row r="5200">
          <cell r="A5200" t="str">
            <v>FB260006107</v>
          </cell>
          <cell r="D5200" t="str">
            <v>LULU</v>
          </cell>
        </row>
        <row r="5201">
          <cell r="A5201" t="str">
            <v>FB260006115</v>
          </cell>
          <cell r="D5201" t="str">
            <v>INT1</v>
          </cell>
        </row>
        <row r="5202">
          <cell r="A5202" t="str">
            <v>FB260006117</v>
          </cell>
          <cell r="D5202" t="str">
            <v>INT1</v>
          </cell>
        </row>
        <row r="5203">
          <cell r="A5203" t="str">
            <v>FB260006118</v>
          </cell>
          <cell r="D5203" t="str">
            <v>INT1</v>
          </cell>
        </row>
        <row r="5204">
          <cell r="A5204" t="str">
            <v>FB260006119</v>
          </cell>
          <cell r="D5204" t="str">
            <v>LULU</v>
          </cell>
        </row>
        <row r="5205">
          <cell r="A5205" t="str">
            <v>FB260006120</v>
          </cell>
          <cell r="D5205" t="str">
            <v>LBI</v>
          </cell>
        </row>
        <row r="5206">
          <cell r="A5206" t="str">
            <v>FB260006121</v>
          </cell>
          <cell r="D5206" t="str">
            <v>M&amp;S</v>
          </cell>
        </row>
        <row r="5207">
          <cell r="A5207" t="str">
            <v>FB260006122</v>
          </cell>
          <cell r="D5207" t="str">
            <v>M&amp;S</v>
          </cell>
        </row>
        <row r="5208">
          <cell r="A5208" t="str">
            <v>FB260006123</v>
          </cell>
          <cell r="D5208" t="str">
            <v>M&amp;S</v>
          </cell>
        </row>
        <row r="5209">
          <cell r="A5209" t="str">
            <v>FB260006124</v>
          </cell>
          <cell r="D5209" t="str">
            <v>M&amp;S</v>
          </cell>
        </row>
        <row r="5210">
          <cell r="A5210" t="str">
            <v>FB260006125</v>
          </cell>
          <cell r="D5210" t="str">
            <v>M&amp;S</v>
          </cell>
        </row>
        <row r="5211">
          <cell r="A5211" t="str">
            <v>FB260006126</v>
          </cell>
          <cell r="D5211" t="str">
            <v>M&amp;S</v>
          </cell>
        </row>
        <row r="5212">
          <cell r="A5212" t="str">
            <v>FB260006127</v>
          </cell>
          <cell r="D5212" t="str">
            <v>M&amp;S</v>
          </cell>
        </row>
        <row r="5213">
          <cell r="A5213" t="str">
            <v>FB260006128</v>
          </cell>
          <cell r="D5213" t="str">
            <v>ESS2</v>
          </cell>
        </row>
        <row r="5214">
          <cell r="A5214" t="str">
            <v>FB260006129</v>
          </cell>
          <cell r="D5214" t="str">
            <v>LULU</v>
          </cell>
        </row>
        <row r="5215">
          <cell r="A5215" t="str">
            <v>FB260006130</v>
          </cell>
          <cell r="D5215" t="str">
            <v>PINK</v>
          </cell>
        </row>
        <row r="5216">
          <cell r="A5216" t="str">
            <v>FB260006131</v>
          </cell>
          <cell r="D5216" t="str">
            <v>WACE</v>
          </cell>
        </row>
        <row r="5217">
          <cell r="A5217" t="str">
            <v>FB260006132</v>
          </cell>
          <cell r="D5217" t="str">
            <v>CK</v>
          </cell>
        </row>
        <row r="5218">
          <cell r="A5218" t="str">
            <v>FB260006133</v>
          </cell>
          <cell r="D5218" t="str">
            <v>CK</v>
          </cell>
        </row>
        <row r="5219">
          <cell r="A5219" t="str">
            <v>FB260006134</v>
          </cell>
          <cell r="D5219" t="str">
            <v>WACE</v>
          </cell>
        </row>
        <row r="5220">
          <cell r="A5220" t="str">
            <v>FB260006135</v>
          </cell>
          <cell r="D5220" t="str">
            <v>CK</v>
          </cell>
        </row>
        <row r="5221">
          <cell r="A5221" t="str">
            <v>FB260006136</v>
          </cell>
          <cell r="D5221" t="str">
            <v>CK</v>
          </cell>
        </row>
        <row r="5222">
          <cell r="A5222" t="str">
            <v>FB260006137</v>
          </cell>
          <cell r="D5222" t="str">
            <v>NIK</v>
          </cell>
        </row>
        <row r="5223">
          <cell r="A5223" t="str">
            <v>FB260006138</v>
          </cell>
          <cell r="D5223" t="str">
            <v>CK</v>
          </cell>
        </row>
        <row r="5224">
          <cell r="A5224" t="str">
            <v>FB260006139</v>
          </cell>
          <cell r="D5224" t="str">
            <v>THEU</v>
          </cell>
        </row>
        <row r="5225">
          <cell r="A5225" t="str">
            <v>FB260006140</v>
          </cell>
          <cell r="D5225" t="str">
            <v>GAP</v>
          </cell>
        </row>
        <row r="5226">
          <cell r="A5226" t="str">
            <v>FB260006141</v>
          </cell>
          <cell r="D5226" t="str">
            <v>GAP</v>
          </cell>
        </row>
        <row r="5227">
          <cell r="A5227" t="str">
            <v>FB260006142</v>
          </cell>
          <cell r="D5227" t="str">
            <v>CHICOS</v>
          </cell>
        </row>
        <row r="5228">
          <cell r="A5228" t="str">
            <v>FB260006144</v>
          </cell>
          <cell r="D5228" t="str">
            <v>GAP</v>
          </cell>
        </row>
        <row r="5229">
          <cell r="A5229" t="str">
            <v>FB260006147</v>
          </cell>
          <cell r="D5229" t="str">
            <v>VSS</v>
          </cell>
        </row>
        <row r="5230">
          <cell r="A5230" t="str">
            <v>FB260006148</v>
          </cell>
          <cell r="D5230" t="str">
            <v>VSS</v>
          </cell>
        </row>
        <row r="5231">
          <cell r="A5231" t="str">
            <v>FB260006149</v>
          </cell>
          <cell r="D5231" t="str">
            <v>VSS</v>
          </cell>
        </row>
        <row r="5232">
          <cell r="A5232" t="str">
            <v>FB260006150</v>
          </cell>
          <cell r="D5232" t="str">
            <v>VSS</v>
          </cell>
        </row>
        <row r="5233">
          <cell r="A5233" t="str">
            <v>FB260006151</v>
          </cell>
          <cell r="D5233" t="str">
            <v>VSS</v>
          </cell>
        </row>
        <row r="5234">
          <cell r="A5234" t="str">
            <v>FB260006152</v>
          </cell>
          <cell r="D5234" t="str">
            <v>VSS</v>
          </cell>
        </row>
        <row r="5235">
          <cell r="A5235" t="str">
            <v>FB260006153</v>
          </cell>
          <cell r="D5235" t="str">
            <v>VSS</v>
          </cell>
        </row>
        <row r="5236">
          <cell r="A5236" t="str">
            <v>FB260006154</v>
          </cell>
          <cell r="D5236" t="str">
            <v>VSS</v>
          </cell>
        </row>
        <row r="5237">
          <cell r="A5237" t="str">
            <v>FB260006155</v>
          </cell>
          <cell r="D5237" t="str">
            <v>VSS</v>
          </cell>
        </row>
        <row r="5238">
          <cell r="A5238" t="str">
            <v>FB260006156</v>
          </cell>
          <cell r="D5238" t="str">
            <v>TJEL</v>
          </cell>
        </row>
        <row r="5239">
          <cell r="A5239" t="str">
            <v>FB260006157</v>
          </cell>
          <cell r="D5239" t="str">
            <v>NEX</v>
          </cell>
        </row>
        <row r="5240">
          <cell r="A5240" t="str">
            <v>FB260006158</v>
          </cell>
          <cell r="D5240" t="str">
            <v>NEX</v>
          </cell>
        </row>
        <row r="5241">
          <cell r="A5241" t="str">
            <v>FB260006159</v>
          </cell>
          <cell r="D5241" t="str">
            <v>VSS</v>
          </cell>
        </row>
        <row r="5242">
          <cell r="A5242" t="str">
            <v>FB260006160</v>
          </cell>
          <cell r="D5242" t="str">
            <v>VSS</v>
          </cell>
        </row>
        <row r="5243">
          <cell r="A5243" t="str">
            <v>FB260006161</v>
          </cell>
          <cell r="D5243" t="str">
            <v>VSS</v>
          </cell>
        </row>
        <row r="5244">
          <cell r="A5244" t="str">
            <v>FB260006163</v>
          </cell>
          <cell r="D5244" t="str">
            <v>WACE</v>
          </cell>
        </row>
        <row r="5245">
          <cell r="A5245" t="str">
            <v>FB260006164</v>
          </cell>
          <cell r="D5245" t="str">
            <v>LBI</v>
          </cell>
        </row>
        <row r="5246">
          <cell r="A5246" t="str">
            <v>FB260006165</v>
          </cell>
          <cell r="D5246" t="str">
            <v>LBI</v>
          </cell>
        </row>
        <row r="5247">
          <cell r="A5247" t="str">
            <v>FB260006166</v>
          </cell>
          <cell r="D5247" t="str">
            <v>M&amp;S</v>
          </cell>
        </row>
        <row r="5248">
          <cell r="A5248" t="str">
            <v>FB260006167</v>
          </cell>
          <cell r="D5248" t="str">
            <v>M&amp;S</v>
          </cell>
        </row>
        <row r="5249">
          <cell r="A5249" t="str">
            <v>FB260006168</v>
          </cell>
          <cell r="D5249" t="str">
            <v>M&amp;S</v>
          </cell>
        </row>
        <row r="5250">
          <cell r="A5250" t="str">
            <v>FB260006169</v>
          </cell>
          <cell r="D5250" t="str">
            <v>GAPO</v>
          </cell>
        </row>
        <row r="5251">
          <cell r="A5251" t="str">
            <v>FB260006170</v>
          </cell>
          <cell r="D5251" t="str">
            <v>NKSKI</v>
          </cell>
        </row>
        <row r="5252">
          <cell r="A5252" t="str">
            <v>FB260006171</v>
          </cell>
          <cell r="D5252" t="str">
            <v>CHICOS</v>
          </cell>
        </row>
        <row r="5253">
          <cell r="A5253" t="str">
            <v>FB260006172</v>
          </cell>
          <cell r="D5253" t="str">
            <v>CK</v>
          </cell>
        </row>
        <row r="5254">
          <cell r="A5254" t="str">
            <v>FB260006173</v>
          </cell>
          <cell r="D5254" t="str">
            <v>CK</v>
          </cell>
        </row>
        <row r="5255">
          <cell r="A5255" t="str">
            <v>FB260006174</v>
          </cell>
          <cell r="D5255" t="str">
            <v>CK</v>
          </cell>
        </row>
        <row r="5256">
          <cell r="A5256" t="str">
            <v>FB260006175</v>
          </cell>
          <cell r="D5256" t="str">
            <v>CK</v>
          </cell>
        </row>
        <row r="5257">
          <cell r="A5257" t="str">
            <v>FB260006176</v>
          </cell>
          <cell r="D5257" t="str">
            <v>WACE</v>
          </cell>
        </row>
        <row r="5258">
          <cell r="A5258" t="str">
            <v>FB260006178</v>
          </cell>
          <cell r="D5258" t="str">
            <v>WACE</v>
          </cell>
        </row>
        <row r="5259">
          <cell r="A5259" t="str">
            <v>FB260006184</v>
          </cell>
          <cell r="D5259" t="str">
            <v>LULU</v>
          </cell>
        </row>
        <row r="5260">
          <cell r="A5260" t="str">
            <v>FB260006187</v>
          </cell>
          <cell r="D5260" t="str">
            <v>VSS</v>
          </cell>
        </row>
        <row r="5261">
          <cell r="A5261" t="str">
            <v>FB260006188</v>
          </cell>
          <cell r="D5261" t="str">
            <v>VSS</v>
          </cell>
        </row>
        <row r="5262">
          <cell r="A5262" t="str">
            <v>FB260006189</v>
          </cell>
          <cell r="D5262" t="str">
            <v>VSS</v>
          </cell>
        </row>
        <row r="5263">
          <cell r="A5263" t="str">
            <v>FB260006190</v>
          </cell>
          <cell r="D5263" t="str">
            <v>VSS</v>
          </cell>
        </row>
        <row r="5264">
          <cell r="A5264" t="str">
            <v>FB260006191</v>
          </cell>
          <cell r="D5264" t="str">
            <v>VSS</v>
          </cell>
        </row>
        <row r="5265">
          <cell r="A5265" t="str">
            <v>FB260006192</v>
          </cell>
          <cell r="D5265" t="str">
            <v>VSS</v>
          </cell>
        </row>
        <row r="5266">
          <cell r="A5266" t="str">
            <v>FB260006194</v>
          </cell>
          <cell r="D5266" t="str">
            <v>INT1</v>
          </cell>
        </row>
        <row r="5267">
          <cell r="A5267" t="str">
            <v>FB260006195</v>
          </cell>
          <cell r="D5267" t="str">
            <v>M&amp;S</v>
          </cell>
        </row>
        <row r="5268">
          <cell r="A5268" t="str">
            <v>FB260006196</v>
          </cell>
          <cell r="D5268" t="str">
            <v>LULU</v>
          </cell>
        </row>
        <row r="5269">
          <cell r="A5269" t="str">
            <v>FB260006197</v>
          </cell>
          <cell r="D5269" t="str">
            <v>LULU</v>
          </cell>
        </row>
        <row r="5270">
          <cell r="A5270" t="str">
            <v>FB260006198</v>
          </cell>
          <cell r="D5270" t="str">
            <v>M&amp;S</v>
          </cell>
        </row>
        <row r="5271">
          <cell r="A5271" t="str">
            <v>FB260006199</v>
          </cell>
          <cell r="D5271" t="str">
            <v>M&amp;S</v>
          </cell>
        </row>
        <row r="5272">
          <cell r="A5272" t="str">
            <v>FB260006204</v>
          </cell>
          <cell r="D5272" t="str">
            <v>NIK</v>
          </cell>
        </row>
        <row r="5273">
          <cell r="A5273" t="str">
            <v>FB260006205</v>
          </cell>
          <cell r="D5273" t="str">
            <v>INT1</v>
          </cell>
        </row>
        <row r="5274">
          <cell r="A5274" t="str">
            <v>FB260006206</v>
          </cell>
          <cell r="D5274" t="str">
            <v>INT1</v>
          </cell>
        </row>
        <row r="5275">
          <cell r="A5275" t="str">
            <v>FB260006207</v>
          </cell>
          <cell r="D5275" t="str">
            <v>INT1</v>
          </cell>
        </row>
        <row r="5276">
          <cell r="A5276" t="str">
            <v>FB260006208</v>
          </cell>
          <cell r="D5276" t="str">
            <v>LBI</v>
          </cell>
        </row>
        <row r="5277">
          <cell r="A5277" t="str">
            <v>FB260006209</v>
          </cell>
          <cell r="D5277" t="str">
            <v>LBI</v>
          </cell>
        </row>
        <row r="5278">
          <cell r="A5278" t="str">
            <v>FB260006210</v>
          </cell>
          <cell r="D5278" t="str">
            <v>M&amp;S</v>
          </cell>
        </row>
        <row r="5279">
          <cell r="A5279" t="str">
            <v>FB260006211</v>
          </cell>
          <cell r="D5279" t="str">
            <v>M&amp;S</v>
          </cell>
        </row>
        <row r="5280">
          <cell r="A5280" t="str">
            <v>FB260006212</v>
          </cell>
          <cell r="D5280" t="str">
            <v>M&amp;S</v>
          </cell>
        </row>
        <row r="5281">
          <cell r="A5281" t="str">
            <v>FB260006213</v>
          </cell>
          <cell r="D5281" t="str">
            <v>M&amp;S</v>
          </cell>
        </row>
        <row r="5282">
          <cell r="A5282" t="str">
            <v>FB260006214</v>
          </cell>
          <cell r="D5282" t="str">
            <v>M&amp;S</v>
          </cell>
        </row>
        <row r="5283">
          <cell r="A5283" t="str">
            <v>FB260006215</v>
          </cell>
          <cell r="D5283" t="str">
            <v>M&amp;S</v>
          </cell>
        </row>
        <row r="5284">
          <cell r="A5284" t="str">
            <v>FB260006216</v>
          </cell>
          <cell r="D5284" t="str">
            <v>M&amp;S</v>
          </cell>
        </row>
        <row r="5285">
          <cell r="A5285" t="str">
            <v>FB260006217</v>
          </cell>
          <cell r="D5285" t="str">
            <v>M&amp;S</v>
          </cell>
        </row>
        <row r="5286">
          <cell r="A5286" t="str">
            <v>FB260006218</v>
          </cell>
          <cell r="D5286" t="str">
            <v>M&amp;S</v>
          </cell>
        </row>
        <row r="5287">
          <cell r="A5287" t="str">
            <v>FB260006219</v>
          </cell>
          <cell r="D5287" t="str">
            <v>M&amp;S</v>
          </cell>
        </row>
        <row r="5288">
          <cell r="A5288" t="str">
            <v>FB260006220</v>
          </cell>
          <cell r="D5288" t="str">
            <v>LULU</v>
          </cell>
        </row>
        <row r="5289">
          <cell r="A5289" t="str">
            <v>FB260006221</v>
          </cell>
          <cell r="D5289" t="str">
            <v>LULU</v>
          </cell>
        </row>
        <row r="5290">
          <cell r="A5290" t="str">
            <v>FB260006222</v>
          </cell>
          <cell r="D5290" t="str">
            <v>LULU</v>
          </cell>
        </row>
        <row r="5291">
          <cell r="A5291" t="str">
            <v>FB260006223</v>
          </cell>
          <cell r="D5291" t="str">
            <v>PINK</v>
          </cell>
        </row>
        <row r="5292">
          <cell r="A5292" t="str">
            <v>FB260006224</v>
          </cell>
          <cell r="D5292" t="str">
            <v>CHICOS</v>
          </cell>
        </row>
        <row r="5293">
          <cell r="A5293" t="str">
            <v>FB260006225</v>
          </cell>
          <cell r="D5293" t="str">
            <v>PINK</v>
          </cell>
        </row>
        <row r="5294">
          <cell r="A5294" t="str">
            <v>FB260006226</v>
          </cell>
          <cell r="D5294" t="str">
            <v>GAPO</v>
          </cell>
        </row>
        <row r="5295">
          <cell r="A5295" t="str">
            <v>FB260006227</v>
          </cell>
          <cell r="D5295" t="str">
            <v>NIK</v>
          </cell>
        </row>
        <row r="5296">
          <cell r="A5296" t="str">
            <v>FB260006228</v>
          </cell>
          <cell r="D5296" t="str">
            <v>CHICOS</v>
          </cell>
        </row>
        <row r="5297">
          <cell r="A5297" t="str">
            <v>FB260006229</v>
          </cell>
          <cell r="D5297" t="str">
            <v>GLA</v>
          </cell>
        </row>
        <row r="5298">
          <cell r="A5298" t="str">
            <v>FB260006232</v>
          </cell>
          <cell r="D5298" t="str">
            <v>GAP</v>
          </cell>
        </row>
        <row r="5299">
          <cell r="A5299" t="str">
            <v>FB260006233</v>
          </cell>
          <cell r="D5299" t="str">
            <v>GAP</v>
          </cell>
        </row>
        <row r="5300">
          <cell r="A5300" t="str">
            <v>FB260006234</v>
          </cell>
          <cell r="D5300" t="str">
            <v>GAP</v>
          </cell>
        </row>
        <row r="5301">
          <cell r="A5301" t="str">
            <v>FB260006235</v>
          </cell>
          <cell r="D5301" t="str">
            <v>GAP</v>
          </cell>
        </row>
        <row r="5302">
          <cell r="A5302" t="str">
            <v>FB260006236</v>
          </cell>
          <cell r="D5302" t="str">
            <v>GAP</v>
          </cell>
        </row>
        <row r="5303">
          <cell r="A5303" t="str">
            <v>FB260006237</v>
          </cell>
          <cell r="D5303" t="str">
            <v>GAP</v>
          </cell>
        </row>
        <row r="5304">
          <cell r="A5304" t="str">
            <v>FB260006238</v>
          </cell>
          <cell r="D5304" t="str">
            <v>GAP</v>
          </cell>
        </row>
        <row r="5305">
          <cell r="A5305" t="str">
            <v>FB260006239</v>
          </cell>
          <cell r="D5305" t="str">
            <v>GAP</v>
          </cell>
        </row>
        <row r="5306">
          <cell r="A5306" t="str">
            <v>FB260006240</v>
          </cell>
          <cell r="D5306" t="str">
            <v>GAP</v>
          </cell>
        </row>
        <row r="5307">
          <cell r="A5307" t="str">
            <v>FB260006241</v>
          </cell>
          <cell r="D5307" t="str">
            <v>GAP</v>
          </cell>
        </row>
        <row r="5308">
          <cell r="A5308" t="str">
            <v>FB260006242</v>
          </cell>
          <cell r="D5308" t="str">
            <v>GAP</v>
          </cell>
        </row>
        <row r="5309">
          <cell r="A5309" t="str">
            <v>FB260006243</v>
          </cell>
          <cell r="D5309" t="str">
            <v>GAP</v>
          </cell>
        </row>
        <row r="5310">
          <cell r="A5310" t="str">
            <v>FB260006244</v>
          </cell>
          <cell r="D5310" t="str">
            <v>GAP</v>
          </cell>
        </row>
        <row r="5311">
          <cell r="A5311" t="str">
            <v>FB260006247</v>
          </cell>
          <cell r="D5311" t="str">
            <v>NIK</v>
          </cell>
        </row>
        <row r="5312">
          <cell r="A5312" t="str">
            <v>FB260006248</v>
          </cell>
          <cell r="D5312" t="str">
            <v>NIK</v>
          </cell>
        </row>
        <row r="5313">
          <cell r="A5313" t="str">
            <v>FB260006251</v>
          </cell>
          <cell r="D5313" t="str">
            <v>M&amp;S</v>
          </cell>
        </row>
        <row r="5314">
          <cell r="A5314" t="str">
            <v>FB260006252</v>
          </cell>
          <cell r="D5314" t="str">
            <v>PINK</v>
          </cell>
        </row>
        <row r="5315">
          <cell r="A5315" t="str">
            <v>FB260006254</v>
          </cell>
          <cell r="D5315" t="str">
            <v>PINK</v>
          </cell>
        </row>
        <row r="5316">
          <cell r="A5316" t="str">
            <v>FB260006255</v>
          </cell>
          <cell r="D5316" t="str">
            <v>PINK</v>
          </cell>
        </row>
        <row r="5317">
          <cell r="A5317" t="str">
            <v>FB260006256</v>
          </cell>
          <cell r="D5317" t="str">
            <v>PINK</v>
          </cell>
        </row>
        <row r="5318">
          <cell r="A5318" t="str">
            <v>FB260006257</v>
          </cell>
          <cell r="D5318" t="str">
            <v>PINK</v>
          </cell>
        </row>
        <row r="5319">
          <cell r="A5319" t="str">
            <v>FB260006258</v>
          </cell>
          <cell r="D5319" t="str">
            <v>PINK</v>
          </cell>
        </row>
        <row r="5320">
          <cell r="A5320" t="str">
            <v>FB260006259</v>
          </cell>
          <cell r="D5320" t="str">
            <v>PINK</v>
          </cell>
        </row>
        <row r="5321">
          <cell r="A5321" t="str">
            <v>FB260006260</v>
          </cell>
          <cell r="D5321" t="str">
            <v>WACE</v>
          </cell>
        </row>
        <row r="5322">
          <cell r="A5322" t="str">
            <v>FB260006261</v>
          </cell>
          <cell r="D5322" t="str">
            <v>PINK</v>
          </cell>
        </row>
        <row r="5323">
          <cell r="A5323" t="str">
            <v>FB260006262</v>
          </cell>
          <cell r="D5323" t="str">
            <v>PINK</v>
          </cell>
        </row>
        <row r="5324">
          <cell r="A5324" t="str">
            <v>FB260006263</v>
          </cell>
          <cell r="D5324" t="str">
            <v>PINK</v>
          </cell>
        </row>
        <row r="5325">
          <cell r="A5325" t="str">
            <v>FB260006264</v>
          </cell>
          <cell r="D5325" t="str">
            <v>PINK</v>
          </cell>
        </row>
        <row r="5326">
          <cell r="A5326" t="str">
            <v>FB260006266</v>
          </cell>
          <cell r="D5326" t="str">
            <v>PINK</v>
          </cell>
        </row>
        <row r="5327">
          <cell r="A5327" t="str">
            <v>FB260006267</v>
          </cell>
          <cell r="D5327" t="str">
            <v>PINK</v>
          </cell>
        </row>
        <row r="5328">
          <cell r="A5328" t="str">
            <v>FB260006269</v>
          </cell>
          <cell r="D5328" t="str">
            <v>VSS</v>
          </cell>
        </row>
        <row r="5329">
          <cell r="A5329" t="str">
            <v>FB260006271</v>
          </cell>
          <cell r="D5329" t="str">
            <v>M&amp;S</v>
          </cell>
        </row>
        <row r="5330">
          <cell r="A5330" t="str">
            <v>FB260006273</v>
          </cell>
          <cell r="D5330" t="str">
            <v>GAP</v>
          </cell>
        </row>
        <row r="5331">
          <cell r="A5331" t="str">
            <v>FB260006274</v>
          </cell>
          <cell r="D5331" t="str">
            <v>GAP</v>
          </cell>
        </row>
        <row r="5332">
          <cell r="A5332" t="str">
            <v>FB260006275</v>
          </cell>
          <cell r="D5332" t="str">
            <v>CK</v>
          </cell>
        </row>
        <row r="5333">
          <cell r="A5333" t="str">
            <v>FB260006276</v>
          </cell>
          <cell r="D5333" t="str">
            <v>CK</v>
          </cell>
        </row>
        <row r="5334">
          <cell r="A5334" t="str">
            <v>FB260006277</v>
          </cell>
          <cell r="D5334" t="str">
            <v>CK</v>
          </cell>
        </row>
        <row r="5335">
          <cell r="A5335" t="str">
            <v>FB260006278</v>
          </cell>
          <cell r="D5335" t="str">
            <v>ASIC</v>
          </cell>
        </row>
        <row r="5336">
          <cell r="A5336" t="str">
            <v>FB260006279</v>
          </cell>
          <cell r="D5336" t="str">
            <v>ASIC</v>
          </cell>
        </row>
        <row r="5337">
          <cell r="A5337" t="str">
            <v>FB260006280</v>
          </cell>
          <cell r="D5337" t="str">
            <v>GAP</v>
          </cell>
        </row>
        <row r="5338">
          <cell r="A5338" t="str">
            <v>FB260006281</v>
          </cell>
          <cell r="D5338" t="str">
            <v>GAP</v>
          </cell>
        </row>
        <row r="5339">
          <cell r="A5339" t="str">
            <v>FB260006284</v>
          </cell>
          <cell r="D5339" t="str">
            <v>GAPO</v>
          </cell>
        </row>
        <row r="5340">
          <cell r="A5340" t="str">
            <v>FB260006292</v>
          </cell>
          <cell r="D5340" t="str">
            <v>NEWB</v>
          </cell>
        </row>
        <row r="5341">
          <cell r="A5341" t="str">
            <v>FB260006294</v>
          </cell>
          <cell r="D5341" t="str">
            <v>ESS2</v>
          </cell>
        </row>
        <row r="5342">
          <cell r="A5342" t="str">
            <v>FB260006297</v>
          </cell>
          <cell r="D5342" t="str">
            <v>INT1</v>
          </cell>
        </row>
        <row r="5343">
          <cell r="A5343" t="str">
            <v>FB260006298</v>
          </cell>
          <cell r="D5343" t="str">
            <v>INT1</v>
          </cell>
        </row>
        <row r="5344">
          <cell r="A5344" t="str">
            <v>FB260006299</v>
          </cell>
          <cell r="D5344" t="str">
            <v>INT1</v>
          </cell>
        </row>
        <row r="5345">
          <cell r="A5345" t="str">
            <v>FB260006300</v>
          </cell>
          <cell r="D5345" t="str">
            <v>SW</v>
          </cell>
        </row>
        <row r="5346">
          <cell r="A5346" t="str">
            <v>FB260006301</v>
          </cell>
          <cell r="D5346" t="str">
            <v>INT1</v>
          </cell>
        </row>
        <row r="5347">
          <cell r="A5347" t="str">
            <v>FB260006302</v>
          </cell>
          <cell r="D5347" t="str">
            <v>M&amp;S</v>
          </cell>
        </row>
        <row r="5348">
          <cell r="A5348" t="str">
            <v>FB260006303</v>
          </cell>
          <cell r="D5348" t="str">
            <v>M&amp;S</v>
          </cell>
        </row>
        <row r="5349">
          <cell r="A5349" t="str">
            <v>FB260006304</v>
          </cell>
          <cell r="D5349" t="str">
            <v>M&amp;S</v>
          </cell>
        </row>
        <row r="5350">
          <cell r="A5350" t="str">
            <v>FB260006305</v>
          </cell>
          <cell r="D5350" t="str">
            <v>M&amp;S</v>
          </cell>
        </row>
        <row r="5351">
          <cell r="A5351" t="str">
            <v>FB260006306</v>
          </cell>
          <cell r="D5351" t="str">
            <v>M&amp;S</v>
          </cell>
        </row>
        <row r="5352">
          <cell r="A5352" t="str">
            <v>FB260006307</v>
          </cell>
          <cell r="D5352" t="str">
            <v>M&amp;S</v>
          </cell>
        </row>
        <row r="5353">
          <cell r="A5353" t="str">
            <v>FB260006308</v>
          </cell>
          <cell r="D5353" t="str">
            <v>M&amp;S</v>
          </cell>
        </row>
        <row r="5354">
          <cell r="A5354" t="str">
            <v>FB260006309</v>
          </cell>
          <cell r="D5354" t="str">
            <v>M&amp;S</v>
          </cell>
        </row>
        <row r="5355">
          <cell r="A5355" t="str">
            <v>FB260006310</v>
          </cell>
          <cell r="D5355" t="str">
            <v>M&amp;S</v>
          </cell>
        </row>
        <row r="5356">
          <cell r="A5356" t="str">
            <v>FB260006311</v>
          </cell>
          <cell r="D5356" t="str">
            <v>VSS</v>
          </cell>
        </row>
        <row r="5357">
          <cell r="A5357" t="str">
            <v>FB260006312</v>
          </cell>
          <cell r="D5357" t="str">
            <v>SPA</v>
          </cell>
        </row>
        <row r="5358">
          <cell r="A5358" t="str">
            <v>FB260006313</v>
          </cell>
          <cell r="D5358" t="str">
            <v>CHICOS</v>
          </cell>
        </row>
        <row r="5359">
          <cell r="A5359" t="str">
            <v>FB260006314</v>
          </cell>
          <cell r="D5359" t="str">
            <v>WACE</v>
          </cell>
        </row>
        <row r="5360">
          <cell r="A5360" t="str">
            <v>FB260006315</v>
          </cell>
          <cell r="D5360" t="str">
            <v>M&amp;S</v>
          </cell>
        </row>
        <row r="5361">
          <cell r="A5361" t="str">
            <v>FB260006316</v>
          </cell>
          <cell r="D5361" t="str">
            <v>GAP</v>
          </cell>
        </row>
        <row r="5362">
          <cell r="A5362" t="str">
            <v>FB260006317</v>
          </cell>
          <cell r="D5362" t="str">
            <v>GAP</v>
          </cell>
        </row>
        <row r="5363">
          <cell r="A5363" t="str">
            <v>FB260006318</v>
          </cell>
          <cell r="D5363" t="str">
            <v>GAP</v>
          </cell>
        </row>
        <row r="5364">
          <cell r="A5364" t="str">
            <v>FB260006319</v>
          </cell>
          <cell r="D5364" t="str">
            <v>GAP</v>
          </cell>
        </row>
        <row r="5365">
          <cell r="A5365" t="str">
            <v>FB260006320</v>
          </cell>
          <cell r="D5365" t="str">
            <v>NIK</v>
          </cell>
        </row>
        <row r="5366">
          <cell r="A5366" t="str">
            <v>FB260006321</v>
          </cell>
          <cell r="D5366" t="str">
            <v>WACE</v>
          </cell>
        </row>
        <row r="5367">
          <cell r="A5367" t="str">
            <v>FB260006322</v>
          </cell>
          <cell r="D5367" t="str">
            <v>GAP</v>
          </cell>
        </row>
        <row r="5368">
          <cell r="A5368" t="str">
            <v>FB260006323</v>
          </cell>
          <cell r="D5368" t="str">
            <v>GAP</v>
          </cell>
        </row>
        <row r="5369">
          <cell r="A5369" t="str">
            <v>FB260006324</v>
          </cell>
          <cell r="D5369" t="str">
            <v>VSS</v>
          </cell>
        </row>
        <row r="5370">
          <cell r="A5370" t="str">
            <v>FB260006328</v>
          </cell>
          <cell r="D5370" t="str">
            <v>WACE</v>
          </cell>
        </row>
        <row r="5371">
          <cell r="A5371" t="str">
            <v>FB260006339</v>
          </cell>
          <cell r="D5371" t="str">
            <v>NIK</v>
          </cell>
        </row>
        <row r="5372">
          <cell r="A5372" t="str">
            <v>FB260006342</v>
          </cell>
          <cell r="D5372" t="str">
            <v>NIK</v>
          </cell>
        </row>
        <row r="5373">
          <cell r="A5373" t="str">
            <v>FB260006343</v>
          </cell>
          <cell r="D5373" t="str">
            <v>NIK</v>
          </cell>
        </row>
        <row r="5374">
          <cell r="A5374" t="str">
            <v>FB260006345</v>
          </cell>
          <cell r="D5374" t="str">
            <v>NIK</v>
          </cell>
        </row>
        <row r="5375">
          <cell r="A5375" t="str">
            <v>FB260006346</v>
          </cell>
          <cell r="D5375" t="str">
            <v>NIK</v>
          </cell>
        </row>
        <row r="5376">
          <cell r="A5376" t="str">
            <v>FB260006359</v>
          </cell>
          <cell r="D5376" t="str">
            <v>LULU</v>
          </cell>
        </row>
        <row r="5377">
          <cell r="A5377" t="str">
            <v>FB260006360</v>
          </cell>
          <cell r="D5377" t="str">
            <v>VSS</v>
          </cell>
        </row>
        <row r="5378">
          <cell r="A5378" t="str">
            <v>FB260006362</v>
          </cell>
          <cell r="D5378" t="str">
            <v>GAP</v>
          </cell>
        </row>
        <row r="5379">
          <cell r="A5379" t="str">
            <v>FB260006363</v>
          </cell>
          <cell r="D5379" t="str">
            <v>M&amp;S</v>
          </cell>
        </row>
        <row r="5380">
          <cell r="A5380" t="str">
            <v>FB260006364</v>
          </cell>
          <cell r="D5380" t="str">
            <v>WACE</v>
          </cell>
        </row>
        <row r="5381">
          <cell r="A5381" t="str">
            <v>FB260006365</v>
          </cell>
          <cell r="D5381" t="str">
            <v>SPA</v>
          </cell>
        </row>
        <row r="5382">
          <cell r="A5382" t="str">
            <v>FB260006366</v>
          </cell>
          <cell r="D5382" t="str">
            <v>PINK</v>
          </cell>
        </row>
        <row r="5383">
          <cell r="A5383" t="str">
            <v>FB260006367</v>
          </cell>
          <cell r="D5383" t="str">
            <v>CK</v>
          </cell>
        </row>
        <row r="5384">
          <cell r="A5384" t="str">
            <v>FB260006368</v>
          </cell>
          <cell r="D5384" t="str">
            <v>CK</v>
          </cell>
        </row>
        <row r="5385">
          <cell r="A5385" t="str">
            <v>FB260006369</v>
          </cell>
          <cell r="D5385" t="str">
            <v>CK</v>
          </cell>
        </row>
        <row r="5386">
          <cell r="A5386" t="str">
            <v>FB260006370</v>
          </cell>
          <cell r="D5386" t="str">
            <v>NIK</v>
          </cell>
        </row>
        <row r="5387">
          <cell r="A5387" t="str">
            <v>FB260006371</v>
          </cell>
          <cell r="D5387" t="str">
            <v>LBI</v>
          </cell>
        </row>
        <row r="5388">
          <cell r="A5388" t="str">
            <v>FB260006372</v>
          </cell>
          <cell r="D5388" t="str">
            <v>LBI</v>
          </cell>
        </row>
        <row r="5389">
          <cell r="A5389" t="str">
            <v>FB260006373</v>
          </cell>
          <cell r="D5389" t="str">
            <v>LBI</v>
          </cell>
        </row>
        <row r="5390">
          <cell r="A5390" t="str">
            <v>FB260006374</v>
          </cell>
          <cell r="D5390" t="str">
            <v>LBI</v>
          </cell>
        </row>
        <row r="5391">
          <cell r="A5391" t="str">
            <v>FB260006375</v>
          </cell>
          <cell r="D5391" t="str">
            <v>LBI</v>
          </cell>
        </row>
        <row r="5392">
          <cell r="A5392" t="str">
            <v>FB260006376</v>
          </cell>
          <cell r="D5392" t="str">
            <v>LBI</v>
          </cell>
        </row>
        <row r="5393">
          <cell r="A5393" t="str">
            <v>FB260006377</v>
          </cell>
          <cell r="D5393" t="str">
            <v>LBI</v>
          </cell>
        </row>
        <row r="5394">
          <cell r="A5394" t="str">
            <v>FB260006379</v>
          </cell>
          <cell r="D5394" t="str">
            <v>LULU</v>
          </cell>
        </row>
        <row r="5395">
          <cell r="A5395" t="str">
            <v>FB260006380</v>
          </cell>
          <cell r="D5395" t="str">
            <v>LULU</v>
          </cell>
        </row>
        <row r="5396">
          <cell r="A5396" t="str">
            <v>FB260006381</v>
          </cell>
          <cell r="D5396" t="str">
            <v>LULU</v>
          </cell>
        </row>
        <row r="5397">
          <cell r="A5397" t="str">
            <v>FB260006382</v>
          </cell>
          <cell r="D5397" t="str">
            <v>LULU</v>
          </cell>
        </row>
        <row r="5398">
          <cell r="A5398" t="str">
            <v>FB260006383</v>
          </cell>
          <cell r="D5398" t="str">
            <v>LULU</v>
          </cell>
        </row>
        <row r="5399">
          <cell r="A5399" t="str">
            <v>FB260006384</v>
          </cell>
          <cell r="D5399" t="str">
            <v>SPA</v>
          </cell>
        </row>
        <row r="5400">
          <cell r="A5400" t="str">
            <v>FB260006385</v>
          </cell>
          <cell r="D5400" t="str">
            <v>SPA</v>
          </cell>
        </row>
        <row r="5401">
          <cell r="A5401" t="str">
            <v>FB260006386</v>
          </cell>
          <cell r="D5401" t="str">
            <v>SPA</v>
          </cell>
        </row>
        <row r="5402">
          <cell r="A5402" t="str">
            <v>FB260006387</v>
          </cell>
          <cell r="D5402" t="str">
            <v>SPA</v>
          </cell>
        </row>
        <row r="5403">
          <cell r="A5403" t="str">
            <v>FB260006388</v>
          </cell>
          <cell r="D5403" t="str">
            <v>M&amp;S</v>
          </cell>
        </row>
        <row r="5404">
          <cell r="A5404" t="str">
            <v>FB260006389</v>
          </cell>
          <cell r="D5404" t="str">
            <v>M&amp;S</v>
          </cell>
        </row>
        <row r="5405">
          <cell r="A5405" t="str">
            <v>FB260006390</v>
          </cell>
          <cell r="D5405" t="str">
            <v>M&amp;S</v>
          </cell>
        </row>
        <row r="5406">
          <cell r="A5406" t="str">
            <v>FB260006391</v>
          </cell>
          <cell r="D5406" t="str">
            <v>M&amp;S</v>
          </cell>
        </row>
        <row r="5407">
          <cell r="A5407" t="str">
            <v>FB260006392</v>
          </cell>
          <cell r="D5407" t="str">
            <v>SPA</v>
          </cell>
        </row>
        <row r="5408">
          <cell r="A5408" t="str">
            <v>FB260006393</v>
          </cell>
          <cell r="D5408" t="str">
            <v>LBI</v>
          </cell>
        </row>
        <row r="5409">
          <cell r="A5409" t="str">
            <v>FB260006394</v>
          </cell>
          <cell r="D5409" t="str">
            <v>CK</v>
          </cell>
        </row>
        <row r="5410">
          <cell r="A5410" t="str">
            <v>FB260006395</v>
          </cell>
          <cell r="D5410" t="str">
            <v>KOM</v>
          </cell>
        </row>
        <row r="5411">
          <cell r="A5411" t="str">
            <v>FB260006396</v>
          </cell>
          <cell r="D5411" t="str">
            <v>LULU</v>
          </cell>
        </row>
        <row r="5412">
          <cell r="A5412" t="str">
            <v>FB260006397</v>
          </cell>
          <cell r="D5412" t="str">
            <v>LULU</v>
          </cell>
        </row>
        <row r="5413">
          <cell r="A5413" t="str">
            <v>FB260006398</v>
          </cell>
          <cell r="D5413" t="str">
            <v>LULU</v>
          </cell>
        </row>
        <row r="5414">
          <cell r="A5414" t="str">
            <v>FB260006399</v>
          </cell>
          <cell r="D5414" t="str">
            <v>VSS</v>
          </cell>
        </row>
        <row r="5415">
          <cell r="A5415" t="str">
            <v>FB260006400</v>
          </cell>
          <cell r="D5415" t="str">
            <v>VSS</v>
          </cell>
        </row>
        <row r="5416">
          <cell r="A5416" t="str">
            <v>FB260006401</v>
          </cell>
          <cell r="D5416" t="str">
            <v>CK</v>
          </cell>
        </row>
        <row r="5417">
          <cell r="A5417" t="str">
            <v>FB260006402</v>
          </cell>
          <cell r="D5417" t="str">
            <v>TJEL</v>
          </cell>
        </row>
        <row r="5418">
          <cell r="A5418" t="str">
            <v>FB260006403</v>
          </cell>
          <cell r="D5418" t="str">
            <v>VSS</v>
          </cell>
        </row>
        <row r="5419">
          <cell r="A5419" t="str">
            <v>FB260006406</v>
          </cell>
          <cell r="D5419" t="str">
            <v>CK</v>
          </cell>
        </row>
        <row r="5420">
          <cell r="A5420" t="str">
            <v>FB260006408</v>
          </cell>
          <cell r="D5420" t="str">
            <v>CK</v>
          </cell>
        </row>
        <row r="5421">
          <cell r="A5421" t="str">
            <v>FB260006409</v>
          </cell>
          <cell r="D5421" t="str">
            <v>CK</v>
          </cell>
        </row>
        <row r="5422">
          <cell r="A5422" t="str">
            <v>FB260006410</v>
          </cell>
          <cell r="D5422" t="str">
            <v>CK</v>
          </cell>
        </row>
        <row r="5423">
          <cell r="A5423" t="str">
            <v>FB260006411</v>
          </cell>
          <cell r="D5423" t="str">
            <v>KOM</v>
          </cell>
        </row>
        <row r="5424">
          <cell r="A5424" t="str">
            <v>FB260006412</v>
          </cell>
          <cell r="D5424" t="str">
            <v>CK</v>
          </cell>
        </row>
        <row r="5425">
          <cell r="A5425" t="str">
            <v>FB260006413</v>
          </cell>
          <cell r="D5425" t="str">
            <v>CK</v>
          </cell>
        </row>
        <row r="5426">
          <cell r="A5426" t="str">
            <v>FB260006414</v>
          </cell>
          <cell r="D5426" t="str">
            <v>CK</v>
          </cell>
        </row>
        <row r="5427">
          <cell r="A5427" t="str">
            <v>FB260006415</v>
          </cell>
          <cell r="D5427" t="str">
            <v>CK</v>
          </cell>
        </row>
        <row r="5428">
          <cell r="A5428" t="str">
            <v>FB260006416</v>
          </cell>
          <cell r="D5428" t="str">
            <v>CK</v>
          </cell>
        </row>
        <row r="5429">
          <cell r="A5429" t="str">
            <v>FB260006417</v>
          </cell>
          <cell r="D5429" t="str">
            <v>DUN</v>
          </cell>
        </row>
        <row r="5430">
          <cell r="A5430" t="str">
            <v>FB260006420</v>
          </cell>
          <cell r="D5430" t="str">
            <v>THX</v>
          </cell>
        </row>
        <row r="5431">
          <cell r="A5431" t="str">
            <v>FB260006421</v>
          </cell>
          <cell r="D5431" t="str">
            <v>CHICOS</v>
          </cell>
        </row>
        <row r="5432">
          <cell r="A5432" t="str">
            <v>FB260006422</v>
          </cell>
          <cell r="D5432" t="str">
            <v>CHICOS</v>
          </cell>
        </row>
        <row r="5433">
          <cell r="A5433" t="str">
            <v>FB260006423</v>
          </cell>
          <cell r="D5433" t="str">
            <v>GLA</v>
          </cell>
        </row>
        <row r="5434">
          <cell r="A5434" t="str">
            <v>FB260006424</v>
          </cell>
          <cell r="D5434" t="str">
            <v>GAP</v>
          </cell>
        </row>
        <row r="5435">
          <cell r="A5435" t="str">
            <v>FB260006425</v>
          </cell>
          <cell r="D5435" t="str">
            <v>GAP</v>
          </cell>
        </row>
        <row r="5436">
          <cell r="A5436" t="str">
            <v>FB260006426</v>
          </cell>
          <cell r="D5436" t="str">
            <v>NIK</v>
          </cell>
        </row>
        <row r="5437">
          <cell r="A5437" t="str">
            <v>FB260006427</v>
          </cell>
          <cell r="D5437" t="str">
            <v>WACE</v>
          </cell>
        </row>
        <row r="5438">
          <cell r="A5438" t="str">
            <v>FB260006428</v>
          </cell>
          <cell r="D5438" t="str">
            <v>WACE</v>
          </cell>
        </row>
        <row r="5439">
          <cell r="A5439" t="str">
            <v>FB260006429</v>
          </cell>
          <cell r="D5439" t="str">
            <v>GAP</v>
          </cell>
        </row>
        <row r="5440">
          <cell r="A5440" t="str">
            <v>FB260006430</v>
          </cell>
          <cell r="D5440" t="str">
            <v>GAP</v>
          </cell>
        </row>
        <row r="5441">
          <cell r="A5441" t="str">
            <v>FB260006431</v>
          </cell>
          <cell r="D5441" t="str">
            <v>GAP</v>
          </cell>
        </row>
        <row r="5442">
          <cell r="A5442" t="str">
            <v>FB260006432</v>
          </cell>
          <cell r="D5442" t="str">
            <v>GAP</v>
          </cell>
        </row>
        <row r="5443">
          <cell r="A5443" t="str">
            <v>FB260006433</v>
          </cell>
          <cell r="D5443" t="str">
            <v>GAP</v>
          </cell>
        </row>
        <row r="5444">
          <cell r="A5444" t="str">
            <v>FB260006434</v>
          </cell>
          <cell r="D5444" t="str">
            <v>GAP</v>
          </cell>
        </row>
        <row r="5445">
          <cell r="A5445" t="str">
            <v>FB260006435</v>
          </cell>
          <cell r="D5445" t="str">
            <v>GAP</v>
          </cell>
        </row>
        <row r="5446">
          <cell r="A5446" t="str">
            <v>FB260006436</v>
          </cell>
          <cell r="D5446" t="str">
            <v>GAP</v>
          </cell>
        </row>
        <row r="5447">
          <cell r="A5447" t="str">
            <v>FB260006437</v>
          </cell>
          <cell r="D5447" t="str">
            <v>GAP</v>
          </cell>
        </row>
        <row r="5448">
          <cell r="A5448" t="str">
            <v>FB260006438</v>
          </cell>
          <cell r="D5448" t="str">
            <v>GAP</v>
          </cell>
        </row>
        <row r="5449">
          <cell r="A5449" t="str">
            <v>FB260006439</v>
          </cell>
          <cell r="D5449" t="str">
            <v>PINK</v>
          </cell>
        </row>
        <row r="5450">
          <cell r="A5450" t="str">
            <v>FB260006440</v>
          </cell>
          <cell r="D5450" t="str">
            <v>CK</v>
          </cell>
        </row>
        <row r="5451">
          <cell r="A5451" t="str">
            <v>FB260006441</v>
          </cell>
          <cell r="D5451" t="str">
            <v>CK</v>
          </cell>
        </row>
        <row r="5452">
          <cell r="A5452" t="str">
            <v>FB260006443</v>
          </cell>
          <cell r="D5452" t="str">
            <v>NIK</v>
          </cell>
        </row>
        <row r="5453">
          <cell r="A5453" t="str">
            <v>FB260006444</v>
          </cell>
          <cell r="D5453" t="str">
            <v>NIK</v>
          </cell>
        </row>
        <row r="5454">
          <cell r="A5454" t="str">
            <v>FB260006445</v>
          </cell>
          <cell r="D5454" t="str">
            <v>GAP</v>
          </cell>
        </row>
        <row r="5455">
          <cell r="A5455" t="str">
            <v>FB260006449</v>
          </cell>
          <cell r="D5455" t="str">
            <v>GAP</v>
          </cell>
        </row>
        <row r="5456">
          <cell r="A5456" t="str">
            <v>FB260006451</v>
          </cell>
          <cell r="D5456" t="str">
            <v>GAP</v>
          </cell>
        </row>
        <row r="5457">
          <cell r="A5457" t="str">
            <v>FB260006452</v>
          </cell>
          <cell r="D5457" t="str">
            <v>GAP</v>
          </cell>
        </row>
        <row r="5458">
          <cell r="A5458" t="str">
            <v>FB260006453</v>
          </cell>
          <cell r="D5458" t="str">
            <v>GAP</v>
          </cell>
        </row>
        <row r="5459">
          <cell r="A5459" t="str">
            <v>FB260006454</v>
          </cell>
          <cell r="D5459" t="str">
            <v>GAP</v>
          </cell>
        </row>
        <row r="5460">
          <cell r="A5460" t="str">
            <v>FB260006455</v>
          </cell>
          <cell r="D5460" t="str">
            <v>GAP</v>
          </cell>
        </row>
        <row r="5461">
          <cell r="A5461" t="str">
            <v>FB260006456</v>
          </cell>
          <cell r="D5461" t="str">
            <v>HAR</v>
          </cell>
        </row>
        <row r="5462">
          <cell r="A5462" t="str">
            <v>FB260006457</v>
          </cell>
          <cell r="D5462" t="str">
            <v>GAP</v>
          </cell>
        </row>
        <row r="5463">
          <cell r="A5463" t="str">
            <v>FB260006458</v>
          </cell>
          <cell r="D5463" t="str">
            <v>PINK</v>
          </cell>
        </row>
        <row r="5464">
          <cell r="A5464" t="str">
            <v>FB260006459</v>
          </cell>
          <cell r="D5464" t="str">
            <v>WACE</v>
          </cell>
        </row>
        <row r="5465">
          <cell r="A5465" t="str">
            <v>FB260006463</v>
          </cell>
          <cell r="D5465" t="str">
            <v>NIK</v>
          </cell>
        </row>
        <row r="5466">
          <cell r="A5466" t="str">
            <v>FB260006464</v>
          </cell>
          <cell r="D5466" t="str">
            <v>M&amp;S</v>
          </cell>
        </row>
        <row r="5467">
          <cell r="A5467" t="str">
            <v>FB260006465</v>
          </cell>
          <cell r="D5467" t="str">
            <v>M&amp;S</v>
          </cell>
        </row>
        <row r="5468">
          <cell r="A5468" t="str">
            <v>FB260006466</v>
          </cell>
          <cell r="D5468" t="str">
            <v>NIK</v>
          </cell>
        </row>
        <row r="5469">
          <cell r="A5469" t="str">
            <v>FB260006467</v>
          </cell>
          <cell r="D5469" t="str">
            <v>NIK</v>
          </cell>
        </row>
        <row r="5470">
          <cell r="A5470" t="str">
            <v>FB260006468</v>
          </cell>
          <cell r="D5470" t="str">
            <v>NIK</v>
          </cell>
        </row>
        <row r="5471">
          <cell r="A5471" t="str">
            <v>FB260006469</v>
          </cell>
          <cell r="D5471" t="str">
            <v>NIK</v>
          </cell>
        </row>
        <row r="5472">
          <cell r="A5472" t="str">
            <v>FB260006470</v>
          </cell>
          <cell r="D5472" t="str">
            <v>NIK</v>
          </cell>
        </row>
        <row r="5473">
          <cell r="A5473" t="str">
            <v>FB260006471</v>
          </cell>
          <cell r="D5473" t="str">
            <v>NIK</v>
          </cell>
        </row>
        <row r="5474">
          <cell r="A5474" t="str">
            <v>FB260006472</v>
          </cell>
          <cell r="D5474" t="str">
            <v>NIK</v>
          </cell>
        </row>
        <row r="5475">
          <cell r="A5475" t="str">
            <v>FB260006473</v>
          </cell>
          <cell r="D5475" t="str">
            <v>NIK</v>
          </cell>
        </row>
        <row r="5476">
          <cell r="A5476" t="str">
            <v>FB260006474</v>
          </cell>
          <cell r="D5476" t="str">
            <v>NIK</v>
          </cell>
        </row>
        <row r="5477">
          <cell r="A5477" t="str">
            <v>FB260006475</v>
          </cell>
          <cell r="D5477" t="str">
            <v>NIK</v>
          </cell>
        </row>
        <row r="5478">
          <cell r="A5478" t="str">
            <v>FB260006476</v>
          </cell>
          <cell r="D5478" t="str">
            <v>NIK</v>
          </cell>
        </row>
        <row r="5479">
          <cell r="A5479" t="str">
            <v>FB260006477</v>
          </cell>
          <cell r="D5479" t="str">
            <v>NIK</v>
          </cell>
        </row>
        <row r="5480">
          <cell r="A5480" t="str">
            <v>FB260006478</v>
          </cell>
          <cell r="D5480" t="str">
            <v>NIK</v>
          </cell>
        </row>
        <row r="5481">
          <cell r="A5481" t="str">
            <v>FB260006479</v>
          </cell>
          <cell r="D5481" t="str">
            <v>NIK</v>
          </cell>
        </row>
        <row r="5482">
          <cell r="A5482" t="str">
            <v>FB260006480</v>
          </cell>
          <cell r="D5482" t="str">
            <v>NIK</v>
          </cell>
        </row>
        <row r="5483">
          <cell r="A5483" t="str">
            <v>FB260006481</v>
          </cell>
          <cell r="D5483" t="str">
            <v>NIK</v>
          </cell>
        </row>
        <row r="5484">
          <cell r="A5484" t="str">
            <v>FB260006482</v>
          </cell>
          <cell r="D5484" t="str">
            <v>NIK</v>
          </cell>
        </row>
        <row r="5485">
          <cell r="A5485" t="str">
            <v>FB260006483</v>
          </cell>
          <cell r="D5485" t="str">
            <v>NIK</v>
          </cell>
        </row>
        <row r="5486">
          <cell r="A5486" t="str">
            <v>FB260006484</v>
          </cell>
          <cell r="D5486" t="str">
            <v>NIK</v>
          </cell>
        </row>
        <row r="5487">
          <cell r="A5487" t="str">
            <v>FB260006485</v>
          </cell>
          <cell r="D5487" t="str">
            <v>NIK</v>
          </cell>
        </row>
        <row r="5488">
          <cell r="A5488" t="str">
            <v>FB260006486</v>
          </cell>
          <cell r="D5488" t="str">
            <v>NIK</v>
          </cell>
        </row>
        <row r="5489">
          <cell r="A5489" t="str">
            <v>FB260006487</v>
          </cell>
          <cell r="D5489" t="str">
            <v>VSS</v>
          </cell>
        </row>
        <row r="5490">
          <cell r="A5490" t="str">
            <v>FB260006498</v>
          </cell>
          <cell r="D5490" t="str">
            <v>ASIC</v>
          </cell>
        </row>
        <row r="5491">
          <cell r="A5491" t="str">
            <v>FB260006499</v>
          </cell>
          <cell r="D5491" t="str">
            <v>SAA</v>
          </cell>
        </row>
        <row r="5492">
          <cell r="A5492" t="str">
            <v>FB260006500</v>
          </cell>
          <cell r="D5492" t="str">
            <v>VSS</v>
          </cell>
        </row>
        <row r="5493">
          <cell r="A5493" t="str">
            <v>FB260006501</v>
          </cell>
          <cell r="D5493" t="str">
            <v>WACE</v>
          </cell>
        </row>
        <row r="5494">
          <cell r="A5494" t="str">
            <v>FB260006502</v>
          </cell>
          <cell r="D5494" t="str">
            <v>PINK</v>
          </cell>
        </row>
        <row r="5495">
          <cell r="A5495" t="str">
            <v>FB260006504</v>
          </cell>
          <cell r="D5495" t="str">
            <v>PINK</v>
          </cell>
        </row>
        <row r="5496">
          <cell r="A5496" t="str">
            <v>FB260006505</v>
          </cell>
          <cell r="D5496" t="str">
            <v>VSS</v>
          </cell>
        </row>
        <row r="5497">
          <cell r="A5497" t="str">
            <v>FB260006515</v>
          </cell>
          <cell r="D5497" t="str">
            <v>VSS</v>
          </cell>
        </row>
        <row r="5498">
          <cell r="A5498" t="str">
            <v>FB260006516</v>
          </cell>
          <cell r="D5498" t="str">
            <v>VSS</v>
          </cell>
        </row>
        <row r="5499">
          <cell r="A5499" t="str">
            <v>FB260006518</v>
          </cell>
          <cell r="D5499" t="str">
            <v>VSS</v>
          </cell>
        </row>
        <row r="5500">
          <cell r="A5500" t="str">
            <v>FB260006520</v>
          </cell>
          <cell r="D5500" t="str">
            <v>VSS</v>
          </cell>
        </row>
        <row r="5501">
          <cell r="A5501" t="str">
            <v>FB260006522</v>
          </cell>
          <cell r="D5501" t="str">
            <v>LBI</v>
          </cell>
        </row>
        <row r="5502">
          <cell r="A5502" t="str">
            <v>FB260006524</v>
          </cell>
          <cell r="D5502" t="str">
            <v>LULU</v>
          </cell>
        </row>
        <row r="5503">
          <cell r="A5503" t="str">
            <v>FB260006525</v>
          </cell>
          <cell r="D5503" t="str">
            <v>M&amp;S</v>
          </cell>
        </row>
        <row r="5504">
          <cell r="A5504" t="str">
            <v>FB260006526</v>
          </cell>
          <cell r="D5504" t="str">
            <v>LBI</v>
          </cell>
        </row>
        <row r="5505">
          <cell r="A5505" t="str">
            <v>FB260006527</v>
          </cell>
          <cell r="D5505" t="str">
            <v>CK</v>
          </cell>
        </row>
        <row r="5506">
          <cell r="A5506" t="str">
            <v>FB260006528</v>
          </cell>
          <cell r="D5506" t="str">
            <v>CK</v>
          </cell>
        </row>
        <row r="5507">
          <cell r="A5507" t="str">
            <v>FB260006529</v>
          </cell>
          <cell r="D5507" t="str">
            <v>TJEL</v>
          </cell>
        </row>
        <row r="5508">
          <cell r="A5508" t="str">
            <v>FB260006530</v>
          </cell>
          <cell r="D5508" t="str">
            <v>CK</v>
          </cell>
        </row>
        <row r="5509">
          <cell r="A5509" t="str">
            <v>FB260006531</v>
          </cell>
          <cell r="D5509" t="str">
            <v>CK</v>
          </cell>
        </row>
        <row r="5510">
          <cell r="A5510" t="str">
            <v>FB260006532</v>
          </cell>
          <cell r="D5510" t="str">
            <v>CK</v>
          </cell>
        </row>
        <row r="5511">
          <cell r="A5511" t="str">
            <v>FB260006533</v>
          </cell>
          <cell r="D5511" t="str">
            <v>CK</v>
          </cell>
        </row>
        <row r="5512">
          <cell r="A5512" t="str">
            <v>FB260006534</v>
          </cell>
          <cell r="D5512" t="str">
            <v>CK</v>
          </cell>
        </row>
        <row r="5513">
          <cell r="A5513" t="str">
            <v>FB260006535</v>
          </cell>
          <cell r="D5513" t="str">
            <v>CK</v>
          </cell>
        </row>
        <row r="5514">
          <cell r="A5514" t="str">
            <v>FB260006536</v>
          </cell>
          <cell r="D5514" t="str">
            <v>CK</v>
          </cell>
        </row>
        <row r="5515">
          <cell r="A5515" t="str">
            <v>FB260006537</v>
          </cell>
          <cell r="D5515" t="str">
            <v>CK</v>
          </cell>
        </row>
        <row r="5516">
          <cell r="A5516" t="str">
            <v>FB260006538</v>
          </cell>
          <cell r="D5516" t="str">
            <v>CK</v>
          </cell>
        </row>
        <row r="5517">
          <cell r="A5517" t="str">
            <v>FB260006539</v>
          </cell>
          <cell r="D5517" t="str">
            <v>CK</v>
          </cell>
        </row>
        <row r="5518">
          <cell r="A5518" t="str">
            <v>FB260006548</v>
          </cell>
          <cell r="D5518" t="str">
            <v>THX</v>
          </cell>
        </row>
        <row r="5519">
          <cell r="A5519" t="str">
            <v>FB260006549</v>
          </cell>
          <cell r="D5519" t="str">
            <v>DUN</v>
          </cell>
        </row>
        <row r="5520">
          <cell r="A5520" t="str">
            <v>FB260006550</v>
          </cell>
          <cell r="D5520" t="str">
            <v>NIK</v>
          </cell>
        </row>
        <row r="5521">
          <cell r="A5521" t="str">
            <v>FB260006552</v>
          </cell>
          <cell r="D5521" t="str">
            <v>M&amp;S</v>
          </cell>
        </row>
        <row r="5522">
          <cell r="A5522" t="str">
            <v>FB260006555</v>
          </cell>
          <cell r="D5522" t="str">
            <v>GYM</v>
          </cell>
        </row>
        <row r="5523">
          <cell r="A5523" t="str">
            <v>FB260006559</v>
          </cell>
          <cell r="D5523" t="str">
            <v>WACE</v>
          </cell>
        </row>
        <row r="5524">
          <cell r="A5524" t="str">
            <v>FB260006561</v>
          </cell>
          <cell r="D5524" t="str">
            <v>TORD</v>
          </cell>
        </row>
        <row r="5525">
          <cell r="A5525" t="str">
            <v>FB260006567</v>
          </cell>
          <cell r="D5525" t="str">
            <v>NIK</v>
          </cell>
        </row>
        <row r="5526">
          <cell r="A5526" t="str">
            <v>FB260006570</v>
          </cell>
          <cell r="D5526" t="str">
            <v>NIK</v>
          </cell>
        </row>
        <row r="5527">
          <cell r="A5527" t="str">
            <v>FB260006574</v>
          </cell>
          <cell r="D5527" t="str">
            <v>NIK</v>
          </cell>
        </row>
        <row r="5528">
          <cell r="A5528" t="str">
            <v>FB260006595</v>
          </cell>
          <cell r="D5528" t="str">
            <v>NIK</v>
          </cell>
        </row>
        <row r="5529">
          <cell r="A5529" t="str">
            <v>FB260006596</v>
          </cell>
          <cell r="D5529" t="str">
            <v>NIK</v>
          </cell>
        </row>
        <row r="5530">
          <cell r="A5530" t="str">
            <v>FB260006597</v>
          </cell>
          <cell r="D5530" t="str">
            <v>NIK</v>
          </cell>
        </row>
        <row r="5531">
          <cell r="A5531" t="str">
            <v>FB260006598</v>
          </cell>
          <cell r="D5531" t="str">
            <v>NIK</v>
          </cell>
        </row>
        <row r="5532">
          <cell r="A5532" t="str">
            <v>FB260006599</v>
          </cell>
          <cell r="D5532" t="str">
            <v>NIK</v>
          </cell>
        </row>
        <row r="5533">
          <cell r="A5533" t="str">
            <v>FB260006600</v>
          </cell>
          <cell r="D5533" t="str">
            <v>NIK</v>
          </cell>
        </row>
        <row r="5534">
          <cell r="A5534" t="str">
            <v>FB260006601</v>
          </cell>
          <cell r="D5534" t="str">
            <v>NIK</v>
          </cell>
        </row>
        <row r="5535">
          <cell r="A5535" t="str">
            <v>FB260006602</v>
          </cell>
          <cell r="D5535" t="str">
            <v>NIK</v>
          </cell>
        </row>
        <row r="5536">
          <cell r="A5536" t="str">
            <v>FB260006603</v>
          </cell>
          <cell r="D5536" t="str">
            <v>NIK</v>
          </cell>
        </row>
        <row r="5537">
          <cell r="A5537" t="str">
            <v>FB260006604</v>
          </cell>
          <cell r="D5537" t="str">
            <v>NIK</v>
          </cell>
        </row>
        <row r="5538">
          <cell r="A5538" t="str">
            <v>FB260006605</v>
          </cell>
          <cell r="D5538" t="str">
            <v>NIK</v>
          </cell>
        </row>
        <row r="5539">
          <cell r="A5539" t="str">
            <v>FB260006606</v>
          </cell>
          <cell r="D5539" t="str">
            <v>NIK</v>
          </cell>
        </row>
        <row r="5540">
          <cell r="A5540" t="str">
            <v>FB260006607</v>
          </cell>
          <cell r="D5540" t="str">
            <v>NIK</v>
          </cell>
        </row>
        <row r="5541">
          <cell r="A5541" t="str">
            <v>FB260006608</v>
          </cell>
          <cell r="D5541" t="str">
            <v>NIK</v>
          </cell>
        </row>
        <row r="5542">
          <cell r="A5542" t="str">
            <v>FB260006609</v>
          </cell>
          <cell r="D5542" t="str">
            <v>NIK</v>
          </cell>
        </row>
        <row r="5543">
          <cell r="A5543" t="str">
            <v>FB260006610</v>
          </cell>
          <cell r="D5543" t="str">
            <v>GAP</v>
          </cell>
        </row>
        <row r="5544">
          <cell r="A5544" t="str">
            <v>FB260006614</v>
          </cell>
          <cell r="D5544" t="str">
            <v>VSS</v>
          </cell>
        </row>
        <row r="5545">
          <cell r="A5545" t="str">
            <v>FB260006615</v>
          </cell>
          <cell r="D5545" t="str">
            <v>PINK</v>
          </cell>
        </row>
        <row r="5546">
          <cell r="A5546" t="str">
            <v>FB260006616</v>
          </cell>
          <cell r="D5546" t="str">
            <v>PINK</v>
          </cell>
        </row>
        <row r="5547">
          <cell r="A5547" t="str">
            <v>FB260006618</v>
          </cell>
          <cell r="D5547" t="str">
            <v>PINK</v>
          </cell>
        </row>
        <row r="5548">
          <cell r="A5548" t="str">
            <v>FB260006619</v>
          </cell>
          <cell r="D5548" t="str">
            <v>PINK</v>
          </cell>
        </row>
        <row r="5549">
          <cell r="A5549" t="str">
            <v>FB260006620</v>
          </cell>
          <cell r="D5549" t="str">
            <v>PINK</v>
          </cell>
        </row>
        <row r="5550">
          <cell r="A5550" t="str">
            <v>FB260006621</v>
          </cell>
          <cell r="D5550" t="str">
            <v>PINK</v>
          </cell>
        </row>
        <row r="5551">
          <cell r="A5551" t="str">
            <v>FB260006622</v>
          </cell>
          <cell r="D5551" t="str">
            <v>NIK</v>
          </cell>
        </row>
        <row r="5552">
          <cell r="A5552" t="str">
            <v>FB260006623</v>
          </cell>
          <cell r="D5552" t="str">
            <v>NIK</v>
          </cell>
        </row>
        <row r="5553">
          <cell r="A5553" t="str">
            <v>FB260006624</v>
          </cell>
          <cell r="D5553" t="str">
            <v>NIK</v>
          </cell>
        </row>
        <row r="5554">
          <cell r="A5554" t="str">
            <v>FB260006625</v>
          </cell>
          <cell r="D5554" t="str">
            <v>NIK</v>
          </cell>
        </row>
        <row r="5555">
          <cell r="A5555" t="str">
            <v>FB260006626</v>
          </cell>
          <cell r="D5555" t="str">
            <v>NIK</v>
          </cell>
        </row>
        <row r="5556">
          <cell r="A5556" t="str">
            <v>FB260006627</v>
          </cell>
          <cell r="D5556" t="str">
            <v>NIK</v>
          </cell>
        </row>
        <row r="5557">
          <cell r="A5557" t="str">
            <v>FB260006628</v>
          </cell>
          <cell r="D5557" t="str">
            <v>NIK</v>
          </cell>
        </row>
        <row r="5558">
          <cell r="A5558" t="str">
            <v>FB260006629</v>
          </cell>
          <cell r="D5558" t="str">
            <v>NIK</v>
          </cell>
        </row>
        <row r="5559">
          <cell r="A5559" t="str">
            <v>FB260006630</v>
          </cell>
          <cell r="D5559" t="str">
            <v>NIK</v>
          </cell>
        </row>
        <row r="5560">
          <cell r="A5560" t="str">
            <v>FB260006631</v>
          </cell>
          <cell r="D5560" t="str">
            <v>VSS</v>
          </cell>
        </row>
        <row r="5561">
          <cell r="A5561" t="str">
            <v>FB260006632</v>
          </cell>
          <cell r="D5561" t="str">
            <v>VSS</v>
          </cell>
        </row>
        <row r="5562">
          <cell r="A5562" t="str">
            <v>FB260006633</v>
          </cell>
          <cell r="D5562" t="str">
            <v>VSS</v>
          </cell>
        </row>
        <row r="5563">
          <cell r="A5563" t="str">
            <v>FB260006634</v>
          </cell>
          <cell r="D5563" t="str">
            <v>VSS</v>
          </cell>
        </row>
        <row r="5564">
          <cell r="A5564" t="str">
            <v>FB260006635</v>
          </cell>
          <cell r="D5564" t="str">
            <v>VSS</v>
          </cell>
        </row>
        <row r="5565">
          <cell r="A5565" t="str">
            <v>FB260006636</v>
          </cell>
          <cell r="D5565" t="str">
            <v>VSS</v>
          </cell>
        </row>
        <row r="5566">
          <cell r="A5566" t="str">
            <v>FB260006637</v>
          </cell>
          <cell r="D5566" t="str">
            <v>WACE</v>
          </cell>
        </row>
        <row r="5567">
          <cell r="A5567" t="str">
            <v>FB260006638</v>
          </cell>
          <cell r="D5567" t="str">
            <v>WACE</v>
          </cell>
        </row>
        <row r="5568">
          <cell r="A5568" t="str">
            <v>FB260006639</v>
          </cell>
          <cell r="D5568" t="str">
            <v>VSS</v>
          </cell>
        </row>
        <row r="5569">
          <cell r="A5569" t="str">
            <v>FB260006641</v>
          </cell>
          <cell r="D5569" t="str">
            <v>PINK</v>
          </cell>
        </row>
        <row r="5570">
          <cell r="A5570" t="str">
            <v>FB260006642</v>
          </cell>
          <cell r="D5570" t="str">
            <v>PINK</v>
          </cell>
        </row>
        <row r="5571">
          <cell r="A5571" t="str">
            <v>FB260006643</v>
          </cell>
          <cell r="D5571" t="str">
            <v>LBI</v>
          </cell>
        </row>
        <row r="5572">
          <cell r="A5572" t="str">
            <v>FB260006645</v>
          </cell>
          <cell r="D5572" t="str">
            <v>LBI</v>
          </cell>
        </row>
        <row r="5573">
          <cell r="A5573" t="str">
            <v>FB260006646</v>
          </cell>
          <cell r="D5573" t="str">
            <v>M&amp;S</v>
          </cell>
        </row>
        <row r="5574">
          <cell r="A5574" t="str">
            <v>FB260006647</v>
          </cell>
          <cell r="D5574" t="str">
            <v>SPA</v>
          </cell>
        </row>
        <row r="5575">
          <cell r="A5575" t="str">
            <v>FB260006648</v>
          </cell>
          <cell r="D5575" t="str">
            <v>LULU</v>
          </cell>
        </row>
        <row r="5576">
          <cell r="A5576" t="str">
            <v>FB260006649</v>
          </cell>
          <cell r="D5576" t="str">
            <v>M&amp;S</v>
          </cell>
        </row>
        <row r="5577">
          <cell r="A5577" t="str">
            <v>FB260006650</v>
          </cell>
          <cell r="D5577" t="str">
            <v>M&amp;S</v>
          </cell>
        </row>
        <row r="5578">
          <cell r="A5578" t="str">
            <v>FB260006652</v>
          </cell>
          <cell r="D5578" t="str">
            <v>M&amp;S</v>
          </cell>
        </row>
        <row r="5579">
          <cell r="A5579" t="str">
            <v>FB260006653</v>
          </cell>
          <cell r="D5579" t="str">
            <v>M&amp;S</v>
          </cell>
        </row>
        <row r="5580">
          <cell r="A5580" t="str">
            <v>FB260006654</v>
          </cell>
          <cell r="D5580" t="str">
            <v>LULU</v>
          </cell>
        </row>
        <row r="5581">
          <cell r="A5581" t="str">
            <v>FB260006655</v>
          </cell>
          <cell r="D5581" t="str">
            <v>WACE</v>
          </cell>
        </row>
        <row r="5582">
          <cell r="A5582" t="str">
            <v>FB260006656</v>
          </cell>
          <cell r="D5582" t="str">
            <v>DUN</v>
          </cell>
        </row>
        <row r="5583">
          <cell r="A5583" t="str">
            <v>FB260006657</v>
          </cell>
          <cell r="D5583" t="str">
            <v>VSS</v>
          </cell>
        </row>
        <row r="5584">
          <cell r="A5584" t="str">
            <v>FB260006659</v>
          </cell>
          <cell r="D5584" t="str">
            <v>PINK</v>
          </cell>
        </row>
        <row r="5585">
          <cell r="A5585" t="str">
            <v>FB260006661</v>
          </cell>
          <cell r="D5585" t="str">
            <v>PINK</v>
          </cell>
        </row>
        <row r="5586">
          <cell r="A5586" t="str">
            <v>FB260006662</v>
          </cell>
          <cell r="D5586" t="str">
            <v>PINK</v>
          </cell>
        </row>
        <row r="5587">
          <cell r="A5587" t="str">
            <v>FB260006663</v>
          </cell>
          <cell r="D5587" t="str">
            <v>PINK</v>
          </cell>
        </row>
        <row r="5588">
          <cell r="A5588" t="str">
            <v>FB260006664</v>
          </cell>
          <cell r="D5588" t="str">
            <v>VSS</v>
          </cell>
        </row>
        <row r="5589">
          <cell r="A5589" t="str">
            <v>FB260006666</v>
          </cell>
          <cell r="D5589" t="str">
            <v>PINK</v>
          </cell>
        </row>
        <row r="5590">
          <cell r="A5590" t="str">
            <v>FB260006667</v>
          </cell>
          <cell r="D5590" t="str">
            <v>WACE</v>
          </cell>
        </row>
        <row r="5591">
          <cell r="A5591" t="str">
            <v>FB260006669</v>
          </cell>
          <cell r="D5591" t="str">
            <v>PINK</v>
          </cell>
        </row>
        <row r="5592">
          <cell r="A5592" t="str">
            <v>FB260006671</v>
          </cell>
          <cell r="D5592" t="str">
            <v>NIK</v>
          </cell>
        </row>
        <row r="5593">
          <cell r="A5593" t="str">
            <v>FB260006672</v>
          </cell>
          <cell r="D5593" t="str">
            <v>NIK</v>
          </cell>
        </row>
        <row r="5594">
          <cell r="A5594" t="str">
            <v>FB260006673</v>
          </cell>
          <cell r="D5594" t="str">
            <v>NIK</v>
          </cell>
        </row>
        <row r="5595">
          <cell r="A5595" t="str">
            <v>FB260006674</v>
          </cell>
          <cell r="D5595" t="str">
            <v>NIK</v>
          </cell>
        </row>
        <row r="5596">
          <cell r="A5596" t="str">
            <v>FB260006675</v>
          </cell>
          <cell r="D5596" t="str">
            <v>NIK</v>
          </cell>
        </row>
        <row r="5597">
          <cell r="A5597" t="str">
            <v>FB260006676</v>
          </cell>
          <cell r="D5597" t="str">
            <v>NIK</v>
          </cell>
        </row>
        <row r="5598">
          <cell r="A5598" t="str">
            <v>FB260006677</v>
          </cell>
          <cell r="D5598" t="str">
            <v>PINK</v>
          </cell>
        </row>
        <row r="5599">
          <cell r="A5599" t="str">
            <v>FB260006678</v>
          </cell>
          <cell r="D5599" t="str">
            <v>NIK</v>
          </cell>
        </row>
        <row r="5600">
          <cell r="A5600" t="str">
            <v>FB260006679</v>
          </cell>
          <cell r="D5600" t="str">
            <v>NIK</v>
          </cell>
        </row>
        <row r="5601">
          <cell r="A5601" t="str">
            <v>FB260006680</v>
          </cell>
          <cell r="D5601" t="str">
            <v>NIK</v>
          </cell>
        </row>
        <row r="5602">
          <cell r="A5602" t="str">
            <v>FB260006681</v>
          </cell>
          <cell r="D5602" t="str">
            <v>NIK</v>
          </cell>
        </row>
        <row r="5603">
          <cell r="A5603" t="str">
            <v>FB260006682</v>
          </cell>
          <cell r="D5603" t="str">
            <v>NIK</v>
          </cell>
        </row>
        <row r="5604">
          <cell r="A5604" t="str">
            <v>FB260006683</v>
          </cell>
          <cell r="D5604" t="str">
            <v>NIK</v>
          </cell>
        </row>
        <row r="5605">
          <cell r="A5605" t="str">
            <v>FB260006684</v>
          </cell>
          <cell r="D5605" t="str">
            <v>NIK</v>
          </cell>
        </row>
        <row r="5606">
          <cell r="A5606" t="str">
            <v>FB260006685</v>
          </cell>
          <cell r="D5606" t="str">
            <v>NIK</v>
          </cell>
        </row>
        <row r="5607">
          <cell r="A5607" t="str">
            <v>FB260006686</v>
          </cell>
          <cell r="D5607" t="str">
            <v>NIK</v>
          </cell>
        </row>
        <row r="5608">
          <cell r="A5608" t="str">
            <v>FB260006687</v>
          </cell>
          <cell r="D5608" t="str">
            <v>NIK</v>
          </cell>
        </row>
        <row r="5609">
          <cell r="A5609" t="str">
            <v>FB260006691</v>
          </cell>
          <cell r="D5609" t="str">
            <v>GAP</v>
          </cell>
        </row>
        <row r="5610">
          <cell r="A5610" t="str">
            <v>FB260006695</v>
          </cell>
          <cell r="D5610" t="str">
            <v>PINK</v>
          </cell>
        </row>
        <row r="5611">
          <cell r="A5611" t="str">
            <v>FB260006696</v>
          </cell>
          <cell r="D5611" t="str">
            <v>PINK</v>
          </cell>
        </row>
        <row r="5612">
          <cell r="A5612" t="str">
            <v>FB260006697</v>
          </cell>
          <cell r="D5612" t="str">
            <v>CK</v>
          </cell>
        </row>
        <row r="5613">
          <cell r="A5613" t="str">
            <v>FB260006698</v>
          </cell>
          <cell r="D5613" t="str">
            <v>ASIC</v>
          </cell>
        </row>
        <row r="5614">
          <cell r="A5614" t="str">
            <v>FB260006703</v>
          </cell>
          <cell r="D5614" t="str">
            <v>NIK</v>
          </cell>
        </row>
        <row r="5615">
          <cell r="A5615" t="str">
            <v>FB260006709</v>
          </cell>
          <cell r="D5615" t="str">
            <v>SPEE</v>
          </cell>
        </row>
        <row r="5616">
          <cell r="A5616" t="str">
            <v>FB260006711</v>
          </cell>
          <cell r="D5616" t="str">
            <v>NIK</v>
          </cell>
        </row>
        <row r="5617">
          <cell r="A5617" t="str">
            <v>FB260006712</v>
          </cell>
          <cell r="D5617" t="str">
            <v>NIK</v>
          </cell>
        </row>
        <row r="5618">
          <cell r="A5618" t="str">
            <v>FB260006713</v>
          </cell>
          <cell r="D5618" t="str">
            <v>NIK</v>
          </cell>
        </row>
        <row r="5619">
          <cell r="A5619" t="str">
            <v>FB260006714</v>
          </cell>
          <cell r="D5619" t="str">
            <v>NIK</v>
          </cell>
        </row>
        <row r="5620">
          <cell r="A5620" t="str">
            <v>FB260006715</v>
          </cell>
          <cell r="D5620" t="str">
            <v>NIK</v>
          </cell>
        </row>
        <row r="5621">
          <cell r="A5621" t="str">
            <v>FB260006716</v>
          </cell>
          <cell r="D5621" t="str">
            <v>VSS</v>
          </cell>
        </row>
        <row r="5622">
          <cell r="A5622" t="str">
            <v>FB260006717</v>
          </cell>
          <cell r="D5622" t="str">
            <v>WAC</v>
          </cell>
        </row>
        <row r="5623">
          <cell r="A5623" t="str">
            <v>FB260006718</v>
          </cell>
          <cell r="D5623" t="str">
            <v>VSS</v>
          </cell>
        </row>
        <row r="5624">
          <cell r="A5624" t="str">
            <v>FB260006719</v>
          </cell>
          <cell r="D5624" t="str">
            <v>VSS</v>
          </cell>
        </row>
        <row r="5625">
          <cell r="A5625" t="str">
            <v>FB260006720</v>
          </cell>
          <cell r="D5625" t="str">
            <v>VSS</v>
          </cell>
        </row>
        <row r="5626">
          <cell r="A5626" t="str">
            <v>FB260006721</v>
          </cell>
          <cell r="D5626" t="str">
            <v>VSS</v>
          </cell>
        </row>
        <row r="5627">
          <cell r="A5627" t="str">
            <v>FB260006722</v>
          </cell>
          <cell r="D5627" t="str">
            <v>VSS</v>
          </cell>
        </row>
        <row r="5628">
          <cell r="A5628" t="str">
            <v>FB260006723</v>
          </cell>
          <cell r="D5628" t="str">
            <v>VSS</v>
          </cell>
        </row>
        <row r="5629">
          <cell r="A5629" t="str">
            <v>FB260006724</v>
          </cell>
          <cell r="D5629" t="str">
            <v>VSS</v>
          </cell>
        </row>
        <row r="5630">
          <cell r="A5630" t="str">
            <v>FB260006725</v>
          </cell>
          <cell r="D5630" t="str">
            <v>VSS</v>
          </cell>
        </row>
        <row r="5631">
          <cell r="A5631" t="str">
            <v>FB260006726</v>
          </cell>
          <cell r="D5631" t="str">
            <v>VSS</v>
          </cell>
        </row>
        <row r="5632">
          <cell r="A5632" t="str">
            <v>FB260006727</v>
          </cell>
          <cell r="D5632" t="str">
            <v>VSS</v>
          </cell>
        </row>
        <row r="5633">
          <cell r="A5633" t="str">
            <v>FB260006728</v>
          </cell>
          <cell r="D5633" t="str">
            <v>VSS</v>
          </cell>
        </row>
        <row r="5634">
          <cell r="A5634" t="str">
            <v>FB260006729</v>
          </cell>
          <cell r="D5634" t="str">
            <v>VSS</v>
          </cell>
        </row>
        <row r="5635">
          <cell r="A5635" t="str">
            <v>FB260006730</v>
          </cell>
          <cell r="D5635" t="str">
            <v>VSS</v>
          </cell>
        </row>
        <row r="5636">
          <cell r="A5636" t="str">
            <v>FB260006731</v>
          </cell>
          <cell r="D5636" t="str">
            <v>VSS</v>
          </cell>
        </row>
        <row r="5637">
          <cell r="A5637" t="str">
            <v>FB260006732</v>
          </cell>
          <cell r="D5637" t="str">
            <v>NIK</v>
          </cell>
        </row>
        <row r="5638">
          <cell r="A5638" t="str">
            <v>FB260006733</v>
          </cell>
          <cell r="D5638" t="str">
            <v>VSS</v>
          </cell>
        </row>
        <row r="5639">
          <cell r="A5639" t="str">
            <v>FB260006734</v>
          </cell>
          <cell r="D5639" t="str">
            <v>VSS</v>
          </cell>
        </row>
        <row r="5640">
          <cell r="A5640" t="str">
            <v>FB260006735</v>
          </cell>
          <cell r="D5640" t="str">
            <v>CHICOS</v>
          </cell>
        </row>
        <row r="5641">
          <cell r="A5641" t="str">
            <v>FB260006736</v>
          </cell>
          <cell r="D5641" t="str">
            <v>CHICOS</v>
          </cell>
        </row>
        <row r="5642">
          <cell r="A5642" t="str">
            <v>FB260006737</v>
          </cell>
          <cell r="D5642" t="str">
            <v>INT1</v>
          </cell>
        </row>
        <row r="5643">
          <cell r="A5643" t="str">
            <v>FB260006738</v>
          </cell>
          <cell r="D5643" t="str">
            <v>INT1</v>
          </cell>
        </row>
        <row r="5644">
          <cell r="A5644" t="str">
            <v>FB260006739</v>
          </cell>
          <cell r="D5644" t="str">
            <v>INT1</v>
          </cell>
        </row>
        <row r="5645">
          <cell r="A5645" t="str">
            <v>FB260006740</v>
          </cell>
          <cell r="D5645" t="str">
            <v>M&amp;S</v>
          </cell>
        </row>
        <row r="5646">
          <cell r="A5646" t="str">
            <v>FB260006741</v>
          </cell>
          <cell r="D5646" t="str">
            <v>M&amp;S</v>
          </cell>
        </row>
        <row r="5647">
          <cell r="A5647" t="str">
            <v>FB260006742</v>
          </cell>
          <cell r="D5647" t="str">
            <v>M&amp;S</v>
          </cell>
        </row>
        <row r="5648">
          <cell r="A5648" t="str">
            <v>FB260006743</v>
          </cell>
          <cell r="D5648" t="str">
            <v>M&amp;S</v>
          </cell>
        </row>
        <row r="5649">
          <cell r="A5649" t="str">
            <v>FB260006744</v>
          </cell>
          <cell r="D5649" t="str">
            <v>M&amp;S</v>
          </cell>
        </row>
        <row r="5650">
          <cell r="A5650" t="str">
            <v>FB260006745</v>
          </cell>
          <cell r="D5650" t="str">
            <v>M&amp;S</v>
          </cell>
        </row>
        <row r="5651">
          <cell r="A5651" t="str">
            <v>FB260006746</v>
          </cell>
          <cell r="D5651" t="str">
            <v>M&amp;S</v>
          </cell>
        </row>
        <row r="5652">
          <cell r="A5652" t="str">
            <v>FB260006747</v>
          </cell>
          <cell r="D5652" t="str">
            <v>M&amp;S</v>
          </cell>
        </row>
        <row r="5653">
          <cell r="A5653" t="str">
            <v>FB260006748</v>
          </cell>
          <cell r="D5653" t="str">
            <v>M&amp;S</v>
          </cell>
        </row>
        <row r="5654">
          <cell r="A5654" t="str">
            <v>FB260006749</v>
          </cell>
          <cell r="D5654" t="str">
            <v>TORD</v>
          </cell>
        </row>
        <row r="5655">
          <cell r="A5655" t="str">
            <v>FB260006750</v>
          </cell>
          <cell r="D5655" t="str">
            <v>TORD</v>
          </cell>
        </row>
        <row r="5656">
          <cell r="A5656" t="str">
            <v>FB260006751</v>
          </cell>
          <cell r="D5656" t="str">
            <v>SW</v>
          </cell>
        </row>
        <row r="5657">
          <cell r="A5657" t="str">
            <v>FB260006752</v>
          </cell>
          <cell r="D5657" t="str">
            <v>CK</v>
          </cell>
        </row>
        <row r="5658">
          <cell r="A5658" t="str">
            <v>FB260006753</v>
          </cell>
          <cell r="D5658" t="str">
            <v>NIK</v>
          </cell>
        </row>
        <row r="5659">
          <cell r="A5659" t="str">
            <v>FB260006756</v>
          </cell>
          <cell r="D5659" t="str">
            <v>WACE</v>
          </cell>
        </row>
        <row r="5660">
          <cell r="A5660" t="str">
            <v>FB260006757</v>
          </cell>
          <cell r="D5660" t="str">
            <v>WACE</v>
          </cell>
        </row>
        <row r="5661">
          <cell r="A5661" t="str">
            <v>FB260006758</v>
          </cell>
          <cell r="D5661" t="str">
            <v>WACE</v>
          </cell>
        </row>
        <row r="5662">
          <cell r="A5662" t="str">
            <v>FB260006759</v>
          </cell>
          <cell r="D5662" t="str">
            <v>VSS</v>
          </cell>
        </row>
        <row r="5663">
          <cell r="A5663" t="str">
            <v>FB260006760</v>
          </cell>
          <cell r="D5663" t="str">
            <v>VSS</v>
          </cell>
        </row>
        <row r="5664">
          <cell r="A5664" t="str">
            <v>FB260006773</v>
          </cell>
          <cell r="D5664" t="str">
            <v>LULU</v>
          </cell>
        </row>
        <row r="5665">
          <cell r="A5665" t="str">
            <v>FB260006776</v>
          </cell>
          <cell r="D5665" t="str">
            <v>ASIC</v>
          </cell>
        </row>
        <row r="5666">
          <cell r="A5666" t="str">
            <v>FB260006777</v>
          </cell>
          <cell r="D5666" t="str">
            <v>VSS</v>
          </cell>
        </row>
        <row r="5667">
          <cell r="A5667" t="str">
            <v>FB260006778</v>
          </cell>
          <cell r="D5667" t="str">
            <v>VSS</v>
          </cell>
        </row>
        <row r="5668">
          <cell r="A5668" t="str">
            <v>FB260006779</v>
          </cell>
          <cell r="D5668" t="str">
            <v>VSS</v>
          </cell>
        </row>
        <row r="5669">
          <cell r="A5669" t="str">
            <v>FB260006780</v>
          </cell>
          <cell r="D5669" t="str">
            <v>VSS</v>
          </cell>
        </row>
        <row r="5670">
          <cell r="A5670" t="str">
            <v>FB260006782</v>
          </cell>
          <cell r="D5670" t="str">
            <v>VSS</v>
          </cell>
        </row>
        <row r="5671">
          <cell r="A5671" t="str">
            <v>FB260006783</v>
          </cell>
          <cell r="D5671" t="str">
            <v>CK</v>
          </cell>
        </row>
        <row r="5672">
          <cell r="A5672" t="str">
            <v>FB260006784</v>
          </cell>
          <cell r="D5672" t="str">
            <v>CK</v>
          </cell>
        </row>
        <row r="5673">
          <cell r="A5673" t="str">
            <v>FB260006785</v>
          </cell>
          <cell r="D5673" t="str">
            <v>M&amp;S</v>
          </cell>
        </row>
        <row r="5674">
          <cell r="A5674" t="str">
            <v>FB260006790</v>
          </cell>
          <cell r="D5674" t="str">
            <v>INT1</v>
          </cell>
        </row>
        <row r="5675">
          <cell r="A5675" t="str">
            <v>FB260006791</v>
          </cell>
          <cell r="D5675" t="str">
            <v>INT1</v>
          </cell>
        </row>
        <row r="5676">
          <cell r="A5676" t="str">
            <v>FB260006792</v>
          </cell>
          <cell r="D5676" t="str">
            <v>LBI</v>
          </cell>
        </row>
        <row r="5677">
          <cell r="A5677" t="str">
            <v>FB260006793</v>
          </cell>
          <cell r="D5677" t="str">
            <v>LULU</v>
          </cell>
        </row>
        <row r="5678">
          <cell r="A5678" t="str">
            <v>FB260006794</v>
          </cell>
          <cell r="D5678" t="str">
            <v>LULU</v>
          </cell>
        </row>
        <row r="5679">
          <cell r="A5679" t="str">
            <v>FB260006795</v>
          </cell>
          <cell r="D5679" t="str">
            <v>LULU</v>
          </cell>
        </row>
        <row r="5680">
          <cell r="A5680" t="str">
            <v>FB260006796</v>
          </cell>
          <cell r="D5680" t="str">
            <v>LBI</v>
          </cell>
        </row>
        <row r="5681">
          <cell r="A5681" t="str">
            <v>FB260006797</v>
          </cell>
          <cell r="D5681" t="str">
            <v>M&amp;S</v>
          </cell>
        </row>
        <row r="5682">
          <cell r="A5682" t="str">
            <v>FB260006798</v>
          </cell>
          <cell r="D5682" t="str">
            <v>M&amp;S</v>
          </cell>
        </row>
        <row r="5683">
          <cell r="A5683" t="str">
            <v>FB260006799</v>
          </cell>
          <cell r="D5683" t="str">
            <v>M&amp;S</v>
          </cell>
        </row>
        <row r="5684">
          <cell r="A5684" t="str">
            <v>FB260006800</v>
          </cell>
          <cell r="D5684" t="str">
            <v>M&amp;S</v>
          </cell>
        </row>
        <row r="5685">
          <cell r="A5685" t="str">
            <v>FB260006801</v>
          </cell>
          <cell r="D5685" t="str">
            <v>KOM</v>
          </cell>
        </row>
        <row r="5686">
          <cell r="A5686" t="str">
            <v>FB260006802</v>
          </cell>
          <cell r="D5686" t="str">
            <v>LULU</v>
          </cell>
        </row>
        <row r="5687">
          <cell r="A5687" t="str">
            <v>FB260006803</v>
          </cell>
          <cell r="D5687" t="str">
            <v>CK</v>
          </cell>
        </row>
        <row r="5688">
          <cell r="A5688" t="str">
            <v>FB260006804</v>
          </cell>
          <cell r="D5688" t="str">
            <v>CK</v>
          </cell>
        </row>
        <row r="5689">
          <cell r="A5689" t="str">
            <v>FB260006805</v>
          </cell>
          <cell r="D5689" t="str">
            <v>WACE</v>
          </cell>
        </row>
        <row r="5690">
          <cell r="A5690" t="str">
            <v>FB260006808</v>
          </cell>
          <cell r="D5690" t="str">
            <v>TESCO</v>
          </cell>
        </row>
        <row r="5691">
          <cell r="A5691" t="str">
            <v>FB260006810</v>
          </cell>
          <cell r="D5691" t="str">
            <v>PINK</v>
          </cell>
        </row>
        <row r="5692">
          <cell r="A5692" t="str">
            <v>FB260006811</v>
          </cell>
          <cell r="D5692" t="str">
            <v>GAP</v>
          </cell>
        </row>
        <row r="5693">
          <cell r="A5693" t="str">
            <v>FB260006812</v>
          </cell>
          <cell r="D5693" t="str">
            <v>NIK</v>
          </cell>
        </row>
        <row r="5694">
          <cell r="A5694" t="str">
            <v>FB260006813</v>
          </cell>
          <cell r="D5694" t="str">
            <v>VSS</v>
          </cell>
        </row>
        <row r="5695">
          <cell r="A5695" t="str">
            <v>FB260006814</v>
          </cell>
          <cell r="D5695" t="str">
            <v>CK</v>
          </cell>
        </row>
        <row r="5696">
          <cell r="A5696" t="str">
            <v>FB260006815</v>
          </cell>
          <cell r="D5696" t="str">
            <v>WACE</v>
          </cell>
        </row>
        <row r="5697">
          <cell r="A5697" t="str">
            <v>FB260006816</v>
          </cell>
          <cell r="D5697" t="str">
            <v>CK</v>
          </cell>
        </row>
        <row r="5698">
          <cell r="A5698" t="str">
            <v>FB260006818</v>
          </cell>
          <cell r="D5698" t="str">
            <v>DUN</v>
          </cell>
        </row>
        <row r="5699">
          <cell r="A5699" t="str">
            <v>FB260006819</v>
          </cell>
          <cell r="D5699" t="str">
            <v>DUN</v>
          </cell>
        </row>
        <row r="5700">
          <cell r="A5700" t="str">
            <v>FB260006820</v>
          </cell>
          <cell r="D5700" t="str">
            <v>VSS</v>
          </cell>
        </row>
        <row r="5701">
          <cell r="A5701" t="str">
            <v>FB260006821</v>
          </cell>
          <cell r="D5701" t="str">
            <v>VSS</v>
          </cell>
        </row>
        <row r="5702">
          <cell r="A5702" t="str">
            <v>FB260006825</v>
          </cell>
          <cell r="D5702" t="str">
            <v>CHICOS</v>
          </cell>
        </row>
        <row r="5703">
          <cell r="A5703" t="str">
            <v>FB260006830</v>
          </cell>
          <cell r="D5703" t="str">
            <v>WAC</v>
          </cell>
        </row>
        <row r="5704">
          <cell r="A5704" t="str">
            <v>FB260006831</v>
          </cell>
          <cell r="D5704" t="str">
            <v>INT1</v>
          </cell>
        </row>
        <row r="5705">
          <cell r="A5705" t="str">
            <v>FB260006832</v>
          </cell>
          <cell r="D5705" t="str">
            <v>VSS</v>
          </cell>
        </row>
        <row r="5706">
          <cell r="A5706" t="str">
            <v>FB260006834</v>
          </cell>
          <cell r="D5706" t="str">
            <v>VSS</v>
          </cell>
        </row>
        <row r="5707">
          <cell r="A5707" t="str">
            <v>FB260006835</v>
          </cell>
          <cell r="D5707" t="str">
            <v>VSS</v>
          </cell>
        </row>
        <row r="5708">
          <cell r="A5708" t="str">
            <v>FB260006837</v>
          </cell>
          <cell r="D5708" t="str">
            <v>VSS</v>
          </cell>
        </row>
        <row r="5709">
          <cell r="A5709" t="str">
            <v>FB260006839</v>
          </cell>
          <cell r="D5709" t="str">
            <v>VSS</v>
          </cell>
        </row>
        <row r="5710">
          <cell r="A5710" t="str">
            <v>FB260006840</v>
          </cell>
          <cell r="D5710" t="str">
            <v>VSS</v>
          </cell>
        </row>
        <row r="5711">
          <cell r="A5711" t="str">
            <v>FB260006841</v>
          </cell>
          <cell r="D5711" t="str">
            <v>VSS</v>
          </cell>
        </row>
        <row r="5712">
          <cell r="A5712" t="str">
            <v>FB260006842</v>
          </cell>
          <cell r="D5712" t="str">
            <v>VSS</v>
          </cell>
        </row>
        <row r="5713">
          <cell r="A5713" t="str">
            <v>FB260006843</v>
          </cell>
          <cell r="D5713" t="str">
            <v>VSS</v>
          </cell>
        </row>
        <row r="5714">
          <cell r="A5714" t="str">
            <v>FB260006844</v>
          </cell>
          <cell r="D5714" t="str">
            <v>VSS</v>
          </cell>
        </row>
        <row r="5715">
          <cell r="A5715" t="str">
            <v>FB260006845</v>
          </cell>
          <cell r="D5715" t="str">
            <v>VSS</v>
          </cell>
        </row>
        <row r="5716">
          <cell r="A5716" t="str">
            <v>FB260006846</v>
          </cell>
          <cell r="D5716" t="str">
            <v>VSS</v>
          </cell>
        </row>
        <row r="5717">
          <cell r="A5717" t="str">
            <v>FB260006847</v>
          </cell>
          <cell r="D5717" t="str">
            <v>VSS</v>
          </cell>
        </row>
        <row r="5718">
          <cell r="A5718" t="str">
            <v>FB260006848</v>
          </cell>
          <cell r="D5718" t="str">
            <v>VSS</v>
          </cell>
        </row>
        <row r="5719">
          <cell r="A5719" t="str">
            <v>FB260006849</v>
          </cell>
          <cell r="D5719" t="str">
            <v>VSS</v>
          </cell>
        </row>
        <row r="5720">
          <cell r="A5720" t="str">
            <v>FB260006850</v>
          </cell>
          <cell r="D5720" t="str">
            <v>VSS</v>
          </cell>
        </row>
        <row r="5721">
          <cell r="A5721" t="str">
            <v>FB260006851</v>
          </cell>
          <cell r="D5721" t="str">
            <v>VSS</v>
          </cell>
        </row>
        <row r="5722">
          <cell r="A5722" t="str">
            <v>FB260006852</v>
          </cell>
          <cell r="D5722" t="str">
            <v>VSS</v>
          </cell>
        </row>
        <row r="5723">
          <cell r="A5723" t="str">
            <v>FB260006853</v>
          </cell>
          <cell r="D5723" t="str">
            <v>VSS</v>
          </cell>
        </row>
        <row r="5724">
          <cell r="A5724" t="str">
            <v>FB260006854</v>
          </cell>
          <cell r="D5724" t="str">
            <v>VSS</v>
          </cell>
        </row>
        <row r="5725">
          <cell r="A5725" t="str">
            <v>FB260006855</v>
          </cell>
          <cell r="D5725" t="str">
            <v>VSS</v>
          </cell>
        </row>
        <row r="5726">
          <cell r="A5726" t="str">
            <v>FB260006856</v>
          </cell>
          <cell r="D5726" t="str">
            <v>VSS</v>
          </cell>
        </row>
        <row r="5727">
          <cell r="A5727" t="str">
            <v>FB260006857</v>
          </cell>
          <cell r="D5727" t="str">
            <v>VSS</v>
          </cell>
        </row>
        <row r="5728">
          <cell r="A5728" t="str">
            <v>FB260006858</v>
          </cell>
          <cell r="D5728" t="str">
            <v>VSS</v>
          </cell>
        </row>
        <row r="5729">
          <cell r="A5729" t="str">
            <v>FB260006859</v>
          </cell>
          <cell r="D5729" t="str">
            <v>VSS</v>
          </cell>
        </row>
        <row r="5730">
          <cell r="A5730" t="str">
            <v>FB260006860</v>
          </cell>
          <cell r="D5730" t="str">
            <v>VSS</v>
          </cell>
        </row>
        <row r="5731">
          <cell r="A5731" t="str">
            <v>FB260006861</v>
          </cell>
          <cell r="D5731" t="str">
            <v>VSS</v>
          </cell>
        </row>
        <row r="5732">
          <cell r="A5732" t="str">
            <v>FB260006862</v>
          </cell>
          <cell r="D5732" t="str">
            <v>VSS</v>
          </cell>
        </row>
        <row r="5733">
          <cell r="A5733" t="str">
            <v>FB260006863</v>
          </cell>
          <cell r="D5733" t="str">
            <v>VSS</v>
          </cell>
        </row>
        <row r="5734">
          <cell r="A5734" t="str">
            <v>FB260006864</v>
          </cell>
          <cell r="D5734" t="str">
            <v>VSS</v>
          </cell>
        </row>
        <row r="5735">
          <cell r="A5735" t="str">
            <v>FB260006865</v>
          </cell>
          <cell r="D5735" t="str">
            <v>VSS</v>
          </cell>
        </row>
        <row r="5736">
          <cell r="A5736" t="str">
            <v>FB260006866</v>
          </cell>
          <cell r="D5736" t="str">
            <v>VSS</v>
          </cell>
        </row>
        <row r="5737">
          <cell r="A5737" t="str">
            <v>FB260006867</v>
          </cell>
          <cell r="D5737" t="str">
            <v>VSS</v>
          </cell>
        </row>
        <row r="5738">
          <cell r="A5738" t="str">
            <v>FB260006868</v>
          </cell>
          <cell r="D5738" t="str">
            <v>VSS</v>
          </cell>
        </row>
        <row r="5739">
          <cell r="A5739" t="str">
            <v>FB260006869</v>
          </cell>
          <cell r="D5739" t="str">
            <v>VSS</v>
          </cell>
        </row>
        <row r="5740">
          <cell r="A5740" t="str">
            <v>FB260006870</v>
          </cell>
          <cell r="D5740" t="str">
            <v>VSS</v>
          </cell>
        </row>
        <row r="5741">
          <cell r="A5741" t="str">
            <v>FB260006871</v>
          </cell>
          <cell r="D5741" t="str">
            <v>VSS</v>
          </cell>
        </row>
        <row r="5742">
          <cell r="A5742" t="str">
            <v>FB260006872</v>
          </cell>
          <cell r="D5742" t="str">
            <v>VSS</v>
          </cell>
        </row>
        <row r="5743">
          <cell r="A5743" t="str">
            <v>FB260006873</v>
          </cell>
          <cell r="D5743" t="str">
            <v>VSS</v>
          </cell>
        </row>
        <row r="5744">
          <cell r="A5744" t="str">
            <v>FB260006876</v>
          </cell>
          <cell r="D5744" t="str">
            <v>VSS</v>
          </cell>
        </row>
        <row r="5745">
          <cell r="A5745" t="str">
            <v>FB260006878</v>
          </cell>
          <cell r="D5745" t="str">
            <v>VSS</v>
          </cell>
        </row>
        <row r="5746">
          <cell r="A5746" t="str">
            <v>FB260006879</v>
          </cell>
          <cell r="D5746" t="str">
            <v>VSS</v>
          </cell>
        </row>
        <row r="5747">
          <cell r="A5747" t="str">
            <v>FB260006880</v>
          </cell>
          <cell r="D5747" t="str">
            <v>VSS</v>
          </cell>
        </row>
        <row r="5748">
          <cell r="A5748" t="str">
            <v>FB260006882</v>
          </cell>
          <cell r="D5748" t="str">
            <v>VSS</v>
          </cell>
        </row>
        <row r="5749">
          <cell r="A5749" t="str">
            <v>FB260006884</v>
          </cell>
          <cell r="D5749" t="str">
            <v>LULU</v>
          </cell>
        </row>
        <row r="5750">
          <cell r="A5750" t="str">
            <v>FB260006885</v>
          </cell>
          <cell r="D5750" t="str">
            <v>DUN</v>
          </cell>
        </row>
        <row r="5751">
          <cell r="A5751" t="str">
            <v>FB260006887</v>
          </cell>
          <cell r="D5751" t="str">
            <v>CK</v>
          </cell>
        </row>
        <row r="5752">
          <cell r="A5752" t="str">
            <v>FB260006888</v>
          </cell>
          <cell r="D5752" t="str">
            <v>CK</v>
          </cell>
        </row>
        <row r="5753">
          <cell r="A5753" t="str">
            <v>FB260006889</v>
          </cell>
          <cell r="D5753" t="str">
            <v>CK</v>
          </cell>
        </row>
        <row r="5754">
          <cell r="A5754" t="str">
            <v>FB260006890</v>
          </cell>
          <cell r="D5754" t="str">
            <v>CK</v>
          </cell>
        </row>
        <row r="5755">
          <cell r="A5755" t="str">
            <v>FB260006891</v>
          </cell>
          <cell r="D5755" t="str">
            <v>CK</v>
          </cell>
        </row>
        <row r="5756">
          <cell r="A5756" t="str">
            <v>FB260006892</v>
          </cell>
          <cell r="D5756" t="str">
            <v>CK</v>
          </cell>
        </row>
        <row r="5757">
          <cell r="A5757" t="str">
            <v>FB260006893</v>
          </cell>
          <cell r="D5757" t="str">
            <v>CK</v>
          </cell>
        </row>
        <row r="5758">
          <cell r="A5758" t="str">
            <v>FB260006896</v>
          </cell>
          <cell r="D5758" t="str">
            <v>TJEL</v>
          </cell>
        </row>
        <row r="5759">
          <cell r="A5759" t="str">
            <v>FB260006898</v>
          </cell>
          <cell r="D5759" t="str">
            <v>TJEL</v>
          </cell>
        </row>
        <row r="5760">
          <cell r="A5760" t="str">
            <v>FB260006900</v>
          </cell>
          <cell r="D5760" t="str">
            <v>TJEL</v>
          </cell>
        </row>
        <row r="5761">
          <cell r="A5761" t="str">
            <v>FB260006901</v>
          </cell>
          <cell r="D5761" t="str">
            <v>TJEL</v>
          </cell>
        </row>
        <row r="5762">
          <cell r="A5762" t="str">
            <v>FB260006902</v>
          </cell>
          <cell r="D5762" t="str">
            <v>TJEL</v>
          </cell>
        </row>
        <row r="5763">
          <cell r="A5763" t="str">
            <v>FB260006904</v>
          </cell>
          <cell r="D5763" t="str">
            <v>TJEL</v>
          </cell>
        </row>
        <row r="5764">
          <cell r="A5764" t="str">
            <v>FB260006905</v>
          </cell>
          <cell r="D5764" t="str">
            <v>TJEL</v>
          </cell>
        </row>
        <row r="5765">
          <cell r="A5765" t="str">
            <v>FB260006906</v>
          </cell>
          <cell r="D5765" t="str">
            <v>VSS</v>
          </cell>
        </row>
        <row r="5766">
          <cell r="A5766" t="str">
            <v>FB260006907</v>
          </cell>
          <cell r="D5766" t="str">
            <v>M&amp;S</v>
          </cell>
        </row>
        <row r="5767">
          <cell r="A5767" t="str">
            <v>FB260006908</v>
          </cell>
          <cell r="D5767" t="str">
            <v>ODL</v>
          </cell>
        </row>
        <row r="5768">
          <cell r="A5768" t="str">
            <v>FB260006909</v>
          </cell>
          <cell r="D5768" t="str">
            <v>GAP</v>
          </cell>
        </row>
        <row r="5769">
          <cell r="A5769" t="str">
            <v>FB260006910</v>
          </cell>
          <cell r="D5769" t="str">
            <v>SPA</v>
          </cell>
        </row>
        <row r="5770">
          <cell r="A5770" t="str">
            <v>FB260006911</v>
          </cell>
          <cell r="D5770" t="str">
            <v>PINK</v>
          </cell>
        </row>
        <row r="5771">
          <cell r="A5771" t="str">
            <v>FB260006912</v>
          </cell>
          <cell r="D5771" t="str">
            <v>PINK</v>
          </cell>
        </row>
        <row r="5772">
          <cell r="A5772" t="str">
            <v>FB260006913</v>
          </cell>
          <cell r="D5772" t="str">
            <v>INT1</v>
          </cell>
        </row>
        <row r="5773">
          <cell r="A5773" t="str">
            <v>FB260006914</v>
          </cell>
          <cell r="D5773" t="str">
            <v>ASIC</v>
          </cell>
        </row>
        <row r="5774">
          <cell r="A5774" t="str">
            <v>FB260006915</v>
          </cell>
          <cell r="D5774" t="str">
            <v>CK</v>
          </cell>
        </row>
        <row r="5775">
          <cell r="A5775" t="str">
            <v>FB260006918</v>
          </cell>
          <cell r="D5775" t="str">
            <v>NIK</v>
          </cell>
        </row>
        <row r="5776">
          <cell r="A5776" t="str">
            <v>FB260006919</v>
          </cell>
          <cell r="D5776" t="str">
            <v>INT1</v>
          </cell>
        </row>
        <row r="5777">
          <cell r="A5777" t="str">
            <v>FB260006920</v>
          </cell>
          <cell r="D5777" t="str">
            <v>INT1</v>
          </cell>
        </row>
        <row r="5778">
          <cell r="A5778" t="str">
            <v>FB260006921</v>
          </cell>
          <cell r="D5778" t="str">
            <v>INT1</v>
          </cell>
        </row>
        <row r="5779">
          <cell r="A5779" t="str">
            <v>FB260006922</v>
          </cell>
          <cell r="D5779" t="str">
            <v>VSS</v>
          </cell>
        </row>
        <row r="5780">
          <cell r="A5780" t="str">
            <v>FB260006923</v>
          </cell>
          <cell r="D5780" t="str">
            <v>NIK</v>
          </cell>
        </row>
        <row r="5781">
          <cell r="A5781" t="str">
            <v>FB260006924</v>
          </cell>
          <cell r="D5781" t="str">
            <v>VSS</v>
          </cell>
        </row>
        <row r="5782">
          <cell r="A5782" t="str">
            <v>FB260006925</v>
          </cell>
          <cell r="D5782" t="str">
            <v>VSS</v>
          </cell>
        </row>
        <row r="5783">
          <cell r="A5783" t="str">
            <v>FB260006926</v>
          </cell>
          <cell r="D5783" t="str">
            <v>VSS</v>
          </cell>
        </row>
        <row r="5784">
          <cell r="A5784" t="str">
            <v>FB260006927</v>
          </cell>
          <cell r="D5784" t="str">
            <v>INT1</v>
          </cell>
        </row>
        <row r="5785">
          <cell r="A5785" t="str">
            <v>FB260006928</v>
          </cell>
          <cell r="D5785" t="str">
            <v>VSS</v>
          </cell>
        </row>
        <row r="5786">
          <cell r="A5786" t="str">
            <v>FB260006930</v>
          </cell>
          <cell r="D5786" t="str">
            <v>NIK</v>
          </cell>
        </row>
        <row r="5787">
          <cell r="A5787" t="str">
            <v>FB260006931</v>
          </cell>
          <cell r="D5787" t="str">
            <v>CK</v>
          </cell>
        </row>
        <row r="5788">
          <cell r="A5788" t="str">
            <v>FB260006932</v>
          </cell>
          <cell r="D5788" t="str">
            <v>NIK</v>
          </cell>
        </row>
        <row r="5789">
          <cell r="A5789" t="str">
            <v>FB260006933</v>
          </cell>
          <cell r="D5789" t="str">
            <v>PEP</v>
          </cell>
        </row>
        <row r="5790">
          <cell r="A5790" t="str">
            <v>FB260006934</v>
          </cell>
          <cell r="D5790" t="str">
            <v>VSS</v>
          </cell>
        </row>
        <row r="5791">
          <cell r="A5791" t="str">
            <v>FB260006935</v>
          </cell>
          <cell r="D5791" t="str">
            <v>VSS</v>
          </cell>
        </row>
        <row r="5792">
          <cell r="A5792" t="str">
            <v>FB260006936</v>
          </cell>
          <cell r="D5792" t="str">
            <v>VSS</v>
          </cell>
        </row>
        <row r="5793">
          <cell r="A5793" t="str">
            <v>FB260006937</v>
          </cell>
          <cell r="D5793" t="str">
            <v>VSS</v>
          </cell>
        </row>
        <row r="5794">
          <cell r="A5794" t="str">
            <v>FB260006938</v>
          </cell>
          <cell r="D5794" t="str">
            <v>NIK</v>
          </cell>
        </row>
        <row r="5795">
          <cell r="A5795" t="str">
            <v>FB260006939</v>
          </cell>
          <cell r="D5795" t="str">
            <v>VSS</v>
          </cell>
        </row>
        <row r="5796">
          <cell r="A5796" t="str">
            <v>FB260006941</v>
          </cell>
          <cell r="D5796" t="str">
            <v>PINK</v>
          </cell>
        </row>
        <row r="5797">
          <cell r="A5797" t="str">
            <v>FB260006948</v>
          </cell>
          <cell r="D5797" t="str">
            <v>WACE</v>
          </cell>
        </row>
        <row r="5798">
          <cell r="A5798" t="str">
            <v>FB260006949</v>
          </cell>
          <cell r="D5798" t="str">
            <v>INT1</v>
          </cell>
        </row>
        <row r="5799">
          <cell r="A5799" t="str">
            <v>FB260006950</v>
          </cell>
          <cell r="D5799" t="str">
            <v>M&amp;S</v>
          </cell>
        </row>
        <row r="5800">
          <cell r="A5800" t="str">
            <v>FB260006952</v>
          </cell>
          <cell r="D5800" t="str">
            <v>LULU</v>
          </cell>
        </row>
        <row r="5801">
          <cell r="A5801" t="str">
            <v>FB260006953</v>
          </cell>
          <cell r="D5801" t="str">
            <v>LULU</v>
          </cell>
        </row>
        <row r="5802">
          <cell r="A5802" t="str">
            <v>FB260006955</v>
          </cell>
          <cell r="D5802" t="str">
            <v>SPA</v>
          </cell>
        </row>
        <row r="5803">
          <cell r="A5803" t="str">
            <v>FB260006956</v>
          </cell>
          <cell r="D5803" t="str">
            <v>M&amp;S</v>
          </cell>
        </row>
        <row r="5804">
          <cell r="A5804" t="str">
            <v>FB260006957</v>
          </cell>
          <cell r="D5804" t="str">
            <v>M&amp;S</v>
          </cell>
        </row>
        <row r="5805">
          <cell r="A5805" t="str">
            <v>FB260006958</v>
          </cell>
          <cell r="D5805" t="str">
            <v>LULU</v>
          </cell>
        </row>
        <row r="5806">
          <cell r="A5806" t="str">
            <v>FB260006959</v>
          </cell>
          <cell r="D5806" t="str">
            <v>LULU</v>
          </cell>
        </row>
        <row r="5807">
          <cell r="A5807" t="str">
            <v>FB260006960</v>
          </cell>
          <cell r="D5807" t="str">
            <v>LULU</v>
          </cell>
        </row>
        <row r="5808">
          <cell r="A5808" t="str">
            <v>FB260006961</v>
          </cell>
          <cell r="D5808" t="str">
            <v>LULU</v>
          </cell>
        </row>
        <row r="5809">
          <cell r="A5809" t="str">
            <v>FB260006962</v>
          </cell>
          <cell r="D5809" t="str">
            <v>ODL</v>
          </cell>
        </row>
        <row r="5810">
          <cell r="A5810" t="str">
            <v>FB260006963</v>
          </cell>
          <cell r="D5810" t="str">
            <v>GAP</v>
          </cell>
        </row>
        <row r="5811">
          <cell r="A5811" t="str">
            <v>FB260006964</v>
          </cell>
          <cell r="D5811" t="str">
            <v>M&amp;S</v>
          </cell>
        </row>
        <row r="5812">
          <cell r="A5812" t="str">
            <v>FB260006965</v>
          </cell>
          <cell r="D5812" t="str">
            <v>M&amp;S</v>
          </cell>
        </row>
        <row r="5813">
          <cell r="A5813" t="str">
            <v>FB260006966</v>
          </cell>
          <cell r="D5813" t="str">
            <v>PINK</v>
          </cell>
        </row>
        <row r="5814">
          <cell r="A5814" t="str">
            <v>FB260006967</v>
          </cell>
          <cell r="D5814" t="str">
            <v>TORD</v>
          </cell>
        </row>
        <row r="5815">
          <cell r="A5815" t="str">
            <v>FB260006968</v>
          </cell>
          <cell r="D5815" t="str">
            <v>NIK</v>
          </cell>
        </row>
        <row r="5816">
          <cell r="A5816" t="str">
            <v>FB260006969</v>
          </cell>
          <cell r="D5816" t="str">
            <v>WACE</v>
          </cell>
        </row>
        <row r="5817">
          <cell r="A5817" t="str">
            <v>FB260006970</v>
          </cell>
          <cell r="D5817" t="str">
            <v>WACE</v>
          </cell>
        </row>
        <row r="5818">
          <cell r="A5818" t="str">
            <v>FB260006971</v>
          </cell>
          <cell r="D5818" t="str">
            <v>WACE</v>
          </cell>
        </row>
        <row r="5819">
          <cell r="A5819" t="str">
            <v>FB260006972</v>
          </cell>
          <cell r="D5819" t="str">
            <v>WACE</v>
          </cell>
        </row>
        <row r="5820">
          <cell r="A5820" t="str">
            <v>FB260006973</v>
          </cell>
          <cell r="D5820" t="str">
            <v>VSS</v>
          </cell>
        </row>
        <row r="5821">
          <cell r="A5821" t="str">
            <v>FB260006974</v>
          </cell>
          <cell r="D5821" t="str">
            <v>WACE</v>
          </cell>
        </row>
        <row r="5822">
          <cell r="A5822" t="str">
            <v>FB260006975</v>
          </cell>
          <cell r="D5822" t="str">
            <v>THX</v>
          </cell>
        </row>
        <row r="5823">
          <cell r="A5823" t="str">
            <v>FB260006976</v>
          </cell>
          <cell r="D5823" t="str">
            <v>WACE</v>
          </cell>
        </row>
        <row r="5824">
          <cell r="A5824" t="str">
            <v>FB260006977</v>
          </cell>
          <cell r="D5824" t="str">
            <v>WACE</v>
          </cell>
        </row>
        <row r="5825">
          <cell r="A5825" t="str">
            <v>FB260006978</v>
          </cell>
          <cell r="D5825" t="str">
            <v>CK</v>
          </cell>
        </row>
        <row r="5826">
          <cell r="A5826" t="str">
            <v>FB260006979</v>
          </cell>
          <cell r="D5826" t="str">
            <v>CK</v>
          </cell>
        </row>
        <row r="5827">
          <cell r="A5827" t="str">
            <v>FB260006980</v>
          </cell>
          <cell r="D5827" t="str">
            <v>CK</v>
          </cell>
        </row>
        <row r="5828">
          <cell r="A5828" t="str">
            <v>FB260006983</v>
          </cell>
          <cell r="D5828" t="str">
            <v>VSS</v>
          </cell>
        </row>
        <row r="5829">
          <cell r="A5829" t="str">
            <v>FB260006984</v>
          </cell>
          <cell r="D5829" t="str">
            <v>VSS</v>
          </cell>
        </row>
        <row r="5830">
          <cell r="A5830" t="str">
            <v>FB260006985</v>
          </cell>
          <cell r="D5830" t="str">
            <v>VSS</v>
          </cell>
        </row>
        <row r="5831">
          <cell r="A5831" t="str">
            <v>FB260006986</v>
          </cell>
          <cell r="D5831" t="str">
            <v>VSS</v>
          </cell>
        </row>
        <row r="5832">
          <cell r="A5832" t="str">
            <v>FB260006987</v>
          </cell>
          <cell r="D5832" t="str">
            <v>VSS</v>
          </cell>
        </row>
        <row r="5833">
          <cell r="A5833" t="str">
            <v>FB260006988</v>
          </cell>
          <cell r="D5833" t="str">
            <v>VSS</v>
          </cell>
        </row>
        <row r="5834">
          <cell r="A5834" t="str">
            <v>FB260006989</v>
          </cell>
          <cell r="D5834" t="str">
            <v>VSS</v>
          </cell>
        </row>
        <row r="5835">
          <cell r="A5835" t="str">
            <v>FB260006990</v>
          </cell>
          <cell r="D5835" t="str">
            <v>PINK</v>
          </cell>
        </row>
        <row r="5836">
          <cell r="A5836" t="str">
            <v>FB260006995</v>
          </cell>
          <cell r="D5836" t="str">
            <v>VSS</v>
          </cell>
        </row>
        <row r="5837">
          <cell r="A5837" t="str">
            <v>FB260006996</v>
          </cell>
          <cell r="D5837" t="str">
            <v>VSS</v>
          </cell>
        </row>
        <row r="5838">
          <cell r="A5838" t="str">
            <v>FB260006997</v>
          </cell>
          <cell r="D5838" t="str">
            <v>VSS</v>
          </cell>
        </row>
        <row r="5839">
          <cell r="A5839" t="str">
            <v>FB260006998</v>
          </cell>
          <cell r="D5839" t="str">
            <v>NKSKI</v>
          </cell>
        </row>
        <row r="5840">
          <cell r="A5840" t="str">
            <v>FB260006999</v>
          </cell>
          <cell r="D5840" t="str">
            <v>VSS</v>
          </cell>
        </row>
        <row r="5841">
          <cell r="A5841" t="str">
            <v>FB260007000</v>
          </cell>
          <cell r="D5841" t="str">
            <v>VSS</v>
          </cell>
        </row>
        <row r="5842">
          <cell r="A5842" t="str">
            <v>FB260007001</v>
          </cell>
          <cell r="D5842" t="str">
            <v>LULU</v>
          </cell>
        </row>
        <row r="5843">
          <cell r="A5843" t="str">
            <v>FB260007002</v>
          </cell>
          <cell r="D5843" t="str">
            <v>PINK</v>
          </cell>
        </row>
        <row r="5844">
          <cell r="A5844" t="str">
            <v>FB260007003</v>
          </cell>
          <cell r="D5844" t="str">
            <v>LULU</v>
          </cell>
        </row>
        <row r="5845">
          <cell r="A5845" t="str">
            <v>FB260007004</v>
          </cell>
          <cell r="D5845" t="str">
            <v>PINK</v>
          </cell>
        </row>
        <row r="5846">
          <cell r="A5846" t="str">
            <v>FB260007005</v>
          </cell>
          <cell r="D5846" t="str">
            <v>PINK</v>
          </cell>
        </row>
        <row r="5847">
          <cell r="A5847" t="str">
            <v>FB260007006</v>
          </cell>
          <cell r="D5847" t="str">
            <v>PINK</v>
          </cell>
        </row>
        <row r="5848">
          <cell r="A5848" t="str">
            <v>FB260007007</v>
          </cell>
          <cell r="D5848" t="str">
            <v>LULU</v>
          </cell>
        </row>
        <row r="5849">
          <cell r="A5849" t="str">
            <v>FB260007008</v>
          </cell>
          <cell r="D5849" t="str">
            <v>PINK</v>
          </cell>
        </row>
        <row r="5850">
          <cell r="A5850" t="str">
            <v>FB260007009</v>
          </cell>
          <cell r="D5850" t="str">
            <v>PINK</v>
          </cell>
        </row>
        <row r="5851">
          <cell r="A5851" t="str">
            <v>FB260007010</v>
          </cell>
          <cell r="D5851" t="str">
            <v>PINK</v>
          </cell>
        </row>
        <row r="5852">
          <cell r="A5852" t="str">
            <v>FB260007011</v>
          </cell>
          <cell r="D5852" t="str">
            <v>PINK</v>
          </cell>
        </row>
        <row r="5853">
          <cell r="A5853" t="str">
            <v>FB260007012</v>
          </cell>
          <cell r="D5853" t="str">
            <v>PINK</v>
          </cell>
        </row>
        <row r="5854">
          <cell r="A5854" t="str">
            <v>FB260007013</v>
          </cell>
          <cell r="D5854" t="str">
            <v>PINK</v>
          </cell>
        </row>
        <row r="5855">
          <cell r="A5855" t="str">
            <v>FB260007014</v>
          </cell>
          <cell r="D5855" t="str">
            <v>PINK</v>
          </cell>
        </row>
        <row r="5856">
          <cell r="A5856" t="str">
            <v>FB260007015</v>
          </cell>
          <cell r="D5856" t="str">
            <v>PINK</v>
          </cell>
        </row>
        <row r="5857">
          <cell r="A5857" t="str">
            <v>FB260007016</v>
          </cell>
          <cell r="D5857" t="str">
            <v>LULU</v>
          </cell>
        </row>
        <row r="5858">
          <cell r="A5858" t="str">
            <v>FB260007017</v>
          </cell>
          <cell r="D5858" t="str">
            <v>PINK</v>
          </cell>
        </row>
        <row r="5859">
          <cell r="A5859" t="str">
            <v>FB260007018</v>
          </cell>
          <cell r="D5859" t="str">
            <v>PINK</v>
          </cell>
        </row>
        <row r="5860">
          <cell r="A5860" t="str">
            <v>FB260007019</v>
          </cell>
          <cell r="D5860" t="str">
            <v>PINK</v>
          </cell>
        </row>
        <row r="5861">
          <cell r="A5861" t="str">
            <v>FB260007020</v>
          </cell>
          <cell r="D5861" t="str">
            <v>PINK</v>
          </cell>
        </row>
        <row r="5862">
          <cell r="A5862" t="str">
            <v>FB260007021</v>
          </cell>
          <cell r="D5862" t="str">
            <v>PINK</v>
          </cell>
        </row>
        <row r="5863">
          <cell r="A5863" t="str">
            <v>FB260007022</v>
          </cell>
          <cell r="D5863" t="str">
            <v>PINK</v>
          </cell>
        </row>
        <row r="5864">
          <cell r="A5864" t="str">
            <v>FB260007023</v>
          </cell>
          <cell r="D5864" t="str">
            <v>PINK</v>
          </cell>
        </row>
        <row r="5865">
          <cell r="A5865" t="str">
            <v>FB260007024</v>
          </cell>
          <cell r="D5865" t="str">
            <v>PINK</v>
          </cell>
        </row>
        <row r="5866">
          <cell r="A5866" t="str">
            <v>FB260007025</v>
          </cell>
          <cell r="D5866" t="str">
            <v>PINK</v>
          </cell>
        </row>
        <row r="5867">
          <cell r="A5867" t="str">
            <v>FB260007026</v>
          </cell>
          <cell r="D5867" t="str">
            <v>PINK</v>
          </cell>
        </row>
        <row r="5868">
          <cell r="A5868" t="str">
            <v>FB260007027</v>
          </cell>
          <cell r="D5868" t="str">
            <v>LULU</v>
          </cell>
        </row>
        <row r="5869">
          <cell r="A5869" t="str">
            <v>FB260007028</v>
          </cell>
          <cell r="D5869" t="str">
            <v>LULU</v>
          </cell>
        </row>
        <row r="5870">
          <cell r="A5870" t="str">
            <v>FB260007029</v>
          </cell>
          <cell r="D5870" t="str">
            <v>LULU</v>
          </cell>
        </row>
        <row r="5871">
          <cell r="A5871" t="str">
            <v>FB260007030</v>
          </cell>
          <cell r="D5871" t="str">
            <v>LULU</v>
          </cell>
        </row>
        <row r="5872">
          <cell r="A5872" t="str">
            <v>FB260007031</v>
          </cell>
          <cell r="D5872" t="str">
            <v>LULU</v>
          </cell>
        </row>
        <row r="5873">
          <cell r="A5873" t="str">
            <v>FB260007032</v>
          </cell>
          <cell r="D5873" t="str">
            <v>LULU</v>
          </cell>
        </row>
        <row r="5874">
          <cell r="A5874" t="str">
            <v>FB260007033</v>
          </cell>
          <cell r="D5874" t="str">
            <v>LULU</v>
          </cell>
        </row>
        <row r="5875">
          <cell r="A5875" t="str">
            <v>FB260007034</v>
          </cell>
          <cell r="D5875" t="str">
            <v>LULU</v>
          </cell>
        </row>
        <row r="5876">
          <cell r="A5876" t="str">
            <v>FB260007035</v>
          </cell>
          <cell r="D5876" t="str">
            <v>LULU</v>
          </cell>
        </row>
        <row r="5877">
          <cell r="A5877" t="str">
            <v>FB260007036</v>
          </cell>
          <cell r="D5877" t="str">
            <v>LULU</v>
          </cell>
        </row>
        <row r="5878">
          <cell r="A5878" t="str">
            <v>FB260007038</v>
          </cell>
          <cell r="D5878" t="str">
            <v>TJEL</v>
          </cell>
        </row>
        <row r="5879">
          <cell r="A5879" t="str">
            <v>FB260007041</v>
          </cell>
          <cell r="D5879" t="str">
            <v>PINK</v>
          </cell>
        </row>
        <row r="5880">
          <cell r="A5880" t="str">
            <v>FB260007042</v>
          </cell>
          <cell r="D5880" t="str">
            <v>PINK</v>
          </cell>
        </row>
        <row r="5881">
          <cell r="A5881" t="str">
            <v>FB260007043</v>
          </cell>
          <cell r="D5881" t="str">
            <v>INT1</v>
          </cell>
        </row>
        <row r="5882">
          <cell r="A5882" t="str">
            <v>FB260007044</v>
          </cell>
          <cell r="D5882" t="str">
            <v>M&amp;S</v>
          </cell>
        </row>
        <row r="5883">
          <cell r="A5883" t="str">
            <v>FB260007045</v>
          </cell>
          <cell r="D5883" t="str">
            <v>M&amp;S</v>
          </cell>
        </row>
        <row r="5884">
          <cell r="A5884" t="str">
            <v>FB260007046</v>
          </cell>
          <cell r="D5884" t="str">
            <v>SPA</v>
          </cell>
        </row>
        <row r="5885">
          <cell r="A5885" t="str">
            <v>FB260007047</v>
          </cell>
          <cell r="D5885" t="str">
            <v>LULU</v>
          </cell>
        </row>
        <row r="5886">
          <cell r="A5886" t="str">
            <v>FB260007048</v>
          </cell>
          <cell r="D5886" t="str">
            <v>CK</v>
          </cell>
        </row>
        <row r="5887">
          <cell r="A5887" t="str">
            <v>FB260007049</v>
          </cell>
          <cell r="D5887" t="str">
            <v>CK</v>
          </cell>
        </row>
        <row r="5888">
          <cell r="A5888" t="str">
            <v>FB260007050</v>
          </cell>
          <cell r="D5888" t="str">
            <v>M&amp;S</v>
          </cell>
        </row>
        <row r="5889">
          <cell r="A5889" t="str">
            <v>FB260007051</v>
          </cell>
          <cell r="D5889" t="str">
            <v>M&amp;S</v>
          </cell>
        </row>
        <row r="5890">
          <cell r="A5890" t="str">
            <v>FB260007052</v>
          </cell>
          <cell r="D5890" t="str">
            <v>VSS</v>
          </cell>
        </row>
        <row r="5891">
          <cell r="A5891" t="str">
            <v>FB260007053</v>
          </cell>
          <cell r="D5891" t="str">
            <v>VSS</v>
          </cell>
        </row>
        <row r="5892">
          <cell r="A5892" t="str">
            <v>FB260007054</v>
          </cell>
          <cell r="D5892" t="str">
            <v>CK</v>
          </cell>
        </row>
        <row r="5893">
          <cell r="A5893" t="str">
            <v>FB260007055</v>
          </cell>
          <cell r="D5893" t="str">
            <v>WACE</v>
          </cell>
        </row>
        <row r="5894">
          <cell r="A5894" t="str">
            <v>FB260007056</v>
          </cell>
          <cell r="D5894" t="str">
            <v>VSS</v>
          </cell>
        </row>
        <row r="5895">
          <cell r="A5895" t="str">
            <v>FB260007057</v>
          </cell>
          <cell r="D5895" t="str">
            <v>WACE</v>
          </cell>
        </row>
        <row r="5896">
          <cell r="A5896" t="str">
            <v>FB260007058</v>
          </cell>
          <cell r="D5896" t="str">
            <v>WACE</v>
          </cell>
        </row>
        <row r="5897">
          <cell r="A5897" t="str">
            <v>FB260007059</v>
          </cell>
          <cell r="D5897" t="str">
            <v>VSS</v>
          </cell>
        </row>
        <row r="5898">
          <cell r="A5898" t="str">
            <v>FB260007060</v>
          </cell>
          <cell r="D5898" t="str">
            <v>INT1</v>
          </cell>
        </row>
        <row r="5899">
          <cell r="A5899" t="str">
            <v>FB260007061</v>
          </cell>
          <cell r="D5899" t="str">
            <v>INT1</v>
          </cell>
        </row>
        <row r="5900">
          <cell r="A5900" t="str">
            <v>FB260007062</v>
          </cell>
          <cell r="D5900" t="str">
            <v>INT1</v>
          </cell>
        </row>
        <row r="5901">
          <cell r="A5901" t="str">
            <v>FB260007064</v>
          </cell>
          <cell r="D5901" t="str">
            <v>WACE</v>
          </cell>
        </row>
        <row r="5902">
          <cell r="A5902" t="str">
            <v>FB260007066</v>
          </cell>
          <cell r="D5902" t="str">
            <v>INT1</v>
          </cell>
        </row>
        <row r="5903">
          <cell r="A5903" t="str">
            <v>FB260007068</v>
          </cell>
          <cell r="D5903" t="str">
            <v>INT1</v>
          </cell>
        </row>
        <row r="5904">
          <cell r="A5904" t="str">
            <v>FB260007070</v>
          </cell>
          <cell r="D5904" t="str">
            <v>INT1</v>
          </cell>
        </row>
        <row r="5905">
          <cell r="A5905" t="str">
            <v>FB260007071</v>
          </cell>
          <cell r="D5905" t="str">
            <v>WACE</v>
          </cell>
        </row>
        <row r="5906">
          <cell r="A5906" t="str">
            <v>FB260007073</v>
          </cell>
          <cell r="D5906" t="str">
            <v>NIK</v>
          </cell>
        </row>
        <row r="5907">
          <cell r="A5907" t="str">
            <v>FB260007074</v>
          </cell>
          <cell r="D5907" t="str">
            <v>NIK</v>
          </cell>
        </row>
        <row r="5908">
          <cell r="A5908" t="str">
            <v>FB260007075</v>
          </cell>
          <cell r="D5908" t="str">
            <v>NIK</v>
          </cell>
        </row>
        <row r="5909">
          <cell r="A5909" t="str">
            <v>FB260007076</v>
          </cell>
          <cell r="D5909" t="str">
            <v>NIK</v>
          </cell>
        </row>
        <row r="5910">
          <cell r="A5910" t="str">
            <v>FB260007077</v>
          </cell>
          <cell r="D5910" t="str">
            <v>SW</v>
          </cell>
        </row>
        <row r="5911">
          <cell r="A5911" t="str">
            <v>FB260007078</v>
          </cell>
          <cell r="D5911" t="str">
            <v>VSS</v>
          </cell>
        </row>
        <row r="5912">
          <cell r="A5912" t="str">
            <v>FB260007079</v>
          </cell>
          <cell r="D5912" t="str">
            <v>NIK</v>
          </cell>
        </row>
        <row r="5913">
          <cell r="A5913" t="str">
            <v>FB260007085</v>
          </cell>
          <cell r="D5913" t="str">
            <v>VSS</v>
          </cell>
        </row>
        <row r="5914">
          <cell r="A5914" t="str">
            <v>FB260007092</v>
          </cell>
          <cell r="D5914" t="str">
            <v>M&amp;S</v>
          </cell>
        </row>
        <row r="5915">
          <cell r="A5915" t="str">
            <v>FB260007094</v>
          </cell>
          <cell r="D5915" t="str">
            <v>M&amp;S</v>
          </cell>
        </row>
        <row r="5916">
          <cell r="A5916" t="str">
            <v>FB260007096</v>
          </cell>
          <cell r="D5916" t="str">
            <v>LULU</v>
          </cell>
        </row>
        <row r="5917">
          <cell r="A5917" t="str">
            <v>FB260007097</v>
          </cell>
          <cell r="D5917" t="str">
            <v>LULU</v>
          </cell>
        </row>
        <row r="5918">
          <cell r="A5918" t="str">
            <v>FB260007098</v>
          </cell>
          <cell r="D5918" t="str">
            <v>GAP</v>
          </cell>
        </row>
        <row r="5919">
          <cell r="A5919" t="str">
            <v>FB260007100</v>
          </cell>
          <cell r="D5919" t="str">
            <v>VSS</v>
          </cell>
        </row>
        <row r="5920">
          <cell r="A5920" t="str">
            <v>FB260007103</v>
          </cell>
          <cell r="D5920" t="str">
            <v>THX</v>
          </cell>
        </row>
        <row r="5921">
          <cell r="A5921" t="str">
            <v>FB260007104</v>
          </cell>
          <cell r="D5921" t="str">
            <v>INT1</v>
          </cell>
        </row>
        <row r="5922">
          <cell r="A5922" t="str">
            <v>FB260007105</v>
          </cell>
          <cell r="D5922" t="str">
            <v>LBI</v>
          </cell>
        </row>
        <row r="5923">
          <cell r="A5923" t="str">
            <v>FB260007106</v>
          </cell>
          <cell r="D5923" t="str">
            <v>LBI</v>
          </cell>
        </row>
        <row r="5924">
          <cell r="A5924" t="str">
            <v>FB260007107</v>
          </cell>
          <cell r="D5924" t="str">
            <v>M&amp;S</v>
          </cell>
        </row>
        <row r="5925">
          <cell r="A5925" t="str">
            <v>FB260007108</v>
          </cell>
          <cell r="D5925" t="str">
            <v>ODL</v>
          </cell>
        </row>
        <row r="5926">
          <cell r="A5926" t="str">
            <v>FB260007109</v>
          </cell>
          <cell r="D5926" t="str">
            <v>VSS</v>
          </cell>
        </row>
        <row r="5927">
          <cell r="A5927" t="str">
            <v>FB260007110</v>
          </cell>
          <cell r="D5927" t="str">
            <v>CK</v>
          </cell>
        </row>
        <row r="5928">
          <cell r="A5928" t="str">
            <v>FB260007111</v>
          </cell>
          <cell r="D5928" t="str">
            <v>M&amp;S</v>
          </cell>
        </row>
        <row r="5929">
          <cell r="A5929" t="str">
            <v>FB260007112</v>
          </cell>
          <cell r="D5929" t="str">
            <v>TORD</v>
          </cell>
        </row>
        <row r="5930">
          <cell r="A5930" t="str">
            <v>FB260007113</v>
          </cell>
          <cell r="D5930" t="str">
            <v>NKSKI</v>
          </cell>
        </row>
        <row r="5931">
          <cell r="A5931" t="str">
            <v>FB260007114</v>
          </cell>
          <cell r="D5931" t="str">
            <v>VSS</v>
          </cell>
        </row>
        <row r="5932">
          <cell r="A5932" t="str">
            <v>FB260007115</v>
          </cell>
          <cell r="D5932" t="str">
            <v>VSS</v>
          </cell>
        </row>
        <row r="5933">
          <cell r="A5933" t="str">
            <v>FB260007116</v>
          </cell>
          <cell r="D5933" t="str">
            <v>VSS</v>
          </cell>
        </row>
        <row r="5934">
          <cell r="A5934" t="str">
            <v>FB260007118</v>
          </cell>
          <cell r="D5934" t="str">
            <v>VSS</v>
          </cell>
        </row>
        <row r="5935">
          <cell r="A5935" t="str">
            <v>FB260007119</v>
          </cell>
          <cell r="D5935" t="str">
            <v>VSS</v>
          </cell>
        </row>
        <row r="5936">
          <cell r="A5936" t="str">
            <v>FB260007120</v>
          </cell>
          <cell r="D5936" t="str">
            <v>VSS</v>
          </cell>
        </row>
        <row r="5937">
          <cell r="A5937" t="str">
            <v>FB260007121</v>
          </cell>
          <cell r="D5937" t="str">
            <v>WACE</v>
          </cell>
        </row>
        <row r="5938">
          <cell r="A5938" t="str">
            <v>FB260007124</v>
          </cell>
          <cell r="D5938" t="str">
            <v>CK</v>
          </cell>
        </row>
        <row r="5939">
          <cell r="A5939" t="str">
            <v>FB260007126</v>
          </cell>
          <cell r="D5939" t="str">
            <v>VSS</v>
          </cell>
        </row>
        <row r="5940">
          <cell r="A5940" t="str">
            <v>FB260007128</v>
          </cell>
          <cell r="D5940" t="str">
            <v>VSS</v>
          </cell>
        </row>
        <row r="5941">
          <cell r="A5941" t="str">
            <v>FB260007129</v>
          </cell>
          <cell r="D5941" t="str">
            <v>VSS</v>
          </cell>
        </row>
        <row r="5942">
          <cell r="A5942" t="str">
            <v>FB260007130</v>
          </cell>
          <cell r="D5942" t="str">
            <v>VSS</v>
          </cell>
        </row>
        <row r="5943">
          <cell r="A5943" t="str">
            <v>FB260007132</v>
          </cell>
          <cell r="D5943" t="str">
            <v>NEX</v>
          </cell>
        </row>
        <row r="5944">
          <cell r="A5944" t="str">
            <v>FB260007134</v>
          </cell>
          <cell r="D5944" t="str">
            <v>INT1</v>
          </cell>
        </row>
        <row r="5945">
          <cell r="A5945" t="str">
            <v>FB260007135</v>
          </cell>
          <cell r="D5945" t="str">
            <v>INT1</v>
          </cell>
        </row>
        <row r="5946">
          <cell r="A5946" t="str">
            <v>FB260007136</v>
          </cell>
          <cell r="D5946" t="str">
            <v>INT1</v>
          </cell>
        </row>
        <row r="5947">
          <cell r="A5947" t="str">
            <v>FB260007137</v>
          </cell>
          <cell r="D5947" t="str">
            <v>INT1</v>
          </cell>
        </row>
        <row r="5948">
          <cell r="A5948" t="str">
            <v>FB260007141</v>
          </cell>
          <cell r="D5948" t="str">
            <v>PEP</v>
          </cell>
        </row>
        <row r="5949">
          <cell r="A5949" t="str">
            <v>FB260007143</v>
          </cell>
          <cell r="D5949" t="str">
            <v>CK</v>
          </cell>
        </row>
        <row r="5950">
          <cell r="A5950" t="str">
            <v>FB260007144</v>
          </cell>
          <cell r="D5950" t="str">
            <v>M&amp;S</v>
          </cell>
        </row>
        <row r="5951">
          <cell r="A5951" t="str">
            <v>FB260007145</v>
          </cell>
          <cell r="D5951" t="str">
            <v>LBI</v>
          </cell>
        </row>
        <row r="5952">
          <cell r="A5952" t="str">
            <v>FB260007146</v>
          </cell>
          <cell r="D5952" t="str">
            <v>M&amp;S</v>
          </cell>
        </row>
        <row r="5953">
          <cell r="A5953" t="str">
            <v>FB260007147</v>
          </cell>
          <cell r="D5953" t="str">
            <v>CK</v>
          </cell>
        </row>
        <row r="5954">
          <cell r="A5954" t="str">
            <v>FB260007148</v>
          </cell>
          <cell r="D5954" t="str">
            <v>CK</v>
          </cell>
        </row>
        <row r="5955">
          <cell r="A5955" t="str">
            <v>FB260007149</v>
          </cell>
          <cell r="D5955" t="str">
            <v>PINK</v>
          </cell>
        </row>
        <row r="5956">
          <cell r="A5956" t="str">
            <v>FB260007150</v>
          </cell>
          <cell r="D5956" t="str">
            <v>CK</v>
          </cell>
        </row>
        <row r="5957">
          <cell r="A5957" t="str">
            <v>FB260007153</v>
          </cell>
          <cell r="D5957" t="str">
            <v>TORD</v>
          </cell>
        </row>
        <row r="5958">
          <cell r="A5958" t="str">
            <v>FB260007155</v>
          </cell>
          <cell r="D5958" t="str">
            <v>VSS</v>
          </cell>
        </row>
        <row r="5959">
          <cell r="A5959" t="str">
            <v>FB260007156</v>
          </cell>
          <cell r="D5959" t="str">
            <v>WACE</v>
          </cell>
        </row>
        <row r="5960">
          <cell r="A5960" t="str">
            <v>FB260007158</v>
          </cell>
          <cell r="D5960" t="str">
            <v>CK</v>
          </cell>
        </row>
        <row r="5961">
          <cell r="A5961" t="str">
            <v>FB260007159</v>
          </cell>
          <cell r="D5961" t="str">
            <v>CK</v>
          </cell>
        </row>
        <row r="5962">
          <cell r="A5962" t="str">
            <v>FB260007160</v>
          </cell>
          <cell r="D5962" t="str">
            <v>CK</v>
          </cell>
        </row>
        <row r="5963">
          <cell r="A5963" t="str">
            <v>FB260007161</v>
          </cell>
          <cell r="D5963" t="str">
            <v>CK</v>
          </cell>
        </row>
        <row r="5964">
          <cell r="A5964" t="str">
            <v>FB260007162</v>
          </cell>
          <cell r="D5964" t="str">
            <v>CK</v>
          </cell>
        </row>
        <row r="5965">
          <cell r="A5965" t="str">
            <v>FB260007163</v>
          </cell>
          <cell r="D5965" t="str">
            <v>CK</v>
          </cell>
        </row>
        <row r="5966">
          <cell r="A5966" t="str">
            <v>FB260007164</v>
          </cell>
          <cell r="D5966" t="str">
            <v>CK</v>
          </cell>
        </row>
        <row r="5967">
          <cell r="A5967" t="str">
            <v>FB260007165</v>
          </cell>
          <cell r="D5967" t="str">
            <v>VSS</v>
          </cell>
        </row>
        <row r="5968">
          <cell r="A5968" t="str">
            <v>FB260007166</v>
          </cell>
          <cell r="D5968" t="str">
            <v>WACE</v>
          </cell>
        </row>
        <row r="5969">
          <cell r="A5969" t="str">
            <v>FB260007167</v>
          </cell>
          <cell r="D5969" t="str">
            <v>WACE</v>
          </cell>
        </row>
        <row r="5970">
          <cell r="A5970" t="str">
            <v>FB260007170</v>
          </cell>
          <cell r="D5970" t="str">
            <v>CK</v>
          </cell>
        </row>
        <row r="5971">
          <cell r="A5971" t="str">
            <v>FB260007171</v>
          </cell>
          <cell r="D5971" t="str">
            <v>CK</v>
          </cell>
        </row>
        <row r="5972">
          <cell r="A5972" t="str">
            <v>FB260007172</v>
          </cell>
          <cell r="D5972" t="str">
            <v>WACE</v>
          </cell>
        </row>
        <row r="5973">
          <cell r="A5973" t="str">
            <v>FB260007173</v>
          </cell>
          <cell r="D5973" t="str">
            <v>VSS</v>
          </cell>
        </row>
        <row r="5974">
          <cell r="A5974" t="str">
            <v>FB260007174</v>
          </cell>
          <cell r="D5974" t="str">
            <v>CK</v>
          </cell>
        </row>
        <row r="5975">
          <cell r="A5975" t="str">
            <v>FB260007176</v>
          </cell>
          <cell r="D5975" t="str">
            <v>INT1</v>
          </cell>
        </row>
        <row r="5976">
          <cell r="A5976" t="str">
            <v>FB260007177</v>
          </cell>
          <cell r="D5976" t="str">
            <v>CK</v>
          </cell>
        </row>
        <row r="5977">
          <cell r="A5977" t="str">
            <v>FB260007178</v>
          </cell>
          <cell r="D5977" t="str">
            <v>CK</v>
          </cell>
        </row>
        <row r="5978">
          <cell r="A5978" t="str">
            <v>FB260007179</v>
          </cell>
          <cell r="D5978" t="str">
            <v>LULU</v>
          </cell>
        </row>
        <row r="5979">
          <cell r="A5979" t="str">
            <v>FB260007180</v>
          </cell>
          <cell r="D5979" t="str">
            <v>WACE</v>
          </cell>
        </row>
        <row r="5980">
          <cell r="A5980" t="str">
            <v>FB260007183</v>
          </cell>
          <cell r="D5980" t="str">
            <v>LULU</v>
          </cell>
        </row>
        <row r="5981">
          <cell r="A5981" t="str">
            <v>FB260007189</v>
          </cell>
          <cell r="D5981" t="str">
            <v>INT1</v>
          </cell>
        </row>
        <row r="5982">
          <cell r="A5982" t="str">
            <v>FB260007190</v>
          </cell>
          <cell r="D5982" t="str">
            <v>INT1</v>
          </cell>
        </row>
        <row r="5983">
          <cell r="A5983" t="str">
            <v>FB260007191</v>
          </cell>
          <cell r="D5983" t="str">
            <v>INT1</v>
          </cell>
        </row>
        <row r="5984">
          <cell r="A5984" t="str">
            <v>FB260007194</v>
          </cell>
          <cell r="D5984" t="str">
            <v>INT1</v>
          </cell>
        </row>
        <row r="5985">
          <cell r="A5985" t="str">
            <v>FB260007196</v>
          </cell>
          <cell r="D5985" t="str">
            <v>VSS</v>
          </cell>
        </row>
        <row r="5986">
          <cell r="A5986" t="str">
            <v>FB260007197</v>
          </cell>
          <cell r="D5986" t="str">
            <v>VSS</v>
          </cell>
        </row>
        <row r="5987">
          <cell r="A5987" t="str">
            <v>FB260007198</v>
          </cell>
          <cell r="D5987" t="str">
            <v>VSS</v>
          </cell>
        </row>
        <row r="5988">
          <cell r="A5988" t="str">
            <v>FB260007199</v>
          </cell>
          <cell r="D5988" t="str">
            <v>VSS</v>
          </cell>
        </row>
        <row r="5989">
          <cell r="A5989" t="str">
            <v>FB260007200</v>
          </cell>
          <cell r="D5989" t="str">
            <v>VSS</v>
          </cell>
        </row>
        <row r="5990">
          <cell r="A5990" t="str">
            <v>FB260007201</v>
          </cell>
          <cell r="D5990" t="str">
            <v>VSS</v>
          </cell>
        </row>
        <row r="5991">
          <cell r="A5991" t="str">
            <v>FB260007202</v>
          </cell>
          <cell r="D5991" t="str">
            <v>NEX</v>
          </cell>
        </row>
        <row r="5992">
          <cell r="A5992" t="str">
            <v>FB260007203</v>
          </cell>
          <cell r="D5992" t="str">
            <v>NEX</v>
          </cell>
        </row>
        <row r="5993">
          <cell r="A5993" t="str">
            <v>FB260007204</v>
          </cell>
          <cell r="D5993" t="str">
            <v>VSS</v>
          </cell>
        </row>
        <row r="5994">
          <cell r="A5994" t="str">
            <v>FB260007206</v>
          </cell>
          <cell r="D5994" t="str">
            <v>CK</v>
          </cell>
        </row>
        <row r="5995">
          <cell r="A5995" t="str">
            <v>FB260007207</v>
          </cell>
          <cell r="D5995" t="str">
            <v>TORD</v>
          </cell>
        </row>
        <row r="5996">
          <cell r="A5996" t="str">
            <v>FB260007208</v>
          </cell>
          <cell r="D5996" t="str">
            <v>CK</v>
          </cell>
        </row>
        <row r="5997">
          <cell r="A5997" t="str">
            <v>FB260007210</v>
          </cell>
          <cell r="D5997" t="str">
            <v>VSS</v>
          </cell>
        </row>
        <row r="5998">
          <cell r="A5998" t="str">
            <v>FB260007211</v>
          </cell>
          <cell r="D5998" t="str">
            <v>VSS</v>
          </cell>
        </row>
        <row r="5999">
          <cell r="A5999" t="str">
            <v>FB260007212</v>
          </cell>
          <cell r="D5999" t="str">
            <v>WACE</v>
          </cell>
        </row>
        <row r="6000">
          <cell r="A6000" t="str">
            <v>FB260007213</v>
          </cell>
          <cell r="D6000" t="str">
            <v>CK</v>
          </cell>
        </row>
        <row r="6001">
          <cell r="A6001" t="str">
            <v>FB260007214</v>
          </cell>
          <cell r="D6001" t="str">
            <v>NKSKI</v>
          </cell>
        </row>
        <row r="6002">
          <cell r="A6002" t="str">
            <v>FB260007215</v>
          </cell>
          <cell r="D6002" t="str">
            <v>NKSKI</v>
          </cell>
        </row>
        <row r="6003">
          <cell r="A6003" t="str">
            <v>FB260007216</v>
          </cell>
          <cell r="D6003" t="str">
            <v>WACE</v>
          </cell>
        </row>
        <row r="6004">
          <cell r="A6004" t="str">
            <v>FB260007217</v>
          </cell>
          <cell r="D6004" t="str">
            <v>VSS</v>
          </cell>
        </row>
        <row r="6005">
          <cell r="A6005" t="str">
            <v>FB260007218</v>
          </cell>
          <cell r="D6005" t="str">
            <v>VSS</v>
          </cell>
        </row>
        <row r="6006">
          <cell r="A6006" t="str">
            <v>FB260007219</v>
          </cell>
          <cell r="D6006" t="str">
            <v>VSS</v>
          </cell>
        </row>
        <row r="6007">
          <cell r="A6007" t="str">
            <v>FB260007220</v>
          </cell>
          <cell r="D6007" t="str">
            <v>CHICOS</v>
          </cell>
        </row>
        <row r="6008">
          <cell r="A6008" t="str">
            <v>FB260007221</v>
          </cell>
          <cell r="D6008" t="str">
            <v>WACE</v>
          </cell>
        </row>
        <row r="6009">
          <cell r="A6009" t="str">
            <v>FB260007222</v>
          </cell>
          <cell r="D6009" t="str">
            <v>CK</v>
          </cell>
        </row>
        <row r="6010">
          <cell r="A6010" t="str">
            <v>FB260007225</v>
          </cell>
          <cell r="D6010" t="str">
            <v>INT1</v>
          </cell>
        </row>
        <row r="6011">
          <cell r="A6011" t="str">
            <v>FB260007229</v>
          </cell>
          <cell r="D6011" t="str">
            <v>VSS</v>
          </cell>
        </row>
        <row r="6012">
          <cell r="A6012" t="str">
            <v>FB260007232</v>
          </cell>
          <cell r="D6012" t="str">
            <v>LULU</v>
          </cell>
        </row>
        <row r="6013">
          <cell r="A6013" t="str">
            <v>FB260007234</v>
          </cell>
          <cell r="D6013" t="str">
            <v>VSS</v>
          </cell>
        </row>
        <row r="6014">
          <cell r="A6014" t="str">
            <v>FB260007235</v>
          </cell>
          <cell r="D6014" t="str">
            <v>VSS</v>
          </cell>
        </row>
        <row r="6015">
          <cell r="A6015" t="str">
            <v>FB260007236</v>
          </cell>
          <cell r="D6015" t="str">
            <v>VSS</v>
          </cell>
        </row>
        <row r="6016">
          <cell r="A6016" t="str">
            <v>FB260007245</v>
          </cell>
          <cell r="D6016" t="str">
            <v>ESS2</v>
          </cell>
        </row>
        <row r="6017">
          <cell r="A6017" t="str">
            <v>FB260007246</v>
          </cell>
          <cell r="D6017" t="str">
            <v>CK</v>
          </cell>
        </row>
        <row r="6018">
          <cell r="A6018" t="str">
            <v>FB260007247</v>
          </cell>
          <cell r="D6018" t="str">
            <v>WACE</v>
          </cell>
        </row>
        <row r="6019">
          <cell r="A6019" t="str">
            <v>FB260007248</v>
          </cell>
          <cell r="D6019" t="str">
            <v>CK</v>
          </cell>
        </row>
        <row r="6020">
          <cell r="A6020" t="str">
            <v>FB260007249</v>
          </cell>
          <cell r="D6020" t="str">
            <v>CK</v>
          </cell>
        </row>
        <row r="6021">
          <cell r="A6021" t="str">
            <v>FB260007250</v>
          </cell>
          <cell r="D6021" t="str">
            <v>CK</v>
          </cell>
        </row>
        <row r="6022">
          <cell r="A6022" t="str">
            <v>FB260007251</v>
          </cell>
          <cell r="D6022" t="str">
            <v>CK</v>
          </cell>
        </row>
        <row r="6023">
          <cell r="A6023" t="str">
            <v>FB260007252</v>
          </cell>
          <cell r="D6023" t="str">
            <v>VSS</v>
          </cell>
        </row>
        <row r="6024">
          <cell r="A6024" t="str">
            <v>FB260007253</v>
          </cell>
          <cell r="D6024" t="str">
            <v>VSS</v>
          </cell>
        </row>
        <row r="6025">
          <cell r="A6025" t="str">
            <v>FB260007255</v>
          </cell>
          <cell r="D6025" t="str">
            <v>WACE</v>
          </cell>
        </row>
        <row r="6026">
          <cell r="A6026" t="str">
            <v>FB260007260</v>
          </cell>
          <cell r="D6026" t="str">
            <v>VSS</v>
          </cell>
        </row>
        <row r="6027">
          <cell r="A6027" t="str">
            <v>FB260007261</v>
          </cell>
          <cell r="D6027" t="str">
            <v>VSS</v>
          </cell>
        </row>
        <row r="6028">
          <cell r="A6028" t="str">
            <v>FB260007262</v>
          </cell>
          <cell r="D6028" t="str">
            <v>VSS</v>
          </cell>
        </row>
        <row r="6029">
          <cell r="A6029" t="str">
            <v>FB260007267</v>
          </cell>
          <cell r="D6029" t="str">
            <v>VSS</v>
          </cell>
        </row>
        <row r="6030">
          <cell r="A6030" t="str">
            <v>FB260007268</v>
          </cell>
          <cell r="D6030" t="str">
            <v>LULU</v>
          </cell>
        </row>
        <row r="6031">
          <cell r="A6031" t="str">
            <v>FB260007269</v>
          </cell>
          <cell r="D6031" t="str">
            <v>CK</v>
          </cell>
        </row>
        <row r="6032">
          <cell r="A6032" t="str">
            <v>FB260007270</v>
          </cell>
          <cell r="D6032" t="str">
            <v>VSS</v>
          </cell>
        </row>
        <row r="6033">
          <cell r="A6033" t="str">
            <v>FB260007271</v>
          </cell>
          <cell r="D6033" t="str">
            <v>CK</v>
          </cell>
        </row>
        <row r="6034">
          <cell r="A6034" t="str">
            <v>FB260007272</v>
          </cell>
          <cell r="D6034" t="str">
            <v>M&amp;S</v>
          </cell>
        </row>
        <row r="6035">
          <cell r="A6035" t="str">
            <v>FB260007273</v>
          </cell>
          <cell r="D6035" t="str">
            <v>WACE</v>
          </cell>
        </row>
        <row r="6036">
          <cell r="A6036" t="str">
            <v>FB260007277</v>
          </cell>
          <cell r="D6036" t="str">
            <v>NIK</v>
          </cell>
        </row>
        <row r="6037">
          <cell r="A6037" t="str">
            <v>FB260007278</v>
          </cell>
          <cell r="D6037" t="str">
            <v>NIK</v>
          </cell>
        </row>
        <row r="6038">
          <cell r="A6038" t="str">
            <v>FB260007279</v>
          </cell>
          <cell r="D6038" t="str">
            <v>NIK</v>
          </cell>
        </row>
        <row r="6039">
          <cell r="A6039" t="str">
            <v>FB260007280</v>
          </cell>
          <cell r="D6039" t="str">
            <v>NIK</v>
          </cell>
        </row>
        <row r="6040">
          <cell r="A6040" t="str">
            <v>FB260007281</v>
          </cell>
          <cell r="D6040" t="str">
            <v>NIK</v>
          </cell>
        </row>
        <row r="6041">
          <cell r="A6041" t="str">
            <v>FB260007282</v>
          </cell>
          <cell r="D6041" t="str">
            <v>WACE</v>
          </cell>
        </row>
        <row r="6042">
          <cell r="A6042" t="str">
            <v>FB260007283</v>
          </cell>
          <cell r="D6042" t="str">
            <v>WACE</v>
          </cell>
        </row>
        <row r="6043">
          <cell r="A6043" t="str">
            <v>FB260007284</v>
          </cell>
          <cell r="D6043" t="str">
            <v>SKI</v>
          </cell>
        </row>
        <row r="6044">
          <cell r="A6044" t="str">
            <v>FB260007285</v>
          </cell>
          <cell r="D6044" t="str">
            <v>SKI</v>
          </cell>
        </row>
        <row r="6045">
          <cell r="A6045" t="str">
            <v>FB260007286</v>
          </cell>
          <cell r="D6045" t="str">
            <v>SKI</v>
          </cell>
        </row>
        <row r="6046">
          <cell r="A6046" t="str">
            <v>FB260007287</v>
          </cell>
          <cell r="D6046" t="str">
            <v>SKI</v>
          </cell>
        </row>
        <row r="6047">
          <cell r="A6047" t="str">
            <v>FB260007288</v>
          </cell>
          <cell r="D6047" t="str">
            <v>SKI</v>
          </cell>
        </row>
        <row r="6048">
          <cell r="A6048" t="str">
            <v>FB260007289</v>
          </cell>
          <cell r="D6048" t="str">
            <v>VSS</v>
          </cell>
        </row>
        <row r="6049">
          <cell r="A6049" t="str">
            <v>FB260007290</v>
          </cell>
          <cell r="D6049" t="str">
            <v>INT1</v>
          </cell>
        </row>
        <row r="6050">
          <cell r="A6050" t="str">
            <v>FB260007292</v>
          </cell>
          <cell r="D6050" t="str">
            <v>VSS</v>
          </cell>
        </row>
        <row r="6051">
          <cell r="A6051" t="str">
            <v>FB260007295</v>
          </cell>
          <cell r="D6051" t="str">
            <v>VSS</v>
          </cell>
        </row>
        <row r="6052">
          <cell r="A6052" t="str">
            <v>FB260007296</v>
          </cell>
          <cell r="D6052" t="str">
            <v>VSS</v>
          </cell>
        </row>
        <row r="6053">
          <cell r="A6053" t="str">
            <v>FB260007297</v>
          </cell>
          <cell r="D6053" t="str">
            <v>VSS</v>
          </cell>
        </row>
        <row r="6054">
          <cell r="A6054" t="str">
            <v>FB260007298</v>
          </cell>
          <cell r="D6054" t="str">
            <v>VSS</v>
          </cell>
        </row>
        <row r="6055">
          <cell r="A6055" t="str">
            <v>FB260007299</v>
          </cell>
          <cell r="D6055" t="str">
            <v>NIK</v>
          </cell>
        </row>
        <row r="6056">
          <cell r="A6056" t="str">
            <v>FB260007300</v>
          </cell>
          <cell r="D6056" t="str">
            <v>NIK</v>
          </cell>
        </row>
        <row r="6057">
          <cell r="A6057" t="str">
            <v>FB260007301</v>
          </cell>
          <cell r="D6057" t="str">
            <v>NIK</v>
          </cell>
        </row>
        <row r="6058">
          <cell r="A6058" t="str">
            <v>FB260007302</v>
          </cell>
          <cell r="D6058" t="str">
            <v>NIK</v>
          </cell>
        </row>
        <row r="6059">
          <cell r="A6059" t="str">
            <v>FB260007303</v>
          </cell>
          <cell r="D6059" t="str">
            <v>NIK</v>
          </cell>
        </row>
        <row r="6060">
          <cell r="A6060" t="str">
            <v>FB260007304</v>
          </cell>
          <cell r="D6060" t="str">
            <v>NIK</v>
          </cell>
        </row>
        <row r="6061">
          <cell r="A6061" t="str">
            <v>FB260007305</v>
          </cell>
          <cell r="D6061" t="str">
            <v>NIK</v>
          </cell>
        </row>
        <row r="6062">
          <cell r="A6062" t="str">
            <v>FB260007306</v>
          </cell>
          <cell r="D6062" t="str">
            <v>NIK</v>
          </cell>
        </row>
        <row r="6063">
          <cell r="A6063" t="str">
            <v>FB260007307</v>
          </cell>
          <cell r="D6063" t="str">
            <v>NIK</v>
          </cell>
        </row>
        <row r="6064">
          <cell r="A6064" t="str">
            <v>FB260007308</v>
          </cell>
          <cell r="D6064" t="str">
            <v>NIK</v>
          </cell>
        </row>
        <row r="6065">
          <cell r="A6065" t="str">
            <v>FB260007309</v>
          </cell>
          <cell r="D6065" t="str">
            <v>NIK</v>
          </cell>
        </row>
        <row r="6066">
          <cell r="A6066" t="str">
            <v>FB260007310</v>
          </cell>
          <cell r="D6066" t="str">
            <v>INT1</v>
          </cell>
        </row>
        <row r="6067">
          <cell r="A6067" t="str">
            <v>FB260007311</v>
          </cell>
          <cell r="D6067" t="str">
            <v>VSS</v>
          </cell>
        </row>
        <row r="6068">
          <cell r="A6068" t="str">
            <v>FB260007312</v>
          </cell>
          <cell r="D6068" t="str">
            <v>NIK</v>
          </cell>
        </row>
        <row r="6069">
          <cell r="A6069" t="str">
            <v>FB260007313</v>
          </cell>
          <cell r="D6069" t="str">
            <v>INT1</v>
          </cell>
        </row>
        <row r="6070">
          <cell r="A6070" t="str">
            <v>FB260007314</v>
          </cell>
          <cell r="D6070" t="str">
            <v>NIK</v>
          </cell>
        </row>
        <row r="6071">
          <cell r="A6071" t="str">
            <v>FB260007315</v>
          </cell>
          <cell r="D6071" t="str">
            <v>NIK</v>
          </cell>
        </row>
        <row r="6072">
          <cell r="A6072" t="str">
            <v>FB260007316</v>
          </cell>
          <cell r="D6072" t="str">
            <v>NIK</v>
          </cell>
        </row>
        <row r="6073">
          <cell r="A6073" t="str">
            <v>FB260007317</v>
          </cell>
          <cell r="D6073" t="str">
            <v>NIK</v>
          </cell>
        </row>
        <row r="6074">
          <cell r="A6074" t="str">
            <v>FB260007318</v>
          </cell>
          <cell r="D6074" t="str">
            <v>NIK</v>
          </cell>
        </row>
        <row r="6075">
          <cell r="A6075" t="str">
            <v>FB260007319</v>
          </cell>
          <cell r="D6075" t="str">
            <v>NIK</v>
          </cell>
        </row>
        <row r="6076">
          <cell r="A6076" t="str">
            <v>FB260007320</v>
          </cell>
          <cell r="D6076" t="str">
            <v>NIK</v>
          </cell>
        </row>
        <row r="6077">
          <cell r="A6077" t="str">
            <v>FB260007321</v>
          </cell>
          <cell r="D6077" t="str">
            <v>NIK</v>
          </cell>
        </row>
        <row r="6078">
          <cell r="A6078" t="str">
            <v>FB260007322</v>
          </cell>
          <cell r="D6078" t="str">
            <v>NIK</v>
          </cell>
        </row>
        <row r="6079">
          <cell r="A6079" t="str">
            <v>FB260007323</v>
          </cell>
          <cell r="D6079" t="str">
            <v>NIK</v>
          </cell>
        </row>
        <row r="6080">
          <cell r="A6080" t="str">
            <v>FB260007324</v>
          </cell>
          <cell r="D6080" t="str">
            <v>NIK</v>
          </cell>
        </row>
        <row r="6081">
          <cell r="A6081" t="str">
            <v>FB260007325</v>
          </cell>
          <cell r="D6081" t="str">
            <v>NIK</v>
          </cell>
        </row>
        <row r="6082">
          <cell r="A6082" t="str">
            <v>FB260007326</v>
          </cell>
          <cell r="D6082" t="str">
            <v>NIK</v>
          </cell>
        </row>
        <row r="6083">
          <cell r="A6083" t="str">
            <v>FB260007327</v>
          </cell>
          <cell r="D6083" t="str">
            <v>PEP</v>
          </cell>
        </row>
        <row r="6084">
          <cell r="A6084" t="str">
            <v>FB260007328</v>
          </cell>
          <cell r="D6084" t="str">
            <v>VSS</v>
          </cell>
        </row>
        <row r="6085">
          <cell r="A6085" t="str">
            <v>FB260007329</v>
          </cell>
          <cell r="D6085" t="str">
            <v>PINK</v>
          </cell>
        </row>
        <row r="6086">
          <cell r="A6086" t="str">
            <v>FB260007334</v>
          </cell>
          <cell r="D6086" t="str">
            <v>CHICOS</v>
          </cell>
        </row>
        <row r="6087">
          <cell r="A6087" t="str">
            <v>FB260007337</v>
          </cell>
          <cell r="D6087" t="str">
            <v>CHICOS</v>
          </cell>
        </row>
        <row r="6088">
          <cell r="A6088" t="str">
            <v>FB260007338</v>
          </cell>
          <cell r="D6088" t="str">
            <v>M&amp;S</v>
          </cell>
        </row>
        <row r="6089">
          <cell r="A6089" t="str">
            <v>FB260007340</v>
          </cell>
          <cell r="D6089" t="str">
            <v>M&amp;S</v>
          </cell>
        </row>
        <row r="6090">
          <cell r="A6090" t="str">
            <v>FB260007341</v>
          </cell>
          <cell r="D6090" t="str">
            <v>M&amp;S</v>
          </cell>
        </row>
        <row r="6091">
          <cell r="A6091" t="str">
            <v>FB260007342</v>
          </cell>
          <cell r="D6091" t="str">
            <v>CK</v>
          </cell>
        </row>
        <row r="6092">
          <cell r="A6092" t="str">
            <v>FB260007343</v>
          </cell>
          <cell r="D6092" t="str">
            <v>CK</v>
          </cell>
        </row>
        <row r="6093">
          <cell r="A6093" t="str">
            <v>FB260007344</v>
          </cell>
          <cell r="D6093" t="str">
            <v>CK</v>
          </cell>
        </row>
        <row r="6094">
          <cell r="A6094" t="str">
            <v>FB260007345</v>
          </cell>
          <cell r="D6094" t="str">
            <v>CK</v>
          </cell>
        </row>
        <row r="6095">
          <cell r="A6095" t="str">
            <v>FB260007346</v>
          </cell>
          <cell r="D6095" t="str">
            <v>PINK</v>
          </cell>
        </row>
        <row r="6096">
          <cell r="A6096" t="str">
            <v>FB260007347</v>
          </cell>
          <cell r="D6096" t="str">
            <v>PINK</v>
          </cell>
        </row>
        <row r="6097">
          <cell r="A6097" t="str">
            <v>FB260007348</v>
          </cell>
          <cell r="D6097" t="str">
            <v>CK</v>
          </cell>
        </row>
        <row r="6098">
          <cell r="A6098" t="str">
            <v>FB260007349</v>
          </cell>
          <cell r="D6098" t="str">
            <v>CK</v>
          </cell>
        </row>
        <row r="6099">
          <cell r="A6099" t="str">
            <v>FB260007350</v>
          </cell>
          <cell r="D6099" t="str">
            <v>CK</v>
          </cell>
        </row>
        <row r="6100">
          <cell r="A6100" t="str">
            <v>FB260007351</v>
          </cell>
          <cell r="D6100" t="str">
            <v>TORD</v>
          </cell>
        </row>
        <row r="6101">
          <cell r="A6101" t="str">
            <v>FB260007352</v>
          </cell>
          <cell r="D6101" t="str">
            <v>WACE</v>
          </cell>
        </row>
        <row r="6102">
          <cell r="A6102" t="str">
            <v>FB260007353</v>
          </cell>
          <cell r="D6102" t="str">
            <v>TESCO</v>
          </cell>
        </row>
        <row r="6103">
          <cell r="A6103" t="str">
            <v>FB260007356</v>
          </cell>
          <cell r="D6103" t="str">
            <v>CK</v>
          </cell>
        </row>
        <row r="6104">
          <cell r="A6104" t="str">
            <v>FB260007357</v>
          </cell>
          <cell r="D6104" t="str">
            <v>CK</v>
          </cell>
        </row>
        <row r="6105">
          <cell r="A6105" t="str">
            <v>FB260007358</v>
          </cell>
          <cell r="D6105" t="str">
            <v>CK</v>
          </cell>
        </row>
        <row r="6106">
          <cell r="A6106" t="str">
            <v>FB260007359</v>
          </cell>
          <cell r="D6106" t="str">
            <v>CK</v>
          </cell>
        </row>
        <row r="6107">
          <cell r="A6107" t="str">
            <v>FB260007360</v>
          </cell>
          <cell r="D6107" t="str">
            <v>CK</v>
          </cell>
        </row>
        <row r="6108">
          <cell r="A6108" t="str">
            <v>FB260007361</v>
          </cell>
          <cell r="D6108" t="str">
            <v>CK</v>
          </cell>
        </row>
        <row r="6109">
          <cell r="A6109" t="str">
            <v>FB260007362</v>
          </cell>
          <cell r="D6109" t="str">
            <v>CK</v>
          </cell>
        </row>
        <row r="6110">
          <cell r="A6110" t="str">
            <v>FB260007363</v>
          </cell>
          <cell r="D6110" t="str">
            <v>WACE</v>
          </cell>
        </row>
        <row r="6111">
          <cell r="A6111" t="str">
            <v>FB260007364</v>
          </cell>
          <cell r="D6111" t="str">
            <v>CK</v>
          </cell>
        </row>
        <row r="6112">
          <cell r="A6112" t="str">
            <v>FB260007365</v>
          </cell>
          <cell r="D6112" t="str">
            <v>GLA</v>
          </cell>
        </row>
        <row r="6113">
          <cell r="A6113" t="str">
            <v>FB260007366</v>
          </cell>
          <cell r="D6113" t="str">
            <v>WACE</v>
          </cell>
        </row>
        <row r="6114">
          <cell r="A6114" t="str">
            <v>FB260007367</v>
          </cell>
          <cell r="D6114" t="str">
            <v>CHICOS</v>
          </cell>
        </row>
        <row r="6115">
          <cell r="A6115" t="str">
            <v>FB260007368</v>
          </cell>
          <cell r="D6115" t="str">
            <v>CK</v>
          </cell>
        </row>
        <row r="6116">
          <cell r="A6116" t="str">
            <v>FB260007369</v>
          </cell>
          <cell r="D6116" t="str">
            <v>CK</v>
          </cell>
        </row>
        <row r="6117">
          <cell r="A6117" t="str">
            <v>FB260007370</v>
          </cell>
          <cell r="D6117" t="str">
            <v>VSS</v>
          </cell>
        </row>
        <row r="6118">
          <cell r="A6118" t="str">
            <v>FB260007371</v>
          </cell>
          <cell r="D6118" t="str">
            <v>VSS</v>
          </cell>
        </row>
        <row r="6119">
          <cell r="A6119" t="str">
            <v>FB260007372</v>
          </cell>
          <cell r="D6119" t="str">
            <v>VSS</v>
          </cell>
        </row>
        <row r="6120">
          <cell r="A6120" t="str">
            <v>FB260007373</v>
          </cell>
          <cell r="D6120" t="str">
            <v>VSS</v>
          </cell>
        </row>
        <row r="6121">
          <cell r="A6121" t="str">
            <v>FB260007374</v>
          </cell>
          <cell r="D6121" t="str">
            <v>VSS</v>
          </cell>
        </row>
        <row r="6122">
          <cell r="A6122" t="str">
            <v>FB260007377</v>
          </cell>
          <cell r="D6122" t="str">
            <v>WACE</v>
          </cell>
        </row>
        <row r="6123">
          <cell r="A6123" t="str">
            <v>FB260007384</v>
          </cell>
          <cell r="D6123" t="str">
            <v>WACE</v>
          </cell>
        </row>
        <row r="6124">
          <cell r="A6124" t="str">
            <v>FB260007385</v>
          </cell>
          <cell r="D6124" t="str">
            <v>CK</v>
          </cell>
        </row>
        <row r="6125">
          <cell r="A6125" t="str">
            <v>FB260007386</v>
          </cell>
          <cell r="D6125" t="str">
            <v>WACE</v>
          </cell>
        </row>
        <row r="6126">
          <cell r="A6126" t="str">
            <v>FB260007389</v>
          </cell>
          <cell r="D6126" t="str">
            <v>CK</v>
          </cell>
        </row>
        <row r="6127">
          <cell r="A6127" t="str">
            <v>FB260007390</v>
          </cell>
          <cell r="D6127" t="str">
            <v>WACE</v>
          </cell>
        </row>
        <row r="6128">
          <cell r="A6128" t="str">
            <v>FB260007391</v>
          </cell>
          <cell r="D6128" t="str">
            <v>WACE</v>
          </cell>
        </row>
        <row r="6129">
          <cell r="A6129" t="str">
            <v>FB260007392</v>
          </cell>
          <cell r="D6129" t="str">
            <v>VSS</v>
          </cell>
        </row>
        <row r="6130">
          <cell r="A6130" t="str">
            <v>FB260007393</v>
          </cell>
          <cell r="D6130" t="str">
            <v>CHICOS</v>
          </cell>
        </row>
        <row r="6131">
          <cell r="A6131" t="str">
            <v>FB260007394</v>
          </cell>
          <cell r="D6131" t="str">
            <v>CHICOS</v>
          </cell>
        </row>
        <row r="6132">
          <cell r="A6132" t="str">
            <v>FB260007395</v>
          </cell>
          <cell r="D6132" t="str">
            <v>CHICOS</v>
          </cell>
        </row>
        <row r="6133">
          <cell r="A6133" t="str">
            <v>FB260007396</v>
          </cell>
          <cell r="D6133" t="str">
            <v>VSS</v>
          </cell>
        </row>
        <row r="6134">
          <cell r="A6134" t="str">
            <v>FB260007397</v>
          </cell>
          <cell r="D6134" t="str">
            <v>VSS</v>
          </cell>
        </row>
        <row r="6135">
          <cell r="A6135" t="str">
            <v>FB260007398</v>
          </cell>
          <cell r="D6135" t="str">
            <v>VSS</v>
          </cell>
        </row>
        <row r="6136">
          <cell r="A6136" t="str">
            <v>FB260007399</v>
          </cell>
          <cell r="D6136" t="str">
            <v>CK</v>
          </cell>
        </row>
        <row r="6137">
          <cell r="A6137" t="str">
            <v>FB260007400</v>
          </cell>
          <cell r="D6137" t="str">
            <v>VSS</v>
          </cell>
        </row>
        <row r="6138">
          <cell r="A6138" t="str">
            <v>FB260007401</v>
          </cell>
          <cell r="D6138" t="str">
            <v>VSS</v>
          </cell>
        </row>
        <row r="6139">
          <cell r="A6139" t="str">
            <v>FB260007402</v>
          </cell>
          <cell r="D6139" t="str">
            <v>VSS</v>
          </cell>
        </row>
        <row r="6140">
          <cell r="A6140" t="str">
            <v>FB260007403</v>
          </cell>
          <cell r="D6140" t="str">
            <v>VSS</v>
          </cell>
        </row>
        <row r="6141">
          <cell r="A6141" t="str">
            <v>FB260007404</v>
          </cell>
          <cell r="D6141" t="str">
            <v>VSS</v>
          </cell>
        </row>
        <row r="6142">
          <cell r="A6142" t="str">
            <v>FB260007405</v>
          </cell>
          <cell r="D6142" t="str">
            <v>VSS</v>
          </cell>
        </row>
        <row r="6143">
          <cell r="A6143" t="str">
            <v>FB260007406</v>
          </cell>
          <cell r="D6143" t="str">
            <v>WACE</v>
          </cell>
        </row>
        <row r="6144">
          <cell r="A6144" t="str">
            <v>FB260007407</v>
          </cell>
          <cell r="D6144" t="str">
            <v>VSS</v>
          </cell>
        </row>
        <row r="6145">
          <cell r="A6145" t="str">
            <v>FB260007409</v>
          </cell>
          <cell r="D6145" t="str">
            <v>CK</v>
          </cell>
        </row>
        <row r="6146">
          <cell r="A6146" t="str">
            <v>FB260007410</v>
          </cell>
          <cell r="D6146" t="str">
            <v>CK</v>
          </cell>
        </row>
        <row r="6147">
          <cell r="A6147" t="str">
            <v>FB260007411</v>
          </cell>
          <cell r="D6147" t="str">
            <v>VSS</v>
          </cell>
        </row>
        <row r="6148">
          <cell r="A6148" t="str">
            <v>FB260007412</v>
          </cell>
          <cell r="D6148" t="str">
            <v>PINK</v>
          </cell>
        </row>
        <row r="6149">
          <cell r="A6149" t="str">
            <v>FB260007413</v>
          </cell>
          <cell r="D6149" t="str">
            <v>VSS</v>
          </cell>
        </row>
        <row r="6150">
          <cell r="A6150" t="str">
            <v>FB260007415</v>
          </cell>
          <cell r="D6150" t="str">
            <v>VSS</v>
          </cell>
        </row>
        <row r="6151">
          <cell r="A6151" t="str">
            <v>FB260007418</v>
          </cell>
          <cell r="D6151" t="str">
            <v>VSS</v>
          </cell>
        </row>
        <row r="6152">
          <cell r="A6152" t="str">
            <v>FB260007419</v>
          </cell>
          <cell r="D6152" t="str">
            <v>VSS</v>
          </cell>
        </row>
        <row r="6153">
          <cell r="A6153" t="str">
            <v>FB260007420</v>
          </cell>
          <cell r="D6153" t="str">
            <v>VSS</v>
          </cell>
        </row>
        <row r="6154">
          <cell r="A6154" t="str">
            <v>FB260007423</v>
          </cell>
          <cell r="D6154" t="str">
            <v>WACE</v>
          </cell>
        </row>
        <row r="6155">
          <cell r="A6155" t="str">
            <v>FB260007426</v>
          </cell>
          <cell r="D6155" t="str">
            <v>M&amp;S</v>
          </cell>
        </row>
        <row r="6156">
          <cell r="A6156" t="str">
            <v>FB260007427</v>
          </cell>
          <cell r="D6156" t="str">
            <v>VSS</v>
          </cell>
        </row>
        <row r="6157">
          <cell r="A6157" t="str">
            <v>FB260007428</v>
          </cell>
          <cell r="D6157" t="str">
            <v>VSS</v>
          </cell>
        </row>
        <row r="6158">
          <cell r="A6158" t="str">
            <v>FB260007429</v>
          </cell>
          <cell r="D6158" t="str">
            <v>NKSKI</v>
          </cell>
        </row>
        <row r="6159">
          <cell r="A6159" t="str">
            <v>FB260007430</v>
          </cell>
          <cell r="D6159" t="str">
            <v>CHICOS</v>
          </cell>
        </row>
        <row r="6160">
          <cell r="A6160" t="str">
            <v>FB260007431</v>
          </cell>
          <cell r="D6160" t="str">
            <v>LBI</v>
          </cell>
        </row>
        <row r="6161">
          <cell r="A6161" t="str">
            <v>FB260007432</v>
          </cell>
          <cell r="D6161" t="str">
            <v>LBI</v>
          </cell>
        </row>
        <row r="6162">
          <cell r="A6162" t="str">
            <v>FB260007433</v>
          </cell>
          <cell r="D6162" t="str">
            <v>M&amp;S</v>
          </cell>
        </row>
        <row r="6163">
          <cell r="A6163" t="str">
            <v>FB260007434</v>
          </cell>
          <cell r="D6163" t="str">
            <v>M&amp;S</v>
          </cell>
        </row>
        <row r="6164">
          <cell r="A6164" t="str">
            <v>FB260007435</v>
          </cell>
          <cell r="D6164" t="str">
            <v>M&amp;S</v>
          </cell>
        </row>
        <row r="6165">
          <cell r="A6165" t="str">
            <v>FB260007436</v>
          </cell>
          <cell r="D6165" t="str">
            <v>M&amp;S</v>
          </cell>
        </row>
        <row r="6166">
          <cell r="A6166" t="str">
            <v>FB260007437</v>
          </cell>
          <cell r="D6166" t="str">
            <v>M&amp;S</v>
          </cell>
        </row>
        <row r="6167">
          <cell r="A6167" t="str">
            <v>FB260007438</v>
          </cell>
          <cell r="D6167" t="str">
            <v>M&amp;S</v>
          </cell>
        </row>
        <row r="6168">
          <cell r="A6168" t="str">
            <v>FB260007439</v>
          </cell>
          <cell r="D6168" t="str">
            <v>CK</v>
          </cell>
        </row>
        <row r="6169">
          <cell r="A6169" t="str">
            <v>FB260007440</v>
          </cell>
          <cell r="D6169" t="str">
            <v>CK</v>
          </cell>
        </row>
        <row r="6170">
          <cell r="A6170" t="str">
            <v>FB260007441</v>
          </cell>
          <cell r="D6170" t="str">
            <v>CK</v>
          </cell>
        </row>
        <row r="6171">
          <cell r="A6171" t="str">
            <v>FB260007442</v>
          </cell>
          <cell r="D6171" t="str">
            <v>CK</v>
          </cell>
        </row>
        <row r="6172">
          <cell r="A6172" t="str">
            <v>FB260007443</v>
          </cell>
          <cell r="D6172" t="str">
            <v>CK</v>
          </cell>
        </row>
        <row r="6173">
          <cell r="A6173" t="str">
            <v>FB260007444</v>
          </cell>
          <cell r="D6173" t="str">
            <v>CK</v>
          </cell>
        </row>
        <row r="6174">
          <cell r="A6174" t="str">
            <v>FB260007446</v>
          </cell>
          <cell r="D6174" t="str">
            <v>WACE</v>
          </cell>
        </row>
        <row r="6175">
          <cell r="A6175" t="str">
            <v>FB260007447</v>
          </cell>
          <cell r="D6175" t="str">
            <v>WACE</v>
          </cell>
        </row>
        <row r="6176">
          <cell r="A6176" t="str">
            <v>FB260007448</v>
          </cell>
          <cell r="D6176" t="str">
            <v>VSS</v>
          </cell>
        </row>
        <row r="6177">
          <cell r="A6177" t="str">
            <v>FB260007449</v>
          </cell>
          <cell r="D6177" t="str">
            <v>WACE</v>
          </cell>
        </row>
        <row r="6178">
          <cell r="A6178" t="str">
            <v>FB260007450</v>
          </cell>
          <cell r="D6178" t="str">
            <v>WACE</v>
          </cell>
        </row>
        <row r="6179">
          <cell r="A6179" t="str">
            <v>FB260007451</v>
          </cell>
          <cell r="D6179" t="str">
            <v>WACE</v>
          </cell>
        </row>
        <row r="6180">
          <cell r="A6180" t="str">
            <v>FB260007452</v>
          </cell>
          <cell r="D6180" t="str">
            <v>CHICOS</v>
          </cell>
        </row>
        <row r="6181">
          <cell r="A6181" t="str">
            <v>FB260007453</v>
          </cell>
          <cell r="D6181" t="str">
            <v>WACE</v>
          </cell>
        </row>
        <row r="6182">
          <cell r="A6182" t="str">
            <v>FB260007454</v>
          </cell>
          <cell r="D6182" t="str">
            <v>WACE</v>
          </cell>
        </row>
        <row r="6183">
          <cell r="A6183" t="str">
            <v>FB260007455</v>
          </cell>
          <cell r="D6183" t="str">
            <v>WACE</v>
          </cell>
        </row>
        <row r="6184">
          <cell r="A6184" t="str">
            <v>FB260007456</v>
          </cell>
          <cell r="D6184" t="str">
            <v>WACE</v>
          </cell>
        </row>
        <row r="6185">
          <cell r="A6185" t="str">
            <v>FB260007457</v>
          </cell>
          <cell r="D6185" t="str">
            <v>WACE</v>
          </cell>
        </row>
        <row r="6186">
          <cell r="A6186" t="str">
            <v>FB260007458</v>
          </cell>
          <cell r="D6186" t="str">
            <v>VSS</v>
          </cell>
        </row>
        <row r="6187">
          <cell r="A6187" t="str">
            <v>FB260007459</v>
          </cell>
          <cell r="D6187" t="str">
            <v>VSS</v>
          </cell>
        </row>
        <row r="6188">
          <cell r="A6188" t="str">
            <v>FB260007465</v>
          </cell>
          <cell r="D6188" t="str">
            <v>CHICOS</v>
          </cell>
        </row>
        <row r="6189">
          <cell r="A6189" t="str">
            <v>FB260007466</v>
          </cell>
          <cell r="D6189" t="str">
            <v>WACE</v>
          </cell>
        </row>
        <row r="6190">
          <cell r="A6190" t="str">
            <v>FB260007467</v>
          </cell>
          <cell r="D6190" t="str">
            <v>WACE</v>
          </cell>
        </row>
        <row r="6191">
          <cell r="A6191" t="str">
            <v>FB260007472</v>
          </cell>
          <cell r="D6191" t="str">
            <v>PEP</v>
          </cell>
        </row>
        <row r="6192">
          <cell r="A6192" t="str">
            <v>FB260007474</v>
          </cell>
          <cell r="D6192" t="str">
            <v>VSS</v>
          </cell>
        </row>
        <row r="6193">
          <cell r="A6193" t="str">
            <v>FB260007475</v>
          </cell>
          <cell r="D6193" t="str">
            <v>VSS</v>
          </cell>
        </row>
        <row r="6194">
          <cell r="A6194" t="str">
            <v>FB260007476</v>
          </cell>
          <cell r="D6194" t="str">
            <v>PEP</v>
          </cell>
        </row>
        <row r="6195">
          <cell r="A6195" t="str">
            <v>FB260007477</v>
          </cell>
          <cell r="D6195" t="str">
            <v>WACE</v>
          </cell>
        </row>
        <row r="6196">
          <cell r="A6196" t="str">
            <v>FB260007478</v>
          </cell>
          <cell r="D6196" t="str">
            <v>VSS</v>
          </cell>
        </row>
        <row r="6197">
          <cell r="A6197" t="str">
            <v>FB260007479</v>
          </cell>
          <cell r="D6197" t="str">
            <v>CK</v>
          </cell>
        </row>
        <row r="6198">
          <cell r="A6198" t="str">
            <v>FB260007482</v>
          </cell>
          <cell r="D6198" t="str">
            <v>VSS</v>
          </cell>
        </row>
        <row r="6199">
          <cell r="A6199" t="str">
            <v>FB260007484</v>
          </cell>
          <cell r="D6199" t="str">
            <v>NIK</v>
          </cell>
        </row>
        <row r="6200">
          <cell r="A6200" t="str">
            <v>FB260007485</v>
          </cell>
          <cell r="D6200" t="str">
            <v>NIK</v>
          </cell>
        </row>
        <row r="6201">
          <cell r="A6201" t="str">
            <v>FB260007486</v>
          </cell>
          <cell r="D6201" t="str">
            <v>NIK</v>
          </cell>
        </row>
        <row r="6202">
          <cell r="A6202" t="str">
            <v>FB260007487</v>
          </cell>
          <cell r="D6202" t="str">
            <v>NIK</v>
          </cell>
        </row>
        <row r="6203">
          <cell r="A6203" t="str">
            <v>FB260007488</v>
          </cell>
          <cell r="D6203" t="str">
            <v>NIK</v>
          </cell>
        </row>
        <row r="6204">
          <cell r="A6204" t="str">
            <v>FB260007490</v>
          </cell>
          <cell r="D6204" t="str">
            <v>NIK</v>
          </cell>
        </row>
        <row r="6205">
          <cell r="A6205" t="str">
            <v>FB260007491</v>
          </cell>
          <cell r="D6205" t="str">
            <v>NIK</v>
          </cell>
        </row>
        <row r="6206">
          <cell r="A6206" t="str">
            <v>FB260007492</v>
          </cell>
          <cell r="D6206" t="str">
            <v>NIK</v>
          </cell>
        </row>
        <row r="6207">
          <cell r="A6207" t="str">
            <v>FB260007493</v>
          </cell>
          <cell r="D6207" t="str">
            <v>NIK</v>
          </cell>
        </row>
        <row r="6208">
          <cell r="A6208" t="str">
            <v>FB260007495</v>
          </cell>
          <cell r="D6208" t="str">
            <v>NIK</v>
          </cell>
        </row>
        <row r="6209">
          <cell r="A6209" t="str">
            <v>FB260007496</v>
          </cell>
          <cell r="D6209" t="str">
            <v>NIK</v>
          </cell>
        </row>
        <row r="6210">
          <cell r="A6210" t="str">
            <v>FB260007504</v>
          </cell>
          <cell r="D6210" t="str">
            <v>TJEL</v>
          </cell>
        </row>
        <row r="6211">
          <cell r="A6211" t="str">
            <v>FB260007506</v>
          </cell>
          <cell r="D6211" t="str">
            <v>VSS</v>
          </cell>
        </row>
        <row r="6212">
          <cell r="A6212" t="str">
            <v>FB260007509</v>
          </cell>
          <cell r="D6212" t="str">
            <v>M&amp;S</v>
          </cell>
        </row>
        <row r="6213">
          <cell r="A6213" t="str">
            <v>FB260007511</v>
          </cell>
          <cell r="D6213" t="str">
            <v>WACE</v>
          </cell>
        </row>
        <row r="6214">
          <cell r="A6214" t="str">
            <v>FB260007512</v>
          </cell>
          <cell r="D6214" t="str">
            <v>NIK</v>
          </cell>
        </row>
        <row r="6215">
          <cell r="A6215" t="str">
            <v>FB260007513</v>
          </cell>
          <cell r="D6215" t="str">
            <v>NIK</v>
          </cell>
        </row>
        <row r="6216">
          <cell r="A6216" t="str">
            <v>FB260007514</v>
          </cell>
          <cell r="D6216" t="str">
            <v>NIK</v>
          </cell>
        </row>
        <row r="6217">
          <cell r="A6217" t="str">
            <v>FB260007515</v>
          </cell>
          <cell r="D6217" t="str">
            <v>NIK</v>
          </cell>
        </row>
        <row r="6218">
          <cell r="A6218" t="str">
            <v>FB260007516</v>
          </cell>
          <cell r="D6218" t="str">
            <v>NIK</v>
          </cell>
        </row>
        <row r="6219">
          <cell r="A6219" t="str">
            <v>FB260007517</v>
          </cell>
          <cell r="D6219" t="str">
            <v>NIK</v>
          </cell>
        </row>
        <row r="6220">
          <cell r="A6220" t="str">
            <v>FB260007518</v>
          </cell>
          <cell r="D6220" t="str">
            <v>NIK</v>
          </cell>
        </row>
        <row r="6221">
          <cell r="A6221" t="str">
            <v>FB260007519</v>
          </cell>
          <cell r="D6221" t="str">
            <v>TORD</v>
          </cell>
        </row>
        <row r="6222">
          <cell r="A6222" t="str">
            <v>FB260007520</v>
          </cell>
          <cell r="D6222" t="str">
            <v>VSS</v>
          </cell>
        </row>
        <row r="6223">
          <cell r="A6223" t="str">
            <v>FB260007521</v>
          </cell>
          <cell r="D6223" t="str">
            <v>WACE</v>
          </cell>
        </row>
        <row r="6224">
          <cell r="A6224" t="str">
            <v>FB260007523</v>
          </cell>
          <cell r="D6224" t="str">
            <v>SKI</v>
          </cell>
        </row>
        <row r="6225">
          <cell r="A6225" t="str">
            <v>FB260007524</v>
          </cell>
          <cell r="D6225" t="str">
            <v>CHICOS</v>
          </cell>
        </row>
        <row r="6226">
          <cell r="A6226" t="str">
            <v>FB260007525</v>
          </cell>
          <cell r="D6226" t="str">
            <v>PINK</v>
          </cell>
        </row>
        <row r="6227">
          <cell r="A6227" t="str">
            <v>FB260007526</v>
          </cell>
          <cell r="D6227" t="str">
            <v>PINK</v>
          </cell>
        </row>
        <row r="6228">
          <cell r="A6228" t="str">
            <v>FB260007527</v>
          </cell>
          <cell r="D6228" t="str">
            <v>M&amp;S</v>
          </cell>
        </row>
        <row r="6229">
          <cell r="A6229" t="str">
            <v>FB260007528</v>
          </cell>
          <cell r="D6229" t="str">
            <v>CK</v>
          </cell>
        </row>
        <row r="6230">
          <cell r="A6230" t="str">
            <v>FB260007530</v>
          </cell>
          <cell r="D6230" t="str">
            <v>VSS</v>
          </cell>
        </row>
        <row r="6231">
          <cell r="A6231" t="str">
            <v>FB260007531</v>
          </cell>
          <cell r="D6231" t="str">
            <v>NIK</v>
          </cell>
        </row>
        <row r="6232">
          <cell r="A6232" t="str">
            <v>FB260007532</v>
          </cell>
          <cell r="D6232" t="str">
            <v>NIK</v>
          </cell>
        </row>
        <row r="6233">
          <cell r="A6233" t="str">
            <v>FB260007533</v>
          </cell>
          <cell r="D6233" t="str">
            <v>VSS</v>
          </cell>
        </row>
        <row r="6234">
          <cell r="A6234" t="str">
            <v>FB260007534</v>
          </cell>
          <cell r="D6234" t="str">
            <v>LULU</v>
          </cell>
        </row>
        <row r="6235">
          <cell r="A6235" t="str">
            <v>FB260007535</v>
          </cell>
          <cell r="D6235" t="str">
            <v>LULU</v>
          </cell>
        </row>
        <row r="6236">
          <cell r="A6236" t="str">
            <v>FB260007536</v>
          </cell>
          <cell r="D6236" t="str">
            <v>LULU</v>
          </cell>
        </row>
        <row r="6237">
          <cell r="A6237" t="str">
            <v>FB260007537</v>
          </cell>
          <cell r="D6237" t="str">
            <v>LULU</v>
          </cell>
        </row>
        <row r="6238">
          <cell r="A6238" t="str">
            <v>FB260007538</v>
          </cell>
          <cell r="D6238" t="str">
            <v>CHICOS</v>
          </cell>
        </row>
        <row r="6239">
          <cell r="A6239" t="str">
            <v>FB260007539</v>
          </cell>
          <cell r="D6239" t="str">
            <v>CHICOS</v>
          </cell>
        </row>
        <row r="6240">
          <cell r="A6240" t="str">
            <v>FB260007540</v>
          </cell>
          <cell r="D6240" t="str">
            <v>CHICOS</v>
          </cell>
        </row>
        <row r="6241">
          <cell r="A6241" t="str">
            <v>FB260007542</v>
          </cell>
          <cell r="D6241" t="str">
            <v>INT1</v>
          </cell>
        </row>
        <row r="6242">
          <cell r="A6242" t="str">
            <v>FB260007543</v>
          </cell>
          <cell r="D6242" t="str">
            <v>INT1</v>
          </cell>
        </row>
        <row r="6243">
          <cell r="A6243" t="str">
            <v>FB260007544</v>
          </cell>
          <cell r="D6243" t="str">
            <v>SPEE</v>
          </cell>
        </row>
        <row r="6244">
          <cell r="A6244" t="str">
            <v>FB260007545</v>
          </cell>
          <cell r="D6244" t="str">
            <v>SPEE</v>
          </cell>
        </row>
        <row r="6245">
          <cell r="A6245" t="str">
            <v>FB260007546</v>
          </cell>
          <cell r="D6245" t="str">
            <v>SPEE</v>
          </cell>
        </row>
        <row r="6246">
          <cell r="A6246" t="str">
            <v>FB260007547</v>
          </cell>
          <cell r="D6246" t="str">
            <v>SPEE</v>
          </cell>
        </row>
        <row r="6247">
          <cell r="A6247" t="str">
            <v>FB260007550</v>
          </cell>
          <cell r="D6247" t="str">
            <v>SPEE</v>
          </cell>
        </row>
        <row r="6248">
          <cell r="A6248" t="str">
            <v>FB260007551</v>
          </cell>
          <cell r="D6248" t="str">
            <v>SPEE</v>
          </cell>
        </row>
        <row r="6249">
          <cell r="A6249" t="str">
            <v>FB260007553</v>
          </cell>
          <cell r="D6249" t="str">
            <v>SPEE</v>
          </cell>
        </row>
        <row r="6250">
          <cell r="A6250" t="str">
            <v>FB260007554</v>
          </cell>
          <cell r="D6250" t="str">
            <v>SPEE</v>
          </cell>
        </row>
        <row r="6251">
          <cell r="A6251" t="str">
            <v>FB260007555</v>
          </cell>
          <cell r="D6251" t="str">
            <v>SPEE</v>
          </cell>
        </row>
        <row r="6252">
          <cell r="A6252" t="str">
            <v>FB260007558</v>
          </cell>
          <cell r="D6252" t="str">
            <v>SPEE</v>
          </cell>
        </row>
        <row r="6253">
          <cell r="A6253" t="str">
            <v>FB260007559</v>
          </cell>
          <cell r="D6253" t="str">
            <v>SPEE</v>
          </cell>
        </row>
        <row r="6254">
          <cell r="A6254" t="str">
            <v>FB260007561</v>
          </cell>
          <cell r="D6254" t="str">
            <v>SPEE</v>
          </cell>
        </row>
        <row r="6255">
          <cell r="A6255" t="str">
            <v>FB260007562</v>
          </cell>
          <cell r="D6255" t="str">
            <v>INT1</v>
          </cell>
        </row>
        <row r="6256">
          <cell r="A6256" t="str">
            <v>FB260007563</v>
          </cell>
          <cell r="D6256" t="str">
            <v>SPEE</v>
          </cell>
        </row>
        <row r="6257">
          <cell r="A6257" t="str">
            <v>FB260007564</v>
          </cell>
          <cell r="D6257" t="str">
            <v>SPEE</v>
          </cell>
        </row>
        <row r="6258">
          <cell r="A6258" t="str">
            <v>FB260007566</v>
          </cell>
          <cell r="D6258" t="str">
            <v>SPEE</v>
          </cell>
        </row>
        <row r="6259">
          <cell r="A6259" t="str">
            <v>FB260007567</v>
          </cell>
          <cell r="D6259" t="str">
            <v>NIK</v>
          </cell>
        </row>
        <row r="6260">
          <cell r="A6260" t="str">
            <v>FB260007568</v>
          </cell>
          <cell r="D6260" t="str">
            <v>SPEE</v>
          </cell>
        </row>
        <row r="6261">
          <cell r="A6261" t="str">
            <v>FB260007569</v>
          </cell>
          <cell r="D6261" t="str">
            <v>SPEE</v>
          </cell>
        </row>
        <row r="6262">
          <cell r="A6262" t="str">
            <v>FB260007570</v>
          </cell>
          <cell r="D6262" t="str">
            <v>NIK</v>
          </cell>
        </row>
        <row r="6263">
          <cell r="A6263" t="str">
            <v>FB260007571</v>
          </cell>
          <cell r="D6263" t="str">
            <v>INT1</v>
          </cell>
        </row>
        <row r="6264">
          <cell r="A6264" t="str">
            <v>FB260007572</v>
          </cell>
          <cell r="D6264" t="str">
            <v>NIK</v>
          </cell>
        </row>
        <row r="6265">
          <cell r="A6265" t="str">
            <v>FB260007573</v>
          </cell>
          <cell r="D6265" t="str">
            <v>NIK</v>
          </cell>
        </row>
        <row r="6266">
          <cell r="A6266" t="str">
            <v>FB260007574</v>
          </cell>
          <cell r="D6266" t="str">
            <v>NIK</v>
          </cell>
        </row>
        <row r="6267">
          <cell r="A6267" t="str">
            <v>FB260007575</v>
          </cell>
          <cell r="D6267" t="str">
            <v>NIK</v>
          </cell>
        </row>
        <row r="6268">
          <cell r="A6268" t="str">
            <v>FB260007576</v>
          </cell>
          <cell r="D6268" t="str">
            <v>NIK</v>
          </cell>
        </row>
        <row r="6269">
          <cell r="A6269" t="str">
            <v>FB260007577</v>
          </cell>
          <cell r="D6269" t="str">
            <v>NIK</v>
          </cell>
        </row>
        <row r="6270">
          <cell r="A6270" t="str">
            <v>FB260007578</v>
          </cell>
          <cell r="D6270" t="str">
            <v>NIK</v>
          </cell>
        </row>
        <row r="6271">
          <cell r="A6271" t="str">
            <v>FB260007579</v>
          </cell>
          <cell r="D6271" t="str">
            <v>NIK</v>
          </cell>
        </row>
        <row r="6272">
          <cell r="A6272" t="str">
            <v>FB260007580</v>
          </cell>
          <cell r="D6272" t="str">
            <v>NIK</v>
          </cell>
        </row>
        <row r="6273">
          <cell r="A6273" t="str">
            <v>FB260007581</v>
          </cell>
          <cell r="D6273" t="str">
            <v>NIK</v>
          </cell>
        </row>
        <row r="6274">
          <cell r="A6274" t="str">
            <v>FB260007582</v>
          </cell>
          <cell r="D6274" t="str">
            <v>NIK</v>
          </cell>
        </row>
        <row r="6275">
          <cell r="A6275" t="str">
            <v>FB260007583</v>
          </cell>
          <cell r="D6275" t="str">
            <v>NIK</v>
          </cell>
        </row>
        <row r="6276">
          <cell r="A6276" t="str">
            <v>FB260007584</v>
          </cell>
          <cell r="D6276" t="str">
            <v>NIK</v>
          </cell>
        </row>
        <row r="6277">
          <cell r="A6277" t="str">
            <v>FB260007585</v>
          </cell>
          <cell r="D6277" t="str">
            <v>NIK</v>
          </cell>
        </row>
        <row r="6278">
          <cell r="A6278" t="str">
            <v>FB260007586</v>
          </cell>
          <cell r="D6278" t="str">
            <v>NIK</v>
          </cell>
        </row>
        <row r="6279">
          <cell r="A6279" t="str">
            <v>FB260007587</v>
          </cell>
          <cell r="D6279" t="str">
            <v>NIK</v>
          </cell>
        </row>
        <row r="6280">
          <cell r="A6280" t="str">
            <v>FB260007588</v>
          </cell>
          <cell r="D6280" t="str">
            <v>NIK</v>
          </cell>
        </row>
        <row r="6281">
          <cell r="A6281" t="str">
            <v>FB260007589</v>
          </cell>
          <cell r="D6281" t="str">
            <v>NIK</v>
          </cell>
        </row>
        <row r="6282">
          <cell r="A6282" t="str">
            <v>FB260007590</v>
          </cell>
          <cell r="D6282" t="str">
            <v>NIK</v>
          </cell>
        </row>
        <row r="6283">
          <cell r="A6283" t="str">
            <v>FB260007591</v>
          </cell>
          <cell r="D6283" t="str">
            <v>NIK</v>
          </cell>
        </row>
        <row r="6284">
          <cell r="A6284" t="str">
            <v>FB260007592</v>
          </cell>
          <cell r="D6284" t="str">
            <v>NIK</v>
          </cell>
        </row>
        <row r="6285">
          <cell r="A6285" t="str">
            <v>FB260007593</v>
          </cell>
          <cell r="D6285" t="str">
            <v>NIK</v>
          </cell>
        </row>
        <row r="6286">
          <cell r="A6286" t="str">
            <v>FB260007594</v>
          </cell>
          <cell r="D6286" t="str">
            <v>NIK</v>
          </cell>
        </row>
        <row r="6287">
          <cell r="A6287" t="str">
            <v>FB260007608</v>
          </cell>
          <cell r="D6287" t="str">
            <v>PEP</v>
          </cell>
        </row>
        <row r="6288">
          <cell r="A6288" t="str">
            <v>FB260007609</v>
          </cell>
          <cell r="D6288" t="str">
            <v>NIK</v>
          </cell>
        </row>
        <row r="6289">
          <cell r="A6289" t="str">
            <v>FB260007610</v>
          </cell>
          <cell r="D6289" t="str">
            <v>SW</v>
          </cell>
        </row>
        <row r="6290">
          <cell r="A6290" t="str">
            <v>FB260007611</v>
          </cell>
          <cell r="D6290" t="str">
            <v>VSS</v>
          </cell>
        </row>
        <row r="6291">
          <cell r="A6291" t="str">
            <v>FB260007612</v>
          </cell>
          <cell r="D6291" t="str">
            <v>VSS</v>
          </cell>
        </row>
        <row r="6292">
          <cell r="A6292" t="str">
            <v>FB260007613</v>
          </cell>
          <cell r="D6292" t="str">
            <v>VSS</v>
          </cell>
        </row>
        <row r="6293">
          <cell r="A6293" t="str">
            <v>FB260007614</v>
          </cell>
          <cell r="D6293" t="str">
            <v>NIK</v>
          </cell>
        </row>
        <row r="6294">
          <cell r="A6294" t="str">
            <v>FB260007615</v>
          </cell>
          <cell r="D6294" t="str">
            <v>VSS</v>
          </cell>
        </row>
        <row r="6295">
          <cell r="A6295" t="str">
            <v>FB260007617</v>
          </cell>
          <cell r="D6295" t="str">
            <v>VSS</v>
          </cell>
        </row>
        <row r="6296">
          <cell r="A6296" t="str">
            <v>FB260007618</v>
          </cell>
          <cell r="D6296" t="str">
            <v>VSS</v>
          </cell>
        </row>
        <row r="6297">
          <cell r="A6297" t="str">
            <v>FB260007619</v>
          </cell>
          <cell r="D6297" t="str">
            <v>NIK</v>
          </cell>
        </row>
        <row r="6298">
          <cell r="A6298" t="str">
            <v>FB260007620</v>
          </cell>
          <cell r="D6298" t="str">
            <v>M&amp;S</v>
          </cell>
        </row>
        <row r="6299">
          <cell r="A6299" t="str">
            <v>FB260007621</v>
          </cell>
          <cell r="D6299" t="str">
            <v>WACE</v>
          </cell>
        </row>
        <row r="6300">
          <cell r="A6300" t="str">
            <v>FB260007622</v>
          </cell>
          <cell r="D6300" t="str">
            <v>LULU</v>
          </cell>
        </row>
        <row r="6301">
          <cell r="A6301" t="str">
            <v>FB260007623</v>
          </cell>
          <cell r="D6301" t="str">
            <v>ASIC</v>
          </cell>
        </row>
        <row r="6302">
          <cell r="A6302" t="str">
            <v>FB260007624</v>
          </cell>
          <cell r="D6302" t="str">
            <v>M&amp;S</v>
          </cell>
        </row>
        <row r="6303">
          <cell r="A6303" t="str">
            <v>FB260007642</v>
          </cell>
          <cell r="D6303" t="str">
            <v>NIK</v>
          </cell>
        </row>
        <row r="6304">
          <cell r="A6304" t="str">
            <v>FB260007645</v>
          </cell>
          <cell r="D6304" t="str">
            <v>PEP</v>
          </cell>
        </row>
        <row r="6305">
          <cell r="A6305" t="str">
            <v>FB260007647</v>
          </cell>
          <cell r="D6305" t="str">
            <v>LBI</v>
          </cell>
        </row>
        <row r="6306">
          <cell r="A6306" t="str">
            <v>FB260007648</v>
          </cell>
          <cell r="D6306" t="str">
            <v>CK</v>
          </cell>
        </row>
        <row r="6307">
          <cell r="A6307" t="str">
            <v>FB260007649</v>
          </cell>
          <cell r="D6307" t="str">
            <v>CK</v>
          </cell>
        </row>
        <row r="6308">
          <cell r="A6308" t="str">
            <v>FB260007650</v>
          </cell>
          <cell r="D6308" t="str">
            <v>CK</v>
          </cell>
        </row>
        <row r="6309">
          <cell r="A6309" t="str">
            <v>FB260007651</v>
          </cell>
          <cell r="D6309" t="str">
            <v>CK</v>
          </cell>
        </row>
        <row r="6310">
          <cell r="A6310" t="str">
            <v>FB260007652</v>
          </cell>
          <cell r="D6310" t="str">
            <v>CK</v>
          </cell>
        </row>
        <row r="6311">
          <cell r="A6311" t="str">
            <v>FB260007653</v>
          </cell>
          <cell r="D6311" t="str">
            <v>CK</v>
          </cell>
        </row>
        <row r="6312">
          <cell r="A6312" t="str">
            <v>FB260007654</v>
          </cell>
          <cell r="D6312" t="str">
            <v>CK</v>
          </cell>
        </row>
        <row r="6313">
          <cell r="A6313" t="str">
            <v>FB260007655</v>
          </cell>
          <cell r="D6313" t="str">
            <v>CK</v>
          </cell>
        </row>
        <row r="6314">
          <cell r="A6314" t="str">
            <v>FB260007656</v>
          </cell>
          <cell r="D6314" t="str">
            <v>CK</v>
          </cell>
        </row>
        <row r="6315">
          <cell r="A6315" t="str">
            <v>FB260007657</v>
          </cell>
          <cell r="D6315" t="str">
            <v>CK</v>
          </cell>
        </row>
        <row r="6316">
          <cell r="A6316" t="str">
            <v>FB260007658</v>
          </cell>
          <cell r="D6316" t="str">
            <v>CK</v>
          </cell>
        </row>
        <row r="6317">
          <cell r="A6317" t="str">
            <v>FB260007659</v>
          </cell>
          <cell r="D6317" t="str">
            <v>CK</v>
          </cell>
        </row>
        <row r="6318">
          <cell r="A6318" t="str">
            <v>FB260007660</v>
          </cell>
          <cell r="D6318" t="str">
            <v>CK</v>
          </cell>
        </row>
        <row r="6319">
          <cell r="A6319" t="str">
            <v>FB260007661</v>
          </cell>
          <cell r="D6319" t="str">
            <v>CK</v>
          </cell>
        </row>
        <row r="6320">
          <cell r="A6320" t="str">
            <v>FB260007662</v>
          </cell>
          <cell r="D6320" t="str">
            <v>TESCO</v>
          </cell>
        </row>
        <row r="6321">
          <cell r="A6321" t="str">
            <v>FB260007663</v>
          </cell>
          <cell r="D6321" t="str">
            <v>CK</v>
          </cell>
        </row>
        <row r="6322">
          <cell r="A6322" t="str">
            <v>FB260007664</v>
          </cell>
          <cell r="D6322" t="str">
            <v>VSS</v>
          </cell>
        </row>
        <row r="6323">
          <cell r="A6323" t="str">
            <v>FB260007665</v>
          </cell>
          <cell r="D6323" t="str">
            <v>WACE</v>
          </cell>
        </row>
        <row r="6324">
          <cell r="A6324" t="str">
            <v>FB260007666</v>
          </cell>
          <cell r="D6324" t="str">
            <v>VSS</v>
          </cell>
        </row>
        <row r="6325">
          <cell r="A6325" t="str">
            <v>FB260007667</v>
          </cell>
          <cell r="D6325" t="str">
            <v>VSS</v>
          </cell>
        </row>
        <row r="6326">
          <cell r="A6326" t="str">
            <v>FB260007668</v>
          </cell>
          <cell r="D6326" t="str">
            <v>VSS</v>
          </cell>
        </row>
        <row r="6327">
          <cell r="A6327" t="str">
            <v>FB260007669</v>
          </cell>
          <cell r="D6327" t="str">
            <v>VSS</v>
          </cell>
        </row>
        <row r="6328">
          <cell r="A6328" t="str">
            <v>FB260007670</v>
          </cell>
          <cell r="D6328" t="str">
            <v>VSS</v>
          </cell>
        </row>
        <row r="6329">
          <cell r="A6329" t="str">
            <v>FB260007671</v>
          </cell>
          <cell r="D6329" t="str">
            <v>VSS</v>
          </cell>
        </row>
        <row r="6330">
          <cell r="A6330" t="str">
            <v>FB260007672</v>
          </cell>
          <cell r="D6330" t="str">
            <v>VSS</v>
          </cell>
        </row>
        <row r="6331">
          <cell r="A6331" t="str">
            <v>FB260007673</v>
          </cell>
          <cell r="D6331" t="str">
            <v>VSS</v>
          </cell>
        </row>
        <row r="6332">
          <cell r="A6332" t="str">
            <v>FB260007674</v>
          </cell>
          <cell r="D6332" t="str">
            <v>VSS</v>
          </cell>
        </row>
        <row r="6333">
          <cell r="A6333" t="str">
            <v>FB260007675</v>
          </cell>
          <cell r="D6333" t="str">
            <v>VSS</v>
          </cell>
        </row>
        <row r="6334">
          <cell r="A6334" t="str">
            <v>FB260007676</v>
          </cell>
          <cell r="D6334" t="str">
            <v>VSS</v>
          </cell>
        </row>
        <row r="6335">
          <cell r="A6335" t="str">
            <v>FB260007677</v>
          </cell>
          <cell r="D6335" t="str">
            <v>VSS</v>
          </cell>
        </row>
        <row r="6336">
          <cell r="A6336" t="str">
            <v>FB260007678</v>
          </cell>
          <cell r="D6336" t="str">
            <v>VSS</v>
          </cell>
        </row>
        <row r="6337">
          <cell r="A6337" t="str">
            <v>FB260007679</v>
          </cell>
          <cell r="D6337" t="str">
            <v>VSS</v>
          </cell>
        </row>
        <row r="6338">
          <cell r="A6338" t="str">
            <v>FB260007680</v>
          </cell>
          <cell r="D6338" t="str">
            <v>VSS</v>
          </cell>
        </row>
        <row r="6339">
          <cell r="A6339" t="str">
            <v>FB260007681</v>
          </cell>
          <cell r="D6339" t="str">
            <v>VSS</v>
          </cell>
        </row>
        <row r="6340">
          <cell r="A6340" t="str">
            <v>FB260007682</v>
          </cell>
          <cell r="D6340" t="str">
            <v>VSS</v>
          </cell>
        </row>
        <row r="6341">
          <cell r="A6341" t="str">
            <v>FB260007683</v>
          </cell>
          <cell r="D6341" t="str">
            <v>WACE</v>
          </cell>
        </row>
        <row r="6342">
          <cell r="A6342" t="str">
            <v>FB260007684</v>
          </cell>
          <cell r="D6342" t="str">
            <v>WACE</v>
          </cell>
        </row>
        <row r="6343">
          <cell r="A6343" t="str">
            <v>FB260007685</v>
          </cell>
          <cell r="D6343" t="str">
            <v>WACE</v>
          </cell>
        </row>
        <row r="6344">
          <cell r="A6344" t="str">
            <v>FB260007686</v>
          </cell>
          <cell r="D6344" t="str">
            <v>CHICOS</v>
          </cell>
        </row>
        <row r="6345">
          <cell r="A6345" t="str">
            <v>FB260007687</v>
          </cell>
          <cell r="D6345" t="str">
            <v>WACE</v>
          </cell>
        </row>
        <row r="6346">
          <cell r="A6346" t="str">
            <v>FB260007688</v>
          </cell>
          <cell r="D6346" t="str">
            <v>WACE</v>
          </cell>
        </row>
        <row r="6347">
          <cell r="A6347" t="str">
            <v>FB260007689</v>
          </cell>
          <cell r="D6347" t="str">
            <v>WACE</v>
          </cell>
        </row>
        <row r="6348">
          <cell r="A6348" t="str">
            <v>FB260007690</v>
          </cell>
          <cell r="D6348" t="str">
            <v>WACE</v>
          </cell>
        </row>
        <row r="6349">
          <cell r="A6349" t="str">
            <v>FB260007695</v>
          </cell>
          <cell r="D6349" t="str">
            <v>WACE</v>
          </cell>
        </row>
        <row r="6350">
          <cell r="A6350" t="str">
            <v>FB260007700</v>
          </cell>
          <cell r="D6350" t="str">
            <v>VSS</v>
          </cell>
        </row>
        <row r="6351">
          <cell r="A6351" t="str">
            <v>FB260007701</v>
          </cell>
          <cell r="D6351" t="str">
            <v>PEP</v>
          </cell>
        </row>
        <row r="6352">
          <cell r="A6352" t="str">
            <v>FB260007702</v>
          </cell>
          <cell r="D6352" t="str">
            <v>WACE</v>
          </cell>
        </row>
        <row r="6353">
          <cell r="A6353" t="str">
            <v>FB260007703</v>
          </cell>
          <cell r="D6353" t="str">
            <v>WACE</v>
          </cell>
        </row>
        <row r="6354">
          <cell r="A6354" t="str">
            <v>FB260007704</v>
          </cell>
          <cell r="D6354" t="str">
            <v>WACE</v>
          </cell>
        </row>
        <row r="6355">
          <cell r="A6355" t="str">
            <v>FB260007705</v>
          </cell>
          <cell r="D6355" t="str">
            <v>WACE</v>
          </cell>
        </row>
        <row r="6356">
          <cell r="A6356" t="str">
            <v>FB260007706</v>
          </cell>
          <cell r="D6356" t="str">
            <v>WACE</v>
          </cell>
        </row>
        <row r="6357">
          <cell r="A6357" t="str">
            <v>FB260007707</v>
          </cell>
          <cell r="D6357" t="str">
            <v>CK</v>
          </cell>
        </row>
        <row r="6358">
          <cell r="A6358" t="str">
            <v>FB260007708</v>
          </cell>
          <cell r="D6358" t="str">
            <v>VSS</v>
          </cell>
        </row>
        <row r="6359">
          <cell r="A6359" t="str">
            <v>FB260007709</v>
          </cell>
          <cell r="D6359" t="str">
            <v>VSS</v>
          </cell>
        </row>
        <row r="6360">
          <cell r="A6360" t="str">
            <v>FB260007712</v>
          </cell>
          <cell r="D6360" t="str">
            <v>GAP</v>
          </cell>
        </row>
        <row r="6361">
          <cell r="A6361" t="str">
            <v>FB260007713</v>
          </cell>
          <cell r="D6361" t="str">
            <v>M&amp;S</v>
          </cell>
        </row>
        <row r="6362">
          <cell r="A6362" t="str">
            <v>FB260007715</v>
          </cell>
          <cell r="D6362" t="str">
            <v>INT1</v>
          </cell>
        </row>
        <row r="6363">
          <cell r="A6363" t="str">
            <v>FB260007716</v>
          </cell>
          <cell r="D6363" t="str">
            <v>M&amp;S</v>
          </cell>
        </row>
        <row r="6364">
          <cell r="A6364" t="str">
            <v>FB260007717</v>
          </cell>
          <cell r="D6364" t="str">
            <v>M&amp;S</v>
          </cell>
        </row>
        <row r="6365">
          <cell r="A6365" t="str">
            <v>FB260007718</v>
          </cell>
          <cell r="D6365" t="str">
            <v>M&amp;S</v>
          </cell>
        </row>
        <row r="6366">
          <cell r="A6366" t="str">
            <v>FB260007719</v>
          </cell>
          <cell r="D6366" t="str">
            <v>CK</v>
          </cell>
        </row>
        <row r="6367">
          <cell r="A6367" t="str">
            <v>FB260007720</v>
          </cell>
          <cell r="D6367" t="str">
            <v>M&amp;S</v>
          </cell>
        </row>
        <row r="6368">
          <cell r="A6368" t="str">
            <v>FB260007721</v>
          </cell>
          <cell r="D6368" t="str">
            <v>WACE</v>
          </cell>
        </row>
        <row r="6369">
          <cell r="A6369" t="str">
            <v>FB260007722</v>
          </cell>
          <cell r="D6369" t="str">
            <v>VSS</v>
          </cell>
        </row>
        <row r="6370">
          <cell r="A6370" t="str">
            <v>FB260007723</v>
          </cell>
          <cell r="D6370" t="str">
            <v>WACE</v>
          </cell>
        </row>
        <row r="6371">
          <cell r="A6371" t="str">
            <v>FB260007724</v>
          </cell>
          <cell r="D6371" t="str">
            <v>WACE</v>
          </cell>
        </row>
        <row r="6372">
          <cell r="A6372" t="str">
            <v>FB260007725</v>
          </cell>
          <cell r="D6372" t="str">
            <v>CHICOS</v>
          </cell>
        </row>
        <row r="6373">
          <cell r="A6373" t="str">
            <v>FB260007726</v>
          </cell>
          <cell r="D6373" t="str">
            <v>CHICOS</v>
          </cell>
        </row>
        <row r="6374">
          <cell r="A6374" t="str">
            <v>FB260007727</v>
          </cell>
          <cell r="D6374" t="str">
            <v>VSS</v>
          </cell>
        </row>
        <row r="6375">
          <cell r="A6375" t="str">
            <v>FB260007728</v>
          </cell>
          <cell r="D6375" t="str">
            <v>CK</v>
          </cell>
        </row>
        <row r="6376">
          <cell r="A6376" t="str">
            <v>FB260007729</v>
          </cell>
          <cell r="D6376" t="str">
            <v>VSS</v>
          </cell>
        </row>
        <row r="6377">
          <cell r="A6377" t="str">
            <v>FB260007730</v>
          </cell>
          <cell r="D6377" t="str">
            <v>CK</v>
          </cell>
        </row>
        <row r="6378">
          <cell r="A6378" t="str">
            <v>FB260007731</v>
          </cell>
          <cell r="D6378" t="str">
            <v>CK</v>
          </cell>
        </row>
        <row r="6379">
          <cell r="A6379" t="str">
            <v>FB260007733</v>
          </cell>
          <cell r="D6379" t="str">
            <v>WACE</v>
          </cell>
        </row>
        <row r="6380">
          <cell r="A6380" t="str">
            <v>FB260007734</v>
          </cell>
          <cell r="D6380" t="str">
            <v>WACE</v>
          </cell>
        </row>
        <row r="6381">
          <cell r="A6381" t="str">
            <v>FB260007735</v>
          </cell>
          <cell r="D6381" t="str">
            <v>M&amp;S</v>
          </cell>
        </row>
        <row r="6382">
          <cell r="A6382" t="str">
            <v>FB260007736</v>
          </cell>
          <cell r="D6382" t="str">
            <v>NIK</v>
          </cell>
        </row>
        <row r="6383">
          <cell r="A6383" t="str">
            <v>FB260007737</v>
          </cell>
          <cell r="D6383" t="str">
            <v>SKI</v>
          </cell>
        </row>
        <row r="6384">
          <cell r="A6384" t="str">
            <v>FB260007738</v>
          </cell>
          <cell r="D6384" t="str">
            <v>SKI</v>
          </cell>
        </row>
        <row r="6385">
          <cell r="A6385" t="str">
            <v>FB260007739</v>
          </cell>
          <cell r="D6385" t="str">
            <v>SKI</v>
          </cell>
        </row>
        <row r="6386">
          <cell r="A6386" t="str">
            <v>FB260007742</v>
          </cell>
          <cell r="D6386" t="str">
            <v>LULU</v>
          </cell>
        </row>
        <row r="6387">
          <cell r="A6387" t="str">
            <v>FB260007743</v>
          </cell>
          <cell r="D6387" t="str">
            <v>LULU</v>
          </cell>
        </row>
        <row r="6388">
          <cell r="A6388" t="str">
            <v>FB260007744</v>
          </cell>
          <cell r="D6388" t="str">
            <v>LULU</v>
          </cell>
        </row>
        <row r="6389">
          <cell r="A6389" t="str">
            <v>FB260007745</v>
          </cell>
          <cell r="D6389" t="str">
            <v>VSS</v>
          </cell>
        </row>
        <row r="6390">
          <cell r="A6390" t="str">
            <v>FB260007746</v>
          </cell>
          <cell r="D6390" t="str">
            <v>VSS</v>
          </cell>
        </row>
        <row r="6391">
          <cell r="A6391" t="str">
            <v>FB260007747</v>
          </cell>
          <cell r="D6391" t="str">
            <v>VSS</v>
          </cell>
        </row>
        <row r="6392">
          <cell r="A6392" t="str">
            <v>FB260007748</v>
          </cell>
          <cell r="D6392" t="str">
            <v>VSS</v>
          </cell>
        </row>
        <row r="6393">
          <cell r="A6393" t="str">
            <v>FB260007749</v>
          </cell>
          <cell r="D6393" t="str">
            <v>VSS</v>
          </cell>
        </row>
        <row r="6394">
          <cell r="A6394" t="str">
            <v>FB260007750</v>
          </cell>
          <cell r="D6394" t="str">
            <v>NIK</v>
          </cell>
        </row>
        <row r="6395">
          <cell r="A6395" t="str">
            <v>FB260007751</v>
          </cell>
          <cell r="D6395" t="str">
            <v>CK</v>
          </cell>
        </row>
        <row r="6396">
          <cell r="A6396" t="str">
            <v>FB260007752</v>
          </cell>
          <cell r="D6396" t="str">
            <v>CK</v>
          </cell>
        </row>
        <row r="6397">
          <cell r="A6397" t="str">
            <v>FB260007753</v>
          </cell>
          <cell r="D6397" t="str">
            <v>VSS</v>
          </cell>
        </row>
        <row r="6398">
          <cell r="A6398" t="str">
            <v>FB260007754</v>
          </cell>
          <cell r="D6398" t="str">
            <v>VSS</v>
          </cell>
        </row>
        <row r="6399">
          <cell r="A6399" t="str">
            <v>FB260007755</v>
          </cell>
          <cell r="D6399" t="str">
            <v>VSS</v>
          </cell>
        </row>
        <row r="6400">
          <cell r="A6400" t="str">
            <v>FB260007757</v>
          </cell>
          <cell r="D6400" t="str">
            <v>VSS</v>
          </cell>
        </row>
        <row r="6401">
          <cell r="A6401" t="str">
            <v>FB260007760</v>
          </cell>
          <cell r="D6401" t="str">
            <v>WACE</v>
          </cell>
        </row>
        <row r="6402">
          <cell r="A6402" t="str">
            <v>FB260007761</v>
          </cell>
          <cell r="D6402" t="str">
            <v>NIK</v>
          </cell>
        </row>
        <row r="6403">
          <cell r="A6403" t="str">
            <v>FB260007762</v>
          </cell>
          <cell r="D6403" t="str">
            <v>VSS</v>
          </cell>
        </row>
        <row r="6404">
          <cell r="A6404" t="str">
            <v>FB260007763</v>
          </cell>
          <cell r="D6404" t="str">
            <v>CK</v>
          </cell>
        </row>
        <row r="6405">
          <cell r="A6405" t="str">
            <v>FB260007764</v>
          </cell>
          <cell r="D6405" t="str">
            <v>VSS</v>
          </cell>
        </row>
        <row r="6406">
          <cell r="A6406" t="str">
            <v>FB260007765</v>
          </cell>
          <cell r="D6406" t="str">
            <v>VSS</v>
          </cell>
        </row>
        <row r="6407">
          <cell r="A6407" t="str">
            <v>FB260007766</v>
          </cell>
          <cell r="D6407" t="str">
            <v>VSS</v>
          </cell>
        </row>
        <row r="6408">
          <cell r="A6408" t="str">
            <v>FB260007767</v>
          </cell>
          <cell r="D6408" t="str">
            <v>VSS</v>
          </cell>
        </row>
        <row r="6409">
          <cell r="A6409" t="str">
            <v>FB260007770</v>
          </cell>
          <cell r="D6409" t="str">
            <v>VSS</v>
          </cell>
        </row>
        <row r="6410">
          <cell r="A6410" t="str">
            <v>FB260007772</v>
          </cell>
          <cell r="D6410" t="str">
            <v>VSS</v>
          </cell>
        </row>
        <row r="6411">
          <cell r="A6411" t="str">
            <v>FB260007773</v>
          </cell>
          <cell r="D6411" t="str">
            <v>VSS</v>
          </cell>
        </row>
        <row r="6412">
          <cell r="A6412" t="str">
            <v>FB260007775</v>
          </cell>
          <cell r="D6412" t="str">
            <v>VSS</v>
          </cell>
        </row>
        <row r="6413">
          <cell r="A6413" t="str">
            <v>FB260007776</v>
          </cell>
          <cell r="D6413" t="str">
            <v>LULU</v>
          </cell>
        </row>
        <row r="6414">
          <cell r="A6414" t="str">
            <v>FB260007777</v>
          </cell>
          <cell r="D6414" t="str">
            <v>LULU</v>
          </cell>
        </row>
        <row r="6415">
          <cell r="A6415" t="str">
            <v>FB260007779</v>
          </cell>
          <cell r="D6415" t="str">
            <v>WACE</v>
          </cell>
        </row>
        <row r="6416">
          <cell r="A6416" t="str">
            <v>FB260007780</v>
          </cell>
          <cell r="D6416" t="str">
            <v>CK</v>
          </cell>
        </row>
        <row r="6417">
          <cell r="A6417" t="str">
            <v>FB260007782</v>
          </cell>
          <cell r="D6417" t="str">
            <v>PINK</v>
          </cell>
        </row>
        <row r="6418">
          <cell r="A6418" t="str">
            <v>FB260007783</v>
          </cell>
          <cell r="D6418" t="str">
            <v>PINK</v>
          </cell>
        </row>
        <row r="6419">
          <cell r="A6419" t="str">
            <v>FB260007784</v>
          </cell>
          <cell r="D6419" t="str">
            <v>PINK</v>
          </cell>
        </row>
        <row r="6420">
          <cell r="A6420" t="str">
            <v>FB260007785</v>
          </cell>
          <cell r="D6420" t="str">
            <v>PINK</v>
          </cell>
        </row>
        <row r="6421">
          <cell r="A6421" t="str">
            <v>FB260007786</v>
          </cell>
          <cell r="D6421" t="str">
            <v>WACE</v>
          </cell>
        </row>
        <row r="6422">
          <cell r="A6422" t="str">
            <v>FB260007787</v>
          </cell>
          <cell r="D6422" t="str">
            <v>WACE</v>
          </cell>
        </row>
        <row r="6423">
          <cell r="A6423" t="str">
            <v>FB260007788</v>
          </cell>
          <cell r="D6423" t="str">
            <v>VSS</v>
          </cell>
        </row>
        <row r="6424">
          <cell r="A6424" t="str">
            <v>FB260007789</v>
          </cell>
          <cell r="D6424" t="str">
            <v>VSS</v>
          </cell>
        </row>
        <row r="6425">
          <cell r="A6425" t="str">
            <v>FB260007790</v>
          </cell>
          <cell r="D6425" t="str">
            <v>VSS</v>
          </cell>
        </row>
        <row r="6426">
          <cell r="A6426" t="str">
            <v>FB260007791</v>
          </cell>
          <cell r="D6426" t="str">
            <v>VSS</v>
          </cell>
        </row>
        <row r="6427">
          <cell r="A6427" t="str">
            <v>FB260007792</v>
          </cell>
          <cell r="D6427" t="str">
            <v>VSS</v>
          </cell>
        </row>
        <row r="6428">
          <cell r="A6428" t="str">
            <v>FB260007793</v>
          </cell>
          <cell r="D6428" t="str">
            <v>VSS</v>
          </cell>
        </row>
        <row r="6429">
          <cell r="A6429" t="str">
            <v>FB260007794</v>
          </cell>
          <cell r="D6429" t="str">
            <v>M&amp;S</v>
          </cell>
        </row>
        <row r="6430">
          <cell r="A6430" t="str">
            <v>FB260007795</v>
          </cell>
          <cell r="D6430" t="str">
            <v>NIK</v>
          </cell>
        </row>
        <row r="6431">
          <cell r="A6431" t="str">
            <v>FB260007796</v>
          </cell>
          <cell r="D6431" t="str">
            <v>NIK</v>
          </cell>
        </row>
        <row r="6432">
          <cell r="A6432" t="str">
            <v>FB260007797</v>
          </cell>
          <cell r="D6432" t="str">
            <v>WACE</v>
          </cell>
        </row>
        <row r="6433">
          <cell r="A6433" t="str">
            <v>FB260007798</v>
          </cell>
          <cell r="D6433" t="str">
            <v>NIK</v>
          </cell>
        </row>
        <row r="6434">
          <cell r="A6434" t="str">
            <v>FB260007799</v>
          </cell>
          <cell r="D6434" t="str">
            <v>NIK</v>
          </cell>
        </row>
        <row r="6435">
          <cell r="A6435" t="str">
            <v>FB260007800</v>
          </cell>
          <cell r="D6435" t="str">
            <v>NIK</v>
          </cell>
        </row>
        <row r="6436">
          <cell r="A6436" t="str">
            <v>FB260007802</v>
          </cell>
          <cell r="D6436" t="str">
            <v>INT1</v>
          </cell>
        </row>
        <row r="6437">
          <cell r="A6437" t="str">
            <v>FB260007803</v>
          </cell>
          <cell r="D6437" t="str">
            <v>M&amp;S</v>
          </cell>
        </row>
        <row r="6438">
          <cell r="A6438" t="str">
            <v>FB260007804</v>
          </cell>
          <cell r="D6438" t="str">
            <v>M&amp;S</v>
          </cell>
        </row>
        <row r="6439">
          <cell r="A6439" t="str">
            <v>FB260007805</v>
          </cell>
          <cell r="D6439" t="str">
            <v>LBI</v>
          </cell>
        </row>
        <row r="6440">
          <cell r="A6440" t="str">
            <v>FB260007806</v>
          </cell>
          <cell r="D6440" t="str">
            <v>WACE</v>
          </cell>
        </row>
        <row r="6441">
          <cell r="A6441" t="str">
            <v>FB260007807</v>
          </cell>
          <cell r="D6441" t="str">
            <v>CK</v>
          </cell>
        </row>
        <row r="6442">
          <cell r="A6442" t="str">
            <v>FB260007809</v>
          </cell>
          <cell r="D6442" t="str">
            <v>WACE</v>
          </cell>
        </row>
        <row r="6443">
          <cell r="A6443" t="str">
            <v>FB260007810</v>
          </cell>
          <cell r="D6443" t="str">
            <v>WACE</v>
          </cell>
        </row>
        <row r="6444">
          <cell r="A6444" t="str">
            <v>FB260007811</v>
          </cell>
          <cell r="D6444" t="str">
            <v>CK</v>
          </cell>
        </row>
        <row r="6445">
          <cell r="A6445" t="str">
            <v>FB260007812</v>
          </cell>
          <cell r="D6445" t="str">
            <v>PEP</v>
          </cell>
        </row>
        <row r="6446">
          <cell r="A6446" t="str">
            <v>FB260007813</v>
          </cell>
          <cell r="D6446" t="str">
            <v>CK</v>
          </cell>
        </row>
        <row r="6447">
          <cell r="A6447" t="str">
            <v>FB260007814</v>
          </cell>
          <cell r="D6447" t="str">
            <v>VSS</v>
          </cell>
        </row>
        <row r="6448">
          <cell r="A6448" t="str">
            <v>FB260007815</v>
          </cell>
          <cell r="D6448" t="str">
            <v>LULU</v>
          </cell>
        </row>
        <row r="6449">
          <cell r="A6449" t="str">
            <v>FB260007816</v>
          </cell>
          <cell r="D6449" t="str">
            <v>VSS</v>
          </cell>
        </row>
        <row r="6450">
          <cell r="A6450" t="str">
            <v>FB260007817</v>
          </cell>
          <cell r="D6450" t="str">
            <v>VSS</v>
          </cell>
        </row>
        <row r="6451">
          <cell r="A6451" t="str">
            <v>FB260007818</v>
          </cell>
          <cell r="D6451" t="str">
            <v>VSS</v>
          </cell>
        </row>
        <row r="6452">
          <cell r="A6452" t="str">
            <v>FB260007819</v>
          </cell>
          <cell r="D6452" t="str">
            <v>SKI</v>
          </cell>
        </row>
        <row r="6453">
          <cell r="A6453" t="str">
            <v>FB260007822</v>
          </cell>
          <cell r="D6453" t="str">
            <v>VSS</v>
          </cell>
        </row>
        <row r="6454">
          <cell r="A6454" t="str">
            <v>FB260007823</v>
          </cell>
          <cell r="D6454" t="str">
            <v>VSS</v>
          </cell>
        </row>
        <row r="6455">
          <cell r="A6455" t="str">
            <v>FB260007824</v>
          </cell>
          <cell r="D6455" t="str">
            <v>VSS</v>
          </cell>
        </row>
        <row r="6456">
          <cell r="A6456" t="str">
            <v>FB260007825</v>
          </cell>
          <cell r="D6456" t="str">
            <v>VSS</v>
          </cell>
        </row>
        <row r="6457">
          <cell r="A6457" t="str">
            <v>FB260007826</v>
          </cell>
          <cell r="D6457" t="str">
            <v>INT1</v>
          </cell>
        </row>
        <row r="6458">
          <cell r="A6458" t="str">
            <v>FB260007828</v>
          </cell>
          <cell r="D6458" t="str">
            <v>NEX</v>
          </cell>
        </row>
        <row r="6459">
          <cell r="A6459" t="str">
            <v>FB260007830</v>
          </cell>
          <cell r="D6459" t="str">
            <v>GAP</v>
          </cell>
        </row>
        <row r="6460">
          <cell r="A6460" t="str">
            <v>FB260007831</v>
          </cell>
          <cell r="D6460" t="str">
            <v>NIK</v>
          </cell>
        </row>
        <row r="6461">
          <cell r="A6461" t="str">
            <v>FB260007832</v>
          </cell>
          <cell r="D6461" t="str">
            <v>NEX</v>
          </cell>
        </row>
        <row r="6462">
          <cell r="A6462" t="str">
            <v>FB260007833</v>
          </cell>
          <cell r="D6462" t="str">
            <v>LULU</v>
          </cell>
        </row>
        <row r="6463">
          <cell r="A6463" t="str">
            <v>FB260007838</v>
          </cell>
          <cell r="D6463" t="str">
            <v>PINK</v>
          </cell>
        </row>
        <row r="6464">
          <cell r="A6464" t="str">
            <v>FB260007839</v>
          </cell>
          <cell r="D6464" t="str">
            <v>SW</v>
          </cell>
        </row>
        <row r="6465">
          <cell r="A6465" t="str">
            <v>FB260007840</v>
          </cell>
          <cell r="D6465" t="str">
            <v>VSS</v>
          </cell>
        </row>
        <row r="6466">
          <cell r="A6466" t="str">
            <v>FB260007841</v>
          </cell>
          <cell r="D6466" t="str">
            <v>VSS</v>
          </cell>
        </row>
        <row r="6467">
          <cell r="A6467" t="str">
            <v>FB260007843</v>
          </cell>
          <cell r="D6467" t="str">
            <v>M&amp;S</v>
          </cell>
        </row>
        <row r="6468">
          <cell r="A6468" t="str">
            <v>FB260007844</v>
          </cell>
          <cell r="D6468" t="str">
            <v>M&amp;S</v>
          </cell>
        </row>
        <row r="6469">
          <cell r="A6469" t="str">
            <v>FB260007845</v>
          </cell>
          <cell r="D6469" t="str">
            <v>M&amp;S</v>
          </cell>
        </row>
        <row r="6470">
          <cell r="A6470" t="str">
            <v>FB260007846</v>
          </cell>
          <cell r="D6470" t="str">
            <v>M&amp;S</v>
          </cell>
        </row>
        <row r="6471">
          <cell r="A6471" t="str">
            <v>FB260007847</v>
          </cell>
          <cell r="D6471" t="str">
            <v>M&amp;S</v>
          </cell>
        </row>
        <row r="6472">
          <cell r="A6472" t="str">
            <v>FB260007848</v>
          </cell>
          <cell r="D6472" t="str">
            <v>M&amp;S</v>
          </cell>
        </row>
        <row r="6473">
          <cell r="A6473" t="str">
            <v>FB260007849</v>
          </cell>
          <cell r="D6473" t="str">
            <v>M&amp;S</v>
          </cell>
        </row>
        <row r="6474">
          <cell r="A6474" t="str">
            <v>FB260007850</v>
          </cell>
          <cell r="D6474" t="str">
            <v>M&amp;S</v>
          </cell>
        </row>
        <row r="6475">
          <cell r="A6475" t="str">
            <v>FB260007851</v>
          </cell>
          <cell r="D6475" t="str">
            <v>M&amp;S</v>
          </cell>
        </row>
        <row r="6476">
          <cell r="A6476" t="str">
            <v>FB260007852</v>
          </cell>
          <cell r="D6476" t="str">
            <v>CK</v>
          </cell>
        </row>
        <row r="6477">
          <cell r="A6477" t="str">
            <v>FB260007853</v>
          </cell>
          <cell r="D6477" t="str">
            <v>CK</v>
          </cell>
        </row>
        <row r="6478">
          <cell r="A6478" t="str">
            <v>FB260007854</v>
          </cell>
          <cell r="D6478" t="str">
            <v>CK</v>
          </cell>
        </row>
        <row r="6479">
          <cell r="A6479" t="str">
            <v>FB260007855</v>
          </cell>
          <cell r="D6479" t="str">
            <v>CK</v>
          </cell>
        </row>
        <row r="6480">
          <cell r="A6480" t="str">
            <v>FB260007856</v>
          </cell>
          <cell r="D6480" t="str">
            <v>CHICOS</v>
          </cell>
        </row>
        <row r="6481">
          <cell r="A6481" t="str">
            <v>FB260007857</v>
          </cell>
          <cell r="D6481" t="str">
            <v>WACE</v>
          </cell>
        </row>
        <row r="6482">
          <cell r="A6482" t="str">
            <v>FB260007858</v>
          </cell>
          <cell r="D6482" t="str">
            <v>WACE</v>
          </cell>
        </row>
        <row r="6483">
          <cell r="A6483" t="str">
            <v>FB260007859</v>
          </cell>
          <cell r="D6483" t="str">
            <v>WACE</v>
          </cell>
        </row>
        <row r="6484">
          <cell r="A6484" t="str">
            <v>FB260007861</v>
          </cell>
          <cell r="D6484" t="str">
            <v>VSS</v>
          </cell>
        </row>
        <row r="6485">
          <cell r="A6485" t="str">
            <v>FB260007862</v>
          </cell>
          <cell r="D6485" t="str">
            <v>VSS</v>
          </cell>
        </row>
        <row r="6486">
          <cell r="A6486" t="str">
            <v>FB260007863</v>
          </cell>
          <cell r="D6486" t="str">
            <v>VSS</v>
          </cell>
        </row>
        <row r="6487">
          <cell r="A6487" t="str">
            <v>FB260007864</v>
          </cell>
          <cell r="D6487" t="str">
            <v>SKI</v>
          </cell>
        </row>
        <row r="6488">
          <cell r="A6488" t="str">
            <v>FB260007865</v>
          </cell>
          <cell r="D6488" t="str">
            <v>SKI</v>
          </cell>
        </row>
        <row r="6489">
          <cell r="A6489" t="str">
            <v>FB260007866</v>
          </cell>
          <cell r="D6489" t="str">
            <v>SKI</v>
          </cell>
        </row>
        <row r="6490">
          <cell r="A6490" t="str">
            <v>FB260007867</v>
          </cell>
          <cell r="D6490" t="str">
            <v>CHICOS</v>
          </cell>
        </row>
        <row r="6491">
          <cell r="A6491" t="str">
            <v>FB260007868</v>
          </cell>
          <cell r="D6491" t="str">
            <v>CHICOS</v>
          </cell>
        </row>
        <row r="6492">
          <cell r="A6492" t="str">
            <v>FB260007870</v>
          </cell>
          <cell r="D6492" t="str">
            <v>CHICOS</v>
          </cell>
        </row>
        <row r="6493">
          <cell r="A6493" t="str">
            <v>FB260007872</v>
          </cell>
          <cell r="D6493" t="str">
            <v>LULU</v>
          </cell>
        </row>
        <row r="6494">
          <cell r="A6494" t="str">
            <v>FB260007874</v>
          </cell>
          <cell r="D6494" t="str">
            <v>VSS</v>
          </cell>
        </row>
        <row r="6495">
          <cell r="A6495" t="str">
            <v>FB260007875</v>
          </cell>
          <cell r="D6495" t="str">
            <v>PINK</v>
          </cell>
        </row>
        <row r="6496">
          <cell r="A6496" t="str">
            <v>FB260007876</v>
          </cell>
          <cell r="D6496" t="str">
            <v>LULU</v>
          </cell>
        </row>
        <row r="6497">
          <cell r="A6497" t="str">
            <v>FB260007878</v>
          </cell>
          <cell r="D6497" t="str">
            <v>VSS</v>
          </cell>
        </row>
        <row r="6498">
          <cell r="A6498" t="str">
            <v>FB260007879</v>
          </cell>
          <cell r="D6498" t="str">
            <v>LULU</v>
          </cell>
        </row>
        <row r="6499">
          <cell r="A6499" t="str">
            <v>FB260007880</v>
          </cell>
          <cell r="D6499" t="str">
            <v>WACE</v>
          </cell>
        </row>
        <row r="6500">
          <cell r="A6500" t="str">
            <v>FB260007881</v>
          </cell>
          <cell r="D6500" t="str">
            <v>SAA</v>
          </cell>
        </row>
        <row r="6501">
          <cell r="A6501" t="str">
            <v>FB260007883</v>
          </cell>
          <cell r="D6501" t="str">
            <v>WACE</v>
          </cell>
        </row>
        <row r="6502">
          <cell r="A6502" t="str">
            <v>FB260007886</v>
          </cell>
          <cell r="D6502" t="str">
            <v>VSS</v>
          </cell>
        </row>
        <row r="6503">
          <cell r="A6503" t="str">
            <v>FB260007888</v>
          </cell>
          <cell r="D6503" t="str">
            <v>VSS</v>
          </cell>
        </row>
        <row r="6504">
          <cell r="A6504" t="str">
            <v>FB260007890</v>
          </cell>
          <cell r="D6504" t="str">
            <v>NIK</v>
          </cell>
        </row>
        <row r="6505">
          <cell r="A6505" t="str">
            <v>FB260007891</v>
          </cell>
          <cell r="D6505" t="str">
            <v>CK</v>
          </cell>
        </row>
        <row r="6506">
          <cell r="A6506" t="str">
            <v>FB260007892</v>
          </cell>
          <cell r="D6506" t="str">
            <v>CK</v>
          </cell>
        </row>
        <row r="6507">
          <cell r="A6507" t="str">
            <v>FB260007893</v>
          </cell>
          <cell r="D6507" t="str">
            <v>VSS</v>
          </cell>
        </row>
        <row r="6508">
          <cell r="A6508" t="str">
            <v>FB260007894</v>
          </cell>
          <cell r="D6508" t="str">
            <v>VSS</v>
          </cell>
        </row>
        <row r="6509">
          <cell r="A6509" t="str">
            <v>FB260007895</v>
          </cell>
          <cell r="D6509" t="str">
            <v>INT1</v>
          </cell>
        </row>
        <row r="6510">
          <cell r="A6510" t="str">
            <v>FB260007896</v>
          </cell>
          <cell r="D6510" t="str">
            <v>CHICOS</v>
          </cell>
        </row>
        <row r="6511">
          <cell r="A6511" t="str">
            <v>FB260007897</v>
          </cell>
          <cell r="D6511" t="str">
            <v>VSS</v>
          </cell>
        </row>
        <row r="6512">
          <cell r="A6512" t="str">
            <v>FB260007899</v>
          </cell>
          <cell r="D6512" t="str">
            <v>VSS</v>
          </cell>
        </row>
        <row r="6513">
          <cell r="A6513" t="str">
            <v>FB260007900</v>
          </cell>
          <cell r="D6513" t="str">
            <v>LBI</v>
          </cell>
        </row>
        <row r="6514">
          <cell r="A6514" t="str">
            <v>FB260007901</v>
          </cell>
          <cell r="D6514" t="str">
            <v>M&amp;S</v>
          </cell>
        </row>
        <row r="6515">
          <cell r="A6515" t="str">
            <v>FB260007902</v>
          </cell>
          <cell r="D6515" t="str">
            <v>M&amp;S</v>
          </cell>
        </row>
        <row r="6516">
          <cell r="A6516" t="str">
            <v>FB260007903</v>
          </cell>
          <cell r="D6516" t="str">
            <v>M&amp;S</v>
          </cell>
        </row>
        <row r="6517">
          <cell r="A6517" t="str">
            <v>FB260007904</v>
          </cell>
          <cell r="D6517" t="str">
            <v>M&amp;S</v>
          </cell>
        </row>
        <row r="6518">
          <cell r="A6518" t="str">
            <v>FB260007905</v>
          </cell>
          <cell r="D6518" t="str">
            <v>M&amp;S</v>
          </cell>
        </row>
        <row r="6519">
          <cell r="A6519" t="str">
            <v>FB260007906</v>
          </cell>
          <cell r="D6519" t="str">
            <v>M&amp;S</v>
          </cell>
        </row>
        <row r="6520">
          <cell r="A6520" t="str">
            <v>FB260007907</v>
          </cell>
          <cell r="D6520" t="str">
            <v>M&amp;S</v>
          </cell>
        </row>
        <row r="6521">
          <cell r="A6521" t="str">
            <v>FB260007909</v>
          </cell>
          <cell r="D6521" t="str">
            <v>M&amp;S</v>
          </cell>
        </row>
        <row r="6522">
          <cell r="A6522" t="str">
            <v>FB260007910</v>
          </cell>
          <cell r="D6522" t="str">
            <v>CHICOS</v>
          </cell>
        </row>
        <row r="6523">
          <cell r="A6523" t="str">
            <v>FB260007911</v>
          </cell>
          <cell r="D6523" t="str">
            <v>PEP</v>
          </cell>
        </row>
        <row r="6524">
          <cell r="A6524" t="str">
            <v>FB260007912</v>
          </cell>
          <cell r="D6524" t="str">
            <v>PEP</v>
          </cell>
        </row>
        <row r="6525">
          <cell r="A6525" t="str">
            <v>FB260007913</v>
          </cell>
          <cell r="D6525" t="str">
            <v>NKSKI</v>
          </cell>
        </row>
        <row r="6526">
          <cell r="A6526" t="str">
            <v>FB260007914</v>
          </cell>
          <cell r="D6526" t="str">
            <v>VSS</v>
          </cell>
        </row>
        <row r="6527">
          <cell r="A6527" t="str">
            <v>FB260007916</v>
          </cell>
          <cell r="D6527" t="str">
            <v>VSS</v>
          </cell>
        </row>
        <row r="6528">
          <cell r="A6528" t="str">
            <v>FB260007917</v>
          </cell>
          <cell r="D6528" t="str">
            <v>CK</v>
          </cell>
        </row>
        <row r="6529">
          <cell r="A6529" t="str">
            <v>FB260007918</v>
          </cell>
          <cell r="D6529" t="str">
            <v>CHICOS</v>
          </cell>
        </row>
        <row r="6530">
          <cell r="A6530" t="str">
            <v>FB260007919</v>
          </cell>
          <cell r="D6530" t="str">
            <v>WACE</v>
          </cell>
        </row>
        <row r="6531">
          <cell r="A6531" t="str">
            <v>FB260007920</v>
          </cell>
          <cell r="D6531" t="str">
            <v>VSS</v>
          </cell>
        </row>
        <row r="6532">
          <cell r="A6532" t="str">
            <v>FB260007921</v>
          </cell>
          <cell r="D6532" t="str">
            <v>VSS</v>
          </cell>
        </row>
        <row r="6533">
          <cell r="A6533" t="str">
            <v>FB260007922</v>
          </cell>
          <cell r="D6533" t="str">
            <v>VSS</v>
          </cell>
        </row>
        <row r="6534">
          <cell r="A6534" t="str">
            <v>FB260007923</v>
          </cell>
          <cell r="D6534" t="str">
            <v>VSS</v>
          </cell>
        </row>
        <row r="6535">
          <cell r="A6535" t="str">
            <v>FB260007924</v>
          </cell>
          <cell r="D6535" t="str">
            <v>NIK</v>
          </cell>
        </row>
        <row r="6536">
          <cell r="A6536" t="str">
            <v>FB260007925</v>
          </cell>
          <cell r="D6536" t="str">
            <v>VSS</v>
          </cell>
        </row>
        <row r="6537">
          <cell r="A6537" t="str">
            <v>FB260007926</v>
          </cell>
          <cell r="D6537" t="str">
            <v>VSS</v>
          </cell>
        </row>
        <row r="6538">
          <cell r="A6538" t="str">
            <v>FB260007927</v>
          </cell>
          <cell r="D6538" t="str">
            <v>SKI</v>
          </cell>
        </row>
        <row r="6539">
          <cell r="A6539" t="str">
            <v>FB260007928</v>
          </cell>
          <cell r="D6539" t="str">
            <v>SKI</v>
          </cell>
        </row>
        <row r="6540">
          <cell r="A6540" t="str">
            <v>FB260007932</v>
          </cell>
          <cell r="D6540" t="str">
            <v>VSS</v>
          </cell>
        </row>
        <row r="6541">
          <cell r="A6541" t="str">
            <v>FB260007933</v>
          </cell>
          <cell r="D6541" t="str">
            <v>WAC</v>
          </cell>
        </row>
        <row r="6542">
          <cell r="A6542" t="str">
            <v>FB260007936</v>
          </cell>
          <cell r="D6542" t="str">
            <v>VSS</v>
          </cell>
        </row>
        <row r="6543">
          <cell r="A6543" t="str">
            <v>FB260007938</v>
          </cell>
          <cell r="D6543" t="str">
            <v>VSS</v>
          </cell>
        </row>
        <row r="6544">
          <cell r="A6544" t="str">
            <v>FB260007940</v>
          </cell>
          <cell r="D6544" t="str">
            <v>VSS</v>
          </cell>
        </row>
        <row r="6545">
          <cell r="A6545" t="str">
            <v>FB260007942</v>
          </cell>
          <cell r="D6545" t="str">
            <v>VSS</v>
          </cell>
        </row>
        <row r="6546">
          <cell r="A6546" t="str">
            <v>FB260007943</v>
          </cell>
          <cell r="D6546" t="str">
            <v>VSS</v>
          </cell>
        </row>
        <row r="6547">
          <cell r="A6547" t="str">
            <v>FB260007944</v>
          </cell>
          <cell r="D6547" t="str">
            <v>VSS</v>
          </cell>
        </row>
        <row r="6548">
          <cell r="A6548" t="str">
            <v>FB260007945</v>
          </cell>
          <cell r="D6548" t="str">
            <v>TJEL</v>
          </cell>
        </row>
        <row r="6549">
          <cell r="A6549" t="str">
            <v>FB260007947</v>
          </cell>
          <cell r="D6549" t="str">
            <v>VSS</v>
          </cell>
        </row>
        <row r="6550">
          <cell r="A6550" t="str">
            <v>FB260007948</v>
          </cell>
          <cell r="D6550" t="str">
            <v>TJEL</v>
          </cell>
        </row>
        <row r="6551">
          <cell r="A6551" t="str">
            <v>FB260007950</v>
          </cell>
          <cell r="D6551" t="str">
            <v>TJEL</v>
          </cell>
        </row>
        <row r="6552">
          <cell r="A6552" t="str">
            <v>FB260007952</v>
          </cell>
          <cell r="D6552" t="str">
            <v>TJEL</v>
          </cell>
        </row>
        <row r="6553">
          <cell r="A6553" t="str">
            <v>FB260007953</v>
          </cell>
          <cell r="D6553" t="str">
            <v>VSS</v>
          </cell>
        </row>
        <row r="6554">
          <cell r="A6554" t="str">
            <v>FB260007955</v>
          </cell>
          <cell r="D6554" t="str">
            <v>VSS</v>
          </cell>
        </row>
        <row r="6555">
          <cell r="A6555" t="str">
            <v>FB260007956</v>
          </cell>
          <cell r="D6555" t="str">
            <v>VSS</v>
          </cell>
        </row>
        <row r="6556">
          <cell r="A6556" t="str">
            <v>FB260007957</v>
          </cell>
          <cell r="D6556" t="str">
            <v>VSS</v>
          </cell>
        </row>
        <row r="6557">
          <cell r="A6557" t="str">
            <v>FB260007958</v>
          </cell>
          <cell r="D6557" t="str">
            <v>VSS</v>
          </cell>
        </row>
        <row r="6558">
          <cell r="A6558" t="str">
            <v>FB260007959</v>
          </cell>
          <cell r="D6558" t="str">
            <v>VSS</v>
          </cell>
        </row>
        <row r="6559">
          <cell r="A6559" t="str">
            <v>FB260007960</v>
          </cell>
          <cell r="D6559" t="str">
            <v>VSS</v>
          </cell>
        </row>
        <row r="6560">
          <cell r="A6560" t="str">
            <v>FB260007961</v>
          </cell>
          <cell r="D6560" t="str">
            <v>INT1</v>
          </cell>
        </row>
        <row r="6561">
          <cell r="A6561" t="str">
            <v>FB260007962</v>
          </cell>
          <cell r="D6561" t="str">
            <v>INT1</v>
          </cell>
        </row>
        <row r="6562">
          <cell r="A6562" t="str">
            <v>FB260007963</v>
          </cell>
          <cell r="D6562" t="str">
            <v>INT1</v>
          </cell>
        </row>
        <row r="6563">
          <cell r="A6563" t="str">
            <v>FB260007964</v>
          </cell>
          <cell r="D6563" t="str">
            <v>INT1</v>
          </cell>
        </row>
        <row r="6564">
          <cell r="A6564" t="str">
            <v>FB260007965</v>
          </cell>
          <cell r="D6564" t="str">
            <v>INT1</v>
          </cell>
        </row>
        <row r="6565">
          <cell r="A6565" t="str">
            <v>FB260007966</v>
          </cell>
          <cell r="D6565" t="str">
            <v>INT1</v>
          </cell>
        </row>
        <row r="6566">
          <cell r="A6566" t="str">
            <v>FB260007967</v>
          </cell>
          <cell r="D6566" t="str">
            <v>INT1</v>
          </cell>
        </row>
        <row r="6567">
          <cell r="A6567" t="str">
            <v>FB260007970</v>
          </cell>
          <cell r="D6567" t="str">
            <v>NIK</v>
          </cell>
        </row>
        <row r="6568">
          <cell r="A6568" t="str">
            <v>FB260007971</v>
          </cell>
          <cell r="D6568" t="str">
            <v>NIK</v>
          </cell>
        </row>
        <row r="6569">
          <cell r="A6569" t="str">
            <v>FB260007972</v>
          </cell>
          <cell r="D6569" t="str">
            <v>VSS</v>
          </cell>
        </row>
        <row r="6570">
          <cell r="A6570" t="str">
            <v>FB260007973</v>
          </cell>
          <cell r="D6570" t="str">
            <v>VSS</v>
          </cell>
        </row>
        <row r="6571">
          <cell r="A6571" t="str">
            <v>FB260007974</v>
          </cell>
          <cell r="D6571" t="str">
            <v>VSS</v>
          </cell>
        </row>
        <row r="6572">
          <cell r="A6572" t="str">
            <v>FB260007975</v>
          </cell>
          <cell r="D6572" t="str">
            <v>VSS</v>
          </cell>
        </row>
        <row r="6573">
          <cell r="A6573" t="str">
            <v>FB260007976</v>
          </cell>
          <cell r="D6573" t="str">
            <v>CK</v>
          </cell>
        </row>
        <row r="6574">
          <cell r="A6574" t="str">
            <v>FB260007977</v>
          </cell>
          <cell r="D6574" t="str">
            <v>CK</v>
          </cell>
        </row>
        <row r="6575">
          <cell r="A6575" t="str">
            <v>FB260007978</v>
          </cell>
          <cell r="D6575" t="str">
            <v>CK</v>
          </cell>
        </row>
        <row r="6576">
          <cell r="A6576" t="str">
            <v>FB260007979</v>
          </cell>
          <cell r="D6576" t="str">
            <v>CK</v>
          </cell>
        </row>
        <row r="6577">
          <cell r="A6577" t="str">
            <v>FB260007980</v>
          </cell>
          <cell r="D6577" t="str">
            <v>CK</v>
          </cell>
        </row>
        <row r="6578">
          <cell r="A6578" t="str">
            <v>FB260007981</v>
          </cell>
          <cell r="D6578" t="str">
            <v>CK</v>
          </cell>
        </row>
        <row r="6579">
          <cell r="A6579" t="str">
            <v>FB260007983</v>
          </cell>
          <cell r="D6579" t="str">
            <v>CK</v>
          </cell>
        </row>
        <row r="6580">
          <cell r="A6580" t="str">
            <v>FB260007985</v>
          </cell>
          <cell r="D6580" t="str">
            <v>INT1</v>
          </cell>
        </row>
        <row r="6581">
          <cell r="A6581" t="str">
            <v>FB260007986</v>
          </cell>
          <cell r="D6581" t="str">
            <v>CK</v>
          </cell>
        </row>
        <row r="6582">
          <cell r="A6582" t="str">
            <v>FB260007987</v>
          </cell>
          <cell r="D6582" t="str">
            <v>CK</v>
          </cell>
        </row>
        <row r="6583">
          <cell r="A6583" t="str">
            <v>FB260007988</v>
          </cell>
          <cell r="D6583" t="str">
            <v>CK</v>
          </cell>
        </row>
        <row r="6584">
          <cell r="A6584" t="str">
            <v>FB260007989</v>
          </cell>
          <cell r="D6584" t="str">
            <v>CHICOS</v>
          </cell>
        </row>
        <row r="6585">
          <cell r="A6585" t="str">
            <v>FB260007990</v>
          </cell>
          <cell r="D6585" t="str">
            <v>PEP</v>
          </cell>
        </row>
        <row r="6586">
          <cell r="A6586" t="str">
            <v>FB260007991</v>
          </cell>
          <cell r="D6586" t="str">
            <v>PEP</v>
          </cell>
        </row>
        <row r="6587">
          <cell r="A6587" t="str">
            <v>FB260007992</v>
          </cell>
          <cell r="D6587" t="str">
            <v>CK</v>
          </cell>
        </row>
        <row r="6588">
          <cell r="A6588" t="str">
            <v>FB260007994</v>
          </cell>
          <cell r="D6588" t="str">
            <v>CHICOS</v>
          </cell>
        </row>
        <row r="6589">
          <cell r="A6589" t="str">
            <v>FB260007996</v>
          </cell>
          <cell r="D6589" t="str">
            <v>CK</v>
          </cell>
        </row>
        <row r="6590">
          <cell r="A6590" t="str">
            <v>FB260007997</v>
          </cell>
          <cell r="D6590" t="str">
            <v>NEX</v>
          </cell>
        </row>
        <row r="6591">
          <cell r="A6591" t="str">
            <v>FB260007998</v>
          </cell>
          <cell r="D6591" t="str">
            <v>VSS</v>
          </cell>
        </row>
        <row r="6592">
          <cell r="A6592" t="str">
            <v>FB260007999</v>
          </cell>
          <cell r="D6592" t="str">
            <v>VSS</v>
          </cell>
        </row>
        <row r="6593">
          <cell r="A6593" t="str">
            <v>FB260008000</v>
          </cell>
          <cell r="D6593" t="str">
            <v>VSS</v>
          </cell>
        </row>
        <row r="6594">
          <cell r="A6594" t="str">
            <v>FB260008002</v>
          </cell>
          <cell r="D6594" t="str">
            <v>VSS</v>
          </cell>
        </row>
        <row r="6595">
          <cell r="A6595" t="str">
            <v>FB260008003</v>
          </cell>
          <cell r="D6595" t="str">
            <v>PINK</v>
          </cell>
        </row>
        <row r="6596">
          <cell r="A6596" t="str">
            <v>FB260008005</v>
          </cell>
          <cell r="D6596" t="str">
            <v>VSS</v>
          </cell>
        </row>
        <row r="6597">
          <cell r="A6597" t="str">
            <v>FB260008006</v>
          </cell>
          <cell r="D6597" t="str">
            <v>WACE</v>
          </cell>
        </row>
        <row r="6598">
          <cell r="A6598" t="str">
            <v>FB260008007</v>
          </cell>
          <cell r="D6598" t="str">
            <v>LBI</v>
          </cell>
        </row>
        <row r="6599">
          <cell r="A6599" t="str">
            <v>FB260008008</v>
          </cell>
          <cell r="D6599" t="str">
            <v>M&amp;S</v>
          </cell>
        </row>
        <row r="6600">
          <cell r="A6600" t="str">
            <v>FB260008009</v>
          </cell>
          <cell r="D6600" t="str">
            <v>M&amp;S</v>
          </cell>
        </row>
        <row r="6601">
          <cell r="A6601" t="str">
            <v>FB260008010</v>
          </cell>
          <cell r="D6601" t="str">
            <v>M&amp;S</v>
          </cell>
        </row>
        <row r="6602">
          <cell r="A6602" t="str">
            <v>FB260008011</v>
          </cell>
          <cell r="D6602" t="str">
            <v>WACE</v>
          </cell>
        </row>
        <row r="6603">
          <cell r="A6603" t="str">
            <v>FB260008012</v>
          </cell>
          <cell r="D6603" t="str">
            <v>WACE</v>
          </cell>
        </row>
        <row r="6604">
          <cell r="A6604" t="str">
            <v>FB260008014</v>
          </cell>
          <cell r="D6604" t="str">
            <v>WACE</v>
          </cell>
        </row>
        <row r="6605">
          <cell r="A6605" t="str">
            <v>FB260008015</v>
          </cell>
          <cell r="D6605" t="str">
            <v>WACE</v>
          </cell>
        </row>
        <row r="6606">
          <cell r="A6606" t="str">
            <v>FB260008016</v>
          </cell>
          <cell r="D6606" t="str">
            <v>PEP</v>
          </cell>
        </row>
        <row r="6607">
          <cell r="A6607" t="str">
            <v>FB260008017</v>
          </cell>
          <cell r="D6607" t="str">
            <v>M&amp;S</v>
          </cell>
        </row>
        <row r="6608">
          <cell r="A6608" t="str">
            <v>FB260008018</v>
          </cell>
          <cell r="D6608" t="str">
            <v>VSS</v>
          </cell>
        </row>
        <row r="6609">
          <cell r="A6609" t="str">
            <v>FB260008020</v>
          </cell>
          <cell r="D6609" t="str">
            <v>HAR</v>
          </cell>
        </row>
        <row r="6610">
          <cell r="A6610" t="str">
            <v>FB260008021</v>
          </cell>
          <cell r="D6610" t="str">
            <v>NEWB</v>
          </cell>
        </row>
        <row r="6611">
          <cell r="A6611" t="str">
            <v>FB260008022</v>
          </cell>
          <cell r="D6611" t="str">
            <v>LBI</v>
          </cell>
        </row>
        <row r="6612">
          <cell r="A6612" t="str">
            <v>FB260008023</v>
          </cell>
          <cell r="D6612" t="str">
            <v>LBI</v>
          </cell>
        </row>
        <row r="6613">
          <cell r="A6613" t="str">
            <v>FB260008024</v>
          </cell>
          <cell r="D6613" t="str">
            <v>CK</v>
          </cell>
        </row>
        <row r="6614">
          <cell r="A6614" t="str">
            <v>FB260008025</v>
          </cell>
          <cell r="D6614" t="str">
            <v>CK</v>
          </cell>
        </row>
        <row r="6615">
          <cell r="A6615" t="str">
            <v>FB260008026</v>
          </cell>
          <cell r="D6615" t="str">
            <v>WACE</v>
          </cell>
        </row>
        <row r="6616">
          <cell r="A6616" t="str">
            <v>FB260008029</v>
          </cell>
          <cell r="D6616" t="str">
            <v>VSS</v>
          </cell>
        </row>
        <row r="6617">
          <cell r="A6617" t="str">
            <v>FB260008030</v>
          </cell>
          <cell r="D6617" t="str">
            <v>VSS</v>
          </cell>
        </row>
        <row r="6618">
          <cell r="A6618" t="str">
            <v>FB260008031</v>
          </cell>
          <cell r="D6618" t="str">
            <v>VSS</v>
          </cell>
        </row>
        <row r="6619">
          <cell r="A6619" t="str">
            <v>FB260008032</v>
          </cell>
          <cell r="D6619" t="str">
            <v>VSS</v>
          </cell>
        </row>
        <row r="6620">
          <cell r="A6620" t="str">
            <v>FB260008033</v>
          </cell>
          <cell r="D6620" t="str">
            <v>VSS</v>
          </cell>
        </row>
        <row r="6621">
          <cell r="A6621" t="str">
            <v>FB260008034</v>
          </cell>
          <cell r="D6621" t="str">
            <v>VSS</v>
          </cell>
        </row>
        <row r="6622">
          <cell r="A6622" t="str">
            <v>FB260008035</v>
          </cell>
          <cell r="D6622" t="str">
            <v>VSS</v>
          </cell>
        </row>
        <row r="6623">
          <cell r="A6623" t="str">
            <v>FB260008036</v>
          </cell>
          <cell r="D6623" t="str">
            <v>WACE</v>
          </cell>
        </row>
        <row r="6624">
          <cell r="A6624" t="str">
            <v>FB260008037</v>
          </cell>
          <cell r="D6624" t="str">
            <v>CK</v>
          </cell>
        </row>
        <row r="6625">
          <cell r="A6625" t="str">
            <v>FB260008038</v>
          </cell>
          <cell r="D6625" t="str">
            <v>CHICOS</v>
          </cell>
        </row>
        <row r="6626">
          <cell r="A6626" t="str">
            <v>FB260008039</v>
          </cell>
          <cell r="D6626" t="str">
            <v>CHICOS</v>
          </cell>
        </row>
        <row r="6627">
          <cell r="A6627" t="str">
            <v>FB260008041</v>
          </cell>
          <cell r="D6627" t="str">
            <v>CHICOS</v>
          </cell>
        </row>
        <row r="6628">
          <cell r="A6628" t="str">
            <v>FB260008042</v>
          </cell>
          <cell r="D6628" t="str">
            <v>CHICOS</v>
          </cell>
        </row>
        <row r="6629">
          <cell r="A6629" t="str">
            <v>FB260008043</v>
          </cell>
          <cell r="D6629" t="str">
            <v>M&amp;S</v>
          </cell>
        </row>
        <row r="6630">
          <cell r="A6630" t="str">
            <v>FB260008045</v>
          </cell>
          <cell r="D6630" t="str">
            <v>VSS</v>
          </cell>
        </row>
        <row r="6631">
          <cell r="A6631" t="str">
            <v>FB260008046</v>
          </cell>
          <cell r="D6631" t="str">
            <v>CK</v>
          </cell>
        </row>
        <row r="6632">
          <cell r="A6632" t="str">
            <v>FB260008048</v>
          </cell>
          <cell r="D6632" t="str">
            <v>CK</v>
          </cell>
        </row>
        <row r="6633">
          <cell r="A6633" t="str">
            <v>FB260008049</v>
          </cell>
          <cell r="D6633" t="str">
            <v>VSS</v>
          </cell>
        </row>
        <row r="6634">
          <cell r="A6634" t="str">
            <v>FB260008050</v>
          </cell>
          <cell r="D6634" t="str">
            <v>PINK</v>
          </cell>
        </row>
        <row r="6635">
          <cell r="A6635" t="str">
            <v>FB260008051</v>
          </cell>
          <cell r="D6635" t="str">
            <v>PINK</v>
          </cell>
        </row>
        <row r="6636">
          <cell r="A6636" t="str">
            <v>FB260008054</v>
          </cell>
          <cell r="D6636" t="str">
            <v>VSS</v>
          </cell>
        </row>
        <row r="6637">
          <cell r="A6637" t="str">
            <v>FB260008055</v>
          </cell>
          <cell r="D6637" t="str">
            <v>INT1</v>
          </cell>
        </row>
        <row r="6638">
          <cell r="A6638" t="str">
            <v>FB260008056</v>
          </cell>
          <cell r="D6638" t="str">
            <v>INT1</v>
          </cell>
        </row>
        <row r="6639">
          <cell r="A6639" t="str">
            <v>FB260008057</v>
          </cell>
          <cell r="D6639" t="str">
            <v>INT1</v>
          </cell>
        </row>
        <row r="6640">
          <cell r="A6640" t="str">
            <v>FB260008058</v>
          </cell>
          <cell r="D6640" t="str">
            <v>INT1</v>
          </cell>
        </row>
        <row r="6641">
          <cell r="A6641" t="str">
            <v>FB260008059</v>
          </cell>
          <cell r="D6641" t="str">
            <v>VSS</v>
          </cell>
        </row>
        <row r="6642">
          <cell r="A6642" t="str">
            <v>FB260008060</v>
          </cell>
          <cell r="D6642" t="str">
            <v>CK</v>
          </cell>
        </row>
        <row r="6643">
          <cell r="A6643" t="str">
            <v>FB260008061</v>
          </cell>
          <cell r="D6643" t="str">
            <v>LULU</v>
          </cell>
        </row>
        <row r="6644">
          <cell r="A6644" t="str">
            <v>FB260008062</v>
          </cell>
          <cell r="D6644" t="str">
            <v>NIK</v>
          </cell>
        </row>
        <row r="6645">
          <cell r="A6645" t="str">
            <v>FB260008063</v>
          </cell>
          <cell r="D6645" t="str">
            <v>LULU</v>
          </cell>
        </row>
        <row r="6646">
          <cell r="A6646" t="str">
            <v>FB260008064</v>
          </cell>
          <cell r="D6646" t="str">
            <v>NKSKI</v>
          </cell>
        </row>
        <row r="6647">
          <cell r="A6647" t="str">
            <v>FB260008069</v>
          </cell>
          <cell r="D6647" t="str">
            <v>LULU</v>
          </cell>
        </row>
        <row r="6648">
          <cell r="A6648" t="str">
            <v>FB260008070</v>
          </cell>
          <cell r="D6648" t="str">
            <v>NIK</v>
          </cell>
        </row>
        <row r="6649">
          <cell r="A6649" t="str">
            <v>FB260008071</v>
          </cell>
          <cell r="D6649" t="str">
            <v>GAP</v>
          </cell>
        </row>
        <row r="6650">
          <cell r="A6650" t="str">
            <v>FB260008073</v>
          </cell>
          <cell r="D6650" t="str">
            <v>DUN</v>
          </cell>
        </row>
        <row r="6651">
          <cell r="A6651" t="str">
            <v>FB260008074</v>
          </cell>
          <cell r="D6651" t="str">
            <v>DUN</v>
          </cell>
        </row>
        <row r="6652">
          <cell r="A6652" t="str">
            <v>FB260008075</v>
          </cell>
          <cell r="D6652" t="str">
            <v>NIK</v>
          </cell>
        </row>
        <row r="6653">
          <cell r="A6653" t="str">
            <v>FB260008077</v>
          </cell>
          <cell r="D6653" t="str">
            <v>LULU</v>
          </cell>
        </row>
        <row r="6654">
          <cell r="A6654" t="str">
            <v>FB260008078</v>
          </cell>
          <cell r="D6654" t="str">
            <v>VSS</v>
          </cell>
        </row>
        <row r="6655">
          <cell r="A6655" t="str">
            <v>FB260008079</v>
          </cell>
          <cell r="D6655" t="str">
            <v>VSS</v>
          </cell>
        </row>
        <row r="6656">
          <cell r="A6656" t="str">
            <v>FB260008082</v>
          </cell>
          <cell r="D6656" t="str">
            <v>LULU</v>
          </cell>
        </row>
        <row r="6657">
          <cell r="A6657" t="str">
            <v>FB260008083</v>
          </cell>
          <cell r="D6657" t="str">
            <v>PINK</v>
          </cell>
        </row>
        <row r="6658">
          <cell r="A6658" t="str">
            <v>FB260008084</v>
          </cell>
          <cell r="D6658" t="str">
            <v>PINK</v>
          </cell>
        </row>
        <row r="6659">
          <cell r="A6659" t="str">
            <v>FB260008085</v>
          </cell>
          <cell r="D6659" t="str">
            <v>PINK</v>
          </cell>
        </row>
        <row r="6660">
          <cell r="A6660" t="str">
            <v>FB260008086</v>
          </cell>
          <cell r="D6660" t="str">
            <v>PINK</v>
          </cell>
        </row>
        <row r="6661">
          <cell r="A6661" t="str">
            <v>FB260008087</v>
          </cell>
          <cell r="D6661" t="str">
            <v>PINK</v>
          </cell>
        </row>
        <row r="6662">
          <cell r="A6662" t="str">
            <v>FB260008088</v>
          </cell>
          <cell r="D6662" t="str">
            <v>PINK</v>
          </cell>
        </row>
        <row r="6663">
          <cell r="A6663" t="str">
            <v>FB260008089</v>
          </cell>
          <cell r="D6663" t="str">
            <v>PINK</v>
          </cell>
        </row>
        <row r="6664">
          <cell r="A6664" t="str">
            <v>FB260008090</v>
          </cell>
          <cell r="D6664" t="str">
            <v>PINK</v>
          </cell>
        </row>
        <row r="6665">
          <cell r="A6665" t="str">
            <v>FB260008091</v>
          </cell>
          <cell r="D6665" t="str">
            <v>PINK</v>
          </cell>
        </row>
        <row r="6666">
          <cell r="A6666" t="str">
            <v>FB260008092</v>
          </cell>
          <cell r="D6666" t="str">
            <v>PINK</v>
          </cell>
        </row>
        <row r="6667">
          <cell r="A6667" t="str">
            <v>FB260008093</v>
          </cell>
          <cell r="D6667" t="str">
            <v>PINK</v>
          </cell>
        </row>
        <row r="6668">
          <cell r="A6668" t="str">
            <v>FB260008094</v>
          </cell>
          <cell r="D6668" t="str">
            <v>PINK</v>
          </cell>
        </row>
        <row r="6669">
          <cell r="A6669" t="str">
            <v>FB260008096</v>
          </cell>
          <cell r="D6669" t="str">
            <v>LULU</v>
          </cell>
        </row>
        <row r="6670">
          <cell r="A6670" t="str">
            <v>FB260008097</v>
          </cell>
          <cell r="D6670" t="str">
            <v>LULU</v>
          </cell>
        </row>
        <row r="6671">
          <cell r="A6671" t="str">
            <v>FB260008099</v>
          </cell>
          <cell r="D6671" t="str">
            <v>LULU</v>
          </cell>
        </row>
        <row r="6672">
          <cell r="A6672" t="str">
            <v>FB260008100</v>
          </cell>
          <cell r="D6672" t="str">
            <v>LULU</v>
          </cell>
        </row>
        <row r="6673">
          <cell r="A6673" t="str">
            <v>FB260008103</v>
          </cell>
          <cell r="D6673" t="str">
            <v>LULU</v>
          </cell>
        </row>
        <row r="6674">
          <cell r="A6674" t="str">
            <v>FB260008104</v>
          </cell>
          <cell r="D6674" t="str">
            <v>VSS</v>
          </cell>
        </row>
        <row r="6675">
          <cell r="A6675" t="str">
            <v>FB260008105</v>
          </cell>
          <cell r="D6675" t="str">
            <v>SW</v>
          </cell>
        </row>
        <row r="6676">
          <cell r="A6676" t="str">
            <v>FB260008106</v>
          </cell>
          <cell r="D6676" t="str">
            <v>WACE</v>
          </cell>
        </row>
        <row r="6677">
          <cell r="A6677" t="str">
            <v>FB260008108</v>
          </cell>
          <cell r="D6677" t="str">
            <v>SAA</v>
          </cell>
        </row>
        <row r="6678">
          <cell r="A6678" t="str">
            <v>FB260008110</v>
          </cell>
          <cell r="D6678" t="str">
            <v>VSS</v>
          </cell>
        </row>
        <row r="6679">
          <cell r="A6679" t="str">
            <v>FB260008112</v>
          </cell>
          <cell r="D6679" t="str">
            <v>VSS</v>
          </cell>
        </row>
        <row r="6680">
          <cell r="A6680" t="str">
            <v>FB260008113</v>
          </cell>
          <cell r="D6680" t="str">
            <v>VSS</v>
          </cell>
        </row>
        <row r="6681">
          <cell r="A6681" t="str">
            <v>FB260008114</v>
          </cell>
          <cell r="D6681" t="str">
            <v>VSS</v>
          </cell>
        </row>
        <row r="6682">
          <cell r="A6682" t="str">
            <v>FB260008115</v>
          </cell>
          <cell r="D6682" t="str">
            <v>CK</v>
          </cell>
        </row>
        <row r="6683">
          <cell r="A6683" t="str">
            <v>FB260008116</v>
          </cell>
          <cell r="D6683" t="str">
            <v>VSS</v>
          </cell>
        </row>
        <row r="6684">
          <cell r="A6684" t="str">
            <v>FB260008117</v>
          </cell>
          <cell r="D6684" t="str">
            <v>PINK</v>
          </cell>
        </row>
        <row r="6685">
          <cell r="A6685" t="str">
            <v>FB260008120</v>
          </cell>
          <cell r="D6685" t="str">
            <v>M&amp;S</v>
          </cell>
        </row>
        <row r="6686">
          <cell r="A6686" t="str">
            <v>FB260008122</v>
          </cell>
          <cell r="D6686" t="str">
            <v>TJEL</v>
          </cell>
        </row>
        <row r="6687">
          <cell r="A6687" t="str">
            <v>FB260008124</v>
          </cell>
          <cell r="D6687" t="str">
            <v>TJEL</v>
          </cell>
        </row>
        <row r="6688">
          <cell r="A6688" t="str">
            <v>FB260008125</v>
          </cell>
          <cell r="D6688" t="str">
            <v>TJEL</v>
          </cell>
        </row>
        <row r="6689">
          <cell r="A6689" t="str">
            <v>FB260008126</v>
          </cell>
          <cell r="D6689" t="str">
            <v>PINK</v>
          </cell>
        </row>
        <row r="6690">
          <cell r="A6690" t="str">
            <v>FB260008127</v>
          </cell>
          <cell r="D6690" t="str">
            <v>PINK</v>
          </cell>
        </row>
        <row r="6691">
          <cell r="A6691" t="str">
            <v>FB260008128</v>
          </cell>
          <cell r="D6691" t="str">
            <v>LULU</v>
          </cell>
        </row>
        <row r="6692">
          <cell r="A6692" t="str">
            <v>FB260008129</v>
          </cell>
          <cell r="D6692" t="str">
            <v>PINK</v>
          </cell>
        </row>
        <row r="6693">
          <cell r="A6693" t="str">
            <v>FB260008130</v>
          </cell>
          <cell r="D6693" t="str">
            <v>PINK</v>
          </cell>
        </row>
        <row r="6694">
          <cell r="A6694" t="str">
            <v>FB260008132</v>
          </cell>
          <cell r="D6694" t="str">
            <v>VSS</v>
          </cell>
        </row>
        <row r="6695">
          <cell r="A6695" t="str">
            <v>FB260008139</v>
          </cell>
          <cell r="D6695" t="str">
            <v>VSS</v>
          </cell>
        </row>
        <row r="6696">
          <cell r="A6696" t="str">
            <v>FB260008140</v>
          </cell>
          <cell r="D6696" t="str">
            <v>VSS</v>
          </cell>
        </row>
        <row r="6697">
          <cell r="A6697" t="str">
            <v>FB260008141</v>
          </cell>
          <cell r="D6697" t="str">
            <v>VSS</v>
          </cell>
        </row>
        <row r="6698">
          <cell r="A6698" t="str">
            <v>FB260008142</v>
          </cell>
          <cell r="D6698" t="str">
            <v>VSS</v>
          </cell>
        </row>
        <row r="6699">
          <cell r="A6699" t="str">
            <v>FB260008143</v>
          </cell>
          <cell r="D6699" t="str">
            <v>VSS</v>
          </cell>
        </row>
        <row r="6700">
          <cell r="A6700" t="str">
            <v>FB260008144</v>
          </cell>
          <cell r="D6700" t="str">
            <v>VSS</v>
          </cell>
        </row>
        <row r="6701">
          <cell r="A6701" t="str">
            <v>FB260008145</v>
          </cell>
          <cell r="D6701" t="str">
            <v>VSS</v>
          </cell>
        </row>
        <row r="6702">
          <cell r="A6702" t="str">
            <v>FB260008146</v>
          </cell>
          <cell r="D6702" t="str">
            <v>VSS</v>
          </cell>
        </row>
        <row r="6703">
          <cell r="A6703" t="str">
            <v>FB260008147</v>
          </cell>
          <cell r="D6703" t="str">
            <v>VSS</v>
          </cell>
        </row>
        <row r="6704">
          <cell r="A6704" t="str">
            <v>FB260008148</v>
          </cell>
          <cell r="D6704" t="str">
            <v>VSS</v>
          </cell>
        </row>
        <row r="6705">
          <cell r="A6705" t="str">
            <v>FB260008149</v>
          </cell>
          <cell r="D6705" t="str">
            <v>VSS</v>
          </cell>
        </row>
        <row r="6706">
          <cell r="A6706" t="str">
            <v>FB260008150</v>
          </cell>
          <cell r="D6706" t="str">
            <v>VSS</v>
          </cell>
        </row>
        <row r="6707">
          <cell r="A6707" t="str">
            <v>FB260008151</v>
          </cell>
          <cell r="D6707" t="str">
            <v>LBI</v>
          </cell>
        </row>
        <row r="6708">
          <cell r="A6708" t="str">
            <v>FB260008152</v>
          </cell>
          <cell r="D6708" t="str">
            <v>LBI</v>
          </cell>
        </row>
        <row r="6709">
          <cell r="A6709" t="str">
            <v>FB260008154</v>
          </cell>
          <cell r="D6709" t="str">
            <v>LBI</v>
          </cell>
        </row>
        <row r="6710">
          <cell r="A6710" t="str">
            <v>FB260008155</v>
          </cell>
          <cell r="D6710" t="str">
            <v>LBI</v>
          </cell>
        </row>
        <row r="6711">
          <cell r="A6711" t="str">
            <v>FB260008156</v>
          </cell>
          <cell r="D6711" t="str">
            <v>LBI</v>
          </cell>
        </row>
        <row r="6712">
          <cell r="A6712" t="str">
            <v>FB260008157</v>
          </cell>
          <cell r="D6712" t="str">
            <v>LBI</v>
          </cell>
        </row>
        <row r="6713">
          <cell r="A6713" t="str">
            <v>FB260008158</v>
          </cell>
          <cell r="D6713" t="str">
            <v>LBI</v>
          </cell>
        </row>
        <row r="6714">
          <cell r="A6714" t="str">
            <v>FB260008159</v>
          </cell>
          <cell r="D6714" t="str">
            <v>LBI</v>
          </cell>
        </row>
        <row r="6715">
          <cell r="A6715" t="str">
            <v>FB260008160</v>
          </cell>
          <cell r="D6715" t="str">
            <v>LBI</v>
          </cell>
        </row>
        <row r="6716">
          <cell r="A6716" t="str">
            <v>FB260008161</v>
          </cell>
          <cell r="D6716" t="str">
            <v>CK</v>
          </cell>
        </row>
        <row r="6717">
          <cell r="A6717" t="str">
            <v>FB260008162</v>
          </cell>
          <cell r="D6717" t="str">
            <v>WACE</v>
          </cell>
        </row>
        <row r="6718">
          <cell r="A6718" t="str">
            <v>FB260008164</v>
          </cell>
          <cell r="D6718" t="str">
            <v>CK</v>
          </cell>
        </row>
        <row r="6719">
          <cell r="A6719" t="str">
            <v>FB260008167</v>
          </cell>
          <cell r="D6719" t="str">
            <v>TEZ</v>
          </cell>
        </row>
        <row r="6720">
          <cell r="A6720" t="str">
            <v>FB260008168</v>
          </cell>
          <cell r="D6720" t="str">
            <v>INT1</v>
          </cell>
        </row>
        <row r="6721">
          <cell r="A6721" t="str">
            <v>FB260008169</v>
          </cell>
          <cell r="D6721" t="str">
            <v>INT1</v>
          </cell>
        </row>
        <row r="6722">
          <cell r="A6722" t="str">
            <v>FB260008170</v>
          </cell>
          <cell r="D6722" t="str">
            <v>VSS</v>
          </cell>
        </row>
        <row r="6723">
          <cell r="A6723" t="str">
            <v>FB260008171</v>
          </cell>
          <cell r="D6723" t="str">
            <v>VSS</v>
          </cell>
        </row>
        <row r="6724">
          <cell r="A6724" t="str">
            <v>FB260008172</v>
          </cell>
          <cell r="D6724" t="str">
            <v>WACE</v>
          </cell>
        </row>
        <row r="6725">
          <cell r="A6725" t="str">
            <v>FB260008173</v>
          </cell>
          <cell r="D6725" t="str">
            <v>CK</v>
          </cell>
        </row>
        <row r="6726">
          <cell r="A6726" t="str">
            <v>FB260008174</v>
          </cell>
          <cell r="D6726" t="str">
            <v>CHICOS</v>
          </cell>
        </row>
        <row r="6727">
          <cell r="A6727" t="str">
            <v>FB260008178</v>
          </cell>
          <cell r="D6727" t="str">
            <v>ODL</v>
          </cell>
        </row>
        <row r="6728">
          <cell r="A6728" t="str">
            <v>FB260008179</v>
          </cell>
          <cell r="D6728" t="str">
            <v>ODL</v>
          </cell>
        </row>
        <row r="6729">
          <cell r="A6729" t="str">
            <v>FB260008182</v>
          </cell>
          <cell r="D6729" t="str">
            <v>CK</v>
          </cell>
        </row>
        <row r="6730">
          <cell r="A6730" t="str">
            <v>FB260008183</v>
          </cell>
          <cell r="D6730" t="str">
            <v>M&amp;S</v>
          </cell>
        </row>
        <row r="6731">
          <cell r="A6731" t="str">
            <v>FB260008186</v>
          </cell>
          <cell r="D6731" t="str">
            <v>M&amp;S</v>
          </cell>
        </row>
        <row r="6732">
          <cell r="A6732" t="str">
            <v>FB260008187</v>
          </cell>
          <cell r="D6732" t="str">
            <v>WACE</v>
          </cell>
        </row>
        <row r="6733">
          <cell r="A6733" t="str">
            <v>FB260008188</v>
          </cell>
          <cell r="D6733" t="str">
            <v>WACE</v>
          </cell>
        </row>
        <row r="6734">
          <cell r="A6734" t="str">
            <v>FB260008189</v>
          </cell>
          <cell r="D6734" t="str">
            <v>CK</v>
          </cell>
        </row>
        <row r="6735">
          <cell r="A6735" t="str">
            <v>FB260008190</v>
          </cell>
          <cell r="D6735" t="str">
            <v>TORD</v>
          </cell>
        </row>
        <row r="6736">
          <cell r="A6736" t="str">
            <v>FB260008191</v>
          </cell>
          <cell r="D6736" t="str">
            <v>CK</v>
          </cell>
        </row>
        <row r="6737">
          <cell r="A6737" t="str">
            <v>FB260008192</v>
          </cell>
          <cell r="D6737" t="str">
            <v>LULU</v>
          </cell>
        </row>
        <row r="6738">
          <cell r="A6738" t="str">
            <v>FB260008193</v>
          </cell>
          <cell r="D6738" t="str">
            <v>VSS</v>
          </cell>
        </row>
        <row r="6739">
          <cell r="A6739" t="str">
            <v>FB260008195</v>
          </cell>
          <cell r="D6739" t="str">
            <v>VSS</v>
          </cell>
        </row>
        <row r="6740">
          <cell r="A6740" t="str">
            <v>FB260008196</v>
          </cell>
          <cell r="D6740" t="str">
            <v>M&amp;S</v>
          </cell>
        </row>
        <row r="6741">
          <cell r="A6741" t="str">
            <v>FB260008197</v>
          </cell>
          <cell r="D6741" t="str">
            <v>LULU</v>
          </cell>
        </row>
        <row r="6742">
          <cell r="A6742" t="str">
            <v>FB260008198</v>
          </cell>
          <cell r="D6742" t="str">
            <v>LULU</v>
          </cell>
        </row>
        <row r="6743">
          <cell r="A6743" t="str">
            <v>FB260008201</v>
          </cell>
          <cell r="D6743" t="str">
            <v>LULU</v>
          </cell>
        </row>
        <row r="6744">
          <cell r="A6744" t="str">
            <v>FB260008203</v>
          </cell>
          <cell r="D6744" t="str">
            <v>LULU</v>
          </cell>
        </row>
        <row r="6745">
          <cell r="A6745" t="str">
            <v>FB260008204</v>
          </cell>
          <cell r="D6745" t="str">
            <v>LULU</v>
          </cell>
        </row>
        <row r="6746">
          <cell r="A6746" t="str">
            <v>FB260008208</v>
          </cell>
          <cell r="D6746" t="str">
            <v>KOM</v>
          </cell>
        </row>
        <row r="6747">
          <cell r="A6747" t="str">
            <v>FB260008210</v>
          </cell>
          <cell r="D6747" t="str">
            <v>LULU</v>
          </cell>
        </row>
        <row r="6748">
          <cell r="A6748" t="str">
            <v>FB260008213</v>
          </cell>
          <cell r="D6748" t="str">
            <v>LBI</v>
          </cell>
        </row>
        <row r="6749">
          <cell r="A6749" t="str">
            <v>FB260008215</v>
          </cell>
          <cell r="D6749" t="str">
            <v>LBI</v>
          </cell>
        </row>
        <row r="6750">
          <cell r="A6750" t="str">
            <v>FB260008216</v>
          </cell>
          <cell r="D6750" t="str">
            <v>CK</v>
          </cell>
        </row>
        <row r="6751">
          <cell r="A6751" t="str">
            <v>FB260008217</v>
          </cell>
          <cell r="D6751" t="str">
            <v>NIK</v>
          </cell>
        </row>
        <row r="6752">
          <cell r="A6752" t="str">
            <v>FB260008218</v>
          </cell>
          <cell r="D6752" t="str">
            <v>NIK</v>
          </cell>
        </row>
        <row r="6753">
          <cell r="A6753" t="str">
            <v>FB260008219</v>
          </cell>
          <cell r="D6753" t="str">
            <v>VSS</v>
          </cell>
        </row>
        <row r="6754">
          <cell r="A6754" t="str">
            <v>FB260008220</v>
          </cell>
          <cell r="D6754" t="str">
            <v>VSS</v>
          </cell>
        </row>
        <row r="6755">
          <cell r="A6755" t="str">
            <v>FB260008221</v>
          </cell>
          <cell r="D6755" t="str">
            <v>VSS</v>
          </cell>
        </row>
        <row r="6756">
          <cell r="A6756" t="str">
            <v>FB260008222</v>
          </cell>
          <cell r="D6756" t="str">
            <v>VSS</v>
          </cell>
        </row>
        <row r="6757">
          <cell r="A6757" t="str">
            <v>FB260008223</v>
          </cell>
          <cell r="D6757" t="str">
            <v>M&amp;S</v>
          </cell>
        </row>
        <row r="6758">
          <cell r="A6758" t="str">
            <v>FB260008224</v>
          </cell>
          <cell r="D6758" t="str">
            <v>M&amp;S</v>
          </cell>
        </row>
        <row r="6759">
          <cell r="A6759" t="str">
            <v>FB260008225</v>
          </cell>
          <cell r="D6759" t="str">
            <v>GLA</v>
          </cell>
        </row>
        <row r="6760">
          <cell r="A6760" t="str">
            <v>FB260008226</v>
          </cell>
          <cell r="D6760" t="str">
            <v>GLA</v>
          </cell>
        </row>
        <row r="6761">
          <cell r="A6761" t="str">
            <v>FB260008228</v>
          </cell>
          <cell r="D6761" t="str">
            <v>M&amp;S</v>
          </cell>
        </row>
        <row r="6762">
          <cell r="A6762" t="str">
            <v>FB260008232</v>
          </cell>
          <cell r="D6762" t="str">
            <v>M&amp;S</v>
          </cell>
        </row>
        <row r="6763">
          <cell r="A6763" t="str">
            <v>FB260008235</v>
          </cell>
          <cell r="D6763" t="str">
            <v>VSS</v>
          </cell>
        </row>
        <row r="6764">
          <cell r="A6764" t="str">
            <v>FB260008237</v>
          </cell>
          <cell r="D6764" t="str">
            <v>VSS</v>
          </cell>
        </row>
        <row r="6765">
          <cell r="A6765" t="str">
            <v>FB260008239</v>
          </cell>
          <cell r="D6765" t="str">
            <v>M&amp;S</v>
          </cell>
        </row>
        <row r="6766">
          <cell r="A6766" t="str">
            <v>FB260008242</v>
          </cell>
          <cell r="D6766" t="str">
            <v>INT1</v>
          </cell>
        </row>
        <row r="6767">
          <cell r="A6767" t="str">
            <v>FB260008243</v>
          </cell>
          <cell r="D6767" t="str">
            <v>INT1</v>
          </cell>
        </row>
        <row r="6768">
          <cell r="A6768" t="str">
            <v>FB260008244</v>
          </cell>
          <cell r="D6768" t="str">
            <v>INT1</v>
          </cell>
        </row>
        <row r="6769">
          <cell r="A6769" t="str">
            <v>FB260008245</v>
          </cell>
          <cell r="D6769" t="str">
            <v>INT1</v>
          </cell>
        </row>
        <row r="6770">
          <cell r="A6770" t="str">
            <v>FB260008246</v>
          </cell>
          <cell r="D6770" t="str">
            <v>INT1</v>
          </cell>
        </row>
        <row r="6771">
          <cell r="A6771" t="str">
            <v>FB260008247</v>
          </cell>
          <cell r="D6771" t="str">
            <v>INT1</v>
          </cell>
        </row>
        <row r="6772">
          <cell r="A6772" t="str">
            <v>FB260008248</v>
          </cell>
          <cell r="D6772" t="str">
            <v>INT1</v>
          </cell>
        </row>
        <row r="6773">
          <cell r="A6773" t="str">
            <v>FB260008249</v>
          </cell>
          <cell r="D6773" t="str">
            <v>INT1</v>
          </cell>
        </row>
        <row r="6774">
          <cell r="A6774" t="str">
            <v>FB260008250</v>
          </cell>
          <cell r="D6774" t="str">
            <v>INT1</v>
          </cell>
        </row>
        <row r="6775">
          <cell r="A6775" t="str">
            <v>FB260008254</v>
          </cell>
          <cell r="D6775" t="str">
            <v>SPEE</v>
          </cell>
        </row>
        <row r="6776">
          <cell r="A6776" t="str">
            <v>FB260008256</v>
          </cell>
          <cell r="D6776" t="str">
            <v>TJEL</v>
          </cell>
        </row>
        <row r="6777">
          <cell r="A6777" t="str">
            <v>FB260008258</v>
          </cell>
          <cell r="D6777" t="str">
            <v>LULU</v>
          </cell>
        </row>
        <row r="6778">
          <cell r="A6778" t="str">
            <v>FB260008259</v>
          </cell>
          <cell r="D6778" t="str">
            <v>LULU</v>
          </cell>
        </row>
        <row r="6779">
          <cell r="A6779" t="str">
            <v>FB260008260</v>
          </cell>
          <cell r="D6779" t="str">
            <v>LULU</v>
          </cell>
        </row>
        <row r="6780">
          <cell r="A6780" t="str">
            <v>FB260008261</v>
          </cell>
          <cell r="D6780" t="str">
            <v>VSS</v>
          </cell>
        </row>
        <row r="6781">
          <cell r="A6781" t="str">
            <v>FB260008262</v>
          </cell>
          <cell r="D6781" t="str">
            <v>LULU</v>
          </cell>
        </row>
        <row r="6782">
          <cell r="A6782" t="str">
            <v>FB260008264</v>
          </cell>
          <cell r="D6782" t="str">
            <v>VSS</v>
          </cell>
        </row>
        <row r="6783">
          <cell r="A6783" t="str">
            <v>FB260008266</v>
          </cell>
          <cell r="D6783" t="str">
            <v>VSS</v>
          </cell>
        </row>
        <row r="6784">
          <cell r="A6784" t="str">
            <v>FB260008268</v>
          </cell>
          <cell r="D6784" t="str">
            <v>LULU</v>
          </cell>
        </row>
        <row r="6785">
          <cell r="A6785" t="str">
            <v>FB260008269</v>
          </cell>
          <cell r="D6785" t="str">
            <v>LULU</v>
          </cell>
        </row>
        <row r="6786">
          <cell r="A6786" t="str">
            <v>FB260008270</v>
          </cell>
          <cell r="D6786" t="str">
            <v>LULU</v>
          </cell>
        </row>
        <row r="6787">
          <cell r="A6787" t="str">
            <v>FB260008271</v>
          </cell>
          <cell r="D6787" t="str">
            <v>LULU</v>
          </cell>
        </row>
        <row r="6788">
          <cell r="A6788" t="str">
            <v>FB260008274</v>
          </cell>
          <cell r="D6788" t="str">
            <v>LULU</v>
          </cell>
        </row>
        <row r="6789">
          <cell r="A6789" t="str">
            <v>FB260008281</v>
          </cell>
          <cell r="D6789" t="str">
            <v>LBI</v>
          </cell>
        </row>
        <row r="6790">
          <cell r="A6790" t="str">
            <v>FB260008282</v>
          </cell>
          <cell r="D6790" t="str">
            <v>LBI</v>
          </cell>
        </row>
        <row r="6791">
          <cell r="A6791" t="str">
            <v>FB260008283</v>
          </cell>
          <cell r="D6791" t="str">
            <v>M&amp;S</v>
          </cell>
        </row>
        <row r="6792">
          <cell r="A6792" t="str">
            <v>FB260008284</v>
          </cell>
          <cell r="D6792" t="str">
            <v>LBI</v>
          </cell>
        </row>
        <row r="6793">
          <cell r="A6793" t="str">
            <v>FB260008285</v>
          </cell>
          <cell r="D6793" t="str">
            <v>LBI</v>
          </cell>
        </row>
        <row r="6794">
          <cell r="A6794" t="str">
            <v>FB260008286</v>
          </cell>
          <cell r="D6794" t="str">
            <v>CHICOS</v>
          </cell>
        </row>
        <row r="6795">
          <cell r="A6795" t="str">
            <v>FB260008287</v>
          </cell>
          <cell r="D6795" t="str">
            <v>CK</v>
          </cell>
        </row>
        <row r="6796">
          <cell r="A6796" t="str">
            <v>FB260008288</v>
          </cell>
          <cell r="D6796" t="str">
            <v>LBI</v>
          </cell>
        </row>
        <row r="6797">
          <cell r="A6797" t="str">
            <v>FB260008289</v>
          </cell>
          <cell r="D6797" t="str">
            <v>CHICOS</v>
          </cell>
        </row>
        <row r="6798">
          <cell r="A6798" t="str">
            <v>FB260008290</v>
          </cell>
          <cell r="D6798" t="str">
            <v>VSS</v>
          </cell>
        </row>
        <row r="6799">
          <cell r="A6799" t="str">
            <v>FB260008291</v>
          </cell>
          <cell r="D6799" t="str">
            <v>VSS</v>
          </cell>
        </row>
        <row r="6800">
          <cell r="A6800" t="str">
            <v>FB260008293</v>
          </cell>
          <cell r="D6800" t="str">
            <v>NEX</v>
          </cell>
        </row>
        <row r="6801">
          <cell r="A6801" t="str">
            <v>FB260008294</v>
          </cell>
          <cell r="D6801" t="str">
            <v>LULU</v>
          </cell>
        </row>
        <row r="6802">
          <cell r="A6802" t="str">
            <v>FB260008295</v>
          </cell>
          <cell r="D6802" t="str">
            <v>HAR</v>
          </cell>
        </row>
        <row r="6803">
          <cell r="A6803" t="str">
            <v>FB260008296</v>
          </cell>
          <cell r="D6803" t="str">
            <v>LULU</v>
          </cell>
        </row>
        <row r="6804">
          <cell r="A6804" t="str">
            <v>FB260008298</v>
          </cell>
          <cell r="D6804" t="str">
            <v>LULU</v>
          </cell>
        </row>
        <row r="6805">
          <cell r="A6805" t="str">
            <v>FB260008299</v>
          </cell>
          <cell r="D6805" t="str">
            <v>LULU</v>
          </cell>
        </row>
        <row r="6806">
          <cell r="A6806" t="str">
            <v>FB260008300</v>
          </cell>
          <cell r="D6806" t="str">
            <v>LULU</v>
          </cell>
        </row>
        <row r="6807">
          <cell r="A6807" t="str">
            <v>FB260008301</v>
          </cell>
          <cell r="D6807" t="str">
            <v>LULU</v>
          </cell>
        </row>
        <row r="6808">
          <cell r="A6808" t="str">
            <v>FB260008303</v>
          </cell>
          <cell r="D6808" t="str">
            <v>LULU</v>
          </cell>
        </row>
        <row r="6809">
          <cell r="A6809" t="str">
            <v>FB260008304</v>
          </cell>
          <cell r="D6809" t="str">
            <v>LULU</v>
          </cell>
        </row>
        <row r="6810">
          <cell r="A6810" t="str">
            <v>FB260008305</v>
          </cell>
          <cell r="D6810" t="str">
            <v>LULU</v>
          </cell>
        </row>
        <row r="6811">
          <cell r="A6811" t="str">
            <v>FB260008307</v>
          </cell>
          <cell r="D6811" t="str">
            <v>GAP</v>
          </cell>
        </row>
        <row r="6812">
          <cell r="A6812" t="str">
            <v>FB260008309</v>
          </cell>
          <cell r="D6812" t="str">
            <v>GAP</v>
          </cell>
        </row>
        <row r="6813">
          <cell r="A6813" t="str">
            <v>FB260008310</v>
          </cell>
          <cell r="D6813" t="str">
            <v>LULU</v>
          </cell>
        </row>
        <row r="6814">
          <cell r="A6814" t="str">
            <v>FB260008311</v>
          </cell>
          <cell r="D6814" t="str">
            <v>LULU</v>
          </cell>
        </row>
        <row r="6815">
          <cell r="A6815" t="str">
            <v>FB260008313</v>
          </cell>
          <cell r="D6815" t="str">
            <v>M&amp;S</v>
          </cell>
        </row>
        <row r="6816">
          <cell r="A6816" t="str">
            <v>FB260008314</v>
          </cell>
          <cell r="D6816" t="str">
            <v>M&amp;S</v>
          </cell>
        </row>
        <row r="6817">
          <cell r="A6817" t="str">
            <v>FB260008315</v>
          </cell>
          <cell r="D6817" t="str">
            <v>CK</v>
          </cell>
        </row>
        <row r="6818">
          <cell r="A6818" t="str">
            <v>FB260008316</v>
          </cell>
          <cell r="D6818" t="str">
            <v>LULU</v>
          </cell>
        </row>
        <row r="6819">
          <cell r="A6819" t="str">
            <v>FB260008317</v>
          </cell>
          <cell r="D6819" t="str">
            <v>LULU</v>
          </cell>
        </row>
        <row r="6820">
          <cell r="A6820" t="str">
            <v>FB260008319</v>
          </cell>
          <cell r="D6820" t="str">
            <v>LULU</v>
          </cell>
        </row>
        <row r="6821">
          <cell r="A6821" t="str">
            <v>FB260008320</v>
          </cell>
          <cell r="D6821" t="str">
            <v>LULU</v>
          </cell>
        </row>
        <row r="6822">
          <cell r="A6822" t="str">
            <v>FB260008321</v>
          </cell>
          <cell r="D6822" t="str">
            <v>KOM</v>
          </cell>
        </row>
        <row r="6823">
          <cell r="A6823" t="str">
            <v>FB260008322</v>
          </cell>
          <cell r="D6823" t="str">
            <v>LULU</v>
          </cell>
        </row>
        <row r="6824">
          <cell r="A6824" t="str">
            <v>FB260008323</v>
          </cell>
          <cell r="D6824" t="str">
            <v>LULU</v>
          </cell>
        </row>
        <row r="6825">
          <cell r="A6825" t="str">
            <v>FB260008324</v>
          </cell>
          <cell r="D6825" t="str">
            <v>LULU</v>
          </cell>
        </row>
        <row r="6826">
          <cell r="A6826" t="str">
            <v>FB260008325</v>
          </cell>
          <cell r="D6826" t="str">
            <v>LULU</v>
          </cell>
        </row>
        <row r="6827">
          <cell r="A6827" t="str">
            <v>FB260008327</v>
          </cell>
          <cell r="D6827" t="str">
            <v>VSS</v>
          </cell>
        </row>
        <row r="6828">
          <cell r="A6828" t="str">
            <v>FB260008328</v>
          </cell>
          <cell r="D6828" t="str">
            <v>VSS</v>
          </cell>
        </row>
        <row r="6829">
          <cell r="A6829" t="str">
            <v>FB260008329</v>
          </cell>
          <cell r="D6829" t="str">
            <v>LULU</v>
          </cell>
        </row>
        <row r="6830">
          <cell r="A6830" t="str">
            <v>FB260008330</v>
          </cell>
          <cell r="D6830" t="str">
            <v>VSS</v>
          </cell>
        </row>
        <row r="6831">
          <cell r="A6831" t="str">
            <v>FB260008331</v>
          </cell>
          <cell r="D6831" t="str">
            <v>M&amp;S</v>
          </cell>
        </row>
        <row r="6832">
          <cell r="A6832" t="str">
            <v>FB260008333</v>
          </cell>
          <cell r="D6832" t="str">
            <v>PINK</v>
          </cell>
        </row>
        <row r="6833">
          <cell r="A6833" t="str">
            <v>FB260008334</v>
          </cell>
          <cell r="D6833" t="str">
            <v>PINK</v>
          </cell>
        </row>
        <row r="6834">
          <cell r="A6834" t="str">
            <v>FB260008335</v>
          </cell>
          <cell r="D6834" t="str">
            <v>PINK</v>
          </cell>
        </row>
        <row r="6835">
          <cell r="A6835" t="str">
            <v>FB260008336</v>
          </cell>
          <cell r="D6835" t="str">
            <v>PINK</v>
          </cell>
        </row>
        <row r="6836">
          <cell r="A6836" t="str">
            <v>FB260008340</v>
          </cell>
          <cell r="D6836" t="str">
            <v>M&amp;S</v>
          </cell>
        </row>
        <row r="6837">
          <cell r="A6837" t="str">
            <v>FB260008341</v>
          </cell>
          <cell r="D6837" t="str">
            <v>M&amp;S</v>
          </cell>
        </row>
        <row r="6838">
          <cell r="A6838" t="str">
            <v>FB260008343</v>
          </cell>
          <cell r="D6838" t="str">
            <v>NKSKI</v>
          </cell>
        </row>
        <row r="6839">
          <cell r="A6839" t="str">
            <v>FB260008344</v>
          </cell>
          <cell r="D6839" t="str">
            <v>VSS</v>
          </cell>
        </row>
        <row r="6840">
          <cell r="A6840" t="str">
            <v>FB260008345</v>
          </cell>
          <cell r="D6840" t="str">
            <v>VSS</v>
          </cell>
        </row>
        <row r="6841">
          <cell r="A6841" t="str">
            <v>FB260008346</v>
          </cell>
          <cell r="D6841" t="str">
            <v>LULU</v>
          </cell>
        </row>
        <row r="6842">
          <cell r="A6842" t="str">
            <v>FB260008347</v>
          </cell>
          <cell r="D6842" t="str">
            <v>LULU</v>
          </cell>
        </row>
        <row r="6843">
          <cell r="A6843" t="str">
            <v>FB260008348</v>
          </cell>
          <cell r="D6843" t="str">
            <v>LBI</v>
          </cell>
        </row>
        <row r="6844">
          <cell r="A6844" t="str">
            <v>FB260008349</v>
          </cell>
          <cell r="D6844" t="str">
            <v>LBI</v>
          </cell>
        </row>
        <row r="6845">
          <cell r="A6845" t="str">
            <v>FB260008350</v>
          </cell>
          <cell r="D6845" t="str">
            <v>LBI</v>
          </cell>
        </row>
        <row r="6846">
          <cell r="A6846" t="str">
            <v>FB260008351</v>
          </cell>
          <cell r="D6846" t="str">
            <v>M&amp;S</v>
          </cell>
        </row>
        <row r="6847">
          <cell r="A6847" t="str">
            <v>FB260008354</v>
          </cell>
          <cell r="D6847" t="str">
            <v>INT1</v>
          </cell>
        </row>
        <row r="6848">
          <cell r="A6848" t="str">
            <v>FB260008355</v>
          </cell>
          <cell r="D6848" t="str">
            <v>INT1</v>
          </cell>
        </row>
        <row r="6849">
          <cell r="A6849" t="str">
            <v>FB260008356</v>
          </cell>
          <cell r="D6849" t="str">
            <v>INT1</v>
          </cell>
        </row>
        <row r="6850">
          <cell r="A6850" t="str">
            <v>FB260008357</v>
          </cell>
          <cell r="D6850" t="str">
            <v>INT1</v>
          </cell>
        </row>
        <row r="6851">
          <cell r="A6851" t="str">
            <v>FB260008359</v>
          </cell>
          <cell r="D6851" t="str">
            <v>VSS</v>
          </cell>
        </row>
        <row r="6852">
          <cell r="A6852" t="str">
            <v>FB260008360</v>
          </cell>
          <cell r="D6852" t="str">
            <v>M&amp;S</v>
          </cell>
        </row>
        <row r="6853">
          <cell r="A6853" t="str">
            <v>FB260008363</v>
          </cell>
          <cell r="D6853" t="str">
            <v>M&amp;S</v>
          </cell>
        </row>
        <row r="6854">
          <cell r="A6854" t="str">
            <v>FB260008365</v>
          </cell>
          <cell r="D6854" t="str">
            <v>VSS</v>
          </cell>
        </row>
        <row r="6855">
          <cell r="A6855" t="str">
            <v>FB260008366</v>
          </cell>
          <cell r="D6855" t="str">
            <v>VSS</v>
          </cell>
        </row>
        <row r="6856">
          <cell r="A6856" t="str">
            <v>FB260008367</v>
          </cell>
          <cell r="D6856" t="str">
            <v>VSS</v>
          </cell>
        </row>
        <row r="6857">
          <cell r="A6857" t="str">
            <v>FB260008368</v>
          </cell>
          <cell r="D6857" t="str">
            <v>VSS</v>
          </cell>
        </row>
        <row r="6858">
          <cell r="A6858" t="str">
            <v>FB260008369</v>
          </cell>
          <cell r="D6858" t="str">
            <v>VSS</v>
          </cell>
        </row>
        <row r="6859">
          <cell r="A6859" t="str">
            <v>FB260008370</v>
          </cell>
          <cell r="D6859" t="str">
            <v>VSS</v>
          </cell>
        </row>
        <row r="6860">
          <cell r="A6860" t="str">
            <v>FB260008371</v>
          </cell>
          <cell r="D6860" t="str">
            <v>VSS</v>
          </cell>
        </row>
        <row r="6861">
          <cell r="A6861" t="str">
            <v>FB260008372</v>
          </cell>
          <cell r="D6861" t="str">
            <v>VSS</v>
          </cell>
        </row>
        <row r="6862">
          <cell r="A6862" t="str">
            <v>FB260008373</v>
          </cell>
          <cell r="D6862" t="str">
            <v>VSS</v>
          </cell>
        </row>
        <row r="6863">
          <cell r="A6863" t="str">
            <v>FB260008375</v>
          </cell>
          <cell r="D6863" t="str">
            <v>LBI</v>
          </cell>
        </row>
        <row r="6864">
          <cell r="A6864" t="str">
            <v>FB260008376</v>
          </cell>
          <cell r="D6864" t="str">
            <v>LBI</v>
          </cell>
        </row>
        <row r="6865">
          <cell r="A6865" t="str">
            <v>FB260008377</v>
          </cell>
          <cell r="D6865" t="str">
            <v>LULU</v>
          </cell>
        </row>
        <row r="6866">
          <cell r="A6866" t="str">
            <v>FB260008378</v>
          </cell>
          <cell r="D6866" t="str">
            <v>PINK</v>
          </cell>
        </row>
        <row r="6867">
          <cell r="A6867" t="str">
            <v>FB260008379</v>
          </cell>
          <cell r="D6867" t="str">
            <v>PINK</v>
          </cell>
        </row>
        <row r="6868">
          <cell r="A6868" t="str">
            <v>FB260008380</v>
          </cell>
          <cell r="D6868" t="str">
            <v>PINK</v>
          </cell>
        </row>
        <row r="6869">
          <cell r="A6869" t="str">
            <v>FB260008381</v>
          </cell>
          <cell r="D6869" t="str">
            <v>PINK</v>
          </cell>
        </row>
        <row r="6870">
          <cell r="A6870" t="str">
            <v>FB260008382</v>
          </cell>
          <cell r="D6870" t="str">
            <v>PINK</v>
          </cell>
        </row>
        <row r="6871">
          <cell r="A6871" t="str">
            <v>FB260008383</v>
          </cell>
          <cell r="D6871" t="str">
            <v>PINK</v>
          </cell>
        </row>
        <row r="6872">
          <cell r="A6872" t="str">
            <v>FB260008384</v>
          </cell>
          <cell r="D6872" t="str">
            <v>PINK</v>
          </cell>
        </row>
        <row r="6873">
          <cell r="A6873" t="str">
            <v>FB260008385</v>
          </cell>
          <cell r="D6873" t="str">
            <v>PINK</v>
          </cell>
        </row>
        <row r="6874">
          <cell r="A6874" t="str">
            <v>FB260008386</v>
          </cell>
          <cell r="D6874" t="str">
            <v>PINK</v>
          </cell>
        </row>
        <row r="6875">
          <cell r="A6875" t="str">
            <v>FB260008387</v>
          </cell>
          <cell r="D6875" t="str">
            <v>PINK</v>
          </cell>
        </row>
        <row r="6876">
          <cell r="A6876" t="str">
            <v>FB260008388</v>
          </cell>
          <cell r="D6876" t="str">
            <v>PINK</v>
          </cell>
        </row>
        <row r="6877">
          <cell r="A6877" t="str">
            <v>FB260008389</v>
          </cell>
          <cell r="D6877" t="str">
            <v>PINK</v>
          </cell>
        </row>
        <row r="6878">
          <cell r="A6878" t="str">
            <v>FB260008390</v>
          </cell>
          <cell r="D6878" t="str">
            <v>PINK</v>
          </cell>
        </row>
        <row r="6879">
          <cell r="A6879" t="str">
            <v>FB260008391</v>
          </cell>
          <cell r="D6879" t="str">
            <v>PINK</v>
          </cell>
        </row>
        <row r="6880">
          <cell r="A6880" t="str">
            <v>FB260008392</v>
          </cell>
          <cell r="D6880" t="str">
            <v>PINK</v>
          </cell>
        </row>
        <row r="6881">
          <cell r="A6881" t="str">
            <v>FB260008393</v>
          </cell>
          <cell r="D6881" t="str">
            <v>PINK</v>
          </cell>
        </row>
        <row r="6882">
          <cell r="A6882" t="str">
            <v>FB260008394</v>
          </cell>
          <cell r="D6882" t="str">
            <v>PINK</v>
          </cell>
        </row>
        <row r="6883">
          <cell r="A6883" t="str">
            <v>FB260008395</v>
          </cell>
          <cell r="D6883" t="str">
            <v>PINK</v>
          </cell>
        </row>
        <row r="6884">
          <cell r="A6884" t="str">
            <v>FB260008396</v>
          </cell>
          <cell r="D6884" t="str">
            <v>PINK</v>
          </cell>
        </row>
        <row r="6885">
          <cell r="A6885" t="str">
            <v>FB260008397</v>
          </cell>
          <cell r="D6885" t="str">
            <v>PINK</v>
          </cell>
        </row>
        <row r="6886">
          <cell r="A6886" t="str">
            <v>FB260008402</v>
          </cell>
          <cell r="D6886" t="str">
            <v>PINK</v>
          </cell>
        </row>
        <row r="6887">
          <cell r="A6887" t="str">
            <v>FB260008404</v>
          </cell>
          <cell r="D6887" t="str">
            <v>VSS</v>
          </cell>
        </row>
        <row r="6888">
          <cell r="A6888" t="str">
            <v>FB260008406</v>
          </cell>
          <cell r="D6888" t="str">
            <v>VSS</v>
          </cell>
        </row>
        <row r="6889">
          <cell r="A6889" t="str">
            <v>FB260008408</v>
          </cell>
          <cell r="D6889" t="str">
            <v>VSS</v>
          </cell>
        </row>
        <row r="6890">
          <cell r="A6890" t="str">
            <v>FB260008409</v>
          </cell>
          <cell r="D6890" t="str">
            <v>VSS</v>
          </cell>
        </row>
        <row r="6891">
          <cell r="A6891" t="str">
            <v>FB260008411</v>
          </cell>
          <cell r="D6891" t="str">
            <v>LULU</v>
          </cell>
        </row>
        <row r="6892">
          <cell r="A6892" t="str">
            <v>FB260008412</v>
          </cell>
          <cell r="D6892" t="str">
            <v>PINK</v>
          </cell>
        </row>
        <row r="6893">
          <cell r="A6893" t="str">
            <v>FB260008414</v>
          </cell>
          <cell r="D6893" t="str">
            <v>PINK</v>
          </cell>
        </row>
        <row r="6894">
          <cell r="A6894" t="str">
            <v>FB260008415</v>
          </cell>
          <cell r="D6894" t="str">
            <v>PINK</v>
          </cell>
        </row>
        <row r="6895">
          <cell r="A6895" t="str">
            <v>FB260008416</v>
          </cell>
          <cell r="D6895" t="str">
            <v>PINK</v>
          </cell>
        </row>
        <row r="6896">
          <cell r="A6896" t="str">
            <v>FB260008417</v>
          </cell>
          <cell r="D6896" t="str">
            <v>PINK</v>
          </cell>
        </row>
        <row r="6897">
          <cell r="A6897" t="str">
            <v>FB260008418</v>
          </cell>
          <cell r="D6897" t="str">
            <v>PINK</v>
          </cell>
        </row>
        <row r="6898">
          <cell r="A6898" t="str">
            <v>FB260008419</v>
          </cell>
          <cell r="D6898" t="str">
            <v>PINK</v>
          </cell>
        </row>
        <row r="6899">
          <cell r="A6899" t="str">
            <v>FB260008420</v>
          </cell>
          <cell r="D6899" t="str">
            <v>PINK</v>
          </cell>
        </row>
        <row r="6900">
          <cell r="A6900" t="str">
            <v>FB260008423</v>
          </cell>
          <cell r="D6900" t="str">
            <v>PINK</v>
          </cell>
        </row>
        <row r="6901">
          <cell r="A6901" t="str">
            <v>FB260008429</v>
          </cell>
          <cell r="D6901" t="str">
            <v>PINK</v>
          </cell>
        </row>
        <row r="6902">
          <cell r="A6902" t="str">
            <v>FB260008430</v>
          </cell>
          <cell r="D6902" t="str">
            <v>PINK</v>
          </cell>
        </row>
        <row r="6903">
          <cell r="A6903" t="str">
            <v>FB260008432</v>
          </cell>
          <cell r="D6903" t="str">
            <v>CK</v>
          </cell>
        </row>
        <row r="6904">
          <cell r="A6904" t="str">
            <v>FB260008436</v>
          </cell>
          <cell r="D6904" t="str">
            <v>ASIC</v>
          </cell>
        </row>
        <row r="6905">
          <cell r="A6905" t="str">
            <v>FB260008437</v>
          </cell>
          <cell r="D6905" t="str">
            <v>VSS</v>
          </cell>
        </row>
        <row r="6906">
          <cell r="A6906" t="str">
            <v>FB260008438</v>
          </cell>
          <cell r="D6906" t="str">
            <v>CHICOS</v>
          </cell>
        </row>
        <row r="6907">
          <cell r="A6907" t="str">
            <v>FB260008440</v>
          </cell>
          <cell r="D6907" t="str">
            <v>LULU</v>
          </cell>
        </row>
        <row r="6908">
          <cell r="A6908" t="str">
            <v>FB260008441</v>
          </cell>
          <cell r="D6908" t="str">
            <v>LULU</v>
          </cell>
        </row>
        <row r="6909">
          <cell r="A6909" t="str">
            <v>FB260008442</v>
          </cell>
          <cell r="D6909" t="str">
            <v>VSS</v>
          </cell>
        </row>
        <row r="6910">
          <cell r="A6910" t="str">
            <v>FB260008443</v>
          </cell>
          <cell r="D6910" t="str">
            <v>VSS</v>
          </cell>
        </row>
        <row r="6911">
          <cell r="A6911" t="str">
            <v>FB260008444</v>
          </cell>
          <cell r="D6911" t="str">
            <v>VSS</v>
          </cell>
        </row>
        <row r="6912">
          <cell r="A6912" t="str">
            <v>FB260008445</v>
          </cell>
          <cell r="D6912" t="str">
            <v>VSS</v>
          </cell>
        </row>
        <row r="6913">
          <cell r="A6913" t="str">
            <v>FB260008446</v>
          </cell>
          <cell r="D6913" t="str">
            <v>VSS</v>
          </cell>
        </row>
        <row r="6914">
          <cell r="A6914" t="str">
            <v>FB260008447</v>
          </cell>
          <cell r="D6914" t="str">
            <v>VSS</v>
          </cell>
        </row>
        <row r="6915">
          <cell r="A6915" t="str">
            <v>FB260008448</v>
          </cell>
          <cell r="D6915" t="str">
            <v>PINK</v>
          </cell>
        </row>
        <row r="6916">
          <cell r="A6916" t="str">
            <v>FB260008449</v>
          </cell>
          <cell r="D6916" t="str">
            <v>PINK</v>
          </cell>
        </row>
        <row r="6917">
          <cell r="A6917" t="str">
            <v>FB260008451</v>
          </cell>
          <cell r="D6917" t="str">
            <v>PINK</v>
          </cell>
        </row>
        <row r="6918">
          <cell r="A6918" t="str">
            <v>FB260008452</v>
          </cell>
          <cell r="D6918" t="str">
            <v>PINK</v>
          </cell>
        </row>
        <row r="6919">
          <cell r="A6919" t="str">
            <v>FB260008453</v>
          </cell>
          <cell r="D6919" t="str">
            <v>PINK</v>
          </cell>
        </row>
        <row r="6920">
          <cell r="A6920" t="str">
            <v>FB260008454</v>
          </cell>
          <cell r="D6920" t="str">
            <v>PINK</v>
          </cell>
        </row>
        <row r="6921">
          <cell r="A6921" t="str">
            <v>FB260008455</v>
          </cell>
          <cell r="D6921" t="str">
            <v>PINK</v>
          </cell>
        </row>
        <row r="6922">
          <cell r="A6922" t="str">
            <v>FB260008456</v>
          </cell>
          <cell r="D6922" t="str">
            <v>PINK</v>
          </cell>
        </row>
        <row r="6923">
          <cell r="A6923" t="str">
            <v>FB260008457</v>
          </cell>
          <cell r="D6923" t="str">
            <v>PINK</v>
          </cell>
        </row>
        <row r="6924">
          <cell r="A6924" t="str">
            <v>FB260008458</v>
          </cell>
          <cell r="D6924" t="str">
            <v>PINK</v>
          </cell>
        </row>
        <row r="6925">
          <cell r="A6925" t="str">
            <v>FB260008459</v>
          </cell>
          <cell r="D6925" t="str">
            <v>PINK</v>
          </cell>
        </row>
        <row r="6926">
          <cell r="A6926" t="str">
            <v>FB260008461</v>
          </cell>
          <cell r="D6926" t="str">
            <v>PINK</v>
          </cell>
        </row>
        <row r="6927">
          <cell r="A6927" t="str">
            <v>FB260008462</v>
          </cell>
          <cell r="D6927" t="str">
            <v>PINK</v>
          </cell>
        </row>
        <row r="6928">
          <cell r="A6928" t="str">
            <v>FB260008463</v>
          </cell>
          <cell r="D6928" t="str">
            <v>TJEL</v>
          </cell>
        </row>
        <row r="6929">
          <cell r="A6929" t="str">
            <v>FB260008464</v>
          </cell>
          <cell r="D6929" t="str">
            <v>CK</v>
          </cell>
        </row>
        <row r="6930">
          <cell r="A6930" t="str">
            <v>FB260008465</v>
          </cell>
          <cell r="D6930" t="str">
            <v>PINK</v>
          </cell>
        </row>
        <row r="6931">
          <cell r="A6931" t="str">
            <v>FB260008466</v>
          </cell>
          <cell r="D6931" t="str">
            <v>TORD</v>
          </cell>
        </row>
        <row r="6932">
          <cell r="A6932" t="str">
            <v>FB260008467</v>
          </cell>
          <cell r="D6932" t="str">
            <v>PINK</v>
          </cell>
        </row>
        <row r="6933">
          <cell r="A6933" t="str">
            <v>FB260008470</v>
          </cell>
          <cell r="D6933" t="str">
            <v>PINK</v>
          </cell>
        </row>
        <row r="6934">
          <cell r="A6934" t="str">
            <v>FB260008473</v>
          </cell>
          <cell r="D6934" t="str">
            <v>PINK</v>
          </cell>
        </row>
        <row r="6935">
          <cell r="A6935" t="str">
            <v>FB260008475</v>
          </cell>
          <cell r="D6935" t="str">
            <v>VSS</v>
          </cell>
        </row>
        <row r="6936">
          <cell r="A6936" t="str">
            <v>FB260008476</v>
          </cell>
          <cell r="D6936" t="str">
            <v>PINK</v>
          </cell>
        </row>
        <row r="6937">
          <cell r="A6937" t="str">
            <v>FB260008477</v>
          </cell>
          <cell r="D6937" t="str">
            <v>CK</v>
          </cell>
        </row>
        <row r="6938">
          <cell r="A6938" t="str">
            <v>FB260008478</v>
          </cell>
          <cell r="D6938" t="str">
            <v>PINK</v>
          </cell>
        </row>
        <row r="6939">
          <cell r="A6939" t="str">
            <v>FB260008479</v>
          </cell>
          <cell r="D6939" t="str">
            <v>PINK</v>
          </cell>
        </row>
        <row r="6940">
          <cell r="A6940" t="str">
            <v>FB260008481</v>
          </cell>
          <cell r="D6940" t="str">
            <v>PINK</v>
          </cell>
        </row>
        <row r="6941">
          <cell r="A6941" t="str">
            <v>FB260008482</v>
          </cell>
          <cell r="D6941" t="str">
            <v>PINK</v>
          </cell>
        </row>
        <row r="6942">
          <cell r="A6942" t="str">
            <v>FB260008483</v>
          </cell>
          <cell r="D6942" t="str">
            <v>PINK</v>
          </cell>
        </row>
        <row r="6943">
          <cell r="A6943" t="str">
            <v>FB260008484</v>
          </cell>
          <cell r="D6943" t="str">
            <v>PINK</v>
          </cell>
        </row>
        <row r="6944">
          <cell r="A6944" t="str">
            <v>FB260008485</v>
          </cell>
          <cell r="D6944" t="str">
            <v>PINK</v>
          </cell>
        </row>
        <row r="6945">
          <cell r="A6945" t="str">
            <v>FB260008489</v>
          </cell>
          <cell r="D6945" t="str">
            <v>M&amp;S</v>
          </cell>
        </row>
        <row r="6946">
          <cell r="A6946" t="str">
            <v>FB260008490</v>
          </cell>
          <cell r="D6946" t="str">
            <v>M&amp;S</v>
          </cell>
        </row>
        <row r="6947">
          <cell r="A6947" t="str">
            <v>FB260008491</v>
          </cell>
          <cell r="D6947" t="str">
            <v>M&amp;S</v>
          </cell>
        </row>
        <row r="6948">
          <cell r="A6948" t="str">
            <v>FB260008492</v>
          </cell>
          <cell r="D6948" t="str">
            <v>M&amp;S</v>
          </cell>
        </row>
        <row r="6949">
          <cell r="A6949" t="str">
            <v>FB260008493</v>
          </cell>
          <cell r="D6949" t="str">
            <v>LULU</v>
          </cell>
        </row>
        <row r="6950">
          <cell r="A6950" t="str">
            <v>FB260008494</v>
          </cell>
          <cell r="D6950" t="str">
            <v>LULU</v>
          </cell>
        </row>
        <row r="6951">
          <cell r="A6951" t="str">
            <v>FB260008495</v>
          </cell>
          <cell r="D6951" t="str">
            <v>LULU</v>
          </cell>
        </row>
        <row r="6952">
          <cell r="A6952" t="str">
            <v>FB260008496</v>
          </cell>
          <cell r="D6952" t="str">
            <v>LULU</v>
          </cell>
        </row>
        <row r="6953">
          <cell r="A6953" t="str">
            <v>FB260008497</v>
          </cell>
          <cell r="D6953" t="str">
            <v>LULU</v>
          </cell>
        </row>
        <row r="6954">
          <cell r="A6954" t="str">
            <v>FB260008498</v>
          </cell>
          <cell r="D6954" t="str">
            <v>M&amp;S</v>
          </cell>
        </row>
        <row r="6955">
          <cell r="A6955" t="str">
            <v>FB260008499</v>
          </cell>
          <cell r="D6955" t="str">
            <v>M&amp;S</v>
          </cell>
        </row>
        <row r="6956">
          <cell r="A6956" t="str">
            <v>FB260008500</v>
          </cell>
          <cell r="D6956" t="str">
            <v>M&amp;S</v>
          </cell>
        </row>
        <row r="6957">
          <cell r="A6957" t="str">
            <v>FB260008501</v>
          </cell>
          <cell r="D6957" t="str">
            <v>M&amp;S</v>
          </cell>
        </row>
        <row r="6958">
          <cell r="A6958" t="str">
            <v>FB260008502</v>
          </cell>
          <cell r="D6958" t="str">
            <v>M&amp;S</v>
          </cell>
        </row>
        <row r="6959">
          <cell r="A6959" t="str">
            <v>FB260008503</v>
          </cell>
          <cell r="D6959" t="str">
            <v>M&amp;S</v>
          </cell>
        </row>
        <row r="6960">
          <cell r="A6960" t="str">
            <v>FB260008505</v>
          </cell>
          <cell r="D6960" t="str">
            <v>LULU</v>
          </cell>
        </row>
        <row r="6961">
          <cell r="A6961" t="str">
            <v>FB260008506</v>
          </cell>
          <cell r="D6961" t="str">
            <v>LBI</v>
          </cell>
        </row>
        <row r="6962">
          <cell r="A6962" t="str">
            <v>FB260008507</v>
          </cell>
          <cell r="D6962" t="str">
            <v>M&amp;S</v>
          </cell>
        </row>
        <row r="6963">
          <cell r="A6963" t="str">
            <v>FB260008508</v>
          </cell>
          <cell r="D6963" t="str">
            <v>M&amp;S</v>
          </cell>
        </row>
        <row r="6964">
          <cell r="A6964" t="str">
            <v>FB260008509</v>
          </cell>
          <cell r="D6964" t="str">
            <v>M&amp;S</v>
          </cell>
        </row>
        <row r="6965">
          <cell r="A6965" t="str">
            <v>FB260008510</v>
          </cell>
          <cell r="D6965" t="str">
            <v>CK</v>
          </cell>
        </row>
        <row r="6966">
          <cell r="A6966" t="str">
            <v>FB260008511</v>
          </cell>
          <cell r="D6966" t="str">
            <v>CHICOS</v>
          </cell>
        </row>
        <row r="6967">
          <cell r="A6967" t="str">
            <v>FB260008512</v>
          </cell>
          <cell r="D6967" t="str">
            <v>CK</v>
          </cell>
        </row>
        <row r="6968">
          <cell r="A6968" t="str">
            <v>FB260008513</v>
          </cell>
          <cell r="D6968" t="str">
            <v>CK</v>
          </cell>
        </row>
        <row r="6969">
          <cell r="A6969" t="str">
            <v>FB260008514</v>
          </cell>
          <cell r="D6969" t="str">
            <v>CHICOS</v>
          </cell>
        </row>
        <row r="6970">
          <cell r="A6970" t="str">
            <v>FB260008515</v>
          </cell>
          <cell r="D6970" t="str">
            <v>M&amp;S</v>
          </cell>
        </row>
        <row r="6971">
          <cell r="A6971" t="str">
            <v>FB260008516</v>
          </cell>
          <cell r="D6971" t="str">
            <v>CHICOS</v>
          </cell>
        </row>
        <row r="6972">
          <cell r="A6972" t="str">
            <v>FB260008517</v>
          </cell>
          <cell r="D6972" t="str">
            <v>CHICOS</v>
          </cell>
        </row>
        <row r="6973">
          <cell r="A6973" t="str">
            <v>FB260008518</v>
          </cell>
          <cell r="D6973" t="str">
            <v>CHICOS</v>
          </cell>
        </row>
        <row r="6974">
          <cell r="A6974" t="str">
            <v>FB260008519</v>
          </cell>
          <cell r="D6974" t="str">
            <v>CHICOS</v>
          </cell>
        </row>
        <row r="6975">
          <cell r="A6975" t="str">
            <v>FB260008520</v>
          </cell>
          <cell r="D6975" t="str">
            <v>WACE</v>
          </cell>
        </row>
        <row r="6976">
          <cell r="A6976" t="str">
            <v>FB260008522</v>
          </cell>
          <cell r="D6976" t="str">
            <v>CK</v>
          </cell>
        </row>
        <row r="6977">
          <cell r="A6977" t="str">
            <v>FB260008523</v>
          </cell>
          <cell r="D6977" t="str">
            <v>NIK</v>
          </cell>
        </row>
        <row r="6978">
          <cell r="A6978" t="str">
            <v>FB260008524</v>
          </cell>
          <cell r="D6978" t="str">
            <v>TORD</v>
          </cell>
        </row>
        <row r="6979">
          <cell r="A6979" t="str">
            <v>FB260008525</v>
          </cell>
          <cell r="D6979" t="str">
            <v>LULU</v>
          </cell>
        </row>
        <row r="6980">
          <cell r="A6980" t="str">
            <v>FB260008526</v>
          </cell>
          <cell r="D6980" t="str">
            <v>NIK</v>
          </cell>
        </row>
        <row r="6981">
          <cell r="A6981" t="str">
            <v>FB260008527</v>
          </cell>
          <cell r="D6981" t="str">
            <v>CHICOS</v>
          </cell>
        </row>
        <row r="6982">
          <cell r="A6982" t="str">
            <v>FB260008528</v>
          </cell>
          <cell r="D6982" t="str">
            <v>VSS</v>
          </cell>
        </row>
        <row r="6983">
          <cell r="A6983" t="str">
            <v>FB260008529</v>
          </cell>
          <cell r="D6983" t="str">
            <v>LULU</v>
          </cell>
        </row>
        <row r="6984">
          <cell r="A6984" t="str">
            <v>FB260008530</v>
          </cell>
          <cell r="D6984" t="str">
            <v>LULU</v>
          </cell>
        </row>
        <row r="6985">
          <cell r="A6985" t="str">
            <v>FB260008531</v>
          </cell>
          <cell r="D6985" t="str">
            <v>VSS</v>
          </cell>
        </row>
        <row r="6986">
          <cell r="A6986" t="str">
            <v>FB260008532</v>
          </cell>
          <cell r="D6986" t="str">
            <v>LULU</v>
          </cell>
        </row>
        <row r="6987">
          <cell r="A6987" t="str">
            <v>FB260008533</v>
          </cell>
          <cell r="D6987" t="str">
            <v>LULU</v>
          </cell>
        </row>
        <row r="6988">
          <cell r="A6988" t="str">
            <v>FB260008534</v>
          </cell>
          <cell r="D6988" t="str">
            <v>VSS</v>
          </cell>
        </row>
        <row r="6989">
          <cell r="A6989" t="str">
            <v>FB260008535</v>
          </cell>
          <cell r="D6989" t="str">
            <v>VSS</v>
          </cell>
        </row>
        <row r="6990">
          <cell r="A6990" t="str">
            <v>FB260008536</v>
          </cell>
          <cell r="D6990" t="str">
            <v>VSS</v>
          </cell>
        </row>
        <row r="6991">
          <cell r="A6991" t="str">
            <v>FB260008537</v>
          </cell>
          <cell r="D6991" t="str">
            <v>VSS</v>
          </cell>
        </row>
        <row r="6992">
          <cell r="A6992" t="str">
            <v>FB260008538</v>
          </cell>
          <cell r="D6992" t="str">
            <v>VSS</v>
          </cell>
        </row>
        <row r="6993">
          <cell r="A6993" t="str">
            <v>FB260008539</v>
          </cell>
          <cell r="D6993" t="str">
            <v>CK</v>
          </cell>
        </row>
        <row r="6994">
          <cell r="A6994" t="str">
            <v>FB260008540</v>
          </cell>
          <cell r="D6994" t="str">
            <v>CK</v>
          </cell>
        </row>
        <row r="6995">
          <cell r="A6995" t="str">
            <v>FB260008541</v>
          </cell>
          <cell r="D6995" t="str">
            <v>NIK</v>
          </cell>
        </row>
        <row r="6996">
          <cell r="A6996" t="str">
            <v>FB260008542</v>
          </cell>
          <cell r="D6996" t="str">
            <v>VSS</v>
          </cell>
        </row>
        <row r="6997">
          <cell r="A6997" t="str">
            <v>FB260008543</v>
          </cell>
          <cell r="D6997" t="str">
            <v>VSS</v>
          </cell>
        </row>
        <row r="6998">
          <cell r="A6998" t="str">
            <v>FB260008544</v>
          </cell>
          <cell r="D6998" t="str">
            <v>LULU</v>
          </cell>
        </row>
        <row r="6999">
          <cell r="A6999" t="str">
            <v>FB260008545</v>
          </cell>
          <cell r="D6999" t="str">
            <v>PINK</v>
          </cell>
        </row>
        <row r="7000">
          <cell r="A7000" t="str">
            <v>FB260008546</v>
          </cell>
          <cell r="D7000" t="str">
            <v>PINK</v>
          </cell>
        </row>
        <row r="7001">
          <cell r="A7001" t="str">
            <v>FB260008547</v>
          </cell>
          <cell r="D7001" t="str">
            <v>PINK</v>
          </cell>
        </row>
        <row r="7002">
          <cell r="A7002" t="str">
            <v>FB260008548</v>
          </cell>
          <cell r="D7002" t="str">
            <v>PINK</v>
          </cell>
        </row>
        <row r="7003">
          <cell r="A7003" t="str">
            <v>FB260008549</v>
          </cell>
          <cell r="D7003" t="str">
            <v>PINK</v>
          </cell>
        </row>
        <row r="7004">
          <cell r="A7004" t="str">
            <v>FB260008550</v>
          </cell>
          <cell r="D7004" t="str">
            <v>PINK</v>
          </cell>
        </row>
        <row r="7005">
          <cell r="A7005" t="str">
            <v>FB260008551</v>
          </cell>
          <cell r="D7005" t="str">
            <v>PINK</v>
          </cell>
        </row>
        <row r="7006">
          <cell r="A7006" t="str">
            <v>FB260008552</v>
          </cell>
          <cell r="D7006" t="str">
            <v>PINK</v>
          </cell>
        </row>
        <row r="7007">
          <cell r="A7007" t="str">
            <v>FB260008553</v>
          </cell>
          <cell r="D7007" t="str">
            <v>PINK</v>
          </cell>
        </row>
        <row r="7008">
          <cell r="A7008" t="str">
            <v>FB260008554</v>
          </cell>
          <cell r="D7008" t="str">
            <v>PINK</v>
          </cell>
        </row>
        <row r="7009">
          <cell r="A7009" t="str">
            <v>FB260008555</v>
          </cell>
          <cell r="D7009" t="str">
            <v>PINK</v>
          </cell>
        </row>
        <row r="7010">
          <cell r="A7010" t="str">
            <v>FB260008556</v>
          </cell>
          <cell r="D7010" t="str">
            <v>PINK</v>
          </cell>
        </row>
        <row r="7011">
          <cell r="A7011" t="str">
            <v>FB260008557</v>
          </cell>
          <cell r="D7011" t="str">
            <v>LULU</v>
          </cell>
        </row>
        <row r="7012">
          <cell r="A7012" t="str">
            <v>FB260008559</v>
          </cell>
          <cell r="D7012" t="str">
            <v>NIK</v>
          </cell>
        </row>
        <row r="7013">
          <cell r="A7013" t="str">
            <v>FB260008560</v>
          </cell>
          <cell r="D7013" t="str">
            <v>VSS</v>
          </cell>
        </row>
        <row r="7014">
          <cell r="A7014" t="str">
            <v>FB260008566</v>
          </cell>
          <cell r="D7014" t="str">
            <v>SKI</v>
          </cell>
        </row>
        <row r="7015">
          <cell r="A7015" t="str">
            <v>FB260008567</v>
          </cell>
          <cell r="D7015" t="str">
            <v>SKI</v>
          </cell>
        </row>
        <row r="7016">
          <cell r="A7016" t="str">
            <v>FB260008568</v>
          </cell>
          <cell r="D7016" t="str">
            <v>SKI</v>
          </cell>
        </row>
        <row r="7017">
          <cell r="A7017" t="str">
            <v>FB260008569</v>
          </cell>
          <cell r="D7017" t="str">
            <v>SKI</v>
          </cell>
        </row>
        <row r="7018">
          <cell r="A7018" t="str">
            <v>FB260008570</v>
          </cell>
          <cell r="D7018" t="str">
            <v>SKI</v>
          </cell>
        </row>
        <row r="7019">
          <cell r="A7019" t="str">
            <v>FB260008571</v>
          </cell>
          <cell r="D7019" t="str">
            <v>CK</v>
          </cell>
        </row>
        <row r="7020">
          <cell r="A7020" t="str">
            <v>FB260008573</v>
          </cell>
          <cell r="D7020" t="str">
            <v>LSKD</v>
          </cell>
        </row>
        <row r="7021">
          <cell r="A7021" t="str">
            <v>FB260008575</v>
          </cell>
          <cell r="D7021" t="str">
            <v>M&amp;S</v>
          </cell>
        </row>
        <row r="7022">
          <cell r="A7022" t="str">
            <v>FB260008576</v>
          </cell>
          <cell r="D7022" t="str">
            <v>THEU</v>
          </cell>
        </row>
        <row r="7023">
          <cell r="A7023" t="str">
            <v>FB260008577</v>
          </cell>
          <cell r="D7023" t="str">
            <v>LULU</v>
          </cell>
        </row>
        <row r="7024">
          <cell r="A7024" t="str">
            <v>FB260008579</v>
          </cell>
          <cell r="D7024" t="str">
            <v>VSS</v>
          </cell>
        </row>
        <row r="7025">
          <cell r="A7025" t="str">
            <v>FB260008581</v>
          </cell>
          <cell r="D7025" t="str">
            <v>THX</v>
          </cell>
        </row>
        <row r="7026">
          <cell r="A7026" t="str">
            <v>FB260008583</v>
          </cell>
          <cell r="D7026" t="str">
            <v>CK</v>
          </cell>
        </row>
        <row r="7027">
          <cell r="A7027" t="str">
            <v>FB260008584</v>
          </cell>
          <cell r="D7027" t="str">
            <v>PINK</v>
          </cell>
        </row>
        <row r="7028">
          <cell r="A7028" t="str">
            <v>FB260008585</v>
          </cell>
          <cell r="D7028" t="str">
            <v>PINK</v>
          </cell>
        </row>
        <row r="7029">
          <cell r="A7029" t="str">
            <v>FB260008586</v>
          </cell>
          <cell r="D7029" t="str">
            <v>PINK</v>
          </cell>
        </row>
        <row r="7030">
          <cell r="A7030" t="str">
            <v>FB260008587</v>
          </cell>
          <cell r="D7030" t="str">
            <v>VSS</v>
          </cell>
        </row>
        <row r="7031">
          <cell r="A7031" t="str">
            <v>FB260008588</v>
          </cell>
          <cell r="D7031" t="str">
            <v>PINK</v>
          </cell>
        </row>
        <row r="7032">
          <cell r="A7032" t="str">
            <v>FB260008589</v>
          </cell>
          <cell r="D7032" t="str">
            <v>PINK</v>
          </cell>
        </row>
        <row r="7033">
          <cell r="A7033" t="str">
            <v>FB260008590</v>
          </cell>
          <cell r="D7033" t="str">
            <v>PINK</v>
          </cell>
        </row>
        <row r="7034">
          <cell r="A7034" t="str">
            <v>FB260008591</v>
          </cell>
          <cell r="D7034" t="str">
            <v>PINK</v>
          </cell>
        </row>
        <row r="7035">
          <cell r="A7035" t="str">
            <v>FB260008592</v>
          </cell>
          <cell r="D7035" t="str">
            <v>PINK</v>
          </cell>
        </row>
        <row r="7036">
          <cell r="A7036" t="str">
            <v>FB260008593</v>
          </cell>
          <cell r="D7036" t="str">
            <v>PINK</v>
          </cell>
        </row>
        <row r="7037">
          <cell r="A7037" t="str">
            <v>FB260008594</v>
          </cell>
          <cell r="D7037" t="str">
            <v>PINK</v>
          </cell>
        </row>
        <row r="7038">
          <cell r="A7038" t="str">
            <v>FB260008595</v>
          </cell>
          <cell r="D7038" t="str">
            <v>PINK</v>
          </cell>
        </row>
        <row r="7039">
          <cell r="A7039" t="str">
            <v>FB260008596</v>
          </cell>
          <cell r="D7039" t="str">
            <v>PINK</v>
          </cell>
        </row>
        <row r="7040">
          <cell r="A7040" t="str">
            <v>FB260008597</v>
          </cell>
          <cell r="D7040" t="str">
            <v>PINK</v>
          </cell>
        </row>
        <row r="7041">
          <cell r="A7041" t="str">
            <v>FB260008598</v>
          </cell>
          <cell r="D7041" t="str">
            <v>PINK</v>
          </cell>
        </row>
        <row r="7042">
          <cell r="A7042" t="str">
            <v>FB260008599</v>
          </cell>
          <cell r="D7042" t="str">
            <v>PINK</v>
          </cell>
        </row>
        <row r="7043">
          <cell r="A7043" t="str">
            <v>FB260008600</v>
          </cell>
          <cell r="D7043" t="str">
            <v>PINK</v>
          </cell>
        </row>
        <row r="7044">
          <cell r="A7044" t="str">
            <v>FB260008601</v>
          </cell>
          <cell r="D7044" t="str">
            <v>VSS</v>
          </cell>
        </row>
        <row r="7045">
          <cell r="A7045" t="str">
            <v>FB260008602</v>
          </cell>
          <cell r="D7045" t="str">
            <v>PINK</v>
          </cell>
        </row>
        <row r="7046">
          <cell r="A7046" t="str">
            <v>FB260008608</v>
          </cell>
          <cell r="D7046" t="str">
            <v>SPEE</v>
          </cell>
        </row>
        <row r="7047">
          <cell r="A7047" t="str">
            <v>FB260008610</v>
          </cell>
          <cell r="D7047" t="str">
            <v>SPEE</v>
          </cell>
        </row>
        <row r="7048">
          <cell r="A7048" t="str">
            <v>FB260008612</v>
          </cell>
          <cell r="D7048" t="str">
            <v>VSS</v>
          </cell>
        </row>
        <row r="7049">
          <cell r="A7049" t="str">
            <v>FB260008613</v>
          </cell>
          <cell r="D7049" t="str">
            <v>VSS</v>
          </cell>
        </row>
        <row r="7050">
          <cell r="A7050" t="str">
            <v>FB260008614</v>
          </cell>
          <cell r="D7050" t="str">
            <v>VSS</v>
          </cell>
        </row>
        <row r="7051">
          <cell r="A7051" t="str">
            <v>FB260008615</v>
          </cell>
          <cell r="D7051" t="str">
            <v>VSS</v>
          </cell>
        </row>
        <row r="7052">
          <cell r="A7052" t="str">
            <v>FB260008616</v>
          </cell>
          <cell r="D7052" t="str">
            <v>VSS</v>
          </cell>
        </row>
        <row r="7053">
          <cell r="A7053" t="str">
            <v>FB260008617</v>
          </cell>
          <cell r="D7053" t="str">
            <v>VSS</v>
          </cell>
        </row>
        <row r="7054">
          <cell r="A7054" t="str">
            <v>FB260008618</v>
          </cell>
          <cell r="D7054" t="str">
            <v>VSS</v>
          </cell>
        </row>
        <row r="7055">
          <cell r="A7055" t="str">
            <v>FB260008619</v>
          </cell>
          <cell r="D7055" t="str">
            <v>VSS</v>
          </cell>
        </row>
        <row r="7056">
          <cell r="A7056" t="str">
            <v>FB260008620</v>
          </cell>
          <cell r="D7056" t="str">
            <v>VSS</v>
          </cell>
        </row>
        <row r="7057">
          <cell r="A7057" t="str">
            <v>FB260008621</v>
          </cell>
          <cell r="D7057" t="str">
            <v>VSS</v>
          </cell>
        </row>
        <row r="7058">
          <cell r="A7058" t="str">
            <v>FB260008622</v>
          </cell>
          <cell r="D7058" t="str">
            <v>VSS</v>
          </cell>
        </row>
        <row r="7059">
          <cell r="A7059" t="str">
            <v>FB260008623</v>
          </cell>
          <cell r="D7059" t="str">
            <v>VSS</v>
          </cell>
        </row>
        <row r="7060">
          <cell r="A7060" t="str">
            <v>FB260008624</v>
          </cell>
          <cell r="D7060" t="str">
            <v>VSS</v>
          </cell>
        </row>
        <row r="7061">
          <cell r="A7061" t="str">
            <v>FB260008625</v>
          </cell>
          <cell r="D7061" t="str">
            <v>VSS</v>
          </cell>
        </row>
        <row r="7062">
          <cell r="A7062" t="str">
            <v>FB260008626</v>
          </cell>
          <cell r="D7062" t="str">
            <v>VSS</v>
          </cell>
        </row>
        <row r="7063">
          <cell r="A7063" t="str">
            <v>FB260008627</v>
          </cell>
          <cell r="D7063" t="str">
            <v>VSS</v>
          </cell>
        </row>
        <row r="7064">
          <cell r="A7064" t="str">
            <v>FB260008628</v>
          </cell>
          <cell r="D7064" t="str">
            <v>VSS</v>
          </cell>
        </row>
        <row r="7065">
          <cell r="A7065" t="str">
            <v>FB260008629</v>
          </cell>
          <cell r="D7065" t="str">
            <v>VSS</v>
          </cell>
        </row>
        <row r="7066">
          <cell r="A7066" t="str">
            <v>FB260008630</v>
          </cell>
          <cell r="D7066" t="str">
            <v>VSS</v>
          </cell>
        </row>
        <row r="7067">
          <cell r="A7067" t="str">
            <v>FB260008631</v>
          </cell>
          <cell r="D7067" t="str">
            <v>PINK</v>
          </cell>
        </row>
        <row r="7068">
          <cell r="A7068" t="str">
            <v>FB260008640</v>
          </cell>
          <cell r="D7068" t="str">
            <v>VSS</v>
          </cell>
        </row>
        <row r="7069">
          <cell r="A7069" t="str">
            <v>FB260008641</v>
          </cell>
          <cell r="D7069" t="str">
            <v>GAP</v>
          </cell>
        </row>
        <row r="7070">
          <cell r="A7070" t="str">
            <v>FB260008646</v>
          </cell>
          <cell r="D7070" t="str">
            <v>GAP</v>
          </cell>
        </row>
        <row r="7071">
          <cell r="A7071" t="str">
            <v>FB260008648</v>
          </cell>
          <cell r="D7071" t="str">
            <v>LULU</v>
          </cell>
        </row>
        <row r="7072">
          <cell r="A7072" t="str">
            <v>FB260008650</v>
          </cell>
          <cell r="D7072" t="str">
            <v>VSS</v>
          </cell>
        </row>
        <row r="7073">
          <cell r="A7073" t="str">
            <v>FB260008651</v>
          </cell>
          <cell r="D7073" t="str">
            <v>WACE</v>
          </cell>
        </row>
        <row r="7074">
          <cell r="A7074" t="str">
            <v>FB260008653</v>
          </cell>
          <cell r="D7074" t="str">
            <v>BITBH</v>
          </cell>
        </row>
        <row r="7075">
          <cell r="A7075" t="str">
            <v>FB260008654</v>
          </cell>
          <cell r="D7075" t="str">
            <v>CK</v>
          </cell>
        </row>
        <row r="7076">
          <cell r="A7076" t="str">
            <v>FB260008655</v>
          </cell>
          <cell r="D7076" t="str">
            <v>CK</v>
          </cell>
        </row>
        <row r="7077">
          <cell r="A7077" t="str">
            <v>FB260008658</v>
          </cell>
          <cell r="D7077" t="str">
            <v>CK</v>
          </cell>
        </row>
        <row r="7078">
          <cell r="A7078" t="str">
            <v>FB260008661</v>
          </cell>
          <cell r="D7078" t="str">
            <v>LULU</v>
          </cell>
        </row>
        <row r="7079">
          <cell r="A7079" t="str">
            <v>FB260008662</v>
          </cell>
          <cell r="D7079" t="str">
            <v>ASIC</v>
          </cell>
        </row>
        <row r="7080">
          <cell r="A7080" t="str">
            <v>FB260008664</v>
          </cell>
          <cell r="D7080" t="str">
            <v>HAR</v>
          </cell>
        </row>
        <row r="7081">
          <cell r="A7081" t="str">
            <v>FB260008665</v>
          </cell>
          <cell r="D7081" t="str">
            <v>WAC</v>
          </cell>
        </row>
        <row r="7082">
          <cell r="A7082" t="str">
            <v>FB260008666</v>
          </cell>
          <cell r="D7082" t="str">
            <v>CHICOS</v>
          </cell>
        </row>
        <row r="7083">
          <cell r="A7083" t="str">
            <v>FB260008667</v>
          </cell>
          <cell r="D7083" t="str">
            <v>CHICOS</v>
          </cell>
        </row>
        <row r="7084">
          <cell r="A7084" t="str">
            <v>FB260008668</v>
          </cell>
          <cell r="D7084" t="str">
            <v>VSS</v>
          </cell>
        </row>
        <row r="7085">
          <cell r="A7085" t="str">
            <v>FB260008670</v>
          </cell>
          <cell r="D7085" t="str">
            <v>VSS</v>
          </cell>
        </row>
        <row r="7086">
          <cell r="A7086" t="str">
            <v>FB260008671</v>
          </cell>
          <cell r="D7086" t="str">
            <v>VSS</v>
          </cell>
        </row>
        <row r="7087">
          <cell r="A7087" t="str">
            <v>FB260008672</v>
          </cell>
          <cell r="D7087" t="str">
            <v>VSS</v>
          </cell>
        </row>
        <row r="7088">
          <cell r="A7088" t="str">
            <v>FB260008673</v>
          </cell>
          <cell r="D7088" t="str">
            <v>VSS</v>
          </cell>
        </row>
        <row r="7089">
          <cell r="A7089" t="str">
            <v>FB260008677</v>
          </cell>
          <cell r="D7089" t="str">
            <v>THX</v>
          </cell>
        </row>
        <row r="7090">
          <cell r="A7090" t="str">
            <v>FB260008679</v>
          </cell>
          <cell r="D7090" t="str">
            <v>CHICOS</v>
          </cell>
        </row>
        <row r="7091">
          <cell r="A7091" t="str">
            <v>FB260008680</v>
          </cell>
          <cell r="D7091" t="str">
            <v>CHICOS</v>
          </cell>
        </row>
        <row r="7092">
          <cell r="A7092" t="str">
            <v>FB260008681</v>
          </cell>
          <cell r="D7092" t="str">
            <v>CHICOS</v>
          </cell>
        </row>
        <row r="7093">
          <cell r="A7093" t="str">
            <v>FB260008682</v>
          </cell>
          <cell r="D7093" t="str">
            <v>CHICOS</v>
          </cell>
        </row>
        <row r="7094">
          <cell r="A7094" t="str">
            <v>FB260008683</v>
          </cell>
          <cell r="D7094" t="str">
            <v>CHICOS</v>
          </cell>
        </row>
        <row r="7095">
          <cell r="A7095" t="str">
            <v>FB260008684</v>
          </cell>
          <cell r="D7095" t="str">
            <v>LULU</v>
          </cell>
        </row>
        <row r="7096">
          <cell r="A7096" t="str">
            <v>FB260008685</v>
          </cell>
          <cell r="D7096" t="str">
            <v>NIK</v>
          </cell>
        </row>
        <row r="7097">
          <cell r="A7097" t="str">
            <v>FB260008686</v>
          </cell>
          <cell r="D7097" t="str">
            <v>M&amp;S</v>
          </cell>
        </row>
        <row r="7098">
          <cell r="A7098" t="str">
            <v>FB260008687</v>
          </cell>
          <cell r="D7098" t="str">
            <v>VSS</v>
          </cell>
        </row>
        <row r="7099">
          <cell r="A7099" t="str">
            <v>FB260008688</v>
          </cell>
          <cell r="D7099" t="str">
            <v>VSS</v>
          </cell>
        </row>
        <row r="7100">
          <cell r="A7100" t="str">
            <v>FB260008689</v>
          </cell>
          <cell r="D7100" t="str">
            <v>M&amp;S</v>
          </cell>
        </row>
        <row r="7101">
          <cell r="A7101" t="str">
            <v>FB260008690</v>
          </cell>
          <cell r="D7101" t="str">
            <v>LBI</v>
          </cell>
        </row>
        <row r="7102">
          <cell r="A7102" t="str">
            <v>FB260008692</v>
          </cell>
          <cell r="D7102" t="str">
            <v>M&amp;S</v>
          </cell>
        </row>
        <row r="7103">
          <cell r="A7103" t="str">
            <v>FB260008693</v>
          </cell>
          <cell r="D7103" t="str">
            <v>LBI</v>
          </cell>
        </row>
        <row r="7104">
          <cell r="A7104" t="str">
            <v>FB260008694</v>
          </cell>
          <cell r="D7104" t="str">
            <v>M&amp;S</v>
          </cell>
        </row>
        <row r="7105">
          <cell r="A7105" t="str">
            <v>FB260008696</v>
          </cell>
          <cell r="D7105" t="str">
            <v>M&amp;S</v>
          </cell>
        </row>
        <row r="7106">
          <cell r="A7106" t="str">
            <v>FB260008697</v>
          </cell>
          <cell r="D7106" t="str">
            <v>M&amp;S</v>
          </cell>
        </row>
        <row r="7107">
          <cell r="A7107" t="str">
            <v>FB260008698</v>
          </cell>
          <cell r="D7107" t="str">
            <v>NKSKI</v>
          </cell>
        </row>
        <row r="7108">
          <cell r="A7108" t="str">
            <v>FB260008699</v>
          </cell>
          <cell r="D7108" t="str">
            <v>NKSKI</v>
          </cell>
        </row>
        <row r="7109">
          <cell r="A7109" t="str">
            <v>FB260008700</v>
          </cell>
          <cell r="D7109" t="str">
            <v>LBI</v>
          </cell>
        </row>
        <row r="7110">
          <cell r="A7110" t="str">
            <v>FB260008701</v>
          </cell>
          <cell r="D7110" t="str">
            <v>WACE</v>
          </cell>
        </row>
        <row r="7111">
          <cell r="A7111" t="str">
            <v>FB260008702</v>
          </cell>
          <cell r="D7111" t="str">
            <v>CK</v>
          </cell>
        </row>
        <row r="7112">
          <cell r="A7112" t="str">
            <v>FB260008703</v>
          </cell>
          <cell r="D7112" t="str">
            <v>CHICOS</v>
          </cell>
        </row>
        <row r="7113">
          <cell r="A7113" t="str">
            <v>FB260008704</v>
          </cell>
          <cell r="D7113" t="str">
            <v>CK</v>
          </cell>
        </row>
        <row r="7114">
          <cell r="A7114" t="str">
            <v>FB260008705</v>
          </cell>
          <cell r="D7114" t="str">
            <v>CK</v>
          </cell>
        </row>
        <row r="7115">
          <cell r="A7115" t="str">
            <v>FB260008706</v>
          </cell>
          <cell r="D7115" t="str">
            <v>CK</v>
          </cell>
        </row>
        <row r="7116">
          <cell r="A7116" t="str">
            <v>FB260008707</v>
          </cell>
          <cell r="D7116" t="str">
            <v>LULU</v>
          </cell>
        </row>
        <row r="7117">
          <cell r="A7117" t="str">
            <v>FB260008708</v>
          </cell>
          <cell r="D7117" t="str">
            <v>WACE</v>
          </cell>
        </row>
        <row r="7118">
          <cell r="A7118" t="str">
            <v>FB260008710</v>
          </cell>
          <cell r="D7118" t="str">
            <v>LULU</v>
          </cell>
        </row>
        <row r="7119">
          <cell r="A7119" t="str">
            <v>FB260008711</v>
          </cell>
          <cell r="D7119" t="str">
            <v>LULU</v>
          </cell>
        </row>
        <row r="7120">
          <cell r="A7120" t="str">
            <v>FB260008712</v>
          </cell>
          <cell r="D7120" t="str">
            <v>PINK</v>
          </cell>
        </row>
        <row r="7121">
          <cell r="A7121" t="str">
            <v>FB260008713</v>
          </cell>
          <cell r="D7121" t="str">
            <v>PINK</v>
          </cell>
        </row>
        <row r="7122">
          <cell r="A7122" t="str">
            <v>FB260008714</v>
          </cell>
          <cell r="D7122" t="str">
            <v>PINK</v>
          </cell>
        </row>
        <row r="7123">
          <cell r="A7123" t="str">
            <v>FB260008716</v>
          </cell>
          <cell r="D7123" t="str">
            <v>PINK</v>
          </cell>
        </row>
        <row r="7124">
          <cell r="A7124" t="str">
            <v>FB260008717</v>
          </cell>
          <cell r="D7124" t="str">
            <v>PINK</v>
          </cell>
        </row>
        <row r="7125">
          <cell r="A7125" t="str">
            <v>FB260008718</v>
          </cell>
          <cell r="D7125" t="str">
            <v>PINK</v>
          </cell>
        </row>
        <row r="7126">
          <cell r="A7126" t="str">
            <v>FB260008720</v>
          </cell>
          <cell r="D7126" t="str">
            <v>PINK</v>
          </cell>
        </row>
        <row r="7127">
          <cell r="A7127" t="str">
            <v>FB260008721</v>
          </cell>
          <cell r="D7127" t="str">
            <v>PINK</v>
          </cell>
        </row>
        <row r="7128">
          <cell r="A7128" t="str">
            <v>FB260008722</v>
          </cell>
          <cell r="D7128" t="str">
            <v>VSS</v>
          </cell>
        </row>
        <row r="7129">
          <cell r="A7129" t="str">
            <v>FB260008724</v>
          </cell>
          <cell r="D7129" t="str">
            <v>VSS</v>
          </cell>
        </row>
        <row r="7130">
          <cell r="A7130" t="str">
            <v>FB260008725</v>
          </cell>
          <cell r="D7130" t="str">
            <v>VSS</v>
          </cell>
        </row>
        <row r="7131">
          <cell r="A7131" t="str">
            <v>FB260008726</v>
          </cell>
          <cell r="D7131" t="str">
            <v>VSS</v>
          </cell>
        </row>
        <row r="7132">
          <cell r="A7132" t="str">
            <v>FB260008727</v>
          </cell>
          <cell r="D7132" t="str">
            <v>VSS</v>
          </cell>
        </row>
        <row r="7133">
          <cell r="A7133" t="str">
            <v>FB260008728</v>
          </cell>
          <cell r="D7133" t="str">
            <v>NEWB</v>
          </cell>
        </row>
        <row r="7134">
          <cell r="A7134" t="str">
            <v>FB260008729</v>
          </cell>
          <cell r="D7134" t="str">
            <v>NEWB</v>
          </cell>
        </row>
        <row r="7135">
          <cell r="A7135" t="str">
            <v>FB260008730</v>
          </cell>
          <cell r="D7135" t="str">
            <v>NEWB</v>
          </cell>
        </row>
        <row r="7136">
          <cell r="A7136" t="str">
            <v>FB260008731</v>
          </cell>
          <cell r="D7136" t="str">
            <v>NEX</v>
          </cell>
        </row>
        <row r="7137">
          <cell r="A7137" t="str">
            <v>FB260008732</v>
          </cell>
          <cell r="D7137" t="str">
            <v>VSS</v>
          </cell>
        </row>
        <row r="7138">
          <cell r="A7138" t="str">
            <v>FB260008734</v>
          </cell>
          <cell r="D7138" t="str">
            <v>LBI</v>
          </cell>
        </row>
        <row r="7139">
          <cell r="A7139" t="str">
            <v>FB260008735</v>
          </cell>
          <cell r="D7139" t="str">
            <v>LBI</v>
          </cell>
        </row>
        <row r="7140">
          <cell r="A7140" t="str">
            <v>FB260008736</v>
          </cell>
          <cell r="D7140" t="str">
            <v>LBI</v>
          </cell>
        </row>
        <row r="7141">
          <cell r="A7141" t="str">
            <v>FB260008737</v>
          </cell>
          <cell r="D7141" t="str">
            <v>LBI</v>
          </cell>
        </row>
        <row r="7142">
          <cell r="A7142" t="str">
            <v>FB260008738</v>
          </cell>
          <cell r="D7142" t="str">
            <v>LBI</v>
          </cell>
        </row>
        <row r="7143">
          <cell r="A7143" t="str">
            <v>FB260008739</v>
          </cell>
          <cell r="D7143" t="str">
            <v>LBI</v>
          </cell>
        </row>
        <row r="7144">
          <cell r="A7144" t="str">
            <v>FB260008740</v>
          </cell>
          <cell r="D7144" t="str">
            <v>M&amp;S</v>
          </cell>
        </row>
        <row r="7145">
          <cell r="A7145" t="str">
            <v>FB260008741</v>
          </cell>
          <cell r="D7145" t="str">
            <v>CHICOS</v>
          </cell>
        </row>
        <row r="7146">
          <cell r="A7146" t="str">
            <v>FB260008742</v>
          </cell>
          <cell r="D7146" t="str">
            <v>M&amp;S</v>
          </cell>
        </row>
        <row r="7147">
          <cell r="A7147" t="str">
            <v>FB260008745</v>
          </cell>
          <cell r="D7147" t="str">
            <v>LBI</v>
          </cell>
        </row>
        <row r="7148">
          <cell r="A7148" t="str">
            <v>FB260008746</v>
          </cell>
          <cell r="D7148" t="str">
            <v>PINK</v>
          </cell>
        </row>
        <row r="7149">
          <cell r="A7149" t="str">
            <v>FB260008747</v>
          </cell>
          <cell r="D7149" t="str">
            <v>CHICOS</v>
          </cell>
        </row>
        <row r="7150">
          <cell r="A7150" t="str">
            <v>FB260008748</v>
          </cell>
          <cell r="D7150" t="str">
            <v>CHICOS</v>
          </cell>
        </row>
        <row r="7151">
          <cell r="A7151" t="str">
            <v>FB260008749</v>
          </cell>
          <cell r="D7151" t="str">
            <v>CHICOS</v>
          </cell>
        </row>
        <row r="7152">
          <cell r="A7152" t="str">
            <v>FB260008752</v>
          </cell>
          <cell r="D7152" t="str">
            <v>CHICOS</v>
          </cell>
        </row>
        <row r="7153">
          <cell r="A7153" t="str">
            <v>FB260008753</v>
          </cell>
          <cell r="D7153" t="str">
            <v>CK</v>
          </cell>
        </row>
        <row r="7154">
          <cell r="A7154" t="str">
            <v>FB260008755</v>
          </cell>
          <cell r="D7154" t="str">
            <v>CK</v>
          </cell>
        </row>
        <row r="7155">
          <cell r="A7155" t="str">
            <v>FB260008756</v>
          </cell>
          <cell r="D7155" t="str">
            <v>CK</v>
          </cell>
        </row>
        <row r="7156">
          <cell r="A7156" t="str">
            <v>FB260008757</v>
          </cell>
          <cell r="D7156" t="str">
            <v>CK</v>
          </cell>
        </row>
        <row r="7157">
          <cell r="A7157" t="str">
            <v>FB260008758</v>
          </cell>
          <cell r="D7157" t="str">
            <v>CK</v>
          </cell>
        </row>
        <row r="7158">
          <cell r="A7158" t="str">
            <v>FB260008759</v>
          </cell>
          <cell r="D7158" t="str">
            <v>CK</v>
          </cell>
        </row>
        <row r="7159">
          <cell r="A7159" t="str">
            <v>FB260008760</v>
          </cell>
          <cell r="D7159" t="str">
            <v>CK</v>
          </cell>
        </row>
        <row r="7160">
          <cell r="A7160" t="str">
            <v>FB260008761</v>
          </cell>
          <cell r="D7160" t="str">
            <v>CK</v>
          </cell>
        </row>
        <row r="7161">
          <cell r="A7161" t="str">
            <v>FB260008762</v>
          </cell>
          <cell r="D7161" t="str">
            <v>CK</v>
          </cell>
        </row>
        <row r="7162">
          <cell r="A7162" t="str">
            <v>FB260008763</v>
          </cell>
          <cell r="D7162" t="str">
            <v>CK</v>
          </cell>
        </row>
        <row r="7163">
          <cell r="A7163" t="str">
            <v>FB260008764</v>
          </cell>
          <cell r="D7163" t="str">
            <v>CK</v>
          </cell>
        </row>
        <row r="7164">
          <cell r="A7164" t="str">
            <v>FB260008765</v>
          </cell>
          <cell r="D7164" t="str">
            <v>CK</v>
          </cell>
        </row>
        <row r="7165">
          <cell r="A7165" t="str">
            <v>FB260008766</v>
          </cell>
          <cell r="D7165" t="str">
            <v>CK</v>
          </cell>
        </row>
        <row r="7166">
          <cell r="A7166" t="str">
            <v>FB260008767</v>
          </cell>
          <cell r="D7166" t="str">
            <v>CK</v>
          </cell>
        </row>
        <row r="7167">
          <cell r="A7167" t="str">
            <v>FB260008768</v>
          </cell>
          <cell r="D7167" t="str">
            <v>CK</v>
          </cell>
        </row>
        <row r="7168">
          <cell r="A7168" t="str">
            <v>FB260008769</v>
          </cell>
          <cell r="D7168" t="str">
            <v>CK</v>
          </cell>
        </row>
        <row r="7169">
          <cell r="A7169" t="str">
            <v>FB260008770</v>
          </cell>
          <cell r="D7169" t="str">
            <v>CK</v>
          </cell>
        </row>
        <row r="7170">
          <cell r="A7170" t="str">
            <v>FB260008771</v>
          </cell>
          <cell r="D7170" t="str">
            <v>CK</v>
          </cell>
        </row>
        <row r="7171">
          <cell r="A7171" t="str">
            <v>FB260008773</v>
          </cell>
          <cell r="D7171" t="str">
            <v>WACE</v>
          </cell>
        </row>
        <row r="7172">
          <cell r="A7172" t="str">
            <v>FB260008774</v>
          </cell>
          <cell r="D7172" t="str">
            <v>CK</v>
          </cell>
        </row>
        <row r="7173">
          <cell r="A7173" t="str">
            <v>FB260008775</v>
          </cell>
          <cell r="D7173" t="str">
            <v>CK</v>
          </cell>
        </row>
        <row r="7174">
          <cell r="A7174" t="str">
            <v>FB260008776</v>
          </cell>
          <cell r="D7174" t="str">
            <v>CK</v>
          </cell>
        </row>
        <row r="7175">
          <cell r="A7175" t="str">
            <v>FB260008777</v>
          </cell>
          <cell r="D7175" t="str">
            <v>CK</v>
          </cell>
        </row>
        <row r="7176">
          <cell r="A7176" t="str">
            <v>FB260008778</v>
          </cell>
          <cell r="D7176" t="str">
            <v>CK</v>
          </cell>
        </row>
        <row r="7177">
          <cell r="A7177" t="str">
            <v>FB260008779</v>
          </cell>
          <cell r="D7177" t="str">
            <v>VSS</v>
          </cell>
        </row>
        <row r="7178">
          <cell r="A7178" t="str">
            <v>FB260008780</v>
          </cell>
          <cell r="D7178" t="str">
            <v>CK</v>
          </cell>
        </row>
        <row r="7179">
          <cell r="A7179" t="str">
            <v>FB260008782</v>
          </cell>
          <cell r="D7179" t="str">
            <v>CK</v>
          </cell>
        </row>
        <row r="7180">
          <cell r="A7180" t="str">
            <v>FB260008783</v>
          </cell>
          <cell r="D7180" t="str">
            <v>CK</v>
          </cell>
        </row>
        <row r="7181">
          <cell r="A7181" t="str">
            <v>FB260008784</v>
          </cell>
          <cell r="D7181" t="str">
            <v>CK</v>
          </cell>
        </row>
        <row r="7182">
          <cell r="A7182" t="str">
            <v>FB260008785</v>
          </cell>
          <cell r="D7182" t="str">
            <v>HAR</v>
          </cell>
        </row>
        <row r="7183">
          <cell r="A7183" t="str">
            <v>FB260008786</v>
          </cell>
          <cell r="D7183" t="str">
            <v>CK</v>
          </cell>
        </row>
        <row r="7184">
          <cell r="A7184" t="str">
            <v>FB260008787</v>
          </cell>
          <cell r="D7184" t="str">
            <v>TORD</v>
          </cell>
        </row>
        <row r="7185">
          <cell r="A7185" t="str">
            <v>FB260008788</v>
          </cell>
          <cell r="D7185" t="str">
            <v>CK</v>
          </cell>
        </row>
        <row r="7186">
          <cell r="A7186" t="str">
            <v>FB260008789</v>
          </cell>
          <cell r="D7186" t="str">
            <v>CK</v>
          </cell>
        </row>
        <row r="7187">
          <cell r="A7187" t="str">
            <v>FB260008790</v>
          </cell>
          <cell r="D7187" t="str">
            <v>CHICOS</v>
          </cell>
        </row>
        <row r="7188">
          <cell r="A7188" t="str">
            <v>FB260008792</v>
          </cell>
          <cell r="D7188" t="str">
            <v>CK</v>
          </cell>
        </row>
        <row r="7189">
          <cell r="A7189" t="str">
            <v>FB260008793</v>
          </cell>
          <cell r="D7189" t="str">
            <v>CK</v>
          </cell>
        </row>
        <row r="7190">
          <cell r="A7190" t="str">
            <v>FB260008794</v>
          </cell>
          <cell r="D7190" t="str">
            <v>GLA</v>
          </cell>
        </row>
        <row r="7191">
          <cell r="A7191" t="str">
            <v>FB260008795</v>
          </cell>
          <cell r="D7191" t="str">
            <v>WACE</v>
          </cell>
        </row>
        <row r="7192">
          <cell r="A7192" t="str">
            <v>FB260008796</v>
          </cell>
          <cell r="D7192" t="str">
            <v>CHICOS</v>
          </cell>
        </row>
        <row r="7193">
          <cell r="A7193" t="str">
            <v>FB260008797</v>
          </cell>
          <cell r="D7193" t="str">
            <v>CK</v>
          </cell>
        </row>
        <row r="7194">
          <cell r="A7194" t="str">
            <v>FB260008798</v>
          </cell>
          <cell r="D7194" t="str">
            <v>CK</v>
          </cell>
        </row>
        <row r="7195">
          <cell r="A7195" t="str">
            <v>FB260008799</v>
          </cell>
          <cell r="D7195" t="str">
            <v>CK</v>
          </cell>
        </row>
        <row r="7196">
          <cell r="A7196" t="str">
            <v>FB260008801</v>
          </cell>
          <cell r="D7196" t="str">
            <v>CK</v>
          </cell>
        </row>
        <row r="7197">
          <cell r="A7197" t="str">
            <v>FB260008802</v>
          </cell>
          <cell r="D7197" t="str">
            <v>CK</v>
          </cell>
        </row>
        <row r="7198">
          <cell r="A7198" t="str">
            <v>FB260008803</v>
          </cell>
          <cell r="D7198" t="str">
            <v>CK</v>
          </cell>
        </row>
        <row r="7199">
          <cell r="A7199" t="str">
            <v>FB260008804</v>
          </cell>
          <cell r="D7199" t="str">
            <v>CK</v>
          </cell>
        </row>
        <row r="7200">
          <cell r="A7200" t="str">
            <v>FB260008805</v>
          </cell>
          <cell r="D7200" t="str">
            <v>CK</v>
          </cell>
        </row>
        <row r="7201">
          <cell r="A7201" t="str">
            <v>FB260008807</v>
          </cell>
          <cell r="D7201" t="str">
            <v>KOM</v>
          </cell>
        </row>
        <row r="7202">
          <cell r="A7202" t="str">
            <v>FB260008809</v>
          </cell>
          <cell r="D7202" t="str">
            <v>LULU</v>
          </cell>
        </row>
        <row r="7203">
          <cell r="A7203" t="str">
            <v>FB260008810</v>
          </cell>
          <cell r="D7203" t="str">
            <v>HAR</v>
          </cell>
        </row>
        <row r="7204">
          <cell r="A7204" t="str">
            <v>FB260008811</v>
          </cell>
          <cell r="D7204" t="str">
            <v>HAR</v>
          </cell>
        </row>
        <row r="7205">
          <cell r="A7205" t="str">
            <v>FB260008812</v>
          </cell>
          <cell r="D7205" t="str">
            <v>HAR</v>
          </cell>
        </row>
        <row r="7206">
          <cell r="A7206" t="str">
            <v>FB260008813</v>
          </cell>
          <cell r="D7206" t="str">
            <v>CK</v>
          </cell>
        </row>
        <row r="7207">
          <cell r="A7207" t="str">
            <v>FB260008814</v>
          </cell>
          <cell r="D7207" t="str">
            <v>HAR</v>
          </cell>
        </row>
        <row r="7208">
          <cell r="A7208" t="str">
            <v>FB260008815</v>
          </cell>
          <cell r="D7208" t="str">
            <v>HAR</v>
          </cell>
        </row>
        <row r="7209">
          <cell r="A7209" t="str">
            <v>FB260008816</v>
          </cell>
          <cell r="D7209" t="str">
            <v>CHICOS</v>
          </cell>
        </row>
        <row r="7210">
          <cell r="A7210" t="str">
            <v>FB260008817</v>
          </cell>
          <cell r="D7210" t="str">
            <v>CK</v>
          </cell>
        </row>
        <row r="7211">
          <cell r="A7211" t="str">
            <v>FB260008818</v>
          </cell>
          <cell r="D7211" t="str">
            <v>CHICOS</v>
          </cell>
        </row>
        <row r="7212">
          <cell r="A7212" t="str">
            <v>FB260008819</v>
          </cell>
          <cell r="D7212" t="str">
            <v>CK</v>
          </cell>
        </row>
        <row r="7213">
          <cell r="A7213" t="str">
            <v>FB260008820</v>
          </cell>
          <cell r="D7213" t="str">
            <v>LULU</v>
          </cell>
        </row>
        <row r="7214">
          <cell r="A7214" t="str">
            <v>FB260008821</v>
          </cell>
          <cell r="D7214" t="str">
            <v>SAA</v>
          </cell>
        </row>
        <row r="7215">
          <cell r="A7215" t="str">
            <v>FB260008822</v>
          </cell>
          <cell r="D7215" t="str">
            <v>WACE</v>
          </cell>
        </row>
        <row r="7216">
          <cell r="A7216" t="str">
            <v>FB260008824</v>
          </cell>
          <cell r="D7216" t="str">
            <v>CK</v>
          </cell>
        </row>
        <row r="7217">
          <cell r="A7217" t="str">
            <v>FB260008825</v>
          </cell>
          <cell r="D7217" t="str">
            <v>CK</v>
          </cell>
        </row>
        <row r="7218">
          <cell r="A7218" t="str">
            <v>FB260008826</v>
          </cell>
          <cell r="D7218" t="str">
            <v>CK</v>
          </cell>
        </row>
        <row r="7219">
          <cell r="A7219" t="str">
            <v>FB260008827</v>
          </cell>
          <cell r="D7219" t="str">
            <v>CK</v>
          </cell>
        </row>
        <row r="7220">
          <cell r="A7220" t="str">
            <v>FB260008828</v>
          </cell>
          <cell r="D7220" t="str">
            <v>CK</v>
          </cell>
        </row>
        <row r="7221">
          <cell r="A7221" t="str">
            <v>FB260008829</v>
          </cell>
          <cell r="D7221" t="str">
            <v>CK</v>
          </cell>
        </row>
        <row r="7222">
          <cell r="A7222" t="str">
            <v>FB260008830</v>
          </cell>
          <cell r="D7222" t="str">
            <v>CK</v>
          </cell>
        </row>
        <row r="7223">
          <cell r="A7223" t="str">
            <v>FB260008831</v>
          </cell>
          <cell r="D7223" t="str">
            <v>VSS</v>
          </cell>
        </row>
        <row r="7224">
          <cell r="A7224" t="str">
            <v>FB260008832</v>
          </cell>
          <cell r="D7224" t="str">
            <v>VSS</v>
          </cell>
        </row>
        <row r="7225">
          <cell r="A7225" t="str">
            <v>FB260008833</v>
          </cell>
          <cell r="D7225" t="str">
            <v>VSS</v>
          </cell>
        </row>
        <row r="7226">
          <cell r="A7226" t="str">
            <v>FB260008834</v>
          </cell>
          <cell r="D7226" t="str">
            <v>VSS</v>
          </cell>
        </row>
        <row r="7227">
          <cell r="A7227" t="str">
            <v>FB260008835</v>
          </cell>
          <cell r="D7227" t="str">
            <v>LULU</v>
          </cell>
        </row>
        <row r="7228">
          <cell r="A7228" t="str">
            <v>FB260008836</v>
          </cell>
          <cell r="D7228" t="str">
            <v>CK</v>
          </cell>
        </row>
        <row r="7229">
          <cell r="A7229" t="str">
            <v>FB260008837</v>
          </cell>
          <cell r="D7229" t="str">
            <v>PINK</v>
          </cell>
        </row>
        <row r="7230">
          <cell r="A7230" t="str">
            <v>FB260008838</v>
          </cell>
          <cell r="D7230" t="str">
            <v>PINK</v>
          </cell>
        </row>
        <row r="7231">
          <cell r="A7231" t="str">
            <v>FB260008840</v>
          </cell>
          <cell r="D7231" t="str">
            <v>THEU</v>
          </cell>
        </row>
        <row r="7232">
          <cell r="A7232" t="str">
            <v>FB260008841</v>
          </cell>
          <cell r="D7232" t="str">
            <v>CK</v>
          </cell>
        </row>
        <row r="7233">
          <cell r="A7233" t="str">
            <v>FB260008842</v>
          </cell>
          <cell r="D7233" t="str">
            <v>WACE</v>
          </cell>
        </row>
        <row r="7234">
          <cell r="A7234" t="str">
            <v>FB260008843</v>
          </cell>
          <cell r="D7234" t="str">
            <v>NEWB</v>
          </cell>
        </row>
        <row r="7235">
          <cell r="A7235" t="str">
            <v>FB260008845</v>
          </cell>
          <cell r="D7235" t="str">
            <v>NEWB</v>
          </cell>
        </row>
        <row r="7236">
          <cell r="A7236" t="str">
            <v>FB260008846</v>
          </cell>
          <cell r="D7236" t="str">
            <v>NEWB</v>
          </cell>
        </row>
        <row r="7237">
          <cell r="A7237" t="str">
            <v>FB260008847</v>
          </cell>
          <cell r="D7237" t="str">
            <v>NEWB</v>
          </cell>
        </row>
        <row r="7238">
          <cell r="A7238" t="str">
            <v>FB260008848</v>
          </cell>
          <cell r="D7238" t="str">
            <v>NEWB</v>
          </cell>
        </row>
        <row r="7239">
          <cell r="A7239" t="str">
            <v>FB260008850</v>
          </cell>
          <cell r="D7239" t="str">
            <v>NEWB</v>
          </cell>
        </row>
        <row r="7240">
          <cell r="A7240" t="str">
            <v>FB260008851</v>
          </cell>
          <cell r="D7240" t="str">
            <v>CHICOS</v>
          </cell>
        </row>
        <row r="7241">
          <cell r="A7241" t="str">
            <v>FB260008852</v>
          </cell>
          <cell r="D7241" t="str">
            <v>NEWB</v>
          </cell>
        </row>
        <row r="7242">
          <cell r="A7242" t="str">
            <v>FB260008853</v>
          </cell>
          <cell r="D7242" t="str">
            <v>CHICOS</v>
          </cell>
        </row>
        <row r="7243">
          <cell r="A7243" t="str">
            <v>FB260008854</v>
          </cell>
          <cell r="D7243" t="str">
            <v>NEWB</v>
          </cell>
        </row>
        <row r="7244">
          <cell r="A7244" t="str">
            <v>FB260008855</v>
          </cell>
          <cell r="D7244" t="str">
            <v>ASIC</v>
          </cell>
        </row>
        <row r="7245">
          <cell r="A7245" t="str">
            <v>FB260008857</v>
          </cell>
          <cell r="D7245" t="str">
            <v>SW</v>
          </cell>
        </row>
        <row r="7246">
          <cell r="A7246" t="str">
            <v>FB260008859</v>
          </cell>
          <cell r="D7246" t="str">
            <v>WACE</v>
          </cell>
        </row>
        <row r="7247">
          <cell r="A7247" t="str">
            <v>FB260008860</v>
          </cell>
          <cell r="D7247" t="str">
            <v>CK</v>
          </cell>
        </row>
        <row r="7248">
          <cell r="A7248" t="str">
            <v>FB260008861</v>
          </cell>
          <cell r="D7248" t="str">
            <v>NEWB</v>
          </cell>
        </row>
        <row r="7249">
          <cell r="A7249" t="str">
            <v>FB260008863</v>
          </cell>
          <cell r="D7249" t="str">
            <v>PINK</v>
          </cell>
        </row>
        <row r="7250">
          <cell r="A7250" t="str">
            <v>FB260008872</v>
          </cell>
          <cell r="D7250" t="str">
            <v>NIK</v>
          </cell>
        </row>
        <row r="7251">
          <cell r="A7251" t="str">
            <v>FB260008873</v>
          </cell>
          <cell r="D7251" t="str">
            <v>NIK</v>
          </cell>
        </row>
        <row r="7252">
          <cell r="A7252" t="str">
            <v>FB260008878</v>
          </cell>
          <cell r="D7252" t="str">
            <v>NIK</v>
          </cell>
        </row>
        <row r="7253">
          <cell r="A7253" t="str">
            <v>FB260008879</v>
          </cell>
          <cell r="D7253" t="str">
            <v>NIK</v>
          </cell>
        </row>
        <row r="7254">
          <cell r="A7254" t="str">
            <v>FB260008880</v>
          </cell>
          <cell r="D7254" t="str">
            <v>NIK</v>
          </cell>
        </row>
        <row r="7255">
          <cell r="A7255" t="str">
            <v>FB260008885</v>
          </cell>
          <cell r="D7255" t="str">
            <v>NIK</v>
          </cell>
        </row>
        <row r="7256">
          <cell r="A7256" t="str">
            <v>FB260008889</v>
          </cell>
          <cell r="D7256" t="str">
            <v>NIK</v>
          </cell>
        </row>
        <row r="7257">
          <cell r="A7257" t="str">
            <v>FB260008891</v>
          </cell>
          <cell r="D7257" t="str">
            <v>NIK</v>
          </cell>
        </row>
        <row r="7258">
          <cell r="A7258" t="str">
            <v>FB260008892</v>
          </cell>
          <cell r="D7258" t="str">
            <v>NIK</v>
          </cell>
        </row>
        <row r="7259">
          <cell r="A7259" t="str">
            <v>FB260008893</v>
          </cell>
          <cell r="D7259" t="str">
            <v>NIK</v>
          </cell>
        </row>
        <row r="7260">
          <cell r="A7260" t="str">
            <v>FB260008900</v>
          </cell>
          <cell r="D7260" t="str">
            <v>NIK</v>
          </cell>
        </row>
        <row r="7261">
          <cell r="A7261" t="str">
            <v>FB260008901</v>
          </cell>
          <cell r="D7261" t="str">
            <v>NIK</v>
          </cell>
        </row>
        <row r="7262">
          <cell r="A7262" t="str">
            <v>FB260008902</v>
          </cell>
          <cell r="D7262" t="str">
            <v>NIK</v>
          </cell>
        </row>
        <row r="7263">
          <cell r="A7263" t="str">
            <v>FB260008906</v>
          </cell>
          <cell r="D7263" t="str">
            <v>NIK</v>
          </cell>
        </row>
        <row r="7264">
          <cell r="A7264" t="str">
            <v>FB260008911</v>
          </cell>
          <cell r="D7264" t="str">
            <v>NIK</v>
          </cell>
        </row>
        <row r="7265">
          <cell r="A7265" t="str">
            <v>FB260008913</v>
          </cell>
          <cell r="D7265" t="str">
            <v>VSS</v>
          </cell>
        </row>
        <row r="7266">
          <cell r="A7266" t="str">
            <v>FB260008914</v>
          </cell>
          <cell r="D7266" t="str">
            <v>VSS</v>
          </cell>
        </row>
        <row r="7267">
          <cell r="A7267" t="str">
            <v>FB260008915</v>
          </cell>
          <cell r="D7267" t="str">
            <v>VSS</v>
          </cell>
        </row>
        <row r="7268">
          <cell r="A7268" t="str">
            <v>FB260008916</v>
          </cell>
          <cell r="D7268" t="str">
            <v>SW</v>
          </cell>
        </row>
        <row r="7269">
          <cell r="A7269" t="str">
            <v>FB260008917</v>
          </cell>
          <cell r="D7269" t="str">
            <v>SW</v>
          </cell>
        </row>
        <row r="7270">
          <cell r="A7270" t="str">
            <v>FB260008918</v>
          </cell>
          <cell r="D7270" t="str">
            <v>SOM</v>
          </cell>
        </row>
        <row r="7271">
          <cell r="A7271" t="str">
            <v>FB260008919</v>
          </cell>
          <cell r="D7271" t="str">
            <v>SOM</v>
          </cell>
        </row>
        <row r="7272">
          <cell r="A7272" t="str">
            <v>FB260008920</v>
          </cell>
          <cell r="D7272" t="str">
            <v>VSS</v>
          </cell>
        </row>
        <row r="7273">
          <cell r="A7273" t="str">
            <v>FB260008921</v>
          </cell>
          <cell r="D7273" t="str">
            <v>VSS</v>
          </cell>
        </row>
        <row r="7274">
          <cell r="A7274" t="str">
            <v>FB260008922</v>
          </cell>
          <cell r="D7274" t="str">
            <v>VSS</v>
          </cell>
        </row>
        <row r="7275">
          <cell r="A7275" t="str">
            <v>FB260008923</v>
          </cell>
          <cell r="D7275" t="str">
            <v>VSS</v>
          </cell>
        </row>
        <row r="7276">
          <cell r="A7276" t="str">
            <v>FB260008924</v>
          </cell>
          <cell r="D7276" t="str">
            <v>VSS</v>
          </cell>
        </row>
        <row r="7277">
          <cell r="A7277" t="str">
            <v>FB260008925</v>
          </cell>
          <cell r="D7277" t="str">
            <v>VSS</v>
          </cell>
        </row>
        <row r="7278">
          <cell r="A7278" t="str">
            <v>FB260008926</v>
          </cell>
          <cell r="D7278" t="str">
            <v>VSS</v>
          </cell>
        </row>
        <row r="7279">
          <cell r="A7279" t="str">
            <v>FB260008927</v>
          </cell>
          <cell r="D7279" t="str">
            <v>VSS</v>
          </cell>
        </row>
        <row r="7280">
          <cell r="A7280" t="str">
            <v>FB260008928</v>
          </cell>
          <cell r="D7280" t="str">
            <v>VSS</v>
          </cell>
        </row>
        <row r="7281">
          <cell r="A7281" t="str">
            <v>FB260008929</v>
          </cell>
          <cell r="D7281" t="str">
            <v>VSS</v>
          </cell>
        </row>
        <row r="7282">
          <cell r="A7282" t="str">
            <v>FB260008930</v>
          </cell>
          <cell r="D7282" t="str">
            <v>VSS</v>
          </cell>
        </row>
        <row r="7283">
          <cell r="A7283" t="str">
            <v>FB260008931</v>
          </cell>
          <cell r="D7283" t="str">
            <v>VSS</v>
          </cell>
        </row>
        <row r="7284">
          <cell r="A7284" t="str">
            <v>FB260008932</v>
          </cell>
          <cell r="D7284" t="str">
            <v>VSS</v>
          </cell>
        </row>
        <row r="7285">
          <cell r="A7285" t="str">
            <v>FB260008933</v>
          </cell>
          <cell r="D7285" t="str">
            <v>VSS</v>
          </cell>
        </row>
        <row r="7286">
          <cell r="A7286" t="str">
            <v>FB260008934</v>
          </cell>
          <cell r="D7286" t="str">
            <v>NIK</v>
          </cell>
        </row>
        <row r="7287">
          <cell r="A7287" t="str">
            <v>FB260008935</v>
          </cell>
          <cell r="D7287" t="str">
            <v>NIK</v>
          </cell>
        </row>
        <row r="7288">
          <cell r="A7288" t="str">
            <v>FB260008939</v>
          </cell>
          <cell r="D7288" t="str">
            <v>WACE</v>
          </cell>
        </row>
        <row r="7289">
          <cell r="A7289" t="str">
            <v>FB260008940</v>
          </cell>
          <cell r="D7289" t="str">
            <v>PINK</v>
          </cell>
        </row>
        <row r="7290">
          <cell r="A7290" t="str">
            <v>FB260008942</v>
          </cell>
          <cell r="D7290" t="str">
            <v>M&amp;S</v>
          </cell>
        </row>
        <row r="7291">
          <cell r="A7291" t="str">
            <v>FB260008943</v>
          </cell>
          <cell r="D7291" t="str">
            <v>M&amp;S</v>
          </cell>
        </row>
        <row r="7292">
          <cell r="A7292" t="str">
            <v>FB260008944</v>
          </cell>
          <cell r="D7292" t="str">
            <v>NIK</v>
          </cell>
        </row>
        <row r="7293">
          <cell r="A7293" t="str">
            <v>FB260008945</v>
          </cell>
          <cell r="D7293" t="str">
            <v>NIK</v>
          </cell>
        </row>
        <row r="7294">
          <cell r="A7294" t="str">
            <v>FB260008946</v>
          </cell>
          <cell r="D7294" t="str">
            <v>NIK</v>
          </cell>
        </row>
        <row r="7295">
          <cell r="A7295" t="str">
            <v>FB260008947</v>
          </cell>
          <cell r="D7295" t="str">
            <v>NIK</v>
          </cell>
        </row>
        <row r="7296">
          <cell r="A7296" t="str">
            <v>FB260008948</v>
          </cell>
          <cell r="D7296" t="str">
            <v>NIK</v>
          </cell>
        </row>
        <row r="7297">
          <cell r="A7297" t="str">
            <v>FB260008949</v>
          </cell>
          <cell r="D7297" t="str">
            <v>NIK</v>
          </cell>
        </row>
        <row r="7298">
          <cell r="A7298" t="str">
            <v>FB260008950</v>
          </cell>
          <cell r="D7298" t="str">
            <v>NIK</v>
          </cell>
        </row>
        <row r="7299">
          <cell r="A7299" t="str">
            <v>FB260008951</v>
          </cell>
          <cell r="D7299" t="str">
            <v>WACE</v>
          </cell>
        </row>
        <row r="7300">
          <cell r="A7300" t="str">
            <v>FB260008952</v>
          </cell>
          <cell r="D7300" t="str">
            <v>NIK</v>
          </cell>
        </row>
        <row r="7301">
          <cell r="A7301" t="str">
            <v>FB260008953</v>
          </cell>
          <cell r="D7301" t="str">
            <v>NIK</v>
          </cell>
        </row>
        <row r="7302">
          <cell r="A7302" t="str">
            <v>FB260008954</v>
          </cell>
          <cell r="D7302" t="str">
            <v>NIK</v>
          </cell>
        </row>
        <row r="7303">
          <cell r="A7303" t="str">
            <v>FB260008955</v>
          </cell>
          <cell r="D7303" t="str">
            <v>NIK</v>
          </cell>
        </row>
        <row r="7304">
          <cell r="A7304" t="str">
            <v>FB260008956</v>
          </cell>
          <cell r="D7304" t="str">
            <v>NIK</v>
          </cell>
        </row>
        <row r="7305">
          <cell r="A7305" t="str">
            <v>FB260008957</v>
          </cell>
          <cell r="D7305" t="str">
            <v>CHICOS</v>
          </cell>
        </row>
        <row r="7306">
          <cell r="A7306" t="str">
            <v>FB260008958</v>
          </cell>
          <cell r="D7306" t="str">
            <v>LULU</v>
          </cell>
        </row>
        <row r="7307">
          <cell r="A7307" t="str">
            <v>FB260008959</v>
          </cell>
          <cell r="D7307" t="str">
            <v>NIK</v>
          </cell>
        </row>
        <row r="7308">
          <cell r="A7308" t="str">
            <v>FB260008960</v>
          </cell>
          <cell r="D7308" t="str">
            <v>NIK</v>
          </cell>
        </row>
        <row r="7309">
          <cell r="A7309" t="str">
            <v>FB260008961</v>
          </cell>
          <cell r="D7309" t="str">
            <v>NIK</v>
          </cell>
        </row>
        <row r="7310">
          <cell r="A7310" t="str">
            <v>FB260008962</v>
          </cell>
          <cell r="D7310" t="str">
            <v>NIK</v>
          </cell>
        </row>
        <row r="7311">
          <cell r="A7311" t="str">
            <v>FB260008963</v>
          </cell>
          <cell r="D7311" t="str">
            <v>NIK</v>
          </cell>
        </row>
        <row r="7312">
          <cell r="A7312" t="str">
            <v>FB260008967</v>
          </cell>
          <cell r="D7312" t="str">
            <v>PINK</v>
          </cell>
        </row>
        <row r="7313">
          <cell r="A7313" t="str">
            <v>FB260008968</v>
          </cell>
          <cell r="D7313" t="str">
            <v>PINK</v>
          </cell>
        </row>
        <row r="7314">
          <cell r="A7314" t="str">
            <v>FB260008969</v>
          </cell>
          <cell r="D7314" t="str">
            <v>NIK</v>
          </cell>
        </row>
        <row r="7315">
          <cell r="A7315" t="str">
            <v>FB260008971</v>
          </cell>
          <cell r="D7315" t="str">
            <v>NIK</v>
          </cell>
        </row>
        <row r="7316">
          <cell r="A7316" t="str">
            <v>FB260008972</v>
          </cell>
          <cell r="D7316" t="str">
            <v>NIK</v>
          </cell>
        </row>
        <row r="7317">
          <cell r="A7317" t="str">
            <v>FB260008974</v>
          </cell>
          <cell r="D7317" t="str">
            <v>WACE</v>
          </cell>
        </row>
        <row r="7318">
          <cell r="A7318" t="str">
            <v>FB260008975</v>
          </cell>
          <cell r="D7318" t="str">
            <v>M&amp;S</v>
          </cell>
        </row>
        <row r="7319">
          <cell r="A7319" t="str">
            <v>FB260008976</v>
          </cell>
          <cell r="D7319" t="str">
            <v>LULU</v>
          </cell>
        </row>
        <row r="7320">
          <cell r="A7320" t="str">
            <v>FB260008977</v>
          </cell>
          <cell r="D7320" t="str">
            <v>M&amp;S</v>
          </cell>
        </row>
        <row r="7321">
          <cell r="A7321" t="str">
            <v>FB260008978</v>
          </cell>
          <cell r="D7321" t="str">
            <v>M&amp;S</v>
          </cell>
        </row>
        <row r="7322">
          <cell r="A7322" t="str">
            <v>FB260008979</v>
          </cell>
          <cell r="D7322" t="str">
            <v>TESCO</v>
          </cell>
        </row>
        <row r="7323">
          <cell r="A7323" t="str">
            <v>FB260008980</v>
          </cell>
          <cell r="D7323" t="str">
            <v>TESCO</v>
          </cell>
        </row>
        <row r="7324">
          <cell r="A7324" t="str">
            <v>FB260008981</v>
          </cell>
          <cell r="D7324" t="str">
            <v>TESCO</v>
          </cell>
        </row>
        <row r="7325">
          <cell r="A7325" t="str">
            <v>FB260008982</v>
          </cell>
          <cell r="D7325" t="str">
            <v>TESCO</v>
          </cell>
        </row>
        <row r="7326">
          <cell r="A7326" t="str">
            <v>FB260008983</v>
          </cell>
          <cell r="D7326" t="str">
            <v>LBI</v>
          </cell>
        </row>
        <row r="7327">
          <cell r="A7327" t="str">
            <v>FB260008984</v>
          </cell>
          <cell r="D7327" t="str">
            <v>LBI</v>
          </cell>
        </row>
        <row r="7328">
          <cell r="A7328" t="str">
            <v>FB260008985</v>
          </cell>
          <cell r="D7328" t="str">
            <v>LBI</v>
          </cell>
        </row>
        <row r="7329">
          <cell r="A7329" t="str">
            <v>FB260008986</v>
          </cell>
          <cell r="D7329" t="str">
            <v>LBI</v>
          </cell>
        </row>
        <row r="7330">
          <cell r="A7330" t="str">
            <v>FB260008987</v>
          </cell>
          <cell r="D7330" t="str">
            <v>LBI</v>
          </cell>
        </row>
        <row r="7331">
          <cell r="A7331" t="str">
            <v>FB260008988</v>
          </cell>
          <cell r="D7331" t="str">
            <v>LBI</v>
          </cell>
        </row>
        <row r="7332">
          <cell r="A7332" t="str">
            <v>FB260008989</v>
          </cell>
          <cell r="D7332" t="str">
            <v>LBI</v>
          </cell>
        </row>
        <row r="7333">
          <cell r="A7333" t="str">
            <v>FB260008990</v>
          </cell>
          <cell r="D7333" t="str">
            <v>LBI</v>
          </cell>
        </row>
        <row r="7334">
          <cell r="A7334" t="str">
            <v>FB260008991</v>
          </cell>
          <cell r="D7334" t="str">
            <v>LBI</v>
          </cell>
        </row>
        <row r="7335">
          <cell r="A7335" t="str">
            <v>FB260008992</v>
          </cell>
          <cell r="D7335" t="str">
            <v>CK</v>
          </cell>
        </row>
        <row r="7336">
          <cell r="A7336" t="str">
            <v>FB260008993</v>
          </cell>
          <cell r="D7336" t="str">
            <v>CK</v>
          </cell>
        </row>
        <row r="7337">
          <cell r="A7337" t="str">
            <v>FB260008995</v>
          </cell>
          <cell r="D7337" t="str">
            <v>CK</v>
          </cell>
        </row>
        <row r="7338">
          <cell r="A7338" t="str">
            <v>FB260008996</v>
          </cell>
          <cell r="D7338" t="str">
            <v>CK</v>
          </cell>
        </row>
        <row r="7339">
          <cell r="A7339" t="str">
            <v>FB260008997</v>
          </cell>
          <cell r="D7339" t="str">
            <v>CK</v>
          </cell>
        </row>
        <row r="7340">
          <cell r="A7340" t="str">
            <v>FB260008998</v>
          </cell>
          <cell r="D7340" t="str">
            <v>CK</v>
          </cell>
        </row>
        <row r="7341">
          <cell r="A7341" t="str">
            <v>FB260008999</v>
          </cell>
          <cell r="D7341" t="str">
            <v>CK</v>
          </cell>
        </row>
        <row r="7342">
          <cell r="A7342" t="str">
            <v>FB260009000</v>
          </cell>
          <cell r="D7342" t="str">
            <v>CK</v>
          </cell>
        </row>
        <row r="7343">
          <cell r="A7343" t="str">
            <v>FB260009001</v>
          </cell>
          <cell r="D7343" t="str">
            <v>CK</v>
          </cell>
        </row>
        <row r="7344">
          <cell r="A7344" t="str">
            <v>FB260009002</v>
          </cell>
          <cell r="D7344" t="str">
            <v>CK</v>
          </cell>
        </row>
        <row r="7345">
          <cell r="A7345" t="str">
            <v>FB260009003</v>
          </cell>
          <cell r="D7345" t="str">
            <v>CK</v>
          </cell>
        </row>
        <row r="7346">
          <cell r="A7346" t="str">
            <v>FB260009004</v>
          </cell>
          <cell r="D7346" t="str">
            <v>CK</v>
          </cell>
        </row>
        <row r="7347">
          <cell r="A7347" t="str">
            <v>FB260009005</v>
          </cell>
          <cell r="D7347" t="str">
            <v>CK</v>
          </cell>
        </row>
        <row r="7348">
          <cell r="A7348" t="str">
            <v>FB260009006</v>
          </cell>
          <cell r="D7348" t="str">
            <v>LULU</v>
          </cell>
        </row>
        <row r="7349">
          <cell r="A7349" t="str">
            <v>FB260009007</v>
          </cell>
          <cell r="D7349" t="str">
            <v>CHICOS</v>
          </cell>
        </row>
        <row r="7350">
          <cell r="A7350" t="str">
            <v>FB260009008</v>
          </cell>
          <cell r="D7350" t="str">
            <v>LBI</v>
          </cell>
        </row>
        <row r="7351">
          <cell r="A7351" t="str">
            <v>FB260009010</v>
          </cell>
          <cell r="D7351" t="str">
            <v>VSS</v>
          </cell>
        </row>
        <row r="7352">
          <cell r="A7352" t="str">
            <v>FB260009011</v>
          </cell>
          <cell r="D7352" t="str">
            <v>LULU</v>
          </cell>
        </row>
        <row r="7353">
          <cell r="A7353" t="str">
            <v>FB260009012</v>
          </cell>
          <cell r="D7353" t="str">
            <v>LULU</v>
          </cell>
        </row>
        <row r="7354">
          <cell r="A7354" t="str">
            <v>FB260009013</v>
          </cell>
          <cell r="D7354" t="str">
            <v>CK</v>
          </cell>
        </row>
        <row r="7355">
          <cell r="A7355" t="str">
            <v>FB260009014</v>
          </cell>
          <cell r="D7355" t="str">
            <v>CK</v>
          </cell>
        </row>
        <row r="7356">
          <cell r="A7356" t="str">
            <v>FB260009015</v>
          </cell>
          <cell r="D7356" t="str">
            <v>CK</v>
          </cell>
        </row>
        <row r="7357">
          <cell r="A7357" t="str">
            <v>FB260009016</v>
          </cell>
          <cell r="D7357" t="str">
            <v>CK</v>
          </cell>
        </row>
        <row r="7358">
          <cell r="A7358" t="str">
            <v>FB260009017</v>
          </cell>
          <cell r="D7358" t="str">
            <v>CK</v>
          </cell>
        </row>
        <row r="7359">
          <cell r="A7359" t="str">
            <v>FB260009018</v>
          </cell>
          <cell r="D7359" t="str">
            <v>NEWB</v>
          </cell>
        </row>
        <row r="7360">
          <cell r="A7360" t="str">
            <v>FB260009020</v>
          </cell>
          <cell r="D7360" t="str">
            <v>NEWB</v>
          </cell>
        </row>
        <row r="7361">
          <cell r="A7361" t="str">
            <v>FB260009027</v>
          </cell>
          <cell r="D7361" t="str">
            <v>WACE</v>
          </cell>
        </row>
        <row r="7362">
          <cell r="A7362" t="str">
            <v>FB260009030</v>
          </cell>
          <cell r="D7362" t="str">
            <v>NEWB</v>
          </cell>
        </row>
        <row r="7363">
          <cell r="A7363" t="str">
            <v>FB260009031</v>
          </cell>
          <cell r="D7363" t="str">
            <v>NEWB</v>
          </cell>
        </row>
        <row r="7364">
          <cell r="A7364" t="str">
            <v>FB260009032</v>
          </cell>
          <cell r="D7364" t="str">
            <v>NEWB</v>
          </cell>
        </row>
        <row r="7365">
          <cell r="A7365" t="str">
            <v>FB260009033</v>
          </cell>
          <cell r="D7365" t="str">
            <v>WACE</v>
          </cell>
        </row>
        <row r="7366">
          <cell r="A7366" t="str">
            <v>FB260009034</v>
          </cell>
          <cell r="D7366" t="str">
            <v>NIK</v>
          </cell>
        </row>
        <row r="7367">
          <cell r="A7367" t="str">
            <v>FB260009035</v>
          </cell>
          <cell r="D7367" t="str">
            <v>WACE</v>
          </cell>
        </row>
        <row r="7368">
          <cell r="A7368" t="str">
            <v>FB260009036</v>
          </cell>
          <cell r="D7368" t="str">
            <v>CK</v>
          </cell>
        </row>
        <row r="7369">
          <cell r="A7369" t="str">
            <v>FB260009037</v>
          </cell>
          <cell r="D7369" t="str">
            <v>CK</v>
          </cell>
        </row>
        <row r="7370">
          <cell r="A7370" t="str">
            <v>FB260009038</v>
          </cell>
          <cell r="D7370" t="str">
            <v>WACE</v>
          </cell>
        </row>
        <row r="7371">
          <cell r="A7371" t="str">
            <v>FB260009039</v>
          </cell>
          <cell r="D7371" t="str">
            <v>CK</v>
          </cell>
        </row>
        <row r="7372">
          <cell r="A7372" t="str">
            <v>FB260009040</v>
          </cell>
          <cell r="D7372" t="str">
            <v>WACE</v>
          </cell>
        </row>
        <row r="7373">
          <cell r="A7373" t="str">
            <v>FB260009041</v>
          </cell>
          <cell r="D7373" t="str">
            <v>WACE</v>
          </cell>
        </row>
        <row r="7374">
          <cell r="A7374" t="str">
            <v>FB260009043</v>
          </cell>
          <cell r="D7374" t="str">
            <v>WACE</v>
          </cell>
        </row>
        <row r="7375">
          <cell r="A7375" t="str">
            <v>FB260009044</v>
          </cell>
          <cell r="D7375" t="str">
            <v>CK</v>
          </cell>
        </row>
        <row r="7376">
          <cell r="A7376" t="str">
            <v>FB260009046</v>
          </cell>
          <cell r="D7376" t="str">
            <v>CK</v>
          </cell>
        </row>
        <row r="7377">
          <cell r="A7377" t="str">
            <v>FB260009047</v>
          </cell>
          <cell r="D7377" t="str">
            <v>WACE</v>
          </cell>
        </row>
        <row r="7378">
          <cell r="A7378" t="str">
            <v>FB260009048</v>
          </cell>
          <cell r="D7378" t="str">
            <v>WACE</v>
          </cell>
        </row>
        <row r="7379">
          <cell r="A7379" t="str">
            <v>FB260009049</v>
          </cell>
          <cell r="D7379" t="str">
            <v>PINK</v>
          </cell>
        </row>
        <row r="7380">
          <cell r="A7380" t="str">
            <v>FB260009050</v>
          </cell>
          <cell r="D7380" t="str">
            <v>WACE</v>
          </cell>
        </row>
        <row r="7381">
          <cell r="A7381" t="str">
            <v>FB260009051</v>
          </cell>
          <cell r="D7381" t="str">
            <v>VSS</v>
          </cell>
        </row>
        <row r="7382">
          <cell r="A7382" t="str">
            <v>FB260009052</v>
          </cell>
          <cell r="D7382" t="str">
            <v>LULU</v>
          </cell>
        </row>
        <row r="7383">
          <cell r="A7383" t="str">
            <v>FB260009054</v>
          </cell>
          <cell r="D7383" t="str">
            <v>VSS</v>
          </cell>
        </row>
        <row r="7384">
          <cell r="A7384" t="str">
            <v>FB260009055</v>
          </cell>
          <cell r="D7384" t="str">
            <v>VSS</v>
          </cell>
        </row>
        <row r="7385">
          <cell r="A7385" t="str">
            <v>FB260009057</v>
          </cell>
          <cell r="D7385" t="str">
            <v>VSS</v>
          </cell>
        </row>
        <row r="7386">
          <cell r="A7386" t="str">
            <v>FB260009059</v>
          </cell>
          <cell r="D7386" t="str">
            <v>VSS</v>
          </cell>
        </row>
        <row r="7387">
          <cell r="A7387" t="str">
            <v>FB260009060</v>
          </cell>
          <cell r="D7387" t="str">
            <v>WACE</v>
          </cell>
        </row>
        <row r="7388">
          <cell r="A7388" t="str">
            <v>FB260009061</v>
          </cell>
          <cell r="D7388" t="str">
            <v>WACE</v>
          </cell>
        </row>
        <row r="7389">
          <cell r="A7389" t="str">
            <v>FB260009062</v>
          </cell>
          <cell r="D7389" t="str">
            <v>WACE</v>
          </cell>
        </row>
        <row r="7390">
          <cell r="A7390" t="str">
            <v>FB260009064</v>
          </cell>
          <cell r="D7390" t="str">
            <v>VSS</v>
          </cell>
        </row>
        <row r="7391">
          <cell r="A7391" t="str">
            <v>FB260009066</v>
          </cell>
          <cell r="D7391" t="str">
            <v>HAR</v>
          </cell>
        </row>
        <row r="7392">
          <cell r="A7392" t="str">
            <v>FB260009067</v>
          </cell>
          <cell r="D7392" t="str">
            <v>HAR</v>
          </cell>
        </row>
        <row r="7393">
          <cell r="A7393" t="str">
            <v>FB260009069</v>
          </cell>
          <cell r="D7393" t="str">
            <v>CK</v>
          </cell>
        </row>
        <row r="7394">
          <cell r="A7394" t="str">
            <v>FB260009070</v>
          </cell>
          <cell r="D7394" t="str">
            <v>WACE</v>
          </cell>
        </row>
        <row r="7395">
          <cell r="A7395" t="str">
            <v>FB260009071</v>
          </cell>
          <cell r="D7395" t="str">
            <v>WACE</v>
          </cell>
        </row>
        <row r="7396">
          <cell r="A7396" t="str">
            <v>FB260009073</v>
          </cell>
          <cell r="D7396" t="str">
            <v>WACE</v>
          </cell>
        </row>
        <row r="7397">
          <cell r="A7397" t="str">
            <v>FB260009074</v>
          </cell>
          <cell r="D7397" t="str">
            <v>WACE</v>
          </cell>
        </row>
        <row r="7398">
          <cell r="A7398" t="str">
            <v>FB260009075</v>
          </cell>
          <cell r="D7398" t="str">
            <v>WACE</v>
          </cell>
        </row>
        <row r="7399">
          <cell r="A7399" t="str">
            <v>FB260009076</v>
          </cell>
          <cell r="D7399" t="str">
            <v>WACE</v>
          </cell>
        </row>
        <row r="7400">
          <cell r="A7400" t="str">
            <v>FB260009077</v>
          </cell>
          <cell r="D7400" t="str">
            <v>WACE</v>
          </cell>
        </row>
        <row r="7401">
          <cell r="A7401" t="str">
            <v>FB260009079</v>
          </cell>
          <cell r="D7401" t="str">
            <v>LULU</v>
          </cell>
        </row>
        <row r="7402">
          <cell r="A7402" t="str">
            <v>FB260009080</v>
          </cell>
          <cell r="D7402" t="str">
            <v>WACE</v>
          </cell>
        </row>
        <row r="7403">
          <cell r="A7403" t="str">
            <v>FB260009082</v>
          </cell>
          <cell r="D7403" t="str">
            <v>VSS</v>
          </cell>
        </row>
        <row r="7404">
          <cell r="A7404" t="str">
            <v>FB260009083</v>
          </cell>
          <cell r="D7404" t="str">
            <v>NIK</v>
          </cell>
        </row>
        <row r="7405">
          <cell r="A7405" t="str">
            <v>FB260009084</v>
          </cell>
          <cell r="D7405" t="str">
            <v>NIK</v>
          </cell>
        </row>
        <row r="7406">
          <cell r="A7406" t="str">
            <v>FB260009085</v>
          </cell>
          <cell r="D7406" t="str">
            <v>NIK</v>
          </cell>
        </row>
        <row r="7407">
          <cell r="A7407" t="str">
            <v>FB260009087</v>
          </cell>
          <cell r="D7407" t="str">
            <v>NIK</v>
          </cell>
        </row>
        <row r="7408">
          <cell r="A7408" t="str">
            <v>FB260009088</v>
          </cell>
          <cell r="D7408" t="str">
            <v>VSS</v>
          </cell>
        </row>
        <row r="7409">
          <cell r="A7409" t="str">
            <v>FB260009089</v>
          </cell>
          <cell r="D7409" t="str">
            <v>VSS</v>
          </cell>
        </row>
        <row r="7410">
          <cell r="A7410" t="str">
            <v>FB260009091</v>
          </cell>
          <cell r="D7410" t="str">
            <v>VSS</v>
          </cell>
        </row>
        <row r="7411">
          <cell r="A7411" t="str">
            <v>FB260009092</v>
          </cell>
          <cell r="D7411" t="str">
            <v>M&amp;S</v>
          </cell>
        </row>
        <row r="7412">
          <cell r="A7412" t="str">
            <v>FB260009093</v>
          </cell>
          <cell r="D7412" t="str">
            <v>M&amp;S</v>
          </cell>
        </row>
        <row r="7413">
          <cell r="A7413" t="str">
            <v>FB260009098</v>
          </cell>
          <cell r="D7413" t="str">
            <v>WACE</v>
          </cell>
        </row>
        <row r="7414">
          <cell r="A7414" t="str">
            <v>FB260009100</v>
          </cell>
          <cell r="D7414" t="str">
            <v>NIK</v>
          </cell>
        </row>
        <row r="7415">
          <cell r="A7415" t="str">
            <v>FB260009102</v>
          </cell>
          <cell r="D7415" t="str">
            <v>VSS</v>
          </cell>
        </row>
        <row r="7416">
          <cell r="A7416" t="str">
            <v>FB260009103</v>
          </cell>
          <cell r="D7416" t="str">
            <v>VSS</v>
          </cell>
        </row>
        <row r="7417">
          <cell r="A7417" t="str">
            <v>FB260009104</v>
          </cell>
          <cell r="D7417" t="str">
            <v>VSS</v>
          </cell>
        </row>
        <row r="7418">
          <cell r="A7418" t="str">
            <v>FB260009105</v>
          </cell>
          <cell r="D7418" t="str">
            <v>VSS</v>
          </cell>
        </row>
        <row r="7419">
          <cell r="A7419" t="str">
            <v>FB260009106</v>
          </cell>
          <cell r="D7419" t="str">
            <v>VSS</v>
          </cell>
        </row>
        <row r="7420">
          <cell r="A7420" t="str">
            <v>FB260009107</v>
          </cell>
          <cell r="D7420" t="str">
            <v>VSS</v>
          </cell>
        </row>
        <row r="7421">
          <cell r="A7421" t="str">
            <v>FB260009108</v>
          </cell>
          <cell r="D7421" t="str">
            <v>VSS</v>
          </cell>
        </row>
        <row r="7422">
          <cell r="A7422" t="str">
            <v>FB260009109</v>
          </cell>
          <cell r="D7422" t="str">
            <v>VSS</v>
          </cell>
        </row>
        <row r="7423">
          <cell r="A7423" t="str">
            <v>FB260009110</v>
          </cell>
          <cell r="D7423" t="str">
            <v>VSS</v>
          </cell>
        </row>
        <row r="7424">
          <cell r="A7424" t="str">
            <v>FB260009111</v>
          </cell>
          <cell r="D7424" t="str">
            <v>VSS</v>
          </cell>
        </row>
        <row r="7425">
          <cell r="A7425" t="str">
            <v>FB260009112</v>
          </cell>
          <cell r="D7425" t="str">
            <v>VSS</v>
          </cell>
        </row>
        <row r="7426">
          <cell r="A7426" t="str">
            <v>FB260009113</v>
          </cell>
          <cell r="D7426" t="str">
            <v>VSS</v>
          </cell>
        </row>
        <row r="7427">
          <cell r="A7427" t="str">
            <v>FB260009114</v>
          </cell>
          <cell r="D7427" t="str">
            <v>VSS</v>
          </cell>
        </row>
        <row r="7428">
          <cell r="A7428" t="str">
            <v>FB260009115</v>
          </cell>
          <cell r="D7428" t="str">
            <v>VSS</v>
          </cell>
        </row>
        <row r="7429">
          <cell r="A7429" t="str">
            <v>FB260009116</v>
          </cell>
          <cell r="D7429" t="str">
            <v>WACE</v>
          </cell>
        </row>
        <row r="7430">
          <cell r="A7430" t="str">
            <v>FB260009118</v>
          </cell>
          <cell r="D7430" t="str">
            <v>VSS</v>
          </cell>
        </row>
        <row r="7431">
          <cell r="A7431" t="str">
            <v>FB260009119</v>
          </cell>
          <cell r="D7431" t="str">
            <v>VSS</v>
          </cell>
        </row>
        <row r="7432">
          <cell r="A7432" t="str">
            <v>FB260009120</v>
          </cell>
          <cell r="D7432" t="str">
            <v>VSS</v>
          </cell>
        </row>
        <row r="7433">
          <cell r="A7433" t="str">
            <v>FB260009121</v>
          </cell>
          <cell r="D7433" t="str">
            <v>VSS</v>
          </cell>
        </row>
        <row r="7434">
          <cell r="A7434" t="str">
            <v>FB260009126</v>
          </cell>
          <cell r="D7434" t="str">
            <v>NKSKI</v>
          </cell>
        </row>
        <row r="7435">
          <cell r="A7435" t="str">
            <v>FB260009127</v>
          </cell>
          <cell r="D7435" t="str">
            <v>VSS</v>
          </cell>
        </row>
        <row r="7436">
          <cell r="A7436" t="str">
            <v>FB260009128</v>
          </cell>
          <cell r="D7436" t="str">
            <v>VSS</v>
          </cell>
        </row>
        <row r="7437">
          <cell r="A7437" t="str">
            <v>FB260009135</v>
          </cell>
          <cell r="D7437" t="str">
            <v>WACE</v>
          </cell>
        </row>
        <row r="7438">
          <cell r="A7438" t="str">
            <v>FB260009137</v>
          </cell>
          <cell r="D7438" t="str">
            <v>VSS</v>
          </cell>
        </row>
        <row r="7439">
          <cell r="A7439" t="str">
            <v>FB260009139</v>
          </cell>
          <cell r="D7439" t="str">
            <v>VSS</v>
          </cell>
        </row>
        <row r="7440">
          <cell r="A7440" t="str">
            <v>FB260009140</v>
          </cell>
          <cell r="D7440" t="str">
            <v>VSS</v>
          </cell>
        </row>
        <row r="7441">
          <cell r="A7441" t="str">
            <v>FB260009141</v>
          </cell>
          <cell r="D7441" t="str">
            <v>VSS</v>
          </cell>
        </row>
        <row r="7442">
          <cell r="A7442" t="str">
            <v>FB260009142</v>
          </cell>
          <cell r="D7442" t="str">
            <v>VSS</v>
          </cell>
        </row>
        <row r="7443">
          <cell r="A7443" t="str">
            <v>FB260009143</v>
          </cell>
          <cell r="D7443" t="str">
            <v>VSS</v>
          </cell>
        </row>
        <row r="7444">
          <cell r="A7444" t="str">
            <v>FB260009144</v>
          </cell>
          <cell r="D7444" t="str">
            <v>VSS</v>
          </cell>
        </row>
        <row r="7445">
          <cell r="A7445" t="str">
            <v>FB260009145</v>
          </cell>
          <cell r="D7445" t="str">
            <v>VSS</v>
          </cell>
        </row>
        <row r="7446">
          <cell r="A7446" t="str">
            <v>FB260009146</v>
          </cell>
          <cell r="D7446" t="str">
            <v>VSS</v>
          </cell>
        </row>
        <row r="7447">
          <cell r="A7447" t="str">
            <v>FB260009147</v>
          </cell>
          <cell r="D7447" t="str">
            <v>VSS</v>
          </cell>
        </row>
        <row r="7448">
          <cell r="A7448" t="str">
            <v>FB260009148</v>
          </cell>
          <cell r="D7448" t="str">
            <v>VSS</v>
          </cell>
        </row>
        <row r="7449">
          <cell r="A7449" t="str">
            <v>FB260009149</v>
          </cell>
          <cell r="D7449" t="str">
            <v>VSS</v>
          </cell>
        </row>
        <row r="7450">
          <cell r="A7450" t="str">
            <v>FB260009150</v>
          </cell>
          <cell r="D7450" t="str">
            <v>WACE</v>
          </cell>
        </row>
        <row r="7451">
          <cell r="A7451" t="str">
            <v>FB260009151</v>
          </cell>
          <cell r="D7451" t="str">
            <v>WACE</v>
          </cell>
        </row>
        <row r="7452">
          <cell r="A7452" t="str">
            <v>FB260009152</v>
          </cell>
          <cell r="D7452" t="str">
            <v>PINK</v>
          </cell>
        </row>
        <row r="7453">
          <cell r="A7453" t="str">
            <v>FB260009153</v>
          </cell>
          <cell r="D7453" t="str">
            <v>PINK</v>
          </cell>
        </row>
        <row r="7454">
          <cell r="A7454" t="str">
            <v>FB260009154</v>
          </cell>
          <cell r="D7454" t="str">
            <v>VSS</v>
          </cell>
        </row>
        <row r="7455">
          <cell r="A7455" t="str">
            <v>FB260009155</v>
          </cell>
          <cell r="D7455" t="str">
            <v>WACE</v>
          </cell>
        </row>
        <row r="7456">
          <cell r="A7456" t="str">
            <v>FB260009158</v>
          </cell>
          <cell r="D7456" t="str">
            <v>VSS</v>
          </cell>
        </row>
        <row r="7457">
          <cell r="A7457" t="str">
            <v>FB260009159</v>
          </cell>
          <cell r="D7457" t="str">
            <v>VSS</v>
          </cell>
        </row>
        <row r="7458">
          <cell r="A7458" t="str">
            <v>FB260009160</v>
          </cell>
          <cell r="D7458" t="str">
            <v>VSS</v>
          </cell>
        </row>
        <row r="7459">
          <cell r="A7459" t="str">
            <v>FB260009161</v>
          </cell>
          <cell r="D7459" t="str">
            <v>VSS</v>
          </cell>
        </row>
        <row r="7460">
          <cell r="A7460" t="str">
            <v>FB260009162</v>
          </cell>
          <cell r="D7460" t="str">
            <v>VSS</v>
          </cell>
        </row>
        <row r="7461">
          <cell r="A7461" t="str">
            <v>FB260009163</v>
          </cell>
          <cell r="D7461" t="str">
            <v>LBI</v>
          </cell>
        </row>
        <row r="7462">
          <cell r="A7462" t="str">
            <v>FB260009164</v>
          </cell>
          <cell r="D7462" t="str">
            <v>WACE</v>
          </cell>
        </row>
        <row r="7463">
          <cell r="A7463" t="str">
            <v>FB260009165</v>
          </cell>
          <cell r="D7463" t="str">
            <v>WACE</v>
          </cell>
        </row>
        <row r="7464">
          <cell r="A7464" t="str">
            <v>FB260009166</v>
          </cell>
          <cell r="D7464" t="str">
            <v>WACE</v>
          </cell>
        </row>
        <row r="7465">
          <cell r="A7465" t="str">
            <v>FB260009167</v>
          </cell>
          <cell r="D7465" t="str">
            <v>WACE</v>
          </cell>
        </row>
        <row r="7466">
          <cell r="A7466" t="str">
            <v>FB260009168</v>
          </cell>
          <cell r="D7466" t="str">
            <v>WACE</v>
          </cell>
        </row>
        <row r="7467">
          <cell r="A7467" t="str">
            <v>FB260009169</v>
          </cell>
          <cell r="D7467" t="str">
            <v>WACE</v>
          </cell>
        </row>
        <row r="7468">
          <cell r="A7468" t="str">
            <v>FB260009170</v>
          </cell>
          <cell r="D7468" t="str">
            <v>WACE</v>
          </cell>
        </row>
        <row r="7469">
          <cell r="A7469" t="str">
            <v>FB260009173</v>
          </cell>
          <cell r="D7469" t="str">
            <v>VSS</v>
          </cell>
        </row>
        <row r="7470">
          <cell r="A7470" t="str">
            <v>FB260009174</v>
          </cell>
          <cell r="D7470" t="str">
            <v>VSS</v>
          </cell>
        </row>
        <row r="7471">
          <cell r="A7471" t="str">
            <v>FB260009176</v>
          </cell>
          <cell r="D7471" t="str">
            <v>VSS</v>
          </cell>
        </row>
        <row r="7472">
          <cell r="A7472" t="str">
            <v>FB260009177</v>
          </cell>
          <cell r="D7472" t="str">
            <v>LBI</v>
          </cell>
        </row>
        <row r="7473">
          <cell r="A7473" t="str">
            <v>FB260009178</v>
          </cell>
          <cell r="D7473" t="str">
            <v>CK</v>
          </cell>
        </row>
        <row r="7474">
          <cell r="A7474" t="str">
            <v>FB260009181</v>
          </cell>
          <cell r="D7474" t="str">
            <v>WACE</v>
          </cell>
        </row>
        <row r="7475">
          <cell r="A7475" t="str">
            <v>FB260009182</v>
          </cell>
          <cell r="D7475" t="str">
            <v>WACE</v>
          </cell>
        </row>
        <row r="7476">
          <cell r="A7476" t="str">
            <v>FB260009183</v>
          </cell>
          <cell r="D7476" t="str">
            <v>WACE</v>
          </cell>
        </row>
        <row r="7477">
          <cell r="A7477" t="str">
            <v>FB260009184</v>
          </cell>
          <cell r="D7477" t="str">
            <v>WACE</v>
          </cell>
        </row>
        <row r="7478">
          <cell r="A7478" t="str">
            <v>FB260009185</v>
          </cell>
          <cell r="D7478" t="str">
            <v>WACE</v>
          </cell>
        </row>
        <row r="7479">
          <cell r="A7479" t="str">
            <v>FB260009186</v>
          </cell>
          <cell r="D7479" t="str">
            <v>WACE</v>
          </cell>
        </row>
        <row r="7480">
          <cell r="A7480" t="str">
            <v>FB260009189</v>
          </cell>
          <cell r="D7480" t="str">
            <v>VSS</v>
          </cell>
        </row>
        <row r="7481">
          <cell r="A7481" t="str">
            <v>FB260009190</v>
          </cell>
          <cell r="D7481" t="str">
            <v>VSS</v>
          </cell>
        </row>
        <row r="7482">
          <cell r="A7482" t="str">
            <v>FB260009197</v>
          </cell>
          <cell r="D7482" t="str">
            <v>NEWB</v>
          </cell>
        </row>
        <row r="7483">
          <cell r="A7483" t="str">
            <v>FB260009198</v>
          </cell>
          <cell r="D7483" t="str">
            <v>THEU</v>
          </cell>
        </row>
        <row r="7484">
          <cell r="A7484" t="str">
            <v>FB260009199</v>
          </cell>
          <cell r="D7484" t="str">
            <v>THEU</v>
          </cell>
        </row>
        <row r="7485">
          <cell r="A7485" t="str">
            <v>FB260009200</v>
          </cell>
          <cell r="D7485" t="str">
            <v>GAP</v>
          </cell>
        </row>
        <row r="7486">
          <cell r="A7486" t="str">
            <v>FB260009201</v>
          </cell>
          <cell r="D7486" t="str">
            <v>CK</v>
          </cell>
        </row>
        <row r="7487">
          <cell r="A7487" t="str">
            <v>FB260009202</v>
          </cell>
          <cell r="D7487" t="str">
            <v>WACE</v>
          </cell>
        </row>
        <row r="7488">
          <cell r="A7488" t="str">
            <v>FB260009204</v>
          </cell>
          <cell r="D7488" t="str">
            <v>CK</v>
          </cell>
        </row>
        <row r="7489">
          <cell r="A7489" t="str">
            <v>FB260009205</v>
          </cell>
          <cell r="D7489" t="str">
            <v>LBI</v>
          </cell>
        </row>
        <row r="7490">
          <cell r="A7490" t="str">
            <v>FB260009206</v>
          </cell>
          <cell r="D7490" t="str">
            <v>LBI</v>
          </cell>
        </row>
        <row r="7491">
          <cell r="A7491" t="str">
            <v>FB260009207</v>
          </cell>
          <cell r="D7491" t="str">
            <v>LULU</v>
          </cell>
        </row>
        <row r="7492">
          <cell r="A7492" t="str">
            <v>FB260009208</v>
          </cell>
          <cell r="D7492" t="str">
            <v>NIK</v>
          </cell>
        </row>
        <row r="7493">
          <cell r="A7493" t="str">
            <v>FB260009210</v>
          </cell>
          <cell r="D7493" t="str">
            <v>NIK</v>
          </cell>
        </row>
        <row r="7494">
          <cell r="A7494" t="str">
            <v>FB260009211</v>
          </cell>
          <cell r="D7494" t="str">
            <v>NIK</v>
          </cell>
        </row>
        <row r="7495">
          <cell r="A7495" t="str">
            <v>FB260009216</v>
          </cell>
          <cell r="D7495" t="str">
            <v>NKSKI</v>
          </cell>
        </row>
        <row r="7496">
          <cell r="A7496" t="str">
            <v>FB260009221</v>
          </cell>
          <cell r="D7496" t="str">
            <v>NEWB</v>
          </cell>
        </row>
        <row r="7497">
          <cell r="A7497" t="str">
            <v>FB260009222</v>
          </cell>
          <cell r="D7497" t="str">
            <v>NEWB</v>
          </cell>
        </row>
        <row r="7498">
          <cell r="A7498" t="str">
            <v>FB260009223</v>
          </cell>
          <cell r="D7498" t="str">
            <v>NEWB</v>
          </cell>
        </row>
        <row r="7499">
          <cell r="A7499" t="str">
            <v>FB260009224</v>
          </cell>
          <cell r="D7499" t="str">
            <v>NEWB</v>
          </cell>
        </row>
        <row r="7500">
          <cell r="A7500" t="str">
            <v>FB260009229</v>
          </cell>
          <cell r="D7500" t="str">
            <v>VSS</v>
          </cell>
        </row>
        <row r="7501">
          <cell r="A7501" t="str">
            <v>FB260009230</v>
          </cell>
          <cell r="D7501" t="str">
            <v>VSS</v>
          </cell>
        </row>
        <row r="7502">
          <cell r="A7502" t="str">
            <v>FB260009231</v>
          </cell>
          <cell r="D7502" t="str">
            <v>M&amp;S</v>
          </cell>
        </row>
        <row r="7503">
          <cell r="A7503" t="str">
            <v>FB260009232</v>
          </cell>
          <cell r="D7503" t="str">
            <v>M&amp;S</v>
          </cell>
        </row>
        <row r="7504">
          <cell r="A7504" t="str">
            <v>FB260009233</v>
          </cell>
          <cell r="D7504" t="str">
            <v>LBI</v>
          </cell>
        </row>
        <row r="7505">
          <cell r="A7505" t="str">
            <v>FB260009235</v>
          </cell>
          <cell r="D7505" t="str">
            <v>LBI</v>
          </cell>
        </row>
        <row r="7506">
          <cell r="A7506" t="str">
            <v>FB260009236</v>
          </cell>
          <cell r="D7506" t="str">
            <v>M&amp;S</v>
          </cell>
        </row>
        <row r="7507">
          <cell r="A7507" t="str">
            <v>FB260009237</v>
          </cell>
          <cell r="D7507" t="str">
            <v>LBI</v>
          </cell>
        </row>
        <row r="7508">
          <cell r="A7508" t="str">
            <v>FB260009238</v>
          </cell>
          <cell r="D7508" t="str">
            <v>M&amp;S</v>
          </cell>
        </row>
        <row r="7509">
          <cell r="A7509" t="str">
            <v>FB260009240</v>
          </cell>
          <cell r="D7509" t="str">
            <v>TORD</v>
          </cell>
        </row>
        <row r="7510">
          <cell r="A7510" t="str">
            <v>FB260009242</v>
          </cell>
          <cell r="D7510" t="str">
            <v>CK</v>
          </cell>
        </row>
        <row r="7511">
          <cell r="A7511" t="str">
            <v>FB260009243</v>
          </cell>
          <cell r="D7511" t="str">
            <v>TORD</v>
          </cell>
        </row>
        <row r="7512">
          <cell r="A7512" t="str">
            <v>FB260009244</v>
          </cell>
          <cell r="D7512" t="str">
            <v>CK</v>
          </cell>
        </row>
        <row r="7513">
          <cell r="A7513" t="str">
            <v>FB260009245</v>
          </cell>
          <cell r="D7513" t="str">
            <v>CK</v>
          </cell>
        </row>
        <row r="7514">
          <cell r="A7514" t="str">
            <v>FB260009247</v>
          </cell>
          <cell r="D7514" t="str">
            <v>LULU</v>
          </cell>
        </row>
        <row r="7515">
          <cell r="A7515" t="str">
            <v>FB260009248</v>
          </cell>
          <cell r="D7515" t="str">
            <v>WACE</v>
          </cell>
        </row>
        <row r="7516">
          <cell r="A7516" t="str">
            <v>FB260009249</v>
          </cell>
          <cell r="D7516" t="str">
            <v>WACE</v>
          </cell>
        </row>
        <row r="7517">
          <cell r="A7517" t="str">
            <v>FB260009250</v>
          </cell>
          <cell r="D7517" t="str">
            <v>WACE</v>
          </cell>
        </row>
        <row r="7518">
          <cell r="A7518" t="str">
            <v>FB260009251</v>
          </cell>
          <cell r="D7518" t="str">
            <v>WACE</v>
          </cell>
        </row>
        <row r="7519">
          <cell r="A7519" t="str">
            <v>FB260009253</v>
          </cell>
          <cell r="D7519" t="str">
            <v>LULU</v>
          </cell>
        </row>
        <row r="7520">
          <cell r="A7520" t="str">
            <v>FB260009254</v>
          </cell>
          <cell r="D7520" t="str">
            <v>NIK</v>
          </cell>
        </row>
        <row r="7521">
          <cell r="A7521" t="str">
            <v>FB260009255</v>
          </cell>
          <cell r="D7521" t="str">
            <v>LULU</v>
          </cell>
        </row>
        <row r="7522">
          <cell r="A7522" t="str">
            <v>FB260009256</v>
          </cell>
          <cell r="D7522" t="str">
            <v>LULU</v>
          </cell>
        </row>
        <row r="7523">
          <cell r="A7523" t="str">
            <v>FB260009257</v>
          </cell>
          <cell r="D7523" t="str">
            <v>LULU</v>
          </cell>
        </row>
        <row r="7524">
          <cell r="A7524" t="str">
            <v>FB260009258</v>
          </cell>
          <cell r="D7524" t="str">
            <v>LULU</v>
          </cell>
        </row>
        <row r="7525">
          <cell r="A7525" t="str">
            <v>FB260009259</v>
          </cell>
          <cell r="D7525" t="str">
            <v>LULU</v>
          </cell>
        </row>
        <row r="7526">
          <cell r="A7526" t="str">
            <v>FB260009260</v>
          </cell>
          <cell r="D7526" t="str">
            <v>VSS</v>
          </cell>
        </row>
        <row r="7527">
          <cell r="A7527" t="str">
            <v>FB260009261</v>
          </cell>
          <cell r="D7527" t="str">
            <v>LULU</v>
          </cell>
        </row>
        <row r="7528">
          <cell r="A7528" t="str">
            <v>FB260009262</v>
          </cell>
          <cell r="D7528" t="str">
            <v>LULU</v>
          </cell>
        </row>
        <row r="7529">
          <cell r="A7529" t="str">
            <v>FB260009263</v>
          </cell>
          <cell r="D7529" t="str">
            <v>LULU</v>
          </cell>
        </row>
        <row r="7530">
          <cell r="A7530" t="str">
            <v>FB260009264</v>
          </cell>
          <cell r="D7530" t="str">
            <v>LULU</v>
          </cell>
        </row>
        <row r="7531">
          <cell r="A7531" t="str">
            <v>FB260009265</v>
          </cell>
          <cell r="D7531" t="str">
            <v>LULU</v>
          </cell>
        </row>
        <row r="7532">
          <cell r="A7532" t="str">
            <v>FB260009266</v>
          </cell>
          <cell r="D7532" t="str">
            <v>LULU</v>
          </cell>
        </row>
        <row r="7533">
          <cell r="A7533" t="str">
            <v>FB260009267</v>
          </cell>
          <cell r="D7533" t="str">
            <v>LULU</v>
          </cell>
        </row>
        <row r="7534">
          <cell r="A7534" t="str">
            <v>FB260009268</v>
          </cell>
          <cell r="D7534" t="str">
            <v>LULU</v>
          </cell>
        </row>
        <row r="7535">
          <cell r="A7535" t="str">
            <v>FB260009270</v>
          </cell>
          <cell r="D7535" t="str">
            <v>LULU</v>
          </cell>
        </row>
        <row r="7536">
          <cell r="A7536" t="str">
            <v>FB260009271</v>
          </cell>
          <cell r="D7536" t="str">
            <v>LULU</v>
          </cell>
        </row>
        <row r="7537">
          <cell r="A7537" t="str">
            <v>FB260009273</v>
          </cell>
          <cell r="D7537" t="str">
            <v>VSS</v>
          </cell>
        </row>
        <row r="7538">
          <cell r="A7538" t="str">
            <v>FB260009274</v>
          </cell>
          <cell r="D7538" t="str">
            <v>VSS</v>
          </cell>
        </row>
        <row r="7539">
          <cell r="A7539" t="str">
            <v>FB260009275</v>
          </cell>
          <cell r="D7539" t="str">
            <v>LULU</v>
          </cell>
        </row>
        <row r="7540">
          <cell r="A7540" t="str">
            <v>FB260009276</v>
          </cell>
          <cell r="D7540" t="str">
            <v>LULU</v>
          </cell>
        </row>
        <row r="7541">
          <cell r="A7541" t="str">
            <v>FB260009277</v>
          </cell>
          <cell r="D7541" t="str">
            <v>LULU</v>
          </cell>
        </row>
        <row r="7542">
          <cell r="A7542" t="str">
            <v>FB260009278</v>
          </cell>
          <cell r="D7542" t="str">
            <v>LULU</v>
          </cell>
        </row>
        <row r="7543">
          <cell r="A7543" t="str">
            <v>FB260009279</v>
          </cell>
          <cell r="D7543" t="str">
            <v>KOM</v>
          </cell>
        </row>
        <row r="7544">
          <cell r="A7544" t="str">
            <v>FB260009280</v>
          </cell>
          <cell r="D7544" t="str">
            <v>LULU</v>
          </cell>
        </row>
        <row r="7545">
          <cell r="A7545" t="str">
            <v>FB260009281</v>
          </cell>
          <cell r="D7545" t="str">
            <v>LULU</v>
          </cell>
        </row>
        <row r="7546">
          <cell r="A7546" t="str">
            <v>FB260009282</v>
          </cell>
          <cell r="D7546" t="str">
            <v>LULU</v>
          </cell>
        </row>
        <row r="7547">
          <cell r="A7547" t="str">
            <v>FB260009283</v>
          </cell>
          <cell r="D7547" t="str">
            <v>LULU</v>
          </cell>
        </row>
        <row r="7548">
          <cell r="A7548" t="str">
            <v>FB260009284</v>
          </cell>
          <cell r="D7548" t="str">
            <v>LULU</v>
          </cell>
        </row>
        <row r="7549">
          <cell r="A7549" t="str">
            <v>FB260009285</v>
          </cell>
          <cell r="D7549" t="str">
            <v>LULU</v>
          </cell>
        </row>
        <row r="7550">
          <cell r="A7550" t="str">
            <v>FB260009286</v>
          </cell>
          <cell r="D7550" t="str">
            <v>LULU</v>
          </cell>
        </row>
        <row r="7551">
          <cell r="A7551" t="str">
            <v>FB260009287</v>
          </cell>
          <cell r="D7551" t="str">
            <v>LULU</v>
          </cell>
        </row>
        <row r="7552">
          <cell r="A7552" t="str">
            <v>FB260009288</v>
          </cell>
          <cell r="D7552" t="str">
            <v>LULU</v>
          </cell>
        </row>
        <row r="7553">
          <cell r="A7553" t="str">
            <v>FB260009289</v>
          </cell>
          <cell r="D7553" t="str">
            <v>LULU</v>
          </cell>
        </row>
        <row r="7554">
          <cell r="A7554" t="str">
            <v>FB260009290</v>
          </cell>
          <cell r="D7554" t="str">
            <v>PINK</v>
          </cell>
        </row>
        <row r="7555">
          <cell r="A7555" t="str">
            <v>FB260009291</v>
          </cell>
          <cell r="D7555" t="str">
            <v>PINK</v>
          </cell>
        </row>
        <row r="7556">
          <cell r="A7556" t="str">
            <v>FB260009292</v>
          </cell>
          <cell r="D7556" t="str">
            <v>PINK</v>
          </cell>
        </row>
        <row r="7557">
          <cell r="A7557" t="str">
            <v>FB260009293</v>
          </cell>
          <cell r="D7557" t="str">
            <v>THEU</v>
          </cell>
        </row>
        <row r="7558">
          <cell r="A7558" t="str">
            <v>FB260009296</v>
          </cell>
          <cell r="D7558" t="str">
            <v>CK</v>
          </cell>
        </row>
        <row r="7559">
          <cell r="A7559" t="str">
            <v>FB260009297</v>
          </cell>
          <cell r="D7559" t="str">
            <v>CK</v>
          </cell>
        </row>
        <row r="7560">
          <cell r="A7560" t="str">
            <v>FB260009298</v>
          </cell>
          <cell r="D7560" t="str">
            <v>CHICOS</v>
          </cell>
        </row>
        <row r="7561">
          <cell r="A7561" t="str">
            <v>FB260009299</v>
          </cell>
          <cell r="D7561" t="str">
            <v>CHICOS</v>
          </cell>
        </row>
        <row r="7562">
          <cell r="A7562" t="str">
            <v>FB260009300</v>
          </cell>
          <cell r="D7562" t="str">
            <v>NEWB</v>
          </cell>
        </row>
        <row r="7563">
          <cell r="A7563" t="str">
            <v>FB260009301</v>
          </cell>
          <cell r="D7563" t="str">
            <v>VSS</v>
          </cell>
        </row>
        <row r="7564">
          <cell r="A7564" t="str">
            <v>FB260009302</v>
          </cell>
          <cell r="D7564" t="str">
            <v>VSS</v>
          </cell>
        </row>
        <row r="7565">
          <cell r="A7565" t="str">
            <v>FB260009303</v>
          </cell>
          <cell r="D7565" t="str">
            <v>NEWB</v>
          </cell>
        </row>
        <row r="7566">
          <cell r="A7566" t="str">
            <v>FB260009305</v>
          </cell>
          <cell r="D7566" t="str">
            <v>CK</v>
          </cell>
        </row>
        <row r="7567">
          <cell r="A7567" t="str">
            <v>FB260009306</v>
          </cell>
          <cell r="D7567" t="str">
            <v>CK</v>
          </cell>
        </row>
        <row r="7568">
          <cell r="A7568" t="str">
            <v>FB260009307</v>
          </cell>
          <cell r="D7568" t="str">
            <v>M&amp;S</v>
          </cell>
        </row>
        <row r="7569">
          <cell r="A7569" t="str">
            <v>FB260009308</v>
          </cell>
          <cell r="D7569" t="str">
            <v>WACE</v>
          </cell>
        </row>
        <row r="7570">
          <cell r="A7570" t="str">
            <v>FB260009309</v>
          </cell>
          <cell r="D7570" t="str">
            <v>NIK</v>
          </cell>
        </row>
        <row r="7571">
          <cell r="A7571" t="str">
            <v>FB260009310</v>
          </cell>
          <cell r="D7571" t="str">
            <v>WACE</v>
          </cell>
        </row>
        <row r="7572">
          <cell r="A7572" t="str">
            <v>FB260009311</v>
          </cell>
          <cell r="D7572" t="str">
            <v>WACE</v>
          </cell>
        </row>
        <row r="7573">
          <cell r="A7573" t="str">
            <v>FB260009312</v>
          </cell>
          <cell r="D7573" t="str">
            <v>WACE</v>
          </cell>
        </row>
        <row r="7574">
          <cell r="A7574" t="str">
            <v>FB260009313</v>
          </cell>
          <cell r="D7574" t="str">
            <v>TORD</v>
          </cell>
        </row>
        <row r="7575">
          <cell r="A7575" t="str">
            <v>FB260009314</v>
          </cell>
          <cell r="D7575" t="str">
            <v>VSS</v>
          </cell>
        </row>
        <row r="7576">
          <cell r="A7576" t="str">
            <v>FB260009315</v>
          </cell>
          <cell r="D7576" t="str">
            <v>NEX</v>
          </cell>
        </row>
        <row r="7577">
          <cell r="A7577" t="str">
            <v>FB260009316</v>
          </cell>
          <cell r="D7577" t="str">
            <v>WACE</v>
          </cell>
        </row>
        <row r="7578">
          <cell r="A7578" t="str">
            <v>FB260009318</v>
          </cell>
          <cell r="D7578" t="str">
            <v>WACE</v>
          </cell>
        </row>
        <row r="7579">
          <cell r="A7579" t="str">
            <v>FB260009319</v>
          </cell>
          <cell r="D7579" t="str">
            <v>LBI</v>
          </cell>
        </row>
        <row r="7580">
          <cell r="A7580" t="str">
            <v>FB260009320</v>
          </cell>
          <cell r="D7580" t="str">
            <v>LBI</v>
          </cell>
        </row>
        <row r="7581">
          <cell r="A7581" t="str">
            <v>FB260009327</v>
          </cell>
          <cell r="D7581" t="str">
            <v>LULU</v>
          </cell>
        </row>
        <row r="7582">
          <cell r="A7582" t="str">
            <v>FB260009328</v>
          </cell>
          <cell r="D7582" t="str">
            <v>LULU</v>
          </cell>
        </row>
        <row r="7583">
          <cell r="A7583" t="str">
            <v>FB260009331</v>
          </cell>
          <cell r="D7583" t="str">
            <v>LBI</v>
          </cell>
        </row>
        <row r="7584">
          <cell r="A7584" t="str">
            <v>FB260009332</v>
          </cell>
          <cell r="D7584" t="str">
            <v>PEP</v>
          </cell>
        </row>
        <row r="7585">
          <cell r="A7585" t="str">
            <v>FB260009333</v>
          </cell>
          <cell r="D7585" t="str">
            <v>M&amp;S</v>
          </cell>
        </row>
        <row r="7586">
          <cell r="A7586" t="str">
            <v>FB260009334</v>
          </cell>
          <cell r="D7586" t="str">
            <v>CK</v>
          </cell>
        </row>
        <row r="7587">
          <cell r="A7587" t="str">
            <v>FB260009336</v>
          </cell>
          <cell r="D7587" t="str">
            <v>LULU</v>
          </cell>
        </row>
        <row r="7588">
          <cell r="A7588" t="str">
            <v>FB260009338</v>
          </cell>
          <cell r="D7588" t="str">
            <v>CK</v>
          </cell>
        </row>
        <row r="7589">
          <cell r="A7589" t="str">
            <v>FB260009339</v>
          </cell>
          <cell r="D7589" t="str">
            <v>CK</v>
          </cell>
        </row>
        <row r="7590">
          <cell r="A7590" t="str">
            <v>FB260009340</v>
          </cell>
          <cell r="D7590" t="str">
            <v>CK</v>
          </cell>
        </row>
        <row r="7591">
          <cell r="A7591" t="str">
            <v>FB260009341</v>
          </cell>
          <cell r="D7591" t="str">
            <v>WACE</v>
          </cell>
        </row>
        <row r="7592">
          <cell r="A7592" t="str">
            <v>FB260009342</v>
          </cell>
          <cell r="D7592" t="str">
            <v>CK</v>
          </cell>
        </row>
        <row r="7593">
          <cell r="A7593" t="str">
            <v>FB260009343</v>
          </cell>
          <cell r="D7593" t="str">
            <v>WACE</v>
          </cell>
        </row>
        <row r="7594">
          <cell r="A7594" t="str">
            <v>FB260009344</v>
          </cell>
          <cell r="D7594" t="str">
            <v>WACE</v>
          </cell>
        </row>
        <row r="7595">
          <cell r="A7595" t="str">
            <v>FB260009345</v>
          </cell>
          <cell r="D7595" t="str">
            <v>CK</v>
          </cell>
        </row>
        <row r="7596">
          <cell r="A7596" t="str">
            <v>FB260009347</v>
          </cell>
          <cell r="D7596" t="str">
            <v>WACE</v>
          </cell>
        </row>
        <row r="7597">
          <cell r="A7597" t="str">
            <v>FB260009349</v>
          </cell>
          <cell r="D7597" t="str">
            <v>PINK</v>
          </cell>
        </row>
        <row r="7598">
          <cell r="A7598" t="str">
            <v>FB260009350</v>
          </cell>
          <cell r="D7598" t="str">
            <v>GLA</v>
          </cell>
        </row>
        <row r="7599">
          <cell r="A7599" t="str">
            <v>FB260009351</v>
          </cell>
          <cell r="D7599" t="str">
            <v>NEX</v>
          </cell>
        </row>
        <row r="7600">
          <cell r="A7600" t="str">
            <v>FB260009352</v>
          </cell>
          <cell r="D7600" t="str">
            <v>TESCO</v>
          </cell>
        </row>
        <row r="7601">
          <cell r="A7601" t="str">
            <v>FB260009353</v>
          </cell>
          <cell r="D7601" t="str">
            <v>TESCO</v>
          </cell>
        </row>
        <row r="7602">
          <cell r="A7602" t="str">
            <v>FB260009354</v>
          </cell>
          <cell r="D7602" t="str">
            <v>TESCO</v>
          </cell>
        </row>
        <row r="7603">
          <cell r="A7603" t="str">
            <v>FB260009355</v>
          </cell>
          <cell r="D7603" t="str">
            <v>VSS</v>
          </cell>
        </row>
        <row r="7604">
          <cell r="A7604" t="str">
            <v>FB260009356</v>
          </cell>
          <cell r="D7604" t="str">
            <v>VSS</v>
          </cell>
        </row>
        <row r="7605">
          <cell r="A7605" t="str">
            <v>FB260009357</v>
          </cell>
          <cell r="D7605" t="str">
            <v>VSS</v>
          </cell>
        </row>
        <row r="7606">
          <cell r="A7606" t="str">
            <v>FB260009358</v>
          </cell>
          <cell r="D7606" t="str">
            <v>M&amp;S</v>
          </cell>
        </row>
        <row r="7607">
          <cell r="A7607" t="str">
            <v>FB260009366</v>
          </cell>
          <cell r="D7607" t="str">
            <v>CHICOS</v>
          </cell>
        </row>
        <row r="7608">
          <cell r="A7608" t="str">
            <v>FB260009370</v>
          </cell>
          <cell r="D7608" t="str">
            <v>CHICOS</v>
          </cell>
        </row>
        <row r="7609">
          <cell r="A7609" t="str">
            <v>FB260009371</v>
          </cell>
          <cell r="D7609" t="str">
            <v>CHICOS</v>
          </cell>
        </row>
        <row r="7610">
          <cell r="A7610" t="str">
            <v>FB260009373</v>
          </cell>
          <cell r="D7610" t="str">
            <v>PINK</v>
          </cell>
        </row>
        <row r="7611">
          <cell r="A7611" t="str">
            <v>FB260009374</v>
          </cell>
          <cell r="D7611" t="str">
            <v>LULU</v>
          </cell>
        </row>
        <row r="7612">
          <cell r="A7612" t="str">
            <v>FB260009376</v>
          </cell>
          <cell r="D7612" t="str">
            <v>LULU</v>
          </cell>
        </row>
        <row r="7613">
          <cell r="A7613" t="str">
            <v>FB260009377</v>
          </cell>
          <cell r="D7613" t="str">
            <v>NIK</v>
          </cell>
        </row>
        <row r="7614">
          <cell r="A7614" t="str">
            <v>FB260009378</v>
          </cell>
          <cell r="D7614" t="str">
            <v>NIK</v>
          </cell>
        </row>
        <row r="7615">
          <cell r="A7615" t="str">
            <v>FB260009380</v>
          </cell>
          <cell r="D7615" t="str">
            <v>VSS</v>
          </cell>
        </row>
        <row r="7616">
          <cell r="A7616" t="str">
            <v>FB260009382</v>
          </cell>
          <cell r="D7616" t="str">
            <v>NIK</v>
          </cell>
        </row>
        <row r="7617">
          <cell r="A7617" t="str">
            <v>FB260009383</v>
          </cell>
          <cell r="D7617" t="str">
            <v>M&amp;S</v>
          </cell>
        </row>
        <row r="7618">
          <cell r="A7618" t="str">
            <v>FB260009384</v>
          </cell>
          <cell r="D7618" t="str">
            <v>CK</v>
          </cell>
        </row>
        <row r="7619">
          <cell r="A7619" t="str">
            <v>FB260009385</v>
          </cell>
          <cell r="D7619" t="str">
            <v>NIK</v>
          </cell>
        </row>
        <row r="7620">
          <cell r="A7620" t="str">
            <v>FB260009386</v>
          </cell>
          <cell r="D7620" t="str">
            <v>M&amp;S</v>
          </cell>
        </row>
        <row r="7621">
          <cell r="A7621" t="str">
            <v>FB260009387</v>
          </cell>
          <cell r="D7621" t="str">
            <v>CK</v>
          </cell>
        </row>
        <row r="7622">
          <cell r="A7622" t="str">
            <v>FB260009389</v>
          </cell>
          <cell r="D7622" t="str">
            <v>WACE</v>
          </cell>
        </row>
        <row r="7623">
          <cell r="A7623" t="str">
            <v>FB260009392</v>
          </cell>
          <cell r="D7623" t="str">
            <v>NKSKI</v>
          </cell>
        </row>
        <row r="7624">
          <cell r="A7624" t="str">
            <v>FB260009396</v>
          </cell>
          <cell r="D7624" t="str">
            <v>LULU</v>
          </cell>
        </row>
        <row r="7625">
          <cell r="A7625" t="str">
            <v>FB260009398</v>
          </cell>
          <cell r="D7625" t="str">
            <v>LULU</v>
          </cell>
        </row>
        <row r="7626">
          <cell r="A7626" t="str">
            <v>FB260009400</v>
          </cell>
          <cell r="D7626" t="str">
            <v>PINK</v>
          </cell>
        </row>
        <row r="7627">
          <cell r="A7627" t="str">
            <v>FB260009402</v>
          </cell>
          <cell r="D7627" t="str">
            <v>LBI</v>
          </cell>
        </row>
        <row r="7628">
          <cell r="A7628" t="str">
            <v>FB260009403</v>
          </cell>
          <cell r="D7628" t="str">
            <v>CK</v>
          </cell>
        </row>
        <row r="7629">
          <cell r="A7629" t="str">
            <v>FB260009408</v>
          </cell>
          <cell r="D7629" t="str">
            <v>NIK</v>
          </cell>
        </row>
        <row r="7630">
          <cell r="A7630" t="str">
            <v>FB260009415</v>
          </cell>
          <cell r="D7630" t="str">
            <v>CK</v>
          </cell>
        </row>
        <row r="7631">
          <cell r="A7631" t="str">
            <v>FB260009416</v>
          </cell>
          <cell r="D7631" t="str">
            <v>CK</v>
          </cell>
        </row>
        <row r="7632">
          <cell r="A7632" t="str">
            <v>FB260009417</v>
          </cell>
          <cell r="D7632" t="str">
            <v>CK</v>
          </cell>
        </row>
        <row r="7633">
          <cell r="A7633" t="str">
            <v>FB260009419</v>
          </cell>
          <cell r="D7633" t="str">
            <v>CK</v>
          </cell>
        </row>
        <row r="7634">
          <cell r="A7634" t="str">
            <v>FB260009422</v>
          </cell>
          <cell r="D7634" t="str">
            <v>CK</v>
          </cell>
        </row>
        <row r="7635">
          <cell r="A7635" t="str">
            <v>FB260009425</v>
          </cell>
          <cell r="D7635" t="str">
            <v>NIK</v>
          </cell>
        </row>
        <row r="7636">
          <cell r="A7636" t="str">
            <v>FB260009426</v>
          </cell>
          <cell r="D7636" t="str">
            <v>NIK</v>
          </cell>
        </row>
        <row r="7637">
          <cell r="A7637" t="str">
            <v>FB260009430</v>
          </cell>
          <cell r="D7637" t="str">
            <v>CK</v>
          </cell>
        </row>
        <row r="7638">
          <cell r="A7638" t="str">
            <v>FB260009431</v>
          </cell>
          <cell r="D7638" t="str">
            <v>CK</v>
          </cell>
        </row>
        <row r="7639">
          <cell r="A7639" t="str">
            <v>FB260009432</v>
          </cell>
          <cell r="D7639" t="str">
            <v>M&amp;S</v>
          </cell>
        </row>
        <row r="7640">
          <cell r="A7640" t="str">
            <v>FB260009434</v>
          </cell>
          <cell r="D7640" t="str">
            <v>WACE</v>
          </cell>
        </row>
        <row r="7641">
          <cell r="A7641" t="str">
            <v>FB260009436</v>
          </cell>
          <cell r="D7641" t="str">
            <v>WACE</v>
          </cell>
        </row>
        <row r="7642">
          <cell r="A7642" t="str">
            <v>FB260009437</v>
          </cell>
          <cell r="D7642" t="str">
            <v>WACE</v>
          </cell>
        </row>
        <row r="7643">
          <cell r="A7643" t="str">
            <v>FB260009448</v>
          </cell>
          <cell r="D7643" t="str">
            <v>NIK</v>
          </cell>
        </row>
        <row r="7644">
          <cell r="A7644" t="str">
            <v>FB260009449</v>
          </cell>
          <cell r="D7644" t="str">
            <v>NIK</v>
          </cell>
        </row>
        <row r="7645">
          <cell r="A7645" t="str">
            <v>FB260009450</v>
          </cell>
          <cell r="D7645" t="str">
            <v>NIK</v>
          </cell>
        </row>
        <row r="7646">
          <cell r="A7646" t="str">
            <v>FB260009455</v>
          </cell>
          <cell r="D7646" t="str">
            <v>NIK</v>
          </cell>
        </row>
        <row r="7647">
          <cell r="A7647" t="str">
            <v>FB260009456</v>
          </cell>
          <cell r="D7647" t="str">
            <v>NIK</v>
          </cell>
        </row>
        <row r="7648">
          <cell r="A7648" t="str">
            <v>FB260009457</v>
          </cell>
          <cell r="D7648" t="str">
            <v>VSS</v>
          </cell>
        </row>
        <row r="7649">
          <cell r="A7649" t="str">
            <v>FB260009460</v>
          </cell>
          <cell r="D7649" t="str">
            <v>VSS</v>
          </cell>
        </row>
        <row r="7650">
          <cell r="A7650" t="str">
            <v>FB260009462</v>
          </cell>
          <cell r="D7650" t="str">
            <v>PINK</v>
          </cell>
        </row>
        <row r="7651">
          <cell r="A7651" t="str">
            <v>FB260009463</v>
          </cell>
          <cell r="D7651" t="str">
            <v>PINK</v>
          </cell>
        </row>
        <row r="7652">
          <cell r="A7652" t="str">
            <v>FB260009465</v>
          </cell>
          <cell r="D7652" t="str">
            <v>WACE</v>
          </cell>
        </row>
        <row r="7653">
          <cell r="A7653" t="str">
            <v>FB260009466</v>
          </cell>
          <cell r="D7653" t="str">
            <v>LULU</v>
          </cell>
        </row>
        <row r="7654">
          <cell r="A7654" t="str">
            <v>FB260009467</v>
          </cell>
          <cell r="D7654" t="str">
            <v>LULU</v>
          </cell>
        </row>
        <row r="7655">
          <cell r="A7655" t="str">
            <v>FB260009468</v>
          </cell>
          <cell r="D7655" t="str">
            <v>WACE</v>
          </cell>
        </row>
        <row r="7656">
          <cell r="A7656" t="str">
            <v>FB260009470</v>
          </cell>
          <cell r="D7656" t="str">
            <v>LULU</v>
          </cell>
        </row>
        <row r="7657">
          <cell r="A7657" t="str">
            <v>FB260009472</v>
          </cell>
          <cell r="D7657" t="str">
            <v>NIK</v>
          </cell>
        </row>
        <row r="7658">
          <cell r="A7658" t="str">
            <v>FB260009474</v>
          </cell>
          <cell r="D7658" t="str">
            <v>CK</v>
          </cell>
        </row>
        <row r="7659">
          <cell r="A7659" t="str">
            <v>FB260009475</v>
          </cell>
          <cell r="D7659" t="str">
            <v>NIK</v>
          </cell>
        </row>
        <row r="7660">
          <cell r="A7660" t="str">
            <v>FB260009477</v>
          </cell>
          <cell r="D7660" t="str">
            <v>NIK</v>
          </cell>
        </row>
        <row r="7661">
          <cell r="A7661" t="str">
            <v>FB260009478</v>
          </cell>
          <cell r="D7661" t="str">
            <v>NIK</v>
          </cell>
        </row>
        <row r="7662">
          <cell r="A7662" t="str">
            <v>FB260009479</v>
          </cell>
          <cell r="D7662" t="str">
            <v>SW</v>
          </cell>
        </row>
        <row r="7663">
          <cell r="A7663" t="str">
            <v>FB260009480</v>
          </cell>
          <cell r="D7663" t="str">
            <v>SW</v>
          </cell>
        </row>
        <row r="7664">
          <cell r="A7664" t="str">
            <v>FB260009481</v>
          </cell>
          <cell r="D7664" t="str">
            <v>SW</v>
          </cell>
        </row>
        <row r="7665">
          <cell r="A7665" t="str">
            <v>FB260009482</v>
          </cell>
          <cell r="D7665" t="str">
            <v>SW</v>
          </cell>
        </row>
        <row r="7666">
          <cell r="A7666" t="str">
            <v>FB260009484</v>
          </cell>
          <cell r="D7666" t="str">
            <v>SW</v>
          </cell>
        </row>
        <row r="7667">
          <cell r="A7667" t="str">
            <v>FB260009485</v>
          </cell>
          <cell r="D7667" t="str">
            <v>SW</v>
          </cell>
        </row>
        <row r="7668">
          <cell r="A7668" t="str">
            <v>FB260009486</v>
          </cell>
          <cell r="D7668" t="str">
            <v>SW</v>
          </cell>
        </row>
        <row r="7669">
          <cell r="A7669" t="str">
            <v>FB260009487</v>
          </cell>
          <cell r="D7669" t="str">
            <v>SW</v>
          </cell>
        </row>
        <row r="7670">
          <cell r="A7670" t="str">
            <v>FB260009488</v>
          </cell>
          <cell r="D7670" t="str">
            <v>SW</v>
          </cell>
        </row>
        <row r="7671">
          <cell r="A7671" t="str">
            <v>FB260009489</v>
          </cell>
          <cell r="D7671" t="str">
            <v>SW</v>
          </cell>
        </row>
        <row r="7672">
          <cell r="A7672" t="str">
            <v>FB260009490</v>
          </cell>
          <cell r="D7672" t="str">
            <v>SW</v>
          </cell>
        </row>
        <row r="7673">
          <cell r="A7673" t="str">
            <v>FB260009491</v>
          </cell>
          <cell r="D7673" t="str">
            <v>SW</v>
          </cell>
        </row>
        <row r="7674">
          <cell r="A7674" t="str">
            <v>FB260009492</v>
          </cell>
          <cell r="D7674" t="str">
            <v>SW</v>
          </cell>
        </row>
        <row r="7675">
          <cell r="A7675" t="str">
            <v>FB260009493</v>
          </cell>
          <cell r="D7675" t="str">
            <v>NIK</v>
          </cell>
        </row>
        <row r="7676">
          <cell r="A7676" t="str">
            <v>FB260009494</v>
          </cell>
          <cell r="D7676" t="str">
            <v>NIK</v>
          </cell>
        </row>
        <row r="7677">
          <cell r="A7677" t="str">
            <v>FB260009495</v>
          </cell>
          <cell r="D7677" t="str">
            <v>NIK</v>
          </cell>
        </row>
        <row r="7678">
          <cell r="A7678" t="str">
            <v>FB260009496</v>
          </cell>
          <cell r="D7678" t="str">
            <v>NIK</v>
          </cell>
        </row>
        <row r="7679">
          <cell r="A7679" t="str">
            <v>FB260009497</v>
          </cell>
          <cell r="D7679" t="str">
            <v>NIK</v>
          </cell>
        </row>
        <row r="7680">
          <cell r="A7680" t="str">
            <v>FB260009498</v>
          </cell>
          <cell r="D7680" t="str">
            <v>NIK</v>
          </cell>
        </row>
        <row r="7681">
          <cell r="A7681" t="str">
            <v>FB260009499</v>
          </cell>
          <cell r="D7681" t="str">
            <v>NIK</v>
          </cell>
        </row>
        <row r="7682">
          <cell r="A7682" t="str">
            <v>FB260009500</v>
          </cell>
          <cell r="D7682" t="str">
            <v>NIK</v>
          </cell>
        </row>
        <row r="7683">
          <cell r="A7683" t="str">
            <v>FB260009501</v>
          </cell>
          <cell r="D7683" t="str">
            <v>NIK</v>
          </cell>
        </row>
        <row r="7684">
          <cell r="A7684" t="str">
            <v>FB260009502</v>
          </cell>
          <cell r="D7684" t="str">
            <v>NIK</v>
          </cell>
        </row>
        <row r="7685">
          <cell r="A7685" t="str">
            <v>FB260009504</v>
          </cell>
          <cell r="D7685" t="str">
            <v>NIK</v>
          </cell>
        </row>
        <row r="7686">
          <cell r="A7686" t="str">
            <v>FB260009505</v>
          </cell>
          <cell r="D7686" t="str">
            <v>NIK</v>
          </cell>
        </row>
        <row r="7687">
          <cell r="A7687" t="str">
            <v>FB260009506</v>
          </cell>
          <cell r="D7687" t="str">
            <v>NIK</v>
          </cell>
        </row>
        <row r="7688">
          <cell r="A7688" t="str">
            <v>FB260009507</v>
          </cell>
          <cell r="D7688" t="str">
            <v>INT1</v>
          </cell>
        </row>
        <row r="7689">
          <cell r="A7689" t="str">
            <v>FB260009508</v>
          </cell>
          <cell r="D7689" t="str">
            <v>VSS</v>
          </cell>
        </row>
        <row r="7690">
          <cell r="A7690" t="str">
            <v>FB260009509</v>
          </cell>
          <cell r="D7690" t="str">
            <v>NIK</v>
          </cell>
        </row>
        <row r="7691">
          <cell r="A7691" t="str">
            <v>FB260009510</v>
          </cell>
          <cell r="D7691" t="str">
            <v>VSS</v>
          </cell>
        </row>
        <row r="7692">
          <cell r="A7692" t="str">
            <v>FB260009511</v>
          </cell>
          <cell r="D7692" t="str">
            <v>VSS</v>
          </cell>
        </row>
        <row r="7693">
          <cell r="A7693" t="str">
            <v>FB260009512</v>
          </cell>
          <cell r="D7693" t="str">
            <v>VSS</v>
          </cell>
        </row>
        <row r="7694">
          <cell r="A7694" t="str">
            <v>FB260009513</v>
          </cell>
          <cell r="D7694" t="str">
            <v>NIK</v>
          </cell>
        </row>
        <row r="7695">
          <cell r="A7695" t="str">
            <v>FB260009515</v>
          </cell>
          <cell r="D7695" t="str">
            <v>VSS</v>
          </cell>
        </row>
        <row r="7696">
          <cell r="A7696" t="str">
            <v>FB260009516</v>
          </cell>
          <cell r="D7696" t="str">
            <v>VSS</v>
          </cell>
        </row>
        <row r="7697">
          <cell r="A7697" t="str">
            <v>FB260009517</v>
          </cell>
          <cell r="D7697" t="str">
            <v>PEP</v>
          </cell>
        </row>
        <row r="7698">
          <cell r="A7698" t="str">
            <v>FB260009518</v>
          </cell>
          <cell r="D7698" t="str">
            <v>WAC</v>
          </cell>
        </row>
        <row r="7699">
          <cell r="A7699" t="str">
            <v>FB260009519</v>
          </cell>
          <cell r="D7699" t="str">
            <v>VSS</v>
          </cell>
        </row>
        <row r="7700">
          <cell r="A7700" t="str">
            <v>FB260009520</v>
          </cell>
          <cell r="D7700" t="str">
            <v>VSS</v>
          </cell>
        </row>
        <row r="7701">
          <cell r="A7701" t="str">
            <v>FB260009521</v>
          </cell>
          <cell r="D7701" t="str">
            <v>VSS</v>
          </cell>
        </row>
        <row r="7702">
          <cell r="A7702" t="str">
            <v>FB260009522</v>
          </cell>
          <cell r="D7702" t="str">
            <v>VSS</v>
          </cell>
        </row>
        <row r="7703">
          <cell r="A7703" t="str">
            <v>FB260009523</v>
          </cell>
          <cell r="D7703" t="str">
            <v>VSS</v>
          </cell>
        </row>
        <row r="7704">
          <cell r="A7704" t="str">
            <v>FB260009524</v>
          </cell>
          <cell r="D7704" t="str">
            <v>VSS</v>
          </cell>
        </row>
        <row r="7705">
          <cell r="A7705" t="str">
            <v>FB260009525</v>
          </cell>
          <cell r="D7705" t="str">
            <v>VSS</v>
          </cell>
        </row>
        <row r="7706">
          <cell r="A7706" t="str">
            <v>FB260009526</v>
          </cell>
          <cell r="D7706" t="str">
            <v>VSS</v>
          </cell>
        </row>
        <row r="7707">
          <cell r="A7707" t="str">
            <v>FB260009527</v>
          </cell>
          <cell r="D7707" t="str">
            <v>VSS</v>
          </cell>
        </row>
        <row r="7708">
          <cell r="A7708" t="str">
            <v>FB260009528</v>
          </cell>
          <cell r="D7708" t="str">
            <v>VSS</v>
          </cell>
        </row>
        <row r="7709">
          <cell r="A7709" t="str">
            <v>FB260009529</v>
          </cell>
          <cell r="D7709" t="str">
            <v>VSS</v>
          </cell>
        </row>
        <row r="7710">
          <cell r="A7710" t="str">
            <v>FB260009530</v>
          </cell>
          <cell r="D7710" t="str">
            <v>VSS</v>
          </cell>
        </row>
        <row r="7711">
          <cell r="A7711" t="str">
            <v>FB260009531</v>
          </cell>
          <cell r="D7711" t="str">
            <v>VSS</v>
          </cell>
        </row>
        <row r="7712">
          <cell r="A7712" t="str">
            <v>FB260009532</v>
          </cell>
          <cell r="D7712" t="str">
            <v>VSS</v>
          </cell>
        </row>
        <row r="7713">
          <cell r="A7713" t="str">
            <v>FB260009533</v>
          </cell>
          <cell r="D7713" t="str">
            <v>VSS</v>
          </cell>
        </row>
        <row r="7714">
          <cell r="A7714" t="str">
            <v>FB260009534</v>
          </cell>
          <cell r="D7714" t="str">
            <v>VSS</v>
          </cell>
        </row>
        <row r="7715">
          <cell r="A7715" t="str">
            <v>FB260009535</v>
          </cell>
          <cell r="D7715" t="str">
            <v>VSS</v>
          </cell>
        </row>
        <row r="7716">
          <cell r="A7716" t="str">
            <v>FB260009536</v>
          </cell>
          <cell r="D7716" t="str">
            <v>VSS</v>
          </cell>
        </row>
        <row r="7717">
          <cell r="A7717" t="str">
            <v>FB260009537</v>
          </cell>
          <cell r="D7717" t="str">
            <v>VSS</v>
          </cell>
        </row>
        <row r="7718">
          <cell r="A7718" t="str">
            <v>FB260009538</v>
          </cell>
          <cell r="D7718" t="str">
            <v>VSS</v>
          </cell>
        </row>
        <row r="7719">
          <cell r="A7719" t="str">
            <v>FB260009539</v>
          </cell>
          <cell r="D7719" t="str">
            <v>VSS</v>
          </cell>
        </row>
        <row r="7720">
          <cell r="A7720" t="str">
            <v>FB260009540</v>
          </cell>
          <cell r="D7720" t="str">
            <v>CK</v>
          </cell>
        </row>
        <row r="7721">
          <cell r="A7721" t="str">
            <v>FB260009541</v>
          </cell>
          <cell r="D7721" t="str">
            <v>NIK</v>
          </cell>
        </row>
        <row r="7722">
          <cell r="A7722" t="str">
            <v>FB260009542</v>
          </cell>
          <cell r="D7722" t="str">
            <v>NIK</v>
          </cell>
        </row>
        <row r="7723">
          <cell r="A7723" t="str">
            <v>FB260009543</v>
          </cell>
          <cell r="D7723" t="str">
            <v>NIK</v>
          </cell>
        </row>
        <row r="7724">
          <cell r="A7724" t="str">
            <v>FB260009544</v>
          </cell>
          <cell r="D7724" t="str">
            <v>NIK</v>
          </cell>
        </row>
        <row r="7725">
          <cell r="A7725" t="str">
            <v>FB260009545</v>
          </cell>
          <cell r="D7725" t="str">
            <v>SW</v>
          </cell>
        </row>
        <row r="7726">
          <cell r="A7726" t="str">
            <v>FB260009546</v>
          </cell>
          <cell r="D7726" t="str">
            <v>VSS</v>
          </cell>
        </row>
        <row r="7727">
          <cell r="A7727" t="str">
            <v>FB260009549</v>
          </cell>
          <cell r="D7727" t="str">
            <v>NIK</v>
          </cell>
        </row>
        <row r="7728">
          <cell r="A7728" t="str">
            <v>FB260009550</v>
          </cell>
          <cell r="D7728" t="str">
            <v>SOM</v>
          </cell>
        </row>
        <row r="7729">
          <cell r="A7729" t="str">
            <v>FB260009552</v>
          </cell>
          <cell r="D7729" t="str">
            <v>NEX</v>
          </cell>
        </row>
        <row r="7730">
          <cell r="A7730" t="str">
            <v>FB260009553</v>
          </cell>
          <cell r="D7730" t="str">
            <v>NEX</v>
          </cell>
        </row>
        <row r="7731">
          <cell r="A7731" t="str">
            <v>FB260009554</v>
          </cell>
          <cell r="D7731" t="str">
            <v>CK</v>
          </cell>
        </row>
        <row r="7732">
          <cell r="A7732" t="str">
            <v>FB260009557</v>
          </cell>
          <cell r="D7732" t="str">
            <v>TORD</v>
          </cell>
        </row>
        <row r="7733">
          <cell r="A7733" t="str">
            <v>FB260009559</v>
          </cell>
          <cell r="D7733" t="str">
            <v>PEP</v>
          </cell>
        </row>
        <row r="7734">
          <cell r="A7734" t="str">
            <v>FB260009560</v>
          </cell>
          <cell r="D7734" t="str">
            <v>WACE</v>
          </cell>
        </row>
        <row r="7735">
          <cell r="A7735" t="str">
            <v>FB260009561</v>
          </cell>
          <cell r="D7735" t="str">
            <v>VSS</v>
          </cell>
        </row>
        <row r="7736">
          <cell r="A7736" t="str">
            <v>FB260009565</v>
          </cell>
          <cell r="D7736" t="str">
            <v>LULU</v>
          </cell>
        </row>
        <row r="7737">
          <cell r="A7737" t="str">
            <v>FB260009566</v>
          </cell>
          <cell r="D7737" t="str">
            <v>NIK</v>
          </cell>
        </row>
        <row r="7738">
          <cell r="A7738" t="str">
            <v>FB260009567</v>
          </cell>
          <cell r="D7738" t="str">
            <v>NIK</v>
          </cell>
        </row>
        <row r="7739">
          <cell r="A7739" t="str">
            <v>FB260009568</v>
          </cell>
          <cell r="D7739" t="str">
            <v>NIK</v>
          </cell>
        </row>
        <row r="7740">
          <cell r="A7740" t="str">
            <v>FB260009569</v>
          </cell>
          <cell r="D7740" t="str">
            <v>NIK</v>
          </cell>
        </row>
        <row r="7741">
          <cell r="A7741" t="str">
            <v>FB260009570</v>
          </cell>
          <cell r="D7741" t="str">
            <v>NIK</v>
          </cell>
        </row>
        <row r="7742">
          <cell r="A7742" t="str">
            <v>FB260009571</v>
          </cell>
          <cell r="D7742" t="str">
            <v>NIK</v>
          </cell>
        </row>
        <row r="7743">
          <cell r="A7743" t="str">
            <v>FB260009572</v>
          </cell>
          <cell r="D7743" t="str">
            <v>NIK</v>
          </cell>
        </row>
        <row r="7744">
          <cell r="A7744" t="str">
            <v>FB260009573</v>
          </cell>
          <cell r="D7744" t="str">
            <v>NIK</v>
          </cell>
        </row>
        <row r="7745">
          <cell r="A7745" t="str">
            <v>FB260009575</v>
          </cell>
          <cell r="D7745" t="str">
            <v>NIK</v>
          </cell>
        </row>
        <row r="7746">
          <cell r="A7746" t="str">
            <v>FB260009577</v>
          </cell>
          <cell r="D7746" t="str">
            <v>NIK</v>
          </cell>
        </row>
        <row r="7747">
          <cell r="A7747" t="str">
            <v>FB260009578</v>
          </cell>
          <cell r="D7747" t="str">
            <v>NIK</v>
          </cell>
        </row>
        <row r="7748">
          <cell r="A7748" t="str">
            <v>FB260009580</v>
          </cell>
          <cell r="D7748" t="str">
            <v>NIK</v>
          </cell>
        </row>
        <row r="7749">
          <cell r="A7749" t="str">
            <v>FB260009581</v>
          </cell>
          <cell r="D7749" t="str">
            <v>NIK</v>
          </cell>
        </row>
        <row r="7750">
          <cell r="A7750" t="str">
            <v>FB260009584</v>
          </cell>
          <cell r="D7750" t="str">
            <v>CK</v>
          </cell>
        </row>
        <row r="7751">
          <cell r="A7751" t="str">
            <v>FB260009585</v>
          </cell>
          <cell r="D7751" t="str">
            <v>NIK</v>
          </cell>
        </row>
        <row r="7752">
          <cell r="A7752" t="str">
            <v>FB260009586</v>
          </cell>
          <cell r="D7752" t="str">
            <v>NIK</v>
          </cell>
        </row>
        <row r="7753">
          <cell r="A7753" t="str">
            <v>FB260009588</v>
          </cell>
          <cell r="D7753" t="str">
            <v>NIK</v>
          </cell>
        </row>
        <row r="7754">
          <cell r="A7754" t="str">
            <v>FB260009590</v>
          </cell>
          <cell r="D7754" t="str">
            <v>LULU</v>
          </cell>
        </row>
        <row r="7755">
          <cell r="A7755" t="str">
            <v>FB260009591</v>
          </cell>
          <cell r="D7755" t="str">
            <v>PINK</v>
          </cell>
        </row>
        <row r="7756">
          <cell r="A7756" t="str">
            <v>FB260009593</v>
          </cell>
          <cell r="D7756" t="str">
            <v>PINK</v>
          </cell>
        </row>
        <row r="7757">
          <cell r="A7757" t="str">
            <v>FB260009594</v>
          </cell>
          <cell r="D7757" t="str">
            <v>PINK</v>
          </cell>
        </row>
        <row r="7758">
          <cell r="A7758" t="str">
            <v>FB260009595</v>
          </cell>
          <cell r="D7758" t="str">
            <v>PINK</v>
          </cell>
        </row>
        <row r="7759">
          <cell r="A7759" t="str">
            <v>FB260009596</v>
          </cell>
          <cell r="D7759" t="str">
            <v>VSS</v>
          </cell>
        </row>
        <row r="7760">
          <cell r="A7760" t="str">
            <v>FB260009597</v>
          </cell>
          <cell r="D7760" t="str">
            <v>PINK</v>
          </cell>
        </row>
        <row r="7761">
          <cell r="A7761" t="str">
            <v>FB260009598</v>
          </cell>
          <cell r="D7761" t="str">
            <v>PINK</v>
          </cell>
        </row>
        <row r="7762">
          <cell r="A7762" t="str">
            <v>FB260009599</v>
          </cell>
          <cell r="D7762" t="str">
            <v>WACE</v>
          </cell>
        </row>
        <row r="7763">
          <cell r="A7763" t="str">
            <v>FB260009600</v>
          </cell>
          <cell r="D7763" t="str">
            <v>CK</v>
          </cell>
        </row>
        <row r="7764">
          <cell r="A7764" t="str">
            <v>FB260009601</v>
          </cell>
          <cell r="D7764" t="str">
            <v>NIK</v>
          </cell>
        </row>
        <row r="7765">
          <cell r="A7765" t="str">
            <v>FB260009602</v>
          </cell>
          <cell r="D7765" t="str">
            <v>NIK</v>
          </cell>
        </row>
        <row r="7766">
          <cell r="A7766" t="str">
            <v>FB260009603</v>
          </cell>
          <cell r="D7766" t="str">
            <v>NIK</v>
          </cell>
        </row>
        <row r="7767">
          <cell r="A7767" t="str">
            <v>FB260009604</v>
          </cell>
          <cell r="D7767" t="str">
            <v>NIK</v>
          </cell>
        </row>
        <row r="7768">
          <cell r="A7768" t="str">
            <v>FB260009605</v>
          </cell>
          <cell r="D7768" t="str">
            <v>NIK</v>
          </cell>
        </row>
        <row r="7769">
          <cell r="A7769" t="str">
            <v>FB260009606</v>
          </cell>
          <cell r="D7769" t="str">
            <v>NIK</v>
          </cell>
        </row>
        <row r="7770">
          <cell r="A7770" t="str">
            <v>FB260009607</v>
          </cell>
          <cell r="D7770" t="str">
            <v>NIK</v>
          </cell>
        </row>
        <row r="7771">
          <cell r="A7771" t="str">
            <v>FB260009608</v>
          </cell>
          <cell r="D7771" t="str">
            <v>NIK</v>
          </cell>
        </row>
        <row r="7772">
          <cell r="A7772" t="str">
            <v>FB260009609</v>
          </cell>
          <cell r="D7772" t="str">
            <v>NIK</v>
          </cell>
        </row>
        <row r="7773">
          <cell r="A7773" t="str">
            <v>FB260009610</v>
          </cell>
          <cell r="D7773" t="str">
            <v>NIK</v>
          </cell>
        </row>
        <row r="7774">
          <cell r="A7774" t="str">
            <v>FB260009611</v>
          </cell>
          <cell r="D7774" t="str">
            <v>NIK</v>
          </cell>
        </row>
        <row r="7775">
          <cell r="A7775" t="str">
            <v>FB260009612</v>
          </cell>
          <cell r="D7775" t="str">
            <v>NIK</v>
          </cell>
        </row>
        <row r="7776">
          <cell r="A7776" t="str">
            <v>FB260009613</v>
          </cell>
          <cell r="D7776" t="str">
            <v>NIK</v>
          </cell>
        </row>
        <row r="7777">
          <cell r="A7777" t="str">
            <v>FB260009614</v>
          </cell>
          <cell r="D7777" t="str">
            <v>VSS</v>
          </cell>
        </row>
        <row r="7778">
          <cell r="A7778" t="str">
            <v>FB260009615</v>
          </cell>
          <cell r="D7778" t="str">
            <v>LBI</v>
          </cell>
        </row>
        <row r="7779">
          <cell r="A7779" t="str">
            <v>FB260009617</v>
          </cell>
          <cell r="D7779" t="str">
            <v>LULU</v>
          </cell>
        </row>
        <row r="7780">
          <cell r="A7780" t="str">
            <v>FB260009618</v>
          </cell>
          <cell r="D7780" t="str">
            <v>LULU</v>
          </cell>
        </row>
        <row r="7781">
          <cell r="A7781" t="str">
            <v>FB260009624</v>
          </cell>
          <cell r="D7781" t="str">
            <v>PINK</v>
          </cell>
        </row>
        <row r="7782">
          <cell r="A7782" t="str">
            <v>FB260009626</v>
          </cell>
          <cell r="D7782" t="str">
            <v>SW</v>
          </cell>
        </row>
        <row r="7783">
          <cell r="A7783" t="str">
            <v>FB260009627</v>
          </cell>
          <cell r="D7783" t="str">
            <v>INT1</v>
          </cell>
        </row>
        <row r="7784">
          <cell r="A7784" t="str">
            <v>FB260009628</v>
          </cell>
          <cell r="D7784" t="str">
            <v>WACE</v>
          </cell>
        </row>
        <row r="7785">
          <cell r="A7785" t="str">
            <v>FB260009629</v>
          </cell>
          <cell r="D7785" t="str">
            <v>VSS</v>
          </cell>
        </row>
        <row r="7786">
          <cell r="A7786" t="str">
            <v>FB260009630</v>
          </cell>
          <cell r="D7786" t="str">
            <v>VSS</v>
          </cell>
        </row>
        <row r="7787">
          <cell r="A7787" t="str">
            <v>FB260009631</v>
          </cell>
          <cell r="D7787" t="str">
            <v>PINK</v>
          </cell>
        </row>
        <row r="7788">
          <cell r="A7788" t="str">
            <v>FB260009632</v>
          </cell>
          <cell r="D7788" t="str">
            <v>WACE</v>
          </cell>
        </row>
        <row r="7789">
          <cell r="A7789" t="str">
            <v>FB260009634</v>
          </cell>
          <cell r="D7789" t="str">
            <v>VSS</v>
          </cell>
        </row>
        <row r="7790">
          <cell r="A7790" t="str">
            <v>FB260009635</v>
          </cell>
          <cell r="D7790" t="str">
            <v>VSS</v>
          </cell>
        </row>
        <row r="7791">
          <cell r="A7791" t="str">
            <v>FB260009636</v>
          </cell>
          <cell r="D7791" t="str">
            <v>VSS</v>
          </cell>
        </row>
        <row r="7792">
          <cell r="A7792" t="str">
            <v>FB260009637</v>
          </cell>
          <cell r="D7792" t="str">
            <v>VSS</v>
          </cell>
        </row>
        <row r="7793">
          <cell r="A7793" t="str">
            <v>FB260009638</v>
          </cell>
          <cell r="D7793" t="str">
            <v>VSS</v>
          </cell>
        </row>
        <row r="7794">
          <cell r="A7794" t="str">
            <v>FB260009639</v>
          </cell>
          <cell r="D7794" t="str">
            <v>VSS</v>
          </cell>
        </row>
        <row r="7795">
          <cell r="A7795" t="str">
            <v>FB260009640</v>
          </cell>
          <cell r="D7795" t="str">
            <v>VSS</v>
          </cell>
        </row>
        <row r="7796">
          <cell r="A7796" t="str">
            <v>FB260009641</v>
          </cell>
          <cell r="D7796" t="str">
            <v>VSS</v>
          </cell>
        </row>
        <row r="7797">
          <cell r="A7797" t="str">
            <v>FB260009642</v>
          </cell>
          <cell r="D7797" t="str">
            <v>CK</v>
          </cell>
        </row>
        <row r="7798">
          <cell r="A7798" t="str">
            <v>FB260009643</v>
          </cell>
          <cell r="D7798" t="str">
            <v>PINK</v>
          </cell>
        </row>
        <row r="7799">
          <cell r="A7799" t="str">
            <v>FB260009644</v>
          </cell>
          <cell r="D7799" t="str">
            <v>PINK</v>
          </cell>
        </row>
        <row r="7800">
          <cell r="A7800" t="str">
            <v>FB260009645</v>
          </cell>
          <cell r="D7800" t="str">
            <v>PINK</v>
          </cell>
        </row>
        <row r="7801">
          <cell r="A7801" t="str">
            <v>FB260009646</v>
          </cell>
          <cell r="D7801" t="str">
            <v>PINK</v>
          </cell>
        </row>
        <row r="7802">
          <cell r="A7802" t="str">
            <v>FB260009647</v>
          </cell>
          <cell r="D7802" t="str">
            <v>PINK</v>
          </cell>
        </row>
        <row r="7803">
          <cell r="A7803" t="str">
            <v>FB260009648</v>
          </cell>
          <cell r="D7803" t="str">
            <v>PINK</v>
          </cell>
        </row>
        <row r="7804">
          <cell r="A7804" t="str">
            <v>FB260009649</v>
          </cell>
          <cell r="D7804" t="str">
            <v>PINK</v>
          </cell>
        </row>
        <row r="7805">
          <cell r="A7805" t="str">
            <v>FB260009650</v>
          </cell>
          <cell r="D7805" t="str">
            <v>M&amp;S</v>
          </cell>
        </row>
        <row r="7806">
          <cell r="A7806" t="str">
            <v>FB260009651</v>
          </cell>
          <cell r="D7806" t="str">
            <v>LBI</v>
          </cell>
        </row>
        <row r="7807">
          <cell r="A7807" t="str">
            <v>FB260009656</v>
          </cell>
          <cell r="D7807" t="str">
            <v>WACE</v>
          </cell>
        </row>
        <row r="7808">
          <cell r="A7808" t="str">
            <v>FB260009657</v>
          </cell>
          <cell r="D7808" t="str">
            <v>NIK</v>
          </cell>
        </row>
        <row r="7809">
          <cell r="A7809" t="str">
            <v>FB260009658</v>
          </cell>
          <cell r="D7809" t="str">
            <v>LULU</v>
          </cell>
        </row>
        <row r="7810">
          <cell r="A7810" t="str">
            <v>FB260009659</v>
          </cell>
          <cell r="D7810" t="str">
            <v>LULU</v>
          </cell>
        </row>
        <row r="7811">
          <cell r="A7811" t="str">
            <v>FB260009660</v>
          </cell>
          <cell r="D7811" t="str">
            <v>LULU</v>
          </cell>
        </row>
        <row r="7812">
          <cell r="A7812" t="str">
            <v>FB260009661</v>
          </cell>
          <cell r="D7812" t="str">
            <v>LULU</v>
          </cell>
        </row>
        <row r="7813">
          <cell r="A7813" t="str">
            <v>FB260009662</v>
          </cell>
          <cell r="D7813" t="str">
            <v>LULU</v>
          </cell>
        </row>
        <row r="7814">
          <cell r="A7814" t="str">
            <v>FB260009663</v>
          </cell>
          <cell r="D7814" t="str">
            <v>LULU</v>
          </cell>
        </row>
        <row r="7815">
          <cell r="A7815" t="str">
            <v>FB260009664</v>
          </cell>
          <cell r="D7815" t="str">
            <v>VSS</v>
          </cell>
        </row>
        <row r="7816">
          <cell r="A7816" t="str">
            <v>FB260009666</v>
          </cell>
          <cell r="D7816" t="str">
            <v>VSS</v>
          </cell>
        </row>
        <row r="7817">
          <cell r="A7817" t="str">
            <v>FB260009667</v>
          </cell>
          <cell r="D7817" t="str">
            <v>CK</v>
          </cell>
        </row>
        <row r="7818">
          <cell r="A7818" t="str">
            <v>FB260009668</v>
          </cell>
          <cell r="D7818" t="str">
            <v>CK</v>
          </cell>
        </row>
        <row r="7819">
          <cell r="A7819" t="str">
            <v>FB260009670</v>
          </cell>
          <cell r="D7819" t="str">
            <v>CK</v>
          </cell>
        </row>
        <row r="7820">
          <cell r="A7820" t="str">
            <v>FB260009671</v>
          </cell>
          <cell r="D7820" t="str">
            <v>CK</v>
          </cell>
        </row>
        <row r="7821">
          <cell r="A7821" t="str">
            <v>FB260009672</v>
          </cell>
          <cell r="D7821" t="str">
            <v>CK</v>
          </cell>
        </row>
        <row r="7822">
          <cell r="A7822" t="str">
            <v>FB260009673</v>
          </cell>
          <cell r="D7822" t="str">
            <v>NKSKI</v>
          </cell>
        </row>
        <row r="7823">
          <cell r="A7823" t="str">
            <v>FB260009674</v>
          </cell>
          <cell r="D7823" t="str">
            <v>WACE</v>
          </cell>
        </row>
        <row r="7824">
          <cell r="A7824" t="str">
            <v>FB260009675</v>
          </cell>
          <cell r="D7824" t="str">
            <v>VSS</v>
          </cell>
        </row>
        <row r="7825">
          <cell r="A7825" t="str">
            <v>FB260009676</v>
          </cell>
          <cell r="D7825" t="str">
            <v>WACE</v>
          </cell>
        </row>
        <row r="7826">
          <cell r="A7826" t="str">
            <v>FB260009677</v>
          </cell>
          <cell r="D7826" t="str">
            <v>VSS</v>
          </cell>
        </row>
        <row r="7827">
          <cell r="A7827" t="str">
            <v>FB260009678</v>
          </cell>
          <cell r="D7827" t="str">
            <v>PINK</v>
          </cell>
        </row>
        <row r="7828">
          <cell r="A7828" t="str">
            <v>FB260009679</v>
          </cell>
          <cell r="D7828" t="str">
            <v>WACE</v>
          </cell>
        </row>
        <row r="7829">
          <cell r="A7829" t="str">
            <v>FB260009682</v>
          </cell>
          <cell r="D7829" t="str">
            <v>VSS</v>
          </cell>
        </row>
        <row r="7830">
          <cell r="A7830" t="str">
            <v>FB260009683</v>
          </cell>
          <cell r="D7830" t="str">
            <v>VSS</v>
          </cell>
        </row>
        <row r="7831">
          <cell r="A7831" t="str">
            <v>FB260009684</v>
          </cell>
          <cell r="D7831" t="str">
            <v>VSS</v>
          </cell>
        </row>
        <row r="7832">
          <cell r="A7832" t="str">
            <v>FB260009687</v>
          </cell>
          <cell r="D7832" t="str">
            <v>VSS</v>
          </cell>
        </row>
        <row r="7833">
          <cell r="A7833" t="str">
            <v>FB260009688</v>
          </cell>
          <cell r="D7833" t="str">
            <v>CK</v>
          </cell>
        </row>
        <row r="7834">
          <cell r="A7834" t="str">
            <v>FB260009690</v>
          </cell>
          <cell r="D7834" t="str">
            <v>CK</v>
          </cell>
        </row>
        <row r="7835">
          <cell r="A7835" t="str">
            <v>FB260009695</v>
          </cell>
          <cell r="D7835" t="str">
            <v>CK</v>
          </cell>
        </row>
        <row r="7836">
          <cell r="A7836" t="str">
            <v>FB260009696</v>
          </cell>
          <cell r="D7836" t="str">
            <v>WACE</v>
          </cell>
        </row>
        <row r="7837">
          <cell r="A7837" t="str">
            <v>FB260009697</v>
          </cell>
          <cell r="D7837" t="str">
            <v>PINK</v>
          </cell>
        </row>
        <row r="7838">
          <cell r="A7838" t="str">
            <v>FB260009698</v>
          </cell>
          <cell r="D7838" t="str">
            <v>CHICOS</v>
          </cell>
        </row>
        <row r="7839">
          <cell r="A7839" t="str">
            <v>FB260009700</v>
          </cell>
          <cell r="D7839" t="str">
            <v>NIK</v>
          </cell>
        </row>
        <row r="7840">
          <cell r="A7840" t="str">
            <v>FB260009701</v>
          </cell>
          <cell r="D7840" t="str">
            <v>NIK</v>
          </cell>
        </row>
        <row r="7841">
          <cell r="A7841" t="str">
            <v>FB260009703</v>
          </cell>
          <cell r="D7841" t="str">
            <v>VSS</v>
          </cell>
        </row>
        <row r="7842">
          <cell r="A7842" t="str">
            <v>FB260009708</v>
          </cell>
          <cell r="D7842" t="str">
            <v>M&amp;S</v>
          </cell>
        </row>
        <row r="7843">
          <cell r="A7843" t="str">
            <v>FB260009709</v>
          </cell>
          <cell r="D7843" t="str">
            <v>M&amp;S</v>
          </cell>
        </row>
        <row r="7844">
          <cell r="A7844" t="str">
            <v>FB260009710</v>
          </cell>
          <cell r="D7844" t="str">
            <v>NKSKI</v>
          </cell>
        </row>
        <row r="7845">
          <cell r="A7845" t="str">
            <v>FB260009717</v>
          </cell>
          <cell r="D7845" t="str">
            <v>LULU</v>
          </cell>
        </row>
        <row r="7846">
          <cell r="A7846" t="str">
            <v>FB260009718</v>
          </cell>
          <cell r="D7846" t="str">
            <v>LULU</v>
          </cell>
        </row>
        <row r="7847">
          <cell r="A7847" t="str">
            <v>FB260009719</v>
          </cell>
          <cell r="D7847" t="str">
            <v>NEX</v>
          </cell>
        </row>
        <row r="7848">
          <cell r="A7848" t="str">
            <v>FB260009720</v>
          </cell>
          <cell r="D7848" t="str">
            <v>NIK</v>
          </cell>
        </row>
        <row r="7849">
          <cell r="A7849" t="str">
            <v>FB260009724</v>
          </cell>
          <cell r="D7849" t="str">
            <v>M&amp;S</v>
          </cell>
        </row>
        <row r="7850">
          <cell r="A7850" t="str">
            <v>FB260009725</v>
          </cell>
          <cell r="D7850" t="str">
            <v>M&amp;S</v>
          </cell>
        </row>
        <row r="7851">
          <cell r="A7851" t="str">
            <v>FB260009726</v>
          </cell>
          <cell r="D7851" t="str">
            <v>VSS</v>
          </cell>
        </row>
        <row r="7852">
          <cell r="A7852" t="str">
            <v>FB260009728</v>
          </cell>
          <cell r="D7852" t="str">
            <v>LBI</v>
          </cell>
        </row>
        <row r="7853">
          <cell r="A7853" t="str">
            <v>FB260009731</v>
          </cell>
          <cell r="D7853" t="str">
            <v>PINK</v>
          </cell>
        </row>
        <row r="7854">
          <cell r="A7854" t="str">
            <v>FB260009737</v>
          </cell>
          <cell r="D7854" t="str">
            <v>NIK</v>
          </cell>
        </row>
        <row r="7855">
          <cell r="A7855" t="str">
            <v>FB260009740</v>
          </cell>
          <cell r="D7855" t="str">
            <v>LULU</v>
          </cell>
        </row>
        <row r="7856">
          <cell r="A7856" t="str">
            <v>FB260009743</v>
          </cell>
          <cell r="D7856" t="str">
            <v>LULU</v>
          </cell>
        </row>
        <row r="7857">
          <cell r="A7857" t="str">
            <v>FB260009744</v>
          </cell>
          <cell r="D7857" t="str">
            <v>LULU</v>
          </cell>
        </row>
        <row r="7858">
          <cell r="A7858" t="str">
            <v>FB260009745</v>
          </cell>
          <cell r="D7858" t="str">
            <v>TJEL</v>
          </cell>
        </row>
        <row r="7859">
          <cell r="A7859" t="str">
            <v>FB260009746</v>
          </cell>
          <cell r="D7859" t="str">
            <v>GAPO</v>
          </cell>
        </row>
        <row r="7860">
          <cell r="A7860" t="str">
            <v>FB260009747</v>
          </cell>
          <cell r="D7860" t="str">
            <v>ASIC</v>
          </cell>
        </row>
        <row r="7861">
          <cell r="A7861" t="str">
            <v>FB260009749</v>
          </cell>
          <cell r="D7861" t="str">
            <v>VSS</v>
          </cell>
        </row>
        <row r="7862">
          <cell r="A7862" t="str">
            <v>FB260009750</v>
          </cell>
          <cell r="D7862" t="str">
            <v>VSS</v>
          </cell>
        </row>
        <row r="7863">
          <cell r="A7863" t="str">
            <v>FB260009752</v>
          </cell>
          <cell r="D7863" t="str">
            <v>VSS</v>
          </cell>
        </row>
        <row r="7864">
          <cell r="A7864" t="str">
            <v>FB260009753</v>
          </cell>
          <cell r="D7864" t="str">
            <v>M&amp;S</v>
          </cell>
        </row>
        <row r="7865">
          <cell r="A7865" t="str">
            <v>FB260009754</v>
          </cell>
          <cell r="D7865" t="str">
            <v>VSS</v>
          </cell>
        </row>
        <row r="7866">
          <cell r="A7866" t="str">
            <v>FB260009755</v>
          </cell>
          <cell r="D7866" t="str">
            <v>VSS</v>
          </cell>
        </row>
        <row r="7867">
          <cell r="A7867" t="str">
            <v>FB260009756</v>
          </cell>
          <cell r="D7867" t="str">
            <v>LULU</v>
          </cell>
        </row>
        <row r="7868">
          <cell r="A7868" t="str">
            <v>FB260009758</v>
          </cell>
          <cell r="D7868" t="str">
            <v>M&amp;S</v>
          </cell>
        </row>
        <row r="7869">
          <cell r="A7869" t="str">
            <v>FB260009759</v>
          </cell>
          <cell r="D7869" t="str">
            <v>CHICOS</v>
          </cell>
        </row>
        <row r="7870">
          <cell r="A7870" t="str">
            <v>FB260009760</v>
          </cell>
          <cell r="D7870" t="str">
            <v>WACE</v>
          </cell>
        </row>
        <row r="7871">
          <cell r="A7871" t="str">
            <v>FB260009761</v>
          </cell>
          <cell r="D7871" t="str">
            <v>WACE</v>
          </cell>
        </row>
        <row r="7872">
          <cell r="A7872" t="str">
            <v>FB260009762</v>
          </cell>
          <cell r="D7872" t="str">
            <v>WACE</v>
          </cell>
        </row>
        <row r="7873">
          <cell r="A7873" t="str">
            <v>FB260009763</v>
          </cell>
          <cell r="D7873" t="str">
            <v>VSS</v>
          </cell>
        </row>
        <row r="7874">
          <cell r="A7874" t="str">
            <v>FB260009765</v>
          </cell>
          <cell r="D7874" t="str">
            <v>VSS</v>
          </cell>
        </row>
        <row r="7875">
          <cell r="A7875" t="str">
            <v>FB260009766</v>
          </cell>
          <cell r="D7875" t="str">
            <v>VSS</v>
          </cell>
        </row>
        <row r="7876">
          <cell r="A7876" t="str">
            <v>FB260009767</v>
          </cell>
          <cell r="D7876" t="str">
            <v>VSS</v>
          </cell>
        </row>
        <row r="7877">
          <cell r="A7877" t="str">
            <v>FB260009768</v>
          </cell>
          <cell r="D7877" t="str">
            <v>PINK</v>
          </cell>
        </row>
        <row r="7878">
          <cell r="A7878" t="str">
            <v>FB260009769</v>
          </cell>
          <cell r="D7878" t="str">
            <v>PINK</v>
          </cell>
        </row>
        <row r="7879">
          <cell r="A7879" t="str">
            <v>FB260009770</v>
          </cell>
          <cell r="D7879" t="str">
            <v>VSS</v>
          </cell>
        </row>
        <row r="7880">
          <cell r="A7880" t="str">
            <v>FB260009771</v>
          </cell>
          <cell r="D7880" t="str">
            <v>NIK</v>
          </cell>
        </row>
        <row r="7881">
          <cell r="A7881" t="str">
            <v>FB260009772</v>
          </cell>
          <cell r="D7881" t="str">
            <v>LULU</v>
          </cell>
        </row>
        <row r="7882">
          <cell r="A7882" t="str">
            <v>FB260009774</v>
          </cell>
          <cell r="D7882" t="str">
            <v>M&amp;S</v>
          </cell>
        </row>
        <row r="7883">
          <cell r="A7883" t="str">
            <v>FB260009775</v>
          </cell>
          <cell r="D7883" t="str">
            <v>M&amp;S</v>
          </cell>
        </row>
        <row r="7884">
          <cell r="A7884" t="str">
            <v>FB260009777</v>
          </cell>
          <cell r="D7884" t="str">
            <v>LBI</v>
          </cell>
        </row>
        <row r="7885">
          <cell r="A7885" t="str">
            <v>FB260009778</v>
          </cell>
          <cell r="D7885" t="str">
            <v>VSS</v>
          </cell>
        </row>
        <row r="7886">
          <cell r="A7886" t="str">
            <v>FB260009779</v>
          </cell>
          <cell r="D7886" t="str">
            <v>VSS</v>
          </cell>
        </row>
        <row r="7887">
          <cell r="A7887" t="str">
            <v>FB260009780</v>
          </cell>
          <cell r="D7887" t="str">
            <v>VSS</v>
          </cell>
        </row>
        <row r="7888">
          <cell r="A7888" t="str">
            <v>FB260009781</v>
          </cell>
          <cell r="D7888" t="str">
            <v>VSS</v>
          </cell>
        </row>
        <row r="7889">
          <cell r="A7889" t="str">
            <v>FB260009782</v>
          </cell>
          <cell r="D7889" t="str">
            <v>VSS</v>
          </cell>
        </row>
        <row r="7890">
          <cell r="A7890" t="str">
            <v>FB260009783</v>
          </cell>
          <cell r="D7890" t="str">
            <v>VSS</v>
          </cell>
        </row>
        <row r="7891">
          <cell r="A7891" t="str">
            <v>FB260009784</v>
          </cell>
          <cell r="D7891" t="str">
            <v>VSS</v>
          </cell>
        </row>
        <row r="7892">
          <cell r="A7892" t="str">
            <v>FB260009785</v>
          </cell>
          <cell r="D7892" t="str">
            <v>VSS</v>
          </cell>
        </row>
        <row r="7893">
          <cell r="A7893" t="str">
            <v>FB260009786</v>
          </cell>
          <cell r="D7893" t="str">
            <v>VSS</v>
          </cell>
        </row>
        <row r="7894">
          <cell r="A7894" t="str">
            <v>FB260009787</v>
          </cell>
          <cell r="D7894" t="str">
            <v>VSS</v>
          </cell>
        </row>
        <row r="7895">
          <cell r="A7895" t="str">
            <v>FB260009788</v>
          </cell>
          <cell r="D7895" t="str">
            <v>VSS</v>
          </cell>
        </row>
        <row r="7896">
          <cell r="A7896" t="str">
            <v>FB260009789</v>
          </cell>
          <cell r="D7896" t="str">
            <v>VSS</v>
          </cell>
        </row>
        <row r="7897">
          <cell r="A7897" t="str">
            <v>FB260009790</v>
          </cell>
          <cell r="D7897" t="str">
            <v>VSS</v>
          </cell>
        </row>
        <row r="7898">
          <cell r="A7898" t="str">
            <v>FB260009791</v>
          </cell>
          <cell r="D7898" t="str">
            <v>VSS</v>
          </cell>
        </row>
        <row r="7899">
          <cell r="A7899" t="str">
            <v>FB260009792</v>
          </cell>
          <cell r="D7899" t="str">
            <v>VSS</v>
          </cell>
        </row>
        <row r="7900">
          <cell r="A7900" t="str">
            <v>FB260009796</v>
          </cell>
          <cell r="D7900" t="str">
            <v>WACE</v>
          </cell>
        </row>
        <row r="7901">
          <cell r="A7901" t="str">
            <v>FB260009802</v>
          </cell>
          <cell r="D7901" t="str">
            <v>M&amp;S</v>
          </cell>
        </row>
        <row r="7902">
          <cell r="A7902" t="str">
            <v>FB260009803</v>
          </cell>
          <cell r="D7902" t="str">
            <v>WACE</v>
          </cell>
        </row>
        <row r="7903">
          <cell r="A7903" t="str">
            <v>FB260009804</v>
          </cell>
          <cell r="D7903" t="str">
            <v>VSS</v>
          </cell>
        </row>
        <row r="7904">
          <cell r="A7904" t="str">
            <v>FB260009805</v>
          </cell>
          <cell r="D7904" t="str">
            <v>VSS</v>
          </cell>
        </row>
        <row r="7905">
          <cell r="A7905" t="str">
            <v>FB260009806</v>
          </cell>
          <cell r="D7905" t="str">
            <v>VSS</v>
          </cell>
        </row>
        <row r="7906">
          <cell r="A7906" t="str">
            <v>FB260009808</v>
          </cell>
          <cell r="D7906" t="str">
            <v>SOM</v>
          </cell>
        </row>
        <row r="7907">
          <cell r="A7907" t="str">
            <v>FB260009809</v>
          </cell>
          <cell r="D7907" t="str">
            <v>SOM</v>
          </cell>
        </row>
        <row r="7908">
          <cell r="A7908" t="str">
            <v>FB260009810</v>
          </cell>
          <cell r="D7908" t="str">
            <v>VSS</v>
          </cell>
        </row>
        <row r="7909">
          <cell r="A7909" t="str">
            <v>FB260009811</v>
          </cell>
          <cell r="D7909" t="str">
            <v>TJEL</v>
          </cell>
        </row>
        <row r="7910">
          <cell r="A7910" t="str">
            <v>FB260009814</v>
          </cell>
          <cell r="D7910" t="str">
            <v>LBI</v>
          </cell>
        </row>
        <row r="7911">
          <cell r="A7911" t="str">
            <v>FB260009815</v>
          </cell>
          <cell r="D7911" t="str">
            <v>LBI</v>
          </cell>
        </row>
        <row r="7912">
          <cell r="A7912" t="str">
            <v>FB260009816</v>
          </cell>
          <cell r="D7912" t="str">
            <v>LBI</v>
          </cell>
        </row>
        <row r="7913">
          <cell r="A7913" t="str">
            <v>FB260009817</v>
          </cell>
          <cell r="D7913" t="str">
            <v>NKSKI</v>
          </cell>
        </row>
        <row r="7914">
          <cell r="A7914" t="str">
            <v>FB260009819</v>
          </cell>
          <cell r="D7914" t="str">
            <v>CK</v>
          </cell>
        </row>
        <row r="7915">
          <cell r="A7915" t="str">
            <v>FB260009820</v>
          </cell>
          <cell r="D7915" t="str">
            <v>CK</v>
          </cell>
        </row>
        <row r="7916">
          <cell r="A7916" t="str">
            <v>FB260009821</v>
          </cell>
          <cell r="D7916" t="str">
            <v>VSS</v>
          </cell>
        </row>
        <row r="7917">
          <cell r="A7917" t="str">
            <v>FB260009822</v>
          </cell>
          <cell r="D7917" t="str">
            <v>CK</v>
          </cell>
        </row>
        <row r="7918">
          <cell r="A7918" t="str">
            <v>FB260009823</v>
          </cell>
          <cell r="D7918" t="str">
            <v>CK</v>
          </cell>
        </row>
        <row r="7919">
          <cell r="A7919" t="str">
            <v>FB260009830</v>
          </cell>
          <cell r="D7919" t="str">
            <v>PINK</v>
          </cell>
        </row>
        <row r="7920">
          <cell r="A7920" t="str">
            <v>FB260009834</v>
          </cell>
          <cell r="D7920" t="str">
            <v>PINK</v>
          </cell>
        </row>
        <row r="7921">
          <cell r="A7921" t="str">
            <v>FB260009835</v>
          </cell>
          <cell r="D7921" t="str">
            <v>CK</v>
          </cell>
        </row>
        <row r="7922">
          <cell r="A7922" t="str">
            <v>FB260009838</v>
          </cell>
          <cell r="D7922" t="str">
            <v>PINK</v>
          </cell>
        </row>
        <row r="7923">
          <cell r="A7923" t="str">
            <v>FB260009840</v>
          </cell>
          <cell r="D7923" t="str">
            <v>PINK</v>
          </cell>
        </row>
        <row r="7924">
          <cell r="A7924" t="str">
            <v>FB260009841</v>
          </cell>
          <cell r="D7924" t="str">
            <v>PINK</v>
          </cell>
        </row>
        <row r="7925">
          <cell r="A7925" t="str">
            <v>FB260009843</v>
          </cell>
          <cell r="D7925" t="str">
            <v>TORD</v>
          </cell>
        </row>
        <row r="7926">
          <cell r="A7926" t="str">
            <v>FB260009844</v>
          </cell>
          <cell r="D7926" t="str">
            <v>TORD</v>
          </cell>
        </row>
        <row r="7927">
          <cell r="A7927" t="str">
            <v>FB260009845</v>
          </cell>
          <cell r="D7927" t="str">
            <v>PINK</v>
          </cell>
        </row>
        <row r="7928">
          <cell r="A7928" t="str">
            <v>FB260009846</v>
          </cell>
          <cell r="D7928" t="str">
            <v>M&amp;S</v>
          </cell>
        </row>
        <row r="7929">
          <cell r="A7929" t="str">
            <v>FB260009851</v>
          </cell>
          <cell r="D7929" t="str">
            <v>M&amp;S</v>
          </cell>
        </row>
        <row r="7930">
          <cell r="A7930" t="str">
            <v>FB260009852</v>
          </cell>
          <cell r="D7930" t="str">
            <v>M&amp;S</v>
          </cell>
        </row>
        <row r="7931">
          <cell r="A7931" t="str">
            <v>FB260009853</v>
          </cell>
          <cell r="D7931" t="str">
            <v>M&amp;S</v>
          </cell>
        </row>
        <row r="7932">
          <cell r="A7932" t="str">
            <v>FB260009854</v>
          </cell>
          <cell r="D7932" t="str">
            <v>M&amp;S</v>
          </cell>
        </row>
        <row r="7933">
          <cell r="A7933" t="str">
            <v>FB260009855</v>
          </cell>
          <cell r="D7933" t="str">
            <v>M&amp;S</v>
          </cell>
        </row>
        <row r="7934">
          <cell r="A7934" t="str">
            <v>FB260009856</v>
          </cell>
          <cell r="D7934" t="str">
            <v>M&amp;S</v>
          </cell>
        </row>
        <row r="7935">
          <cell r="A7935" t="str">
            <v>FB260009857</v>
          </cell>
          <cell r="D7935" t="str">
            <v>M&amp;S</v>
          </cell>
        </row>
        <row r="7936">
          <cell r="A7936" t="str">
            <v>FB260009858</v>
          </cell>
          <cell r="D7936" t="str">
            <v>M&amp;S</v>
          </cell>
        </row>
        <row r="7937">
          <cell r="A7937" t="str">
            <v>FB260009859</v>
          </cell>
          <cell r="D7937" t="str">
            <v>M&amp;S</v>
          </cell>
        </row>
        <row r="7938">
          <cell r="A7938" t="str">
            <v>FB260009860</v>
          </cell>
          <cell r="D7938" t="str">
            <v>M&amp;S</v>
          </cell>
        </row>
        <row r="7939">
          <cell r="A7939" t="str">
            <v>FB260009861</v>
          </cell>
          <cell r="D7939" t="str">
            <v>M&amp;S</v>
          </cell>
        </row>
        <row r="7940">
          <cell r="A7940" t="str">
            <v>FB260009862</v>
          </cell>
          <cell r="D7940" t="str">
            <v>M&amp;S</v>
          </cell>
        </row>
        <row r="7941">
          <cell r="A7941" t="str">
            <v>FB260009863</v>
          </cell>
          <cell r="D7941" t="str">
            <v>LBI</v>
          </cell>
        </row>
        <row r="7942">
          <cell r="A7942" t="str">
            <v>FB260009864</v>
          </cell>
          <cell r="D7942" t="str">
            <v>LBI</v>
          </cell>
        </row>
        <row r="7943">
          <cell r="A7943" t="str">
            <v>FB260009865</v>
          </cell>
          <cell r="D7943" t="str">
            <v>LBI</v>
          </cell>
        </row>
        <row r="7944">
          <cell r="A7944" t="str">
            <v>FB260009866</v>
          </cell>
          <cell r="D7944" t="str">
            <v>LBI</v>
          </cell>
        </row>
        <row r="7945">
          <cell r="A7945" t="str">
            <v>FB260009867</v>
          </cell>
          <cell r="D7945" t="str">
            <v>LBI</v>
          </cell>
        </row>
        <row r="7946">
          <cell r="A7946" t="str">
            <v>FB260009868</v>
          </cell>
          <cell r="D7946" t="str">
            <v>LBI</v>
          </cell>
        </row>
        <row r="7947">
          <cell r="A7947" t="str">
            <v>FB260009869</v>
          </cell>
          <cell r="D7947" t="str">
            <v>WACE</v>
          </cell>
        </row>
        <row r="7948">
          <cell r="A7948" t="str">
            <v>FB260009870</v>
          </cell>
          <cell r="D7948" t="str">
            <v>THX</v>
          </cell>
        </row>
        <row r="7949">
          <cell r="A7949" t="str">
            <v>FB260009871</v>
          </cell>
          <cell r="D7949" t="str">
            <v>NKSKI</v>
          </cell>
        </row>
        <row r="7950">
          <cell r="A7950" t="str">
            <v>FB260009872</v>
          </cell>
          <cell r="D7950" t="str">
            <v>NKSKI</v>
          </cell>
        </row>
        <row r="7951">
          <cell r="A7951" t="str">
            <v>FB260009874</v>
          </cell>
          <cell r="D7951" t="str">
            <v>VSS</v>
          </cell>
        </row>
        <row r="7952">
          <cell r="A7952" t="str">
            <v>FB260009875</v>
          </cell>
          <cell r="D7952" t="str">
            <v>CK</v>
          </cell>
        </row>
        <row r="7953">
          <cell r="A7953" t="str">
            <v>FB260009876</v>
          </cell>
          <cell r="D7953" t="str">
            <v>CK</v>
          </cell>
        </row>
        <row r="7954">
          <cell r="A7954" t="str">
            <v>FB260009877</v>
          </cell>
          <cell r="D7954" t="str">
            <v>PINK</v>
          </cell>
        </row>
        <row r="7955">
          <cell r="A7955" t="str">
            <v>FB260009879</v>
          </cell>
          <cell r="D7955" t="str">
            <v>PINK</v>
          </cell>
        </row>
        <row r="7956">
          <cell r="A7956" t="str">
            <v>FB260009880</v>
          </cell>
          <cell r="D7956" t="str">
            <v>PINK</v>
          </cell>
        </row>
        <row r="7957">
          <cell r="A7957" t="str">
            <v>FB260009881</v>
          </cell>
          <cell r="D7957" t="str">
            <v>NKSKI</v>
          </cell>
        </row>
        <row r="7958">
          <cell r="A7958" t="str">
            <v>FB260009882</v>
          </cell>
          <cell r="D7958" t="str">
            <v>NKSKI</v>
          </cell>
        </row>
        <row r="7959">
          <cell r="A7959" t="str">
            <v>FB260009883</v>
          </cell>
          <cell r="D7959" t="str">
            <v>NKSKI</v>
          </cell>
        </row>
        <row r="7960">
          <cell r="A7960" t="str">
            <v>FB260009884</v>
          </cell>
          <cell r="D7960" t="str">
            <v>NKSKI</v>
          </cell>
        </row>
        <row r="7961">
          <cell r="A7961" t="str">
            <v>FB260009885</v>
          </cell>
          <cell r="D7961" t="str">
            <v>NKSKI</v>
          </cell>
        </row>
        <row r="7962">
          <cell r="A7962" t="str">
            <v>FB260009886</v>
          </cell>
          <cell r="D7962" t="str">
            <v>WACE</v>
          </cell>
        </row>
        <row r="7963">
          <cell r="A7963" t="str">
            <v>FB260009891</v>
          </cell>
          <cell r="D7963" t="str">
            <v>M&amp;S</v>
          </cell>
        </row>
        <row r="7964">
          <cell r="A7964" t="str">
            <v>FB260009893</v>
          </cell>
          <cell r="D7964" t="str">
            <v>NIK</v>
          </cell>
        </row>
        <row r="7965">
          <cell r="A7965" t="str">
            <v>FB260009894</v>
          </cell>
          <cell r="D7965" t="str">
            <v>NIK</v>
          </cell>
        </row>
        <row r="7966">
          <cell r="A7966" t="str">
            <v>FB260009895</v>
          </cell>
          <cell r="D7966" t="str">
            <v>LBI</v>
          </cell>
        </row>
        <row r="7967">
          <cell r="A7967" t="str">
            <v>FB260009897</v>
          </cell>
          <cell r="D7967" t="str">
            <v>NIK</v>
          </cell>
        </row>
        <row r="7968">
          <cell r="A7968" t="str">
            <v>FB260009901</v>
          </cell>
          <cell r="D7968" t="str">
            <v>NEX</v>
          </cell>
        </row>
        <row r="7969">
          <cell r="A7969" t="str">
            <v>FB260009907</v>
          </cell>
          <cell r="D7969" t="str">
            <v>WACE</v>
          </cell>
        </row>
        <row r="7970">
          <cell r="A7970" t="str">
            <v>FB260009908</v>
          </cell>
          <cell r="D7970" t="str">
            <v>AISLE</v>
          </cell>
        </row>
        <row r="7971">
          <cell r="A7971" t="str">
            <v>FB260009909</v>
          </cell>
          <cell r="D7971" t="str">
            <v>AISLE</v>
          </cell>
        </row>
        <row r="7972">
          <cell r="A7972" t="str">
            <v>FB260009910</v>
          </cell>
          <cell r="D7972" t="str">
            <v>AISLE</v>
          </cell>
        </row>
        <row r="7973">
          <cell r="A7973" t="str">
            <v>FB260009911</v>
          </cell>
          <cell r="D7973" t="str">
            <v>NIK</v>
          </cell>
        </row>
        <row r="7974">
          <cell r="A7974" t="str">
            <v>FB260009913</v>
          </cell>
          <cell r="D7974" t="str">
            <v>AISLE</v>
          </cell>
        </row>
        <row r="7975">
          <cell r="A7975" t="str">
            <v>FB260009914</v>
          </cell>
          <cell r="D7975" t="str">
            <v>PINK</v>
          </cell>
        </row>
        <row r="7976">
          <cell r="A7976" t="str">
            <v>FB260009916</v>
          </cell>
          <cell r="D7976" t="str">
            <v>THX</v>
          </cell>
        </row>
        <row r="7977">
          <cell r="A7977" t="str">
            <v>FB260009917</v>
          </cell>
          <cell r="D7977" t="str">
            <v>NIK</v>
          </cell>
        </row>
        <row r="7978">
          <cell r="A7978" t="str">
            <v>FB260009918</v>
          </cell>
          <cell r="D7978" t="str">
            <v>NIK</v>
          </cell>
        </row>
        <row r="7979">
          <cell r="A7979" t="str">
            <v>FB260009919</v>
          </cell>
          <cell r="D7979" t="str">
            <v>NIK</v>
          </cell>
        </row>
        <row r="7980">
          <cell r="A7980" t="str">
            <v>FB260009920</v>
          </cell>
          <cell r="D7980" t="str">
            <v>NIK</v>
          </cell>
        </row>
        <row r="7981">
          <cell r="A7981" t="str">
            <v>FB260009921</v>
          </cell>
          <cell r="D7981" t="str">
            <v>NIK</v>
          </cell>
        </row>
        <row r="7982">
          <cell r="A7982" t="str">
            <v>FB260009922</v>
          </cell>
          <cell r="D7982" t="str">
            <v>NIK</v>
          </cell>
        </row>
        <row r="7983">
          <cell r="A7983" t="str">
            <v>FB260009923</v>
          </cell>
          <cell r="D7983" t="str">
            <v>INT1</v>
          </cell>
        </row>
        <row r="7984">
          <cell r="A7984" t="str">
            <v>FB260009925</v>
          </cell>
          <cell r="D7984" t="str">
            <v>NIK</v>
          </cell>
        </row>
        <row r="7985">
          <cell r="A7985" t="str">
            <v>FB260009926</v>
          </cell>
          <cell r="D7985" t="str">
            <v>NIK</v>
          </cell>
        </row>
        <row r="7986">
          <cell r="A7986" t="str">
            <v>FB260009927</v>
          </cell>
          <cell r="D7986" t="str">
            <v>NIK</v>
          </cell>
        </row>
        <row r="7987">
          <cell r="A7987" t="str">
            <v>FB260009929</v>
          </cell>
          <cell r="D7987" t="str">
            <v>NIK</v>
          </cell>
        </row>
        <row r="7988">
          <cell r="A7988" t="str">
            <v>FB260009930</v>
          </cell>
          <cell r="D7988" t="str">
            <v>PINK</v>
          </cell>
        </row>
        <row r="7989">
          <cell r="A7989" t="str">
            <v>FB260009932</v>
          </cell>
          <cell r="D7989" t="str">
            <v>VSS</v>
          </cell>
        </row>
        <row r="7990">
          <cell r="A7990" t="str">
            <v>FB260009933</v>
          </cell>
          <cell r="D7990" t="str">
            <v>NEX</v>
          </cell>
        </row>
        <row r="7991">
          <cell r="A7991" t="str">
            <v>FB260009934</v>
          </cell>
          <cell r="D7991" t="str">
            <v>VSS</v>
          </cell>
        </row>
        <row r="7992">
          <cell r="A7992" t="str">
            <v>FB260009935</v>
          </cell>
          <cell r="D7992" t="str">
            <v>PINK</v>
          </cell>
        </row>
        <row r="7993">
          <cell r="A7993" t="str">
            <v>FB260009937</v>
          </cell>
          <cell r="D7993" t="str">
            <v>LBI</v>
          </cell>
        </row>
        <row r="7994">
          <cell r="A7994" t="str">
            <v>FB260009938</v>
          </cell>
          <cell r="D7994" t="str">
            <v>WACE</v>
          </cell>
        </row>
        <row r="7995">
          <cell r="A7995" t="str">
            <v>FB260009939</v>
          </cell>
          <cell r="D7995" t="str">
            <v>PINK</v>
          </cell>
        </row>
        <row r="7996">
          <cell r="A7996" t="str">
            <v>FB260009940</v>
          </cell>
          <cell r="D7996" t="str">
            <v>WACE</v>
          </cell>
        </row>
        <row r="7997">
          <cell r="A7997" t="str">
            <v>FB260009941</v>
          </cell>
          <cell r="D7997" t="str">
            <v>CK</v>
          </cell>
        </row>
        <row r="7998">
          <cell r="A7998" t="str">
            <v>FB260009942</v>
          </cell>
          <cell r="D7998" t="str">
            <v>VSS</v>
          </cell>
        </row>
        <row r="7999">
          <cell r="A7999" t="str">
            <v>FB260009946</v>
          </cell>
          <cell r="D7999" t="str">
            <v>PINK</v>
          </cell>
        </row>
        <row r="8000">
          <cell r="A8000" t="str">
            <v>FB260009947</v>
          </cell>
          <cell r="D8000" t="str">
            <v>CK</v>
          </cell>
        </row>
        <row r="8001">
          <cell r="A8001" t="str">
            <v>FB260009950</v>
          </cell>
          <cell r="D8001" t="str">
            <v>NIK</v>
          </cell>
        </row>
        <row r="8002">
          <cell r="A8002" t="str">
            <v>FB260009952</v>
          </cell>
          <cell r="D8002" t="str">
            <v>WACE</v>
          </cell>
        </row>
        <row r="8003">
          <cell r="A8003" t="str">
            <v>FB260009953</v>
          </cell>
          <cell r="D8003" t="str">
            <v>PINK</v>
          </cell>
        </row>
        <row r="8004">
          <cell r="A8004" t="str">
            <v>FB260009954</v>
          </cell>
          <cell r="D8004" t="str">
            <v>PINK</v>
          </cell>
        </row>
        <row r="8005">
          <cell r="A8005" t="str">
            <v>FB260009955</v>
          </cell>
          <cell r="D8005" t="str">
            <v>M&amp;S</v>
          </cell>
        </row>
        <row r="8006">
          <cell r="A8006" t="str">
            <v>FB260009956</v>
          </cell>
          <cell r="D8006" t="str">
            <v>M&amp;S</v>
          </cell>
        </row>
        <row r="8007">
          <cell r="A8007" t="str">
            <v>FB260009957</v>
          </cell>
          <cell r="D8007" t="str">
            <v>CHICOS</v>
          </cell>
        </row>
        <row r="8008">
          <cell r="A8008" t="str">
            <v>FB260009959</v>
          </cell>
          <cell r="D8008" t="str">
            <v>PEP</v>
          </cell>
        </row>
        <row r="8009">
          <cell r="A8009" t="str">
            <v>FB260009960</v>
          </cell>
          <cell r="D8009" t="str">
            <v>LULU</v>
          </cell>
        </row>
        <row r="8010">
          <cell r="A8010" t="str">
            <v>FB260009968</v>
          </cell>
          <cell r="D8010" t="str">
            <v>NEWB</v>
          </cell>
        </row>
        <row r="8011">
          <cell r="A8011" t="str">
            <v>FB260009970</v>
          </cell>
          <cell r="D8011" t="str">
            <v>ODL</v>
          </cell>
        </row>
        <row r="8012">
          <cell r="A8012" t="str">
            <v>FB260009972</v>
          </cell>
          <cell r="D8012" t="str">
            <v>LULU</v>
          </cell>
        </row>
        <row r="8013">
          <cell r="A8013" t="str">
            <v>FB260009974</v>
          </cell>
          <cell r="D8013" t="str">
            <v>NIK</v>
          </cell>
        </row>
        <row r="8014">
          <cell r="A8014" t="str">
            <v>FB260009976</v>
          </cell>
          <cell r="D8014" t="str">
            <v>VSS</v>
          </cell>
        </row>
        <row r="8015">
          <cell r="A8015" t="str">
            <v>FB260009977</v>
          </cell>
          <cell r="D8015" t="str">
            <v>VSS</v>
          </cell>
        </row>
        <row r="8016">
          <cell r="A8016" t="str">
            <v>FB260009978</v>
          </cell>
          <cell r="D8016" t="str">
            <v>VSS</v>
          </cell>
        </row>
        <row r="8017">
          <cell r="A8017" t="str">
            <v>FB260009979</v>
          </cell>
          <cell r="D8017" t="str">
            <v>VSS</v>
          </cell>
        </row>
        <row r="8018">
          <cell r="A8018" t="str">
            <v>FB260009980</v>
          </cell>
          <cell r="D8018" t="str">
            <v>VSS</v>
          </cell>
        </row>
        <row r="8019">
          <cell r="A8019" t="str">
            <v>FB260009981</v>
          </cell>
          <cell r="D8019" t="str">
            <v>VSS</v>
          </cell>
        </row>
        <row r="8020">
          <cell r="A8020" t="str">
            <v>FB260009985</v>
          </cell>
          <cell r="D8020" t="str">
            <v>VSS</v>
          </cell>
        </row>
        <row r="8021">
          <cell r="A8021" t="str">
            <v>FB260009986</v>
          </cell>
          <cell r="D8021" t="str">
            <v>VSS</v>
          </cell>
        </row>
        <row r="8022">
          <cell r="A8022" t="str">
            <v>FB260009988</v>
          </cell>
          <cell r="D8022" t="str">
            <v>VSS</v>
          </cell>
        </row>
        <row r="8023">
          <cell r="A8023" t="str">
            <v>FB260009991</v>
          </cell>
          <cell r="D8023" t="str">
            <v>VSS</v>
          </cell>
        </row>
        <row r="8024">
          <cell r="A8024" t="str">
            <v>FB260009992</v>
          </cell>
          <cell r="D8024" t="str">
            <v>VSS</v>
          </cell>
        </row>
        <row r="8025">
          <cell r="A8025" t="str">
            <v>FB260009993</v>
          </cell>
          <cell r="D8025" t="str">
            <v>VSS</v>
          </cell>
        </row>
        <row r="8026">
          <cell r="A8026" t="str">
            <v>FB260009997</v>
          </cell>
          <cell r="D8026" t="str">
            <v>VSS</v>
          </cell>
        </row>
        <row r="8027">
          <cell r="A8027" t="str">
            <v>FB260009998</v>
          </cell>
          <cell r="D8027" t="str">
            <v>VSS</v>
          </cell>
        </row>
        <row r="8028">
          <cell r="A8028" t="str">
            <v>FB260010003</v>
          </cell>
          <cell r="D8028" t="str">
            <v>VSS</v>
          </cell>
        </row>
        <row r="8029">
          <cell r="A8029" t="str">
            <v>FB260010004</v>
          </cell>
          <cell r="D8029" t="str">
            <v>VSS</v>
          </cell>
        </row>
        <row r="8030">
          <cell r="A8030" t="str">
            <v>FB260010005</v>
          </cell>
          <cell r="D8030" t="str">
            <v>VSS</v>
          </cell>
        </row>
        <row r="8031">
          <cell r="A8031" t="str">
            <v>FB260010006</v>
          </cell>
          <cell r="D8031" t="str">
            <v>VSS</v>
          </cell>
        </row>
        <row r="8032">
          <cell r="A8032" t="str">
            <v>FB260010007</v>
          </cell>
          <cell r="D8032" t="str">
            <v>VSS</v>
          </cell>
        </row>
        <row r="8033">
          <cell r="A8033" t="str">
            <v>FB260010008</v>
          </cell>
          <cell r="D8033" t="str">
            <v>VSS</v>
          </cell>
        </row>
        <row r="8034">
          <cell r="A8034" t="str">
            <v>FB260010009</v>
          </cell>
          <cell r="D8034" t="str">
            <v>VSS</v>
          </cell>
        </row>
        <row r="8035">
          <cell r="A8035" t="str">
            <v>FB260010011</v>
          </cell>
          <cell r="D8035" t="str">
            <v>VSS</v>
          </cell>
        </row>
        <row r="8036">
          <cell r="A8036" t="str">
            <v>FB260010012</v>
          </cell>
          <cell r="D8036" t="str">
            <v>VSS</v>
          </cell>
        </row>
        <row r="8037">
          <cell r="A8037" t="str">
            <v>FB260010015</v>
          </cell>
          <cell r="D8037" t="str">
            <v>VSS</v>
          </cell>
        </row>
        <row r="8038">
          <cell r="A8038" t="str">
            <v>FB260010018</v>
          </cell>
          <cell r="D8038" t="str">
            <v>WACE</v>
          </cell>
        </row>
        <row r="8039">
          <cell r="A8039" t="str">
            <v>FB260010019</v>
          </cell>
          <cell r="D8039" t="str">
            <v>NEWB</v>
          </cell>
        </row>
        <row r="8040">
          <cell r="A8040" t="str">
            <v>FB260010022</v>
          </cell>
          <cell r="D8040" t="str">
            <v>VSS</v>
          </cell>
        </row>
        <row r="8041">
          <cell r="A8041" t="str">
            <v>FB260010023</v>
          </cell>
          <cell r="D8041" t="str">
            <v>VSS</v>
          </cell>
        </row>
        <row r="8042">
          <cell r="A8042" t="str">
            <v>FB260010026</v>
          </cell>
          <cell r="D8042" t="str">
            <v>M&amp;S</v>
          </cell>
        </row>
        <row r="8043">
          <cell r="A8043" t="str">
            <v>FB260010032</v>
          </cell>
          <cell r="D8043" t="str">
            <v>VSS</v>
          </cell>
        </row>
        <row r="8044">
          <cell r="A8044" t="str">
            <v>FB260010033</v>
          </cell>
          <cell r="D8044" t="str">
            <v>CK</v>
          </cell>
        </row>
        <row r="8045">
          <cell r="A8045" t="str">
            <v>FB260010035</v>
          </cell>
          <cell r="D8045" t="str">
            <v>VSS</v>
          </cell>
        </row>
        <row r="8046">
          <cell r="A8046" t="str">
            <v>FB260010036</v>
          </cell>
          <cell r="D8046" t="str">
            <v>VSS</v>
          </cell>
        </row>
        <row r="8047">
          <cell r="A8047" t="str">
            <v>FB260010037</v>
          </cell>
          <cell r="D8047" t="str">
            <v>VSS</v>
          </cell>
        </row>
        <row r="8048">
          <cell r="A8048" t="str">
            <v>FB260010038</v>
          </cell>
          <cell r="D8048" t="str">
            <v>NEWB</v>
          </cell>
        </row>
        <row r="8049">
          <cell r="A8049" t="str">
            <v>FB260010039</v>
          </cell>
          <cell r="D8049" t="str">
            <v>NEWB</v>
          </cell>
        </row>
        <row r="8050">
          <cell r="A8050" t="str">
            <v>FB260010040</v>
          </cell>
          <cell r="D8050" t="str">
            <v>NEWB</v>
          </cell>
        </row>
        <row r="8051">
          <cell r="A8051" t="str">
            <v>FB260010041</v>
          </cell>
          <cell r="D8051" t="str">
            <v>NEWB</v>
          </cell>
        </row>
        <row r="8052">
          <cell r="A8052" t="str">
            <v>FB260010043</v>
          </cell>
          <cell r="D8052" t="str">
            <v>NEWB</v>
          </cell>
        </row>
        <row r="8053">
          <cell r="A8053" t="str">
            <v>FB260010044</v>
          </cell>
          <cell r="D8053" t="str">
            <v>VSS</v>
          </cell>
        </row>
        <row r="8054">
          <cell r="A8054" t="str">
            <v>FB260010045</v>
          </cell>
          <cell r="D8054" t="str">
            <v>VSS</v>
          </cell>
        </row>
        <row r="8055">
          <cell r="A8055" t="str">
            <v>FB260010047</v>
          </cell>
          <cell r="D8055" t="str">
            <v>VSS</v>
          </cell>
        </row>
        <row r="8056">
          <cell r="A8056" t="str">
            <v>FB260010048</v>
          </cell>
          <cell r="D8056" t="str">
            <v>CK</v>
          </cell>
        </row>
        <row r="8057">
          <cell r="A8057" t="str">
            <v>FB260010049</v>
          </cell>
          <cell r="D8057" t="str">
            <v>CK</v>
          </cell>
        </row>
        <row r="8058">
          <cell r="A8058" t="str">
            <v>FB260010050</v>
          </cell>
          <cell r="D8058" t="str">
            <v>VSS</v>
          </cell>
        </row>
        <row r="8059">
          <cell r="A8059" t="str">
            <v>FB260010051</v>
          </cell>
          <cell r="D8059" t="str">
            <v>VSS</v>
          </cell>
        </row>
        <row r="8060">
          <cell r="A8060" t="str">
            <v>FB260010052</v>
          </cell>
          <cell r="D8060" t="str">
            <v>VSS</v>
          </cell>
        </row>
        <row r="8061">
          <cell r="A8061" t="str">
            <v>FB260010053</v>
          </cell>
          <cell r="D8061" t="str">
            <v>VSS</v>
          </cell>
        </row>
        <row r="8062">
          <cell r="A8062" t="str">
            <v>FB260010054</v>
          </cell>
          <cell r="D8062" t="str">
            <v>VSS</v>
          </cell>
        </row>
        <row r="8063">
          <cell r="A8063" t="str">
            <v>FB260010057</v>
          </cell>
          <cell r="D8063" t="str">
            <v>VSS</v>
          </cell>
        </row>
        <row r="8064">
          <cell r="A8064" t="str">
            <v>FB260010058</v>
          </cell>
          <cell r="D8064" t="str">
            <v>INT1</v>
          </cell>
        </row>
        <row r="8065">
          <cell r="A8065" t="str">
            <v>FB260010059</v>
          </cell>
          <cell r="D8065" t="str">
            <v>VSS</v>
          </cell>
        </row>
        <row r="8066">
          <cell r="A8066" t="str">
            <v>FB260010060</v>
          </cell>
          <cell r="D8066" t="str">
            <v>VSS</v>
          </cell>
        </row>
        <row r="8067">
          <cell r="A8067" t="str">
            <v>FB260010062</v>
          </cell>
          <cell r="D8067" t="str">
            <v>VSS</v>
          </cell>
        </row>
        <row r="8068">
          <cell r="A8068" t="str">
            <v>FB260010063</v>
          </cell>
          <cell r="D8068" t="str">
            <v>VSS</v>
          </cell>
        </row>
        <row r="8069">
          <cell r="A8069" t="str">
            <v>FB260010064</v>
          </cell>
          <cell r="D8069" t="str">
            <v>VSS</v>
          </cell>
        </row>
        <row r="8070">
          <cell r="A8070" t="str">
            <v>FB260010065</v>
          </cell>
          <cell r="D8070" t="str">
            <v>VSS</v>
          </cell>
        </row>
        <row r="8071">
          <cell r="A8071" t="str">
            <v>FB260010066</v>
          </cell>
          <cell r="D8071" t="str">
            <v>VSS</v>
          </cell>
        </row>
        <row r="8072">
          <cell r="A8072" t="str">
            <v>FB260010067</v>
          </cell>
          <cell r="D8072" t="str">
            <v>VSS</v>
          </cell>
        </row>
        <row r="8073">
          <cell r="A8073" t="str">
            <v>FB260010068</v>
          </cell>
          <cell r="D8073" t="str">
            <v>VSS</v>
          </cell>
        </row>
        <row r="8074">
          <cell r="A8074" t="str">
            <v>FB260010069</v>
          </cell>
          <cell r="D8074" t="str">
            <v>INT1</v>
          </cell>
        </row>
        <row r="8075">
          <cell r="A8075" t="str">
            <v>FB260010070</v>
          </cell>
          <cell r="D8075" t="str">
            <v>INT1</v>
          </cell>
        </row>
        <row r="8076">
          <cell r="A8076" t="str">
            <v>FB260010071</v>
          </cell>
          <cell r="D8076" t="str">
            <v>INT1</v>
          </cell>
        </row>
        <row r="8077">
          <cell r="A8077" t="str">
            <v>FB260010072</v>
          </cell>
          <cell r="D8077" t="str">
            <v>VSS</v>
          </cell>
        </row>
        <row r="8078">
          <cell r="A8078" t="str">
            <v>FB260010073</v>
          </cell>
          <cell r="D8078" t="str">
            <v>LBI</v>
          </cell>
        </row>
        <row r="8079">
          <cell r="A8079" t="str">
            <v>FB260010074</v>
          </cell>
          <cell r="D8079" t="str">
            <v>INT1</v>
          </cell>
        </row>
        <row r="8080">
          <cell r="A8080" t="str">
            <v>FB260010075</v>
          </cell>
          <cell r="D8080" t="str">
            <v>INT1</v>
          </cell>
        </row>
        <row r="8081">
          <cell r="A8081" t="str">
            <v>FB260010076</v>
          </cell>
          <cell r="D8081" t="str">
            <v>VSS</v>
          </cell>
        </row>
        <row r="8082">
          <cell r="A8082" t="str">
            <v>FB260010077</v>
          </cell>
          <cell r="D8082" t="str">
            <v>VSS</v>
          </cell>
        </row>
        <row r="8083">
          <cell r="A8083" t="str">
            <v>FB260010078</v>
          </cell>
          <cell r="D8083" t="str">
            <v>VSS</v>
          </cell>
        </row>
        <row r="8084">
          <cell r="A8084" t="str">
            <v>FB260010079</v>
          </cell>
          <cell r="D8084" t="str">
            <v>INT1</v>
          </cell>
        </row>
        <row r="8085">
          <cell r="A8085" t="str">
            <v>FB260010080</v>
          </cell>
          <cell r="D8085" t="str">
            <v>VSS</v>
          </cell>
        </row>
        <row r="8086">
          <cell r="A8086" t="str">
            <v>FB260010081</v>
          </cell>
          <cell r="D8086" t="str">
            <v>VSS</v>
          </cell>
        </row>
        <row r="8087">
          <cell r="A8087" t="str">
            <v>FB260010082</v>
          </cell>
          <cell r="D8087" t="str">
            <v>VSS</v>
          </cell>
        </row>
        <row r="8088">
          <cell r="A8088" t="str">
            <v>FB260010083</v>
          </cell>
          <cell r="D8088" t="str">
            <v>INT1</v>
          </cell>
        </row>
        <row r="8089">
          <cell r="A8089" t="str">
            <v>FB260010084</v>
          </cell>
          <cell r="D8089" t="str">
            <v>VSS</v>
          </cell>
        </row>
        <row r="8090">
          <cell r="A8090" t="str">
            <v>FB260010085</v>
          </cell>
          <cell r="D8090" t="str">
            <v>VSS</v>
          </cell>
        </row>
        <row r="8091">
          <cell r="A8091" t="str">
            <v>FB260010086</v>
          </cell>
          <cell r="D8091" t="str">
            <v>VSS</v>
          </cell>
        </row>
        <row r="8092">
          <cell r="A8092" t="str">
            <v>FB260010087</v>
          </cell>
          <cell r="D8092" t="str">
            <v>VSS</v>
          </cell>
        </row>
        <row r="8093">
          <cell r="A8093" t="str">
            <v>FB260010089</v>
          </cell>
          <cell r="D8093" t="str">
            <v>VSS</v>
          </cell>
        </row>
        <row r="8094">
          <cell r="A8094" t="str">
            <v>FB260010090</v>
          </cell>
          <cell r="D8094" t="str">
            <v>VSS</v>
          </cell>
        </row>
        <row r="8095">
          <cell r="A8095" t="str">
            <v>FB260010091</v>
          </cell>
          <cell r="D8095" t="str">
            <v>VSS</v>
          </cell>
        </row>
        <row r="8096">
          <cell r="A8096" t="str">
            <v>FB260010092</v>
          </cell>
          <cell r="D8096" t="str">
            <v>VSS</v>
          </cell>
        </row>
        <row r="8097">
          <cell r="A8097" t="str">
            <v>FB260010093</v>
          </cell>
          <cell r="D8097" t="str">
            <v>VSS</v>
          </cell>
        </row>
        <row r="8098">
          <cell r="A8098" t="str">
            <v>FB260010094</v>
          </cell>
          <cell r="D8098" t="str">
            <v>VSS</v>
          </cell>
        </row>
        <row r="8099">
          <cell r="A8099" t="str">
            <v>FB260010095</v>
          </cell>
          <cell r="D8099" t="str">
            <v>VSS</v>
          </cell>
        </row>
        <row r="8100">
          <cell r="A8100" t="str">
            <v>FB260010096</v>
          </cell>
          <cell r="D8100" t="str">
            <v>VSS</v>
          </cell>
        </row>
        <row r="8101">
          <cell r="A8101" t="str">
            <v>FB260010097</v>
          </cell>
          <cell r="D8101" t="str">
            <v>VSS</v>
          </cell>
        </row>
        <row r="8102">
          <cell r="A8102" t="str">
            <v>FB260010098</v>
          </cell>
          <cell r="D8102" t="str">
            <v>VSS</v>
          </cell>
        </row>
        <row r="8103">
          <cell r="A8103" t="str">
            <v>FB260010099</v>
          </cell>
          <cell r="D8103" t="str">
            <v>VSS</v>
          </cell>
        </row>
        <row r="8104">
          <cell r="A8104" t="str">
            <v>FB260010100</v>
          </cell>
          <cell r="D8104" t="str">
            <v>VSS</v>
          </cell>
        </row>
        <row r="8105">
          <cell r="A8105" t="str">
            <v>FB260010101</v>
          </cell>
          <cell r="D8105" t="str">
            <v>VSS</v>
          </cell>
        </row>
        <row r="8106">
          <cell r="A8106" t="str">
            <v>FB260010102</v>
          </cell>
          <cell r="D8106" t="str">
            <v>VSS</v>
          </cell>
        </row>
        <row r="8107">
          <cell r="A8107" t="str">
            <v>FB260010103</v>
          </cell>
          <cell r="D8107" t="str">
            <v>VSS</v>
          </cell>
        </row>
        <row r="8108">
          <cell r="A8108" t="str">
            <v>FB260010104</v>
          </cell>
          <cell r="D8108" t="str">
            <v>VSS</v>
          </cell>
        </row>
        <row r="8109">
          <cell r="A8109" t="str">
            <v>FB260010105</v>
          </cell>
          <cell r="D8109" t="str">
            <v>VSS</v>
          </cell>
        </row>
        <row r="8110">
          <cell r="A8110" t="str">
            <v>FB260010106</v>
          </cell>
          <cell r="D8110" t="str">
            <v>VSS</v>
          </cell>
        </row>
        <row r="8111">
          <cell r="A8111" t="str">
            <v>FB260010107</v>
          </cell>
          <cell r="D8111" t="str">
            <v>VSS</v>
          </cell>
        </row>
        <row r="8112">
          <cell r="A8112" t="str">
            <v>FB260010108</v>
          </cell>
          <cell r="D8112" t="str">
            <v>VSS</v>
          </cell>
        </row>
        <row r="8113">
          <cell r="A8113" t="str">
            <v>FB260010110</v>
          </cell>
          <cell r="D8113" t="str">
            <v>VSS</v>
          </cell>
        </row>
        <row r="8114">
          <cell r="A8114" t="str">
            <v>FB260010111</v>
          </cell>
          <cell r="D8114" t="str">
            <v>VSS</v>
          </cell>
        </row>
        <row r="8115">
          <cell r="A8115" t="str">
            <v>FB260010112</v>
          </cell>
          <cell r="D8115" t="str">
            <v>LBI</v>
          </cell>
        </row>
        <row r="8116">
          <cell r="A8116" t="str">
            <v>FB260010114</v>
          </cell>
          <cell r="D8116" t="str">
            <v>ASIC</v>
          </cell>
        </row>
        <row r="8117">
          <cell r="A8117" t="str">
            <v>FB260010115</v>
          </cell>
          <cell r="D8117" t="str">
            <v>VSS</v>
          </cell>
        </row>
        <row r="8118">
          <cell r="A8118" t="str">
            <v>FB260010129</v>
          </cell>
          <cell r="D8118" t="str">
            <v>VSS</v>
          </cell>
        </row>
        <row r="8119">
          <cell r="A8119" t="str">
            <v>FB260010132</v>
          </cell>
          <cell r="D8119" t="str">
            <v>VSS</v>
          </cell>
        </row>
        <row r="8120">
          <cell r="A8120" t="str">
            <v>FB260010133</v>
          </cell>
          <cell r="D8120" t="str">
            <v>VSS</v>
          </cell>
        </row>
        <row r="8121">
          <cell r="A8121" t="str">
            <v>FB260010134</v>
          </cell>
          <cell r="D8121" t="str">
            <v>VSS</v>
          </cell>
        </row>
        <row r="8122">
          <cell r="A8122" t="str">
            <v>FB260010137</v>
          </cell>
          <cell r="D8122" t="str">
            <v>M&amp;S</v>
          </cell>
        </row>
        <row r="8123">
          <cell r="A8123" t="str">
            <v>FB260010141</v>
          </cell>
          <cell r="D8123" t="str">
            <v>VSS</v>
          </cell>
        </row>
        <row r="8124">
          <cell r="A8124" t="str">
            <v>FB260010143</v>
          </cell>
          <cell r="D8124" t="str">
            <v>VSS</v>
          </cell>
        </row>
        <row r="8125">
          <cell r="A8125" t="str">
            <v>FB260010145</v>
          </cell>
          <cell r="D8125" t="str">
            <v>VSS</v>
          </cell>
        </row>
        <row r="8126">
          <cell r="A8126" t="str">
            <v>FB260010146</v>
          </cell>
          <cell r="D8126" t="str">
            <v>VSS</v>
          </cell>
        </row>
        <row r="8127">
          <cell r="A8127" t="str">
            <v>FB260010147</v>
          </cell>
          <cell r="D8127" t="str">
            <v>VSS</v>
          </cell>
        </row>
        <row r="8128">
          <cell r="A8128" t="str">
            <v>FB260010150</v>
          </cell>
          <cell r="D8128" t="str">
            <v>VSS</v>
          </cell>
        </row>
        <row r="8129">
          <cell r="A8129" t="str">
            <v>FB260010151</v>
          </cell>
          <cell r="D8129" t="str">
            <v>VSS</v>
          </cell>
        </row>
        <row r="8130">
          <cell r="A8130" t="str">
            <v>FB260010152</v>
          </cell>
          <cell r="D8130" t="str">
            <v>VSS</v>
          </cell>
        </row>
        <row r="8131">
          <cell r="A8131" t="str">
            <v>FB260010153</v>
          </cell>
          <cell r="D8131" t="str">
            <v>VSS</v>
          </cell>
        </row>
        <row r="8132">
          <cell r="A8132" t="str">
            <v>FB260010154</v>
          </cell>
          <cell r="D8132" t="str">
            <v>VSS</v>
          </cell>
        </row>
        <row r="8133">
          <cell r="A8133" t="str">
            <v>FB260010158</v>
          </cell>
          <cell r="D8133" t="str">
            <v>CK</v>
          </cell>
        </row>
        <row r="8134">
          <cell r="A8134" t="str">
            <v>FB260010159</v>
          </cell>
          <cell r="D8134" t="str">
            <v>CK</v>
          </cell>
        </row>
        <row r="8135">
          <cell r="A8135" t="str">
            <v>FB260010161</v>
          </cell>
          <cell r="D8135" t="str">
            <v>CK</v>
          </cell>
        </row>
        <row r="8136">
          <cell r="A8136" t="str">
            <v>FB260010162</v>
          </cell>
          <cell r="D8136" t="str">
            <v>CK</v>
          </cell>
        </row>
        <row r="8137">
          <cell r="A8137" t="str">
            <v>FB260010164</v>
          </cell>
          <cell r="D8137" t="str">
            <v>CK</v>
          </cell>
        </row>
        <row r="8138">
          <cell r="A8138" t="str">
            <v>FB260010165</v>
          </cell>
          <cell r="D8138" t="str">
            <v>CK</v>
          </cell>
        </row>
        <row r="8139">
          <cell r="A8139" t="str">
            <v>FB260010166</v>
          </cell>
          <cell r="D8139" t="str">
            <v>CK</v>
          </cell>
        </row>
        <row r="8140">
          <cell r="A8140" t="str">
            <v>FB260010167</v>
          </cell>
          <cell r="D8140" t="str">
            <v>CK</v>
          </cell>
        </row>
        <row r="8141">
          <cell r="A8141" t="str">
            <v>FB260010168</v>
          </cell>
          <cell r="D8141" t="str">
            <v>NEX</v>
          </cell>
        </row>
        <row r="8142">
          <cell r="A8142" t="str">
            <v>FB260010170</v>
          </cell>
          <cell r="D8142" t="str">
            <v>NKSKI</v>
          </cell>
        </row>
        <row r="8143">
          <cell r="A8143" t="str">
            <v>FB260010173</v>
          </cell>
          <cell r="D8143" t="str">
            <v>VSS</v>
          </cell>
        </row>
        <row r="8144">
          <cell r="A8144" t="str">
            <v>FB260010174</v>
          </cell>
          <cell r="D8144" t="str">
            <v>VSS</v>
          </cell>
        </row>
        <row r="8145">
          <cell r="A8145" t="str">
            <v>FB260010175</v>
          </cell>
          <cell r="D8145" t="str">
            <v>VSS</v>
          </cell>
        </row>
        <row r="8146">
          <cell r="A8146" t="str">
            <v>FB260010176</v>
          </cell>
          <cell r="D8146" t="str">
            <v>VSS</v>
          </cell>
        </row>
        <row r="8147">
          <cell r="A8147" t="str">
            <v>FB260010177</v>
          </cell>
          <cell r="D8147" t="str">
            <v>VSS</v>
          </cell>
        </row>
        <row r="8148">
          <cell r="A8148" t="str">
            <v>FB260010179</v>
          </cell>
          <cell r="D8148" t="str">
            <v>VSS</v>
          </cell>
        </row>
        <row r="8149">
          <cell r="A8149" t="str">
            <v>FB260010180</v>
          </cell>
          <cell r="D8149" t="str">
            <v>NEWB</v>
          </cell>
        </row>
        <row r="8150">
          <cell r="A8150" t="str">
            <v>FB260010183</v>
          </cell>
          <cell r="D8150" t="str">
            <v>VSS</v>
          </cell>
        </row>
        <row r="8151">
          <cell r="A8151" t="str">
            <v>FB260010184</v>
          </cell>
          <cell r="D8151" t="str">
            <v>VSS</v>
          </cell>
        </row>
        <row r="8152">
          <cell r="A8152" t="str">
            <v>FB260010186</v>
          </cell>
          <cell r="D8152" t="str">
            <v>VSS</v>
          </cell>
        </row>
        <row r="8153">
          <cell r="A8153" t="str">
            <v>FB260010187</v>
          </cell>
          <cell r="D8153" t="str">
            <v>VSS</v>
          </cell>
        </row>
        <row r="8154">
          <cell r="A8154" t="str">
            <v>FB260010188</v>
          </cell>
          <cell r="D8154" t="str">
            <v>VSS</v>
          </cell>
        </row>
        <row r="8155">
          <cell r="A8155" t="str">
            <v>FB260010189</v>
          </cell>
          <cell r="D8155" t="str">
            <v>M&amp;S</v>
          </cell>
        </row>
        <row r="8156">
          <cell r="A8156" t="str">
            <v>FB260010190</v>
          </cell>
          <cell r="D8156" t="str">
            <v>M&amp;S</v>
          </cell>
        </row>
        <row r="8157">
          <cell r="A8157" t="str">
            <v>FB260010191</v>
          </cell>
          <cell r="D8157" t="str">
            <v>M&amp;S</v>
          </cell>
        </row>
        <row r="8158">
          <cell r="A8158" t="str">
            <v>FB260010192</v>
          </cell>
          <cell r="D8158" t="str">
            <v>M&amp;S</v>
          </cell>
        </row>
        <row r="8159">
          <cell r="A8159" t="str">
            <v>FB260010193</v>
          </cell>
          <cell r="D8159" t="str">
            <v>M&amp;S</v>
          </cell>
        </row>
        <row r="8160">
          <cell r="A8160" t="str">
            <v>FB260010194</v>
          </cell>
          <cell r="D8160" t="str">
            <v>M&amp;S</v>
          </cell>
        </row>
        <row r="8161">
          <cell r="A8161" t="str">
            <v>FB260010195</v>
          </cell>
          <cell r="D8161" t="str">
            <v>M&amp;S</v>
          </cell>
        </row>
        <row r="8162">
          <cell r="A8162" t="str">
            <v>FB260010196</v>
          </cell>
          <cell r="D8162" t="str">
            <v>M&amp;S</v>
          </cell>
        </row>
        <row r="8163">
          <cell r="A8163" t="str">
            <v>FB260010197</v>
          </cell>
          <cell r="D8163" t="str">
            <v>M&amp;S</v>
          </cell>
        </row>
        <row r="8164">
          <cell r="A8164" t="str">
            <v>FB260010198</v>
          </cell>
          <cell r="D8164" t="str">
            <v>M&amp;S</v>
          </cell>
        </row>
        <row r="8165">
          <cell r="A8165" t="str">
            <v>FB260010199</v>
          </cell>
          <cell r="D8165" t="str">
            <v>M&amp;S</v>
          </cell>
        </row>
        <row r="8166">
          <cell r="A8166" t="str">
            <v>FB260010200</v>
          </cell>
          <cell r="D8166" t="str">
            <v>M&amp;S</v>
          </cell>
        </row>
        <row r="8167">
          <cell r="A8167" t="str">
            <v>FB260010201</v>
          </cell>
          <cell r="D8167" t="str">
            <v>M&amp;S</v>
          </cell>
        </row>
        <row r="8168">
          <cell r="A8168" t="str">
            <v>FB260010202</v>
          </cell>
          <cell r="D8168" t="str">
            <v>M&amp;S</v>
          </cell>
        </row>
        <row r="8169">
          <cell r="A8169" t="str">
            <v>FB260010203</v>
          </cell>
          <cell r="D8169" t="str">
            <v>M&amp;S</v>
          </cell>
        </row>
        <row r="8170">
          <cell r="A8170" t="str">
            <v>FB260010204</v>
          </cell>
          <cell r="D8170" t="str">
            <v>M&amp;S</v>
          </cell>
        </row>
        <row r="8171">
          <cell r="A8171" t="str">
            <v>FB260010205</v>
          </cell>
          <cell r="D8171" t="str">
            <v>LBI</v>
          </cell>
        </row>
        <row r="8172">
          <cell r="A8172" t="str">
            <v>FB260010206</v>
          </cell>
          <cell r="D8172" t="str">
            <v>M&amp;S</v>
          </cell>
        </row>
        <row r="8173">
          <cell r="A8173" t="str">
            <v>FB260010207</v>
          </cell>
          <cell r="D8173" t="str">
            <v>M&amp;S</v>
          </cell>
        </row>
        <row r="8174">
          <cell r="A8174" t="str">
            <v>FB260010208</v>
          </cell>
          <cell r="D8174" t="str">
            <v>LBI</v>
          </cell>
        </row>
        <row r="8175">
          <cell r="A8175" t="str">
            <v>FB260010209</v>
          </cell>
          <cell r="D8175" t="str">
            <v>LBI</v>
          </cell>
        </row>
        <row r="8176">
          <cell r="A8176" t="str">
            <v>FB260010210</v>
          </cell>
          <cell r="D8176" t="str">
            <v>LBI</v>
          </cell>
        </row>
        <row r="8177">
          <cell r="A8177" t="str">
            <v>FB260010211</v>
          </cell>
          <cell r="D8177" t="str">
            <v>LBI</v>
          </cell>
        </row>
        <row r="8178">
          <cell r="A8178" t="str">
            <v>FB260010212</v>
          </cell>
          <cell r="D8178" t="str">
            <v>LBI</v>
          </cell>
        </row>
        <row r="8179">
          <cell r="A8179" t="str">
            <v>FB260010214</v>
          </cell>
          <cell r="D8179" t="str">
            <v>WACE</v>
          </cell>
        </row>
        <row r="8180">
          <cell r="A8180" t="str">
            <v>FB260010215</v>
          </cell>
          <cell r="D8180" t="str">
            <v>WACE</v>
          </cell>
        </row>
        <row r="8181">
          <cell r="A8181" t="str">
            <v>FB260010216</v>
          </cell>
          <cell r="D8181" t="str">
            <v>WACE</v>
          </cell>
        </row>
        <row r="8182">
          <cell r="A8182" t="str">
            <v>FB260010217</v>
          </cell>
          <cell r="D8182" t="str">
            <v>WACE</v>
          </cell>
        </row>
        <row r="8183">
          <cell r="A8183" t="str">
            <v>FB260010218</v>
          </cell>
          <cell r="D8183" t="str">
            <v>LULU</v>
          </cell>
        </row>
        <row r="8184">
          <cell r="A8184" t="str">
            <v>FB260010219</v>
          </cell>
          <cell r="D8184" t="str">
            <v>TORD</v>
          </cell>
        </row>
        <row r="8185">
          <cell r="A8185" t="str">
            <v>FB260010220</v>
          </cell>
          <cell r="D8185" t="str">
            <v>PEP</v>
          </cell>
        </row>
        <row r="8186">
          <cell r="A8186" t="str">
            <v>FB260010221</v>
          </cell>
          <cell r="D8186" t="str">
            <v>SW</v>
          </cell>
        </row>
        <row r="8187">
          <cell r="A8187" t="str">
            <v>FB260010222</v>
          </cell>
          <cell r="D8187" t="str">
            <v>NKSKI</v>
          </cell>
        </row>
        <row r="8188">
          <cell r="A8188" t="str">
            <v>FB260010225</v>
          </cell>
          <cell r="D8188" t="str">
            <v>CK</v>
          </cell>
        </row>
        <row r="8189">
          <cell r="A8189" t="str">
            <v>FB260010226</v>
          </cell>
          <cell r="D8189" t="str">
            <v>CHICOS</v>
          </cell>
        </row>
        <row r="8190">
          <cell r="A8190" t="str">
            <v>FB260010227</v>
          </cell>
          <cell r="D8190" t="str">
            <v>CHICOS</v>
          </cell>
        </row>
        <row r="8191">
          <cell r="A8191" t="str">
            <v>FB260010228</v>
          </cell>
          <cell r="D8191" t="str">
            <v>CHICOS</v>
          </cell>
        </row>
        <row r="8192">
          <cell r="A8192" t="str">
            <v>FB260010229</v>
          </cell>
          <cell r="D8192" t="str">
            <v>CHICOS</v>
          </cell>
        </row>
        <row r="8193">
          <cell r="A8193" t="str">
            <v>FB260010230</v>
          </cell>
          <cell r="D8193" t="str">
            <v>CHICOS</v>
          </cell>
        </row>
        <row r="8194">
          <cell r="A8194" t="str">
            <v>FB260010232</v>
          </cell>
          <cell r="D8194" t="str">
            <v>ASIC</v>
          </cell>
        </row>
        <row r="8195">
          <cell r="A8195" t="str">
            <v>FB260010237</v>
          </cell>
          <cell r="D8195" t="str">
            <v>VSS</v>
          </cell>
        </row>
        <row r="8196">
          <cell r="A8196" t="str">
            <v>FB260010238</v>
          </cell>
          <cell r="D8196" t="str">
            <v>NEWB</v>
          </cell>
        </row>
        <row r="8197">
          <cell r="A8197" t="str">
            <v>FB260010239</v>
          </cell>
          <cell r="D8197" t="str">
            <v>NEWB</v>
          </cell>
        </row>
        <row r="8198">
          <cell r="A8198" t="str">
            <v>FB260010241</v>
          </cell>
          <cell r="D8198" t="str">
            <v>PINK</v>
          </cell>
        </row>
        <row r="8199">
          <cell r="A8199" t="str">
            <v>FB260010242</v>
          </cell>
          <cell r="D8199" t="str">
            <v>PINK</v>
          </cell>
        </row>
        <row r="8200">
          <cell r="A8200" t="str">
            <v>FB260010243</v>
          </cell>
          <cell r="D8200" t="str">
            <v>VSS</v>
          </cell>
        </row>
        <row r="8201">
          <cell r="A8201" t="str">
            <v>FB260010247</v>
          </cell>
          <cell r="D8201" t="str">
            <v>VSS</v>
          </cell>
        </row>
        <row r="8202">
          <cell r="A8202" t="str">
            <v>FB260010248</v>
          </cell>
          <cell r="D8202" t="str">
            <v>VSS</v>
          </cell>
        </row>
        <row r="8203">
          <cell r="A8203" t="str">
            <v>FB260010249</v>
          </cell>
          <cell r="D8203" t="str">
            <v>VSS</v>
          </cell>
        </row>
        <row r="8204">
          <cell r="A8204" t="str">
            <v>FB260010250</v>
          </cell>
          <cell r="D8204" t="str">
            <v>VSS</v>
          </cell>
        </row>
        <row r="8205">
          <cell r="A8205" t="str">
            <v>FB260010251</v>
          </cell>
          <cell r="D8205" t="str">
            <v>VSS</v>
          </cell>
        </row>
        <row r="8206">
          <cell r="A8206" t="str">
            <v>FB260010252</v>
          </cell>
          <cell r="D8206" t="str">
            <v>VSS</v>
          </cell>
        </row>
        <row r="8207">
          <cell r="A8207" t="str">
            <v>FB260010254</v>
          </cell>
          <cell r="D8207" t="str">
            <v>VSS</v>
          </cell>
        </row>
        <row r="8208">
          <cell r="A8208" t="str">
            <v>FB260010255</v>
          </cell>
          <cell r="D8208" t="str">
            <v>VSS</v>
          </cell>
        </row>
        <row r="8209">
          <cell r="A8209" t="str">
            <v>FB260010256</v>
          </cell>
          <cell r="D8209" t="str">
            <v>LBI</v>
          </cell>
        </row>
        <row r="8210">
          <cell r="A8210" t="str">
            <v>FB260010258</v>
          </cell>
          <cell r="D8210" t="str">
            <v>VSS</v>
          </cell>
        </row>
        <row r="8211">
          <cell r="A8211" t="str">
            <v>FB260010259</v>
          </cell>
          <cell r="D8211" t="str">
            <v>VSS</v>
          </cell>
        </row>
        <row r="8212">
          <cell r="A8212" t="str">
            <v>FB260010260</v>
          </cell>
          <cell r="D8212" t="str">
            <v>VSS</v>
          </cell>
        </row>
        <row r="8213">
          <cell r="A8213" t="str">
            <v>FB260010266</v>
          </cell>
          <cell r="D8213" t="str">
            <v>WACE</v>
          </cell>
        </row>
        <row r="8214">
          <cell r="A8214" t="str">
            <v>FB260010277</v>
          </cell>
          <cell r="D8214" t="str">
            <v>VSS</v>
          </cell>
        </row>
        <row r="8215">
          <cell r="A8215" t="str">
            <v>FB260010278</v>
          </cell>
          <cell r="D8215" t="str">
            <v>PINK</v>
          </cell>
        </row>
        <row r="8216">
          <cell r="A8216" t="str">
            <v>FB260010279</v>
          </cell>
          <cell r="D8216" t="str">
            <v>VSS</v>
          </cell>
        </row>
        <row r="8217">
          <cell r="A8217" t="str">
            <v>FB260010280</v>
          </cell>
          <cell r="D8217" t="str">
            <v>PINK</v>
          </cell>
        </row>
        <row r="8218">
          <cell r="A8218" t="str">
            <v>FB260010281</v>
          </cell>
          <cell r="D8218" t="str">
            <v>VSS</v>
          </cell>
        </row>
        <row r="8219">
          <cell r="A8219" t="str">
            <v>FB260010282</v>
          </cell>
          <cell r="D8219" t="str">
            <v>PINK</v>
          </cell>
        </row>
        <row r="8220">
          <cell r="A8220" t="str">
            <v>FB260010283</v>
          </cell>
          <cell r="D8220" t="str">
            <v>PINK</v>
          </cell>
        </row>
        <row r="8221">
          <cell r="A8221" t="str">
            <v>FB260010284</v>
          </cell>
          <cell r="D8221" t="str">
            <v>PINK</v>
          </cell>
        </row>
        <row r="8222">
          <cell r="A8222" t="str">
            <v>FB260010285</v>
          </cell>
          <cell r="D8222" t="str">
            <v>PINK</v>
          </cell>
        </row>
        <row r="8223">
          <cell r="A8223" t="str">
            <v>FB260010286</v>
          </cell>
          <cell r="D8223" t="str">
            <v>PINK</v>
          </cell>
        </row>
        <row r="8224">
          <cell r="A8224" t="str">
            <v>FB260010287</v>
          </cell>
          <cell r="D8224" t="str">
            <v>PINK</v>
          </cell>
        </row>
        <row r="8225">
          <cell r="A8225" t="str">
            <v>FB260010288</v>
          </cell>
          <cell r="D8225" t="str">
            <v>PINK</v>
          </cell>
        </row>
        <row r="8226">
          <cell r="A8226" t="str">
            <v>FB260010289</v>
          </cell>
          <cell r="D8226" t="str">
            <v>PINK</v>
          </cell>
        </row>
        <row r="8227">
          <cell r="A8227" t="str">
            <v>FB260010290</v>
          </cell>
          <cell r="D8227" t="str">
            <v>PINK</v>
          </cell>
        </row>
        <row r="8228">
          <cell r="A8228" t="str">
            <v>FB260010291</v>
          </cell>
          <cell r="D8228" t="str">
            <v>PINK</v>
          </cell>
        </row>
        <row r="8229">
          <cell r="A8229" t="str">
            <v>FB260010292</v>
          </cell>
          <cell r="D8229" t="str">
            <v>PINK</v>
          </cell>
        </row>
        <row r="8230">
          <cell r="A8230" t="str">
            <v>FB260010293</v>
          </cell>
          <cell r="D8230" t="str">
            <v>PINK</v>
          </cell>
        </row>
        <row r="8231">
          <cell r="A8231" t="str">
            <v>FB260010294</v>
          </cell>
          <cell r="D8231" t="str">
            <v>PINK</v>
          </cell>
        </row>
        <row r="8232">
          <cell r="A8232" t="str">
            <v>FB260010295</v>
          </cell>
          <cell r="D8232" t="str">
            <v>PINK</v>
          </cell>
        </row>
        <row r="8233">
          <cell r="A8233" t="str">
            <v>FB260010296</v>
          </cell>
          <cell r="D8233" t="str">
            <v>PINK</v>
          </cell>
        </row>
        <row r="8234">
          <cell r="A8234" t="str">
            <v>FB260010297</v>
          </cell>
          <cell r="D8234" t="str">
            <v>PINK</v>
          </cell>
        </row>
        <row r="8235">
          <cell r="A8235" t="str">
            <v>FB260010298</v>
          </cell>
          <cell r="D8235" t="str">
            <v>PINK</v>
          </cell>
        </row>
        <row r="8236">
          <cell r="A8236" t="str">
            <v>FB260010299</v>
          </cell>
          <cell r="D8236" t="str">
            <v>VSS</v>
          </cell>
        </row>
        <row r="8237">
          <cell r="A8237" t="str">
            <v>FB260010300</v>
          </cell>
          <cell r="D8237" t="str">
            <v>VSS</v>
          </cell>
        </row>
        <row r="8238">
          <cell r="A8238" t="str">
            <v>FB260010301</v>
          </cell>
          <cell r="D8238" t="str">
            <v>PINK</v>
          </cell>
        </row>
        <row r="8239">
          <cell r="A8239" t="str">
            <v>FB260010302</v>
          </cell>
          <cell r="D8239" t="str">
            <v>VSS</v>
          </cell>
        </row>
        <row r="8240">
          <cell r="A8240" t="str">
            <v>FB260010303</v>
          </cell>
          <cell r="D8240" t="str">
            <v>WACE</v>
          </cell>
        </row>
        <row r="8241">
          <cell r="A8241" t="str">
            <v>FB260010304</v>
          </cell>
          <cell r="D8241" t="str">
            <v>WACE</v>
          </cell>
        </row>
        <row r="8242">
          <cell r="A8242" t="str">
            <v>FB260010305</v>
          </cell>
          <cell r="D8242" t="str">
            <v>WACE</v>
          </cell>
        </row>
        <row r="8243">
          <cell r="A8243" t="str">
            <v>FB260010306</v>
          </cell>
          <cell r="D8243" t="str">
            <v>LULU</v>
          </cell>
        </row>
        <row r="8244">
          <cell r="A8244" t="str">
            <v>FB260010307</v>
          </cell>
          <cell r="D8244" t="str">
            <v>VSS</v>
          </cell>
        </row>
        <row r="8245">
          <cell r="A8245" t="str">
            <v>FB260010308</v>
          </cell>
          <cell r="D8245" t="str">
            <v>VSS</v>
          </cell>
        </row>
        <row r="8246">
          <cell r="A8246" t="str">
            <v>FB260010309</v>
          </cell>
          <cell r="D8246" t="str">
            <v>VSS</v>
          </cell>
        </row>
        <row r="8247">
          <cell r="A8247" t="str">
            <v>FB260010310</v>
          </cell>
          <cell r="D8247" t="str">
            <v>VSS</v>
          </cell>
        </row>
        <row r="8248">
          <cell r="A8248" t="str">
            <v>FB260010311</v>
          </cell>
          <cell r="D8248" t="str">
            <v>VSS</v>
          </cell>
        </row>
        <row r="8249">
          <cell r="A8249" t="str">
            <v>FB260010313</v>
          </cell>
          <cell r="D8249" t="str">
            <v>CK</v>
          </cell>
        </row>
        <row r="8250">
          <cell r="A8250" t="str">
            <v>FB260010314</v>
          </cell>
          <cell r="D8250" t="str">
            <v>WACE</v>
          </cell>
        </row>
        <row r="8251">
          <cell r="A8251" t="str">
            <v>FB260010315</v>
          </cell>
          <cell r="D8251" t="str">
            <v>WACE</v>
          </cell>
        </row>
        <row r="8252">
          <cell r="A8252" t="str">
            <v>FB260010322</v>
          </cell>
          <cell r="D8252" t="str">
            <v>VSS</v>
          </cell>
        </row>
        <row r="8253">
          <cell r="A8253" t="str">
            <v>FB260010326</v>
          </cell>
          <cell r="D8253" t="str">
            <v>PINK</v>
          </cell>
        </row>
        <row r="8254">
          <cell r="A8254" t="str">
            <v>FB260010328</v>
          </cell>
          <cell r="D8254" t="str">
            <v>VSS</v>
          </cell>
        </row>
        <row r="8255">
          <cell r="A8255" t="str">
            <v>FB260010329</v>
          </cell>
          <cell r="D8255" t="str">
            <v>VSS</v>
          </cell>
        </row>
        <row r="8256">
          <cell r="A8256" t="str">
            <v>FB260010330</v>
          </cell>
          <cell r="D8256" t="str">
            <v>VSS</v>
          </cell>
        </row>
        <row r="8257">
          <cell r="A8257" t="str">
            <v>FB260010335</v>
          </cell>
          <cell r="D8257" t="str">
            <v>VSS</v>
          </cell>
        </row>
        <row r="8258">
          <cell r="A8258" t="str">
            <v>FB260010336</v>
          </cell>
          <cell r="D8258" t="str">
            <v>VSS</v>
          </cell>
        </row>
        <row r="8259">
          <cell r="A8259" t="str">
            <v>FB260010337</v>
          </cell>
          <cell r="D8259" t="str">
            <v>VSS</v>
          </cell>
        </row>
        <row r="8260">
          <cell r="A8260" t="str">
            <v>FB260010338</v>
          </cell>
          <cell r="D8260" t="str">
            <v>VSS</v>
          </cell>
        </row>
        <row r="8261">
          <cell r="A8261" t="str">
            <v>FB260010342</v>
          </cell>
          <cell r="D8261" t="str">
            <v>VSS</v>
          </cell>
        </row>
        <row r="8262">
          <cell r="A8262" t="str">
            <v>FB260010343</v>
          </cell>
          <cell r="D8262" t="str">
            <v>CK</v>
          </cell>
        </row>
        <row r="8263">
          <cell r="A8263" t="str">
            <v>FB260010344</v>
          </cell>
          <cell r="D8263" t="str">
            <v>CK</v>
          </cell>
        </row>
        <row r="8264">
          <cell r="A8264" t="str">
            <v>FB260010345</v>
          </cell>
          <cell r="D8264" t="str">
            <v>VSS</v>
          </cell>
        </row>
        <row r="8265">
          <cell r="A8265" t="str">
            <v>FB260010349</v>
          </cell>
          <cell r="D8265" t="str">
            <v>INT1</v>
          </cell>
        </row>
        <row r="8266">
          <cell r="A8266" t="str">
            <v>FB260010350</v>
          </cell>
          <cell r="D8266" t="str">
            <v>INT1</v>
          </cell>
        </row>
        <row r="8267">
          <cell r="A8267" t="str">
            <v>FB260010351</v>
          </cell>
          <cell r="D8267" t="str">
            <v>VSS</v>
          </cell>
        </row>
        <row r="8268">
          <cell r="A8268" t="str">
            <v>FB260010352</v>
          </cell>
          <cell r="D8268" t="str">
            <v>VSS</v>
          </cell>
        </row>
        <row r="8269">
          <cell r="A8269" t="str">
            <v>FB260010353</v>
          </cell>
          <cell r="D8269" t="str">
            <v>VSS</v>
          </cell>
        </row>
        <row r="8270">
          <cell r="A8270" t="str">
            <v>FB260010354</v>
          </cell>
          <cell r="D8270" t="str">
            <v>VSS</v>
          </cell>
        </row>
        <row r="8271">
          <cell r="A8271" t="str">
            <v>FB260010355</v>
          </cell>
          <cell r="D8271" t="str">
            <v>VSS</v>
          </cell>
        </row>
        <row r="8272">
          <cell r="A8272" t="str">
            <v>FB260010356</v>
          </cell>
          <cell r="D8272" t="str">
            <v>VSS</v>
          </cell>
        </row>
        <row r="8273">
          <cell r="A8273" t="str">
            <v>FB260010357</v>
          </cell>
          <cell r="D8273" t="str">
            <v>VSS</v>
          </cell>
        </row>
        <row r="8274">
          <cell r="A8274" t="str">
            <v>FB260010358</v>
          </cell>
          <cell r="D8274" t="str">
            <v>VSS</v>
          </cell>
        </row>
        <row r="8275">
          <cell r="A8275" t="str">
            <v>FB260010359</v>
          </cell>
          <cell r="D8275" t="str">
            <v>VSS</v>
          </cell>
        </row>
        <row r="8276">
          <cell r="A8276" t="str">
            <v>FB260010360</v>
          </cell>
          <cell r="D8276" t="str">
            <v>VSS</v>
          </cell>
        </row>
        <row r="8277">
          <cell r="A8277" t="str">
            <v>FB260010361</v>
          </cell>
          <cell r="D8277" t="str">
            <v>VSS</v>
          </cell>
        </row>
        <row r="8278">
          <cell r="A8278" t="str">
            <v>FB260010362</v>
          </cell>
          <cell r="D8278" t="str">
            <v>VSS</v>
          </cell>
        </row>
        <row r="8279">
          <cell r="A8279" t="str">
            <v>FB260010363</v>
          </cell>
          <cell r="D8279" t="str">
            <v>VSS</v>
          </cell>
        </row>
        <row r="8280">
          <cell r="A8280" t="str">
            <v>FB260010364</v>
          </cell>
          <cell r="D8280" t="str">
            <v>VSS</v>
          </cell>
        </row>
        <row r="8281">
          <cell r="A8281" t="str">
            <v>FB260010365</v>
          </cell>
          <cell r="D8281" t="str">
            <v>VSS</v>
          </cell>
        </row>
        <row r="8282">
          <cell r="A8282" t="str">
            <v>FB260010366</v>
          </cell>
          <cell r="D8282" t="str">
            <v>VSS</v>
          </cell>
        </row>
        <row r="8283">
          <cell r="A8283" t="str">
            <v>FB260010367</v>
          </cell>
          <cell r="D8283" t="str">
            <v>VSS</v>
          </cell>
        </row>
        <row r="8284">
          <cell r="A8284" t="str">
            <v>FB260010368</v>
          </cell>
          <cell r="D8284" t="str">
            <v>VSS</v>
          </cell>
        </row>
        <row r="8285">
          <cell r="A8285" t="str">
            <v>FB260010369</v>
          </cell>
          <cell r="D8285" t="str">
            <v>VSS</v>
          </cell>
        </row>
        <row r="8286">
          <cell r="A8286" t="str">
            <v>FB260010370</v>
          </cell>
          <cell r="D8286" t="str">
            <v>VSS</v>
          </cell>
        </row>
        <row r="8287">
          <cell r="A8287" t="str">
            <v>FB260010371</v>
          </cell>
          <cell r="D8287" t="str">
            <v>VSS</v>
          </cell>
        </row>
        <row r="8288">
          <cell r="A8288" t="str">
            <v>FB260010372</v>
          </cell>
          <cell r="D8288" t="str">
            <v>VSS</v>
          </cell>
        </row>
        <row r="8289">
          <cell r="A8289" t="str">
            <v>FB260010373</v>
          </cell>
          <cell r="D8289" t="str">
            <v>VSS</v>
          </cell>
        </row>
        <row r="8290">
          <cell r="A8290" t="str">
            <v>FB260010374</v>
          </cell>
          <cell r="D8290" t="str">
            <v>VSS</v>
          </cell>
        </row>
        <row r="8291">
          <cell r="A8291" t="str">
            <v>FB260010375</v>
          </cell>
          <cell r="D8291" t="str">
            <v>VSS</v>
          </cell>
        </row>
        <row r="8292">
          <cell r="A8292" t="str">
            <v>FB260010376</v>
          </cell>
          <cell r="D8292" t="str">
            <v>VSS</v>
          </cell>
        </row>
        <row r="8293">
          <cell r="A8293" t="str">
            <v>FB260010377</v>
          </cell>
          <cell r="D8293" t="str">
            <v>VSS</v>
          </cell>
        </row>
        <row r="8294">
          <cell r="A8294" t="str">
            <v>FB260010378</v>
          </cell>
          <cell r="D8294" t="str">
            <v>VSS</v>
          </cell>
        </row>
        <row r="8295">
          <cell r="A8295" t="str">
            <v>FB260010379</v>
          </cell>
          <cell r="D8295" t="str">
            <v>VSS</v>
          </cell>
        </row>
        <row r="8296">
          <cell r="A8296" t="str">
            <v>FB260010380</v>
          </cell>
          <cell r="D8296" t="str">
            <v>VSS</v>
          </cell>
        </row>
        <row r="8297">
          <cell r="A8297" t="str">
            <v>FB260010381</v>
          </cell>
          <cell r="D8297" t="str">
            <v>INT1</v>
          </cell>
        </row>
        <row r="8298">
          <cell r="A8298" t="str">
            <v>FB260010382</v>
          </cell>
          <cell r="D8298" t="str">
            <v>VSS</v>
          </cell>
        </row>
        <row r="8299">
          <cell r="A8299" t="str">
            <v>FB260010383</v>
          </cell>
          <cell r="D8299" t="str">
            <v>VSS</v>
          </cell>
        </row>
        <row r="8300">
          <cell r="A8300" t="str">
            <v>FB260010384</v>
          </cell>
          <cell r="D8300" t="str">
            <v>VSS</v>
          </cell>
        </row>
        <row r="8301">
          <cell r="A8301" t="str">
            <v>FB260010385</v>
          </cell>
          <cell r="D8301" t="str">
            <v>VSS</v>
          </cell>
        </row>
        <row r="8302">
          <cell r="A8302" t="str">
            <v>FB260010386</v>
          </cell>
          <cell r="D8302" t="str">
            <v>VSS</v>
          </cell>
        </row>
        <row r="8303">
          <cell r="A8303" t="str">
            <v>FB260010387</v>
          </cell>
          <cell r="D8303" t="str">
            <v>VSS</v>
          </cell>
        </row>
        <row r="8304">
          <cell r="A8304" t="str">
            <v>FB260010388</v>
          </cell>
          <cell r="D8304" t="str">
            <v>VSS</v>
          </cell>
        </row>
        <row r="8305">
          <cell r="A8305" t="str">
            <v>FB260010389</v>
          </cell>
          <cell r="D8305" t="str">
            <v>VSS</v>
          </cell>
        </row>
        <row r="8306">
          <cell r="A8306" t="str">
            <v>FB260010390</v>
          </cell>
          <cell r="D8306" t="str">
            <v>VSS</v>
          </cell>
        </row>
        <row r="8307">
          <cell r="A8307" t="str">
            <v>FB260010391</v>
          </cell>
          <cell r="D8307" t="str">
            <v>VSS</v>
          </cell>
        </row>
        <row r="8308">
          <cell r="A8308" t="str">
            <v>FB260010392</v>
          </cell>
          <cell r="D8308" t="str">
            <v>ASD</v>
          </cell>
        </row>
        <row r="8309">
          <cell r="A8309" t="str">
            <v>FB260010393</v>
          </cell>
          <cell r="D8309" t="str">
            <v>LSKD</v>
          </cell>
        </row>
        <row r="8310">
          <cell r="A8310" t="str">
            <v>FB260010394</v>
          </cell>
          <cell r="D8310" t="str">
            <v>NIK</v>
          </cell>
        </row>
        <row r="8311">
          <cell r="A8311" t="str">
            <v>FB260010396</v>
          </cell>
          <cell r="D8311" t="str">
            <v>LULU</v>
          </cell>
        </row>
        <row r="8312">
          <cell r="A8312" t="str">
            <v>FB260010398</v>
          </cell>
          <cell r="D8312" t="str">
            <v>VSS</v>
          </cell>
        </row>
        <row r="8313">
          <cell r="A8313" t="str">
            <v>FB260010399</v>
          </cell>
          <cell r="D8313" t="str">
            <v>CHICOS</v>
          </cell>
        </row>
        <row r="8314">
          <cell r="A8314" t="str">
            <v>FB260010402</v>
          </cell>
          <cell r="D8314" t="str">
            <v>VSS</v>
          </cell>
        </row>
        <row r="8315">
          <cell r="A8315" t="str">
            <v>FB260010403</v>
          </cell>
          <cell r="D8315" t="str">
            <v>VSS</v>
          </cell>
        </row>
        <row r="8316">
          <cell r="A8316" t="str">
            <v>FB260010404</v>
          </cell>
          <cell r="D8316" t="str">
            <v>VSS</v>
          </cell>
        </row>
        <row r="8317">
          <cell r="A8317" t="str">
            <v>FB260010407</v>
          </cell>
          <cell r="D8317" t="str">
            <v>PINK</v>
          </cell>
        </row>
        <row r="8318">
          <cell r="A8318" t="str">
            <v>FB260010408</v>
          </cell>
          <cell r="D8318" t="str">
            <v>TORD</v>
          </cell>
        </row>
        <row r="8319">
          <cell r="A8319" t="str">
            <v>FB260010411</v>
          </cell>
          <cell r="D8319" t="str">
            <v>NIK</v>
          </cell>
        </row>
        <row r="8320">
          <cell r="A8320" t="str">
            <v>FB260010412</v>
          </cell>
          <cell r="D8320" t="str">
            <v>NIK</v>
          </cell>
        </row>
        <row r="8321">
          <cell r="A8321" t="str">
            <v>FB260010413</v>
          </cell>
          <cell r="D8321" t="str">
            <v>VSS</v>
          </cell>
        </row>
        <row r="8322">
          <cell r="A8322" t="str">
            <v>FB260010414</v>
          </cell>
          <cell r="D8322" t="str">
            <v>NIK</v>
          </cell>
        </row>
        <row r="8323">
          <cell r="A8323" t="str">
            <v>FB260010415</v>
          </cell>
          <cell r="D8323" t="str">
            <v>NIK</v>
          </cell>
        </row>
        <row r="8324">
          <cell r="A8324" t="str">
            <v>FB260010416</v>
          </cell>
          <cell r="D8324" t="str">
            <v>NIK</v>
          </cell>
        </row>
        <row r="8325">
          <cell r="A8325" t="str">
            <v>FB260010417</v>
          </cell>
          <cell r="D8325" t="str">
            <v>NIK</v>
          </cell>
        </row>
        <row r="8326">
          <cell r="A8326" t="str">
            <v>FB260010418</v>
          </cell>
          <cell r="D8326" t="str">
            <v>VSS</v>
          </cell>
        </row>
        <row r="8327">
          <cell r="A8327" t="str">
            <v>FB260010422</v>
          </cell>
          <cell r="D8327" t="str">
            <v>VSS</v>
          </cell>
        </row>
        <row r="8328">
          <cell r="A8328" t="str">
            <v>FB260010423</v>
          </cell>
          <cell r="D8328" t="str">
            <v>VSS</v>
          </cell>
        </row>
        <row r="8329">
          <cell r="A8329" t="str">
            <v>FB260010424</v>
          </cell>
          <cell r="D8329" t="str">
            <v>VSS</v>
          </cell>
        </row>
        <row r="8330">
          <cell r="A8330" t="str">
            <v>FB260010427</v>
          </cell>
          <cell r="D8330" t="str">
            <v>VSS</v>
          </cell>
        </row>
        <row r="8331">
          <cell r="A8331" t="str">
            <v>FB260010428</v>
          </cell>
          <cell r="D8331" t="str">
            <v>VSS</v>
          </cell>
        </row>
        <row r="8332">
          <cell r="A8332" t="str">
            <v>FB260010429</v>
          </cell>
          <cell r="D8332" t="str">
            <v>LULU</v>
          </cell>
        </row>
        <row r="8333">
          <cell r="A8333" t="str">
            <v>FB260010431</v>
          </cell>
          <cell r="D8333" t="str">
            <v>VSS</v>
          </cell>
        </row>
        <row r="8334">
          <cell r="A8334" t="str">
            <v>FB260010432</v>
          </cell>
          <cell r="D8334" t="str">
            <v>VSS</v>
          </cell>
        </row>
        <row r="8335">
          <cell r="A8335" t="str">
            <v>FB260010433</v>
          </cell>
          <cell r="D8335" t="str">
            <v>TJEL</v>
          </cell>
        </row>
        <row r="8336">
          <cell r="A8336" t="str">
            <v>FB260010434</v>
          </cell>
          <cell r="D8336" t="str">
            <v>SKI</v>
          </cell>
        </row>
        <row r="8337">
          <cell r="A8337" t="str">
            <v>FB260010435</v>
          </cell>
          <cell r="D8337" t="str">
            <v>SKI</v>
          </cell>
        </row>
        <row r="8338">
          <cell r="A8338" t="str">
            <v>FB260010437</v>
          </cell>
          <cell r="D8338" t="str">
            <v>SKI</v>
          </cell>
        </row>
        <row r="8339">
          <cell r="A8339" t="str">
            <v>FB260010438</v>
          </cell>
          <cell r="D8339" t="str">
            <v>SKI</v>
          </cell>
        </row>
        <row r="8340">
          <cell r="A8340" t="str">
            <v>FB260010440</v>
          </cell>
          <cell r="D8340" t="str">
            <v>SKI</v>
          </cell>
        </row>
        <row r="8341">
          <cell r="A8341" t="str">
            <v>FB260010441</v>
          </cell>
          <cell r="D8341" t="str">
            <v>SKI</v>
          </cell>
        </row>
        <row r="8342">
          <cell r="A8342" t="str">
            <v>FB260010442</v>
          </cell>
          <cell r="D8342" t="str">
            <v>SKI</v>
          </cell>
        </row>
        <row r="8343">
          <cell r="A8343" t="str">
            <v>FB260010443</v>
          </cell>
          <cell r="D8343" t="str">
            <v>SKI</v>
          </cell>
        </row>
        <row r="8344">
          <cell r="A8344" t="str">
            <v>FB260010444</v>
          </cell>
          <cell r="D8344" t="str">
            <v>CK</v>
          </cell>
        </row>
        <row r="8345">
          <cell r="A8345" t="str">
            <v>FB260010445</v>
          </cell>
          <cell r="D8345" t="str">
            <v>WACE</v>
          </cell>
        </row>
        <row r="8346">
          <cell r="A8346" t="str">
            <v>FB260010446</v>
          </cell>
          <cell r="D8346" t="str">
            <v>WACE</v>
          </cell>
        </row>
        <row r="8347">
          <cell r="A8347" t="str">
            <v>FB260010447</v>
          </cell>
          <cell r="D8347" t="str">
            <v>WACE</v>
          </cell>
        </row>
        <row r="8348">
          <cell r="A8348" t="str">
            <v>FB260010448</v>
          </cell>
          <cell r="D8348" t="str">
            <v>CHICOS</v>
          </cell>
        </row>
        <row r="8349">
          <cell r="A8349" t="str">
            <v>FB260010449</v>
          </cell>
          <cell r="D8349" t="str">
            <v>CHICOS</v>
          </cell>
        </row>
        <row r="8350">
          <cell r="A8350" t="str">
            <v>FB260010450</v>
          </cell>
          <cell r="D8350" t="str">
            <v>CHICOS</v>
          </cell>
        </row>
        <row r="8351">
          <cell r="A8351" t="str">
            <v>FB260010451</v>
          </cell>
          <cell r="D8351" t="str">
            <v>CHICOS</v>
          </cell>
        </row>
        <row r="8352">
          <cell r="A8352" t="str">
            <v>FB260010452</v>
          </cell>
          <cell r="D8352" t="str">
            <v>CK</v>
          </cell>
        </row>
        <row r="8353">
          <cell r="A8353" t="str">
            <v>FB260010453</v>
          </cell>
          <cell r="D8353" t="str">
            <v>PINK</v>
          </cell>
        </row>
        <row r="8354">
          <cell r="A8354" t="str">
            <v>FB260010454</v>
          </cell>
          <cell r="D8354" t="str">
            <v>NEWB</v>
          </cell>
        </row>
        <row r="8355">
          <cell r="A8355" t="str">
            <v>FB260010455</v>
          </cell>
          <cell r="D8355" t="str">
            <v>VSS</v>
          </cell>
        </row>
        <row r="8356">
          <cell r="A8356" t="str">
            <v>FB260010456</v>
          </cell>
          <cell r="D8356" t="str">
            <v>VSS</v>
          </cell>
        </row>
        <row r="8357">
          <cell r="A8357" t="str">
            <v>FB260010459</v>
          </cell>
          <cell r="D8357" t="str">
            <v>VSS</v>
          </cell>
        </row>
        <row r="8358">
          <cell r="A8358" t="str">
            <v>FB260010460</v>
          </cell>
          <cell r="D8358" t="str">
            <v>VSS</v>
          </cell>
        </row>
        <row r="8359">
          <cell r="A8359" t="str">
            <v>FB260010462</v>
          </cell>
          <cell r="D8359" t="str">
            <v>PINK</v>
          </cell>
        </row>
        <row r="8360">
          <cell r="A8360" t="str">
            <v>FB260010464</v>
          </cell>
          <cell r="D8360" t="str">
            <v>PINK</v>
          </cell>
        </row>
        <row r="8361">
          <cell r="A8361" t="str">
            <v>FB260010465</v>
          </cell>
          <cell r="D8361" t="str">
            <v>NIK</v>
          </cell>
        </row>
        <row r="8362">
          <cell r="A8362" t="str">
            <v>FB260010469</v>
          </cell>
          <cell r="D8362" t="str">
            <v>VSS</v>
          </cell>
        </row>
        <row r="8363">
          <cell r="A8363" t="str">
            <v>FB260010470</v>
          </cell>
          <cell r="D8363" t="str">
            <v>VSS</v>
          </cell>
        </row>
        <row r="8364">
          <cell r="A8364" t="str">
            <v>FB260010471</v>
          </cell>
          <cell r="D8364" t="str">
            <v>VSS</v>
          </cell>
        </row>
        <row r="8365">
          <cell r="A8365" t="str">
            <v>FB260010472</v>
          </cell>
          <cell r="D8365" t="str">
            <v>VSS</v>
          </cell>
        </row>
        <row r="8366">
          <cell r="A8366" t="str">
            <v>FB260010473</v>
          </cell>
          <cell r="D8366" t="str">
            <v>VSS</v>
          </cell>
        </row>
        <row r="8367">
          <cell r="A8367" t="str">
            <v>FB260010478</v>
          </cell>
          <cell r="D8367" t="str">
            <v>CK</v>
          </cell>
        </row>
        <row r="8368">
          <cell r="A8368" t="str">
            <v>FB260010479</v>
          </cell>
          <cell r="D8368" t="str">
            <v>VSS</v>
          </cell>
        </row>
        <row r="8369">
          <cell r="A8369" t="str">
            <v>FB260010480</v>
          </cell>
          <cell r="D8369" t="str">
            <v>M&amp;S</v>
          </cell>
        </row>
        <row r="8370">
          <cell r="A8370" t="str">
            <v>FB260010481</v>
          </cell>
          <cell r="D8370" t="str">
            <v>LULU</v>
          </cell>
        </row>
        <row r="8371">
          <cell r="A8371" t="str">
            <v>FB260010482</v>
          </cell>
          <cell r="D8371" t="str">
            <v>VSS</v>
          </cell>
        </row>
        <row r="8372">
          <cell r="A8372" t="str">
            <v>FB260010484</v>
          </cell>
          <cell r="D8372" t="str">
            <v>VSS</v>
          </cell>
        </row>
        <row r="8373">
          <cell r="A8373" t="str">
            <v>FB260010489</v>
          </cell>
          <cell r="D8373" t="str">
            <v>VSS</v>
          </cell>
        </row>
        <row r="8374">
          <cell r="A8374" t="str">
            <v>FB260010490</v>
          </cell>
          <cell r="D8374" t="str">
            <v>VSS</v>
          </cell>
        </row>
        <row r="8375">
          <cell r="A8375" t="str">
            <v>FB260010491</v>
          </cell>
          <cell r="D8375" t="str">
            <v>PINK</v>
          </cell>
        </row>
        <row r="8376">
          <cell r="A8376" t="str">
            <v>FB260010492</v>
          </cell>
          <cell r="D8376" t="str">
            <v>VSS</v>
          </cell>
        </row>
        <row r="8377">
          <cell r="A8377" t="str">
            <v>FB260010494</v>
          </cell>
          <cell r="D8377" t="str">
            <v>VSS</v>
          </cell>
        </row>
        <row r="8378">
          <cell r="A8378" t="str">
            <v>FB260010496</v>
          </cell>
          <cell r="D8378" t="str">
            <v>VSS</v>
          </cell>
        </row>
        <row r="8379">
          <cell r="A8379" t="str">
            <v>FB260010497</v>
          </cell>
          <cell r="D8379" t="str">
            <v>VSS</v>
          </cell>
        </row>
        <row r="8380">
          <cell r="A8380" t="str">
            <v>FB260010498</v>
          </cell>
          <cell r="D8380" t="str">
            <v>VSS</v>
          </cell>
        </row>
        <row r="8381">
          <cell r="A8381" t="str">
            <v>FB260010499</v>
          </cell>
          <cell r="D8381" t="str">
            <v>VSS</v>
          </cell>
        </row>
        <row r="8382">
          <cell r="A8382" t="str">
            <v>FB260010500</v>
          </cell>
          <cell r="D8382" t="str">
            <v>VSS</v>
          </cell>
        </row>
        <row r="8383">
          <cell r="A8383" t="str">
            <v>FB260010501</v>
          </cell>
          <cell r="D8383" t="str">
            <v>VSS</v>
          </cell>
        </row>
        <row r="8384">
          <cell r="A8384" t="str">
            <v>FB260010502</v>
          </cell>
          <cell r="D8384" t="str">
            <v>VSS</v>
          </cell>
        </row>
        <row r="8385">
          <cell r="A8385" t="str">
            <v>FB260010503</v>
          </cell>
          <cell r="D8385" t="str">
            <v>VSS</v>
          </cell>
        </row>
        <row r="8386">
          <cell r="A8386" t="str">
            <v>FB260010504</v>
          </cell>
          <cell r="D8386" t="str">
            <v>VSS</v>
          </cell>
        </row>
        <row r="8387">
          <cell r="A8387" t="str">
            <v>FB260010505</v>
          </cell>
          <cell r="D8387" t="str">
            <v>VSS</v>
          </cell>
        </row>
        <row r="8388">
          <cell r="A8388" t="str">
            <v>FB260010506</v>
          </cell>
          <cell r="D8388" t="str">
            <v>VSS</v>
          </cell>
        </row>
        <row r="8389">
          <cell r="A8389" t="str">
            <v>FB260010507</v>
          </cell>
          <cell r="D8389" t="str">
            <v>VSS</v>
          </cell>
        </row>
        <row r="8390">
          <cell r="A8390" t="str">
            <v>FB260010508</v>
          </cell>
          <cell r="D8390" t="str">
            <v>VSS</v>
          </cell>
        </row>
        <row r="8391">
          <cell r="A8391" t="str">
            <v>FB260010509</v>
          </cell>
          <cell r="D8391" t="str">
            <v>CHICOS</v>
          </cell>
        </row>
        <row r="8392">
          <cell r="A8392" t="str">
            <v>FB260010510</v>
          </cell>
          <cell r="D8392" t="str">
            <v>VSS</v>
          </cell>
        </row>
        <row r="8393">
          <cell r="A8393" t="str">
            <v>FB260010511</v>
          </cell>
          <cell r="D8393" t="str">
            <v>VSS</v>
          </cell>
        </row>
        <row r="8394">
          <cell r="A8394" t="str">
            <v>FB260010512</v>
          </cell>
          <cell r="D8394" t="str">
            <v>WACE</v>
          </cell>
        </row>
        <row r="8395">
          <cell r="A8395" t="str">
            <v>FB260010513</v>
          </cell>
          <cell r="D8395" t="str">
            <v>WACE</v>
          </cell>
        </row>
        <row r="8396">
          <cell r="A8396" t="str">
            <v>FB260010514</v>
          </cell>
          <cell r="D8396" t="str">
            <v>CK</v>
          </cell>
        </row>
        <row r="8397">
          <cell r="A8397" t="str">
            <v>FB260010527</v>
          </cell>
          <cell r="D8397" t="str">
            <v>VSS</v>
          </cell>
        </row>
        <row r="8398">
          <cell r="A8398" t="str">
            <v>FB260010528</v>
          </cell>
          <cell r="D8398" t="str">
            <v>VSS</v>
          </cell>
        </row>
        <row r="8399">
          <cell r="A8399" t="str">
            <v>FB260010529</v>
          </cell>
          <cell r="D8399" t="str">
            <v>CK</v>
          </cell>
        </row>
        <row r="8400">
          <cell r="A8400" t="str">
            <v>FB260010530</v>
          </cell>
          <cell r="D8400" t="str">
            <v>VSS</v>
          </cell>
        </row>
        <row r="8401">
          <cell r="A8401" t="str">
            <v>FB260010531</v>
          </cell>
          <cell r="D8401" t="str">
            <v>VSS</v>
          </cell>
        </row>
        <row r="8402">
          <cell r="A8402" t="str">
            <v>FB260010533</v>
          </cell>
          <cell r="D8402" t="str">
            <v>PINK</v>
          </cell>
        </row>
        <row r="8403">
          <cell r="A8403" t="str">
            <v>FB260010534</v>
          </cell>
          <cell r="D8403" t="str">
            <v>PINK</v>
          </cell>
        </row>
        <row r="8404">
          <cell r="A8404" t="str">
            <v>FB260010537</v>
          </cell>
          <cell r="D8404" t="str">
            <v>VSS</v>
          </cell>
        </row>
        <row r="8405">
          <cell r="A8405" t="str">
            <v>FB260010538</v>
          </cell>
          <cell r="D8405" t="str">
            <v>VSS</v>
          </cell>
        </row>
        <row r="8406">
          <cell r="A8406" t="str">
            <v>FB260010539</v>
          </cell>
          <cell r="D8406" t="str">
            <v>VSS</v>
          </cell>
        </row>
        <row r="8407">
          <cell r="A8407" t="str">
            <v>FB260010540</v>
          </cell>
          <cell r="D8407" t="str">
            <v>PINK</v>
          </cell>
        </row>
        <row r="8408">
          <cell r="A8408" t="str">
            <v>FB260010541</v>
          </cell>
          <cell r="D8408" t="str">
            <v>VSS</v>
          </cell>
        </row>
        <row r="8409">
          <cell r="A8409" t="str">
            <v>FB260010542</v>
          </cell>
          <cell r="D8409" t="str">
            <v>VSS</v>
          </cell>
        </row>
        <row r="8410">
          <cell r="A8410" t="str">
            <v>FB260010543</v>
          </cell>
          <cell r="D8410" t="str">
            <v>VSS</v>
          </cell>
        </row>
        <row r="8411">
          <cell r="A8411" t="str">
            <v>FB260010544</v>
          </cell>
          <cell r="D8411" t="str">
            <v>VSS</v>
          </cell>
        </row>
        <row r="8412">
          <cell r="A8412" t="str">
            <v>FB260010545</v>
          </cell>
          <cell r="D8412" t="str">
            <v>VSS</v>
          </cell>
        </row>
        <row r="8413">
          <cell r="A8413" t="str">
            <v>FB260010547</v>
          </cell>
          <cell r="D8413" t="str">
            <v>VSS</v>
          </cell>
        </row>
        <row r="8414">
          <cell r="A8414" t="str">
            <v>FB260010548</v>
          </cell>
          <cell r="D8414" t="str">
            <v>VSS</v>
          </cell>
        </row>
        <row r="8415">
          <cell r="A8415" t="str">
            <v>FB260010549</v>
          </cell>
          <cell r="D8415" t="str">
            <v>VSS</v>
          </cell>
        </row>
        <row r="8416">
          <cell r="A8416" t="str">
            <v>FB260010550</v>
          </cell>
          <cell r="D8416" t="str">
            <v>VSS</v>
          </cell>
        </row>
        <row r="8417">
          <cell r="A8417" t="str">
            <v>FB260010551</v>
          </cell>
          <cell r="D8417" t="str">
            <v>VSS</v>
          </cell>
        </row>
        <row r="8418">
          <cell r="A8418" t="str">
            <v>FB260010552</v>
          </cell>
          <cell r="D8418" t="str">
            <v>VSS</v>
          </cell>
        </row>
        <row r="8419">
          <cell r="A8419" t="str">
            <v>FB260010554</v>
          </cell>
          <cell r="D8419" t="str">
            <v>CK</v>
          </cell>
        </row>
        <row r="8420">
          <cell r="A8420" t="str">
            <v>FB260010555</v>
          </cell>
          <cell r="D8420" t="str">
            <v>LBI</v>
          </cell>
        </row>
        <row r="8421">
          <cell r="A8421" t="str">
            <v>FB260010558</v>
          </cell>
          <cell r="D8421" t="str">
            <v>NEWB</v>
          </cell>
        </row>
        <row r="8422">
          <cell r="A8422" t="str">
            <v>FB260010559</v>
          </cell>
          <cell r="D8422" t="str">
            <v>VSS</v>
          </cell>
        </row>
        <row r="8423">
          <cell r="A8423" t="str">
            <v>FB260010560</v>
          </cell>
          <cell r="D8423" t="str">
            <v>NEWB</v>
          </cell>
        </row>
        <row r="8424">
          <cell r="A8424" t="str">
            <v>FB260010561</v>
          </cell>
          <cell r="D8424" t="str">
            <v>NEWB</v>
          </cell>
        </row>
        <row r="8425">
          <cell r="A8425" t="str">
            <v>FB260010563</v>
          </cell>
          <cell r="D8425" t="str">
            <v>NEWB</v>
          </cell>
        </row>
        <row r="8426">
          <cell r="A8426" t="str">
            <v>FB260010565</v>
          </cell>
          <cell r="D8426" t="str">
            <v>VSS</v>
          </cell>
        </row>
        <row r="8427">
          <cell r="A8427" t="str">
            <v>FB260010567</v>
          </cell>
          <cell r="D8427" t="str">
            <v>CK</v>
          </cell>
        </row>
        <row r="8428">
          <cell r="A8428" t="str">
            <v>FB260010568</v>
          </cell>
          <cell r="D8428" t="str">
            <v>PINK</v>
          </cell>
        </row>
        <row r="8429">
          <cell r="A8429" t="str">
            <v>FB260010569</v>
          </cell>
          <cell r="D8429" t="str">
            <v>VSS</v>
          </cell>
        </row>
        <row r="8430">
          <cell r="A8430" t="str">
            <v>FB260010570</v>
          </cell>
          <cell r="D8430" t="str">
            <v>VSS</v>
          </cell>
        </row>
        <row r="8431">
          <cell r="A8431" t="str">
            <v>FB260010571</v>
          </cell>
          <cell r="D8431" t="str">
            <v>VSS</v>
          </cell>
        </row>
        <row r="8432">
          <cell r="A8432" t="str">
            <v>FB260010575</v>
          </cell>
          <cell r="D8432" t="str">
            <v>NEWB</v>
          </cell>
        </row>
        <row r="8433">
          <cell r="A8433" t="str">
            <v>FB260010576</v>
          </cell>
          <cell r="D8433" t="str">
            <v>NEWB</v>
          </cell>
        </row>
        <row r="8434">
          <cell r="A8434" t="str">
            <v>FB260010578</v>
          </cell>
          <cell r="D8434" t="str">
            <v>WACE</v>
          </cell>
        </row>
        <row r="8435">
          <cell r="A8435" t="str">
            <v>FB260010581</v>
          </cell>
          <cell r="D8435" t="str">
            <v>LBI</v>
          </cell>
        </row>
        <row r="8436">
          <cell r="A8436" t="str">
            <v>FB260010585</v>
          </cell>
          <cell r="D8436" t="str">
            <v>VSS</v>
          </cell>
        </row>
        <row r="8437">
          <cell r="A8437" t="str">
            <v>FB260010590</v>
          </cell>
          <cell r="D8437" t="str">
            <v>PINK</v>
          </cell>
        </row>
        <row r="8438">
          <cell r="A8438" t="str">
            <v>FB260010591</v>
          </cell>
          <cell r="D8438" t="str">
            <v>VSS</v>
          </cell>
        </row>
        <row r="8439">
          <cell r="A8439" t="str">
            <v>FB260010592</v>
          </cell>
          <cell r="D8439" t="str">
            <v>VSS</v>
          </cell>
        </row>
        <row r="8440">
          <cell r="A8440" t="str">
            <v>FB260010593</v>
          </cell>
          <cell r="D8440" t="str">
            <v>VSS</v>
          </cell>
        </row>
        <row r="8441">
          <cell r="A8441" t="str">
            <v>FB260010594</v>
          </cell>
          <cell r="D8441" t="str">
            <v>VSS</v>
          </cell>
        </row>
        <row r="8442">
          <cell r="A8442" t="str">
            <v>FB260010595</v>
          </cell>
          <cell r="D8442" t="str">
            <v>VSS</v>
          </cell>
        </row>
        <row r="8443">
          <cell r="A8443" t="str">
            <v>FB260010597</v>
          </cell>
          <cell r="D8443" t="str">
            <v>VSS</v>
          </cell>
        </row>
        <row r="8444">
          <cell r="A8444" t="str">
            <v>FB260010598</v>
          </cell>
          <cell r="D8444" t="str">
            <v>VSS</v>
          </cell>
        </row>
        <row r="8445">
          <cell r="A8445" t="str">
            <v>FB260010599</v>
          </cell>
          <cell r="D8445" t="str">
            <v>NEWB</v>
          </cell>
        </row>
        <row r="8446">
          <cell r="A8446" t="str">
            <v>FB260010602</v>
          </cell>
          <cell r="D8446" t="str">
            <v>PINK</v>
          </cell>
        </row>
        <row r="8447">
          <cell r="A8447" t="str">
            <v>FB260010603</v>
          </cell>
          <cell r="D8447" t="str">
            <v>LULU</v>
          </cell>
        </row>
        <row r="8448">
          <cell r="A8448" t="str">
            <v>FB260010604</v>
          </cell>
          <cell r="D8448" t="str">
            <v>LULU</v>
          </cell>
        </row>
        <row r="8449">
          <cell r="A8449" t="str">
            <v>FB260010605</v>
          </cell>
          <cell r="D8449" t="str">
            <v>LULU</v>
          </cell>
        </row>
        <row r="8450">
          <cell r="A8450" t="str">
            <v>FB260010606</v>
          </cell>
          <cell r="D8450" t="str">
            <v>LULU</v>
          </cell>
        </row>
        <row r="8451">
          <cell r="A8451" t="str">
            <v>FB260010607</v>
          </cell>
          <cell r="D8451" t="str">
            <v>LULU</v>
          </cell>
        </row>
        <row r="8452">
          <cell r="A8452" t="str">
            <v>FB260010608</v>
          </cell>
          <cell r="D8452" t="str">
            <v>WACE</v>
          </cell>
        </row>
        <row r="8453">
          <cell r="A8453" t="str">
            <v>FB260010609</v>
          </cell>
          <cell r="D8453" t="str">
            <v>LULU</v>
          </cell>
        </row>
        <row r="8454">
          <cell r="A8454" t="str">
            <v>FB260010610</v>
          </cell>
          <cell r="D8454" t="str">
            <v>WACE</v>
          </cell>
        </row>
        <row r="8455">
          <cell r="A8455" t="str">
            <v>FB260010611</v>
          </cell>
          <cell r="D8455" t="str">
            <v>WACE</v>
          </cell>
        </row>
        <row r="8456">
          <cell r="A8456" t="str">
            <v>FB260010612</v>
          </cell>
          <cell r="D8456" t="str">
            <v>WACE</v>
          </cell>
        </row>
        <row r="8457">
          <cell r="A8457" t="str">
            <v>FB260010615</v>
          </cell>
          <cell r="D8457" t="str">
            <v>INT1</v>
          </cell>
        </row>
        <row r="8458">
          <cell r="A8458" t="str">
            <v>FB260010616</v>
          </cell>
          <cell r="D8458" t="str">
            <v>VSS</v>
          </cell>
        </row>
        <row r="8459">
          <cell r="A8459" t="str">
            <v>FB260010617</v>
          </cell>
          <cell r="D8459" t="str">
            <v>VSS</v>
          </cell>
        </row>
        <row r="8460">
          <cell r="A8460" t="str">
            <v>FB260010618</v>
          </cell>
          <cell r="D8460" t="str">
            <v>VSS</v>
          </cell>
        </row>
        <row r="8461">
          <cell r="A8461" t="str">
            <v>FB260010619</v>
          </cell>
          <cell r="D8461" t="str">
            <v>CHICOS</v>
          </cell>
        </row>
        <row r="8462">
          <cell r="A8462" t="str">
            <v>FB260010620</v>
          </cell>
          <cell r="D8462" t="str">
            <v>VSS</v>
          </cell>
        </row>
        <row r="8463">
          <cell r="A8463" t="str">
            <v>FB260010621</v>
          </cell>
          <cell r="D8463" t="str">
            <v>VSS</v>
          </cell>
        </row>
        <row r="8464">
          <cell r="A8464" t="str">
            <v>FB260010622</v>
          </cell>
          <cell r="D8464" t="str">
            <v>VSS</v>
          </cell>
        </row>
        <row r="8465">
          <cell r="A8465" t="str">
            <v>FB260010623</v>
          </cell>
          <cell r="D8465" t="str">
            <v>VSS</v>
          </cell>
        </row>
        <row r="8466">
          <cell r="A8466" t="str">
            <v>FB260010626</v>
          </cell>
          <cell r="D8466" t="str">
            <v>VSS</v>
          </cell>
        </row>
        <row r="8467">
          <cell r="A8467" t="str">
            <v>FB260010627</v>
          </cell>
          <cell r="D8467" t="str">
            <v>VSS</v>
          </cell>
        </row>
        <row r="8468">
          <cell r="A8468" t="str">
            <v>FB260010628</v>
          </cell>
          <cell r="D8468" t="str">
            <v>INT1</v>
          </cell>
        </row>
        <row r="8469">
          <cell r="A8469" t="str">
            <v>FB260010629</v>
          </cell>
          <cell r="D8469" t="str">
            <v>INT1</v>
          </cell>
        </row>
        <row r="8470">
          <cell r="A8470" t="str">
            <v>FB260010630</v>
          </cell>
          <cell r="D8470" t="str">
            <v>INT1</v>
          </cell>
        </row>
        <row r="8471">
          <cell r="A8471" t="str">
            <v>FB260010631</v>
          </cell>
          <cell r="D8471" t="str">
            <v>INT1</v>
          </cell>
        </row>
        <row r="8472">
          <cell r="A8472" t="str">
            <v>FB260010632</v>
          </cell>
          <cell r="D8472" t="str">
            <v>SOM</v>
          </cell>
        </row>
        <row r="8473">
          <cell r="A8473" t="str">
            <v>FB260010633</v>
          </cell>
          <cell r="D8473" t="str">
            <v>VSS</v>
          </cell>
        </row>
        <row r="8474">
          <cell r="A8474" t="str">
            <v>FB260010634</v>
          </cell>
          <cell r="D8474" t="str">
            <v>VSS</v>
          </cell>
        </row>
        <row r="8475">
          <cell r="A8475" t="str">
            <v>FB260010635</v>
          </cell>
          <cell r="D8475" t="str">
            <v>VSS</v>
          </cell>
        </row>
        <row r="8476">
          <cell r="A8476" t="str">
            <v>FB260010636</v>
          </cell>
          <cell r="D8476" t="str">
            <v>VSS</v>
          </cell>
        </row>
        <row r="8477">
          <cell r="A8477" t="str">
            <v>FB260010637</v>
          </cell>
          <cell r="D8477" t="str">
            <v>VSS</v>
          </cell>
        </row>
        <row r="8478">
          <cell r="A8478" t="str">
            <v>FB260010638</v>
          </cell>
          <cell r="D8478" t="str">
            <v>VSS</v>
          </cell>
        </row>
        <row r="8479">
          <cell r="A8479" t="str">
            <v>FB260010639</v>
          </cell>
          <cell r="D8479" t="str">
            <v>VSS</v>
          </cell>
        </row>
        <row r="8480">
          <cell r="A8480" t="str">
            <v>FB260010641</v>
          </cell>
          <cell r="D8480" t="str">
            <v>VSS</v>
          </cell>
        </row>
        <row r="8481">
          <cell r="A8481" t="str">
            <v>FB260010642</v>
          </cell>
          <cell r="D8481" t="str">
            <v>LULU</v>
          </cell>
        </row>
        <row r="8482">
          <cell r="A8482" t="str">
            <v>FB260010643</v>
          </cell>
          <cell r="D8482" t="str">
            <v>VSS</v>
          </cell>
        </row>
        <row r="8483">
          <cell r="A8483" t="str">
            <v>FB260010645</v>
          </cell>
          <cell r="D8483" t="str">
            <v>LULU</v>
          </cell>
        </row>
        <row r="8484">
          <cell r="A8484" t="str">
            <v>FB260010646</v>
          </cell>
          <cell r="D8484" t="str">
            <v>VSS</v>
          </cell>
        </row>
        <row r="8485">
          <cell r="A8485" t="str">
            <v>FB260010648</v>
          </cell>
          <cell r="D8485" t="str">
            <v>LULU</v>
          </cell>
        </row>
        <row r="8486">
          <cell r="A8486" t="str">
            <v>FB260010652</v>
          </cell>
          <cell r="D8486" t="str">
            <v>VSS</v>
          </cell>
        </row>
        <row r="8487">
          <cell r="A8487" t="str">
            <v>FB260010653</v>
          </cell>
          <cell r="D8487" t="str">
            <v>THEU</v>
          </cell>
        </row>
        <row r="8488">
          <cell r="A8488" t="str">
            <v>FB260010655</v>
          </cell>
          <cell r="D8488" t="str">
            <v>PINK</v>
          </cell>
        </row>
        <row r="8489">
          <cell r="A8489" t="str">
            <v>FB260010656</v>
          </cell>
          <cell r="D8489" t="str">
            <v>LULU</v>
          </cell>
        </row>
        <row r="8490">
          <cell r="A8490" t="str">
            <v>FB260010659</v>
          </cell>
          <cell r="D8490" t="str">
            <v>M&amp;S</v>
          </cell>
        </row>
        <row r="8491">
          <cell r="A8491" t="str">
            <v>FB260010661</v>
          </cell>
          <cell r="D8491" t="str">
            <v>M&amp;S</v>
          </cell>
        </row>
        <row r="8492">
          <cell r="A8492" t="str">
            <v>FB260010662</v>
          </cell>
          <cell r="D8492" t="str">
            <v>M&amp;S</v>
          </cell>
        </row>
        <row r="8493">
          <cell r="A8493" t="str">
            <v>FB260010663</v>
          </cell>
          <cell r="D8493" t="str">
            <v>M&amp;S</v>
          </cell>
        </row>
        <row r="8494">
          <cell r="A8494" t="str">
            <v>FB260010664</v>
          </cell>
          <cell r="D8494" t="str">
            <v>ODL</v>
          </cell>
        </row>
        <row r="8495">
          <cell r="A8495" t="str">
            <v>FB260010665</v>
          </cell>
          <cell r="D8495" t="str">
            <v>CK</v>
          </cell>
        </row>
        <row r="8496">
          <cell r="A8496" t="str">
            <v>FB260010667</v>
          </cell>
          <cell r="D8496" t="str">
            <v>LULU</v>
          </cell>
        </row>
        <row r="8497">
          <cell r="A8497" t="str">
            <v>FB260010668</v>
          </cell>
          <cell r="D8497" t="str">
            <v>LULU</v>
          </cell>
        </row>
        <row r="8498">
          <cell r="A8498" t="str">
            <v>FB260010670</v>
          </cell>
          <cell r="D8498" t="str">
            <v>M&amp;S</v>
          </cell>
        </row>
        <row r="8499">
          <cell r="A8499" t="str">
            <v>FB260010672</v>
          </cell>
          <cell r="D8499" t="str">
            <v>M&amp;S</v>
          </cell>
        </row>
        <row r="8500">
          <cell r="A8500" t="str">
            <v>FB260010673</v>
          </cell>
          <cell r="D8500" t="str">
            <v>M&amp;S</v>
          </cell>
        </row>
        <row r="8501">
          <cell r="A8501" t="str">
            <v>FB260010676</v>
          </cell>
          <cell r="D8501" t="str">
            <v>LBI</v>
          </cell>
        </row>
        <row r="8502">
          <cell r="A8502" t="str">
            <v>FB260010679</v>
          </cell>
          <cell r="D8502" t="str">
            <v>LBI</v>
          </cell>
        </row>
        <row r="8503">
          <cell r="A8503" t="str">
            <v>FB260010680</v>
          </cell>
          <cell r="D8503" t="str">
            <v>LBI</v>
          </cell>
        </row>
        <row r="8504">
          <cell r="A8504" t="str">
            <v>FB260010681</v>
          </cell>
          <cell r="D8504" t="str">
            <v>LULU</v>
          </cell>
        </row>
        <row r="8505">
          <cell r="A8505" t="str">
            <v>FB260010683</v>
          </cell>
          <cell r="D8505" t="str">
            <v>LULU</v>
          </cell>
        </row>
        <row r="8506">
          <cell r="A8506" t="str">
            <v>FB260010684</v>
          </cell>
          <cell r="D8506" t="str">
            <v>PEP</v>
          </cell>
        </row>
        <row r="8507">
          <cell r="A8507" t="str">
            <v>FB260010687</v>
          </cell>
          <cell r="D8507" t="str">
            <v>ODL</v>
          </cell>
        </row>
        <row r="8508">
          <cell r="A8508" t="str">
            <v>FB260010689</v>
          </cell>
          <cell r="D8508" t="str">
            <v>LULU</v>
          </cell>
        </row>
        <row r="8509">
          <cell r="A8509" t="str">
            <v>FB260010694</v>
          </cell>
          <cell r="D8509" t="str">
            <v>NKSKI</v>
          </cell>
        </row>
        <row r="8510">
          <cell r="A8510" t="str">
            <v>FB260010697</v>
          </cell>
          <cell r="D8510" t="str">
            <v>M&amp;S</v>
          </cell>
        </row>
        <row r="8511">
          <cell r="A8511" t="str">
            <v>FB260010699</v>
          </cell>
          <cell r="D8511" t="str">
            <v>LULU</v>
          </cell>
        </row>
        <row r="8512">
          <cell r="A8512" t="str">
            <v>FB260010705</v>
          </cell>
          <cell r="D8512" t="str">
            <v>VSS</v>
          </cell>
        </row>
        <row r="8513">
          <cell r="A8513" t="str">
            <v>FB260010706</v>
          </cell>
          <cell r="D8513" t="str">
            <v>NEWB</v>
          </cell>
        </row>
        <row r="8514">
          <cell r="A8514" t="str">
            <v>FB260010707</v>
          </cell>
          <cell r="D8514" t="str">
            <v>PINK</v>
          </cell>
        </row>
        <row r="8515">
          <cell r="A8515" t="str">
            <v>FB260010709</v>
          </cell>
          <cell r="D8515" t="str">
            <v>PINK</v>
          </cell>
        </row>
        <row r="8516">
          <cell r="A8516" t="str">
            <v>FB260010710</v>
          </cell>
          <cell r="D8516" t="str">
            <v>CHICOS</v>
          </cell>
        </row>
        <row r="8517">
          <cell r="A8517" t="str">
            <v>FB260010711</v>
          </cell>
          <cell r="D8517" t="str">
            <v>PINK</v>
          </cell>
        </row>
        <row r="8518">
          <cell r="A8518" t="str">
            <v>FB260010712</v>
          </cell>
          <cell r="D8518" t="str">
            <v>PINK</v>
          </cell>
        </row>
        <row r="8519">
          <cell r="A8519" t="str">
            <v>FB260010713</v>
          </cell>
          <cell r="D8519" t="str">
            <v>PINK</v>
          </cell>
        </row>
        <row r="8520">
          <cell r="A8520" t="str">
            <v>FB260010714</v>
          </cell>
          <cell r="D8520" t="str">
            <v>PINK</v>
          </cell>
        </row>
        <row r="8521">
          <cell r="A8521" t="str">
            <v>FB260010715</v>
          </cell>
          <cell r="D8521" t="str">
            <v>PINK</v>
          </cell>
        </row>
        <row r="8522">
          <cell r="A8522" t="str">
            <v>FB260010719</v>
          </cell>
          <cell r="D8522" t="str">
            <v>CK</v>
          </cell>
        </row>
        <row r="8523">
          <cell r="A8523" t="str">
            <v>FB260010720</v>
          </cell>
          <cell r="D8523" t="str">
            <v>VSS</v>
          </cell>
        </row>
        <row r="8524">
          <cell r="A8524" t="str">
            <v>FB260010721</v>
          </cell>
          <cell r="D8524" t="str">
            <v>VSS</v>
          </cell>
        </row>
        <row r="8525">
          <cell r="A8525" t="str">
            <v>FB260010722</v>
          </cell>
          <cell r="D8525" t="str">
            <v>VSS</v>
          </cell>
        </row>
        <row r="8526">
          <cell r="A8526" t="str">
            <v>FB260010723</v>
          </cell>
          <cell r="D8526" t="str">
            <v>VSS</v>
          </cell>
        </row>
        <row r="8527">
          <cell r="A8527" t="str">
            <v>FB260010724</v>
          </cell>
          <cell r="D8527" t="str">
            <v>VSS</v>
          </cell>
        </row>
        <row r="8528">
          <cell r="A8528" t="str">
            <v>FB260010725</v>
          </cell>
          <cell r="D8528" t="str">
            <v>VSS</v>
          </cell>
        </row>
        <row r="8529">
          <cell r="A8529" t="str">
            <v>FB260010726</v>
          </cell>
          <cell r="D8529" t="str">
            <v>VSS</v>
          </cell>
        </row>
        <row r="8530">
          <cell r="A8530" t="str">
            <v>FB260010727</v>
          </cell>
          <cell r="D8530" t="str">
            <v>VSS</v>
          </cell>
        </row>
        <row r="8531">
          <cell r="A8531" t="str">
            <v>FB260010728</v>
          </cell>
          <cell r="D8531" t="str">
            <v>VSS</v>
          </cell>
        </row>
        <row r="8532">
          <cell r="A8532" t="str">
            <v>FB260010729</v>
          </cell>
          <cell r="D8532" t="str">
            <v>VSS</v>
          </cell>
        </row>
        <row r="8533">
          <cell r="A8533" t="str">
            <v>FB260010730</v>
          </cell>
          <cell r="D8533" t="str">
            <v>VSS</v>
          </cell>
        </row>
        <row r="8534">
          <cell r="A8534" t="str">
            <v>FB260010731</v>
          </cell>
          <cell r="D8534" t="str">
            <v>VSS</v>
          </cell>
        </row>
        <row r="8535">
          <cell r="A8535" t="str">
            <v>FB260010732</v>
          </cell>
          <cell r="D8535" t="str">
            <v>VSS</v>
          </cell>
        </row>
        <row r="8536">
          <cell r="A8536" t="str">
            <v>FB260010733</v>
          </cell>
          <cell r="D8536" t="str">
            <v>VSS</v>
          </cell>
        </row>
        <row r="8537">
          <cell r="A8537" t="str">
            <v>FB260010734</v>
          </cell>
          <cell r="D8537" t="str">
            <v>VSS</v>
          </cell>
        </row>
        <row r="8538">
          <cell r="A8538" t="str">
            <v>FB260010735</v>
          </cell>
          <cell r="D8538" t="str">
            <v>VSS</v>
          </cell>
        </row>
        <row r="8539">
          <cell r="A8539" t="str">
            <v>FB260010736</v>
          </cell>
          <cell r="D8539" t="str">
            <v>VSS</v>
          </cell>
        </row>
        <row r="8540">
          <cell r="A8540" t="str">
            <v>FB260010737</v>
          </cell>
          <cell r="D8540" t="str">
            <v>VSS</v>
          </cell>
        </row>
        <row r="8541">
          <cell r="A8541" t="str">
            <v>FB260010738</v>
          </cell>
          <cell r="D8541" t="str">
            <v>VSS</v>
          </cell>
        </row>
        <row r="8542">
          <cell r="A8542" t="str">
            <v>FB260010739</v>
          </cell>
          <cell r="D8542" t="str">
            <v>VSS</v>
          </cell>
        </row>
        <row r="8543">
          <cell r="A8543" t="str">
            <v>FB260010740</v>
          </cell>
          <cell r="D8543" t="str">
            <v>VSS</v>
          </cell>
        </row>
        <row r="8544">
          <cell r="A8544" t="str">
            <v>FB260010741</v>
          </cell>
          <cell r="D8544" t="str">
            <v>VSS</v>
          </cell>
        </row>
        <row r="8545">
          <cell r="A8545" t="str">
            <v>FB260010742</v>
          </cell>
          <cell r="D8545" t="str">
            <v>VSS</v>
          </cell>
        </row>
        <row r="8546">
          <cell r="A8546" t="str">
            <v>FB260010743</v>
          </cell>
          <cell r="D8546" t="str">
            <v>VSS</v>
          </cell>
        </row>
        <row r="8547">
          <cell r="A8547" t="str">
            <v>FB260010744</v>
          </cell>
          <cell r="D8547" t="str">
            <v>VSS</v>
          </cell>
        </row>
        <row r="8548">
          <cell r="A8548" t="str">
            <v>FB260010745</v>
          </cell>
          <cell r="D8548" t="str">
            <v>VSS</v>
          </cell>
        </row>
        <row r="8549">
          <cell r="A8549" t="str">
            <v>FB260010746</v>
          </cell>
          <cell r="D8549" t="str">
            <v>VSS</v>
          </cell>
        </row>
        <row r="8550">
          <cell r="A8550" t="str">
            <v>FB260010747</v>
          </cell>
          <cell r="D8550" t="str">
            <v>VSS</v>
          </cell>
        </row>
        <row r="8551">
          <cell r="A8551" t="str">
            <v>FB260010748</v>
          </cell>
          <cell r="D8551" t="str">
            <v>VSS</v>
          </cell>
        </row>
        <row r="8552">
          <cell r="A8552" t="str">
            <v>FB260010749</v>
          </cell>
          <cell r="D8552" t="str">
            <v>VSS</v>
          </cell>
        </row>
        <row r="8553">
          <cell r="A8553" t="str">
            <v>FB260010750</v>
          </cell>
          <cell r="D8553" t="str">
            <v>VSS</v>
          </cell>
        </row>
        <row r="8554">
          <cell r="A8554" t="str">
            <v>FB260010751</v>
          </cell>
          <cell r="D8554" t="str">
            <v>VSS</v>
          </cell>
        </row>
        <row r="8555">
          <cell r="A8555" t="str">
            <v>FB260010752</v>
          </cell>
          <cell r="D8555" t="str">
            <v>VSS</v>
          </cell>
        </row>
        <row r="8556">
          <cell r="A8556" t="str">
            <v>FB260010753</v>
          </cell>
          <cell r="D8556" t="str">
            <v>VSS</v>
          </cell>
        </row>
        <row r="8557">
          <cell r="A8557" t="str">
            <v>FB260010754</v>
          </cell>
          <cell r="D8557" t="str">
            <v>VSS</v>
          </cell>
        </row>
        <row r="8558">
          <cell r="A8558" t="str">
            <v>FB260010755</v>
          </cell>
          <cell r="D8558" t="str">
            <v>VSS</v>
          </cell>
        </row>
        <row r="8559">
          <cell r="A8559" t="str">
            <v>FB260010756</v>
          </cell>
          <cell r="D8559" t="str">
            <v>VSS</v>
          </cell>
        </row>
        <row r="8560">
          <cell r="A8560" t="str">
            <v>FB260010757</v>
          </cell>
          <cell r="D8560" t="str">
            <v>VSS</v>
          </cell>
        </row>
        <row r="8561">
          <cell r="A8561" t="str">
            <v>FB260010758</v>
          </cell>
          <cell r="D8561" t="str">
            <v>VSS</v>
          </cell>
        </row>
        <row r="8562">
          <cell r="A8562" t="str">
            <v>FB260010759</v>
          </cell>
          <cell r="D8562" t="str">
            <v>VSS</v>
          </cell>
        </row>
        <row r="8563">
          <cell r="A8563" t="str">
            <v>FB260010760</v>
          </cell>
          <cell r="D8563" t="str">
            <v>VSS</v>
          </cell>
        </row>
        <row r="8564">
          <cell r="A8564" t="str">
            <v>FB260010761</v>
          </cell>
          <cell r="D8564" t="str">
            <v>VSS</v>
          </cell>
        </row>
        <row r="8565">
          <cell r="A8565" t="str">
            <v>FB260010762</v>
          </cell>
          <cell r="D8565" t="str">
            <v>VSS</v>
          </cell>
        </row>
        <row r="8566">
          <cell r="A8566" t="str">
            <v>FB260010763</v>
          </cell>
          <cell r="D8566" t="str">
            <v>VSS</v>
          </cell>
        </row>
        <row r="8567">
          <cell r="A8567" t="str">
            <v>FB260010765</v>
          </cell>
          <cell r="D8567" t="str">
            <v>CK</v>
          </cell>
        </row>
        <row r="8568">
          <cell r="A8568" t="str">
            <v>FB260010766</v>
          </cell>
          <cell r="D8568" t="str">
            <v>VSS</v>
          </cell>
        </row>
        <row r="8569">
          <cell r="A8569" t="str">
            <v>FB260010767</v>
          </cell>
          <cell r="D8569" t="str">
            <v>VSS</v>
          </cell>
        </row>
        <row r="8570">
          <cell r="A8570" t="str">
            <v>FB260010768</v>
          </cell>
          <cell r="D8570" t="str">
            <v>PINK</v>
          </cell>
        </row>
        <row r="8571">
          <cell r="A8571" t="str">
            <v>FB260010769</v>
          </cell>
          <cell r="D8571" t="str">
            <v>VSS</v>
          </cell>
        </row>
        <row r="8572">
          <cell r="A8572" t="str">
            <v>FB260010770</v>
          </cell>
          <cell r="D8572" t="str">
            <v>VSS</v>
          </cell>
        </row>
        <row r="8573">
          <cell r="A8573" t="str">
            <v>FB260010771</v>
          </cell>
          <cell r="D8573" t="str">
            <v>VSS</v>
          </cell>
        </row>
        <row r="8574">
          <cell r="A8574" t="str">
            <v>FB260010772</v>
          </cell>
          <cell r="D8574" t="str">
            <v>VSS</v>
          </cell>
        </row>
        <row r="8575">
          <cell r="A8575" t="str">
            <v>FB260010773</v>
          </cell>
          <cell r="D8575" t="str">
            <v>NIK</v>
          </cell>
        </row>
        <row r="8576">
          <cell r="A8576" t="str">
            <v>FB260010774</v>
          </cell>
          <cell r="D8576" t="str">
            <v>NIK</v>
          </cell>
        </row>
        <row r="8577">
          <cell r="A8577" t="str">
            <v>FB260010777</v>
          </cell>
          <cell r="D8577" t="str">
            <v>VSS</v>
          </cell>
        </row>
        <row r="8578">
          <cell r="A8578" t="str">
            <v>FB260010778</v>
          </cell>
          <cell r="D8578" t="str">
            <v>NEWB</v>
          </cell>
        </row>
        <row r="8579">
          <cell r="A8579" t="str">
            <v>FB260010779</v>
          </cell>
          <cell r="D8579" t="str">
            <v>LULU</v>
          </cell>
        </row>
        <row r="8580">
          <cell r="A8580" t="str">
            <v>FB260010781</v>
          </cell>
          <cell r="D8580" t="str">
            <v>SW</v>
          </cell>
        </row>
        <row r="8581">
          <cell r="A8581" t="str">
            <v>FB260010784</v>
          </cell>
          <cell r="D8581" t="str">
            <v>VSS</v>
          </cell>
        </row>
        <row r="8582">
          <cell r="A8582" t="str">
            <v>FB260010785</v>
          </cell>
          <cell r="D8582" t="str">
            <v>VSS</v>
          </cell>
        </row>
        <row r="8583">
          <cell r="A8583" t="str">
            <v>FB260010786</v>
          </cell>
          <cell r="D8583" t="str">
            <v>VSS</v>
          </cell>
        </row>
        <row r="8584">
          <cell r="A8584" t="str">
            <v>FB260010787</v>
          </cell>
          <cell r="D8584" t="str">
            <v>VSS</v>
          </cell>
        </row>
        <row r="8585">
          <cell r="A8585" t="str">
            <v>FB260010794</v>
          </cell>
          <cell r="D8585" t="str">
            <v>GAP</v>
          </cell>
        </row>
        <row r="8586">
          <cell r="A8586" t="str">
            <v>FB260010795</v>
          </cell>
          <cell r="D8586" t="str">
            <v>VSS</v>
          </cell>
        </row>
        <row r="8587">
          <cell r="A8587" t="str">
            <v>FB260010796</v>
          </cell>
          <cell r="D8587" t="str">
            <v>VSS</v>
          </cell>
        </row>
        <row r="8588">
          <cell r="A8588" t="str">
            <v>FB260010797</v>
          </cell>
          <cell r="D8588" t="str">
            <v>VSS</v>
          </cell>
        </row>
        <row r="8589">
          <cell r="A8589" t="str">
            <v>FB260010798</v>
          </cell>
          <cell r="D8589" t="str">
            <v>VSS</v>
          </cell>
        </row>
        <row r="8590">
          <cell r="A8590" t="str">
            <v>FB260010799</v>
          </cell>
          <cell r="D8590" t="str">
            <v>VSS</v>
          </cell>
        </row>
        <row r="8591">
          <cell r="A8591" t="str">
            <v>FB260010800</v>
          </cell>
          <cell r="D8591" t="str">
            <v>VSS</v>
          </cell>
        </row>
        <row r="8592">
          <cell r="A8592" t="str">
            <v>FB260010801</v>
          </cell>
          <cell r="D8592" t="str">
            <v>WACE</v>
          </cell>
        </row>
        <row r="8593">
          <cell r="A8593" t="str">
            <v>FB260010802</v>
          </cell>
          <cell r="D8593" t="str">
            <v>VSS</v>
          </cell>
        </row>
        <row r="8594">
          <cell r="A8594" t="str">
            <v>FB260010803</v>
          </cell>
          <cell r="D8594" t="str">
            <v>PINK</v>
          </cell>
        </row>
        <row r="8595">
          <cell r="A8595" t="str">
            <v>FB260010804</v>
          </cell>
          <cell r="D8595" t="str">
            <v>CHICOS</v>
          </cell>
        </row>
        <row r="8596">
          <cell r="A8596" t="str">
            <v>FB260010805</v>
          </cell>
          <cell r="D8596" t="str">
            <v>VSS</v>
          </cell>
        </row>
        <row r="8597">
          <cell r="A8597" t="str">
            <v>FB260010806</v>
          </cell>
          <cell r="D8597" t="str">
            <v>PINK</v>
          </cell>
        </row>
        <row r="8598">
          <cell r="A8598" t="str">
            <v>FB260010807</v>
          </cell>
          <cell r="D8598" t="str">
            <v>VSS</v>
          </cell>
        </row>
        <row r="8599">
          <cell r="A8599" t="str">
            <v>FB260010808</v>
          </cell>
          <cell r="D8599" t="str">
            <v>PINK</v>
          </cell>
        </row>
        <row r="8600">
          <cell r="A8600" t="str">
            <v>FB260010809</v>
          </cell>
          <cell r="D8600" t="str">
            <v>NIK</v>
          </cell>
        </row>
        <row r="8601">
          <cell r="A8601" t="str">
            <v>FB260010810</v>
          </cell>
          <cell r="D8601" t="str">
            <v>VSS</v>
          </cell>
        </row>
        <row r="8602">
          <cell r="A8602" t="str">
            <v>FB260010811</v>
          </cell>
          <cell r="D8602" t="str">
            <v>PINK</v>
          </cell>
        </row>
        <row r="8603">
          <cell r="A8603" t="str">
            <v>FB260010812</v>
          </cell>
          <cell r="D8603" t="str">
            <v>VSS</v>
          </cell>
        </row>
        <row r="8604">
          <cell r="A8604" t="str">
            <v>FB260010814</v>
          </cell>
          <cell r="D8604" t="str">
            <v>PINK</v>
          </cell>
        </row>
        <row r="8605">
          <cell r="A8605" t="str">
            <v>FB260010815</v>
          </cell>
          <cell r="D8605" t="str">
            <v>VSS</v>
          </cell>
        </row>
        <row r="8606">
          <cell r="A8606" t="str">
            <v>FB260010816</v>
          </cell>
          <cell r="D8606" t="str">
            <v>VSS</v>
          </cell>
        </row>
        <row r="8607">
          <cell r="A8607" t="str">
            <v>FB260010817</v>
          </cell>
          <cell r="D8607" t="str">
            <v>VSS</v>
          </cell>
        </row>
        <row r="8608">
          <cell r="A8608" t="str">
            <v>FB260010818</v>
          </cell>
          <cell r="D8608" t="str">
            <v>VSS</v>
          </cell>
        </row>
        <row r="8609">
          <cell r="A8609" t="str">
            <v>FB260010819</v>
          </cell>
          <cell r="D8609" t="str">
            <v>VSS</v>
          </cell>
        </row>
        <row r="8610">
          <cell r="A8610" t="str">
            <v>FB260010820</v>
          </cell>
          <cell r="D8610" t="str">
            <v>VSS</v>
          </cell>
        </row>
        <row r="8611">
          <cell r="A8611" t="str">
            <v>FB260010821</v>
          </cell>
          <cell r="D8611" t="str">
            <v>VSS</v>
          </cell>
        </row>
        <row r="8612">
          <cell r="A8612" t="str">
            <v>FB260010822</v>
          </cell>
          <cell r="D8612" t="str">
            <v>VSS</v>
          </cell>
        </row>
        <row r="8613">
          <cell r="A8613" t="str">
            <v>FB260010823</v>
          </cell>
          <cell r="D8613" t="str">
            <v>VSS</v>
          </cell>
        </row>
        <row r="8614">
          <cell r="A8614" t="str">
            <v>FB260010824</v>
          </cell>
          <cell r="D8614" t="str">
            <v>VSS</v>
          </cell>
        </row>
        <row r="8615">
          <cell r="A8615" t="str">
            <v>FB260010825</v>
          </cell>
          <cell r="D8615" t="str">
            <v>VSS</v>
          </cell>
        </row>
        <row r="8616">
          <cell r="A8616" t="str">
            <v>FB260010831</v>
          </cell>
          <cell r="D8616" t="str">
            <v>VSS</v>
          </cell>
        </row>
        <row r="8617">
          <cell r="A8617" t="str">
            <v>FB260010832</v>
          </cell>
          <cell r="D8617" t="str">
            <v>VSS</v>
          </cell>
        </row>
        <row r="8618">
          <cell r="A8618" t="str">
            <v>FB260010833</v>
          </cell>
          <cell r="D8618" t="str">
            <v>VSS</v>
          </cell>
        </row>
        <row r="8619">
          <cell r="A8619" t="str">
            <v>FB260010834</v>
          </cell>
          <cell r="D8619" t="str">
            <v>VSS</v>
          </cell>
        </row>
        <row r="8620">
          <cell r="A8620" t="str">
            <v>FB260010835</v>
          </cell>
          <cell r="D8620" t="str">
            <v>VSS</v>
          </cell>
        </row>
        <row r="8621">
          <cell r="A8621" t="str">
            <v>FB260010837</v>
          </cell>
          <cell r="D8621" t="str">
            <v>VSS</v>
          </cell>
        </row>
        <row r="8622">
          <cell r="A8622" t="str">
            <v>FB260010838</v>
          </cell>
          <cell r="D8622" t="str">
            <v>VSS</v>
          </cell>
        </row>
        <row r="8623">
          <cell r="A8623" t="str">
            <v>FB260010839</v>
          </cell>
          <cell r="D8623" t="str">
            <v>NIK</v>
          </cell>
        </row>
        <row r="8624">
          <cell r="A8624" t="str">
            <v>FB260010840</v>
          </cell>
          <cell r="D8624" t="str">
            <v>PINK</v>
          </cell>
        </row>
        <row r="8625">
          <cell r="A8625" t="str">
            <v>FB260010841</v>
          </cell>
          <cell r="D8625" t="str">
            <v>PINK</v>
          </cell>
        </row>
        <row r="8626">
          <cell r="A8626" t="str">
            <v>FB260010842</v>
          </cell>
          <cell r="D8626" t="str">
            <v>PINK</v>
          </cell>
        </row>
        <row r="8627">
          <cell r="A8627" t="str">
            <v>FB260010843</v>
          </cell>
          <cell r="D8627" t="str">
            <v>PINK</v>
          </cell>
        </row>
        <row r="8628">
          <cell r="A8628" t="str">
            <v>FB260010844</v>
          </cell>
          <cell r="D8628" t="str">
            <v>PINK</v>
          </cell>
        </row>
        <row r="8629">
          <cell r="A8629" t="str">
            <v>FB260010848</v>
          </cell>
          <cell r="D8629" t="str">
            <v>PINK</v>
          </cell>
        </row>
        <row r="8630">
          <cell r="A8630" t="str">
            <v>FB260010862</v>
          </cell>
          <cell r="D8630" t="str">
            <v>NKSKI</v>
          </cell>
        </row>
        <row r="8631">
          <cell r="A8631" t="str">
            <v>FB260010865</v>
          </cell>
          <cell r="D8631" t="str">
            <v>PINK</v>
          </cell>
        </row>
        <row r="8632">
          <cell r="A8632" t="str">
            <v>FB260010866</v>
          </cell>
          <cell r="D8632" t="str">
            <v>PINK</v>
          </cell>
        </row>
        <row r="8633">
          <cell r="A8633" t="str">
            <v>FB260010868</v>
          </cell>
          <cell r="D8633" t="str">
            <v>PINK</v>
          </cell>
        </row>
        <row r="8634">
          <cell r="A8634" t="str">
            <v>FB260010870</v>
          </cell>
          <cell r="D8634" t="str">
            <v>PINK</v>
          </cell>
        </row>
        <row r="8635">
          <cell r="A8635" t="str">
            <v>FB260010873</v>
          </cell>
          <cell r="D8635" t="str">
            <v>NIK</v>
          </cell>
        </row>
        <row r="8636">
          <cell r="A8636" t="str">
            <v>FB260010874</v>
          </cell>
          <cell r="D8636" t="str">
            <v>VSS</v>
          </cell>
        </row>
        <row r="8637">
          <cell r="A8637" t="str">
            <v>FB260010875</v>
          </cell>
          <cell r="D8637" t="str">
            <v>VSS</v>
          </cell>
        </row>
        <row r="8638">
          <cell r="A8638" t="str">
            <v>FB260010877</v>
          </cell>
          <cell r="D8638" t="str">
            <v>VSS</v>
          </cell>
        </row>
        <row r="8639">
          <cell r="A8639" t="str">
            <v>FB260010878</v>
          </cell>
          <cell r="D8639" t="str">
            <v>VSS</v>
          </cell>
        </row>
        <row r="8640">
          <cell r="A8640" t="str">
            <v>FB260010880</v>
          </cell>
          <cell r="D8640" t="str">
            <v>VSS</v>
          </cell>
        </row>
        <row r="8641">
          <cell r="A8641" t="str">
            <v>FB260010882</v>
          </cell>
          <cell r="D8641" t="str">
            <v>SW</v>
          </cell>
        </row>
        <row r="8642">
          <cell r="A8642" t="str">
            <v>FB260010883</v>
          </cell>
          <cell r="D8642" t="str">
            <v>SW</v>
          </cell>
        </row>
        <row r="8643">
          <cell r="A8643" t="str">
            <v>FB260010884</v>
          </cell>
          <cell r="D8643" t="str">
            <v>SW</v>
          </cell>
        </row>
        <row r="8644">
          <cell r="A8644" t="str">
            <v>FB260010885</v>
          </cell>
          <cell r="D8644" t="str">
            <v>SW</v>
          </cell>
        </row>
        <row r="8645">
          <cell r="A8645" t="str">
            <v>FB260010886</v>
          </cell>
          <cell r="D8645" t="str">
            <v>SW</v>
          </cell>
        </row>
        <row r="8646">
          <cell r="A8646" t="str">
            <v>FB260010887</v>
          </cell>
          <cell r="D8646" t="str">
            <v>PINK</v>
          </cell>
        </row>
        <row r="8647">
          <cell r="A8647" t="str">
            <v>FB260010888</v>
          </cell>
          <cell r="D8647" t="str">
            <v>PINK</v>
          </cell>
        </row>
        <row r="8648">
          <cell r="A8648" t="str">
            <v>FB260010889</v>
          </cell>
          <cell r="D8648" t="str">
            <v>PINK</v>
          </cell>
        </row>
        <row r="8649">
          <cell r="A8649" t="str">
            <v>FB260010890</v>
          </cell>
          <cell r="D8649" t="str">
            <v>PINK</v>
          </cell>
        </row>
        <row r="8650">
          <cell r="A8650" t="str">
            <v>FB260010891</v>
          </cell>
          <cell r="D8650" t="str">
            <v>VSS</v>
          </cell>
        </row>
        <row r="8651">
          <cell r="A8651" t="str">
            <v>FB260010892</v>
          </cell>
          <cell r="D8651" t="str">
            <v>LULU</v>
          </cell>
        </row>
        <row r="8652">
          <cell r="A8652" t="str">
            <v>FB260010893</v>
          </cell>
          <cell r="D8652" t="str">
            <v>VSS</v>
          </cell>
        </row>
        <row r="8653">
          <cell r="A8653" t="str">
            <v>FB260010894</v>
          </cell>
          <cell r="D8653" t="str">
            <v>VSS</v>
          </cell>
        </row>
        <row r="8654">
          <cell r="A8654" t="str">
            <v>FB260010895</v>
          </cell>
          <cell r="D8654" t="str">
            <v>VSS</v>
          </cell>
        </row>
        <row r="8655">
          <cell r="A8655" t="str">
            <v>FB260010896</v>
          </cell>
          <cell r="D8655" t="str">
            <v>VSS</v>
          </cell>
        </row>
        <row r="8656">
          <cell r="A8656" t="str">
            <v>FB260010897</v>
          </cell>
          <cell r="D8656" t="str">
            <v>VSS</v>
          </cell>
        </row>
        <row r="8657">
          <cell r="A8657" t="str">
            <v>FB260010898</v>
          </cell>
          <cell r="D8657" t="str">
            <v>VSS</v>
          </cell>
        </row>
        <row r="8658">
          <cell r="A8658" t="str">
            <v>FB260010899</v>
          </cell>
          <cell r="D8658" t="str">
            <v>VSS</v>
          </cell>
        </row>
        <row r="8659">
          <cell r="A8659" t="str">
            <v>FB260010901</v>
          </cell>
          <cell r="D8659" t="str">
            <v>PINK</v>
          </cell>
        </row>
        <row r="8660">
          <cell r="A8660" t="str">
            <v>FB260010902</v>
          </cell>
          <cell r="D8660" t="str">
            <v>PINK</v>
          </cell>
        </row>
        <row r="8661">
          <cell r="A8661" t="str">
            <v>FB260010904</v>
          </cell>
          <cell r="D8661" t="str">
            <v>SW</v>
          </cell>
        </row>
        <row r="8662">
          <cell r="A8662" t="str">
            <v>FB260010906</v>
          </cell>
          <cell r="D8662" t="str">
            <v>PINK</v>
          </cell>
        </row>
        <row r="8663">
          <cell r="A8663" t="str">
            <v>FB260010907</v>
          </cell>
          <cell r="D8663" t="str">
            <v>VSS</v>
          </cell>
        </row>
        <row r="8664">
          <cell r="A8664" t="str">
            <v>FB260010909</v>
          </cell>
          <cell r="D8664" t="str">
            <v>VSS</v>
          </cell>
        </row>
        <row r="8665">
          <cell r="A8665" t="str">
            <v>FB260010910</v>
          </cell>
          <cell r="D8665" t="str">
            <v>VSS</v>
          </cell>
        </row>
        <row r="8666">
          <cell r="A8666" t="str">
            <v>FB260010911</v>
          </cell>
          <cell r="D8666" t="str">
            <v>VSS</v>
          </cell>
        </row>
        <row r="8667">
          <cell r="A8667" t="str">
            <v>FB260010912</v>
          </cell>
          <cell r="D8667" t="str">
            <v>PINK</v>
          </cell>
        </row>
        <row r="8668">
          <cell r="A8668" t="str">
            <v>FB260010913</v>
          </cell>
          <cell r="D8668" t="str">
            <v>VSS</v>
          </cell>
        </row>
        <row r="8669">
          <cell r="A8669" t="str">
            <v>FB260010914</v>
          </cell>
          <cell r="D8669" t="str">
            <v>VSS</v>
          </cell>
        </row>
        <row r="8670">
          <cell r="A8670" t="str">
            <v>FB260010915</v>
          </cell>
          <cell r="D8670" t="str">
            <v>PINK</v>
          </cell>
        </row>
        <row r="8671">
          <cell r="A8671" t="str">
            <v>FB260010916</v>
          </cell>
          <cell r="D8671" t="str">
            <v>PINK</v>
          </cell>
        </row>
        <row r="8672">
          <cell r="A8672" t="str">
            <v>FB260010917</v>
          </cell>
          <cell r="D8672" t="str">
            <v>PINK</v>
          </cell>
        </row>
        <row r="8673">
          <cell r="A8673" t="str">
            <v>FB260010918</v>
          </cell>
          <cell r="D8673" t="str">
            <v>VSS</v>
          </cell>
        </row>
        <row r="8674">
          <cell r="A8674" t="str">
            <v>FB260010919</v>
          </cell>
          <cell r="D8674" t="str">
            <v>VSS</v>
          </cell>
        </row>
        <row r="8675">
          <cell r="A8675" t="str">
            <v>FB260010920</v>
          </cell>
          <cell r="D8675" t="str">
            <v>VSS</v>
          </cell>
        </row>
        <row r="8676">
          <cell r="A8676" t="str">
            <v>FB260010921</v>
          </cell>
          <cell r="D8676" t="str">
            <v>VSS</v>
          </cell>
        </row>
        <row r="8677">
          <cell r="A8677" t="str">
            <v>FB260010922</v>
          </cell>
          <cell r="D8677" t="str">
            <v>VSS</v>
          </cell>
        </row>
        <row r="8678">
          <cell r="A8678" t="str">
            <v>FB260010923</v>
          </cell>
          <cell r="D8678" t="str">
            <v>VSS</v>
          </cell>
        </row>
        <row r="8679">
          <cell r="A8679" t="str">
            <v>FB260010924</v>
          </cell>
          <cell r="D8679" t="str">
            <v>VSS</v>
          </cell>
        </row>
        <row r="8680">
          <cell r="A8680" t="str">
            <v>FB260010925</v>
          </cell>
          <cell r="D8680" t="str">
            <v>VSS</v>
          </cell>
        </row>
        <row r="8681">
          <cell r="A8681" t="str">
            <v>FB260010927</v>
          </cell>
          <cell r="D8681" t="str">
            <v>VSS</v>
          </cell>
        </row>
        <row r="8682">
          <cell r="A8682" t="str">
            <v>FB260010928</v>
          </cell>
          <cell r="D8682" t="str">
            <v>VSS</v>
          </cell>
        </row>
        <row r="8683">
          <cell r="A8683" t="str">
            <v>FB260010929</v>
          </cell>
          <cell r="D8683" t="str">
            <v>VSS</v>
          </cell>
        </row>
        <row r="8684">
          <cell r="A8684" t="str">
            <v>FB260010930</v>
          </cell>
          <cell r="D8684" t="str">
            <v>WACE</v>
          </cell>
        </row>
        <row r="8685">
          <cell r="A8685" t="str">
            <v>FB260010932</v>
          </cell>
          <cell r="D8685" t="str">
            <v>GAP</v>
          </cell>
        </row>
        <row r="8686">
          <cell r="A8686" t="str">
            <v>FB260010934</v>
          </cell>
          <cell r="D8686" t="str">
            <v>GAP</v>
          </cell>
        </row>
        <row r="8687">
          <cell r="A8687" t="str">
            <v>FB260010938</v>
          </cell>
          <cell r="D8687" t="str">
            <v>VSS</v>
          </cell>
        </row>
        <row r="8688">
          <cell r="A8688" t="str">
            <v>FB260010939</v>
          </cell>
          <cell r="D8688" t="str">
            <v>CK</v>
          </cell>
        </row>
        <row r="8689">
          <cell r="A8689" t="str">
            <v>FB260010940</v>
          </cell>
          <cell r="D8689" t="str">
            <v>GAP</v>
          </cell>
        </row>
        <row r="8690">
          <cell r="A8690" t="str">
            <v>FB260010941</v>
          </cell>
          <cell r="D8690" t="str">
            <v>NIK</v>
          </cell>
        </row>
        <row r="8691">
          <cell r="A8691" t="str">
            <v>FB260010942</v>
          </cell>
          <cell r="D8691" t="str">
            <v>VSS</v>
          </cell>
        </row>
        <row r="8692">
          <cell r="A8692" t="str">
            <v>FB260010946</v>
          </cell>
          <cell r="D8692" t="str">
            <v>PINK</v>
          </cell>
        </row>
        <row r="8693">
          <cell r="A8693" t="str">
            <v>FB260010947</v>
          </cell>
          <cell r="D8693" t="str">
            <v>PINK</v>
          </cell>
        </row>
        <row r="8694">
          <cell r="A8694" t="str">
            <v>FB260010948</v>
          </cell>
          <cell r="D8694" t="str">
            <v>M&amp;S</v>
          </cell>
        </row>
        <row r="8695">
          <cell r="A8695" t="str">
            <v>FB260010949</v>
          </cell>
          <cell r="D8695" t="str">
            <v>DUN</v>
          </cell>
        </row>
        <row r="8696">
          <cell r="A8696" t="str">
            <v>FB260010950</v>
          </cell>
          <cell r="D8696" t="str">
            <v>THX</v>
          </cell>
        </row>
        <row r="8697">
          <cell r="A8697" t="str">
            <v>FB260010951</v>
          </cell>
          <cell r="D8697" t="str">
            <v>CK</v>
          </cell>
        </row>
        <row r="8698">
          <cell r="A8698" t="str">
            <v>FB260010952</v>
          </cell>
          <cell r="D8698" t="str">
            <v>NIK</v>
          </cell>
        </row>
        <row r="8699">
          <cell r="A8699" t="str">
            <v>FB260010953</v>
          </cell>
          <cell r="D8699" t="str">
            <v>NIK</v>
          </cell>
        </row>
        <row r="8700">
          <cell r="A8700" t="str">
            <v>FB260010954</v>
          </cell>
          <cell r="D8700" t="str">
            <v>NIK</v>
          </cell>
        </row>
        <row r="8701">
          <cell r="A8701" t="str">
            <v>FB260010955</v>
          </cell>
          <cell r="D8701" t="str">
            <v>NIK</v>
          </cell>
        </row>
        <row r="8702">
          <cell r="A8702" t="str">
            <v>FB260010956</v>
          </cell>
          <cell r="D8702" t="str">
            <v>SPEE</v>
          </cell>
        </row>
        <row r="8703">
          <cell r="A8703" t="str">
            <v>FB260010958</v>
          </cell>
          <cell r="D8703" t="str">
            <v>PINK</v>
          </cell>
        </row>
        <row r="8704">
          <cell r="A8704" t="str">
            <v>FB260010959</v>
          </cell>
          <cell r="D8704" t="str">
            <v>PINK</v>
          </cell>
        </row>
        <row r="8705">
          <cell r="A8705" t="str">
            <v>FB260010960</v>
          </cell>
          <cell r="D8705" t="str">
            <v>NIK</v>
          </cell>
        </row>
        <row r="8706">
          <cell r="A8706" t="str">
            <v>FB260010961</v>
          </cell>
          <cell r="D8706" t="str">
            <v>NIK</v>
          </cell>
        </row>
        <row r="8707">
          <cell r="A8707" t="str">
            <v>FB260010962</v>
          </cell>
          <cell r="D8707" t="str">
            <v>NIK</v>
          </cell>
        </row>
        <row r="8708">
          <cell r="A8708" t="str">
            <v>FB260010963</v>
          </cell>
          <cell r="D8708" t="str">
            <v>VSS</v>
          </cell>
        </row>
        <row r="8709">
          <cell r="A8709" t="str">
            <v>FB260010964</v>
          </cell>
          <cell r="D8709" t="str">
            <v>VSS</v>
          </cell>
        </row>
        <row r="8710">
          <cell r="A8710" t="str">
            <v>FB260010965</v>
          </cell>
          <cell r="D8710" t="str">
            <v>VSS</v>
          </cell>
        </row>
        <row r="8711">
          <cell r="A8711" t="str">
            <v>FB260010966</v>
          </cell>
          <cell r="D8711" t="str">
            <v>VSS</v>
          </cell>
        </row>
        <row r="8712">
          <cell r="A8712" t="str">
            <v>FB260010967</v>
          </cell>
          <cell r="D8712" t="str">
            <v>GAP</v>
          </cell>
        </row>
        <row r="8713">
          <cell r="A8713" t="str">
            <v>FB260010968</v>
          </cell>
          <cell r="D8713" t="str">
            <v>VSS</v>
          </cell>
        </row>
        <row r="8714">
          <cell r="A8714" t="str">
            <v>FB260010969</v>
          </cell>
          <cell r="D8714" t="str">
            <v>VSS</v>
          </cell>
        </row>
        <row r="8715">
          <cell r="A8715" t="str">
            <v>FB260010970</v>
          </cell>
          <cell r="D8715" t="str">
            <v>VSS</v>
          </cell>
        </row>
        <row r="8716">
          <cell r="A8716" t="str">
            <v>FB260010971</v>
          </cell>
          <cell r="D8716" t="str">
            <v>VSS</v>
          </cell>
        </row>
        <row r="8717">
          <cell r="A8717" t="str">
            <v>FB260010972</v>
          </cell>
          <cell r="D8717" t="str">
            <v>VSS</v>
          </cell>
        </row>
        <row r="8718">
          <cell r="A8718" t="str">
            <v>FB260010973</v>
          </cell>
          <cell r="D8718" t="str">
            <v>VSS</v>
          </cell>
        </row>
        <row r="8719">
          <cell r="A8719" t="str">
            <v>FB260010974</v>
          </cell>
          <cell r="D8719" t="str">
            <v>VSS</v>
          </cell>
        </row>
        <row r="8720">
          <cell r="A8720" t="str">
            <v>FB260010976</v>
          </cell>
          <cell r="D8720" t="str">
            <v>GAP</v>
          </cell>
        </row>
        <row r="8721">
          <cell r="A8721" t="str">
            <v>FB260010977</v>
          </cell>
          <cell r="D8721" t="str">
            <v>GAP</v>
          </cell>
        </row>
        <row r="8722">
          <cell r="A8722" t="str">
            <v>FB260010982</v>
          </cell>
          <cell r="D8722" t="str">
            <v>VSS</v>
          </cell>
        </row>
        <row r="8723">
          <cell r="A8723" t="str">
            <v>FB260010985</v>
          </cell>
          <cell r="D8723" t="str">
            <v>VSS</v>
          </cell>
        </row>
        <row r="8724">
          <cell r="A8724" t="str">
            <v>FB260010987</v>
          </cell>
          <cell r="D8724" t="str">
            <v>VSS</v>
          </cell>
        </row>
        <row r="8725">
          <cell r="A8725" t="str">
            <v>FB260010988</v>
          </cell>
          <cell r="D8725" t="str">
            <v>VSS</v>
          </cell>
        </row>
        <row r="8726">
          <cell r="A8726" t="str">
            <v>FB260010989</v>
          </cell>
          <cell r="D8726" t="str">
            <v>VSS</v>
          </cell>
        </row>
        <row r="8727">
          <cell r="A8727" t="str">
            <v>FB260010990</v>
          </cell>
          <cell r="D8727" t="str">
            <v>VSS</v>
          </cell>
        </row>
        <row r="8728">
          <cell r="A8728" t="str">
            <v>FB260010991</v>
          </cell>
          <cell r="D8728" t="str">
            <v>PINK</v>
          </cell>
        </row>
        <row r="8729">
          <cell r="A8729" t="str">
            <v>FB260010996</v>
          </cell>
          <cell r="D8729" t="str">
            <v>PINK</v>
          </cell>
        </row>
        <row r="8730">
          <cell r="A8730" t="str">
            <v>FB260010997</v>
          </cell>
          <cell r="D8730" t="str">
            <v>PINK</v>
          </cell>
        </row>
        <row r="8731">
          <cell r="A8731" t="str">
            <v>FB260010999</v>
          </cell>
          <cell r="D8731" t="str">
            <v>WACE</v>
          </cell>
        </row>
        <row r="8732">
          <cell r="A8732" t="str">
            <v>FB260011000</v>
          </cell>
          <cell r="D8732" t="str">
            <v>VSS</v>
          </cell>
        </row>
        <row r="8733">
          <cell r="A8733" t="str">
            <v>FB260011001</v>
          </cell>
          <cell r="D8733" t="str">
            <v>VSS</v>
          </cell>
        </row>
        <row r="8734">
          <cell r="A8734" t="str">
            <v>FB260011004</v>
          </cell>
          <cell r="D8734" t="str">
            <v>GYM</v>
          </cell>
        </row>
        <row r="8735">
          <cell r="A8735" t="str">
            <v>FB260011005</v>
          </cell>
          <cell r="D8735" t="str">
            <v>NIK</v>
          </cell>
        </row>
        <row r="8736">
          <cell r="A8736" t="str">
            <v>FB260011006</v>
          </cell>
          <cell r="D8736" t="str">
            <v>PINK</v>
          </cell>
        </row>
        <row r="8737">
          <cell r="A8737" t="str">
            <v>FB260011011</v>
          </cell>
          <cell r="D8737" t="str">
            <v>VSS</v>
          </cell>
        </row>
        <row r="8738">
          <cell r="A8738" t="str">
            <v>FB260011012</v>
          </cell>
          <cell r="D8738" t="str">
            <v>VSS</v>
          </cell>
        </row>
        <row r="8739">
          <cell r="A8739" t="str">
            <v>FB260011014</v>
          </cell>
          <cell r="D8739" t="str">
            <v>LULU</v>
          </cell>
        </row>
        <row r="8740">
          <cell r="A8740" t="str">
            <v>FB260011016</v>
          </cell>
          <cell r="D8740" t="str">
            <v>VSS</v>
          </cell>
        </row>
        <row r="8741">
          <cell r="A8741" t="str">
            <v>FB260011017</v>
          </cell>
          <cell r="D8741" t="str">
            <v>WACE</v>
          </cell>
        </row>
        <row r="8742">
          <cell r="A8742" t="str">
            <v>FB260011018</v>
          </cell>
          <cell r="D8742" t="str">
            <v>NEX</v>
          </cell>
        </row>
        <row r="8743">
          <cell r="A8743" t="str">
            <v>FB260011020</v>
          </cell>
          <cell r="D8743" t="str">
            <v>NEX</v>
          </cell>
        </row>
        <row r="8744">
          <cell r="A8744" t="str">
            <v>FB260011025</v>
          </cell>
          <cell r="D8744" t="str">
            <v>CK</v>
          </cell>
        </row>
        <row r="8745">
          <cell r="A8745" t="str">
            <v>FB260011026</v>
          </cell>
          <cell r="D8745" t="str">
            <v>CK</v>
          </cell>
        </row>
        <row r="8746">
          <cell r="A8746" t="str">
            <v>FB260011027</v>
          </cell>
          <cell r="D8746" t="str">
            <v>WACE</v>
          </cell>
        </row>
        <row r="8747">
          <cell r="A8747" t="str">
            <v>FB260011030</v>
          </cell>
          <cell r="D8747" t="str">
            <v>M&amp;S</v>
          </cell>
        </row>
        <row r="8748">
          <cell r="A8748" t="str">
            <v>FB260011033</v>
          </cell>
          <cell r="D8748" t="str">
            <v>VSS</v>
          </cell>
        </row>
        <row r="8749">
          <cell r="A8749" t="str">
            <v>FB260011034</v>
          </cell>
          <cell r="D8749" t="str">
            <v>VSS</v>
          </cell>
        </row>
        <row r="8750">
          <cell r="A8750" t="str">
            <v>FB260011035</v>
          </cell>
          <cell r="D8750" t="str">
            <v>VSS</v>
          </cell>
        </row>
        <row r="8751">
          <cell r="A8751" t="str">
            <v>FB260011036</v>
          </cell>
          <cell r="D8751" t="str">
            <v>VSS</v>
          </cell>
        </row>
        <row r="8752">
          <cell r="A8752" t="str">
            <v>FB260011037</v>
          </cell>
          <cell r="D8752" t="str">
            <v>VSS</v>
          </cell>
        </row>
        <row r="8753">
          <cell r="A8753" t="str">
            <v>FB260011038</v>
          </cell>
          <cell r="D8753" t="str">
            <v>VSS</v>
          </cell>
        </row>
        <row r="8754">
          <cell r="A8754" t="str">
            <v>FB260011039</v>
          </cell>
          <cell r="D8754" t="str">
            <v>VSS</v>
          </cell>
        </row>
        <row r="8755">
          <cell r="A8755" t="str">
            <v>FB260011041</v>
          </cell>
          <cell r="D8755" t="str">
            <v>VSS</v>
          </cell>
        </row>
        <row r="8756">
          <cell r="A8756" t="str">
            <v>FB260011042</v>
          </cell>
          <cell r="D8756" t="str">
            <v>VSS</v>
          </cell>
        </row>
        <row r="8757">
          <cell r="A8757" t="str">
            <v>FB260011043</v>
          </cell>
          <cell r="D8757" t="str">
            <v>CK</v>
          </cell>
        </row>
        <row r="8758">
          <cell r="A8758" t="str">
            <v>FB260011044</v>
          </cell>
          <cell r="D8758" t="str">
            <v>NIK</v>
          </cell>
        </row>
        <row r="8759">
          <cell r="A8759" t="str">
            <v>FB260011045</v>
          </cell>
          <cell r="D8759" t="str">
            <v>VSS</v>
          </cell>
        </row>
        <row r="8760">
          <cell r="A8760" t="str">
            <v>FB260011046</v>
          </cell>
          <cell r="D8760" t="str">
            <v>VSS</v>
          </cell>
        </row>
        <row r="8761">
          <cell r="A8761" t="str">
            <v>FB260011048</v>
          </cell>
          <cell r="D8761" t="str">
            <v>PINK</v>
          </cell>
        </row>
        <row r="8762">
          <cell r="A8762" t="str">
            <v>FB260011049</v>
          </cell>
          <cell r="D8762" t="str">
            <v>WACE</v>
          </cell>
        </row>
        <row r="8763">
          <cell r="A8763" t="str">
            <v>FB260011050</v>
          </cell>
          <cell r="D8763" t="str">
            <v>WACE</v>
          </cell>
        </row>
        <row r="8764">
          <cell r="A8764" t="str">
            <v>FB260011051</v>
          </cell>
          <cell r="D8764" t="str">
            <v>VSS</v>
          </cell>
        </row>
        <row r="8765">
          <cell r="A8765" t="str">
            <v>FB260011052</v>
          </cell>
          <cell r="D8765" t="str">
            <v>VSS</v>
          </cell>
        </row>
        <row r="8766">
          <cell r="A8766" t="str">
            <v>FB260011054</v>
          </cell>
          <cell r="D8766" t="str">
            <v>VSS</v>
          </cell>
        </row>
        <row r="8767">
          <cell r="A8767" t="str">
            <v>FB260011055</v>
          </cell>
          <cell r="D8767" t="str">
            <v>PINK</v>
          </cell>
        </row>
        <row r="8768">
          <cell r="A8768" t="str">
            <v>FB260011056</v>
          </cell>
          <cell r="D8768" t="str">
            <v>WACE</v>
          </cell>
        </row>
        <row r="8769">
          <cell r="A8769" t="str">
            <v>FB260011058</v>
          </cell>
          <cell r="D8769" t="str">
            <v>PINK</v>
          </cell>
        </row>
        <row r="8770">
          <cell r="A8770" t="str">
            <v>FB260011059</v>
          </cell>
          <cell r="D8770" t="str">
            <v>VSS</v>
          </cell>
        </row>
        <row r="8771">
          <cell r="A8771" t="str">
            <v>FB260011060</v>
          </cell>
          <cell r="D8771" t="str">
            <v>PINK</v>
          </cell>
        </row>
        <row r="8772">
          <cell r="A8772" t="str">
            <v>FB260011063</v>
          </cell>
          <cell r="D8772" t="str">
            <v>PINK</v>
          </cell>
        </row>
        <row r="8773">
          <cell r="A8773" t="str">
            <v>FB260011064</v>
          </cell>
          <cell r="D8773" t="str">
            <v>PINK</v>
          </cell>
        </row>
        <row r="8774">
          <cell r="A8774" t="str">
            <v>FB260011065</v>
          </cell>
          <cell r="D8774" t="str">
            <v>PINK</v>
          </cell>
        </row>
        <row r="8775">
          <cell r="A8775" t="str">
            <v>FB260011066</v>
          </cell>
          <cell r="D8775" t="str">
            <v>PINK</v>
          </cell>
        </row>
        <row r="8776">
          <cell r="A8776" t="str">
            <v>FB260011077</v>
          </cell>
          <cell r="D8776" t="str">
            <v>VSS</v>
          </cell>
        </row>
        <row r="8777">
          <cell r="A8777" t="str">
            <v>FB260011078</v>
          </cell>
          <cell r="D8777" t="str">
            <v>VSS</v>
          </cell>
        </row>
        <row r="8778">
          <cell r="A8778" t="str">
            <v>FB260011079</v>
          </cell>
          <cell r="D8778" t="str">
            <v>PINK</v>
          </cell>
        </row>
        <row r="8779">
          <cell r="A8779" t="str">
            <v>FB260011080</v>
          </cell>
          <cell r="D8779" t="str">
            <v>PINK</v>
          </cell>
        </row>
        <row r="8780">
          <cell r="A8780" t="str">
            <v>FB260011081</v>
          </cell>
          <cell r="D8780" t="str">
            <v>PINK</v>
          </cell>
        </row>
        <row r="8781">
          <cell r="A8781" t="str">
            <v>FB260011082</v>
          </cell>
          <cell r="D8781" t="str">
            <v>VSS</v>
          </cell>
        </row>
        <row r="8782">
          <cell r="A8782" t="str">
            <v>FB260011083</v>
          </cell>
          <cell r="D8782" t="str">
            <v>VSS</v>
          </cell>
        </row>
        <row r="8783">
          <cell r="A8783" t="str">
            <v>FB260011084</v>
          </cell>
          <cell r="D8783" t="str">
            <v>VSS</v>
          </cell>
        </row>
        <row r="8784">
          <cell r="A8784" t="str">
            <v>FB260011086</v>
          </cell>
          <cell r="D8784" t="str">
            <v>VSS</v>
          </cell>
        </row>
        <row r="8785">
          <cell r="A8785" t="str">
            <v>FB260011088</v>
          </cell>
          <cell r="D8785" t="str">
            <v>PINK</v>
          </cell>
        </row>
        <row r="8786">
          <cell r="A8786" t="str">
            <v>FB260011089</v>
          </cell>
          <cell r="D8786" t="str">
            <v>PINK</v>
          </cell>
        </row>
        <row r="8787">
          <cell r="A8787" t="str">
            <v>FB260011093</v>
          </cell>
          <cell r="D8787" t="str">
            <v>VSS</v>
          </cell>
        </row>
        <row r="8788">
          <cell r="A8788" t="str">
            <v>FB260011094</v>
          </cell>
          <cell r="D8788" t="str">
            <v>VSS</v>
          </cell>
        </row>
        <row r="8789">
          <cell r="A8789" t="str">
            <v>FB260011095</v>
          </cell>
          <cell r="D8789" t="str">
            <v>VSS</v>
          </cell>
        </row>
        <row r="8790">
          <cell r="A8790" t="str">
            <v>FB260011096</v>
          </cell>
          <cell r="D8790" t="str">
            <v>VSS</v>
          </cell>
        </row>
        <row r="8791">
          <cell r="A8791" t="str">
            <v>FB260011097</v>
          </cell>
          <cell r="D8791" t="str">
            <v>WACE</v>
          </cell>
        </row>
        <row r="8792">
          <cell r="A8792" t="str">
            <v>FB260011098</v>
          </cell>
          <cell r="D8792" t="str">
            <v>VSS</v>
          </cell>
        </row>
        <row r="8793">
          <cell r="A8793" t="str">
            <v>FB260011099</v>
          </cell>
          <cell r="D8793" t="str">
            <v>SPEE</v>
          </cell>
        </row>
        <row r="8794">
          <cell r="A8794" t="str">
            <v>FB260011101</v>
          </cell>
          <cell r="D8794" t="str">
            <v>SPEE</v>
          </cell>
        </row>
        <row r="8795">
          <cell r="A8795" t="str">
            <v>FB260011104</v>
          </cell>
          <cell r="D8795" t="str">
            <v>WACE</v>
          </cell>
        </row>
        <row r="8796">
          <cell r="A8796" t="str">
            <v>FB260011105</v>
          </cell>
          <cell r="D8796" t="str">
            <v>PINK</v>
          </cell>
        </row>
        <row r="8797">
          <cell r="A8797" t="str">
            <v>FB260011106</v>
          </cell>
          <cell r="D8797" t="str">
            <v>PINK</v>
          </cell>
        </row>
        <row r="8798">
          <cell r="A8798" t="str">
            <v>FB260011110</v>
          </cell>
          <cell r="D8798" t="str">
            <v>VSS</v>
          </cell>
        </row>
        <row r="8799">
          <cell r="A8799" t="str">
            <v>FB260011111</v>
          </cell>
          <cell r="D8799" t="str">
            <v>VSS</v>
          </cell>
        </row>
        <row r="8800">
          <cell r="A8800" t="str">
            <v>FB260011112</v>
          </cell>
          <cell r="D8800" t="str">
            <v>VSS</v>
          </cell>
        </row>
        <row r="8801">
          <cell r="A8801" t="str">
            <v>FB260011113</v>
          </cell>
          <cell r="D8801" t="str">
            <v>WACE</v>
          </cell>
        </row>
        <row r="8802">
          <cell r="A8802" t="str">
            <v>FB260011114</v>
          </cell>
          <cell r="D8802" t="str">
            <v>CHICOS</v>
          </cell>
        </row>
        <row r="8803">
          <cell r="A8803" t="str">
            <v>FB260011116</v>
          </cell>
          <cell r="D8803" t="str">
            <v>VSS</v>
          </cell>
        </row>
        <row r="8804">
          <cell r="A8804" t="str">
            <v>FB260011117</v>
          </cell>
          <cell r="D8804" t="str">
            <v>VSS</v>
          </cell>
        </row>
        <row r="8805">
          <cell r="A8805" t="str">
            <v>FB260011118</v>
          </cell>
          <cell r="D8805" t="str">
            <v>HAR</v>
          </cell>
        </row>
        <row r="8806">
          <cell r="A8806" t="str">
            <v>FB260011120</v>
          </cell>
          <cell r="D8806" t="str">
            <v>CHICOS</v>
          </cell>
        </row>
        <row r="8807">
          <cell r="A8807" t="str">
            <v>FB260011122</v>
          </cell>
          <cell r="D8807" t="str">
            <v>VSS</v>
          </cell>
        </row>
        <row r="8808">
          <cell r="A8808" t="str">
            <v>FB260011123</v>
          </cell>
          <cell r="D8808" t="str">
            <v>PINK</v>
          </cell>
        </row>
        <row r="8809">
          <cell r="A8809" t="str">
            <v>FB260011124</v>
          </cell>
          <cell r="D8809" t="str">
            <v>CHICOS</v>
          </cell>
        </row>
        <row r="8810">
          <cell r="A8810" t="str">
            <v>FB260011125</v>
          </cell>
          <cell r="D8810" t="str">
            <v>PINK</v>
          </cell>
        </row>
        <row r="8811">
          <cell r="A8811" t="str">
            <v>FB260011126</v>
          </cell>
          <cell r="D8811" t="str">
            <v>NKSKI</v>
          </cell>
        </row>
        <row r="8812">
          <cell r="A8812" t="str">
            <v>FB260011127</v>
          </cell>
          <cell r="D8812" t="str">
            <v>NKSKI</v>
          </cell>
        </row>
        <row r="8813">
          <cell r="A8813" t="str">
            <v>FB260011129</v>
          </cell>
          <cell r="D8813" t="str">
            <v>CHICOS</v>
          </cell>
        </row>
        <row r="8814">
          <cell r="A8814" t="str">
            <v>FB260011130</v>
          </cell>
          <cell r="D8814" t="str">
            <v>CHICOS</v>
          </cell>
        </row>
        <row r="8815">
          <cell r="A8815" t="str">
            <v>FB260011131</v>
          </cell>
          <cell r="D8815" t="str">
            <v>CHICOS</v>
          </cell>
        </row>
        <row r="8816">
          <cell r="A8816" t="str">
            <v>FB260011132</v>
          </cell>
          <cell r="D8816" t="str">
            <v>CHICOS</v>
          </cell>
        </row>
        <row r="8817">
          <cell r="A8817" t="str">
            <v>FB260011133</v>
          </cell>
          <cell r="D8817" t="str">
            <v>PINK</v>
          </cell>
        </row>
        <row r="8818">
          <cell r="A8818" t="str">
            <v>FB260011134</v>
          </cell>
          <cell r="D8818" t="str">
            <v>PINK</v>
          </cell>
        </row>
        <row r="8819">
          <cell r="A8819" t="str">
            <v>FB260011136</v>
          </cell>
          <cell r="D8819" t="str">
            <v>LULU</v>
          </cell>
        </row>
        <row r="8820">
          <cell r="A8820" t="str">
            <v>FB260011137</v>
          </cell>
          <cell r="D8820" t="str">
            <v>CK</v>
          </cell>
        </row>
        <row r="8821">
          <cell r="A8821" t="str">
            <v>FB260011140</v>
          </cell>
          <cell r="D8821" t="str">
            <v>PEP</v>
          </cell>
        </row>
        <row r="8822">
          <cell r="A8822" t="str">
            <v>FB260011141</v>
          </cell>
          <cell r="D8822" t="str">
            <v>ODL</v>
          </cell>
        </row>
        <row r="8823">
          <cell r="A8823" t="str">
            <v>FB260011142</v>
          </cell>
          <cell r="D8823" t="str">
            <v>GLA</v>
          </cell>
        </row>
        <row r="8824">
          <cell r="A8824" t="str">
            <v>FB260011143</v>
          </cell>
          <cell r="D8824" t="str">
            <v>VSS</v>
          </cell>
        </row>
        <row r="8825">
          <cell r="A8825" t="str">
            <v>FB260011147</v>
          </cell>
          <cell r="D8825" t="str">
            <v>CK</v>
          </cell>
        </row>
        <row r="8826">
          <cell r="A8826" t="str">
            <v>FB260011148</v>
          </cell>
          <cell r="D8826" t="str">
            <v>VSS</v>
          </cell>
        </row>
        <row r="8827">
          <cell r="A8827" t="str">
            <v>FB260011149</v>
          </cell>
          <cell r="D8827" t="str">
            <v>VSS</v>
          </cell>
        </row>
        <row r="8828">
          <cell r="A8828" t="str">
            <v>FB260011150</v>
          </cell>
          <cell r="D8828" t="str">
            <v>VSS</v>
          </cell>
        </row>
        <row r="8829">
          <cell r="A8829" t="str">
            <v>FB260011151</v>
          </cell>
          <cell r="D8829" t="str">
            <v>VSS</v>
          </cell>
        </row>
        <row r="8830">
          <cell r="A8830" t="str">
            <v>FB260011152</v>
          </cell>
          <cell r="D8830" t="str">
            <v>VSS</v>
          </cell>
        </row>
        <row r="8831">
          <cell r="A8831" t="str">
            <v>FB260011153</v>
          </cell>
          <cell r="D8831" t="str">
            <v>PINK</v>
          </cell>
        </row>
        <row r="8832">
          <cell r="A8832" t="str">
            <v>FB260011155</v>
          </cell>
          <cell r="D8832" t="str">
            <v>WACE</v>
          </cell>
        </row>
        <row r="8833">
          <cell r="A8833" t="str">
            <v>FB260011156</v>
          </cell>
          <cell r="D8833" t="str">
            <v>VSS</v>
          </cell>
        </row>
        <row r="8834">
          <cell r="A8834" t="str">
            <v>FB260011161</v>
          </cell>
          <cell r="D8834" t="str">
            <v>GAP</v>
          </cell>
        </row>
        <row r="8835">
          <cell r="A8835" t="str">
            <v>FB260011162</v>
          </cell>
          <cell r="D8835" t="str">
            <v>VSS</v>
          </cell>
        </row>
        <row r="8836">
          <cell r="A8836" t="str">
            <v>FB260011163</v>
          </cell>
          <cell r="D8836" t="str">
            <v>PINK</v>
          </cell>
        </row>
        <row r="8837">
          <cell r="A8837" t="str">
            <v>FB260011164</v>
          </cell>
          <cell r="D8837" t="str">
            <v>WACE</v>
          </cell>
        </row>
        <row r="8838">
          <cell r="A8838" t="str">
            <v>FB260011165</v>
          </cell>
          <cell r="D8838" t="str">
            <v>VSS</v>
          </cell>
        </row>
        <row r="8839">
          <cell r="A8839" t="str">
            <v>FB260011169</v>
          </cell>
          <cell r="D8839" t="str">
            <v>WACE</v>
          </cell>
        </row>
        <row r="8840">
          <cell r="A8840" t="str">
            <v>FB260011171</v>
          </cell>
          <cell r="D8840" t="str">
            <v>WACE</v>
          </cell>
        </row>
        <row r="8841">
          <cell r="A8841" t="str">
            <v>FB260011172</v>
          </cell>
          <cell r="D8841" t="str">
            <v>WACE</v>
          </cell>
        </row>
        <row r="8842">
          <cell r="A8842" t="str">
            <v>FB260011174</v>
          </cell>
          <cell r="D8842" t="str">
            <v>CHICOS</v>
          </cell>
        </row>
        <row r="8843">
          <cell r="A8843" t="str">
            <v>FB260011175</v>
          </cell>
          <cell r="D8843" t="str">
            <v>CHICOS</v>
          </cell>
        </row>
        <row r="8844">
          <cell r="A8844" t="str">
            <v>FB260011176</v>
          </cell>
          <cell r="D8844" t="str">
            <v>NKSKI</v>
          </cell>
        </row>
        <row r="8845">
          <cell r="A8845" t="str">
            <v>FB260011177</v>
          </cell>
          <cell r="D8845" t="str">
            <v>WACE</v>
          </cell>
        </row>
        <row r="8846">
          <cell r="A8846" t="str">
            <v>FB260011189</v>
          </cell>
          <cell r="D8846" t="str">
            <v>WACE</v>
          </cell>
        </row>
        <row r="8847">
          <cell r="A8847" t="str">
            <v>FB260011190</v>
          </cell>
          <cell r="D8847" t="str">
            <v>VSS</v>
          </cell>
        </row>
        <row r="8848">
          <cell r="A8848" t="str">
            <v>FB260011191</v>
          </cell>
          <cell r="D8848" t="str">
            <v>WACE</v>
          </cell>
        </row>
        <row r="8849">
          <cell r="A8849" t="str">
            <v>FB260011192</v>
          </cell>
          <cell r="D8849" t="str">
            <v>LULU</v>
          </cell>
        </row>
        <row r="8850">
          <cell r="A8850" t="str">
            <v>FB260011193</v>
          </cell>
          <cell r="D8850" t="str">
            <v>VSS</v>
          </cell>
        </row>
        <row r="8851">
          <cell r="A8851" t="str">
            <v>FB260011194</v>
          </cell>
          <cell r="D8851" t="str">
            <v>VSS</v>
          </cell>
        </row>
        <row r="8852">
          <cell r="A8852" t="str">
            <v>FB260011195</v>
          </cell>
          <cell r="D8852" t="str">
            <v>VSS</v>
          </cell>
        </row>
        <row r="8853">
          <cell r="A8853" t="str">
            <v>FB260011196</v>
          </cell>
          <cell r="D8853" t="str">
            <v>PINK</v>
          </cell>
        </row>
        <row r="8854">
          <cell r="A8854" t="str">
            <v>FB260011197</v>
          </cell>
          <cell r="D8854" t="str">
            <v>PINK</v>
          </cell>
        </row>
        <row r="8855">
          <cell r="A8855" t="str">
            <v>FB260011198</v>
          </cell>
          <cell r="D8855" t="str">
            <v>VSS</v>
          </cell>
        </row>
        <row r="8856">
          <cell r="A8856" t="str">
            <v>FB260011199</v>
          </cell>
          <cell r="D8856" t="str">
            <v>PINK</v>
          </cell>
        </row>
        <row r="8857">
          <cell r="A8857" t="str">
            <v>FB260011200</v>
          </cell>
          <cell r="D8857" t="str">
            <v>PINK</v>
          </cell>
        </row>
        <row r="8858">
          <cell r="A8858" t="str">
            <v>FB260011201</v>
          </cell>
          <cell r="D8858" t="str">
            <v>PINK</v>
          </cell>
        </row>
        <row r="8859">
          <cell r="A8859" t="str">
            <v>FB260011202</v>
          </cell>
          <cell r="D8859" t="str">
            <v>PINK</v>
          </cell>
        </row>
        <row r="8860">
          <cell r="A8860" t="str">
            <v>FB260011207</v>
          </cell>
          <cell r="D8860" t="str">
            <v>NIK</v>
          </cell>
        </row>
        <row r="8861">
          <cell r="A8861" t="str">
            <v>FB260011208</v>
          </cell>
          <cell r="D8861" t="str">
            <v>NIK</v>
          </cell>
        </row>
        <row r="8862">
          <cell r="A8862" t="str">
            <v>FB260011209</v>
          </cell>
          <cell r="D8862" t="str">
            <v>VSS</v>
          </cell>
        </row>
        <row r="8863">
          <cell r="A8863" t="str">
            <v>FB260011210</v>
          </cell>
          <cell r="D8863" t="str">
            <v>VSS</v>
          </cell>
        </row>
        <row r="8864">
          <cell r="A8864" t="str">
            <v>FB260011211</v>
          </cell>
          <cell r="D8864" t="str">
            <v>VSS</v>
          </cell>
        </row>
        <row r="8865">
          <cell r="A8865" t="str">
            <v>FB260011212</v>
          </cell>
          <cell r="D8865" t="str">
            <v>VSS</v>
          </cell>
        </row>
        <row r="8866">
          <cell r="A8866" t="str">
            <v>FB260011213</v>
          </cell>
          <cell r="D8866" t="str">
            <v>VSS</v>
          </cell>
        </row>
        <row r="8867">
          <cell r="A8867" t="str">
            <v>FB260011214</v>
          </cell>
          <cell r="D8867" t="str">
            <v>PINK</v>
          </cell>
        </row>
        <row r="8868">
          <cell r="A8868" t="str">
            <v>FB260011220</v>
          </cell>
          <cell r="D8868" t="str">
            <v>CK</v>
          </cell>
        </row>
        <row r="8869">
          <cell r="A8869" t="str">
            <v>FB260011221</v>
          </cell>
          <cell r="D8869" t="str">
            <v>CK</v>
          </cell>
        </row>
        <row r="8870">
          <cell r="A8870" t="str">
            <v>FB260011223</v>
          </cell>
          <cell r="D8870" t="str">
            <v>VSS</v>
          </cell>
        </row>
        <row r="8871">
          <cell r="A8871" t="str">
            <v>FB260011224</v>
          </cell>
          <cell r="D8871" t="str">
            <v>NIK</v>
          </cell>
        </row>
        <row r="8872">
          <cell r="A8872" t="str">
            <v>FB260011225</v>
          </cell>
          <cell r="D8872" t="str">
            <v>NIK</v>
          </cell>
        </row>
        <row r="8873">
          <cell r="A8873" t="str">
            <v>FB260011227</v>
          </cell>
          <cell r="D8873" t="str">
            <v>NEX</v>
          </cell>
        </row>
        <row r="8874">
          <cell r="A8874" t="str">
            <v>FB260011229</v>
          </cell>
          <cell r="D8874" t="str">
            <v>VSS</v>
          </cell>
        </row>
        <row r="8875">
          <cell r="A8875" t="str">
            <v>FB260011230</v>
          </cell>
          <cell r="D8875" t="str">
            <v>VSS</v>
          </cell>
        </row>
        <row r="8876">
          <cell r="A8876" t="str">
            <v>FB260011232</v>
          </cell>
          <cell r="D8876" t="str">
            <v>VSS</v>
          </cell>
        </row>
        <row r="8877">
          <cell r="A8877" t="str">
            <v>FB260011233</v>
          </cell>
          <cell r="D8877" t="str">
            <v>VSS</v>
          </cell>
        </row>
        <row r="8878">
          <cell r="A8878" t="str">
            <v>FB260011235</v>
          </cell>
          <cell r="D8878" t="str">
            <v>VSS</v>
          </cell>
        </row>
        <row r="8879">
          <cell r="A8879" t="str">
            <v>FB260011236</v>
          </cell>
          <cell r="D8879" t="str">
            <v>VSS</v>
          </cell>
        </row>
        <row r="8880">
          <cell r="A8880" t="str">
            <v>FB260011237</v>
          </cell>
          <cell r="D8880" t="str">
            <v>VSS</v>
          </cell>
        </row>
        <row r="8881">
          <cell r="A8881" t="str">
            <v>FB260011238</v>
          </cell>
          <cell r="D8881" t="str">
            <v>CK</v>
          </cell>
        </row>
        <row r="8882">
          <cell r="A8882" t="str">
            <v>FB260011240</v>
          </cell>
          <cell r="D8882" t="str">
            <v>VSS</v>
          </cell>
        </row>
        <row r="8883">
          <cell r="A8883" t="str">
            <v>FB260011241</v>
          </cell>
          <cell r="D8883" t="str">
            <v>CK</v>
          </cell>
        </row>
        <row r="8884">
          <cell r="A8884" t="str">
            <v>FB260011242</v>
          </cell>
          <cell r="D8884" t="str">
            <v>GAP</v>
          </cell>
        </row>
        <row r="8885">
          <cell r="A8885" t="str">
            <v>FB260011243</v>
          </cell>
          <cell r="D8885" t="str">
            <v>VSS</v>
          </cell>
        </row>
        <row r="8886">
          <cell r="A8886" t="str">
            <v>FB260011244</v>
          </cell>
          <cell r="D8886" t="str">
            <v>VSS</v>
          </cell>
        </row>
        <row r="8887">
          <cell r="A8887" t="str">
            <v>FB260011245</v>
          </cell>
          <cell r="D8887" t="str">
            <v>VSS</v>
          </cell>
        </row>
        <row r="8888">
          <cell r="A8888" t="str">
            <v>FB260011246</v>
          </cell>
          <cell r="D8888" t="str">
            <v>VSS</v>
          </cell>
        </row>
        <row r="8889">
          <cell r="A8889" t="str">
            <v>FB260011247</v>
          </cell>
          <cell r="D8889" t="str">
            <v>VSS</v>
          </cell>
        </row>
        <row r="8890">
          <cell r="A8890" t="str">
            <v>FB260011248</v>
          </cell>
          <cell r="D8890" t="str">
            <v>LULU</v>
          </cell>
        </row>
        <row r="8891">
          <cell r="A8891" t="str">
            <v>FB260011249</v>
          </cell>
          <cell r="D8891" t="str">
            <v>LULU</v>
          </cell>
        </row>
        <row r="8892">
          <cell r="A8892" t="str">
            <v>FB260011250</v>
          </cell>
          <cell r="D8892" t="str">
            <v>VSS</v>
          </cell>
        </row>
        <row r="8893">
          <cell r="A8893" t="str">
            <v>FB260011251</v>
          </cell>
          <cell r="D8893" t="str">
            <v>M&amp;S</v>
          </cell>
        </row>
        <row r="8894">
          <cell r="A8894" t="str">
            <v>FB260011252</v>
          </cell>
          <cell r="D8894" t="str">
            <v>PINK</v>
          </cell>
        </row>
        <row r="8895">
          <cell r="A8895" t="str">
            <v>FB260011253</v>
          </cell>
          <cell r="D8895" t="str">
            <v>VSS</v>
          </cell>
        </row>
        <row r="8896">
          <cell r="A8896" t="str">
            <v>FB260011254</v>
          </cell>
          <cell r="D8896" t="str">
            <v>VSS</v>
          </cell>
        </row>
        <row r="8897">
          <cell r="A8897" t="str">
            <v>FB260011255</v>
          </cell>
          <cell r="D8897" t="str">
            <v>CK</v>
          </cell>
        </row>
        <row r="8898">
          <cell r="A8898" t="str">
            <v>FB260011256</v>
          </cell>
          <cell r="D8898" t="str">
            <v>VSS</v>
          </cell>
        </row>
        <row r="8899">
          <cell r="A8899" t="str">
            <v>FB260011257</v>
          </cell>
          <cell r="D8899" t="str">
            <v>VSS</v>
          </cell>
        </row>
        <row r="8900">
          <cell r="A8900" t="str">
            <v>FB260011258</v>
          </cell>
          <cell r="D8900" t="str">
            <v>VSS</v>
          </cell>
        </row>
        <row r="8901">
          <cell r="A8901" t="str">
            <v>FB260011260</v>
          </cell>
          <cell r="D8901" t="str">
            <v>VSS</v>
          </cell>
        </row>
        <row r="8902">
          <cell r="A8902" t="str">
            <v>FB260011262</v>
          </cell>
          <cell r="D8902" t="str">
            <v>PINK</v>
          </cell>
        </row>
        <row r="8903">
          <cell r="A8903" t="str">
            <v>FB260011264</v>
          </cell>
          <cell r="D8903" t="str">
            <v>WACE</v>
          </cell>
        </row>
        <row r="8904">
          <cell r="A8904" t="str">
            <v>FB260011265</v>
          </cell>
          <cell r="D8904" t="str">
            <v>VSS</v>
          </cell>
        </row>
        <row r="8905">
          <cell r="A8905" t="str">
            <v>FB260011267</v>
          </cell>
          <cell r="D8905" t="str">
            <v>VSS</v>
          </cell>
        </row>
        <row r="8906">
          <cell r="A8906" t="str">
            <v>FB260011268</v>
          </cell>
          <cell r="D8906" t="str">
            <v>VSS</v>
          </cell>
        </row>
        <row r="8907">
          <cell r="A8907" t="str">
            <v>FB260011269</v>
          </cell>
          <cell r="D8907" t="str">
            <v>VSS</v>
          </cell>
        </row>
        <row r="8908">
          <cell r="A8908" t="str">
            <v>FB260011273</v>
          </cell>
          <cell r="D8908" t="str">
            <v>PINK</v>
          </cell>
        </row>
        <row r="8909">
          <cell r="A8909" t="str">
            <v>FB260011274</v>
          </cell>
          <cell r="D8909" t="str">
            <v>PINK</v>
          </cell>
        </row>
        <row r="8910">
          <cell r="A8910" t="str">
            <v>FB260011276</v>
          </cell>
          <cell r="D8910" t="str">
            <v>NIK</v>
          </cell>
        </row>
        <row r="8911">
          <cell r="A8911" t="str">
            <v>FB260011279</v>
          </cell>
          <cell r="D8911" t="str">
            <v>VSS</v>
          </cell>
        </row>
        <row r="8912">
          <cell r="A8912" t="str">
            <v>FB260011280</v>
          </cell>
          <cell r="D8912" t="str">
            <v>VSS</v>
          </cell>
        </row>
        <row r="8913">
          <cell r="A8913" t="str">
            <v>FB260011282</v>
          </cell>
          <cell r="D8913" t="str">
            <v>WACE</v>
          </cell>
        </row>
        <row r="8914">
          <cell r="A8914" t="str">
            <v>FB260011283</v>
          </cell>
          <cell r="D8914" t="str">
            <v>PINK</v>
          </cell>
        </row>
        <row r="8915">
          <cell r="A8915" t="str">
            <v>FB260011284</v>
          </cell>
          <cell r="D8915" t="str">
            <v>PINK</v>
          </cell>
        </row>
        <row r="8916">
          <cell r="A8916" t="str">
            <v>FB260011285</v>
          </cell>
          <cell r="D8916" t="str">
            <v>PINK</v>
          </cell>
        </row>
        <row r="8917">
          <cell r="A8917" t="str">
            <v>FB260011286</v>
          </cell>
          <cell r="D8917" t="str">
            <v>VSS</v>
          </cell>
        </row>
        <row r="8918">
          <cell r="A8918" t="str">
            <v>FB260011287</v>
          </cell>
          <cell r="D8918" t="str">
            <v>PINK</v>
          </cell>
        </row>
        <row r="8919">
          <cell r="A8919" t="str">
            <v>FB260011288</v>
          </cell>
          <cell r="D8919" t="str">
            <v>PINK</v>
          </cell>
        </row>
        <row r="8920">
          <cell r="A8920" t="str">
            <v>FB260011289</v>
          </cell>
          <cell r="D8920" t="str">
            <v>PINK</v>
          </cell>
        </row>
        <row r="8921">
          <cell r="A8921" t="str">
            <v>FB260011290</v>
          </cell>
          <cell r="D8921" t="str">
            <v>SPA</v>
          </cell>
        </row>
        <row r="8922">
          <cell r="A8922" t="str">
            <v>FB260011291</v>
          </cell>
          <cell r="D8922" t="str">
            <v>NKSKI</v>
          </cell>
        </row>
        <row r="8923">
          <cell r="A8923" t="str">
            <v>FB260011292</v>
          </cell>
          <cell r="D8923" t="str">
            <v>NKSKI</v>
          </cell>
        </row>
        <row r="8924">
          <cell r="A8924" t="str">
            <v>FB260011293</v>
          </cell>
          <cell r="D8924" t="str">
            <v>NIK</v>
          </cell>
        </row>
        <row r="8925">
          <cell r="A8925" t="str">
            <v>FB260011297</v>
          </cell>
          <cell r="D8925" t="str">
            <v>NIK</v>
          </cell>
        </row>
        <row r="8926">
          <cell r="A8926" t="str">
            <v>FB260011298</v>
          </cell>
          <cell r="D8926" t="str">
            <v>NIK</v>
          </cell>
        </row>
        <row r="8927">
          <cell r="A8927" t="str">
            <v>FB260011299</v>
          </cell>
          <cell r="D8927" t="str">
            <v>VSS</v>
          </cell>
        </row>
        <row r="8928">
          <cell r="A8928" t="str">
            <v>FB260011301</v>
          </cell>
          <cell r="D8928" t="str">
            <v>PINK</v>
          </cell>
        </row>
        <row r="8929">
          <cell r="A8929" t="str">
            <v>FB260011303</v>
          </cell>
          <cell r="D8929" t="str">
            <v>NIK</v>
          </cell>
        </row>
        <row r="8930">
          <cell r="A8930" t="str">
            <v>FB260011304</v>
          </cell>
          <cell r="D8930" t="str">
            <v>PINK</v>
          </cell>
        </row>
        <row r="8931">
          <cell r="A8931" t="str">
            <v>FB260011306</v>
          </cell>
          <cell r="D8931" t="str">
            <v>PINK</v>
          </cell>
        </row>
        <row r="8932">
          <cell r="A8932" t="str">
            <v>FB260011307</v>
          </cell>
          <cell r="D8932" t="str">
            <v>PINK</v>
          </cell>
        </row>
        <row r="8933">
          <cell r="A8933" t="str">
            <v>FB260011308</v>
          </cell>
          <cell r="D8933" t="str">
            <v>VSS</v>
          </cell>
        </row>
        <row r="8934">
          <cell r="A8934" t="str">
            <v>FB260011309</v>
          </cell>
          <cell r="D8934" t="str">
            <v>VSS</v>
          </cell>
        </row>
        <row r="8935">
          <cell r="A8935" t="str">
            <v>FB260011314</v>
          </cell>
          <cell r="D8935" t="str">
            <v>NIK</v>
          </cell>
        </row>
        <row r="8936">
          <cell r="A8936" t="str">
            <v>FB260011316</v>
          </cell>
          <cell r="D8936" t="str">
            <v>NIK</v>
          </cell>
        </row>
        <row r="8937">
          <cell r="A8937" t="str">
            <v>FB260011317</v>
          </cell>
          <cell r="D8937" t="str">
            <v>NIK</v>
          </cell>
        </row>
        <row r="8938">
          <cell r="A8938" t="str">
            <v>FB260011320</v>
          </cell>
          <cell r="D8938" t="str">
            <v>SW</v>
          </cell>
        </row>
        <row r="8939">
          <cell r="A8939" t="str">
            <v>FB260011323</v>
          </cell>
          <cell r="D8939" t="str">
            <v>INT1</v>
          </cell>
        </row>
        <row r="8940">
          <cell r="A8940" t="str">
            <v>FB260011324</v>
          </cell>
          <cell r="D8940" t="str">
            <v>INT1</v>
          </cell>
        </row>
        <row r="8941">
          <cell r="A8941" t="str">
            <v>FB260011325</v>
          </cell>
          <cell r="D8941" t="str">
            <v>INT1</v>
          </cell>
        </row>
        <row r="8942">
          <cell r="A8942" t="str">
            <v>FB260011326</v>
          </cell>
          <cell r="D8942" t="str">
            <v>INT1</v>
          </cell>
        </row>
        <row r="8943">
          <cell r="A8943" t="str">
            <v>FB260011327</v>
          </cell>
          <cell r="D8943" t="str">
            <v>NIK</v>
          </cell>
        </row>
        <row r="8944">
          <cell r="A8944" t="str">
            <v>FB260011328</v>
          </cell>
          <cell r="D8944" t="str">
            <v>NIK</v>
          </cell>
        </row>
        <row r="8945">
          <cell r="A8945" t="str">
            <v>FB260011330</v>
          </cell>
          <cell r="D8945" t="str">
            <v>NIK</v>
          </cell>
        </row>
        <row r="8946">
          <cell r="A8946" t="str">
            <v>FB260011331</v>
          </cell>
          <cell r="D8946" t="str">
            <v>NIK</v>
          </cell>
        </row>
        <row r="8947">
          <cell r="A8947" t="str">
            <v>FB260011332</v>
          </cell>
          <cell r="D8947" t="str">
            <v>VSS</v>
          </cell>
        </row>
        <row r="8948">
          <cell r="A8948" t="str">
            <v>FB260011334</v>
          </cell>
          <cell r="D8948" t="str">
            <v>CK</v>
          </cell>
        </row>
        <row r="8949">
          <cell r="A8949" t="str">
            <v>FB260011338</v>
          </cell>
          <cell r="D8949" t="str">
            <v>NIK</v>
          </cell>
        </row>
        <row r="8950">
          <cell r="A8950" t="str">
            <v>FB260011343</v>
          </cell>
          <cell r="D8950" t="str">
            <v>VSS</v>
          </cell>
        </row>
        <row r="8951">
          <cell r="A8951" t="str">
            <v>FB260011345</v>
          </cell>
          <cell r="D8951" t="str">
            <v>NIK</v>
          </cell>
        </row>
        <row r="8952">
          <cell r="A8952" t="str">
            <v>FB260011358</v>
          </cell>
          <cell r="D8952" t="str">
            <v>NIK</v>
          </cell>
        </row>
        <row r="8953">
          <cell r="A8953" t="str">
            <v>FB260011359</v>
          </cell>
          <cell r="D8953" t="str">
            <v>VSS</v>
          </cell>
        </row>
        <row r="8954">
          <cell r="A8954" t="str">
            <v>FB260011367</v>
          </cell>
          <cell r="D8954" t="str">
            <v>CHICOS</v>
          </cell>
        </row>
        <row r="8955">
          <cell r="A8955" t="str">
            <v>FB260011368</v>
          </cell>
          <cell r="D8955" t="str">
            <v>CHICOS</v>
          </cell>
        </row>
        <row r="8956">
          <cell r="A8956" t="str">
            <v>FB260011369</v>
          </cell>
          <cell r="D8956" t="str">
            <v>CHICOS</v>
          </cell>
        </row>
        <row r="8957">
          <cell r="A8957" t="str">
            <v>FB260011370</v>
          </cell>
          <cell r="D8957" t="str">
            <v>CHICOS</v>
          </cell>
        </row>
        <row r="8958">
          <cell r="A8958" t="str">
            <v>FB260011372</v>
          </cell>
          <cell r="D8958" t="str">
            <v>CHICOS</v>
          </cell>
        </row>
        <row r="8959">
          <cell r="A8959" t="str">
            <v>FB260011373</v>
          </cell>
          <cell r="D8959" t="str">
            <v>CHICOS</v>
          </cell>
        </row>
        <row r="8960">
          <cell r="A8960" t="str">
            <v>FB260011374</v>
          </cell>
          <cell r="D8960" t="str">
            <v>CHICOS</v>
          </cell>
        </row>
        <row r="8961">
          <cell r="A8961" t="str">
            <v>FB260011375</v>
          </cell>
          <cell r="D8961" t="str">
            <v>CHICOS</v>
          </cell>
        </row>
        <row r="8962">
          <cell r="A8962" t="str">
            <v>FB260011376</v>
          </cell>
          <cell r="D8962" t="str">
            <v>NIK</v>
          </cell>
        </row>
        <row r="8963">
          <cell r="A8963" t="str">
            <v>FB260011380</v>
          </cell>
          <cell r="D8963" t="str">
            <v>GAP</v>
          </cell>
        </row>
        <row r="8964">
          <cell r="A8964" t="str">
            <v>FB260011385</v>
          </cell>
          <cell r="D8964" t="str">
            <v>NIK</v>
          </cell>
        </row>
        <row r="8965">
          <cell r="A8965" t="str">
            <v>FB260011387</v>
          </cell>
          <cell r="D8965" t="str">
            <v>NIK</v>
          </cell>
        </row>
        <row r="8966">
          <cell r="A8966" t="str">
            <v>FB260011393</v>
          </cell>
          <cell r="D8966" t="str">
            <v>CK</v>
          </cell>
        </row>
        <row r="8967">
          <cell r="A8967" t="str">
            <v>FB260011395</v>
          </cell>
          <cell r="D8967" t="str">
            <v>VSS</v>
          </cell>
        </row>
        <row r="8968">
          <cell r="A8968" t="str">
            <v>FB260011398</v>
          </cell>
          <cell r="D8968" t="str">
            <v>PINK</v>
          </cell>
        </row>
        <row r="8969">
          <cell r="A8969" t="str">
            <v>FB260011399</v>
          </cell>
          <cell r="D8969" t="str">
            <v>VSS</v>
          </cell>
        </row>
        <row r="8970">
          <cell r="A8970" t="str">
            <v>FB260011400</v>
          </cell>
          <cell r="D8970" t="str">
            <v>PINK</v>
          </cell>
        </row>
        <row r="8971">
          <cell r="A8971" t="str">
            <v>FB260011401</v>
          </cell>
          <cell r="D8971" t="str">
            <v>PINK</v>
          </cell>
        </row>
        <row r="8972">
          <cell r="A8972" t="str">
            <v>FB260011403</v>
          </cell>
          <cell r="D8972" t="str">
            <v>VSS</v>
          </cell>
        </row>
        <row r="8973">
          <cell r="A8973" t="str">
            <v>FB260011404</v>
          </cell>
          <cell r="D8973" t="str">
            <v>PINK</v>
          </cell>
        </row>
        <row r="8974">
          <cell r="A8974" t="str">
            <v>FB260011408</v>
          </cell>
          <cell r="D8974" t="str">
            <v>VSS</v>
          </cell>
        </row>
        <row r="8975">
          <cell r="A8975" t="str">
            <v>FB260011409</v>
          </cell>
          <cell r="D8975" t="str">
            <v>NIK</v>
          </cell>
        </row>
        <row r="8976">
          <cell r="A8976" t="str">
            <v>FB260011410</v>
          </cell>
          <cell r="D8976" t="str">
            <v>VSS</v>
          </cell>
        </row>
        <row r="8977">
          <cell r="A8977" t="str">
            <v>FB260011411</v>
          </cell>
          <cell r="D8977" t="str">
            <v>NIK</v>
          </cell>
        </row>
        <row r="8978">
          <cell r="A8978" t="str">
            <v>FB260011412</v>
          </cell>
          <cell r="D8978" t="str">
            <v>VSS</v>
          </cell>
        </row>
        <row r="8979">
          <cell r="A8979" t="str">
            <v>FB260011413</v>
          </cell>
          <cell r="D8979" t="str">
            <v>NIK</v>
          </cell>
        </row>
        <row r="8980">
          <cell r="A8980" t="str">
            <v>FB260011414</v>
          </cell>
          <cell r="D8980" t="str">
            <v>PINK</v>
          </cell>
        </row>
        <row r="8981">
          <cell r="A8981" t="str">
            <v>FB260011415</v>
          </cell>
          <cell r="D8981" t="str">
            <v>VSS</v>
          </cell>
        </row>
        <row r="8982">
          <cell r="A8982" t="str">
            <v>FB260011416</v>
          </cell>
          <cell r="D8982" t="str">
            <v>NIK</v>
          </cell>
        </row>
        <row r="8983">
          <cell r="A8983" t="str">
            <v>FB260011417</v>
          </cell>
          <cell r="D8983" t="str">
            <v>VSS</v>
          </cell>
        </row>
        <row r="8984">
          <cell r="A8984" t="str">
            <v>FB260011418</v>
          </cell>
          <cell r="D8984" t="str">
            <v>VSS</v>
          </cell>
        </row>
        <row r="8985">
          <cell r="A8985" t="str">
            <v>FB260011419</v>
          </cell>
          <cell r="D8985" t="str">
            <v>VSS</v>
          </cell>
        </row>
        <row r="8986">
          <cell r="A8986" t="str">
            <v>FB260011420</v>
          </cell>
          <cell r="D8986" t="str">
            <v>VSS</v>
          </cell>
        </row>
        <row r="8987">
          <cell r="A8987" t="str">
            <v>FB260011421</v>
          </cell>
          <cell r="D8987" t="str">
            <v>VSS</v>
          </cell>
        </row>
        <row r="8988">
          <cell r="A8988" t="str">
            <v>FB260011422</v>
          </cell>
          <cell r="D8988" t="str">
            <v>VSS</v>
          </cell>
        </row>
        <row r="8989">
          <cell r="A8989" t="str">
            <v>FB260011423</v>
          </cell>
          <cell r="D8989" t="str">
            <v>VSS</v>
          </cell>
        </row>
        <row r="8990">
          <cell r="A8990" t="str">
            <v>FB260011425</v>
          </cell>
          <cell r="D8990" t="str">
            <v>VSS</v>
          </cell>
        </row>
        <row r="8991">
          <cell r="A8991" t="str">
            <v>FB260011426</v>
          </cell>
          <cell r="D8991" t="str">
            <v>VSS</v>
          </cell>
        </row>
        <row r="8992">
          <cell r="A8992" t="str">
            <v>FB260011427</v>
          </cell>
          <cell r="D8992" t="str">
            <v>VSS</v>
          </cell>
        </row>
        <row r="8993">
          <cell r="A8993" t="str">
            <v>FB260011428</v>
          </cell>
          <cell r="D8993" t="str">
            <v>VSS</v>
          </cell>
        </row>
        <row r="8994">
          <cell r="A8994" t="str">
            <v>FB260011429</v>
          </cell>
          <cell r="D8994" t="str">
            <v>VSS</v>
          </cell>
        </row>
        <row r="8995">
          <cell r="A8995" t="str">
            <v>FB260011430</v>
          </cell>
          <cell r="D8995" t="str">
            <v>VSS</v>
          </cell>
        </row>
        <row r="8996">
          <cell r="A8996" t="str">
            <v>FB260011432</v>
          </cell>
          <cell r="D8996" t="str">
            <v>NIK</v>
          </cell>
        </row>
        <row r="8997">
          <cell r="A8997" t="str">
            <v>FB260011433</v>
          </cell>
          <cell r="D8997" t="str">
            <v>NIK</v>
          </cell>
        </row>
        <row r="8998">
          <cell r="A8998" t="str">
            <v>FB260011436</v>
          </cell>
          <cell r="D8998" t="str">
            <v>INT1</v>
          </cell>
        </row>
        <row r="8999">
          <cell r="A8999" t="str">
            <v>FB260011437</v>
          </cell>
          <cell r="D8999" t="str">
            <v>INT1</v>
          </cell>
        </row>
        <row r="9000">
          <cell r="A9000" t="str">
            <v>FB260011438</v>
          </cell>
          <cell r="D9000" t="str">
            <v>VSS</v>
          </cell>
        </row>
        <row r="9001">
          <cell r="A9001" t="str">
            <v>FB260011439</v>
          </cell>
          <cell r="D9001" t="str">
            <v>INT1</v>
          </cell>
        </row>
        <row r="9002">
          <cell r="A9002" t="str">
            <v>FB260011440</v>
          </cell>
          <cell r="D9002" t="str">
            <v>INT1</v>
          </cell>
        </row>
        <row r="9003">
          <cell r="A9003" t="str">
            <v>FB260011441</v>
          </cell>
          <cell r="D9003" t="str">
            <v>INT1</v>
          </cell>
        </row>
        <row r="9004">
          <cell r="A9004" t="str">
            <v>FB260011442</v>
          </cell>
          <cell r="D9004" t="str">
            <v>WACE</v>
          </cell>
        </row>
        <row r="9005">
          <cell r="A9005" t="str">
            <v>FB260011447</v>
          </cell>
          <cell r="D9005" t="str">
            <v>NIK</v>
          </cell>
        </row>
        <row r="9006">
          <cell r="A9006" t="str">
            <v>FB260011448</v>
          </cell>
          <cell r="D9006" t="str">
            <v>NIK</v>
          </cell>
        </row>
        <row r="9007">
          <cell r="A9007" t="str">
            <v>FB260011449</v>
          </cell>
          <cell r="D9007" t="str">
            <v>VSS</v>
          </cell>
        </row>
        <row r="9008">
          <cell r="A9008" t="str">
            <v>FB260011450</v>
          </cell>
          <cell r="D9008" t="str">
            <v>VSS</v>
          </cell>
        </row>
        <row r="9009">
          <cell r="A9009" t="str">
            <v>FB260011451</v>
          </cell>
          <cell r="D9009" t="str">
            <v>VSS</v>
          </cell>
        </row>
        <row r="9010">
          <cell r="A9010" t="str">
            <v>FB260011452</v>
          </cell>
          <cell r="D9010" t="str">
            <v>VSS</v>
          </cell>
        </row>
        <row r="9011">
          <cell r="A9011" t="str">
            <v>FB260011453</v>
          </cell>
          <cell r="D9011" t="str">
            <v>VSS</v>
          </cell>
        </row>
        <row r="9012">
          <cell r="A9012" t="str">
            <v>FB260011454</v>
          </cell>
          <cell r="D9012" t="str">
            <v>VSS</v>
          </cell>
        </row>
        <row r="9013">
          <cell r="A9013" t="str">
            <v>FB260011455</v>
          </cell>
          <cell r="D9013" t="str">
            <v>VSS</v>
          </cell>
        </row>
        <row r="9014">
          <cell r="A9014" t="str">
            <v>FB260011457</v>
          </cell>
          <cell r="D9014" t="str">
            <v>VSS</v>
          </cell>
        </row>
        <row r="9015">
          <cell r="A9015" t="str">
            <v>FB260011459</v>
          </cell>
          <cell r="D9015" t="str">
            <v>VSS</v>
          </cell>
        </row>
        <row r="9016">
          <cell r="A9016" t="str">
            <v>FB260011460</v>
          </cell>
          <cell r="D9016" t="str">
            <v>LULU</v>
          </cell>
        </row>
        <row r="9017">
          <cell r="A9017" t="str">
            <v>FB260011461</v>
          </cell>
          <cell r="D9017" t="str">
            <v>VSS</v>
          </cell>
        </row>
        <row r="9018">
          <cell r="A9018" t="str">
            <v>FB260011462</v>
          </cell>
          <cell r="D9018" t="str">
            <v>VSS</v>
          </cell>
        </row>
        <row r="9019">
          <cell r="A9019" t="str">
            <v>FB260011463</v>
          </cell>
          <cell r="D9019" t="str">
            <v>GAP</v>
          </cell>
        </row>
        <row r="9020">
          <cell r="A9020" t="str">
            <v>FB260011464</v>
          </cell>
          <cell r="D9020" t="str">
            <v>NIK</v>
          </cell>
        </row>
        <row r="9021">
          <cell r="A9021" t="str">
            <v>FB260011465</v>
          </cell>
          <cell r="D9021" t="str">
            <v>VSS</v>
          </cell>
        </row>
        <row r="9022">
          <cell r="A9022" t="str">
            <v>FB260011466</v>
          </cell>
          <cell r="D9022" t="str">
            <v>NIK</v>
          </cell>
        </row>
        <row r="9023">
          <cell r="A9023" t="str">
            <v>FB260011467</v>
          </cell>
          <cell r="D9023" t="str">
            <v>VSS</v>
          </cell>
        </row>
        <row r="9024">
          <cell r="A9024" t="str">
            <v>FB260011470</v>
          </cell>
          <cell r="D9024" t="str">
            <v>M&amp;S</v>
          </cell>
        </row>
        <row r="9025">
          <cell r="A9025" t="str">
            <v>FB260011471</v>
          </cell>
          <cell r="D9025" t="str">
            <v>CK</v>
          </cell>
        </row>
        <row r="9026">
          <cell r="A9026" t="str">
            <v>FB260011474</v>
          </cell>
          <cell r="D9026" t="str">
            <v>CK</v>
          </cell>
        </row>
        <row r="9027">
          <cell r="A9027" t="str">
            <v>FB260011475</v>
          </cell>
          <cell r="D9027" t="str">
            <v>PINK</v>
          </cell>
        </row>
        <row r="9028">
          <cell r="A9028" t="str">
            <v>FB260011477</v>
          </cell>
          <cell r="D9028" t="str">
            <v>PINK</v>
          </cell>
        </row>
        <row r="9029">
          <cell r="A9029" t="str">
            <v>FB260011478</v>
          </cell>
          <cell r="D9029" t="str">
            <v>PINK</v>
          </cell>
        </row>
        <row r="9030">
          <cell r="A9030" t="str">
            <v>FB260011479</v>
          </cell>
          <cell r="D9030" t="str">
            <v>NIK</v>
          </cell>
        </row>
        <row r="9031">
          <cell r="A9031" t="str">
            <v>FB260011480</v>
          </cell>
          <cell r="D9031" t="str">
            <v>PINK</v>
          </cell>
        </row>
        <row r="9032">
          <cell r="A9032" t="str">
            <v>FB260011481</v>
          </cell>
          <cell r="D9032" t="str">
            <v>PINK</v>
          </cell>
        </row>
        <row r="9033">
          <cell r="A9033" t="str">
            <v>FB260011482</v>
          </cell>
          <cell r="D9033" t="str">
            <v>VSS</v>
          </cell>
        </row>
        <row r="9034">
          <cell r="A9034" t="str">
            <v>FB260011483</v>
          </cell>
          <cell r="D9034" t="str">
            <v>VSS</v>
          </cell>
        </row>
        <row r="9035">
          <cell r="A9035" t="str">
            <v>FB260011484</v>
          </cell>
          <cell r="D9035" t="str">
            <v>PINK</v>
          </cell>
        </row>
        <row r="9036">
          <cell r="A9036" t="str">
            <v>FB260011486</v>
          </cell>
          <cell r="D9036" t="str">
            <v>PINK</v>
          </cell>
        </row>
        <row r="9037">
          <cell r="A9037" t="str">
            <v>FB260011487</v>
          </cell>
          <cell r="D9037" t="str">
            <v>NIK</v>
          </cell>
        </row>
        <row r="9038">
          <cell r="A9038" t="str">
            <v>FB260011488</v>
          </cell>
          <cell r="D9038" t="str">
            <v>NIK</v>
          </cell>
        </row>
        <row r="9039">
          <cell r="A9039" t="str">
            <v>FB260011489</v>
          </cell>
          <cell r="D9039" t="str">
            <v>NIK</v>
          </cell>
        </row>
        <row r="9040">
          <cell r="A9040" t="str">
            <v>FB260011491</v>
          </cell>
          <cell r="D9040" t="str">
            <v>NIK</v>
          </cell>
        </row>
        <row r="9041">
          <cell r="A9041" t="str">
            <v>FB260011492</v>
          </cell>
          <cell r="D9041" t="str">
            <v>NIK</v>
          </cell>
        </row>
        <row r="9042">
          <cell r="A9042" t="str">
            <v>FB260011493</v>
          </cell>
          <cell r="D9042" t="str">
            <v>NIK</v>
          </cell>
        </row>
        <row r="9043">
          <cell r="A9043" t="str">
            <v>FB260011494</v>
          </cell>
          <cell r="D9043" t="str">
            <v>NIK</v>
          </cell>
        </row>
        <row r="9044">
          <cell r="A9044" t="str">
            <v>FB260011495</v>
          </cell>
          <cell r="D9044" t="str">
            <v>NIK</v>
          </cell>
        </row>
        <row r="9045">
          <cell r="A9045" t="str">
            <v>FB260011496</v>
          </cell>
          <cell r="D9045" t="str">
            <v>NIK</v>
          </cell>
        </row>
        <row r="9046">
          <cell r="A9046" t="str">
            <v>FB260011497</v>
          </cell>
          <cell r="D9046" t="str">
            <v>NIK</v>
          </cell>
        </row>
        <row r="9047">
          <cell r="A9047" t="str">
            <v>FB260011498</v>
          </cell>
          <cell r="D9047" t="str">
            <v>NIK</v>
          </cell>
        </row>
        <row r="9048">
          <cell r="A9048" t="str">
            <v>FB260011499</v>
          </cell>
          <cell r="D9048" t="str">
            <v>NIK</v>
          </cell>
        </row>
        <row r="9049">
          <cell r="A9049" t="str">
            <v>FB260011500</v>
          </cell>
          <cell r="D9049" t="str">
            <v>NIK</v>
          </cell>
        </row>
        <row r="9050">
          <cell r="A9050" t="str">
            <v>FB260011501</v>
          </cell>
          <cell r="D9050" t="str">
            <v>NIK</v>
          </cell>
        </row>
        <row r="9051">
          <cell r="A9051" t="str">
            <v>FB260011502</v>
          </cell>
          <cell r="D9051" t="str">
            <v>NIK</v>
          </cell>
        </row>
        <row r="9052">
          <cell r="A9052" t="str">
            <v>FB260011503</v>
          </cell>
          <cell r="D9052" t="str">
            <v>NIK</v>
          </cell>
        </row>
        <row r="9053">
          <cell r="A9053" t="str">
            <v>FB260011504</v>
          </cell>
          <cell r="D9053" t="str">
            <v>NIK</v>
          </cell>
        </row>
        <row r="9054">
          <cell r="A9054" t="str">
            <v>FB260011505</v>
          </cell>
          <cell r="D9054" t="str">
            <v>CHICOS</v>
          </cell>
        </row>
        <row r="9055">
          <cell r="A9055" t="str">
            <v>FB260011506</v>
          </cell>
          <cell r="D9055" t="str">
            <v>CHICOS</v>
          </cell>
        </row>
        <row r="9056">
          <cell r="A9056" t="str">
            <v>FB260011507</v>
          </cell>
          <cell r="D9056" t="str">
            <v>CHICOS</v>
          </cell>
        </row>
        <row r="9057">
          <cell r="A9057" t="str">
            <v>FB260011508</v>
          </cell>
          <cell r="D9057" t="str">
            <v>VSS</v>
          </cell>
        </row>
        <row r="9058">
          <cell r="A9058" t="str">
            <v>FB260011509</v>
          </cell>
          <cell r="D9058" t="str">
            <v>VSS</v>
          </cell>
        </row>
        <row r="9059">
          <cell r="A9059" t="str">
            <v>FB260011510</v>
          </cell>
          <cell r="D9059" t="str">
            <v>CHICOS</v>
          </cell>
        </row>
        <row r="9060">
          <cell r="A9060" t="str">
            <v>FB260011511</v>
          </cell>
          <cell r="D9060" t="str">
            <v>LULU</v>
          </cell>
        </row>
        <row r="9061">
          <cell r="A9061" t="str">
            <v>FB260011512</v>
          </cell>
          <cell r="D9061" t="str">
            <v>NIK</v>
          </cell>
        </row>
        <row r="9062">
          <cell r="A9062" t="str">
            <v>FB260011513</v>
          </cell>
          <cell r="D9062" t="str">
            <v>VSS</v>
          </cell>
        </row>
        <row r="9063">
          <cell r="A9063" t="str">
            <v>FB260011514</v>
          </cell>
          <cell r="D9063" t="str">
            <v>LULU</v>
          </cell>
        </row>
        <row r="9064">
          <cell r="A9064" t="str">
            <v>FB260011515</v>
          </cell>
          <cell r="D9064" t="str">
            <v>LULU</v>
          </cell>
        </row>
        <row r="9065">
          <cell r="A9065" t="str">
            <v>FB260011516</v>
          </cell>
          <cell r="D9065" t="str">
            <v>LULU</v>
          </cell>
        </row>
        <row r="9066">
          <cell r="A9066" t="str">
            <v>FB260011517</v>
          </cell>
          <cell r="D9066" t="str">
            <v>LULU</v>
          </cell>
        </row>
        <row r="9067">
          <cell r="A9067" t="str">
            <v>FB260011518</v>
          </cell>
          <cell r="D9067" t="str">
            <v>LULU</v>
          </cell>
        </row>
        <row r="9068">
          <cell r="A9068" t="str">
            <v>FB260011519</v>
          </cell>
          <cell r="D9068" t="str">
            <v>PINK</v>
          </cell>
        </row>
        <row r="9069">
          <cell r="A9069" t="str">
            <v>FB260011520</v>
          </cell>
          <cell r="D9069" t="str">
            <v>CHICOS</v>
          </cell>
        </row>
        <row r="9070">
          <cell r="A9070" t="str">
            <v>FB260011521</v>
          </cell>
          <cell r="D9070" t="str">
            <v>CK</v>
          </cell>
        </row>
        <row r="9071">
          <cell r="A9071" t="str">
            <v>FB260011523</v>
          </cell>
          <cell r="D9071" t="str">
            <v>NIK</v>
          </cell>
        </row>
        <row r="9072">
          <cell r="A9072" t="str">
            <v>FB260011526</v>
          </cell>
          <cell r="D9072" t="str">
            <v>NIK</v>
          </cell>
        </row>
        <row r="9073">
          <cell r="A9073" t="str">
            <v>FB260011527</v>
          </cell>
          <cell r="D9073" t="str">
            <v>NIK</v>
          </cell>
        </row>
        <row r="9074">
          <cell r="A9074" t="str">
            <v>FB260011528</v>
          </cell>
          <cell r="D9074" t="str">
            <v>NIK</v>
          </cell>
        </row>
        <row r="9075">
          <cell r="A9075" t="str">
            <v>FB260011529</v>
          </cell>
          <cell r="D9075" t="str">
            <v>NIK</v>
          </cell>
        </row>
        <row r="9076">
          <cell r="A9076" t="str">
            <v>FB260011530</v>
          </cell>
          <cell r="D9076" t="str">
            <v>SW</v>
          </cell>
        </row>
        <row r="9077">
          <cell r="A9077" t="str">
            <v>FB260011531</v>
          </cell>
          <cell r="D9077" t="str">
            <v>NIK</v>
          </cell>
        </row>
        <row r="9078">
          <cell r="A9078" t="str">
            <v>FB260011532</v>
          </cell>
          <cell r="D9078" t="str">
            <v>M&amp;S</v>
          </cell>
        </row>
        <row r="9079">
          <cell r="A9079" t="str">
            <v>FB260011533</v>
          </cell>
          <cell r="D9079" t="str">
            <v>M&amp;S</v>
          </cell>
        </row>
        <row r="9080">
          <cell r="A9080" t="str">
            <v>FB260011534</v>
          </cell>
          <cell r="D9080" t="str">
            <v>VSS</v>
          </cell>
        </row>
        <row r="9081">
          <cell r="A9081" t="str">
            <v>FB260011535</v>
          </cell>
          <cell r="D9081" t="str">
            <v>VSS</v>
          </cell>
        </row>
        <row r="9082">
          <cell r="A9082" t="str">
            <v>FB260011536</v>
          </cell>
          <cell r="D9082" t="str">
            <v>VSS</v>
          </cell>
        </row>
        <row r="9083">
          <cell r="A9083" t="str">
            <v>FB260011537</v>
          </cell>
          <cell r="D9083" t="str">
            <v>VSS</v>
          </cell>
        </row>
        <row r="9084">
          <cell r="A9084" t="str">
            <v>FB260011538</v>
          </cell>
          <cell r="D9084" t="str">
            <v>VSS</v>
          </cell>
        </row>
        <row r="9085">
          <cell r="A9085" t="str">
            <v>FB260011539</v>
          </cell>
          <cell r="D9085" t="str">
            <v>VSS</v>
          </cell>
        </row>
        <row r="9086">
          <cell r="A9086" t="str">
            <v>FB260011540</v>
          </cell>
          <cell r="D9086" t="str">
            <v>VSS</v>
          </cell>
        </row>
        <row r="9087">
          <cell r="A9087" t="str">
            <v>FB260011541</v>
          </cell>
          <cell r="D9087" t="str">
            <v>VSS</v>
          </cell>
        </row>
        <row r="9088">
          <cell r="A9088" t="str">
            <v>FB260011542</v>
          </cell>
          <cell r="D9088" t="str">
            <v>VSS</v>
          </cell>
        </row>
        <row r="9089">
          <cell r="A9089" t="str">
            <v>FB260011543</v>
          </cell>
          <cell r="D9089" t="str">
            <v>VSS</v>
          </cell>
        </row>
        <row r="9090">
          <cell r="A9090" t="str">
            <v>FB260011544</v>
          </cell>
          <cell r="D9090" t="str">
            <v>VSS</v>
          </cell>
        </row>
        <row r="9091">
          <cell r="A9091" t="str">
            <v>FB260011545</v>
          </cell>
          <cell r="D9091" t="str">
            <v>VSS</v>
          </cell>
        </row>
        <row r="9092">
          <cell r="A9092" t="str">
            <v>FB260011546</v>
          </cell>
          <cell r="D9092" t="str">
            <v>VSS</v>
          </cell>
        </row>
        <row r="9093">
          <cell r="A9093" t="str">
            <v>FB260011547</v>
          </cell>
          <cell r="D9093" t="str">
            <v>VSS</v>
          </cell>
        </row>
        <row r="9094">
          <cell r="A9094" t="str">
            <v>FB260011548</v>
          </cell>
          <cell r="D9094" t="str">
            <v>VSS</v>
          </cell>
        </row>
        <row r="9095">
          <cell r="A9095" t="str">
            <v>FB260011549</v>
          </cell>
          <cell r="D9095" t="str">
            <v>VSS</v>
          </cell>
        </row>
        <row r="9096">
          <cell r="A9096" t="str">
            <v>FB260011550</v>
          </cell>
          <cell r="D9096" t="str">
            <v>VSS</v>
          </cell>
        </row>
        <row r="9097">
          <cell r="A9097" t="str">
            <v>FB260011551</v>
          </cell>
          <cell r="D9097" t="str">
            <v>VSS</v>
          </cell>
        </row>
        <row r="9098">
          <cell r="A9098" t="str">
            <v>FB260011552</v>
          </cell>
          <cell r="D9098" t="str">
            <v>VSS</v>
          </cell>
        </row>
        <row r="9099">
          <cell r="A9099" t="str">
            <v>FB260011553</v>
          </cell>
          <cell r="D9099" t="str">
            <v>VSS</v>
          </cell>
        </row>
        <row r="9100">
          <cell r="A9100" t="str">
            <v>FB260011554</v>
          </cell>
          <cell r="D9100" t="str">
            <v>VSS</v>
          </cell>
        </row>
        <row r="9101">
          <cell r="A9101" t="str">
            <v>FB260011555</v>
          </cell>
          <cell r="D9101" t="str">
            <v>VSS</v>
          </cell>
        </row>
        <row r="9102">
          <cell r="A9102" t="str">
            <v>FB260011556</v>
          </cell>
          <cell r="D9102" t="str">
            <v>VSS</v>
          </cell>
        </row>
        <row r="9103">
          <cell r="A9103" t="str">
            <v>FB260011557</v>
          </cell>
          <cell r="D9103" t="str">
            <v>VSS</v>
          </cell>
        </row>
        <row r="9104">
          <cell r="A9104" t="str">
            <v>FB260011558</v>
          </cell>
          <cell r="D9104" t="str">
            <v>VSS</v>
          </cell>
        </row>
        <row r="9105">
          <cell r="A9105" t="str">
            <v>FB260011559</v>
          </cell>
          <cell r="D9105" t="str">
            <v>VSS</v>
          </cell>
        </row>
        <row r="9106">
          <cell r="A9106" t="str">
            <v>FB260011560</v>
          </cell>
          <cell r="D9106" t="str">
            <v>VSS</v>
          </cell>
        </row>
        <row r="9107">
          <cell r="A9107" t="str">
            <v>FB260011561</v>
          </cell>
          <cell r="D9107" t="str">
            <v>VSS</v>
          </cell>
        </row>
        <row r="9108">
          <cell r="A9108" t="str">
            <v>FB260011562</v>
          </cell>
          <cell r="D9108" t="str">
            <v>PINK</v>
          </cell>
        </row>
        <row r="9109">
          <cell r="A9109" t="str">
            <v>FB260011563</v>
          </cell>
          <cell r="D9109" t="str">
            <v>PINK</v>
          </cell>
        </row>
        <row r="9110">
          <cell r="A9110" t="str">
            <v>FB260011564</v>
          </cell>
          <cell r="D9110" t="str">
            <v>VSS</v>
          </cell>
        </row>
        <row r="9111">
          <cell r="A9111" t="str">
            <v>FB260011568</v>
          </cell>
          <cell r="D9111" t="str">
            <v>NIK</v>
          </cell>
        </row>
        <row r="9112">
          <cell r="A9112" t="str">
            <v>FB260011569</v>
          </cell>
          <cell r="D9112" t="str">
            <v>NIK</v>
          </cell>
        </row>
        <row r="9113">
          <cell r="A9113" t="str">
            <v>FB260011571</v>
          </cell>
          <cell r="D9113" t="str">
            <v>PINK</v>
          </cell>
        </row>
        <row r="9114">
          <cell r="A9114" t="str">
            <v>FB260011572</v>
          </cell>
          <cell r="D9114" t="str">
            <v>VSS</v>
          </cell>
        </row>
        <row r="9115">
          <cell r="A9115" t="str">
            <v>FB260011573</v>
          </cell>
          <cell r="D9115" t="str">
            <v>VSS</v>
          </cell>
        </row>
        <row r="9116">
          <cell r="A9116" t="str">
            <v>FB260011574</v>
          </cell>
          <cell r="D9116" t="str">
            <v>NIK</v>
          </cell>
        </row>
        <row r="9117">
          <cell r="A9117" t="str">
            <v>FB260011575</v>
          </cell>
          <cell r="D9117" t="str">
            <v>NIK</v>
          </cell>
        </row>
        <row r="9118">
          <cell r="A9118" t="str">
            <v>FB260011578</v>
          </cell>
          <cell r="D9118" t="str">
            <v>VSS</v>
          </cell>
        </row>
        <row r="9119">
          <cell r="A9119" t="str">
            <v>FB260011579</v>
          </cell>
          <cell r="D9119" t="str">
            <v>NIK</v>
          </cell>
        </row>
        <row r="9120">
          <cell r="A9120" t="str">
            <v>FB260011580</v>
          </cell>
          <cell r="D9120" t="str">
            <v>NIK</v>
          </cell>
        </row>
        <row r="9121">
          <cell r="A9121" t="str">
            <v>FB260011581</v>
          </cell>
          <cell r="D9121" t="str">
            <v>NIK</v>
          </cell>
        </row>
        <row r="9122">
          <cell r="A9122" t="str">
            <v>FB260011582</v>
          </cell>
          <cell r="D9122" t="str">
            <v>VSS</v>
          </cell>
        </row>
        <row r="9123">
          <cell r="A9123" t="str">
            <v>FB260011583</v>
          </cell>
          <cell r="D9123" t="str">
            <v>INT1</v>
          </cell>
        </row>
        <row r="9124">
          <cell r="A9124" t="str">
            <v>FB260011585</v>
          </cell>
          <cell r="D9124" t="str">
            <v>M&amp;S</v>
          </cell>
        </row>
        <row r="9125">
          <cell r="A9125" t="str">
            <v>FB260011588</v>
          </cell>
          <cell r="D9125" t="str">
            <v>VSS</v>
          </cell>
        </row>
        <row r="9126">
          <cell r="A9126" t="str">
            <v>FB260011589</v>
          </cell>
          <cell r="D9126" t="str">
            <v>VSS</v>
          </cell>
        </row>
        <row r="9127">
          <cell r="A9127" t="str">
            <v>FB260011590</v>
          </cell>
          <cell r="D9127" t="str">
            <v>VSS</v>
          </cell>
        </row>
        <row r="9128">
          <cell r="A9128" t="str">
            <v>FB260011591</v>
          </cell>
          <cell r="D9128" t="str">
            <v>VSS</v>
          </cell>
        </row>
        <row r="9129">
          <cell r="A9129" t="str">
            <v>FB260011592</v>
          </cell>
          <cell r="D9129" t="str">
            <v>LULU</v>
          </cell>
        </row>
        <row r="9130">
          <cell r="A9130" t="str">
            <v>FB260011593</v>
          </cell>
          <cell r="D9130" t="str">
            <v>VSS</v>
          </cell>
        </row>
        <row r="9131">
          <cell r="A9131" t="str">
            <v>FB260011594</v>
          </cell>
          <cell r="D9131" t="str">
            <v>PINK</v>
          </cell>
        </row>
        <row r="9132">
          <cell r="A9132" t="str">
            <v>FB260011595</v>
          </cell>
          <cell r="D9132" t="str">
            <v>VSS</v>
          </cell>
        </row>
        <row r="9133">
          <cell r="A9133" t="str">
            <v>FB260011596</v>
          </cell>
          <cell r="D9133" t="str">
            <v>VSS</v>
          </cell>
        </row>
        <row r="9134">
          <cell r="A9134" t="str">
            <v>FB260011600</v>
          </cell>
          <cell r="D9134" t="str">
            <v>PINK</v>
          </cell>
        </row>
        <row r="9135">
          <cell r="A9135" t="str">
            <v>FB260011602</v>
          </cell>
          <cell r="D9135" t="str">
            <v>VSS</v>
          </cell>
        </row>
        <row r="9136">
          <cell r="A9136" t="str">
            <v>FB260011603</v>
          </cell>
          <cell r="D9136" t="str">
            <v>PINK</v>
          </cell>
        </row>
        <row r="9137">
          <cell r="A9137" t="str">
            <v>FB260011604</v>
          </cell>
          <cell r="D9137" t="str">
            <v>WACE</v>
          </cell>
        </row>
        <row r="9138">
          <cell r="A9138" t="str">
            <v>FB260011606</v>
          </cell>
          <cell r="D9138" t="str">
            <v>CK</v>
          </cell>
        </row>
        <row r="9139">
          <cell r="A9139" t="str">
            <v>FB260011607</v>
          </cell>
          <cell r="D9139" t="str">
            <v>CK</v>
          </cell>
        </row>
        <row r="9140">
          <cell r="A9140" t="str">
            <v>FB260011609</v>
          </cell>
          <cell r="D9140" t="str">
            <v>VSS</v>
          </cell>
        </row>
        <row r="9141">
          <cell r="A9141" t="str">
            <v>FB260011610</v>
          </cell>
          <cell r="D9141" t="str">
            <v>VSS</v>
          </cell>
        </row>
        <row r="9142">
          <cell r="A9142" t="str">
            <v>FB260011611</v>
          </cell>
          <cell r="D9142" t="str">
            <v>LULU</v>
          </cell>
        </row>
        <row r="9143">
          <cell r="A9143" t="str">
            <v>FB260011612</v>
          </cell>
          <cell r="D9143" t="str">
            <v>LULU</v>
          </cell>
        </row>
        <row r="9144">
          <cell r="A9144" t="str">
            <v>FB260011613</v>
          </cell>
          <cell r="D9144" t="str">
            <v>PINK</v>
          </cell>
        </row>
        <row r="9145">
          <cell r="A9145" t="str">
            <v>FB260011614</v>
          </cell>
          <cell r="D9145" t="str">
            <v>LULU</v>
          </cell>
        </row>
        <row r="9146">
          <cell r="A9146" t="str">
            <v>FB260011615</v>
          </cell>
          <cell r="D9146" t="str">
            <v>LULU</v>
          </cell>
        </row>
        <row r="9147">
          <cell r="A9147" t="str">
            <v>FB260011616</v>
          </cell>
          <cell r="D9147" t="str">
            <v>CHICOS</v>
          </cell>
        </row>
        <row r="9148">
          <cell r="A9148" t="str">
            <v>FB260011617</v>
          </cell>
          <cell r="D9148" t="str">
            <v>GAPO</v>
          </cell>
        </row>
        <row r="9149">
          <cell r="A9149" t="str">
            <v>FB260011619</v>
          </cell>
          <cell r="D9149" t="str">
            <v>GAPO</v>
          </cell>
        </row>
        <row r="9150">
          <cell r="A9150" t="str">
            <v>FB260011620</v>
          </cell>
          <cell r="D9150" t="str">
            <v>GAPO</v>
          </cell>
        </row>
        <row r="9151">
          <cell r="A9151" t="str">
            <v>FB260011621</v>
          </cell>
          <cell r="D9151" t="str">
            <v>GAPO</v>
          </cell>
        </row>
        <row r="9152">
          <cell r="A9152" t="str">
            <v>FB260011622</v>
          </cell>
          <cell r="D9152" t="str">
            <v>GAPO</v>
          </cell>
        </row>
        <row r="9153">
          <cell r="A9153" t="str">
            <v>FB260011625</v>
          </cell>
          <cell r="D9153" t="str">
            <v>NIK</v>
          </cell>
        </row>
        <row r="9154">
          <cell r="A9154" t="str">
            <v>FB260011626</v>
          </cell>
          <cell r="D9154" t="str">
            <v>M&amp;S</v>
          </cell>
        </row>
        <row r="9155">
          <cell r="A9155" t="str">
            <v>FB260011628</v>
          </cell>
          <cell r="D9155" t="str">
            <v>M&amp;S</v>
          </cell>
        </row>
        <row r="9156">
          <cell r="A9156" t="str">
            <v>FB260011632</v>
          </cell>
          <cell r="D9156" t="str">
            <v>WACE</v>
          </cell>
        </row>
        <row r="9157">
          <cell r="A9157" t="str">
            <v>FB260011636</v>
          </cell>
          <cell r="D9157" t="str">
            <v>THEU</v>
          </cell>
        </row>
        <row r="9158">
          <cell r="A9158" t="str">
            <v>FB260011639</v>
          </cell>
          <cell r="D9158" t="str">
            <v>LULU</v>
          </cell>
        </row>
        <row r="9159">
          <cell r="A9159" t="str">
            <v>FB260011641</v>
          </cell>
          <cell r="D9159" t="str">
            <v>VSS</v>
          </cell>
        </row>
        <row r="9160">
          <cell r="A9160" t="str">
            <v>FB260011643</v>
          </cell>
          <cell r="D9160" t="str">
            <v>LSKD</v>
          </cell>
        </row>
        <row r="9161">
          <cell r="A9161" t="str">
            <v>FB260011644</v>
          </cell>
          <cell r="D9161" t="str">
            <v>VSS</v>
          </cell>
        </row>
        <row r="9162">
          <cell r="A9162" t="str">
            <v>FB260011645</v>
          </cell>
          <cell r="D9162" t="str">
            <v>VSS</v>
          </cell>
        </row>
        <row r="9163">
          <cell r="A9163" t="str">
            <v>FB260011646</v>
          </cell>
          <cell r="D9163" t="str">
            <v>VSS</v>
          </cell>
        </row>
        <row r="9164">
          <cell r="A9164" t="str">
            <v>FB260011647</v>
          </cell>
          <cell r="D9164" t="str">
            <v>VSS</v>
          </cell>
        </row>
        <row r="9165">
          <cell r="A9165" t="str">
            <v>FB260011648</v>
          </cell>
          <cell r="D9165" t="str">
            <v>VSS</v>
          </cell>
        </row>
        <row r="9166">
          <cell r="A9166" t="str">
            <v>FB260011649</v>
          </cell>
          <cell r="D9166" t="str">
            <v>VSS</v>
          </cell>
        </row>
        <row r="9167">
          <cell r="A9167" t="str">
            <v>FB260011650</v>
          </cell>
          <cell r="D9167" t="str">
            <v>VSS</v>
          </cell>
        </row>
        <row r="9168">
          <cell r="A9168" t="str">
            <v>FB260011651</v>
          </cell>
          <cell r="D9168" t="str">
            <v>VSS</v>
          </cell>
        </row>
        <row r="9169">
          <cell r="A9169" t="str">
            <v>FB260011652</v>
          </cell>
          <cell r="D9169" t="str">
            <v>VSS</v>
          </cell>
        </row>
        <row r="9170">
          <cell r="A9170" t="str">
            <v>FB260011653</v>
          </cell>
          <cell r="D9170" t="str">
            <v>VSS</v>
          </cell>
        </row>
        <row r="9171">
          <cell r="A9171" t="str">
            <v>FB260011654</v>
          </cell>
          <cell r="D9171" t="str">
            <v>VSS</v>
          </cell>
        </row>
        <row r="9172">
          <cell r="A9172" t="str">
            <v>FB260011655</v>
          </cell>
          <cell r="D9172" t="str">
            <v>PINK</v>
          </cell>
        </row>
        <row r="9173">
          <cell r="A9173" t="str">
            <v>FB260011656</v>
          </cell>
          <cell r="D9173" t="str">
            <v>VSS</v>
          </cell>
        </row>
        <row r="9174">
          <cell r="A9174" t="str">
            <v>FB260011657</v>
          </cell>
          <cell r="D9174" t="str">
            <v>VSS</v>
          </cell>
        </row>
        <row r="9175">
          <cell r="A9175" t="str">
            <v>FB260011658</v>
          </cell>
          <cell r="D9175" t="str">
            <v>VSS</v>
          </cell>
        </row>
        <row r="9176">
          <cell r="A9176" t="str">
            <v>FB260011659</v>
          </cell>
          <cell r="D9176" t="str">
            <v>GAPA</v>
          </cell>
        </row>
        <row r="9177">
          <cell r="A9177" t="str">
            <v>FB260011660</v>
          </cell>
          <cell r="D9177" t="str">
            <v>GAPA</v>
          </cell>
        </row>
        <row r="9178">
          <cell r="A9178" t="str">
            <v>FB260011662</v>
          </cell>
          <cell r="D9178" t="str">
            <v>VSS</v>
          </cell>
        </row>
        <row r="9179">
          <cell r="A9179" t="str">
            <v>FB260011666</v>
          </cell>
          <cell r="D9179" t="str">
            <v>VSS</v>
          </cell>
        </row>
        <row r="9180">
          <cell r="A9180" t="str">
            <v>FB260011667</v>
          </cell>
          <cell r="D9180" t="str">
            <v>VSS</v>
          </cell>
        </row>
        <row r="9181">
          <cell r="A9181" t="str">
            <v>FB260011668</v>
          </cell>
          <cell r="D9181" t="str">
            <v>VSS</v>
          </cell>
        </row>
        <row r="9182">
          <cell r="A9182" t="str">
            <v>FB260011669</v>
          </cell>
          <cell r="D9182" t="str">
            <v>VSS</v>
          </cell>
        </row>
        <row r="9183">
          <cell r="A9183" t="str">
            <v>FB260011670</v>
          </cell>
          <cell r="D9183" t="str">
            <v>VSS</v>
          </cell>
        </row>
        <row r="9184">
          <cell r="A9184" t="str">
            <v>FB260011671</v>
          </cell>
          <cell r="D9184" t="str">
            <v>VSS</v>
          </cell>
        </row>
        <row r="9185">
          <cell r="A9185" t="str">
            <v>FB260011672</v>
          </cell>
          <cell r="D9185" t="str">
            <v>VSS</v>
          </cell>
        </row>
        <row r="9186">
          <cell r="A9186" t="str">
            <v>FB260011673</v>
          </cell>
          <cell r="D9186" t="str">
            <v>PINK</v>
          </cell>
        </row>
        <row r="9187">
          <cell r="A9187" t="str">
            <v>FB260011674</v>
          </cell>
          <cell r="D9187" t="str">
            <v>PINK</v>
          </cell>
        </row>
        <row r="9188">
          <cell r="A9188" t="str">
            <v>FB260011675</v>
          </cell>
          <cell r="D9188" t="str">
            <v>PINK</v>
          </cell>
        </row>
        <row r="9189">
          <cell r="A9189" t="str">
            <v>FB260011676</v>
          </cell>
          <cell r="D9189" t="str">
            <v>PINK</v>
          </cell>
        </row>
        <row r="9190">
          <cell r="A9190" t="str">
            <v>FB260011677</v>
          </cell>
          <cell r="D9190" t="str">
            <v>VSS</v>
          </cell>
        </row>
        <row r="9191">
          <cell r="A9191" t="str">
            <v>FB260011678</v>
          </cell>
          <cell r="D9191" t="str">
            <v>PINK</v>
          </cell>
        </row>
        <row r="9192">
          <cell r="A9192" t="str">
            <v>FB260011679</v>
          </cell>
          <cell r="D9192" t="str">
            <v>PINK</v>
          </cell>
        </row>
        <row r="9193">
          <cell r="A9193" t="str">
            <v>FB260011680</v>
          </cell>
          <cell r="D9193" t="str">
            <v>WAC</v>
          </cell>
        </row>
        <row r="9194">
          <cell r="A9194" t="str">
            <v>FB260011681</v>
          </cell>
          <cell r="D9194" t="str">
            <v>WAC</v>
          </cell>
        </row>
        <row r="9195">
          <cell r="A9195" t="str">
            <v>FB260011682</v>
          </cell>
          <cell r="D9195" t="str">
            <v>VSS</v>
          </cell>
        </row>
        <row r="9196">
          <cell r="A9196" t="str">
            <v>FB260011683</v>
          </cell>
          <cell r="D9196" t="str">
            <v>VSS</v>
          </cell>
        </row>
        <row r="9197">
          <cell r="A9197" t="str">
            <v>FB260011684</v>
          </cell>
          <cell r="D9197" t="str">
            <v>PINK</v>
          </cell>
        </row>
        <row r="9198">
          <cell r="A9198" t="str">
            <v>FB260011685</v>
          </cell>
          <cell r="D9198" t="str">
            <v>PINK</v>
          </cell>
        </row>
        <row r="9199">
          <cell r="A9199" t="str">
            <v>FB260011686</v>
          </cell>
          <cell r="D9199" t="str">
            <v>PINK</v>
          </cell>
        </row>
        <row r="9200">
          <cell r="A9200" t="str">
            <v>FB260011687</v>
          </cell>
          <cell r="D9200" t="str">
            <v>PINK</v>
          </cell>
        </row>
        <row r="9201">
          <cell r="A9201" t="str">
            <v>FB260011688</v>
          </cell>
          <cell r="D9201" t="str">
            <v>VSS</v>
          </cell>
        </row>
        <row r="9202">
          <cell r="A9202" t="str">
            <v>FB260011689</v>
          </cell>
          <cell r="D9202" t="str">
            <v>VSS</v>
          </cell>
        </row>
        <row r="9203">
          <cell r="A9203" t="str">
            <v>FB260011690</v>
          </cell>
          <cell r="D9203" t="str">
            <v>PINK</v>
          </cell>
        </row>
        <row r="9204">
          <cell r="A9204" t="str">
            <v>FB260011691</v>
          </cell>
          <cell r="D9204" t="str">
            <v>VSS</v>
          </cell>
        </row>
        <row r="9205">
          <cell r="A9205" t="str">
            <v>FB260011692</v>
          </cell>
          <cell r="D9205" t="str">
            <v>PINK</v>
          </cell>
        </row>
        <row r="9206">
          <cell r="A9206" t="str">
            <v>FB260011693</v>
          </cell>
          <cell r="D9206" t="str">
            <v>VSS</v>
          </cell>
        </row>
        <row r="9207">
          <cell r="A9207" t="str">
            <v>FB260011694</v>
          </cell>
          <cell r="D9207" t="str">
            <v>VSS</v>
          </cell>
        </row>
        <row r="9208">
          <cell r="A9208" t="str">
            <v>FB260011695</v>
          </cell>
          <cell r="D9208" t="str">
            <v>VSS</v>
          </cell>
        </row>
        <row r="9209">
          <cell r="A9209" t="str">
            <v>FB260011696</v>
          </cell>
          <cell r="D9209" t="str">
            <v>WACE</v>
          </cell>
        </row>
        <row r="9210">
          <cell r="A9210" t="str">
            <v>FB260011697</v>
          </cell>
          <cell r="D9210" t="str">
            <v>VSS</v>
          </cell>
        </row>
        <row r="9211">
          <cell r="A9211" t="str">
            <v>FB260011698</v>
          </cell>
          <cell r="D9211" t="str">
            <v>VSS</v>
          </cell>
        </row>
        <row r="9212">
          <cell r="A9212" t="str">
            <v>FB260011699</v>
          </cell>
          <cell r="D9212" t="str">
            <v>VSS</v>
          </cell>
        </row>
        <row r="9213">
          <cell r="A9213" t="str">
            <v>FB260011700</v>
          </cell>
          <cell r="D9213" t="str">
            <v>VSS</v>
          </cell>
        </row>
        <row r="9214">
          <cell r="A9214" t="str">
            <v>FB260011701</v>
          </cell>
          <cell r="D9214" t="str">
            <v>NEWB</v>
          </cell>
        </row>
        <row r="9215">
          <cell r="A9215" t="str">
            <v>FB260011703</v>
          </cell>
          <cell r="D9215" t="str">
            <v>VSS</v>
          </cell>
        </row>
        <row r="9216">
          <cell r="A9216" t="str">
            <v>FB260011704</v>
          </cell>
          <cell r="D9216" t="str">
            <v>VSS</v>
          </cell>
        </row>
        <row r="9217">
          <cell r="A9217" t="str">
            <v>FB260011705</v>
          </cell>
          <cell r="D9217" t="str">
            <v>VSS</v>
          </cell>
        </row>
        <row r="9218">
          <cell r="A9218" t="str">
            <v>FB260011706</v>
          </cell>
          <cell r="D9218" t="str">
            <v>VSS</v>
          </cell>
        </row>
        <row r="9219">
          <cell r="A9219" t="str">
            <v>FB260011707</v>
          </cell>
          <cell r="D9219" t="str">
            <v>PINK</v>
          </cell>
        </row>
        <row r="9220">
          <cell r="A9220" t="str">
            <v>FB260011708</v>
          </cell>
          <cell r="D9220" t="str">
            <v>PINK</v>
          </cell>
        </row>
        <row r="9221">
          <cell r="A9221" t="str">
            <v>FB260011709</v>
          </cell>
          <cell r="D9221" t="str">
            <v>PINK</v>
          </cell>
        </row>
        <row r="9222">
          <cell r="A9222" t="str">
            <v>FB260011710</v>
          </cell>
          <cell r="D9222" t="str">
            <v>PINK</v>
          </cell>
        </row>
        <row r="9223">
          <cell r="A9223" t="str">
            <v>FB260011711</v>
          </cell>
          <cell r="D9223" t="str">
            <v>PINK</v>
          </cell>
        </row>
        <row r="9224">
          <cell r="A9224" t="str">
            <v>FB260011712</v>
          </cell>
          <cell r="D9224" t="str">
            <v>PINK</v>
          </cell>
        </row>
        <row r="9225">
          <cell r="A9225" t="str">
            <v>FB260011713</v>
          </cell>
          <cell r="D9225" t="str">
            <v>PINK</v>
          </cell>
        </row>
        <row r="9226">
          <cell r="A9226" t="str">
            <v>FB260011714</v>
          </cell>
          <cell r="D9226" t="str">
            <v>PINK</v>
          </cell>
        </row>
        <row r="9227">
          <cell r="A9227" t="str">
            <v>FB260011715</v>
          </cell>
          <cell r="D9227" t="str">
            <v>PINK</v>
          </cell>
        </row>
        <row r="9228">
          <cell r="A9228" t="str">
            <v>FB260011716</v>
          </cell>
          <cell r="D9228" t="str">
            <v>PINK</v>
          </cell>
        </row>
        <row r="9229">
          <cell r="A9229" t="str">
            <v>FB260011717</v>
          </cell>
          <cell r="D9229" t="str">
            <v>PINK</v>
          </cell>
        </row>
        <row r="9230">
          <cell r="A9230" t="str">
            <v>FB260011718</v>
          </cell>
          <cell r="D9230" t="str">
            <v>PINK</v>
          </cell>
        </row>
        <row r="9231">
          <cell r="A9231" t="str">
            <v>FB260011719</v>
          </cell>
          <cell r="D9231" t="str">
            <v>PINK</v>
          </cell>
        </row>
        <row r="9232">
          <cell r="A9232" t="str">
            <v>FB260011720</v>
          </cell>
          <cell r="D9232" t="str">
            <v>PINK</v>
          </cell>
        </row>
        <row r="9233">
          <cell r="A9233" t="str">
            <v>FB260011721</v>
          </cell>
          <cell r="D9233" t="str">
            <v>PINK</v>
          </cell>
        </row>
        <row r="9234">
          <cell r="A9234" t="str">
            <v>FB260011722</v>
          </cell>
          <cell r="D9234" t="str">
            <v>PINK</v>
          </cell>
        </row>
        <row r="9235">
          <cell r="A9235" t="str">
            <v>FB260011723</v>
          </cell>
          <cell r="D9235" t="str">
            <v>PINK</v>
          </cell>
        </row>
        <row r="9236">
          <cell r="A9236" t="str">
            <v>FB260011724</v>
          </cell>
          <cell r="D9236" t="str">
            <v>PINK</v>
          </cell>
        </row>
        <row r="9237">
          <cell r="A9237" t="str">
            <v>FB260011725</v>
          </cell>
          <cell r="D9237" t="str">
            <v>PINK</v>
          </cell>
        </row>
        <row r="9238">
          <cell r="A9238" t="str">
            <v>FB260011728</v>
          </cell>
          <cell r="D9238" t="str">
            <v>VSS</v>
          </cell>
        </row>
        <row r="9239">
          <cell r="A9239" t="str">
            <v>FB260011729</v>
          </cell>
          <cell r="D9239" t="str">
            <v>VSS</v>
          </cell>
        </row>
        <row r="9240">
          <cell r="A9240" t="str">
            <v>FB260011730</v>
          </cell>
          <cell r="D9240" t="str">
            <v>VSS</v>
          </cell>
        </row>
        <row r="9241">
          <cell r="A9241" t="str">
            <v>FB260011731</v>
          </cell>
          <cell r="D9241" t="str">
            <v>VSS</v>
          </cell>
        </row>
        <row r="9242">
          <cell r="A9242" t="str">
            <v>FB260011732</v>
          </cell>
          <cell r="D9242" t="str">
            <v>VSS</v>
          </cell>
        </row>
        <row r="9243">
          <cell r="A9243" t="str">
            <v>FB260011734</v>
          </cell>
          <cell r="D9243" t="str">
            <v>VSS</v>
          </cell>
        </row>
        <row r="9244">
          <cell r="A9244" t="str">
            <v>FB260011735</v>
          </cell>
          <cell r="D9244" t="str">
            <v>VSS</v>
          </cell>
        </row>
        <row r="9245">
          <cell r="A9245" t="str">
            <v>FB260011736</v>
          </cell>
          <cell r="D9245" t="str">
            <v>VSS</v>
          </cell>
        </row>
        <row r="9246">
          <cell r="A9246" t="str">
            <v>FB260011738</v>
          </cell>
          <cell r="D9246" t="str">
            <v>CK</v>
          </cell>
        </row>
        <row r="9247">
          <cell r="A9247" t="str">
            <v>FB260011739</v>
          </cell>
          <cell r="D9247" t="str">
            <v>LULU</v>
          </cell>
        </row>
        <row r="9248">
          <cell r="A9248" t="str">
            <v>FB260011740</v>
          </cell>
          <cell r="D9248" t="str">
            <v>SW</v>
          </cell>
        </row>
        <row r="9249">
          <cell r="A9249" t="str">
            <v>FB260011741</v>
          </cell>
          <cell r="D9249" t="str">
            <v>SW</v>
          </cell>
        </row>
        <row r="9250">
          <cell r="A9250" t="str">
            <v>FB260011750</v>
          </cell>
          <cell r="D9250" t="str">
            <v>SW</v>
          </cell>
        </row>
        <row r="9251">
          <cell r="A9251" t="str">
            <v>FB260011751</v>
          </cell>
          <cell r="D9251" t="str">
            <v>WACE</v>
          </cell>
        </row>
        <row r="9252">
          <cell r="A9252" t="str">
            <v>FB260011752</v>
          </cell>
          <cell r="D9252" t="str">
            <v>CK</v>
          </cell>
        </row>
        <row r="9253">
          <cell r="A9253" t="str">
            <v>FB260011754</v>
          </cell>
          <cell r="D9253" t="str">
            <v>VSS</v>
          </cell>
        </row>
        <row r="9254">
          <cell r="A9254" t="str">
            <v>FB260011755</v>
          </cell>
          <cell r="D9254" t="str">
            <v>VSS</v>
          </cell>
        </row>
        <row r="9255">
          <cell r="A9255" t="str">
            <v>FB260011756</v>
          </cell>
          <cell r="D9255" t="str">
            <v>VSS</v>
          </cell>
        </row>
        <row r="9256">
          <cell r="A9256" t="str">
            <v>FB260011757</v>
          </cell>
          <cell r="D9256" t="str">
            <v>WACE</v>
          </cell>
        </row>
        <row r="9257">
          <cell r="A9257" t="str">
            <v>FB260011758</v>
          </cell>
          <cell r="D9257" t="str">
            <v>NIK</v>
          </cell>
        </row>
        <row r="9258">
          <cell r="A9258" t="str">
            <v>FB260011759</v>
          </cell>
          <cell r="D9258" t="str">
            <v>GLA</v>
          </cell>
        </row>
        <row r="9259">
          <cell r="A9259" t="str">
            <v>FB260011760</v>
          </cell>
          <cell r="D9259" t="str">
            <v>GLA</v>
          </cell>
        </row>
        <row r="9260">
          <cell r="A9260" t="str">
            <v>FB260011761</v>
          </cell>
          <cell r="D9260" t="str">
            <v>GLA</v>
          </cell>
        </row>
        <row r="9261">
          <cell r="A9261" t="str">
            <v>FB260011762</v>
          </cell>
          <cell r="D9261" t="str">
            <v>GLA</v>
          </cell>
        </row>
        <row r="9262">
          <cell r="A9262" t="str">
            <v>FB260011764</v>
          </cell>
          <cell r="D9262" t="str">
            <v>WACE</v>
          </cell>
        </row>
        <row r="9263">
          <cell r="A9263" t="str">
            <v>FB260011765</v>
          </cell>
          <cell r="D9263" t="str">
            <v>VSS</v>
          </cell>
        </row>
        <row r="9264">
          <cell r="A9264" t="str">
            <v>FB260011766</v>
          </cell>
          <cell r="D9264" t="str">
            <v>VSS</v>
          </cell>
        </row>
        <row r="9265">
          <cell r="A9265" t="str">
            <v>FB260011767</v>
          </cell>
          <cell r="D9265" t="str">
            <v>VSS</v>
          </cell>
        </row>
        <row r="9266">
          <cell r="A9266" t="str">
            <v>FB260011768</v>
          </cell>
          <cell r="D9266" t="str">
            <v>VSS</v>
          </cell>
        </row>
        <row r="9267">
          <cell r="A9267" t="str">
            <v>FB260011769</v>
          </cell>
          <cell r="D9267" t="str">
            <v>VSS</v>
          </cell>
        </row>
        <row r="9268">
          <cell r="A9268" t="str">
            <v>FB260011770</v>
          </cell>
          <cell r="D9268" t="str">
            <v>PINK</v>
          </cell>
        </row>
        <row r="9269">
          <cell r="A9269" t="str">
            <v>FB260011771</v>
          </cell>
          <cell r="D9269" t="str">
            <v>PINK</v>
          </cell>
        </row>
        <row r="9270">
          <cell r="A9270" t="str">
            <v>FB260011773</v>
          </cell>
          <cell r="D9270" t="str">
            <v>NIK</v>
          </cell>
        </row>
        <row r="9271">
          <cell r="A9271" t="str">
            <v>FB260011777</v>
          </cell>
          <cell r="D9271" t="str">
            <v>VSS</v>
          </cell>
        </row>
        <row r="9272">
          <cell r="A9272" t="str">
            <v>FB260011779</v>
          </cell>
          <cell r="D9272" t="str">
            <v>CHICOS</v>
          </cell>
        </row>
        <row r="9273">
          <cell r="A9273" t="str">
            <v>FB260011781</v>
          </cell>
          <cell r="D9273" t="str">
            <v>M&amp;S</v>
          </cell>
        </row>
        <row r="9274">
          <cell r="A9274" t="str">
            <v>FB260011782</v>
          </cell>
          <cell r="D9274" t="str">
            <v>NEWB</v>
          </cell>
        </row>
        <row r="9275">
          <cell r="A9275" t="str">
            <v>FB260011783</v>
          </cell>
          <cell r="D9275" t="str">
            <v>CK</v>
          </cell>
        </row>
        <row r="9276">
          <cell r="A9276" t="str">
            <v>FB260011784</v>
          </cell>
          <cell r="D9276" t="str">
            <v>CK</v>
          </cell>
        </row>
        <row r="9277">
          <cell r="A9277" t="str">
            <v>FB260011785</v>
          </cell>
          <cell r="D9277" t="str">
            <v>CK</v>
          </cell>
        </row>
        <row r="9278">
          <cell r="A9278" t="str">
            <v>FB260011787</v>
          </cell>
          <cell r="D9278" t="str">
            <v>PINK</v>
          </cell>
        </row>
        <row r="9279">
          <cell r="A9279" t="str">
            <v>FB260011791</v>
          </cell>
          <cell r="D9279" t="str">
            <v>THX</v>
          </cell>
        </row>
        <row r="9280">
          <cell r="A9280" t="str">
            <v>FB260011792</v>
          </cell>
          <cell r="D9280" t="str">
            <v>VSS</v>
          </cell>
        </row>
        <row r="9281">
          <cell r="A9281" t="str">
            <v>FB260011798</v>
          </cell>
          <cell r="D9281" t="str">
            <v>VSS</v>
          </cell>
        </row>
        <row r="9282">
          <cell r="A9282" t="str">
            <v>FB260011799</v>
          </cell>
          <cell r="D9282" t="str">
            <v>CK</v>
          </cell>
        </row>
        <row r="9283">
          <cell r="A9283" t="str">
            <v>FB260011800</v>
          </cell>
          <cell r="D9283" t="str">
            <v>GAP</v>
          </cell>
        </row>
        <row r="9284">
          <cell r="A9284" t="str">
            <v>FB260011805</v>
          </cell>
          <cell r="D9284" t="str">
            <v>CHICOS</v>
          </cell>
        </row>
        <row r="9285">
          <cell r="A9285" t="str">
            <v>FB260011806</v>
          </cell>
          <cell r="D9285" t="str">
            <v>NKSKI</v>
          </cell>
        </row>
        <row r="9286">
          <cell r="A9286" t="str">
            <v>FB260011807</v>
          </cell>
          <cell r="D9286" t="str">
            <v>VSS</v>
          </cell>
        </row>
        <row r="9287">
          <cell r="A9287" t="str">
            <v>FB260011811</v>
          </cell>
          <cell r="D9287" t="str">
            <v>NIK</v>
          </cell>
        </row>
        <row r="9288">
          <cell r="A9288" t="str">
            <v>FB260011812</v>
          </cell>
          <cell r="D9288" t="str">
            <v>GAP</v>
          </cell>
        </row>
        <row r="9289">
          <cell r="A9289" t="str">
            <v>FB260011813</v>
          </cell>
          <cell r="D9289" t="str">
            <v>WACE</v>
          </cell>
        </row>
        <row r="9290">
          <cell r="A9290" t="str">
            <v>FB260011814</v>
          </cell>
          <cell r="D9290" t="str">
            <v>VSS</v>
          </cell>
        </row>
        <row r="9291">
          <cell r="A9291" t="str">
            <v>FB260011815</v>
          </cell>
          <cell r="D9291" t="str">
            <v>VSS</v>
          </cell>
        </row>
        <row r="9292">
          <cell r="A9292" t="str">
            <v>FB260011827</v>
          </cell>
          <cell r="D9292" t="str">
            <v>VSS</v>
          </cell>
        </row>
        <row r="9293">
          <cell r="A9293" t="str">
            <v>FB260011828</v>
          </cell>
          <cell r="D9293" t="str">
            <v>CK</v>
          </cell>
        </row>
        <row r="9294">
          <cell r="A9294" t="str">
            <v>FB260011830</v>
          </cell>
          <cell r="D9294" t="str">
            <v>AISLE</v>
          </cell>
        </row>
        <row r="9295">
          <cell r="A9295" t="str">
            <v>FB260011831</v>
          </cell>
          <cell r="D9295" t="str">
            <v>VSS</v>
          </cell>
        </row>
        <row r="9296">
          <cell r="A9296" t="str">
            <v>FB260011832</v>
          </cell>
          <cell r="D9296" t="str">
            <v>M&amp;S</v>
          </cell>
        </row>
        <row r="9297">
          <cell r="A9297" t="str">
            <v>FB260011833</v>
          </cell>
          <cell r="D9297" t="str">
            <v>CK</v>
          </cell>
        </row>
        <row r="9298">
          <cell r="A9298" t="str">
            <v>FB260011834</v>
          </cell>
          <cell r="D9298" t="str">
            <v>CK</v>
          </cell>
        </row>
        <row r="9299">
          <cell r="A9299" t="str">
            <v>FB260011835</v>
          </cell>
          <cell r="D9299" t="str">
            <v>CK</v>
          </cell>
        </row>
        <row r="9300">
          <cell r="A9300" t="str">
            <v>FB260011836</v>
          </cell>
          <cell r="D9300" t="str">
            <v>CK</v>
          </cell>
        </row>
        <row r="9301">
          <cell r="A9301" t="str">
            <v>FB260011837</v>
          </cell>
          <cell r="D9301" t="str">
            <v>PINK</v>
          </cell>
        </row>
        <row r="9302">
          <cell r="A9302" t="str">
            <v>FB260011838</v>
          </cell>
          <cell r="D9302" t="str">
            <v>VSS</v>
          </cell>
        </row>
        <row r="9303">
          <cell r="A9303" t="str">
            <v>FB260011839</v>
          </cell>
          <cell r="D9303" t="str">
            <v>PINK</v>
          </cell>
        </row>
        <row r="9304">
          <cell r="A9304" t="str">
            <v>FB260011840</v>
          </cell>
          <cell r="D9304" t="str">
            <v>PINK</v>
          </cell>
        </row>
        <row r="9305">
          <cell r="A9305" t="str">
            <v>FB260011841</v>
          </cell>
          <cell r="D9305" t="str">
            <v>PINK</v>
          </cell>
        </row>
        <row r="9306">
          <cell r="A9306" t="str">
            <v>FB260011842</v>
          </cell>
          <cell r="D9306" t="str">
            <v>PINK</v>
          </cell>
        </row>
        <row r="9307">
          <cell r="A9307" t="str">
            <v>FB260011843</v>
          </cell>
          <cell r="D9307" t="str">
            <v>PINK</v>
          </cell>
        </row>
        <row r="9308">
          <cell r="A9308" t="str">
            <v>FB260011844</v>
          </cell>
          <cell r="D9308" t="str">
            <v>PINK</v>
          </cell>
        </row>
        <row r="9309">
          <cell r="A9309" t="str">
            <v>FB260011845</v>
          </cell>
          <cell r="D9309" t="str">
            <v>PINK</v>
          </cell>
        </row>
        <row r="9310">
          <cell r="A9310" t="str">
            <v>FB260011848</v>
          </cell>
          <cell r="D9310" t="str">
            <v>GAP</v>
          </cell>
        </row>
        <row r="9311">
          <cell r="A9311" t="str">
            <v>FB260011849</v>
          </cell>
          <cell r="D9311" t="str">
            <v>GAP</v>
          </cell>
        </row>
        <row r="9312">
          <cell r="A9312" t="str">
            <v>FB260011850</v>
          </cell>
          <cell r="D9312" t="str">
            <v>VSS</v>
          </cell>
        </row>
        <row r="9313">
          <cell r="A9313" t="str">
            <v>FB260011852</v>
          </cell>
          <cell r="D9313" t="str">
            <v>GAP</v>
          </cell>
        </row>
        <row r="9314">
          <cell r="A9314" t="str">
            <v>FB260011853</v>
          </cell>
          <cell r="D9314" t="str">
            <v>NIK</v>
          </cell>
        </row>
        <row r="9315">
          <cell r="A9315" t="str">
            <v>FB260011854</v>
          </cell>
          <cell r="D9315" t="str">
            <v>NIK</v>
          </cell>
        </row>
        <row r="9316">
          <cell r="A9316" t="str">
            <v>FB260011856</v>
          </cell>
          <cell r="D9316" t="str">
            <v>TESCO</v>
          </cell>
        </row>
        <row r="9317">
          <cell r="A9317" t="str">
            <v>FB260011857</v>
          </cell>
          <cell r="D9317" t="str">
            <v>CK</v>
          </cell>
        </row>
        <row r="9318">
          <cell r="A9318" t="str">
            <v>FB260011858</v>
          </cell>
          <cell r="D9318" t="str">
            <v>NIK</v>
          </cell>
        </row>
        <row r="9319">
          <cell r="A9319" t="str">
            <v>FB260011859</v>
          </cell>
          <cell r="D9319" t="str">
            <v>NIK</v>
          </cell>
        </row>
        <row r="9320">
          <cell r="A9320" t="str">
            <v>FB260011861</v>
          </cell>
          <cell r="D9320" t="str">
            <v>GAP</v>
          </cell>
        </row>
        <row r="9321">
          <cell r="A9321" t="str">
            <v>FB260011862</v>
          </cell>
          <cell r="D9321" t="str">
            <v>PINK</v>
          </cell>
        </row>
        <row r="9322">
          <cell r="A9322" t="str">
            <v>FB260011863</v>
          </cell>
          <cell r="D9322" t="str">
            <v>VSS</v>
          </cell>
        </row>
        <row r="9323">
          <cell r="A9323" t="str">
            <v>FB260011864</v>
          </cell>
          <cell r="D9323" t="str">
            <v>VSS</v>
          </cell>
        </row>
        <row r="9324">
          <cell r="A9324" t="str">
            <v>FB260011865</v>
          </cell>
          <cell r="D9324" t="str">
            <v>VSS</v>
          </cell>
        </row>
        <row r="9325">
          <cell r="A9325" t="str">
            <v>FB260011866</v>
          </cell>
          <cell r="D9325" t="str">
            <v>VSS</v>
          </cell>
        </row>
        <row r="9326">
          <cell r="A9326" t="str">
            <v>FB260011868</v>
          </cell>
          <cell r="D9326" t="str">
            <v>VSS</v>
          </cell>
        </row>
        <row r="9327">
          <cell r="A9327" t="str">
            <v>FB260011869</v>
          </cell>
          <cell r="D9327" t="str">
            <v>VSS</v>
          </cell>
        </row>
        <row r="9328">
          <cell r="A9328" t="str">
            <v>FB260011870</v>
          </cell>
          <cell r="D9328" t="str">
            <v>VSS</v>
          </cell>
        </row>
        <row r="9329">
          <cell r="A9329" t="str">
            <v>FB260011871</v>
          </cell>
          <cell r="D9329" t="str">
            <v>VSS</v>
          </cell>
        </row>
        <row r="9330">
          <cell r="A9330" t="str">
            <v>FB260011873</v>
          </cell>
          <cell r="D9330" t="str">
            <v>VSS</v>
          </cell>
        </row>
        <row r="9331">
          <cell r="A9331" t="str">
            <v>FB260011875</v>
          </cell>
          <cell r="D9331" t="str">
            <v>VSS</v>
          </cell>
        </row>
        <row r="9332">
          <cell r="A9332" t="str">
            <v>FB260011877</v>
          </cell>
          <cell r="D9332" t="str">
            <v>VSS</v>
          </cell>
        </row>
        <row r="9333">
          <cell r="A9333" t="str">
            <v>FB260011878</v>
          </cell>
          <cell r="D9333" t="str">
            <v>WACE</v>
          </cell>
        </row>
        <row r="9334">
          <cell r="A9334" t="str">
            <v>FB260011880</v>
          </cell>
          <cell r="D9334" t="str">
            <v>VSS</v>
          </cell>
        </row>
        <row r="9335">
          <cell r="A9335" t="str">
            <v>FB260011881</v>
          </cell>
          <cell r="D9335" t="str">
            <v>VSS</v>
          </cell>
        </row>
        <row r="9336">
          <cell r="A9336" t="str">
            <v>FB260011882</v>
          </cell>
          <cell r="D9336" t="str">
            <v>VSS</v>
          </cell>
        </row>
        <row r="9337">
          <cell r="A9337" t="str">
            <v>FB260011886</v>
          </cell>
          <cell r="D9337" t="str">
            <v>NEX</v>
          </cell>
        </row>
        <row r="9338">
          <cell r="A9338" t="str">
            <v>FB260011887</v>
          </cell>
          <cell r="D9338" t="str">
            <v>CK</v>
          </cell>
        </row>
        <row r="9339">
          <cell r="A9339" t="str">
            <v>FB260011894</v>
          </cell>
          <cell r="D9339" t="str">
            <v>WOX</v>
          </cell>
        </row>
        <row r="9340">
          <cell r="A9340" t="str">
            <v>FB260011898</v>
          </cell>
          <cell r="D9340" t="str">
            <v>NEX</v>
          </cell>
        </row>
        <row r="9341">
          <cell r="A9341" t="str">
            <v>FB260011899</v>
          </cell>
          <cell r="D9341" t="str">
            <v>NEX</v>
          </cell>
        </row>
        <row r="9342">
          <cell r="A9342" t="str">
            <v>FB260011900</v>
          </cell>
          <cell r="D9342" t="str">
            <v>NEX</v>
          </cell>
        </row>
        <row r="9343">
          <cell r="A9343" t="str">
            <v>FB260011902</v>
          </cell>
          <cell r="D9343" t="str">
            <v>CK</v>
          </cell>
        </row>
        <row r="9344">
          <cell r="A9344" t="str">
            <v>FB260011903</v>
          </cell>
          <cell r="D9344" t="str">
            <v>CK</v>
          </cell>
        </row>
        <row r="9345">
          <cell r="A9345" t="str">
            <v>FB260011909</v>
          </cell>
          <cell r="D9345" t="str">
            <v>VSS</v>
          </cell>
        </row>
        <row r="9346">
          <cell r="A9346" t="str">
            <v>FB260011910</v>
          </cell>
          <cell r="D9346" t="str">
            <v>VSS</v>
          </cell>
        </row>
        <row r="9347">
          <cell r="A9347" t="str">
            <v>FB260011911</v>
          </cell>
          <cell r="D9347" t="str">
            <v>VSS</v>
          </cell>
        </row>
        <row r="9348">
          <cell r="A9348" t="str">
            <v>FB260011912</v>
          </cell>
          <cell r="D9348" t="str">
            <v>VSS</v>
          </cell>
        </row>
        <row r="9349">
          <cell r="A9349" t="str">
            <v>FB260011913</v>
          </cell>
          <cell r="D9349" t="str">
            <v>VSS</v>
          </cell>
        </row>
        <row r="9350">
          <cell r="A9350" t="str">
            <v>FB260011914</v>
          </cell>
          <cell r="D9350" t="str">
            <v>VSS</v>
          </cell>
        </row>
        <row r="9351">
          <cell r="A9351" t="str">
            <v>FB260011916</v>
          </cell>
          <cell r="D9351" t="str">
            <v>VSS</v>
          </cell>
        </row>
        <row r="9352">
          <cell r="A9352" t="str">
            <v>FB260011917</v>
          </cell>
          <cell r="D9352" t="str">
            <v>VSS</v>
          </cell>
        </row>
        <row r="9353">
          <cell r="A9353" t="str">
            <v>FB260011918</v>
          </cell>
          <cell r="D9353" t="str">
            <v>VSS</v>
          </cell>
        </row>
        <row r="9354">
          <cell r="A9354" t="str">
            <v>FB260011921</v>
          </cell>
          <cell r="D9354" t="str">
            <v>NIK</v>
          </cell>
        </row>
        <row r="9355">
          <cell r="A9355" t="str">
            <v>FB260011922</v>
          </cell>
          <cell r="D9355" t="str">
            <v>NIK</v>
          </cell>
        </row>
        <row r="9356">
          <cell r="A9356" t="str">
            <v>FB260011923</v>
          </cell>
          <cell r="D9356" t="str">
            <v>NIK</v>
          </cell>
        </row>
        <row r="9357">
          <cell r="A9357" t="str">
            <v>FB260011924</v>
          </cell>
          <cell r="D9357" t="str">
            <v>CK</v>
          </cell>
        </row>
        <row r="9358">
          <cell r="A9358" t="str">
            <v>FB260011926</v>
          </cell>
          <cell r="D9358" t="str">
            <v>VSS</v>
          </cell>
        </row>
        <row r="9359">
          <cell r="A9359" t="str">
            <v>FB260011928</v>
          </cell>
          <cell r="D9359" t="str">
            <v>NIK</v>
          </cell>
        </row>
        <row r="9360">
          <cell r="A9360" t="str">
            <v>FB260011929</v>
          </cell>
          <cell r="D9360" t="str">
            <v>NIK</v>
          </cell>
        </row>
        <row r="9361">
          <cell r="A9361" t="str">
            <v>FB260011930</v>
          </cell>
          <cell r="D9361" t="str">
            <v>NIK</v>
          </cell>
        </row>
        <row r="9362">
          <cell r="A9362" t="str">
            <v>FB260011931</v>
          </cell>
          <cell r="D9362" t="str">
            <v>NIK</v>
          </cell>
        </row>
        <row r="9363">
          <cell r="A9363" t="str">
            <v>FB260011932</v>
          </cell>
          <cell r="D9363" t="str">
            <v>NIK</v>
          </cell>
        </row>
        <row r="9364">
          <cell r="A9364" t="str">
            <v>FB260011933</v>
          </cell>
          <cell r="D9364" t="str">
            <v>NIK</v>
          </cell>
        </row>
        <row r="9365">
          <cell r="A9365" t="str">
            <v>FB260011934</v>
          </cell>
          <cell r="D9365" t="str">
            <v>NIK</v>
          </cell>
        </row>
        <row r="9366">
          <cell r="A9366" t="str">
            <v>FB260011937</v>
          </cell>
          <cell r="D9366" t="str">
            <v>NIK</v>
          </cell>
        </row>
        <row r="9367">
          <cell r="A9367" t="str">
            <v>FB260011941</v>
          </cell>
          <cell r="D9367" t="str">
            <v>PEP</v>
          </cell>
        </row>
        <row r="9368">
          <cell r="A9368" t="str">
            <v>FB260011943</v>
          </cell>
          <cell r="D9368" t="str">
            <v>PINK</v>
          </cell>
        </row>
        <row r="9369">
          <cell r="A9369" t="str">
            <v>FB260011947</v>
          </cell>
          <cell r="D9369" t="str">
            <v>WACE</v>
          </cell>
        </row>
        <row r="9370">
          <cell r="A9370" t="str">
            <v>FB260011948</v>
          </cell>
          <cell r="D9370" t="str">
            <v>WACE</v>
          </cell>
        </row>
        <row r="9371">
          <cell r="A9371" t="str">
            <v>FB260011950</v>
          </cell>
          <cell r="D9371" t="str">
            <v>CK</v>
          </cell>
        </row>
        <row r="9372">
          <cell r="A9372" t="str">
            <v>FB260011955</v>
          </cell>
          <cell r="D9372" t="str">
            <v>CHICOS</v>
          </cell>
        </row>
        <row r="9373">
          <cell r="A9373" t="str">
            <v>FB260011956</v>
          </cell>
          <cell r="D9373" t="str">
            <v>VSS</v>
          </cell>
        </row>
        <row r="9374">
          <cell r="A9374" t="str">
            <v>FB260011959</v>
          </cell>
          <cell r="D9374" t="str">
            <v>NKSKI</v>
          </cell>
        </row>
        <row r="9375">
          <cell r="A9375" t="str">
            <v>FB260011960</v>
          </cell>
          <cell r="D9375" t="str">
            <v>CK</v>
          </cell>
        </row>
        <row r="9376">
          <cell r="A9376" t="str">
            <v>FB260011961</v>
          </cell>
          <cell r="D9376" t="str">
            <v>GAPO</v>
          </cell>
        </row>
        <row r="9377">
          <cell r="A9377" t="str">
            <v>FB260011965</v>
          </cell>
          <cell r="D9377" t="str">
            <v>VSS</v>
          </cell>
        </row>
        <row r="9378">
          <cell r="A9378" t="str">
            <v>FB260011967</v>
          </cell>
          <cell r="D9378" t="str">
            <v>NIK</v>
          </cell>
        </row>
        <row r="9379">
          <cell r="A9379" t="str">
            <v>FB260011968</v>
          </cell>
          <cell r="D9379" t="str">
            <v>NIK</v>
          </cell>
        </row>
        <row r="9380">
          <cell r="A9380" t="str">
            <v>FB260011969</v>
          </cell>
          <cell r="D9380" t="str">
            <v>NIK</v>
          </cell>
        </row>
        <row r="9381">
          <cell r="A9381" t="str">
            <v>FB260011970</v>
          </cell>
          <cell r="D9381" t="str">
            <v>NIK</v>
          </cell>
        </row>
        <row r="9382">
          <cell r="A9382" t="str">
            <v>FB260011971</v>
          </cell>
          <cell r="D9382" t="str">
            <v>NIK</v>
          </cell>
        </row>
        <row r="9383">
          <cell r="A9383" t="str">
            <v>FB260011972</v>
          </cell>
          <cell r="D9383" t="str">
            <v>NIK</v>
          </cell>
        </row>
        <row r="9384">
          <cell r="A9384" t="str">
            <v>FB260011973</v>
          </cell>
          <cell r="D9384" t="str">
            <v>NIK</v>
          </cell>
        </row>
        <row r="9385">
          <cell r="A9385" t="str">
            <v>FB260011974</v>
          </cell>
          <cell r="D9385" t="str">
            <v>NIK</v>
          </cell>
        </row>
        <row r="9386">
          <cell r="A9386" t="str">
            <v>FB260011981</v>
          </cell>
          <cell r="D9386" t="str">
            <v>NKSKI</v>
          </cell>
        </row>
        <row r="9387">
          <cell r="A9387" t="str">
            <v>FB260011982</v>
          </cell>
          <cell r="D9387" t="str">
            <v>NKSKI</v>
          </cell>
        </row>
        <row r="9388">
          <cell r="A9388" t="str">
            <v>FB260011983</v>
          </cell>
          <cell r="D9388" t="str">
            <v>VSS</v>
          </cell>
        </row>
        <row r="9389">
          <cell r="A9389" t="str">
            <v>FB260011984</v>
          </cell>
          <cell r="D9389" t="str">
            <v>VSS</v>
          </cell>
        </row>
        <row r="9390">
          <cell r="A9390" t="str">
            <v>FB260011987</v>
          </cell>
          <cell r="D9390" t="str">
            <v>WACE</v>
          </cell>
        </row>
        <row r="9391">
          <cell r="A9391" t="str">
            <v>FB260011988</v>
          </cell>
          <cell r="D9391" t="str">
            <v>WACE</v>
          </cell>
        </row>
        <row r="9392">
          <cell r="A9392" t="str">
            <v>FB260011989</v>
          </cell>
          <cell r="D9392" t="str">
            <v>VSS</v>
          </cell>
        </row>
        <row r="9393">
          <cell r="A9393" t="str">
            <v>FB260011994</v>
          </cell>
          <cell r="D9393" t="str">
            <v>VSS</v>
          </cell>
        </row>
        <row r="9394">
          <cell r="A9394" t="str">
            <v>FB260011995</v>
          </cell>
          <cell r="D9394" t="str">
            <v>VSS</v>
          </cell>
        </row>
        <row r="9395">
          <cell r="A9395" t="str">
            <v>FB260011996</v>
          </cell>
          <cell r="D9395" t="str">
            <v>VSS</v>
          </cell>
        </row>
        <row r="9396">
          <cell r="A9396" t="str">
            <v>FB260011997</v>
          </cell>
          <cell r="D9396" t="str">
            <v>VSS</v>
          </cell>
        </row>
        <row r="9397">
          <cell r="A9397" t="str">
            <v>FB260012002</v>
          </cell>
          <cell r="D9397" t="str">
            <v>CK</v>
          </cell>
        </row>
        <row r="9398">
          <cell r="A9398" t="str">
            <v>FB260012003</v>
          </cell>
          <cell r="D9398" t="str">
            <v>PINK</v>
          </cell>
        </row>
        <row r="9399">
          <cell r="A9399" t="str">
            <v>FB260012016</v>
          </cell>
          <cell r="D9399" t="str">
            <v>VSS</v>
          </cell>
        </row>
        <row r="9400">
          <cell r="A9400" t="str">
            <v>FB260012017</v>
          </cell>
          <cell r="D9400" t="str">
            <v>VSS</v>
          </cell>
        </row>
        <row r="9401">
          <cell r="A9401" t="str">
            <v>FB260012018</v>
          </cell>
          <cell r="D9401" t="str">
            <v>VSS</v>
          </cell>
        </row>
        <row r="9402">
          <cell r="A9402" t="str">
            <v>FB260012019</v>
          </cell>
          <cell r="D9402" t="str">
            <v>VSS</v>
          </cell>
        </row>
        <row r="9403">
          <cell r="A9403" t="str">
            <v>FB260012020</v>
          </cell>
          <cell r="D9403" t="str">
            <v>WACE</v>
          </cell>
        </row>
        <row r="9404">
          <cell r="A9404" t="str">
            <v>FB260012025</v>
          </cell>
          <cell r="D9404" t="str">
            <v>VSS</v>
          </cell>
        </row>
        <row r="9405">
          <cell r="A9405" t="str">
            <v>FB260012026</v>
          </cell>
          <cell r="D9405" t="str">
            <v>VSS</v>
          </cell>
        </row>
        <row r="9406">
          <cell r="A9406" t="str">
            <v>FB260012027</v>
          </cell>
          <cell r="D9406" t="str">
            <v>VSS</v>
          </cell>
        </row>
        <row r="9407">
          <cell r="A9407" t="str">
            <v>FB260012029</v>
          </cell>
          <cell r="D9407" t="str">
            <v>VSS</v>
          </cell>
        </row>
        <row r="9408">
          <cell r="A9408" t="str">
            <v>FB260012030</v>
          </cell>
          <cell r="D9408" t="str">
            <v>VSS</v>
          </cell>
        </row>
        <row r="9409">
          <cell r="A9409" t="str">
            <v>FB260012031</v>
          </cell>
          <cell r="D9409" t="str">
            <v>PINK</v>
          </cell>
        </row>
        <row r="9410">
          <cell r="A9410" t="str">
            <v>FB260012032</v>
          </cell>
          <cell r="D9410" t="str">
            <v>PINK</v>
          </cell>
        </row>
        <row r="9411">
          <cell r="A9411" t="str">
            <v>FB260012034</v>
          </cell>
          <cell r="D9411" t="str">
            <v>VSS</v>
          </cell>
        </row>
        <row r="9412">
          <cell r="A9412" t="str">
            <v>FB260012035</v>
          </cell>
          <cell r="D9412" t="str">
            <v>PINK</v>
          </cell>
        </row>
        <row r="9413">
          <cell r="A9413" t="str">
            <v>FB260012037</v>
          </cell>
          <cell r="D9413" t="str">
            <v>LULU</v>
          </cell>
        </row>
        <row r="9414">
          <cell r="A9414" t="str">
            <v>FB260012038</v>
          </cell>
          <cell r="D9414" t="str">
            <v>NIK</v>
          </cell>
        </row>
        <row r="9415">
          <cell r="A9415" t="str">
            <v>FB260012039</v>
          </cell>
          <cell r="D9415" t="str">
            <v>NIK</v>
          </cell>
        </row>
        <row r="9416">
          <cell r="A9416" t="str">
            <v>FB260012040</v>
          </cell>
          <cell r="D9416" t="str">
            <v>VSS</v>
          </cell>
        </row>
        <row r="9417">
          <cell r="A9417" t="str">
            <v>FB260012043</v>
          </cell>
          <cell r="D9417" t="str">
            <v>VSS</v>
          </cell>
        </row>
        <row r="9418">
          <cell r="A9418" t="str">
            <v>FB260012045</v>
          </cell>
          <cell r="D9418" t="str">
            <v>VSS</v>
          </cell>
        </row>
        <row r="9419">
          <cell r="A9419" t="str">
            <v>FB260012048</v>
          </cell>
          <cell r="D9419" t="str">
            <v>VSS</v>
          </cell>
        </row>
        <row r="9420">
          <cell r="A9420" t="str">
            <v>FB260012051</v>
          </cell>
          <cell r="D9420" t="str">
            <v>VSS</v>
          </cell>
        </row>
        <row r="9421">
          <cell r="A9421" t="str">
            <v>FB260012053</v>
          </cell>
          <cell r="D9421" t="str">
            <v>VSS</v>
          </cell>
        </row>
        <row r="9422">
          <cell r="A9422" t="str">
            <v>FB260012059</v>
          </cell>
          <cell r="D9422" t="str">
            <v>NIK</v>
          </cell>
        </row>
        <row r="9423">
          <cell r="A9423" t="str">
            <v>FB260012060</v>
          </cell>
          <cell r="D9423" t="str">
            <v>NIK</v>
          </cell>
        </row>
        <row r="9424">
          <cell r="A9424" t="str">
            <v>FB260012061</v>
          </cell>
          <cell r="D9424" t="str">
            <v>INT1</v>
          </cell>
        </row>
        <row r="9425">
          <cell r="A9425" t="str">
            <v>FB260012062</v>
          </cell>
          <cell r="D9425" t="str">
            <v>INT1</v>
          </cell>
        </row>
        <row r="9426">
          <cell r="A9426" t="str">
            <v>FB260012063</v>
          </cell>
          <cell r="D9426" t="str">
            <v>INT1</v>
          </cell>
        </row>
        <row r="9427">
          <cell r="A9427" t="str">
            <v>FB260012064</v>
          </cell>
          <cell r="D9427" t="str">
            <v>NIK</v>
          </cell>
        </row>
        <row r="9428">
          <cell r="A9428" t="str">
            <v>FB260012065</v>
          </cell>
          <cell r="D9428" t="str">
            <v>VSS</v>
          </cell>
        </row>
        <row r="9429">
          <cell r="A9429" t="str">
            <v>FB260012066</v>
          </cell>
          <cell r="D9429" t="str">
            <v>VSS</v>
          </cell>
        </row>
        <row r="9430">
          <cell r="A9430" t="str">
            <v>FB260012067</v>
          </cell>
          <cell r="D9430" t="str">
            <v>VSS</v>
          </cell>
        </row>
        <row r="9431">
          <cell r="A9431" t="str">
            <v>FB260012068</v>
          </cell>
          <cell r="D9431" t="str">
            <v>VSS</v>
          </cell>
        </row>
        <row r="9432">
          <cell r="A9432" t="str">
            <v>FB260012069</v>
          </cell>
          <cell r="D9432" t="str">
            <v>SPEE</v>
          </cell>
        </row>
        <row r="9433">
          <cell r="A9433" t="str">
            <v>FB260012071</v>
          </cell>
          <cell r="D9433" t="str">
            <v>VSS</v>
          </cell>
        </row>
        <row r="9434">
          <cell r="A9434" t="str">
            <v>FB260012072</v>
          </cell>
          <cell r="D9434" t="str">
            <v>VSS</v>
          </cell>
        </row>
        <row r="9435">
          <cell r="A9435" t="str">
            <v>FB260012073</v>
          </cell>
          <cell r="D9435" t="str">
            <v>VSS</v>
          </cell>
        </row>
        <row r="9436">
          <cell r="A9436" t="str">
            <v>FB260012074</v>
          </cell>
          <cell r="D9436" t="str">
            <v>VSS</v>
          </cell>
        </row>
        <row r="9437">
          <cell r="A9437" t="str">
            <v>FB260012075</v>
          </cell>
          <cell r="D9437" t="str">
            <v>NIK</v>
          </cell>
        </row>
        <row r="9438">
          <cell r="A9438" t="str">
            <v>FB260012076</v>
          </cell>
          <cell r="D9438" t="str">
            <v>GAP</v>
          </cell>
        </row>
        <row r="9439">
          <cell r="A9439" t="str">
            <v>FB260012078</v>
          </cell>
          <cell r="D9439" t="str">
            <v>NIK</v>
          </cell>
        </row>
        <row r="9440">
          <cell r="A9440" t="str">
            <v>FB260012086</v>
          </cell>
          <cell r="D9440" t="str">
            <v>WACE</v>
          </cell>
        </row>
        <row r="9441">
          <cell r="A9441" t="str">
            <v>FB260012091</v>
          </cell>
          <cell r="D9441" t="str">
            <v>VSS</v>
          </cell>
        </row>
        <row r="9442">
          <cell r="A9442" t="str">
            <v>FB260012092</v>
          </cell>
          <cell r="D9442" t="str">
            <v>VSS</v>
          </cell>
        </row>
        <row r="9443">
          <cell r="A9443" t="str">
            <v>FB260012094</v>
          </cell>
          <cell r="D9443" t="str">
            <v>VSS</v>
          </cell>
        </row>
        <row r="9444">
          <cell r="A9444" t="str">
            <v>FB260012096</v>
          </cell>
          <cell r="D9444" t="str">
            <v>VSS</v>
          </cell>
        </row>
        <row r="9445">
          <cell r="A9445" t="str">
            <v>FB260012100</v>
          </cell>
          <cell r="D9445" t="str">
            <v>VSS</v>
          </cell>
        </row>
        <row r="9446">
          <cell r="A9446" t="str">
            <v>FB260012101</v>
          </cell>
          <cell r="D9446" t="str">
            <v>VSS</v>
          </cell>
        </row>
        <row r="9447">
          <cell r="A9447" t="str">
            <v>FB260012102</v>
          </cell>
          <cell r="D9447" t="str">
            <v>NIK</v>
          </cell>
        </row>
        <row r="9448">
          <cell r="A9448" t="str">
            <v>FB260012104</v>
          </cell>
          <cell r="D9448" t="str">
            <v>NIK</v>
          </cell>
        </row>
        <row r="9449">
          <cell r="A9449" t="str">
            <v>FB260012106</v>
          </cell>
          <cell r="D9449" t="str">
            <v>NIK</v>
          </cell>
        </row>
        <row r="9450">
          <cell r="A9450" t="str">
            <v>FB260012107</v>
          </cell>
          <cell r="D9450" t="str">
            <v>VSS</v>
          </cell>
        </row>
        <row r="9451">
          <cell r="A9451" t="str">
            <v>FB260012108</v>
          </cell>
          <cell r="D9451" t="str">
            <v>VSS</v>
          </cell>
        </row>
        <row r="9452">
          <cell r="A9452" t="str">
            <v>FB260012109</v>
          </cell>
          <cell r="D9452" t="str">
            <v>NIK</v>
          </cell>
        </row>
        <row r="9453">
          <cell r="A9453" t="str">
            <v>FB260012110</v>
          </cell>
          <cell r="D9453" t="str">
            <v>NIK</v>
          </cell>
        </row>
        <row r="9454">
          <cell r="A9454" t="str">
            <v>FB260012112</v>
          </cell>
          <cell r="D9454" t="str">
            <v>NIK</v>
          </cell>
        </row>
        <row r="9455">
          <cell r="A9455" t="str">
            <v>FB260012113</v>
          </cell>
          <cell r="D9455" t="str">
            <v>NIK</v>
          </cell>
        </row>
        <row r="9456">
          <cell r="A9456" t="str">
            <v>FB260012114</v>
          </cell>
          <cell r="D9456" t="str">
            <v>NIK</v>
          </cell>
        </row>
        <row r="9457">
          <cell r="A9457" t="str">
            <v>FB260012115</v>
          </cell>
          <cell r="D9457" t="str">
            <v>NIK</v>
          </cell>
        </row>
        <row r="9458">
          <cell r="A9458" t="str">
            <v>FB260012116</v>
          </cell>
          <cell r="D9458" t="str">
            <v>NIK</v>
          </cell>
        </row>
        <row r="9459">
          <cell r="A9459" t="str">
            <v>FB260012117</v>
          </cell>
          <cell r="D9459" t="str">
            <v>NIK</v>
          </cell>
        </row>
        <row r="9460">
          <cell r="A9460" t="str">
            <v>FB260012118</v>
          </cell>
          <cell r="D9460" t="str">
            <v>VSS</v>
          </cell>
        </row>
        <row r="9461">
          <cell r="A9461" t="str">
            <v>FB260012119</v>
          </cell>
          <cell r="D9461" t="str">
            <v>VSS</v>
          </cell>
        </row>
        <row r="9462">
          <cell r="A9462" t="str">
            <v>FB260012120</v>
          </cell>
          <cell r="D9462" t="str">
            <v>VSS</v>
          </cell>
        </row>
        <row r="9463">
          <cell r="A9463" t="str">
            <v>FB260012121</v>
          </cell>
          <cell r="D9463" t="str">
            <v>VSS</v>
          </cell>
        </row>
        <row r="9464">
          <cell r="A9464" t="str">
            <v>FB260012123</v>
          </cell>
          <cell r="D9464" t="str">
            <v>PINK</v>
          </cell>
        </row>
        <row r="9465">
          <cell r="A9465" t="str">
            <v>FB260012124</v>
          </cell>
          <cell r="D9465" t="str">
            <v>PINK</v>
          </cell>
        </row>
        <row r="9466">
          <cell r="A9466" t="str">
            <v>FB260012125</v>
          </cell>
          <cell r="D9466" t="str">
            <v>PINK</v>
          </cell>
        </row>
        <row r="9467">
          <cell r="A9467" t="str">
            <v>FB260012127</v>
          </cell>
          <cell r="D9467" t="str">
            <v>LULU</v>
          </cell>
        </row>
        <row r="9468">
          <cell r="A9468" t="str">
            <v>FB260012128</v>
          </cell>
          <cell r="D9468" t="str">
            <v>LULU</v>
          </cell>
        </row>
        <row r="9469">
          <cell r="A9469" t="str">
            <v>FB260012134</v>
          </cell>
          <cell r="D9469" t="str">
            <v>VSS</v>
          </cell>
        </row>
        <row r="9470">
          <cell r="A9470" t="str">
            <v>FB260012135</v>
          </cell>
          <cell r="D9470" t="str">
            <v>VSS</v>
          </cell>
        </row>
        <row r="9471">
          <cell r="A9471" t="str">
            <v>FB260012139</v>
          </cell>
          <cell r="D9471" t="str">
            <v>VSS</v>
          </cell>
        </row>
        <row r="9472">
          <cell r="A9472" t="str">
            <v>FB260012140</v>
          </cell>
          <cell r="D9472" t="str">
            <v>VSS</v>
          </cell>
        </row>
        <row r="9473">
          <cell r="A9473" t="str">
            <v>FB260012156</v>
          </cell>
          <cell r="D9473" t="str">
            <v>NIK</v>
          </cell>
        </row>
        <row r="9474">
          <cell r="A9474" t="str">
            <v>FB260012157</v>
          </cell>
          <cell r="D9474" t="str">
            <v>NIK</v>
          </cell>
        </row>
        <row r="9475">
          <cell r="A9475" t="str">
            <v>FB260012160</v>
          </cell>
          <cell r="D9475" t="str">
            <v>WACE</v>
          </cell>
        </row>
        <row r="9476">
          <cell r="A9476" t="str">
            <v>FB260012163</v>
          </cell>
          <cell r="D9476" t="str">
            <v>CK</v>
          </cell>
        </row>
        <row r="9477">
          <cell r="A9477" t="str">
            <v>FB260012164</v>
          </cell>
          <cell r="D9477" t="str">
            <v>NIK</v>
          </cell>
        </row>
        <row r="9478">
          <cell r="A9478" t="str">
            <v>FB260012165</v>
          </cell>
          <cell r="D9478" t="str">
            <v>NIK</v>
          </cell>
        </row>
        <row r="9479">
          <cell r="A9479" t="str">
            <v>FB260012173</v>
          </cell>
          <cell r="D9479" t="str">
            <v>VSS</v>
          </cell>
        </row>
        <row r="9480">
          <cell r="A9480" t="str">
            <v>FB260012175</v>
          </cell>
          <cell r="D9480" t="str">
            <v>VSS</v>
          </cell>
        </row>
        <row r="9481">
          <cell r="A9481" t="str">
            <v>FB260012176</v>
          </cell>
          <cell r="D9481" t="str">
            <v>VSS</v>
          </cell>
        </row>
        <row r="9482">
          <cell r="A9482" t="str">
            <v>FB260012177</v>
          </cell>
          <cell r="D9482" t="str">
            <v>VSS</v>
          </cell>
        </row>
        <row r="9483">
          <cell r="A9483" t="str">
            <v>FB260012180</v>
          </cell>
          <cell r="D9483" t="str">
            <v>NIK</v>
          </cell>
        </row>
        <row r="9484">
          <cell r="A9484" t="str">
            <v>FB260012184</v>
          </cell>
          <cell r="D9484" t="str">
            <v>VSS</v>
          </cell>
        </row>
        <row r="9485">
          <cell r="A9485" t="str">
            <v>FB260012185</v>
          </cell>
          <cell r="D9485" t="str">
            <v>VSS</v>
          </cell>
        </row>
        <row r="9486">
          <cell r="A9486" t="str">
            <v>FB260012188</v>
          </cell>
          <cell r="D9486" t="str">
            <v>VSS</v>
          </cell>
        </row>
        <row r="9487">
          <cell r="A9487" t="str">
            <v>FB260012189</v>
          </cell>
          <cell r="D9487" t="str">
            <v>VSS</v>
          </cell>
        </row>
        <row r="9488">
          <cell r="A9488" t="str">
            <v>FB260012190</v>
          </cell>
          <cell r="D9488" t="str">
            <v>VSS</v>
          </cell>
        </row>
        <row r="9489">
          <cell r="A9489" t="str">
            <v>FB260012191</v>
          </cell>
          <cell r="D9489" t="str">
            <v>VSS</v>
          </cell>
        </row>
        <row r="9490">
          <cell r="A9490" t="str">
            <v>FB260012192</v>
          </cell>
          <cell r="D9490" t="str">
            <v>VSS</v>
          </cell>
        </row>
        <row r="9491">
          <cell r="A9491" t="str">
            <v>FB260012193</v>
          </cell>
          <cell r="D9491" t="str">
            <v>VSS</v>
          </cell>
        </row>
        <row r="9492">
          <cell r="A9492" t="str">
            <v>FB260012194</v>
          </cell>
          <cell r="D9492" t="str">
            <v>VSS</v>
          </cell>
        </row>
        <row r="9493">
          <cell r="A9493" t="str">
            <v>FB260012195</v>
          </cell>
          <cell r="D9493" t="str">
            <v>VSS</v>
          </cell>
        </row>
        <row r="9494">
          <cell r="A9494" t="str">
            <v>FB260012196</v>
          </cell>
          <cell r="D9494" t="str">
            <v>NIK</v>
          </cell>
        </row>
        <row r="9495">
          <cell r="A9495" t="str">
            <v>FB260012197</v>
          </cell>
          <cell r="D9495" t="str">
            <v>NIK</v>
          </cell>
        </row>
        <row r="9496">
          <cell r="A9496" t="str">
            <v>FB260012203</v>
          </cell>
          <cell r="D9496" t="str">
            <v>NIK</v>
          </cell>
        </row>
        <row r="9497">
          <cell r="A9497" t="str">
            <v>FB260012205</v>
          </cell>
          <cell r="D9497" t="str">
            <v>VSS</v>
          </cell>
        </row>
        <row r="9498">
          <cell r="A9498" t="str">
            <v>FB260012206</v>
          </cell>
          <cell r="D9498" t="str">
            <v>VSS</v>
          </cell>
        </row>
        <row r="9499">
          <cell r="A9499" t="str">
            <v>FB260012209</v>
          </cell>
          <cell r="D9499" t="str">
            <v>AISLE</v>
          </cell>
        </row>
        <row r="9500">
          <cell r="A9500" t="str">
            <v>FB260012211</v>
          </cell>
          <cell r="D9500" t="str">
            <v>VSS</v>
          </cell>
        </row>
        <row r="9501">
          <cell r="A9501" t="str">
            <v>FB260012214</v>
          </cell>
          <cell r="D9501" t="str">
            <v>VSS</v>
          </cell>
        </row>
        <row r="9502">
          <cell r="A9502" t="str">
            <v>FB260012220</v>
          </cell>
          <cell r="D9502" t="str">
            <v>PINK</v>
          </cell>
        </row>
        <row r="9503">
          <cell r="A9503" t="str">
            <v>FB260012224</v>
          </cell>
          <cell r="D9503" t="str">
            <v>VSS</v>
          </cell>
        </row>
        <row r="9504">
          <cell r="A9504" t="str">
            <v>FB260012228</v>
          </cell>
          <cell r="D9504" t="str">
            <v>VSS</v>
          </cell>
        </row>
        <row r="9505">
          <cell r="A9505" t="str">
            <v>FB260012229</v>
          </cell>
          <cell r="D9505" t="str">
            <v>VSS</v>
          </cell>
        </row>
        <row r="9506">
          <cell r="A9506" t="str">
            <v>FB260012230</v>
          </cell>
          <cell r="D9506" t="str">
            <v>VSS</v>
          </cell>
        </row>
        <row r="9507">
          <cell r="A9507" t="str">
            <v>FB260012231</v>
          </cell>
          <cell r="D9507" t="str">
            <v>WACE</v>
          </cell>
        </row>
        <row r="9508">
          <cell r="A9508" t="str">
            <v>FB260012232</v>
          </cell>
          <cell r="D9508" t="str">
            <v>NIK</v>
          </cell>
        </row>
        <row r="9509">
          <cell r="A9509" t="str">
            <v>FB260012233</v>
          </cell>
          <cell r="D9509" t="str">
            <v>PINK</v>
          </cell>
        </row>
        <row r="9510">
          <cell r="A9510" t="str">
            <v>FB260012234</v>
          </cell>
          <cell r="D9510" t="str">
            <v>PINK</v>
          </cell>
        </row>
        <row r="9511">
          <cell r="A9511" t="str">
            <v>FB260012235</v>
          </cell>
          <cell r="D9511" t="str">
            <v>PINK</v>
          </cell>
        </row>
        <row r="9512">
          <cell r="A9512" t="str">
            <v>FB260012236</v>
          </cell>
          <cell r="D9512" t="str">
            <v>VSS</v>
          </cell>
        </row>
        <row r="9513">
          <cell r="A9513" t="str">
            <v>FB260012238</v>
          </cell>
          <cell r="D9513" t="str">
            <v>PINK</v>
          </cell>
        </row>
        <row r="9514">
          <cell r="A9514" t="str">
            <v>FB260012239</v>
          </cell>
          <cell r="D9514" t="str">
            <v>PINK</v>
          </cell>
        </row>
        <row r="9515">
          <cell r="A9515" t="str">
            <v>FB260012240</v>
          </cell>
          <cell r="D9515" t="str">
            <v>PINK</v>
          </cell>
        </row>
        <row r="9516">
          <cell r="A9516" t="str">
            <v>FB260012241</v>
          </cell>
          <cell r="D9516" t="str">
            <v>PINK</v>
          </cell>
        </row>
        <row r="9517">
          <cell r="A9517" t="str">
            <v>FB260012242</v>
          </cell>
          <cell r="D9517" t="str">
            <v>PINK</v>
          </cell>
        </row>
        <row r="9518">
          <cell r="A9518" t="str">
            <v>FB260012243</v>
          </cell>
          <cell r="D9518" t="str">
            <v>PINK</v>
          </cell>
        </row>
        <row r="9519">
          <cell r="A9519" t="str">
            <v>FB260012244</v>
          </cell>
          <cell r="D9519" t="str">
            <v>NIK</v>
          </cell>
        </row>
        <row r="9520">
          <cell r="A9520" t="str">
            <v>FB260012246</v>
          </cell>
          <cell r="D9520" t="str">
            <v>WACE</v>
          </cell>
        </row>
        <row r="9521">
          <cell r="A9521" t="str">
            <v>FB260012249</v>
          </cell>
          <cell r="D9521" t="str">
            <v>WACE</v>
          </cell>
        </row>
        <row r="9522">
          <cell r="A9522" t="str">
            <v>FB260012252</v>
          </cell>
          <cell r="D9522" t="str">
            <v>GAP</v>
          </cell>
        </row>
        <row r="9523">
          <cell r="A9523" t="str">
            <v>FB260012253</v>
          </cell>
          <cell r="D9523" t="str">
            <v>VSS</v>
          </cell>
        </row>
        <row r="9524">
          <cell r="A9524" t="str">
            <v>FB260012254</v>
          </cell>
          <cell r="D9524" t="str">
            <v>NIK</v>
          </cell>
        </row>
        <row r="9525">
          <cell r="A9525" t="str">
            <v>FB260012255</v>
          </cell>
          <cell r="D9525" t="str">
            <v>NIK</v>
          </cell>
        </row>
        <row r="9526">
          <cell r="A9526" t="str">
            <v>FB260012256</v>
          </cell>
          <cell r="D9526" t="str">
            <v>CK</v>
          </cell>
        </row>
        <row r="9527">
          <cell r="A9527" t="str">
            <v>FB260012257</v>
          </cell>
          <cell r="D9527" t="str">
            <v>CK</v>
          </cell>
        </row>
        <row r="9528">
          <cell r="A9528" t="str">
            <v>FB260012258</v>
          </cell>
          <cell r="D9528" t="str">
            <v>PINK</v>
          </cell>
        </row>
        <row r="9529">
          <cell r="A9529" t="str">
            <v>FB260012259</v>
          </cell>
          <cell r="D9529" t="str">
            <v>PINK</v>
          </cell>
        </row>
        <row r="9530">
          <cell r="A9530" t="str">
            <v>FB260012260</v>
          </cell>
          <cell r="D9530" t="str">
            <v>PINK</v>
          </cell>
        </row>
        <row r="9531">
          <cell r="A9531" t="str">
            <v>FB260012261</v>
          </cell>
          <cell r="D9531" t="str">
            <v>PINK</v>
          </cell>
        </row>
        <row r="9532">
          <cell r="A9532" t="str">
            <v>FB260012262</v>
          </cell>
          <cell r="D9532" t="str">
            <v>PINK</v>
          </cell>
        </row>
        <row r="9533">
          <cell r="A9533" t="str">
            <v>FB260012263</v>
          </cell>
          <cell r="D9533" t="str">
            <v>NIK</v>
          </cell>
        </row>
        <row r="9534">
          <cell r="A9534" t="str">
            <v>FB260012264</v>
          </cell>
          <cell r="D9534" t="str">
            <v>NIK</v>
          </cell>
        </row>
        <row r="9535">
          <cell r="A9535" t="str">
            <v>FB260012266</v>
          </cell>
          <cell r="D9535" t="str">
            <v>VSS</v>
          </cell>
        </row>
        <row r="9536">
          <cell r="A9536" t="str">
            <v>FB260012267</v>
          </cell>
          <cell r="D9536" t="str">
            <v>VSS</v>
          </cell>
        </row>
        <row r="9537">
          <cell r="A9537" t="str">
            <v>FB260012268</v>
          </cell>
          <cell r="D9537" t="str">
            <v>VSS</v>
          </cell>
        </row>
        <row r="9538">
          <cell r="A9538" t="str">
            <v>FB260012269</v>
          </cell>
          <cell r="D9538" t="str">
            <v>VSS</v>
          </cell>
        </row>
        <row r="9539">
          <cell r="A9539" t="str">
            <v>FB260012270</v>
          </cell>
          <cell r="D9539" t="str">
            <v>VSS</v>
          </cell>
        </row>
        <row r="9540">
          <cell r="A9540" t="str">
            <v>FB260012273</v>
          </cell>
          <cell r="D9540" t="str">
            <v>VSS</v>
          </cell>
        </row>
        <row r="9541">
          <cell r="A9541" t="str">
            <v>FB260012274</v>
          </cell>
          <cell r="D9541" t="str">
            <v>VSS</v>
          </cell>
        </row>
        <row r="9542">
          <cell r="A9542" t="str">
            <v>FB260012275</v>
          </cell>
          <cell r="D9542" t="str">
            <v>GAP</v>
          </cell>
        </row>
        <row r="9543">
          <cell r="A9543" t="str">
            <v>FB260012276</v>
          </cell>
          <cell r="D9543" t="str">
            <v>VSS</v>
          </cell>
        </row>
        <row r="9544">
          <cell r="A9544" t="str">
            <v>FB260012278</v>
          </cell>
          <cell r="D9544" t="str">
            <v>INT1</v>
          </cell>
        </row>
        <row r="9545">
          <cell r="A9545" t="str">
            <v>FB260012279</v>
          </cell>
          <cell r="D9545" t="str">
            <v>TESCO</v>
          </cell>
        </row>
        <row r="9546">
          <cell r="A9546" t="str">
            <v>FB260012281</v>
          </cell>
          <cell r="D9546" t="str">
            <v>PINK</v>
          </cell>
        </row>
        <row r="9547">
          <cell r="A9547" t="str">
            <v>FB260012282</v>
          </cell>
          <cell r="D9547" t="str">
            <v>VSS</v>
          </cell>
        </row>
        <row r="9548">
          <cell r="A9548" t="str">
            <v>FB260012283</v>
          </cell>
          <cell r="D9548" t="str">
            <v>PINK</v>
          </cell>
        </row>
        <row r="9549">
          <cell r="A9549" t="str">
            <v>FB260012287</v>
          </cell>
          <cell r="D9549" t="str">
            <v>PINK</v>
          </cell>
        </row>
        <row r="9550">
          <cell r="A9550" t="str">
            <v>FB260012288</v>
          </cell>
          <cell r="D9550" t="str">
            <v>PINK</v>
          </cell>
        </row>
        <row r="9551">
          <cell r="A9551" t="str">
            <v>FB260012289</v>
          </cell>
          <cell r="D9551" t="str">
            <v>VSS</v>
          </cell>
        </row>
        <row r="9552">
          <cell r="A9552" t="str">
            <v>FB260012295</v>
          </cell>
          <cell r="D9552" t="str">
            <v>LULU</v>
          </cell>
        </row>
        <row r="9553">
          <cell r="A9553" t="str">
            <v>FB260012303</v>
          </cell>
          <cell r="D9553" t="str">
            <v>CHICOS</v>
          </cell>
        </row>
        <row r="9554">
          <cell r="A9554" t="str">
            <v>FB260012308</v>
          </cell>
          <cell r="D9554" t="str">
            <v>GAP</v>
          </cell>
        </row>
        <row r="9555">
          <cell r="A9555" t="str">
            <v>FB260012309</v>
          </cell>
          <cell r="D9555" t="str">
            <v>GAP</v>
          </cell>
        </row>
        <row r="9556">
          <cell r="A9556" t="str">
            <v>FB260012310</v>
          </cell>
          <cell r="D9556" t="str">
            <v>NIK</v>
          </cell>
        </row>
        <row r="9557">
          <cell r="A9557" t="str">
            <v>FB260012311</v>
          </cell>
          <cell r="D9557" t="str">
            <v>NIK</v>
          </cell>
        </row>
        <row r="9558">
          <cell r="A9558" t="str">
            <v>FB260012312</v>
          </cell>
          <cell r="D9558" t="str">
            <v>NIK</v>
          </cell>
        </row>
        <row r="9559">
          <cell r="A9559" t="str">
            <v>FB260012314</v>
          </cell>
          <cell r="D9559" t="str">
            <v>VSS</v>
          </cell>
        </row>
        <row r="9560">
          <cell r="A9560" t="str">
            <v>FB260012315</v>
          </cell>
          <cell r="D9560" t="str">
            <v>INT1</v>
          </cell>
        </row>
        <row r="9561">
          <cell r="A9561" t="str">
            <v>FB260012316</v>
          </cell>
          <cell r="D9561" t="str">
            <v>INT1</v>
          </cell>
        </row>
        <row r="9562">
          <cell r="A9562" t="str">
            <v>FB260012319</v>
          </cell>
          <cell r="D9562" t="str">
            <v>CK</v>
          </cell>
        </row>
        <row r="9563">
          <cell r="A9563" t="str">
            <v>FB260012320</v>
          </cell>
          <cell r="D9563" t="str">
            <v>CK</v>
          </cell>
        </row>
        <row r="9564">
          <cell r="A9564" t="str">
            <v>FB260012327</v>
          </cell>
          <cell r="D9564" t="str">
            <v>VSS</v>
          </cell>
        </row>
        <row r="9565">
          <cell r="A9565" t="str">
            <v>FB260012329</v>
          </cell>
          <cell r="D9565" t="str">
            <v>VSS</v>
          </cell>
        </row>
        <row r="9566">
          <cell r="A9566" t="str">
            <v>FB260012330</v>
          </cell>
          <cell r="D9566" t="str">
            <v>VSS</v>
          </cell>
        </row>
        <row r="9567">
          <cell r="A9567" t="str">
            <v>FB260012332</v>
          </cell>
          <cell r="D9567" t="str">
            <v>VSS</v>
          </cell>
        </row>
        <row r="9568">
          <cell r="A9568" t="str">
            <v>FB260012333</v>
          </cell>
          <cell r="D9568" t="str">
            <v>VSS</v>
          </cell>
        </row>
        <row r="9569">
          <cell r="A9569" t="str">
            <v>FB260012335</v>
          </cell>
          <cell r="D9569" t="str">
            <v>VSS</v>
          </cell>
        </row>
        <row r="9570">
          <cell r="A9570" t="str">
            <v>FB260012336</v>
          </cell>
          <cell r="D9570" t="str">
            <v>VSS</v>
          </cell>
        </row>
        <row r="9571">
          <cell r="A9571" t="str">
            <v>FB260012337</v>
          </cell>
          <cell r="D9571" t="str">
            <v>VSS</v>
          </cell>
        </row>
        <row r="9572">
          <cell r="A9572" t="str">
            <v>FB260012338</v>
          </cell>
          <cell r="D9572" t="str">
            <v>NKSKI</v>
          </cell>
        </row>
        <row r="9573">
          <cell r="A9573" t="str">
            <v>FB260012340</v>
          </cell>
          <cell r="D9573" t="str">
            <v>CK</v>
          </cell>
        </row>
        <row r="9574">
          <cell r="A9574" t="str">
            <v>FB260012341</v>
          </cell>
          <cell r="D9574" t="str">
            <v>VSS</v>
          </cell>
        </row>
        <row r="9575">
          <cell r="A9575" t="str">
            <v>FB260012343</v>
          </cell>
          <cell r="D9575" t="str">
            <v>PINK</v>
          </cell>
        </row>
        <row r="9576">
          <cell r="A9576" t="str">
            <v>FB260012344</v>
          </cell>
          <cell r="D9576" t="str">
            <v>VSS</v>
          </cell>
        </row>
        <row r="9577">
          <cell r="A9577" t="str">
            <v>FB260012345</v>
          </cell>
          <cell r="D9577" t="str">
            <v>VSS</v>
          </cell>
        </row>
        <row r="9578">
          <cell r="A9578" t="str">
            <v>FB260012346</v>
          </cell>
          <cell r="D9578" t="str">
            <v>VSS</v>
          </cell>
        </row>
        <row r="9579">
          <cell r="A9579" t="str">
            <v>FB260012347</v>
          </cell>
          <cell r="D9579" t="str">
            <v>GAP</v>
          </cell>
        </row>
        <row r="9580">
          <cell r="A9580" t="str">
            <v>FB260012348</v>
          </cell>
          <cell r="D9580" t="str">
            <v>WACE</v>
          </cell>
        </row>
        <row r="9581">
          <cell r="A9581" t="str">
            <v>FB260012349</v>
          </cell>
          <cell r="D9581" t="str">
            <v>VSS</v>
          </cell>
        </row>
        <row r="9582">
          <cell r="A9582" t="str">
            <v>FB260012350</v>
          </cell>
          <cell r="D9582" t="str">
            <v>PINK</v>
          </cell>
        </row>
        <row r="9583">
          <cell r="A9583" t="str">
            <v>FB260012351</v>
          </cell>
          <cell r="D9583" t="str">
            <v>VSS</v>
          </cell>
        </row>
        <row r="9584">
          <cell r="A9584" t="str">
            <v>FB260012352</v>
          </cell>
          <cell r="D9584" t="str">
            <v>VSS</v>
          </cell>
        </row>
        <row r="9585">
          <cell r="A9585" t="str">
            <v>FB260012353</v>
          </cell>
          <cell r="D9585" t="str">
            <v>INT1</v>
          </cell>
        </row>
        <row r="9586">
          <cell r="A9586" t="str">
            <v>FB260012354</v>
          </cell>
          <cell r="D9586" t="str">
            <v>INT1</v>
          </cell>
        </row>
        <row r="9587">
          <cell r="A9587" t="str">
            <v>FB260012355</v>
          </cell>
          <cell r="D9587" t="str">
            <v>WACE</v>
          </cell>
        </row>
        <row r="9588">
          <cell r="A9588" t="str">
            <v>FB260012356</v>
          </cell>
          <cell r="D9588" t="str">
            <v>VSS</v>
          </cell>
        </row>
        <row r="9589">
          <cell r="A9589" t="str">
            <v>FB260012357</v>
          </cell>
          <cell r="D9589" t="str">
            <v>CK</v>
          </cell>
        </row>
        <row r="9590">
          <cell r="A9590" t="str">
            <v>FB260012359</v>
          </cell>
          <cell r="D9590" t="str">
            <v>VSS</v>
          </cell>
        </row>
        <row r="9591">
          <cell r="A9591" t="str">
            <v>FB260012360</v>
          </cell>
          <cell r="D9591" t="str">
            <v>VSS</v>
          </cell>
        </row>
        <row r="9592">
          <cell r="A9592" t="str">
            <v>FB260012367</v>
          </cell>
          <cell r="D9592" t="str">
            <v>VSS</v>
          </cell>
        </row>
        <row r="9593">
          <cell r="A9593" t="str">
            <v>FB260012369</v>
          </cell>
          <cell r="D9593" t="str">
            <v>VSS</v>
          </cell>
        </row>
        <row r="9594">
          <cell r="A9594" t="str">
            <v>FB260012376</v>
          </cell>
          <cell r="D9594" t="str">
            <v>VSS</v>
          </cell>
        </row>
        <row r="9595">
          <cell r="A9595" t="str">
            <v>FB260012394</v>
          </cell>
          <cell r="D9595" t="str">
            <v>NIK</v>
          </cell>
        </row>
        <row r="9596">
          <cell r="A9596" t="str">
            <v>FB260012396</v>
          </cell>
          <cell r="D9596" t="str">
            <v>NIK</v>
          </cell>
        </row>
        <row r="9597">
          <cell r="A9597" t="str">
            <v>FB260012397</v>
          </cell>
          <cell r="D9597" t="str">
            <v>NIK</v>
          </cell>
        </row>
        <row r="9598">
          <cell r="A9598" t="str">
            <v>FB260012403</v>
          </cell>
          <cell r="D9598" t="str">
            <v>PINK</v>
          </cell>
        </row>
        <row r="9599">
          <cell r="A9599" t="str">
            <v>FB260012404</v>
          </cell>
          <cell r="D9599" t="str">
            <v>PINK</v>
          </cell>
        </row>
        <row r="9600">
          <cell r="A9600" t="str">
            <v>FB260012406</v>
          </cell>
          <cell r="D9600" t="str">
            <v>CK</v>
          </cell>
        </row>
        <row r="9601">
          <cell r="A9601" t="str">
            <v>FB260012409</v>
          </cell>
          <cell r="D9601" t="str">
            <v>NIK</v>
          </cell>
        </row>
        <row r="9602">
          <cell r="A9602" t="str">
            <v>FB260012415</v>
          </cell>
          <cell r="D9602" t="str">
            <v>NIK</v>
          </cell>
        </row>
        <row r="9603">
          <cell r="A9603" t="str">
            <v>FB260012417</v>
          </cell>
          <cell r="D9603" t="str">
            <v>NIK</v>
          </cell>
        </row>
        <row r="9604">
          <cell r="A9604" t="str">
            <v>FB260012434</v>
          </cell>
          <cell r="D9604" t="str">
            <v>NIK</v>
          </cell>
        </row>
        <row r="9605">
          <cell r="A9605" t="str">
            <v>FB260012435</v>
          </cell>
          <cell r="D9605" t="str">
            <v>NIK</v>
          </cell>
        </row>
        <row r="9606">
          <cell r="A9606" t="str">
            <v>FB260012436</v>
          </cell>
          <cell r="D9606" t="str">
            <v>NIK</v>
          </cell>
        </row>
        <row r="9607">
          <cell r="A9607" t="str">
            <v>FB260012437</v>
          </cell>
          <cell r="D9607" t="str">
            <v>NIK</v>
          </cell>
        </row>
        <row r="9608">
          <cell r="A9608" t="str">
            <v>FB260012438</v>
          </cell>
          <cell r="D9608" t="str">
            <v>NIK</v>
          </cell>
        </row>
        <row r="9609">
          <cell r="A9609" t="str">
            <v>FB260012440</v>
          </cell>
          <cell r="D9609" t="str">
            <v>NIK</v>
          </cell>
        </row>
        <row r="9610">
          <cell r="A9610" t="str">
            <v>FB260012441</v>
          </cell>
          <cell r="D9610" t="str">
            <v>NIK</v>
          </cell>
        </row>
        <row r="9611">
          <cell r="A9611" t="str">
            <v>FB260012442</v>
          </cell>
          <cell r="D9611" t="str">
            <v>CK</v>
          </cell>
        </row>
        <row r="9612">
          <cell r="A9612" t="str">
            <v>FB260012444</v>
          </cell>
          <cell r="D9612" t="str">
            <v>CK</v>
          </cell>
        </row>
        <row r="9613">
          <cell r="A9613" t="str">
            <v>FB260012448</v>
          </cell>
          <cell r="D9613" t="str">
            <v>NIK</v>
          </cell>
        </row>
        <row r="9614">
          <cell r="A9614" t="str">
            <v>FB260012451</v>
          </cell>
          <cell r="D9614" t="str">
            <v>AISLE</v>
          </cell>
        </row>
        <row r="9615">
          <cell r="A9615" t="str">
            <v>FB260012456</v>
          </cell>
          <cell r="D9615" t="str">
            <v>NIK</v>
          </cell>
        </row>
        <row r="9616">
          <cell r="A9616" t="str">
            <v>FB260012458</v>
          </cell>
          <cell r="D9616" t="str">
            <v>NIK</v>
          </cell>
        </row>
        <row r="9617">
          <cell r="A9617" t="str">
            <v>FB260012459</v>
          </cell>
          <cell r="D9617" t="str">
            <v>NIK</v>
          </cell>
        </row>
        <row r="9618">
          <cell r="A9618" t="str">
            <v>FB260012460</v>
          </cell>
          <cell r="D9618" t="str">
            <v>NIK</v>
          </cell>
        </row>
        <row r="9619">
          <cell r="A9619" t="str">
            <v>FB260012461</v>
          </cell>
          <cell r="D9619" t="str">
            <v>NIK</v>
          </cell>
        </row>
        <row r="9620">
          <cell r="A9620" t="str">
            <v>FB260012462</v>
          </cell>
          <cell r="D9620" t="str">
            <v>M&amp;S</v>
          </cell>
        </row>
        <row r="9621">
          <cell r="A9621" t="str">
            <v>FB260012464</v>
          </cell>
          <cell r="D9621" t="str">
            <v>NIK</v>
          </cell>
        </row>
        <row r="9622">
          <cell r="A9622" t="str">
            <v>FB260012465</v>
          </cell>
          <cell r="D9622" t="str">
            <v>NIK</v>
          </cell>
        </row>
        <row r="9623">
          <cell r="A9623" t="str">
            <v>FB260012466</v>
          </cell>
          <cell r="D9623" t="str">
            <v>NIK</v>
          </cell>
        </row>
        <row r="9624">
          <cell r="A9624" t="str">
            <v>FB260012467</v>
          </cell>
          <cell r="D9624" t="str">
            <v>NIK</v>
          </cell>
        </row>
        <row r="9625">
          <cell r="A9625" t="str">
            <v>FB260012468</v>
          </cell>
          <cell r="D9625" t="str">
            <v>NIK</v>
          </cell>
        </row>
        <row r="9626">
          <cell r="A9626" t="str">
            <v>FB260012469</v>
          </cell>
          <cell r="D9626" t="str">
            <v>NIK</v>
          </cell>
        </row>
        <row r="9627">
          <cell r="A9627" t="str">
            <v>FB260012470</v>
          </cell>
          <cell r="D9627" t="str">
            <v>NIK</v>
          </cell>
        </row>
        <row r="9628">
          <cell r="A9628" t="str">
            <v>FB260012472</v>
          </cell>
          <cell r="D9628" t="str">
            <v>NIK</v>
          </cell>
        </row>
        <row r="9629">
          <cell r="A9629" t="str">
            <v>FB260012473</v>
          </cell>
          <cell r="D9629" t="str">
            <v>NIK</v>
          </cell>
        </row>
        <row r="9630">
          <cell r="A9630" t="str">
            <v>FB260012474</v>
          </cell>
          <cell r="D9630" t="str">
            <v>NIK</v>
          </cell>
        </row>
        <row r="9631">
          <cell r="A9631" t="str">
            <v>FB260012475</v>
          </cell>
          <cell r="D9631" t="str">
            <v>NIK</v>
          </cell>
        </row>
        <row r="9632">
          <cell r="A9632" t="str">
            <v>FB260012476</v>
          </cell>
          <cell r="D9632" t="str">
            <v>NIK</v>
          </cell>
        </row>
        <row r="9633">
          <cell r="A9633" t="str">
            <v>FB260012477</v>
          </cell>
          <cell r="D9633" t="str">
            <v>NIK</v>
          </cell>
        </row>
        <row r="9634">
          <cell r="A9634" t="str">
            <v>FB260012478</v>
          </cell>
          <cell r="D9634" t="str">
            <v>NIK</v>
          </cell>
        </row>
        <row r="9635">
          <cell r="A9635" t="str">
            <v>FB260012479</v>
          </cell>
          <cell r="D9635" t="str">
            <v>NIK</v>
          </cell>
        </row>
        <row r="9636">
          <cell r="A9636" t="str">
            <v>FB260012481</v>
          </cell>
          <cell r="D9636" t="str">
            <v>NIK</v>
          </cell>
        </row>
        <row r="9637">
          <cell r="A9637" t="str">
            <v>FB260012486</v>
          </cell>
          <cell r="D9637" t="str">
            <v>NIK</v>
          </cell>
        </row>
        <row r="9638">
          <cell r="A9638" t="str">
            <v>FB260012487</v>
          </cell>
          <cell r="D9638" t="str">
            <v>PINK</v>
          </cell>
        </row>
        <row r="9639">
          <cell r="A9639" t="str">
            <v>FB260012488</v>
          </cell>
          <cell r="D9639" t="str">
            <v>PINK</v>
          </cell>
        </row>
        <row r="9640">
          <cell r="A9640" t="str">
            <v>FB260012489</v>
          </cell>
          <cell r="D9640" t="str">
            <v>NIK</v>
          </cell>
        </row>
        <row r="9641">
          <cell r="A9641" t="str">
            <v>FB260012491</v>
          </cell>
          <cell r="D9641" t="str">
            <v>PINK</v>
          </cell>
        </row>
        <row r="9642">
          <cell r="A9642" t="str">
            <v>FB260012497</v>
          </cell>
          <cell r="D9642" t="str">
            <v>PINK</v>
          </cell>
        </row>
        <row r="9643">
          <cell r="A9643" t="str">
            <v>FB260012504</v>
          </cell>
          <cell r="D9643" t="str">
            <v>NIK</v>
          </cell>
        </row>
        <row r="9644">
          <cell r="A9644" t="str">
            <v>FB260012508</v>
          </cell>
          <cell r="D9644" t="str">
            <v>CK</v>
          </cell>
        </row>
        <row r="9645">
          <cell r="A9645" t="str">
            <v>FB260012509</v>
          </cell>
          <cell r="D9645" t="str">
            <v>CK</v>
          </cell>
        </row>
        <row r="9646">
          <cell r="A9646" t="str">
            <v>FB260012510</v>
          </cell>
          <cell r="D9646" t="str">
            <v>PINK</v>
          </cell>
        </row>
        <row r="9647">
          <cell r="A9647" t="str">
            <v>FB260012511</v>
          </cell>
          <cell r="D9647" t="str">
            <v>NIK</v>
          </cell>
        </row>
        <row r="9648">
          <cell r="A9648" t="str">
            <v>FB260012512</v>
          </cell>
          <cell r="D9648" t="str">
            <v>CK</v>
          </cell>
        </row>
        <row r="9649">
          <cell r="A9649" t="str">
            <v>FB260012513</v>
          </cell>
          <cell r="D9649" t="str">
            <v>VSS</v>
          </cell>
        </row>
        <row r="9650">
          <cell r="A9650" t="str">
            <v>FB260012514</v>
          </cell>
          <cell r="D9650" t="str">
            <v>VSS</v>
          </cell>
        </row>
        <row r="9651">
          <cell r="A9651" t="str">
            <v>FB260012515</v>
          </cell>
          <cell r="D9651" t="str">
            <v>VSS</v>
          </cell>
        </row>
        <row r="9652">
          <cell r="A9652" t="str">
            <v>FB260012516</v>
          </cell>
          <cell r="D9652" t="str">
            <v>VSS</v>
          </cell>
        </row>
        <row r="9653">
          <cell r="A9653" t="str">
            <v>FB260012517</v>
          </cell>
          <cell r="D9653" t="str">
            <v>VSS</v>
          </cell>
        </row>
        <row r="9654">
          <cell r="A9654" t="str">
            <v>FB260012520</v>
          </cell>
          <cell r="D9654" t="str">
            <v>VSS</v>
          </cell>
        </row>
        <row r="9655">
          <cell r="A9655" t="str">
            <v>FB260012521</v>
          </cell>
          <cell r="D9655" t="str">
            <v>NIK</v>
          </cell>
        </row>
        <row r="9656">
          <cell r="A9656" t="str">
            <v>FB260012522</v>
          </cell>
          <cell r="D9656" t="str">
            <v>VSS</v>
          </cell>
        </row>
        <row r="9657">
          <cell r="A9657" t="str">
            <v>FB260012523</v>
          </cell>
          <cell r="D9657" t="str">
            <v>NIK</v>
          </cell>
        </row>
        <row r="9658">
          <cell r="A9658" t="str">
            <v>FB260012528</v>
          </cell>
          <cell r="D9658" t="str">
            <v>VSS</v>
          </cell>
        </row>
        <row r="9659">
          <cell r="A9659" t="str">
            <v>FB260012530</v>
          </cell>
          <cell r="D9659" t="str">
            <v>NIK</v>
          </cell>
        </row>
        <row r="9660">
          <cell r="A9660" t="str">
            <v>FB260012531</v>
          </cell>
          <cell r="D9660" t="str">
            <v>NIK</v>
          </cell>
        </row>
        <row r="9661">
          <cell r="A9661" t="str">
            <v>FB260012532</v>
          </cell>
          <cell r="D9661" t="str">
            <v>NIK</v>
          </cell>
        </row>
        <row r="9662">
          <cell r="A9662" t="str">
            <v>FB260012533</v>
          </cell>
          <cell r="D9662" t="str">
            <v>VSS</v>
          </cell>
        </row>
        <row r="9663">
          <cell r="A9663" t="str">
            <v>FB260012534</v>
          </cell>
          <cell r="D9663" t="str">
            <v>NIK</v>
          </cell>
        </row>
        <row r="9664">
          <cell r="A9664" t="str">
            <v>FB260012535</v>
          </cell>
          <cell r="D9664" t="str">
            <v>NIK</v>
          </cell>
        </row>
        <row r="9665">
          <cell r="A9665" t="str">
            <v>FB260012536</v>
          </cell>
          <cell r="D9665" t="str">
            <v>NIK</v>
          </cell>
        </row>
        <row r="9666">
          <cell r="A9666" t="str">
            <v>FB260012538</v>
          </cell>
          <cell r="D9666" t="str">
            <v>VSS</v>
          </cell>
        </row>
        <row r="9667">
          <cell r="A9667" t="str">
            <v>FB260012540</v>
          </cell>
          <cell r="D9667" t="str">
            <v>NIK</v>
          </cell>
        </row>
        <row r="9668">
          <cell r="A9668" t="str">
            <v>FB260012541</v>
          </cell>
          <cell r="D9668" t="str">
            <v>NIK</v>
          </cell>
        </row>
        <row r="9669">
          <cell r="A9669" t="str">
            <v>FB260012543</v>
          </cell>
          <cell r="D9669" t="str">
            <v>NIK</v>
          </cell>
        </row>
        <row r="9670">
          <cell r="A9670" t="str">
            <v>FB260012544</v>
          </cell>
          <cell r="D9670" t="str">
            <v>NIK</v>
          </cell>
        </row>
        <row r="9671">
          <cell r="A9671" t="str">
            <v>FB260012548</v>
          </cell>
          <cell r="D9671" t="str">
            <v>NIK</v>
          </cell>
        </row>
        <row r="9672">
          <cell r="A9672" t="str">
            <v>FB260012553</v>
          </cell>
          <cell r="D9672" t="str">
            <v>NIK</v>
          </cell>
        </row>
        <row r="9673">
          <cell r="A9673" t="str">
            <v>FB260012555</v>
          </cell>
          <cell r="D9673" t="str">
            <v>VSS</v>
          </cell>
        </row>
        <row r="9674">
          <cell r="A9674" t="str">
            <v>FB260012558</v>
          </cell>
          <cell r="D9674" t="str">
            <v>NIK</v>
          </cell>
        </row>
        <row r="9675">
          <cell r="A9675" t="str">
            <v>FB260012559</v>
          </cell>
          <cell r="D9675" t="str">
            <v>NIK</v>
          </cell>
        </row>
        <row r="9676">
          <cell r="A9676" t="str">
            <v>FB260012562</v>
          </cell>
          <cell r="D9676" t="str">
            <v>NIK</v>
          </cell>
        </row>
        <row r="9677">
          <cell r="A9677" t="str">
            <v>FB260012564</v>
          </cell>
          <cell r="D9677" t="str">
            <v>NIK</v>
          </cell>
        </row>
        <row r="9678">
          <cell r="A9678" t="str">
            <v>FB260012580</v>
          </cell>
          <cell r="D9678" t="str">
            <v>NIK</v>
          </cell>
        </row>
        <row r="9679">
          <cell r="A9679" t="str">
            <v>FB260012591</v>
          </cell>
          <cell r="D9679" t="str">
            <v>NIK</v>
          </cell>
        </row>
        <row r="9680">
          <cell r="A9680" t="str">
            <v>FB260012596</v>
          </cell>
          <cell r="D9680" t="str">
            <v>VSS</v>
          </cell>
        </row>
        <row r="9681">
          <cell r="A9681" t="str">
            <v>FB260012597</v>
          </cell>
          <cell r="D9681" t="str">
            <v>NIK</v>
          </cell>
        </row>
        <row r="9682">
          <cell r="A9682" t="str">
            <v>FB260012598</v>
          </cell>
          <cell r="D9682" t="str">
            <v>NIK</v>
          </cell>
        </row>
        <row r="9683">
          <cell r="A9683" t="str">
            <v>FB260012599</v>
          </cell>
          <cell r="D9683" t="str">
            <v>NIK</v>
          </cell>
        </row>
        <row r="9684">
          <cell r="A9684" t="str">
            <v>FB260012605</v>
          </cell>
          <cell r="D9684" t="str">
            <v>NIK</v>
          </cell>
        </row>
        <row r="9685">
          <cell r="A9685" t="str">
            <v>FB260012609</v>
          </cell>
          <cell r="D9685" t="str">
            <v>WAC</v>
          </cell>
        </row>
        <row r="9686">
          <cell r="A9686" t="str">
            <v>FB260012614</v>
          </cell>
          <cell r="D9686" t="str">
            <v>NIK</v>
          </cell>
        </row>
        <row r="9687">
          <cell r="A9687" t="str">
            <v>FB260012617</v>
          </cell>
          <cell r="D9687" t="str">
            <v>NIK</v>
          </cell>
        </row>
        <row r="9688">
          <cell r="A9688" t="str">
            <v>FB260012621</v>
          </cell>
          <cell r="D9688" t="str">
            <v>CK</v>
          </cell>
        </row>
        <row r="9689">
          <cell r="A9689" t="str">
            <v>FB260012623</v>
          </cell>
          <cell r="D9689" t="str">
            <v>NIK</v>
          </cell>
        </row>
        <row r="9690">
          <cell r="A9690" t="str">
            <v>FB260012624</v>
          </cell>
          <cell r="D9690" t="str">
            <v>NIK</v>
          </cell>
        </row>
        <row r="9691">
          <cell r="A9691" t="str">
            <v>FB260012625</v>
          </cell>
          <cell r="D9691" t="str">
            <v>VSS</v>
          </cell>
        </row>
        <row r="9692">
          <cell r="A9692" t="str">
            <v>FB260012627</v>
          </cell>
          <cell r="D9692" t="str">
            <v>NIK</v>
          </cell>
        </row>
        <row r="9693">
          <cell r="A9693" t="str">
            <v>FB260012628</v>
          </cell>
          <cell r="D9693" t="str">
            <v>NIK</v>
          </cell>
        </row>
        <row r="9694">
          <cell r="A9694" t="str">
            <v>FB260012629</v>
          </cell>
          <cell r="D9694" t="str">
            <v>NIK</v>
          </cell>
        </row>
        <row r="9695">
          <cell r="A9695" t="str">
            <v>FB260012630</v>
          </cell>
          <cell r="D9695" t="str">
            <v>NIK</v>
          </cell>
        </row>
        <row r="9696">
          <cell r="A9696" t="str">
            <v>FB260012631</v>
          </cell>
          <cell r="D9696" t="str">
            <v>NIK</v>
          </cell>
        </row>
        <row r="9697">
          <cell r="A9697" t="str">
            <v>FB260012632</v>
          </cell>
          <cell r="D9697" t="str">
            <v>NIK</v>
          </cell>
        </row>
        <row r="9698">
          <cell r="A9698" t="str">
            <v>FB260012633</v>
          </cell>
          <cell r="D9698" t="str">
            <v>NIK</v>
          </cell>
        </row>
        <row r="9699">
          <cell r="A9699" t="str">
            <v>FB260012634</v>
          </cell>
          <cell r="D9699" t="str">
            <v>NIK</v>
          </cell>
        </row>
        <row r="9700">
          <cell r="A9700" t="str">
            <v>FB260012635</v>
          </cell>
          <cell r="D9700" t="str">
            <v>NIK</v>
          </cell>
        </row>
        <row r="9701">
          <cell r="A9701" t="str">
            <v>FB260012636</v>
          </cell>
          <cell r="D9701" t="str">
            <v>NIK</v>
          </cell>
        </row>
        <row r="9702">
          <cell r="A9702" t="str">
            <v>FB260012637</v>
          </cell>
          <cell r="D9702" t="str">
            <v>NIK</v>
          </cell>
        </row>
        <row r="9703">
          <cell r="A9703" t="str">
            <v>FB260012638</v>
          </cell>
          <cell r="D9703" t="str">
            <v>NIK</v>
          </cell>
        </row>
        <row r="9704">
          <cell r="A9704" t="str">
            <v>FB260012639</v>
          </cell>
          <cell r="D9704" t="str">
            <v>PINK</v>
          </cell>
        </row>
        <row r="9705">
          <cell r="A9705" t="str">
            <v>FB260012640</v>
          </cell>
          <cell r="D9705" t="str">
            <v>NIK</v>
          </cell>
        </row>
        <row r="9706">
          <cell r="A9706" t="str">
            <v>FB260012642</v>
          </cell>
          <cell r="D9706" t="str">
            <v>NIK</v>
          </cell>
        </row>
        <row r="9707">
          <cell r="A9707" t="str">
            <v>FB260012644</v>
          </cell>
          <cell r="D9707" t="str">
            <v>NIK</v>
          </cell>
        </row>
        <row r="9708">
          <cell r="A9708" t="str">
            <v>FB260012645</v>
          </cell>
          <cell r="D9708" t="str">
            <v>NIK</v>
          </cell>
        </row>
        <row r="9709">
          <cell r="A9709" t="str">
            <v>FB260012649</v>
          </cell>
          <cell r="D9709" t="str">
            <v>WACE</v>
          </cell>
        </row>
        <row r="9710">
          <cell r="A9710" t="str">
            <v>FB260012650</v>
          </cell>
          <cell r="D9710" t="str">
            <v>LBI</v>
          </cell>
        </row>
        <row r="9711">
          <cell r="A9711" t="str">
            <v>FB260012651</v>
          </cell>
          <cell r="D9711" t="str">
            <v>NIK</v>
          </cell>
        </row>
        <row r="9712">
          <cell r="A9712" t="str">
            <v>FB260012652</v>
          </cell>
          <cell r="D9712" t="str">
            <v>NIK</v>
          </cell>
        </row>
        <row r="9713">
          <cell r="A9713" t="str">
            <v>FB260012653</v>
          </cell>
          <cell r="D9713" t="str">
            <v>NIK</v>
          </cell>
        </row>
        <row r="9714">
          <cell r="A9714" t="str">
            <v>FB260012654</v>
          </cell>
          <cell r="D9714" t="str">
            <v>NIK</v>
          </cell>
        </row>
        <row r="9715">
          <cell r="A9715" t="str">
            <v>FB260012656</v>
          </cell>
          <cell r="D9715" t="str">
            <v>NIK</v>
          </cell>
        </row>
        <row r="9716">
          <cell r="A9716" t="str">
            <v>FB260012657</v>
          </cell>
          <cell r="D9716" t="str">
            <v>NIK</v>
          </cell>
        </row>
        <row r="9717">
          <cell r="A9717" t="str">
            <v>FB260012658</v>
          </cell>
          <cell r="D9717" t="str">
            <v>NIK</v>
          </cell>
        </row>
        <row r="9718">
          <cell r="A9718" t="str">
            <v>FB260012659</v>
          </cell>
          <cell r="D9718" t="str">
            <v>NIK</v>
          </cell>
        </row>
        <row r="9719">
          <cell r="A9719" t="str">
            <v>FB260012660</v>
          </cell>
          <cell r="D9719" t="str">
            <v>NIK</v>
          </cell>
        </row>
        <row r="9720">
          <cell r="A9720" t="str">
            <v>FB260012661</v>
          </cell>
          <cell r="D9720" t="str">
            <v>NIK</v>
          </cell>
        </row>
        <row r="9721">
          <cell r="A9721" t="str">
            <v>FB260012663</v>
          </cell>
          <cell r="D9721" t="str">
            <v>NIK</v>
          </cell>
        </row>
        <row r="9722">
          <cell r="A9722" t="str">
            <v>FB260012664</v>
          </cell>
          <cell r="D9722" t="str">
            <v>NIK</v>
          </cell>
        </row>
        <row r="9723">
          <cell r="A9723" t="str">
            <v>FB260012665</v>
          </cell>
          <cell r="D9723" t="str">
            <v>NIK</v>
          </cell>
        </row>
        <row r="9724">
          <cell r="A9724" t="str">
            <v>FB260012666</v>
          </cell>
          <cell r="D9724" t="str">
            <v>NIK</v>
          </cell>
        </row>
        <row r="9725">
          <cell r="A9725" t="str">
            <v>FB260012667</v>
          </cell>
          <cell r="D9725" t="str">
            <v>NIK</v>
          </cell>
        </row>
        <row r="9726">
          <cell r="A9726" t="str">
            <v>FB260012668</v>
          </cell>
          <cell r="D9726" t="str">
            <v>NIK</v>
          </cell>
        </row>
        <row r="9727">
          <cell r="A9727" t="str">
            <v>FB260012669</v>
          </cell>
          <cell r="D9727" t="str">
            <v>NIK</v>
          </cell>
        </row>
        <row r="9728">
          <cell r="A9728" t="str">
            <v>FB260012670</v>
          </cell>
          <cell r="D9728" t="str">
            <v>NIK</v>
          </cell>
        </row>
        <row r="9729">
          <cell r="A9729" t="str">
            <v>FB260012671</v>
          </cell>
          <cell r="D9729" t="str">
            <v>NIK</v>
          </cell>
        </row>
        <row r="9730">
          <cell r="A9730" t="str">
            <v>FB260012672</v>
          </cell>
          <cell r="D9730" t="str">
            <v>NIK</v>
          </cell>
        </row>
        <row r="9731">
          <cell r="A9731" t="str">
            <v>FB260012673</v>
          </cell>
          <cell r="D9731" t="str">
            <v>NIK</v>
          </cell>
        </row>
        <row r="9732">
          <cell r="A9732" t="str">
            <v>FB260012674</v>
          </cell>
          <cell r="D9732" t="str">
            <v>NIK</v>
          </cell>
        </row>
        <row r="9733">
          <cell r="A9733" t="str">
            <v>FB260012675</v>
          </cell>
          <cell r="D9733" t="str">
            <v>NIK</v>
          </cell>
        </row>
        <row r="9734">
          <cell r="A9734" t="str">
            <v>FB260012676</v>
          </cell>
          <cell r="D9734" t="str">
            <v>NIK</v>
          </cell>
        </row>
        <row r="9735">
          <cell r="A9735" t="str">
            <v>FB260012677</v>
          </cell>
          <cell r="D9735" t="str">
            <v>NIK</v>
          </cell>
        </row>
        <row r="9736">
          <cell r="A9736" t="str">
            <v>FB260012678</v>
          </cell>
          <cell r="D9736" t="str">
            <v>VSS</v>
          </cell>
        </row>
        <row r="9737">
          <cell r="A9737" t="str">
            <v>FB260012685</v>
          </cell>
          <cell r="D9737" t="str">
            <v>VSS</v>
          </cell>
        </row>
        <row r="9738">
          <cell r="A9738" t="str">
            <v>FB260012686</v>
          </cell>
          <cell r="D9738" t="str">
            <v>VSS</v>
          </cell>
        </row>
        <row r="9739">
          <cell r="A9739" t="str">
            <v>FB260012687</v>
          </cell>
          <cell r="D9739" t="str">
            <v>VSS</v>
          </cell>
        </row>
        <row r="9740">
          <cell r="A9740" t="str">
            <v>FB260012688</v>
          </cell>
          <cell r="D9740" t="str">
            <v>VSS</v>
          </cell>
        </row>
        <row r="9741">
          <cell r="A9741" t="str">
            <v>FB260012689</v>
          </cell>
          <cell r="D9741" t="str">
            <v>VSS</v>
          </cell>
        </row>
        <row r="9742">
          <cell r="A9742" t="str">
            <v>FB260012691</v>
          </cell>
          <cell r="D9742" t="str">
            <v>NIK</v>
          </cell>
        </row>
        <row r="9743">
          <cell r="A9743" t="str">
            <v>FB260012698</v>
          </cell>
          <cell r="D9743" t="str">
            <v>NIK</v>
          </cell>
        </row>
        <row r="9744">
          <cell r="A9744" t="str">
            <v>FB260012699</v>
          </cell>
          <cell r="D9744" t="str">
            <v>NIK</v>
          </cell>
        </row>
        <row r="9745">
          <cell r="A9745" t="str">
            <v>FB260012700</v>
          </cell>
          <cell r="D9745" t="str">
            <v>NIK</v>
          </cell>
        </row>
        <row r="9746">
          <cell r="A9746" t="str">
            <v>FB260012701</v>
          </cell>
          <cell r="D9746" t="str">
            <v>NIK</v>
          </cell>
        </row>
        <row r="9747">
          <cell r="A9747" t="str">
            <v>FB260012703</v>
          </cell>
          <cell r="D9747" t="str">
            <v>GAP</v>
          </cell>
        </row>
        <row r="9748">
          <cell r="A9748" t="str">
            <v>FB260012708</v>
          </cell>
          <cell r="D9748" t="str">
            <v>NIK</v>
          </cell>
        </row>
        <row r="9749">
          <cell r="A9749" t="str">
            <v>FB260012709</v>
          </cell>
          <cell r="D9749" t="str">
            <v>NIK</v>
          </cell>
        </row>
        <row r="9750">
          <cell r="A9750" t="str">
            <v>FB260012710</v>
          </cell>
          <cell r="D9750" t="str">
            <v>NIK</v>
          </cell>
        </row>
        <row r="9751">
          <cell r="A9751" t="str">
            <v>FB260012716</v>
          </cell>
          <cell r="D9751" t="str">
            <v>NIK</v>
          </cell>
        </row>
        <row r="9752">
          <cell r="A9752" t="str">
            <v>FB260012718</v>
          </cell>
          <cell r="D9752" t="str">
            <v>VSS</v>
          </cell>
        </row>
        <row r="9753">
          <cell r="A9753" t="str">
            <v>FB260012720</v>
          </cell>
          <cell r="D9753" t="str">
            <v>VSS</v>
          </cell>
        </row>
        <row r="9754">
          <cell r="A9754" t="str">
            <v>FB260012721</v>
          </cell>
          <cell r="D9754" t="str">
            <v>NIK</v>
          </cell>
        </row>
        <row r="9755">
          <cell r="A9755" t="str">
            <v>FB260012724</v>
          </cell>
          <cell r="D9755" t="str">
            <v>VSS</v>
          </cell>
        </row>
        <row r="9756">
          <cell r="A9756" t="str">
            <v>FB260012725</v>
          </cell>
          <cell r="D9756" t="str">
            <v>NIK</v>
          </cell>
        </row>
        <row r="9757">
          <cell r="A9757" t="str">
            <v>FB260012726</v>
          </cell>
          <cell r="D9757" t="str">
            <v>NIK</v>
          </cell>
        </row>
        <row r="9758">
          <cell r="A9758" t="str">
            <v>FB260012727</v>
          </cell>
          <cell r="D9758" t="str">
            <v>NIK</v>
          </cell>
        </row>
        <row r="9759">
          <cell r="A9759" t="str">
            <v>FB260012728</v>
          </cell>
          <cell r="D9759" t="str">
            <v>NIK</v>
          </cell>
        </row>
        <row r="9760">
          <cell r="A9760" t="str">
            <v>FB260012730</v>
          </cell>
          <cell r="D9760" t="str">
            <v>NIK</v>
          </cell>
        </row>
        <row r="9761">
          <cell r="A9761" t="str">
            <v>FB260012733</v>
          </cell>
          <cell r="D9761" t="str">
            <v>NIK</v>
          </cell>
        </row>
        <row r="9762">
          <cell r="A9762" t="str">
            <v>FB260012735</v>
          </cell>
          <cell r="D9762" t="str">
            <v>NIK</v>
          </cell>
        </row>
        <row r="9763">
          <cell r="A9763" t="str">
            <v>FB260012736</v>
          </cell>
          <cell r="D9763" t="str">
            <v>NIK</v>
          </cell>
        </row>
        <row r="9764">
          <cell r="A9764" t="str">
            <v>FB260012737</v>
          </cell>
          <cell r="D9764" t="str">
            <v>NIK</v>
          </cell>
        </row>
        <row r="9765">
          <cell r="A9765" t="str">
            <v>FB260012740</v>
          </cell>
          <cell r="D9765" t="str">
            <v>NIK</v>
          </cell>
        </row>
        <row r="9766">
          <cell r="A9766" t="str">
            <v>FB260012741</v>
          </cell>
          <cell r="D9766" t="str">
            <v>NIK</v>
          </cell>
        </row>
        <row r="9767">
          <cell r="A9767" t="str">
            <v>FB260012742</v>
          </cell>
          <cell r="D9767" t="str">
            <v>NIK</v>
          </cell>
        </row>
        <row r="9768">
          <cell r="A9768" t="str">
            <v>FB260012743</v>
          </cell>
          <cell r="D9768" t="str">
            <v>NIK</v>
          </cell>
        </row>
        <row r="9769">
          <cell r="A9769" t="str">
            <v>FB260012745</v>
          </cell>
          <cell r="D9769" t="str">
            <v>NIK</v>
          </cell>
        </row>
        <row r="9770">
          <cell r="A9770" t="str">
            <v>FB260012746</v>
          </cell>
          <cell r="D9770" t="str">
            <v>NIK</v>
          </cell>
        </row>
        <row r="9771">
          <cell r="A9771" t="str">
            <v>FB260012749</v>
          </cell>
          <cell r="D9771" t="str">
            <v>VSS</v>
          </cell>
        </row>
        <row r="9772">
          <cell r="A9772" t="str">
            <v>FB260012752</v>
          </cell>
          <cell r="D9772" t="str">
            <v>NIK</v>
          </cell>
        </row>
        <row r="9773">
          <cell r="A9773" t="str">
            <v>FB260012753</v>
          </cell>
          <cell r="D9773" t="str">
            <v>NIK</v>
          </cell>
        </row>
        <row r="9774">
          <cell r="A9774" t="str">
            <v>FB260012754</v>
          </cell>
          <cell r="D9774" t="str">
            <v>NIK</v>
          </cell>
        </row>
        <row r="9775">
          <cell r="A9775" t="str">
            <v>FB260012756</v>
          </cell>
          <cell r="D9775" t="str">
            <v>NIK</v>
          </cell>
        </row>
        <row r="9776">
          <cell r="A9776" t="str">
            <v>FB260012757</v>
          </cell>
          <cell r="D9776" t="str">
            <v>NIK</v>
          </cell>
        </row>
        <row r="9777">
          <cell r="A9777" t="str">
            <v>FB260012761</v>
          </cell>
          <cell r="D9777" t="str">
            <v>VSS</v>
          </cell>
        </row>
        <row r="9778">
          <cell r="A9778" t="str">
            <v>FB260012764</v>
          </cell>
          <cell r="D9778" t="str">
            <v>NIK</v>
          </cell>
        </row>
        <row r="9779">
          <cell r="A9779" t="str">
            <v>FB260012765</v>
          </cell>
          <cell r="D9779" t="str">
            <v>NIK</v>
          </cell>
        </row>
        <row r="9780">
          <cell r="A9780" t="str">
            <v>FB260012766</v>
          </cell>
          <cell r="D9780" t="str">
            <v>NIK</v>
          </cell>
        </row>
        <row r="9781">
          <cell r="A9781" t="str">
            <v>FB260012767</v>
          </cell>
          <cell r="D9781" t="str">
            <v>WACE</v>
          </cell>
        </row>
        <row r="9782">
          <cell r="A9782" t="str">
            <v>FB260012768</v>
          </cell>
          <cell r="D9782" t="str">
            <v>WACE</v>
          </cell>
        </row>
        <row r="9783">
          <cell r="A9783" t="str">
            <v>FB260012769</v>
          </cell>
          <cell r="D9783" t="str">
            <v>NIK</v>
          </cell>
        </row>
        <row r="9784">
          <cell r="A9784" t="str">
            <v>FB260012770</v>
          </cell>
          <cell r="D9784" t="str">
            <v>NIK</v>
          </cell>
        </row>
        <row r="9785">
          <cell r="A9785" t="str">
            <v>FB260012771</v>
          </cell>
          <cell r="D9785" t="str">
            <v>WACE</v>
          </cell>
        </row>
        <row r="9786">
          <cell r="A9786" t="str">
            <v>FB260012773</v>
          </cell>
          <cell r="D9786" t="str">
            <v>M&amp;S</v>
          </cell>
        </row>
        <row r="9787">
          <cell r="A9787" t="str">
            <v>FB260012776</v>
          </cell>
          <cell r="D9787" t="str">
            <v>WACE</v>
          </cell>
        </row>
        <row r="9788">
          <cell r="A9788" t="str">
            <v>FB260012777</v>
          </cell>
          <cell r="D9788" t="str">
            <v>VSS</v>
          </cell>
        </row>
        <row r="9789">
          <cell r="A9789" t="str">
            <v>FB260012778</v>
          </cell>
          <cell r="D9789" t="str">
            <v>VSS</v>
          </cell>
        </row>
        <row r="9790">
          <cell r="A9790" t="str">
            <v>FB260012783</v>
          </cell>
          <cell r="D9790" t="str">
            <v>NIK</v>
          </cell>
        </row>
        <row r="9791">
          <cell r="A9791" t="str">
            <v>FB260012786</v>
          </cell>
          <cell r="D9791" t="str">
            <v>VSS</v>
          </cell>
        </row>
        <row r="9792">
          <cell r="A9792" t="str">
            <v>FB260012787</v>
          </cell>
          <cell r="D9792" t="str">
            <v>VSS</v>
          </cell>
        </row>
        <row r="9793">
          <cell r="A9793" t="str">
            <v>FB260012788</v>
          </cell>
          <cell r="D9793" t="str">
            <v>NIK</v>
          </cell>
        </row>
        <row r="9794">
          <cell r="A9794" t="str">
            <v>FB260012800</v>
          </cell>
          <cell r="D9794" t="str">
            <v>VSS</v>
          </cell>
        </row>
        <row r="9795">
          <cell r="A9795" t="str">
            <v>FB260012822</v>
          </cell>
          <cell r="D9795" t="str">
            <v>VSS</v>
          </cell>
        </row>
        <row r="9796">
          <cell r="A9796" t="str">
            <v>FB260012825</v>
          </cell>
          <cell r="D9796" t="str">
            <v>VSS</v>
          </cell>
        </row>
        <row r="9797">
          <cell r="A9797" t="str">
            <v>FB260012826</v>
          </cell>
          <cell r="D9797" t="str">
            <v>CK</v>
          </cell>
        </row>
        <row r="9798">
          <cell r="A9798" t="str">
            <v>FB260012827</v>
          </cell>
          <cell r="D9798" t="str">
            <v>VSS</v>
          </cell>
        </row>
        <row r="9799">
          <cell r="A9799" t="str">
            <v>FB260012829</v>
          </cell>
          <cell r="D9799" t="str">
            <v>CK</v>
          </cell>
        </row>
        <row r="9800">
          <cell r="A9800" t="str">
            <v>FB260012832</v>
          </cell>
          <cell r="D9800" t="str">
            <v>LULU</v>
          </cell>
        </row>
        <row r="9801">
          <cell r="A9801" t="str">
            <v>FB260012833</v>
          </cell>
          <cell r="D9801" t="str">
            <v>PINK</v>
          </cell>
        </row>
        <row r="9802">
          <cell r="A9802" t="str">
            <v>FB260012834</v>
          </cell>
          <cell r="D9802" t="str">
            <v>NIK</v>
          </cell>
        </row>
        <row r="9803">
          <cell r="A9803" t="str">
            <v>FB260012838</v>
          </cell>
          <cell r="D9803" t="str">
            <v>NIK</v>
          </cell>
        </row>
        <row r="9804">
          <cell r="A9804" t="str">
            <v>FB260012842</v>
          </cell>
          <cell r="D9804" t="str">
            <v>AISLE</v>
          </cell>
        </row>
        <row r="9805">
          <cell r="A9805" t="str">
            <v>FB260012843</v>
          </cell>
          <cell r="D9805" t="str">
            <v>NIK</v>
          </cell>
        </row>
        <row r="9806">
          <cell r="A9806" t="str">
            <v>FB260012844</v>
          </cell>
          <cell r="D9806" t="str">
            <v>NIK</v>
          </cell>
        </row>
        <row r="9807">
          <cell r="A9807" t="str">
            <v>FB260012845</v>
          </cell>
          <cell r="D9807" t="str">
            <v>NIK</v>
          </cell>
        </row>
        <row r="9808">
          <cell r="A9808" t="str">
            <v>FB260012846</v>
          </cell>
          <cell r="D9808" t="str">
            <v>NIK</v>
          </cell>
        </row>
        <row r="9809">
          <cell r="A9809" t="str">
            <v>FB260012847</v>
          </cell>
          <cell r="D9809" t="str">
            <v>NIK</v>
          </cell>
        </row>
        <row r="9810">
          <cell r="A9810" t="str">
            <v>FB260012851</v>
          </cell>
          <cell r="D9810" t="str">
            <v>NIK</v>
          </cell>
        </row>
        <row r="9811">
          <cell r="A9811" t="str">
            <v>FB260012853</v>
          </cell>
          <cell r="D9811" t="str">
            <v>NIK</v>
          </cell>
        </row>
        <row r="9812">
          <cell r="A9812" t="str">
            <v>FB260012854</v>
          </cell>
          <cell r="D9812" t="str">
            <v>NIK</v>
          </cell>
        </row>
        <row r="9813">
          <cell r="A9813" t="str">
            <v>FB260012855</v>
          </cell>
          <cell r="D9813" t="str">
            <v>NIK</v>
          </cell>
        </row>
        <row r="9814">
          <cell r="A9814" t="str">
            <v>FB260012856</v>
          </cell>
          <cell r="D9814" t="str">
            <v>NIK</v>
          </cell>
        </row>
        <row r="9815">
          <cell r="A9815" t="str">
            <v>FB260012857</v>
          </cell>
          <cell r="D9815" t="str">
            <v>NIK</v>
          </cell>
        </row>
        <row r="9816">
          <cell r="A9816" t="str">
            <v>FB260012858</v>
          </cell>
          <cell r="D9816" t="str">
            <v>NIK</v>
          </cell>
        </row>
        <row r="9817">
          <cell r="A9817" t="str">
            <v>FB260012859</v>
          </cell>
          <cell r="D9817" t="str">
            <v>NIK</v>
          </cell>
        </row>
        <row r="9818">
          <cell r="A9818" t="str">
            <v>FB260012861</v>
          </cell>
          <cell r="D9818" t="str">
            <v>NIK</v>
          </cell>
        </row>
        <row r="9819">
          <cell r="A9819" t="str">
            <v>FB260012862</v>
          </cell>
          <cell r="D9819" t="str">
            <v>NIK</v>
          </cell>
        </row>
        <row r="9820">
          <cell r="A9820" t="str">
            <v>FB260012863</v>
          </cell>
          <cell r="D9820" t="str">
            <v>NIK</v>
          </cell>
        </row>
        <row r="9821">
          <cell r="A9821" t="str">
            <v>FB260012864</v>
          </cell>
          <cell r="D9821" t="str">
            <v>NIK</v>
          </cell>
        </row>
        <row r="9822">
          <cell r="A9822" t="str">
            <v>FB260012865</v>
          </cell>
          <cell r="D9822" t="str">
            <v>NIK</v>
          </cell>
        </row>
        <row r="9823">
          <cell r="A9823" t="str">
            <v>FB260012866</v>
          </cell>
          <cell r="D9823" t="str">
            <v>NIK</v>
          </cell>
        </row>
        <row r="9824">
          <cell r="A9824" t="str">
            <v>FB260012867</v>
          </cell>
          <cell r="D9824" t="str">
            <v>NIK</v>
          </cell>
        </row>
        <row r="9825">
          <cell r="A9825" t="str">
            <v>FB260012868</v>
          </cell>
          <cell r="D9825" t="str">
            <v>NIK</v>
          </cell>
        </row>
        <row r="9826">
          <cell r="A9826" t="str">
            <v>FB260012869</v>
          </cell>
          <cell r="D9826" t="str">
            <v>NIK</v>
          </cell>
        </row>
        <row r="9827">
          <cell r="A9827" t="str">
            <v>FB260012870</v>
          </cell>
          <cell r="D9827" t="str">
            <v>NIK</v>
          </cell>
        </row>
        <row r="9828">
          <cell r="A9828" t="str">
            <v>FB260012871</v>
          </cell>
          <cell r="D9828" t="str">
            <v>NIK</v>
          </cell>
        </row>
        <row r="9829">
          <cell r="A9829" t="str">
            <v>FB260012872</v>
          </cell>
          <cell r="D9829" t="str">
            <v>NIK</v>
          </cell>
        </row>
        <row r="9830">
          <cell r="A9830" t="str">
            <v>FB260012873</v>
          </cell>
          <cell r="D9830" t="str">
            <v>NIK</v>
          </cell>
        </row>
        <row r="9831">
          <cell r="A9831" t="str">
            <v>FB260012874</v>
          </cell>
          <cell r="D9831" t="str">
            <v>NIK</v>
          </cell>
        </row>
        <row r="9832">
          <cell r="A9832" t="str">
            <v>FB260012876</v>
          </cell>
          <cell r="D9832" t="str">
            <v>NIK</v>
          </cell>
        </row>
        <row r="9833">
          <cell r="A9833" t="str">
            <v>FB260012877</v>
          </cell>
          <cell r="D9833" t="str">
            <v>NIK</v>
          </cell>
        </row>
        <row r="9834">
          <cell r="A9834" t="str">
            <v>FB260012878</v>
          </cell>
          <cell r="D9834" t="str">
            <v>NIK</v>
          </cell>
        </row>
        <row r="9835">
          <cell r="A9835" t="str">
            <v>FB260012879</v>
          </cell>
          <cell r="D9835" t="str">
            <v>NIK</v>
          </cell>
        </row>
        <row r="9836">
          <cell r="A9836" t="str">
            <v>FB260012880</v>
          </cell>
          <cell r="D9836" t="str">
            <v>NIK</v>
          </cell>
        </row>
        <row r="9837">
          <cell r="A9837" t="str">
            <v>FB260012881</v>
          </cell>
          <cell r="D9837" t="str">
            <v>NIK</v>
          </cell>
        </row>
        <row r="9838">
          <cell r="A9838" t="str">
            <v>FB260012882</v>
          </cell>
          <cell r="D9838" t="str">
            <v>NIK</v>
          </cell>
        </row>
        <row r="9839">
          <cell r="A9839" t="str">
            <v>FB260012883</v>
          </cell>
          <cell r="D9839" t="str">
            <v>NIK</v>
          </cell>
        </row>
        <row r="9840">
          <cell r="A9840" t="str">
            <v>FB260012894</v>
          </cell>
          <cell r="D9840" t="str">
            <v>PINK</v>
          </cell>
        </row>
        <row r="9841">
          <cell r="A9841" t="str">
            <v>FB260012895</v>
          </cell>
          <cell r="D9841" t="str">
            <v>VSS</v>
          </cell>
        </row>
        <row r="9842">
          <cell r="A9842" t="str">
            <v>FB260012896</v>
          </cell>
          <cell r="D9842" t="str">
            <v>VSS</v>
          </cell>
        </row>
        <row r="9843">
          <cell r="A9843" t="str">
            <v>FB260012897</v>
          </cell>
          <cell r="D9843" t="str">
            <v>VSS</v>
          </cell>
        </row>
        <row r="9844">
          <cell r="A9844" t="str">
            <v>FB260012898</v>
          </cell>
          <cell r="D9844" t="str">
            <v>VSS</v>
          </cell>
        </row>
        <row r="9845">
          <cell r="A9845" t="str">
            <v>FB260012899</v>
          </cell>
          <cell r="D9845" t="str">
            <v>VSS</v>
          </cell>
        </row>
        <row r="9846">
          <cell r="A9846" t="str">
            <v>FB260012900</v>
          </cell>
          <cell r="D9846" t="str">
            <v>VSS</v>
          </cell>
        </row>
        <row r="9847">
          <cell r="A9847" t="str">
            <v>FB260012901</v>
          </cell>
          <cell r="D9847" t="str">
            <v>VSS</v>
          </cell>
        </row>
        <row r="9848">
          <cell r="A9848" t="str">
            <v>FB260012902</v>
          </cell>
          <cell r="D9848" t="str">
            <v>VSS</v>
          </cell>
        </row>
        <row r="9849">
          <cell r="A9849" t="str">
            <v>FB260012903</v>
          </cell>
          <cell r="D9849" t="str">
            <v>GAP</v>
          </cell>
        </row>
        <row r="9850">
          <cell r="A9850" t="str">
            <v>FB260012908</v>
          </cell>
          <cell r="D9850" t="str">
            <v>LULU</v>
          </cell>
        </row>
        <row r="9851">
          <cell r="A9851" t="str">
            <v>FB260012910</v>
          </cell>
          <cell r="D9851" t="str">
            <v>VSS</v>
          </cell>
        </row>
        <row r="9852">
          <cell r="A9852" t="str">
            <v>FB260012911</v>
          </cell>
          <cell r="D9852" t="str">
            <v>CK</v>
          </cell>
        </row>
        <row r="9853">
          <cell r="A9853" t="str">
            <v>FB260012912</v>
          </cell>
          <cell r="D9853" t="str">
            <v>CK</v>
          </cell>
        </row>
        <row r="9854">
          <cell r="A9854" t="str">
            <v>FB260012913</v>
          </cell>
          <cell r="D9854" t="str">
            <v>CK</v>
          </cell>
        </row>
        <row r="9855">
          <cell r="A9855" t="str">
            <v>FB260012914</v>
          </cell>
          <cell r="D9855" t="str">
            <v>PINK</v>
          </cell>
        </row>
        <row r="9856">
          <cell r="A9856" t="str">
            <v>FB260012915</v>
          </cell>
          <cell r="D9856" t="str">
            <v>VSS</v>
          </cell>
        </row>
        <row r="9857">
          <cell r="A9857" t="str">
            <v>FB260012916</v>
          </cell>
          <cell r="D9857" t="str">
            <v>PINK</v>
          </cell>
        </row>
        <row r="9858">
          <cell r="A9858" t="str">
            <v>FB260012917</v>
          </cell>
          <cell r="D9858" t="str">
            <v>PINK</v>
          </cell>
        </row>
        <row r="9859">
          <cell r="A9859" t="str">
            <v>FB260012923</v>
          </cell>
          <cell r="D9859" t="str">
            <v>VSS</v>
          </cell>
        </row>
        <row r="9860">
          <cell r="A9860" t="str">
            <v>FB260012924</v>
          </cell>
          <cell r="D9860" t="str">
            <v>VSS</v>
          </cell>
        </row>
        <row r="9861">
          <cell r="A9861" t="str">
            <v>FB260012925</v>
          </cell>
          <cell r="D9861" t="str">
            <v>VSS</v>
          </cell>
        </row>
        <row r="9862">
          <cell r="A9862" t="str">
            <v>FB260012927</v>
          </cell>
          <cell r="D9862" t="str">
            <v>VSS</v>
          </cell>
        </row>
        <row r="9863">
          <cell r="A9863" t="str">
            <v>FB260012928</v>
          </cell>
          <cell r="D9863" t="str">
            <v>VSS</v>
          </cell>
        </row>
        <row r="9864">
          <cell r="A9864" t="str">
            <v>FB260012929</v>
          </cell>
          <cell r="D9864" t="str">
            <v>VSS</v>
          </cell>
        </row>
        <row r="9865">
          <cell r="A9865" t="str">
            <v>FB260012932</v>
          </cell>
          <cell r="D9865" t="str">
            <v>VSS</v>
          </cell>
        </row>
        <row r="9866">
          <cell r="A9866" t="str">
            <v>FB260012933</v>
          </cell>
          <cell r="D9866" t="str">
            <v>VSS</v>
          </cell>
        </row>
        <row r="9867">
          <cell r="A9867" t="str">
            <v>FB260012934</v>
          </cell>
          <cell r="D9867" t="str">
            <v>WACE</v>
          </cell>
        </row>
        <row r="9868">
          <cell r="A9868" t="str">
            <v>FB260012935</v>
          </cell>
          <cell r="D9868" t="str">
            <v>WACE</v>
          </cell>
        </row>
        <row r="9869">
          <cell r="A9869" t="str">
            <v>FB260012936</v>
          </cell>
          <cell r="D9869" t="str">
            <v>WACE</v>
          </cell>
        </row>
        <row r="9870">
          <cell r="A9870" t="str">
            <v>FB260012937</v>
          </cell>
          <cell r="D9870" t="str">
            <v>VSS</v>
          </cell>
        </row>
        <row r="9871">
          <cell r="A9871" t="str">
            <v>FB260012938</v>
          </cell>
          <cell r="D9871" t="str">
            <v>WACE</v>
          </cell>
        </row>
        <row r="9872">
          <cell r="A9872" t="str">
            <v>FB260012939</v>
          </cell>
          <cell r="D9872" t="str">
            <v>WACE</v>
          </cell>
        </row>
        <row r="9873">
          <cell r="A9873" t="str">
            <v>FB260012940</v>
          </cell>
          <cell r="D9873" t="str">
            <v>VSS</v>
          </cell>
        </row>
        <row r="9874">
          <cell r="A9874" t="str">
            <v>FB260012941</v>
          </cell>
          <cell r="D9874" t="str">
            <v>VSS</v>
          </cell>
        </row>
        <row r="9875">
          <cell r="A9875" t="str">
            <v>FB260012942</v>
          </cell>
          <cell r="D9875" t="str">
            <v>CK</v>
          </cell>
        </row>
        <row r="9876">
          <cell r="A9876" t="str">
            <v>FB260012943</v>
          </cell>
          <cell r="D9876" t="str">
            <v>CK</v>
          </cell>
        </row>
        <row r="9877">
          <cell r="A9877" t="str">
            <v>FB260012945</v>
          </cell>
          <cell r="D9877" t="str">
            <v>WACE</v>
          </cell>
        </row>
        <row r="9878">
          <cell r="A9878" t="str">
            <v>FB260012946</v>
          </cell>
          <cell r="D9878" t="str">
            <v>PINK</v>
          </cell>
        </row>
        <row r="9879">
          <cell r="A9879" t="str">
            <v>FB260012947</v>
          </cell>
          <cell r="D9879" t="str">
            <v>VSS</v>
          </cell>
        </row>
        <row r="9880">
          <cell r="A9880" t="str">
            <v>FB260012950</v>
          </cell>
          <cell r="D9880" t="str">
            <v>VSS</v>
          </cell>
        </row>
        <row r="9881">
          <cell r="A9881" t="str">
            <v>FB260012951</v>
          </cell>
          <cell r="D9881" t="str">
            <v>VSS</v>
          </cell>
        </row>
        <row r="9882">
          <cell r="A9882" t="str">
            <v>FB260012953</v>
          </cell>
          <cell r="D9882" t="str">
            <v>VSS</v>
          </cell>
        </row>
        <row r="9883">
          <cell r="A9883" t="str">
            <v>FB260012955</v>
          </cell>
          <cell r="D9883" t="str">
            <v>PINK</v>
          </cell>
        </row>
        <row r="9884">
          <cell r="A9884" t="str">
            <v>FB260012956</v>
          </cell>
          <cell r="D9884" t="str">
            <v>PINK</v>
          </cell>
        </row>
        <row r="9885">
          <cell r="A9885" t="str">
            <v>FB260012957</v>
          </cell>
          <cell r="D9885" t="str">
            <v>VSS</v>
          </cell>
        </row>
        <row r="9886">
          <cell r="A9886" t="str">
            <v>FB260012959</v>
          </cell>
          <cell r="D9886" t="str">
            <v>VSS</v>
          </cell>
        </row>
        <row r="9887">
          <cell r="A9887" t="str">
            <v>FB260012960</v>
          </cell>
          <cell r="D9887" t="str">
            <v>VSS</v>
          </cell>
        </row>
        <row r="9888">
          <cell r="A9888" t="str">
            <v>FB260012961</v>
          </cell>
          <cell r="D9888" t="str">
            <v>VSS</v>
          </cell>
        </row>
        <row r="9889">
          <cell r="A9889" t="str">
            <v>FB260012963</v>
          </cell>
          <cell r="D9889" t="str">
            <v>PINK</v>
          </cell>
        </row>
        <row r="9890">
          <cell r="A9890" t="str">
            <v>FB260012965</v>
          </cell>
          <cell r="D9890" t="str">
            <v>VSS</v>
          </cell>
        </row>
        <row r="9891">
          <cell r="A9891" t="str">
            <v>FB260012966</v>
          </cell>
          <cell r="D9891" t="str">
            <v>VSS</v>
          </cell>
        </row>
        <row r="9892">
          <cell r="A9892" t="str">
            <v>FB260012968</v>
          </cell>
          <cell r="D9892" t="str">
            <v>CK</v>
          </cell>
        </row>
        <row r="9893">
          <cell r="A9893" t="str">
            <v>FB260012971</v>
          </cell>
          <cell r="D9893" t="str">
            <v>NEX</v>
          </cell>
        </row>
        <row r="9894">
          <cell r="A9894" t="str">
            <v>FB260012976</v>
          </cell>
          <cell r="D9894" t="str">
            <v>CK</v>
          </cell>
        </row>
        <row r="9895">
          <cell r="A9895" t="str">
            <v>FB260012978</v>
          </cell>
          <cell r="D9895" t="str">
            <v>VSS</v>
          </cell>
        </row>
        <row r="9896">
          <cell r="A9896" t="str">
            <v>FB260012979</v>
          </cell>
          <cell r="D9896" t="str">
            <v>VSS</v>
          </cell>
        </row>
        <row r="9897">
          <cell r="A9897" t="str">
            <v>FB260012980</v>
          </cell>
          <cell r="D9897" t="str">
            <v>VSS</v>
          </cell>
        </row>
        <row r="9898">
          <cell r="A9898" t="str">
            <v>FB260012981</v>
          </cell>
          <cell r="D9898" t="str">
            <v>VSS</v>
          </cell>
        </row>
        <row r="9899">
          <cell r="A9899" t="str">
            <v>FB260012982</v>
          </cell>
          <cell r="D9899" t="str">
            <v>PINK</v>
          </cell>
        </row>
        <row r="9900">
          <cell r="A9900" t="str">
            <v>FB260012985</v>
          </cell>
          <cell r="D9900" t="str">
            <v>PINK</v>
          </cell>
        </row>
        <row r="9901">
          <cell r="A9901" t="str">
            <v>FB260012986</v>
          </cell>
          <cell r="D9901" t="str">
            <v>PINK</v>
          </cell>
        </row>
        <row r="9902">
          <cell r="A9902" t="str">
            <v>FB260012987</v>
          </cell>
          <cell r="D9902" t="str">
            <v>PINK</v>
          </cell>
        </row>
        <row r="9903">
          <cell r="A9903" t="str">
            <v>FB260012988</v>
          </cell>
          <cell r="D9903" t="str">
            <v>CK</v>
          </cell>
        </row>
        <row r="9904">
          <cell r="A9904" t="str">
            <v>FB260012989</v>
          </cell>
          <cell r="D9904" t="str">
            <v>VSS</v>
          </cell>
        </row>
        <row r="9905">
          <cell r="A9905" t="str">
            <v>FB260012990</v>
          </cell>
          <cell r="D9905" t="str">
            <v>VSS</v>
          </cell>
        </row>
        <row r="9906">
          <cell r="A9906" t="str">
            <v>FB260012995</v>
          </cell>
          <cell r="D9906" t="str">
            <v>VSS</v>
          </cell>
        </row>
        <row r="9907">
          <cell r="A9907" t="str">
            <v>FB260013000</v>
          </cell>
          <cell r="D9907" t="str">
            <v>NIK</v>
          </cell>
        </row>
        <row r="9908">
          <cell r="A9908" t="str">
            <v>FB260013001</v>
          </cell>
          <cell r="D9908" t="str">
            <v>NIK</v>
          </cell>
        </row>
        <row r="9909">
          <cell r="A9909" t="str">
            <v>FB260013002</v>
          </cell>
          <cell r="D9909" t="str">
            <v>NIK</v>
          </cell>
        </row>
        <row r="9910">
          <cell r="A9910" t="str">
            <v>FB260013004</v>
          </cell>
          <cell r="D9910" t="str">
            <v>NIK</v>
          </cell>
        </row>
        <row r="9911">
          <cell r="A9911" t="str">
            <v>FB260013005</v>
          </cell>
          <cell r="D9911" t="str">
            <v>NIK</v>
          </cell>
        </row>
        <row r="9912">
          <cell r="A9912" t="str">
            <v>FB260013006</v>
          </cell>
          <cell r="D9912" t="str">
            <v>NIK</v>
          </cell>
        </row>
        <row r="9913">
          <cell r="A9913" t="str">
            <v>FB260013007</v>
          </cell>
          <cell r="D9913" t="str">
            <v>NIK</v>
          </cell>
        </row>
        <row r="9914">
          <cell r="A9914" t="str">
            <v>FB260013008</v>
          </cell>
          <cell r="D9914" t="str">
            <v>NIK</v>
          </cell>
        </row>
        <row r="9915">
          <cell r="A9915" t="str">
            <v>FB260013009</v>
          </cell>
          <cell r="D9915" t="str">
            <v>NIK</v>
          </cell>
        </row>
        <row r="9916">
          <cell r="A9916" t="str">
            <v>FB260013010</v>
          </cell>
          <cell r="D9916" t="str">
            <v>NIK</v>
          </cell>
        </row>
        <row r="9917">
          <cell r="A9917" t="str">
            <v>FB260013011</v>
          </cell>
          <cell r="D9917" t="str">
            <v>NIK</v>
          </cell>
        </row>
        <row r="9918">
          <cell r="A9918" t="str">
            <v>FB260013013</v>
          </cell>
          <cell r="D9918" t="str">
            <v>VSS</v>
          </cell>
        </row>
        <row r="9919">
          <cell r="A9919" t="str">
            <v>FB260013014</v>
          </cell>
          <cell r="D9919" t="str">
            <v>VSS</v>
          </cell>
        </row>
        <row r="9920">
          <cell r="A9920" t="str">
            <v>FB260013016</v>
          </cell>
          <cell r="D9920" t="str">
            <v>NIK</v>
          </cell>
        </row>
        <row r="9921">
          <cell r="A9921" t="str">
            <v>FB260013018</v>
          </cell>
          <cell r="D9921" t="str">
            <v>NEX</v>
          </cell>
        </row>
        <row r="9922">
          <cell r="A9922" t="str">
            <v>FB260013020</v>
          </cell>
          <cell r="D9922" t="str">
            <v>NEX</v>
          </cell>
        </row>
        <row r="9923">
          <cell r="A9923" t="str">
            <v>FB260013021</v>
          </cell>
          <cell r="D9923" t="str">
            <v>NEX</v>
          </cell>
        </row>
        <row r="9924">
          <cell r="A9924" t="str">
            <v>FB260013031</v>
          </cell>
          <cell r="D9924" t="str">
            <v>PINK</v>
          </cell>
        </row>
        <row r="9925">
          <cell r="A9925" t="str">
            <v>FB260013034</v>
          </cell>
          <cell r="D9925" t="str">
            <v>NKSKI</v>
          </cell>
        </row>
        <row r="9926">
          <cell r="A9926" t="str">
            <v>FB260013041</v>
          </cell>
          <cell r="D9926" t="str">
            <v>VSS</v>
          </cell>
        </row>
        <row r="9927">
          <cell r="A9927" t="str">
            <v>FB260013042</v>
          </cell>
          <cell r="D9927" t="str">
            <v>NIK</v>
          </cell>
        </row>
        <row r="9928">
          <cell r="A9928" t="str">
            <v>FB260013045</v>
          </cell>
          <cell r="D9928" t="str">
            <v>WACE</v>
          </cell>
        </row>
        <row r="9929">
          <cell r="A9929" t="str">
            <v>FB260013046</v>
          </cell>
          <cell r="D9929" t="str">
            <v>WACE</v>
          </cell>
        </row>
        <row r="9930">
          <cell r="A9930" t="str">
            <v>FB260013047</v>
          </cell>
          <cell r="D9930" t="str">
            <v>WACE</v>
          </cell>
        </row>
        <row r="9931">
          <cell r="A9931" t="str">
            <v>FB260013048</v>
          </cell>
          <cell r="D9931" t="str">
            <v>WACE</v>
          </cell>
        </row>
        <row r="9932">
          <cell r="A9932" t="str">
            <v>FB260013049</v>
          </cell>
          <cell r="D9932" t="str">
            <v>GLA</v>
          </cell>
        </row>
        <row r="9933">
          <cell r="A9933" t="str">
            <v>FB260013051</v>
          </cell>
          <cell r="D9933" t="str">
            <v>WACE</v>
          </cell>
        </row>
        <row r="9934">
          <cell r="A9934" t="str">
            <v>FB260013052</v>
          </cell>
          <cell r="D9934" t="str">
            <v>WACE</v>
          </cell>
        </row>
        <row r="9935">
          <cell r="A9935" t="str">
            <v>FB260013053</v>
          </cell>
          <cell r="D9935" t="str">
            <v>VSS</v>
          </cell>
        </row>
        <row r="9936">
          <cell r="A9936" t="str">
            <v>FB260013056</v>
          </cell>
          <cell r="D9936" t="str">
            <v>VSS</v>
          </cell>
        </row>
        <row r="9937">
          <cell r="A9937" t="str">
            <v>FB260013057</v>
          </cell>
          <cell r="D9937" t="str">
            <v>VSS</v>
          </cell>
        </row>
        <row r="9938">
          <cell r="A9938" t="str">
            <v>FB260013058</v>
          </cell>
          <cell r="D9938" t="str">
            <v>VSS</v>
          </cell>
        </row>
        <row r="9939">
          <cell r="A9939" t="str">
            <v>FB260013062</v>
          </cell>
          <cell r="D9939" t="str">
            <v>GAP</v>
          </cell>
        </row>
        <row r="9940">
          <cell r="A9940" t="str">
            <v>FB260013063</v>
          </cell>
          <cell r="D9940" t="str">
            <v>VSS</v>
          </cell>
        </row>
        <row r="9941">
          <cell r="A9941" t="str">
            <v>FB260013064</v>
          </cell>
          <cell r="D9941" t="str">
            <v>M&amp;S</v>
          </cell>
        </row>
        <row r="9942">
          <cell r="A9942" t="str">
            <v>FB260013065</v>
          </cell>
          <cell r="D9942" t="str">
            <v>M&amp;S</v>
          </cell>
        </row>
        <row r="9943">
          <cell r="A9943" t="str">
            <v>FB260013067</v>
          </cell>
          <cell r="D9943" t="str">
            <v>VSS</v>
          </cell>
        </row>
        <row r="9944">
          <cell r="A9944" t="str">
            <v>FB260013070</v>
          </cell>
          <cell r="D9944" t="str">
            <v>NIK</v>
          </cell>
        </row>
        <row r="9945">
          <cell r="A9945" t="str">
            <v>FB260013072</v>
          </cell>
          <cell r="D9945" t="str">
            <v>VSS</v>
          </cell>
        </row>
        <row r="9946">
          <cell r="A9946" t="str">
            <v>FB260013073</v>
          </cell>
          <cell r="D9946" t="str">
            <v>VSS</v>
          </cell>
        </row>
        <row r="9947">
          <cell r="A9947" t="str">
            <v>FB260013074</v>
          </cell>
          <cell r="D9947" t="str">
            <v>VSS</v>
          </cell>
        </row>
        <row r="9948">
          <cell r="A9948" t="str">
            <v>FB260013075</v>
          </cell>
          <cell r="D9948" t="str">
            <v>NIK</v>
          </cell>
        </row>
        <row r="9949">
          <cell r="A9949" t="str">
            <v>FB260013076</v>
          </cell>
          <cell r="D9949" t="str">
            <v>NIK</v>
          </cell>
        </row>
        <row r="9950">
          <cell r="A9950" t="str">
            <v>FB260013077</v>
          </cell>
          <cell r="D9950" t="str">
            <v>VSS</v>
          </cell>
        </row>
        <row r="9951">
          <cell r="A9951" t="str">
            <v>FB260013078</v>
          </cell>
          <cell r="D9951" t="str">
            <v>VSS</v>
          </cell>
        </row>
        <row r="9952">
          <cell r="A9952" t="str">
            <v>FB260013079</v>
          </cell>
          <cell r="D9952" t="str">
            <v>VSS</v>
          </cell>
        </row>
        <row r="9953">
          <cell r="A9953" t="str">
            <v>FB260013080</v>
          </cell>
          <cell r="D9953" t="str">
            <v>VSS</v>
          </cell>
        </row>
        <row r="9954">
          <cell r="A9954" t="str">
            <v>FB260013081</v>
          </cell>
          <cell r="D9954" t="str">
            <v>VSS</v>
          </cell>
        </row>
        <row r="9955">
          <cell r="A9955" t="str">
            <v>FB260013082</v>
          </cell>
          <cell r="D9955" t="str">
            <v>VSS</v>
          </cell>
        </row>
        <row r="9956">
          <cell r="A9956" t="str">
            <v>FB260013083</v>
          </cell>
          <cell r="D9956" t="str">
            <v>VSS</v>
          </cell>
        </row>
        <row r="9957">
          <cell r="A9957" t="str">
            <v>FB260013084</v>
          </cell>
          <cell r="D9957" t="str">
            <v>VSS</v>
          </cell>
        </row>
        <row r="9958">
          <cell r="A9958" t="str">
            <v>FB260013085</v>
          </cell>
          <cell r="D9958" t="str">
            <v>VSS</v>
          </cell>
        </row>
        <row r="9959">
          <cell r="A9959" t="str">
            <v>FB260013086</v>
          </cell>
          <cell r="D9959" t="str">
            <v>NIK</v>
          </cell>
        </row>
        <row r="9960">
          <cell r="A9960" t="str">
            <v>FB260013087</v>
          </cell>
          <cell r="D9960" t="str">
            <v>NIK</v>
          </cell>
        </row>
        <row r="9961">
          <cell r="A9961" t="str">
            <v>FB260013088</v>
          </cell>
          <cell r="D9961" t="str">
            <v>PINK</v>
          </cell>
        </row>
        <row r="9962">
          <cell r="A9962" t="str">
            <v>FB260013090</v>
          </cell>
          <cell r="D9962" t="str">
            <v>CK</v>
          </cell>
        </row>
        <row r="9963">
          <cell r="A9963" t="str">
            <v>FB260013091</v>
          </cell>
          <cell r="D9963" t="str">
            <v>VSS</v>
          </cell>
        </row>
        <row r="9964">
          <cell r="A9964" t="str">
            <v>FB260013105</v>
          </cell>
          <cell r="D9964" t="str">
            <v>GAPO</v>
          </cell>
        </row>
        <row r="9965">
          <cell r="A9965" t="str">
            <v>FB260013114</v>
          </cell>
          <cell r="D9965" t="str">
            <v>VSS</v>
          </cell>
        </row>
        <row r="9966">
          <cell r="A9966" t="str">
            <v>FB260013121</v>
          </cell>
          <cell r="D9966" t="str">
            <v>PINK</v>
          </cell>
        </row>
        <row r="9967">
          <cell r="A9967" t="str">
            <v>FB260013122</v>
          </cell>
          <cell r="D9967" t="str">
            <v>PINK</v>
          </cell>
        </row>
        <row r="9968">
          <cell r="A9968" t="str">
            <v>FB260013124</v>
          </cell>
          <cell r="D9968" t="str">
            <v>VSS</v>
          </cell>
        </row>
        <row r="9969">
          <cell r="A9969" t="str">
            <v>FB260013127</v>
          </cell>
          <cell r="D9969" t="str">
            <v>VSS</v>
          </cell>
        </row>
        <row r="9970">
          <cell r="A9970" t="str">
            <v>FB260013134</v>
          </cell>
          <cell r="D9970" t="str">
            <v>VSS</v>
          </cell>
        </row>
        <row r="9971">
          <cell r="A9971" t="str">
            <v>FB260013135</v>
          </cell>
          <cell r="D9971" t="str">
            <v>PINK</v>
          </cell>
        </row>
        <row r="9972">
          <cell r="A9972" t="str">
            <v>FB260013136</v>
          </cell>
          <cell r="D9972" t="str">
            <v>VSS</v>
          </cell>
        </row>
        <row r="9973">
          <cell r="A9973" t="str">
            <v>FB260013138</v>
          </cell>
          <cell r="D9973" t="str">
            <v>NIK</v>
          </cell>
        </row>
        <row r="9974">
          <cell r="A9974" t="str">
            <v>FB260013141</v>
          </cell>
          <cell r="D9974" t="str">
            <v>NIK</v>
          </cell>
        </row>
        <row r="9975">
          <cell r="A9975" t="str">
            <v>FB260013142</v>
          </cell>
          <cell r="D9975" t="str">
            <v>NIK</v>
          </cell>
        </row>
        <row r="9976">
          <cell r="A9976" t="str">
            <v>FB260013144</v>
          </cell>
          <cell r="D9976" t="str">
            <v>VSS</v>
          </cell>
        </row>
        <row r="9977">
          <cell r="A9977" t="str">
            <v>FB260013145</v>
          </cell>
          <cell r="D9977" t="str">
            <v>VSS</v>
          </cell>
        </row>
        <row r="9978">
          <cell r="A9978" t="str">
            <v>FB260013146</v>
          </cell>
          <cell r="D9978" t="str">
            <v>VSS</v>
          </cell>
        </row>
        <row r="9979">
          <cell r="A9979" t="str">
            <v>FB260013147</v>
          </cell>
          <cell r="D9979" t="str">
            <v>VSS</v>
          </cell>
        </row>
        <row r="9980">
          <cell r="A9980" t="str">
            <v>FB260013148</v>
          </cell>
          <cell r="D9980" t="str">
            <v>VSS</v>
          </cell>
        </row>
        <row r="9981">
          <cell r="A9981" t="str">
            <v>FB260013149</v>
          </cell>
          <cell r="D9981" t="str">
            <v>VSS</v>
          </cell>
        </row>
        <row r="9982">
          <cell r="A9982" t="str">
            <v>FB260013150</v>
          </cell>
          <cell r="D9982" t="str">
            <v>VSS</v>
          </cell>
        </row>
        <row r="9983">
          <cell r="A9983" t="str">
            <v>FB260013154</v>
          </cell>
          <cell r="D9983" t="str">
            <v>WACE</v>
          </cell>
        </row>
        <row r="9984">
          <cell r="A9984" t="str">
            <v>FB260013155</v>
          </cell>
          <cell r="D9984" t="str">
            <v>THEU</v>
          </cell>
        </row>
        <row r="9985">
          <cell r="A9985" t="str">
            <v>FB260013156</v>
          </cell>
          <cell r="D9985" t="str">
            <v>WACE</v>
          </cell>
        </row>
        <row r="9986">
          <cell r="A9986" t="str">
            <v>FB260013158</v>
          </cell>
          <cell r="D9986" t="str">
            <v>VSS</v>
          </cell>
        </row>
        <row r="9987">
          <cell r="A9987" t="str">
            <v>FB260013159</v>
          </cell>
          <cell r="D9987" t="str">
            <v>VSS</v>
          </cell>
        </row>
        <row r="9988">
          <cell r="A9988" t="str">
            <v>FB260013160</v>
          </cell>
          <cell r="D9988" t="str">
            <v>VSS</v>
          </cell>
        </row>
        <row r="9989">
          <cell r="A9989" t="str">
            <v>FB260013162</v>
          </cell>
          <cell r="D9989" t="str">
            <v>VSS</v>
          </cell>
        </row>
        <row r="9990">
          <cell r="A9990" t="str">
            <v>FB260013164</v>
          </cell>
          <cell r="D9990" t="str">
            <v>PINK</v>
          </cell>
        </row>
        <row r="9991">
          <cell r="A9991" t="str">
            <v>FB260013165</v>
          </cell>
          <cell r="D9991" t="str">
            <v>VSS</v>
          </cell>
        </row>
        <row r="9992">
          <cell r="A9992" t="str">
            <v>FB260013168</v>
          </cell>
          <cell r="D9992" t="str">
            <v>VSS</v>
          </cell>
        </row>
        <row r="9993">
          <cell r="A9993" t="str">
            <v>FB260013169</v>
          </cell>
          <cell r="D9993" t="str">
            <v>VSS</v>
          </cell>
        </row>
        <row r="9994">
          <cell r="A9994" t="str">
            <v>FB260013170</v>
          </cell>
          <cell r="D9994" t="str">
            <v>VSS</v>
          </cell>
        </row>
        <row r="9995">
          <cell r="A9995" t="str">
            <v>FB260013172</v>
          </cell>
          <cell r="D9995" t="str">
            <v>VSS</v>
          </cell>
        </row>
        <row r="9996">
          <cell r="A9996" t="str">
            <v>FB260013174</v>
          </cell>
          <cell r="D9996" t="str">
            <v>VSS</v>
          </cell>
        </row>
        <row r="9997">
          <cell r="A9997" t="str">
            <v>FB260013175</v>
          </cell>
          <cell r="D9997" t="str">
            <v>VSS</v>
          </cell>
        </row>
        <row r="9998">
          <cell r="A9998" t="str">
            <v>FB260013176</v>
          </cell>
          <cell r="D9998" t="str">
            <v>VSS</v>
          </cell>
        </row>
        <row r="9999">
          <cell r="A9999" t="str">
            <v>FB260013179</v>
          </cell>
          <cell r="D9999" t="str">
            <v>PINK</v>
          </cell>
        </row>
        <row r="10000">
          <cell r="A10000" t="str">
            <v>FB260013182</v>
          </cell>
          <cell r="D10000" t="str">
            <v>VSS</v>
          </cell>
        </row>
        <row r="10001">
          <cell r="A10001" t="str">
            <v>FB260013183</v>
          </cell>
          <cell r="D10001" t="str">
            <v>CK</v>
          </cell>
        </row>
        <row r="10002">
          <cell r="A10002" t="str">
            <v>FB260013184</v>
          </cell>
          <cell r="D10002" t="str">
            <v>WACE</v>
          </cell>
        </row>
        <row r="10003">
          <cell r="A10003" t="str">
            <v>FB260013185</v>
          </cell>
          <cell r="D10003" t="str">
            <v>NEWB</v>
          </cell>
        </row>
        <row r="10004">
          <cell r="A10004" t="str">
            <v>FB260013188</v>
          </cell>
          <cell r="D10004" t="str">
            <v>VSS</v>
          </cell>
        </row>
        <row r="10005">
          <cell r="A10005" t="str">
            <v>FB260013189</v>
          </cell>
          <cell r="D10005" t="str">
            <v>PINK</v>
          </cell>
        </row>
        <row r="10006">
          <cell r="A10006" t="str">
            <v>FB260013190</v>
          </cell>
          <cell r="D10006" t="str">
            <v>WACE</v>
          </cell>
        </row>
        <row r="10007">
          <cell r="A10007" t="str">
            <v>FB260013191</v>
          </cell>
          <cell r="D10007" t="str">
            <v>VSS</v>
          </cell>
        </row>
        <row r="10008">
          <cell r="A10008" t="str">
            <v>FB260013194</v>
          </cell>
          <cell r="D10008" t="str">
            <v>PINK</v>
          </cell>
        </row>
        <row r="10009">
          <cell r="A10009" t="str">
            <v>FB260013195</v>
          </cell>
          <cell r="D10009" t="str">
            <v>GAP</v>
          </cell>
        </row>
        <row r="10010">
          <cell r="A10010" t="str">
            <v>FB260013196</v>
          </cell>
          <cell r="D10010" t="str">
            <v>VSS</v>
          </cell>
        </row>
        <row r="10011">
          <cell r="A10011" t="str">
            <v>FB260013197</v>
          </cell>
          <cell r="D10011" t="str">
            <v>VSS</v>
          </cell>
        </row>
        <row r="10012">
          <cell r="A10012" t="str">
            <v>FB260013198</v>
          </cell>
          <cell r="D10012" t="str">
            <v>VSS</v>
          </cell>
        </row>
        <row r="10013">
          <cell r="A10013" t="str">
            <v>FB260013200</v>
          </cell>
          <cell r="D10013" t="str">
            <v>GYM</v>
          </cell>
        </row>
        <row r="10014">
          <cell r="A10014" t="str">
            <v>FB260013201</v>
          </cell>
          <cell r="D10014" t="str">
            <v>VSS</v>
          </cell>
        </row>
        <row r="10015">
          <cell r="A10015" t="str">
            <v>FB260013204</v>
          </cell>
          <cell r="D10015" t="str">
            <v>NIK</v>
          </cell>
        </row>
        <row r="10016">
          <cell r="A10016" t="str">
            <v>FB260013207</v>
          </cell>
          <cell r="D10016" t="str">
            <v>NIK</v>
          </cell>
        </row>
        <row r="10017">
          <cell r="A10017" t="str">
            <v>FB260013208</v>
          </cell>
          <cell r="D10017" t="str">
            <v>NIK</v>
          </cell>
        </row>
        <row r="10018">
          <cell r="A10018" t="str">
            <v>FB260013211</v>
          </cell>
          <cell r="D10018" t="str">
            <v>PINK</v>
          </cell>
        </row>
        <row r="10019">
          <cell r="A10019" t="str">
            <v>FB260013213</v>
          </cell>
          <cell r="D10019" t="str">
            <v>PINK</v>
          </cell>
        </row>
        <row r="10020">
          <cell r="A10020" t="str">
            <v>FB260013214</v>
          </cell>
          <cell r="D10020" t="str">
            <v>VSS</v>
          </cell>
        </row>
        <row r="10021">
          <cell r="A10021" t="str">
            <v>FB260013217</v>
          </cell>
          <cell r="D10021" t="str">
            <v>NIK</v>
          </cell>
        </row>
        <row r="10022">
          <cell r="A10022" t="str">
            <v>FB260013220</v>
          </cell>
          <cell r="D10022" t="str">
            <v>VSS</v>
          </cell>
        </row>
        <row r="10023">
          <cell r="A10023" t="str">
            <v>FB260013221</v>
          </cell>
          <cell r="D10023" t="str">
            <v>LBI</v>
          </cell>
        </row>
        <row r="10024">
          <cell r="A10024" t="str">
            <v>FB260013222</v>
          </cell>
          <cell r="D10024" t="str">
            <v>CK</v>
          </cell>
        </row>
        <row r="10025">
          <cell r="A10025" t="str">
            <v>FB260013223</v>
          </cell>
          <cell r="D10025" t="str">
            <v>CK</v>
          </cell>
        </row>
        <row r="10026">
          <cell r="A10026" t="str">
            <v>FB260013224</v>
          </cell>
          <cell r="D10026" t="str">
            <v>VSS</v>
          </cell>
        </row>
        <row r="10027">
          <cell r="A10027" t="str">
            <v>FB260013225</v>
          </cell>
          <cell r="D10027" t="str">
            <v>LULU</v>
          </cell>
        </row>
        <row r="10028">
          <cell r="A10028" t="str">
            <v>FB260013226</v>
          </cell>
          <cell r="D10028" t="str">
            <v>VSS</v>
          </cell>
        </row>
        <row r="10029">
          <cell r="A10029" t="str">
            <v>FB260013227</v>
          </cell>
          <cell r="D10029" t="str">
            <v>VSS</v>
          </cell>
        </row>
        <row r="10030">
          <cell r="A10030" t="str">
            <v>FB260013228</v>
          </cell>
          <cell r="D10030" t="str">
            <v>VSS</v>
          </cell>
        </row>
        <row r="10031">
          <cell r="A10031" t="str">
            <v>FB260013229</v>
          </cell>
          <cell r="D10031" t="str">
            <v>VSS</v>
          </cell>
        </row>
        <row r="10032">
          <cell r="A10032" t="str">
            <v>FB260013230</v>
          </cell>
          <cell r="D10032" t="str">
            <v>VSS</v>
          </cell>
        </row>
        <row r="10033">
          <cell r="A10033" t="str">
            <v>FB260013231</v>
          </cell>
          <cell r="D10033" t="str">
            <v>GAP</v>
          </cell>
        </row>
        <row r="10034">
          <cell r="A10034" t="str">
            <v>FB260013232</v>
          </cell>
          <cell r="D10034" t="str">
            <v>GAP</v>
          </cell>
        </row>
        <row r="10035">
          <cell r="A10035" t="str">
            <v>FB260013233</v>
          </cell>
          <cell r="D10035" t="str">
            <v>VSS</v>
          </cell>
        </row>
        <row r="10036">
          <cell r="A10036" t="str">
            <v>FB260013234</v>
          </cell>
          <cell r="D10036" t="str">
            <v>VSS</v>
          </cell>
        </row>
        <row r="10037">
          <cell r="A10037" t="str">
            <v>FB260013235</v>
          </cell>
          <cell r="D10037" t="str">
            <v>VSS</v>
          </cell>
        </row>
        <row r="10038">
          <cell r="A10038" t="str">
            <v>FB260013247</v>
          </cell>
          <cell r="D10038" t="str">
            <v>VSS</v>
          </cell>
        </row>
        <row r="10039">
          <cell r="A10039" t="str">
            <v>FB260013249</v>
          </cell>
          <cell r="D10039" t="str">
            <v>VSS</v>
          </cell>
        </row>
        <row r="10040">
          <cell r="A10040" t="str">
            <v>FB260013250</v>
          </cell>
          <cell r="D10040" t="str">
            <v>VSS</v>
          </cell>
        </row>
        <row r="10041">
          <cell r="A10041" t="str">
            <v>FB260013251</v>
          </cell>
          <cell r="D10041" t="str">
            <v>VSS</v>
          </cell>
        </row>
        <row r="10042">
          <cell r="A10042" t="str">
            <v>FB260013253</v>
          </cell>
          <cell r="D10042" t="str">
            <v>WACE</v>
          </cell>
        </row>
        <row r="10043">
          <cell r="A10043" t="str">
            <v>FB260013259</v>
          </cell>
          <cell r="D10043" t="str">
            <v>LBI</v>
          </cell>
        </row>
        <row r="10044">
          <cell r="A10044" t="str">
            <v>FB260013262</v>
          </cell>
          <cell r="D10044" t="str">
            <v>WACE</v>
          </cell>
        </row>
        <row r="10045">
          <cell r="A10045" t="str">
            <v>FB260013266</v>
          </cell>
          <cell r="D10045" t="str">
            <v>VSS</v>
          </cell>
        </row>
        <row r="10046">
          <cell r="A10046" t="str">
            <v>FB260013267</v>
          </cell>
          <cell r="D10046" t="str">
            <v>VSS</v>
          </cell>
        </row>
        <row r="10047">
          <cell r="A10047" t="str">
            <v>FB260013268</v>
          </cell>
          <cell r="D10047" t="str">
            <v>LULU</v>
          </cell>
        </row>
        <row r="10048">
          <cell r="A10048" t="str">
            <v>FB260013269</v>
          </cell>
          <cell r="D10048" t="str">
            <v>VSS</v>
          </cell>
        </row>
        <row r="10049">
          <cell r="A10049" t="str">
            <v>FB260013271</v>
          </cell>
          <cell r="D10049" t="str">
            <v>VSS</v>
          </cell>
        </row>
        <row r="10050">
          <cell r="A10050" t="str">
            <v>FB260013272</v>
          </cell>
          <cell r="D10050" t="str">
            <v>VSS</v>
          </cell>
        </row>
        <row r="10051">
          <cell r="A10051" t="str">
            <v>FB260013273</v>
          </cell>
          <cell r="D10051" t="str">
            <v>VSS</v>
          </cell>
        </row>
        <row r="10052">
          <cell r="A10052" t="str">
            <v>FB260013279</v>
          </cell>
          <cell r="D10052" t="str">
            <v>NKSKI</v>
          </cell>
        </row>
        <row r="10053">
          <cell r="A10053" t="str">
            <v>FB260013281</v>
          </cell>
          <cell r="D10053" t="str">
            <v>GAP</v>
          </cell>
        </row>
        <row r="10054">
          <cell r="A10054" t="str">
            <v>FB260013284</v>
          </cell>
          <cell r="D10054" t="str">
            <v>VSS</v>
          </cell>
        </row>
        <row r="10055">
          <cell r="A10055" t="str">
            <v>FB260013294</v>
          </cell>
          <cell r="D10055" t="str">
            <v>VSS</v>
          </cell>
        </row>
        <row r="10056">
          <cell r="A10056" t="str">
            <v>FB260013298</v>
          </cell>
          <cell r="D10056" t="str">
            <v>VSS</v>
          </cell>
        </row>
        <row r="10057">
          <cell r="A10057" t="str">
            <v>FB260013299</v>
          </cell>
          <cell r="D10057" t="str">
            <v>VSS</v>
          </cell>
        </row>
        <row r="10058">
          <cell r="A10058" t="str">
            <v>FB260013303</v>
          </cell>
          <cell r="D10058" t="str">
            <v>VSS</v>
          </cell>
        </row>
        <row r="10059">
          <cell r="A10059" t="str">
            <v>FB260013305</v>
          </cell>
          <cell r="D10059" t="str">
            <v>GAPO</v>
          </cell>
        </row>
        <row r="10060">
          <cell r="A10060" t="str">
            <v>FB260013306</v>
          </cell>
          <cell r="D10060" t="str">
            <v>WACE</v>
          </cell>
        </row>
        <row r="10061">
          <cell r="A10061" t="str">
            <v>FB260013307</v>
          </cell>
          <cell r="D10061" t="str">
            <v>WACE</v>
          </cell>
        </row>
        <row r="10062">
          <cell r="A10062" t="str">
            <v>FB260013309</v>
          </cell>
          <cell r="D10062" t="str">
            <v>GAPO</v>
          </cell>
        </row>
        <row r="10063">
          <cell r="A10063" t="str">
            <v>FB260013311</v>
          </cell>
          <cell r="D10063" t="str">
            <v>VSS</v>
          </cell>
        </row>
        <row r="10064">
          <cell r="A10064" t="str">
            <v>FB260013318</v>
          </cell>
          <cell r="D10064" t="str">
            <v>VSS</v>
          </cell>
        </row>
        <row r="10065">
          <cell r="A10065" t="str">
            <v>FB260013319</v>
          </cell>
          <cell r="D10065" t="str">
            <v>VSS</v>
          </cell>
        </row>
        <row r="10066">
          <cell r="A10066" t="str">
            <v>FB260013321</v>
          </cell>
          <cell r="D10066" t="str">
            <v>INT1</v>
          </cell>
        </row>
        <row r="10067">
          <cell r="A10067" t="str">
            <v>FB260013322</v>
          </cell>
          <cell r="D10067" t="str">
            <v>WACE</v>
          </cell>
        </row>
        <row r="10068">
          <cell r="A10068" t="str">
            <v>FB260013323</v>
          </cell>
          <cell r="D10068" t="str">
            <v>INT1</v>
          </cell>
        </row>
        <row r="10069">
          <cell r="A10069" t="str">
            <v>FB260013325</v>
          </cell>
          <cell r="D10069" t="str">
            <v>VSS</v>
          </cell>
        </row>
        <row r="10070">
          <cell r="A10070" t="str">
            <v>FB260013326</v>
          </cell>
          <cell r="D10070" t="str">
            <v>VSS</v>
          </cell>
        </row>
        <row r="10071">
          <cell r="A10071" t="str">
            <v>FB260013329</v>
          </cell>
          <cell r="D10071" t="str">
            <v>CHICOS</v>
          </cell>
        </row>
        <row r="10072">
          <cell r="A10072" t="str">
            <v>FB260013331</v>
          </cell>
          <cell r="D10072" t="str">
            <v>NIK</v>
          </cell>
        </row>
        <row r="10073">
          <cell r="A10073" t="str">
            <v>FB260013332</v>
          </cell>
          <cell r="D10073" t="str">
            <v>NIK</v>
          </cell>
        </row>
        <row r="10074">
          <cell r="A10074" t="str">
            <v>FB260013333</v>
          </cell>
          <cell r="D10074" t="str">
            <v>GAP</v>
          </cell>
        </row>
        <row r="10075">
          <cell r="A10075" t="str">
            <v>FB260013334</v>
          </cell>
          <cell r="D10075" t="str">
            <v>VSS</v>
          </cell>
        </row>
        <row r="10076">
          <cell r="A10076" t="str">
            <v>FB260013335</v>
          </cell>
          <cell r="D10076" t="str">
            <v>PINK</v>
          </cell>
        </row>
        <row r="10077">
          <cell r="A10077" t="str">
            <v>FB260013336</v>
          </cell>
          <cell r="D10077" t="str">
            <v>PINK</v>
          </cell>
        </row>
        <row r="10078">
          <cell r="A10078" t="str">
            <v>FB260013337</v>
          </cell>
          <cell r="D10078" t="str">
            <v>VSS</v>
          </cell>
        </row>
        <row r="10079">
          <cell r="A10079" t="str">
            <v>FB260013339</v>
          </cell>
          <cell r="D10079" t="str">
            <v>PINK</v>
          </cell>
        </row>
        <row r="10080">
          <cell r="A10080" t="str">
            <v>FB260013340</v>
          </cell>
          <cell r="D10080" t="str">
            <v>PINK</v>
          </cell>
        </row>
        <row r="10081">
          <cell r="A10081" t="str">
            <v>FB260013341</v>
          </cell>
          <cell r="D10081" t="str">
            <v>GAP</v>
          </cell>
        </row>
        <row r="10082">
          <cell r="A10082" t="str">
            <v>FB260013342</v>
          </cell>
          <cell r="D10082" t="str">
            <v>PINK</v>
          </cell>
        </row>
        <row r="10083">
          <cell r="A10083" t="str">
            <v>FB260013343</v>
          </cell>
          <cell r="D10083" t="str">
            <v>VSS</v>
          </cell>
        </row>
        <row r="10084">
          <cell r="A10084" t="str">
            <v>FB260013344</v>
          </cell>
          <cell r="D10084" t="str">
            <v>GAP</v>
          </cell>
        </row>
        <row r="10085">
          <cell r="A10085" t="str">
            <v>FB260013345</v>
          </cell>
          <cell r="D10085" t="str">
            <v>VSS</v>
          </cell>
        </row>
        <row r="10086">
          <cell r="A10086" t="str">
            <v>FB260013346</v>
          </cell>
          <cell r="D10086" t="str">
            <v>VSS</v>
          </cell>
        </row>
        <row r="10087">
          <cell r="A10087" t="str">
            <v>FB260013347</v>
          </cell>
          <cell r="D10087" t="str">
            <v>VSS</v>
          </cell>
        </row>
        <row r="10088">
          <cell r="A10088" t="str">
            <v>FB260013349</v>
          </cell>
          <cell r="D10088" t="str">
            <v>LULU</v>
          </cell>
        </row>
        <row r="10089">
          <cell r="A10089" t="str">
            <v>FB260013390</v>
          </cell>
          <cell r="D10089" t="str">
            <v>VSS</v>
          </cell>
        </row>
        <row r="10090">
          <cell r="A10090" t="str">
            <v>FB260013391</v>
          </cell>
          <cell r="D10090" t="str">
            <v>VSS</v>
          </cell>
        </row>
        <row r="10091">
          <cell r="A10091" t="str">
            <v>FB260013393</v>
          </cell>
          <cell r="D10091" t="str">
            <v>VSS</v>
          </cell>
        </row>
        <row r="10092">
          <cell r="A10092" t="str">
            <v>FB260013395</v>
          </cell>
          <cell r="D10092" t="str">
            <v>VSS</v>
          </cell>
        </row>
        <row r="10093">
          <cell r="A10093" t="str">
            <v>FB260013407</v>
          </cell>
          <cell r="D10093" t="str">
            <v>PINK</v>
          </cell>
        </row>
        <row r="10094">
          <cell r="A10094" t="str">
            <v>FB260013408</v>
          </cell>
          <cell r="D10094" t="str">
            <v>PINK</v>
          </cell>
        </row>
        <row r="10095">
          <cell r="A10095" t="str">
            <v>FB260013409</v>
          </cell>
          <cell r="D10095" t="str">
            <v>PINK</v>
          </cell>
        </row>
        <row r="10096">
          <cell r="A10096" t="str">
            <v>FB260013413</v>
          </cell>
          <cell r="D10096" t="str">
            <v>SPEE</v>
          </cell>
        </row>
        <row r="10097">
          <cell r="A10097" t="str">
            <v>FB260013414</v>
          </cell>
          <cell r="D10097" t="str">
            <v>SPEE</v>
          </cell>
        </row>
        <row r="10098">
          <cell r="A10098" t="str">
            <v>FB260013415</v>
          </cell>
          <cell r="D10098" t="str">
            <v>CHICOS</v>
          </cell>
        </row>
        <row r="10099">
          <cell r="A10099" t="str">
            <v>FB260013416</v>
          </cell>
          <cell r="D10099" t="str">
            <v>VSS</v>
          </cell>
        </row>
        <row r="10100">
          <cell r="A10100" t="str">
            <v>FB260013417</v>
          </cell>
          <cell r="D10100" t="str">
            <v>VSS</v>
          </cell>
        </row>
        <row r="10101">
          <cell r="A10101" t="str">
            <v>FB260013418</v>
          </cell>
          <cell r="D10101" t="str">
            <v>VSS</v>
          </cell>
        </row>
        <row r="10102">
          <cell r="A10102" t="str">
            <v>FB260013419</v>
          </cell>
          <cell r="D10102" t="str">
            <v>NIK</v>
          </cell>
        </row>
        <row r="10103">
          <cell r="A10103" t="str">
            <v>FB260013421</v>
          </cell>
          <cell r="D10103" t="str">
            <v>NIK</v>
          </cell>
        </row>
        <row r="10104">
          <cell r="A10104" t="str">
            <v>FB260013422</v>
          </cell>
          <cell r="D10104" t="str">
            <v>NIK</v>
          </cell>
        </row>
        <row r="10105">
          <cell r="A10105" t="str">
            <v>FB260013425</v>
          </cell>
          <cell r="D10105" t="str">
            <v>CK</v>
          </cell>
        </row>
        <row r="10106">
          <cell r="A10106" t="str">
            <v>FB260013434</v>
          </cell>
          <cell r="D10106" t="str">
            <v>VSS</v>
          </cell>
        </row>
        <row r="10107">
          <cell r="A10107" t="str">
            <v>FB260013436</v>
          </cell>
          <cell r="D10107" t="str">
            <v>GAP</v>
          </cell>
        </row>
        <row r="10108">
          <cell r="A10108" t="str">
            <v>FB260013445</v>
          </cell>
          <cell r="D10108" t="str">
            <v>NIK</v>
          </cell>
        </row>
        <row r="10109">
          <cell r="A10109" t="str">
            <v>FB260013446</v>
          </cell>
          <cell r="D10109" t="str">
            <v>NIK</v>
          </cell>
        </row>
        <row r="10110">
          <cell r="A10110" t="str">
            <v>FB260013447</v>
          </cell>
          <cell r="D10110" t="str">
            <v>NIK</v>
          </cell>
        </row>
        <row r="10111">
          <cell r="A10111" t="str">
            <v>FB260013448</v>
          </cell>
          <cell r="D10111" t="str">
            <v>NIK</v>
          </cell>
        </row>
        <row r="10112">
          <cell r="A10112" t="str">
            <v>FB260013449</v>
          </cell>
          <cell r="D10112" t="str">
            <v>VSS</v>
          </cell>
        </row>
        <row r="10113">
          <cell r="A10113" t="str">
            <v>FB260013450</v>
          </cell>
          <cell r="D10113" t="str">
            <v>VSS</v>
          </cell>
        </row>
        <row r="10114">
          <cell r="A10114" t="str">
            <v>FB260013451</v>
          </cell>
          <cell r="D10114" t="str">
            <v>VSS</v>
          </cell>
        </row>
        <row r="10115">
          <cell r="A10115" t="str">
            <v>FB260013452</v>
          </cell>
          <cell r="D10115" t="str">
            <v>VSS</v>
          </cell>
        </row>
        <row r="10116">
          <cell r="A10116" t="str">
            <v>FB260013453</v>
          </cell>
          <cell r="D10116" t="str">
            <v>VSS</v>
          </cell>
        </row>
        <row r="10117">
          <cell r="A10117" t="str">
            <v>FB260013454</v>
          </cell>
          <cell r="D10117" t="str">
            <v>WACE</v>
          </cell>
        </row>
        <row r="10118">
          <cell r="A10118" t="str">
            <v>FB260013455</v>
          </cell>
          <cell r="D10118" t="str">
            <v>VSS</v>
          </cell>
        </row>
        <row r="10119">
          <cell r="A10119" t="str">
            <v>FB260013456</v>
          </cell>
          <cell r="D10119" t="str">
            <v>VSS</v>
          </cell>
        </row>
        <row r="10120">
          <cell r="A10120" t="str">
            <v>FB260013458</v>
          </cell>
          <cell r="D10120" t="str">
            <v>KOM</v>
          </cell>
        </row>
        <row r="10121">
          <cell r="A10121" t="str">
            <v>FB260013459</v>
          </cell>
          <cell r="D10121" t="str">
            <v>VSS</v>
          </cell>
        </row>
        <row r="10122">
          <cell r="A10122" t="str">
            <v>FB260013460</v>
          </cell>
          <cell r="D10122" t="str">
            <v>SKI</v>
          </cell>
        </row>
        <row r="10123">
          <cell r="A10123" t="str">
            <v>FB260013461</v>
          </cell>
          <cell r="D10123" t="str">
            <v>VSS</v>
          </cell>
        </row>
        <row r="10124">
          <cell r="A10124" t="str">
            <v>FB260013462</v>
          </cell>
          <cell r="D10124" t="str">
            <v>NIK</v>
          </cell>
        </row>
        <row r="10125">
          <cell r="A10125" t="str">
            <v>FB260013463</v>
          </cell>
          <cell r="D10125" t="str">
            <v>VSS</v>
          </cell>
        </row>
        <row r="10126">
          <cell r="A10126" t="str">
            <v>FB260013465</v>
          </cell>
          <cell r="D10126" t="str">
            <v>VSS</v>
          </cell>
        </row>
        <row r="10127">
          <cell r="A10127" t="str">
            <v>FB260013466</v>
          </cell>
          <cell r="D10127" t="str">
            <v>VSS</v>
          </cell>
        </row>
        <row r="10128">
          <cell r="A10128" t="str">
            <v>FB260013467</v>
          </cell>
          <cell r="D10128" t="str">
            <v>VSS</v>
          </cell>
        </row>
        <row r="10129">
          <cell r="A10129" t="str">
            <v>FB260013468</v>
          </cell>
          <cell r="D10129" t="str">
            <v>VSS</v>
          </cell>
        </row>
        <row r="10130">
          <cell r="A10130" t="str">
            <v>FB260013469</v>
          </cell>
          <cell r="D10130" t="str">
            <v>VSS</v>
          </cell>
        </row>
        <row r="10131">
          <cell r="A10131" t="str">
            <v>FB260013470</v>
          </cell>
          <cell r="D10131" t="str">
            <v>VSS</v>
          </cell>
        </row>
        <row r="10132">
          <cell r="A10132" t="str">
            <v>FB260013471</v>
          </cell>
          <cell r="D10132" t="str">
            <v>VSS</v>
          </cell>
        </row>
        <row r="10133">
          <cell r="A10133" t="str">
            <v>FB260013472</v>
          </cell>
          <cell r="D10133" t="str">
            <v>VSS</v>
          </cell>
        </row>
        <row r="10134">
          <cell r="A10134" t="str">
            <v>FB260013473</v>
          </cell>
          <cell r="D10134" t="str">
            <v>VSS</v>
          </cell>
        </row>
        <row r="10135">
          <cell r="A10135" t="str">
            <v>FB260013474</v>
          </cell>
          <cell r="D10135" t="str">
            <v>VSS</v>
          </cell>
        </row>
        <row r="10136">
          <cell r="A10136" t="str">
            <v>FB260013475</v>
          </cell>
          <cell r="D10136" t="str">
            <v>VSS</v>
          </cell>
        </row>
        <row r="10137">
          <cell r="A10137" t="str">
            <v>FB260013476</v>
          </cell>
          <cell r="D10137" t="str">
            <v>VSS</v>
          </cell>
        </row>
        <row r="10138">
          <cell r="A10138" t="str">
            <v>FB260013477</v>
          </cell>
          <cell r="D10138" t="str">
            <v>VSS</v>
          </cell>
        </row>
        <row r="10139">
          <cell r="A10139" t="str">
            <v>FB260013478</v>
          </cell>
          <cell r="D10139" t="str">
            <v>VSS</v>
          </cell>
        </row>
        <row r="10140">
          <cell r="A10140" t="str">
            <v>FB260013479</v>
          </cell>
          <cell r="D10140" t="str">
            <v>VSS</v>
          </cell>
        </row>
        <row r="10141">
          <cell r="A10141" t="str">
            <v>FB260013480</v>
          </cell>
          <cell r="D10141" t="str">
            <v>VSS</v>
          </cell>
        </row>
        <row r="10142">
          <cell r="A10142" t="str">
            <v>FB260013487</v>
          </cell>
          <cell r="D10142" t="str">
            <v>VSS</v>
          </cell>
        </row>
        <row r="10143">
          <cell r="A10143" t="str">
            <v>FB260013488</v>
          </cell>
          <cell r="D10143" t="str">
            <v>VSS</v>
          </cell>
        </row>
        <row r="10144">
          <cell r="A10144" t="str">
            <v>FB260013489</v>
          </cell>
          <cell r="D10144" t="str">
            <v>VSS</v>
          </cell>
        </row>
        <row r="10145">
          <cell r="A10145" t="str">
            <v>FB260013490</v>
          </cell>
          <cell r="D10145" t="str">
            <v>VSS</v>
          </cell>
        </row>
        <row r="10146">
          <cell r="A10146" t="str">
            <v>FB260013491</v>
          </cell>
          <cell r="D10146" t="str">
            <v>VSS</v>
          </cell>
        </row>
        <row r="10147">
          <cell r="A10147" t="str">
            <v>FB260013493</v>
          </cell>
          <cell r="D10147" t="str">
            <v>LULU</v>
          </cell>
        </row>
        <row r="10148">
          <cell r="A10148" t="str">
            <v>FB260013494</v>
          </cell>
          <cell r="D10148" t="str">
            <v>GAPO</v>
          </cell>
        </row>
        <row r="10149">
          <cell r="A10149" t="str">
            <v>FB260013495</v>
          </cell>
          <cell r="D10149" t="str">
            <v>GAPO</v>
          </cell>
        </row>
        <row r="10150">
          <cell r="A10150" t="str">
            <v>FB260013496</v>
          </cell>
          <cell r="D10150" t="str">
            <v>VSS</v>
          </cell>
        </row>
        <row r="10151">
          <cell r="A10151" t="str">
            <v>FB260013499</v>
          </cell>
          <cell r="D10151" t="str">
            <v>VSS</v>
          </cell>
        </row>
        <row r="10152">
          <cell r="A10152" t="str">
            <v>FB260013501</v>
          </cell>
          <cell r="D10152" t="str">
            <v>VSS</v>
          </cell>
        </row>
        <row r="10153">
          <cell r="A10153" t="str">
            <v>FB260013503</v>
          </cell>
          <cell r="D10153" t="str">
            <v>VSS</v>
          </cell>
        </row>
        <row r="10154">
          <cell r="A10154" t="str">
            <v>FB260013504</v>
          </cell>
          <cell r="D10154" t="str">
            <v>VSS</v>
          </cell>
        </row>
        <row r="10155">
          <cell r="A10155" t="str">
            <v>FB260013505</v>
          </cell>
          <cell r="D10155" t="str">
            <v>VSS</v>
          </cell>
        </row>
        <row r="10156">
          <cell r="A10156" t="str">
            <v>FB260013506</v>
          </cell>
          <cell r="D10156" t="str">
            <v>VSS</v>
          </cell>
        </row>
        <row r="10157">
          <cell r="A10157" t="str">
            <v>FB260013507</v>
          </cell>
          <cell r="D10157" t="str">
            <v>VSS</v>
          </cell>
        </row>
        <row r="10158">
          <cell r="A10158" t="str">
            <v>FB260013517</v>
          </cell>
          <cell r="D10158" t="str">
            <v>VSS</v>
          </cell>
        </row>
        <row r="10159">
          <cell r="A10159" t="str">
            <v>FB260013520</v>
          </cell>
          <cell r="D10159" t="str">
            <v>GAP</v>
          </cell>
        </row>
        <row r="10160">
          <cell r="A10160" t="str">
            <v>FB260013521</v>
          </cell>
          <cell r="D10160" t="str">
            <v>PINK</v>
          </cell>
        </row>
        <row r="10161">
          <cell r="A10161" t="str">
            <v>FB260013527</v>
          </cell>
          <cell r="D10161" t="str">
            <v>NIK</v>
          </cell>
        </row>
        <row r="10162">
          <cell r="A10162" t="str">
            <v>FB260013528</v>
          </cell>
          <cell r="D10162" t="str">
            <v>NIK</v>
          </cell>
        </row>
        <row r="10163">
          <cell r="A10163" t="str">
            <v>FB260013529</v>
          </cell>
          <cell r="D10163" t="str">
            <v>NIK</v>
          </cell>
        </row>
        <row r="10164">
          <cell r="A10164" t="str">
            <v>FB260013535</v>
          </cell>
          <cell r="D10164" t="str">
            <v>CK</v>
          </cell>
        </row>
        <row r="10165">
          <cell r="A10165" t="str">
            <v>FB260013537</v>
          </cell>
          <cell r="D10165" t="str">
            <v>NIK</v>
          </cell>
        </row>
        <row r="10166">
          <cell r="A10166" t="str">
            <v>FB260013538</v>
          </cell>
          <cell r="D10166" t="str">
            <v>NIK</v>
          </cell>
        </row>
        <row r="10167">
          <cell r="A10167" t="str">
            <v>FB260013539</v>
          </cell>
          <cell r="D10167" t="str">
            <v>NIK</v>
          </cell>
        </row>
        <row r="10168">
          <cell r="A10168" t="str">
            <v>FB260013541</v>
          </cell>
          <cell r="D10168" t="str">
            <v>LULU</v>
          </cell>
        </row>
        <row r="10169">
          <cell r="A10169" t="str">
            <v>FB260013548</v>
          </cell>
          <cell r="D10169" t="str">
            <v>NIK</v>
          </cell>
        </row>
        <row r="10170">
          <cell r="A10170" t="str">
            <v>FB260013549</v>
          </cell>
          <cell r="D10170" t="str">
            <v>NIK</v>
          </cell>
        </row>
        <row r="10171">
          <cell r="A10171" t="str">
            <v>FB260013550</v>
          </cell>
          <cell r="D10171" t="str">
            <v>WACE</v>
          </cell>
        </row>
        <row r="10172">
          <cell r="A10172" t="str">
            <v>FB260013556</v>
          </cell>
          <cell r="D10172" t="str">
            <v>PINK</v>
          </cell>
        </row>
        <row r="10173">
          <cell r="A10173" t="str">
            <v>FB260013557</v>
          </cell>
          <cell r="D10173" t="str">
            <v>PINK</v>
          </cell>
        </row>
        <row r="10174">
          <cell r="A10174" t="str">
            <v>FB260013558</v>
          </cell>
          <cell r="D10174" t="str">
            <v>VSS</v>
          </cell>
        </row>
        <row r="10175">
          <cell r="A10175" t="str">
            <v>FB260013559</v>
          </cell>
          <cell r="D10175" t="str">
            <v>VSS</v>
          </cell>
        </row>
        <row r="10176">
          <cell r="A10176" t="str">
            <v>FB260013561</v>
          </cell>
          <cell r="D10176" t="str">
            <v>VSS</v>
          </cell>
        </row>
        <row r="10177">
          <cell r="A10177" t="str">
            <v>FB260013562</v>
          </cell>
          <cell r="D10177" t="str">
            <v>VSS</v>
          </cell>
        </row>
        <row r="10178">
          <cell r="A10178" t="str">
            <v>FB260013565</v>
          </cell>
          <cell r="D10178" t="str">
            <v>GAP</v>
          </cell>
        </row>
        <row r="10179">
          <cell r="A10179" t="str">
            <v>FB260013567</v>
          </cell>
          <cell r="D10179" t="str">
            <v>VSS</v>
          </cell>
        </row>
        <row r="10180">
          <cell r="A10180" t="str">
            <v>FB260013569</v>
          </cell>
          <cell r="D10180" t="str">
            <v>VSS</v>
          </cell>
        </row>
        <row r="10181">
          <cell r="A10181" t="str">
            <v>FB260013571</v>
          </cell>
          <cell r="D10181" t="str">
            <v>WACE</v>
          </cell>
        </row>
        <row r="10182">
          <cell r="A10182" t="str">
            <v>FB260013574</v>
          </cell>
          <cell r="D10182" t="str">
            <v>VSS</v>
          </cell>
        </row>
        <row r="10183">
          <cell r="A10183" t="str">
            <v>FB260013575</v>
          </cell>
          <cell r="D10183" t="str">
            <v>WACE</v>
          </cell>
        </row>
        <row r="10184">
          <cell r="A10184" t="str">
            <v>FB260013576</v>
          </cell>
          <cell r="D10184" t="str">
            <v>VSS</v>
          </cell>
        </row>
        <row r="10185">
          <cell r="A10185" t="str">
            <v>FB260013577</v>
          </cell>
          <cell r="D10185" t="str">
            <v>VSS</v>
          </cell>
        </row>
        <row r="10186">
          <cell r="A10186" t="str">
            <v>FB260013579</v>
          </cell>
          <cell r="D10186" t="str">
            <v>VSS</v>
          </cell>
        </row>
        <row r="10187">
          <cell r="A10187" t="str">
            <v>FB260013582</v>
          </cell>
          <cell r="D10187" t="str">
            <v>NIK</v>
          </cell>
        </row>
        <row r="10188">
          <cell r="A10188" t="str">
            <v>FB260013584</v>
          </cell>
          <cell r="D10188" t="str">
            <v>VSS</v>
          </cell>
        </row>
        <row r="10189">
          <cell r="A10189" t="str">
            <v>FB260013585</v>
          </cell>
          <cell r="D10189" t="str">
            <v>VSS</v>
          </cell>
        </row>
        <row r="10190">
          <cell r="A10190" t="str">
            <v>FB260013587</v>
          </cell>
          <cell r="D10190" t="str">
            <v>VSS</v>
          </cell>
        </row>
        <row r="10191">
          <cell r="A10191" t="str">
            <v>FB260013592</v>
          </cell>
          <cell r="D10191" t="str">
            <v>NIK</v>
          </cell>
        </row>
        <row r="10192">
          <cell r="A10192" t="str">
            <v>FB260013593</v>
          </cell>
          <cell r="D10192" t="str">
            <v>NIK</v>
          </cell>
        </row>
        <row r="10193">
          <cell r="A10193" t="str">
            <v>FB260013600</v>
          </cell>
          <cell r="D10193" t="str">
            <v>LBI</v>
          </cell>
        </row>
        <row r="10194">
          <cell r="A10194" t="str">
            <v>FB260013601</v>
          </cell>
          <cell r="D10194" t="str">
            <v>LBI</v>
          </cell>
        </row>
        <row r="10195">
          <cell r="A10195" t="str">
            <v>FB260013604</v>
          </cell>
          <cell r="D10195" t="str">
            <v>NIK</v>
          </cell>
        </row>
        <row r="10196">
          <cell r="A10196" t="str">
            <v>FB260013605</v>
          </cell>
          <cell r="D10196" t="str">
            <v>NIK</v>
          </cell>
        </row>
        <row r="10197">
          <cell r="A10197" t="str">
            <v>FB260013606</v>
          </cell>
          <cell r="D10197" t="str">
            <v>NIK</v>
          </cell>
        </row>
        <row r="10198">
          <cell r="A10198" t="str">
            <v>FB260013611</v>
          </cell>
          <cell r="D10198" t="str">
            <v>NIK</v>
          </cell>
        </row>
        <row r="10199">
          <cell r="A10199" t="str">
            <v>FB260013612</v>
          </cell>
          <cell r="D10199" t="str">
            <v>NIK</v>
          </cell>
        </row>
        <row r="10200">
          <cell r="A10200" t="str">
            <v>FB260013616</v>
          </cell>
          <cell r="D10200" t="str">
            <v>GYM</v>
          </cell>
        </row>
        <row r="10201">
          <cell r="A10201" t="str">
            <v>FB260013617</v>
          </cell>
          <cell r="D10201" t="str">
            <v>NIK</v>
          </cell>
        </row>
        <row r="10202">
          <cell r="A10202" t="str">
            <v>FB260013618</v>
          </cell>
          <cell r="D10202" t="str">
            <v>GAP</v>
          </cell>
        </row>
        <row r="10203">
          <cell r="A10203" t="str">
            <v>FB260013620</v>
          </cell>
          <cell r="D10203" t="str">
            <v>GAP</v>
          </cell>
        </row>
        <row r="10204">
          <cell r="A10204" t="str">
            <v>FB260013621</v>
          </cell>
          <cell r="D10204" t="str">
            <v>CHICOS</v>
          </cell>
        </row>
        <row r="10205">
          <cell r="A10205" t="str">
            <v>FB260013622</v>
          </cell>
          <cell r="D10205" t="str">
            <v>NIK</v>
          </cell>
        </row>
        <row r="10206">
          <cell r="A10206" t="str">
            <v>FB260013623</v>
          </cell>
          <cell r="D10206" t="str">
            <v>NIK</v>
          </cell>
        </row>
        <row r="10207">
          <cell r="A10207" t="str">
            <v>FB260013624</v>
          </cell>
          <cell r="D10207" t="str">
            <v>CHICOS</v>
          </cell>
        </row>
        <row r="10208">
          <cell r="A10208" t="str">
            <v>FB260013625</v>
          </cell>
          <cell r="D10208" t="str">
            <v>NIK</v>
          </cell>
        </row>
        <row r="10209">
          <cell r="A10209" t="str">
            <v>FB260013626</v>
          </cell>
          <cell r="D10209" t="str">
            <v>CHICOS</v>
          </cell>
        </row>
        <row r="10210">
          <cell r="A10210" t="str">
            <v>FB260013627</v>
          </cell>
          <cell r="D10210" t="str">
            <v>CHICOS</v>
          </cell>
        </row>
        <row r="10211">
          <cell r="A10211" t="str">
            <v>FB260013629</v>
          </cell>
          <cell r="D10211" t="str">
            <v>NIK</v>
          </cell>
        </row>
        <row r="10212">
          <cell r="A10212" t="str">
            <v>FB260013630</v>
          </cell>
          <cell r="D10212" t="str">
            <v>NIK</v>
          </cell>
        </row>
        <row r="10213">
          <cell r="A10213" t="str">
            <v>FB260013635</v>
          </cell>
          <cell r="D10213" t="str">
            <v>NIK</v>
          </cell>
        </row>
        <row r="10214">
          <cell r="A10214" t="str">
            <v>FB260013636</v>
          </cell>
          <cell r="D10214" t="str">
            <v>NIK</v>
          </cell>
        </row>
        <row r="10215">
          <cell r="A10215" t="str">
            <v>FB260013645</v>
          </cell>
          <cell r="D10215" t="str">
            <v>NIK</v>
          </cell>
        </row>
        <row r="10216">
          <cell r="A10216" t="str">
            <v>FB260013646</v>
          </cell>
          <cell r="D10216" t="str">
            <v>NIK</v>
          </cell>
        </row>
        <row r="10217">
          <cell r="A10217" t="str">
            <v>FB260013647</v>
          </cell>
          <cell r="D10217" t="str">
            <v>NIK</v>
          </cell>
        </row>
        <row r="10218">
          <cell r="A10218" t="str">
            <v>FB260013648</v>
          </cell>
          <cell r="D10218" t="str">
            <v>NIK</v>
          </cell>
        </row>
        <row r="10219">
          <cell r="A10219" t="str">
            <v>FB260013649</v>
          </cell>
          <cell r="D10219" t="str">
            <v>NIK</v>
          </cell>
        </row>
        <row r="10220">
          <cell r="A10220" t="str">
            <v>FB260013650</v>
          </cell>
          <cell r="D10220" t="str">
            <v>NIK</v>
          </cell>
        </row>
        <row r="10221">
          <cell r="A10221" t="str">
            <v>FB260013651</v>
          </cell>
          <cell r="D10221" t="str">
            <v>NIK</v>
          </cell>
        </row>
        <row r="10222">
          <cell r="A10222" t="str">
            <v>FB260013653</v>
          </cell>
          <cell r="D10222" t="str">
            <v>VSS</v>
          </cell>
        </row>
        <row r="10223">
          <cell r="A10223" t="str">
            <v>FB260013655</v>
          </cell>
          <cell r="D10223" t="str">
            <v>NIK</v>
          </cell>
        </row>
        <row r="10224">
          <cell r="A10224" t="str">
            <v>FB260013656</v>
          </cell>
          <cell r="D10224" t="str">
            <v>VSS</v>
          </cell>
        </row>
        <row r="10225">
          <cell r="A10225" t="str">
            <v>FB260013657</v>
          </cell>
          <cell r="D10225" t="str">
            <v>NIK</v>
          </cell>
        </row>
        <row r="10226">
          <cell r="A10226" t="str">
            <v>FB260013658</v>
          </cell>
          <cell r="D10226" t="str">
            <v>NIK</v>
          </cell>
        </row>
        <row r="10227">
          <cell r="A10227" t="str">
            <v>FB260013659</v>
          </cell>
          <cell r="D10227" t="str">
            <v>NIK</v>
          </cell>
        </row>
        <row r="10228">
          <cell r="A10228" t="str">
            <v>FB260013660</v>
          </cell>
          <cell r="D10228" t="str">
            <v>NIK</v>
          </cell>
        </row>
        <row r="10229">
          <cell r="A10229" t="str">
            <v>FB260013662</v>
          </cell>
          <cell r="D10229" t="str">
            <v>VSS</v>
          </cell>
        </row>
        <row r="10230">
          <cell r="A10230" t="str">
            <v>FB260013663</v>
          </cell>
          <cell r="D10230" t="str">
            <v>VSS</v>
          </cell>
        </row>
        <row r="10231">
          <cell r="A10231" t="str">
            <v>FB260013664</v>
          </cell>
          <cell r="D10231" t="str">
            <v>VSS</v>
          </cell>
        </row>
        <row r="10232">
          <cell r="A10232" t="str">
            <v>FB260013666</v>
          </cell>
          <cell r="D10232" t="str">
            <v>VSS</v>
          </cell>
        </row>
        <row r="10233">
          <cell r="A10233" t="str">
            <v>FB260013667</v>
          </cell>
          <cell r="D10233" t="str">
            <v>NIK</v>
          </cell>
        </row>
        <row r="10234">
          <cell r="A10234" t="str">
            <v>FB260013668</v>
          </cell>
          <cell r="D10234" t="str">
            <v>VSS</v>
          </cell>
        </row>
        <row r="10235">
          <cell r="A10235" t="str">
            <v>FB260013671</v>
          </cell>
          <cell r="D10235" t="str">
            <v>NIK</v>
          </cell>
        </row>
        <row r="10236">
          <cell r="A10236" t="str">
            <v>FB260013672</v>
          </cell>
          <cell r="D10236" t="str">
            <v>NIK</v>
          </cell>
        </row>
        <row r="10237">
          <cell r="A10237" t="str">
            <v>FB260013673</v>
          </cell>
          <cell r="D10237" t="str">
            <v>NIK</v>
          </cell>
        </row>
        <row r="10238">
          <cell r="A10238" t="str">
            <v>FB260013674</v>
          </cell>
          <cell r="D10238" t="str">
            <v>NIK</v>
          </cell>
        </row>
        <row r="10239">
          <cell r="A10239" t="str">
            <v>FB260013682</v>
          </cell>
          <cell r="D10239" t="str">
            <v>VSS</v>
          </cell>
        </row>
        <row r="10240">
          <cell r="A10240" t="str">
            <v>FB260013683</v>
          </cell>
          <cell r="D10240" t="str">
            <v>NIK</v>
          </cell>
        </row>
        <row r="10241">
          <cell r="A10241" t="str">
            <v>FB260013684</v>
          </cell>
          <cell r="D10241" t="str">
            <v>VSS</v>
          </cell>
        </row>
        <row r="10242">
          <cell r="A10242" t="str">
            <v>FB260013686</v>
          </cell>
          <cell r="D10242" t="str">
            <v>NIK</v>
          </cell>
        </row>
        <row r="10243">
          <cell r="A10243" t="str">
            <v>FB260013687</v>
          </cell>
          <cell r="D10243" t="str">
            <v>NIK</v>
          </cell>
        </row>
        <row r="10244">
          <cell r="A10244" t="str">
            <v>FB260013689</v>
          </cell>
          <cell r="D10244" t="str">
            <v>VSS</v>
          </cell>
        </row>
        <row r="10245">
          <cell r="A10245" t="str">
            <v>FB260013690</v>
          </cell>
          <cell r="D10245" t="str">
            <v>VSS</v>
          </cell>
        </row>
        <row r="10246">
          <cell r="A10246" t="str">
            <v>FB260013691</v>
          </cell>
          <cell r="D10246" t="str">
            <v>VSS</v>
          </cell>
        </row>
        <row r="10247">
          <cell r="A10247" t="str">
            <v>FB260013692</v>
          </cell>
          <cell r="D10247" t="str">
            <v>VSS</v>
          </cell>
        </row>
        <row r="10248">
          <cell r="A10248" t="str">
            <v>FB260013693</v>
          </cell>
          <cell r="D10248" t="str">
            <v>PINK</v>
          </cell>
        </row>
        <row r="10249">
          <cell r="A10249" t="str">
            <v>FB260013694</v>
          </cell>
          <cell r="D10249" t="str">
            <v>PINK</v>
          </cell>
        </row>
        <row r="10250">
          <cell r="A10250" t="str">
            <v>FB260013697</v>
          </cell>
          <cell r="D10250" t="str">
            <v>VSS</v>
          </cell>
        </row>
        <row r="10251">
          <cell r="A10251" t="str">
            <v>FB260013709</v>
          </cell>
          <cell r="D10251" t="str">
            <v>VSS</v>
          </cell>
        </row>
        <row r="10252">
          <cell r="A10252" t="str">
            <v>FB260013711</v>
          </cell>
          <cell r="D10252" t="str">
            <v>VSS</v>
          </cell>
        </row>
        <row r="10253">
          <cell r="A10253" t="str">
            <v>FB260013712</v>
          </cell>
          <cell r="D10253" t="str">
            <v>VSS</v>
          </cell>
        </row>
        <row r="10254">
          <cell r="A10254" t="str">
            <v>FB260013715</v>
          </cell>
          <cell r="D10254" t="str">
            <v>VSS</v>
          </cell>
        </row>
        <row r="10255">
          <cell r="A10255" t="str">
            <v>FB260013716</v>
          </cell>
          <cell r="D10255" t="str">
            <v>VSS</v>
          </cell>
        </row>
        <row r="10256">
          <cell r="A10256" t="str">
            <v>FB260013727</v>
          </cell>
          <cell r="D10256" t="str">
            <v>NIK</v>
          </cell>
        </row>
        <row r="10257">
          <cell r="A10257" t="str">
            <v>FB260013729</v>
          </cell>
          <cell r="D10257" t="str">
            <v>VSS</v>
          </cell>
        </row>
        <row r="10258">
          <cell r="A10258" t="str">
            <v>FB260013732</v>
          </cell>
          <cell r="D10258" t="str">
            <v>VSS</v>
          </cell>
        </row>
        <row r="10259">
          <cell r="A10259" t="str">
            <v>FB260013733</v>
          </cell>
          <cell r="D10259" t="str">
            <v>VSS</v>
          </cell>
        </row>
        <row r="10260">
          <cell r="A10260" t="str">
            <v>FB260013735</v>
          </cell>
          <cell r="D10260" t="str">
            <v>VSS</v>
          </cell>
        </row>
        <row r="10261">
          <cell r="A10261" t="str">
            <v>FB260013737</v>
          </cell>
          <cell r="D10261" t="str">
            <v>VSS</v>
          </cell>
        </row>
        <row r="10262">
          <cell r="A10262" t="str">
            <v>FB260013738</v>
          </cell>
          <cell r="D10262" t="str">
            <v>VSS</v>
          </cell>
        </row>
        <row r="10263">
          <cell r="A10263" t="str">
            <v>FB260013739</v>
          </cell>
          <cell r="D10263" t="str">
            <v>NEWB</v>
          </cell>
        </row>
        <row r="10264">
          <cell r="A10264" t="str">
            <v>FB260013740</v>
          </cell>
          <cell r="D10264" t="str">
            <v>NEWB</v>
          </cell>
        </row>
        <row r="10265">
          <cell r="A10265" t="str">
            <v>FB260013741</v>
          </cell>
          <cell r="D10265" t="str">
            <v>VSS</v>
          </cell>
        </row>
        <row r="10266">
          <cell r="A10266" t="str">
            <v>FB260013742</v>
          </cell>
          <cell r="D10266" t="str">
            <v>VSS</v>
          </cell>
        </row>
        <row r="10267">
          <cell r="A10267" t="str">
            <v>FB260013743</v>
          </cell>
          <cell r="D10267" t="str">
            <v>NIK</v>
          </cell>
        </row>
        <row r="10268">
          <cell r="A10268" t="str">
            <v>FB260013745</v>
          </cell>
          <cell r="D10268" t="str">
            <v>VSS</v>
          </cell>
        </row>
        <row r="10269">
          <cell r="A10269" t="str">
            <v>FB260013746</v>
          </cell>
          <cell r="D10269" t="str">
            <v>NIK</v>
          </cell>
        </row>
        <row r="10270">
          <cell r="A10270" t="str">
            <v>FB260013747</v>
          </cell>
          <cell r="D10270" t="str">
            <v>VSS</v>
          </cell>
        </row>
        <row r="10271">
          <cell r="A10271" t="str">
            <v>FB260013748</v>
          </cell>
          <cell r="D10271" t="str">
            <v>VSS</v>
          </cell>
        </row>
        <row r="10272">
          <cell r="A10272" t="str">
            <v>FB260013751</v>
          </cell>
          <cell r="D10272" t="str">
            <v>VSS</v>
          </cell>
        </row>
        <row r="10273">
          <cell r="A10273" t="str">
            <v>FB260013752</v>
          </cell>
          <cell r="D10273" t="str">
            <v>GAP</v>
          </cell>
        </row>
        <row r="10274">
          <cell r="A10274" t="str">
            <v>FB260013754</v>
          </cell>
          <cell r="D10274" t="str">
            <v>VSS</v>
          </cell>
        </row>
        <row r="10275">
          <cell r="A10275" t="str">
            <v>FB260013756</v>
          </cell>
          <cell r="D10275" t="str">
            <v>VSS</v>
          </cell>
        </row>
        <row r="10276">
          <cell r="A10276" t="str">
            <v>FB260013757</v>
          </cell>
          <cell r="D10276" t="str">
            <v>VSS</v>
          </cell>
        </row>
        <row r="10277">
          <cell r="A10277" t="str">
            <v>FB260013762</v>
          </cell>
          <cell r="D10277" t="str">
            <v>PINK</v>
          </cell>
        </row>
        <row r="10278">
          <cell r="A10278" t="str">
            <v>FB260013763</v>
          </cell>
          <cell r="D10278" t="str">
            <v>NIK</v>
          </cell>
        </row>
        <row r="10279">
          <cell r="A10279" t="str">
            <v>FB260013764</v>
          </cell>
          <cell r="D10279" t="str">
            <v>VSS</v>
          </cell>
        </row>
        <row r="10280">
          <cell r="A10280" t="str">
            <v>FB260013765</v>
          </cell>
          <cell r="D10280" t="str">
            <v>WACE</v>
          </cell>
        </row>
        <row r="10281">
          <cell r="A10281" t="str">
            <v>FB260013766</v>
          </cell>
          <cell r="D10281" t="str">
            <v>VSS</v>
          </cell>
        </row>
        <row r="10282">
          <cell r="A10282" t="str">
            <v>FB260013767</v>
          </cell>
          <cell r="D10282" t="str">
            <v>VSS</v>
          </cell>
        </row>
        <row r="10283">
          <cell r="A10283" t="str">
            <v>FB260013776</v>
          </cell>
          <cell r="D10283" t="str">
            <v>PINK</v>
          </cell>
        </row>
        <row r="10284">
          <cell r="A10284" t="str">
            <v>FB260013802</v>
          </cell>
          <cell r="D10284" t="str">
            <v>VSS</v>
          </cell>
        </row>
        <row r="10285">
          <cell r="A10285" t="str">
            <v>FB260013803</v>
          </cell>
          <cell r="D10285" t="str">
            <v>VSS</v>
          </cell>
        </row>
        <row r="10286">
          <cell r="A10286" t="str">
            <v>FB260013805</v>
          </cell>
          <cell r="D10286" t="str">
            <v>VSS</v>
          </cell>
        </row>
        <row r="10287">
          <cell r="A10287" t="str">
            <v>FB260013816</v>
          </cell>
          <cell r="D10287" t="str">
            <v>VSS</v>
          </cell>
        </row>
        <row r="10288">
          <cell r="A10288" t="str">
            <v>FB260013817</v>
          </cell>
          <cell r="D10288" t="str">
            <v>VSS</v>
          </cell>
        </row>
        <row r="10289">
          <cell r="A10289" t="str">
            <v>FB260013818</v>
          </cell>
          <cell r="D10289" t="str">
            <v>PINK</v>
          </cell>
        </row>
        <row r="10290">
          <cell r="A10290" t="str">
            <v>FB260013821</v>
          </cell>
          <cell r="D10290" t="str">
            <v>PINK</v>
          </cell>
        </row>
        <row r="10291">
          <cell r="A10291" t="str">
            <v>FB260013822</v>
          </cell>
          <cell r="D10291" t="str">
            <v>GAP</v>
          </cell>
        </row>
        <row r="10292">
          <cell r="A10292" t="str">
            <v>FB260013824</v>
          </cell>
          <cell r="D10292" t="str">
            <v>GAP</v>
          </cell>
        </row>
        <row r="10293">
          <cell r="A10293" t="str">
            <v>FB260013826</v>
          </cell>
          <cell r="D10293" t="str">
            <v>PINK</v>
          </cell>
        </row>
        <row r="10294">
          <cell r="A10294" t="str">
            <v>FB260013827</v>
          </cell>
          <cell r="D10294" t="str">
            <v>VSS</v>
          </cell>
        </row>
        <row r="10295">
          <cell r="A10295" t="str">
            <v>FB260013828</v>
          </cell>
          <cell r="D10295" t="str">
            <v>VSS</v>
          </cell>
        </row>
        <row r="10296">
          <cell r="A10296" t="str">
            <v>FB260013829</v>
          </cell>
          <cell r="D10296" t="str">
            <v>PINK</v>
          </cell>
        </row>
        <row r="10297">
          <cell r="A10297" t="str">
            <v>FB260013830</v>
          </cell>
          <cell r="D10297" t="str">
            <v>CHICOS</v>
          </cell>
        </row>
        <row r="10298">
          <cell r="A10298" t="str">
            <v>FB260013833</v>
          </cell>
          <cell r="D10298" t="str">
            <v>CK</v>
          </cell>
        </row>
        <row r="10299">
          <cell r="A10299" t="str">
            <v>FB260013835</v>
          </cell>
          <cell r="D10299" t="str">
            <v>WACE</v>
          </cell>
        </row>
        <row r="10300">
          <cell r="A10300" t="str">
            <v>FB260013836</v>
          </cell>
          <cell r="D10300" t="str">
            <v>NIK</v>
          </cell>
        </row>
        <row r="10301">
          <cell r="A10301" t="str">
            <v>FB260013843</v>
          </cell>
          <cell r="D10301" t="str">
            <v>PINK</v>
          </cell>
        </row>
        <row r="10302">
          <cell r="A10302" t="str">
            <v>FB260013844</v>
          </cell>
          <cell r="D10302" t="str">
            <v>NEWB</v>
          </cell>
        </row>
        <row r="10303">
          <cell r="A10303" t="str">
            <v>FB260013848</v>
          </cell>
          <cell r="D10303" t="str">
            <v>NIK</v>
          </cell>
        </row>
        <row r="10304">
          <cell r="A10304" t="str">
            <v>FB260013849</v>
          </cell>
          <cell r="D10304" t="str">
            <v>NIK</v>
          </cell>
        </row>
        <row r="10305">
          <cell r="A10305" t="str">
            <v>FB260013850</v>
          </cell>
          <cell r="D10305" t="str">
            <v>NIK</v>
          </cell>
        </row>
        <row r="10306">
          <cell r="A10306" t="str">
            <v>FB260013852</v>
          </cell>
          <cell r="D10306" t="str">
            <v>NIK</v>
          </cell>
        </row>
        <row r="10307">
          <cell r="A10307" t="str">
            <v>FB260013853</v>
          </cell>
          <cell r="D10307" t="str">
            <v>NIK</v>
          </cell>
        </row>
        <row r="10308">
          <cell r="A10308" t="str">
            <v>FB260013854</v>
          </cell>
          <cell r="D10308" t="str">
            <v>NIK</v>
          </cell>
        </row>
        <row r="10309">
          <cell r="A10309" t="str">
            <v>FB260013855</v>
          </cell>
          <cell r="D10309" t="str">
            <v>NIK</v>
          </cell>
        </row>
        <row r="10310">
          <cell r="A10310" t="str">
            <v>FB260013857</v>
          </cell>
          <cell r="D10310" t="str">
            <v>LULU</v>
          </cell>
        </row>
        <row r="10311">
          <cell r="A10311" t="str">
            <v>FB260013858</v>
          </cell>
          <cell r="D10311" t="str">
            <v>NIK</v>
          </cell>
        </row>
        <row r="10312">
          <cell r="A10312" t="str">
            <v>FB260013859</v>
          </cell>
          <cell r="D10312" t="str">
            <v>NIK</v>
          </cell>
        </row>
        <row r="10313">
          <cell r="A10313" t="str">
            <v>FB260013860</v>
          </cell>
          <cell r="D10313" t="str">
            <v>LULU</v>
          </cell>
        </row>
        <row r="10314">
          <cell r="A10314" t="str">
            <v>FB260013861</v>
          </cell>
          <cell r="D10314" t="str">
            <v>NIK</v>
          </cell>
        </row>
        <row r="10315">
          <cell r="A10315" t="str">
            <v>FB260013863</v>
          </cell>
          <cell r="D10315" t="str">
            <v>NIK</v>
          </cell>
        </row>
        <row r="10316">
          <cell r="A10316" t="str">
            <v>FB260013864</v>
          </cell>
          <cell r="D10316" t="str">
            <v>NIK</v>
          </cell>
        </row>
        <row r="10317">
          <cell r="A10317" t="str">
            <v>FB260013865</v>
          </cell>
          <cell r="D10317" t="str">
            <v>NIK</v>
          </cell>
        </row>
        <row r="10318">
          <cell r="A10318" t="str">
            <v>FB260013866</v>
          </cell>
          <cell r="D10318" t="str">
            <v>NIK</v>
          </cell>
        </row>
        <row r="10319">
          <cell r="A10319" t="str">
            <v>FB260013867</v>
          </cell>
          <cell r="D10319" t="str">
            <v>NIK</v>
          </cell>
        </row>
        <row r="10320">
          <cell r="A10320" t="str">
            <v>FB260013868</v>
          </cell>
          <cell r="D10320" t="str">
            <v>NIK</v>
          </cell>
        </row>
        <row r="10321">
          <cell r="A10321" t="str">
            <v>FB260013876</v>
          </cell>
          <cell r="D10321" t="str">
            <v>WOX</v>
          </cell>
        </row>
        <row r="10322">
          <cell r="A10322" t="str">
            <v>FB260013881</v>
          </cell>
          <cell r="D10322" t="str">
            <v>VSS</v>
          </cell>
        </row>
        <row r="10323">
          <cell r="A10323" t="str">
            <v>FB260013882</v>
          </cell>
          <cell r="D10323" t="str">
            <v>VSS</v>
          </cell>
        </row>
        <row r="10324">
          <cell r="A10324" t="str">
            <v>FB260013883</v>
          </cell>
          <cell r="D10324" t="str">
            <v>WACE</v>
          </cell>
        </row>
        <row r="10325">
          <cell r="A10325" t="str">
            <v>FB260013887</v>
          </cell>
          <cell r="D10325" t="str">
            <v>PINK</v>
          </cell>
        </row>
        <row r="10326">
          <cell r="A10326" t="str">
            <v>FB260013888</v>
          </cell>
          <cell r="D10326" t="str">
            <v>PINK</v>
          </cell>
        </row>
        <row r="10327">
          <cell r="A10327" t="str">
            <v>FB260013889</v>
          </cell>
          <cell r="D10327" t="str">
            <v>PINK</v>
          </cell>
        </row>
        <row r="10328">
          <cell r="A10328" t="str">
            <v>FB260013890</v>
          </cell>
          <cell r="D10328" t="str">
            <v>PINK</v>
          </cell>
        </row>
        <row r="10329">
          <cell r="A10329" t="str">
            <v>FB260013891</v>
          </cell>
          <cell r="D10329" t="str">
            <v>PINK</v>
          </cell>
        </row>
        <row r="10330">
          <cell r="A10330" t="str">
            <v>FB260013892</v>
          </cell>
          <cell r="D10330" t="str">
            <v>PINK</v>
          </cell>
        </row>
        <row r="10331">
          <cell r="A10331" t="str">
            <v>FB260013893</v>
          </cell>
          <cell r="D10331" t="str">
            <v>PINK</v>
          </cell>
        </row>
        <row r="10332">
          <cell r="A10332" t="str">
            <v>FB260013894</v>
          </cell>
          <cell r="D10332" t="str">
            <v>PINK</v>
          </cell>
        </row>
        <row r="10333">
          <cell r="A10333" t="str">
            <v>FB260013895</v>
          </cell>
          <cell r="D10333" t="str">
            <v>PINK</v>
          </cell>
        </row>
        <row r="10334">
          <cell r="A10334" t="str">
            <v>FB260013896</v>
          </cell>
          <cell r="D10334" t="str">
            <v>PINK</v>
          </cell>
        </row>
        <row r="10335">
          <cell r="A10335" t="str">
            <v>FB260013897</v>
          </cell>
          <cell r="D10335" t="str">
            <v>NIK</v>
          </cell>
        </row>
        <row r="10336">
          <cell r="A10336" t="str">
            <v>FB260013899</v>
          </cell>
          <cell r="D10336" t="str">
            <v>PINK</v>
          </cell>
        </row>
        <row r="10337">
          <cell r="A10337" t="str">
            <v>FB260013900</v>
          </cell>
          <cell r="D10337" t="str">
            <v>PINK</v>
          </cell>
        </row>
        <row r="10338">
          <cell r="A10338" t="str">
            <v>FB260013901</v>
          </cell>
          <cell r="D10338" t="str">
            <v>PINK</v>
          </cell>
        </row>
        <row r="10339">
          <cell r="A10339" t="str">
            <v>FB260013902</v>
          </cell>
          <cell r="D10339" t="str">
            <v>CK</v>
          </cell>
        </row>
        <row r="10340">
          <cell r="A10340" t="str">
            <v>FB260013903</v>
          </cell>
          <cell r="D10340" t="str">
            <v>VSS</v>
          </cell>
        </row>
        <row r="10341">
          <cell r="A10341" t="str">
            <v>FB260013912</v>
          </cell>
          <cell r="D10341" t="str">
            <v>NIK</v>
          </cell>
        </row>
        <row r="10342">
          <cell r="A10342" t="str">
            <v>FB260013913</v>
          </cell>
          <cell r="D10342" t="str">
            <v>VSS</v>
          </cell>
        </row>
        <row r="10343">
          <cell r="A10343" t="str">
            <v>FB260013914</v>
          </cell>
          <cell r="D10343" t="str">
            <v>VSS</v>
          </cell>
        </row>
        <row r="10344">
          <cell r="A10344" t="str">
            <v>FB260013915</v>
          </cell>
          <cell r="D10344" t="str">
            <v>VSS</v>
          </cell>
        </row>
        <row r="10345">
          <cell r="A10345" t="str">
            <v>FB260013919</v>
          </cell>
          <cell r="D10345" t="str">
            <v>GAP</v>
          </cell>
        </row>
        <row r="10346">
          <cell r="A10346" t="str">
            <v>FB260013920</v>
          </cell>
          <cell r="D10346" t="str">
            <v>VSS</v>
          </cell>
        </row>
        <row r="10347">
          <cell r="A10347" t="str">
            <v>FB260013921</v>
          </cell>
          <cell r="D10347" t="str">
            <v>VSS</v>
          </cell>
        </row>
        <row r="10348">
          <cell r="A10348" t="str">
            <v>FB260013922</v>
          </cell>
          <cell r="D10348" t="str">
            <v>VSS</v>
          </cell>
        </row>
        <row r="10349">
          <cell r="A10349" t="str">
            <v>FB260013923</v>
          </cell>
          <cell r="D10349" t="str">
            <v>VSS</v>
          </cell>
        </row>
        <row r="10350">
          <cell r="A10350" t="str">
            <v>FB260013924</v>
          </cell>
          <cell r="D10350" t="str">
            <v>VSS</v>
          </cell>
        </row>
        <row r="10351">
          <cell r="A10351" t="str">
            <v>FB260013925</v>
          </cell>
          <cell r="D10351" t="str">
            <v>VSS</v>
          </cell>
        </row>
        <row r="10352">
          <cell r="A10352" t="str">
            <v>FB260013926</v>
          </cell>
          <cell r="D10352" t="str">
            <v>VSS</v>
          </cell>
        </row>
        <row r="10353">
          <cell r="A10353" t="str">
            <v>FB260013927</v>
          </cell>
          <cell r="D10353" t="str">
            <v>VSS</v>
          </cell>
        </row>
        <row r="10354">
          <cell r="A10354" t="str">
            <v>FB260013928</v>
          </cell>
          <cell r="D10354" t="str">
            <v>VSS</v>
          </cell>
        </row>
        <row r="10355">
          <cell r="A10355" t="str">
            <v>FB260013929</v>
          </cell>
          <cell r="D10355" t="str">
            <v>VSS</v>
          </cell>
        </row>
        <row r="10356">
          <cell r="A10356" t="str">
            <v>FB260013930</v>
          </cell>
          <cell r="D10356" t="str">
            <v>VSS</v>
          </cell>
        </row>
        <row r="10357">
          <cell r="A10357" t="str">
            <v>FB260013931</v>
          </cell>
          <cell r="D10357" t="str">
            <v>VSS</v>
          </cell>
        </row>
        <row r="10358">
          <cell r="A10358" t="str">
            <v>FB260013933</v>
          </cell>
          <cell r="D10358" t="str">
            <v>VSS</v>
          </cell>
        </row>
        <row r="10359">
          <cell r="A10359" t="str">
            <v>FB260013934</v>
          </cell>
          <cell r="D10359" t="str">
            <v>VSS</v>
          </cell>
        </row>
        <row r="10360">
          <cell r="A10360" t="str">
            <v>FB260013935</v>
          </cell>
          <cell r="D10360" t="str">
            <v>VSS</v>
          </cell>
        </row>
        <row r="10361">
          <cell r="A10361" t="str">
            <v>FB260013936</v>
          </cell>
          <cell r="D10361" t="str">
            <v>VSS</v>
          </cell>
        </row>
        <row r="10362">
          <cell r="A10362" t="str">
            <v>FB260013937</v>
          </cell>
          <cell r="D10362" t="str">
            <v>VSS</v>
          </cell>
        </row>
        <row r="10363">
          <cell r="A10363" t="str">
            <v>FB260013938</v>
          </cell>
          <cell r="D10363" t="str">
            <v>VSS</v>
          </cell>
        </row>
        <row r="10364">
          <cell r="A10364" t="str">
            <v>FB260013939</v>
          </cell>
          <cell r="D10364" t="str">
            <v>VSS</v>
          </cell>
        </row>
        <row r="10365">
          <cell r="A10365" t="str">
            <v>FB260013940</v>
          </cell>
          <cell r="D10365" t="str">
            <v>VSS</v>
          </cell>
        </row>
        <row r="10366">
          <cell r="A10366" t="str">
            <v>FB260013960</v>
          </cell>
          <cell r="D10366" t="str">
            <v>VSS</v>
          </cell>
        </row>
        <row r="10367">
          <cell r="A10367" t="str">
            <v>FB260013961</v>
          </cell>
          <cell r="D10367" t="str">
            <v>VSS</v>
          </cell>
        </row>
        <row r="10368">
          <cell r="A10368" t="str">
            <v>FB260013963</v>
          </cell>
          <cell r="D10368" t="str">
            <v>VSS</v>
          </cell>
        </row>
        <row r="10369">
          <cell r="A10369" t="str">
            <v>FB260013964</v>
          </cell>
          <cell r="D10369" t="str">
            <v>VSS</v>
          </cell>
        </row>
        <row r="10370">
          <cell r="A10370" t="str">
            <v>FB260013965</v>
          </cell>
          <cell r="D10370" t="str">
            <v>VSS</v>
          </cell>
        </row>
        <row r="10371">
          <cell r="A10371" t="str">
            <v>FB260013967</v>
          </cell>
          <cell r="D10371" t="str">
            <v>PINK</v>
          </cell>
        </row>
        <row r="10372">
          <cell r="A10372" t="str">
            <v>FB260013968</v>
          </cell>
          <cell r="D10372" t="str">
            <v>PINK</v>
          </cell>
        </row>
        <row r="10373">
          <cell r="A10373" t="str">
            <v>FB260013969</v>
          </cell>
          <cell r="D10373" t="str">
            <v>PINK</v>
          </cell>
        </row>
        <row r="10374">
          <cell r="A10374" t="str">
            <v>FB260013970</v>
          </cell>
          <cell r="D10374" t="str">
            <v>PINK</v>
          </cell>
        </row>
        <row r="10375">
          <cell r="A10375" t="str">
            <v>FB260013971</v>
          </cell>
          <cell r="D10375" t="str">
            <v>PINK</v>
          </cell>
        </row>
        <row r="10376">
          <cell r="A10376" t="str">
            <v>FB260013972</v>
          </cell>
          <cell r="D10376" t="str">
            <v>PINK</v>
          </cell>
        </row>
        <row r="10377">
          <cell r="A10377" t="str">
            <v>FB260013973</v>
          </cell>
          <cell r="D10377" t="str">
            <v>PINK</v>
          </cell>
        </row>
        <row r="10378">
          <cell r="A10378" t="str">
            <v>FB260013974</v>
          </cell>
          <cell r="D10378" t="str">
            <v>PINK</v>
          </cell>
        </row>
        <row r="10379">
          <cell r="A10379" t="str">
            <v>FB260013975</v>
          </cell>
          <cell r="D10379" t="str">
            <v>PINK</v>
          </cell>
        </row>
        <row r="10380">
          <cell r="A10380" t="str">
            <v>FB260013976</v>
          </cell>
          <cell r="D10380" t="str">
            <v>SKI</v>
          </cell>
        </row>
        <row r="10381">
          <cell r="A10381" t="str">
            <v>FB260013978</v>
          </cell>
          <cell r="D10381" t="str">
            <v>SKI</v>
          </cell>
        </row>
        <row r="10382">
          <cell r="A10382" t="str">
            <v>FB260013979</v>
          </cell>
          <cell r="D10382" t="str">
            <v>CHICOS</v>
          </cell>
        </row>
        <row r="10383">
          <cell r="A10383" t="str">
            <v>FB260013980</v>
          </cell>
          <cell r="D10383" t="str">
            <v>CHICOS</v>
          </cell>
        </row>
        <row r="10384">
          <cell r="A10384" t="str">
            <v>FB260013981</v>
          </cell>
          <cell r="D10384" t="str">
            <v>NIK</v>
          </cell>
        </row>
        <row r="10385">
          <cell r="A10385" t="str">
            <v>FB260013983</v>
          </cell>
          <cell r="D10385" t="str">
            <v>NIK</v>
          </cell>
        </row>
        <row r="10386">
          <cell r="A10386" t="str">
            <v>FB260013984</v>
          </cell>
          <cell r="D10386" t="str">
            <v>NIK</v>
          </cell>
        </row>
        <row r="10387">
          <cell r="A10387" t="str">
            <v>FB260013985</v>
          </cell>
          <cell r="D10387" t="str">
            <v>WACE</v>
          </cell>
        </row>
        <row r="10388">
          <cell r="A10388" t="str">
            <v>FB260013986</v>
          </cell>
          <cell r="D10388" t="str">
            <v>WACE</v>
          </cell>
        </row>
        <row r="10389">
          <cell r="A10389" t="str">
            <v>FB260013987</v>
          </cell>
          <cell r="D10389" t="str">
            <v>VSS</v>
          </cell>
        </row>
        <row r="10390">
          <cell r="A10390" t="str">
            <v>FB260013995</v>
          </cell>
          <cell r="D10390" t="str">
            <v>NIK</v>
          </cell>
        </row>
        <row r="10391">
          <cell r="A10391" t="str">
            <v>FB260013996</v>
          </cell>
          <cell r="D10391" t="str">
            <v>NIK</v>
          </cell>
        </row>
        <row r="10392">
          <cell r="A10392" t="str">
            <v>FB260013998</v>
          </cell>
          <cell r="D10392" t="str">
            <v>NIK</v>
          </cell>
        </row>
        <row r="10393">
          <cell r="A10393" t="str">
            <v>FB260014002</v>
          </cell>
          <cell r="D10393" t="str">
            <v>NIK</v>
          </cell>
        </row>
        <row r="10394">
          <cell r="A10394" t="str">
            <v>FB260014003</v>
          </cell>
          <cell r="D10394" t="str">
            <v>VSS</v>
          </cell>
        </row>
        <row r="10395">
          <cell r="A10395" t="str">
            <v>FB260014007</v>
          </cell>
          <cell r="D10395" t="str">
            <v>NIK</v>
          </cell>
        </row>
        <row r="10396">
          <cell r="A10396" t="str">
            <v>FB260014017</v>
          </cell>
          <cell r="D10396" t="str">
            <v>NIK</v>
          </cell>
        </row>
        <row r="10397">
          <cell r="A10397" t="str">
            <v>FB260014019</v>
          </cell>
          <cell r="D10397" t="str">
            <v>NIK</v>
          </cell>
        </row>
        <row r="10398">
          <cell r="A10398" t="str">
            <v>FB260014026</v>
          </cell>
          <cell r="D10398" t="str">
            <v>WOX</v>
          </cell>
        </row>
        <row r="10399">
          <cell r="A10399" t="str">
            <v>FB260014037</v>
          </cell>
          <cell r="D10399" t="str">
            <v>VSS</v>
          </cell>
        </row>
        <row r="10400">
          <cell r="A10400" t="str">
            <v>FB260014039</v>
          </cell>
          <cell r="D10400" t="str">
            <v>VSS</v>
          </cell>
        </row>
        <row r="10401">
          <cell r="A10401" t="str">
            <v>FB260014042</v>
          </cell>
          <cell r="D10401" t="str">
            <v>VSS</v>
          </cell>
        </row>
        <row r="10402">
          <cell r="A10402" t="str">
            <v>FB260014044</v>
          </cell>
          <cell r="D10402" t="str">
            <v>VSS</v>
          </cell>
        </row>
        <row r="10403">
          <cell r="A10403" t="str">
            <v>FB260014045</v>
          </cell>
          <cell r="D10403" t="str">
            <v>VSS</v>
          </cell>
        </row>
        <row r="10404">
          <cell r="A10404" t="str">
            <v>FB260014046</v>
          </cell>
          <cell r="D10404" t="str">
            <v>LBI</v>
          </cell>
        </row>
        <row r="10405">
          <cell r="A10405" t="str">
            <v>FB260014047</v>
          </cell>
          <cell r="D10405" t="str">
            <v>LBI</v>
          </cell>
        </row>
        <row r="10406">
          <cell r="A10406" t="str">
            <v>FB260014048</v>
          </cell>
          <cell r="D10406" t="str">
            <v>LBI</v>
          </cell>
        </row>
        <row r="10407">
          <cell r="A10407" t="str">
            <v>FB260014049</v>
          </cell>
          <cell r="D10407" t="str">
            <v>LULU</v>
          </cell>
        </row>
        <row r="10408">
          <cell r="A10408" t="str">
            <v>FB260014050</v>
          </cell>
          <cell r="D10408" t="str">
            <v>LULU</v>
          </cell>
        </row>
        <row r="10409">
          <cell r="A10409" t="str">
            <v>FB260014052</v>
          </cell>
          <cell r="D10409" t="str">
            <v>NIK</v>
          </cell>
        </row>
        <row r="10410">
          <cell r="A10410" t="str">
            <v>FB260014055</v>
          </cell>
          <cell r="D10410" t="str">
            <v>PINK</v>
          </cell>
        </row>
        <row r="10411">
          <cell r="A10411" t="str">
            <v>FB260014056</v>
          </cell>
          <cell r="D10411" t="str">
            <v>PINK</v>
          </cell>
        </row>
        <row r="10412">
          <cell r="A10412" t="str">
            <v>FB260014057</v>
          </cell>
          <cell r="D10412" t="str">
            <v>PINK</v>
          </cell>
        </row>
        <row r="10413">
          <cell r="A10413" t="str">
            <v>FB260014058</v>
          </cell>
          <cell r="D10413" t="str">
            <v>NIK</v>
          </cell>
        </row>
        <row r="10414">
          <cell r="A10414" t="str">
            <v>FB260014059</v>
          </cell>
          <cell r="D10414" t="str">
            <v>NIK</v>
          </cell>
        </row>
        <row r="10415">
          <cell r="A10415" t="str">
            <v>FB260014060</v>
          </cell>
          <cell r="D10415" t="str">
            <v>LULU</v>
          </cell>
        </row>
        <row r="10416">
          <cell r="A10416" t="str">
            <v>FB260014061</v>
          </cell>
          <cell r="D10416" t="str">
            <v>GAP</v>
          </cell>
        </row>
        <row r="10417">
          <cell r="A10417" t="str">
            <v>FB260014063</v>
          </cell>
          <cell r="D10417" t="str">
            <v>GAP</v>
          </cell>
        </row>
        <row r="10418">
          <cell r="A10418" t="str">
            <v>FB260014075</v>
          </cell>
          <cell r="D10418" t="str">
            <v>NIK</v>
          </cell>
        </row>
        <row r="10419">
          <cell r="A10419" t="str">
            <v>FB260014077</v>
          </cell>
          <cell r="D10419" t="str">
            <v>INT1</v>
          </cell>
        </row>
        <row r="10420">
          <cell r="A10420" t="str">
            <v>FB260014078</v>
          </cell>
          <cell r="D10420" t="str">
            <v>INT1</v>
          </cell>
        </row>
        <row r="10421">
          <cell r="A10421" t="str">
            <v>FB260014079</v>
          </cell>
          <cell r="D10421" t="str">
            <v>INT1</v>
          </cell>
        </row>
        <row r="10422">
          <cell r="A10422" t="str">
            <v>FB260014080</v>
          </cell>
          <cell r="D10422" t="str">
            <v>INT1</v>
          </cell>
        </row>
        <row r="10423">
          <cell r="A10423" t="str">
            <v>FB260014081</v>
          </cell>
          <cell r="D10423" t="str">
            <v>INT1</v>
          </cell>
        </row>
        <row r="10424">
          <cell r="A10424" t="str">
            <v>FB260014082</v>
          </cell>
          <cell r="D10424" t="str">
            <v>INT1</v>
          </cell>
        </row>
        <row r="10425">
          <cell r="A10425" t="str">
            <v>FB260014083</v>
          </cell>
          <cell r="D10425" t="str">
            <v>INT1</v>
          </cell>
        </row>
        <row r="10426">
          <cell r="A10426" t="str">
            <v>FB260014087</v>
          </cell>
          <cell r="D10426" t="str">
            <v>VSS</v>
          </cell>
        </row>
        <row r="10427">
          <cell r="A10427" t="str">
            <v>FB260014089</v>
          </cell>
          <cell r="D10427" t="str">
            <v>PINK</v>
          </cell>
        </row>
        <row r="10428">
          <cell r="A10428" t="str">
            <v>FB260014093</v>
          </cell>
          <cell r="D10428" t="str">
            <v>PINK</v>
          </cell>
        </row>
        <row r="10429">
          <cell r="A10429" t="str">
            <v>FB260014094</v>
          </cell>
          <cell r="D10429" t="str">
            <v>PINK</v>
          </cell>
        </row>
        <row r="10430">
          <cell r="A10430" t="str">
            <v>FB260014095</v>
          </cell>
          <cell r="D10430" t="str">
            <v>VSS</v>
          </cell>
        </row>
        <row r="10431">
          <cell r="A10431" t="str">
            <v>FB260014096</v>
          </cell>
          <cell r="D10431" t="str">
            <v>VSS</v>
          </cell>
        </row>
        <row r="10432">
          <cell r="A10432" t="str">
            <v>FB260014099</v>
          </cell>
          <cell r="D10432" t="str">
            <v>INT1</v>
          </cell>
        </row>
        <row r="10433">
          <cell r="A10433" t="str">
            <v>FB260014100</v>
          </cell>
          <cell r="D10433" t="str">
            <v>VSS</v>
          </cell>
        </row>
        <row r="10434">
          <cell r="A10434" t="str">
            <v>FB260014101</v>
          </cell>
          <cell r="D10434" t="str">
            <v>VSS</v>
          </cell>
        </row>
        <row r="10435">
          <cell r="A10435" t="str">
            <v>FB260014102</v>
          </cell>
          <cell r="D10435" t="str">
            <v>VSS</v>
          </cell>
        </row>
        <row r="10436">
          <cell r="A10436" t="str">
            <v>FB260014107</v>
          </cell>
          <cell r="D10436" t="str">
            <v>INT1</v>
          </cell>
        </row>
        <row r="10437">
          <cell r="A10437" t="str">
            <v>FB260014109</v>
          </cell>
          <cell r="D10437" t="str">
            <v>ASIC</v>
          </cell>
        </row>
        <row r="10438">
          <cell r="A10438" t="str">
            <v>FB260014112</v>
          </cell>
          <cell r="D10438" t="str">
            <v>ASIC</v>
          </cell>
        </row>
        <row r="10439">
          <cell r="A10439" t="str">
            <v>FB260014113</v>
          </cell>
          <cell r="D10439" t="str">
            <v>VSS</v>
          </cell>
        </row>
        <row r="10440">
          <cell r="A10440" t="str">
            <v>FB260014114</v>
          </cell>
          <cell r="D10440" t="str">
            <v>PINK</v>
          </cell>
        </row>
        <row r="10441">
          <cell r="A10441" t="str">
            <v>FB260014115</v>
          </cell>
          <cell r="D10441" t="str">
            <v>PINK</v>
          </cell>
        </row>
        <row r="10442">
          <cell r="A10442" t="str">
            <v>FB260014116</v>
          </cell>
          <cell r="D10442" t="str">
            <v>VSS</v>
          </cell>
        </row>
        <row r="10443">
          <cell r="A10443" t="str">
            <v>FB260014117</v>
          </cell>
          <cell r="D10443" t="str">
            <v>VSS</v>
          </cell>
        </row>
        <row r="10444">
          <cell r="A10444" t="str">
            <v>FB260014118</v>
          </cell>
          <cell r="D10444" t="str">
            <v>VSS</v>
          </cell>
        </row>
        <row r="10445">
          <cell r="A10445" t="str">
            <v>FB260014119</v>
          </cell>
          <cell r="D10445" t="str">
            <v>GAP</v>
          </cell>
        </row>
        <row r="10446">
          <cell r="A10446" t="str">
            <v>FB260014121</v>
          </cell>
          <cell r="D10446" t="str">
            <v>PINK</v>
          </cell>
        </row>
        <row r="10447">
          <cell r="A10447" t="str">
            <v>FB260014122</v>
          </cell>
          <cell r="D10447" t="str">
            <v>PINK</v>
          </cell>
        </row>
        <row r="10448">
          <cell r="A10448" t="str">
            <v>FB260014123</v>
          </cell>
          <cell r="D10448" t="str">
            <v>VSS</v>
          </cell>
        </row>
        <row r="10449">
          <cell r="A10449" t="str">
            <v>FB260014124</v>
          </cell>
          <cell r="D10449" t="str">
            <v>VSS</v>
          </cell>
        </row>
        <row r="10450">
          <cell r="A10450" t="str">
            <v>FB260014125</v>
          </cell>
          <cell r="D10450" t="str">
            <v>VSS</v>
          </cell>
        </row>
        <row r="10451">
          <cell r="A10451" t="str">
            <v>FB260014126</v>
          </cell>
          <cell r="D10451" t="str">
            <v>VSS</v>
          </cell>
        </row>
        <row r="10452">
          <cell r="A10452" t="str">
            <v>FB260014149</v>
          </cell>
          <cell r="D10452" t="str">
            <v>PINK</v>
          </cell>
        </row>
        <row r="10453">
          <cell r="A10453" t="str">
            <v>FB260014164</v>
          </cell>
          <cell r="D10453" t="str">
            <v>INT1</v>
          </cell>
        </row>
        <row r="10454">
          <cell r="A10454" t="str">
            <v>FB260014165</v>
          </cell>
          <cell r="D10454" t="str">
            <v>INT1</v>
          </cell>
        </row>
        <row r="10455">
          <cell r="A10455" t="str">
            <v>FB260014169</v>
          </cell>
          <cell r="D10455" t="str">
            <v>INT1</v>
          </cell>
        </row>
        <row r="10456">
          <cell r="A10456" t="str">
            <v>FB260014170</v>
          </cell>
          <cell r="D10456" t="str">
            <v>PINK</v>
          </cell>
        </row>
        <row r="10457">
          <cell r="A10457" t="str">
            <v>FB260014171</v>
          </cell>
          <cell r="D10457" t="str">
            <v>LULU</v>
          </cell>
        </row>
        <row r="10458">
          <cell r="A10458" t="str">
            <v>FB260014184</v>
          </cell>
          <cell r="D10458" t="str">
            <v>PINK</v>
          </cell>
        </row>
        <row r="10459">
          <cell r="A10459" t="str">
            <v>FB260014200</v>
          </cell>
          <cell r="D10459" t="str">
            <v>WACE</v>
          </cell>
        </row>
        <row r="10460">
          <cell r="A10460" t="str">
            <v>FB260014205</v>
          </cell>
          <cell r="D10460" t="str">
            <v>WACE</v>
          </cell>
        </row>
        <row r="10461">
          <cell r="A10461" t="str">
            <v>FB260014207</v>
          </cell>
          <cell r="D10461" t="str">
            <v>GYM</v>
          </cell>
        </row>
        <row r="10462">
          <cell r="A10462" t="str">
            <v>FB260014208</v>
          </cell>
          <cell r="D10462" t="str">
            <v>INT1</v>
          </cell>
        </row>
        <row r="10463">
          <cell r="A10463" t="str">
            <v>FB260014211</v>
          </cell>
          <cell r="D10463" t="str">
            <v>NKSKI</v>
          </cell>
        </row>
        <row r="10464">
          <cell r="A10464" t="str">
            <v>FB260014214</v>
          </cell>
          <cell r="D10464" t="str">
            <v>LBI</v>
          </cell>
        </row>
        <row r="10465">
          <cell r="A10465" t="str">
            <v>FB260014215</v>
          </cell>
          <cell r="D10465" t="str">
            <v>LBI</v>
          </cell>
        </row>
        <row r="10466">
          <cell r="A10466" t="str">
            <v>FB260014216</v>
          </cell>
          <cell r="D10466" t="str">
            <v>INT1</v>
          </cell>
        </row>
        <row r="10467">
          <cell r="A10467" t="str">
            <v>FB260014217</v>
          </cell>
          <cell r="D10467" t="str">
            <v>LBI</v>
          </cell>
        </row>
        <row r="10468">
          <cell r="A10468" t="str">
            <v>FB260014218</v>
          </cell>
          <cell r="D10468" t="str">
            <v>INT1</v>
          </cell>
        </row>
        <row r="10469">
          <cell r="A10469" t="str">
            <v>FB260014219</v>
          </cell>
          <cell r="D10469" t="str">
            <v>INT1</v>
          </cell>
        </row>
        <row r="10470">
          <cell r="A10470" t="str">
            <v>FB260014220</v>
          </cell>
          <cell r="D10470" t="str">
            <v>INT1</v>
          </cell>
        </row>
        <row r="10471">
          <cell r="A10471" t="str">
            <v>FB260014221</v>
          </cell>
          <cell r="D10471" t="str">
            <v>INT1</v>
          </cell>
        </row>
        <row r="10472">
          <cell r="A10472" t="str">
            <v>FB260014222</v>
          </cell>
          <cell r="D10472" t="str">
            <v>INT1</v>
          </cell>
        </row>
        <row r="10473">
          <cell r="A10473" t="str">
            <v>FB260014223</v>
          </cell>
          <cell r="D10473" t="str">
            <v>INT1</v>
          </cell>
        </row>
        <row r="10474">
          <cell r="A10474" t="str">
            <v>FB260014224</v>
          </cell>
          <cell r="D10474" t="str">
            <v>GYM</v>
          </cell>
        </row>
        <row r="10475">
          <cell r="A10475" t="str">
            <v>FB260014225</v>
          </cell>
          <cell r="D10475" t="str">
            <v>WOX</v>
          </cell>
        </row>
        <row r="10476">
          <cell r="A10476" t="str">
            <v>FB260014226</v>
          </cell>
          <cell r="D10476" t="str">
            <v>INT1</v>
          </cell>
        </row>
        <row r="10477">
          <cell r="A10477" t="str">
            <v>FB260014229</v>
          </cell>
          <cell r="D10477" t="str">
            <v>INT1</v>
          </cell>
        </row>
        <row r="10478">
          <cell r="A10478" t="str">
            <v>FB260014231</v>
          </cell>
          <cell r="D10478" t="str">
            <v>INT1</v>
          </cell>
        </row>
        <row r="10479">
          <cell r="A10479" t="str">
            <v>FB260014232</v>
          </cell>
          <cell r="D10479" t="str">
            <v>INT1</v>
          </cell>
        </row>
        <row r="10480">
          <cell r="A10480" t="str">
            <v>FB260014235</v>
          </cell>
          <cell r="D10480" t="str">
            <v>INT1</v>
          </cell>
        </row>
        <row r="10481">
          <cell r="A10481" t="str">
            <v>FB260014236</v>
          </cell>
          <cell r="D10481" t="str">
            <v>INT1</v>
          </cell>
        </row>
        <row r="10482">
          <cell r="A10482" t="str">
            <v>FB260014238</v>
          </cell>
          <cell r="D10482" t="str">
            <v>INT1</v>
          </cell>
        </row>
        <row r="10483">
          <cell r="A10483" t="str">
            <v>FB260014240</v>
          </cell>
          <cell r="D10483" t="str">
            <v>INT1</v>
          </cell>
        </row>
        <row r="10484">
          <cell r="A10484" t="str">
            <v>FB260014241</v>
          </cell>
          <cell r="D10484" t="str">
            <v>INT1</v>
          </cell>
        </row>
        <row r="10485">
          <cell r="A10485" t="str">
            <v>FB260014242</v>
          </cell>
          <cell r="D10485" t="str">
            <v>INT1</v>
          </cell>
        </row>
        <row r="10486">
          <cell r="A10486" t="str">
            <v>FB260014246</v>
          </cell>
          <cell r="D10486" t="str">
            <v>INT1</v>
          </cell>
        </row>
        <row r="10487">
          <cell r="A10487" t="str">
            <v>FB260014254</v>
          </cell>
          <cell r="D10487" t="str">
            <v>INT1</v>
          </cell>
        </row>
        <row r="10488">
          <cell r="A10488" t="str">
            <v>FB260014294</v>
          </cell>
          <cell r="D10488" t="str">
            <v>INT1</v>
          </cell>
        </row>
        <row r="10489">
          <cell r="A10489" t="str">
            <v>FB260014296</v>
          </cell>
          <cell r="D10489" t="str">
            <v>VSS</v>
          </cell>
        </row>
        <row r="10490">
          <cell r="A10490" t="str">
            <v>FB260014298</v>
          </cell>
          <cell r="D10490" t="str">
            <v>NIK</v>
          </cell>
        </row>
        <row r="10491">
          <cell r="A10491" t="str">
            <v>FB260014299</v>
          </cell>
          <cell r="D10491" t="str">
            <v>NIK</v>
          </cell>
        </row>
        <row r="10492">
          <cell r="A10492" t="str">
            <v>FB260014304</v>
          </cell>
          <cell r="D10492" t="str">
            <v>WACE</v>
          </cell>
        </row>
        <row r="10493">
          <cell r="A10493" t="str">
            <v>FB260014306</v>
          </cell>
          <cell r="D10493" t="str">
            <v>VSS</v>
          </cell>
        </row>
        <row r="10494">
          <cell r="A10494" t="str">
            <v>FB260014307</v>
          </cell>
          <cell r="D10494" t="str">
            <v>GYM</v>
          </cell>
        </row>
        <row r="10495">
          <cell r="A10495" t="str">
            <v>FB260014314</v>
          </cell>
          <cell r="D10495" t="str">
            <v>LULU</v>
          </cell>
        </row>
        <row r="10496">
          <cell r="A10496" t="str">
            <v>FB260014317</v>
          </cell>
          <cell r="D10496" t="str">
            <v>WACE</v>
          </cell>
        </row>
        <row r="10497">
          <cell r="A10497" t="str">
            <v>FB260014330</v>
          </cell>
          <cell r="D10497" t="str">
            <v>GAP</v>
          </cell>
        </row>
        <row r="10498">
          <cell r="A10498" t="str">
            <v>FB260014332</v>
          </cell>
          <cell r="D10498" t="str">
            <v>CK</v>
          </cell>
        </row>
        <row r="10499">
          <cell r="A10499" t="str">
            <v>FB260014333</v>
          </cell>
          <cell r="D10499" t="str">
            <v>CK</v>
          </cell>
        </row>
        <row r="10500">
          <cell r="A10500" t="str">
            <v>FB260014335</v>
          </cell>
          <cell r="D10500" t="str">
            <v>VSS</v>
          </cell>
        </row>
        <row r="10501">
          <cell r="A10501" t="str">
            <v>FB260014336</v>
          </cell>
          <cell r="D10501" t="str">
            <v>VSS</v>
          </cell>
        </row>
        <row r="10502">
          <cell r="A10502" t="str">
            <v>FB260014339</v>
          </cell>
          <cell r="D10502" t="str">
            <v>VSS</v>
          </cell>
        </row>
        <row r="10503">
          <cell r="A10503" t="str">
            <v>FB260014342</v>
          </cell>
          <cell r="D10503" t="str">
            <v>NIK</v>
          </cell>
        </row>
        <row r="10504">
          <cell r="A10504" t="str">
            <v>FB260014343</v>
          </cell>
          <cell r="D10504" t="str">
            <v>NIK</v>
          </cell>
        </row>
        <row r="10505">
          <cell r="A10505" t="str">
            <v>FB260014352</v>
          </cell>
          <cell r="D10505" t="str">
            <v>VSS</v>
          </cell>
        </row>
        <row r="10506">
          <cell r="A10506" t="str">
            <v>FB260014357</v>
          </cell>
          <cell r="D10506" t="str">
            <v>VSS</v>
          </cell>
        </row>
        <row r="10507">
          <cell r="A10507" t="str">
            <v>FB260014358</v>
          </cell>
          <cell r="D10507" t="str">
            <v>PINK</v>
          </cell>
        </row>
        <row r="10508">
          <cell r="A10508" t="str">
            <v>FB260014362</v>
          </cell>
          <cell r="D10508" t="str">
            <v>VSS</v>
          </cell>
        </row>
        <row r="10509">
          <cell r="A10509" t="str">
            <v>FB260014363</v>
          </cell>
          <cell r="D10509" t="str">
            <v>VSS</v>
          </cell>
        </row>
        <row r="10510">
          <cell r="A10510" t="str">
            <v>FB260014364</v>
          </cell>
          <cell r="D10510" t="str">
            <v>VSS</v>
          </cell>
        </row>
        <row r="10511">
          <cell r="A10511" t="str">
            <v>FB260014365</v>
          </cell>
          <cell r="D10511" t="str">
            <v>VSS</v>
          </cell>
        </row>
        <row r="10512">
          <cell r="A10512" t="str">
            <v>FB260014367</v>
          </cell>
          <cell r="D10512" t="str">
            <v>VSS</v>
          </cell>
        </row>
        <row r="10513">
          <cell r="A10513" t="str">
            <v>FB260014368</v>
          </cell>
          <cell r="D10513" t="str">
            <v>VSS</v>
          </cell>
        </row>
        <row r="10514">
          <cell r="A10514" t="str">
            <v>FB260014369</v>
          </cell>
          <cell r="D10514" t="str">
            <v>VSS</v>
          </cell>
        </row>
        <row r="10515">
          <cell r="A10515" t="str">
            <v>FB260014371</v>
          </cell>
          <cell r="D10515" t="str">
            <v>VSS</v>
          </cell>
        </row>
        <row r="10516">
          <cell r="A10516" t="str">
            <v>FB260014372</v>
          </cell>
          <cell r="D10516" t="str">
            <v>VSS</v>
          </cell>
        </row>
        <row r="10517">
          <cell r="A10517" t="str">
            <v>FB260014373</v>
          </cell>
          <cell r="D10517" t="str">
            <v>VSS</v>
          </cell>
        </row>
        <row r="10518">
          <cell r="A10518" t="str">
            <v>FB260014374</v>
          </cell>
          <cell r="D10518" t="str">
            <v>VSS</v>
          </cell>
        </row>
        <row r="10519">
          <cell r="A10519" t="str">
            <v>FB260014396</v>
          </cell>
          <cell r="D10519" t="str">
            <v>INT1</v>
          </cell>
        </row>
        <row r="10520">
          <cell r="A10520" t="str">
            <v>FB260014397</v>
          </cell>
          <cell r="D10520" t="str">
            <v>INT1</v>
          </cell>
        </row>
        <row r="10521">
          <cell r="A10521" t="str">
            <v>FB260014398</v>
          </cell>
          <cell r="D10521" t="str">
            <v>INT1</v>
          </cell>
        </row>
        <row r="10522">
          <cell r="A10522" t="str">
            <v>FB260014399</v>
          </cell>
          <cell r="D10522" t="str">
            <v>INT1</v>
          </cell>
        </row>
        <row r="10523">
          <cell r="A10523" t="str">
            <v>FB260014404</v>
          </cell>
          <cell r="D10523" t="str">
            <v>VSS</v>
          </cell>
        </row>
        <row r="10524">
          <cell r="A10524" t="str">
            <v>FB260014406</v>
          </cell>
          <cell r="D10524" t="str">
            <v>VSS</v>
          </cell>
        </row>
        <row r="10525">
          <cell r="A10525" t="str">
            <v>FB260014407</v>
          </cell>
          <cell r="D10525" t="str">
            <v>VSS</v>
          </cell>
        </row>
        <row r="10526">
          <cell r="A10526" t="str">
            <v>FB260014422</v>
          </cell>
          <cell r="D10526" t="str">
            <v>WACE</v>
          </cell>
        </row>
        <row r="10527">
          <cell r="A10527" t="str">
            <v>FB260014425</v>
          </cell>
          <cell r="D10527" t="str">
            <v>WACE</v>
          </cell>
        </row>
        <row r="10528">
          <cell r="A10528" t="str">
            <v>FB260014444</v>
          </cell>
          <cell r="D10528" t="str">
            <v>NKSKI</v>
          </cell>
        </row>
        <row r="10529">
          <cell r="A10529" t="str">
            <v>FB260014445</v>
          </cell>
          <cell r="D10529" t="str">
            <v>NIK</v>
          </cell>
        </row>
        <row r="10530">
          <cell r="A10530" t="str">
            <v>FB260014446</v>
          </cell>
          <cell r="D10530" t="str">
            <v>NIK</v>
          </cell>
        </row>
        <row r="10531">
          <cell r="A10531" t="str">
            <v>FB260014447</v>
          </cell>
          <cell r="D10531" t="str">
            <v>WACE</v>
          </cell>
        </row>
        <row r="10532">
          <cell r="A10532" t="str">
            <v>FB260014448</v>
          </cell>
          <cell r="D10532" t="str">
            <v>PINK</v>
          </cell>
        </row>
        <row r="10533">
          <cell r="A10533" t="str">
            <v>FB260014452</v>
          </cell>
          <cell r="D10533" t="str">
            <v>AISLE</v>
          </cell>
        </row>
        <row r="10534">
          <cell r="A10534" t="str">
            <v>FB260014453</v>
          </cell>
          <cell r="D10534" t="str">
            <v>AISLE</v>
          </cell>
        </row>
        <row r="10535">
          <cell r="A10535" t="str">
            <v>FB260014456</v>
          </cell>
          <cell r="D10535" t="str">
            <v>WACE</v>
          </cell>
        </row>
        <row r="10536">
          <cell r="A10536" t="str">
            <v>FB260014457</v>
          </cell>
          <cell r="D10536" t="str">
            <v>VSS</v>
          </cell>
        </row>
        <row r="10537">
          <cell r="A10537" t="str">
            <v>FB260014458</v>
          </cell>
          <cell r="D10537" t="str">
            <v>VSS</v>
          </cell>
        </row>
        <row r="10538">
          <cell r="A10538" t="str">
            <v>FB260014459</v>
          </cell>
          <cell r="D10538" t="str">
            <v>VSS</v>
          </cell>
        </row>
        <row r="10539">
          <cell r="A10539" t="str">
            <v>FB260014465</v>
          </cell>
          <cell r="D10539" t="str">
            <v>TJEL</v>
          </cell>
        </row>
        <row r="10540">
          <cell r="A10540" t="str">
            <v>FB260014474</v>
          </cell>
          <cell r="D10540" t="str">
            <v>VSS</v>
          </cell>
        </row>
        <row r="10541">
          <cell r="A10541" t="str">
            <v>FB260014478</v>
          </cell>
          <cell r="D10541" t="str">
            <v>VSS</v>
          </cell>
        </row>
        <row r="10542">
          <cell r="A10542" t="str">
            <v>FB260014479</v>
          </cell>
          <cell r="D10542" t="str">
            <v>VSS</v>
          </cell>
        </row>
        <row r="10543">
          <cell r="A10543" t="str">
            <v>FB260014480</v>
          </cell>
          <cell r="D10543" t="str">
            <v>VSS</v>
          </cell>
        </row>
        <row r="10544">
          <cell r="A10544" t="str">
            <v>FB260014510</v>
          </cell>
          <cell r="D10544" t="str">
            <v>INT1</v>
          </cell>
        </row>
        <row r="10545">
          <cell r="A10545" t="str">
            <v>FL250001620</v>
          </cell>
          <cell r="D10545" t="str">
            <v>GYM</v>
          </cell>
        </row>
        <row r="10546">
          <cell r="A10546" t="str">
            <v>FL260000638</v>
          </cell>
          <cell r="D10546" t="str">
            <v>VSS</v>
          </cell>
        </row>
        <row r="10547">
          <cell r="A10547" t="str">
            <v>FL260002584</v>
          </cell>
          <cell r="D10547" t="str">
            <v>INT1</v>
          </cell>
        </row>
        <row r="10548">
          <cell r="A10548" t="str">
            <v>FL260002680</v>
          </cell>
          <cell r="D10548" t="str">
            <v>CHICOS</v>
          </cell>
        </row>
        <row r="10549">
          <cell r="A10549" t="str">
            <v>FR250000307</v>
          </cell>
          <cell r="D10549" t="str">
            <v>LULU</v>
          </cell>
        </row>
        <row r="10550">
          <cell r="A10550" t="str">
            <v>FR250000308</v>
          </cell>
          <cell r="D10550" t="str">
            <v>NEWB</v>
          </cell>
        </row>
        <row r="10551">
          <cell r="A10551" t="str">
            <v>FR250000314</v>
          </cell>
          <cell r="D10551" t="str">
            <v>VSS</v>
          </cell>
        </row>
        <row r="10552">
          <cell r="A10552" t="str">
            <v>FR250000316</v>
          </cell>
          <cell r="D10552" t="str">
            <v>M&amp;S</v>
          </cell>
        </row>
        <row r="10553">
          <cell r="A10553" t="str">
            <v>FR250000317</v>
          </cell>
          <cell r="D10553" t="str">
            <v>M&amp;S</v>
          </cell>
        </row>
        <row r="10554">
          <cell r="A10554" t="str">
            <v>FR260000001</v>
          </cell>
          <cell r="D10554" t="str">
            <v>NEWB</v>
          </cell>
        </row>
        <row r="10555">
          <cell r="A10555" t="str">
            <v>FR260000002</v>
          </cell>
          <cell r="D10555" t="str">
            <v>NEWB</v>
          </cell>
        </row>
        <row r="10556">
          <cell r="A10556" t="str">
            <v>FR260000004</v>
          </cell>
          <cell r="D10556" t="str">
            <v>VSS</v>
          </cell>
        </row>
        <row r="10557">
          <cell r="A10557" t="str">
            <v>FR260000005</v>
          </cell>
          <cell r="D10557" t="str">
            <v>VSS</v>
          </cell>
        </row>
        <row r="10558">
          <cell r="A10558" t="str">
            <v>FR260000007</v>
          </cell>
          <cell r="D10558" t="str">
            <v>CK</v>
          </cell>
        </row>
        <row r="10559">
          <cell r="A10559" t="str">
            <v>FR260000008</v>
          </cell>
          <cell r="D10559" t="str">
            <v>NEWB</v>
          </cell>
        </row>
        <row r="10560">
          <cell r="A10560" t="str">
            <v>FR260000012</v>
          </cell>
          <cell r="D10560" t="str">
            <v>NIK</v>
          </cell>
        </row>
        <row r="10561">
          <cell r="A10561" t="str">
            <v>FR260000013</v>
          </cell>
          <cell r="D10561" t="str">
            <v>NIK</v>
          </cell>
        </row>
        <row r="10562">
          <cell r="A10562" t="str">
            <v>FR260000014</v>
          </cell>
          <cell r="D10562" t="str">
            <v>WACE</v>
          </cell>
        </row>
        <row r="10563">
          <cell r="A10563" t="str">
            <v>FR260000019</v>
          </cell>
          <cell r="D10563" t="str">
            <v>LSKD</v>
          </cell>
        </row>
        <row r="10564">
          <cell r="A10564" t="str">
            <v>FR260000020</v>
          </cell>
          <cell r="D10564" t="str">
            <v>WACE</v>
          </cell>
        </row>
        <row r="10565">
          <cell r="A10565" t="str">
            <v>FR260000021</v>
          </cell>
          <cell r="D10565" t="str">
            <v>M&amp;S</v>
          </cell>
        </row>
        <row r="10566">
          <cell r="A10566" t="str">
            <v>FR260000022</v>
          </cell>
          <cell r="D10566" t="str">
            <v>VSS</v>
          </cell>
        </row>
        <row r="10567">
          <cell r="A10567" t="str">
            <v>FR260000024</v>
          </cell>
          <cell r="D10567" t="str">
            <v>LULU</v>
          </cell>
        </row>
        <row r="10568">
          <cell r="A10568" t="str">
            <v>FR260000025</v>
          </cell>
          <cell r="D10568" t="str">
            <v>WACE</v>
          </cell>
        </row>
        <row r="10569">
          <cell r="A10569" t="str">
            <v>FR260000026</v>
          </cell>
          <cell r="D10569" t="str">
            <v>WACE</v>
          </cell>
        </row>
        <row r="10570">
          <cell r="A10570" t="str">
            <v>FR260000029</v>
          </cell>
          <cell r="D10570" t="str">
            <v>VSS</v>
          </cell>
        </row>
        <row r="10571">
          <cell r="A10571" t="str">
            <v>FR260000030</v>
          </cell>
          <cell r="D10571" t="str">
            <v>LULU</v>
          </cell>
        </row>
        <row r="10572">
          <cell r="A10572" t="str">
            <v>FR260000034</v>
          </cell>
          <cell r="D10572" t="str">
            <v>VSS</v>
          </cell>
        </row>
        <row r="10573">
          <cell r="A10573" t="str">
            <v>FR260000035</v>
          </cell>
          <cell r="D10573" t="str">
            <v>VSS</v>
          </cell>
        </row>
        <row r="10574">
          <cell r="A10574" t="str">
            <v>FR260000036</v>
          </cell>
          <cell r="D10574" t="str">
            <v>VSS</v>
          </cell>
        </row>
        <row r="10575">
          <cell r="A10575" t="str">
            <v>FR260000037</v>
          </cell>
          <cell r="D10575" t="str">
            <v>VSS</v>
          </cell>
        </row>
        <row r="10576">
          <cell r="A10576" t="str">
            <v>FR260000039</v>
          </cell>
          <cell r="D10576" t="str">
            <v>LULU</v>
          </cell>
        </row>
        <row r="10577">
          <cell r="A10577" t="str">
            <v>FR260000040</v>
          </cell>
          <cell r="D10577" t="str">
            <v>WACE</v>
          </cell>
        </row>
        <row r="10578">
          <cell r="A10578" t="str">
            <v>FR260000042</v>
          </cell>
          <cell r="D10578" t="str">
            <v>NEWB</v>
          </cell>
        </row>
        <row r="10579">
          <cell r="A10579" t="str">
            <v>FR260000043</v>
          </cell>
          <cell r="D10579" t="str">
            <v>LBI</v>
          </cell>
        </row>
        <row r="10580">
          <cell r="A10580" t="str">
            <v>FR260000046</v>
          </cell>
          <cell r="D10580" t="str">
            <v>LULU</v>
          </cell>
        </row>
        <row r="10581">
          <cell r="A10581" t="str">
            <v>FR260000057</v>
          </cell>
          <cell r="D10581" t="str">
            <v>LULU</v>
          </cell>
        </row>
        <row r="10582">
          <cell r="A10582" t="str">
            <v>FR260000069</v>
          </cell>
          <cell r="D10582" t="str">
            <v>LULU</v>
          </cell>
        </row>
        <row r="10583">
          <cell r="A10583" t="str">
            <v>FR260000071</v>
          </cell>
          <cell r="D10583" t="str">
            <v>LULU</v>
          </cell>
        </row>
        <row r="10584">
          <cell r="A10584" t="str">
            <v>FR260000079</v>
          </cell>
          <cell r="D10584" t="str">
            <v>LULU</v>
          </cell>
        </row>
        <row r="10585">
          <cell r="A10585" t="str">
            <v>FR260000080</v>
          </cell>
          <cell r="D10585" t="str">
            <v>LULU</v>
          </cell>
        </row>
        <row r="10586">
          <cell r="A10586" t="str">
            <v>FR260000081</v>
          </cell>
          <cell r="D10586" t="str">
            <v>LULU</v>
          </cell>
        </row>
        <row r="10587">
          <cell r="A10587" t="str">
            <v>FR260000082</v>
          </cell>
          <cell r="D10587" t="str">
            <v>LULU</v>
          </cell>
        </row>
        <row r="10588">
          <cell r="A10588" t="str">
            <v>FR260000083</v>
          </cell>
          <cell r="D10588" t="str">
            <v>LULU</v>
          </cell>
        </row>
        <row r="10589">
          <cell r="A10589" t="str">
            <v>FR260000084</v>
          </cell>
          <cell r="D10589" t="str">
            <v>LULU</v>
          </cell>
        </row>
        <row r="10590">
          <cell r="A10590" t="str">
            <v>FR260000088</v>
          </cell>
          <cell r="D10590" t="str">
            <v>SKI</v>
          </cell>
        </row>
        <row r="10591">
          <cell r="A10591" t="str">
            <v>FR260000092</v>
          </cell>
          <cell r="D10591" t="str">
            <v>KOM</v>
          </cell>
        </row>
        <row r="10592">
          <cell r="A10592" t="str">
            <v>FR260000098</v>
          </cell>
          <cell r="D10592" t="str">
            <v>LULU</v>
          </cell>
        </row>
        <row r="10593">
          <cell r="A10593" t="str">
            <v>FR260000099</v>
          </cell>
          <cell r="D10593" t="str">
            <v>LULU</v>
          </cell>
        </row>
        <row r="10594">
          <cell r="A10594" t="str">
            <v>FR260000100</v>
          </cell>
          <cell r="D10594" t="str">
            <v>VSS</v>
          </cell>
        </row>
        <row r="10595">
          <cell r="A10595" t="str">
            <v>FR260000102</v>
          </cell>
          <cell r="D10595" t="str">
            <v>LULU</v>
          </cell>
        </row>
        <row r="10596">
          <cell r="A10596" t="str">
            <v>FR260000103</v>
          </cell>
          <cell r="D10596" t="str">
            <v>LULU</v>
          </cell>
        </row>
        <row r="10597">
          <cell r="A10597" t="str">
            <v>FR260000104</v>
          </cell>
          <cell r="D10597" t="str">
            <v>LULU</v>
          </cell>
        </row>
        <row r="10598">
          <cell r="A10598" t="str">
            <v>FR260000105</v>
          </cell>
          <cell r="D10598" t="str">
            <v>LULU</v>
          </cell>
        </row>
        <row r="10599">
          <cell r="A10599" t="str">
            <v>FR260000106</v>
          </cell>
          <cell r="D10599" t="str">
            <v>LULU</v>
          </cell>
        </row>
        <row r="10600">
          <cell r="A10600" t="str">
            <v>FR260000107</v>
          </cell>
          <cell r="D10600" t="str">
            <v>LULU</v>
          </cell>
        </row>
        <row r="10601">
          <cell r="A10601" t="str">
            <v>FR260000108</v>
          </cell>
          <cell r="D10601" t="str">
            <v>LULU</v>
          </cell>
        </row>
        <row r="10602">
          <cell r="A10602" t="str">
            <v>FR260000114</v>
          </cell>
          <cell r="D10602" t="str">
            <v>LULU</v>
          </cell>
        </row>
        <row r="10603">
          <cell r="A10603" t="str">
            <v>FR260000116</v>
          </cell>
          <cell r="D10603" t="str">
            <v>LULU</v>
          </cell>
        </row>
        <row r="10604">
          <cell r="A10604" t="str">
            <v>FR260000117</v>
          </cell>
          <cell r="D10604" t="str">
            <v>LULU</v>
          </cell>
        </row>
        <row r="10605">
          <cell r="A10605" t="str">
            <v>FR260000118</v>
          </cell>
          <cell r="D10605" t="str">
            <v>PEP</v>
          </cell>
        </row>
        <row r="10606">
          <cell r="A10606" t="str">
            <v>FR260000119</v>
          </cell>
          <cell r="D10606" t="str">
            <v>CK</v>
          </cell>
        </row>
        <row r="10607">
          <cell r="A10607" t="str">
            <v>FR260000120</v>
          </cell>
          <cell r="D10607" t="str">
            <v>CK</v>
          </cell>
        </row>
        <row r="10608">
          <cell r="A10608" t="str">
            <v>FR260000124</v>
          </cell>
          <cell r="D10608" t="str">
            <v>M&amp;S</v>
          </cell>
        </row>
        <row r="10609">
          <cell r="A10609" t="str">
            <v>FR260000126</v>
          </cell>
          <cell r="D10609" t="str">
            <v>LULU</v>
          </cell>
        </row>
        <row r="10610">
          <cell r="A10610" t="str">
            <v>FR260000127</v>
          </cell>
          <cell r="D10610" t="str">
            <v>LULU</v>
          </cell>
        </row>
        <row r="10611">
          <cell r="A10611" t="str">
            <v>FR260000128</v>
          </cell>
          <cell r="D10611" t="str">
            <v>LULU</v>
          </cell>
        </row>
        <row r="10612">
          <cell r="A10612" t="str">
            <v>FR260000129</v>
          </cell>
          <cell r="D10612" t="str">
            <v>LULU</v>
          </cell>
        </row>
        <row r="10613">
          <cell r="A10613" t="str">
            <v>FR260000130</v>
          </cell>
          <cell r="D10613" t="str">
            <v>WACE</v>
          </cell>
        </row>
        <row r="10614">
          <cell r="A10614" t="str">
            <v>FR260000133</v>
          </cell>
          <cell r="D10614" t="str">
            <v>LULU</v>
          </cell>
        </row>
        <row r="10615">
          <cell r="A10615" t="str">
            <v>FR260000135</v>
          </cell>
          <cell r="D10615" t="str">
            <v>PINK</v>
          </cell>
        </row>
        <row r="10616">
          <cell r="A10616" t="str">
            <v>FR260000136</v>
          </cell>
          <cell r="D10616" t="str">
            <v>CK</v>
          </cell>
        </row>
        <row r="10617">
          <cell r="A10617" t="str">
            <v>FR260000139</v>
          </cell>
          <cell r="D10617" t="str">
            <v>NIK</v>
          </cell>
        </row>
        <row r="10618">
          <cell r="A10618" t="str">
            <v>FR260000140</v>
          </cell>
          <cell r="D10618" t="str">
            <v>CK</v>
          </cell>
        </row>
        <row r="10619">
          <cell r="A10619" t="str">
            <v>FR260000141</v>
          </cell>
          <cell r="D10619" t="str">
            <v>WACE</v>
          </cell>
        </row>
        <row r="10620">
          <cell r="A10620" t="str">
            <v>FR260000142</v>
          </cell>
          <cell r="D10620" t="str">
            <v>M&amp;S</v>
          </cell>
        </row>
        <row r="10621">
          <cell r="A10621" t="str">
            <v>FR260000143</v>
          </cell>
          <cell r="D10621" t="str">
            <v>CK</v>
          </cell>
        </row>
        <row r="10622">
          <cell r="A10622" t="str">
            <v>FR260000144</v>
          </cell>
          <cell r="D10622" t="str">
            <v>CK</v>
          </cell>
        </row>
        <row r="10623">
          <cell r="A10623" t="str">
            <v>FR260000145</v>
          </cell>
          <cell r="D10623" t="str">
            <v>M&amp;S</v>
          </cell>
        </row>
        <row r="10624">
          <cell r="A10624" t="str">
            <v>FR260000147</v>
          </cell>
          <cell r="D10624" t="str">
            <v>CK</v>
          </cell>
        </row>
        <row r="10625">
          <cell r="A10625" t="str">
            <v>FR260000151</v>
          </cell>
          <cell r="D10625" t="str">
            <v>LULU</v>
          </cell>
        </row>
        <row r="10626">
          <cell r="A10626" t="str">
            <v>FR260000152</v>
          </cell>
          <cell r="D10626" t="str">
            <v>NEWB</v>
          </cell>
        </row>
        <row r="10627">
          <cell r="A10627" t="str">
            <v>FR260000153</v>
          </cell>
          <cell r="D10627" t="str">
            <v>LULU</v>
          </cell>
        </row>
        <row r="10628">
          <cell r="A10628" t="str">
            <v>FR260000154</v>
          </cell>
          <cell r="D10628" t="str">
            <v>NIK</v>
          </cell>
        </row>
        <row r="10629">
          <cell r="A10629" t="str">
            <v>FR260000155</v>
          </cell>
          <cell r="D10629" t="str">
            <v>NIK</v>
          </cell>
        </row>
        <row r="10630">
          <cell r="A10630" t="str">
            <v>FR260000156</v>
          </cell>
          <cell r="D10630" t="str">
            <v>NIK</v>
          </cell>
        </row>
        <row r="10631">
          <cell r="A10631" t="str">
            <v>FR260000158</v>
          </cell>
          <cell r="D10631" t="str">
            <v>CK</v>
          </cell>
        </row>
        <row r="10632">
          <cell r="A10632" t="str">
            <v>FR260000160</v>
          </cell>
          <cell r="D10632" t="str">
            <v>SW</v>
          </cell>
        </row>
        <row r="10633">
          <cell r="A10633" t="str">
            <v>FR260000161</v>
          </cell>
          <cell r="D10633" t="str">
            <v>NIK</v>
          </cell>
        </row>
        <row r="10634">
          <cell r="A10634" t="str">
            <v>FR260000162</v>
          </cell>
          <cell r="D10634" t="str">
            <v>NIK</v>
          </cell>
        </row>
        <row r="10635">
          <cell r="A10635" t="str">
            <v>FR260000163</v>
          </cell>
          <cell r="D10635" t="str">
            <v>NIK</v>
          </cell>
        </row>
        <row r="10636">
          <cell r="A10636" t="str">
            <v>FR260000164</v>
          </cell>
          <cell r="D10636" t="str">
            <v>NIK</v>
          </cell>
        </row>
        <row r="10637">
          <cell r="A10637" t="str">
            <v>FR260000166</v>
          </cell>
          <cell r="D10637" t="str">
            <v>CK</v>
          </cell>
        </row>
        <row r="10638">
          <cell r="A10638" t="str">
            <v>FR260000167</v>
          </cell>
          <cell r="D10638" t="str">
            <v>CK</v>
          </cell>
        </row>
        <row r="10639">
          <cell r="A10639" t="str">
            <v>FR260000168</v>
          </cell>
          <cell r="D10639" t="str">
            <v>CK</v>
          </cell>
        </row>
        <row r="10640">
          <cell r="A10640" t="str">
            <v>FR260000169</v>
          </cell>
          <cell r="D10640" t="str">
            <v>CK</v>
          </cell>
        </row>
        <row r="10641">
          <cell r="A10641" t="str">
            <v>FR260000170</v>
          </cell>
          <cell r="D10641" t="str">
            <v>CK</v>
          </cell>
        </row>
        <row r="10642">
          <cell r="A10642" t="str">
            <v>FR260000172</v>
          </cell>
          <cell r="D10642" t="str">
            <v>LULU</v>
          </cell>
        </row>
        <row r="10643">
          <cell r="A10643" t="str">
            <v>FR260000173</v>
          </cell>
          <cell r="D10643" t="str">
            <v>WACE</v>
          </cell>
        </row>
        <row r="10644">
          <cell r="A10644" t="str">
            <v>FR260000176</v>
          </cell>
          <cell r="D10644" t="str">
            <v>CK</v>
          </cell>
        </row>
        <row r="10645">
          <cell r="A10645" t="str">
            <v>FR260000178</v>
          </cell>
          <cell r="D10645" t="str">
            <v>GAP</v>
          </cell>
        </row>
        <row r="10646">
          <cell r="A10646" t="str">
            <v>FR260000179</v>
          </cell>
          <cell r="D10646" t="str">
            <v>GAP</v>
          </cell>
        </row>
        <row r="10647">
          <cell r="A10647" t="str">
            <v>FR260000180</v>
          </cell>
          <cell r="D10647" t="str">
            <v>GAP</v>
          </cell>
        </row>
        <row r="10648">
          <cell r="A10648" t="str">
            <v>FR260000181</v>
          </cell>
          <cell r="D10648" t="str">
            <v>CK</v>
          </cell>
        </row>
        <row r="10649">
          <cell r="A10649" t="str">
            <v>FR260000182</v>
          </cell>
          <cell r="D10649" t="str">
            <v>VSS</v>
          </cell>
        </row>
        <row r="10650">
          <cell r="A10650" t="str">
            <v>FR260000190</v>
          </cell>
          <cell r="D10650" t="str">
            <v>CHICOS</v>
          </cell>
        </row>
        <row r="10651">
          <cell r="A10651" t="str">
            <v>FR260000191</v>
          </cell>
          <cell r="D10651" t="str">
            <v>LULU</v>
          </cell>
        </row>
        <row r="10652">
          <cell r="A10652" t="str">
            <v>FR260000193</v>
          </cell>
          <cell r="D10652" t="str">
            <v>VSS</v>
          </cell>
        </row>
        <row r="10653">
          <cell r="A10653" t="str">
            <v>FR260000197</v>
          </cell>
          <cell r="D10653" t="str">
            <v>NIK</v>
          </cell>
        </row>
        <row r="10654">
          <cell r="A10654" t="str">
            <v>FR260000200</v>
          </cell>
          <cell r="D10654" t="str">
            <v>CK</v>
          </cell>
        </row>
        <row r="10655">
          <cell r="A10655" t="str">
            <v>FR260000201</v>
          </cell>
          <cell r="D10655" t="str">
            <v>VSS</v>
          </cell>
        </row>
        <row r="10656">
          <cell r="A10656" t="str">
            <v>FR260000202</v>
          </cell>
          <cell r="D10656" t="str">
            <v>VSS</v>
          </cell>
        </row>
        <row r="10657">
          <cell r="A10657" t="str">
            <v>FR260000203</v>
          </cell>
          <cell r="D10657" t="str">
            <v>CK</v>
          </cell>
        </row>
        <row r="10658">
          <cell r="A10658" t="str">
            <v>FR260000204</v>
          </cell>
          <cell r="D10658" t="str">
            <v>CHICOS</v>
          </cell>
        </row>
        <row r="10659">
          <cell r="A10659" t="str">
            <v>FR260000205</v>
          </cell>
          <cell r="D10659" t="str">
            <v>CK</v>
          </cell>
        </row>
        <row r="10660">
          <cell r="A10660" t="str">
            <v>FR260000206</v>
          </cell>
          <cell r="D10660" t="str">
            <v>CK</v>
          </cell>
        </row>
        <row r="10661">
          <cell r="A10661" t="str">
            <v>FR260000207</v>
          </cell>
          <cell r="D10661" t="str">
            <v>CK</v>
          </cell>
        </row>
        <row r="10662">
          <cell r="A10662" t="str">
            <v>FR260000210</v>
          </cell>
          <cell r="D10662" t="str">
            <v>WACE</v>
          </cell>
        </row>
        <row r="10663">
          <cell r="A10663" t="str">
            <v>FR260000211</v>
          </cell>
          <cell r="D10663" t="str">
            <v>VSS</v>
          </cell>
        </row>
        <row r="10664">
          <cell r="A10664" t="str">
            <v>FR260000215</v>
          </cell>
          <cell r="D10664" t="str">
            <v>VSS</v>
          </cell>
        </row>
        <row r="10665">
          <cell r="A10665" t="str">
            <v>FR260000216</v>
          </cell>
          <cell r="D10665" t="str">
            <v>CHICOS</v>
          </cell>
        </row>
        <row r="10666">
          <cell r="A10666" t="str">
            <v>FR260000217</v>
          </cell>
          <cell r="D10666" t="str">
            <v>CK</v>
          </cell>
        </row>
        <row r="10667">
          <cell r="A10667" t="str">
            <v>FR260000218</v>
          </cell>
          <cell r="D10667" t="str">
            <v>VSS</v>
          </cell>
        </row>
        <row r="10668">
          <cell r="A10668" t="str">
            <v>FR260000219</v>
          </cell>
          <cell r="D10668" t="str">
            <v>LULU</v>
          </cell>
        </row>
        <row r="10669">
          <cell r="A10669" t="str">
            <v>FR260000220</v>
          </cell>
          <cell r="D10669" t="str">
            <v>VSS</v>
          </cell>
        </row>
        <row r="10670">
          <cell r="A10670" t="str">
            <v>FR260000221</v>
          </cell>
          <cell r="D10670" t="str">
            <v>WACE</v>
          </cell>
        </row>
        <row r="10671">
          <cell r="A10671" t="str">
            <v>FR260000222</v>
          </cell>
          <cell r="D10671" t="str">
            <v>WACE</v>
          </cell>
        </row>
        <row r="10672">
          <cell r="A10672" t="str">
            <v>FR260000223</v>
          </cell>
          <cell r="D10672" t="str">
            <v>LULU</v>
          </cell>
        </row>
        <row r="10673">
          <cell r="A10673" t="str">
            <v>FR260000224</v>
          </cell>
          <cell r="D10673" t="str">
            <v>CK</v>
          </cell>
        </row>
        <row r="10674">
          <cell r="A10674" t="str">
            <v>FR260000225</v>
          </cell>
          <cell r="D10674" t="str">
            <v>CK</v>
          </cell>
        </row>
        <row r="10675">
          <cell r="A10675" t="str">
            <v>FR260000226</v>
          </cell>
          <cell r="D10675" t="str">
            <v>CK</v>
          </cell>
        </row>
        <row r="10676">
          <cell r="A10676" t="str">
            <v>FR260000227</v>
          </cell>
          <cell r="D10676" t="str">
            <v>CK</v>
          </cell>
        </row>
        <row r="10677">
          <cell r="A10677" t="str">
            <v>FR260000228</v>
          </cell>
          <cell r="D10677" t="str">
            <v>M&amp;S</v>
          </cell>
        </row>
        <row r="10678">
          <cell r="A10678" t="str">
            <v>FR260000230</v>
          </cell>
          <cell r="D10678" t="str">
            <v>NIK</v>
          </cell>
        </row>
        <row r="10679">
          <cell r="A10679" t="str">
            <v>FR260000231</v>
          </cell>
          <cell r="D10679" t="str">
            <v>CK</v>
          </cell>
        </row>
        <row r="10680">
          <cell r="A10680" t="str">
            <v>FR260000233</v>
          </cell>
          <cell r="D10680" t="str">
            <v>CK</v>
          </cell>
        </row>
        <row r="10681">
          <cell r="A10681" t="str">
            <v>FR260000234</v>
          </cell>
          <cell r="D10681" t="str">
            <v>CK</v>
          </cell>
        </row>
        <row r="10682">
          <cell r="A10682" t="str">
            <v>FR260000235</v>
          </cell>
          <cell r="D10682" t="str">
            <v>M&amp;S</v>
          </cell>
        </row>
        <row r="10683">
          <cell r="A10683" t="str">
            <v>FR260000236</v>
          </cell>
          <cell r="D10683" t="str">
            <v>VSS</v>
          </cell>
        </row>
        <row r="10684">
          <cell r="A10684" t="str">
            <v>FR260000237</v>
          </cell>
          <cell r="D10684" t="str">
            <v>WACE</v>
          </cell>
        </row>
        <row r="10685">
          <cell r="A10685" t="str">
            <v>FR260000238</v>
          </cell>
          <cell r="D10685" t="str">
            <v>WACE</v>
          </cell>
        </row>
        <row r="10686">
          <cell r="A10686" t="str">
            <v>FR260000239</v>
          </cell>
          <cell r="D10686" t="str">
            <v>VSS</v>
          </cell>
        </row>
        <row r="10687">
          <cell r="A10687" t="str">
            <v>FR260000240</v>
          </cell>
          <cell r="D10687" t="str">
            <v>NEWB</v>
          </cell>
        </row>
        <row r="10688">
          <cell r="A10688" t="str">
            <v>FR260000242</v>
          </cell>
          <cell r="D10688" t="str">
            <v>CK</v>
          </cell>
        </row>
        <row r="10689">
          <cell r="A10689" t="str">
            <v>FR260000247</v>
          </cell>
          <cell r="D10689" t="str">
            <v>LULU</v>
          </cell>
        </row>
        <row r="10690">
          <cell r="A10690" t="str">
            <v>FR260000248</v>
          </cell>
          <cell r="D10690" t="str">
            <v>LULU</v>
          </cell>
        </row>
        <row r="10691">
          <cell r="A10691" t="str">
            <v>FR260000249</v>
          </cell>
          <cell r="D10691" t="str">
            <v>SKI</v>
          </cell>
        </row>
        <row r="10692">
          <cell r="A10692" t="str">
            <v>FR260000250</v>
          </cell>
          <cell r="D10692" t="str">
            <v>LULU</v>
          </cell>
        </row>
        <row r="10693">
          <cell r="A10693" t="str">
            <v>FR260000251</v>
          </cell>
          <cell r="D10693" t="str">
            <v>VSS</v>
          </cell>
        </row>
        <row r="10694">
          <cell r="A10694" t="str">
            <v>FR260000252</v>
          </cell>
          <cell r="D10694" t="str">
            <v>WACE</v>
          </cell>
        </row>
        <row r="10695">
          <cell r="A10695" t="str">
            <v>FR260000253</v>
          </cell>
          <cell r="D10695" t="str">
            <v>PINK</v>
          </cell>
        </row>
        <row r="10696">
          <cell r="A10696" t="str">
            <v>FR260000254</v>
          </cell>
          <cell r="D10696" t="str">
            <v>PINK</v>
          </cell>
        </row>
        <row r="10697">
          <cell r="A10697" t="str">
            <v>FR260000255</v>
          </cell>
          <cell r="D10697" t="str">
            <v>PINK</v>
          </cell>
        </row>
        <row r="10698">
          <cell r="A10698" t="str">
            <v>FR260000256</v>
          </cell>
          <cell r="D10698" t="str">
            <v>PINK</v>
          </cell>
        </row>
        <row r="10699">
          <cell r="A10699" t="str">
            <v>FR260000257</v>
          </cell>
          <cell r="D10699" t="str">
            <v>VSS</v>
          </cell>
        </row>
        <row r="10700">
          <cell r="A10700" t="str">
            <v>FR260000258</v>
          </cell>
          <cell r="D10700" t="str">
            <v>VSS</v>
          </cell>
        </row>
        <row r="10701">
          <cell r="A10701" t="str">
            <v>FR260000260</v>
          </cell>
          <cell r="D10701" t="str">
            <v>WACE</v>
          </cell>
        </row>
        <row r="10702">
          <cell r="A10702" t="str">
            <v>FR260000261</v>
          </cell>
          <cell r="D10702" t="str">
            <v>WACE</v>
          </cell>
        </row>
        <row r="10703">
          <cell r="A10703" t="str">
            <v>FR260000267</v>
          </cell>
          <cell r="D10703" t="str">
            <v>NIK</v>
          </cell>
        </row>
        <row r="10704">
          <cell r="A10704" t="str">
            <v>FR260000269</v>
          </cell>
          <cell r="D10704" t="str">
            <v>NIK</v>
          </cell>
        </row>
        <row r="10705">
          <cell r="A10705" t="str">
            <v>FR260000270</v>
          </cell>
          <cell r="D10705" t="str">
            <v>VSS</v>
          </cell>
        </row>
        <row r="10706">
          <cell r="A10706" t="str">
            <v>FR260000272</v>
          </cell>
          <cell r="D10706" t="str">
            <v>PINK</v>
          </cell>
        </row>
        <row r="10707">
          <cell r="A10707" t="str">
            <v>FR260000276</v>
          </cell>
          <cell r="D10707" t="str">
            <v>LULU</v>
          </cell>
        </row>
        <row r="10708">
          <cell r="A10708" t="str">
            <v>FR260000277</v>
          </cell>
          <cell r="D10708" t="str">
            <v>NIK</v>
          </cell>
        </row>
        <row r="10709">
          <cell r="A10709" t="str">
            <v>FR260000278</v>
          </cell>
          <cell r="D10709" t="str">
            <v>LBI</v>
          </cell>
        </row>
        <row r="10710">
          <cell r="A10710" t="str">
            <v>FR260000279</v>
          </cell>
          <cell r="D10710" t="str">
            <v>VSS</v>
          </cell>
        </row>
        <row r="10711">
          <cell r="A10711" t="str">
            <v>FR260000280</v>
          </cell>
          <cell r="D10711" t="str">
            <v>CK</v>
          </cell>
        </row>
        <row r="10712">
          <cell r="A10712" t="str">
            <v>FR260000281</v>
          </cell>
          <cell r="D10712" t="str">
            <v>VSS</v>
          </cell>
        </row>
        <row r="10713">
          <cell r="A10713" t="str">
            <v>FR260000282</v>
          </cell>
          <cell r="D10713" t="str">
            <v>VSS</v>
          </cell>
        </row>
        <row r="10714">
          <cell r="A10714" t="str">
            <v>FR260000285</v>
          </cell>
          <cell r="D10714" t="str">
            <v>LULU</v>
          </cell>
        </row>
        <row r="10715">
          <cell r="A10715" t="str">
            <v>FR260000286</v>
          </cell>
          <cell r="D10715" t="str">
            <v>WACE</v>
          </cell>
        </row>
        <row r="10716">
          <cell r="A10716" t="str">
            <v>FR260000288</v>
          </cell>
          <cell r="D10716" t="str">
            <v>VSS</v>
          </cell>
        </row>
        <row r="10717">
          <cell r="A10717" t="str">
            <v>FR260000291</v>
          </cell>
          <cell r="D10717" t="str">
            <v>NIK</v>
          </cell>
        </row>
        <row r="10718">
          <cell r="A10718" t="str">
            <v>FR260000292</v>
          </cell>
          <cell r="D10718" t="str">
            <v>WACE</v>
          </cell>
        </row>
        <row r="10719">
          <cell r="A10719" t="str">
            <v>FR260000295</v>
          </cell>
          <cell r="D10719" t="str">
            <v>WACE</v>
          </cell>
        </row>
        <row r="10720">
          <cell r="A10720" t="str">
            <v>FR260000296</v>
          </cell>
          <cell r="D10720" t="str">
            <v>WACE</v>
          </cell>
        </row>
        <row r="10721">
          <cell r="A10721" t="str">
            <v>FR260000297</v>
          </cell>
          <cell r="D10721" t="str">
            <v>WACE</v>
          </cell>
        </row>
        <row r="10722">
          <cell r="A10722" t="str">
            <v>FR260000299</v>
          </cell>
          <cell r="D10722" t="str">
            <v>PEP</v>
          </cell>
        </row>
        <row r="10723">
          <cell r="A10723" t="str">
            <v>FS250011304</v>
          </cell>
          <cell r="D10723" t="str">
            <v>SOM</v>
          </cell>
        </row>
        <row r="10724">
          <cell r="A10724" t="str">
            <v>FS250011999</v>
          </cell>
          <cell r="D10724" t="str">
            <v>LULU</v>
          </cell>
        </row>
        <row r="10725">
          <cell r="A10725" t="str">
            <v>FS250012013</v>
          </cell>
          <cell r="D10725" t="str">
            <v>SKI</v>
          </cell>
        </row>
        <row r="10726">
          <cell r="A10726" t="str">
            <v>FS250012014</v>
          </cell>
          <cell r="D10726" t="str">
            <v>SKI</v>
          </cell>
        </row>
        <row r="10727">
          <cell r="A10727" t="str">
            <v>FS250012015</v>
          </cell>
          <cell r="D10727" t="str">
            <v>SKI</v>
          </cell>
        </row>
        <row r="10728">
          <cell r="A10728" t="str">
            <v>FS250012016</v>
          </cell>
          <cell r="D10728" t="str">
            <v>SKI</v>
          </cell>
        </row>
        <row r="10729">
          <cell r="A10729" t="str">
            <v>FS250012017</v>
          </cell>
          <cell r="D10729" t="str">
            <v>SKI</v>
          </cell>
        </row>
        <row r="10730">
          <cell r="A10730" t="str">
            <v>FS250012023</v>
          </cell>
          <cell r="D10730" t="str">
            <v>SKI</v>
          </cell>
        </row>
        <row r="10731">
          <cell r="A10731" t="str">
            <v>FS250012030</v>
          </cell>
          <cell r="D10731" t="str">
            <v>SKI</v>
          </cell>
        </row>
        <row r="10732">
          <cell r="A10732" t="str">
            <v>FS250012486</v>
          </cell>
          <cell r="D10732" t="str">
            <v>NIK</v>
          </cell>
        </row>
        <row r="10733">
          <cell r="A10733" t="str">
            <v>FS260000159</v>
          </cell>
          <cell r="D10733" t="str">
            <v>NIK</v>
          </cell>
        </row>
        <row r="10734">
          <cell r="A10734" t="str">
            <v>FS260000201</v>
          </cell>
          <cell r="D10734" t="str">
            <v>TJEL</v>
          </cell>
        </row>
        <row r="10735">
          <cell r="A10735" t="str">
            <v>FS260000218</v>
          </cell>
          <cell r="D10735" t="str">
            <v>VSS</v>
          </cell>
        </row>
        <row r="10736">
          <cell r="A10736" t="str">
            <v>FS260000755</v>
          </cell>
          <cell r="D10736" t="str">
            <v>VSS</v>
          </cell>
        </row>
        <row r="10737">
          <cell r="A10737" t="str">
            <v>FS260000796</v>
          </cell>
          <cell r="D10737" t="str">
            <v>VSS</v>
          </cell>
        </row>
        <row r="10738">
          <cell r="A10738" t="str">
            <v>FS260001249</v>
          </cell>
          <cell r="D10738" t="str">
            <v>VSS</v>
          </cell>
        </row>
        <row r="10739">
          <cell r="A10739" t="str">
            <v>FS260001651</v>
          </cell>
          <cell r="D10739" t="str">
            <v>VSS</v>
          </cell>
        </row>
        <row r="10740">
          <cell r="A10740" t="str">
            <v>FS260001658</v>
          </cell>
          <cell r="D10740" t="str">
            <v>VSS</v>
          </cell>
        </row>
        <row r="10741">
          <cell r="A10741" t="str">
            <v>FS260002055</v>
          </cell>
          <cell r="D10741" t="str">
            <v>HUG</v>
          </cell>
        </row>
        <row r="10742">
          <cell r="A10742" t="str">
            <v>FS260002968</v>
          </cell>
          <cell r="D10742" t="str">
            <v>SOM</v>
          </cell>
        </row>
        <row r="10743">
          <cell r="A10743" t="str">
            <v>FS260003226</v>
          </cell>
          <cell r="D10743" t="str">
            <v>VSS</v>
          </cell>
        </row>
        <row r="10744">
          <cell r="A10744" t="str">
            <v>FS260003230</v>
          </cell>
          <cell r="D10744" t="str">
            <v>VSS</v>
          </cell>
        </row>
        <row r="10745">
          <cell r="A10745" t="str">
            <v>FS260004489</v>
          </cell>
          <cell r="D10745" t="str">
            <v>NIK</v>
          </cell>
        </row>
        <row r="10746">
          <cell r="A10746" t="str">
            <v>FS260004755</v>
          </cell>
          <cell r="D10746" t="str">
            <v>NIK</v>
          </cell>
        </row>
        <row r="10747">
          <cell r="A10747" t="str">
            <v>FS260004760</v>
          </cell>
          <cell r="D10747" t="str">
            <v>NIK</v>
          </cell>
        </row>
        <row r="10748">
          <cell r="A10748" t="str">
            <v>FS260004907</v>
          </cell>
          <cell r="D10748" t="str">
            <v>NIK</v>
          </cell>
        </row>
        <row r="10749">
          <cell r="A10749" t="str">
            <v>FS260004909</v>
          </cell>
          <cell r="D10749" t="str">
            <v>NIK</v>
          </cell>
        </row>
        <row r="10750">
          <cell r="A10750" t="str">
            <v>FS260004940</v>
          </cell>
          <cell r="D10750" t="str">
            <v>NIK</v>
          </cell>
        </row>
        <row r="10751">
          <cell r="A10751" t="str">
            <v>FS260005000</v>
          </cell>
          <cell r="D10751" t="str">
            <v>NIK</v>
          </cell>
        </row>
        <row r="10752">
          <cell r="A10752" t="str">
            <v>FS260005018</v>
          </cell>
          <cell r="D10752" t="str">
            <v>NIK</v>
          </cell>
        </row>
        <row r="10753">
          <cell r="A10753" t="str">
            <v>FS260005150</v>
          </cell>
          <cell r="D10753" t="str">
            <v>NIK</v>
          </cell>
        </row>
        <row r="10754">
          <cell r="A10754" t="str">
            <v>FS260005485</v>
          </cell>
          <cell r="D10754" t="str">
            <v>NIK</v>
          </cell>
        </row>
        <row r="10755">
          <cell r="A10755" t="str">
            <v>FS260005486</v>
          </cell>
          <cell r="D10755" t="str">
            <v>NIK</v>
          </cell>
        </row>
        <row r="10756">
          <cell r="A10756" t="str">
            <v>FS260006071</v>
          </cell>
          <cell r="D10756" t="str">
            <v>M&amp;S</v>
          </cell>
        </row>
        <row r="10757">
          <cell r="A10757" t="str">
            <v>FS260006146</v>
          </cell>
          <cell r="D10757" t="str">
            <v>VSS</v>
          </cell>
        </row>
        <row r="10758">
          <cell r="A10758" t="str">
            <v>FS260006771</v>
          </cell>
          <cell r="D10758" t="str">
            <v>NIK</v>
          </cell>
        </row>
        <row r="10759">
          <cell r="A10759" t="str">
            <v>FS260006912</v>
          </cell>
          <cell r="D10759" t="str">
            <v>NIK</v>
          </cell>
        </row>
        <row r="10760">
          <cell r="A10760" t="str">
            <v>FS260006973</v>
          </cell>
          <cell r="D10760" t="str">
            <v>VSS</v>
          </cell>
        </row>
        <row r="10761">
          <cell r="A10761" t="str">
            <v>FS260007462</v>
          </cell>
          <cell r="D10761" t="str">
            <v>VSS</v>
          </cell>
        </row>
        <row r="10762">
          <cell r="A10762" t="str">
            <v>GB250003631</v>
          </cell>
          <cell r="D10762" t="str">
            <v>VSS</v>
          </cell>
        </row>
        <row r="10763">
          <cell r="A10763" t="str">
            <v>GB250003702</v>
          </cell>
          <cell r="D10763" t="str">
            <v>PINK</v>
          </cell>
        </row>
        <row r="10764">
          <cell r="A10764" t="str">
            <v>GB250004124</v>
          </cell>
          <cell r="D10764" t="str">
            <v>WACE</v>
          </cell>
        </row>
        <row r="10765">
          <cell r="A10765" t="str">
            <v>GB250004125</v>
          </cell>
          <cell r="D10765" t="str">
            <v>WACE</v>
          </cell>
        </row>
        <row r="10766">
          <cell r="A10766" t="str">
            <v>GB260000031</v>
          </cell>
          <cell r="D10766" t="str">
            <v>M&amp;S</v>
          </cell>
        </row>
        <row r="10767">
          <cell r="A10767" t="str">
            <v>GB260000034</v>
          </cell>
          <cell r="D10767" t="str">
            <v>M&amp;S</v>
          </cell>
        </row>
        <row r="10768">
          <cell r="A10768" t="str">
            <v>GB260000036</v>
          </cell>
          <cell r="D10768" t="str">
            <v>NIK</v>
          </cell>
        </row>
        <row r="10769">
          <cell r="A10769" t="str">
            <v>GB260000039</v>
          </cell>
          <cell r="D10769" t="str">
            <v>WACE</v>
          </cell>
        </row>
        <row r="10770">
          <cell r="A10770" t="str">
            <v>GB260000048</v>
          </cell>
          <cell r="D10770" t="str">
            <v>M&amp;S</v>
          </cell>
        </row>
        <row r="10771">
          <cell r="A10771" t="str">
            <v>GB260000069</v>
          </cell>
          <cell r="D10771" t="str">
            <v>WACE</v>
          </cell>
        </row>
        <row r="10772">
          <cell r="A10772" t="str">
            <v>GB260000090</v>
          </cell>
          <cell r="D10772" t="str">
            <v>WACE</v>
          </cell>
        </row>
        <row r="10773">
          <cell r="A10773" t="str">
            <v>GB260000091</v>
          </cell>
          <cell r="D10773" t="str">
            <v>WACE</v>
          </cell>
        </row>
        <row r="10774">
          <cell r="A10774" t="str">
            <v>GB260000096</v>
          </cell>
          <cell r="D10774" t="str">
            <v>WACE</v>
          </cell>
        </row>
        <row r="10775">
          <cell r="A10775" t="str">
            <v>GB260000099</v>
          </cell>
          <cell r="D10775" t="str">
            <v>WACE</v>
          </cell>
        </row>
        <row r="10776">
          <cell r="A10776" t="str">
            <v>GB260000107</v>
          </cell>
          <cell r="D10776" t="str">
            <v>NIK</v>
          </cell>
        </row>
        <row r="10777">
          <cell r="A10777" t="str">
            <v>GB260000108</v>
          </cell>
          <cell r="D10777" t="str">
            <v>NIK</v>
          </cell>
        </row>
        <row r="10778">
          <cell r="A10778" t="str">
            <v>GB260000109</v>
          </cell>
          <cell r="D10778" t="str">
            <v>NIK</v>
          </cell>
        </row>
        <row r="10779">
          <cell r="A10779" t="str">
            <v>GB260000110</v>
          </cell>
          <cell r="D10779" t="str">
            <v>NIK</v>
          </cell>
        </row>
        <row r="10780">
          <cell r="A10780" t="str">
            <v>GB260000113</v>
          </cell>
          <cell r="D10780" t="str">
            <v>NIK</v>
          </cell>
        </row>
        <row r="10781">
          <cell r="A10781" t="str">
            <v>GB260000114</v>
          </cell>
          <cell r="D10781" t="str">
            <v>NIK</v>
          </cell>
        </row>
        <row r="10782">
          <cell r="A10782" t="str">
            <v>GB260000115</v>
          </cell>
          <cell r="D10782" t="str">
            <v>NIK</v>
          </cell>
        </row>
        <row r="10783">
          <cell r="A10783" t="str">
            <v>GB260000116</v>
          </cell>
          <cell r="D10783" t="str">
            <v>NIK</v>
          </cell>
        </row>
        <row r="10784">
          <cell r="A10784" t="str">
            <v>GB260000120</v>
          </cell>
          <cell r="D10784" t="str">
            <v>NIK</v>
          </cell>
        </row>
        <row r="10785">
          <cell r="A10785" t="str">
            <v>GB260000121</v>
          </cell>
          <cell r="D10785" t="str">
            <v>NIK</v>
          </cell>
        </row>
        <row r="10786">
          <cell r="A10786" t="str">
            <v>GB260000126</v>
          </cell>
          <cell r="D10786" t="str">
            <v>NIK</v>
          </cell>
        </row>
        <row r="10787">
          <cell r="A10787" t="str">
            <v>GB260000127</v>
          </cell>
          <cell r="D10787" t="str">
            <v>NIK</v>
          </cell>
        </row>
        <row r="10788">
          <cell r="A10788" t="str">
            <v>GB260000137</v>
          </cell>
          <cell r="D10788" t="str">
            <v>NIK</v>
          </cell>
        </row>
        <row r="10789">
          <cell r="A10789" t="str">
            <v>GB260000138</v>
          </cell>
          <cell r="D10789" t="str">
            <v>VSS</v>
          </cell>
        </row>
        <row r="10790">
          <cell r="A10790" t="str">
            <v>GB260000139</v>
          </cell>
          <cell r="D10790" t="str">
            <v>VSS</v>
          </cell>
        </row>
        <row r="10791">
          <cell r="A10791" t="str">
            <v>GB260000141</v>
          </cell>
          <cell r="D10791" t="str">
            <v>NIK</v>
          </cell>
        </row>
        <row r="10792">
          <cell r="A10792" t="str">
            <v>GB260000142</v>
          </cell>
          <cell r="D10792" t="str">
            <v>NIK</v>
          </cell>
        </row>
        <row r="10793">
          <cell r="A10793" t="str">
            <v>GB260000143</v>
          </cell>
          <cell r="D10793" t="str">
            <v>NIK</v>
          </cell>
        </row>
        <row r="10794">
          <cell r="A10794" t="str">
            <v>GB260000144</v>
          </cell>
          <cell r="D10794" t="str">
            <v>NIK</v>
          </cell>
        </row>
        <row r="10795">
          <cell r="A10795" t="str">
            <v>GB260000193</v>
          </cell>
          <cell r="D10795" t="str">
            <v>NIK</v>
          </cell>
        </row>
        <row r="10796">
          <cell r="A10796" t="str">
            <v>GB260000194</v>
          </cell>
          <cell r="D10796" t="str">
            <v>NIK</v>
          </cell>
        </row>
        <row r="10797">
          <cell r="A10797" t="str">
            <v>GB260000195</v>
          </cell>
          <cell r="D10797" t="str">
            <v>NIK</v>
          </cell>
        </row>
        <row r="10798">
          <cell r="A10798" t="str">
            <v>GB260000197</v>
          </cell>
          <cell r="D10798" t="str">
            <v>NIK</v>
          </cell>
        </row>
        <row r="10799">
          <cell r="A10799" t="str">
            <v>GB260000198</v>
          </cell>
          <cell r="D10799" t="str">
            <v>NIK</v>
          </cell>
        </row>
        <row r="10800">
          <cell r="A10800" t="str">
            <v>GB260000199</v>
          </cell>
          <cell r="D10800" t="str">
            <v>NIK</v>
          </cell>
        </row>
        <row r="10801">
          <cell r="A10801" t="str">
            <v>GB260000200</v>
          </cell>
          <cell r="D10801" t="str">
            <v>NIK</v>
          </cell>
        </row>
        <row r="10802">
          <cell r="A10802" t="str">
            <v>GB260000236</v>
          </cell>
          <cell r="D10802" t="str">
            <v>NIK</v>
          </cell>
        </row>
        <row r="10803">
          <cell r="A10803" t="str">
            <v>GB260000247</v>
          </cell>
          <cell r="D10803" t="str">
            <v>PINK</v>
          </cell>
        </row>
        <row r="10804">
          <cell r="A10804" t="str">
            <v>GB260000250</v>
          </cell>
          <cell r="D10804" t="str">
            <v>PINK</v>
          </cell>
        </row>
        <row r="10805">
          <cell r="A10805" t="str">
            <v>GB260000251</v>
          </cell>
          <cell r="D10805" t="str">
            <v>PINK</v>
          </cell>
        </row>
        <row r="10806">
          <cell r="A10806" t="str">
            <v>GB260000352</v>
          </cell>
          <cell r="D10806" t="str">
            <v>VSS</v>
          </cell>
        </row>
        <row r="10807">
          <cell r="A10807" t="str">
            <v>GB260000356</v>
          </cell>
          <cell r="D10807" t="str">
            <v>VSS</v>
          </cell>
        </row>
        <row r="10808">
          <cell r="A10808" t="str">
            <v>GB260000357</v>
          </cell>
          <cell r="D10808" t="str">
            <v>VSS</v>
          </cell>
        </row>
        <row r="10809">
          <cell r="A10809" t="str">
            <v>GB260000358</v>
          </cell>
          <cell r="D10809" t="str">
            <v>VSS</v>
          </cell>
        </row>
        <row r="10810">
          <cell r="A10810" t="str">
            <v>GB260000359</v>
          </cell>
          <cell r="D10810" t="str">
            <v>VSS</v>
          </cell>
        </row>
        <row r="10811">
          <cell r="A10811" t="str">
            <v>GB260000363</v>
          </cell>
          <cell r="D10811" t="str">
            <v>VSS</v>
          </cell>
        </row>
        <row r="10812">
          <cell r="A10812" t="str">
            <v>GB260000364</v>
          </cell>
          <cell r="D10812" t="str">
            <v>VSS</v>
          </cell>
        </row>
        <row r="10813">
          <cell r="A10813" t="str">
            <v>GB260000365</v>
          </cell>
          <cell r="D10813" t="str">
            <v>VSS</v>
          </cell>
        </row>
        <row r="10814">
          <cell r="A10814" t="str">
            <v>GB260000366</v>
          </cell>
          <cell r="D10814" t="str">
            <v>VSS</v>
          </cell>
        </row>
        <row r="10815">
          <cell r="A10815" t="str">
            <v>GB260000367</v>
          </cell>
          <cell r="D10815" t="str">
            <v>VSS</v>
          </cell>
        </row>
        <row r="10816">
          <cell r="A10816" t="str">
            <v>GB260000368</v>
          </cell>
          <cell r="D10816" t="str">
            <v>VSS</v>
          </cell>
        </row>
        <row r="10817">
          <cell r="A10817" t="str">
            <v>GB260000369</v>
          </cell>
          <cell r="D10817" t="str">
            <v>VSS</v>
          </cell>
        </row>
        <row r="10818">
          <cell r="A10818" t="str">
            <v>GB260000370</v>
          </cell>
          <cell r="D10818" t="str">
            <v>VSS</v>
          </cell>
        </row>
        <row r="10819">
          <cell r="A10819" t="str">
            <v>GB260000371</v>
          </cell>
          <cell r="D10819" t="str">
            <v>VSS</v>
          </cell>
        </row>
        <row r="10820">
          <cell r="A10820" t="str">
            <v>GB260000373</v>
          </cell>
          <cell r="D10820" t="str">
            <v>VSS</v>
          </cell>
        </row>
        <row r="10821">
          <cell r="A10821" t="str">
            <v>GB260000374</v>
          </cell>
          <cell r="D10821" t="str">
            <v>VSS</v>
          </cell>
        </row>
        <row r="10822">
          <cell r="A10822" t="str">
            <v>GB260000375</v>
          </cell>
          <cell r="D10822" t="str">
            <v>VSS</v>
          </cell>
        </row>
        <row r="10823">
          <cell r="A10823" t="str">
            <v>GB260000376</v>
          </cell>
          <cell r="D10823" t="str">
            <v>VSS</v>
          </cell>
        </row>
        <row r="10824">
          <cell r="A10824" t="str">
            <v>GB260000379</v>
          </cell>
          <cell r="D10824" t="str">
            <v>VSS</v>
          </cell>
        </row>
        <row r="10825">
          <cell r="A10825" t="str">
            <v>GB260000382</v>
          </cell>
          <cell r="D10825" t="str">
            <v>PINK</v>
          </cell>
        </row>
        <row r="10826">
          <cell r="A10826" t="str">
            <v>GB260000383</v>
          </cell>
          <cell r="D10826" t="str">
            <v>PINK</v>
          </cell>
        </row>
        <row r="10827">
          <cell r="A10827" t="str">
            <v>GB260000393</v>
          </cell>
          <cell r="D10827" t="str">
            <v>VSS</v>
          </cell>
        </row>
        <row r="10828">
          <cell r="A10828" t="str">
            <v>GB260000443</v>
          </cell>
          <cell r="D10828" t="str">
            <v>NIK</v>
          </cell>
        </row>
        <row r="10829">
          <cell r="A10829" t="str">
            <v>GB260000447</v>
          </cell>
          <cell r="D10829" t="str">
            <v>NIK</v>
          </cell>
        </row>
        <row r="10830">
          <cell r="A10830" t="str">
            <v>GB260000448</v>
          </cell>
          <cell r="D10830" t="str">
            <v>NIK</v>
          </cell>
        </row>
        <row r="10831">
          <cell r="A10831" t="str">
            <v>GB260000449</v>
          </cell>
          <cell r="D10831" t="str">
            <v>NIK</v>
          </cell>
        </row>
        <row r="10832">
          <cell r="A10832" t="str">
            <v>GB260000450</v>
          </cell>
          <cell r="D10832" t="str">
            <v>NIK</v>
          </cell>
        </row>
        <row r="10833">
          <cell r="A10833" t="str">
            <v>GB260000451</v>
          </cell>
          <cell r="D10833" t="str">
            <v>NIK</v>
          </cell>
        </row>
        <row r="10834">
          <cell r="A10834" t="str">
            <v>GB260000453</v>
          </cell>
          <cell r="D10834" t="str">
            <v>NIK</v>
          </cell>
        </row>
        <row r="10835">
          <cell r="A10835" t="str">
            <v>GB260000454</v>
          </cell>
          <cell r="D10835" t="str">
            <v>NIK</v>
          </cell>
        </row>
        <row r="10836">
          <cell r="A10836" t="str">
            <v>GB260000456</v>
          </cell>
          <cell r="D10836" t="str">
            <v>NIK</v>
          </cell>
        </row>
        <row r="10837">
          <cell r="A10837" t="str">
            <v>GB260000466</v>
          </cell>
          <cell r="D10837" t="str">
            <v>NIK</v>
          </cell>
        </row>
        <row r="10838">
          <cell r="A10838" t="str">
            <v>GB260000467</v>
          </cell>
          <cell r="D10838" t="str">
            <v>NIK</v>
          </cell>
        </row>
        <row r="10839">
          <cell r="A10839" t="str">
            <v>GB260000468</v>
          </cell>
          <cell r="D10839" t="str">
            <v>NIK</v>
          </cell>
        </row>
        <row r="10840">
          <cell r="A10840" t="str">
            <v>GB260000469</v>
          </cell>
          <cell r="D10840" t="str">
            <v>NIK</v>
          </cell>
        </row>
        <row r="10841">
          <cell r="A10841" t="str">
            <v>GB260000470</v>
          </cell>
          <cell r="D10841" t="str">
            <v>NIK</v>
          </cell>
        </row>
        <row r="10842">
          <cell r="A10842" t="str">
            <v>GB260000471</v>
          </cell>
          <cell r="D10842" t="str">
            <v>NIK</v>
          </cell>
        </row>
        <row r="10843">
          <cell r="A10843" t="str">
            <v>GB260000472</v>
          </cell>
          <cell r="D10843" t="str">
            <v>NIK</v>
          </cell>
        </row>
        <row r="10844">
          <cell r="A10844" t="str">
            <v>GB260000475</v>
          </cell>
          <cell r="D10844" t="str">
            <v>NIK</v>
          </cell>
        </row>
        <row r="10845">
          <cell r="A10845" t="str">
            <v>GB260000476</v>
          </cell>
          <cell r="D10845" t="str">
            <v>NIK</v>
          </cell>
        </row>
        <row r="10846">
          <cell r="A10846" t="str">
            <v>GB260000480</v>
          </cell>
          <cell r="D10846" t="str">
            <v>NIK</v>
          </cell>
        </row>
        <row r="10847">
          <cell r="A10847" t="str">
            <v>GB260000481</v>
          </cell>
          <cell r="D10847" t="str">
            <v>NIK</v>
          </cell>
        </row>
        <row r="10848">
          <cell r="A10848" t="str">
            <v>GB260000482</v>
          </cell>
          <cell r="D10848" t="str">
            <v>NIK</v>
          </cell>
        </row>
        <row r="10849">
          <cell r="A10849" t="str">
            <v>GB260000483</v>
          </cell>
          <cell r="D10849" t="str">
            <v>NIK</v>
          </cell>
        </row>
        <row r="10850">
          <cell r="A10850" t="str">
            <v>GB260000484</v>
          </cell>
          <cell r="D10850" t="str">
            <v>NIK</v>
          </cell>
        </row>
        <row r="10851">
          <cell r="A10851" t="str">
            <v>GB260000485</v>
          </cell>
          <cell r="D10851" t="str">
            <v>NIK</v>
          </cell>
        </row>
        <row r="10852">
          <cell r="A10852" t="str">
            <v>GB260000486</v>
          </cell>
          <cell r="D10852" t="str">
            <v>NIK</v>
          </cell>
        </row>
        <row r="10853">
          <cell r="A10853" t="str">
            <v>GB260000487</v>
          </cell>
          <cell r="D10853" t="str">
            <v>NIK</v>
          </cell>
        </row>
        <row r="10854">
          <cell r="A10854" t="str">
            <v>GB260000488</v>
          </cell>
          <cell r="D10854" t="str">
            <v>NIK</v>
          </cell>
        </row>
        <row r="10855">
          <cell r="A10855" t="str">
            <v>GB260000489</v>
          </cell>
          <cell r="D10855" t="str">
            <v>NIK</v>
          </cell>
        </row>
        <row r="10856">
          <cell r="A10856" t="str">
            <v>GB260000490</v>
          </cell>
          <cell r="D10856" t="str">
            <v>NIK</v>
          </cell>
        </row>
        <row r="10857">
          <cell r="A10857" t="str">
            <v>GB260000491</v>
          </cell>
          <cell r="D10857" t="str">
            <v>NIK</v>
          </cell>
        </row>
        <row r="10858">
          <cell r="A10858" t="str">
            <v>GB260000520</v>
          </cell>
          <cell r="D10858" t="str">
            <v>PINK</v>
          </cell>
        </row>
        <row r="10859">
          <cell r="A10859" t="str">
            <v>GB260000521</v>
          </cell>
          <cell r="D10859" t="str">
            <v>PINK</v>
          </cell>
        </row>
        <row r="10860">
          <cell r="A10860" t="str">
            <v>GB260000523</v>
          </cell>
          <cell r="D10860" t="str">
            <v>PINK</v>
          </cell>
        </row>
        <row r="10861">
          <cell r="A10861" t="str">
            <v>GB260000524</v>
          </cell>
          <cell r="D10861" t="str">
            <v>PINK</v>
          </cell>
        </row>
        <row r="10862">
          <cell r="A10862" t="str">
            <v>GB260000527</v>
          </cell>
          <cell r="D10862" t="str">
            <v>PINK</v>
          </cell>
        </row>
        <row r="10863">
          <cell r="A10863" t="str">
            <v>GB260000529</v>
          </cell>
          <cell r="D10863" t="str">
            <v>PINK</v>
          </cell>
        </row>
        <row r="10864">
          <cell r="A10864" t="str">
            <v>GB260000530</v>
          </cell>
          <cell r="D10864" t="str">
            <v>PINK</v>
          </cell>
        </row>
        <row r="10865">
          <cell r="A10865" t="str">
            <v>GB260000531</v>
          </cell>
          <cell r="D10865" t="str">
            <v>PINK</v>
          </cell>
        </row>
        <row r="10866">
          <cell r="A10866" t="str">
            <v>GB260000548</v>
          </cell>
          <cell r="D10866" t="str">
            <v>VSS</v>
          </cell>
        </row>
        <row r="10867">
          <cell r="A10867" t="str">
            <v>GB260000549</v>
          </cell>
          <cell r="D10867" t="str">
            <v>VSS</v>
          </cell>
        </row>
        <row r="10868">
          <cell r="A10868" t="str">
            <v>GB260000550</v>
          </cell>
          <cell r="D10868" t="str">
            <v>VSS</v>
          </cell>
        </row>
        <row r="10869">
          <cell r="A10869" t="str">
            <v>GB260000551</v>
          </cell>
          <cell r="D10869" t="str">
            <v>VSS</v>
          </cell>
        </row>
        <row r="10870">
          <cell r="A10870" t="str">
            <v>GB260000553</v>
          </cell>
          <cell r="D10870" t="str">
            <v>VSS</v>
          </cell>
        </row>
        <row r="10871">
          <cell r="A10871" t="str">
            <v>GB260000562</v>
          </cell>
          <cell r="D10871" t="str">
            <v>NIK</v>
          </cell>
        </row>
        <row r="10872">
          <cell r="A10872" t="str">
            <v>GB260000606</v>
          </cell>
          <cell r="D10872" t="str">
            <v>PINK</v>
          </cell>
        </row>
        <row r="10873">
          <cell r="A10873" t="str">
            <v>GB260000607</v>
          </cell>
          <cell r="D10873" t="str">
            <v>PINK</v>
          </cell>
        </row>
        <row r="10874">
          <cell r="A10874" t="str">
            <v>GB260000608</v>
          </cell>
          <cell r="D10874" t="str">
            <v>PINK</v>
          </cell>
        </row>
        <row r="10875">
          <cell r="A10875" t="str">
            <v>GB260000609</v>
          </cell>
          <cell r="D10875" t="str">
            <v>PINK</v>
          </cell>
        </row>
        <row r="10876">
          <cell r="A10876" t="str">
            <v>GB260000610</v>
          </cell>
          <cell r="D10876" t="str">
            <v>PINK</v>
          </cell>
        </row>
        <row r="10877">
          <cell r="A10877" t="str">
            <v>GB260000612</v>
          </cell>
          <cell r="D10877" t="str">
            <v>PINK</v>
          </cell>
        </row>
        <row r="10878">
          <cell r="A10878" t="str">
            <v>GB260000615</v>
          </cell>
          <cell r="D10878" t="str">
            <v>PINK</v>
          </cell>
        </row>
        <row r="10879">
          <cell r="A10879" t="str">
            <v>GB260000624</v>
          </cell>
          <cell r="D10879" t="str">
            <v>PINK</v>
          </cell>
        </row>
        <row r="10880">
          <cell r="A10880" t="str">
            <v>GB260000625</v>
          </cell>
          <cell r="D10880" t="str">
            <v>PINK</v>
          </cell>
        </row>
        <row r="10881">
          <cell r="A10881" t="str">
            <v>GB260000677</v>
          </cell>
          <cell r="D10881" t="str">
            <v>NIK</v>
          </cell>
        </row>
        <row r="10882">
          <cell r="A10882" t="str">
            <v>GB260000678</v>
          </cell>
          <cell r="D10882" t="str">
            <v>NIK</v>
          </cell>
        </row>
        <row r="10883">
          <cell r="A10883" t="str">
            <v>GB260000681</v>
          </cell>
          <cell r="D10883" t="str">
            <v>NIK</v>
          </cell>
        </row>
        <row r="10884">
          <cell r="A10884" t="str">
            <v>GB260000706</v>
          </cell>
          <cell r="D10884" t="str">
            <v>PINK</v>
          </cell>
        </row>
        <row r="10885">
          <cell r="A10885" t="str">
            <v>GB260000707</v>
          </cell>
          <cell r="D10885" t="str">
            <v>PINK</v>
          </cell>
        </row>
        <row r="10886">
          <cell r="A10886" t="str">
            <v>GB260000708</v>
          </cell>
          <cell r="D10886" t="str">
            <v>PINK</v>
          </cell>
        </row>
        <row r="10887">
          <cell r="A10887" t="str">
            <v>GB260000712</v>
          </cell>
          <cell r="D10887" t="str">
            <v>NIK</v>
          </cell>
        </row>
        <row r="10888">
          <cell r="A10888" t="str">
            <v>GB260000713</v>
          </cell>
          <cell r="D10888" t="str">
            <v>NIK</v>
          </cell>
        </row>
        <row r="10889">
          <cell r="A10889" t="str">
            <v>GB260000714</v>
          </cell>
          <cell r="D10889" t="str">
            <v>NIK</v>
          </cell>
        </row>
        <row r="10890">
          <cell r="A10890" t="str">
            <v>GB260000715</v>
          </cell>
          <cell r="D10890" t="str">
            <v>NIK</v>
          </cell>
        </row>
        <row r="10891">
          <cell r="A10891" t="str">
            <v>GB260000718</v>
          </cell>
          <cell r="D10891" t="str">
            <v>NIK</v>
          </cell>
        </row>
        <row r="10892">
          <cell r="A10892" t="str">
            <v>GB260000732</v>
          </cell>
          <cell r="D10892" t="str">
            <v>NIK</v>
          </cell>
        </row>
        <row r="10893">
          <cell r="A10893" t="str">
            <v>GB260000749</v>
          </cell>
          <cell r="D10893" t="str">
            <v>NIK</v>
          </cell>
        </row>
        <row r="10894">
          <cell r="A10894" t="str">
            <v>GB260000750</v>
          </cell>
          <cell r="D10894" t="str">
            <v>NIK</v>
          </cell>
        </row>
        <row r="10895">
          <cell r="A10895" t="str">
            <v>GB260000752</v>
          </cell>
          <cell r="D10895" t="str">
            <v>NIK</v>
          </cell>
        </row>
        <row r="10896">
          <cell r="A10896" t="str">
            <v>GB260000817</v>
          </cell>
          <cell r="D10896" t="str">
            <v>PINK</v>
          </cell>
        </row>
        <row r="10897">
          <cell r="A10897" t="str">
            <v>GB260000818</v>
          </cell>
          <cell r="D10897" t="str">
            <v>PINK</v>
          </cell>
        </row>
        <row r="10898">
          <cell r="A10898" t="str">
            <v>GB260000820</v>
          </cell>
          <cell r="D10898" t="str">
            <v>PINK</v>
          </cell>
        </row>
        <row r="10899">
          <cell r="A10899" t="str">
            <v>GB260000998</v>
          </cell>
          <cell r="D10899" t="str">
            <v>NIK</v>
          </cell>
        </row>
        <row r="10900">
          <cell r="A10900" t="str">
            <v>GB260001019</v>
          </cell>
          <cell r="D10900" t="str">
            <v>PINK</v>
          </cell>
        </row>
        <row r="10901">
          <cell r="A10901" t="str">
            <v>GB260001031</v>
          </cell>
          <cell r="D10901" t="str">
            <v>PINK</v>
          </cell>
        </row>
        <row r="10902">
          <cell r="A10902" t="str">
            <v>GB260001127</v>
          </cell>
          <cell r="D10902" t="str">
            <v>PINK</v>
          </cell>
        </row>
        <row r="10903">
          <cell r="A10903" t="str">
            <v>GB260001128</v>
          </cell>
          <cell r="D10903" t="str">
            <v>PINK</v>
          </cell>
        </row>
        <row r="10904">
          <cell r="A10904" t="str">
            <v>GB260001129</v>
          </cell>
          <cell r="D10904" t="str">
            <v>PINK</v>
          </cell>
        </row>
        <row r="10905">
          <cell r="A10905" t="str">
            <v>GB260001132</v>
          </cell>
          <cell r="D10905" t="str">
            <v>NIK</v>
          </cell>
        </row>
        <row r="10906">
          <cell r="A10906" t="str">
            <v>GB260001133</v>
          </cell>
          <cell r="D10906" t="str">
            <v>NIK</v>
          </cell>
        </row>
        <row r="10907">
          <cell r="A10907" t="str">
            <v>GB260001134</v>
          </cell>
          <cell r="D10907" t="str">
            <v>NIK</v>
          </cell>
        </row>
        <row r="10908">
          <cell r="A10908" t="str">
            <v>GB260001135</v>
          </cell>
          <cell r="D10908" t="str">
            <v>NIK</v>
          </cell>
        </row>
        <row r="10909">
          <cell r="A10909" t="str">
            <v>GB260001136</v>
          </cell>
          <cell r="D10909" t="str">
            <v>NIK</v>
          </cell>
        </row>
        <row r="10910">
          <cell r="A10910" t="str">
            <v>GB260001137</v>
          </cell>
          <cell r="D10910" t="str">
            <v>NIK</v>
          </cell>
        </row>
        <row r="10911">
          <cell r="A10911" t="str">
            <v>GB260001145</v>
          </cell>
          <cell r="D10911" t="str">
            <v>NIK</v>
          </cell>
        </row>
        <row r="10912">
          <cell r="A10912" t="str">
            <v>GB260001147</v>
          </cell>
          <cell r="D10912" t="str">
            <v>NIK</v>
          </cell>
        </row>
        <row r="10913">
          <cell r="A10913" t="str">
            <v>GB260001148</v>
          </cell>
          <cell r="D10913" t="str">
            <v>NIK</v>
          </cell>
        </row>
        <row r="10914">
          <cell r="A10914" t="str">
            <v>GB260001149</v>
          </cell>
          <cell r="D10914" t="str">
            <v>NIK</v>
          </cell>
        </row>
        <row r="10915">
          <cell r="A10915" t="str">
            <v>GB260001172</v>
          </cell>
          <cell r="D10915" t="str">
            <v>VSS</v>
          </cell>
        </row>
        <row r="10916">
          <cell r="A10916" t="str">
            <v>GB260001176</v>
          </cell>
          <cell r="D10916" t="str">
            <v>VSS</v>
          </cell>
        </row>
        <row r="10917">
          <cell r="A10917" t="str">
            <v>GB260001177</v>
          </cell>
          <cell r="D10917" t="str">
            <v>VSS</v>
          </cell>
        </row>
        <row r="10918">
          <cell r="A10918" t="str">
            <v>GB260001178</v>
          </cell>
          <cell r="D10918" t="str">
            <v>VSS</v>
          </cell>
        </row>
        <row r="10919">
          <cell r="A10919" t="str">
            <v>GB260001182</v>
          </cell>
          <cell r="D10919" t="str">
            <v>PINK</v>
          </cell>
        </row>
        <row r="10920">
          <cell r="A10920" t="str">
            <v>GB260001183</v>
          </cell>
          <cell r="D10920" t="str">
            <v>PINK</v>
          </cell>
        </row>
        <row r="10921">
          <cell r="A10921" t="str">
            <v>GB260001184</v>
          </cell>
          <cell r="D10921" t="str">
            <v>PINK</v>
          </cell>
        </row>
        <row r="10922">
          <cell r="A10922" t="str">
            <v>GB260001185</v>
          </cell>
          <cell r="D10922" t="str">
            <v>PINK</v>
          </cell>
        </row>
        <row r="10923">
          <cell r="A10923" t="str">
            <v>GB260001186</v>
          </cell>
          <cell r="D10923" t="str">
            <v>PINK</v>
          </cell>
        </row>
        <row r="10924">
          <cell r="A10924" t="str">
            <v>GB260001187</v>
          </cell>
          <cell r="D10924" t="str">
            <v>PINK</v>
          </cell>
        </row>
        <row r="10925">
          <cell r="A10925" t="str">
            <v>GB260001188</v>
          </cell>
          <cell r="D10925" t="str">
            <v>PINK</v>
          </cell>
        </row>
        <row r="10926">
          <cell r="A10926" t="str">
            <v>GB260001189</v>
          </cell>
          <cell r="D10926" t="str">
            <v>PINK</v>
          </cell>
        </row>
        <row r="10927">
          <cell r="A10927" t="str">
            <v>GB260001190</v>
          </cell>
          <cell r="D10927" t="str">
            <v>PINK</v>
          </cell>
        </row>
        <row r="10928">
          <cell r="A10928" t="str">
            <v>GB260001191</v>
          </cell>
          <cell r="D10928" t="str">
            <v>PINK</v>
          </cell>
        </row>
        <row r="10929">
          <cell r="A10929" t="str">
            <v>GB260001192</v>
          </cell>
          <cell r="D10929" t="str">
            <v>PINK</v>
          </cell>
        </row>
        <row r="10930">
          <cell r="A10930" t="str">
            <v>GB260001194</v>
          </cell>
          <cell r="D10930" t="str">
            <v>PINK</v>
          </cell>
        </row>
        <row r="10931">
          <cell r="A10931" t="str">
            <v>GB260001195</v>
          </cell>
          <cell r="D10931" t="str">
            <v>PINK</v>
          </cell>
        </row>
        <row r="10932">
          <cell r="A10932" t="str">
            <v>GB260001196</v>
          </cell>
          <cell r="D10932" t="str">
            <v>PINK</v>
          </cell>
        </row>
        <row r="10933">
          <cell r="A10933" t="str">
            <v>GB260001246</v>
          </cell>
          <cell r="D10933" t="str">
            <v>NEX</v>
          </cell>
        </row>
        <row r="10934">
          <cell r="A10934" t="str">
            <v>GB260001247</v>
          </cell>
          <cell r="D10934" t="str">
            <v>NEX</v>
          </cell>
        </row>
        <row r="10935">
          <cell r="A10935" t="str">
            <v>GB260001248</v>
          </cell>
          <cell r="D10935" t="str">
            <v>NEX</v>
          </cell>
        </row>
        <row r="10936">
          <cell r="A10936" t="str">
            <v>GB260001249</v>
          </cell>
          <cell r="D10936" t="str">
            <v>NEX</v>
          </cell>
        </row>
        <row r="10937">
          <cell r="A10937" t="str">
            <v>GB260001260</v>
          </cell>
          <cell r="D10937" t="str">
            <v>PINK</v>
          </cell>
        </row>
        <row r="10938">
          <cell r="A10938" t="str">
            <v>GB260001262</v>
          </cell>
          <cell r="D10938" t="str">
            <v>PINK</v>
          </cell>
        </row>
        <row r="10939">
          <cell r="A10939" t="str">
            <v>GB260001263</v>
          </cell>
          <cell r="D10939" t="str">
            <v>PINK</v>
          </cell>
        </row>
        <row r="10940">
          <cell r="A10940" t="str">
            <v>GB260001264</v>
          </cell>
          <cell r="D10940" t="str">
            <v>PINK</v>
          </cell>
        </row>
        <row r="10941">
          <cell r="A10941" t="str">
            <v>GB260001265</v>
          </cell>
          <cell r="D10941" t="str">
            <v>PINK</v>
          </cell>
        </row>
        <row r="10942">
          <cell r="A10942" t="str">
            <v>GB260001266</v>
          </cell>
          <cell r="D10942" t="str">
            <v>PINK</v>
          </cell>
        </row>
        <row r="10943">
          <cell r="A10943" t="str">
            <v>GB260001268</v>
          </cell>
          <cell r="D10943" t="str">
            <v>PINK</v>
          </cell>
        </row>
        <row r="10944">
          <cell r="A10944" t="str">
            <v>GB260001269</v>
          </cell>
          <cell r="D10944" t="str">
            <v>PINK</v>
          </cell>
        </row>
        <row r="10945">
          <cell r="A10945" t="str">
            <v>GB260001303</v>
          </cell>
          <cell r="D10945" t="str">
            <v>NIK</v>
          </cell>
        </row>
        <row r="10946">
          <cell r="A10946" t="str">
            <v>GB260001304</v>
          </cell>
          <cell r="D10946" t="str">
            <v>NIK</v>
          </cell>
        </row>
        <row r="10947">
          <cell r="A10947" t="str">
            <v>GB260001339</v>
          </cell>
          <cell r="D10947" t="str">
            <v>NIK</v>
          </cell>
        </row>
        <row r="10948">
          <cell r="A10948" t="str">
            <v>GB260001425</v>
          </cell>
          <cell r="D10948" t="str">
            <v>NIK</v>
          </cell>
        </row>
        <row r="10949">
          <cell r="A10949" t="str">
            <v>GB260001449</v>
          </cell>
          <cell r="D10949" t="str">
            <v>VSS</v>
          </cell>
        </row>
        <row r="10950">
          <cell r="A10950" t="str">
            <v>GB260001485</v>
          </cell>
          <cell r="D10950" t="str">
            <v>NEX</v>
          </cell>
        </row>
        <row r="10951">
          <cell r="A10951" t="str">
            <v>GB260001486</v>
          </cell>
          <cell r="D10951" t="str">
            <v>NEX</v>
          </cell>
        </row>
        <row r="10952">
          <cell r="A10952" t="str">
            <v>GB260001802</v>
          </cell>
          <cell r="D10952" t="str">
            <v>WACE</v>
          </cell>
        </row>
        <row r="10953">
          <cell r="A10953" t="str">
            <v>GB260001805</v>
          </cell>
          <cell r="D10953" t="str">
            <v>PINK</v>
          </cell>
        </row>
        <row r="10954">
          <cell r="A10954" t="str">
            <v>GB260001806</v>
          </cell>
          <cell r="D10954" t="str">
            <v>PINK</v>
          </cell>
        </row>
        <row r="10955">
          <cell r="A10955" t="str">
            <v>GB260001807</v>
          </cell>
          <cell r="D10955" t="str">
            <v>PINK</v>
          </cell>
        </row>
        <row r="10956">
          <cell r="A10956" t="str">
            <v>GB260001809</v>
          </cell>
          <cell r="D10956" t="str">
            <v>PINK</v>
          </cell>
        </row>
        <row r="10957">
          <cell r="A10957" t="str">
            <v>GB260001811</v>
          </cell>
          <cell r="D10957" t="str">
            <v>PINK</v>
          </cell>
        </row>
        <row r="10958">
          <cell r="A10958" t="str">
            <v>GB260001812</v>
          </cell>
          <cell r="D10958" t="str">
            <v>PINK</v>
          </cell>
        </row>
        <row r="10959">
          <cell r="A10959" t="str">
            <v>GB260001813</v>
          </cell>
          <cell r="D10959" t="str">
            <v>PINK</v>
          </cell>
        </row>
        <row r="10960">
          <cell r="A10960" t="str">
            <v>GB260001814</v>
          </cell>
          <cell r="D10960" t="str">
            <v>PINK</v>
          </cell>
        </row>
        <row r="10961">
          <cell r="A10961" t="str">
            <v>GB260001815</v>
          </cell>
          <cell r="D10961" t="str">
            <v>PINK</v>
          </cell>
        </row>
        <row r="10962">
          <cell r="A10962" t="str">
            <v>GB260001816</v>
          </cell>
          <cell r="D10962" t="str">
            <v>PINK</v>
          </cell>
        </row>
        <row r="10963">
          <cell r="A10963" t="str">
            <v>GB260001817</v>
          </cell>
          <cell r="D10963" t="str">
            <v>PINK</v>
          </cell>
        </row>
        <row r="10964">
          <cell r="A10964" t="str">
            <v>GB260001819</v>
          </cell>
          <cell r="D10964" t="str">
            <v>PINK</v>
          </cell>
        </row>
        <row r="10965">
          <cell r="A10965" t="str">
            <v>GB260001824</v>
          </cell>
          <cell r="D10965" t="str">
            <v>PINK</v>
          </cell>
        </row>
        <row r="10966">
          <cell r="A10966" t="str">
            <v>GB260001825</v>
          </cell>
          <cell r="D10966" t="str">
            <v>PINK</v>
          </cell>
        </row>
        <row r="10967">
          <cell r="A10967" t="str">
            <v>GB260001826</v>
          </cell>
          <cell r="D10967" t="str">
            <v>PINK</v>
          </cell>
        </row>
        <row r="10968">
          <cell r="A10968" t="str">
            <v>GB260001868</v>
          </cell>
          <cell r="D10968" t="str">
            <v>NIK</v>
          </cell>
        </row>
        <row r="10969">
          <cell r="A10969" t="str">
            <v>GB260001869</v>
          </cell>
          <cell r="D10969" t="str">
            <v>NIK</v>
          </cell>
        </row>
        <row r="10970">
          <cell r="A10970" t="str">
            <v>GB260001870</v>
          </cell>
          <cell r="D10970" t="str">
            <v>NIK</v>
          </cell>
        </row>
        <row r="10971">
          <cell r="A10971" t="str">
            <v>GB260001871</v>
          </cell>
          <cell r="D10971" t="str">
            <v>NIK</v>
          </cell>
        </row>
        <row r="10972">
          <cell r="A10972" t="str">
            <v>GB260001872</v>
          </cell>
          <cell r="D10972" t="str">
            <v>NIK</v>
          </cell>
        </row>
        <row r="10973">
          <cell r="A10973" t="str">
            <v>GB260001873</v>
          </cell>
          <cell r="D10973" t="str">
            <v>NIK</v>
          </cell>
        </row>
        <row r="10974">
          <cell r="A10974" t="str">
            <v>GB260001883</v>
          </cell>
          <cell r="D10974" t="str">
            <v>NIK</v>
          </cell>
        </row>
        <row r="10975">
          <cell r="A10975" t="str">
            <v>GB260001884</v>
          </cell>
          <cell r="D10975" t="str">
            <v>NIK</v>
          </cell>
        </row>
        <row r="10976">
          <cell r="A10976" t="str">
            <v>GB260001885</v>
          </cell>
          <cell r="D10976" t="str">
            <v>NIK</v>
          </cell>
        </row>
        <row r="10977">
          <cell r="A10977" t="str">
            <v>GB260001959</v>
          </cell>
          <cell r="D10977" t="str">
            <v>VSS</v>
          </cell>
        </row>
        <row r="10978">
          <cell r="A10978" t="str">
            <v>GB260001960</v>
          </cell>
          <cell r="D10978" t="str">
            <v>VSS</v>
          </cell>
        </row>
        <row r="10979">
          <cell r="A10979" t="str">
            <v>GB260001961</v>
          </cell>
          <cell r="D10979" t="str">
            <v>VSS</v>
          </cell>
        </row>
        <row r="10980">
          <cell r="A10980" t="str">
            <v>GB260001962</v>
          </cell>
          <cell r="D10980" t="str">
            <v>VSS</v>
          </cell>
        </row>
        <row r="10981">
          <cell r="A10981" t="str">
            <v>GB260001963</v>
          </cell>
          <cell r="D10981" t="str">
            <v>VSS</v>
          </cell>
        </row>
        <row r="10982">
          <cell r="A10982" t="str">
            <v>GB260001964</v>
          </cell>
          <cell r="D10982" t="str">
            <v>VSS</v>
          </cell>
        </row>
        <row r="10983">
          <cell r="A10983" t="str">
            <v>GB260001965</v>
          </cell>
          <cell r="D10983" t="str">
            <v>NIK</v>
          </cell>
        </row>
        <row r="10984">
          <cell r="A10984" t="str">
            <v>GB260001966</v>
          </cell>
          <cell r="D10984" t="str">
            <v>NIK</v>
          </cell>
        </row>
        <row r="10985">
          <cell r="A10985" t="str">
            <v>GB260001967</v>
          </cell>
          <cell r="D10985" t="str">
            <v>NIK</v>
          </cell>
        </row>
        <row r="10986">
          <cell r="A10986" t="str">
            <v>GB260001968</v>
          </cell>
          <cell r="D10986" t="str">
            <v>VSS</v>
          </cell>
        </row>
        <row r="10987">
          <cell r="A10987" t="str">
            <v>GB260001970</v>
          </cell>
          <cell r="D10987" t="str">
            <v>VSS</v>
          </cell>
        </row>
        <row r="10988">
          <cell r="A10988" t="str">
            <v>GB260001973</v>
          </cell>
          <cell r="D10988" t="str">
            <v>VSS</v>
          </cell>
        </row>
        <row r="10989">
          <cell r="A10989" t="str">
            <v>GB260001977</v>
          </cell>
          <cell r="D10989" t="str">
            <v>VSS</v>
          </cell>
        </row>
        <row r="10990">
          <cell r="A10990" t="str">
            <v>GB260002004</v>
          </cell>
          <cell r="D10990" t="str">
            <v>NIK</v>
          </cell>
        </row>
        <row r="10991">
          <cell r="A10991" t="str">
            <v>GB260002005</v>
          </cell>
          <cell r="D10991" t="str">
            <v>NIK</v>
          </cell>
        </row>
        <row r="10992">
          <cell r="A10992" t="str">
            <v>GB260002018</v>
          </cell>
          <cell r="D10992" t="str">
            <v>WACE</v>
          </cell>
        </row>
        <row r="10993">
          <cell r="A10993" t="str">
            <v>GB260002040</v>
          </cell>
          <cell r="D10993" t="str">
            <v>NIK</v>
          </cell>
        </row>
        <row r="10994">
          <cell r="A10994" t="str">
            <v>GB260002041</v>
          </cell>
          <cell r="D10994" t="str">
            <v>NIK</v>
          </cell>
        </row>
        <row r="10995">
          <cell r="A10995" t="str">
            <v>GB260002042</v>
          </cell>
          <cell r="D10995" t="str">
            <v>NIK</v>
          </cell>
        </row>
        <row r="10996">
          <cell r="A10996" t="str">
            <v>GB260002043</v>
          </cell>
          <cell r="D10996" t="str">
            <v>NIK</v>
          </cell>
        </row>
        <row r="10997">
          <cell r="A10997" t="str">
            <v>GB260002044</v>
          </cell>
          <cell r="D10997" t="str">
            <v>NIK</v>
          </cell>
        </row>
        <row r="10998">
          <cell r="A10998" t="str">
            <v>GB260002045</v>
          </cell>
          <cell r="D10998" t="str">
            <v>NIK</v>
          </cell>
        </row>
        <row r="10999">
          <cell r="A10999" t="str">
            <v>GB260002053</v>
          </cell>
          <cell r="D10999" t="str">
            <v>NIK</v>
          </cell>
        </row>
        <row r="11000">
          <cell r="A11000" t="str">
            <v>GB260002145</v>
          </cell>
          <cell r="D11000" t="str">
            <v>PINK</v>
          </cell>
        </row>
        <row r="11001">
          <cell r="A11001" t="str">
            <v>GB260002148</v>
          </cell>
          <cell r="D11001" t="str">
            <v>PINK</v>
          </cell>
        </row>
        <row r="11002">
          <cell r="A11002" t="str">
            <v>GB260002149</v>
          </cell>
          <cell r="D11002" t="str">
            <v>PINK</v>
          </cell>
        </row>
        <row r="11003">
          <cell r="A11003" t="str">
            <v>GB260002150</v>
          </cell>
          <cell r="D11003" t="str">
            <v>PINK</v>
          </cell>
        </row>
        <row r="11004">
          <cell r="A11004" t="str">
            <v>GB260002151</v>
          </cell>
          <cell r="D11004" t="str">
            <v>PINK</v>
          </cell>
        </row>
        <row r="11005">
          <cell r="A11005" t="str">
            <v>GB260002153</v>
          </cell>
          <cell r="D11005" t="str">
            <v>PINK</v>
          </cell>
        </row>
        <row r="11006">
          <cell r="A11006" t="str">
            <v>GB260002154</v>
          </cell>
          <cell r="D11006" t="str">
            <v>PINK</v>
          </cell>
        </row>
        <row r="11007">
          <cell r="A11007" t="str">
            <v>GB260002155</v>
          </cell>
          <cell r="D11007" t="str">
            <v>PINK</v>
          </cell>
        </row>
        <row r="11008">
          <cell r="A11008" t="str">
            <v>GB260002168</v>
          </cell>
          <cell r="D11008" t="str">
            <v>NIK</v>
          </cell>
        </row>
        <row r="11009">
          <cell r="A11009" t="str">
            <v>GB260002173</v>
          </cell>
          <cell r="D11009" t="str">
            <v>NIK</v>
          </cell>
        </row>
        <row r="11010">
          <cell r="A11010" t="str">
            <v>GB260002175</v>
          </cell>
          <cell r="D11010" t="str">
            <v>NIK</v>
          </cell>
        </row>
        <row r="11011">
          <cell r="A11011" t="str">
            <v>GB260002176</v>
          </cell>
          <cell r="D11011" t="str">
            <v>NIK</v>
          </cell>
        </row>
        <row r="11012">
          <cell r="A11012" t="str">
            <v>GB260002187</v>
          </cell>
          <cell r="D11012" t="str">
            <v>NIK</v>
          </cell>
        </row>
        <row r="11013">
          <cell r="A11013" t="str">
            <v>GB260002210</v>
          </cell>
          <cell r="D11013" t="str">
            <v>NIK</v>
          </cell>
        </row>
        <row r="11014">
          <cell r="A11014" t="str">
            <v>GB260002211</v>
          </cell>
          <cell r="D11014" t="str">
            <v>NIK</v>
          </cell>
        </row>
        <row r="11015">
          <cell r="A11015" t="str">
            <v>GB260002212</v>
          </cell>
          <cell r="D11015" t="str">
            <v>NIK</v>
          </cell>
        </row>
        <row r="11016">
          <cell r="A11016" t="str">
            <v>GB260002213</v>
          </cell>
          <cell r="D11016" t="str">
            <v>NIK</v>
          </cell>
        </row>
        <row r="11017">
          <cell r="A11017" t="str">
            <v>GB260002214</v>
          </cell>
          <cell r="D11017" t="str">
            <v>NIK</v>
          </cell>
        </row>
        <row r="11018">
          <cell r="A11018" t="str">
            <v>GB260002215</v>
          </cell>
          <cell r="D11018" t="str">
            <v>NIK</v>
          </cell>
        </row>
        <row r="11019">
          <cell r="A11019" t="str">
            <v>GB260002217</v>
          </cell>
          <cell r="D11019" t="str">
            <v>NIK</v>
          </cell>
        </row>
        <row r="11020">
          <cell r="A11020" t="str">
            <v>GB260002218</v>
          </cell>
          <cell r="D11020" t="str">
            <v>NIK</v>
          </cell>
        </row>
        <row r="11021">
          <cell r="A11021" t="str">
            <v>GB260002222</v>
          </cell>
          <cell r="D11021" t="str">
            <v>NIK</v>
          </cell>
        </row>
        <row r="11022">
          <cell r="A11022" t="str">
            <v>GB260002246</v>
          </cell>
          <cell r="D11022" t="str">
            <v>NIK</v>
          </cell>
        </row>
        <row r="11023">
          <cell r="A11023" t="str">
            <v>GB260002250</v>
          </cell>
          <cell r="D11023" t="str">
            <v>NIK</v>
          </cell>
        </row>
        <row r="11024">
          <cell r="A11024" t="str">
            <v>GB260002251</v>
          </cell>
          <cell r="D11024" t="str">
            <v>NIK</v>
          </cell>
        </row>
        <row r="11025">
          <cell r="A11025" t="str">
            <v>GB260002252</v>
          </cell>
          <cell r="D11025" t="str">
            <v>NIK</v>
          </cell>
        </row>
        <row r="11026">
          <cell r="A11026" t="str">
            <v>GB260002258</v>
          </cell>
          <cell r="D11026" t="str">
            <v>NIK</v>
          </cell>
        </row>
        <row r="11027">
          <cell r="A11027" t="str">
            <v>GB260002273</v>
          </cell>
          <cell r="D11027" t="str">
            <v>NIK</v>
          </cell>
        </row>
        <row r="11028">
          <cell r="A11028" t="str">
            <v>GB260002352</v>
          </cell>
          <cell r="D11028" t="str">
            <v>VSS</v>
          </cell>
        </row>
        <row r="11029">
          <cell r="A11029" t="str">
            <v>GB260002354</v>
          </cell>
          <cell r="D11029" t="str">
            <v>VSS</v>
          </cell>
        </row>
        <row r="11030">
          <cell r="A11030" t="str">
            <v>GB260002355</v>
          </cell>
          <cell r="D11030" t="str">
            <v>VSS</v>
          </cell>
        </row>
        <row r="11031">
          <cell r="A11031" t="str">
            <v>GB260002356</v>
          </cell>
          <cell r="D11031" t="str">
            <v>VSS</v>
          </cell>
        </row>
        <row r="11032">
          <cell r="A11032" t="str">
            <v>GB260002358</v>
          </cell>
          <cell r="D11032" t="str">
            <v>VSS</v>
          </cell>
        </row>
        <row r="11033">
          <cell r="A11033" t="str">
            <v>GB260002359</v>
          </cell>
          <cell r="D11033" t="str">
            <v>VSS</v>
          </cell>
        </row>
        <row r="11034">
          <cell r="A11034" t="str">
            <v>GB260002386</v>
          </cell>
          <cell r="D11034" t="str">
            <v>VSS</v>
          </cell>
        </row>
        <row r="11035">
          <cell r="A11035" t="str">
            <v>GB260002387</v>
          </cell>
          <cell r="D11035" t="str">
            <v>VSS</v>
          </cell>
        </row>
        <row r="11036">
          <cell r="A11036" t="str">
            <v>GB260002390</v>
          </cell>
          <cell r="D11036" t="str">
            <v>VSS</v>
          </cell>
        </row>
        <row r="11037">
          <cell r="A11037" t="str">
            <v>GB260002393</v>
          </cell>
          <cell r="D11037" t="str">
            <v>NIK</v>
          </cell>
        </row>
        <row r="11038">
          <cell r="A11038" t="str">
            <v>GB260002394</v>
          </cell>
          <cell r="D11038" t="str">
            <v>NIK</v>
          </cell>
        </row>
        <row r="11039">
          <cell r="A11039" t="str">
            <v>GB260002396</v>
          </cell>
          <cell r="D11039" t="str">
            <v>NIK</v>
          </cell>
        </row>
        <row r="11040">
          <cell r="A11040" t="str">
            <v>GB260002397</v>
          </cell>
          <cell r="D11040" t="str">
            <v>NIK</v>
          </cell>
        </row>
        <row r="11041">
          <cell r="A11041" t="str">
            <v>GB260002398</v>
          </cell>
          <cell r="D11041" t="str">
            <v>NIK</v>
          </cell>
        </row>
        <row r="11042">
          <cell r="A11042" t="str">
            <v>GB260002400</v>
          </cell>
          <cell r="D11042" t="str">
            <v>NIK</v>
          </cell>
        </row>
        <row r="11043">
          <cell r="A11043" t="str">
            <v>GB260002401</v>
          </cell>
          <cell r="D11043" t="str">
            <v>NIK</v>
          </cell>
        </row>
        <row r="11044">
          <cell r="A11044" t="str">
            <v>GB260002402</v>
          </cell>
          <cell r="D11044" t="str">
            <v>NIK</v>
          </cell>
        </row>
        <row r="11045">
          <cell r="A11045" t="str">
            <v>GB260002403</v>
          </cell>
          <cell r="D11045" t="str">
            <v>NIK</v>
          </cell>
        </row>
        <row r="11046">
          <cell r="A11046" t="str">
            <v>GB260002447</v>
          </cell>
          <cell r="D11046" t="str">
            <v>PINK</v>
          </cell>
        </row>
        <row r="11047">
          <cell r="A11047" t="str">
            <v>GB260002448</v>
          </cell>
          <cell r="D11047" t="str">
            <v>PINK</v>
          </cell>
        </row>
        <row r="11048">
          <cell r="A11048" t="str">
            <v>GB260002451</v>
          </cell>
          <cell r="D11048" t="str">
            <v>PINK</v>
          </cell>
        </row>
        <row r="11049">
          <cell r="A11049" t="str">
            <v>GB260002452</v>
          </cell>
          <cell r="D11049" t="str">
            <v>PINK</v>
          </cell>
        </row>
        <row r="11050">
          <cell r="A11050" t="str">
            <v>GB260002453</v>
          </cell>
          <cell r="D11050" t="str">
            <v>PINK</v>
          </cell>
        </row>
        <row r="11051">
          <cell r="A11051" t="str">
            <v>GB260002454</v>
          </cell>
          <cell r="D11051" t="str">
            <v>PINK</v>
          </cell>
        </row>
        <row r="11052">
          <cell r="A11052" t="str">
            <v>GB260002455</v>
          </cell>
          <cell r="D11052" t="str">
            <v>PINK</v>
          </cell>
        </row>
        <row r="11053">
          <cell r="A11053" t="str">
            <v>GB260002456</v>
          </cell>
          <cell r="D11053" t="str">
            <v>PINK</v>
          </cell>
        </row>
        <row r="11054">
          <cell r="A11054" t="str">
            <v>GB260002457</v>
          </cell>
          <cell r="D11054" t="str">
            <v>PINK</v>
          </cell>
        </row>
        <row r="11055">
          <cell r="A11055" t="str">
            <v>GB260002474</v>
          </cell>
          <cell r="D11055" t="str">
            <v>NIK</v>
          </cell>
        </row>
        <row r="11056">
          <cell r="A11056" t="str">
            <v>GB260002476</v>
          </cell>
          <cell r="D11056" t="str">
            <v>NIK</v>
          </cell>
        </row>
        <row r="11057">
          <cell r="A11057" t="str">
            <v>GB260002477</v>
          </cell>
          <cell r="D11057" t="str">
            <v>NIK</v>
          </cell>
        </row>
        <row r="11058">
          <cell r="A11058" t="str">
            <v>GB260002558</v>
          </cell>
          <cell r="D11058" t="str">
            <v>NEX</v>
          </cell>
        </row>
        <row r="11059">
          <cell r="A11059" t="str">
            <v>GB260002560</v>
          </cell>
          <cell r="D11059" t="str">
            <v>NEX</v>
          </cell>
        </row>
        <row r="11060">
          <cell r="A11060" t="str">
            <v>GB260002562</v>
          </cell>
          <cell r="D11060" t="str">
            <v>NEX</v>
          </cell>
        </row>
        <row r="11061">
          <cell r="A11061" t="str">
            <v>GB260002565</v>
          </cell>
          <cell r="D11061" t="str">
            <v>VSS</v>
          </cell>
        </row>
        <row r="11062">
          <cell r="A11062" t="str">
            <v>GB260002566</v>
          </cell>
          <cell r="D11062" t="str">
            <v>VSS</v>
          </cell>
        </row>
        <row r="11063">
          <cell r="A11063" t="str">
            <v>GB260002580</v>
          </cell>
          <cell r="D11063" t="str">
            <v>NIK</v>
          </cell>
        </row>
        <row r="11064">
          <cell r="A11064" t="str">
            <v>GB260002598</v>
          </cell>
          <cell r="D11064" t="str">
            <v>VSS</v>
          </cell>
        </row>
        <row r="11065">
          <cell r="A11065" t="str">
            <v>GB260002601</v>
          </cell>
          <cell r="D11065" t="str">
            <v>PINK</v>
          </cell>
        </row>
        <row r="11066">
          <cell r="A11066" t="str">
            <v>GB260002602</v>
          </cell>
          <cell r="D11066" t="str">
            <v>PINK</v>
          </cell>
        </row>
        <row r="11067">
          <cell r="A11067" t="str">
            <v>GB260002606</v>
          </cell>
          <cell r="D11067" t="str">
            <v>PINK</v>
          </cell>
        </row>
        <row r="11068">
          <cell r="A11068" t="str">
            <v>GB260002607</v>
          </cell>
          <cell r="D11068" t="str">
            <v>PINK</v>
          </cell>
        </row>
        <row r="11069">
          <cell r="A11069" t="str">
            <v>GB260002608</v>
          </cell>
          <cell r="D11069" t="str">
            <v>PINK</v>
          </cell>
        </row>
        <row r="11070">
          <cell r="A11070" t="str">
            <v>GB260002611</v>
          </cell>
          <cell r="D11070" t="str">
            <v>PINK</v>
          </cell>
        </row>
        <row r="11071">
          <cell r="A11071" t="str">
            <v>GB260002682</v>
          </cell>
          <cell r="D11071" t="str">
            <v>NIK</v>
          </cell>
        </row>
        <row r="11072">
          <cell r="A11072" t="str">
            <v>GB260002691</v>
          </cell>
          <cell r="D11072" t="str">
            <v>NIK</v>
          </cell>
        </row>
        <row r="11073">
          <cell r="A11073" t="str">
            <v>GB260002694</v>
          </cell>
          <cell r="D11073" t="str">
            <v>NIK</v>
          </cell>
        </row>
        <row r="11074">
          <cell r="A11074" t="str">
            <v>GB260002698</v>
          </cell>
          <cell r="D11074" t="str">
            <v>PINK</v>
          </cell>
        </row>
        <row r="11075">
          <cell r="A11075" t="str">
            <v>GB260002699</v>
          </cell>
          <cell r="D11075" t="str">
            <v>PINK</v>
          </cell>
        </row>
        <row r="11076">
          <cell r="A11076" t="str">
            <v>GB260002700</v>
          </cell>
          <cell r="D11076" t="str">
            <v>PINK</v>
          </cell>
        </row>
        <row r="11077">
          <cell r="A11077" t="str">
            <v>GB260002780</v>
          </cell>
          <cell r="D11077" t="str">
            <v>NIK</v>
          </cell>
        </row>
        <row r="11078">
          <cell r="A11078" t="str">
            <v>GD250000006</v>
          </cell>
          <cell r="D11078" t="str">
            <v>TOMMYJOHN</v>
          </cell>
        </row>
        <row r="11079">
          <cell r="A11079" t="str">
            <v>GD250000842</v>
          </cell>
          <cell r="D11079" t="str">
            <v>GYM</v>
          </cell>
        </row>
        <row r="11080">
          <cell r="A11080" t="str">
            <v>GD250000897</v>
          </cell>
          <cell r="D11080" t="str">
            <v>NIK</v>
          </cell>
        </row>
        <row r="11081">
          <cell r="A11081" t="str">
            <v>GD260000026</v>
          </cell>
          <cell r="D11081" t="str">
            <v>NIK</v>
          </cell>
        </row>
        <row r="11082">
          <cell r="A11082" t="str">
            <v>GD260000036</v>
          </cell>
          <cell r="D11082" t="str">
            <v>NIK</v>
          </cell>
        </row>
        <row r="11083">
          <cell r="A11083" t="str">
            <v>GD260000038</v>
          </cell>
          <cell r="D11083" t="str">
            <v>STRUL</v>
          </cell>
        </row>
        <row r="11084">
          <cell r="A11084" t="str">
            <v>GD260000049</v>
          </cell>
          <cell r="D11084" t="str">
            <v>NIK</v>
          </cell>
        </row>
        <row r="11085">
          <cell r="A11085" t="str">
            <v>GD260000051</v>
          </cell>
          <cell r="D11085" t="str">
            <v>NKSKI</v>
          </cell>
        </row>
        <row r="11086">
          <cell r="A11086" t="str">
            <v>GD260000061</v>
          </cell>
          <cell r="D11086" t="str">
            <v>NKSKI</v>
          </cell>
        </row>
        <row r="11087">
          <cell r="A11087" t="str">
            <v>GD260000083</v>
          </cell>
          <cell r="D11087" t="str">
            <v>NIK</v>
          </cell>
        </row>
        <row r="11088">
          <cell r="A11088" t="str">
            <v>GD260000158</v>
          </cell>
          <cell r="D11088" t="str">
            <v>CK</v>
          </cell>
        </row>
        <row r="11089">
          <cell r="A11089" t="str">
            <v>GD260000202</v>
          </cell>
          <cell r="D11089" t="str">
            <v>CK</v>
          </cell>
        </row>
        <row r="11090">
          <cell r="A11090" t="str">
            <v>GD260000218</v>
          </cell>
          <cell r="D11090" t="str">
            <v>LULU</v>
          </cell>
        </row>
        <row r="11091">
          <cell r="A11091" t="str">
            <v>GD260000221</v>
          </cell>
          <cell r="D11091" t="str">
            <v>NIK</v>
          </cell>
        </row>
        <row r="11092">
          <cell r="A11092" t="str">
            <v>GD260000282</v>
          </cell>
          <cell r="D11092" t="str">
            <v>TJEL</v>
          </cell>
        </row>
        <row r="11093">
          <cell r="A11093" t="str">
            <v>GD260000296</v>
          </cell>
          <cell r="D11093" t="str">
            <v>AISLE</v>
          </cell>
        </row>
        <row r="11094">
          <cell r="A11094" t="str">
            <v>GD260000323</v>
          </cell>
          <cell r="D11094" t="str">
            <v>NIK</v>
          </cell>
        </row>
        <row r="11095">
          <cell r="A11095" t="str">
            <v>GD260000329</v>
          </cell>
          <cell r="D11095" t="str">
            <v>NIK</v>
          </cell>
        </row>
        <row r="11096">
          <cell r="A11096" t="str">
            <v>GD260000354</v>
          </cell>
          <cell r="D11096" t="str">
            <v>STR</v>
          </cell>
        </row>
        <row r="11097">
          <cell r="A11097" t="str">
            <v>GD260000371</v>
          </cell>
          <cell r="D11097" t="str">
            <v>NIK</v>
          </cell>
        </row>
        <row r="11098">
          <cell r="A11098" t="str">
            <v>GD260000412</v>
          </cell>
          <cell r="D11098" t="str">
            <v>SPEE</v>
          </cell>
        </row>
        <row r="11099">
          <cell r="A11099" t="str">
            <v>GD260000425</v>
          </cell>
          <cell r="D11099" t="str">
            <v>NIK</v>
          </cell>
        </row>
        <row r="11100">
          <cell r="A11100" t="str">
            <v>GD260000443</v>
          </cell>
          <cell r="D11100" t="str">
            <v>TESCO</v>
          </cell>
        </row>
        <row r="11101">
          <cell r="A11101" t="str">
            <v>GD260000449</v>
          </cell>
          <cell r="D11101" t="str">
            <v>GYM</v>
          </cell>
        </row>
        <row r="11102">
          <cell r="A11102" t="str">
            <v>GD260000492</v>
          </cell>
          <cell r="D11102" t="str">
            <v>JOC2</v>
          </cell>
        </row>
        <row r="11103">
          <cell r="A11103" t="str">
            <v>GD260000556</v>
          </cell>
          <cell r="D11103" t="str">
            <v>NIK</v>
          </cell>
        </row>
        <row r="11104">
          <cell r="A11104" t="str">
            <v>GD260000608</v>
          </cell>
          <cell r="D11104" t="str">
            <v>NIK</v>
          </cell>
        </row>
        <row r="11105">
          <cell r="A11105" t="str">
            <v>GD260000612</v>
          </cell>
          <cell r="D11105" t="str">
            <v>HUGOBOSS</v>
          </cell>
        </row>
        <row r="11106">
          <cell r="A11106" t="str">
            <v>GD260000725</v>
          </cell>
          <cell r="D11106" t="str">
            <v>VSS</v>
          </cell>
        </row>
        <row r="11107">
          <cell r="A11107" t="str">
            <v>GD260000727</v>
          </cell>
          <cell r="D11107" t="str">
            <v>VSS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 refreshError="1">
        <row r="2">
          <cell r="D2" t="str">
            <v>Q1</v>
          </cell>
          <cell r="E2" t="str">
            <v>FB260003179</v>
          </cell>
          <cell r="G2">
            <v>0.8</v>
          </cell>
          <cell r="I2" t="str">
            <v>87562_SF106678</v>
          </cell>
        </row>
        <row r="3">
          <cell r="D3" t="str">
            <v>Q3</v>
          </cell>
          <cell r="E3" t="str">
            <v>B</v>
          </cell>
          <cell r="G3">
            <v>0.8</v>
          </cell>
          <cell r="I3" t="str">
            <v>32094_SW107378</v>
          </cell>
        </row>
        <row r="4">
          <cell r="D4" t="str">
            <v>Q2</v>
          </cell>
          <cell r="E4" t="str">
            <v>FB250023246</v>
          </cell>
          <cell r="G4">
            <v>0.8</v>
          </cell>
          <cell r="I4" t="str">
            <v>87710_SW090822</v>
          </cell>
        </row>
        <row r="5">
          <cell r="D5" t="str">
            <v>Q2</v>
          </cell>
          <cell r="E5" t="str">
            <v>FB250015570</v>
          </cell>
          <cell r="G5">
            <v>0.9</v>
          </cell>
          <cell r="I5" t="str">
            <v>C0000000104_SF011212</v>
          </cell>
        </row>
        <row r="6">
          <cell r="D6" t="str">
            <v>Q4</v>
          </cell>
          <cell r="E6" t="str">
            <v>E</v>
          </cell>
          <cell r="G6">
            <v>0.8</v>
          </cell>
          <cell r="I6" t="str">
            <v>C000001492_SW052249</v>
          </cell>
        </row>
        <row r="7">
          <cell r="D7" t="str">
            <v>Q4</v>
          </cell>
          <cell r="E7" t="str">
            <v>G</v>
          </cell>
          <cell r="G7">
            <v>0.8</v>
          </cell>
          <cell r="I7" t="str">
            <v>C000001223_SF011212</v>
          </cell>
        </row>
        <row r="8">
          <cell r="D8" t="str">
            <v>Q4</v>
          </cell>
          <cell r="E8" t="str">
            <v>A</v>
          </cell>
          <cell r="G8">
            <v>0.8</v>
          </cell>
          <cell r="I8" t="str">
            <v>C000001624_SW102692</v>
          </cell>
        </row>
        <row r="9">
          <cell r="D9" t="str">
            <v>Q1</v>
          </cell>
          <cell r="E9" t="str">
            <v>A</v>
          </cell>
          <cell r="G9">
            <v>0.8</v>
          </cell>
          <cell r="I9" t="str">
            <v>81662_SW041276</v>
          </cell>
        </row>
        <row r="10">
          <cell r="D10" t="str">
            <v>Q2</v>
          </cell>
          <cell r="E10" t="str">
            <v>C</v>
          </cell>
          <cell r="G10">
            <v>0.8</v>
          </cell>
          <cell r="I10" t="str">
            <v>C000000364_SW099504</v>
          </cell>
        </row>
        <row r="11">
          <cell r="D11" t="str">
            <v>R</v>
          </cell>
          <cell r="E11" t="str">
            <v>C</v>
          </cell>
          <cell r="I11" t="str">
            <v>C000000040_SJ108359</v>
          </cell>
        </row>
        <row r="12">
          <cell r="D12" t="str">
            <v>R</v>
          </cell>
          <cell r="E12" t="str">
            <v>C</v>
          </cell>
          <cell r="I12" t="str">
            <v>C000000040_SJ108993</v>
          </cell>
        </row>
        <row r="13">
          <cell r="D13" t="str">
            <v>Q4</v>
          </cell>
          <cell r="E13" t="str">
            <v>FB250002794</v>
          </cell>
          <cell r="G13">
            <v>0.8</v>
          </cell>
          <cell r="I13" t="str">
            <v>33059_SW108150</v>
          </cell>
        </row>
        <row r="14">
          <cell r="D14" t="str">
            <v>Q4</v>
          </cell>
          <cell r="E14" t="str">
            <v>FB250001278</v>
          </cell>
          <cell r="G14">
            <v>0.8</v>
          </cell>
          <cell r="I14" t="str">
            <v>81649_SW108545</v>
          </cell>
        </row>
        <row r="15">
          <cell r="D15" t="str">
            <v>Q1</v>
          </cell>
          <cell r="E15" t="str">
            <v>FB250013967</v>
          </cell>
          <cell r="G15">
            <v>0.7</v>
          </cell>
          <cell r="I15" t="str">
            <v>84758_SJ109735</v>
          </cell>
        </row>
        <row r="16">
          <cell r="D16" t="str">
            <v>Q1</v>
          </cell>
          <cell r="E16" t="str">
            <v>FB250013967</v>
          </cell>
          <cell r="G16">
            <v>0.7</v>
          </cell>
          <cell r="I16" t="str">
            <v>83691_sj109864</v>
          </cell>
        </row>
        <row r="17">
          <cell r="D17" t="str">
            <v>Q4</v>
          </cell>
          <cell r="E17" t="str">
            <v>FB250022720</v>
          </cell>
          <cell r="G17">
            <v>0.8</v>
          </cell>
          <cell r="I17" t="str">
            <v>86968_SW099504</v>
          </cell>
        </row>
        <row r="18">
          <cell r="D18" t="str">
            <v>Q1</v>
          </cell>
          <cell r="E18" t="str">
            <v>FB250027574</v>
          </cell>
          <cell r="G18">
            <v>0.7</v>
          </cell>
          <cell r="I18" t="str">
            <v>C000000272_SJ109864</v>
          </cell>
        </row>
        <row r="19">
          <cell r="D19" t="str">
            <v>Q1</v>
          </cell>
          <cell r="E19" t="str">
            <v>FB250027574</v>
          </cell>
          <cell r="G19">
            <v>0.7</v>
          </cell>
          <cell r="I19" t="str">
            <v>C000000272_SJ109735</v>
          </cell>
        </row>
        <row r="20">
          <cell r="D20" t="str">
            <v>Q1</v>
          </cell>
          <cell r="E20" t="str">
            <v>FB260003001</v>
          </cell>
          <cell r="G20">
            <v>0.8</v>
          </cell>
          <cell r="I20" t="str">
            <v>77966_SW105398</v>
          </cell>
        </row>
        <row r="21">
          <cell r="D21" t="str">
            <v>Q1</v>
          </cell>
          <cell r="E21" t="str">
            <v>FB250028452</v>
          </cell>
          <cell r="G21">
            <v>0.8</v>
          </cell>
          <cell r="I21" t="str">
            <v>C000000567_SW108150</v>
          </cell>
        </row>
        <row r="22">
          <cell r="D22" t="str">
            <v>Q1</v>
          </cell>
          <cell r="E22" t="str">
            <v>FB260001685</v>
          </cell>
          <cell r="G22">
            <v>1</v>
          </cell>
          <cell r="I22" t="str">
            <v>C000000569_SW106176</v>
          </cell>
        </row>
        <row r="23">
          <cell r="D23" t="str">
            <v>R</v>
          </cell>
          <cell r="E23" t="str">
            <v>C</v>
          </cell>
          <cell r="I23" t="str">
            <v>C000000617_SW000860</v>
          </cell>
        </row>
        <row r="24">
          <cell r="D24" t="str">
            <v>Q1</v>
          </cell>
          <cell r="E24" t="str">
            <v>FB260009127</v>
          </cell>
          <cell r="G24">
            <v>0.8</v>
          </cell>
          <cell r="I24" t="str">
            <v>59801_SF106678</v>
          </cell>
        </row>
        <row r="25">
          <cell r="D25" t="str">
            <v>Q3</v>
          </cell>
          <cell r="E25" t="str">
            <v>B</v>
          </cell>
          <cell r="G25">
            <v>0.8</v>
          </cell>
          <cell r="I25" t="str">
            <v>C000000396_SW087593</v>
          </cell>
        </row>
        <row r="26">
          <cell r="D26" t="str">
            <v>Q2</v>
          </cell>
          <cell r="E26" t="str">
            <v>B</v>
          </cell>
          <cell r="G26">
            <v>0.8</v>
          </cell>
          <cell r="I26" t="str">
            <v>83477_SW099504</v>
          </cell>
        </row>
        <row r="27">
          <cell r="D27" t="str">
            <v>Q4</v>
          </cell>
          <cell r="E27" t="str">
            <v>FB250020466</v>
          </cell>
          <cell r="G27">
            <v>0.8</v>
          </cell>
          <cell r="I27" t="str">
            <v>85938_SW041379</v>
          </cell>
        </row>
        <row r="28">
          <cell r="D28" t="str">
            <v>Q1</v>
          </cell>
          <cell r="E28" t="str">
            <v>FB250027431</v>
          </cell>
          <cell r="G28">
            <v>0.8</v>
          </cell>
          <cell r="I28" t="str">
            <v>85164_SF106477</v>
          </cell>
        </row>
        <row r="29">
          <cell r="D29" t="str">
            <v>Q1</v>
          </cell>
          <cell r="E29" t="str">
            <v>FB250013594</v>
          </cell>
          <cell r="G29">
            <v>0.8</v>
          </cell>
          <cell r="I29" t="str">
            <v>66410_SF105061</v>
          </cell>
        </row>
        <row r="30">
          <cell r="D30" t="str">
            <v>Q4</v>
          </cell>
          <cell r="E30" t="str">
            <v>A</v>
          </cell>
          <cell r="G30">
            <v>0.8</v>
          </cell>
          <cell r="I30" t="str">
            <v>C000001827_SW052249</v>
          </cell>
        </row>
        <row r="31">
          <cell r="D31" t="str">
            <v>Q1</v>
          </cell>
          <cell r="E31" t="str">
            <v>I</v>
          </cell>
          <cell r="G31">
            <v>0.8</v>
          </cell>
          <cell r="I31" t="str">
            <v>C000001699_SW052249</v>
          </cell>
        </row>
        <row r="32">
          <cell r="D32" t="str">
            <v>Q3</v>
          </cell>
          <cell r="E32" t="str">
            <v>A</v>
          </cell>
          <cell r="G32">
            <v>0.8</v>
          </cell>
          <cell r="I32" t="str">
            <v>84088_SW106176</v>
          </cell>
        </row>
        <row r="33">
          <cell r="D33" t="str">
            <v>Q1</v>
          </cell>
          <cell r="E33" t="str">
            <v>FB250029011</v>
          </cell>
          <cell r="G33">
            <v>0.8</v>
          </cell>
          <cell r="I33" t="str">
            <v>74887_SW108150</v>
          </cell>
        </row>
        <row r="34">
          <cell r="D34" t="str">
            <v>Q1</v>
          </cell>
          <cell r="E34" t="str">
            <v>B</v>
          </cell>
          <cell r="G34">
            <v>0.8</v>
          </cell>
          <cell r="I34" t="str">
            <v>C000001046_SW108150</v>
          </cell>
        </row>
        <row r="35">
          <cell r="D35" t="str">
            <v>Q3</v>
          </cell>
          <cell r="E35" t="str">
            <v>A</v>
          </cell>
          <cell r="G35">
            <v>0.8</v>
          </cell>
          <cell r="I35" t="str">
            <v>84464_SW106176</v>
          </cell>
        </row>
        <row r="36">
          <cell r="D36" t="str">
            <v>Q3</v>
          </cell>
          <cell r="E36" t="str">
            <v>A</v>
          </cell>
          <cell r="G36">
            <v>0.8</v>
          </cell>
          <cell r="I36" t="str">
            <v>C000001013_SJ108651</v>
          </cell>
        </row>
        <row r="37">
          <cell r="D37" t="str">
            <v>Q1</v>
          </cell>
          <cell r="E37" t="str">
            <v>FB260002479</v>
          </cell>
          <cell r="G37">
            <v>0.9</v>
          </cell>
          <cell r="I37" t="str">
            <v>34179_SF106678</v>
          </cell>
        </row>
        <row r="38">
          <cell r="D38" t="str">
            <v>Q2</v>
          </cell>
          <cell r="E38" t="str">
            <v>FB250006160</v>
          </cell>
          <cell r="G38">
            <v>0.8</v>
          </cell>
          <cell r="I38" t="str">
            <v>37817_SF106678</v>
          </cell>
        </row>
        <row r="39">
          <cell r="D39" t="str">
            <v>Q2</v>
          </cell>
          <cell r="E39">
            <v>1874137</v>
          </cell>
          <cell r="G39">
            <v>0.8</v>
          </cell>
          <cell r="I39" t="str">
            <v>77955_SJ108843</v>
          </cell>
        </row>
        <row r="40">
          <cell r="D40" t="str">
            <v>Q2</v>
          </cell>
          <cell r="E40" t="str">
            <v>FB260002205</v>
          </cell>
          <cell r="G40">
            <v>0.8</v>
          </cell>
          <cell r="I40" t="str">
            <v>C000000501_SW087953</v>
          </cell>
        </row>
        <row r="41">
          <cell r="D41" t="str">
            <v>R</v>
          </cell>
          <cell r="E41" t="str">
            <v>FB250017137</v>
          </cell>
          <cell r="I41" t="str">
            <v>C00000509_SJ110604</v>
          </cell>
        </row>
        <row r="42">
          <cell r="D42" t="str">
            <v>R</v>
          </cell>
          <cell r="E42" t="str">
            <v>FB250017137</v>
          </cell>
          <cell r="I42" t="str">
            <v>C00000509_SJ106235</v>
          </cell>
        </row>
        <row r="43">
          <cell r="D43" t="str">
            <v>Q1</v>
          </cell>
          <cell r="E43" t="str">
            <v>A</v>
          </cell>
          <cell r="G43">
            <v>0.8</v>
          </cell>
          <cell r="I43" t="str">
            <v>C000001484_SW046485</v>
          </cell>
        </row>
        <row r="44">
          <cell r="D44" t="str">
            <v>Q4</v>
          </cell>
          <cell r="E44" t="str">
            <v>A</v>
          </cell>
          <cell r="G44">
            <v>0.8</v>
          </cell>
          <cell r="I44" t="str">
            <v>C000000424_SF106477</v>
          </cell>
        </row>
        <row r="45">
          <cell r="D45" t="str">
            <v>Q1</v>
          </cell>
          <cell r="E45" t="str">
            <v>A</v>
          </cell>
          <cell r="G45">
            <v>0.8</v>
          </cell>
          <cell r="I45" t="str">
            <v>C000000724_SW052249</v>
          </cell>
        </row>
        <row r="46">
          <cell r="D46" t="str">
            <v>Q3</v>
          </cell>
          <cell r="E46" t="str">
            <v>FB260002079</v>
          </cell>
          <cell r="G46">
            <v>0.8</v>
          </cell>
          <cell r="I46" t="str">
            <v>C000000752_SW107409</v>
          </cell>
        </row>
        <row r="47">
          <cell r="D47" t="str">
            <v>Q2</v>
          </cell>
          <cell r="E47" t="str">
            <v>A</v>
          </cell>
          <cell r="G47">
            <v>0.8</v>
          </cell>
          <cell r="I47" t="str">
            <v>C0000001787_SW106176</v>
          </cell>
        </row>
        <row r="48">
          <cell r="D48" t="str">
            <v>Q3</v>
          </cell>
          <cell r="E48" t="str">
            <v>B</v>
          </cell>
          <cell r="G48">
            <v>0.8</v>
          </cell>
          <cell r="I48" t="str">
            <v>C000000660_SW052249</v>
          </cell>
        </row>
        <row r="49">
          <cell r="D49" t="str">
            <v>Q3</v>
          </cell>
          <cell r="E49" t="str">
            <v>E</v>
          </cell>
          <cell r="G49">
            <v>0.8</v>
          </cell>
          <cell r="I49" t="str">
            <v>C000000061_SJ109864</v>
          </cell>
        </row>
        <row r="50">
          <cell r="I50" t="str">
            <v>C000000061_SJ109735</v>
          </cell>
        </row>
        <row r="51">
          <cell r="D51" t="str">
            <v>Q3</v>
          </cell>
          <cell r="E51" t="str">
            <v>FB250020281</v>
          </cell>
          <cell r="G51">
            <v>0.8</v>
          </cell>
          <cell r="I51" t="str">
            <v>68086_SF106678</v>
          </cell>
        </row>
        <row r="52">
          <cell r="D52" t="str">
            <v>Q3</v>
          </cell>
          <cell r="E52" t="str">
            <v>FB260001909</v>
          </cell>
          <cell r="G52">
            <v>0.8</v>
          </cell>
          <cell r="I52" t="str">
            <v>C000001232_SW099504</v>
          </cell>
        </row>
        <row r="53">
          <cell r="D53" t="str">
            <v>Q3</v>
          </cell>
          <cell r="E53" t="str">
            <v>A</v>
          </cell>
          <cell r="G53">
            <v>0.8</v>
          </cell>
          <cell r="I53" t="str">
            <v>C000000353_SW106176</v>
          </cell>
        </row>
        <row r="54">
          <cell r="D54" t="str">
            <v>Q1</v>
          </cell>
          <cell r="E54" t="str">
            <v>A</v>
          </cell>
          <cell r="G54">
            <v>0.8</v>
          </cell>
          <cell r="I54" t="str">
            <v>C000001700_SW052249</v>
          </cell>
        </row>
        <row r="55">
          <cell r="D55" t="str">
            <v>Q1</v>
          </cell>
          <cell r="E55" t="str">
            <v>L</v>
          </cell>
          <cell r="G55">
            <v>0.8</v>
          </cell>
          <cell r="I55" t="str">
            <v>C000000781_SW052249</v>
          </cell>
        </row>
        <row r="56">
          <cell r="D56" t="str">
            <v>Q3</v>
          </cell>
          <cell r="E56" t="str">
            <v>C</v>
          </cell>
          <cell r="G56">
            <v>0.8</v>
          </cell>
          <cell r="I56" t="str">
            <v>C000000576_SW087953</v>
          </cell>
        </row>
        <row r="57">
          <cell r="D57" t="str">
            <v>Q3</v>
          </cell>
          <cell r="E57" t="str">
            <v>A</v>
          </cell>
          <cell r="G57">
            <v>0.8</v>
          </cell>
          <cell r="I57" t="str">
            <v>C000001002_SW108150</v>
          </cell>
        </row>
        <row r="58">
          <cell r="D58" t="str">
            <v>Q3</v>
          </cell>
          <cell r="E58" t="str">
            <v>A</v>
          </cell>
          <cell r="G58">
            <v>0.8</v>
          </cell>
          <cell r="I58" t="str">
            <v>C000001107_SW108150</v>
          </cell>
        </row>
        <row r="59">
          <cell r="D59" t="str">
            <v>Q1</v>
          </cell>
          <cell r="E59" t="str">
            <v>FB250019192</v>
          </cell>
          <cell r="G59">
            <v>0.8</v>
          </cell>
          <cell r="I59" t="str">
            <v>C000000384_SW108545</v>
          </cell>
        </row>
        <row r="60">
          <cell r="D60" t="str">
            <v>Q1</v>
          </cell>
          <cell r="E60" t="str">
            <v>FB260002903</v>
          </cell>
          <cell r="G60">
            <v>0.8</v>
          </cell>
          <cell r="I60" t="str">
            <v>C0000001363_SF106678</v>
          </cell>
        </row>
        <row r="61">
          <cell r="D61" t="str">
            <v>Q4</v>
          </cell>
          <cell r="E61" t="str">
            <v>A</v>
          </cell>
          <cell r="G61">
            <v>0.8</v>
          </cell>
          <cell r="I61" t="str">
            <v>83484_SW042222</v>
          </cell>
        </row>
        <row r="62">
          <cell r="D62" t="str">
            <v>Q2</v>
          </cell>
          <cell r="E62" t="str">
            <v>FB260005235</v>
          </cell>
          <cell r="G62">
            <v>0.8</v>
          </cell>
          <cell r="I62" t="str">
            <v>83484_SW087953</v>
          </cell>
        </row>
        <row r="63">
          <cell r="D63" t="str">
            <v>Q1</v>
          </cell>
          <cell r="E63" t="str">
            <v>FB260003689</v>
          </cell>
          <cell r="G63">
            <v>0.8</v>
          </cell>
          <cell r="I63" t="str">
            <v>77871_SF012050</v>
          </cell>
        </row>
        <row r="64">
          <cell r="D64" t="str">
            <v>Q1</v>
          </cell>
          <cell r="E64" t="str">
            <v>FB260002319</v>
          </cell>
          <cell r="G64">
            <v>0.8</v>
          </cell>
          <cell r="I64" t="str">
            <v>68086_SF106477</v>
          </cell>
        </row>
        <row r="65">
          <cell r="D65" t="str">
            <v>Q1</v>
          </cell>
          <cell r="E65" t="str">
            <v>FB260002243</v>
          </cell>
          <cell r="G65">
            <v>0.8</v>
          </cell>
          <cell r="I65" t="str">
            <v>58053_SF106477</v>
          </cell>
        </row>
        <row r="66">
          <cell r="D66" t="str">
            <v>Q1</v>
          </cell>
          <cell r="E66" t="str">
            <v>FB260007208</v>
          </cell>
          <cell r="G66">
            <v>0.8</v>
          </cell>
          <cell r="I66" t="str">
            <v>37817_SF060100</v>
          </cell>
        </row>
        <row r="67">
          <cell r="D67" t="str">
            <v>R</v>
          </cell>
          <cell r="E67" t="str">
            <v>FB260004543</v>
          </cell>
          <cell r="I67" t="str">
            <v>22288_SW054063</v>
          </cell>
        </row>
        <row r="68">
          <cell r="D68" t="str">
            <v>Q1</v>
          </cell>
          <cell r="E68">
            <v>1781567</v>
          </cell>
          <cell r="G68">
            <v>0.8</v>
          </cell>
          <cell r="I68" t="str">
            <v>37817_SW040921</v>
          </cell>
        </row>
        <row r="69">
          <cell r="D69" t="str">
            <v>Q3</v>
          </cell>
          <cell r="E69" t="str">
            <v>FB25001451</v>
          </cell>
          <cell r="G69">
            <v>0.8</v>
          </cell>
          <cell r="I69" t="str">
            <v>61851_SW105065</v>
          </cell>
        </row>
        <row r="70">
          <cell r="D70" t="str">
            <v>Q4</v>
          </cell>
          <cell r="E70">
            <v>1869647</v>
          </cell>
          <cell r="G70">
            <v>0.8</v>
          </cell>
          <cell r="I70" t="str">
            <v>61851_SW085387</v>
          </cell>
        </row>
        <row r="71">
          <cell r="D71" t="str">
            <v>Q4</v>
          </cell>
          <cell r="E71">
            <v>1869647</v>
          </cell>
          <cell r="G71">
            <v>0.8</v>
          </cell>
          <cell r="I71" t="str">
            <v>61851_SS059237</v>
          </cell>
        </row>
        <row r="72">
          <cell r="D72" t="str">
            <v>R</v>
          </cell>
          <cell r="E72" t="str">
            <v>FB250024566</v>
          </cell>
          <cell r="I72" t="str">
            <v>83475_SW042222</v>
          </cell>
        </row>
        <row r="73">
          <cell r="D73" t="str">
            <v>Q1</v>
          </cell>
          <cell r="E73" t="str">
            <v>A</v>
          </cell>
          <cell r="G73">
            <v>0.8</v>
          </cell>
          <cell r="I73" t="str">
            <v>62444_SW090104</v>
          </cell>
        </row>
        <row r="74">
          <cell r="D74" t="str">
            <v>Q1</v>
          </cell>
          <cell r="E74" t="str">
            <v>C</v>
          </cell>
          <cell r="G74">
            <v>0.8</v>
          </cell>
          <cell r="I74" t="str">
            <v>83741_SW106176</v>
          </cell>
        </row>
        <row r="75">
          <cell r="D75" t="str">
            <v>Q2</v>
          </cell>
          <cell r="E75" t="str">
            <v>C</v>
          </cell>
          <cell r="G75">
            <v>0.8</v>
          </cell>
          <cell r="I75" t="str">
            <v>84193_SW052249</v>
          </cell>
        </row>
        <row r="76">
          <cell r="D76" t="str">
            <v>Q1</v>
          </cell>
          <cell r="E76">
            <v>1879418</v>
          </cell>
          <cell r="G76">
            <v>0.8</v>
          </cell>
          <cell r="I76" t="str">
            <v>87080_SJ102177</v>
          </cell>
        </row>
        <row r="77">
          <cell r="D77" t="str">
            <v>Q1</v>
          </cell>
          <cell r="E77" t="str">
            <v>FB250018070</v>
          </cell>
          <cell r="G77">
            <v>0.8</v>
          </cell>
          <cell r="I77" t="str">
            <v>34179_SW041379</v>
          </cell>
        </row>
        <row r="78">
          <cell r="D78" t="str">
            <v>Q3</v>
          </cell>
          <cell r="E78">
            <v>1814068</v>
          </cell>
          <cell r="G78">
            <v>0.8</v>
          </cell>
          <cell r="I78" t="str">
            <v>83690_SJ109854</v>
          </cell>
        </row>
        <row r="79">
          <cell r="D79" t="str">
            <v>Q3</v>
          </cell>
          <cell r="E79">
            <v>1814068</v>
          </cell>
          <cell r="G79">
            <v>0.8</v>
          </cell>
          <cell r="I79" t="str">
            <v>84760_SJ109735</v>
          </cell>
        </row>
        <row r="80">
          <cell r="D80" t="str">
            <v>R</v>
          </cell>
          <cell r="E80" t="str">
            <v>FB250015051</v>
          </cell>
          <cell r="I80" t="str">
            <v>65101_SW054591</v>
          </cell>
        </row>
        <row r="81">
          <cell r="D81" t="str">
            <v>R</v>
          </cell>
          <cell r="E81" t="str">
            <v>FB260004485</v>
          </cell>
          <cell r="I81" t="str">
            <v>21083_SF106678</v>
          </cell>
        </row>
        <row r="82">
          <cell r="D82" t="str">
            <v>R</v>
          </cell>
          <cell r="E82" t="str">
            <v>FB250006075</v>
          </cell>
          <cell r="I82" t="str">
            <v>79265_SW104745</v>
          </cell>
        </row>
        <row r="83">
          <cell r="D83" t="str">
            <v>R</v>
          </cell>
          <cell r="E83" t="str">
            <v>FB250014875</v>
          </cell>
          <cell r="I83" t="str">
            <v>37273_SW001119</v>
          </cell>
        </row>
        <row r="84">
          <cell r="D84" t="str">
            <v>Q3</v>
          </cell>
          <cell r="E84" t="str">
            <v>FB250019768</v>
          </cell>
          <cell r="G84">
            <v>0.8</v>
          </cell>
          <cell r="I84" t="str">
            <v>78477_SF012046</v>
          </cell>
        </row>
        <row r="85">
          <cell r="D85" t="str">
            <v>Q1</v>
          </cell>
          <cell r="E85">
            <v>1863971</v>
          </cell>
          <cell r="G85">
            <v>0.8</v>
          </cell>
          <cell r="I85" t="str">
            <v>33928_SW050111</v>
          </cell>
        </row>
        <row r="86">
          <cell r="D86" t="str">
            <v>Q3</v>
          </cell>
          <cell r="E86">
            <v>1875469</v>
          </cell>
          <cell r="G86">
            <v>0.8</v>
          </cell>
          <cell r="I86" t="str">
            <v>34179_SW048803</v>
          </cell>
        </row>
        <row r="87">
          <cell r="D87" t="str">
            <v>R</v>
          </cell>
          <cell r="E87" t="str">
            <v>FB260007358</v>
          </cell>
          <cell r="I87" t="str">
            <v>61471_SW052249</v>
          </cell>
        </row>
        <row r="88">
          <cell r="D88" t="str">
            <v>Q1</v>
          </cell>
          <cell r="E88" t="str">
            <v>A3</v>
          </cell>
          <cell r="G88">
            <v>0.8</v>
          </cell>
          <cell r="I88" t="str">
            <v>74827_SW101405</v>
          </cell>
        </row>
        <row r="89">
          <cell r="D89" t="str">
            <v>R</v>
          </cell>
          <cell r="E89" t="str">
            <v>FB250022426</v>
          </cell>
          <cell r="I89" t="str">
            <v>21083_SF106477</v>
          </cell>
        </row>
        <row r="90">
          <cell r="D90" t="str">
            <v>R</v>
          </cell>
          <cell r="E90" t="str">
            <v>FB250021369</v>
          </cell>
          <cell r="I90" t="str">
            <v>21083_SW041379</v>
          </cell>
        </row>
        <row r="91">
          <cell r="D91" t="str">
            <v>Q3</v>
          </cell>
          <cell r="E91" t="str">
            <v>FB260002880</v>
          </cell>
          <cell r="G91">
            <v>0.8</v>
          </cell>
          <cell r="I91" t="str">
            <v>86619_SW049479</v>
          </cell>
        </row>
        <row r="92">
          <cell r="D92" t="str">
            <v>Q3</v>
          </cell>
          <cell r="E92" t="str">
            <v>FB260002895</v>
          </cell>
          <cell r="G92">
            <v>0.8</v>
          </cell>
          <cell r="I92" t="str">
            <v>74827_SW034040</v>
          </cell>
        </row>
        <row r="93">
          <cell r="D93" t="str">
            <v>R</v>
          </cell>
          <cell r="E93" t="str">
            <v>FB260002911</v>
          </cell>
          <cell r="I93" t="str">
            <v>21083_SW034040</v>
          </cell>
        </row>
        <row r="94">
          <cell r="D94" t="str">
            <v>Q4</v>
          </cell>
          <cell r="E94" t="str">
            <v>FB260002891</v>
          </cell>
          <cell r="G94">
            <v>0.8</v>
          </cell>
          <cell r="I94" t="str">
            <v>42496_SW053021</v>
          </cell>
        </row>
        <row r="95">
          <cell r="D95" t="str">
            <v>Q1</v>
          </cell>
          <cell r="E95" t="str">
            <v>A</v>
          </cell>
          <cell r="G95">
            <v>0.8</v>
          </cell>
          <cell r="I95" t="str">
            <v>C000001042_SW106176</v>
          </cell>
        </row>
        <row r="96">
          <cell r="D96" t="str">
            <v>Q1</v>
          </cell>
          <cell r="E96" t="str">
            <v>A</v>
          </cell>
          <cell r="G96">
            <v>0.8</v>
          </cell>
          <cell r="I96" t="str">
            <v>C000001977_SW106176</v>
          </cell>
        </row>
        <row r="97">
          <cell r="D97" t="str">
            <v>Q1</v>
          </cell>
          <cell r="E97" t="str">
            <v>FB250018796</v>
          </cell>
          <cell r="G97">
            <v>0.8</v>
          </cell>
          <cell r="I97" t="str">
            <v>85476_SW106176</v>
          </cell>
        </row>
        <row r="98">
          <cell r="D98" t="str">
            <v>Q1</v>
          </cell>
          <cell r="E98" t="str">
            <v>FB250018796</v>
          </cell>
          <cell r="G98">
            <v>0.8</v>
          </cell>
          <cell r="I98" t="str">
            <v>77966_SW106176</v>
          </cell>
        </row>
        <row r="99">
          <cell r="D99" t="str">
            <v>Q1</v>
          </cell>
          <cell r="E99" t="str">
            <v>FB250018796</v>
          </cell>
          <cell r="G99">
            <v>0.8</v>
          </cell>
          <cell r="I99" t="str">
            <v>85607_SW106176</v>
          </cell>
        </row>
        <row r="100">
          <cell r="D100" t="str">
            <v>Q2</v>
          </cell>
          <cell r="E100">
            <v>1877013</v>
          </cell>
          <cell r="G100">
            <v>0.8</v>
          </cell>
          <cell r="I100" t="str">
            <v>74362_SW108150</v>
          </cell>
        </row>
        <row r="101">
          <cell r="D101" t="str">
            <v>Q2</v>
          </cell>
          <cell r="E101" t="str">
            <v>FB250023584</v>
          </cell>
          <cell r="G101">
            <v>0.8</v>
          </cell>
          <cell r="I101" t="str">
            <v>22288_SW090822</v>
          </cell>
        </row>
        <row r="102">
          <cell r="D102" t="str">
            <v>Q2</v>
          </cell>
          <cell r="E102" t="str">
            <v>FB250015963</v>
          </cell>
          <cell r="G102">
            <v>0.8</v>
          </cell>
          <cell r="I102" t="str">
            <v>61851_SW107053</v>
          </cell>
        </row>
        <row r="103">
          <cell r="D103" t="str">
            <v>Q4</v>
          </cell>
          <cell r="E103" t="str">
            <v>FB260001127</v>
          </cell>
          <cell r="G103">
            <v>0.8</v>
          </cell>
          <cell r="I103" t="str">
            <v>C000001347_SW041379</v>
          </cell>
        </row>
        <row r="104">
          <cell r="D104" t="str">
            <v>Q4</v>
          </cell>
          <cell r="E104" t="str">
            <v>FB250022001</v>
          </cell>
          <cell r="G104">
            <v>0.8</v>
          </cell>
          <cell r="I104" t="str">
            <v>C000001113_SW090822</v>
          </cell>
        </row>
        <row r="105">
          <cell r="D105" t="str">
            <v>Q4</v>
          </cell>
          <cell r="E105" t="str">
            <v>FB250012349</v>
          </cell>
          <cell r="G105">
            <v>0.8</v>
          </cell>
          <cell r="I105" t="str">
            <v>66432_SF011212</v>
          </cell>
        </row>
        <row r="106">
          <cell r="D106" t="str">
            <v>Q4</v>
          </cell>
          <cell r="E106" t="str">
            <v>FB260002010</v>
          </cell>
          <cell r="G106">
            <v>0.8</v>
          </cell>
          <cell r="I106" t="str">
            <v>C000000100_SW090822</v>
          </cell>
        </row>
        <row r="107">
          <cell r="D107" t="str">
            <v>Q1</v>
          </cell>
          <cell r="E107" t="str">
            <v>FB250023113</v>
          </cell>
          <cell r="G107">
            <v>0.8</v>
          </cell>
          <cell r="I107" t="str">
            <v>52689_SW000770</v>
          </cell>
        </row>
        <row r="108">
          <cell r="D108" t="str">
            <v>Q1</v>
          </cell>
          <cell r="E108" t="str">
            <v>FB250004539</v>
          </cell>
          <cell r="G108">
            <v>0.8</v>
          </cell>
          <cell r="I108" t="str">
            <v>66489_SW105065</v>
          </cell>
        </row>
        <row r="109">
          <cell r="D109" t="str">
            <v>Q1</v>
          </cell>
          <cell r="E109" t="str">
            <v>FB250004539</v>
          </cell>
          <cell r="G109">
            <v>0.8</v>
          </cell>
          <cell r="I109" t="str">
            <v>66489_SC359432</v>
          </cell>
        </row>
        <row r="110">
          <cell r="D110" t="str">
            <v>Q2</v>
          </cell>
          <cell r="E110" t="str">
            <v>FB260002542</v>
          </cell>
          <cell r="G110">
            <v>0.9</v>
          </cell>
          <cell r="I110" t="str">
            <v>52689_SW085387</v>
          </cell>
        </row>
        <row r="111">
          <cell r="D111" t="str">
            <v>Q2</v>
          </cell>
          <cell r="E111" t="str">
            <v>FB260002542</v>
          </cell>
          <cell r="G111">
            <v>0.9</v>
          </cell>
          <cell r="I111" t="str">
            <v>52689_SS088401</v>
          </cell>
        </row>
        <row r="112">
          <cell r="D112" t="str">
            <v>Q2</v>
          </cell>
          <cell r="E112" t="str">
            <v>FB260002542</v>
          </cell>
          <cell r="G112">
            <v>0.9</v>
          </cell>
          <cell r="I112" t="str">
            <v>52689_SS088401</v>
          </cell>
        </row>
        <row r="113">
          <cell r="D113" t="str">
            <v>Q1</v>
          </cell>
          <cell r="E113" t="str">
            <v>FB250020929</v>
          </cell>
          <cell r="G113">
            <v>0.8</v>
          </cell>
          <cell r="I113" t="str">
            <v>20274_SW050111</v>
          </cell>
        </row>
        <row r="114">
          <cell r="D114" t="str">
            <v>Q4</v>
          </cell>
          <cell r="E114" t="str">
            <v>FB260000242</v>
          </cell>
          <cell r="G114">
            <v>1</v>
          </cell>
          <cell r="I114" t="str">
            <v>C0000000040_SJ108843</v>
          </cell>
        </row>
        <row r="115">
          <cell r="D115" t="str">
            <v>Q4</v>
          </cell>
          <cell r="E115">
            <v>1875723</v>
          </cell>
          <cell r="G115">
            <v>0.8</v>
          </cell>
          <cell r="I115" t="str">
            <v>79105_SW040921</v>
          </cell>
        </row>
        <row r="116">
          <cell r="D116" t="str">
            <v>Q3</v>
          </cell>
          <cell r="E116" t="str">
            <v>FB250015782</v>
          </cell>
          <cell r="G116">
            <v>0.8</v>
          </cell>
          <cell r="I116" t="str">
            <v>53028_SW103888</v>
          </cell>
        </row>
        <row r="117">
          <cell r="D117" t="str">
            <v>Q1</v>
          </cell>
          <cell r="E117" t="str">
            <v>FB260000450</v>
          </cell>
          <cell r="G117">
            <v>0.7</v>
          </cell>
          <cell r="I117" t="str">
            <v>40042_SW052791</v>
          </cell>
        </row>
        <row r="118">
          <cell r="D118" t="str">
            <v>Q3</v>
          </cell>
          <cell r="E118" t="str">
            <v>FB260004442</v>
          </cell>
          <cell r="G118">
            <v>0.8</v>
          </cell>
          <cell r="I118" t="str">
            <v>66431_SW105065</v>
          </cell>
        </row>
        <row r="119">
          <cell r="D119" t="str">
            <v>Q1</v>
          </cell>
          <cell r="E119" t="str">
            <v>FB250012406</v>
          </cell>
          <cell r="G119">
            <v>0.8</v>
          </cell>
          <cell r="I119" t="str">
            <v>C000000106_SW108281</v>
          </cell>
        </row>
        <row r="120">
          <cell r="D120" t="str">
            <v>Q3</v>
          </cell>
          <cell r="E120" t="str">
            <v>FB260001254</v>
          </cell>
          <cell r="G120">
            <v>0.8</v>
          </cell>
          <cell r="I120" t="str">
            <v>86609_SW087953</v>
          </cell>
        </row>
        <row r="121">
          <cell r="D121" t="str">
            <v>Q1</v>
          </cell>
          <cell r="E121">
            <v>1713893</v>
          </cell>
          <cell r="G121">
            <v>0.8</v>
          </cell>
          <cell r="I121" t="str">
            <v>80281_SF051188</v>
          </cell>
        </row>
        <row r="122">
          <cell r="D122" t="str">
            <v>Q3</v>
          </cell>
          <cell r="E122" t="str">
            <v>FB250021411</v>
          </cell>
          <cell r="G122">
            <v>0.7</v>
          </cell>
          <cell r="I122" t="str">
            <v>53028_SW018108</v>
          </cell>
        </row>
        <row r="123">
          <cell r="D123" t="str">
            <v>Q4</v>
          </cell>
          <cell r="E123" t="str">
            <v>FB260002365</v>
          </cell>
          <cell r="G123">
            <v>0.8</v>
          </cell>
          <cell r="I123" t="str">
            <v>66488_SF105061</v>
          </cell>
        </row>
        <row r="124">
          <cell r="D124" t="str">
            <v>Q1</v>
          </cell>
          <cell r="E124" t="str">
            <v>FB250012501</v>
          </cell>
          <cell r="G124">
            <v>0.1</v>
          </cell>
          <cell r="I124" t="str">
            <v>80620_SW102692</v>
          </cell>
        </row>
        <row r="125">
          <cell r="D125" t="str">
            <v>Q2</v>
          </cell>
          <cell r="E125" t="str">
            <v>FB260002943</v>
          </cell>
          <cell r="G125">
            <v>0.8</v>
          </cell>
          <cell r="I125" t="str">
            <v>37817_SW002007</v>
          </cell>
        </row>
        <row r="126">
          <cell r="D126" t="str">
            <v>Q3</v>
          </cell>
          <cell r="E126" t="str">
            <v>FB260008029</v>
          </cell>
          <cell r="G126">
            <v>0.8</v>
          </cell>
          <cell r="I126" t="str">
            <v>63654_SW108150</v>
          </cell>
        </row>
        <row r="127">
          <cell r="D127" t="str">
            <v>Q1</v>
          </cell>
          <cell r="E127" t="str">
            <v>C</v>
          </cell>
          <cell r="G127">
            <v>0.8</v>
          </cell>
          <cell r="I127" t="str">
            <v>C000000566_SW106176</v>
          </cell>
        </row>
        <row r="128">
          <cell r="D128" t="str">
            <v>Q1</v>
          </cell>
          <cell r="E128" t="str">
            <v>FB250022639</v>
          </cell>
          <cell r="G128">
            <v>0.8</v>
          </cell>
          <cell r="I128" t="str">
            <v>C000000085_SW108150</v>
          </cell>
        </row>
        <row r="129">
          <cell r="D129" t="str">
            <v>Q1</v>
          </cell>
          <cell r="E129" t="str">
            <v>A</v>
          </cell>
          <cell r="G129">
            <v>0.8</v>
          </cell>
          <cell r="I129" t="str">
            <v>C000001440_SW106176</v>
          </cell>
        </row>
        <row r="130">
          <cell r="D130" t="str">
            <v>Q1</v>
          </cell>
          <cell r="E130" t="str">
            <v>A</v>
          </cell>
          <cell r="G130">
            <v>0.8</v>
          </cell>
          <cell r="I130" t="str">
            <v>82532_SW106176</v>
          </cell>
        </row>
        <row r="131">
          <cell r="D131" t="str">
            <v>Q1</v>
          </cell>
          <cell r="E131" t="str">
            <v>FB260001465</v>
          </cell>
          <cell r="G131">
            <v>0.8</v>
          </cell>
          <cell r="I131" t="str">
            <v>66431_SF105061</v>
          </cell>
        </row>
        <row r="132">
          <cell r="D132" t="str">
            <v>Q3</v>
          </cell>
          <cell r="E132" t="str">
            <v>FB260001489</v>
          </cell>
          <cell r="G132">
            <v>0.8</v>
          </cell>
          <cell r="I132" t="str">
            <v>86044_SF106477</v>
          </cell>
        </row>
        <row r="133">
          <cell r="D133" t="str">
            <v>Q1</v>
          </cell>
          <cell r="E133" t="str">
            <v>FB250023259</v>
          </cell>
          <cell r="G133">
            <v>0.8</v>
          </cell>
          <cell r="I133" t="str">
            <v>33059_SF106477</v>
          </cell>
        </row>
        <row r="134">
          <cell r="D134" t="str">
            <v>Q1</v>
          </cell>
          <cell r="E134">
            <v>1861872</v>
          </cell>
          <cell r="G134">
            <v>0.8</v>
          </cell>
          <cell r="I134" t="str">
            <v>75034_SF106477</v>
          </cell>
        </row>
        <row r="135">
          <cell r="D135" t="str">
            <v>Q3</v>
          </cell>
          <cell r="E135" t="str">
            <v>D</v>
          </cell>
          <cell r="G135">
            <v>0.8</v>
          </cell>
          <cell r="I135" t="str">
            <v>84987_SW099504</v>
          </cell>
        </row>
        <row r="136">
          <cell r="D136" t="str">
            <v>Q1</v>
          </cell>
          <cell r="E136">
            <v>1717637</v>
          </cell>
          <cell r="G136">
            <v>0.8</v>
          </cell>
          <cell r="I136" t="str">
            <v>69166_SJ104638</v>
          </cell>
        </row>
        <row r="137">
          <cell r="D137" t="str">
            <v>Q1</v>
          </cell>
          <cell r="E137" t="str">
            <v>B</v>
          </cell>
          <cell r="G137">
            <v>0.8</v>
          </cell>
          <cell r="I137" t="str">
            <v>C000001189_SW048171</v>
          </cell>
        </row>
        <row r="138">
          <cell r="D138" t="str">
            <v>Q3</v>
          </cell>
          <cell r="E138" t="str">
            <v>A</v>
          </cell>
          <cell r="G138">
            <v>0.8</v>
          </cell>
          <cell r="I138" t="str">
            <v>C000001189_SW046990</v>
          </cell>
        </row>
        <row r="139">
          <cell r="D139" t="str">
            <v>Q2</v>
          </cell>
          <cell r="E139" t="str">
            <v>FB260003919</v>
          </cell>
          <cell r="G139">
            <v>0.75</v>
          </cell>
          <cell r="I139" t="str">
            <v>C000001107_SW106176</v>
          </cell>
        </row>
        <row r="140">
          <cell r="D140" t="str">
            <v>Q2</v>
          </cell>
          <cell r="E140" t="str">
            <v>C</v>
          </cell>
          <cell r="G140">
            <v>0.8</v>
          </cell>
          <cell r="I140" t="str">
            <v>C000001253_SW087953</v>
          </cell>
        </row>
        <row r="141">
          <cell r="D141" t="str">
            <v>R</v>
          </cell>
          <cell r="E141" t="str">
            <v>FB250029005</v>
          </cell>
          <cell r="I141" t="str">
            <v>79265_SW104745</v>
          </cell>
        </row>
        <row r="142">
          <cell r="D142" t="str">
            <v>Q4</v>
          </cell>
          <cell r="E142" t="str">
            <v>B</v>
          </cell>
          <cell r="G142">
            <v>0.8</v>
          </cell>
          <cell r="I142" t="str">
            <v>C000001624_SF051188</v>
          </cell>
        </row>
        <row r="143">
          <cell r="D143" t="str">
            <v>Q4</v>
          </cell>
          <cell r="E143" t="str">
            <v>FB250015268</v>
          </cell>
          <cell r="G143">
            <v>0.8</v>
          </cell>
          <cell r="I143" t="str">
            <v>C000000485_SJ11604</v>
          </cell>
        </row>
        <row r="144">
          <cell r="D144" t="str">
            <v>Q4</v>
          </cell>
          <cell r="E144" t="str">
            <v>FB250015268</v>
          </cell>
          <cell r="G144">
            <v>0.8</v>
          </cell>
          <cell r="I144" t="str">
            <v>C000000485_SJ110235</v>
          </cell>
        </row>
        <row r="145">
          <cell r="D145" t="str">
            <v>Q4</v>
          </cell>
          <cell r="E145" t="str">
            <v>FB250015268</v>
          </cell>
          <cell r="G145">
            <v>0.8</v>
          </cell>
          <cell r="I145" t="str">
            <v>C000000486_SJ11604</v>
          </cell>
        </row>
        <row r="146">
          <cell r="D146" t="str">
            <v>Q4</v>
          </cell>
          <cell r="E146" t="str">
            <v>FB250015268</v>
          </cell>
          <cell r="G146">
            <v>0.8</v>
          </cell>
          <cell r="I146" t="str">
            <v>C000000487_SJ11235</v>
          </cell>
        </row>
        <row r="147">
          <cell r="D147" t="str">
            <v>Q4</v>
          </cell>
          <cell r="E147" t="str">
            <v>A</v>
          </cell>
          <cell r="G147">
            <v>0.8</v>
          </cell>
          <cell r="I147" t="str">
            <v>C000000560_SF106477</v>
          </cell>
        </row>
        <row r="148">
          <cell r="D148" t="str">
            <v>R</v>
          </cell>
          <cell r="E148" t="str">
            <v>FB250014119</v>
          </cell>
          <cell r="I148" t="str">
            <v>85052_SW046485</v>
          </cell>
        </row>
        <row r="149">
          <cell r="D149" t="str">
            <v>Q2</v>
          </cell>
          <cell r="E149" t="str">
            <v>A</v>
          </cell>
          <cell r="G149">
            <v>0.8</v>
          </cell>
          <cell r="I149" t="str">
            <v>82941_SW084573</v>
          </cell>
        </row>
        <row r="150">
          <cell r="D150" t="str">
            <v>R</v>
          </cell>
          <cell r="E150" t="str">
            <v>FB250019750</v>
          </cell>
          <cell r="I150" t="str">
            <v>22287_SW041276</v>
          </cell>
        </row>
        <row r="151">
          <cell r="D151" t="str">
            <v>Q4</v>
          </cell>
          <cell r="E151" t="str">
            <v>A</v>
          </cell>
          <cell r="G151">
            <v>0.8</v>
          </cell>
          <cell r="I151" t="str">
            <v>C000000495_SJ104638</v>
          </cell>
        </row>
        <row r="152">
          <cell r="D152" t="str">
            <v>Q2</v>
          </cell>
          <cell r="E152" t="str">
            <v>FB260004673</v>
          </cell>
          <cell r="G152">
            <v>0.8</v>
          </cell>
          <cell r="I152" t="str">
            <v>C000000972_SF106477010.0</v>
          </cell>
        </row>
        <row r="153">
          <cell r="D153" t="str">
            <v>Q4</v>
          </cell>
          <cell r="E153" t="str">
            <v>FB260003050</v>
          </cell>
          <cell r="G153">
            <v>0.9</v>
          </cell>
          <cell r="I153" t="str">
            <v>C000001111_SW108150</v>
          </cell>
        </row>
        <row r="154">
          <cell r="D154" t="str">
            <v>Q1</v>
          </cell>
          <cell r="E154" t="str">
            <v>FL250000277</v>
          </cell>
          <cell r="G154">
            <v>0.8</v>
          </cell>
          <cell r="I154" t="str">
            <v>64448_SJ110442</v>
          </cell>
        </row>
        <row r="155">
          <cell r="D155" t="str">
            <v>Q1</v>
          </cell>
          <cell r="E155" t="str">
            <v>FL250000277</v>
          </cell>
          <cell r="G155">
            <v>0.8</v>
          </cell>
          <cell r="I155" t="str">
            <v>64448_SJ110441</v>
          </cell>
        </row>
        <row r="156">
          <cell r="D156" t="str">
            <v>Q3</v>
          </cell>
          <cell r="E156" t="str">
            <v>FB250001454</v>
          </cell>
          <cell r="G156">
            <v>0.8</v>
          </cell>
          <cell r="I156" t="str">
            <v>42389_SW002007</v>
          </cell>
        </row>
        <row r="157">
          <cell r="D157" t="str">
            <v>Q3</v>
          </cell>
          <cell r="E157" t="str">
            <v>FB250001454</v>
          </cell>
          <cell r="G157">
            <v>0.8</v>
          </cell>
          <cell r="I157" t="str">
            <v>61227_SW002007</v>
          </cell>
        </row>
        <row r="158">
          <cell r="D158" t="str">
            <v>Q3</v>
          </cell>
          <cell r="E158" t="str">
            <v>FB260002862</v>
          </cell>
          <cell r="G158">
            <v>1.2</v>
          </cell>
          <cell r="I158" t="str">
            <v>C000000280_SF106678</v>
          </cell>
        </row>
        <row r="159">
          <cell r="D159" t="str">
            <v>Q1</v>
          </cell>
          <cell r="E159" t="str">
            <v>FB260002998</v>
          </cell>
          <cell r="G159">
            <v>0.8</v>
          </cell>
          <cell r="I159" t="str">
            <v>C000000424_SF106477</v>
          </cell>
        </row>
        <row r="160">
          <cell r="D160" t="str">
            <v>Q4</v>
          </cell>
          <cell r="E160" t="str">
            <v>FB260003494</v>
          </cell>
          <cell r="G160">
            <v>1.5</v>
          </cell>
          <cell r="I160" t="str">
            <v>C000001978_SW108150</v>
          </cell>
        </row>
        <row r="161">
          <cell r="D161" t="str">
            <v>Q2</v>
          </cell>
          <cell r="E161" t="str">
            <v>FB250028965</v>
          </cell>
          <cell r="G161">
            <v>0.8</v>
          </cell>
          <cell r="I161" t="str">
            <v>C000000969_SW106176</v>
          </cell>
        </row>
        <row r="162">
          <cell r="D162" t="str">
            <v>Q2</v>
          </cell>
          <cell r="E162" t="str">
            <v>FB250028965</v>
          </cell>
          <cell r="G162">
            <v>0.8</v>
          </cell>
          <cell r="I162" t="str">
            <v>C000001783_SW106176</v>
          </cell>
        </row>
        <row r="163">
          <cell r="D163" t="str">
            <v>Q1</v>
          </cell>
          <cell r="E163">
            <v>1873027</v>
          </cell>
          <cell r="G163">
            <v>0.8</v>
          </cell>
          <cell r="I163" t="str">
            <v>33059_SW041379</v>
          </cell>
        </row>
        <row r="164">
          <cell r="D164" t="str">
            <v>Q3</v>
          </cell>
          <cell r="E164" t="str">
            <v>FB26000274</v>
          </cell>
          <cell r="G164">
            <v>0.75</v>
          </cell>
          <cell r="I164" t="str">
            <v>C000000039_SJ108843</v>
          </cell>
        </row>
        <row r="165">
          <cell r="D165" t="str">
            <v>Q1</v>
          </cell>
          <cell r="E165" t="str">
            <v>D</v>
          </cell>
          <cell r="G165">
            <v>0.8</v>
          </cell>
          <cell r="I165" t="str">
            <v>C000001868_SF011212</v>
          </cell>
        </row>
        <row r="166">
          <cell r="D166" t="str">
            <v>Q2</v>
          </cell>
          <cell r="E166" t="str">
            <v>FB260003128</v>
          </cell>
          <cell r="G166">
            <v>1.2</v>
          </cell>
          <cell r="I166" t="str">
            <v>84771_SJ108651</v>
          </cell>
        </row>
        <row r="167">
          <cell r="D167" t="str">
            <v>R</v>
          </cell>
          <cell r="E167" t="str">
            <v>FB260003876</v>
          </cell>
          <cell r="I167" t="str">
            <v>22287_SW051806</v>
          </cell>
        </row>
        <row r="168">
          <cell r="D168" t="str">
            <v>Q3</v>
          </cell>
          <cell r="E168" t="str">
            <v>A</v>
          </cell>
          <cell r="G168">
            <v>0.8</v>
          </cell>
          <cell r="I168" t="str">
            <v>75500_SW107402</v>
          </cell>
        </row>
        <row r="169">
          <cell r="D169" t="str">
            <v>R</v>
          </cell>
          <cell r="E169" t="str">
            <v>FB250002231</v>
          </cell>
          <cell r="I169" t="str">
            <v>79265_SW053308</v>
          </cell>
        </row>
        <row r="170">
          <cell r="D170" t="str">
            <v>Q3</v>
          </cell>
          <cell r="E170" t="str">
            <v>FB260002970</v>
          </cell>
          <cell r="G170">
            <v>0.8</v>
          </cell>
          <cell r="I170" t="str">
            <v>61227_SF060100</v>
          </cell>
        </row>
        <row r="171">
          <cell r="D171" t="str">
            <v>Q4</v>
          </cell>
          <cell r="E171" t="str">
            <v>B</v>
          </cell>
          <cell r="G171">
            <v>0.8</v>
          </cell>
          <cell r="I171" t="str">
            <v>C000001073_SW106176</v>
          </cell>
        </row>
        <row r="172">
          <cell r="D172" t="str">
            <v>Q4</v>
          </cell>
          <cell r="E172" t="str">
            <v>B</v>
          </cell>
          <cell r="G172">
            <v>0.8</v>
          </cell>
          <cell r="I172" t="str">
            <v>C000001776_SW106176</v>
          </cell>
        </row>
        <row r="173">
          <cell r="D173" t="str">
            <v>R</v>
          </cell>
          <cell r="E173" t="str">
            <v>A</v>
          </cell>
          <cell r="I173" t="str">
            <v>84815_SJ109960</v>
          </cell>
        </row>
        <row r="174">
          <cell r="D174" t="str">
            <v>R</v>
          </cell>
          <cell r="E174" t="str">
            <v>A</v>
          </cell>
          <cell r="I174" t="str">
            <v>84985_sj110042</v>
          </cell>
        </row>
        <row r="175">
          <cell r="D175" t="str">
            <v>Q1</v>
          </cell>
          <cell r="E175" t="str">
            <v>FB250003102</v>
          </cell>
          <cell r="G175">
            <v>0.9</v>
          </cell>
          <cell r="I175" t="str">
            <v>81058_SW108150</v>
          </cell>
        </row>
        <row r="176">
          <cell r="D176" t="str">
            <v>Q2</v>
          </cell>
          <cell r="E176" t="str">
            <v>FB260001673</v>
          </cell>
          <cell r="G176">
            <v>0.8</v>
          </cell>
          <cell r="I176" t="str">
            <v>85920_SF106678</v>
          </cell>
        </row>
        <row r="177">
          <cell r="D177" t="str">
            <v>Q3</v>
          </cell>
          <cell r="E177" t="str">
            <v>FB260002628</v>
          </cell>
          <cell r="G177">
            <v>1</v>
          </cell>
          <cell r="I177" t="str">
            <v>C000000969_SW108150</v>
          </cell>
        </row>
        <row r="178">
          <cell r="D178" t="str">
            <v>Q2</v>
          </cell>
          <cell r="E178" t="str">
            <v>FB260003645</v>
          </cell>
          <cell r="G178">
            <v>0.8</v>
          </cell>
          <cell r="I178" t="str">
            <v>C000001318_SW041276</v>
          </cell>
        </row>
        <row r="179">
          <cell r="D179" t="str">
            <v>Q1</v>
          </cell>
          <cell r="E179" t="str">
            <v>FB250026497</v>
          </cell>
          <cell r="G179">
            <v>0.8</v>
          </cell>
          <cell r="I179" t="str">
            <v>C000000557_SW106176</v>
          </cell>
        </row>
        <row r="180">
          <cell r="D180" t="str">
            <v>Q1</v>
          </cell>
          <cell r="E180" t="str">
            <v>FB250026497</v>
          </cell>
          <cell r="G180">
            <v>0.8</v>
          </cell>
          <cell r="I180" t="str">
            <v>C000001222_SW106176</v>
          </cell>
        </row>
        <row r="181">
          <cell r="D181" t="str">
            <v>Q1</v>
          </cell>
          <cell r="E181" t="str">
            <v>FB260003561</v>
          </cell>
          <cell r="G181">
            <v>1.2</v>
          </cell>
          <cell r="I181">
            <v>85296</v>
          </cell>
        </row>
        <row r="182">
          <cell r="D182" t="str">
            <v>Q1</v>
          </cell>
          <cell r="E182" t="str">
            <v>FB260003561</v>
          </cell>
          <cell r="G182">
            <v>1.2</v>
          </cell>
          <cell r="I182" t="str">
            <v>C000001709_SW106176</v>
          </cell>
        </row>
        <row r="183">
          <cell r="D183" t="str">
            <v>Q1</v>
          </cell>
          <cell r="E183" t="str">
            <v>FB260003561</v>
          </cell>
          <cell r="G183">
            <v>1.2</v>
          </cell>
          <cell r="I183" t="str">
            <v>C000001709_SW106176</v>
          </cell>
        </row>
        <row r="184">
          <cell r="D184" t="str">
            <v>Q1</v>
          </cell>
          <cell r="E184" t="str">
            <v>FB260003561</v>
          </cell>
          <cell r="G184">
            <v>1.2</v>
          </cell>
          <cell r="I184" t="str">
            <v>C000001709_SW106176</v>
          </cell>
        </row>
        <row r="185">
          <cell r="D185" t="str">
            <v>Q1</v>
          </cell>
          <cell r="E185" t="str">
            <v>FB250006052</v>
          </cell>
          <cell r="G185">
            <v>0.8</v>
          </cell>
          <cell r="I185" t="str">
            <v>85933_SJ106665</v>
          </cell>
        </row>
        <row r="186">
          <cell r="D186" t="str">
            <v>Q3</v>
          </cell>
          <cell r="E186" t="str">
            <v>A</v>
          </cell>
          <cell r="G186">
            <v>0.8</v>
          </cell>
          <cell r="I186" t="str">
            <v>62444_SW101499</v>
          </cell>
        </row>
        <row r="187">
          <cell r="D187" t="str">
            <v>Q3</v>
          </cell>
          <cell r="E187" t="str">
            <v>A</v>
          </cell>
          <cell r="G187">
            <v>0.8</v>
          </cell>
          <cell r="I187" t="str">
            <v>C000000051_SW102046</v>
          </cell>
        </row>
        <row r="188">
          <cell r="D188" t="str">
            <v>R</v>
          </cell>
          <cell r="E188" t="str">
            <v>FB260002027</v>
          </cell>
          <cell r="I188" t="str">
            <v>45198_SW052791</v>
          </cell>
        </row>
        <row r="189">
          <cell r="D189" t="str">
            <v>R</v>
          </cell>
          <cell r="E189" t="str">
            <v>FB260001031</v>
          </cell>
          <cell r="I189" t="str">
            <v>85352_SW380098</v>
          </cell>
        </row>
        <row r="190">
          <cell r="D190" t="str">
            <v>R</v>
          </cell>
          <cell r="E190" t="str">
            <v>A</v>
          </cell>
          <cell r="I190" t="str">
            <v>84235_SW104615</v>
          </cell>
        </row>
        <row r="191">
          <cell r="D191" t="str">
            <v>R</v>
          </cell>
          <cell r="E191" t="str">
            <v>A</v>
          </cell>
          <cell r="I191" t="str">
            <v>81439_SJ053535</v>
          </cell>
        </row>
        <row r="192">
          <cell r="D192" t="str">
            <v>R</v>
          </cell>
          <cell r="E192" t="str">
            <v>D</v>
          </cell>
          <cell r="I192" t="str">
            <v>C000000650_SJ109724</v>
          </cell>
        </row>
        <row r="193">
          <cell r="D193" t="str">
            <v>Q1</v>
          </cell>
          <cell r="E193" t="str">
            <v>B</v>
          </cell>
          <cell r="G193">
            <v>0.8</v>
          </cell>
          <cell r="I193" t="str">
            <v>81266_SW108917</v>
          </cell>
        </row>
        <row r="194">
          <cell r="D194" t="str">
            <v>Q3</v>
          </cell>
          <cell r="E194" t="str">
            <v>FB250028694</v>
          </cell>
          <cell r="G194">
            <v>0.8</v>
          </cell>
          <cell r="I194" t="str">
            <v>C000001233_SW099504</v>
          </cell>
        </row>
        <row r="195">
          <cell r="D195" t="str">
            <v>Q3</v>
          </cell>
          <cell r="E195" t="str">
            <v>FB260002683</v>
          </cell>
          <cell r="G195">
            <v>0.8</v>
          </cell>
          <cell r="I195" t="str">
            <v>C000001787_SW106176</v>
          </cell>
        </row>
        <row r="196">
          <cell r="D196" t="str">
            <v>Q1</v>
          </cell>
          <cell r="E196" t="str">
            <v>FB260002048</v>
          </cell>
          <cell r="G196">
            <v>0.8</v>
          </cell>
          <cell r="I196" t="str">
            <v>87562_SW041379</v>
          </cell>
        </row>
        <row r="197">
          <cell r="D197" t="str">
            <v>Q4</v>
          </cell>
          <cell r="E197" t="str">
            <v>FB250021204</v>
          </cell>
          <cell r="G197">
            <v>0.8</v>
          </cell>
          <cell r="I197" t="str">
            <v>82084_SW099504</v>
          </cell>
        </row>
        <row r="198">
          <cell r="D198" t="str">
            <v>Q1</v>
          </cell>
          <cell r="E198" t="str">
            <v>FB260008841</v>
          </cell>
          <cell r="G198">
            <v>0.8</v>
          </cell>
          <cell r="I198" t="str">
            <v>61227_SW052249</v>
          </cell>
        </row>
        <row r="199">
          <cell r="D199" t="str">
            <v>Q1</v>
          </cell>
          <cell r="E199" t="str">
            <v>FB260008841</v>
          </cell>
          <cell r="G199">
            <v>0.8</v>
          </cell>
          <cell r="I199" t="str">
            <v>42389_SW052249</v>
          </cell>
        </row>
        <row r="200">
          <cell r="D200" t="str">
            <v>Q4</v>
          </cell>
          <cell r="E200" t="str">
            <v>FB250018479</v>
          </cell>
          <cell r="G200">
            <v>0.8</v>
          </cell>
          <cell r="I200" t="str">
            <v>71621_SW106956</v>
          </cell>
        </row>
        <row r="201">
          <cell r="D201" t="str">
            <v>Q1</v>
          </cell>
          <cell r="E201" t="str">
            <v>FB250024654</v>
          </cell>
          <cell r="G201">
            <v>0.8</v>
          </cell>
          <cell r="I201" t="str">
            <v>61851_SW105063</v>
          </cell>
        </row>
        <row r="202">
          <cell r="D202" t="str">
            <v>Q3</v>
          </cell>
          <cell r="E202" t="str">
            <v>A3</v>
          </cell>
          <cell r="G202">
            <v>0.8</v>
          </cell>
          <cell r="I202" t="str">
            <v>C000000660_SW040921</v>
          </cell>
        </row>
        <row r="203">
          <cell r="D203" t="str">
            <v>Q1</v>
          </cell>
          <cell r="E203" t="str">
            <v>A</v>
          </cell>
          <cell r="G203">
            <v>0.8</v>
          </cell>
          <cell r="I203" t="str">
            <v>34988_SW042222</v>
          </cell>
        </row>
        <row r="204">
          <cell r="D204" t="str">
            <v>R</v>
          </cell>
          <cell r="E204" t="str">
            <v>FB260002529</v>
          </cell>
          <cell r="I204" t="str">
            <v>83439_SJ108651</v>
          </cell>
        </row>
        <row r="205">
          <cell r="D205" t="str">
            <v>R</v>
          </cell>
          <cell r="E205" t="str">
            <v>FB260002529</v>
          </cell>
          <cell r="I205" t="str">
            <v>83440_SJ108651</v>
          </cell>
        </row>
        <row r="206">
          <cell r="D206" t="str">
            <v>R</v>
          </cell>
          <cell r="E206" t="str">
            <v>FB260002529</v>
          </cell>
          <cell r="I206" t="str">
            <v>83441_SJ108651</v>
          </cell>
        </row>
        <row r="207">
          <cell r="D207" t="str">
            <v>Q4</v>
          </cell>
          <cell r="E207" t="str">
            <v>B</v>
          </cell>
          <cell r="G207">
            <v>0.8</v>
          </cell>
          <cell r="I207" t="str">
            <v>85932_SF106477</v>
          </cell>
        </row>
        <row r="208">
          <cell r="D208" t="str">
            <v>R</v>
          </cell>
          <cell r="E208">
            <v>1864842</v>
          </cell>
          <cell r="G208">
            <v>0.8</v>
          </cell>
          <cell r="I208" t="str">
            <v>77780_SJ053535</v>
          </cell>
        </row>
        <row r="209">
          <cell r="D209" t="str">
            <v>Q3</v>
          </cell>
          <cell r="E209" t="str">
            <v>G</v>
          </cell>
          <cell r="G209">
            <v>0.8</v>
          </cell>
          <cell r="I209" t="str">
            <v>C000000698_SF050875</v>
          </cell>
        </row>
        <row r="210">
          <cell r="D210" t="str">
            <v>Q3</v>
          </cell>
          <cell r="E210" t="str">
            <v>FB260004971</v>
          </cell>
          <cell r="G210">
            <v>0.8</v>
          </cell>
          <cell r="I210" t="str">
            <v>C000001327_SW090822</v>
          </cell>
        </row>
        <row r="211">
          <cell r="D211" t="str">
            <v>Q4</v>
          </cell>
          <cell r="E211" t="str">
            <v>C</v>
          </cell>
          <cell r="G211">
            <v>0.8</v>
          </cell>
          <cell r="I211" t="str">
            <v>C000001504_SJ109854</v>
          </cell>
        </row>
        <row r="212">
          <cell r="D212" t="str">
            <v>Q1</v>
          </cell>
          <cell r="E212" t="str">
            <v>FB250008962</v>
          </cell>
          <cell r="G212">
            <v>0.8</v>
          </cell>
          <cell r="I212" t="str">
            <v>68086_SW041379</v>
          </cell>
        </row>
        <row r="213">
          <cell r="D213" t="str">
            <v>Q3</v>
          </cell>
          <cell r="E213" t="str">
            <v>FB260002229</v>
          </cell>
          <cell r="G213">
            <v>0.8</v>
          </cell>
          <cell r="I213" t="str">
            <v>34988_SF106477</v>
          </cell>
        </row>
        <row r="214">
          <cell r="D214" t="str">
            <v>Q3</v>
          </cell>
          <cell r="E214">
            <v>1876439</v>
          </cell>
          <cell r="G214">
            <v>0.8</v>
          </cell>
          <cell r="I214" t="str">
            <v>34988_SW041379</v>
          </cell>
        </row>
        <row r="215">
          <cell r="D215" t="str">
            <v>R</v>
          </cell>
          <cell r="E215" t="str">
            <v>FB250021781</v>
          </cell>
          <cell r="I215" t="str">
            <v>62249_SJ104638</v>
          </cell>
        </row>
        <row r="216">
          <cell r="D216" t="str">
            <v>Q3</v>
          </cell>
          <cell r="E216">
            <v>1754769</v>
          </cell>
          <cell r="G216">
            <v>0.8</v>
          </cell>
          <cell r="I216" t="str">
            <v>49688_SW051806</v>
          </cell>
        </row>
        <row r="217">
          <cell r="D217" t="str">
            <v>Q3</v>
          </cell>
          <cell r="E217">
            <v>1754769</v>
          </cell>
          <cell r="G217">
            <v>0.8</v>
          </cell>
          <cell r="I217" t="str">
            <v>84040_SW051806</v>
          </cell>
        </row>
        <row r="218">
          <cell r="D218" t="str">
            <v>Q2</v>
          </cell>
          <cell r="E218" t="str">
            <v>A</v>
          </cell>
          <cell r="G218">
            <v>0.8</v>
          </cell>
          <cell r="I218" t="str">
            <v>87342_SW084573</v>
          </cell>
        </row>
        <row r="219">
          <cell r="D219" t="str">
            <v>R</v>
          </cell>
          <cell r="E219" t="str">
            <v>FB250010204</v>
          </cell>
          <cell r="G219">
            <v>0.8</v>
          </cell>
          <cell r="I219" t="str">
            <v>77955_SJ108993</v>
          </cell>
        </row>
        <row r="220">
          <cell r="D220" t="str">
            <v>R</v>
          </cell>
          <cell r="E220" t="str">
            <v>FB250017001</v>
          </cell>
          <cell r="I220" t="str">
            <v>78476_SW380098</v>
          </cell>
        </row>
        <row r="221">
          <cell r="D221" t="str">
            <v>Q2</v>
          </cell>
          <cell r="E221" t="str">
            <v>FB26000221</v>
          </cell>
          <cell r="G221">
            <v>0.8</v>
          </cell>
          <cell r="I221" t="str">
            <v>50947_SW102692</v>
          </cell>
        </row>
        <row r="222">
          <cell r="D222" t="str">
            <v>R</v>
          </cell>
          <cell r="E222" t="str">
            <v>FB260005349</v>
          </cell>
          <cell r="I222" t="str">
            <v>79265_SW048171</v>
          </cell>
        </row>
        <row r="223">
          <cell r="D223" t="str">
            <v>Q1</v>
          </cell>
          <cell r="E223" t="str">
            <v>FB260003294</v>
          </cell>
          <cell r="G223">
            <v>0.8</v>
          </cell>
          <cell r="I223" t="str">
            <v>86521_SW106176</v>
          </cell>
        </row>
        <row r="224">
          <cell r="D224" t="str">
            <v>Q3</v>
          </cell>
          <cell r="E224" t="str">
            <v>FB260002247</v>
          </cell>
          <cell r="G224">
            <v>0.8</v>
          </cell>
          <cell r="I224" t="str">
            <v>C000001817_SW084573</v>
          </cell>
        </row>
        <row r="225">
          <cell r="D225" t="str">
            <v>Q2</v>
          </cell>
          <cell r="E225" t="str">
            <v>FB250009061</v>
          </cell>
          <cell r="G225">
            <v>1</v>
          </cell>
          <cell r="I225" t="str">
            <v>87496_SW054520</v>
          </cell>
        </row>
        <row r="226">
          <cell r="D226" t="str">
            <v>Q4</v>
          </cell>
          <cell r="E226" t="str">
            <v>FB260003509</v>
          </cell>
          <cell r="G226">
            <v>0.8</v>
          </cell>
          <cell r="I226" t="str">
            <v>C000001073_SW106176</v>
          </cell>
        </row>
        <row r="227">
          <cell r="D227" t="str">
            <v>Q1</v>
          </cell>
          <cell r="E227" t="str">
            <v>FB260002573</v>
          </cell>
          <cell r="G227">
            <v>0.8</v>
          </cell>
          <cell r="I227" t="str">
            <v>86560_SW084573</v>
          </cell>
        </row>
        <row r="228">
          <cell r="D228" t="str">
            <v>Q1</v>
          </cell>
          <cell r="E228" t="str">
            <v>FB260002851</v>
          </cell>
          <cell r="G228">
            <v>0.8</v>
          </cell>
          <cell r="I228" t="str">
            <v>C000001230_SW084573</v>
          </cell>
        </row>
        <row r="229">
          <cell r="D229" t="str">
            <v>Q3</v>
          </cell>
          <cell r="E229" t="str">
            <v>FB260004697</v>
          </cell>
          <cell r="G229">
            <v>0.8</v>
          </cell>
          <cell r="I229" t="str">
            <v>C000000353_SW106176</v>
          </cell>
        </row>
        <row r="230">
          <cell r="D230" t="str">
            <v>Q3</v>
          </cell>
          <cell r="E230" t="str">
            <v>FB260003000</v>
          </cell>
          <cell r="G230">
            <v>0.8</v>
          </cell>
          <cell r="I230" t="str">
            <v>C000001295_SF106477</v>
          </cell>
        </row>
        <row r="231">
          <cell r="D231" t="str">
            <v>Q3</v>
          </cell>
          <cell r="E231" t="str">
            <v>FB260004721</v>
          </cell>
          <cell r="G231">
            <v>0.8</v>
          </cell>
          <cell r="I231" t="str">
            <v>C000001002_SW108150</v>
          </cell>
        </row>
        <row r="232">
          <cell r="D232" t="str">
            <v>Q3</v>
          </cell>
          <cell r="E232" t="str">
            <v>FB260004607</v>
          </cell>
          <cell r="G232">
            <v>0.8</v>
          </cell>
          <cell r="I232" t="str">
            <v>C000001107_SW108150</v>
          </cell>
        </row>
        <row r="233">
          <cell r="D233" t="str">
            <v>Q3</v>
          </cell>
          <cell r="E233" t="str">
            <v>FB260003160</v>
          </cell>
          <cell r="G233">
            <v>0.8</v>
          </cell>
          <cell r="I233" t="str">
            <v>83484_SW042222</v>
          </cell>
        </row>
        <row r="234">
          <cell r="D234" t="str">
            <v>Q3</v>
          </cell>
          <cell r="E234" t="str">
            <v>FB260003739</v>
          </cell>
          <cell r="G234">
            <v>0.8</v>
          </cell>
          <cell r="I234" t="str">
            <v>C000002018_SW106176</v>
          </cell>
        </row>
        <row r="235">
          <cell r="D235" t="str">
            <v>Q1</v>
          </cell>
          <cell r="E235" t="str">
            <v>FB260003577</v>
          </cell>
          <cell r="G235">
            <v>0.8</v>
          </cell>
          <cell r="I235" t="str">
            <v>C000001778_SW106176</v>
          </cell>
        </row>
        <row r="236">
          <cell r="D236" t="str">
            <v>Q1</v>
          </cell>
          <cell r="E236" t="str">
            <v>FB250028874</v>
          </cell>
          <cell r="G236">
            <v>0.8</v>
          </cell>
          <cell r="I236" t="str">
            <v>80779_SW053021</v>
          </cell>
        </row>
        <row r="237">
          <cell r="D237" t="str">
            <v>R</v>
          </cell>
          <cell r="E237">
            <v>1871958</v>
          </cell>
          <cell r="I237" t="str">
            <v>80778_SW053527</v>
          </cell>
        </row>
        <row r="238">
          <cell r="D238" t="str">
            <v>Q2</v>
          </cell>
          <cell r="E238" t="str">
            <v>A</v>
          </cell>
          <cell r="G238">
            <v>0.8</v>
          </cell>
          <cell r="I238" t="str">
            <v>83968_SW084573</v>
          </cell>
        </row>
        <row r="239">
          <cell r="D239" t="str">
            <v>Q4</v>
          </cell>
          <cell r="E239" t="str">
            <v>FB250024704</v>
          </cell>
          <cell r="G239">
            <v>0.8</v>
          </cell>
          <cell r="I239" t="str">
            <v>C000000797_SW108150</v>
          </cell>
        </row>
        <row r="240">
          <cell r="D240" t="str">
            <v>Q3</v>
          </cell>
          <cell r="E240" t="str">
            <v>FB260001160</v>
          </cell>
          <cell r="G240">
            <v>0.8</v>
          </cell>
          <cell r="I240" t="str">
            <v>81662_SW090822</v>
          </cell>
        </row>
        <row r="241">
          <cell r="D241" t="str">
            <v>Q3</v>
          </cell>
          <cell r="E241" t="str">
            <v>FB260005993</v>
          </cell>
          <cell r="G241">
            <v>0.8</v>
          </cell>
          <cell r="I241" t="str">
            <v>87250_SW108150</v>
          </cell>
        </row>
        <row r="242">
          <cell r="D242" t="str">
            <v>Q4</v>
          </cell>
          <cell r="E242" t="str">
            <v>FB250007998</v>
          </cell>
          <cell r="G242">
            <v>0.8</v>
          </cell>
          <cell r="I242" t="str">
            <v>80665_SW048171</v>
          </cell>
        </row>
        <row r="243">
          <cell r="D243" t="str">
            <v>R</v>
          </cell>
          <cell r="E243">
            <v>1870353</v>
          </cell>
          <cell r="I243" t="str">
            <v>85610_SJ108651</v>
          </cell>
        </row>
        <row r="244">
          <cell r="D244" t="str">
            <v>Q1</v>
          </cell>
          <cell r="E244" t="str">
            <v>FB250028070</v>
          </cell>
          <cell r="G244">
            <v>1.2</v>
          </cell>
          <cell r="I244" t="str">
            <v>C000001685_SW018108</v>
          </cell>
        </row>
        <row r="245">
          <cell r="D245" t="str">
            <v>Q4</v>
          </cell>
          <cell r="E245">
            <v>1868475</v>
          </cell>
          <cell r="G245">
            <v>0.8</v>
          </cell>
          <cell r="I245" t="str">
            <v>64159_SW084573</v>
          </cell>
        </row>
        <row r="246">
          <cell r="D246" t="str">
            <v>Q1</v>
          </cell>
          <cell r="E246" t="str">
            <v>FB2600024842</v>
          </cell>
          <cell r="G246">
            <v>0.8</v>
          </cell>
          <cell r="I246" t="str">
            <v>C000001238_SW099504</v>
          </cell>
        </row>
        <row r="247">
          <cell r="D247" t="str">
            <v>Q1</v>
          </cell>
          <cell r="E247" t="str">
            <v>FB260001173</v>
          </cell>
          <cell r="G247">
            <v>0.8</v>
          </cell>
          <cell r="I247" t="str">
            <v>C000001233_SW087953</v>
          </cell>
        </row>
        <row r="248">
          <cell r="D248" t="str">
            <v>R</v>
          </cell>
          <cell r="E248" t="str">
            <v>FB250026480</v>
          </cell>
          <cell r="G248">
            <v>0.8</v>
          </cell>
          <cell r="I248" t="str">
            <v>60890_SW040872</v>
          </cell>
        </row>
        <row r="249">
          <cell r="D249" t="str">
            <v>Q4</v>
          </cell>
          <cell r="E249" t="str">
            <v>FB260000902</v>
          </cell>
          <cell r="G249">
            <v>0.8</v>
          </cell>
          <cell r="I249" t="str">
            <v>51044_SF051188</v>
          </cell>
        </row>
        <row r="250">
          <cell r="D250" t="str">
            <v>Q2</v>
          </cell>
          <cell r="E250" t="str">
            <v>C</v>
          </cell>
          <cell r="G250">
            <v>0.8</v>
          </cell>
          <cell r="I250" t="str">
            <v>85596_SW109940</v>
          </cell>
        </row>
        <row r="251">
          <cell r="D251" t="str">
            <v>R</v>
          </cell>
          <cell r="E251" t="str">
            <v>FB260004716</v>
          </cell>
          <cell r="G251">
            <v>0.8</v>
          </cell>
          <cell r="I251" t="str">
            <v>60890_SW002007</v>
          </cell>
        </row>
        <row r="252">
          <cell r="D252" t="str">
            <v>Q4</v>
          </cell>
          <cell r="E252">
            <v>1870041</v>
          </cell>
          <cell r="G252">
            <v>0.8</v>
          </cell>
          <cell r="I252" t="str">
            <v>80665_SW053308</v>
          </cell>
        </row>
        <row r="253">
          <cell r="D253" t="str">
            <v>Q1</v>
          </cell>
          <cell r="E253" t="str">
            <v>A</v>
          </cell>
          <cell r="G253">
            <v>0.8</v>
          </cell>
          <cell r="I253" t="str">
            <v>C000000965_SJ108651</v>
          </cell>
        </row>
        <row r="254">
          <cell r="D254" t="str">
            <v>Q3</v>
          </cell>
          <cell r="E254" t="str">
            <v>C</v>
          </cell>
          <cell r="G254">
            <v>0.8</v>
          </cell>
          <cell r="I254" t="str">
            <v>78476_SW104180</v>
          </cell>
        </row>
        <row r="255">
          <cell r="D255" t="str">
            <v>R</v>
          </cell>
          <cell r="E255" t="str">
            <v>FB260000139</v>
          </cell>
          <cell r="G255">
            <v>0.8</v>
          </cell>
          <cell r="I255" t="str">
            <v>29244_SW000657</v>
          </cell>
        </row>
        <row r="256">
          <cell r="D256" t="str">
            <v>Q1</v>
          </cell>
          <cell r="E256" t="str">
            <v>FB250022643</v>
          </cell>
          <cell r="G256">
            <v>1.2</v>
          </cell>
          <cell r="I256" t="str">
            <v>C000000557_SW108150</v>
          </cell>
        </row>
        <row r="257">
          <cell r="D257" t="str">
            <v>Q3</v>
          </cell>
          <cell r="E257" t="str">
            <v>FB250025676</v>
          </cell>
          <cell r="G257">
            <v>0.8</v>
          </cell>
          <cell r="I257" t="str">
            <v>82701_SJ053535</v>
          </cell>
        </row>
        <row r="258">
          <cell r="D258" t="str">
            <v>Q1</v>
          </cell>
          <cell r="E258" t="str">
            <v>FB260002908</v>
          </cell>
          <cell r="G258">
            <v>0.8</v>
          </cell>
          <cell r="I258" t="str">
            <v>77806_SF106678</v>
          </cell>
        </row>
        <row r="259">
          <cell r="D259" t="str">
            <v>R</v>
          </cell>
          <cell r="E259" t="str">
            <v>FB250013477</v>
          </cell>
          <cell r="G259">
            <v>0.8</v>
          </cell>
          <cell r="I259" t="str">
            <v>80610_SJ018425</v>
          </cell>
        </row>
        <row r="260">
          <cell r="D260" t="str">
            <v>Q1</v>
          </cell>
          <cell r="E260" t="str">
            <v>A</v>
          </cell>
          <cell r="G260">
            <v>0.8</v>
          </cell>
          <cell r="I260" t="str">
            <v>82592_SW084573</v>
          </cell>
        </row>
        <row r="261">
          <cell r="D261" t="str">
            <v>Q1</v>
          </cell>
          <cell r="E261" t="str">
            <v>A</v>
          </cell>
          <cell r="G261">
            <v>0.8</v>
          </cell>
          <cell r="I261" t="str">
            <v>85929_SW108150</v>
          </cell>
        </row>
        <row r="262">
          <cell r="D262" t="str">
            <v>Q4</v>
          </cell>
          <cell r="E262" t="str">
            <v>A</v>
          </cell>
          <cell r="G262">
            <v>0.8</v>
          </cell>
          <cell r="I262" t="str">
            <v>C000001291_SF106477</v>
          </cell>
        </row>
        <row r="263">
          <cell r="D263" t="str">
            <v>Q1</v>
          </cell>
          <cell r="E263" t="str">
            <v>FB250029036</v>
          </cell>
          <cell r="G263">
            <v>0.8</v>
          </cell>
          <cell r="I263" t="str">
            <v>69270_SW106176</v>
          </cell>
        </row>
        <row r="264">
          <cell r="D264" t="str">
            <v>Q2</v>
          </cell>
          <cell r="E264" t="str">
            <v>FB260003157</v>
          </cell>
          <cell r="G264">
            <v>0.8</v>
          </cell>
          <cell r="I264" t="str">
            <v>50947_SF051188</v>
          </cell>
        </row>
        <row r="265">
          <cell r="D265" t="str">
            <v>Q1</v>
          </cell>
          <cell r="E265" t="str">
            <v>FB260001100</v>
          </cell>
          <cell r="G265">
            <v>0.8</v>
          </cell>
          <cell r="I265" t="str">
            <v>66428_SF105061</v>
          </cell>
        </row>
        <row r="266">
          <cell r="D266" t="str">
            <v>R</v>
          </cell>
          <cell r="E266" t="str">
            <v>FB250025593</v>
          </cell>
          <cell r="I266" t="str">
            <v>C000000480_SF106477</v>
          </cell>
        </row>
        <row r="267">
          <cell r="D267" t="str">
            <v>R</v>
          </cell>
          <cell r="E267" t="str">
            <v>FB250027553</v>
          </cell>
          <cell r="I267" t="str">
            <v>83316_SJ108651</v>
          </cell>
        </row>
        <row r="268">
          <cell r="D268" t="str">
            <v>R</v>
          </cell>
          <cell r="E268" t="str">
            <v>FB250027553</v>
          </cell>
          <cell r="I268" t="str">
            <v>83317_SJ108651</v>
          </cell>
        </row>
        <row r="269">
          <cell r="D269" t="str">
            <v>R</v>
          </cell>
          <cell r="E269" t="str">
            <v>FB250027553</v>
          </cell>
          <cell r="I269" t="str">
            <v>53315_SJ108651</v>
          </cell>
        </row>
        <row r="270">
          <cell r="D270" t="str">
            <v>R</v>
          </cell>
          <cell r="E270" t="str">
            <v>FB250025292</v>
          </cell>
          <cell r="I270" t="str">
            <v>83475_SW087953</v>
          </cell>
        </row>
        <row r="271">
          <cell r="D271" t="str">
            <v>Q4</v>
          </cell>
          <cell r="E271" t="str">
            <v>FB250022698</v>
          </cell>
          <cell r="G271">
            <v>0.8</v>
          </cell>
          <cell r="I271" t="str">
            <v>83479_SW099504</v>
          </cell>
        </row>
        <row r="272">
          <cell r="D272" t="str">
            <v>Q4</v>
          </cell>
          <cell r="E272" t="str">
            <v>FB250007258</v>
          </cell>
          <cell r="G272">
            <v>0.8</v>
          </cell>
          <cell r="I272" t="str">
            <v>66488_SW105063</v>
          </cell>
        </row>
        <row r="273">
          <cell r="D273" t="str">
            <v>Q4</v>
          </cell>
          <cell r="E273" t="str">
            <v>FB250007258</v>
          </cell>
          <cell r="G273">
            <v>0.8</v>
          </cell>
          <cell r="I273" t="str">
            <v>66488_SS059431</v>
          </cell>
        </row>
        <row r="274">
          <cell r="D274" t="str">
            <v>Q4</v>
          </cell>
          <cell r="E274" t="str">
            <v>FB260002436</v>
          </cell>
          <cell r="G274">
            <v>0.8</v>
          </cell>
          <cell r="I274" t="str">
            <v>66489_SW085387</v>
          </cell>
        </row>
        <row r="275">
          <cell r="D275" t="str">
            <v>Q4</v>
          </cell>
          <cell r="E275" t="str">
            <v>FB260002436</v>
          </cell>
          <cell r="G275">
            <v>0.8</v>
          </cell>
          <cell r="I275" t="str">
            <v>66489_SSS059237</v>
          </cell>
        </row>
        <row r="276">
          <cell r="D276" t="str">
            <v>Q4</v>
          </cell>
          <cell r="E276">
            <v>1886992</v>
          </cell>
          <cell r="G276">
            <v>0.8</v>
          </cell>
          <cell r="I276" t="str">
            <v>66432_SW105063</v>
          </cell>
        </row>
        <row r="277">
          <cell r="D277" t="str">
            <v>Q4</v>
          </cell>
          <cell r="E277">
            <v>1886992</v>
          </cell>
          <cell r="G277">
            <v>0.8</v>
          </cell>
          <cell r="I277" t="str">
            <v>66432_SS059431</v>
          </cell>
        </row>
        <row r="278">
          <cell r="D278" t="str">
            <v>Q3</v>
          </cell>
          <cell r="E278" t="str">
            <v>A</v>
          </cell>
          <cell r="G278">
            <v>0.8</v>
          </cell>
          <cell r="I278" t="str">
            <v>C000001799_SW084573</v>
          </cell>
        </row>
        <row r="279">
          <cell r="D279" t="str">
            <v>Q3</v>
          </cell>
          <cell r="E279">
            <v>1886998</v>
          </cell>
          <cell r="G279">
            <v>0.8</v>
          </cell>
          <cell r="I279" t="str">
            <v>66432_SW105065</v>
          </cell>
        </row>
        <row r="280">
          <cell r="D280" t="str">
            <v>R</v>
          </cell>
          <cell r="E280" t="str">
            <v>FB260005864</v>
          </cell>
          <cell r="I280" t="str">
            <v>84235_SW104615</v>
          </cell>
        </row>
        <row r="281">
          <cell r="D281" t="str">
            <v>R</v>
          </cell>
          <cell r="E281" t="str">
            <v>FB260004774</v>
          </cell>
          <cell r="I281" t="str">
            <v>81439_SJ053535</v>
          </cell>
        </row>
        <row r="282">
          <cell r="D282" t="str">
            <v>R</v>
          </cell>
          <cell r="E282" t="str">
            <v>FB260003848</v>
          </cell>
          <cell r="I282" t="str">
            <v>81289_SJ106665</v>
          </cell>
        </row>
        <row r="283">
          <cell r="D283" t="str">
            <v>R</v>
          </cell>
          <cell r="E283" t="str">
            <v>FB250022201</v>
          </cell>
          <cell r="I283" t="str">
            <v>87253_SJ109722</v>
          </cell>
        </row>
        <row r="284">
          <cell r="D284" t="str">
            <v>Q4</v>
          </cell>
          <cell r="E284" t="str">
            <v>A</v>
          </cell>
          <cell r="G284">
            <v>0.8</v>
          </cell>
          <cell r="I284" t="str">
            <v>C000002047_SW042931</v>
          </cell>
        </row>
        <row r="285">
          <cell r="D285" t="str">
            <v>Q4</v>
          </cell>
          <cell r="E285" t="str">
            <v>D</v>
          </cell>
          <cell r="G285">
            <v>0.8</v>
          </cell>
          <cell r="I285" t="str">
            <v>85354_SW040921</v>
          </cell>
        </row>
        <row r="286">
          <cell r="D286" t="str">
            <v>Q1</v>
          </cell>
          <cell r="E286" t="str">
            <v>I</v>
          </cell>
          <cell r="G286">
            <v>0.8</v>
          </cell>
          <cell r="I286" t="str">
            <v>85354_SF060100</v>
          </cell>
        </row>
        <row r="287">
          <cell r="D287" t="str">
            <v>Q3</v>
          </cell>
          <cell r="E287" t="str">
            <v>A</v>
          </cell>
          <cell r="G287">
            <v>0.8</v>
          </cell>
          <cell r="I287" t="str">
            <v>C000002037_SW107322</v>
          </cell>
        </row>
        <row r="288">
          <cell r="D288" t="str">
            <v>Q2</v>
          </cell>
          <cell r="E288" t="str">
            <v>C</v>
          </cell>
          <cell r="G288">
            <v>0.8</v>
          </cell>
          <cell r="I288" t="str">
            <v>64085_SW107322</v>
          </cell>
        </row>
        <row r="289">
          <cell r="D289" t="str">
            <v>Q1</v>
          </cell>
          <cell r="E289" t="str">
            <v>FB250028737</v>
          </cell>
          <cell r="G289">
            <v>0.8</v>
          </cell>
          <cell r="I289" t="str">
            <v>33059_SF106678</v>
          </cell>
        </row>
        <row r="290">
          <cell r="D290" t="str">
            <v>R</v>
          </cell>
          <cell r="E290" t="str">
            <v>FB250008655</v>
          </cell>
          <cell r="I290" t="str">
            <v>84040_SJ101435</v>
          </cell>
        </row>
        <row r="291">
          <cell r="D291" t="str">
            <v>R</v>
          </cell>
          <cell r="E291" t="str">
            <v>FB250008655</v>
          </cell>
          <cell r="I291" t="str">
            <v>49688_SJ101435</v>
          </cell>
        </row>
        <row r="292">
          <cell r="D292" t="str">
            <v>R</v>
          </cell>
          <cell r="E292" t="str">
            <v>FB250008655</v>
          </cell>
          <cell r="I292" t="str">
            <v>49688_SJ101435</v>
          </cell>
        </row>
        <row r="293">
          <cell r="D293" t="str">
            <v>Q1</v>
          </cell>
          <cell r="E293" t="str">
            <v>FB250023393</v>
          </cell>
          <cell r="G293">
            <v>0.8</v>
          </cell>
          <cell r="I293" t="str">
            <v>51044_SW102692</v>
          </cell>
        </row>
        <row r="294">
          <cell r="D294" t="str">
            <v>Q4</v>
          </cell>
          <cell r="E294" t="str">
            <v>FB250000525</v>
          </cell>
          <cell r="G294">
            <v>0.8</v>
          </cell>
          <cell r="I294" t="str">
            <v>80665_SW104745</v>
          </cell>
        </row>
        <row r="295">
          <cell r="D295" t="str">
            <v>Q1</v>
          </cell>
          <cell r="E295">
            <v>1879418</v>
          </cell>
          <cell r="G295">
            <v>0.8</v>
          </cell>
          <cell r="I295" t="str">
            <v>87080_SJ102177</v>
          </cell>
        </row>
        <row r="296">
          <cell r="D296" t="str">
            <v>Q1</v>
          </cell>
          <cell r="E296" t="str">
            <v>A</v>
          </cell>
          <cell r="G296">
            <v>0.8</v>
          </cell>
          <cell r="I296" t="str">
            <v>C000000037_SW109695</v>
          </cell>
        </row>
        <row r="297">
          <cell r="D297" t="str">
            <v>Q3</v>
          </cell>
          <cell r="E297" t="str">
            <v>A</v>
          </cell>
          <cell r="G297">
            <v>0.8</v>
          </cell>
          <cell r="I297" t="str">
            <v>C000000034_SW105171</v>
          </cell>
        </row>
        <row r="298">
          <cell r="D298" t="str">
            <v>Q1</v>
          </cell>
          <cell r="E298" t="str">
            <v>A</v>
          </cell>
          <cell r="G298">
            <v>0.8</v>
          </cell>
          <cell r="I298" t="str">
            <v>C000001190_SW046990</v>
          </cell>
        </row>
        <row r="299">
          <cell r="D299" t="str">
            <v>Q4</v>
          </cell>
          <cell r="E299" t="str">
            <v>A</v>
          </cell>
          <cell r="G299">
            <v>0.8</v>
          </cell>
          <cell r="I299" t="str">
            <v>C000001190_SW048171</v>
          </cell>
        </row>
        <row r="300">
          <cell r="D300" t="str">
            <v>Q4</v>
          </cell>
          <cell r="E300" t="str">
            <v>A</v>
          </cell>
          <cell r="G300">
            <v>0.8</v>
          </cell>
          <cell r="I300" t="str">
            <v>C000000034_SW109695</v>
          </cell>
        </row>
        <row r="301">
          <cell r="D301" t="str">
            <v>Q2</v>
          </cell>
          <cell r="E301" t="str">
            <v>A</v>
          </cell>
          <cell r="G301">
            <v>0.8</v>
          </cell>
          <cell r="I301" t="str">
            <v>86554_SW084573</v>
          </cell>
        </row>
        <row r="302">
          <cell r="D302" t="str">
            <v>Q3</v>
          </cell>
          <cell r="E302" t="str">
            <v>FB260002918</v>
          </cell>
          <cell r="G302">
            <v>0.8</v>
          </cell>
          <cell r="I302" t="str">
            <v>C000001013_SJ108651</v>
          </cell>
        </row>
        <row r="303">
          <cell r="D303" t="str">
            <v>Q3</v>
          </cell>
          <cell r="E303" t="str">
            <v>FB260002857</v>
          </cell>
          <cell r="G303">
            <v>0.8</v>
          </cell>
          <cell r="I303" t="str">
            <v>C000000564_SW046485</v>
          </cell>
        </row>
        <row r="304">
          <cell r="D304" t="str">
            <v>Q3</v>
          </cell>
          <cell r="E304" t="str">
            <v>FB260003845</v>
          </cell>
          <cell r="G304">
            <v>0.8</v>
          </cell>
          <cell r="I304" t="str">
            <v>C000000969_SF106477</v>
          </cell>
        </row>
        <row r="305">
          <cell r="D305" t="str">
            <v>Q1</v>
          </cell>
          <cell r="E305" t="str">
            <v>B</v>
          </cell>
          <cell r="G305">
            <v>0.8</v>
          </cell>
          <cell r="I305" t="str">
            <v>C000002094_SW104745</v>
          </cell>
        </row>
        <row r="306">
          <cell r="D306" t="str">
            <v>Q1</v>
          </cell>
          <cell r="E306" t="str">
            <v>A</v>
          </cell>
          <cell r="G306">
            <v>0.8</v>
          </cell>
          <cell r="I306" t="str">
            <v>C000002089_SW042931</v>
          </cell>
        </row>
        <row r="307">
          <cell r="D307" t="str">
            <v>Q4</v>
          </cell>
          <cell r="E307" t="str">
            <v>D</v>
          </cell>
          <cell r="G307">
            <v>0.8</v>
          </cell>
          <cell r="I307" t="str">
            <v>C000002138_SW042931</v>
          </cell>
        </row>
        <row r="308">
          <cell r="D308" t="str">
            <v>R</v>
          </cell>
          <cell r="E308" t="str">
            <v>FB260002591</v>
          </cell>
          <cell r="I308" t="str">
            <v>C000000614_SW108917</v>
          </cell>
        </row>
        <row r="309">
          <cell r="D309" t="str">
            <v>Q1</v>
          </cell>
          <cell r="E309" t="str">
            <v>FB250023378</v>
          </cell>
          <cell r="G309">
            <v>0.8</v>
          </cell>
          <cell r="I309" t="str">
            <v>83469_SW099504</v>
          </cell>
        </row>
        <row r="310">
          <cell r="D310" t="str">
            <v>Q2</v>
          </cell>
          <cell r="E310" t="str">
            <v>A</v>
          </cell>
          <cell r="G310">
            <v>0.8</v>
          </cell>
          <cell r="I310" t="str">
            <v>C000000689_SJ053535</v>
          </cell>
        </row>
        <row r="311">
          <cell r="D311" t="str">
            <v>Q4</v>
          </cell>
          <cell r="E311" t="str">
            <v>G</v>
          </cell>
          <cell r="G311">
            <v>0.8</v>
          </cell>
          <cell r="I311" t="str">
            <v>C000000104_SW1090290</v>
          </cell>
        </row>
        <row r="312">
          <cell r="D312" t="str">
            <v>Q3</v>
          </cell>
          <cell r="E312" t="str">
            <v>FB260004711</v>
          </cell>
          <cell r="G312">
            <v>0.8</v>
          </cell>
          <cell r="I312" t="str">
            <v>80891_SW040921</v>
          </cell>
        </row>
        <row r="313">
          <cell r="D313" t="str">
            <v>R</v>
          </cell>
          <cell r="E313" t="str">
            <v>FB260002971</v>
          </cell>
          <cell r="I313" t="str">
            <v>61471_SF060100</v>
          </cell>
        </row>
        <row r="314">
          <cell r="D314" t="str">
            <v>R</v>
          </cell>
          <cell r="E314" t="str">
            <v>FB260006300</v>
          </cell>
          <cell r="I314" t="str">
            <v>69748_SW048171</v>
          </cell>
        </row>
        <row r="315">
          <cell r="D315" t="str">
            <v>Q4</v>
          </cell>
          <cell r="E315" t="str">
            <v>B</v>
          </cell>
          <cell r="G315">
            <v>0.8</v>
          </cell>
          <cell r="I315" t="str">
            <v>C000002039_SW042931</v>
          </cell>
        </row>
        <row r="316">
          <cell r="D316" t="str">
            <v>R</v>
          </cell>
          <cell r="E316" t="str">
            <v>FB260004858</v>
          </cell>
          <cell r="I316" t="str">
            <v>C000001544_SJ106185</v>
          </cell>
        </row>
        <row r="317">
          <cell r="D317" t="str">
            <v>Q3</v>
          </cell>
          <cell r="E317" t="str">
            <v>A</v>
          </cell>
          <cell r="G317">
            <v>0.8</v>
          </cell>
          <cell r="I317" t="str">
            <v>C000000601_SW040921</v>
          </cell>
        </row>
        <row r="318">
          <cell r="D318" t="str">
            <v>Q3</v>
          </cell>
          <cell r="E318" t="str">
            <v>A</v>
          </cell>
          <cell r="G318">
            <v>0.8</v>
          </cell>
          <cell r="I318" t="str">
            <v>79380_SW106176</v>
          </cell>
        </row>
        <row r="319">
          <cell r="D319" t="str">
            <v>Q2</v>
          </cell>
          <cell r="E319" t="str">
            <v>A</v>
          </cell>
          <cell r="G319">
            <v>0.8</v>
          </cell>
          <cell r="I319" t="str">
            <v>C000002097_SW048171</v>
          </cell>
        </row>
        <row r="320">
          <cell r="D320" t="str">
            <v>Q1</v>
          </cell>
          <cell r="E320" t="str">
            <v>A</v>
          </cell>
          <cell r="G320">
            <v>0.8</v>
          </cell>
          <cell r="I320" t="str">
            <v>C000000616_SF106477</v>
          </cell>
        </row>
        <row r="321">
          <cell r="D321" t="str">
            <v>Q1</v>
          </cell>
          <cell r="E321" t="str">
            <v>A</v>
          </cell>
          <cell r="G321">
            <v>0.8</v>
          </cell>
          <cell r="I321" t="str">
            <v>C000002003_SW048171</v>
          </cell>
        </row>
        <row r="322">
          <cell r="D322" t="str">
            <v>Q4</v>
          </cell>
          <cell r="E322" t="str">
            <v>A</v>
          </cell>
          <cell r="G322">
            <v>0.8</v>
          </cell>
          <cell r="I322" t="str">
            <v>C000001991_SW046455</v>
          </cell>
        </row>
        <row r="323">
          <cell r="D323" t="str">
            <v>Q1</v>
          </cell>
          <cell r="E323" t="str">
            <v>A</v>
          </cell>
          <cell r="G323">
            <v>0.8</v>
          </cell>
          <cell r="I323" t="str">
            <v>C000001991_SW048171</v>
          </cell>
        </row>
        <row r="324">
          <cell r="D324" t="str">
            <v>Q1</v>
          </cell>
          <cell r="E324" t="str">
            <v>B</v>
          </cell>
          <cell r="G324">
            <v>0.8</v>
          </cell>
          <cell r="I324" t="str">
            <v>C000001349_SJ108731</v>
          </cell>
        </row>
        <row r="325">
          <cell r="D325" t="str">
            <v>Q3</v>
          </cell>
          <cell r="E325" t="str">
            <v>E</v>
          </cell>
          <cell r="G325">
            <v>0.8</v>
          </cell>
          <cell r="I325" t="str">
            <v>64085_SW104745</v>
          </cell>
        </row>
        <row r="326">
          <cell r="D326" t="str">
            <v>Q3</v>
          </cell>
          <cell r="E326" t="str">
            <v>C</v>
          </cell>
          <cell r="G326">
            <v>0.8</v>
          </cell>
          <cell r="I326" t="str">
            <v>64085_SW053308</v>
          </cell>
        </row>
        <row r="327">
          <cell r="D327" t="str">
            <v>Q4</v>
          </cell>
          <cell r="E327" t="str">
            <v>FB250009265</v>
          </cell>
          <cell r="G327">
            <v>0.8</v>
          </cell>
          <cell r="I327" t="str">
            <v>80080_SW052249</v>
          </cell>
        </row>
        <row r="328">
          <cell r="D328" t="str">
            <v>Q1</v>
          </cell>
          <cell r="E328" t="str">
            <v>FB260003014</v>
          </cell>
          <cell r="G328">
            <v>0.8</v>
          </cell>
          <cell r="I328" t="str">
            <v>77806_SF106477</v>
          </cell>
        </row>
        <row r="329">
          <cell r="D329" t="str">
            <v>R</v>
          </cell>
          <cell r="E329" t="str">
            <v>FB260002879</v>
          </cell>
          <cell r="I329" t="str">
            <v>84235_SW101499</v>
          </cell>
        </row>
        <row r="330">
          <cell r="D330" t="str">
            <v>R</v>
          </cell>
          <cell r="E330" t="str">
            <v>FB260003528</v>
          </cell>
          <cell r="I330" t="str">
            <v>79265_SW107322</v>
          </cell>
        </row>
        <row r="331">
          <cell r="D331" t="str">
            <v>R</v>
          </cell>
          <cell r="E331" t="str">
            <v>FB260004694</v>
          </cell>
          <cell r="I331" t="str">
            <v>C000000696_SJ106185</v>
          </cell>
        </row>
        <row r="332">
          <cell r="D332" t="str">
            <v>Q1</v>
          </cell>
          <cell r="E332" t="str">
            <v>FB260002031</v>
          </cell>
          <cell r="G332">
            <v>0.8</v>
          </cell>
          <cell r="I332" t="str">
            <v>77983_SF106477</v>
          </cell>
        </row>
        <row r="333">
          <cell r="D333" t="str">
            <v>Q3</v>
          </cell>
          <cell r="E333" t="str">
            <v>FB250029021</v>
          </cell>
          <cell r="G333">
            <v>0.8</v>
          </cell>
          <cell r="I333" t="str">
            <v>85938_SF106678</v>
          </cell>
        </row>
        <row r="334">
          <cell r="D334" t="str">
            <v>Q3</v>
          </cell>
          <cell r="E334" t="str">
            <v>FB260004336</v>
          </cell>
          <cell r="G334">
            <v>1.2</v>
          </cell>
          <cell r="I334" t="str">
            <v>82284_SW108150</v>
          </cell>
        </row>
        <row r="335">
          <cell r="D335" t="str">
            <v>Q1</v>
          </cell>
          <cell r="E335" t="str">
            <v>FB260002366</v>
          </cell>
          <cell r="G335">
            <v>0.8</v>
          </cell>
          <cell r="I335" t="str">
            <v>59235_SF010404</v>
          </cell>
        </row>
        <row r="336">
          <cell r="D336" t="str">
            <v>Q2</v>
          </cell>
          <cell r="E336" t="str">
            <v>FB260004249</v>
          </cell>
          <cell r="G336">
            <v>0.8</v>
          </cell>
          <cell r="I336" t="str">
            <v>83688_SJ109854</v>
          </cell>
        </row>
        <row r="337">
          <cell r="I337" t="str">
            <v>83688_SJ109735</v>
          </cell>
        </row>
        <row r="338">
          <cell r="D338" t="str">
            <v>Q1</v>
          </cell>
          <cell r="E338" t="str">
            <v>FB250020726</v>
          </cell>
          <cell r="G338">
            <v>0.8</v>
          </cell>
          <cell r="I338" t="str">
            <v>11051_SW006855</v>
          </cell>
        </row>
        <row r="339">
          <cell r="D339" t="str">
            <v>R</v>
          </cell>
          <cell r="E339" t="str">
            <v>FB260006360</v>
          </cell>
          <cell r="I339" t="str">
            <v>86478_SJ106665</v>
          </cell>
        </row>
        <row r="340">
          <cell r="D340" t="str">
            <v>R</v>
          </cell>
          <cell r="E340" t="str">
            <v>FB250013927</v>
          </cell>
          <cell r="I340" t="str">
            <v>80609_SJ018425</v>
          </cell>
        </row>
        <row r="341">
          <cell r="D341" t="str">
            <v>Q3</v>
          </cell>
          <cell r="E341">
            <v>1876392</v>
          </cell>
          <cell r="G341">
            <v>0.8</v>
          </cell>
          <cell r="I341" t="str">
            <v>69750_SW046990</v>
          </cell>
        </row>
        <row r="342">
          <cell r="D342" t="str">
            <v>Q3</v>
          </cell>
          <cell r="E342" t="str">
            <v>FB260001954</v>
          </cell>
          <cell r="G342">
            <v>0.8</v>
          </cell>
          <cell r="I342" t="str">
            <v>79380_SF106477</v>
          </cell>
        </row>
        <row r="343">
          <cell r="D343" t="str">
            <v>Q2</v>
          </cell>
          <cell r="E343" t="str">
            <v>FB250019549</v>
          </cell>
          <cell r="G343">
            <v>0.8</v>
          </cell>
          <cell r="I343" t="str">
            <v>84906_SJ109735</v>
          </cell>
        </row>
        <row r="344">
          <cell r="D344" t="str">
            <v>Q3</v>
          </cell>
          <cell r="E344" t="str">
            <v>FB260002258</v>
          </cell>
          <cell r="G344">
            <v>0.8</v>
          </cell>
          <cell r="I344" t="str">
            <v>84088_SF106477</v>
          </cell>
        </row>
        <row r="345">
          <cell r="D345" t="str">
            <v>Q2</v>
          </cell>
          <cell r="E345">
            <v>1883976</v>
          </cell>
          <cell r="G345">
            <v>0.8</v>
          </cell>
          <cell r="I345" t="str">
            <v>83473_SW087953</v>
          </cell>
        </row>
        <row r="346">
          <cell r="D346" t="str">
            <v>Q3</v>
          </cell>
          <cell r="E346" t="str">
            <v>D</v>
          </cell>
          <cell r="G346">
            <v>0.8</v>
          </cell>
          <cell r="I346" t="str">
            <v>86671_SJ109347</v>
          </cell>
        </row>
        <row r="347">
          <cell r="D347" t="str">
            <v>Q3</v>
          </cell>
          <cell r="E347" t="str">
            <v>D</v>
          </cell>
          <cell r="G347">
            <v>0.8</v>
          </cell>
          <cell r="I347" t="str">
            <v>86671_SJ109521</v>
          </cell>
        </row>
        <row r="348">
          <cell r="D348" t="str">
            <v>Q4</v>
          </cell>
          <cell r="E348" t="str">
            <v>A</v>
          </cell>
          <cell r="G348">
            <v>0.8</v>
          </cell>
          <cell r="I348" t="str">
            <v>C000000599_SW046526</v>
          </cell>
        </row>
        <row r="349">
          <cell r="D349" t="str">
            <v>Q1</v>
          </cell>
          <cell r="E349" t="str">
            <v>FB250012282</v>
          </cell>
          <cell r="G349">
            <v>0.8</v>
          </cell>
          <cell r="I349" t="str">
            <v>C000000392_SF012050</v>
          </cell>
        </row>
        <row r="350">
          <cell r="D350" t="str">
            <v>Q1</v>
          </cell>
          <cell r="E350" t="str">
            <v>FB250022911</v>
          </cell>
          <cell r="G350">
            <v>0.8</v>
          </cell>
          <cell r="I350" t="str">
            <v>87496_SW084573</v>
          </cell>
        </row>
        <row r="351">
          <cell r="D351" t="str">
            <v>Q3</v>
          </cell>
          <cell r="E351" t="str">
            <v>FB250027213</v>
          </cell>
          <cell r="G351">
            <v>0.8</v>
          </cell>
          <cell r="I351" t="str">
            <v>C000001347_SF106678</v>
          </cell>
        </row>
        <row r="352">
          <cell r="D352" t="str">
            <v>Q4</v>
          </cell>
          <cell r="E352" t="str">
            <v>FB260002729</v>
          </cell>
          <cell r="G352">
            <v>0.8</v>
          </cell>
          <cell r="I352" t="str">
            <v>86609_SW084573</v>
          </cell>
        </row>
        <row r="353">
          <cell r="D353" t="str">
            <v>NO</v>
          </cell>
          <cell r="E353" t="str">
            <v>FB260004472</v>
          </cell>
          <cell r="I353" t="str">
            <v>C000001681_SF048858</v>
          </cell>
        </row>
        <row r="354">
          <cell r="D354" t="str">
            <v>Q4</v>
          </cell>
          <cell r="E354" t="str">
            <v>B</v>
          </cell>
          <cell r="G354">
            <v>0.8</v>
          </cell>
          <cell r="I354" t="str">
            <v>C000002057_SW107322</v>
          </cell>
        </row>
        <row r="355">
          <cell r="D355" t="str">
            <v>Q2</v>
          </cell>
          <cell r="E355" t="str">
            <v>FB260006239</v>
          </cell>
          <cell r="G355">
            <v>0.8</v>
          </cell>
          <cell r="I355" t="str">
            <v>C000002176_SW048171</v>
          </cell>
        </row>
        <row r="356">
          <cell r="D356" t="str">
            <v>Q2</v>
          </cell>
          <cell r="E356" t="str">
            <v>A</v>
          </cell>
          <cell r="G356">
            <v>0.8</v>
          </cell>
          <cell r="I356" t="str">
            <v>C000002122_SJ053535</v>
          </cell>
        </row>
        <row r="357">
          <cell r="D357" t="str">
            <v>Q1</v>
          </cell>
          <cell r="E357" t="str">
            <v>C</v>
          </cell>
          <cell r="G357">
            <v>0.8</v>
          </cell>
          <cell r="I357" t="str">
            <v>61572_SW040872</v>
          </cell>
        </row>
        <row r="358">
          <cell r="D358" t="str">
            <v>R</v>
          </cell>
          <cell r="E358" t="str">
            <v>FB260003748</v>
          </cell>
          <cell r="I358" t="str">
            <v>21083_SW106176</v>
          </cell>
        </row>
        <row r="359">
          <cell r="D359" t="str">
            <v>R</v>
          </cell>
          <cell r="E359" t="str">
            <v>FB250019820</v>
          </cell>
          <cell r="I359" t="str">
            <v>80200_SW040921</v>
          </cell>
        </row>
        <row r="360">
          <cell r="D360" t="str">
            <v>R</v>
          </cell>
          <cell r="E360" t="str">
            <v>FB250023255</v>
          </cell>
          <cell r="I360" t="str">
            <v>22287_SW090822</v>
          </cell>
        </row>
        <row r="361">
          <cell r="D361" t="str">
            <v>Q2</v>
          </cell>
          <cell r="E361" t="str">
            <v>FB250009558</v>
          </cell>
          <cell r="G361">
            <v>0.8</v>
          </cell>
          <cell r="I361" t="str">
            <v>54922_SW108150</v>
          </cell>
        </row>
        <row r="362">
          <cell r="D362" t="str">
            <v>Q4</v>
          </cell>
          <cell r="E362" t="str">
            <v>A</v>
          </cell>
          <cell r="I362" t="str">
            <v>C000002137_SW104745</v>
          </cell>
        </row>
        <row r="363">
          <cell r="D363" t="str">
            <v>Q4</v>
          </cell>
          <cell r="E363">
            <v>1875478</v>
          </cell>
          <cell r="G363">
            <v>0.7</v>
          </cell>
          <cell r="I363" t="str">
            <v>69750_SW048171</v>
          </cell>
        </row>
        <row r="364">
          <cell r="D364" t="str">
            <v>Q3</v>
          </cell>
          <cell r="E364" t="str">
            <v>A</v>
          </cell>
          <cell r="G364">
            <v>0.8</v>
          </cell>
          <cell r="I364" t="str">
            <v>85702_SW084573</v>
          </cell>
        </row>
        <row r="365">
          <cell r="D365" t="str">
            <v>Q2</v>
          </cell>
          <cell r="E365" t="str">
            <v>FB260004325</v>
          </cell>
          <cell r="G365">
            <v>0.8</v>
          </cell>
          <cell r="I365" t="str">
            <v>79791_SW041276</v>
          </cell>
        </row>
        <row r="366">
          <cell r="D366" t="str">
            <v>Q1</v>
          </cell>
          <cell r="E366" t="str">
            <v>C</v>
          </cell>
          <cell r="G366">
            <v>0.8</v>
          </cell>
          <cell r="I366" t="str">
            <v>C000000501_SW099504</v>
          </cell>
        </row>
        <row r="367">
          <cell r="D367" t="str">
            <v>Q2</v>
          </cell>
          <cell r="E367" t="str">
            <v>D</v>
          </cell>
          <cell r="G367">
            <v>0.8</v>
          </cell>
          <cell r="I367" t="str">
            <v>C000001689_SF051188</v>
          </cell>
        </row>
        <row r="368">
          <cell r="D368" t="str">
            <v>Q3</v>
          </cell>
          <cell r="E368" t="str">
            <v>G</v>
          </cell>
          <cell r="G368">
            <v>0.8</v>
          </cell>
          <cell r="I368" t="str">
            <v>C0000001254_SW099504</v>
          </cell>
        </row>
        <row r="369">
          <cell r="D369" t="str">
            <v>Q3</v>
          </cell>
          <cell r="E369" t="str">
            <v>A</v>
          </cell>
          <cell r="G369">
            <v>0.8</v>
          </cell>
          <cell r="I369" t="str">
            <v>C0000001076_SW050386</v>
          </cell>
        </row>
        <row r="370">
          <cell r="D370" t="str">
            <v>Q4</v>
          </cell>
          <cell r="E370" t="str">
            <v>FB260001837</v>
          </cell>
          <cell r="G370">
            <v>0.8</v>
          </cell>
          <cell r="I370" t="str">
            <v>C000001248_SW099504</v>
          </cell>
        </row>
        <row r="371">
          <cell r="D371" t="str">
            <v>R</v>
          </cell>
          <cell r="E371" t="str">
            <v>B</v>
          </cell>
          <cell r="I371" t="str">
            <v>C000000038_SJ108993</v>
          </cell>
        </row>
        <row r="372">
          <cell r="D372" t="str">
            <v>R</v>
          </cell>
          <cell r="E372" t="str">
            <v>B</v>
          </cell>
          <cell r="I372" t="str">
            <v>C000000038_SJ108359</v>
          </cell>
        </row>
        <row r="373">
          <cell r="D373" t="str">
            <v>Q4</v>
          </cell>
          <cell r="E373" t="str">
            <v>FB260001166</v>
          </cell>
          <cell r="G373">
            <v>0.8</v>
          </cell>
          <cell r="I373" t="str">
            <v>C000001318_SW090822</v>
          </cell>
        </row>
        <row r="374">
          <cell r="D374" t="str">
            <v>R</v>
          </cell>
          <cell r="E374" t="str">
            <v>FB260000470</v>
          </cell>
          <cell r="I374" t="str">
            <v>C000000040_SJ108359</v>
          </cell>
        </row>
        <row r="375">
          <cell r="D375" t="str">
            <v>R</v>
          </cell>
          <cell r="E375" t="str">
            <v>FB260000470</v>
          </cell>
          <cell r="I375" t="str">
            <v>C000000040_SJ108993</v>
          </cell>
        </row>
        <row r="376">
          <cell r="D376" t="str">
            <v>R</v>
          </cell>
          <cell r="E376" t="str">
            <v>FB250003958</v>
          </cell>
          <cell r="I376" t="str">
            <v>C000000084_SJ110442</v>
          </cell>
        </row>
        <row r="377">
          <cell r="D377" t="str">
            <v>Q3</v>
          </cell>
          <cell r="E377" t="str">
            <v>D</v>
          </cell>
          <cell r="G377">
            <v>0.8</v>
          </cell>
          <cell r="I377" t="str">
            <v>84987_SW099504</v>
          </cell>
        </row>
        <row r="378">
          <cell r="D378" t="str">
            <v>Q4</v>
          </cell>
          <cell r="E378">
            <v>1875999</v>
          </cell>
          <cell r="G378">
            <v>0.8</v>
          </cell>
          <cell r="I378" t="str">
            <v>79264_SW104745</v>
          </cell>
        </row>
        <row r="379">
          <cell r="D379" t="str">
            <v>Q4</v>
          </cell>
          <cell r="E379" t="str">
            <v>FB250012519</v>
          </cell>
          <cell r="G379">
            <v>0.8</v>
          </cell>
          <cell r="I379" t="str">
            <v>80620_SF051188</v>
          </cell>
        </row>
        <row r="380">
          <cell r="D380" t="str">
            <v>Q2</v>
          </cell>
          <cell r="E380" t="str">
            <v>C3</v>
          </cell>
          <cell r="G380">
            <v>0.8</v>
          </cell>
          <cell r="I380" t="str">
            <v>54408_SW000770</v>
          </cell>
        </row>
        <row r="381">
          <cell r="D381" t="str">
            <v>Q4</v>
          </cell>
          <cell r="E381">
            <v>1868475</v>
          </cell>
          <cell r="G381">
            <v>0.8</v>
          </cell>
          <cell r="I381" t="str">
            <v>64159_SW084573</v>
          </cell>
        </row>
        <row r="382">
          <cell r="D382" t="str">
            <v>Q3</v>
          </cell>
          <cell r="E382" t="str">
            <v>FB260000867</v>
          </cell>
          <cell r="G382">
            <v>0.8</v>
          </cell>
          <cell r="I382" t="str">
            <v>59801_SF106477</v>
          </cell>
        </row>
        <row r="383">
          <cell r="D383" t="str">
            <v>R</v>
          </cell>
          <cell r="E383" t="str">
            <v>FB250016698</v>
          </cell>
          <cell r="I383" t="str">
            <v>85289_SJ109848</v>
          </cell>
        </row>
        <row r="384">
          <cell r="D384" t="str">
            <v>R</v>
          </cell>
          <cell r="E384" t="str">
            <v>FB250016698</v>
          </cell>
          <cell r="I384" t="str">
            <v>87190_SJ109722</v>
          </cell>
        </row>
        <row r="385">
          <cell r="D385" t="str">
            <v>Q2</v>
          </cell>
          <cell r="E385" t="str">
            <v>FB250028261</v>
          </cell>
          <cell r="G385">
            <v>0.8</v>
          </cell>
          <cell r="I385" t="str">
            <v>78937_SW041854</v>
          </cell>
        </row>
        <row r="386">
          <cell r="D386" t="str">
            <v>R</v>
          </cell>
          <cell r="E386" t="str">
            <v>FB250002247</v>
          </cell>
          <cell r="I386" t="str">
            <v>23598_SW001119</v>
          </cell>
        </row>
        <row r="387">
          <cell r="D387" t="str">
            <v>R</v>
          </cell>
          <cell r="E387" t="str">
            <v>FB250029082</v>
          </cell>
          <cell r="I387" t="str">
            <v>83630_SJ109724</v>
          </cell>
        </row>
        <row r="388">
          <cell r="D388" t="str">
            <v>Q1</v>
          </cell>
          <cell r="E388" t="str">
            <v>B</v>
          </cell>
          <cell r="G388">
            <v>0.8</v>
          </cell>
          <cell r="I388" t="str">
            <v>86171_SF048858</v>
          </cell>
        </row>
        <row r="389">
          <cell r="D389" t="str">
            <v>Q4</v>
          </cell>
          <cell r="E389" t="str">
            <v>B</v>
          </cell>
          <cell r="G389">
            <v>0.8</v>
          </cell>
          <cell r="I389" t="str">
            <v>C000002141_SW042931</v>
          </cell>
        </row>
        <row r="390">
          <cell r="D390" t="str">
            <v>Q1</v>
          </cell>
          <cell r="E390" t="str">
            <v>FB260005231</v>
          </cell>
          <cell r="G390">
            <v>0.8</v>
          </cell>
          <cell r="I390" t="str">
            <v>C000001073_SW108150</v>
          </cell>
        </row>
        <row r="391">
          <cell r="D391" t="str">
            <v>Q1</v>
          </cell>
          <cell r="E391" t="str">
            <v>FB250017661</v>
          </cell>
          <cell r="G391">
            <v>0.8</v>
          </cell>
          <cell r="I391" t="str">
            <v>52862_SF106477</v>
          </cell>
        </row>
        <row r="392">
          <cell r="D392" t="str">
            <v>Q1</v>
          </cell>
          <cell r="E392" t="str">
            <v>FB260003859</v>
          </cell>
          <cell r="G392">
            <v>0.8</v>
          </cell>
          <cell r="I392" t="str">
            <v>81286_SJ106665</v>
          </cell>
        </row>
        <row r="393">
          <cell r="D393" t="str">
            <v>Q3</v>
          </cell>
          <cell r="E393" t="str">
            <v>FB260000818</v>
          </cell>
          <cell r="G393">
            <v>0.8</v>
          </cell>
          <cell r="I393" t="str">
            <v>84907_SW044801</v>
          </cell>
        </row>
        <row r="394">
          <cell r="D394" t="str">
            <v>Q3</v>
          </cell>
          <cell r="E394" t="str">
            <v>FB260000818</v>
          </cell>
          <cell r="G394">
            <v>0.8</v>
          </cell>
          <cell r="I394" t="str">
            <v>84907_SB059287</v>
          </cell>
        </row>
        <row r="395">
          <cell r="D395" t="str">
            <v>Q1</v>
          </cell>
          <cell r="E395" t="str">
            <v>FB260004517</v>
          </cell>
          <cell r="G395">
            <v>0.8</v>
          </cell>
          <cell r="I395" t="str">
            <v>C000001078_SF106477</v>
          </cell>
        </row>
        <row r="396">
          <cell r="D396" t="str">
            <v>Q1</v>
          </cell>
          <cell r="E396" t="str">
            <v>FB250006045</v>
          </cell>
          <cell r="G396">
            <v>0.8</v>
          </cell>
          <cell r="I396" t="str">
            <v>80891_SF060100</v>
          </cell>
        </row>
        <row r="397">
          <cell r="D397" t="str">
            <v>Q4</v>
          </cell>
          <cell r="E397">
            <v>1874727</v>
          </cell>
          <cell r="G397">
            <v>0.8</v>
          </cell>
          <cell r="I397" t="str">
            <v>87201_SW040924</v>
          </cell>
        </row>
        <row r="398">
          <cell r="D398" t="str">
            <v>Q2</v>
          </cell>
          <cell r="E398" t="str">
            <v>FB250015869</v>
          </cell>
          <cell r="G398">
            <v>0.8</v>
          </cell>
          <cell r="I398" t="str">
            <v>74802_SW100431</v>
          </cell>
        </row>
        <row r="399">
          <cell r="D399" t="str">
            <v>Q3</v>
          </cell>
          <cell r="E399" t="str">
            <v>FB260002605</v>
          </cell>
          <cell r="G399">
            <v>0.8</v>
          </cell>
          <cell r="I399" t="str">
            <v>84366_SJ108651</v>
          </cell>
        </row>
        <row r="400">
          <cell r="D400" t="str">
            <v>Q1</v>
          </cell>
          <cell r="E400" t="str">
            <v>FB260004557</v>
          </cell>
          <cell r="G400">
            <v>0.8</v>
          </cell>
          <cell r="I400" t="str">
            <v>86716_SW018108</v>
          </cell>
        </row>
        <row r="401">
          <cell r="D401" t="str">
            <v>Q4</v>
          </cell>
          <cell r="E401" t="str">
            <v>FB250014368</v>
          </cell>
          <cell r="G401">
            <v>0.8</v>
          </cell>
          <cell r="I401" t="str">
            <v>74827_SW108150</v>
          </cell>
        </row>
        <row r="402">
          <cell r="D402" t="str">
            <v>Q1</v>
          </cell>
          <cell r="E402" t="str">
            <v>FB260001531</v>
          </cell>
          <cell r="G402">
            <v>0.8</v>
          </cell>
          <cell r="I402" t="str">
            <v>85011_SW087953</v>
          </cell>
        </row>
        <row r="403">
          <cell r="D403" t="str">
            <v>Q1</v>
          </cell>
          <cell r="E403" t="str">
            <v>FB260002046</v>
          </cell>
          <cell r="G403">
            <v>0.8</v>
          </cell>
          <cell r="I403" t="str">
            <v>79791_SW090822</v>
          </cell>
        </row>
        <row r="404">
          <cell r="D404" t="str">
            <v>Q4</v>
          </cell>
          <cell r="E404" t="str">
            <v>B</v>
          </cell>
          <cell r="G404">
            <v>0.8</v>
          </cell>
          <cell r="I404" t="str">
            <v>C000002092_SW107322</v>
          </cell>
        </row>
        <row r="405">
          <cell r="D405" t="str">
            <v>Q3</v>
          </cell>
          <cell r="E405" t="str">
            <v>C</v>
          </cell>
          <cell r="G405">
            <v>0.8</v>
          </cell>
          <cell r="I405" t="str">
            <v>C000002136_SW104745</v>
          </cell>
        </row>
        <row r="406">
          <cell r="D406" t="str">
            <v>Q3</v>
          </cell>
          <cell r="E406" t="str">
            <v>A</v>
          </cell>
          <cell r="G406">
            <v>0.8</v>
          </cell>
          <cell r="I406" t="str">
            <v>C000001893_SF050875</v>
          </cell>
        </row>
        <row r="407">
          <cell r="D407" t="str">
            <v>Q4</v>
          </cell>
          <cell r="E407" t="str">
            <v>A</v>
          </cell>
          <cell r="G407">
            <v>0.8</v>
          </cell>
          <cell r="I407" t="str">
            <v>C000002092_SW042931</v>
          </cell>
        </row>
        <row r="408">
          <cell r="D408" t="str">
            <v>Q3</v>
          </cell>
          <cell r="E408" t="str">
            <v>C</v>
          </cell>
          <cell r="G408">
            <v>0.8</v>
          </cell>
          <cell r="I408" t="str">
            <v>C000000599_SW107378</v>
          </cell>
        </row>
        <row r="409">
          <cell r="D409" t="str">
            <v>Q4</v>
          </cell>
          <cell r="E409" t="str">
            <v>FB260005269</v>
          </cell>
          <cell r="G409">
            <v>0.8</v>
          </cell>
          <cell r="I409" t="str">
            <v>69166_SJ104638</v>
          </cell>
        </row>
        <row r="410">
          <cell r="D410" t="str">
            <v>Q4</v>
          </cell>
          <cell r="E410" t="str">
            <v>FB250018841</v>
          </cell>
          <cell r="G410">
            <v>0.8</v>
          </cell>
          <cell r="I410" t="str">
            <v>61851_SW105058</v>
          </cell>
        </row>
        <row r="411">
          <cell r="D411" t="str">
            <v>Q3</v>
          </cell>
          <cell r="E411">
            <v>1803341</v>
          </cell>
          <cell r="G411">
            <v>0.8</v>
          </cell>
          <cell r="I411" t="str">
            <v>59658_SW040921</v>
          </cell>
        </row>
        <row r="412">
          <cell r="D412" t="str">
            <v>Q1</v>
          </cell>
          <cell r="E412" t="str">
            <v>FB260003761</v>
          </cell>
          <cell r="G412">
            <v>0.8</v>
          </cell>
          <cell r="I412" t="str">
            <v>37817_SW052249</v>
          </cell>
        </row>
        <row r="413">
          <cell r="D413" t="str">
            <v>Q3</v>
          </cell>
          <cell r="E413" t="str">
            <v>FB250006605</v>
          </cell>
          <cell r="G413">
            <v>0.8</v>
          </cell>
          <cell r="I413" t="str">
            <v>62444_SW041379</v>
          </cell>
        </row>
        <row r="414">
          <cell r="D414" t="str">
            <v>Q4</v>
          </cell>
          <cell r="E414" t="str">
            <v>A</v>
          </cell>
          <cell r="G414">
            <v>0.8</v>
          </cell>
          <cell r="I414" t="str">
            <v>86671_SJ109854</v>
          </cell>
        </row>
        <row r="415">
          <cell r="D415" t="str">
            <v>Q4</v>
          </cell>
          <cell r="E415" t="str">
            <v>A</v>
          </cell>
          <cell r="G415">
            <v>0.8</v>
          </cell>
          <cell r="I415" t="str">
            <v>86671_SJ109735</v>
          </cell>
        </row>
        <row r="416">
          <cell r="D416" t="str">
            <v>Q4</v>
          </cell>
          <cell r="E416" t="str">
            <v>C</v>
          </cell>
          <cell r="G416">
            <v>0.8</v>
          </cell>
          <cell r="I416" t="str">
            <v>C000000514_SW052249</v>
          </cell>
        </row>
        <row r="417">
          <cell r="D417" t="str">
            <v>Q3</v>
          </cell>
          <cell r="E417" t="str">
            <v>FB260002184</v>
          </cell>
          <cell r="G417">
            <v>0.8</v>
          </cell>
          <cell r="I417" t="str">
            <v>32094_sw104924</v>
          </cell>
        </row>
        <row r="418">
          <cell r="D418" t="str">
            <v>Q3</v>
          </cell>
          <cell r="E418" t="str">
            <v>FB250005730</v>
          </cell>
          <cell r="G418">
            <v>0.8</v>
          </cell>
          <cell r="I418" t="str">
            <v>42389_SW040921</v>
          </cell>
        </row>
        <row r="419">
          <cell r="D419" t="str">
            <v>Q3</v>
          </cell>
          <cell r="E419" t="str">
            <v>FB250005730</v>
          </cell>
          <cell r="G419">
            <v>0.8</v>
          </cell>
          <cell r="I419" t="str">
            <v>61227_SW040921</v>
          </cell>
        </row>
        <row r="420">
          <cell r="D420" t="str">
            <v>NO</v>
          </cell>
          <cell r="E420" t="str">
            <v>FB250025160</v>
          </cell>
          <cell r="I420" t="str">
            <v>45396_SB057003</v>
          </cell>
        </row>
        <row r="421">
          <cell r="D421" t="str">
            <v>NO</v>
          </cell>
          <cell r="E421" t="str">
            <v>FB250025160</v>
          </cell>
          <cell r="I421" t="str">
            <v>45396_SW052628</v>
          </cell>
        </row>
        <row r="422">
          <cell r="D422" t="str">
            <v>Q3</v>
          </cell>
          <cell r="E422" t="str">
            <v>FB250005032</v>
          </cell>
          <cell r="G422">
            <v>0.8</v>
          </cell>
          <cell r="I422" t="str">
            <v>36810_SW000770</v>
          </cell>
        </row>
        <row r="423">
          <cell r="D423" t="str">
            <v>Q1</v>
          </cell>
          <cell r="E423" t="str">
            <v>FB250017858</v>
          </cell>
          <cell r="I423" t="str">
            <v>34988_SW044801</v>
          </cell>
        </row>
        <row r="424">
          <cell r="D424" t="str">
            <v>Q1</v>
          </cell>
          <cell r="E424" t="str">
            <v>FB250017858</v>
          </cell>
          <cell r="I424" t="str">
            <v>34988_SB059287</v>
          </cell>
        </row>
        <row r="425">
          <cell r="D425" t="str">
            <v>Q1</v>
          </cell>
          <cell r="E425" t="str">
            <v>FB260006392</v>
          </cell>
          <cell r="G425">
            <v>0.8</v>
          </cell>
          <cell r="I425" t="str">
            <v>85581_SW087524</v>
          </cell>
        </row>
        <row r="426">
          <cell r="D426" t="str">
            <v>Q4</v>
          </cell>
          <cell r="E426">
            <v>1863335</v>
          </cell>
          <cell r="G426">
            <v>0.8</v>
          </cell>
          <cell r="I426" t="str">
            <v>82620_SW040921</v>
          </cell>
        </row>
        <row r="427">
          <cell r="D427" t="str">
            <v>Q2</v>
          </cell>
          <cell r="E427" t="str">
            <v>FB260005516</v>
          </cell>
          <cell r="G427">
            <v>0.8</v>
          </cell>
          <cell r="I427" t="str">
            <v>86563_SW099504</v>
          </cell>
        </row>
        <row r="428">
          <cell r="D428" t="str">
            <v>Q4</v>
          </cell>
          <cell r="E428" t="str">
            <v>A</v>
          </cell>
          <cell r="G428">
            <v>0.8</v>
          </cell>
          <cell r="I428" t="str">
            <v>87496_SW050386</v>
          </cell>
        </row>
        <row r="429">
          <cell r="D429" t="str">
            <v>Q4</v>
          </cell>
          <cell r="E429" t="str">
            <v>B</v>
          </cell>
          <cell r="G429">
            <v>0.8</v>
          </cell>
          <cell r="I429" t="str">
            <v>C000001241_SW099504</v>
          </cell>
        </row>
        <row r="430">
          <cell r="D430" t="str">
            <v>Q3</v>
          </cell>
          <cell r="E430" t="str">
            <v>A</v>
          </cell>
          <cell r="G430">
            <v>0.8</v>
          </cell>
          <cell r="I430" t="str">
            <v>C000001231_SW099504</v>
          </cell>
        </row>
        <row r="431">
          <cell r="D431" t="str">
            <v>Q1</v>
          </cell>
          <cell r="E431" t="str">
            <v>FB250026164</v>
          </cell>
          <cell r="G431">
            <v>0.8</v>
          </cell>
          <cell r="I431" t="str">
            <v>C000000280_SF106477</v>
          </cell>
        </row>
        <row r="432">
          <cell r="D432" t="str">
            <v>Q3</v>
          </cell>
          <cell r="E432" t="str">
            <v>FB260001864</v>
          </cell>
          <cell r="G432">
            <v>0.8</v>
          </cell>
          <cell r="I432" t="str">
            <v>C000000815_SW107409</v>
          </cell>
        </row>
        <row r="433">
          <cell r="D433" t="str">
            <v>Q3</v>
          </cell>
          <cell r="E433" t="str">
            <v>FB250009861</v>
          </cell>
          <cell r="G433">
            <v>0.8</v>
          </cell>
          <cell r="I433" t="str">
            <v>80780_SF002050</v>
          </cell>
        </row>
        <row r="434">
          <cell r="D434" t="str">
            <v>Q4</v>
          </cell>
          <cell r="E434" t="str">
            <v>FB260003877</v>
          </cell>
          <cell r="G434">
            <v>0.8</v>
          </cell>
          <cell r="I434" t="str">
            <v>85929_SW108150</v>
          </cell>
        </row>
        <row r="435">
          <cell r="D435" t="str">
            <v>Q3</v>
          </cell>
          <cell r="E435" t="str">
            <v>A</v>
          </cell>
          <cell r="G435">
            <v>0.8</v>
          </cell>
          <cell r="I435" t="str">
            <v>C000001144_SJ106665</v>
          </cell>
        </row>
        <row r="436">
          <cell r="D436" t="str">
            <v>Q2</v>
          </cell>
          <cell r="E436" t="str">
            <v>SF260005878</v>
          </cell>
          <cell r="G436">
            <v>0.8</v>
          </cell>
          <cell r="I436" t="str">
            <v>81264_SW041854</v>
          </cell>
        </row>
        <row r="437">
          <cell r="D437" t="str">
            <v>Q1</v>
          </cell>
          <cell r="E437" t="str">
            <v>FB260002842</v>
          </cell>
          <cell r="G437">
            <v>0.8</v>
          </cell>
          <cell r="I437" t="str">
            <v>C000001238_SW099504</v>
          </cell>
        </row>
        <row r="438">
          <cell r="D438" t="str">
            <v>Q3</v>
          </cell>
          <cell r="E438" t="str">
            <v>A</v>
          </cell>
          <cell r="G438">
            <v>0.8</v>
          </cell>
          <cell r="I438" t="str">
            <v>C000002091_SW042931</v>
          </cell>
        </row>
        <row r="439">
          <cell r="D439" t="str">
            <v>Q1</v>
          </cell>
          <cell r="E439" t="str">
            <v>A</v>
          </cell>
          <cell r="G439">
            <v>0.8</v>
          </cell>
          <cell r="I439" t="str">
            <v>C000002003_SW046455</v>
          </cell>
        </row>
        <row r="440">
          <cell r="D440" t="str">
            <v>Q3</v>
          </cell>
          <cell r="E440" t="str">
            <v>FB260004971</v>
          </cell>
          <cell r="G440">
            <v>0.8</v>
          </cell>
          <cell r="I440" t="str">
            <v>C000001327_SW090822</v>
          </cell>
        </row>
        <row r="441">
          <cell r="D441" t="str">
            <v>Q4</v>
          </cell>
          <cell r="E441" t="str">
            <v>A</v>
          </cell>
          <cell r="G441">
            <v>0.8</v>
          </cell>
          <cell r="I441" t="str">
            <v>C000001494_SJ053535</v>
          </cell>
        </row>
        <row r="442">
          <cell r="D442" t="str">
            <v>Q4</v>
          </cell>
          <cell r="E442" t="str">
            <v>FB250014016</v>
          </cell>
          <cell r="G442">
            <v>0.8</v>
          </cell>
          <cell r="I442" t="str">
            <v>59658_SW002007</v>
          </cell>
        </row>
        <row r="443">
          <cell r="D443" t="str">
            <v>R</v>
          </cell>
          <cell r="E443" t="str">
            <v>FB250026226</v>
          </cell>
          <cell r="I443" t="str">
            <v>21083_SW108150</v>
          </cell>
        </row>
        <row r="444">
          <cell r="D444" t="str">
            <v>R</v>
          </cell>
          <cell r="E444" t="str">
            <v>FB250028998</v>
          </cell>
          <cell r="I444" t="str">
            <v>21083_SW042222</v>
          </cell>
        </row>
        <row r="445">
          <cell r="D445" t="str">
            <v>Q2</v>
          </cell>
          <cell r="E445" t="str">
            <v>FB260002844</v>
          </cell>
          <cell r="G445">
            <v>0.8</v>
          </cell>
          <cell r="I445" t="str">
            <v>C000001246_SW099504</v>
          </cell>
        </row>
        <row r="446">
          <cell r="D446" t="str">
            <v>Q4</v>
          </cell>
          <cell r="E446" t="str">
            <v>A</v>
          </cell>
          <cell r="G446">
            <v>0.8</v>
          </cell>
          <cell r="I446" t="str">
            <v>C000001078_SW044801</v>
          </cell>
        </row>
        <row r="447">
          <cell r="D447" t="str">
            <v>Q4</v>
          </cell>
          <cell r="E447" t="str">
            <v>A</v>
          </cell>
          <cell r="G447">
            <v>0.8</v>
          </cell>
          <cell r="I447" t="str">
            <v>C000001078_SB056287</v>
          </cell>
        </row>
        <row r="448">
          <cell r="D448" t="str">
            <v>Q1</v>
          </cell>
          <cell r="E448" t="str">
            <v>FB250025988</v>
          </cell>
          <cell r="G448">
            <v>0.8</v>
          </cell>
          <cell r="I448" t="str">
            <v>C000000037_SW105171</v>
          </cell>
        </row>
        <row r="449">
          <cell r="D449" t="str">
            <v>R</v>
          </cell>
          <cell r="E449" t="str">
            <v>FB250016579</v>
          </cell>
          <cell r="I449" t="str">
            <v>83498_SJ109724</v>
          </cell>
        </row>
        <row r="450">
          <cell r="D450" t="str">
            <v>Q3</v>
          </cell>
          <cell r="E450" t="str">
            <v>FB260003802</v>
          </cell>
          <cell r="G450">
            <v>0</v>
          </cell>
          <cell r="I450" t="str">
            <v>75500_SW102692</v>
          </cell>
        </row>
        <row r="451">
          <cell r="D451" t="str">
            <v>Q2</v>
          </cell>
          <cell r="E451" t="str">
            <v>B</v>
          </cell>
          <cell r="G451">
            <v>0.8</v>
          </cell>
          <cell r="I451" t="str">
            <v>C000001742_SW044801</v>
          </cell>
        </row>
        <row r="452">
          <cell r="D452" t="str">
            <v>Q2</v>
          </cell>
          <cell r="E452" t="str">
            <v>B</v>
          </cell>
          <cell r="G452">
            <v>0.8</v>
          </cell>
          <cell r="I452" t="str">
            <v>C000001742_SB056287</v>
          </cell>
        </row>
        <row r="453">
          <cell r="D453" t="str">
            <v>Q4</v>
          </cell>
          <cell r="E453" t="str">
            <v>A</v>
          </cell>
          <cell r="G453">
            <v>0.8</v>
          </cell>
          <cell r="I453" t="str">
            <v>C000002203_SW107322</v>
          </cell>
        </row>
        <row r="454">
          <cell r="D454" t="str">
            <v>Q1</v>
          </cell>
          <cell r="E454">
            <v>1874248</v>
          </cell>
          <cell r="G454">
            <v>0.8</v>
          </cell>
          <cell r="I454" t="str">
            <v>58290_SB057003</v>
          </cell>
        </row>
        <row r="455">
          <cell r="D455" t="str">
            <v>Q1</v>
          </cell>
          <cell r="E455">
            <v>1874248</v>
          </cell>
          <cell r="G455">
            <v>0.8</v>
          </cell>
          <cell r="I455" t="str">
            <v>58290_SW05328</v>
          </cell>
        </row>
        <row r="456">
          <cell r="D456" t="str">
            <v>Q3</v>
          </cell>
          <cell r="E456" t="str">
            <v>FB260000820</v>
          </cell>
          <cell r="G456">
            <v>0.8</v>
          </cell>
          <cell r="I456" t="str">
            <v>33059_SB056287</v>
          </cell>
        </row>
        <row r="457">
          <cell r="D457" t="str">
            <v>Q1</v>
          </cell>
          <cell r="E457" t="str">
            <v>FB250028750</v>
          </cell>
          <cell r="G457">
            <v>0.8</v>
          </cell>
          <cell r="I457" t="str">
            <v>87711_SJ102177</v>
          </cell>
        </row>
        <row r="458">
          <cell r="D458" t="str">
            <v>Q2</v>
          </cell>
          <cell r="E458" t="str">
            <v>B</v>
          </cell>
          <cell r="G458">
            <v>0.8</v>
          </cell>
          <cell r="I458" t="str">
            <v>86609_SW099504</v>
          </cell>
        </row>
        <row r="459">
          <cell r="D459" t="str">
            <v>Q1</v>
          </cell>
          <cell r="E459" t="str">
            <v>FB250027921</v>
          </cell>
          <cell r="I459" t="str">
            <v>C000001357_SW000770</v>
          </cell>
        </row>
        <row r="460">
          <cell r="D460" t="str">
            <v>Q1</v>
          </cell>
          <cell r="E460" t="str">
            <v>FB260002624</v>
          </cell>
          <cell r="G460">
            <v>0.8</v>
          </cell>
          <cell r="I460" t="str">
            <v>C000001111_SW106176</v>
          </cell>
        </row>
        <row r="461">
          <cell r="D461" t="str">
            <v>NO</v>
          </cell>
          <cell r="E461" t="str">
            <v>FB260003015</v>
          </cell>
          <cell r="I461" t="str">
            <v>C000001291_SF106477</v>
          </cell>
        </row>
        <row r="462">
          <cell r="D462" t="str">
            <v>Q1</v>
          </cell>
          <cell r="E462" t="str">
            <v>FB260005196</v>
          </cell>
          <cell r="G462">
            <v>0.8</v>
          </cell>
          <cell r="I462" t="str">
            <v>C000001042_SW108150</v>
          </cell>
        </row>
        <row r="463">
          <cell r="D463" t="str">
            <v>Q3</v>
          </cell>
          <cell r="E463" t="str">
            <v>A</v>
          </cell>
          <cell r="G463">
            <v>0.8</v>
          </cell>
          <cell r="I463" t="str">
            <v>87583_SW040921</v>
          </cell>
        </row>
        <row r="464">
          <cell r="D464" t="str">
            <v>R</v>
          </cell>
          <cell r="E464" t="str">
            <v>FB250015426</v>
          </cell>
          <cell r="I464" t="str">
            <v>C000000231_SJ110604</v>
          </cell>
        </row>
        <row r="465">
          <cell r="D465" t="str">
            <v>R</v>
          </cell>
          <cell r="E465" t="str">
            <v>FB250015426</v>
          </cell>
          <cell r="I465" t="str">
            <v>C000000231_SJ110605</v>
          </cell>
        </row>
        <row r="466">
          <cell r="D466" t="str">
            <v>R</v>
          </cell>
          <cell r="E466" t="str">
            <v>FB250015426</v>
          </cell>
          <cell r="I466" t="str">
            <v>C000000231_SJ110235</v>
          </cell>
        </row>
        <row r="467">
          <cell r="D467" t="str">
            <v>Q4</v>
          </cell>
          <cell r="E467" t="str">
            <v>B</v>
          </cell>
          <cell r="G467">
            <v>0.8</v>
          </cell>
          <cell r="I467" t="str">
            <v>C000001758_SW052249</v>
          </cell>
        </row>
        <row r="468">
          <cell r="D468" t="str">
            <v>Q2</v>
          </cell>
          <cell r="E468" t="str">
            <v>D</v>
          </cell>
          <cell r="G468">
            <v>0.8</v>
          </cell>
          <cell r="I468" t="str">
            <v>C000001239_SW084573</v>
          </cell>
        </row>
        <row r="469">
          <cell r="D469" t="str">
            <v>Q1</v>
          </cell>
          <cell r="E469">
            <v>1826437</v>
          </cell>
          <cell r="G469">
            <v>0.8</v>
          </cell>
          <cell r="I469" t="str">
            <v>11051_SF012050</v>
          </cell>
        </row>
        <row r="470">
          <cell r="D470" t="str">
            <v>Q1</v>
          </cell>
          <cell r="E470" t="str">
            <v>K</v>
          </cell>
          <cell r="G470">
            <v>0.8</v>
          </cell>
          <cell r="I470" t="str">
            <v>C000001435_SW052292</v>
          </cell>
        </row>
        <row r="471">
          <cell r="D471" t="str">
            <v>Q3</v>
          </cell>
          <cell r="E471" t="str">
            <v>FB260004458</v>
          </cell>
          <cell r="G471">
            <v>0.8</v>
          </cell>
          <cell r="I471" t="str">
            <v>82486_SJ108731</v>
          </cell>
        </row>
        <row r="472">
          <cell r="D472" t="str">
            <v>Q3</v>
          </cell>
          <cell r="E472" t="str">
            <v>FB260002738</v>
          </cell>
          <cell r="G472">
            <v>0.8</v>
          </cell>
          <cell r="I472" t="str">
            <v>34988_SF106678</v>
          </cell>
        </row>
        <row r="473">
          <cell r="D473" t="str">
            <v>Q2</v>
          </cell>
          <cell r="E473" t="str">
            <v>FB250026272</v>
          </cell>
          <cell r="G473">
            <v>0.8</v>
          </cell>
          <cell r="I473" t="str">
            <v>87514_SJ109854</v>
          </cell>
        </row>
        <row r="474">
          <cell r="D474" t="str">
            <v>Q3</v>
          </cell>
          <cell r="E474" t="str">
            <v>FB260002246</v>
          </cell>
          <cell r="G474">
            <v>0.8</v>
          </cell>
          <cell r="I474" t="str">
            <v>C000000501_SW084573</v>
          </cell>
        </row>
        <row r="475">
          <cell r="D475" t="str">
            <v>R</v>
          </cell>
          <cell r="E475" t="str">
            <v>FB260005756</v>
          </cell>
          <cell r="I475" t="str">
            <v>67237_SF002050</v>
          </cell>
        </row>
        <row r="476">
          <cell r="D476" t="str">
            <v>Q4</v>
          </cell>
          <cell r="E476">
            <v>1872044</v>
          </cell>
          <cell r="G476">
            <v>0.8</v>
          </cell>
          <cell r="I476" t="str">
            <v>77983_SW108150</v>
          </cell>
        </row>
        <row r="477">
          <cell r="D477" t="str">
            <v>NO</v>
          </cell>
          <cell r="E477" t="str">
            <v>FB250028222</v>
          </cell>
          <cell r="G477">
            <v>0.8</v>
          </cell>
          <cell r="I477" t="str">
            <v>82329_SW108150</v>
          </cell>
        </row>
        <row r="478">
          <cell r="D478" t="str">
            <v>Q1</v>
          </cell>
          <cell r="E478" t="str">
            <v>FB250022786</v>
          </cell>
          <cell r="G478">
            <v>0.8</v>
          </cell>
          <cell r="I478" t="str">
            <v>57928_SW102956</v>
          </cell>
        </row>
        <row r="479">
          <cell r="D479" t="str">
            <v>Q2</v>
          </cell>
          <cell r="E479" t="str">
            <v>FB250028692</v>
          </cell>
          <cell r="G479">
            <v>0.8</v>
          </cell>
          <cell r="I479" t="str">
            <v>C000000609_SW108150</v>
          </cell>
        </row>
        <row r="480">
          <cell r="D480" t="str">
            <v>R</v>
          </cell>
          <cell r="E480">
            <v>1876292</v>
          </cell>
          <cell r="I480" t="str">
            <v>83734_SJ109856</v>
          </cell>
        </row>
        <row r="481">
          <cell r="D481" t="str">
            <v>R</v>
          </cell>
          <cell r="E481">
            <v>1876292</v>
          </cell>
          <cell r="I481" t="str">
            <v>83734_SJ109732</v>
          </cell>
        </row>
        <row r="482">
          <cell r="D482" t="str">
            <v>Q2</v>
          </cell>
          <cell r="E482" t="str">
            <v>B</v>
          </cell>
          <cell r="G482">
            <v>0.8</v>
          </cell>
          <cell r="I482" t="str">
            <v>C000001895_SW084028</v>
          </cell>
        </row>
        <row r="483">
          <cell r="D483" t="str">
            <v>Q1</v>
          </cell>
          <cell r="E483" t="str">
            <v>B</v>
          </cell>
          <cell r="G483">
            <v>0.8</v>
          </cell>
          <cell r="I483" t="str">
            <v>C000001190_SW044801</v>
          </cell>
        </row>
        <row r="484">
          <cell r="D484" t="str">
            <v>Q3</v>
          </cell>
          <cell r="E484" t="str">
            <v>FB260006033</v>
          </cell>
          <cell r="G484">
            <v>1</v>
          </cell>
          <cell r="I484" t="str">
            <v>C000001239_SW099504</v>
          </cell>
        </row>
        <row r="485">
          <cell r="D485" t="str">
            <v>Q2</v>
          </cell>
          <cell r="E485" t="str">
            <v>B</v>
          </cell>
          <cell r="G485">
            <v>0.8</v>
          </cell>
          <cell r="I485" t="str">
            <v>C000001902_SW044801</v>
          </cell>
        </row>
        <row r="486">
          <cell r="D486" t="str">
            <v>Q2</v>
          </cell>
          <cell r="E486" t="str">
            <v>B</v>
          </cell>
          <cell r="G486">
            <v>0.8</v>
          </cell>
          <cell r="I486" t="str">
            <v>C000001902_SB056287</v>
          </cell>
        </row>
        <row r="487">
          <cell r="D487" t="str">
            <v>Q4</v>
          </cell>
          <cell r="E487" t="str">
            <v>FB250003873</v>
          </cell>
          <cell r="G487">
            <v>0.8</v>
          </cell>
          <cell r="I487" t="str">
            <v>87103_SW108150</v>
          </cell>
        </row>
        <row r="488">
          <cell r="D488" t="str">
            <v>Q4</v>
          </cell>
          <cell r="E488" t="str">
            <v>FB260001538</v>
          </cell>
          <cell r="G488">
            <v>0.8</v>
          </cell>
          <cell r="I488" t="str">
            <v>C000001228_SW087953</v>
          </cell>
        </row>
        <row r="489">
          <cell r="D489" t="str">
            <v>Q1</v>
          </cell>
          <cell r="E489" t="str">
            <v>B</v>
          </cell>
          <cell r="G489">
            <v>0.8</v>
          </cell>
          <cell r="I489" t="str">
            <v>C0000002204_SW104745</v>
          </cell>
        </row>
        <row r="490">
          <cell r="D490" t="str">
            <v>Q4</v>
          </cell>
          <cell r="E490" t="str">
            <v>FB260005758</v>
          </cell>
          <cell r="G490">
            <v>0.8</v>
          </cell>
          <cell r="I490" t="str">
            <v>66375_SF002050</v>
          </cell>
        </row>
        <row r="491">
          <cell r="D491" t="str">
            <v>Q3</v>
          </cell>
          <cell r="E491" t="str">
            <v>FB250000149</v>
          </cell>
          <cell r="G491">
            <v>0.8</v>
          </cell>
          <cell r="I491" t="str">
            <v>36809_SW000770</v>
          </cell>
        </row>
        <row r="492">
          <cell r="D492" t="str">
            <v>Q1</v>
          </cell>
          <cell r="E492" t="str">
            <v>FB250026049</v>
          </cell>
          <cell r="G492">
            <v>0.8</v>
          </cell>
          <cell r="I492" t="str">
            <v>77806_SW108150</v>
          </cell>
        </row>
        <row r="493">
          <cell r="D493" t="str">
            <v>Q3</v>
          </cell>
          <cell r="E493" t="str">
            <v>FB250025923</v>
          </cell>
          <cell r="G493">
            <v>0.8</v>
          </cell>
          <cell r="I493" t="str">
            <v>85440_SW108150</v>
          </cell>
        </row>
        <row r="494">
          <cell r="D494" t="str">
            <v>Q2</v>
          </cell>
          <cell r="E494">
            <v>1863921</v>
          </cell>
          <cell r="G494">
            <v>0.8</v>
          </cell>
          <cell r="I494" t="str">
            <v>59658_SF060100</v>
          </cell>
        </row>
        <row r="495">
          <cell r="D495" t="str">
            <v>Q4</v>
          </cell>
          <cell r="E495" t="str">
            <v>A</v>
          </cell>
          <cell r="G495">
            <v>0.8</v>
          </cell>
          <cell r="I495" t="str">
            <v>C000000393_SF012050</v>
          </cell>
        </row>
        <row r="496">
          <cell r="D496" t="str">
            <v>Q1</v>
          </cell>
          <cell r="E496" t="str">
            <v>FB260005384</v>
          </cell>
          <cell r="G496">
            <v>0.8</v>
          </cell>
          <cell r="I496" t="str">
            <v>C000001938_SJ106665</v>
          </cell>
        </row>
        <row r="497">
          <cell r="D497" t="str">
            <v>Q3</v>
          </cell>
          <cell r="E497" t="str">
            <v>FB260000020</v>
          </cell>
          <cell r="G497">
            <v>0.8</v>
          </cell>
          <cell r="I497" t="str">
            <v>77303_SW105063</v>
          </cell>
        </row>
        <row r="498">
          <cell r="D498" t="str">
            <v>Q3</v>
          </cell>
          <cell r="E498" t="str">
            <v>FB260000020</v>
          </cell>
          <cell r="G498">
            <v>0.8</v>
          </cell>
          <cell r="I498" t="str">
            <v>77303_SC059431</v>
          </cell>
        </row>
        <row r="499">
          <cell r="D499" t="str">
            <v>Q4</v>
          </cell>
          <cell r="E499" t="str">
            <v>FB260003019</v>
          </cell>
          <cell r="G499">
            <v>0.8</v>
          </cell>
          <cell r="I499" t="str">
            <v>33059_SW041379</v>
          </cell>
        </row>
        <row r="500">
          <cell r="D500" t="str">
            <v>Q4</v>
          </cell>
          <cell r="E500" t="str">
            <v>FB260003923</v>
          </cell>
          <cell r="G500">
            <v>0.8</v>
          </cell>
          <cell r="I500" t="str">
            <v>85929_SW106176</v>
          </cell>
        </row>
        <row r="501">
          <cell r="D501" t="str">
            <v>Q4</v>
          </cell>
          <cell r="E501" t="str">
            <v>FB260003923</v>
          </cell>
          <cell r="G501">
            <v>0.8</v>
          </cell>
          <cell r="I501" t="str">
            <v>C000001782_SW106176</v>
          </cell>
        </row>
        <row r="502">
          <cell r="D502" t="str">
            <v>Q4</v>
          </cell>
          <cell r="E502" t="str">
            <v>FB260003923</v>
          </cell>
          <cell r="G502">
            <v>0.8</v>
          </cell>
          <cell r="I502" t="str">
            <v>C000002000_SW106176</v>
          </cell>
        </row>
        <row r="503">
          <cell r="D503" t="str">
            <v>Q1</v>
          </cell>
          <cell r="E503" t="str">
            <v>FB260000646</v>
          </cell>
          <cell r="G503">
            <v>0.8</v>
          </cell>
          <cell r="I503" t="str">
            <v>C000001254_SW087953</v>
          </cell>
        </row>
        <row r="504">
          <cell r="D504" t="str">
            <v>Q4</v>
          </cell>
          <cell r="E504" t="str">
            <v>FB250027980</v>
          </cell>
          <cell r="G504">
            <v>0.8</v>
          </cell>
          <cell r="I504" t="str">
            <v>80910_SW108150</v>
          </cell>
        </row>
        <row r="505">
          <cell r="D505" t="str">
            <v>NO</v>
          </cell>
          <cell r="E505">
            <v>1852685</v>
          </cell>
          <cell r="G505">
            <v>0.8</v>
          </cell>
          <cell r="I505" t="str">
            <v>86228_SW106176</v>
          </cell>
        </row>
        <row r="506">
          <cell r="D506" t="str">
            <v>Q1</v>
          </cell>
          <cell r="E506" t="str">
            <v>FB260003856</v>
          </cell>
          <cell r="G506">
            <v>0.8</v>
          </cell>
          <cell r="I506" t="str">
            <v>86534_SJ106665</v>
          </cell>
        </row>
        <row r="507">
          <cell r="D507" t="str">
            <v>Q1</v>
          </cell>
          <cell r="E507" t="str">
            <v>FB260003856</v>
          </cell>
          <cell r="G507">
            <v>0.8</v>
          </cell>
          <cell r="I507" t="str">
            <v>85244_SJ106665</v>
          </cell>
        </row>
        <row r="508">
          <cell r="D508" t="str">
            <v>Q1</v>
          </cell>
          <cell r="E508" t="str">
            <v>FB260003856</v>
          </cell>
          <cell r="G508">
            <v>0.8</v>
          </cell>
          <cell r="I508" t="str">
            <v>84568_SJ106665</v>
          </cell>
        </row>
        <row r="509">
          <cell r="D509" t="str">
            <v>NO</v>
          </cell>
          <cell r="E509" t="str">
            <v>FB250017856</v>
          </cell>
          <cell r="I509" t="str">
            <v>34179_SW044801</v>
          </cell>
        </row>
        <row r="510">
          <cell r="D510" t="str">
            <v>NO</v>
          </cell>
          <cell r="E510" t="str">
            <v>FB250017856</v>
          </cell>
          <cell r="I510" t="str">
            <v>34179_SB056287</v>
          </cell>
        </row>
        <row r="511">
          <cell r="D511" t="str">
            <v>Q1</v>
          </cell>
          <cell r="E511" t="str">
            <v>FB260001647</v>
          </cell>
          <cell r="G511">
            <v>0.8</v>
          </cell>
          <cell r="I511" t="str">
            <v>83689_SJ109735</v>
          </cell>
        </row>
        <row r="512">
          <cell r="D512" t="str">
            <v>Q1</v>
          </cell>
          <cell r="E512" t="str">
            <v>FB260001647</v>
          </cell>
          <cell r="G512">
            <v>0.8</v>
          </cell>
          <cell r="I512" t="str">
            <v>83689_SJ109854</v>
          </cell>
        </row>
        <row r="513">
          <cell r="D513" t="str">
            <v>R</v>
          </cell>
          <cell r="E513" t="str">
            <v>FB260006417</v>
          </cell>
          <cell r="I513" t="str">
            <v>80200_SF011212</v>
          </cell>
        </row>
        <row r="514">
          <cell r="D514" t="str">
            <v>Q4</v>
          </cell>
          <cell r="E514" t="str">
            <v>FB260002903</v>
          </cell>
          <cell r="G514">
            <v>0.8</v>
          </cell>
          <cell r="I514" t="str">
            <v>C000001363_SF106678</v>
          </cell>
        </row>
        <row r="515">
          <cell r="D515" t="str">
            <v>R</v>
          </cell>
          <cell r="E515" t="str">
            <v>A</v>
          </cell>
          <cell r="I515" t="str">
            <v>85554_SJ110227</v>
          </cell>
        </row>
        <row r="516">
          <cell r="D516" t="str">
            <v>R</v>
          </cell>
          <cell r="E516" t="str">
            <v>A</v>
          </cell>
          <cell r="I516" t="str">
            <v>85554_SJ109984</v>
          </cell>
        </row>
        <row r="517">
          <cell r="D517" t="str">
            <v>R</v>
          </cell>
          <cell r="E517" t="str">
            <v>FB250028016</v>
          </cell>
          <cell r="I517" t="str">
            <v>C000001305_SJ106665</v>
          </cell>
        </row>
        <row r="518">
          <cell r="D518" t="str">
            <v>Q2</v>
          </cell>
          <cell r="E518" t="str">
            <v>FB250028799</v>
          </cell>
          <cell r="G518">
            <v>0.8</v>
          </cell>
          <cell r="I518" t="str">
            <v>C000001242_SW087953</v>
          </cell>
        </row>
        <row r="519">
          <cell r="D519" t="str">
            <v>Q3</v>
          </cell>
          <cell r="E519" t="str">
            <v>A</v>
          </cell>
          <cell r="G519">
            <v>0.8</v>
          </cell>
          <cell r="I519" t="str">
            <v>C000001901_SW044801</v>
          </cell>
        </row>
        <row r="520">
          <cell r="D520" t="str">
            <v>Q1</v>
          </cell>
          <cell r="E520" t="str">
            <v>A</v>
          </cell>
          <cell r="G520">
            <v>0.8</v>
          </cell>
          <cell r="I520" t="str">
            <v>C000001271_SF106477</v>
          </cell>
        </row>
        <row r="521">
          <cell r="D521" t="str">
            <v>R</v>
          </cell>
          <cell r="E521" t="str">
            <v>FB260005732</v>
          </cell>
          <cell r="I521" t="str">
            <v>79781_SF012046</v>
          </cell>
        </row>
        <row r="522">
          <cell r="D522" t="str">
            <v>Q4</v>
          </cell>
          <cell r="E522" t="str">
            <v>FB260006359</v>
          </cell>
          <cell r="G522">
            <v>0.8</v>
          </cell>
          <cell r="I522" t="str">
            <v>C000000364_SW099504</v>
          </cell>
        </row>
        <row r="523">
          <cell r="D523" t="str">
            <v>Q2</v>
          </cell>
          <cell r="E523" t="str">
            <v>A</v>
          </cell>
          <cell r="G523">
            <v>0.8</v>
          </cell>
          <cell r="I523" t="str">
            <v>64085_SW042931</v>
          </cell>
        </row>
        <row r="524">
          <cell r="D524" t="str">
            <v>Q4</v>
          </cell>
          <cell r="E524" t="str">
            <v>A</v>
          </cell>
          <cell r="G524">
            <v>0.8</v>
          </cell>
          <cell r="I524" t="str">
            <v>87593_SJ053535</v>
          </cell>
        </row>
        <row r="525">
          <cell r="D525" t="str">
            <v>R</v>
          </cell>
          <cell r="E525" t="str">
            <v>FB250004067</v>
          </cell>
          <cell r="I525" t="str">
            <v>84937_SJ109929</v>
          </cell>
        </row>
        <row r="526">
          <cell r="D526" t="str">
            <v>R</v>
          </cell>
          <cell r="E526" t="str">
            <v>FB250004067</v>
          </cell>
          <cell r="I526" t="str">
            <v>84457_SJ109994</v>
          </cell>
        </row>
        <row r="527">
          <cell r="D527" t="str">
            <v>Q4</v>
          </cell>
          <cell r="E527" t="str">
            <v>FB250008000</v>
          </cell>
          <cell r="G527">
            <v>0.8</v>
          </cell>
          <cell r="I527" t="str">
            <v>77869_SW018108</v>
          </cell>
        </row>
        <row r="528">
          <cell r="D528" t="str">
            <v>Q4</v>
          </cell>
          <cell r="E528" t="str">
            <v>FB260001643</v>
          </cell>
          <cell r="G528">
            <v>0.8</v>
          </cell>
          <cell r="I528" t="str">
            <v>C000001228_SW084573</v>
          </cell>
        </row>
        <row r="529">
          <cell r="D529" t="str">
            <v>Q4</v>
          </cell>
          <cell r="E529" t="str">
            <v>A</v>
          </cell>
          <cell r="G529">
            <v>0.8</v>
          </cell>
          <cell r="I529" t="str">
            <v>C000000366_SW050386</v>
          </cell>
        </row>
        <row r="530">
          <cell r="D530" t="str">
            <v>Q3</v>
          </cell>
          <cell r="E530" t="str">
            <v>FB260003719</v>
          </cell>
          <cell r="G530">
            <v>0.8</v>
          </cell>
          <cell r="I530" t="str">
            <v>C000001144_SJ106665</v>
          </cell>
        </row>
        <row r="531">
          <cell r="D531" t="str">
            <v>Q4</v>
          </cell>
          <cell r="E531" t="str">
            <v>A</v>
          </cell>
          <cell r="G531">
            <v>0.8</v>
          </cell>
          <cell r="I531" t="str">
            <v>C000001462_SB056287</v>
          </cell>
        </row>
        <row r="532">
          <cell r="D532" t="str">
            <v>Q4</v>
          </cell>
          <cell r="E532" t="str">
            <v>A</v>
          </cell>
          <cell r="G532">
            <v>0.8</v>
          </cell>
          <cell r="I532" t="str">
            <v>C000001462_SW044801</v>
          </cell>
        </row>
        <row r="533">
          <cell r="D533" t="str">
            <v>R</v>
          </cell>
          <cell r="E533" t="str">
            <v>A</v>
          </cell>
          <cell r="I533" t="str">
            <v>C000001919_SJ109984</v>
          </cell>
        </row>
        <row r="534">
          <cell r="D534" t="str">
            <v>R</v>
          </cell>
          <cell r="E534" t="str">
            <v>A</v>
          </cell>
          <cell r="I534" t="str">
            <v>C000001206_SJ109984</v>
          </cell>
        </row>
        <row r="535">
          <cell r="D535" t="str">
            <v>Q1</v>
          </cell>
          <cell r="E535" t="str">
            <v>A</v>
          </cell>
          <cell r="G535">
            <v>0.8</v>
          </cell>
          <cell r="I535" t="str">
            <v>C000000514_SW002007</v>
          </cell>
        </row>
        <row r="536">
          <cell r="D536" t="str">
            <v>Q4</v>
          </cell>
          <cell r="E536" t="str">
            <v>B</v>
          </cell>
          <cell r="G536">
            <v>0.8</v>
          </cell>
          <cell r="I536" t="str">
            <v>C000002083_SB056287</v>
          </cell>
        </row>
        <row r="537">
          <cell r="D537" t="str">
            <v>Q4</v>
          </cell>
          <cell r="E537" t="str">
            <v>B</v>
          </cell>
          <cell r="G537">
            <v>0.8</v>
          </cell>
          <cell r="I537" t="str">
            <v>C000002083_SW044801</v>
          </cell>
        </row>
        <row r="538">
          <cell r="D538" t="str">
            <v>Q4</v>
          </cell>
          <cell r="E538" t="str">
            <v>FB260002909</v>
          </cell>
          <cell r="G538">
            <v>0.8</v>
          </cell>
          <cell r="I538" t="str">
            <v>C000001905_SW040921</v>
          </cell>
        </row>
        <row r="539">
          <cell r="D539" t="str">
            <v>Q1</v>
          </cell>
          <cell r="E539" t="str">
            <v>A</v>
          </cell>
          <cell r="G539">
            <v>0.8</v>
          </cell>
          <cell r="I539" t="str">
            <v>C000000544_SF106477</v>
          </cell>
        </row>
        <row r="540">
          <cell r="D540" t="str">
            <v>Q1</v>
          </cell>
          <cell r="E540" t="str">
            <v>FB260004114</v>
          </cell>
          <cell r="G540">
            <v>0.8</v>
          </cell>
          <cell r="I540" t="str">
            <v>C000001235_SW087953</v>
          </cell>
        </row>
        <row r="541">
          <cell r="D541" t="str">
            <v>R</v>
          </cell>
          <cell r="E541" t="str">
            <v>A</v>
          </cell>
          <cell r="I541" t="str">
            <v>C000000816_SJ110227038.0</v>
          </cell>
        </row>
        <row r="542">
          <cell r="D542" t="str">
            <v>R</v>
          </cell>
          <cell r="E542" t="str">
            <v>A</v>
          </cell>
          <cell r="I542" t="str">
            <v>C000000816_SJ110226</v>
          </cell>
        </row>
        <row r="543">
          <cell r="D543" t="str">
            <v>R</v>
          </cell>
          <cell r="E543" t="str">
            <v>A</v>
          </cell>
          <cell r="I543" t="str">
            <v>C000000816_SJ110984</v>
          </cell>
        </row>
        <row r="544">
          <cell r="D544" t="str">
            <v>NO</v>
          </cell>
          <cell r="E544" t="str">
            <v>FB260003685</v>
          </cell>
          <cell r="I544" t="str">
            <v>11051_SW047460</v>
          </cell>
        </row>
        <row r="545">
          <cell r="D545" t="str">
            <v>Q4</v>
          </cell>
          <cell r="E545" t="str">
            <v>G</v>
          </cell>
          <cell r="G545">
            <v>0.8</v>
          </cell>
          <cell r="I545" t="str">
            <v>C000001914_SF012050</v>
          </cell>
        </row>
        <row r="546">
          <cell r="D546" t="str">
            <v>Q1</v>
          </cell>
          <cell r="E546" t="str">
            <v>D</v>
          </cell>
          <cell r="G546">
            <v>0.8</v>
          </cell>
          <cell r="I546" t="str">
            <v>C000002138_SW107322</v>
          </cell>
        </row>
        <row r="547">
          <cell r="D547" t="str">
            <v>Q1</v>
          </cell>
          <cell r="E547" t="str">
            <v>FB250019717</v>
          </cell>
          <cell r="G547">
            <v>0.8</v>
          </cell>
          <cell r="I547" t="str">
            <v>22288_SW041276</v>
          </cell>
        </row>
        <row r="548">
          <cell r="D548" t="str">
            <v>Q3</v>
          </cell>
          <cell r="E548" t="str">
            <v>A</v>
          </cell>
          <cell r="G548">
            <v>0.8</v>
          </cell>
          <cell r="I548" t="str">
            <v>77303_SW105058</v>
          </cell>
        </row>
        <row r="549">
          <cell r="D549" t="str">
            <v>Q2</v>
          </cell>
          <cell r="E549" t="str">
            <v>A</v>
          </cell>
          <cell r="G549">
            <v>0.8</v>
          </cell>
          <cell r="I549" t="str">
            <v>C000002176_SW104745</v>
          </cell>
        </row>
        <row r="550">
          <cell r="D550" t="str">
            <v>Q2</v>
          </cell>
          <cell r="E550" t="str">
            <v>A</v>
          </cell>
          <cell r="G550">
            <v>0.8</v>
          </cell>
          <cell r="I550" t="str">
            <v>C000002176_SW107322</v>
          </cell>
        </row>
        <row r="551">
          <cell r="D551" t="str">
            <v>Q3</v>
          </cell>
          <cell r="E551" t="str">
            <v>FB260005804</v>
          </cell>
          <cell r="G551">
            <v>0.8</v>
          </cell>
          <cell r="I551" t="str">
            <v>77955_SJ108843</v>
          </cell>
        </row>
        <row r="552">
          <cell r="D552" t="str">
            <v>Q2</v>
          </cell>
          <cell r="E552" t="str">
            <v>FB260006171</v>
          </cell>
          <cell r="G552">
            <v>1</v>
          </cell>
          <cell r="I552" t="str">
            <v>36187_SW052292</v>
          </cell>
        </row>
        <row r="553">
          <cell r="D553" t="str">
            <v>R</v>
          </cell>
          <cell r="E553" t="str">
            <v>FB250007721</v>
          </cell>
          <cell r="G553">
            <v>0.8</v>
          </cell>
          <cell r="I553" t="str">
            <v>11051_SW001119</v>
          </cell>
        </row>
        <row r="554">
          <cell r="D554" t="str">
            <v>Q1</v>
          </cell>
          <cell r="E554">
            <v>1874991</v>
          </cell>
          <cell r="G554">
            <v>0.8</v>
          </cell>
          <cell r="I554" t="str">
            <v>32094_SW046526</v>
          </cell>
        </row>
        <row r="555">
          <cell r="D555" t="str">
            <v>Q3</v>
          </cell>
          <cell r="E555" t="str">
            <v>FB260001653</v>
          </cell>
          <cell r="G555">
            <v>0.8</v>
          </cell>
          <cell r="I555" t="str">
            <v>C000001296_SW052249</v>
          </cell>
        </row>
        <row r="556">
          <cell r="D556" t="str">
            <v>Q3</v>
          </cell>
          <cell r="E556" t="str">
            <v>FB250011205</v>
          </cell>
          <cell r="G556">
            <v>0.8</v>
          </cell>
          <cell r="I556" t="str">
            <v>79335_SW054520</v>
          </cell>
        </row>
        <row r="557">
          <cell r="D557" t="str">
            <v>Q2</v>
          </cell>
          <cell r="E557" t="str">
            <v>FB250020222</v>
          </cell>
          <cell r="G557">
            <v>0.8</v>
          </cell>
          <cell r="I557" t="str">
            <v>54451_SJ102177</v>
          </cell>
        </row>
        <row r="558">
          <cell r="D558" t="str">
            <v>Q3</v>
          </cell>
          <cell r="E558">
            <v>1721165</v>
          </cell>
          <cell r="G558">
            <v>0.8</v>
          </cell>
          <cell r="I558" t="str">
            <v>76645_SW108511</v>
          </cell>
        </row>
        <row r="559">
          <cell r="D559" t="str">
            <v>Q1</v>
          </cell>
          <cell r="E559" t="str">
            <v>FB260002628</v>
          </cell>
          <cell r="G559">
            <v>0.8</v>
          </cell>
          <cell r="I559" t="str">
            <v>79255_SF002050</v>
          </cell>
        </row>
        <row r="560">
          <cell r="D560" t="str">
            <v>Q4</v>
          </cell>
          <cell r="E560">
            <v>1816222</v>
          </cell>
          <cell r="G560">
            <v>0.8</v>
          </cell>
          <cell r="I560" t="str">
            <v>83545_SJ109966</v>
          </cell>
        </row>
        <row r="561">
          <cell r="D561" t="str">
            <v>Q4</v>
          </cell>
          <cell r="E561">
            <v>1816222</v>
          </cell>
          <cell r="G561">
            <v>0.8</v>
          </cell>
          <cell r="I561" t="str">
            <v>83545_SJ109863</v>
          </cell>
        </row>
        <row r="562">
          <cell r="D562" t="str">
            <v>Q4</v>
          </cell>
          <cell r="E562">
            <v>1816222</v>
          </cell>
          <cell r="G562">
            <v>0.8</v>
          </cell>
          <cell r="I562" t="str">
            <v>83545_SJ109733</v>
          </cell>
        </row>
        <row r="563">
          <cell r="D563" t="str">
            <v>Q3</v>
          </cell>
          <cell r="E563" t="str">
            <v>FB260002368</v>
          </cell>
          <cell r="G563">
            <v>0.8</v>
          </cell>
          <cell r="I563" t="str">
            <v>72181_SW090104</v>
          </cell>
        </row>
        <row r="564">
          <cell r="D564" t="str">
            <v>Q1</v>
          </cell>
          <cell r="E564" t="str">
            <v>F</v>
          </cell>
          <cell r="G564">
            <v>0.8</v>
          </cell>
          <cell r="I564" t="str">
            <v>C000002135_SW042931</v>
          </cell>
        </row>
        <row r="565">
          <cell r="D565" t="str">
            <v>Q3</v>
          </cell>
          <cell r="E565" t="str">
            <v>F</v>
          </cell>
          <cell r="G565">
            <v>0.8</v>
          </cell>
          <cell r="I565" t="str">
            <v>C000000651_SW052249</v>
          </cell>
        </row>
        <row r="566">
          <cell r="D566" t="str">
            <v>Q2</v>
          </cell>
          <cell r="E566" t="str">
            <v>B3</v>
          </cell>
          <cell r="G566">
            <v>0.8</v>
          </cell>
          <cell r="I566" t="str">
            <v>61851_SW106956</v>
          </cell>
        </row>
        <row r="567">
          <cell r="D567" t="str">
            <v>R</v>
          </cell>
          <cell r="E567" t="str">
            <v>F3</v>
          </cell>
          <cell r="I567" t="str">
            <v>67237_SF106477</v>
          </cell>
        </row>
        <row r="568">
          <cell r="D568" t="str">
            <v>R</v>
          </cell>
          <cell r="E568" t="str">
            <v>FB250011375</v>
          </cell>
          <cell r="I568" t="str">
            <v>61471_SW002007</v>
          </cell>
        </row>
        <row r="569">
          <cell r="D569" t="str">
            <v>R</v>
          </cell>
          <cell r="E569" t="str">
            <v>FB260007426</v>
          </cell>
          <cell r="I569" t="str">
            <v>83498_SJ109724</v>
          </cell>
        </row>
        <row r="570">
          <cell r="D570" t="str">
            <v>R</v>
          </cell>
          <cell r="E570" t="str">
            <v>FB250019113</v>
          </cell>
          <cell r="I570" t="str">
            <v>50948_SW102692</v>
          </cell>
        </row>
        <row r="571">
          <cell r="D571" t="str">
            <v>Q1</v>
          </cell>
          <cell r="E571" t="str">
            <v>A</v>
          </cell>
          <cell r="G571">
            <v>0.8</v>
          </cell>
          <cell r="I571" t="str">
            <v>C000001048_SF048858</v>
          </cell>
        </row>
        <row r="572">
          <cell r="D572" t="str">
            <v>Q3</v>
          </cell>
          <cell r="E572" t="str">
            <v>A</v>
          </cell>
          <cell r="G572">
            <v>0.8</v>
          </cell>
          <cell r="I572" t="str">
            <v>C000001107_SF048858</v>
          </cell>
        </row>
        <row r="573">
          <cell r="D573" t="str">
            <v>Q3</v>
          </cell>
          <cell r="E573" t="str">
            <v>B</v>
          </cell>
          <cell r="G573">
            <v>0.8</v>
          </cell>
          <cell r="I573" t="str">
            <v>C0000000367_SW099504</v>
          </cell>
        </row>
        <row r="574">
          <cell r="D574" t="str">
            <v>Q3</v>
          </cell>
          <cell r="E574" t="str">
            <v>E</v>
          </cell>
          <cell r="G574">
            <v>0.8</v>
          </cell>
          <cell r="I574" t="str">
            <v>C000001248_SW087953</v>
          </cell>
        </row>
        <row r="575">
          <cell r="D575" t="str">
            <v>Q1</v>
          </cell>
          <cell r="E575" t="str">
            <v>FB250019604</v>
          </cell>
          <cell r="G575">
            <v>0.8</v>
          </cell>
          <cell r="I575" t="str">
            <v>49688_SW051806</v>
          </cell>
        </row>
        <row r="576">
          <cell r="D576" t="str">
            <v>Q1</v>
          </cell>
          <cell r="E576" t="str">
            <v>FB250019604</v>
          </cell>
          <cell r="G576">
            <v>0.8</v>
          </cell>
          <cell r="I576" t="str">
            <v>84040_SW051806</v>
          </cell>
        </row>
        <row r="577">
          <cell r="D577" t="str">
            <v>R</v>
          </cell>
          <cell r="E577" t="str">
            <v>FB260005325</v>
          </cell>
          <cell r="I577" t="str">
            <v>61471_SW052249</v>
          </cell>
        </row>
        <row r="578">
          <cell r="D578" t="str">
            <v>Q3</v>
          </cell>
          <cell r="E578" t="str">
            <v>FB260004758</v>
          </cell>
          <cell r="G578">
            <v>0.8</v>
          </cell>
          <cell r="I578" t="str">
            <v>74338_SF051188</v>
          </cell>
        </row>
        <row r="579">
          <cell r="D579" t="str">
            <v>Q1</v>
          </cell>
          <cell r="E579" t="str">
            <v>FB260005742</v>
          </cell>
          <cell r="G579">
            <v>0.8</v>
          </cell>
          <cell r="I579" t="str">
            <v>57928_SW087524</v>
          </cell>
        </row>
        <row r="580">
          <cell r="D580" t="str">
            <v>Q3</v>
          </cell>
          <cell r="E580" t="str">
            <v>FB250006218</v>
          </cell>
          <cell r="G580">
            <v>0.8</v>
          </cell>
          <cell r="I580" t="str">
            <v>53028_SF012050</v>
          </cell>
        </row>
        <row r="581">
          <cell r="D581" t="str">
            <v>Q3</v>
          </cell>
          <cell r="E581" t="str">
            <v>FB250004276</v>
          </cell>
          <cell r="G581">
            <v>0.8</v>
          </cell>
          <cell r="I581" t="str">
            <v>36809_SW052292</v>
          </cell>
        </row>
        <row r="582">
          <cell r="D582" t="str">
            <v>R</v>
          </cell>
          <cell r="E582" t="str">
            <v>B</v>
          </cell>
          <cell r="I582" t="str">
            <v>C000000116_SW106166</v>
          </cell>
        </row>
        <row r="583">
          <cell r="D583" t="str">
            <v>Q1</v>
          </cell>
          <cell r="E583" t="str">
            <v>FB250023505</v>
          </cell>
          <cell r="G583">
            <v>0.8</v>
          </cell>
          <cell r="I583" t="str">
            <v>C000000566_SW108150</v>
          </cell>
        </row>
        <row r="584">
          <cell r="D584" t="str">
            <v>Q3</v>
          </cell>
          <cell r="E584" t="str">
            <v>B</v>
          </cell>
          <cell r="G584">
            <v>0.8</v>
          </cell>
          <cell r="I584" t="str">
            <v>C000000373_SW099504</v>
          </cell>
        </row>
        <row r="585">
          <cell r="D585" t="str">
            <v>Q1</v>
          </cell>
          <cell r="E585" t="str">
            <v>E</v>
          </cell>
          <cell r="G585">
            <v>0.8</v>
          </cell>
          <cell r="I585" t="str">
            <v>C000000369_SW099504</v>
          </cell>
        </row>
        <row r="586">
          <cell r="D586" t="str">
            <v>Q3</v>
          </cell>
          <cell r="E586" t="str">
            <v>FB250021984</v>
          </cell>
          <cell r="G586">
            <v>0.8</v>
          </cell>
          <cell r="I586" t="str">
            <v>C000000378_SW099504</v>
          </cell>
        </row>
        <row r="587">
          <cell r="D587" t="str">
            <v>Q2</v>
          </cell>
          <cell r="E587" t="str">
            <v>C</v>
          </cell>
          <cell r="G587">
            <v>0.8</v>
          </cell>
          <cell r="I587" t="str">
            <v>C000002060_SW000770</v>
          </cell>
        </row>
        <row r="588">
          <cell r="D588" t="str">
            <v>Q3</v>
          </cell>
          <cell r="E588" t="str">
            <v>A</v>
          </cell>
          <cell r="G588">
            <v>0.8</v>
          </cell>
          <cell r="I588" t="str">
            <v>C000002083_SW048171</v>
          </cell>
        </row>
        <row r="589">
          <cell r="D589" t="str">
            <v>Q4</v>
          </cell>
          <cell r="E589" t="str">
            <v>B</v>
          </cell>
          <cell r="G589">
            <v>0.8</v>
          </cell>
          <cell r="I589" t="str">
            <v>C000002138_SW048171</v>
          </cell>
        </row>
        <row r="590">
          <cell r="D590" t="str">
            <v>R</v>
          </cell>
          <cell r="E590" t="str">
            <v>FB260003819</v>
          </cell>
          <cell r="I590" t="str">
            <v>C000001176_SJ110275</v>
          </cell>
        </row>
        <row r="591">
          <cell r="D591" t="str">
            <v>R</v>
          </cell>
          <cell r="E591" t="str">
            <v>FB260003819</v>
          </cell>
          <cell r="I591" t="str">
            <v>C000001176_SJ10276</v>
          </cell>
        </row>
        <row r="592">
          <cell r="D592" t="str">
            <v>R</v>
          </cell>
          <cell r="E592" t="str">
            <v>FB260003819</v>
          </cell>
          <cell r="I592" t="str">
            <v>C000001176_SJ10277</v>
          </cell>
        </row>
        <row r="593">
          <cell r="D593" t="str">
            <v>Q1</v>
          </cell>
          <cell r="E593" t="str">
            <v>FB250026344</v>
          </cell>
          <cell r="G593">
            <v>0.8</v>
          </cell>
          <cell r="I593" t="str">
            <v>C000000538_SW108150</v>
          </cell>
        </row>
        <row r="594">
          <cell r="D594" t="str">
            <v>Q1</v>
          </cell>
          <cell r="E594" t="str">
            <v>FB250022642</v>
          </cell>
          <cell r="G594">
            <v>0.8</v>
          </cell>
          <cell r="I594" t="str">
            <v>C000000569_SW105150</v>
          </cell>
        </row>
        <row r="595">
          <cell r="D595" t="str">
            <v>R</v>
          </cell>
          <cell r="E595" t="str">
            <v>FB260007869</v>
          </cell>
          <cell r="I595" t="str">
            <v>82329_SW106176</v>
          </cell>
        </row>
        <row r="596">
          <cell r="D596" t="str">
            <v>R</v>
          </cell>
          <cell r="E596" t="str">
            <v>FB260007869</v>
          </cell>
          <cell r="I596" t="str">
            <v>C000001408_SW106176</v>
          </cell>
        </row>
        <row r="597">
          <cell r="D597" t="str">
            <v>R</v>
          </cell>
          <cell r="E597" t="str">
            <v>FB260007869</v>
          </cell>
          <cell r="I597" t="str">
            <v>C000001763_SW106176</v>
          </cell>
        </row>
        <row r="598">
          <cell r="D598" t="str">
            <v>R</v>
          </cell>
          <cell r="E598" t="str">
            <v>FB260007869</v>
          </cell>
          <cell r="I598" t="str">
            <v>86233_SW106176</v>
          </cell>
        </row>
        <row r="599">
          <cell r="D599" t="str">
            <v>Q3</v>
          </cell>
          <cell r="E599" t="str">
            <v>FB250019256</v>
          </cell>
          <cell r="G599">
            <v>0.8</v>
          </cell>
          <cell r="I599" t="str">
            <v>86716_SF012050</v>
          </cell>
        </row>
        <row r="600">
          <cell r="D600" t="str">
            <v>Q3</v>
          </cell>
          <cell r="E600" t="str">
            <v>FB250018428</v>
          </cell>
          <cell r="G600">
            <v>0.8</v>
          </cell>
          <cell r="I600" t="str">
            <v>78382_SW108150</v>
          </cell>
        </row>
        <row r="601">
          <cell r="D601" t="str">
            <v>Q1</v>
          </cell>
          <cell r="E601" t="str">
            <v>FB250023115</v>
          </cell>
          <cell r="G601">
            <v>0.8</v>
          </cell>
          <cell r="I601" t="str">
            <v>C000000396_SW087953</v>
          </cell>
        </row>
        <row r="602">
          <cell r="D602" t="str">
            <v>Q1</v>
          </cell>
          <cell r="E602" t="str">
            <v>A</v>
          </cell>
          <cell r="G602">
            <v>0.8</v>
          </cell>
          <cell r="I602" t="str">
            <v>69165_SJ104638</v>
          </cell>
        </row>
        <row r="603">
          <cell r="D603" t="str">
            <v>Q3</v>
          </cell>
          <cell r="E603" t="str">
            <v>FB26002209</v>
          </cell>
          <cell r="G603">
            <v>0.8</v>
          </cell>
          <cell r="I603" t="str">
            <v>83604_SJ106665</v>
          </cell>
        </row>
        <row r="604">
          <cell r="D604" t="str">
            <v>Q1</v>
          </cell>
          <cell r="E604" t="str">
            <v>FB250016766</v>
          </cell>
          <cell r="G604">
            <v>0.8</v>
          </cell>
          <cell r="I604" t="str">
            <v>78476_SW048171</v>
          </cell>
        </row>
        <row r="605">
          <cell r="D605" t="str">
            <v>Q1</v>
          </cell>
          <cell r="E605">
            <v>1868936</v>
          </cell>
          <cell r="G605">
            <v>0.8</v>
          </cell>
          <cell r="I605" t="str">
            <v>69701_SW048171</v>
          </cell>
        </row>
        <row r="606">
          <cell r="D606" t="str">
            <v>Q2</v>
          </cell>
          <cell r="E606" t="str">
            <v>FB250022222</v>
          </cell>
          <cell r="G606">
            <v>0.8</v>
          </cell>
          <cell r="I606" t="str">
            <v>57929_SF010348</v>
          </cell>
        </row>
        <row r="607">
          <cell r="D607" t="str">
            <v>Q3</v>
          </cell>
          <cell r="E607" t="str">
            <v>D</v>
          </cell>
          <cell r="G607">
            <v>0.8</v>
          </cell>
          <cell r="I607" t="str">
            <v>2027_S109733</v>
          </cell>
        </row>
        <row r="608">
          <cell r="D608" t="str">
            <v>Q1</v>
          </cell>
          <cell r="E608" t="str">
            <v>B</v>
          </cell>
          <cell r="G608">
            <v>0.8</v>
          </cell>
          <cell r="I608" t="str">
            <v>C000000514_SF105678</v>
          </cell>
        </row>
        <row r="609">
          <cell r="D609" t="str">
            <v>R</v>
          </cell>
          <cell r="E609" t="str">
            <v>FB250001566</v>
          </cell>
          <cell r="I609" t="str">
            <v>78661_SJ108651</v>
          </cell>
        </row>
        <row r="610">
          <cell r="D610" t="str">
            <v>R</v>
          </cell>
          <cell r="E610" t="str">
            <v>FB260000219</v>
          </cell>
          <cell r="I610" t="str">
            <v>C000001636_SW108281</v>
          </cell>
        </row>
        <row r="611">
          <cell r="D611" t="str">
            <v>R</v>
          </cell>
          <cell r="E611" t="str">
            <v>B</v>
          </cell>
          <cell r="I611" t="str">
            <v>C000002085_SJ109735</v>
          </cell>
        </row>
        <row r="612">
          <cell r="D612" t="str">
            <v>R</v>
          </cell>
          <cell r="E612" t="str">
            <v>FB260007491</v>
          </cell>
          <cell r="I612" t="str">
            <v>69167_SJ104638</v>
          </cell>
        </row>
        <row r="613">
          <cell r="D613" t="str">
            <v>Q1</v>
          </cell>
          <cell r="E613" t="str">
            <v>FB260005926</v>
          </cell>
          <cell r="I613" t="str">
            <v>C000001246_SW087953</v>
          </cell>
        </row>
        <row r="614">
          <cell r="D614" t="str">
            <v>R</v>
          </cell>
          <cell r="E614" t="str">
            <v>A</v>
          </cell>
          <cell r="I614" t="str">
            <v>C000000913_SJ109984</v>
          </cell>
        </row>
        <row r="615">
          <cell r="D615" t="str">
            <v>Q1</v>
          </cell>
          <cell r="I615" t="str">
            <v>C000000648_SF002050</v>
          </cell>
        </row>
        <row r="616">
          <cell r="D616" t="str">
            <v>Q1</v>
          </cell>
          <cell r="E616" t="str">
            <v>A</v>
          </cell>
          <cell r="G616">
            <v>0.8</v>
          </cell>
          <cell r="I616" t="str">
            <v>85165_SW100755</v>
          </cell>
        </row>
        <row r="617">
          <cell r="D617" t="str">
            <v>Q2</v>
          </cell>
          <cell r="E617" t="str">
            <v>C</v>
          </cell>
          <cell r="G617">
            <v>0.8</v>
          </cell>
          <cell r="I617" t="str">
            <v>84498_SF106477</v>
          </cell>
        </row>
        <row r="618">
          <cell r="D618" t="str">
            <v>Q1</v>
          </cell>
          <cell r="E618" t="str">
            <v>FB260005932</v>
          </cell>
          <cell r="G618">
            <v>0.8</v>
          </cell>
          <cell r="I618" t="str">
            <v>C000001357_SF106477</v>
          </cell>
        </row>
        <row r="619">
          <cell r="D619" t="str">
            <v>Q1</v>
          </cell>
          <cell r="E619" t="str">
            <v>C</v>
          </cell>
          <cell r="G619">
            <v>0.8</v>
          </cell>
          <cell r="I619" t="str">
            <v>C000002094_SW042931</v>
          </cell>
        </row>
        <row r="620">
          <cell r="D620" t="str">
            <v>Q4</v>
          </cell>
          <cell r="E620" t="str">
            <v>A</v>
          </cell>
          <cell r="G620">
            <v>0.8</v>
          </cell>
          <cell r="I620" t="str">
            <v>C000002138_SW053308</v>
          </cell>
        </row>
        <row r="621">
          <cell r="D621" t="str">
            <v>Q1</v>
          </cell>
          <cell r="E621" t="str">
            <v>C</v>
          </cell>
          <cell r="G621">
            <v>0.8</v>
          </cell>
          <cell r="I621" t="str">
            <v>C000001689_SW102692</v>
          </cell>
        </row>
        <row r="622">
          <cell r="D622" t="str">
            <v>Q1</v>
          </cell>
          <cell r="E622" t="str">
            <v>FB2600000645</v>
          </cell>
          <cell r="G622">
            <v>0.8</v>
          </cell>
          <cell r="I622" t="str">
            <v>C000001230_SW087953</v>
          </cell>
        </row>
        <row r="623">
          <cell r="D623" t="str">
            <v>Q3</v>
          </cell>
          <cell r="E623">
            <v>1856547</v>
          </cell>
          <cell r="G623">
            <v>0.8</v>
          </cell>
          <cell r="I623" t="str">
            <v>85581_SW102956</v>
          </cell>
        </row>
        <row r="624">
          <cell r="D624" t="str">
            <v>Q4</v>
          </cell>
          <cell r="E624">
            <v>1863193</v>
          </cell>
          <cell r="G624">
            <v>0.8</v>
          </cell>
          <cell r="I624" t="str">
            <v>80919_SW106176</v>
          </cell>
        </row>
        <row r="625">
          <cell r="D625" t="str">
            <v>Q4</v>
          </cell>
          <cell r="E625" t="str">
            <v>FB250009939</v>
          </cell>
          <cell r="G625">
            <v>0.8</v>
          </cell>
          <cell r="I625" t="str">
            <v>62727_SW044801</v>
          </cell>
        </row>
        <row r="626">
          <cell r="D626" t="str">
            <v>Q4</v>
          </cell>
          <cell r="E626" t="str">
            <v>FB250009939</v>
          </cell>
          <cell r="G626">
            <v>0.8</v>
          </cell>
          <cell r="I626" t="str">
            <v>62727_SB055098</v>
          </cell>
        </row>
        <row r="627">
          <cell r="D627" t="str">
            <v>R</v>
          </cell>
          <cell r="E627" t="str">
            <v>FB260006756</v>
          </cell>
          <cell r="I627" t="str">
            <v>C000000141_SW104924</v>
          </cell>
        </row>
        <row r="628">
          <cell r="D628" t="str">
            <v>Q2</v>
          </cell>
          <cell r="E628" t="str">
            <v>FB260006647</v>
          </cell>
          <cell r="G628">
            <v>0.8</v>
          </cell>
          <cell r="I628" t="str">
            <v>57929_SW087524</v>
          </cell>
        </row>
        <row r="629">
          <cell r="D629" t="str">
            <v>Q3</v>
          </cell>
          <cell r="E629" t="str">
            <v>A</v>
          </cell>
          <cell r="G629">
            <v>0.8</v>
          </cell>
          <cell r="I629" t="str">
            <v>85440_SW090104</v>
          </cell>
        </row>
        <row r="630">
          <cell r="D630" t="str">
            <v>Q1</v>
          </cell>
          <cell r="E630">
            <v>1765430</v>
          </cell>
          <cell r="G630">
            <v>0.8</v>
          </cell>
          <cell r="I630" t="str">
            <v>57929_SW102956</v>
          </cell>
        </row>
        <row r="631">
          <cell r="D631" t="str">
            <v>Q4</v>
          </cell>
          <cell r="E631" t="str">
            <v>FB260003452</v>
          </cell>
          <cell r="G631">
            <v>0.8</v>
          </cell>
          <cell r="I631" t="str">
            <v>72629_SJ102177</v>
          </cell>
        </row>
        <row r="632">
          <cell r="D632" t="str">
            <v>Q3</v>
          </cell>
          <cell r="E632" t="str">
            <v>FB260002681</v>
          </cell>
          <cell r="G632">
            <v>0.8</v>
          </cell>
          <cell r="I632" t="str">
            <v>32094_SW107378</v>
          </cell>
        </row>
        <row r="633">
          <cell r="D633" t="str">
            <v>Q3</v>
          </cell>
          <cell r="E633" t="str">
            <v>C</v>
          </cell>
          <cell r="G633">
            <v>0.8</v>
          </cell>
          <cell r="I633" t="str">
            <v>C000000365_SW099504</v>
          </cell>
        </row>
        <row r="634">
          <cell r="D634" t="str">
            <v>Q2</v>
          </cell>
          <cell r="E634" t="str">
            <v>FB260002045</v>
          </cell>
          <cell r="G634">
            <v>0.9</v>
          </cell>
          <cell r="I634" t="str">
            <v>87497_SW099504</v>
          </cell>
        </row>
        <row r="635">
          <cell r="D635" t="str">
            <v>R</v>
          </cell>
          <cell r="E635" t="str">
            <v>FB260006027</v>
          </cell>
          <cell r="I635" t="str">
            <v>50948_SW102692</v>
          </cell>
        </row>
        <row r="636">
          <cell r="D636" t="str">
            <v>R</v>
          </cell>
          <cell r="E636" t="str">
            <v>FB250019319</v>
          </cell>
          <cell r="I636" t="str">
            <v>61471_SF105678</v>
          </cell>
        </row>
        <row r="637">
          <cell r="D637" t="str">
            <v>R</v>
          </cell>
          <cell r="E637" t="str">
            <v>FB250023968</v>
          </cell>
          <cell r="I637" t="str">
            <v>50948_SF051188</v>
          </cell>
        </row>
        <row r="638">
          <cell r="D638" t="str">
            <v>Q1</v>
          </cell>
          <cell r="E638" t="str">
            <v>FB260001560</v>
          </cell>
          <cell r="G638">
            <v>0.8</v>
          </cell>
          <cell r="I638" t="str">
            <v>66488_SS059237</v>
          </cell>
        </row>
        <row r="639">
          <cell r="D639" t="str">
            <v>Q3</v>
          </cell>
          <cell r="E639" t="str">
            <v>FB250015207</v>
          </cell>
          <cell r="G639">
            <v>0.8</v>
          </cell>
          <cell r="I639" t="str">
            <v>85931_SW108150</v>
          </cell>
        </row>
        <row r="640">
          <cell r="D640" t="str">
            <v>Q1</v>
          </cell>
          <cell r="E640" t="str">
            <v>B</v>
          </cell>
          <cell r="G640">
            <v>0.8</v>
          </cell>
          <cell r="I640" t="str">
            <v>c000000372_SW099504</v>
          </cell>
        </row>
        <row r="641">
          <cell r="D641" t="str">
            <v>Q2</v>
          </cell>
          <cell r="E641" t="str">
            <v>D</v>
          </cell>
          <cell r="G641">
            <v>0.8</v>
          </cell>
          <cell r="I641" t="str">
            <v>C000000648_SF106477</v>
          </cell>
        </row>
        <row r="642">
          <cell r="D642" t="str">
            <v>Q1</v>
          </cell>
          <cell r="E642" t="str">
            <v>B3</v>
          </cell>
          <cell r="G642">
            <v>0.8</v>
          </cell>
          <cell r="I642" t="str">
            <v>57928_SW040362</v>
          </cell>
        </row>
        <row r="643">
          <cell r="D643" t="str">
            <v>Q1</v>
          </cell>
          <cell r="E643" t="str">
            <v>FB250024613</v>
          </cell>
          <cell r="G643">
            <v>0.8</v>
          </cell>
          <cell r="I643" t="str">
            <v>69374_SJ104638</v>
          </cell>
        </row>
        <row r="644">
          <cell r="D644" t="str">
            <v>Q3</v>
          </cell>
          <cell r="E644">
            <v>1888083</v>
          </cell>
          <cell r="G644">
            <v>0.8</v>
          </cell>
          <cell r="I644" t="str">
            <v>50203_SF002050</v>
          </cell>
        </row>
        <row r="645">
          <cell r="D645" t="str">
            <v>Q1</v>
          </cell>
          <cell r="E645">
            <v>1882834</v>
          </cell>
          <cell r="G645">
            <v>0.8</v>
          </cell>
          <cell r="I645" t="str">
            <v>87080_SJ102177</v>
          </cell>
        </row>
        <row r="646">
          <cell r="D646" t="str">
            <v>Q3</v>
          </cell>
          <cell r="E646" t="str">
            <v>FB260000080</v>
          </cell>
          <cell r="G646">
            <v>0.8</v>
          </cell>
          <cell r="I646" t="str">
            <v>C000001357_SF002050</v>
          </cell>
        </row>
        <row r="647">
          <cell r="D647" t="str">
            <v>Q3</v>
          </cell>
          <cell r="E647" t="str">
            <v>FB250026054</v>
          </cell>
          <cell r="G647">
            <v>0.8</v>
          </cell>
          <cell r="I647" t="str">
            <v>C000000606_SF106678</v>
          </cell>
        </row>
        <row r="648">
          <cell r="D648" t="str">
            <v>Q4</v>
          </cell>
          <cell r="E648" t="str">
            <v>FB250020204</v>
          </cell>
          <cell r="G648">
            <v>0.8</v>
          </cell>
          <cell r="I648" t="str">
            <v>66488_SC059432</v>
          </cell>
        </row>
        <row r="649">
          <cell r="D649" t="str">
            <v>Q3</v>
          </cell>
          <cell r="E649" t="str">
            <v>FB260001555</v>
          </cell>
          <cell r="G649">
            <v>0.8</v>
          </cell>
          <cell r="I649" t="str">
            <v>68374_SW106176</v>
          </cell>
        </row>
        <row r="650">
          <cell r="D650" t="str">
            <v>Q3</v>
          </cell>
          <cell r="E650" t="str">
            <v>FB260001555</v>
          </cell>
          <cell r="G650">
            <v>0.8</v>
          </cell>
          <cell r="I650" t="str">
            <v>C000001924_SW106176</v>
          </cell>
        </row>
        <row r="651">
          <cell r="D651" t="str">
            <v>Q3</v>
          </cell>
          <cell r="E651" t="str">
            <v>FB260001555</v>
          </cell>
          <cell r="G651">
            <v>0.8</v>
          </cell>
          <cell r="I651" t="str">
            <v>C000001923_SW106176</v>
          </cell>
        </row>
        <row r="652">
          <cell r="D652" t="str">
            <v>Q3</v>
          </cell>
          <cell r="E652" t="str">
            <v>FB260001555</v>
          </cell>
          <cell r="G652">
            <v>0.8</v>
          </cell>
          <cell r="I652" t="str">
            <v>C000001886_SW106176</v>
          </cell>
        </row>
        <row r="653">
          <cell r="D653" t="str">
            <v>Q3</v>
          </cell>
          <cell r="E653" t="str">
            <v>FB260001555</v>
          </cell>
          <cell r="G653">
            <v>0.8</v>
          </cell>
          <cell r="I653" t="str">
            <v>C000001874_SW106176</v>
          </cell>
        </row>
        <row r="654">
          <cell r="D654" t="str">
            <v>Q3</v>
          </cell>
          <cell r="E654" t="str">
            <v>FB260001555</v>
          </cell>
          <cell r="G654">
            <v>0.8</v>
          </cell>
          <cell r="I654" t="str">
            <v>C000001922_SW106176</v>
          </cell>
        </row>
        <row r="655">
          <cell r="D655" t="str">
            <v>Q3</v>
          </cell>
          <cell r="E655" t="str">
            <v>FB260001555</v>
          </cell>
          <cell r="G655">
            <v>0.8</v>
          </cell>
          <cell r="I655" t="str">
            <v>C000001352_SW106176</v>
          </cell>
        </row>
        <row r="656">
          <cell r="D656" t="str">
            <v>Q3</v>
          </cell>
          <cell r="E656" t="str">
            <v>FB260001555</v>
          </cell>
          <cell r="G656">
            <v>0.8</v>
          </cell>
          <cell r="I656" t="str">
            <v>78594_SW106176</v>
          </cell>
        </row>
        <row r="657">
          <cell r="D657" t="str">
            <v>Q3</v>
          </cell>
          <cell r="E657" t="str">
            <v>FB260001555</v>
          </cell>
          <cell r="G657">
            <v>0.8</v>
          </cell>
          <cell r="I657" t="str">
            <v>78574_SW106176</v>
          </cell>
        </row>
        <row r="658">
          <cell r="D658" t="str">
            <v>Q3</v>
          </cell>
          <cell r="E658" t="str">
            <v>FB260001555</v>
          </cell>
          <cell r="G658">
            <v>0.8</v>
          </cell>
          <cell r="I658" t="str">
            <v>83200_SW106176</v>
          </cell>
        </row>
        <row r="659">
          <cell r="D659" t="str">
            <v>Q3</v>
          </cell>
          <cell r="E659" t="str">
            <v>FB260001555</v>
          </cell>
          <cell r="G659">
            <v>0.8</v>
          </cell>
          <cell r="I659" t="str">
            <v>78582_SW106176</v>
          </cell>
        </row>
        <row r="660">
          <cell r="D660" t="str">
            <v>Q3</v>
          </cell>
          <cell r="E660" t="str">
            <v>FB260001555</v>
          </cell>
          <cell r="G660">
            <v>0.8</v>
          </cell>
          <cell r="I660" t="str">
            <v>C000000445_SW106176</v>
          </cell>
        </row>
        <row r="661">
          <cell r="D661" t="str">
            <v>Q3</v>
          </cell>
          <cell r="E661" t="str">
            <v>FB260005275</v>
          </cell>
          <cell r="G661">
            <v>0.8</v>
          </cell>
          <cell r="I661" t="str">
            <v>C000000106_SW108281</v>
          </cell>
        </row>
        <row r="662">
          <cell r="D662" t="str">
            <v>NO</v>
          </cell>
          <cell r="E662" t="str">
            <v>FS250009823</v>
          </cell>
          <cell r="I662" t="str">
            <v>84498_SF002050</v>
          </cell>
        </row>
        <row r="663">
          <cell r="D663" t="str">
            <v>Q1</v>
          </cell>
          <cell r="E663" t="str">
            <v>FB260007773</v>
          </cell>
          <cell r="G663">
            <v>0.8</v>
          </cell>
          <cell r="I663" t="str">
            <v>59801_SW048803</v>
          </cell>
        </row>
        <row r="664">
          <cell r="D664" t="str">
            <v>Q2</v>
          </cell>
          <cell r="E664" t="str">
            <v>C</v>
          </cell>
          <cell r="G664">
            <v>0.8</v>
          </cell>
          <cell r="I664" t="str">
            <v>C000000916_SJ106665</v>
          </cell>
        </row>
        <row r="665">
          <cell r="D665" t="str">
            <v>Q1</v>
          </cell>
          <cell r="E665" t="str">
            <v>FB250007870</v>
          </cell>
          <cell r="G665">
            <v>0.8</v>
          </cell>
          <cell r="I665" t="str">
            <v>29245_SW105748</v>
          </cell>
        </row>
        <row r="666">
          <cell r="D666" t="str">
            <v>Q2</v>
          </cell>
          <cell r="E666" t="str">
            <v>FB250026046</v>
          </cell>
          <cell r="G666">
            <v>0.8</v>
          </cell>
          <cell r="I666" t="str">
            <v>83741_SW108150</v>
          </cell>
        </row>
        <row r="667">
          <cell r="D667" t="str">
            <v>R</v>
          </cell>
          <cell r="E667" t="str">
            <v>FB250002193</v>
          </cell>
          <cell r="I667" t="str">
            <v>87058_SJ110283</v>
          </cell>
        </row>
        <row r="668">
          <cell r="D668" t="str">
            <v>Q1</v>
          </cell>
          <cell r="E668" t="str">
            <v>A</v>
          </cell>
          <cell r="G668">
            <v>0.8</v>
          </cell>
          <cell r="I668" t="str">
            <v>C000000978_SB057003</v>
          </cell>
        </row>
        <row r="669">
          <cell r="D669" t="str">
            <v>R</v>
          </cell>
          <cell r="E669" t="str">
            <v>FB260007881</v>
          </cell>
          <cell r="I669" t="str">
            <v>69609_SW105524</v>
          </cell>
        </row>
        <row r="670">
          <cell r="D670" t="str">
            <v>NO</v>
          </cell>
          <cell r="E670" t="str">
            <v>FB250004550</v>
          </cell>
          <cell r="I670" t="str">
            <v>66432_SC059433</v>
          </cell>
        </row>
        <row r="671">
          <cell r="D671" t="str">
            <v>R</v>
          </cell>
          <cell r="E671" t="str">
            <v>FB260000025</v>
          </cell>
          <cell r="I671" t="str">
            <v>62123_SW106166</v>
          </cell>
        </row>
        <row r="672">
          <cell r="D672" t="str">
            <v>R</v>
          </cell>
          <cell r="E672" t="str">
            <v>FB250004987</v>
          </cell>
          <cell r="I672" t="str">
            <v>29244_SW018108</v>
          </cell>
        </row>
        <row r="673">
          <cell r="D673" t="str">
            <v>Q2</v>
          </cell>
          <cell r="E673">
            <v>1843199</v>
          </cell>
          <cell r="G673">
            <v>0.8</v>
          </cell>
          <cell r="I673" t="str">
            <v>83552_SJ1099965</v>
          </cell>
        </row>
        <row r="674">
          <cell r="D674" t="str">
            <v>Q2</v>
          </cell>
          <cell r="E674">
            <v>1843199</v>
          </cell>
          <cell r="G674">
            <v>0.8</v>
          </cell>
          <cell r="I674" t="str">
            <v>83552_SJ109735</v>
          </cell>
        </row>
        <row r="675">
          <cell r="D675" t="str">
            <v>Q2</v>
          </cell>
          <cell r="E675">
            <v>1843199</v>
          </cell>
          <cell r="G675">
            <v>0.8</v>
          </cell>
          <cell r="I675" t="str">
            <v>83552_SJ109864</v>
          </cell>
        </row>
        <row r="676">
          <cell r="D676" t="str">
            <v>Q3</v>
          </cell>
          <cell r="E676" t="str">
            <v>FB250017586</v>
          </cell>
          <cell r="G676">
            <v>0.8</v>
          </cell>
          <cell r="I676" t="str">
            <v>83868_SJ109864</v>
          </cell>
        </row>
        <row r="677">
          <cell r="D677" t="str">
            <v>Q3</v>
          </cell>
          <cell r="E677" t="str">
            <v>FB250017586</v>
          </cell>
          <cell r="G677">
            <v>0.8</v>
          </cell>
          <cell r="I677" t="str">
            <v>83868_SJ109735</v>
          </cell>
        </row>
        <row r="678">
          <cell r="D678" t="str">
            <v>Q1</v>
          </cell>
          <cell r="E678">
            <v>1875814</v>
          </cell>
          <cell r="G678">
            <v>0.8</v>
          </cell>
          <cell r="I678" t="str">
            <v>72011_SF106477</v>
          </cell>
        </row>
        <row r="679">
          <cell r="D679" t="str">
            <v>Q1</v>
          </cell>
          <cell r="E679" t="str">
            <v>FB250016847</v>
          </cell>
          <cell r="G679">
            <v>0.8</v>
          </cell>
          <cell r="I679" t="str">
            <v>83353_SW101499</v>
          </cell>
        </row>
        <row r="680">
          <cell r="D680" t="str">
            <v>Q4</v>
          </cell>
          <cell r="E680" t="str">
            <v>FB250005966</v>
          </cell>
          <cell r="G680">
            <v>0.8</v>
          </cell>
          <cell r="I680" t="str">
            <v>74939_SF010404</v>
          </cell>
        </row>
        <row r="681">
          <cell r="D681" t="str">
            <v>R</v>
          </cell>
          <cell r="E681" t="str">
            <v>FB260000894</v>
          </cell>
          <cell r="I681" t="str">
            <v>57400_SW106037</v>
          </cell>
        </row>
        <row r="682">
          <cell r="D682" t="str">
            <v>Q1</v>
          </cell>
          <cell r="E682" t="str">
            <v>FB250011268</v>
          </cell>
          <cell r="G682">
            <v>0.8</v>
          </cell>
          <cell r="I682" t="str">
            <v>48761_SW000633</v>
          </cell>
        </row>
        <row r="683">
          <cell r="D683" t="str">
            <v>Q1</v>
          </cell>
          <cell r="E683" t="str">
            <v>FB250006020</v>
          </cell>
          <cell r="G683">
            <v>0.8</v>
          </cell>
          <cell r="I683" t="str">
            <v>67731_SW000633</v>
          </cell>
        </row>
        <row r="684">
          <cell r="D684" t="str">
            <v>Q1</v>
          </cell>
          <cell r="E684" t="str">
            <v>FB250022767</v>
          </cell>
          <cell r="G684">
            <v>0.8</v>
          </cell>
          <cell r="I684" t="str">
            <v>57928_SF010348</v>
          </cell>
        </row>
        <row r="685">
          <cell r="D685" t="str">
            <v>Q4</v>
          </cell>
          <cell r="E685" t="str">
            <v>A</v>
          </cell>
          <cell r="G685">
            <v>0.8</v>
          </cell>
          <cell r="I685" t="str">
            <v>C000000271_SF002050</v>
          </cell>
        </row>
        <row r="686">
          <cell r="D686" t="str">
            <v>R</v>
          </cell>
          <cell r="E686" t="str">
            <v>FB260006049</v>
          </cell>
          <cell r="I686" t="str">
            <v>C000001917_SJ110284</v>
          </cell>
        </row>
        <row r="687">
          <cell r="D687" t="str">
            <v>R</v>
          </cell>
          <cell r="E687" t="str">
            <v>FB260006049</v>
          </cell>
          <cell r="I687" t="str">
            <v>C000001917_SJ110283</v>
          </cell>
        </row>
        <row r="688">
          <cell r="D688" t="str">
            <v>R</v>
          </cell>
          <cell r="E688" t="str">
            <v>FB260006049</v>
          </cell>
          <cell r="I688" t="str">
            <v>C000001917_SJ110984</v>
          </cell>
        </row>
        <row r="689">
          <cell r="D689" t="str">
            <v>Q2</v>
          </cell>
          <cell r="E689" t="str">
            <v>FB260002956</v>
          </cell>
          <cell r="G689">
            <v>0.8</v>
          </cell>
          <cell r="I689" t="str">
            <v>C000000186_SW041379</v>
          </cell>
        </row>
        <row r="690">
          <cell r="D690" t="str">
            <v>R</v>
          </cell>
          <cell r="E690" t="str">
            <v>FB250028783</v>
          </cell>
          <cell r="I690" t="str">
            <v>C000001231_SW087953</v>
          </cell>
        </row>
        <row r="691">
          <cell r="D691" t="str">
            <v>Q3</v>
          </cell>
          <cell r="E691">
            <v>1863171</v>
          </cell>
          <cell r="G691">
            <v>0.8</v>
          </cell>
          <cell r="I691" t="str">
            <v>85440_SF106477</v>
          </cell>
        </row>
        <row r="692">
          <cell r="D692" t="str">
            <v>Q4</v>
          </cell>
          <cell r="E692" t="str">
            <v>FB250009348</v>
          </cell>
          <cell r="G692">
            <v>0.8</v>
          </cell>
          <cell r="I692" t="str">
            <v>78476_SF012046</v>
          </cell>
        </row>
        <row r="693">
          <cell r="D693" t="str">
            <v>Q3</v>
          </cell>
          <cell r="E693">
            <v>1849420</v>
          </cell>
          <cell r="G693">
            <v>0.8</v>
          </cell>
          <cell r="I693" t="str">
            <v>11051_SW001166</v>
          </cell>
        </row>
        <row r="694">
          <cell r="D694" t="str">
            <v>Q3</v>
          </cell>
          <cell r="E694">
            <v>1764597</v>
          </cell>
          <cell r="G694">
            <v>0.8</v>
          </cell>
          <cell r="I694" t="str">
            <v>34988_SW048803</v>
          </cell>
        </row>
        <row r="695">
          <cell r="D695" t="str">
            <v>Q1</v>
          </cell>
          <cell r="E695" t="str">
            <v>FB25000356</v>
          </cell>
          <cell r="G695">
            <v>0.8</v>
          </cell>
          <cell r="I695" t="str">
            <v>61851_SW105058</v>
          </cell>
        </row>
        <row r="696">
          <cell r="D696" t="str">
            <v>Q1</v>
          </cell>
          <cell r="E696" t="str">
            <v>FB25000356</v>
          </cell>
          <cell r="G696">
            <v>0.8</v>
          </cell>
          <cell r="I696" t="str">
            <v>61851_SC059434</v>
          </cell>
        </row>
        <row r="697">
          <cell r="D697" t="str">
            <v>R</v>
          </cell>
          <cell r="E697" t="str">
            <v>FB250025947</v>
          </cell>
          <cell r="I697" t="str">
            <v>49688_SW052605</v>
          </cell>
        </row>
        <row r="698">
          <cell r="D698" t="str">
            <v>Q3</v>
          </cell>
          <cell r="E698">
            <v>1712999</v>
          </cell>
          <cell r="G698">
            <v>0.8</v>
          </cell>
          <cell r="I698" t="str">
            <v>29245_SW054593</v>
          </cell>
        </row>
        <row r="699">
          <cell r="D699" t="str">
            <v>Q1</v>
          </cell>
          <cell r="E699" t="str">
            <v>FB250024129</v>
          </cell>
          <cell r="G699">
            <v>0.8</v>
          </cell>
          <cell r="I699" t="str">
            <v>C000000375_SW087953</v>
          </cell>
        </row>
        <row r="700">
          <cell r="D700" t="str">
            <v>Q2</v>
          </cell>
          <cell r="E700" t="str">
            <v>A</v>
          </cell>
          <cell r="G700">
            <v>0.8</v>
          </cell>
          <cell r="I700" t="str">
            <v>C000001245_SW087953</v>
          </cell>
        </row>
        <row r="701">
          <cell r="D701" t="str">
            <v>Q3</v>
          </cell>
          <cell r="E701" t="str">
            <v>C</v>
          </cell>
          <cell r="G701">
            <v>0.8</v>
          </cell>
          <cell r="I701" t="str">
            <v>C000002268_SF011212</v>
          </cell>
        </row>
        <row r="702">
          <cell r="D702" t="str">
            <v>Q1</v>
          </cell>
          <cell r="E702" t="str">
            <v>B</v>
          </cell>
          <cell r="G702">
            <v>0.8</v>
          </cell>
          <cell r="I702" t="str">
            <v>C000002078_SW042266</v>
          </cell>
        </row>
        <row r="703">
          <cell r="D703" t="str">
            <v>Q1</v>
          </cell>
          <cell r="E703" t="str">
            <v>A</v>
          </cell>
          <cell r="G703">
            <v>0.8</v>
          </cell>
          <cell r="I703" t="str">
            <v>C000000172_SW090104</v>
          </cell>
        </row>
        <row r="704">
          <cell r="D704" t="str">
            <v>Q1</v>
          </cell>
          <cell r="E704" t="str">
            <v>A</v>
          </cell>
          <cell r="G704">
            <v>0.8</v>
          </cell>
          <cell r="I704" t="str">
            <v>C000001354_SF106477</v>
          </cell>
        </row>
        <row r="705">
          <cell r="D705" t="str">
            <v>Q1</v>
          </cell>
          <cell r="E705" t="str">
            <v>A</v>
          </cell>
          <cell r="G705">
            <v>0.8</v>
          </cell>
          <cell r="I705" t="str">
            <v>C000001623_SF051188</v>
          </cell>
        </row>
        <row r="706">
          <cell r="D706" t="str">
            <v>Q3</v>
          </cell>
          <cell r="E706" t="str">
            <v>B</v>
          </cell>
          <cell r="G706">
            <v>0.8</v>
          </cell>
          <cell r="I706" t="str">
            <v>85165_SW041379</v>
          </cell>
        </row>
        <row r="707">
          <cell r="D707" t="str">
            <v>Q3</v>
          </cell>
          <cell r="E707" t="str">
            <v>FB260007423</v>
          </cell>
          <cell r="G707">
            <v>0.8</v>
          </cell>
          <cell r="I707" t="str">
            <v>83597_SW108281</v>
          </cell>
        </row>
        <row r="708">
          <cell r="D708" t="str">
            <v>Q4</v>
          </cell>
          <cell r="E708" t="str">
            <v>H</v>
          </cell>
          <cell r="G708">
            <v>0.8</v>
          </cell>
          <cell r="I708" t="str">
            <v>C000001770_SW084028</v>
          </cell>
        </row>
        <row r="709">
          <cell r="D709" t="str">
            <v>Q4</v>
          </cell>
          <cell r="E709" t="str">
            <v>A</v>
          </cell>
          <cell r="G709">
            <v>0.8</v>
          </cell>
          <cell r="I709" t="str">
            <v>C000001279_SF106477</v>
          </cell>
        </row>
        <row r="710">
          <cell r="D710" t="str">
            <v>Q1</v>
          </cell>
          <cell r="E710" t="str">
            <v>FB260004250</v>
          </cell>
          <cell r="G710">
            <v>0.8</v>
          </cell>
          <cell r="I710" t="str">
            <v>80781_SF002050</v>
          </cell>
        </row>
        <row r="711">
          <cell r="D711" t="str">
            <v>Q1</v>
          </cell>
          <cell r="E711" t="str">
            <v>FB260004429</v>
          </cell>
          <cell r="G711">
            <v>0.8</v>
          </cell>
          <cell r="I711" t="str">
            <v>66431_SW085387</v>
          </cell>
        </row>
        <row r="712">
          <cell r="D712" t="str">
            <v>Q1</v>
          </cell>
          <cell r="E712" t="str">
            <v>FB260004429</v>
          </cell>
          <cell r="G712">
            <v>0.8</v>
          </cell>
          <cell r="I712" t="str">
            <v>66431_SS059237</v>
          </cell>
        </row>
        <row r="713">
          <cell r="D713" t="str">
            <v>Q2</v>
          </cell>
          <cell r="E713" t="str">
            <v>FB260003426</v>
          </cell>
          <cell r="G713">
            <v>0.8</v>
          </cell>
          <cell r="I713" t="str">
            <v>82876_SW052792</v>
          </cell>
        </row>
        <row r="714">
          <cell r="D714" t="str">
            <v>Q4</v>
          </cell>
          <cell r="I714" t="str">
            <v>86605_SW087953</v>
          </cell>
        </row>
        <row r="715">
          <cell r="D715" t="str">
            <v>Q3</v>
          </cell>
          <cell r="I715" t="str">
            <v>52689_SW001166</v>
          </cell>
        </row>
        <row r="716">
          <cell r="D716" t="str">
            <v>Q3</v>
          </cell>
          <cell r="I716" t="str">
            <v>10325_SW018108</v>
          </cell>
        </row>
        <row r="717">
          <cell r="D717" t="str">
            <v>Q3</v>
          </cell>
          <cell r="I717" t="str">
            <v>C000002359_SW052249</v>
          </cell>
        </row>
        <row r="718">
          <cell r="D718" t="str">
            <v>Q4</v>
          </cell>
          <cell r="I718" t="str">
            <v>C000002360_SW052292</v>
          </cell>
        </row>
        <row r="719">
          <cell r="D719" t="str">
            <v>Q3</v>
          </cell>
          <cell r="I719" t="str">
            <v>79384_SW108150</v>
          </cell>
        </row>
        <row r="720">
          <cell r="D720" t="str">
            <v>Q1</v>
          </cell>
          <cell r="I720" t="str">
            <v>C000001891_SF050875</v>
          </cell>
        </row>
        <row r="721">
          <cell r="D721" t="str">
            <v>Q4</v>
          </cell>
          <cell r="I721" t="str">
            <v>C000001279_SW048803</v>
          </cell>
        </row>
        <row r="722">
          <cell r="D722" t="str">
            <v>Q1</v>
          </cell>
          <cell r="I722" t="str">
            <v>86331_SF106678</v>
          </cell>
        </row>
        <row r="723">
          <cell r="D723" t="str">
            <v>Q1</v>
          </cell>
          <cell r="I723" t="str">
            <v>32094_SW106179</v>
          </cell>
        </row>
        <row r="724">
          <cell r="D724" t="str">
            <v>Q3</v>
          </cell>
          <cell r="I724" t="str">
            <v>C000000538_SW041854</v>
          </cell>
        </row>
        <row r="725">
          <cell r="D725" t="str">
            <v>Q1</v>
          </cell>
          <cell r="I725" t="str">
            <v>84464_SW041854</v>
          </cell>
        </row>
        <row r="726">
          <cell r="D726" t="str">
            <v>Q1</v>
          </cell>
          <cell r="I726" t="str">
            <v>C000002060_SF002050</v>
          </cell>
        </row>
        <row r="727">
          <cell r="D727" t="str">
            <v>Q3</v>
          </cell>
          <cell r="I727" t="str">
            <v>61227_SF105678</v>
          </cell>
        </row>
        <row r="728">
          <cell r="D728" t="str">
            <v>Q2</v>
          </cell>
          <cell r="I728" t="str">
            <v>79965_SW105524</v>
          </cell>
        </row>
        <row r="729">
          <cell r="D729" t="str">
            <v>Q3</v>
          </cell>
          <cell r="I729" t="str">
            <v>86716_SW054593</v>
          </cell>
        </row>
        <row r="730">
          <cell r="D730" t="str">
            <v>Q1</v>
          </cell>
          <cell r="I730" t="str">
            <v>87047_SW040924</v>
          </cell>
        </row>
        <row r="731">
          <cell r="D731" t="str">
            <v>Q4</v>
          </cell>
          <cell r="I731" t="str">
            <v>85708_SW108150</v>
          </cell>
        </row>
        <row r="732">
          <cell r="D732" t="str">
            <v>Q1</v>
          </cell>
          <cell r="I732" t="str">
            <v>C000000482_SW108150</v>
          </cell>
        </row>
        <row r="733">
          <cell r="D733" t="str">
            <v>Q4</v>
          </cell>
          <cell r="I733" t="str">
            <v>C000000648_SW052292</v>
          </cell>
        </row>
        <row r="734">
          <cell r="D734" t="str">
            <v>NO</v>
          </cell>
          <cell r="I734" t="str">
            <v>C000001966_SW001040</v>
          </cell>
        </row>
        <row r="735">
          <cell r="D735" t="str">
            <v>Q1</v>
          </cell>
          <cell r="I735" t="str">
            <v>85165_SW101405</v>
          </cell>
        </row>
        <row r="736">
          <cell r="D736" t="str">
            <v>Q2</v>
          </cell>
          <cell r="I736" t="str">
            <v>87583_SF060100</v>
          </cell>
        </row>
        <row r="737">
          <cell r="D737" t="str">
            <v>Q3</v>
          </cell>
          <cell r="I737" t="str">
            <v>C000002116_SW042266</v>
          </cell>
        </row>
        <row r="738">
          <cell r="D738" t="str">
            <v>Q2</v>
          </cell>
          <cell r="I738" t="str">
            <v>C000002079_SW042266</v>
          </cell>
        </row>
        <row r="739">
          <cell r="D739" t="str">
            <v>Q1</v>
          </cell>
          <cell r="I739" t="str">
            <v>C000000241_SF002050</v>
          </cell>
        </row>
        <row r="740">
          <cell r="D740" t="str">
            <v>Q2</v>
          </cell>
          <cell r="I740" t="str">
            <v>C000000616_SW108150</v>
          </cell>
        </row>
        <row r="741">
          <cell r="D741" t="str">
            <v>Q3</v>
          </cell>
          <cell r="I741" t="str">
            <v>53028_SW054593</v>
          </cell>
        </row>
        <row r="742">
          <cell r="D742" t="str">
            <v>Q2</v>
          </cell>
          <cell r="I742" t="str">
            <v>52356_SW000874</v>
          </cell>
        </row>
        <row r="743">
          <cell r="D743" t="str">
            <v>Q1</v>
          </cell>
          <cell r="I743" t="str">
            <v>C000001761_SW108150</v>
          </cell>
        </row>
        <row r="744">
          <cell r="D744" t="str">
            <v>Q1</v>
          </cell>
          <cell r="I744" t="str">
            <v>C000000186_SW034040</v>
          </cell>
        </row>
        <row r="745">
          <cell r="D745" t="str">
            <v>Q4</v>
          </cell>
          <cell r="I745" t="str">
            <v>C000000135_SW108150</v>
          </cell>
        </row>
        <row r="746">
          <cell r="D746" t="str">
            <v>Q1</v>
          </cell>
          <cell r="I746" t="str">
            <v>85940_SW108150</v>
          </cell>
        </row>
        <row r="747">
          <cell r="D747" t="str">
            <v>Q1</v>
          </cell>
          <cell r="I747" t="str">
            <v>86937_SF106477</v>
          </cell>
        </row>
        <row r="748">
          <cell r="D748" t="str">
            <v>Q3</v>
          </cell>
          <cell r="I748" t="str">
            <v>36187_SW000770</v>
          </cell>
        </row>
        <row r="749">
          <cell r="D749" t="str">
            <v>Q4</v>
          </cell>
          <cell r="I749" t="str">
            <v>66491_SW085387</v>
          </cell>
        </row>
        <row r="750">
          <cell r="D750" t="str">
            <v>Q4</v>
          </cell>
          <cell r="I750" t="str">
            <v>66491_SS059237</v>
          </cell>
        </row>
        <row r="751">
          <cell r="D751" t="str">
            <v>Q2</v>
          </cell>
          <cell r="I751" t="str">
            <v>61851_SW106955</v>
          </cell>
        </row>
        <row r="752">
          <cell r="D752" t="str">
            <v>Q1</v>
          </cell>
          <cell r="I752" t="str">
            <v>61851_SF105061</v>
          </cell>
        </row>
        <row r="753">
          <cell r="D753" t="str">
            <v>Q4</v>
          </cell>
          <cell r="I753" t="str">
            <v>C000001234_SW087953</v>
          </cell>
        </row>
        <row r="754">
          <cell r="D754" t="str">
            <v>Q3</v>
          </cell>
          <cell r="I754" t="str">
            <v>C000000651_SF060100</v>
          </cell>
        </row>
        <row r="755">
          <cell r="D755" t="str">
            <v>Q1</v>
          </cell>
          <cell r="I755" t="str">
            <v>C000001991_SW048171</v>
          </cell>
        </row>
        <row r="756">
          <cell r="D756" t="str">
            <v>Q3</v>
          </cell>
          <cell r="I756" t="str">
            <v>C000000651_SW040921</v>
          </cell>
        </row>
        <row r="757">
          <cell r="D757" t="str">
            <v>Q1</v>
          </cell>
          <cell r="I757" t="str">
            <v>C000001241_SW087953</v>
          </cell>
        </row>
        <row r="758">
          <cell r="D758" t="str">
            <v>R</v>
          </cell>
          <cell r="I758" t="str">
            <v>72740_SJ106665</v>
          </cell>
        </row>
        <row r="759">
          <cell r="D759" t="str">
            <v>R</v>
          </cell>
          <cell r="I759" t="str">
            <v>C000000485_SJ110605</v>
          </cell>
        </row>
        <row r="760">
          <cell r="D760" t="str">
            <v>R</v>
          </cell>
          <cell r="I760" t="str">
            <v>C000000485_SJ110604</v>
          </cell>
        </row>
        <row r="761">
          <cell r="D761" t="str">
            <v>R</v>
          </cell>
          <cell r="I761" t="str">
            <v>C000000485_SJ110235</v>
          </cell>
        </row>
        <row r="762">
          <cell r="D762" t="str">
            <v>R</v>
          </cell>
          <cell r="I762" t="str">
            <v>85071_SJ106665</v>
          </cell>
        </row>
        <row r="763">
          <cell r="D763" t="str">
            <v>R</v>
          </cell>
          <cell r="I763" t="str">
            <v>57400_SW034186</v>
          </cell>
        </row>
        <row r="764">
          <cell r="D764" t="str">
            <v>Q4</v>
          </cell>
          <cell r="I764" t="str">
            <v>C000001108_SW106176</v>
          </cell>
        </row>
        <row r="765">
          <cell r="D765" t="str">
            <v>Q1</v>
          </cell>
          <cell r="I765" t="str">
            <v>C000001357_SW047822</v>
          </cell>
        </row>
        <row r="766">
          <cell r="D766" t="str">
            <v>Q1</v>
          </cell>
          <cell r="I766" t="str">
            <v>36187_SW047822</v>
          </cell>
        </row>
        <row r="767">
          <cell r="D767" t="str">
            <v>Q1</v>
          </cell>
          <cell r="I767" t="str">
            <v>36187_SB057033</v>
          </cell>
        </row>
        <row r="768">
          <cell r="D768" t="str">
            <v>Q3</v>
          </cell>
          <cell r="I768" t="str">
            <v>53028_SW000874</v>
          </cell>
        </row>
        <row r="769">
          <cell r="D769" t="str">
            <v>Q4</v>
          </cell>
          <cell r="I769" t="str">
            <v>87533_SJ109735</v>
          </cell>
        </row>
        <row r="770">
          <cell r="D770" t="str">
            <v>Q4</v>
          </cell>
          <cell r="I770" t="str">
            <v>87047_SW106037</v>
          </cell>
        </row>
        <row r="771">
          <cell r="D771" t="str">
            <v>Q1</v>
          </cell>
          <cell r="I771" t="str">
            <v>37273_SW006855</v>
          </cell>
        </row>
        <row r="772">
          <cell r="D772" t="str">
            <v>Q2</v>
          </cell>
          <cell r="I772" t="str">
            <v>22785_SW108150</v>
          </cell>
        </row>
        <row r="773">
          <cell r="D773" t="str">
            <v>Q2</v>
          </cell>
          <cell r="I773" t="str">
            <v>C000001316_SW108150</v>
          </cell>
        </row>
        <row r="774">
          <cell r="D774" t="str">
            <v>Q4</v>
          </cell>
          <cell r="I774" t="str">
            <v>86169_SW108150</v>
          </cell>
        </row>
        <row r="775">
          <cell r="D775" t="str">
            <v>Q3</v>
          </cell>
          <cell r="I775" t="str">
            <v>53028_SW046455</v>
          </cell>
        </row>
        <row r="776">
          <cell r="D776" t="str">
            <v>Q4</v>
          </cell>
          <cell r="I776" t="str">
            <v>72011_SW101405</v>
          </cell>
        </row>
        <row r="777">
          <cell r="D777" t="str">
            <v>Q2</v>
          </cell>
          <cell r="I777" t="str">
            <v>11051_SW050111</v>
          </cell>
        </row>
        <row r="778">
          <cell r="D778" t="str">
            <v>Q1</v>
          </cell>
          <cell r="I778" t="str">
            <v>85165_SW034040</v>
          </cell>
        </row>
        <row r="779">
          <cell r="D779" t="str">
            <v>R</v>
          </cell>
          <cell r="I779" t="str">
            <v>82303_SW106166</v>
          </cell>
        </row>
        <row r="780">
          <cell r="D780" t="str">
            <v>Q4</v>
          </cell>
          <cell r="I780" t="str">
            <v>72251_SW106166</v>
          </cell>
        </row>
        <row r="781">
          <cell r="D781" t="str">
            <v>Q3</v>
          </cell>
          <cell r="I781" t="str">
            <v>80831_SW104924</v>
          </cell>
        </row>
        <row r="782">
          <cell r="D782" t="str">
            <v>Q3</v>
          </cell>
          <cell r="I782" t="str">
            <v>84118_SJ109864</v>
          </cell>
        </row>
        <row r="783">
          <cell r="D783" t="str">
            <v>Q3</v>
          </cell>
          <cell r="I783" t="str">
            <v>84118_AS109735</v>
          </cell>
        </row>
        <row r="784">
          <cell r="D784" t="str">
            <v>R</v>
          </cell>
          <cell r="I784" t="str">
            <v>29244_SW105748</v>
          </cell>
        </row>
        <row r="785">
          <cell r="D785" t="str">
            <v>Q1</v>
          </cell>
          <cell r="I785" t="str">
            <v>C000000724_SW040921</v>
          </cell>
        </row>
        <row r="786">
          <cell r="D786" t="str">
            <v>Q4</v>
          </cell>
          <cell r="I786" t="str">
            <v>79255_SB057032</v>
          </cell>
        </row>
        <row r="787">
          <cell r="D787" t="str">
            <v>Q4</v>
          </cell>
          <cell r="I787" t="str">
            <v>C000001398_SW000770</v>
          </cell>
        </row>
        <row r="788">
          <cell r="D788" t="str">
            <v>Q1</v>
          </cell>
          <cell r="I788" t="str">
            <v>78477_SW048171</v>
          </cell>
        </row>
        <row r="789">
          <cell r="D789" t="str">
            <v>R</v>
          </cell>
          <cell r="I789" t="str">
            <v>87528_SW105748</v>
          </cell>
        </row>
        <row r="790">
          <cell r="D790" t="str">
            <v>Q4</v>
          </cell>
          <cell r="I790" t="str">
            <v>59233_SF010404</v>
          </cell>
        </row>
        <row r="791">
          <cell r="D791" t="str">
            <v>R</v>
          </cell>
          <cell r="I791" t="str">
            <v>52011_SW034186</v>
          </cell>
        </row>
        <row r="792">
          <cell r="D792" t="str">
            <v>Q4</v>
          </cell>
          <cell r="I792" t="str">
            <v>73128_SW000633</v>
          </cell>
        </row>
        <row r="793">
          <cell r="D793" t="str">
            <v>Q1</v>
          </cell>
          <cell r="I793" t="str">
            <v>63880_SW107878</v>
          </cell>
        </row>
        <row r="794">
          <cell r="D794" t="str">
            <v>Q2</v>
          </cell>
          <cell r="I794" t="str">
            <v>82094_SW084573</v>
          </cell>
        </row>
        <row r="795">
          <cell r="D795" t="str">
            <v>Q1</v>
          </cell>
          <cell r="I795" t="str">
            <v>80738_SF048858</v>
          </cell>
        </row>
        <row r="796">
          <cell r="D796" t="str">
            <v>Q1</v>
          </cell>
          <cell r="I796" t="str">
            <v>C000002202_SW107322</v>
          </cell>
        </row>
        <row r="797">
          <cell r="D797" t="str">
            <v>R</v>
          </cell>
          <cell r="I797" t="str">
            <v>81201_SJ108803</v>
          </cell>
        </row>
        <row r="798">
          <cell r="D798" t="str">
            <v>Q1</v>
          </cell>
          <cell r="I798" t="str">
            <v>34988_SW101394</v>
          </cell>
        </row>
        <row r="799">
          <cell r="D799" t="str">
            <v>Q4</v>
          </cell>
          <cell r="I799" t="str">
            <v>C000001503_SJ109854</v>
          </cell>
        </row>
        <row r="800">
          <cell r="D800" t="str">
            <v>Q4</v>
          </cell>
          <cell r="I800" t="str">
            <v>C000000666_SW052249</v>
          </cell>
        </row>
        <row r="801">
          <cell r="D801" t="str">
            <v>Q1</v>
          </cell>
          <cell r="I801" t="str">
            <v>C000001966_SF060100</v>
          </cell>
        </row>
        <row r="802">
          <cell r="D802" t="str">
            <v>Q2</v>
          </cell>
          <cell r="I802" t="str">
            <v>C000000582_SF060100</v>
          </cell>
        </row>
        <row r="803">
          <cell r="D803" t="str">
            <v>Q2</v>
          </cell>
          <cell r="I803" t="str">
            <v>C000000841_SW106176</v>
          </cell>
        </row>
        <row r="804">
          <cell r="D804" t="str">
            <v>Q2</v>
          </cell>
          <cell r="I804" t="str">
            <v>C000001790_SW106176</v>
          </cell>
        </row>
        <row r="805">
          <cell r="D805" t="str">
            <v>Q3</v>
          </cell>
          <cell r="I805" t="str">
            <v>C000001638_SW054593</v>
          </cell>
        </row>
        <row r="806">
          <cell r="D806" t="str">
            <v>Q2</v>
          </cell>
          <cell r="I806" t="str">
            <v>C000001317_SF106678</v>
          </cell>
        </row>
        <row r="807">
          <cell r="D807" t="str">
            <v>R</v>
          </cell>
          <cell r="I807" t="str">
            <v>36187_SF002050</v>
          </cell>
        </row>
        <row r="808">
          <cell r="D808" t="str">
            <v>Q4</v>
          </cell>
          <cell r="I808" t="str">
            <v>C000001039_SF106477</v>
          </cell>
        </row>
        <row r="809">
          <cell r="D809" t="str">
            <v>Q2</v>
          </cell>
          <cell r="I809" t="str">
            <v>C000000392_SW046526</v>
          </cell>
        </row>
        <row r="810">
          <cell r="D810" t="str">
            <v>Q2</v>
          </cell>
          <cell r="I810" t="str">
            <v>C000002194_SW601710</v>
          </cell>
        </row>
        <row r="811">
          <cell r="D811" t="str">
            <v>R</v>
          </cell>
          <cell r="I811" t="str">
            <v>53028_SW105748</v>
          </cell>
        </row>
        <row r="812">
          <cell r="D812" t="str">
            <v>Q2</v>
          </cell>
          <cell r="I812" t="str">
            <v>54408_SW018108</v>
          </cell>
        </row>
        <row r="813">
          <cell r="D813" t="str">
            <v>R</v>
          </cell>
          <cell r="I813" t="str">
            <v>C000002175_SJ110793</v>
          </cell>
        </row>
        <row r="814">
          <cell r="D814" t="str">
            <v>Q3</v>
          </cell>
          <cell r="I814" t="str">
            <v>77200_SW041276</v>
          </cell>
        </row>
        <row r="815">
          <cell r="D815" t="str">
            <v>Q3</v>
          </cell>
          <cell r="I815" t="str">
            <v>80891_SF060100</v>
          </cell>
        </row>
        <row r="816">
          <cell r="D816" t="str">
            <v>Q1</v>
          </cell>
          <cell r="I816" t="str">
            <v>63495_SF011212</v>
          </cell>
        </row>
        <row r="817">
          <cell r="D817" t="str">
            <v>Q1</v>
          </cell>
          <cell r="I817" t="str">
            <v>74802_SW044184</v>
          </cell>
        </row>
        <row r="818">
          <cell r="D818" t="str">
            <v>Q3</v>
          </cell>
          <cell r="I818" t="str">
            <v>C000001298_SW106665</v>
          </cell>
        </row>
        <row r="819">
          <cell r="D819" t="str">
            <v>Q4</v>
          </cell>
          <cell r="I819" t="str">
            <v>87496_SW054520</v>
          </cell>
        </row>
        <row r="820">
          <cell r="D820" t="str">
            <v>Q4</v>
          </cell>
          <cell r="I820" t="str">
            <v>11051_SW103699</v>
          </cell>
        </row>
        <row r="821">
          <cell r="D821" t="str">
            <v>Q3</v>
          </cell>
          <cell r="I821" t="str">
            <v>75494_SF105678</v>
          </cell>
        </row>
        <row r="822">
          <cell r="D822" t="str">
            <v>Q3</v>
          </cell>
          <cell r="I822" t="str">
            <v>C000002107_SW048171</v>
          </cell>
        </row>
        <row r="823">
          <cell r="D823" t="str">
            <v>Q1</v>
          </cell>
          <cell r="I823" t="str">
            <v>86171_SF048858</v>
          </cell>
        </row>
        <row r="824">
          <cell r="D824" t="str">
            <v>R</v>
          </cell>
          <cell r="I824" t="str">
            <v>78596_SW106176</v>
          </cell>
        </row>
        <row r="825">
          <cell r="D825" t="str">
            <v>R</v>
          </cell>
          <cell r="I825" t="str">
            <v>67447_SW106176</v>
          </cell>
        </row>
        <row r="826">
          <cell r="D826" t="str">
            <v>R</v>
          </cell>
          <cell r="I826" t="str">
            <v>67447_SP002964</v>
          </cell>
        </row>
        <row r="827">
          <cell r="I827" t="str">
            <v>78596_SO002964</v>
          </cell>
        </row>
        <row r="828">
          <cell r="D828" t="str">
            <v>Q3</v>
          </cell>
          <cell r="I828" t="str">
            <v>C000001398_SF002050</v>
          </cell>
        </row>
        <row r="829">
          <cell r="D829" t="str">
            <v>Q4</v>
          </cell>
          <cell r="I829" t="str">
            <v>C000001976_SW002008</v>
          </cell>
        </row>
        <row r="830">
          <cell r="D830" t="str">
            <v>Q4</v>
          </cell>
          <cell r="I830" t="str">
            <v>83934_SW046526</v>
          </cell>
        </row>
        <row r="831">
          <cell r="D831" t="str">
            <v>Q2</v>
          </cell>
          <cell r="I831" t="str">
            <v>74362_SW002008</v>
          </cell>
        </row>
        <row r="832">
          <cell r="D832" t="str">
            <v>Q3</v>
          </cell>
          <cell r="I832" t="str">
            <v>C000000141_SW000770</v>
          </cell>
        </row>
        <row r="833">
          <cell r="D833" t="str">
            <v>Q2</v>
          </cell>
          <cell r="I833" t="str">
            <v>C000001010_SW601710</v>
          </cell>
        </row>
        <row r="834">
          <cell r="D834" t="str">
            <v>Q4</v>
          </cell>
          <cell r="I834" t="str">
            <v>66548_SF002050</v>
          </cell>
        </row>
        <row r="835">
          <cell r="D835" t="str">
            <v>Q1</v>
          </cell>
          <cell r="I835" t="str">
            <v>11051_SW018108</v>
          </cell>
        </row>
        <row r="836">
          <cell r="D836" t="str">
            <v>Q1</v>
          </cell>
          <cell r="I836" t="str">
            <v>52356_SF012050</v>
          </cell>
        </row>
        <row r="837">
          <cell r="D837" t="str">
            <v>R</v>
          </cell>
          <cell r="I837" t="str">
            <v>21083_SW041081</v>
          </cell>
        </row>
        <row r="838">
          <cell r="D838" t="str">
            <v>R</v>
          </cell>
          <cell r="I838" t="str">
            <v>29244_SW103699</v>
          </cell>
        </row>
        <row r="839">
          <cell r="D839" t="str">
            <v>R</v>
          </cell>
          <cell r="I839" t="str">
            <v>29244_SW107143</v>
          </cell>
        </row>
        <row r="840">
          <cell r="D840" t="str">
            <v>Q4</v>
          </cell>
          <cell r="I840" t="str">
            <v>C000000106_SW046526</v>
          </cell>
        </row>
        <row r="841">
          <cell r="D841" t="str">
            <v>Q1</v>
          </cell>
          <cell r="I841" t="str">
            <v>C000001315_SW108150</v>
          </cell>
        </row>
        <row r="842">
          <cell r="D842" t="str">
            <v>R</v>
          </cell>
          <cell r="I842" t="str">
            <v>32094_SF050714</v>
          </cell>
        </row>
        <row r="843">
          <cell r="D843" t="str">
            <v>Q3</v>
          </cell>
          <cell r="I843" t="str">
            <v>84776_SW106176</v>
          </cell>
        </row>
        <row r="844">
          <cell r="D844" t="str">
            <v>Q1</v>
          </cell>
          <cell r="I844" t="str">
            <v>C000001769_SF051188</v>
          </cell>
        </row>
        <row r="845">
          <cell r="D845" t="str">
            <v>Q2</v>
          </cell>
          <cell r="I845" t="str">
            <v>C000000648_SW047822</v>
          </cell>
        </row>
        <row r="846">
          <cell r="I846" t="str">
            <v>C000000648_SB057033</v>
          </cell>
        </row>
        <row r="847">
          <cell r="D847" t="str">
            <v>Q1</v>
          </cell>
          <cell r="I847" t="str">
            <v>C000002383_SF106477</v>
          </cell>
        </row>
        <row r="848">
          <cell r="D848" t="str">
            <v>Q4</v>
          </cell>
          <cell r="I848" t="str">
            <v>83760_SJ109864</v>
          </cell>
        </row>
        <row r="849">
          <cell r="D849" t="str">
            <v>Q4</v>
          </cell>
          <cell r="I849" t="str">
            <v>83760_SJ109735</v>
          </cell>
        </row>
        <row r="850">
          <cell r="D850" t="str">
            <v>Q4</v>
          </cell>
          <cell r="I850" t="str">
            <v>86044_SW101394</v>
          </cell>
        </row>
        <row r="851">
          <cell r="D851" t="str">
            <v>Q1</v>
          </cell>
          <cell r="I851" t="str">
            <v>23598_SF012050</v>
          </cell>
        </row>
        <row r="852">
          <cell r="D852" t="str">
            <v>Q2</v>
          </cell>
          <cell r="I852" t="str">
            <v>83524_SW046455</v>
          </cell>
        </row>
        <row r="853">
          <cell r="D853" t="str">
            <v>Q1</v>
          </cell>
          <cell r="I853" t="str">
            <v>C000001769_SW102692</v>
          </cell>
        </row>
        <row r="854">
          <cell r="D854" t="str">
            <v>Q4</v>
          </cell>
          <cell r="I854" t="str">
            <v>C000001296_SW040921</v>
          </cell>
        </row>
        <row r="855">
          <cell r="D855" t="str">
            <v>Q3</v>
          </cell>
          <cell r="I855" t="str">
            <v>C000001107_SF106477</v>
          </cell>
        </row>
        <row r="856">
          <cell r="D856" t="str">
            <v>Q4</v>
          </cell>
          <cell r="I856" t="str">
            <v>85581_SF010348</v>
          </cell>
        </row>
        <row r="857">
          <cell r="D857" t="str">
            <v>Q2</v>
          </cell>
          <cell r="I857" t="str">
            <v>84773_SP003168</v>
          </cell>
        </row>
        <row r="858">
          <cell r="D858" t="str">
            <v>Q2</v>
          </cell>
          <cell r="I858" t="str">
            <v>82239_SP003168</v>
          </cell>
        </row>
        <row r="859">
          <cell r="D859" t="str">
            <v>Q4</v>
          </cell>
          <cell r="I859" t="str">
            <v>66375_SW000770</v>
          </cell>
        </row>
        <row r="860">
          <cell r="D860" t="str">
            <v>R</v>
          </cell>
          <cell r="I860" t="str">
            <v>75597_SW107878</v>
          </cell>
        </row>
        <row r="861">
          <cell r="D861" t="str">
            <v>R</v>
          </cell>
          <cell r="I861" t="str">
            <v>84937_SJ109994</v>
          </cell>
        </row>
        <row r="862">
          <cell r="D862" t="str">
            <v>R</v>
          </cell>
          <cell r="I862" t="str">
            <v>84457_SJ109994</v>
          </cell>
        </row>
        <row r="863">
          <cell r="D863" t="str">
            <v>R</v>
          </cell>
          <cell r="I863" t="str">
            <v>84457_SJ109929</v>
          </cell>
        </row>
        <row r="864">
          <cell r="D864" t="str">
            <v>Q1</v>
          </cell>
          <cell r="I864" t="str">
            <v>C000001230_SW087953</v>
          </cell>
        </row>
        <row r="865">
          <cell r="D865" t="str">
            <v>Q3</v>
          </cell>
          <cell r="I865" t="str">
            <v>C000000841_SW108150</v>
          </cell>
        </row>
        <row r="866">
          <cell r="D866" t="str">
            <v>R</v>
          </cell>
          <cell r="I866" t="str">
            <v>67731_SW105748</v>
          </cell>
        </row>
        <row r="867">
          <cell r="D867" t="str">
            <v>R</v>
          </cell>
          <cell r="I867" t="str">
            <v>66432_SW106166</v>
          </cell>
        </row>
        <row r="868">
          <cell r="D868" t="str">
            <v>R</v>
          </cell>
          <cell r="I868" t="str">
            <v>37816_SW052249</v>
          </cell>
        </row>
        <row r="869">
          <cell r="D869" t="str">
            <v>Q1</v>
          </cell>
          <cell r="I869" t="str">
            <v>C000000799_SW040921</v>
          </cell>
        </row>
        <row r="870">
          <cell r="D870" t="str">
            <v>Q1</v>
          </cell>
          <cell r="I870" t="str">
            <v>52011_SW040924</v>
          </cell>
        </row>
        <row r="871">
          <cell r="D871" t="str">
            <v>Q1</v>
          </cell>
          <cell r="I871" t="str">
            <v>C000001108_SW108150</v>
          </cell>
        </row>
        <row r="872">
          <cell r="D872" t="str">
            <v>Q1</v>
          </cell>
          <cell r="I872" t="str">
            <v>C000002052_SW002008</v>
          </cell>
        </row>
        <row r="873">
          <cell r="D873" t="str">
            <v>Q3</v>
          </cell>
          <cell r="I873" t="str">
            <v>C000001950_SW084573</v>
          </cell>
        </row>
        <row r="874">
          <cell r="D874" t="str">
            <v>Q4</v>
          </cell>
          <cell r="I874" t="str">
            <v>C000002260_SW087953</v>
          </cell>
        </row>
        <row r="875">
          <cell r="D875" t="str">
            <v>Q2</v>
          </cell>
          <cell r="I875" t="str">
            <v>83933_SW002008</v>
          </cell>
        </row>
        <row r="876">
          <cell r="D876" t="str">
            <v>Q4</v>
          </cell>
          <cell r="I876" t="str">
            <v>75634_SW052249</v>
          </cell>
        </row>
        <row r="877">
          <cell r="D877" t="str">
            <v>Q3</v>
          </cell>
          <cell r="I877" t="str">
            <v>22785_SW041081</v>
          </cell>
        </row>
        <row r="878">
          <cell r="D878" t="str">
            <v>Q4</v>
          </cell>
          <cell r="I878" t="str">
            <v>C000001044_SW108150</v>
          </cell>
        </row>
        <row r="879">
          <cell r="D879" t="str">
            <v>Q4</v>
          </cell>
          <cell r="I879" t="str">
            <v>C000002089_SW107322</v>
          </cell>
        </row>
        <row r="880">
          <cell r="D880" t="str">
            <v>Q1</v>
          </cell>
          <cell r="I880" t="str">
            <v>59232_SF010404</v>
          </cell>
        </row>
        <row r="881">
          <cell r="D881" t="str">
            <v>R</v>
          </cell>
          <cell r="I881" t="str">
            <v>C000000599_SW107378</v>
          </cell>
        </row>
        <row r="882">
          <cell r="D882" t="str">
            <v>Q2</v>
          </cell>
          <cell r="I882" t="str">
            <v>61851_SW104504</v>
          </cell>
        </row>
        <row r="883">
          <cell r="D883" t="str">
            <v>Q4</v>
          </cell>
          <cell r="I883" t="str">
            <v>85708_SF106477</v>
          </cell>
        </row>
        <row r="884">
          <cell r="D884" t="str">
            <v>Q1</v>
          </cell>
          <cell r="I884" t="str">
            <v>84464_SW041854</v>
          </cell>
        </row>
        <row r="885">
          <cell r="D885" t="str">
            <v>Q1</v>
          </cell>
          <cell r="I885" t="str">
            <v>C000000366_SW050386</v>
          </cell>
        </row>
        <row r="886">
          <cell r="D886" t="str">
            <v>Q1</v>
          </cell>
          <cell r="I886" t="str">
            <v>70294_SW042931</v>
          </cell>
        </row>
        <row r="887">
          <cell r="D887" t="str">
            <v>Q1</v>
          </cell>
          <cell r="I887" t="str">
            <v>C000002365_SW109029</v>
          </cell>
        </row>
        <row r="888">
          <cell r="D888" t="str">
            <v>Q2</v>
          </cell>
          <cell r="I888" t="str">
            <v>75938_SW109084</v>
          </cell>
        </row>
        <row r="889">
          <cell r="D889" t="str">
            <v>Q2</v>
          </cell>
          <cell r="I889" t="str">
            <v>43101_SW053527</v>
          </cell>
        </row>
        <row r="890">
          <cell r="D890" t="str">
            <v>Q2</v>
          </cell>
          <cell r="I890" t="str">
            <v>82840_SW107409</v>
          </cell>
        </row>
        <row r="891">
          <cell r="D891" t="str">
            <v>Q1</v>
          </cell>
          <cell r="I891" t="str">
            <v>11501_SF012050</v>
          </cell>
        </row>
        <row r="892">
          <cell r="D892" t="str">
            <v>Q1</v>
          </cell>
          <cell r="I892" t="str">
            <v>33331_SW084573</v>
          </cell>
        </row>
        <row r="893">
          <cell r="D893" t="str">
            <v>Q4</v>
          </cell>
          <cell r="I893" t="str">
            <v>80945_SW084573</v>
          </cell>
        </row>
        <row r="894">
          <cell r="D894" t="str">
            <v>Q1</v>
          </cell>
          <cell r="I894" t="str">
            <v>32094_SW045124</v>
          </cell>
        </row>
        <row r="895">
          <cell r="D895" t="str">
            <v>Q1</v>
          </cell>
          <cell r="I895" t="str">
            <v>C000001622_SF051188</v>
          </cell>
        </row>
        <row r="896">
          <cell r="D896" t="str">
            <v>R</v>
          </cell>
          <cell r="I896" t="str">
            <v>10324_SW000874</v>
          </cell>
        </row>
        <row r="897">
          <cell r="D897" t="str">
            <v>R</v>
          </cell>
          <cell r="I897" t="str">
            <v>21083_SF048858</v>
          </cell>
        </row>
        <row r="898">
          <cell r="D898" t="str">
            <v>Q3</v>
          </cell>
          <cell r="I898" t="str">
            <v>79384_SW106176</v>
          </cell>
        </row>
        <row r="899">
          <cell r="D899" t="str">
            <v>R</v>
          </cell>
          <cell r="I899" t="str">
            <v>C000001214_SW109084</v>
          </cell>
        </row>
        <row r="900">
          <cell r="D900" t="str">
            <v>R</v>
          </cell>
          <cell r="I900" t="str">
            <v>C000001214_SW109695</v>
          </cell>
        </row>
        <row r="901">
          <cell r="D901" t="str">
            <v>Q1</v>
          </cell>
          <cell r="I901" t="str">
            <v>52011_SW106037</v>
          </cell>
        </row>
        <row r="902">
          <cell r="D902" t="str">
            <v>Q3</v>
          </cell>
          <cell r="I902" t="str">
            <v>53028_SW103267</v>
          </cell>
        </row>
        <row r="903">
          <cell r="D903" t="str">
            <v>Q2</v>
          </cell>
          <cell r="I903" t="str">
            <v>C000000799_SF060100</v>
          </cell>
        </row>
        <row r="904">
          <cell r="D904" t="str">
            <v>Q3</v>
          </cell>
          <cell r="I904" t="str">
            <v>C000000690_SW018108</v>
          </cell>
        </row>
        <row r="905">
          <cell r="D905" t="str">
            <v>R</v>
          </cell>
          <cell r="I905" t="str">
            <v>81871_SJ109653</v>
          </cell>
        </row>
        <row r="906">
          <cell r="D906" t="str">
            <v>R</v>
          </cell>
          <cell r="I906" t="str">
            <v>81970_SJ109653</v>
          </cell>
        </row>
        <row r="907">
          <cell r="D907" t="str">
            <v>R</v>
          </cell>
          <cell r="I907" t="str">
            <v>83286_SJ109653</v>
          </cell>
        </row>
        <row r="908">
          <cell r="D908" t="str">
            <v>R</v>
          </cell>
          <cell r="I908" t="str">
            <v>C000000615_SW106176</v>
          </cell>
        </row>
        <row r="909">
          <cell r="D909" t="str">
            <v>Q1</v>
          </cell>
          <cell r="I909" t="str">
            <v>C000002401_SW105524</v>
          </cell>
        </row>
        <row r="910">
          <cell r="D910" t="str">
            <v>Q4</v>
          </cell>
          <cell r="I910" t="str">
            <v>C000001966_SW049733</v>
          </cell>
        </row>
        <row r="911">
          <cell r="D911" t="str">
            <v>Q1</v>
          </cell>
          <cell r="I911" t="str">
            <v>62444_SF106477</v>
          </cell>
        </row>
        <row r="912">
          <cell r="D912" t="str">
            <v>Q1</v>
          </cell>
          <cell r="I912" t="str">
            <v>C000000615_SW108150</v>
          </cell>
        </row>
        <row r="913">
          <cell r="D913" t="str">
            <v>Q4</v>
          </cell>
          <cell r="I913" t="str">
            <v>C000000792_SW052249</v>
          </cell>
        </row>
        <row r="914">
          <cell r="D914" t="str">
            <v>Q1</v>
          </cell>
          <cell r="I914" t="str">
            <v>87384_SF051188</v>
          </cell>
        </row>
        <row r="915">
          <cell r="D915" t="str">
            <v>R</v>
          </cell>
          <cell r="I915" t="str">
            <v>C000000047_SW001119</v>
          </cell>
        </row>
        <row r="916">
          <cell r="D916" t="str">
            <v>R</v>
          </cell>
          <cell r="I916" t="str">
            <v>C000001214_SW105171</v>
          </cell>
        </row>
        <row r="917">
          <cell r="D917" t="str">
            <v>Q2</v>
          </cell>
          <cell r="I917" t="str">
            <v>C000001046_SF106477</v>
          </cell>
        </row>
        <row r="918">
          <cell r="D918" t="str">
            <v>Q1</v>
          </cell>
          <cell r="I918" t="str">
            <v>87476_SW087953</v>
          </cell>
        </row>
        <row r="919">
          <cell r="D919" t="str">
            <v>Q4</v>
          </cell>
          <cell r="I919" t="str">
            <v>79847_SF002050</v>
          </cell>
        </row>
        <row r="920">
          <cell r="D920" t="str">
            <v>Q3</v>
          </cell>
          <cell r="I920" t="str">
            <v>78034_SW108511</v>
          </cell>
        </row>
        <row r="921">
          <cell r="D921" t="str">
            <v>R</v>
          </cell>
          <cell r="I921" t="str">
            <v>C000002100_SJ110793</v>
          </cell>
        </row>
        <row r="922">
          <cell r="D922" t="str">
            <v>Q4</v>
          </cell>
          <cell r="I922" t="str">
            <v>C000001296_SF060100.010.0</v>
          </cell>
        </row>
        <row r="923">
          <cell r="D923" t="str">
            <v>Q4</v>
          </cell>
          <cell r="I923" t="str">
            <v>C000000514_SW002007</v>
          </cell>
        </row>
        <row r="924">
          <cell r="D924" t="str">
            <v>Q1</v>
          </cell>
          <cell r="I924" t="str">
            <v>74362_SW034504</v>
          </cell>
        </row>
        <row r="925">
          <cell r="D925" t="str">
            <v>Q1</v>
          </cell>
          <cell r="I925" t="str">
            <v>C000000422_SW041379</v>
          </cell>
        </row>
        <row r="926">
          <cell r="D926" t="str">
            <v>Q4</v>
          </cell>
          <cell r="I926" t="str">
            <v>52356_SW054593</v>
          </cell>
        </row>
        <row r="927">
          <cell r="D927" t="str">
            <v>Q1</v>
          </cell>
          <cell r="I927" t="str">
            <v>C000001042_SF106477</v>
          </cell>
        </row>
        <row r="928">
          <cell r="D928" t="str">
            <v>Q1</v>
          </cell>
          <cell r="I928" t="str">
            <v>C000001427_SW052249</v>
          </cell>
        </row>
        <row r="929">
          <cell r="D929" t="str">
            <v>Q2</v>
          </cell>
          <cell r="I929" t="str">
            <v>C000001515_SW105171</v>
          </cell>
        </row>
        <row r="930">
          <cell r="D930" t="str">
            <v>Q1</v>
          </cell>
          <cell r="I930" t="str">
            <v>C000001667_SW034504</v>
          </cell>
        </row>
        <row r="931">
          <cell r="D931" t="str">
            <v>Q3</v>
          </cell>
          <cell r="I931" t="str">
            <v>C000000794_SW041379</v>
          </cell>
        </row>
        <row r="932">
          <cell r="D932" t="str">
            <v>Q4</v>
          </cell>
          <cell r="I932" t="str">
            <v>C000000272_SJ109735</v>
          </cell>
        </row>
        <row r="933">
          <cell r="D933" t="str">
            <v>Q4</v>
          </cell>
          <cell r="I933" t="str">
            <v>C000000272_SJ109864</v>
          </cell>
        </row>
        <row r="934">
          <cell r="D934" t="str">
            <v>R</v>
          </cell>
          <cell r="I934" t="str">
            <v>80442_SW053021</v>
          </cell>
        </row>
        <row r="935">
          <cell r="D935" t="str">
            <v>R</v>
          </cell>
          <cell r="I935" t="str">
            <v>83475_SW084573</v>
          </cell>
        </row>
        <row r="936">
          <cell r="D936" t="str">
            <v>Q3</v>
          </cell>
          <cell r="I936" t="str">
            <v>10325_SW101732</v>
          </cell>
        </row>
        <row r="937">
          <cell r="D937" t="str">
            <v>Q4</v>
          </cell>
          <cell r="I937" t="str">
            <v>10325_SW103267</v>
          </cell>
        </row>
        <row r="938">
          <cell r="D938" t="str">
            <v>R</v>
          </cell>
          <cell r="I938" t="str">
            <v>52231_SW104745</v>
          </cell>
        </row>
        <row r="939">
          <cell r="D939" t="str">
            <v>Q1</v>
          </cell>
          <cell r="I939" t="str">
            <v>69330_SB056800</v>
          </cell>
        </row>
        <row r="940">
          <cell r="D940" t="str">
            <v>Q3</v>
          </cell>
          <cell r="I940" t="str">
            <v>83933_SW049409</v>
          </cell>
        </row>
        <row r="941">
          <cell r="D941" t="str">
            <v>Q2</v>
          </cell>
          <cell r="I941" t="str">
            <v>C000001212_SW109695</v>
          </cell>
        </row>
        <row r="942">
          <cell r="D942" t="str">
            <v>Q4</v>
          </cell>
          <cell r="I942" t="str">
            <v>C000000514_SW040921</v>
          </cell>
        </row>
        <row r="943">
          <cell r="D943" t="str">
            <v>Q3</v>
          </cell>
          <cell r="I943" t="str">
            <v>C000001212_SW109084</v>
          </cell>
        </row>
        <row r="944">
          <cell r="D944" t="str">
            <v>Q1</v>
          </cell>
          <cell r="I944" t="str">
            <v>C000001210_SW109084</v>
          </cell>
        </row>
        <row r="945">
          <cell r="D945" t="str">
            <v>Q4</v>
          </cell>
          <cell r="I945" t="str">
            <v>66548_SF002050</v>
          </cell>
        </row>
        <row r="946">
          <cell r="D946" t="str">
            <v>Q1</v>
          </cell>
          <cell r="I946" t="str">
            <v>78251_SW002008</v>
          </cell>
        </row>
        <row r="947">
          <cell r="D947" t="str">
            <v>Q1</v>
          </cell>
          <cell r="I947" t="str">
            <v>59801_SW041379</v>
          </cell>
        </row>
        <row r="948">
          <cell r="D948" t="str">
            <v>Q3</v>
          </cell>
          <cell r="I948" t="str">
            <v>81649_SW108545</v>
          </cell>
        </row>
        <row r="949">
          <cell r="D949" t="str">
            <v>Q1</v>
          </cell>
          <cell r="I949" t="str">
            <v>53028_SW102046</v>
          </cell>
        </row>
        <row r="950">
          <cell r="D950" t="str">
            <v>Q2</v>
          </cell>
          <cell r="I950" t="str">
            <v>C000000724_SW052249</v>
          </cell>
        </row>
        <row r="951">
          <cell r="D951" t="str">
            <v>Q1</v>
          </cell>
          <cell r="I951" t="str">
            <v>77918_SW106176</v>
          </cell>
        </row>
        <row r="952">
          <cell r="D952" t="str">
            <v>Q1</v>
          </cell>
          <cell r="I952" t="str">
            <v>77918_SP002964</v>
          </cell>
        </row>
        <row r="953">
          <cell r="D953" t="str">
            <v>Q2</v>
          </cell>
          <cell r="I953" t="str">
            <v>C000001217_SW109084</v>
          </cell>
        </row>
        <row r="954">
          <cell r="D954" t="str">
            <v>Q1</v>
          </cell>
          <cell r="I954" t="str">
            <v>76273_SW042931</v>
          </cell>
        </row>
        <row r="955">
          <cell r="D955" t="str">
            <v>Q2</v>
          </cell>
          <cell r="I955" t="str">
            <v>C000002184_SJ104638</v>
          </cell>
        </row>
        <row r="956">
          <cell r="D956" t="str">
            <v>Q3</v>
          </cell>
          <cell r="I956" t="str">
            <v>C000001638_SW054592</v>
          </cell>
        </row>
        <row r="957">
          <cell r="D957" t="str">
            <v>Q3</v>
          </cell>
          <cell r="I957" t="str">
            <v>C000001357_SW052292</v>
          </cell>
        </row>
        <row r="958">
          <cell r="D958" t="str">
            <v>R</v>
          </cell>
          <cell r="I958" t="str">
            <v>48761_SW105748</v>
          </cell>
        </row>
        <row r="959">
          <cell r="D959" t="str">
            <v>Q2</v>
          </cell>
          <cell r="I959" t="str">
            <v>C000000813_SW108545</v>
          </cell>
        </row>
        <row r="960">
          <cell r="D960" t="str">
            <v>Q2</v>
          </cell>
          <cell r="I960" t="str">
            <v>C000001209_SW105171</v>
          </cell>
        </row>
        <row r="961">
          <cell r="D961" t="str">
            <v>Q2</v>
          </cell>
          <cell r="I961" t="str">
            <v>C000001926_SW087953</v>
          </cell>
        </row>
        <row r="962">
          <cell r="D962" t="str">
            <v>Q2</v>
          </cell>
          <cell r="I962" t="str">
            <v>C000002261_SW087953</v>
          </cell>
        </row>
        <row r="963">
          <cell r="D963" t="str">
            <v>Q2</v>
          </cell>
          <cell r="I963" t="str">
            <v>C000001212_SW105171</v>
          </cell>
        </row>
        <row r="964">
          <cell r="D964" t="str">
            <v>Q1</v>
          </cell>
          <cell r="I964" t="str">
            <v>C000001688_SW099504</v>
          </cell>
        </row>
        <row r="965">
          <cell r="D965" t="str">
            <v>R</v>
          </cell>
          <cell r="I965" t="str">
            <v>C000001213_SW109695</v>
          </cell>
        </row>
        <row r="966">
          <cell r="D966" t="str">
            <v>R</v>
          </cell>
          <cell r="I966" t="str">
            <v>C000001213_SW109084</v>
          </cell>
        </row>
        <row r="967">
          <cell r="D967" t="str">
            <v>R</v>
          </cell>
          <cell r="I967" t="str">
            <v>C000001213_SW105171</v>
          </cell>
        </row>
        <row r="968">
          <cell r="D968" t="str">
            <v>Q1</v>
          </cell>
          <cell r="I968" t="str">
            <v>78251_SW049409</v>
          </cell>
        </row>
        <row r="969">
          <cell r="D969" t="str">
            <v>Q1</v>
          </cell>
          <cell r="I969" t="str">
            <v>C000000799_SW052249</v>
          </cell>
        </row>
        <row r="970">
          <cell r="D970" t="str">
            <v>Q1</v>
          </cell>
          <cell r="I970" t="str">
            <v>C000001681_SF106477</v>
          </cell>
        </row>
        <row r="971">
          <cell r="D971" t="str">
            <v>Q4</v>
          </cell>
          <cell r="I971" t="str">
            <v>C000001948_SW084573</v>
          </cell>
        </row>
        <row r="972">
          <cell r="D972" t="str">
            <v>Q1</v>
          </cell>
          <cell r="I972" t="str">
            <v>C000001948_SW087953</v>
          </cell>
        </row>
        <row r="973">
          <cell r="D973" t="str">
            <v>Q2</v>
          </cell>
          <cell r="I973" t="str">
            <v>C000001210_SW109695</v>
          </cell>
        </row>
        <row r="974">
          <cell r="D974" t="str">
            <v>Q3</v>
          </cell>
          <cell r="I974" t="str">
            <v>C000001211_SW105171</v>
          </cell>
        </row>
        <row r="975">
          <cell r="D975" t="str">
            <v>Q2</v>
          </cell>
          <cell r="I975" t="str">
            <v>C000001211_SW109695</v>
          </cell>
        </row>
        <row r="976">
          <cell r="D976" t="str">
            <v>Q2</v>
          </cell>
          <cell r="I976" t="str">
            <v>C000001217_SW105171</v>
          </cell>
        </row>
        <row r="977">
          <cell r="D977" t="str">
            <v>Q4</v>
          </cell>
          <cell r="I977" t="str">
            <v>C000001210_SW105171</v>
          </cell>
        </row>
        <row r="978">
          <cell r="D978" t="str">
            <v>Q4</v>
          </cell>
          <cell r="I978" t="str">
            <v>C000000586_SW052249</v>
          </cell>
        </row>
        <row r="979">
          <cell r="D979" t="str">
            <v>Q1</v>
          </cell>
          <cell r="I979" t="str">
            <v>36809_SW040362</v>
          </cell>
        </row>
        <row r="980">
          <cell r="D980" t="str">
            <v>Q1</v>
          </cell>
          <cell r="I980" t="str">
            <v>69330_SJ102250</v>
          </cell>
        </row>
        <row r="981">
          <cell r="D981" t="str">
            <v>Q2</v>
          </cell>
          <cell r="I981" t="str">
            <v>78351_SJ108923</v>
          </cell>
        </row>
        <row r="982">
          <cell r="D982" t="str">
            <v>Q2</v>
          </cell>
          <cell r="I982" t="str">
            <v>78351_SJ108922</v>
          </cell>
        </row>
        <row r="983">
          <cell r="D983" t="str">
            <v>Q3</v>
          </cell>
          <cell r="I983" t="str">
            <v>77303_SC059433</v>
          </cell>
        </row>
        <row r="984">
          <cell r="D984" t="str">
            <v>Q4</v>
          </cell>
          <cell r="I984" t="str">
            <v>C000002143_SW107322</v>
          </cell>
        </row>
        <row r="985">
          <cell r="D985" t="str">
            <v>Q4</v>
          </cell>
          <cell r="I985" t="str">
            <v>61851_SC059433</v>
          </cell>
        </row>
        <row r="986">
          <cell r="D986" t="str">
            <v>Q2</v>
          </cell>
          <cell r="I986" t="str">
            <v>87514_SJ109735</v>
          </cell>
        </row>
        <row r="987">
          <cell r="D987" t="str">
            <v>R</v>
          </cell>
          <cell r="I987" t="str">
            <v>83689_SJ110604</v>
          </cell>
        </row>
        <row r="988">
          <cell r="D988" t="str">
            <v>R</v>
          </cell>
          <cell r="I988" t="str">
            <v>83689_SJ110235</v>
          </cell>
        </row>
        <row r="989">
          <cell r="D989" t="str">
            <v>Q4</v>
          </cell>
          <cell r="I989" t="str">
            <v>C000001503_SJ109735</v>
          </cell>
        </row>
        <row r="990">
          <cell r="D990" t="str">
            <v>Q2</v>
          </cell>
          <cell r="I990" t="str">
            <v>84906_SJ109864</v>
          </cell>
        </row>
        <row r="991">
          <cell r="D991" t="str">
            <v>Q2</v>
          </cell>
          <cell r="I991" t="str">
            <v>75080_SJ101818</v>
          </cell>
        </row>
        <row r="992">
          <cell r="D992" t="str">
            <v>Q2</v>
          </cell>
          <cell r="I992" t="str">
            <v>74341_SJ101818</v>
          </cell>
        </row>
        <row r="993">
          <cell r="D993" t="str">
            <v>Q2</v>
          </cell>
          <cell r="I993" t="str">
            <v>C000002039_SW053308</v>
          </cell>
        </row>
        <row r="994">
          <cell r="D994" t="str">
            <v>Q2</v>
          </cell>
          <cell r="I994" t="str">
            <v>87162_SJ108651</v>
          </cell>
        </row>
        <row r="995">
          <cell r="D995" t="str">
            <v>Q2</v>
          </cell>
          <cell r="I995" t="str">
            <v>84066_SJ108651</v>
          </cell>
        </row>
        <row r="996">
          <cell r="D996" t="str">
            <v>Q4</v>
          </cell>
          <cell r="I996" t="str">
            <v>C000001504_SJ109735</v>
          </cell>
        </row>
        <row r="997">
          <cell r="D997" t="str">
            <v>Q3</v>
          </cell>
          <cell r="I997" t="str">
            <v>83603_SJ106665</v>
          </cell>
        </row>
        <row r="998">
          <cell r="D998" t="str">
            <v>Q4</v>
          </cell>
          <cell r="I998" t="str">
            <v>C000001686_SF051188</v>
          </cell>
        </row>
        <row r="999">
          <cell r="D999" t="str">
            <v>Q3</v>
          </cell>
          <cell r="I999" t="str">
            <v>C000000982_SW087953</v>
          </cell>
        </row>
        <row r="1000">
          <cell r="D1000" t="str">
            <v>Q4</v>
          </cell>
          <cell r="I1000" t="str">
            <v>C000001748_SW087953</v>
          </cell>
        </row>
        <row r="1001">
          <cell r="D1001" t="str">
            <v>Q1</v>
          </cell>
          <cell r="I1001" t="str">
            <v>C000002402_SW090104</v>
          </cell>
        </row>
        <row r="1002">
          <cell r="D1002" t="str">
            <v>R</v>
          </cell>
          <cell r="I1002" t="str">
            <v>83188_SJ106665</v>
          </cell>
        </row>
        <row r="1003">
          <cell r="D1003" t="str">
            <v>Q4</v>
          </cell>
          <cell r="I1003" t="str">
            <v>83740_SW108150</v>
          </cell>
        </row>
        <row r="1004">
          <cell r="D1004" t="str">
            <v>Q1</v>
          </cell>
          <cell r="I1004" t="str">
            <v>C000000544_SW108150</v>
          </cell>
        </row>
        <row r="1005">
          <cell r="D1005" t="str">
            <v>Q2</v>
          </cell>
          <cell r="I1005" t="str">
            <v>C000000380_SW054520</v>
          </cell>
        </row>
        <row r="1006">
          <cell r="D1006" t="str">
            <v>Q1</v>
          </cell>
          <cell r="I1006" t="str">
            <v>C000000353_SW108150</v>
          </cell>
        </row>
        <row r="1007">
          <cell r="D1007" t="str">
            <v>Q1</v>
          </cell>
          <cell r="I1007" t="str">
            <v>C000000514_SW040362</v>
          </cell>
        </row>
        <row r="1008">
          <cell r="D1008" t="str">
            <v>Q1</v>
          </cell>
          <cell r="I1008" t="str">
            <v>C000001435_SW052292</v>
          </cell>
        </row>
        <row r="1009">
          <cell r="D1009" t="str">
            <v>Q4</v>
          </cell>
          <cell r="I1009" t="str">
            <v>82778_SW108150</v>
          </cell>
        </row>
        <row r="1010">
          <cell r="D1010" t="str">
            <v>Q4</v>
          </cell>
          <cell r="I1010" t="str">
            <v>34179_SF106477</v>
          </cell>
        </row>
        <row r="1011">
          <cell r="D1011" t="str">
            <v>Q2</v>
          </cell>
          <cell r="I1011" t="str">
            <v>68651_SJ104638</v>
          </cell>
        </row>
        <row r="1012">
          <cell r="D1012" t="str">
            <v>Q4</v>
          </cell>
          <cell r="I1012" t="str">
            <v>34988_SW101587</v>
          </cell>
        </row>
        <row r="1013">
          <cell r="D1013" t="str">
            <v>R</v>
          </cell>
          <cell r="I1013" t="str">
            <v>82329_SP002964</v>
          </cell>
        </row>
        <row r="1014">
          <cell r="D1014" t="str">
            <v>R</v>
          </cell>
          <cell r="I1014" t="str">
            <v>86233_SP002964</v>
          </cell>
        </row>
        <row r="1015">
          <cell r="D1015" t="str">
            <v>R</v>
          </cell>
          <cell r="I1015" t="str">
            <v>C000001763_SP002964</v>
          </cell>
        </row>
        <row r="1016">
          <cell r="D1016" t="str">
            <v>R</v>
          </cell>
          <cell r="I1016" t="str">
            <v>C000001408_SP002964</v>
          </cell>
        </row>
        <row r="1017">
          <cell r="D1017" t="str">
            <v>Q2</v>
          </cell>
          <cell r="I1017" t="str">
            <v>83553_SJ109965</v>
          </cell>
        </row>
        <row r="1018">
          <cell r="D1018" t="str">
            <v>Q2</v>
          </cell>
          <cell r="I1018" t="str">
            <v>83553_SJ109735</v>
          </cell>
        </row>
        <row r="1019">
          <cell r="D1019" t="str">
            <v>Q2</v>
          </cell>
          <cell r="I1019" t="str">
            <v>83553_SJ109864</v>
          </cell>
        </row>
        <row r="1020">
          <cell r="D1020" t="str">
            <v>Q1</v>
          </cell>
          <cell r="I1020" t="str">
            <v>C000001939_SF050875</v>
          </cell>
        </row>
        <row r="1021">
          <cell r="D1021" t="str">
            <v>Q1</v>
          </cell>
          <cell r="I1021" t="str">
            <v>C000002405_SW090104</v>
          </cell>
        </row>
        <row r="1022">
          <cell r="D1022" t="str">
            <v>Q1</v>
          </cell>
          <cell r="I1022" t="str">
            <v>C000002403_SW090104</v>
          </cell>
        </row>
        <row r="1023">
          <cell r="D1023" t="str">
            <v>Q4</v>
          </cell>
          <cell r="I1023" t="str">
            <v>32094_SW000874</v>
          </cell>
        </row>
        <row r="1024">
          <cell r="D1024" t="str">
            <v>Q3</v>
          </cell>
          <cell r="I1024" t="str">
            <v>C000001239_SW087953</v>
          </cell>
        </row>
        <row r="1025">
          <cell r="D1025" t="str">
            <v>Q3</v>
          </cell>
          <cell r="I1025" t="str">
            <v>C000001501_SJ109735</v>
          </cell>
        </row>
        <row r="1026">
          <cell r="D1026" t="str">
            <v>Q3</v>
          </cell>
          <cell r="I1026" t="str">
            <v>C000001501_SJ109854</v>
          </cell>
        </row>
        <row r="1027">
          <cell r="D1027" t="str">
            <v>Q4</v>
          </cell>
          <cell r="I1027" t="str">
            <v>C000000794_SF106678</v>
          </cell>
        </row>
        <row r="1028">
          <cell r="D1028" t="str">
            <v>Q2</v>
          </cell>
          <cell r="I1028" t="str">
            <v>72181_SW101499</v>
          </cell>
        </row>
        <row r="1029">
          <cell r="D1029" t="str">
            <v>Q4</v>
          </cell>
          <cell r="I1029" t="str">
            <v>75500_SF051188</v>
          </cell>
        </row>
        <row r="1030">
          <cell r="D1030" t="str">
            <v>Q1</v>
          </cell>
          <cell r="I1030" t="str">
            <v>80779_SW052791</v>
          </cell>
        </row>
        <row r="1031">
          <cell r="D1031" t="str">
            <v>Q1</v>
          </cell>
          <cell r="I1031" t="str">
            <v>82139_SW052791</v>
          </cell>
        </row>
        <row r="1032">
          <cell r="D1032" t="str">
            <v>Q1</v>
          </cell>
          <cell r="I1032" t="str">
            <v>82875_SW052791</v>
          </cell>
        </row>
        <row r="1033">
          <cell r="D1033" t="str">
            <v>Q2</v>
          </cell>
          <cell r="I1033" t="str">
            <v>82204_SF106477</v>
          </cell>
        </row>
        <row r="1034">
          <cell r="D1034" t="str">
            <v>Q2</v>
          </cell>
          <cell r="I1034" t="str">
            <v>71709_SW090822</v>
          </cell>
        </row>
        <row r="1035">
          <cell r="D1035" t="str">
            <v>Q3</v>
          </cell>
          <cell r="I1035" t="str">
            <v>C000000538_SF106477</v>
          </cell>
        </row>
        <row r="1036">
          <cell r="D1036" t="str">
            <v>Q2</v>
          </cell>
          <cell r="I1036" t="str">
            <v>34988_SW108917</v>
          </cell>
        </row>
        <row r="1037">
          <cell r="D1037" t="str">
            <v>Q3</v>
          </cell>
          <cell r="I1037" t="str">
            <v>79384_SW106176</v>
          </cell>
        </row>
        <row r="1038">
          <cell r="D1038" t="str">
            <v>Q2</v>
          </cell>
          <cell r="I1038" t="str">
            <v>11051_SW102046</v>
          </cell>
        </row>
        <row r="1039">
          <cell r="D1039" t="str">
            <v>Q3</v>
          </cell>
          <cell r="I1039" t="str">
            <v>C000001942_SF010348</v>
          </cell>
        </row>
        <row r="1040">
          <cell r="D1040" t="str">
            <v>R</v>
          </cell>
          <cell r="I1040" t="str">
            <v>75631_SW052249</v>
          </cell>
        </row>
        <row r="1041">
          <cell r="D1041" t="str">
            <v>Q4</v>
          </cell>
          <cell r="I1041" t="str">
            <v>62034_SW090822</v>
          </cell>
        </row>
        <row r="1042">
          <cell r="D1042" t="str">
            <v>R</v>
          </cell>
          <cell r="I1042" t="str">
            <v>80611_SJ018425</v>
          </cell>
        </row>
        <row r="1043">
          <cell r="D1043" t="str">
            <v>Q2</v>
          </cell>
          <cell r="I1043" t="str">
            <v>C000000660_SF060100</v>
          </cell>
        </row>
        <row r="1044">
          <cell r="D1044" t="str">
            <v>Q2</v>
          </cell>
          <cell r="I1044" t="str">
            <v>C00000653_SW052249</v>
          </cell>
        </row>
        <row r="1045">
          <cell r="D1045" t="str">
            <v>Q2</v>
          </cell>
          <cell r="I1045" t="str">
            <v>11051_SW000874</v>
          </cell>
        </row>
        <row r="1046">
          <cell r="D1046" t="str">
            <v>Q1</v>
          </cell>
          <cell r="I1046" t="str">
            <v>C000002408_SW090104</v>
          </cell>
        </row>
        <row r="1047">
          <cell r="D1047" t="str">
            <v>Q3</v>
          </cell>
          <cell r="I1047" t="str">
            <v>C000002409_SW090104</v>
          </cell>
        </row>
        <row r="1048">
          <cell r="D1048" t="str">
            <v>Q1</v>
          </cell>
          <cell r="I1048" t="str">
            <v>C000002406_SW090104</v>
          </cell>
        </row>
        <row r="1049">
          <cell r="D1049" t="str">
            <v>Q2</v>
          </cell>
          <cell r="I1049" t="str">
            <v>37817_SW040921</v>
          </cell>
        </row>
        <row r="1050">
          <cell r="D1050" t="str">
            <v>Q4</v>
          </cell>
          <cell r="I1050" t="str">
            <v>29245_SW048171</v>
          </cell>
        </row>
        <row r="1051">
          <cell r="D1051" t="str">
            <v>Q2</v>
          </cell>
          <cell r="I1051" t="str">
            <v>74362_SW049409</v>
          </cell>
        </row>
        <row r="1052">
          <cell r="D1052" t="str">
            <v>Q1</v>
          </cell>
          <cell r="I1052" t="str">
            <v>C000001298_SJ106665</v>
          </cell>
        </row>
        <row r="1053">
          <cell r="D1053" t="str">
            <v>Q1</v>
          </cell>
          <cell r="I1053" t="str">
            <v>85455_SW109940</v>
          </cell>
        </row>
        <row r="1054">
          <cell r="D1054" t="str">
            <v>R</v>
          </cell>
          <cell r="I1054" t="str">
            <v>32094_SW0000756</v>
          </cell>
        </row>
        <row r="1055">
          <cell r="D1055" t="str">
            <v>Q3</v>
          </cell>
          <cell r="I1055" t="str">
            <v>C000001314_SW106176</v>
          </cell>
        </row>
        <row r="1056">
          <cell r="D1056" t="str">
            <v>Q3</v>
          </cell>
          <cell r="I1056" t="str">
            <v>C000001481_SW106176</v>
          </cell>
        </row>
        <row r="1057">
          <cell r="D1057" t="str">
            <v>Q4</v>
          </cell>
          <cell r="I1057" t="str">
            <v>C000001291_SF106477</v>
          </cell>
        </row>
        <row r="1058">
          <cell r="D1058" t="str">
            <v>Q4</v>
          </cell>
          <cell r="I1058" t="str">
            <v>C000002415_SW052249</v>
          </cell>
        </row>
        <row r="1059">
          <cell r="D1059" t="str">
            <v>Q4</v>
          </cell>
          <cell r="I1059" t="str">
            <v>C000002404_SW090104</v>
          </cell>
        </row>
        <row r="1060">
          <cell r="D1060" t="str">
            <v>Q1</v>
          </cell>
          <cell r="I1060" t="str">
            <v>76898_SF0507850</v>
          </cell>
        </row>
        <row r="1061">
          <cell r="D1061" t="str">
            <v>Q2</v>
          </cell>
          <cell r="I1061" t="str">
            <v>61862_SF060100</v>
          </cell>
        </row>
        <row r="1062">
          <cell r="D1062" t="str">
            <v>Q4</v>
          </cell>
          <cell r="I1062" t="str">
            <v>C000001688_SW087953</v>
          </cell>
        </row>
        <row r="1063">
          <cell r="D1063" t="str">
            <v>Q2</v>
          </cell>
          <cell r="I1063" t="str">
            <v>C000001217_SW109695</v>
          </cell>
        </row>
        <row r="1064">
          <cell r="D1064" t="str">
            <v>Q1</v>
          </cell>
          <cell r="I1064" t="str">
            <v>C000001751_SW087953</v>
          </cell>
        </row>
        <row r="1065">
          <cell r="D1065" t="str">
            <v>Q3</v>
          </cell>
          <cell r="I1065" t="str">
            <v>C000001565_SW087953</v>
          </cell>
        </row>
        <row r="1066">
          <cell r="D1066" t="str">
            <v>Q4</v>
          </cell>
          <cell r="I1066" t="str">
            <v>C000002407_SW090104</v>
          </cell>
        </row>
        <row r="1067">
          <cell r="D1067" t="str">
            <v>Q3</v>
          </cell>
          <cell r="I1067" t="str">
            <v>83686_SJ109735</v>
          </cell>
        </row>
        <row r="1068">
          <cell r="D1068" t="str">
            <v>Q3</v>
          </cell>
          <cell r="I1068" t="str">
            <v>83686_SJ109864</v>
          </cell>
        </row>
        <row r="1069">
          <cell r="D1069" t="str">
            <v>Q3</v>
          </cell>
          <cell r="I1069" t="str">
            <v>83686_SJ109854</v>
          </cell>
        </row>
        <row r="1070">
          <cell r="D1070" t="str">
            <v>Q3</v>
          </cell>
          <cell r="I1070" t="str">
            <v>83817_SJ109735</v>
          </cell>
        </row>
        <row r="1071">
          <cell r="D1071" t="str">
            <v>Q3</v>
          </cell>
          <cell r="I1071" t="str">
            <v>83817_SJ109864</v>
          </cell>
        </row>
        <row r="1072">
          <cell r="D1072" t="str">
            <v>Q3</v>
          </cell>
          <cell r="I1072" t="str">
            <v>83817_SJ109854</v>
          </cell>
        </row>
        <row r="1073">
          <cell r="D1073" t="str">
            <v>Q3</v>
          </cell>
          <cell r="I1073" t="str">
            <v>10325_SC000780</v>
          </cell>
        </row>
        <row r="1074">
          <cell r="D1074" t="str">
            <v>Q4</v>
          </cell>
          <cell r="I1074" t="str">
            <v>82289_SF060100</v>
          </cell>
        </row>
        <row r="1075">
          <cell r="D1075" t="str">
            <v>Q3</v>
          </cell>
          <cell r="I1075" t="str">
            <v>86608_SW087953</v>
          </cell>
        </row>
        <row r="1076">
          <cell r="D1076" t="str">
            <v>R</v>
          </cell>
          <cell r="I1076" t="str">
            <v>C000001516_SW105171</v>
          </cell>
        </row>
        <row r="1077">
          <cell r="D1077" t="str">
            <v>Q3</v>
          </cell>
          <cell r="I1077" t="str">
            <v>C0000001209_SW109084</v>
          </cell>
        </row>
        <row r="1078">
          <cell r="D1078" t="str">
            <v>Q2</v>
          </cell>
          <cell r="I1078" t="str">
            <v>C000001209_SW109695</v>
          </cell>
        </row>
        <row r="1079">
          <cell r="D1079" t="str">
            <v>Q3</v>
          </cell>
          <cell r="I1079" t="str">
            <v>C000002472_SW087953</v>
          </cell>
        </row>
        <row r="1080">
          <cell r="D1080" t="str">
            <v>Q1</v>
          </cell>
          <cell r="I1080" t="str">
            <v>C000001211_SW109084</v>
          </cell>
        </row>
        <row r="1081">
          <cell r="D1081" t="str">
            <v>Q4</v>
          </cell>
          <cell r="I1081" t="str">
            <v>36187_SF106477</v>
          </cell>
        </row>
        <row r="1082">
          <cell r="D1082" t="str">
            <v>Q3</v>
          </cell>
          <cell r="I1082" t="str">
            <v>C000001868_SW109029</v>
          </cell>
        </row>
        <row r="1083">
          <cell r="D1083" t="str">
            <v>Q2</v>
          </cell>
          <cell r="I1083" t="str">
            <v>C000001120_SW052249</v>
          </cell>
        </row>
        <row r="1084">
          <cell r="D1084" t="str">
            <v>Q3</v>
          </cell>
          <cell r="I1084" t="str">
            <v>82329_SF106678</v>
          </cell>
        </row>
        <row r="1085">
          <cell r="D1085" t="str">
            <v>Q1</v>
          </cell>
          <cell r="I1085" t="str">
            <v>69330_SW103755</v>
          </cell>
        </row>
        <row r="1086">
          <cell r="D1086" t="str">
            <v>Q4</v>
          </cell>
          <cell r="I1086" t="str">
            <v>82329_SF106477</v>
          </cell>
        </row>
        <row r="1087">
          <cell r="D1087" t="str">
            <v>Q3</v>
          </cell>
          <cell r="I1087" t="str">
            <v>C000001314_SW108150</v>
          </cell>
        </row>
        <row r="1088">
          <cell r="D1088" t="str">
            <v>Q3</v>
          </cell>
          <cell r="I1088" t="str">
            <v>C000002584_SW106176</v>
          </cell>
        </row>
        <row r="1089">
          <cell r="D1089" t="str">
            <v>Q3</v>
          </cell>
          <cell r="I1089" t="str">
            <v>C000001679_SW106176</v>
          </cell>
        </row>
        <row r="1090">
          <cell r="D1090" t="str">
            <v>Q3</v>
          </cell>
          <cell r="I1090" t="str">
            <v>59801_SW106176</v>
          </cell>
        </row>
        <row r="1091">
          <cell r="D1091" t="str">
            <v>Q3</v>
          </cell>
          <cell r="I1091" t="str">
            <v>80323_SW106176</v>
          </cell>
        </row>
        <row r="1092">
          <cell r="D1092" t="str">
            <v>Q3</v>
          </cell>
          <cell r="I1092" t="str">
            <v>81412_SW106176</v>
          </cell>
        </row>
        <row r="1093">
          <cell r="D1093" t="str">
            <v>Q3</v>
          </cell>
          <cell r="I1093" t="str">
            <v>85227_SW106176</v>
          </cell>
        </row>
        <row r="1094">
          <cell r="D1094" t="str">
            <v>Q3</v>
          </cell>
          <cell r="I1094" t="str">
            <v>78598_SW106176</v>
          </cell>
        </row>
        <row r="1095">
          <cell r="D1095" t="str">
            <v>Q3</v>
          </cell>
          <cell r="I1095" t="str">
            <v>78601_SW106176</v>
          </cell>
        </row>
        <row r="1096">
          <cell r="D1096" t="str">
            <v>Q3</v>
          </cell>
          <cell r="I1096" t="str">
            <v>77917_SW106176</v>
          </cell>
        </row>
        <row r="1097">
          <cell r="D1097" t="str">
            <v>Q3</v>
          </cell>
          <cell r="I1097" t="str">
            <v>83199_SW106176</v>
          </cell>
        </row>
        <row r="1098">
          <cell r="D1098" t="str">
            <v>Q3</v>
          </cell>
          <cell r="I1098" t="str">
            <v>62444_SF106678</v>
          </cell>
        </row>
        <row r="1099">
          <cell r="D1099" t="str">
            <v>Q3</v>
          </cell>
          <cell r="I1099" t="str">
            <v>77546_SF051188</v>
          </cell>
        </row>
        <row r="1100">
          <cell r="D1100" t="str">
            <v>R</v>
          </cell>
          <cell r="I1100" t="str">
            <v>29244_SF012050</v>
          </cell>
        </row>
        <row r="1101">
          <cell r="D1101" t="str">
            <v>Q3</v>
          </cell>
          <cell r="I1101" t="str">
            <v>C000001622_SW102692</v>
          </cell>
        </row>
        <row r="1102">
          <cell r="D1102" t="str">
            <v>Q3</v>
          </cell>
          <cell r="I1102" t="str">
            <v>C000001596_SJ106665</v>
          </cell>
        </row>
        <row r="1103">
          <cell r="D1103" t="str">
            <v>Q1</v>
          </cell>
          <cell r="I1103" t="str">
            <v>66489_SC059431</v>
          </cell>
        </row>
        <row r="1104">
          <cell r="D1104" t="str">
            <v>Q1</v>
          </cell>
          <cell r="I1104" t="str">
            <v>22288_SW108930</v>
          </cell>
        </row>
        <row r="1105">
          <cell r="D1105" t="str">
            <v>Q1</v>
          </cell>
          <cell r="I1105" t="str">
            <v>C000002415_SW040921</v>
          </cell>
        </row>
        <row r="1106">
          <cell r="D1106" t="str">
            <v>Q1</v>
          </cell>
          <cell r="I1106" t="str">
            <v>C000001599_SJ106665</v>
          </cell>
        </row>
        <row r="1107">
          <cell r="D1107" t="str">
            <v>Q4</v>
          </cell>
          <cell r="I1107" t="str">
            <v>34179_SF106477</v>
          </cell>
        </row>
        <row r="1108">
          <cell r="D1108" t="str">
            <v>Q1</v>
          </cell>
          <cell r="I1108" t="str">
            <v>69373_SJ104638</v>
          </cell>
        </row>
        <row r="1109">
          <cell r="D1109" t="str">
            <v>Q3</v>
          </cell>
          <cell r="I1109" t="str">
            <v>66491_SC059431</v>
          </cell>
        </row>
        <row r="1110">
          <cell r="D1110" t="str">
            <v>Q1</v>
          </cell>
          <cell r="I1110" t="str">
            <v>C000001680_SW108150</v>
          </cell>
        </row>
        <row r="1111">
          <cell r="D1111" t="str">
            <v>Q3</v>
          </cell>
          <cell r="I1111" t="str">
            <v>32094_SW107378</v>
          </cell>
        </row>
        <row r="1112">
          <cell r="D1112" t="str">
            <v>Q2</v>
          </cell>
          <cell r="I1112" t="str">
            <v>34988_SB056287</v>
          </cell>
        </row>
        <row r="1113">
          <cell r="D1113" t="str">
            <v>Q1</v>
          </cell>
          <cell r="I1113" t="str">
            <v>C000001626_SW108150</v>
          </cell>
        </row>
        <row r="1114">
          <cell r="D1114" t="str">
            <v>Q4</v>
          </cell>
          <cell r="I1114" t="str">
            <v>82969_SF106678</v>
          </cell>
        </row>
        <row r="1115">
          <cell r="D1115" t="str">
            <v>Q3</v>
          </cell>
          <cell r="I1115" t="str">
            <v>78382_SF106477</v>
          </cell>
        </row>
        <row r="1116">
          <cell r="D1116" t="str">
            <v>R</v>
          </cell>
          <cell r="I1116" t="str">
            <v>C000000983_SF106477</v>
          </cell>
        </row>
        <row r="1117">
          <cell r="D1117" t="str">
            <v>Q1</v>
          </cell>
          <cell r="I1117" t="str">
            <v>77339_SW042931</v>
          </cell>
        </row>
        <row r="1118">
          <cell r="D1118" t="str">
            <v>Q3</v>
          </cell>
          <cell r="I1118" t="str">
            <v>C000002109_SW048171</v>
          </cell>
        </row>
        <row r="1119">
          <cell r="D1119" t="str">
            <v>Q1</v>
          </cell>
          <cell r="I1119" t="str">
            <v>C000002090_SW042931</v>
          </cell>
        </row>
        <row r="1120">
          <cell r="D1120" t="str">
            <v>R</v>
          </cell>
          <cell r="I1120" t="str">
            <v>60890_SW042931</v>
          </cell>
        </row>
        <row r="1121">
          <cell r="D1121" t="str">
            <v>Q1</v>
          </cell>
          <cell r="I1121" t="str">
            <v>C000001680_SW106176</v>
          </cell>
        </row>
        <row r="1122">
          <cell r="D1122" t="str">
            <v>Q1</v>
          </cell>
          <cell r="I1122" t="str">
            <v>C000002589_SW106176</v>
          </cell>
        </row>
        <row r="1123">
          <cell r="D1123" t="str">
            <v>Q1</v>
          </cell>
          <cell r="I1123" t="str">
            <v>C000001653_SW106176</v>
          </cell>
        </row>
        <row r="1124">
          <cell r="D1124" t="str">
            <v>Q1</v>
          </cell>
          <cell r="I1124" t="str">
            <v>C000002585_SW106176</v>
          </cell>
        </row>
        <row r="1125">
          <cell r="D1125" t="str">
            <v>Q2</v>
          </cell>
          <cell r="I1125" t="str">
            <v>85013_SW084573</v>
          </cell>
        </row>
        <row r="1126">
          <cell r="D1126" t="str">
            <v>Q4</v>
          </cell>
          <cell r="I1126" t="str">
            <v>85708_SW106176</v>
          </cell>
        </row>
        <row r="1127">
          <cell r="D1127" t="str">
            <v>Q4</v>
          </cell>
          <cell r="I1127" t="str">
            <v>C000001797_SW106176</v>
          </cell>
        </row>
        <row r="1128">
          <cell r="D1128" t="str">
            <v>Q4</v>
          </cell>
          <cell r="I1128" t="str">
            <v>C000002583_SW106176</v>
          </cell>
        </row>
        <row r="1129">
          <cell r="D1129" t="str">
            <v>Q2</v>
          </cell>
          <cell r="I1129" t="str">
            <v>59339_SW108150</v>
          </cell>
        </row>
        <row r="1130">
          <cell r="D1130" t="str">
            <v>Q1</v>
          </cell>
          <cell r="I1130" t="str">
            <v>C000000141_SW001166</v>
          </cell>
        </row>
        <row r="1131">
          <cell r="D1131" t="str">
            <v>Q3</v>
          </cell>
          <cell r="I1131" t="str">
            <v>C000001178_SF050875</v>
          </cell>
        </row>
        <row r="1132">
          <cell r="D1132" t="str">
            <v>Q2</v>
          </cell>
          <cell r="I1132" t="str">
            <v>87488_SW084573</v>
          </cell>
        </row>
        <row r="1133">
          <cell r="D1133" t="str">
            <v>Q3</v>
          </cell>
          <cell r="I1133" t="str">
            <v>C000001950_SW087953</v>
          </cell>
        </row>
        <row r="1134">
          <cell r="D1134" t="str">
            <v>Q1</v>
          </cell>
          <cell r="I1134" t="str">
            <v>C000002114_SW048171</v>
          </cell>
        </row>
        <row r="1135">
          <cell r="D1135" t="str">
            <v>Q1</v>
          </cell>
          <cell r="I1135" t="str">
            <v>C000001927_SW087953</v>
          </cell>
        </row>
        <row r="1136">
          <cell r="D1136" t="str">
            <v>Q1</v>
          </cell>
          <cell r="I1136" t="str">
            <v>61851_SW105064</v>
          </cell>
        </row>
        <row r="1137">
          <cell r="D1137" t="str">
            <v>Q3</v>
          </cell>
          <cell r="I1137" t="str">
            <v>59339_SW101587</v>
          </cell>
        </row>
        <row r="1138">
          <cell r="D1138" t="str">
            <v>Q2</v>
          </cell>
          <cell r="I1138" t="str">
            <v>87475_SW084573</v>
          </cell>
        </row>
        <row r="1139">
          <cell r="D1139" t="str">
            <v>Q1</v>
          </cell>
          <cell r="I1139" t="str">
            <v>84464_SW108150</v>
          </cell>
        </row>
        <row r="1140">
          <cell r="D1140" t="str">
            <v>Q2</v>
          </cell>
          <cell r="I1140" t="str">
            <v>86560_SW087953</v>
          </cell>
        </row>
        <row r="1141">
          <cell r="D1141" t="str">
            <v>Q3</v>
          </cell>
          <cell r="I1141" t="str">
            <v>49792_SW108150</v>
          </cell>
        </row>
        <row r="1142">
          <cell r="D1142" t="str">
            <v>Q3</v>
          </cell>
          <cell r="I1142" t="str">
            <v>59339_SW034040</v>
          </cell>
        </row>
        <row r="1143">
          <cell r="D1143" t="str">
            <v>Q4</v>
          </cell>
          <cell r="I1143" t="str">
            <v>81427_SF060100</v>
          </cell>
        </row>
        <row r="1144">
          <cell r="D1144" t="str">
            <v>Q4</v>
          </cell>
          <cell r="I1144" t="str">
            <v>86178_SF012050</v>
          </cell>
        </row>
        <row r="1145">
          <cell r="D1145" t="str">
            <v>Q3</v>
          </cell>
          <cell r="I1145" t="str">
            <v>85354_SW052249</v>
          </cell>
        </row>
        <row r="1146">
          <cell r="D1146" t="str">
            <v>Q3</v>
          </cell>
          <cell r="I1146" t="str">
            <v>74338_SF051188</v>
          </cell>
        </row>
        <row r="1147">
          <cell r="D1147" t="str">
            <v>Q4</v>
          </cell>
          <cell r="I1147" t="str">
            <v>C000001159_SW108545</v>
          </cell>
        </row>
        <row r="1148">
          <cell r="D1148" t="str">
            <v>Q1</v>
          </cell>
          <cell r="I1148" t="str">
            <v>C000001354_SW101405</v>
          </cell>
        </row>
        <row r="1149">
          <cell r="D1149" t="str">
            <v>Q3</v>
          </cell>
          <cell r="I1149" t="str">
            <v>C000001267_SJ106665</v>
          </cell>
        </row>
        <row r="1150">
          <cell r="D1150" t="str">
            <v>Q1</v>
          </cell>
          <cell r="I1150" t="str">
            <v>C000001354_SW048803</v>
          </cell>
        </row>
        <row r="1151">
          <cell r="D1151" t="str">
            <v>Q2</v>
          </cell>
          <cell r="I1151" t="str">
            <v>87485_SW087953</v>
          </cell>
        </row>
        <row r="1152">
          <cell r="D1152" t="str">
            <v>Q4</v>
          </cell>
          <cell r="I1152" t="str">
            <v>69556_SJ104638</v>
          </cell>
        </row>
        <row r="1153">
          <cell r="D1153" t="str">
            <v>Q4</v>
          </cell>
          <cell r="I1153" t="str">
            <v>82969_SF106678</v>
          </cell>
        </row>
        <row r="1154">
          <cell r="D1154" t="str">
            <v>Q3</v>
          </cell>
          <cell r="I1154" t="str">
            <v>76823_SF106477</v>
          </cell>
        </row>
        <row r="1155">
          <cell r="D1155" t="str">
            <v>R</v>
          </cell>
          <cell r="I1155" t="str">
            <v>52419_SW018563</v>
          </cell>
        </row>
        <row r="1156">
          <cell r="D1156" t="str">
            <v>Q1</v>
          </cell>
          <cell r="I1156" t="str">
            <v>52689_SW046526</v>
          </cell>
        </row>
        <row r="1157">
          <cell r="D1157" t="str">
            <v>Q2</v>
          </cell>
          <cell r="I1157" t="str">
            <v>62625_SW106196</v>
          </cell>
        </row>
        <row r="1158">
          <cell r="D1158" t="str">
            <v>Q3</v>
          </cell>
          <cell r="I1158" t="str">
            <v>86585_SW000770</v>
          </cell>
        </row>
        <row r="1159">
          <cell r="D1159" t="str">
            <v>Q3</v>
          </cell>
          <cell r="I1159" t="str">
            <v>87485_SW084573</v>
          </cell>
        </row>
        <row r="1160">
          <cell r="D1160" t="str">
            <v>Q1</v>
          </cell>
          <cell r="I1160" t="str">
            <v>C000000978_SW107409</v>
          </cell>
        </row>
        <row r="1161">
          <cell r="D1161" t="str">
            <v>Q3</v>
          </cell>
          <cell r="I1161" t="str">
            <v>52356_SW018108</v>
          </cell>
        </row>
        <row r="1162">
          <cell r="D1162" t="str">
            <v>Q2</v>
          </cell>
          <cell r="I1162" t="str">
            <v>66471_SW105171</v>
          </cell>
        </row>
        <row r="1163">
          <cell r="D1163" t="str">
            <v>Q3</v>
          </cell>
          <cell r="I1163" t="str">
            <v>C000002168_SW102692</v>
          </cell>
        </row>
        <row r="1164">
          <cell r="D1164" t="str">
            <v>Q3</v>
          </cell>
          <cell r="I1164" t="str">
            <v>77546_SW102692</v>
          </cell>
        </row>
        <row r="1165">
          <cell r="D1165" t="str">
            <v>R</v>
          </cell>
          <cell r="I1165" t="str">
            <v>37816_sf105678</v>
          </cell>
        </row>
        <row r="1166">
          <cell r="D1166" t="str">
            <v>Q2</v>
          </cell>
          <cell r="I1166" t="str">
            <v>C000001356_SW046526</v>
          </cell>
        </row>
        <row r="1167">
          <cell r="D1167" t="str">
            <v>Q4</v>
          </cell>
          <cell r="I1167" t="str">
            <v>C000001356_SF010348</v>
          </cell>
        </row>
        <row r="1168">
          <cell r="D1168" t="str">
            <v>Q3</v>
          </cell>
          <cell r="I1168">
            <v>77415</v>
          </cell>
        </row>
        <row r="1169">
          <cell r="D1169" t="str">
            <v>Q4</v>
          </cell>
          <cell r="I1169" t="str">
            <v>85708_SW101587</v>
          </cell>
        </row>
        <row r="1170">
          <cell r="D1170" t="str">
            <v>Q3</v>
          </cell>
          <cell r="I1170" t="str">
            <v>C000001599_SJ106665</v>
          </cell>
        </row>
        <row r="1171">
          <cell r="D1171" t="str">
            <v>Q2</v>
          </cell>
          <cell r="I1171" t="str">
            <v>C000001217_SW109695</v>
          </cell>
        </row>
        <row r="1172">
          <cell r="D1172" t="str">
            <v>Q1</v>
          </cell>
          <cell r="I1172" t="str">
            <v>11051_SW000633</v>
          </cell>
        </row>
        <row r="1173">
          <cell r="D1173" t="str">
            <v>Q1</v>
          </cell>
          <cell r="I1173" t="str">
            <v>63880_SW108511</v>
          </cell>
        </row>
        <row r="1174">
          <cell r="D1174" t="str">
            <v>Q1</v>
          </cell>
          <cell r="I1174" t="str">
            <v>34988_SF048858</v>
          </cell>
        </row>
        <row r="1175">
          <cell r="D1175" t="str">
            <v>Q1</v>
          </cell>
          <cell r="I1175" t="str">
            <v>C000001268_SW041854</v>
          </cell>
        </row>
        <row r="1176">
          <cell r="D1176" t="str">
            <v>R</v>
          </cell>
          <cell r="I1176" t="str">
            <v>50203_SW000770</v>
          </cell>
        </row>
        <row r="1177">
          <cell r="D1177" t="str">
            <v>Q2</v>
          </cell>
          <cell r="I1177" t="str">
            <v>82329_SW041081</v>
          </cell>
        </row>
        <row r="1178">
          <cell r="D1178" t="str">
            <v>Q1</v>
          </cell>
          <cell r="I1178" t="str">
            <v>C000001626_SW101587</v>
          </cell>
        </row>
        <row r="1179">
          <cell r="D1179" t="str">
            <v>Q2</v>
          </cell>
          <cell r="I1179" t="str">
            <v>86170_SW108150</v>
          </cell>
        </row>
        <row r="1180">
          <cell r="D1180" t="str">
            <v>Q2</v>
          </cell>
          <cell r="I1180" t="str">
            <v>84529_SF106477</v>
          </cell>
        </row>
        <row r="1181">
          <cell r="D1181" t="str">
            <v>Q1</v>
          </cell>
          <cell r="I1181" t="str">
            <v>62444_SW041081</v>
          </cell>
        </row>
        <row r="1182">
          <cell r="D1182" t="str">
            <v>Q3</v>
          </cell>
          <cell r="I1182" t="str">
            <v>C000000538_SW041854</v>
          </cell>
        </row>
        <row r="1183">
          <cell r="D1183" t="str">
            <v>Q3</v>
          </cell>
          <cell r="I1183" t="str">
            <v>C000001108_SW106176</v>
          </cell>
        </row>
        <row r="1184">
          <cell r="D1184" t="str">
            <v>Q3</v>
          </cell>
          <cell r="I1184" t="str">
            <v>C000001779_SW106176</v>
          </cell>
        </row>
        <row r="1185">
          <cell r="D1185" t="str">
            <v>Q3</v>
          </cell>
          <cell r="I1185" t="str">
            <v>C000001998_SW106176</v>
          </cell>
        </row>
        <row r="1186">
          <cell r="D1186" t="str">
            <v>R</v>
          </cell>
          <cell r="I1186" t="str">
            <v>29244_SW103267</v>
          </cell>
        </row>
        <row r="1187">
          <cell r="D1187" t="str">
            <v>Q1</v>
          </cell>
          <cell r="I1187" t="str">
            <v>C000001315_SW041854</v>
          </cell>
        </row>
        <row r="1188">
          <cell r="D1188" t="str">
            <v>Q3</v>
          </cell>
          <cell r="I1188" t="str">
            <v>C000001144_SW106665</v>
          </cell>
        </row>
        <row r="1189">
          <cell r="D1189" t="str">
            <v>Q3</v>
          </cell>
          <cell r="I1189" t="str">
            <v>C000000608_SW108150</v>
          </cell>
        </row>
        <row r="1190">
          <cell r="D1190" t="str">
            <v>Q2</v>
          </cell>
          <cell r="I1190" t="str">
            <v>36187_SW047822</v>
          </cell>
        </row>
        <row r="1191">
          <cell r="D1191" t="str">
            <v>Q1</v>
          </cell>
          <cell r="I1191" t="str">
            <v>C000001679_SW101587</v>
          </cell>
        </row>
        <row r="1192">
          <cell r="D1192" t="str">
            <v>R</v>
          </cell>
          <cell r="I1192" t="str">
            <v>C000002711_SF002050</v>
          </cell>
        </row>
        <row r="1193">
          <cell r="D1193" t="str">
            <v>Q3</v>
          </cell>
          <cell r="I1193" t="str">
            <v>C000001949_SW087953</v>
          </cell>
        </row>
        <row r="1194">
          <cell r="D1194" t="str">
            <v>Q4</v>
          </cell>
          <cell r="I1194" t="str">
            <v>C000001142_SW108150</v>
          </cell>
        </row>
        <row r="1195">
          <cell r="D1195" t="str">
            <v>Q4</v>
          </cell>
          <cell r="I1195" t="str">
            <v>C000002432_SW108150</v>
          </cell>
        </row>
        <row r="1196">
          <cell r="D1196" t="str">
            <v>Q4</v>
          </cell>
          <cell r="I1196" t="str">
            <v>C000001679_SW108150</v>
          </cell>
        </row>
        <row r="1197">
          <cell r="D1197" t="str">
            <v>Q4</v>
          </cell>
          <cell r="I1197" t="str">
            <v>C000002115_SW048171</v>
          </cell>
        </row>
        <row r="1198">
          <cell r="D1198" t="str">
            <v>Q3</v>
          </cell>
          <cell r="I1198" t="str">
            <v>C000001235_SW084573</v>
          </cell>
        </row>
        <row r="1199">
          <cell r="D1199" t="str">
            <v>Q3</v>
          </cell>
          <cell r="I1199" t="str">
            <v>42389_SF105678</v>
          </cell>
        </row>
        <row r="1200">
          <cell r="D1200" t="str">
            <v>Q3</v>
          </cell>
          <cell r="I1200" t="str">
            <v>36809_SF010348</v>
          </cell>
        </row>
        <row r="1201">
          <cell r="D1201" t="str">
            <v>Q1</v>
          </cell>
          <cell r="I1201" t="str">
            <v>22785_SW041081</v>
          </cell>
        </row>
        <row r="1202">
          <cell r="D1202" t="str">
            <v>R</v>
          </cell>
          <cell r="I1202" t="str">
            <v>29244_SW000669</v>
          </cell>
        </row>
        <row r="1203">
          <cell r="D1203" t="str">
            <v>Q3</v>
          </cell>
          <cell r="I1203" t="str">
            <v>79384_SW041081</v>
          </cell>
        </row>
        <row r="1204">
          <cell r="D1204" t="str">
            <v>Q1</v>
          </cell>
          <cell r="I1204" t="str">
            <v>81962_SF012050</v>
          </cell>
        </row>
        <row r="1205">
          <cell r="D1205" t="str">
            <v>R</v>
          </cell>
          <cell r="I1205" t="str">
            <v>84235_SW101587</v>
          </cell>
        </row>
        <row r="1206">
          <cell r="D1206" t="str">
            <v>R</v>
          </cell>
          <cell r="I1206" t="str">
            <v>C000001916_SJ067316</v>
          </cell>
        </row>
        <row r="1207">
          <cell r="D1207" t="str">
            <v>Q4</v>
          </cell>
          <cell r="I1207" t="str">
            <v>C000001295_SW041854</v>
          </cell>
        </row>
        <row r="1208">
          <cell r="D1208" t="str">
            <v>R</v>
          </cell>
          <cell r="I1208" t="str">
            <v>C000001918_SJ067316</v>
          </cell>
        </row>
        <row r="1209">
          <cell r="D1209" t="str">
            <v>Q3</v>
          </cell>
          <cell r="I1209" t="str">
            <v>57708_SW085043</v>
          </cell>
        </row>
        <row r="1210">
          <cell r="D1210" t="str">
            <v>Q2</v>
          </cell>
          <cell r="I1210" t="str">
            <v>C000000988_SF106477</v>
          </cell>
        </row>
        <row r="1211">
          <cell r="D1211" t="str">
            <v>Q3</v>
          </cell>
          <cell r="I1211" t="str">
            <v>C000002168_SF051188</v>
          </cell>
        </row>
        <row r="1212">
          <cell r="D1212" t="str">
            <v>Q1</v>
          </cell>
          <cell r="I1212" t="str">
            <v>C000002372_SW000770</v>
          </cell>
        </row>
        <row r="1213">
          <cell r="D1213" t="str">
            <v>Q1</v>
          </cell>
          <cell r="I1213" t="str">
            <v>C000002471_SF010348</v>
          </cell>
        </row>
        <row r="1214">
          <cell r="D1214" t="str">
            <v>Q3</v>
          </cell>
          <cell r="I1214" t="str">
            <v>C000002372_SF002050</v>
          </cell>
        </row>
        <row r="1215">
          <cell r="D1215" t="str">
            <v>Q3</v>
          </cell>
          <cell r="I1215" t="str">
            <v>87415_SF051188</v>
          </cell>
        </row>
        <row r="1216">
          <cell r="D1216" t="str">
            <v>Q1</v>
          </cell>
          <cell r="I1216" t="str">
            <v>66375_SW047822</v>
          </cell>
        </row>
        <row r="1217">
          <cell r="D1217" t="str">
            <v>Q3/Q4</v>
          </cell>
          <cell r="I1217" t="str">
            <v>61227_SW040362</v>
          </cell>
        </row>
        <row r="1218">
          <cell r="D1218" t="str">
            <v>Q1/Q2</v>
          </cell>
          <cell r="I1218" t="str">
            <v>80910_SW101587</v>
          </cell>
        </row>
        <row r="1219">
          <cell r="D1219" t="str">
            <v>Q3</v>
          </cell>
          <cell r="I1219" t="str">
            <v>C000002557_SW042931</v>
          </cell>
        </row>
        <row r="1220">
          <cell r="D1220" t="str">
            <v>Q3</v>
          </cell>
          <cell r="I1220" t="str">
            <v>84075_SJ108651</v>
          </cell>
        </row>
        <row r="1221">
          <cell r="D1221" t="str">
            <v>Q3</v>
          </cell>
          <cell r="I1221" t="str">
            <v>C000000690_SW103267</v>
          </cell>
        </row>
        <row r="1222">
          <cell r="D1222" t="str">
            <v>Q3</v>
          </cell>
          <cell r="I1222" t="str">
            <v>C000000683_SW108930</v>
          </cell>
        </row>
        <row r="1223">
          <cell r="D1223" t="str">
            <v>Q1</v>
          </cell>
          <cell r="I1223" t="str">
            <v>59339_SW041081</v>
          </cell>
        </row>
        <row r="1224">
          <cell r="D1224" t="str">
            <v>Q1</v>
          </cell>
          <cell r="I1224" t="str">
            <v>C000001751_SW087953</v>
          </cell>
        </row>
        <row r="1225">
          <cell r="D1225" t="str">
            <v>Q1</v>
          </cell>
          <cell r="I1225" t="str">
            <v>C000001722_SJ106665</v>
          </cell>
        </row>
        <row r="1226">
          <cell r="D1226" t="str">
            <v>Q3</v>
          </cell>
          <cell r="I1226" t="str">
            <v>49792_SW041081</v>
          </cell>
        </row>
        <row r="1227">
          <cell r="D1227" t="str">
            <v>Q1</v>
          </cell>
          <cell r="I1227" t="str">
            <v>C000002380_SW090822</v>
          </cell>
        </row>
        <row r="1228">
          <cell r="D1228" t="str">
            <v>Q4</v>
          </cell>
          <cell r="I1228" t="str">
            <v>C000002561_SW042931</v>
          </cell>
        </row>
        <row r="1229">
          <cell r="D1229" t="str">
            <v>Q4</v>
          </cell>
          <cell r="I1229" t="str">
            <v>C000002559_SW042931</v>
          </cell>
        </row>
        <row r="1230">
          <cell r="D1230" t="str">
            <v>Q3</v>
          </cell>
          <cell r="I1230" t="str">
            <v>59339_SF106477</v>
          </cell>
        </row>
        <row r="1231">
          <cell r="D1231" t="str">
            <v>Q4</v>
          </cell>
          <cell r="I1231" t="str">
            <v>37817_SW040362</v>
          </cell>
        </row>
        <row r="1232">
          <cell r="D1232" t="str">
            <v>Q1</v>
          </cell>
          <cell r="I1232" t="str">
            <v>62601_SW090822</v>
          </cell>
        </row>
        <row r="1233">
          <cell r="D1233" t="str">
            <v>Q1</v>
          </cell>
          <cell r="I1233" t="str">
            <v>C000002381_SW041276</v>
          </cell>
        </row>
        <row r="1234">
          <cell r="D1234" t="str">
            <v>R</v>
          </cell>
          <cell r="I1234" t="str">
            <v>52231_SW042931</v>
          </cell>
        </row>
        <row r="1235">
          <cell r="D1235" t="str">
            <v>Q1</v>
          </cell>
          <cell r="I1235" t="str">
            <v>C000001192_SW044801</v>
          </cell>
        </row>
        <row r="1236">
          <cell r="D1236" t="str">
            <v>Q1</v>
          </cell>
          <cell r="I1236" t="str">
            <v>50892_SW108150</v>
          </cell>
        </row>
        <row r="1237">
          <cell r="D1237" t="str">
            <v>Q1</v>
          </cell>
          <cell r="I1237" t="str">
            <v>C000001265_SF106678</v>
          </cell>
        </row>
        <row r="1238">
          <cell r="D1238" t="str">
            <v>Q4</v>
          </cell>
          <cell r="I1238" t="str">
            <v>C000002269_SB056287</v>
          </cell>
        </row>
        <row r="1239">
          <cell r="D1239" t="str">
            <v>R</v>
          </cell>
          <cell r="I1239" t="str">
            <v>83475_SW099504</v>
          </cell>
        </row>
        <row r="1240">
          <cell r="D1240" t="str">
            <v>Q1</v>
          </cell>
          <cell r="I1240" t="str">
            <v>C000001423_SW044801</v>
          </cell>
        </row>
        <row r="1241">
          <cell r="D1241" t="str">
            <v>Q3</v>
          </cell>
          <cell r="I1241" t="str">
            <v>C000000654_SW041081</v>
          </cell>
        </row>
        <row r="1242">
          <cell r="D1242" t="str">
            <v>Q4</v>
          </cell>
          <cell r="I1242" t="str">
            <v>C000001639_SW108150</v>
          </cell>
        </row>
        <row r="1243">
          <cell r="D1243" t="str">
            <v>Q3</v>
          </cell>
          <cell r="I1243" t="str">
            <v>C000001443_SW048171</v>
          </cell>
        </row>
        <row r="1244">
          <cell r="D1244" t="str">
            <v>Q1</v>
          </cell>
          <cell r="I1244" t="str">
            <v>C000002638_SW042931</v>
          </cell>
        </row>
        <row r="1245">
          <cell r="D1245" t="str">
            <v>Q1</v>
          </cell>
          <cell r="I1245" t="str">
            <v>C000002398_SW042931</v>
          </cell>
        </row>
        <row r="1246">
          <cell r="D1246" t="str">
            <v>R</v>
          </cell>
          <cell r="I1246" t="str">
            <v>C000002112_SW090822</v>
          </cell>
        </row>
        <row r="1247">
          <cell r="D1247" t="str">
            <v>Q4</v>
          </cell>
          <cell r="I1247" t="str">
            <v>C000002540_SW041276</v>
          </cell>
        </row>
        <row r="1248">
          <cell r="D1248" t="str">
            <v>Q3</v>
          </cell>
          <cell r="I1248" t="str">
            <v>78382_SW041081</v>
          </cell>
        </row>
        <row r="1249">
          <cell r="D1249" t="str">
            <v>Q1</v>
          </cell>
          <cell r="I1249" t="str">
            <v>C0000001680_SW041081</v>
          </cell>
        </row>
        <row r="1250">
          <cell r="D1250" t="str">
            <v>Q3</v>
          </cell>
          <cell r="I1250" t="str">
            <v>81286_SJ106665</v>
          </cell>
        </row>
        <row r="1251">
          <cell r="D1251" t="str">
            <v>Q1</v>
          </cell>
          <cell r="I1251" t="str">
            <v>C000002182_SF051188</v>
          </cell>
        </row>
        <row r="1252">
          <cell r="D1252" t="str">
            <v>Q1</v>
          </cell>
          <cell r="I1252" t="str">
            <v>C000001639_SW041081</v>
          </cell>
        </row>
        <row r="1253">
          <cell r="D1253" t="str">
            <v>Q2</v>
          </cell>
          <cell r="I1253" t="str">
            <v>C000001443_SW044801-287</v>
          </cell>
        </row>
        <row r="1254">
          <cell r="D1254" t="str">
            <v>Q4</v>
          </cell>
          <cell r="I1254" t="str">
            <v>C000001142_SW090104</v>
          </cell>
        </row>
        <row r="1255">
          <cell r="D1255" t="str">
            <v>Q2</v>
          </cell>
          <cell r="I1255" t="str">
            <v>C000002291_SW052292</v>
          </cell>
        </row>
        <row r="1256">
          <cell r="D1256" t="str">
            <v>Q2</v>
          </cell>
          <cell r="I1256" t="str">
            <v>C000002322_SW105065</v>
          </cell>
        </row>
        <row r="1257">
          <cell r="D1257" t="str">
            <v>Q3</v>
          </cell>
          <cell r="I1257" t="str">
            <v>C000002575_SK104546</v>
          </cell>
        </row>
        <row r="1258">
          <cell r="D1258" t="str">
            <v>Q3</v>
          </cell>
          <cell r="I1258" t="str">
            <v>C000001107_SW041081</v>
          </cell>
        </row>
        <row r="1259">
          <cell r="D1259" t="str">
            <v>Q1</v>
          </cell>
          <cell r="I1259" t="str">
            <v>C000002385_SW107402</v>
          </cell>
        </row>
        <row r="1260">
          <cell r="D1260" t="str">
            <v>Q4</v>
          </cell>
          <cell r="I1260" t="str">
            <v>86044_SW048803</v>
          </cell>
        </row>
        <row r="1261">
          <cell r="D1261" t="str">
            <v>Q1</v>
          </cell>
          <cell r="I1261" t="str">
            <v>C000001469_SW044801</v>
          </cell>
        </row>
        <row r="1262">
          <cell r="D1262" t="str">
            <v>R</v>
          </cell>
          <cell r="I1262" t="str">
            <v>C000002541_SW041276</v>
          </cell>
        </row>
        <row r="1263">
          <cell r="D1263" t="str">
            <v>Q4</v>
          </cell>
          <cell r="I1263" t="str">
            <v>C000002424_SW111073</v>
          </cell>
        </row>
        <row r="1264">
          <cell r="D1264" t="str">
            <v>Q3</v>
          </cell>
          <cell r="I1264" t="str">
            <v>C000002643_SW090104</v>
          </cell>
        </row>
        <row r="1265">
          <cell r="D1265" t="str">
            <v>Q3</v>
          </cell>
          <cell r="I1265" t="str">
            <v>53028_SW048171</v>
          </cell>
        </row>
        <row r="1266">
          <cell r="D1266" t="str">
            <v>Q2</v>
          </cell>
          <cell r="I1266" t="str">
            <v>74362_SW048412</v>
          </cell>
        </row>
        <row r="1267">
          <cell r="D1267" t="str">
            <v>Q2</v>
          </cell>
          <cell r="I1267" t="str">
            <v>C000002260_SW087953</v>
          </cell>
        </row>
        <row r="1268">
          <cell r="D1268" t="str">
            <v>R</v>
          </cell>
          <cell r="I1268" t="str">
            <v>64078_SW107023</v>
          </cell>
        </row>
        <row r="1269">
          <cell r="D1269" t="str">
            <v>R</v>
          </cell>
          <cell r="I1269" t="str">
            <v>C000000690_SF050714</v>
          </cell>
        </row>
        <row r="1270">
          <cell r="D1270" t="str">
            <v>Q2</v>
          </cell>
          <cell r="I1270" t="str">
            <v>C000000690_SW107143</v>
          </cell>
        </row>
        <row r="1271">
          <cell r="D1271" t="str">
            <v>Q4</v>
          </cell>
          <cell r="I1271" t="str">
            <v>C000001423_SW046990</v>
          </cell>
        </row>
        <row r="1272">
          <cell r="D1272" t="str">
            <v>NO ENTAR</v>
          </cell>
          <cell r="I1272" t="str">
            <v>59339_SW108150</v>
          </cell>
        </row>
        <row r="1273">
          <cell r="D1273" t="str">
            <v>Q4</v>
          </cell>
          <cell r="I1273" t="str">
            <v>C000001711_SW099504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4"/>
      <sheetName val="Sheet3"/>
    </sheetNames>
    <sheetDataSet>
      <sheetData sheetId="0"/>
      <sheetData sheetId="1">
        <row r="2">
          <cell r="D2" t="str">
            <v>Q1</v>
          </cell>
          <cell r="I2" t="str">
            <v>87562_SF106678</v>
          </cell>
        </row>
        <row r="3">
          <cell r="D3" t="str">
            <v>Q3</v>
          </cell>
          <cell r="I3" t="str">
            <v>32094_SW107378</v>
          </cell>
        </row>
        <row r="4">
          <cell r="D4" t="str">
            <v>Q2</v>
          </cell>
          <cell r="I4" t="str">
            <v>87710_SW090822</v>
          </cell>
        </row>
        <row r="5">
          <cell r="D5" t="str">
            <v>Q2</v>
          </cell>
          <cell r="I5" t="str">
            <v>C0000000104_SF011212</v>
          </cell>
        </row>
        <row r="6">
          <cell r="D6" t="str">
            <v>Q4</v>
          </cell>
          <cell r="I6" t="str">
            <v>C000001492_SW052249</v>
          </cell>
        </row>
        <row r="7">
          <cell r="D7" t="str">
            <v>Q4</v>
          </cell>
          <cell r="I7" t="str">
            <v>C000001223_SF011212</v>
          </cell>
        </row>
        <row r="8">
          <cell r="D8" t="str">
            <v>Q4</v>
          </cell>
          <cell r="I8" t="str">
            <v>C000001624_SW102692</v>
          </cell>
        </row>
        <row r="9">
          <cell r="D9" t="str">
            <v>Q1</v>
          </cell>
          <cell r="I9" t="str">
            <v>81662_SW041276</v>
          </cell>
        </row>
        <row r="10">
          <cell r="D10" t="str">
            <v>Q2</v>
          </cell>
          <cell r="I10" t="str">
            <v>C000000364_SW099504</v>
          </cell>
        </row>
        <row r="11">
          <cell r="D11" t="str">
            <v>R</v>
          </cell>
          <cell r="I11" t="str">
            <v>C000000040_SJ108359</v>
          </cell>
        </row>
        <row r="12">
          <cell r="D12" t="str">
            <v>R</v>
          </cell>
          <cell r="I12" t="str">
            <v>C000000040_SJ108993</v>
          </cell>
        </row>
        <row r="13">
          <cell r="D13" t="str">
            <v>Q4</v>
          </cell>
          <cell r="I13" t="str">
            <v>33059_SW108150</v>
          </cell>
        </row>
        <row r="14">
          <cell r="D14" t="str">
            <v>Q4</v>
          </cell>
          <cell r="I14" t="str">
            <v>81649_SW108545</v>
          </cell>
        </row>
        <row r="15">
          <cell r="D15" t="str">
            <v>Q1</v>
          </cell>
          <cell r="I15" t="str">
            <v>84758_SJ109735</v>
          </cell>
        </row>
        <row r="16">
          <cell r="D16" t="str">
            <v>Q1</v>
          </cell>
          <cell r="I16" t="str">
            <v>83691_sj109864</v>
          </cell>
        </row>
        <row r="17">
          <cell r="D17" t="str">
            <v>Q4</v>
          </cell>
          <cell r="I17" t="str">
            <v>86968_SW099504</v>
          </cell>
        </row>
        <row r="18">
          <cell r="D18" t="str">
            <v>Q1</v>
          </cell>
          <cell r="I18" t="str">
            <v>C000000272_SJ109864</v>
          </cell>
        </row>
        <row r="19">
          <cell r="D19" t="str">
            <v>Q1</v>
          </cell>
          <cell r="I19" t="str">
            <v>C000000272_SJ109735</v>
          </cell>
        </row>
        <row r="20">
          <cell r="D20" t="str">
            <v>Q1</v>
          </cell>
          <cell r="I20" t="str">
            <v>77966_SW105398</v>
          </cell>
        </row>
        <row r="21">
          <cell r="D21" t="str">
            <v>Q1</v>
          </cell>
          <cell r="I21" t="str">
            <v>C000000567_SW108150</v>
          </cell>
        </row>
        <row r="22">
          <cell r="D22" t="str">
            <v>Q1</v>
          </cell>
          <cell r="I22" t="str">
            <v>C000000569_SW106176</v>
          </cell>
        </row>
        <row r="23">
          <cell r="D23" t="str">
            <v>R</v>
          </cell>
          <cell r="I23" t="str">
            <v>C000000617_SW000860</v>
          </cell>
        </row>
        <row r="24">
          <cell r="D24" t="str">
            <v>Q1</v>
          </cell>
          <cell r="I24" t="str">
            <v>59801_SF106678</v>
          </cell>
        </row>
        <row r="25">
          <cell r="D25" t="str">
            <v>Q3</v>
          </cell>
          <cell r="I25" t="str">
            <v>C000000396_SW087593</v>
          </cell>
        </row>
        <row r="26">
          <cell r="D26" t="str">
            <v>Q2</v>
          </cell>
          <cell r="I26" t="str">
            <v>83477_SW099504</v>
          </cell>
        </row>
        <row r="27">
          <cell r="D27" t="str">
            <v>Q4</v>
          </cell>
          <cell r="I27" t="str">
            <v>85938_SW041379</v>
          </cell>
        </row>
        <row r="28">
          <cell r="D28" t="str">
            <v>Q1</v>
          </cell>
          <cell r="I28" t="str">
            <v>85164_SF106477</v>
          </cell>
        </row>
        <row r="29">
          <cell r="D29" t="str">
            <v>Q1</v>
          </cell>
          <cell r="I29" t="str">
            <v>66410_SF105061</v>
          </cell>
        </row>
        <row r="30">
          <cell r="D30" t="str">
            <v>Q4</v>
          </cell>
          <cell r="I30" t="str">
            <v>C000001827_SW052249</v>
          </cell>
        </row>
        <row r="31">
          <cell r="D31" t="str">
            <v>Q1</v>
          </cell>
          <cell r="I31" t="str">
            <v>C000001699_SW052249</v>
          </cell>
        </row>
        <row r="32">
          <cell r="D32" t="str">
            <v>Q3</v>
          </cell>
          <cell r="I32" t="str">
            <v>84088_SW106176</v>
          </cell>
        </row>
        <row r="33">
          <cell r="D33" t="str">
            <v>Q1</v>
          </cell>
          <cell r="I33" t="str">
            <v>74887_SW108150</v>
          </cell>
        </row>
        <row r="34">
          <cell r="D34" t="str">
            <v>Q1</v>
          </cell>
          <cell r="I34" t="str">
            <v>C000001046_SW108150</v>
          </cell>
        </row>
        <row r="35">
          <cell r="D35" t="str">
            <v>Q3</v>
          </cell>
          <cell r="I35" t="str">
            <v>84464_SW106176</v>
          </cell>
        </row>
        <row r="36">
          <cell r="D36" t="str">
            <v>Q3</v>
          </cell>
          <cell r="I36" t="str">
            <v>C000001013_SJ108651</v>
          </cell>
        </row>
        <row r="37">
          <cell r="D37" t="str">
            <v>Q1</v>
          </cell>
          <cell r="I37" t="str">
            <v>34179_SF106678</v>
          </cell>
        </row>
        <row r="38">
          <cell r="D38" t="str">
            <v>Q2</v>
          </cell>
          <cell r="I38" t="str">
            <v>37817_SF106678</v>
          </cell>
        </row>
        <row r="39">
          <cell r="D39" t="str">
            <v>Q2</v>
          </cell>
          <cell r="I39" t="str">
            <v>77955_SJ108843</v>
          </cell>
        </row>
        <row r="40">
          <cell r="D40" t="str">
            <v>Q2</v>
          </cell>
          <cell r="I40" t="str">
            <v>C000000501_SW087953</v>
          </cell>
        </row>
        <row r="41">
          <cell r="D41" t="str">
            <v>R</v>
          </cell>
          <cell r="I41" t="str">
            <v>C00000509_SJ110604</v>
          </cell>
        </row>
        <row r="42">
          <cell r="D42" t="str">
            <v>R</v>
          </cell>
          <cell r="I42" t="str">
            <v>C00000509_SJ106235</v>
          </cell>
        </row>
        <row r="43">
          <cell r="D43" t="str">
            <v>Q1</v>
          </cell>
          <cell r="I43" t="str">
            <v>C000001484_SW046485</v>
          </cell>
        </row>
        <row r="44">
          <cell r="D44" t="str">
            <v>Q4</v>
          </cell>
          <cell r="I44" t="str">
            <v>C000000424_SF106477</v>
          </cell>
        </row>
        <row r="45">
          <cell r="D45" t="str">
            <v>Q1</v>
          </cell>
          <cell r="I45" t="str">
            <v>C000000724_SW052249</v>
          </cell>
        </row>
        <row r="46">
          <cell r="D46" t="str">
            <v>Q3</v>
          </cell>
          <cell r="I46" t="str">
            <v>C000000752_SW107409</v>
          </cell>
        </row>
        <row r="47">
          <cell r="D47" t="str">
            <v>Q2</v>
          </cell>
          <cell r="I47" t="str">
            <v>C0000001787_SW106176</v>
          </cell>
        </row>
        <row r="48">
          <cell r="D48" t="str">
            <v>Q3</v>
          </cell>
          <cell r="I48" t="str">
            <v>C000000660_SW052249</v>
          </cell>
        </row>
        <row r="49">
          <cell r="D49" t="str">
            <v>Q3</v>
          </cell>
          <cell r="I49" t="str">
            <v>C000000061_SJ109864</v>
          </cell>
        </row>
        <row r="50">
          <cell r="D50" t="str">
            <v/>
          </cell>
          <cell r="I50" t="str">
            <v>C000000061_SJ109735</v>
          </cell>
        </row>
        <row r="51">
          <cell r="D51" t="str">
            <v>Q3</v>
          </cell>
          <cell r="I51" t="str">
            <v>68086_SF106678</v>
          </cell>
        </row>
        <row r="52">
          <cell r="D52" t="str">
            <v>Q3</v>
          </cell>
          <cell r="I52" t="str">
            <v>C000001232_SW099504</v>
          </cell>
        </row>
        <row r="53">
          <cell r="D53" t="str">
            <v>Q3</v>
          </cell>
          <cell r="I53" t="str">
            <v>C000000353_SW106176</v>
          </cell>
        </row>
        <row r="54">
          <cell r="D54" t="str">
            <v>Q1</v>
          </cell>
          <cell r="I54" t="str">
            <v>C000001700_SW052249</v>
          </cell>
        </row>
        <row r="55">
          <cell r="D55" t="str">
            <v>Q1</v>
          </cell>
          <cell r="I55" t="str">
            <v>C000000781_SW052249</v>
          </cell>
        </row>
        <row r="56">
          <cell r="D56" t="str">
            <v>Q3</v>
          </cell>
          <cell r="I56" t="str">
            <v>C000000576_SW087953</v>
          </cell>
        </row>
        <row r="57">
          <cell r="D57" t="str">
            <v>Q3</v>
          </cell>
          <cell r="I57" t="str">
            <v>C000001002_SW108150</v>
          </cell>
        </row>
        <row r="58">
          <cell r="D58" t="str">
            <v>Q3</v>
          </cell>
          <cell r="I58" t="str">
            <v>C000001107_SW108150</v>
          </cell>
        </row>
        <row r="59">
          <cell r="D59" t="str">
            <v>Q1</v>
          </cell>
          <cell r="I59" t="str">
            <v>C000000384_SW108545</v>
          </cell>
        </row>
        <row r="60">
          <cell r="D60" t="str">
            <v>Q1</v>
          </cell>
          <cell r="I60" t="str">
            <v>C0000001363_SF106678</v>
          </cell>
        </row>
        <row r="61">
          <cell r="D61" t="str">
            <v>Q4</v>
          </cell>
          <cell r="I61" t="str">
            <v>83484_SW042222</v>
          </cell>
        </row>
        <row r="62">
          <cell r="D62" t="str">
            <v>Q2</v>
          </cell>
          <cell r="I62" t="str">
            <v>83484_SW087953</v>
          </cell>
        </row>
        <row r="63">
          <cell r="D63" t="str">
            <v>Q1</v>
          </cell>
          <cell r="I63" t="str">
            <v>77871_SF012050</v>
          </cell>
        </row>
        <row r="64">
          <cell r="D64" t="str">
            <v>Q1</v>
          </cell>
          <cell r="I64" t="str">
            <v>68086_SF106477</v>
          </cell>
        </row>
        <row r="65">
          <cell r="D65" t="str">
            <v>Q1</v>
          </cell>
          <cell r="I65" t="str">
            <v>58053_SF106477</v>
          </cell>
        </row>
        <row r="66">
          <cell r="D66" t="str">
            <v>Q1</v>
          </cell>
          <cell r="I66" t="str">
            <v>37817_SF060100</v>
          </cell>
        </row>
        <row r="67">
          <cell r="D67" t="str">
            <v>R</v>
          </cell>
          <cell r="I67" t="str">
            <v>22288_SW054063</v>
          </cell>
        </row>
        <row r="68">
          <cell r="D68" t="str">
            <v>Q1</v>
          </cell>
          <cell r="I68" t="str">
            <v>37817_SW040921</v>
          </cell>
        </row>
        <row r="69">
          <cell r="D69" t="str">
            <v>Q3</v>
          </cell>
          <cell r="I69" t="str">
            <v>61851_SW105065</v>
          </cell>
        </row>
        <row r="70">
          <cell r="D70" t="str">
            <v>Q4</v>
          </cell>
          <cell r="I70" t="str">
            <v>61851_SW085387</v>
          </cell>
        </row>
        <row r="71">
          <cell r="D71" t="str">
            <v>Q4</v>
          </cell>
          <cell r="I71" t="str">
            <v>61851_SS059237</v>
          </cell>
        </row>
        <row r="72">
          <cell r="D72" t="str">
            <v>R</v>
          </cell>
          <cell r="I72" t="str">
            <v>83475_SW042222</v>
          </cell>
        </row>
        <row r="73">
          <cell r="D73" t="str">
            <v>Q1</v>
          </cell>
          <cell r="I73" t="str">
            <v>62444_SW090104</v>
          </cell>
        </row>
        <row r="74">
          <cell r="D74" t="str">
            <v>Q1</v>
          </cell>
          <cell r="I74" t="str">
            <v>83741_SW106176</v>
          </cell>
        </row>
        <row r="75">
          <cell r="D75" t="str">
            <v>Q2</v>
          </cell>
          <cell r="I75" t="str">
            <v>84193_SW052249</v>
          </cell>
        </row>
        <row r="76">
          <cell r="D76" t="str">
            <v>Q1</v>
          </cell>
          <cell r="I76" t="str">
            <v>87080_SJ102177</v>
          </cell>
        </row>
        <row r="77">
          <cell r="D77" t="str">
            <v>Q1</v>
          </cell>
          <cell r="I77" t="str">
            <v>34179_SW041379</v>
          </cell>
        </row>
        <row r="78">
          <cell r="D78" t="str">
            <v>Q3</v>
          </cell>
          <cell r="I78" t="str">
            <v>83690_SJ109854</v>
          </cell>
        </row>
        <row r="79">
          <cell r="D79" t="str">
            <v>Q3</v>
          </cell>
          <cell r="I79" t="str">
            <v>84760_SJ109735</v>
          </cell>
        </row>
        <row r="80">
          <cell r="D80" t="str">
            <v>R</v>
          </cell>
          <cell r="I80" t="str">
            <v>65101_SW054591</v>
          </cell>
        </row>
        <row r="81">
          <cell r="D81" t="str">
            <v>R</v>
          </cell>
          <cell r="I81" t="str">
            <v>21083_SF106678</v>
          </cell>
        </row>
        <row r="82">
          <cell r="D82" t="str">
            <v>R</v>
          </cell>
          <cell r="I82" t="str">
            <v>79265_SW104745</v>
          </cell>
        </row>
        <row r="83">
          <cell r="D83" t="str">
            <v>R</v>
          </cell>
          <cell r="I83" t="str">
            <v>37273_SW001119</v>
          </cell>
        </row>
        <row r="84">
          <cell r="D84" t="str">
            <v>Q3</v>
          </cell>
          <cell r="I84" t="str">
            <v>78477_SF012046</v>
          </cell>
        </row>
        <row r="85">
          <cell r="D85" t="str">
            <v>Q1</v>
          </cell>
          <cell r="I85" t="str">
            <v>33928_SW050111</v>
          </cell>
        </row>
        <row r="86">
          <cell r="D86" t="str">
            <v>Q3</v>
          </cell>
          <cell r="I86" t="str">
            <v>34179_SW048803</v>
          </cell>
        </row>
        <row r="87">
          <cell r="D87" t="str">
            <v>R</v>
          </cell>
          <cell r="I87" t="str">
            <v>61471_SW052249</v>
          </cell>
        </row>
        <row r="88">
          <cell r="D88" t="str">
            <v>Q1</v>
          </cell>
          <cell r="I88" t="str">
            <v>74827_SW101405</v>
          </cell>
        </row>
        <row r="89">
          <cell r="D89" t="str">
            <v>R</v>
          </cell>
          <cell r="I89" t="str">
            <v>21083_SF106477</v>
          </cell>
        </row>
        <row r="90">
          <cell r="D90" t="str">
            <v>R</v>
          </cell>
          <cell r="I90" t="str">
            <v>21083_SW041379</v>
          </cell>
        </row>
        <row r="91">
          <cell r="D91" t="str">
            <v>Q3</v>
          </cell>
          <cell r="I91" t="str">
            <v>86619_SW049479</v>
          </cell>
        </row>
        <row r="92">
          <cell r="D92" t="str">
            <v>Q3</v>
          </cell>
          <cell r="I92" t="str">
            <v>74827_SW034040</v>
          </cell>
        </row>
        <row r="93">
          <cell r="D93" t="str">
            <v>R</v>
          </cell>
          <cell r="I93" t="str">
            <v>21083_SW034040</v>
          </cell>
        </row>
        <row r="94">
          <cell r="D94" t="str">
            <v>Q4</v>
          </cell>
          <cell r="I94" t="str">
            <v>42496_SW053021</v>
          </cell>
        </row>
        <row r="95">
          <cell r="D95" t="str">
            <v>Q1</v>
          </cell>
          <cell r="I95" t="str">
            <v>C000001042_SW106176</v>
          </cell>
        </row>
        <row r="96">
          <cell r="D96" t="str">
            <v>Q1</v>
          </cell>
          <cell r="I96" t="str">
            <v>C000001977_SW106176</v>
          </cell>
        </row>
        <row r="97">
          <cell r="D97" t="str">
            <v>Q1</v>
          </cell>
          <cell r="I97" t="str">
            <v>85476_SW106176</v>
          </cell>
        </row>
        <row r="98">
          <cell r="D98" t="str">
            <v>Q1</v>
          </cell>
          <cell r="I98" t="str">
            <v>77966_SW106176</v>
          </cell>
        </row>
        <row r="99">
          <cell r="D99" t="str">
            <v>Q1</v>
          </cell>
          <cell r="I99" t="str">
            <v>85607_SW106176</v>
          </cell>
        </row>
        <row r="100">
          <cell r="D100" t="str">
            <v>Q2</v>
          </cell>
          <cell r="I100" t="str">
            <v>74362_SW108150</v>
          </cell>
        </row>
        <row r="101">
          <cell r="D101" t="str">
            <v>Q2</v>
          </cell>
          <cell r="I101" t="str">
            <v>22288_SW090822</v>
          </cell>
        </row>
        <row r="102">
          <cell r="D102" t="str">
            <v>Q2</v>
          </cell>
          <cell r="I102" t="str">
            <v>61851_SW107053</v>
          </cell>
        </row>
        <row r="103">
          <cell r="D103" t="str">
            <v>Q4</v>
          </cell>
          <cell r="I103" t="str">
            <v>C000001347_SW041379</v>
          </cell>
        </row>
        <row r="104">
          <cell r="D104" t="str">
            <v>Q4</v>
          </cell>
          <cell r="I104" t="str">
            <v>C000001113_SW090822</v>
          </cell>
        </row>
        <row r="105">
          <cell r="D105" t="str">
            <v>Q4</v>
          </cell>
          <cell r="I105" t="str">
            <v>66432_SF011212</v>
          </cell>
        </row>
        <row r="106">
          <cell r="D106" t="str">
            <v>Q4</v>
          </cell>
          <cell r="I106" t="str">
            <v>C000000100_SW090822</v>
          </cell>
        </row>
        <row r="107">
          <cell r="D107" t="str">
            <v>Q1</v>
          </cell>
          <cell r="I107" t="str">
            <v>52689_SW000770</v>
          </cell>
        </row>
        <row r="108">
          <cell r="D108" t="str">
            <v>Q1</v>
          </cell>
          <cell r="I108" t="str">
            <v>66489_SW105065</v>
          </cell>
        </row>
        <row r="109">
          <cell r="D109" t="str">
            <v>Q1</v>
          </cell>
          <cell r="I109" t="str">
            <v>66489_SC359432</v>
          </cell>
        </row>
        <row r="110">
          <cell r="D110" t="str">
            <v>Q2</v>
          </cell>
          <cell r="I110" t="str">
            <v>52689_SW085387</v>
          </cell>
        </row>
        <row r="111">
          <cell r="D111" t="str">
            <v>Q2</v>
          </cell>
          <cell r="I111" t="str">
            <v>52689_SS088401</v>
          </cell>
        </row>
        <row r="112">
          <cell r="D112" t="str">
            <v>Q2</v>
          </cell>
          <cell r="I112" t="str">
            <v>52689_SS088401</v>
          </cell>
        </row>
        <row r="113">
          <cell r="D113" t="str">
            <v>Q1</v>
          </cell>
          <cell r="I113" t="str">
            <v>20274_SW050111</v>
          </cell>
        </row>
        <row r="114">
          <cell r="D114" t="str">
            <v>Q4</v>
          </cell>
          <cell r="I114" t="str">
            <v>C0000000040_SJ108843</v>
          </cell>
        </row>
        <row r="115">
          <cell r="D115" t="str">
            <v>Q4</v>
          </cell>
          <cell r="I115" t="str">
            <v>79105_SW040921</v>
          </cell>
        </row>
        <row r="116">
          <cell r="D116" t="str">
            <v>Q3</v>
          </cell>
          <cell r="I116" t="str">
            <v>53028_SW103888</v>
          </cell>
        </row>
        <row r="117">
          <cell r="D117" t="str">
            <v>Q1</v>
          </cell>
          <cell r="I117" t="str">
            <v>40042_SW052791</v>
          </cell>
        </row>
        <row r="118">
          <cell r="D118" t="str">
            <v>Q3</v>
          </cell>
          <cell r="I118" t="str">
            <v>66431_SW105065</v>
          </cell>
        </row>
        <row r="119">
          <cell r="D119" t="str">
            <v>Q1</v>
          </cell>
          <cell r="I119" t="str">
            <v>C000000106_SW108281</v>
          </cell>
        </row>
        <row r="120">
          <cell r="D120" t="str">
            <v>Q3</v>
          </cell>
          <cell r="I120" t="str">
            <v>86609_SW087953</v>
          </cell>
        </row>
        <row r="121">
          <cell r="D121" t="str">
            <v>Q1</v>
          </cell>
          <cell r="I121" t="str">
            <v>80281_SF051188</v>
          </cell>
        </row>
        <row r="122">
          <cell r="D122" t="str">
            <v>Q3</v>
          </cell>
          <cell r="I122" t="str">
            <v>53028_SW018108</v>
          </cell>
        </row>
        <row r="123">
          <cell r="D123" t="str">
            <v>Q4</v>
          </cell>
          <cell r="I123" t="str">
            <v>66488_SF105061</v>
          </cell>
        </row>
        <row r="124">
          <cell r="D124" t="str">
            <v>Q1</v>
          </cell>
          <cell r="I124" t="str">
            <v>80620_SW102692</v>
          </cell>
        </row>
        <row r="125">
          <cell r="D125" t="str">
            <v>Q2</v>
          </cell>
          <cell r="I125" t="str">
            <v>37817_SW002007</v>
          </cell>
        </row>
        <row r="126">
          <cell r="D126" t="str">
            <v>Q3</v>
          </cell>
          <cell r="I126" t="str">
            <v>63654_SW108150</v>
          </cell>
        </row>
        <row r="127">
          <cell r="D127" t="str">
            <v>Q1</v>
          </cell>
          <cell r="I127" t="str">
            <v>C000000566_SW106176</v>
          </cell>
        </row>
        <row r="128">
          <cell r="D128" t="str">
            <v>Q1</v>
          </cell>
          <cell r="I128" t="str">
            <v>C000000085_SW108150</v>
          </cell>
        </row>
        <row r="129">
          <cell r="D129" t="str">
            <v>Q1</v>
          </cell>
          <cell r="I129" t="str">
            <v>C000001440_SW106176</v>
          </cell>
        </row>
        <row r="130">
          <cell r="D130" t="str">
            <v>Q1</v>
          </cell>
          <cell r="I130" t="str">
            <v>82532_SW106176</v>
          </cell>
        </row>
        <row r="131">
          <cell r="D131" t="str">
            <v>Q1</v>
          </cell>
          <cell r="I131" t="str">
            <v>66431_SF105061</v>
          </cell>
        </row>
        <row r="132">
          <cell r="D132" t="str">
            <v>Q3</v>
          </cell>
          <cell r="I132" t="str">
            <v>86044_SF106477</v>
          </cell>
        </row>
        <row r="133">
          <cell r="D133" t="str">
            <v>Q1</v>
          </cell>
          <cell r="I133" t="str">
            <v>33059_SF106477</v>
          </cell>
        </row>
        <row r="134">
          <cell r="D134" t="str">
            <v>Q1</v>
          </cell>
          <cell r="I134" t="str">
            <v>75034_SF106477</v>
          </cell>
        </row>
        <row r="135">
          <cell r="D135" t="str">
            <v>Q3</v>
          </cell>
          <cell r="I135" t="str">
            <v>84987_SW099504</v>
          </cell>
        </row>
        <row r="136">
          <cell r="D136" t="str">
            <v>Q1</v>
          </cell>
          <cell r="I136" t="str">
            <v>69166_SJ104638</v>
          </cell>
        </row>
        <row r="137">
          <cell r="D137" t="str">
            <v>Q1</v>
          </cell>
          <cell r="I137" t="str">
            <v>C000001189_SW048171</v>
          </cell>
        </row>
        <row r="138">
          <cell r="D138" t="str">
            <v>Q3</v>
          </cell>
          <cell r="I138" t="str">
            <v>C000001189_SW046990</v>
          </cell>
        </row>
        <row r="139">
          <cell r="D139" t="str">
            <v>Q2</v>
          </cell>
          <cell r="I139" t="str">
            <v>C000001107_SW106176</v>
          </cell>
        </row>
        <row r="140">
          <cell r="D140" t="str">
            <v>Q2</v>
          </cell>
          <cell r="I140" t="str">
            <v>C000001253_SW087953</v>
          </cell>
        </row>
        <row r="141">
          <cell r="D141" t="str">
            <v>R</v>
          </cell>
          <cell r="I141" t="str">
            <v>79265_SW104745</v>
          </cell>
        </row>
        <row r="142">
          <cell r="D142" t="str">
            <v>Q4</v>
          </cell>
          <cell r="I142" t="str">
            <v>C000001624_SF051188</v>
          </cell>
        </row>
        <row r="143">
          <cell r="D143" t="str">
            <v>Q4</v>
          </cell>
          <cell r="I143" t="str">
            <v>C000000485_SJ11604</v>
          </cell>
        </row>
        <row r="144">
          <cell r="D144" t="str">
            <v>Q4</v>
          </cell>
          <cell r="I144" t="str">
            <v>C000000485_SJ110235</v>
          </cell>
        </row>
        <row r="145">
          <cell r="D145" t="str">
            <v>Q4</v>
          </cell>
          <cell r="I145" t="str">
            <v>C000000486_SJ11604</v>
          </cell>
        </row>
        <row r="146">
          <cell r="D146" t="str">
            <v>Q4</v>
          </cell>
          <cell r="I146" t="str">
            <v>C000000487_SJ11235</v>
          </cell>
        </row>
        <row r="147">
          <cell r="D147" t="str">
            <v>Q4</v>
          </cell>
          <cell r="I147" t="str">
            <v>C000000560_SF106477</v>
          </cell>
        </row>
        <row r="148">
          <cell r="D148" t="str">
            <v>R</v>
          </cell>
          <cell r="I148" t="str">
            <v>85052_SW046485</v>
          </cell>
        </row>
        <row r="149">
          <cell r="D149" t="str">
            <v>Q2</v>
          </cell>
          <cell r="I149" t="str">
            <v>82941_SW084573</v>
          </cell>
        </row>
        <row r="150">
          <cell r="D150" t="str">
            <v>R</v>
          </cell>
          <cell r="I150" t="str">
            <v>22287_SW041276</v>
          </cell>
        </row>
        <row r="151">
          <cell r="D151" t="str">
            <v>Q4</v>
          </cell>
          <cell r="I151" t="str">
            <v>C000000495_SJ104638</v>
          </cell>
        </row>
        <row r="152">
          <cell r="D152" t="str">
            <v>Q2</v>
          </cell>
          <cell r="I152" t="str">
            <v>C000000972_SF106477010.0</v>
          </cell>
        </row>
        <row r="153">
          <cell r="D153" t="str">
            <v>Q4</v>
          </cell>
          <cell r="I153" t="str">
            <v>C000001111_SW108150</v>
          </cell>
        </row>
        <row r="154">
          <cell r="D154" t="str">
            <v>Q1</v>
          </cell>
          <cell r="I154" t="str">
            <v>64448_SJ110442</v>
          </cell>
        </row>
        <row r="155">
          <cell r="D155" t="str">
            <v>Q1</v>
          </cell>
          <cell r="I155" t="str">
            <v>64448_SJ110441</v>
          </cell>
        </row>
        <row r="156">
          <cell r="D156" t="str">
            <v>Q3</v>
          </cell>
          <cell r="I156" t="str">
            <v>42389_SW002007</v>
          </cell>
        </row>
        <row r="157">
          <cell r="D157" t="str">
            <v>Q3</v>
          </cell>
          <cell r="I157" t="str">
            <v>61227_SW002007</v>
          </cell>
        </row>
        <row r="158">
          <cell r="D158" t="str">
            <v>Q3</v>
          </cell>
          <cell r="I158" t="str">
            <v>C000000280_SF106678</v>
          </cell>
        </row>
        <row r="159">
          <cell r="D159" t="str">
            <v>Q1</v>
          </cell>
          <cell r="I159" t="str">
            <v>C000000424_SF106477</v>
          </cell>
        </row>
        <row r="160">
          <cell r="D160" t="str">
            <v>Q4</v>
          </cell>
          <cell r="I160" t="str">
            <v>C000001978_SW108150</v>
          </cell>
        </row>
        <row r="161">
          <cell r="D161" t="str">
            <v>Q2</v>
          </cell>
          <cell r="I161" t="str">
            <v>C000000969_SW106176</v>
          </cell>
        </row>
        <row r="162">
          <cell r="D162" t="str">
            <v>Q2</v>
          </cell>
          <cell r="I162" t="str">
            <v>C000001783_SW106176</v>
          </cell>
        </row>
        <row r="163">
          <cell r="D163" t="str">
            <v>Q1</v>
          </cell>
          <cell r="I163" t="str">
            <v>33059_SW041379</v>
          </cell>
        </row>
        <row r="164">
          <cell r="D164" t="str">
            <v>Q3</v>
          </cell>
          <cell r="I164" t="str">
            <v>C000000039_SJ108843</v>
          </cell>
        </row>
        <row r="165">
          <cell r="D165" t="str">
            <v>Q1</v>
          </cell>
          <cell r="I165" t="str">
            <v>C000001868_SF011212</v>
          </cell>
        </row>
        <row r="166">
          <cell r="D166" t="str">
            <v>Q2</v>
          </cell>
          <cell r="I166" t="str">
            <v>84771_SJ108651</v>
          </cell>
        </row>
        <row r="167">
          <cell r="D167" t="str">
            <v>R</v>
          </cell>
          <cell r="I167" t="str">
            <v>22287_SW051806</v>
          </cell>
        </row>
        <row r="168">
          <cell r="D168" t="str">
            <v>Q3</v>
          </cell>
          <cell r="I168" t="str">
            <v>75500_SW107402</v>
          </cell>
        </row>
        <row r="169">
          <cell r="D169" t="str">
            <v>R</v>
          </cell>
          <cell r="I169" t="str">
            <v>79265_SW053308</v>
          </cell>
        </row>
        <row r="170">
          <cell r="D170" t="str">
            <v>Q3</v>
          </cell>
          <cell r="I170" t="str">
            <v>61227_SF060100</v>
          </cell>
        </row>
        <row r="171">
          <cell r="D171" t="str">
            <v>Q4</v>
          </cell>
          <cell r="I171" t="str">
            <v>C000001073_SW106176</v>
          </cell>
        </row>
        <row r="172">
          <cell r="D172" t="str">
            <v>Q4</v>
          </cell>
          <cell r="I172" t="str">
            <v>C000001776_SW106176</v>
          </cell>
        </row>
        <row r="173">
          <cell r="D173" t="str">
            <v>R</v>
          </cell>
          <cell r="I173" t="str">
            <v>84815_SJ109960</v>
          </cell>
        </row>
        <row r="174">
          <cell r="D174" t="str">
            <v>R</v>
          </cell>
          <cell r="I174" t="str">
            <v>84985_sj110042</v>
          </cell>
        </row>
        <row r="175">
          <cell r="D175" t="str">
            <v>Q1</v>
          </cell>
          <cell r="I175" t="str">
            <v>81058_SW108150</v>
          </cell>
        </row>
        <row r="176">
          <cell r="D176" t="str">
            <v>Q2</v>
          </cell>
          <cell r="I176" t="str">
            <v>85920_SF106678</v>
          </cell>
        </row>
        <row r="177">
          <cell r="D177" t="str">
            <v>Q3</v>
          </cell>
          <cell r="I177" t="str">
            <v>C000000969_SW108150</v>
          </cell>
        </row>
        <row r="178">
          <cell r="D178" t="str">
            <v>Q2</v>
          </cell>
          <cell r="I178" t="str">
            <v>C000001318_SW041276</v>
          </cell>
        </row>
        <row r="179">
          <cell r="D179" t="str">
            <v>Q1</v>
          </cell>
          <cell r="I179" t="str">
            <v>C000000557_SW106176</v>
          </cell>
        </row>
        <row r="180">
          <cell r="D180" t="str">
            <v>Q1</v>
          </cell>
          <cell r="I180" t="str">
            <v>C000001222_SW106176</v>
          </cell>
        </row>
        <row r="181">
          <cell r="D181" t="str">
            <v>Q1</v>
          </cell>
          <cell r="I181" t="str">
            <v>85296</v>
          </cell>
        </row>
        <row r="182">
          <cell r="D182" t="str">
            <v>Q1</v>
          </cell>
          <cell r="I182" t="str">
            <v>C000001709_SW106176</v>
          </cell>
        </row>
        <row r="183">
          <cell r="D183" t="str">
            <v>Q1</v>
          </cell>
          <cell r="I183" t="str">
            <v>C000001709_SW106176</v>
          </cell>
        </row>
        <row r="184">
          <cell r="D184" t="str">
            <v>Q1</v>
          </cell>
          <cell r="I184" t="str">
            <v>C000001709_SW106176</v>
          </cell>
        </row>
        <row r="185">
          <cell r="D185" t="str">
            <v>Q1</v>
          </cell>
          <cell r="I185" t="str">
            <v>85933_SJ106665</v>
          </cell>
        </row>
        <row r="186">
          <cell r="D186" t="str">
            <v>Q3</v>
          </cell>
          <cell r="I186" t="str">
            <v>62444_SW101499</v>
          </cell>
        </row>
        <row r="187">
          <cell r="D187" t="str">
            <v>Q3</v>
          </cell>
          <cell r="I187" t="str">
            <v>C000000051_SW102046</v>
          </cell>
        </row>
        <row r="188">
          <cell r="D188" t="str">
            <v>R</v>
          </cell>
          <cell r="I188" t="str">
            <v>45198_SW052791</v>
          </cell>
        </row>
        <row r="189">
          <cell r="D189" t="str">
            <v>R</v>
          </cell>
          <cell r="I189" t="str">
            <v>85352_SW380098</v>
          </cell>
        </row>
        <row r="190">
          <cell r="D190" t="str">
            <v>R</v>
          </cell>
          <cell r="I190" t="str">
            <v>84235_SW104615</v>
          </cell>
        </row>
        <row r="191">
          <cell r="D191" t="str">
            <v>R</v>
          </cell>
          <cell r="I191" t="str">
            <v>81439_SJ053535</v>
          </cell>
        </row>
        <row r="192">
          <cell r="D192" t="str">
            <v>R</v>
          </cell>
          <cell r="I192" t="str">
            <v>C000000650_SJ109724</v>
          </cell>
        </row>
        <row r="193">
          <cell r="D193" t="str">
            <v>Q1</v>
          </cell>
          <cell r="I193" t="str">
            <v>81266_SW108917</v>
          </cell>
        </row>
        <row r="194">
          <cell r="D194" t="str">
            <v>Q3</v>
          </cell>
          <cell r="I194" t="str">
            <v>C000001233_SW099504</v>
          </cell>
        </row>
        <row r="195">
          <cell r="D195" t="str">
            <v>Q3</v>
          </cell>
          <cell r="I195" t="str">
            <v>C000001787_SW106176</v>
          </cell>
        </row>
        <row r="196">
          <cell r="D196" t="str">
            <v>Q1</v>
          </cell>
          <cell r="I196" t="str">
            <v>87562_SW041379</v>
          </cell>
        </row>
        <row r="197">
          <cell r="D197" t="str">
            <v>Q4</v>
          </cell>
          <cell r="I197" t="str">
            <v>82084_SW099504</v>
          </cell>
        </row>
        <row r="198">
          <cell r="D198" t="str">
            <v>Q1</v>
          </cell>
          <cell r="I198" t="str">
            <v>61227_SW052249</v>
          </cell>
        </row>
        <row r="199">
          <cell r="D199" t="str">
            <v>Q1</v>
          </cell>
          <cell r="I199" t="str">
            <v>42389_SW052249</v>
          </cell>
        </row>
        <row r="200">
          <cell r="D200" t="str">
            <v>Q4</v>
          </cell>
          <cell r="I200" t="str">
            <v>71621_SW106956</v>
          </cell>
        </row>
        <row r="201">
          <cell r="D201" t="str">
            <v>Q1</v>
          </cell>
          <cell r="I201" t="str">
            <v>61851_SW105063</v>
          </cell>
        </row>
        <row r="202">
          <cell r="D202" t="str">
            <v>Q3</v>
          </cell>
          <cell r="I202" t="str">
            <v>C000000660_SW040921</v>
          </cell>
        </row>
        <row r="203">
          <cell r="D203" t="str">
            <v>Q1</v>
          </cell>
          <cell r="I203" t="str">
            <v>34988_SW042222</v>
          </cell>
        </row>
        <row r="204">
          <cell r="D204" t="str">
            <v>R</v>
          </cell>
          <cell r="I204" t="str">
            <v>83439_SJ108651</v>
          </cell>
        </row>
        <row r="205">
          <cell r="D205" t="str">
            <v>R</v>
          </cell>
          <cell r="I205" t="str">
            <v>83440_SJ108651</v>
          </cell>
        </row>
        <row r="206">
          <cell r="D206" t="str">
            <v>R</v>
          </cell>
          <cell r="I206" t="str">
            <v>83441_SJ108651</v>
          </cell>
        </row>
        <row r="207">
          <cell r="D207" t="str">
            <v>Q4</v>
          </cell>
          <cell r="I207" t="str">
            <v>85932_SF106477</v>
          </cell>
        </row>
        <row r="208">
          <cell r="D208" t="str">
            <v>R</v>
          </cell>
          <cell r="I208" t="str">
            <v>77780_SJ053535</v>
          </cell>
        </row>
        <row r="209">
          <cell r="D209" t="str">
            <v>Q3</v>
          </cell>
          <cell r="I209" t="str">
            <v>C000000698_SF050875</v>
          </cell>
        </row>
        <row r="210">
          <cell r="D210" t="str">
            <v>Q3</v>
          </cell>
          <cell r="I210" t="str">
            <v>C000001327_SW090822</v>
          </cell>
        </row>
        <row r="211">
          <cell r="D211" t="str">
            <v>Q4</v>
          </cell>
          <cell r="I211" t="str">
            <v>C000001504_SJ109854</v>
          </cell>
        </row>
        <row r="212">
          <cell r="D212" t="str">
            <v>Q1</v>
          </cell>
          <cell r="I212" t="str">
            <v>68086_SW041379</v>
          </cell>
        </row>
        <row r="213">
          <cell r="D213" t="str">
            <v>Q3</v>
          </cell>
          <cell r="I213" t="str">
            <v>34988_SF106477</v>
          </cell>
        </row>
        <row r="214">
          <cell r="D214" t="str">
            <v>Q3</v>
          </cell>
          <cell r="I214" t="str">
            <v>34988_SW041379</v>
          </cell>
        </row>
        <row r="215">
          <cell r="D215" t="str">
            <v>R</v>
          </cell>
          <cell r="I215" t="str">
            <v>62249_SJ104638</v>
          </cell>
        </row>
        <row r="216">
          <cell r="D216" t="str">
            <v>Q3</v>
          </cell>
          <cell r="I216" t="str">
            <v>49688_SW051806</v>
          </cell>
        </row>
        <row r="217">
          <cell r="D217" t="str">
            <v>Q3</v>
          </cell>
          <cell r="I217" t="str">
            <v>84040_SW051806</v>
          </cell>
        </row>
        <row r="218">
          <cell r="D218" t="str">
            <v>Q2</v>
          </cell>
          <cell r="I218" t="str">
            <v>87342_SW084573</v>
          </cell>
        </row>
        <row r="219">
          <cell r="D219" t="str">
            <v>R</v>
          </cell>
          <cell r="I219" t="str">
            <v>77955_SJ108993</v>
          </cell>
        </row>
        <row r="220">
          <cell r="D220" t="str">
            <v>R</v>
          </cell>
          <cell r="I220" t="str">
            <v>78476_SW380098</v>
          </cell>
        </row>
        <row r="221">
          <cell r="D221" t="str">
            <v>Q2</v>
          </cell>
          <cell r="I221" t="str">
            <v>50947_SW102692</v>
          </cell>
        </row>
        <row r="222">
          <cell r="D222" t="str">
            <v>R</v>
          </cell>
          <cell r="I222" t="str">
            <v>79265_SW048171</v>
          </cell>
        </row>
        <row r="223">
          <cell r="D223" t="str">
            <v>Q1</v>
          </cell>
          <cell r="I223" t="str">
            <v>86521_SW106176</v>
          </cell>
        </row>
        <row r="224">
          <cell r="D224" t="str">
            <v>Q3</v>
          </cell>
          <cell r="I224" t="str">
            <v>C000001817_SW084573</v>
          </cell>
        </row>
        <row r="225">
          <cell r="D225" t="str">
            <v>Q2</v>
          </cell>
          <cell r="I225" t="str">
            <v>87496_SW054520</v>
          </cell>
        </row>
        <row r="226">
          <cell r="D226" t="str">
            <v>Q4</v>
          </cell>
          <cell r="I226" t="str">
            <v>C000001073_SW106176</v>
          </cell>
        </row>
        <row r="227">
          <cell r="D227" t="str">
            <v>Q1</v>
          </cell>
          <cell r="I227" t="str">
            <v>86560_SW084573</v>
          </cell>
        </row>
        <row r="228">
          <cell r="D228" t="str">
            <v>Q1</v>
          </cell>
          <cell r="I228" t="str">
            <v>C000001230_SW084573</v>
          </cell>
        </row>
        <row r="229">
          <cell r="D229" t="str">
            <v>Q3</v>
          </cell>
          <cell r="I229" t="str">
            <v>C000000353_SW106176</v>
          </cell>
        </row>
        <row r="230">
          <cell r="D230" t="str">
            <v>Q3</v>
          </cell>
          <cell r="I230" t="str">
            <v>C000001295_SF106477</v>
          </cell>
        </row>
        <row r="231">
          <cell r="D231" t="str">
            <v>Q3</v>
          </cell>
          <cell r="I231" t="str">
            <v>C000001002_SW108150</v>
          </cell>
        </row>
        <row r="232">
          <cell r="D232" t="str">
            <v>Q3</v>
          </cell>
          <cell r="I232" t="str">
            <v>C000001107_SW108150</v>
          </cell>
        </row>
        <row r="233">
          <cell r="D233" t="str">
            <v>Q3</v>
          </cell>
          <cell r="I233" t="str">
            <v>83484_SW042222</v>
          </cell>
        </row>
        <row r="234">
          <cell r="D234" t="str">
            <v>Q3</v>
          </cell>
          <cell r="I234" t="str">
            <v>C000002018_SW106176</v>
          </cell>
        </row>
        <row r="235">
          <cell r="D235" t="str">
            <v>Q1</v>
          </cell>
          <cell r="I235" t="str">
            <v>C000001778_SW106176</v>
          </cell>
        </row>
        <row r="236">
          <cell r="D236" t="str">
            <v>Q1</v>
          </cell>
          <cell r="I236" t="str">
            <v>80779_SW053021</v>
          </cell>
        </row>
        <row r="237">
          <cell r="D237" t="str">
            <v>R</v>
          </cell>
          <cell r="I237" t="str">
            <v>80778_SW053527</v>
          </cell>
        </row>
        <row r="238">
          <cell r="D238" t="str">
            <v>Q2</v>
          </cell>
          <cell r="I238" t="str">
            <v>83968_SW084573</v>
          </cell>
        </row>
        <row r="239">
          <cell r="D239" t="str">
            <v>Q4</v>
          </cell>
          <cell r="I239" t="str">
            <v>C000000797_SW108150</v>
          </cell>
        </row>
        <row r="240">
          <cell r="D240" t="str">
            <v>Q3</v>
          </cell>
          <cell r="I240" t="str">
            <v>81662_SW090822</v>
          </cell>
        </row>
        <row r="241">
          <cell r="D241" t="str">
            <v>Q3</v>
          </cell>
          <cell r="I241" t="str">
            <v>87250_SW108150</v>
          </cell>
        </row>
        <row r="242">
          <cell r="D242" t="str">
            <v>Q4</v>
          </cell>
          <cell r="I242" t="str">
            <v>80665_SW048171</v>
          </cell>
        </row>
        <row r="243">
          <cell r="D243" t="str">
            <v>R</v>
          </cell>
          <cell r="I243" t="str">
            <v>85610_SJ108651</v>
          </cell>
        </row>
        <row r="244">
          <cell r="D244" t="str">
            <v>Q1</v>
          </cell>
          <cell r="I244" t="str">
            <v>C000001685_SW018108</v>
          </cell>
        </row>
        <row r="245">
          <cell r="D245" t="str">
            <v>Q4</v>
          </cell>
          <cell r="I245" t="str">
            <v>64159_SW084573</v>
          </cell>
        </row>
        <row r="246">
          <cell r="D246" t="str">
            <v>Q1</v>
          </cell>
          <cell r="I246" t="str">
            <v>C000001238_SW099504</v>
          </cell>
        </row>
        <row r="247">
          <cell r="D247" t="str">
            <v>Q1</v>
          </cell>
          <cell r="I247" t="str">
            <v>C000001233_SW087953</v>
          </cell>
        </row>
        <row r="248">
          <cell r="D248" t="str">
            <v>R</v>
          </cell>
          <cell r="I248" t="str">
            <v>60890_SW040872</v>
          </cell>
        </row>
        <row r="249">
          <cell r="D249" t="str">
            <v>Q4</v>
          </cell>
          <cell r="I249" t="str">
            <v>51044_SF051188</v>
          </cell>
        </row>
        <row r="250">
          <cell r="D250" t="str">
            <v>Q2</v>
          </cell>
          <cell r="I250" t="str">
            <v>85596_SW109940</v>
          </cell>
        </row>
        <row r="251">
          <cell r="D251" t="str">
            <v>R</v>
          </cell>
          <cell r="I251" t="str">
            <v>60890_SW002007</v>
          </cell>
        </row>
        <row r="252">
          <cell r="D252" t="str">
            <v>Q4</v>
          </cell>
          <cell r="I252" t="str">
            <v>80665_SW053308</v>
          </cell>
        </row>
        <row r="253">
          <cell r="D253" t="str">
            <v>Q1</v>
          </cell>
          <cell r="I253" t="str">
            <v>C000000965_SJ108651</v>
          </cell>
        </row>
        <row r="254">
          <cell r="D254" t="str">
            <v>Q3</v>
          </cell>
          <cell r="I254" t="str">
            <v>78476_SW104180</v>
          </cell>
        </row>
        <row r="255">
          <cell r="D255" t="str">
            <v>R</v>
          </cell>
          <cell r="I255" t="str">
            <v>29244_SW000657</v>
          </cell>
        </row>
        <row r="256">
          <cell r="D256" t="str">
            <v>Q1</v>
          </cell>
          <cell r="I256" t="str">
            <v>C000000557_SW108150</v>
          </cell>
        </row>
        <row r="257">
          <cell r="D257" t="str">
            <v>Q3</v>
          </cell>
          <cell r="I257" t="str">
            <v>82701_SJ053535</v>
          </cell>
        </row>
        <row r="258">
          <cell r="D258" t="str">
            <v>Q1</v>
          </cell>
          <cell r="I258" t="str">
            <v>77806_SF106678</v>
          </cell>
        </row>
        <row r="259">
          <cell r="D259" t="str">
            <v>R</v>
          </cell>
          <cell r="I259" t="str">
            <v>80610_SJ018425</v>
          </cell>
        </row>
        <row r="260">
          <cell r="D260" t="str">
            <v>Q1</v>
          </cell>
          <cell r="I260" t="str">
            <v>82592_SW084573</v>
          </cell>
        </row>
        <row r="261">
          <cell r="D261" t="str">
            <v>Q1</v>
          </cell>
          <cell r="I261" t="str">
            <v>85929_SW108150</v>
          </cell>
        </row>
        <row r="262">
          <cell r="D262" t="str">
            <v>Q4</v>
          </cell>
          <cell r="I262" t="str">
            <v>C000001291_SF106477</v>
          </cell>
        </row>
        <row r="263">
          <cell r="D263" t="str">
            <v>Q1</v>
          </cell>
          <cell r="I263" t="str">
            <v>69270_SW106176</v>
          </cell>
        </row>
        <row r="264">
          <cell r="D264" t="str">
            <v>Q2</v>
          </cell>
          <cell r="I264" t="str">
            <v>50947_SF051188</v>
          </cell>
        </row>
        <row r="265">
          <cell r="D265" t="str">
            <v>Q1</v>
          </cell>
          <cell r="I265" t="str">
            <v>66428_SF105061</v>
          </cell>
        </row>
        <row r="266">
          <cell r="D266" t="str">
            <v>R</v>
          </cell>
          <cell r="I266" t="str">
            <v>C000000480_SF106477</v>
          </cell>
        </row>
        <row r="267">
          <cell r="D267" t="str">
            <v>R</v>
          </cell>
          <cell r="I267" t="str">
            <v>83316_SJ108651</v>
          </cell>
        </row>
        <row r="268">
          <cell r="D268" t="str">
            <v>R</v>
          </cell>
          <cell r="I268" t="str">
            <v>83317_SJ108651</v>
          </cell>
        </row>
        <row r="269">
          <cell r="D269" t="str">
            <v>R</v>
          </cell>
          <cell r="I269" t="str">
            <v>53315_SJ108651</v>
          </cell>
        </row>
        <row r="270">
          <cell r="D270" t="str">
            <v>R</v>
          </cell>
          <cell r="I270" t="str">
            <v>83475_SW087953</v>
          </cell>
        </row>
        <row r="271">
          <cell r="D271" t="str">
            <v>Q4</v>
          </cell>
          <cell r="I271" t="str">
            <v>83479_SW099504</v>
          </cell>
        </row>
        <row r="272">
          <cell r="D272" t="str">
            <v>Q4</v>
          </cell>
          <cell r="I272" t="str">
            <v>66488_SW105063</v>
          </cell>
        </row>
        <row r="273">
          <cell r="D273" t="str">
            <v>Q4</v>
          </cell>
          <cell r="I273" t="str">
            <v>66488_SS059431</v>
          </cell>
        </row>
        <row r="274">
          <cell r="D274" t="str">
            <v>Q4</v>
          </cell>
          <cell r="I274" t="str">
            <v>66489_SW085387</v>
          </cell>
        </row>
        <row r="275">
          <cell r="D275" t="str">
            <v>Q4</v>
          </cell>
          <cell r="I275" t="str">
            <v>66489_SSS059237</v>
          </cell>
        </row>
        <row r="276">
          <cell r="D276" t="str">
            <v>Q4</v>
          </cell>
          <cell r="I276" t="str">
            <v>66432_SW105063</v>
          </cell>
        </row>
        <row r="277">
          <cell r="D277" t="str">
            <v>Q4</v>
          </cell>
          <cell r="I277" t="str">
            <v>66432_SS059431</v>
          </cell>
        </row>
        <row r="278">
          <cell r="D278" t="str">
            <v>Q3</v>
          </cell>
          <cell r="I278" t="str">
            <v>C000001799_SW084573</v>
          </cell>
        </row>
        <row r="279">
          <cell r="D279" t="str">
            <v>Q3</v>
          </cell>
          <cell r="I279" t="str">
            <v>66432_SW105065</v>
          </cell>
        </row>
        <row r="280">
          <cell r="D280" t="str">
            <v>R</v>
          </cell>
          <cell r="I280" t="str">
            <v>84235_SW104615</v>
          </cell>
        </row>
        <row r="281">
          <cell r="D281" t="str">
            <v>R</v>
          </cell>
          <cell r="I281" t="str">
            <v>81439_SJ053535</v>
          </cell>
        </row>
        <row r="282">
          <cell r="D282" t="str">
            <v>R</v>
          </cell>
          <cell r="I282" t="str">
            <v>81289_SJ106665</v>
          </cell>
        </row>
        <row r="283">
          <cell r="D283" t="str">
            <v>R</v>
          </cell>
          <cell r="I283" t="str">
            <v>87253_SJ109722</v>
          </cell>
        </row>
        <row r="284">
          <cell r="D284" t="str">
            <v>Q4</v>
          </cell>
          <cell r="I284" t="str">
            <v>C000002047_SW042931</v>
          </cell>
        </row>
        <row r="285">
          <cell r="D285" t="str">
            <v>Q4</v>
          </cell>
          <cell r="I285" t="str">
            <v>85354_SW040921</v>
          </cell>
        </row>
        <row r="286">
          <cell r="D286" t="str">
            <v>Q1</v>
          </cell>
          <cell r="I286" t="str">
            <v>85354_SF060100</v>
          </cell>
        </row>
        <row r="287">
          <cell r="D287" t="str">
            <v>Q3</v>
          </cell>
          <cell r="I287" t="str">
            <v>C000002037_SW107322</v>
          </cell>
        </row>
        <row r="288">
          <cell r="D288" t="str">
            <v>Q2</v>
          </cell>
          <cell r="I288" t="str">
            <v>64085_SW107322</v>
          </cell>
        </row>
        <row r="289">
          <cell r="D289" t="str">
            <v>Q1</v>
          </cell>
          <cell r="I289" t="str">
            <v>33059_SF106678</v>
          </cell>
        </row>
        <row r="290">
          <cell r="D290" t="str">
            <v>R</v>
          </cell>
          <cell r="I290" t="str">
            <v>84040_SJ101435</v>
          </cell>
        </row>
        <row r="291">
          <cell r="D291" t="str">
            <v>R</v>
          </cell>
          <cell r="I291" t="str">
            <v>49688_SJ101435</v>
          </cell>
        </row>
        <row r="292">
          <cell r="D292" t="str">
            <v>R</v>
          </cell>
          <cell r="I292" t="str">
            <v>49688_SJ101435</v>
          </cell>
        </row>
        <row r="293">
          <cell r="D293" t="str">
            <v>Q1</v>
          </cell>
          <cell r="I293" t="str">
            <v>51044_SW102692</v>
          </cell>
        </row>
        <row r="294">
          <cell r="D294" t="str">
            <v>Q4</v>
          </cell>
          <cell r="I294" t="str">
            <v>80665_SW104745</v>
          </cell>
        </row>
        <row r="295">
          <cell r="D295" t="str">
            <v>Q1</v>
          </cell>
          <cell r="I295" t="str">
            <v>87080_SJ102177</v>
          </cell>
        </row>
        <row r="296">
          <cell r="D296" t="str">
            <v>Q1</v>
          </cell>
          <cell r="I296" t="str">
            <v>C000000037_SW109695</v>
          </cell>
        </row>
        <row r="297">
          <cell r="D297" t="str">
            <v>Q3</v>
          </cell>
          <cell r="I297" t="str">
            <v>C000000034_SW105171</v>
          </cell>
        </row>
        <row r="298">
          <cell r="D298" t="str">
            <v>Q1</v>
          </cell>
          <cell r="I298" t="str">
            <v>C000001190_SW046990</v>
          </cell>
        </row>
        <row r="299">
          <cell r="D299" t="str">
            <v>Q4</v>
          </cell>
          <cell r="I299" t="str">
            <v>C000001190_SW048171</v>
          </cell>
        </row>
        <row r="300">
          <cell r="D300" t="str">
            <v>Q4</v>
          </cell>
          <cell r="I300" t="str">
            <v>C000000034_SW109695</v>
          </cell>
        </row>
        <row r="301">
          <cell r="D301" t="str">
            <v>Q2</v>
          </cell>
          <cell r="I301" t="str">
            <v>86554_SW084573</v>
          </cell>
        </row>
        <row r="302">
          <cell r="D302" t="str">
            <v>Q3</v>
          </cell>
          <cell r="I302" t="str">
            <v>C000001013_SJ108651</v>
          </cell>
        </row>
        <row r="303">
          <cell r="D303" t="str">
            <v>Q3</v>
          </cell>
          <cell r="I303" t="str">
            <v>C000000564_SW046485</v>
          </cell>
        </row>
        <row r="304">
          <cell r="D304" t="str">
            <v>Q3</v>
          </cell>
          <cell r="I304" t="str">
            <v>C000000969_SF106477</v>
          </cell>
        </row>
        <row r="305">
          <cell r="D305" t="str">
            <v>Q1</v>
          </cell>
          <cell r="I305" t="str">
            <v>C000002094_SW104745</v>
          </cell>
        </row>
        <row r="306">
          <cell r="D306" t="str">
            <v>Q1</v>
          </cell>
          <cell r="I306" t="str">
            <v>C000002089_SW042931</v>
          </cell>
        </row>
        <row r="307">
          <cell r="D307" t="str">
            <v>Q4</v>
          </cell>
          <cell r="I307" t="str">
            <v>C000002138_SW042931</v>
          </cell>
        </row>
        <row r="308">
          <cell r="D308" t="str">
            <v>R</v>
          </cell>
          <cell r="I308" t="str">
            <v>C000000614_SW108917</v>
          </cell>
        </row>
        <row r="309">
          <cell r="D309" t="str">
            <v>Q1</v>
          </cell>
          <cell r="I309" t="str">
            <v>83469_SW099504</v>
          </cell>
        </row>
        <row r="310">
          <cell r="D310" t="str">
            <v>Q2</v>
          </cell>
          <cell r="I310" t="str">
            <v>C000000689_SJ053535</v>
          </cell>
        </row>
        <row r="311">
          <cell r="D311" t="str">
            <v>Q4</v>
          </cell>
          <cell r="I311" t="str">
            <v>C000000104_SW1090290</v>
          </cell>
        </row>
        <row r="312">
          <cell r="D312" t="str">
            <v>Q3</v>
          </cell>
          <cell r="I312" t="str">
            <v>80891_SW040921</v>
          </cell>
        </row>
        <row r="313">
          <cell r="D313" t="str">
            <v>R</v>
          </cell>
          <cell r="I313" t="str">
            <v>61471_SF060100</v>
          </cell>
        </row>
        <row r="314">
          <cell r="D314" t="str">
            <v>R</v>
          </cell>
          <cell r="I314" t="str">
            <v>69748_SW048171</v>
          </cell>
        </row>
        <row r="315">
          <cell r="D315" t="str">
            <v>Q4</v>
          </cell>
          <cell r="I315" t="str">
            <v>C000002039_SW042931</v>
          </cell>
        </row>
        <row r="316">
          <cell r="D316" t="str">
            <v>R</v>
          </cell>
          <cell r="I316" t="str">
            <v>C000001544_SJ106185</v>
          </cell>
        </row>
        <row r="317">
          <cell r="D317" t="str">
            <v>Q3</v>
          </cell>
          <cell r="I317" t="str">
            <v>C000000601_SW040921</v>
          </cell>
        </row>
        <row r="318">
          <cell r="D318" t="str">
            <v>Q3</v>
          </cell>
          <cell r="I318" t="str">
            <v>79380_SW106176</v>
          </cell>
        </row>
        <row r="319">
          <cell r="D319" t="str">
            <v>Q2</v>
          </cell>
          <cell r="I319" t="str">
            <v>C000002097_SW048171</v>
          </cell>
        </row>
        <row r="320">
          <cell r="D320" t="str">
            <v>Q1</v>
          </cell>
          <cell r="I320" t="str">
            <v>C000000616_SF106477</v>
          </cell>
        </row>
        <row r="321">
          <cell r="D321" t="str">
            <v>Q1</v>
          </cell>
          <cell r="I321" t="str">
            <v>C000002003_SW048171</v>
          </cell>
        </row>
        <row r="322">
          <cell r="D322" t="str">
            <v>Q4</v>
          </cell>
          <cell r="I322" t="str">
            <v>C000001991_SW046455</v>
          </cell>
        </row>
        <row r="323">
          <cell r="D323" t="str">
            <v>Q1</v>
          </cell>
          <cell r="I323" t="str">
            <v>C000001991_SW048171</v>
          </cell>
        </row>
        <row r="324">
          <cell r="D324" t="str">
            <v>Q1</v>
          </cell>
          <cell r="I324" t="str">
            <v>C000001349_SJ108731</v>
          </cell>
        </row>
        <row r="325">
          <cell r="D325" t="str">
            <v>Q3</v>
          </cell>
          <cell r="I325" t="str">
            <v>64085_SW104745</v>
          </cell>
        </row>
        <row r="326">
          <cell r="D326" t="str">
            <v>Q3</v>
          </cell>
          <cell r="I326" t="str">
            <v>64085_SW053308</v>
          </cell>
        </row>
        <row r="327">
          <cell r="D327" t="str">
            <v>Q4</v>
          </cell>
          <cell r="I327" t="str">
            <v>80080_SW052249</v>
          </cell>
        </row>
        <row r="328">
          <cell r="D328" t="str">
            <v>Q1</v>
          </cell>
          <cell r="I328" t="str">
            <v>77806_SF106477</v>
          </cell>
        </row>
        <row r="329">
          <cell r="D329" t="str">
            <v>R</v>
          </cell>
          <cell r="I329" t="str">
            <v>84235_SW101499</v>
          </cell>
        </row>
        <row r="330">
          <cell r="D330" t="str">
            <v>R</v>
          </cell>
          <cell r="I330" t="str">
            <v>79265_SW107322</v>
          </cell>
        </row>
        <row r="331">
          <cell r="D331" t="str">
            <v>R</v>
          </cell>
          <cell r="I331" t="str">
            <v>C000000696_SJ106185</v>
          </cell>
        </row>
        <row r="332">
          <cell r="D332" t="str">
            <v>Q1</v>
          </cell>
          <cell r="I332" t="str">
            <v>77983_SF106477</v>
          </cell>
        </row>
        <row r="333">
          <cell r="D333" t="str">
            <v>Q3</v>
          </cell>
          <cell r="I333" t="str">
            <v>85938_SF106678</v>
          </cell>
        </row>
        <row r="334">
          <cell r="D334" t="str">
            <v>Q3</v>
          </cell>
          <cell r="I334" t="str">
            <v>82284_SW108150</v>
          </cell>
        </row>
        <row r="335">
          <cell r="D335" t="str">
            <v>Q1</v>
          </cell>
          <cell r="I335" t="str">
            <v>59235_SF010404</v>
          </cell>
        </row>
        <row r="336">
          <cell r="D336" t="str">
            <v>Q2</v>
          </cell>
          <cell r="I336" t="str">
            <v>83688_SJ109854</v>
          </cell>
        </row>
        <row r="337">
          <cell r="D337" t="str">
            <v/>
          </cell>
          <cell r="I337" t="str">
            <v>83688_SJ109735</v>
          </cell>
        </row>
        <row r="338">
          <cell r="D338" t="str">
            <v>Q1</v>
          </cell>
          <cell r="I338" t="str">
            <v>11051_SW006855</v>
          </cell>
        </row>
        <row r="339">
          <cell r="D339" t="str">
            <v>R</v>
          </cell>
          <cell r="I339" t="str">
            <v>86478_SJ106665</v>
          </cell>
        </row>
        <row r="340">
          <cell r="D340" t="str">
            <v>R</v>
          </cell>
          <cell r="I340" t="str">
            <v>80609_SJ018425</v>
          </cell>
        </row>
        <row r="341">
          <cell r="D341" t="str">
            <v>Q3</v>
          </cell>
          <cell r="I341" t="str">
            <v>69750_SW046990</v>
          </cell>
        </row>
        <row r="342">
          <cell r="D342" t="str">
            <v>Q3</v>
          </cell>
          <cell r="I342" t="str">
            <v>79380_SF106477</v>
          </cell>
        </row>
        <row r="343">
          <cell r="D343" t="str">
            <v>Q2</v>
          </cell>
          <cell r="I343" t="str">
            <v>84906_SJ109735</v>
          </cell>
        </row>
        <row r="344">
          <cell r="D344" t="str">
            <v>Q3</v>
          </cell>
          <cell r="I344" t="str">
            <v>84088_SF106477</v>
          </cell>
        </row>
        <row r="345">
          <cell r="D345" t="str">
            <v>Q2</v>
          </cell>
          <cell r="I345" t="str">
            <v>83473_SW087953</v>
          </cell>
        </row>
        <row r="346">
          <cell r="D346" t="str">
            <v>Q3</v>
          </cell>
          <cell r="I346" t="str">
            <v>86671_SJ109347</v>
          </cell>
        </row>
        <row r="347">
          <cell r="D347" t="str">
            <v>Q3</v>
          </cell>
          <cell r="I347" t="str">
            <v>86671_SJ109521</v>
          </cell>
        </row>
        <row r="348">
          <cell r="D348" t="str">
            <v>Q4</v>
          </cell>
          <cell r="I348" t="str">
            <v>C000000599_SW046526</v>
          </cell>
        </row>
        <row r="349">
          <cell r="D349" t="str">
            <v>Q1</v>
          </cell>
          <cell r="I349" t="str">
            <v>C000000392_SF012050</v>
          </cell>
        </row>
        <row r="350">
          <cell r="D350" t="str">
            <v>Q1</v>
          </cell>
          <cell r="I350" t="str">
            <v>87496_SW084573</v>
          </cell>
        </row>
        <row r="351">
          <cell r="D351" t="str">
            <v>Q3</v>
          </cell>
          <cell r="I351" t="str">
            <v>C000001347_SF106678</v>
          </cell>
        </row>
        <row r="352">
          <cell r="D352" t="str">
            <v>Q4</v>
          </cell>
          <cell r="I352" t="str">
            <v>86609_SW084573</v>
          </cell>
        </row>
        <row r="353">
          <cell r="D353" t="str">
            <v>NO</v>
          </cell>
          <cell r="I353" t="str">
            <v>C000001681_SF048858</v>
          </cell>
        </row>
        <row r="354">
          <cell r="D354" t="str">
            <v>Q4</v>
          </cell>
          <cell r="I354" t="str">
            <v>C000002057_SW107322</v>
          </cell>
        </row>
        <row r="355">
          <cell r="D355" t="str">
            <v>Q2</v>
          </cell>
          <cell r="I355" t="str">
            <v>C000002176_SW048171</v>
          </cell>
        </row>
        <row r="356">
          <cell r="D356" t="str">
            <v>Q2</v>
          </cell>
          <cell r="I356" t="str">
            <v>C000002122_SJ053535</v>
          </cell>
        </row>
        <row r="357">
          <cell r="D357" t="str">
            <v>Q1</v>
          </cell>
          <cell r="I357" t="str">
            <v>61572_SW040872</v>
          </cell>
        </row>
        <row r="358">
          <cell r="D358" t="str">
            <v>R</v>
          </cell>
          <cell r="I358" t="str">
            <v>21083_SW106176</v>
          </cell>
        </row>
        <row r="359">
          <cell r="D359" t="str">
            <v>R</v>
          </cell>
          <cell r="I359" t="str">
            <v>80200_SW040921</v>
          </cell>
        </row>
        <row r="360">
          <cell r="D360" t="str">
            <v>R</v>
          </cell>
          <cell r="I360" t="str">
            <v>22287_SW090822</v>
          </cell>
        </row>
        <row r="361">
          <cell r="D361" t="str">
            <v>Q2</v>
          </cell>
          <cell r="I361" t="str">
            <v>54922_SW108150</v>
          </cell>
        </row>
        <row r="362">
          <cell r="D362" t="str">
            <v>Q4</v>
          </cell>
          <cell r="I362" t="str">
            <v>C000002137_SW104745</v>
          </cell>
        </row>
        <row r="363">
          <cell r="D363" t="str">
            <v>Q4</v>
          </cell>
          <cell r="I363" t="str">
            <v>69750_SW048171</v>
          </cell>
        </row>
        <row r="364">
          <cell r="D364" t="str">
            <v>Q3</v>
          </cell>
          <cell r="I364" t="str">
            <v>85702_SW084573</v>
          </cell>
        </row>
        <row r="365">
          <cell r="D365" t="str">
            <v>Q2</v>
          </cell>
          <cell r="I365" t="str">
            <v>79791_SW041276</v>
          </cell>
        </row>
        <row r="366">
          <cell r="D366" t="str">
            <v>Q1</v>
          </cell>
          <cell r="I366" t="str">
            <v>C000000501_SW099504</v>
          </cell>
        </row>
        <row r="367">
          <cell r="D367" t="str">
            <v>Q2</v>
          </cell>
          <cell r="I367" t="str">
            <v>C000001689_SF051188</v>
          </cell>
        </row>
        <row r="368">
          <cell r="D368" t="str">
            <v>Q3</v>
          </cell>
          <cell r="I368" t="str">
            <v>C0000001254_SW099504</v>
          </cell>
        </row>
        <row r="369">
          <cell r="D369" t="str">
            <v>Q3</v>
          </cell>
          <cell r="I369" t="str">
            <v>C0000001076_SW050386</v>
          </cell>
        </row>
        <row r="370">
          <cell r="D370" t="str">
            <v>Q4</v>
          </cell>
          <cell r="I370" t="str">
            <v>C000001248_SW099504</v>
          </cell>
        </row>
        <row r="371">
          <cell r="D371" t="str">
            <v>R</v>
          </cell>
          <cell r="I371" t="str">
            <v>C000000038_SJ108993</v>
          </cell>
        </row>
        <row r="372">
          <cell r="D372" t="str">
            <v>R</v>
          </cell>
          <cell r="I372" t="str">
            <v>C000000038_SJ108359</v>
          </cell>
        </row>
        <row r="373">
          <cell r="D373" t="str">
            <v>Q4</v>
          </cell>
          <cell r="I373" t="str">
            <v>C000001318_SW090822</v>
          </cell>
        </row>
        <row r="374">
          <cell r="D374" t="str">
            <v>R</v>
          </cell>
          <cell r="I374" t="str">
            <v>C000000040_SJ108359</v>
          </cell>
        </row>
        <row r="375">
          <cell r="D375" t="str">
            <v>R</v>
          </cell>
          <cell r="I375" t="str">
            <v>C000000040_SJ108993</v>
          </cell>
        </row>
        <row r="376">
          <cell r="D376" t="str">
            <v>R</v>
          </cell>
          <cell r="I376" t="str">
            <v>C000000084_SJ110442</v>
          </cell>
        </row>
        <row r="377">
          <cell r="D377" t="str">
            <v>Q3</v>
          </cell>
          <cell r="I377" t="str">
            <v>84987_SW099504</v>
          </cell>
        </row>
        <row r="378">
          <cell r="D378" t="str">
            <v>Q4</v>
          </cell>
          <cell r="I378" t="str">
            <v>79264_SW104745</v>
          </cell>
        </row>
        <row r="379">
          <cell r="D379" t="str">
            <v>Q4</v>
          </cell>
          <cell r="I379" t="str">
            <v>80620_SF051188</v>
          </cell>
        </row>
        <row r="380">
          <cell r="D380" t="str">
            <v>Q2</v>
          </cell>
          <cell r="I380" t="str">
            <v>54408_SW000770</v>
          </cell>
        </row>
        <row r="381">
          <cell r="D381" t="str">
            <v>Q4</v>
          </cell>
          <cell r="I381" t="str">
            <v>64159_SW084573</v>
          </cell>
        </row>
        <row r="382">
          <cell r="D382" t="str">
            <v>Q3</v>
          </cell>
          <cell r="I382" t="str">
            <v>59801_SF106477</v>
          </cell>
        </row>
        <row r="383">
          <cell r="D383" t="str">
            <v>R</v>
          </cell>
          <cell r="I383" t="str">
            <v>85289_SJ109848</v>
          </cell>
        </row>
        <row r="384">
          <cell r="D384" t="str">
            <v>R</v>
          </cell>
          <cell r="I384" t="str">
            <v>87190_SJ109722</v>
          </cell>
        </row>
        <row r="385">
          <cell r="D385" t="str">
            <v>Q2</v>
          </cell>
          <cell r="I385" t="str">
            <v>78937_SW041854</v>
          </cell>
        </row>
        <row r="386">
          <cell r="D386" t="str">
            <v>R</v>
          </cell>
          <cell r="I386" t="str">
            <v>23598_SW001119</v>
          </cell>
        </row>
        <row r="387">
          <cell r="D387" t="str">
            <v>R</v>
          </cell>
          <cell r="I387" t="str">
            <v>83630_SJ109724</v>
          </cell>
        </row>
        <row r="388">
          <cell r="D388" t="str">
            <v>Q1</v>
          </cell>
          <cell r="I388" t="str">
            <v>86171_SF048858</v>
          </cell>
        </row>
        <row r="389">
          <cell r="D389" t="str">
            <v>Q4</v>
          </cell>
          <cell r="I389" t="str">
            <v>C000002141_SW042931</v>
          </cell>
        </row>
        <row r="390">
          <cell r="D390" t="str">
            <v>Q1</v>
          </cell>
          <cell r="I390" t="str">
            <v>C000001073_SW108150</v>
          </cell>
        </row>
        <row r="391">
          <cell r="D391" t="str">
            <v>Q1</v>
          </cell>
          <cell r="I391" t="str">
            <v>52862_SF106477</v>
          </cell>
        </row>
        <row r="392">
          <cell r="D392" t="str">
            <v>Q1</v>
          </cell>
          <cell r="I392" t="str">
            <v>81286_SJ106665</v>
          </cell>
        </row>
        <row r="393">
          <cell r="D393" t="str">
            <v>Q3</v>
          </cell>
          <cell r="I393" t="str">
            <v>84907_SW044801</v>
          </cell>
        </row>
        <row r="394">
          <cell r="D394" t="str">
            <v>Q3</v>
          </cell>
          <cell r="I394" t="str">
            <v>84907_SB059287</v>
          </cell>
        </row>
        <row r="395">
          <cell r="D395" t="str">
            <v>Q1</v>
          </cell>
          <cell r="I395" t="str">
            <v>C000001078_SF106477</v>
          </cell>
        </row>
        <row r="396">
          <cell r="D396" t="str">
            <v>Q1</v>
          </cell>
          <cell r="I396" t="str">
            <v>80891_SF060100</v>
          </cell>
        </row>
        <row r="397">
          <cell r="D397" t="str">
            <v>Q4</v>
          </cell>
          <cell r="I397" t="str">
            <v>87201_SW040924</v>
          </cell>
        </row>
        <row r="398">
          <cell r="D398" t="str">
            <v>Q2</v>
          </cell>
          <cell r="I398" t="str">
            <v>74802_SW100431</v>
          </cell>
        </row>
        <row r="399">
          <cell r="D399" t="str">
            <v>Q3</v>
          </cell>
          <cell r="I399" t="str">
            <v>84366_SJ108651</v>
          </cell>
        </row>
        <row r="400">
          <cell r="D400" t="str">
            <v>Q1</v>
          </cell>
          <cell r="I400" t="str">
            <v>86716_SW018108</v>
          </cell>
        </row>
        <row r="401">
          <cell r="D401" t="str">
            <v>Q4</v>
          </cell>
          <cell r="I401" t="str">
            <v>74827_SW108150</v>
          </cell>
        </row>
        <row r="402">
          <cell r="D402" t="str">
            <v>Q1</v>
          </cell>
          <cell r="I402" t="str">
            <v>85011_SW087953</v>
          </cell>
        </row>
        <row r="403">
          <cell r="D403" t="str">
            <v>Q1</v>
          </cell>
          <cell r="I403" t="str">
            <v>79791_SW090822</v>
          </cell>
        </row>
        <row r="404">
          <cell r="D404" t="str">
            <v>Q4</v>
          </cell>
          <cell r="I404" t="str">
            <v>C000002092_SW107322</v>
          </cell>
        </row>
        <row r="405">
          <cell r="D405" t="str">
            <v>Q3</v>
          </cell>
          <cell r="I405" t="str">
            <v>C000002136_SW104745</v>
          </cell>
        </row>
        <row r="406">
          <cell r="D406" t="str">
            <v>Q3</v>
          </cell>
          <cell r="I406" t="str">
            <v>C000001893_SF050875</v>
          </cell>
        </row>
        <row r="407">
          <cell r="D407" t="str">
            <v>Q4</v>
          </cell>
          <cell r="I407" t="str">
            <v>C000002092_SW042931</v>
          </cell>
        </row>
        <row r="408">
          <cell r="D408" t="str">
            <v>Q3</v>
          </cell>
          <cell r="I408" t="str">
            <v>C000000599_SW107378</v>
          </cell>
        </row>
        <row r="409">
          <cell r="D409" t="str">
            <v>Q4</v>
          </cell>
          <cell r="I409" t="str">
            <v>69166_SJ104638</v>
          </cell>
        </row>
        <row r="410">
          <cell r="D410" t="str">
            <v>Q4</v>
          </cell>
          <cell r="I410" t="str">
            <v>61851_SW105058</v>
          </cell>
        </row>
        <row r="411">
          <cell r="D411" t="str">
            <v>Q3</v>
          </cell>
          <cell r="I411" t="str">
            <v>59658_SW040921</v>
          </cell>
        </row>
        <row r="412">
          <cell r="D412" t="str">
            <v>Q1</v>
          </cell>
          <cell r="I412" t="str">
            <v>37817_SW052249</v>
          </cell>
        </row>
        <row r="413">
          <cell r="D413" t="str">
            <v>Q3</v>
          </cell>
          <cell r="I413" t="str">
            <v>62444_SW041379</v>
          </cell>
        </row>
        <row r="414">
          <cell r="D414" t="str">
            <v>Q4</v>
          </cell>
          <cell r="I414" t="str">
            <v>86671_SJ109854</v>
          </cell>
        </row>
        <row r="415">
          <cell r="D415" t="str">
            <v>Q4</v>
          </cell>
          <cell r="I415" t="str">
            <v>86671_SJ109735</v>
          </cell>
        </row>
        <row r="416">
          <cell r="D416" t="str">
            <v>Q4</v>
          </cell>
          <cell r="I416" t="str">
            <v>C000000514_SW052249</v>
          </cell>
        </row>
        <row r="417">
          <cell r="D417" t="str">
            <v>Q3</v>
          </cell>
          <cell r="I417" t="str">
            <v>32094_sw104924</v>
          </cell>
        </row>
        <row r="418">
          <cell r="D418" t="str">
            <v>Q3</v>
          </cell>
          <cell r="I418" t="str">
            <v>42389_SW040921</v>
          </cell>
        </row>
        <row r="419">
          <cell r="D419" t="str">
            <v>Q3</v>
          </cell>
          <cell r="I419" t="str">
            <v>61227_SW040921</v>
          </cell>
        </row>
        <row r="420">
          <cell r="D420" t="str">
            <v>NO</v>
          </cell>
          <cell r="I420" t="str">
            <v>45396_SB057003</v>
          </cell>
        </row>
        <row r="421">
          <cell r="D421" t="str">
            <v>NO</v>
          </cell>
          <cell r="I421" t="str">
            <v>45396_SW052628</v>
          </cell>
        </row>
        <row r="422">
          <cell r="D422" t="str">
            <v>Q3</v>
          </cell>
          <cell r="I422" t="str">
            <v>36810_SW000770</v>
          </cell>
        </row>
        <row r="423">
          <cell r="D423" t="str">
            <v>Q1</v>
          </cell>
          <cell r="I423" t="str">
            <v>34988_SW044801</v>
          </cell>
        </row>
        <row r="424">
          <cell r="D424" t="str">
            <v>Q1</v>
          </cell>
          <cell r="I424" t="str">
            <v>34988_SB059287</v>
          </cell>
        </row>
        <row r="425">
          <cell r="D425" t="str">
            <v>Q1</v>
          </cell>
          <cell r="I425" t="str">
            <v>85581_SW087524</v>
          </cell>
        </row>
        <row r="426">
          <cell r="D426" t="str">
            <v>Q4</v>
          </cell>
          <cell r="I426" t="str">
            <v>82620_SW040921</v>
          </cell>
        </row>
        <row r="427">
          <cell r="D427" t="str">
            <v>Q2</v>
          </cell>
          <cell r="I427" t="str">
            <v>86563_SW099504</v>
          </cell>
        </row>
        <row r="428">
          <cell r="D428" t="str">
            <v>Q4</v>
          </cell>
          <cell r="I428" t="str">
            <v>87496_SW050386</v>
          </cell>
        </row>
        <row r="429">
          <cell r="D429" t="str">
            <v>Q4</v>
          </cell>
          <cell r="I429" t="str">
            <v>C000001241_SW099504</v>
          </cell>
        </row>
        <row r="430">
          <cell r="D430" t="str">
            <v>Q3</v>
          </cell>
          <cell r="I430" t="str">
            <v>C000001231_SW099504</v>
          </cell>
        </row>
        <row r="431">
          <cell r="D431" t="str">
            <v>Q1</v>
          </cell>
          <cell r="I431" t="str">
            <v>C000000280_SF106477</v>
          </cell>
        </row>
        <row r="432">
          <cell r="D432" t="str">
            <v>Q3</v>
          </cell>
          <cell r="I432" t="str">
            <v>C000000815_SW107409</v>
          </cell>
        </row>
        <row r="433">
          <cell r="D433" t="str">
            <v>Q3</v>
          </cell>
          <cell r="I433" t="str">
            <v>80780_SF002050</v>
          </cell>
        </row>
        <row r="434">
          <cell r="D434" t="str">
            <v>Q4</v>
          </cell>
          <cell r="I434" t="str">
            <v>85929_SW108150</v>
          </cell>
        </row>
        <row r="435">
          <cell r="D435" t="str">
            <v>Q3</v>
          </cell>
          <cell r="I435" t="str">
            <v>C000001144_SJ106665</v>
          </cell>
        </row>
        <row r="436">
          <cell r="D436" t="str">
            <v>Q2</v>
          </cell>
          <cell r="I436" t="str">
            <v>81264_SW041854</v>
          </cell>
        </row>
        <row r="437">
          <cell r="D437" t="str">
            <v>Q1</v>
          </cell>
          <cell r="I437" t="str">
            <v>C000001238_SW099504</v>
          </cell>
        </row>
        <row r="438">
          <cell r="D438" t="str">
            <v>Q3</v>
          </cell>
          <cell r="I438" t="str">
            <v>C000002091_SW042931</v>
          </cell>
        </row>
        <row r="439">
          <cell r="D439" t="str">
            <v>Q1</v>
          </cell>
          <cell r="I439" t="str">
            <v>C000002003_SW046455</v>
          </cell>
        </row>
        <row r="440">
          <cell r="D440" t="str">
            <v>Q3</v>
          </cell>
          <cell r="I440" t="str">
            <v>C000001327_SW090822</v>
          </cell>
        </row>
        <row r="441">
          <cell r="D441" t="str">
            <v>Q4</v>
          </cell>
          <cell r="I441" t="str">
            <v>C000001494_SJ053535</v>
          </cell>
        </row>
        <row r="442">
          <cell r="D442" t="str">
            <v>Q4</v>
          </cell>
          <cell r="I442" t="str">
            <v>59658_SW002007</v>
          </cell>
        </row>
        <row r="443">
          <cell r="D443" t="str">
            <v>R</v>
          </cell>
          <cell r="I443" t="str">
            <v>21083_SW108150</v>
          </cell>
        </row>
        <row r="444">
          <cell r="D444" t="str">
            <v>R</v>
          </cell>
          <cell r="I444" t="str">
            <v>21083_SW042222</v>
          </cell>
        </row>
        <row r="445">
          <cell r="D445" t="str">
            <v>Q2</v>
          </cell>
          <cell r="I445" t="str">
            <v>C000001246_SW099504</v>
          </cell>
        </row>
        <row r="446">
          <cell r="D446" t="str">
            <v>Q4</v>
          </cell>
          <cell r="I446" t="str">
            <v>C000001078_SW044801</v>
          </cell>
        </row>
        <row r="447">
          <cell r="D447" t="str">
            <v>Q4</v>
          </cell>
          <cell r="I447" t="str">
            <v>C000001078_SB056287</v>
          </cell>
        </row>
        <row r="448">
          <cell r="D448" t="str">
            <v>Q1</v>
          </cell>
          <cell r="I448" t="str">
            <v>C000000037_SW105171</v>
          </cell>
        </row>
        <row r="449">
          <cell r="D449" t="str">
            <v>R</v>
          </cell>
          <cell r="I449" t="str">
            <v>83498_SJ109724</v>
          </cell>
        </row>
        <row r="450">
          <cell r="D450" t="str">
            <v>Q3</v>
          </cell>
          <cell r="I450" t="str">
            <v>75500_SW102692</v>
          </cell>
        </row>
        <row r="451">
          <cell r="D451" t="str">
            <v>Q2</v>
          </cell>
          <cell r="I451" t="str">
            <v>C000001742_SW044801</v>
          </cell>
        </row>
        <row r="452">
          <cell r="D452" t="str">
            <v>Q2</v>
          </cell>
          <cell r="I452" t="str">
            <v>C000001742_SB056287</v>
          </cell>
        </row>
        <row r="453">
          <cell r="D453" t="str">
            <v>Q4</v>
          </cell>
          <cell r="I453" t="str">
            <v>C000002203_SW107322</v>
          </cell>
        </row>
        <row r="454">
          <cell r="D454" t="str">
            <v>Q1</v>
          </cell>
          <cell r="I454" t="str">
            <v>58290_SB057003</v>
          </cell>
        </row>
        <row r="455">
          <cell r="D455" t="str">
            <v>Q1</v>
          </cell>
          <cell r="I455" t="str">
            <v>58290_SW05328</v>
          </cell>
        </row>
        <row r="456">
          <cell r="D456" t="str">
            <v>Q3</v>
          </cell>
          <cell r="I456" t="str">
            <v>33059_SB056287</v>
          </cell>
        </row>
        <row r="457">
          <cell r="D457" t="str">
            <v>Q1</v>
          </cell>
          <cell r="I457" t="str">
            <v>87711_SJ102177</v>
          </cell>
        </row>
        <row r="458">
          <cell r="D458" t="str">
            <v>Q2</v>
          </cell>
          <cell r="I458" t="str">
            <v>86609_SW099504</v>
          </cell>
        </row>
        <row r="459">
          <cell r="D459" t="str">
            <v>Q1</v>
          </cell>
          <cell r="I459" t="str">
            <v>C000001357_SW000770</v>
          </cell>
        </row>
        <row r="460">
          <cell r="D460" t="str">
            <v>Q1</v>
          </cell>
          <cell r="I460" t="str">
            <v>C000001111_SW106176</v>
          </cell>
        </row>
        <row r="461">
          <cell r="D461" t="str">
            <v>NO</v>
          </cell>
          <cell r="I461" t="str">
            <v>C000001291_SF106477</v>
          </cell>
        </row>
        <row r="462">
          <cell r="D462" t="str">
            <v>Q1</v>
          </cell>
          <cell r="I462" t="str">
            <v>C000001042_SW108150</v>
          </cell>
        </row>
        <row r="463">
          <cell r="D463" t="str">
            <v>Q3</v>
          </cell>
          <cell r="I463" t="str">
            <v>87583_SW040921</v>
          </cell>
        </row>
        <row r="464">
          <cell r="D464" t="str">
            <v>R</v>
          </cell>
          <cell r="I464" t="str">
            <v>C000000231_SJ110604</v>
          </cell>
        </row>
        <row r="465">
          <cell r="D465" t="str">
            <v>R</v>
          </cell>
          <cell r="I465" t="str">
            <v>C000000231_SJ110605</v>
          </cell>
        </row>
        <row r="466">
          <cell r="D466" t="str">
            <v>R</v>
          </cell>
          <cell r="I466" t="str">
            <v>C000000231_SJ110235</v>
          </cell>
        </row>
        <row r="467">
          <cell r="D467" t="str">
            <v>Q4</v>
          </cell>
          <cell r="I467" t="str">
            <v>C000001758_SW052249</v>
          </cell>
        </row>
        <row r="468">
          <cell r="D468" t="str">
            <v>Q2</v>
          </cell>
          <cell r="I468" t="str">
            <v>C000001239_SW084573</v>
          </cell>
        </row>
        <row r="469">
          <cell r="D469" t="str">
            <v>Q1</v>
          </cell>
          <cell r="I469" t="str">
            <v>11051_SF012050</v>
          </cell>
        </row>
        <row r="470">
          <cell r="D470" t="str">
            <v>Q1</v>
          </cell>
          <cell r="I470" t="str">
            <v>C000001435_SW052292</v>
          </cell>
        </row>
        <row r="471">
          <cell r="D471" t="str">
            <v>Q3</v>
          </cell>
          <cell r="I471" t="str">
            <v>82486_SJ108731</v>
          </cell>
        </row>
        <row r="472">
          <cell r="D472" t="str">
            <v>Q3</v>
          </cell>
          <cell r="I472" t="str">
            <v>34988_SF106678</v>
          </cell>
        </row>
        <row r="473">
          <cell r="D473" t="str">
            <v>Q2</v>
          </cell>
          <cell r="I473" t="str">
            <v>87514_SJ109854</v>
          </cell>
        </row>
        <row r="474">
          <cell r="D474" t="str">
            <v>Q3</v>
          </cell>
          <cell r="I474" t="str">
            <v>C000000501_SW084573</v>
          </cell>
        </row>
        <row r="475">
          <cell r="D475" t="str">
            <v>R</v>
          </cell>
          <cell r="I475" t="str">
            <v>67237_SF002050</v>
          </cell>
        </row>
        <row r="476">
          <cell r="D476" t="str">
            <v>Q4</v>
          </cell>
          <cell r="I476" t="str">
            <v>77983_SW108150</v>
          </cell>
        </row>
        <row r="477">
          <cell r="D477" t="str">
            <v>NO</v>
          </cell>
          <cell r="I477" t="str">
            <v>82329_SW108150</v>
          </cell>
        </row>
        <row r="478">
          <cell r="D478" t="str">
            <v>Q1</v>
          </cell>
          <cell r="I478" t="str">
            <v>57928_SW102956</v>
          </cell>
        </row>
        <row r="479">
          <cell r="D479" t="str">
            <v>Q2</v>
          </cell>
          <cell r="I479" t="str">
            <v>C000000609_SW108150</v>
          </cell>
        </row>
        <row r="480">
          <cell r="D480" t="str">
            <v>R</v>
          </cell>
          <cell r="I480" t="str">
            <v>83734_SJ109856</v>
          </cell>
        </row>
        <row r="481">
          <cell r="D481" t="str">
            <v>R</v>
          </cell>
          <cell r="I481" t="str">
            <v>83734_SJ109732</v>
          </cell>
        </row>
        <row r="482">
          <cell r="D482" t="str">
            <v>Q2</v>
          </cell>
          <cell r="I482" t="str">
            <v>C000001895_SW084028</v>
          </cell>
        </row>
        <row r="483">
          <cell r="D483" t="str">
            <v>Q1</v>
          </cell>
          <cell r="I483" t="str">
            <v>C000001190_SW044801</v>
          </cell>
        </row>
        <row r="484">
          <cell r="D484" t="str">
            <v>Q3</v>
          </cell>
          <cell r="I484" t="str">
            <v>C000001239_SW099504</v>
          </cell>
        </row>
        <row r="485">
          <cell r="D485" t="str">
            <v>Q2</v>
          </cell>
          <cell r="I485" t="str">
            <v>C000001902_SW044801</v>
          </cell>
        </row>
        <row r="486">
          <cell r="D486" t="str">
            <v>Q2</v>
          </cell>
          <cell r="I486" t="str">
            <v>C000001902_SB056287</v>
          </cell>
        </row>
        <row r="487">
          <cell r="D487" t="str">
            <v>Q4</v>
          </cell>
          <cell r="I487" t="str">
            <v>87103_SW108150</v>
          </cell>
        </row>
        <row r="488">
          <cell r="D488" t="str">
            <v>Q4</v>
          </cell>
          <cell r="I488" t="str">
            <v>C000001228_SW087953</v>
          </cell>
        </row>
        <row r="489">
          <cell r="D489" t="str">
            <v>Q1</v>
          </cell>
          <cell r="I489" t="str">
            <v>C0000002204_SW104745</v>
          </cell>
        </row>
        <row r="490">
          <cell r="D490" t="str">
            <v>Q4</v>
          </cell>
          <cell r="I490" t="str">
            <v>66375_SF002050</v>
          </cell>
        </row>
        <row r="491">
          <cell r="D491" t="str">
            <v>Q3</v>
          </cell>
          <cell r="I491" t="str">
            <v>36809_SW000770</v>
          </cell>
        </row>
        <row r="492">
          <cell r="D492" t="str">
            <v>Q1</v>
          </cell>
          <cell r="I492" t="str">
            <v>77806_SW108150</v>
          </cell>
        </row>
        <row r="493">
          <cell r="D493" t="str">
            <v>Q3</v>
          </cell>
          <cell r="I493" t="str">
            <v>85440_SW108150</v>
          </cell>
        </row>
        <row r="494">
          <cell r="D494" t="str">
            <v>Q2</v>
          </cell>
          <cell r="I494" t="str">
            <v>59658_SF060100</v>
          </cell>
        </row>
        <row r="495">
          <cell r="D495" t="str">
            <v>Q4</v>
          </cell>
          <cell r="I495" t="str">
            <v>C000000393_SF012050</v>
          </cell>
        </row>
        <row r="496">
          <cell r="D496" t="str">
            <v>Q1</v>
          </cell>
          <cell r="I496" t="str">
            <v>C000001938_SJ106665</v>
          </cell>
        </row>
        <row r="497">
          <cell r="D497" t="str">
            <v>Q3</v>
          </cell>
          <cell r="I497" t="str">
            <v>77303_SW105063</v>
          </cell>
        </row>
        <row r="498">
          <cell r="D498" t="str">
            <v>Q3</v>
          </cell>
          <cell r="I498" t="str">
            <v>77303_SC059431</v>
          </cell>
        </row>
        <row r="499">
          <cell r="D499" t="str">
            <v>Q4</v>
          </cell>
          <cell r="I499" t="str">
            <v>33059_SW041379</v>
          </cell>
        </row>
        <row r="500">
          <cell r="D500" t="str">
            <v>Q4</v>
          </cell>
          <cell r="I500" t="str">
            <v>85929_SW106176</v>
          </cell>
        </row>
        <row r="501">
          <cell r="D501" t="str">
            <v>Q4</v>
          </cell>
          <cell r="I501" t="str">
            <v>C000001782_SW106176</v>
          </cell>
        </row>
        <row r="502">
          <cell r="D502" t="str">
            <v>Q4</v>
          </cell>
          <cell r="I502" t="str">
            <v>C000002000_SW106176</v>
          </cell>
        </row>
        <row r="503">
          <cell r="D503" t="str">
            <v>Q1</v>
          </cell>
          <cell r="I503" t="str">
            <v>C000001254_SW087953</v>
          </cell>
        </row>
        <row r="504">
          <cell r="D504" t="str">
            <v>Q4</v>
          </cell>
          <cell r="I504" t="str">
            <v>80910_SW108150</v>
          </cell>
        </row>
        <row r="505">
          <cell r="D505" t="str">
            <v>NO</v>
          </cell>
          <cell r="I505" t="str">
            <v>86228_SW106176</v>
          </cell>
        </row>
        <row r="506">
          <cell r="D506" t="str">
            <v>Q1</v>
          </cell>
          <cell r="I506" t="str">
            <v>86534_SJ106665</v>
          </cell>
        </row>
        <row r="507">
          <cell r="D507" t="str">
            <v>Q1</v>
          </cell>
          <cell r="I507" t="str">
            <v>85244_SJ106665</v>
          </cell>
        </row>
        <row r="508">
          <cell r="D508" t="str">
            <v>Q1</v>
          </cell>
          <cell r="I508" t="str">
            <v>84568_SJ106665</v>
          </cell>
        </row>
        <row r="509">
          <cell r="D509" t="str">
            <v>NO</v>
          </cell>
          <cell r="I509" t="str">
            <v>34179_SW044801</v>
          </cell>
        </row>
        <row r="510">
          <cell r="D510" t="str">
            <v>NO</v>
          </cell>
          <cell r="I510" t="str">
            <v>34179_SB056287</v>
          </cell>
        </row>
        <row r="511">
          <cell r="D511" t="str">
            <v>Q1</v>
          </cell>
          <cell r="I511" t="str">
            <v>83689_SJ109735</v>
          </cell>
        </row>
        <row r="512">
          <cell r="D512" t="str">
            <v>Q1</v>
          </cell>
          <cell r="I512" t="str">
            <v>83689_SJ109854</v>
          </cell>
        </row>
        <row r="513">
          <cell r="D513" t="str">
            <v>R</v>
          </cell>
          <cell r="I513" t="str">
            <v>80200_SF011212</v>
          </cell>
        </row>
        <row r="514">
          <cell r="D514" t="str">
            <v>Q4</v>
          </cell>
          <cell r="I514" t="str">
            <v>C000001363_SF106678</v>
          </cell>
        </row>
        <row r="515">
          <cell r="D515" t="str">
            <v>R</v>
          </cell>
          <cell r="I515" t="str">
            <v>85554_SJ110227</v>
          </cell>
        </row>
        <row r="516">
          <cell r="D516" t="str">
            <v>R</v>
          </cell>
          <cell r="I516" t="str">
            <v>85554_SJ109984</v>
          </cell>
        </row>
        <row r="517">
          <cell r="D517" t="str">
            <v>R</v>
          </cell>
          <cell r="I517" t="str">
            <v>C000001305_SJ106665</v>
          </cell>
        </row>
        <row r="518">
          <cell r="D518" t="str">
            <v>Q2</v>
          </cell>
          <cell r="I518" t="str">
            <v>C000001242_SW087953</v>
          </cell>
        </row>
        <row r="519">
          <cell r="D519" t="str">
            <v>Q3</v>
          </cell>
          <cell r="I519" t="str">
            <v>C000001901_SW044801</v>
          </cell>
        </row>
        <row r="520">
          <cell r="D520" t="str">
            <v>Q1</v>
          </cell>
          <cell r="I520" t="str">
            <v>C000001271_SF106477</v>
          </cell>
        </row>
        <row r="521">
          <cell r="D521" t="str">
            <v>R</v>
          </cell>
          <cell r="I521" t="str">
            <v>79781_SF012046</v>
          </cell>
        </row>
        <row r="522">
          <cell r="D522" t="str">
            <v>Q4</v>
          </cell>
          <cell r="I522" t="str">
            <v>C000000364_SW099504</v>
          </cell>
        </row>
        <row r="523">
          <cell r="D523" t="str">
            <v>Q2</v>
          </cell>
          <cell r="I523" t="str">
            <v>64085_SW042931</v>
          </cell>
        </row>
        <row r="524">
          <cell r="D524" t="str">
            <v>Q4</v>
          </cell>
          <cell r="I524" t="str">
            <v>87593_SJ053535</v>
          </cell>
        </row>
        <row r="525">
          <cell r="D525" t="str">
            <v>R</v>
          </cell>
          <cell r="I525" t="str">
            <v>84937_SJ109929</v>
          </cell>
        </row>
        <row r="526">
          <cell r="D526" t="str">
            <v>R</v>
          </cell>
          <cell r="I526" t="str">
            <v>84457_SJ109994</v>
          </cell>
        </row>
        <row r="527">
          <cell r="D527" t="str">
            <v>Q4</v>
          </cell>
          <cell r="I527" t="str">
            <v>77869_SW018108</v>
          </cell>
        </row>
        <row r="528">
          <cell r="D528" t="str">
            <v>Q4</v>
          </cell>
          <cell r="I528" t="str">
            <v>C000001228_SW084573</v>
          </cell>
        </row>
        <row r="529">
          <cell r="D529" t="str">
            <v>Q4</v>
          </cell>
          <cell r="I529" t="str">
            <v>C000000366_SW050386</v>
          </cell>
        </row>
        <row r="530">
          <cell r="D530" t="str">
            <v>Q3</v>
          </cell>
          <cell r="I530" t="str">
            <v>C000001144_SJ106665</v>
          </cell>
        </row>
        <row r="531">
          <cell r="D531" t="str">
            <v>Q4</v>
          </cell>
          <cell r="I531" t="str">
            <v>C000001462_SB056287</v>
          </cell>
        </row>
        <row r="532">
          <cell r="D532" t="str">
            <v>Q4</v>
          </cell>
          <cell r="I532" t="str">
            <v>C000001462_SW044801</v>
          </cell>
        </row>
        <row r="533">
          <cell r="D533" t="str">
            <v>R</v>
          </cell>
          <cell r="I533" t="str">
            <v>C000001919_SJ109984</v>
          </cell>
        </row>
        <row r="534">
          <cell r="D534" t="str">
            <v>R</v>
          </cell>
          <cell r="I534" t="str">
            <v>C000001206_SJ109984</v>
          </cell>
        </row>
        <row r="535">
          <cell r="D535" t="str">
            <v>Q1</v>
          </cell>
          <cell r="I535" t="str">
            <v>C000000514_SW002007</v>
          </cell>
        </row>
        <row r="536">
          <cell r="D536" t="str">
            <v>Q4</v>
          </cell>
          <cell r="I536" t="str">
            <v>C000002083_SB056287</v>
          </cell>
        </row>
        <row r="537">
          <cell r="D537" t="str">
            <v>Q4</v>
          </cell>
          <cell r="I537" t="str">
            <v>C000002083_SW044801</v>
          </cell>
        </row>
        <row r="538">
          <cell r="D538" t="str">
            <v>Q4</v>
          </cell>
          <cell r="I538" t="str">
            <v>C000001905_SW040921</v>
          </cell>
        </row>
        <row r="539">
          <cell r="D539" t="str">
            <v>Q1</v>
          </cell>
          <cell r="I539" t="str">
            <v>C000000544_SF106477</v>
          </cell>
        </row>
        <row r="540">
          <cell r="D540" t="str">
            <v>Q1</v>
          </cell>
          <cell r="I540" t="str">
            <v>C000001235_SW087953</v>
          </cell>
        </row>
        <row r="541">
          <cell r="D541" t="str">
            <v>R</v>
          </cell>
          <cell r="I541" t="str">
            <v>C000000816_SJ110227038.0</v>
          </cell>
        </row>
        <row r="542">
          <cell r="D542" t="str">
            <v>R</v>
          </cell>
          <cell r="I542" t="str">
            <v>C000000816_SJ110226</v>
          </cell>
        </row>
        <row r="543">
          <cell r="D543" t="str">
            <v>R</v>
          </cell>
          <cell r="I543" t="str">
            <v>C000000816_SJ110984</v>
          </cell>
        </row>
        <row r="544">
          <cell r="D544" t="str">
            <v>NO</v>
          </cell>
          <cell r="I544" t="str">
            <v>11051_SW047460</v>
          </cell>
        </row>
        <row r="545">
          <cell r="D545" t="str">
            <v>Q4</v>
          </cell>
          <cell r="I545" t="str">
            <v>C000001914_SF012050</v>
          </cell>
        </row>
        <row r="546">
          <cell r="D546" t="str">
            <v>Q1</v>
          </cell>
          <cell r="I546" t="str">
            <v>C000002138_SW107322</v>
          </cell>
        </row>
        <row r="547">
          <cell r="D547" t="str">
            <v>Q1</v>
          </cell>
          <cell r="I547" t="str">
            <v>22288_SW041276</v>
          </cell>
        </row>
        <row r="548">
          <cell r="D548" t="str">
            <v>Q3</v>
          </cell>
          <cell r="I548" t="str">
            <v>77303_SW105058</v>
          </cell>
        </row>
        <row r="549">
          <cell r="D549" t="str">
            <v>Q2</v>
          </cell>
          <cell r="I549" t="str">
            <v>C000002176_SW104745</v>
          </cell>
        </row>
        <row r="550">
          <cell r="D550" t="str">
            <v>Q2</v>
          </cell>
          <cell r="I550" t="str">
            <v>C000002176_SW107322</v>
          </cell>
        </row>
        <row r="551">
          <cell r="D551" t="str">
            <v>Q3</v>
          </cell>
          <cell r="I551" t="str">
            <v>77955_SJ108843</v>
          </cell>
        </row>
        <row r="552">
          <cell r="D552" t="str">
            <v>Q2</v>
          </cell>
          <cell r="I552" t="str">
            <v>36187_SW052292</v>
          </cell>
        </row>
        <row r="553">
          <cell r="D553" t="str">
            <v>R</v>
          </cell>
          <cell r="I553" t="str">
            <v>11051_SW001119</v>
          </cell>
        </row>
        <row r="554">
          <cell r="D554" t="str">
            <v>Q1</v>
          </cell>
          <cell r="I554" t="str">
            <v>32094_SW046526</v>
          </cell>
        </row>
        <row r="555">
          <cell r="D555" t="str">
            <v>Q3</v>
          </cell>
          <cell r="I555" t="str">
            <v>C000001296_SW052249</v>
          </cell>
        </row>
        <row r="556">
          <cell r="D556" t="str">
            <v>Q3</v>
          </cell>
          <cell r="I556" t="str">
            <v>79335_SW054520</v>
          </cell>
        </row>
        <row r="557">
          <cell r="D557" t="str">
            <v>Q2</v>
          </cell>
          <cell r="I557" t="str">
            <v>54451_SJ102177</v>
          </cell>
        </row>
        <row r="558">
          <cell r="D558" t="str">
            <v>Q3</v>
          </cell>
          <cell r="I558" t="str">
            <v>76645_SW108511</v>
          </cell>
        </row>
        <row r="559">
          <cell r="D559" t="str">
            <v>Q1</v>
          </cell>
          <cell r="I559" t="str">
            <v>79255_SF002050</v>
          </cell>
        </row>
        <row r="560">
          <cell r="D560" t="str">
            <v>Q4</v>
          </cell>
          <cell r="I560" t="str">
            <v>83545_SJ109966</v>
          </cell>
        </row>
        <row r="561">
          <cell r="D561" t="str">
            <v>Q4</v>
          </cell>
          <cell r="I561" t="str">
            <v>83545_SJ109863</v>
          </cell>
        </row>
        <row r="562">
          <cell r="D562" t="str">
            <v>Q4</v>
          </cell>
          <cell r="I562" t="str">
            <v>83545_SJ109733</v>
          </cell>
        </row>
        <row r="563">
          <cell r="D563" t="str">
            <v>Q3</v>
          </cell>
          <cell r="I563" t="str">
            <v>72181_SW090104</v>
          </cell>
        </row>
        <row r="564">
          <cell r="D564" t="str">
            <v>Q1</v>
          </cell>
          <cell r="I564" t="str">
            <v>C000002135_SW042931</v>
          </cell>
        </row>
        <row r="565">
          <cell r="D565" t="str">
            <v>Q3</v>
          </cell>
          <cell r="I565" t="str">
            <v>C000000651_SW052249</v>
          </cell>
        </row>
        <row r="566">
          <cell r="D566" t="str">
            <v>Q2</v>
          </cell>
          <cell r="I566" t="str">
            <v>61851_SW106956</v>
          </cell>
        </row>
        <row r="567">
          <cell r="D567" t="str">
            <v>R</v>
          </cell>
          <cell r="I567" t="str">
            <v>67237_SF106477</v>
          </cell>
        </row>
        <row r="568">
          <cell r="D568" t="str">
            <v>R</v>
          </cell>
          <cell r="I568" t="str">
            <v>61471_SW002007</v>
          </cell>
        </row>
        <row r="569">
          <cell r="D569" t="str">
            <v>R</v>
          </cell>
          <cell r="I569" t="str">
            <v>83498_SJ109724</v>
          </cell>
        </row>
        <row r="570">
          <cell r="D570" t="str">
            <v>R</v>
          </cell>
          <cell r="I570" t="str">
            <v>50948_SW102692</v>
          </cell>
        </row>
        <row r="571">
          <cell r="D571" t="str">
            <v>Q1</v>
          </cell>
          <cell r="I571" t="str">
            <v>C000001048_SF048858</v>
          </cell>
        </row>
        <row r="572">
          <cell r="D572" t="str">
            <v>Q3</v>
          </cell>
          <cell r="I572" t="str">
            <v>C000001107_SF048858</v>
          </cell>
        </row>
        <row r="573">
          <cell r="D573" t="str">
            <v>Q3</v>
          </cell>
          <cell r="I573" t="str">
            <v>C0000000367_SW099504</v>
          </cell>
        </row>
        <row r="574">
          <cell r="D574" t="str">
            <v>Q3</v>
          </cell>
          <cell r="I574" t="str">
            <v>C000001248_SW087953</v>
          </cell>
        </row>
        <row r="575">
          <cell r="D575" t="str">
            <v>Q1</v>
          </cell>
          <cell r="I575" t="str">
            <v>49688_SW051806</v>
          </cell>
        </row>
        <row r="576">
          <cell r="D576" t="str">
            <v>Q1</v>
          </cell>
          <cell r="I576" t="str">
            <v>84040_SW051806</v>
          </cell>
        </row>
        <row r="577">
          <cell r="D577" t="str">
            <v>R</v>
          </cell>
          <cell r="I577" t="str">
            <v>61471_SW052249</v>
          </cell>
        </row>
        <row r="578">
          <cell r="D578" t="str">
            <v>Q3</v>
          </cell>
          <cell r="I578" t="str">
            <v>74338_SF051188</v>
          </cell>
        </row>
        <row r="579">
          <cell r="D579" t="str">
            <v>Q1</v>
          </cell>
          <cell r="I579" t="str">
            <v>57928_SW087524</v>
          </cell>
        </row>
        <row r="580">
          <cell r="D580" t="str">
            <v>Q3</v>
          </cell>
          <cell r="I580" t="str">
            <v>53028_SF012050</v>
          </cell>
        </row>
        <row r="581">
          <cell r="D581" t="str">
            <v>Q3</v>
          </cell>
          <cell r="I581" t="str">
            <v>36809_SW052292</v>
          </cell>
        </row>
        <row r="582">
          <cell r="D582" t="str">
            <v>R</v>
          </cell>
          <cell r="I582" t="str">
            <v>C000000116_SW106166</v>
          </cell>
        </row>
        <row r="583">
          <cell r="D583" t="str">
            <v>Q1</v>
          </cell>
          <cell r="I583" t="str">
            <v>C000000566_SW108150</v>
          </cell>
        </row>
        <row r="584">
          <cell r="D584" t="str">
            <v>Q3</v>
          </cell>
          <cell r="I584" t="str">
            <v>C000000373_SW099504</v>
          </cell>
        </row>
        <row r="585">
          <cell r="D585" t="str">
            <v>Q1</v>
          </cell>
          <cell r="I585" t="str">
            <v>C000000369_SW099504</v>
          </cell>
        </row>
        <row r="586">
          <cell r="D586" t="str">
            <v>Q3</v>
          </cell>
          <cell r="I586" t="str">
            <v>C000000378_SW099504</v>
          </cell>
        </row>
        <row r="587">
          <cell r="D587" t="str">
            <v>Q2</v>
          </cell>
          <cell r="I587" t="str">
            <v>C000002060_SW000770</v>
          </cell>
        </row>
        <row r="588">
          <cell r="D588" t="str">
            <v>Q3</v>
          </cell>
          <cell r="I588" t="str">
            <v>C000002083_SW048171</v>
          </cell>
        </row>
        <row r="589">
          <cell r="D589" t="str">
            <v>Q4</v>
          </cell>
          <cell r="I589" t="str">
            <v>C000002138_SW048171</v>
          </cell>
        </row>
        <row r="590">
          <cell r="D590" t="str">
            <v>R</v>
          </cell>
          <cell r="I590" t="str">
            <v>C000001176_SJ110275</v>
          </cell>
        </row>
        <row r="591">
          <cell r="D591" t="str">
            <v>R</v>
          </cell>
          <cell r="I591" t="str">
            <v>C000001176_SJ10276</v>
          </cell>
        </row>
        <row r="592">
          <cell r="D592" t="str">
            <v>R</v>
          </cell>
          <cell r="I592" t="str">
            <v>C000001176_SJ10277</v>
          </cell>
        </row>
        <row r="593">
          <cell r="D593" t="str">
            <v>Q1</v>
          </cell>
          <cell r="I593" t="str">
            <v>C000000538_SW108150</v>
          </cell>
        </row>
        <row r="594">
          <cell r="D594" t="str">
            <v>Q1</v>
          </cell>
          <cell r="I594" t="str">
            <v>C000000569_SW105150</v>
          </cell>
        </row>
        <row r="595">
          <cell r="D595" t="str">
            <v>R</v>
          </cell>
          <cell r="I595" t="str">
            <v>82329_SW106176</v>
          </cell>
        </row>
        <row r="596">
          <cell r="D596" t="str">
            <v>R</v>
          </cell>
          <cell r="I596" t="str">
            <v>C000001408_SW106176</v>
          </cell>
        </row>
        <row r="597">
          <cell r="D597" t="str">
            <v>R</v>
          </cell>
          <cell r="I597" t="str">
            <v>C000001763_SW106176</v>
          </cell>
        </row>
        <row r="598">
          <cell r="D598" t="str">
            <v>R</v>
          </cell>
          <cell r="I598" t="str">
            <v>86233_SW106176</v>
          </cell>
        </row>
        <row r="599">
          <cell r="D599" t="str">
            <v>Q3</v>
          </cell>
          <cell r="I599" t="str">
            <v>86716_SF012050</v>
          </cell>
        </row>
        <row r="600">
          <cell r="D600" t="str">
            <v>Q3</v>
          </cell>
          <cell r="I600" t="str">
            <v>78382_SW108150</v>
          </cell>
        </row>
        <row r="601">
          <cell r="D601" t="str">
            <v>Q1</v>
          </cell>
          <cell r="I601" t="str">
            <v>C000000396_SW087953</v>
          </cell>
        </row>
        <row r="602">
          <cell r="D602" t="str">
            <v>Q1</v>
          </cell>
          <cell r="I602" t="str">
            <v>69165_SJ104638</v>
          </cell>
        </row>
        <row r="603">
          <cell r="D603" t="str">
            <v>Q3</v>
          </cell>
          <cell r="I603" t="str">
            <v>83604_SJ106665</v>
          </cell>
        </row>
        <row r="604">
          <cell r="D604" t="str">
            <v>Q1</v>
          </cell>
          <cell r="I604" t="str">
            <v>78476_SW048171</v>
          </cell>
        </row>
        <row r="605">
          <cell r="D605" t="str">
            <v>Q1</v>
          </cell>
          <cell r="I605" t="str">
            <v>69701_SW048171</v>
          </cell>
        </row>
        <row r="606">
          <cell r="D606" t="str">
            <v>Q2</v>
          </cell>
          <cell r="I606" t="str">
            <v>57929_SF010348</v>
          </cell>
        </row>
        <row r="607">
          <cell r="D607" t="str">
            <v>Q3</v>
          </cell>
          <cell r="I607" t="str">
            <v>2027_S109733</v>
          </cell>
        </row>
        <row r="608">
          <cell r="D608" t="str">
            <v>Q1</v>
          </cell>
          <cell r="I608" t="str">
            <v>C000000514_SF105678</v>
          </cell>
        </row>
        <row r="609">
          <cell r="D609" t="str">
            <v>R</v>
          </cell>
          <cell r="I609" t="str">
            <v>78661_SJ108651</v>
          </cell>
        </row>
        <row r="610">
          <cell r="D610" t="str">
            <v>R</v>
          </cell>
          <cell r="I610" t="str">
            <v>C000001636_SW108281</v>
          </cell>
        </row>
        <row r="611">
          <cell r="D611" t="str">
            <v>R</v>
          </cell>
          <cell r="I611" t="str">
            <v>C000002085_SJ109735</v>
          </cell>
        </row>
        <row r="612">
          <cell r="D612" t="str">
            <v>R</v>
          </cell>
          <cell r="I612" t="str">
            <v>69167_SJ104638</v>
          </cell>
        </row>
        <row r="613">
          <cell r="D613" t="str">
            <v>Q1</v>
          </cell>
          <cell r="I613" t="str">
            <v>C000001246_SW087953</v>
          </cell>
        </row>
        <row r="614">
          <cell r="D614" t="str">
            <v>R</v>
          </cell>
          <cell r="I614" t="str">
            <v>C000000913_SJ109984</v>
          </cell>
        </row>
        <row r="615">
          <cell r="D615" t="str">
            <v>Q1</v>
          </cell>
          <cell r="I615" t="str">
            <v>C000000648_SF002050</v>
          </cell>
        </row>
        <row r="616">
          <cell r="D616" t="str">
            <v>Q1</v>
          </cell>
          <cell r="I616" t="str">
            <v>85165_SW100755</v>
          </cell>
        </row>
        <row r="617">
          <cell r="D617" t="str">
            <v>Q2</v>
          </cell>
          <cell r="I617" t="str">
            <v>84498_SF106477</v>
          </cell>
        </row>
        <row r="618">
          <cell r="D618" t="str">
            <v>Q1</v>
          </cell>
          <cell r="I618" t="str">
            <v>C000001357_SF106477</v>
          </cell>
        </row>
        <row r="619">
          <cell r="D619" t="str">
            <v>Q1</v>
          </cell>
          <cell r="I619" t="str">
            <v>C000002094_SW042931</v>
          </cell>
        </row>
        <row r="620">
          <cell r="D620" t="str">
            <v>Q4</v>
          </cell>
          <cell r="I620" t="str">
            <v>C000002138_SW053308</v>
          </cell>
        </row>
        <row r="621">
          <cell r="D621" t="str">
            <v>Q1</v>
          </cell>
          <cell r="I621" t="str">
            <v>C000001689_SW102692</v>
          </cell>
        </row>
        <row r="622">
          <cell r="D622" t="str">
            <v>Q1</v>
          </cell>
          <cell r="I622" t="str">
            <v>C000001230_SW087953</v>
          </cell>
        </row>
        <row r="623">
          <cell r="D623" t="str">
            <v>Q3</v>
          </cell>
          <cell r="I623" t="str">
            <v>85581_SW102956</v>
          </cell>
        </row>
        <row r="624">
          <cell r="D624" t="str">
            <v>Q4</v>
          </cell>
          <cell r="I624" t="str">
            <v>80919_SW106176</v>
          </cell>
        </row>
        <row r="625">
          <cell r="D625" t="str">
            <v>Q4</v>
          </cell>
          <cell r="I625" t="str">
            <v>62727_SW044801</v>
          </cell>
        </row>
        <row r="626">
          <cell r="D626" t="str">
            <v>Q4</v>
          </cell>
          <cell r="I626" t="str">
            <v>62727_SB055098</v>
          </cell>
        </row>
        <row r="627">
          <cell r="D627" t="str">
            <v>R</v>
          </cell>
          <cell r="I627" t="str">
            <v>C000000141_SW104924</v>
          </cell>
        </row>
        <row r="628">
          <cell r="D628" t="str">
            <v>Q2</v>
          </cell>
          <cell r="I628" t="str">
            <v>57929_SW087524</v>
          </cell>
        </row>
        <row r="629">
          <cell r="D629" t="str">
            <v>Q3</v>
          </cell>
          <cell r="I629" t="str">
            <v>85440_SW090104</v>
          </cell>
        </row>
        <row r="630">
          <cell r="D630" t="str">
            <v>Q1</v>
          </cell>
          <cell r="I630" t="str">
            <v>57929_SW102956</v>
          </cell>
        </row>
        <row r="631">
          <cell r="D631" t="str">
            <v>Q4</v>
          </cell>
          <cell r="I631" t="str">
            <v>72629_SJ102177</v>
          </cell>
        </row>
        <row r="632">
          <cell r="D632" t="str">
            <v>Q3</v>
          </cell>
          <cell r="I632" t="str">
            <v>32094_SW107378</v>
          </cell>
        </row>
        <row r="633">
          <cell r="D633" t="str">
            <v>Q3</v>
          </cell>
          <cell r="I633" t="str">
            <v>C000000365_SW099504</v>
          </cell>
        </row>
        <row r="634">
          <cell r="D634" t="str">
            <v>Q2</v>
          </cell>
          <cell r="I634" t="str">
            <v>87497_SW099504</v>
          </cell>
        </row>
        <row r="635">
          <cell r="D635" t="str">
            <v>R</v>
          </cell>
          <cell r="I635" t="str">
            <v>50948_SW102692</v>
          </cell>
        </row>
        <row r="636">
          <cell r="D636" t="str">
            <v>R</v>
          </cell>
          <cell r="I636" t="str">
            <v>61471_SF105678</v>
          </cell>
        </row>
        <row r="637">
          <cell r="D637" t="str">
            <v>R</v>
          </cell>
          <cell r="I637" t="str">
            <v>50948_SF051188</v>
          </cell>
        </row>
        <row r="638">
          <cell r="D638" t="str">
            <v>Q1</v>
          </cell>
          <cell r="I638" t="str">
            <v>66488_SS059237</v>
          </cell>
        </row>
        <row r="639">
          <cell r="D639" t="str">
            <v>Q3</v>
          </cell>
          <cell r="I639" t="str">
            <v>85931_SW108150</v>
          </cell>
        </row>
        <row r="640">
          <cell r="D640" t="str">
            <v>Q1</v>
          </cell>
          <cell r="I640" t="str">
            <v>c000000372_SW099504</v>
          </cell>
        </row>
        <row r="641">
          <cell r="D641" t="str">
            <v>Q2</v>
          </cell>
          <cell r="I641" t="str">
            <v>C000000648_SF106477</v>
          </cell>
        </row>
        <row r="642">
          <cell r="D642" t="str">
            <v>Q1</v>
          </cell>
          <cell r="I642" t="str">
            <v>57928_SW040362</v>
          </cell>
        </row>
        <row r="643">
          <cell r="D643" t="str">
            <v>Q1</v>
          </cell>
          <cell r="I643" t="str">
            <v>69374_SJ104638</v>
          </cell>
        </row>
        <row r="644">
          <cell r="D644" t="str">
            <v>Q3</v>
          </cell>
          <cell r="I644" t="str">
            <v>50203_SF002050</v>
          </cell>
        </row>
        <row r="645">
          <cell r="D645" t="str">
            <v>Q1</v>
          </cell>
          <cell r="I645" t="str">
            <v>87080_SJ102177</v>
          </cell>
        </row>
        <row r="646">
          <cell r="D646" t="str">
            <v>Q3</v>
          </cell>
          <cell r="I646" t="str">
            <v>C000001357_SF002050</v>
          </cell>
        </row>
        <row r="647">
          <cell r="D647" t="str">
            <v>Q3</v>
          </cell>
          <cell r="I647" t="str">
            <v>C000000606_SF106678</v>
          </cell>
        </row>
        <row r="648">
          <cell r="D648" t="str">
            <v>Q4</v>
          </cell>
          <cell r="I648" t="str">
            <v>66488_SC059432</v>
          </cell>
        </row>
        <row r="649">
          <cell r="D649" t="str">
            <v>Q3</v>
          </cell>
          <cell r="I649" t="str">
            <v>68374_SW106176</v>
          </cell>
        </row>
        <row r="650">
          <cell r="D650" t="str">
            <v>Q3</v>
          </cell>
          <cell r="I650" t="str">
            <v>C000001924_SW106176</v>
          </cell>
        </row>
        <row r="651">
          <cell r="D651" t="str">
            <v>Q3</v>
          </cell>
          <cell r="I651" t="str">
            <v>C000001923_SW106176</v>
          </cell>
        </row>
        <row r="652">
          <cell r="D652" t="str">
            <v>Q3</v>
          </cell>
          <cell r="I652" t="str">
            <v>C000001886_SW106176</v>
          </cell>
        </row>
        <row r="653">
          <cell r="D653" t="str">
            <v>Q3</v>
          </cell>
          <cell r="I653" t="str">
            <v>C000001874_SW106176</v>
          </cell>
        </row>
        <row r="654">
          <cell r="D654" t="str">
            <v>Q3</v>
          </cell>
          <cell r="I654" t="str">
            <v>C000001922_SW106176</v>
          </cell>
        </row>
        <row r="655">
          <cell r="D655" t="str">
            <v>Q3</v>
          </cell>
          <cell r="I655" t="str">
            <v>C000001352_SW106176</v>
          </cell>
        </row>
        <row r="656">
          <cell r="D656" t="str">
            <v>Q3</v>
          </cell>
          <cell r="I656" t="str">
            <v>78594_SW106176</v>
          </cell>
        </row>
        <row r="657">
          <cell r="D657" t="str">
            <v>Q3</v>
          </cell>
          <cell r="I657" t="str">
            <v>78574_SW106176</v>
          </cell>
        </row>
        <row r="658">
          <cell r="D658" t="str">
            <v>Q3</v>
          </cell>
          <cell r="I658" t="str">
            <v>83200_SW106176</v>
          </cell>
        </row>
        <row r="659">
          <cell r="D659" t="str">
            <v>Q3</v>
          </cell>
          <cell r="I659" t="str">
            <v>78582_SW106176</v>
          </cell>
        </row>
        <row r="660">
          <cell r="D660" t="str">
            <v>Q3</v>
          </cell>
          <cell r="I660" t="str">
            <v>C000000445_SW106176</v>
          </cell>
        </row>
        <row r="661">
          <cell r="D661" t="str">
            <v>Q3</v>
          </cell>
          <cell r="I661" t="str">
            <v>C000000106_SW108281</v>
          </cell>
        </row>
        <row r="662">
          <cell r="D662" t="str">
            <v>NO</v>
          </cell>
          <cell r="I662" t="str">
            <v>84498_SF002050</v>
          </cell>
        </row>
        <row r="663">
          <cell r="D663" t="str">
            <v>Q1</v>
          </cell>
          <cell r="I663" t="str">
            <v>59801_SW048803</v>
          </cell>
        </row>
        <row r="664">
          <cell r="D664" t="str">
            <v>Q2</v>
          </cell>
          <cell r="I664" t="str">
            <v>C000000916_SJ106665</v>
          </cell>
        </row>
        <row r="665">
          <cell r="D665" t="str">
            <v>Q1</v>
          </cell>
          <cell r="I665" t="str">
            <v>29245_SW105748</v>
          </cell>
        </row>
        <row r="666">
          <cell r="D666" t="str">
            <v>Q2</v>
          </cell>
          <cell r="I666" t="str">
            <v>83741_SW108150</v>
          </cell>
        </row>
        <row r="667">
          <cell r="D667" t="str">
            <v>R</v>
          </cell>
          <cell r="I667" t="str">
            <v>87058_SJ110283</v>
          </cell>
        </row>
        <row r="668">
          <cell r="D668" t="str">
            <v>Q1</v>
          </cell>
          <cell r="I668" t="str">
            <v>C000000978_SB057003</v>
          </cell>
        </row>
        <row r="669">
          <cell r="D669" t="str">
            <v>R</v>
          </cell>
          <cell r="I669" t="str">
            <v>69609_SW105524</v>
          </cell>
        </row>
        <row r="670">
          <cell r="D670" t="str">
            <v>NO</v>
          </cell>
          <cell r="I670" t="str">
            <v>66432_SC059433</v>
          </cell>
        </row>
        <row r="671">
          <cell r="D671" t="str">
            <v>R</v>
          </cell>
          <cell r="I671" t="str">
            <v>62123_SW106166</v>
          </cell>
        </row>
        <row r="672">
          <cell r="D672" t="str">
            <v>R</v>
          </cell>
          <cell r="I672" t="str">
            <v>29244_SW018108</v>
          </cell>
        </row>
        <row r="673">
          <cell r="D673" t="str">
            <v>Q2</v>
          </cell>
          <cell r="I673" t="str">
            <v>83552_SJ1099965</v>
          </cell>
        </row>
        <row r="674">
          <cell r="D674" t="str">
            <v>Q2</v>
          </cell>
          <cell r="I674" t="str">
            <v>83552_SJ109735</v>
          </cell>
        </row>
        <row r="675">
          <cell r="D675" t="str">
            <v>Q2</v>
          </cell>
          <cell r="I675" t="str">
            <v>83552_SJ109864</v>
          </cell>
        </row>
        <row r="676">
          <cell r="D676" t="str">
            <v>Q3</v>
          </cell>
          <cell r="I676" t="str">
            <v>83868_SJ109864</v>
          </cell>
        </row>
        <row r="677">
          <cell r="D677" t="str">
            <v>Q3</v>
          </cell>
          <cell r="I677" t="str">
            <v>83868_SJ109735</v>
          </cell>
        </row>
        <row r="678">
          <cell r="D678" t="str">
            <v>Q1</v>
          </cell>
          <cell r="I678" t="str">
            <v>72011_SF106477</v>
          </cell>
        </row>
        <row r="679">
          <cell r="D679" t="str">
            <v>Q1</v>
          </cell>
          <cell r="I679" t="str">
            <v>83353_SW101499</v>
          </cell>
        </row>
        <row r="680">
          <cell r="D680" t="str">
            <v>Q4</v>
          </cell>
          <cell r="I680" t="str">
            <v>74939_SF010404</v>
          </cell>
        </row>
        <row r="681">
          <cell r="D681" t="str">
            <v>R</v>
          </cell>
          <cell r="I681" t="str">
            <v>57400_SW106037</v>
          </cell>
        </row>
        <row r="682">
          <cell r="D682" t="str">
            <v>Q1</v>
          </cell>
          <cell r="I682" t="str">
            <v>48761_SW000633</v>
          </cell>
        </row>
        <row r="683">
          <cell r="D683" t="str">
            <v>Q1</v>
          </cell>
          <cell r="I683" t="str">
            <v>67731_SW000633</v>
          </cell>
        </row>
        <row r="684">
          <cell r="D684" t="str">
            <v>Q1</v>
          </cell>
          <cell r="I684" t="str">
            <v>57928_SF010348</v>
          </cell>
        </row>
        <row r="685">
          <cell r="D685" t="str">
            <v>Q4</v>
          </cell>
          <cell r="I685" t="str">
            <v>C000000271_SF002050</v>
          </cell>
        </row>
        <row r="686">
          <cell r="D686" t="str">
            <v>R</v>
          </cell>
          <cell r="I686" t="str">
            <v>C000001917_SJ110284</v>
          </cell>
        </row>
        <row r="687">
          <cell r="D687" t="str">
            <v>R</v>
          </cell>
          <cell r="I687" t="str">
            <v>C000001917_SJ110283</v>
          </cell>
        </row>
        <row r="688">
          <cell r="D688" t="str">
            <v>R</v>
          </cell>
          <cell r="I688" t="str">
            <v>C000001917_SJ110984</v>
          </cell>
        </row>
        <row r="689">
          <cell r="D689" t="str">
            <v>Q2</v>
          </cell>
          <cell r="I689" t="str">
            <v>C000000186_SW041379</v>
          </cell>
        </row>
        <row r="690">
          <cell r="D690" t="str">
            <v>R</v>
          </cell>
          <cell r="I690" t="str">
            <v>C000001231_SW087953</v>
          </cell>
        </row>
        <row r="691">
          <cell r="D691" t="str">
            <v>Q3</v>
          </cell>
          <cell r="I691" t="str">
            <v>85440_SF106477</v>
          </cell>
        </row>
        <row r="692">
          <cell r="D692" t="str">
            <v>Q4</v>
          </cell>
          <cell r="I692" t="str">
            <v>78476_SF012046</v>
          </cell>
        </row>
        <row r="693">
          <cell r="D693" t="str">
            <v>Q3</v>
          </cell>
          <cell r="I693" t="str">
            <v>11051_SW001166</v>
          </cell>
        </row>
        <row r="694">
          <cell r="D694" t="str">
            <v>Q3</v>
          </cell>
          <cell r="I694" t="str">
            <v>34988_SW048803</v>
          </cell>
        </row>
        <row r="695">
          <cell r="D695" t="str">
            <v>Q1</v>
          </cell>
          <cell r="I695" t="str">
            <v>61851_SW105058</v>
          </cell>
        </row>
        <row r="696">
          <cell r="D696" t="str">
            <v>Q1</v>
          </cell>
          <cell r="I696" t="str">
            <v>61851_SC059434</v>
          </cell>
        </row>
        <row r="697">
          <cell r="D697" t="str">
            <v>R</v>
          </cell>
          <cell r="I697" t="str">
            <v>49688_SW052605</v>
          </cell>
        </row>
        <row r="698">
          <cell r="D698" t="str">
            <v>Q3</v>
          </cell>
          <cell r="I698" t="str">
            <v>29245_SW054593</v>
          </cell>
        </row>
        <row r="699">
          <cell r="D699" t="str">
            <v>Q1</v>
          </cell>
          <cell r="I699" t="str">
            <v>C000000375_SW087953</v>
          </cell>
        </row>
        <row r="700">
          <cell r="D700" t="str">
            <v>Q2</v>
          </cell>
          <cell r="I700" t="str">
            <v>C000001245_SW087953</v>
          </cell>
        </row>
        <row r="701">
          <cell r="D701" t="str">
            <v>Q3</v>
          </cell>
          <cell r="I701" t="str">
            <v>C000002268_SF011212</v>
          </cell>
        </row>
        <row r="702">
          <cell r="D702" t="str">
            <v>Q1</v>
          </cell>
          <cell r="I702" t="str">
            <v>C000002078_SW042266</v>
          </cell>
        </row>
        <row r="703">
          <cell r="D703" t="str">
            <v>Q1</v>
          </cell>
          <cell r="I703" t="str">
            <v>C000000172_SW090104</v>
          </cell>
        </row>
        <row r="704">
          <cell r="D704" t="str">
            <v>Q1</v>
          </cell>
          <cell r="I704" t="str">
            <v>C000001354_SF106477</v>
          </cell>
        </row>
        <row r="705">
          <cell r="D705" t="str">
            <v>Q1</v>
          </cell>
          <cell r="I705" t="str">
            <v>C000001623_SF051188</v>
          </cell>
        </row>
        <row r="706">
          <cell r="D706" t="str">
            <v>Q3</v>
          </cell>
          <cell r="I706" t="str">
            <v>85165_SW041379</v>
          </cell>
        </row>
        <row r="707">
          <cell r="D707" t="str">
            <v>Q3</v>
          </cell>
          <cell r="I707" t="str">
            <v>83597_SW108281</v>
          </cell>
        </row>
        <row r="708">
          <cell r="D708" t="str">
            <v>Q4</v>
          </cell>
          <cell r="I708" t="str">
            <v>C000001770_SW084028</v>
          </cell>
        </row>
        <row r="709">
          <cell r="D709" t="str">
            <v>Q4</v>
          </cell>
          <cell r="I709" t="str">
            <v>C000001279_SF106477</v>
          </cell>
        </row>
        <row r="710">
          <cell r="D710" t="str">
            <v>Q1</v>
          </cell>
          <cell r="I710" t="str">
            <v>80781_SF002050</v>
          </cell>
        </row>
        <row r="711">
          <cell r="D711" t="str">
            <v>Q1</v>
          </cell>
          <cell r="I711" t="str">
            <v>66431_SW085387</v>
          </cell>
        </row>
        <row r="712">
          <cell r="D712" t="str">
            <v>Q1</v>
          </cell>
          <cell r="I712" t="str">
            <v>66431_SS059237</v>
          </cell>
        </row>
        <row r="713">
          <cell r="D713" t="str">
            <v>Q2</v>
          </cell>
          <cell r="I713" t="str">
            <v>82876_SW052792</v>
          </cell>
        </row>
        <row r="714">
          <cell r="D714" t="str">
            <v>Q4</v>
          </cell>
          <cell r="I714" t="str">
            <v>86605_SW087953</v>
          </cell>
        </row>
        <row r="715">
          <cell r="D715" t="str">
            <v>Q3</v>
          </cell>
          <cell r="I715" t="str">
            <v>52689_SW001166</v>
          </cell>
        </row>
        <row r="716">
          <cell r="D716" t="str">
            <v>Q3</v>
          </cell>
          <cell r="I716" t="str">
            <v>10325_SW018108</v>
          </cell>
        </row>
        <row r="717">
          <cell r="D717" t="str">
            <v>Q3</v>
          </cell>
          <cell r="I717" t="str">
            <v>C000002359_SW052249</v>
          </cell>
        </row>
        <row r="718">
          <cell r="D718" t="str">
            <v>Q4</v>
          </cell>
          <cell r="I718" t="str">
            <v>C000002360_SW052292</v>
          </cell>
        </row>
        <row r="719">
          <cell r="D719" t="str">
            <v>Q3</v>
          </cell>
          <cell r="I719" t="str">
            <v>79384_SW108150</v>
          </cell>
        </row>
        <row r="720">
          <cell r="D720" t="str">
            <v>Q1</v>
          </cell>
          <cell r="I720" t="str">
            <v>C000001891_SF050875</v>
          </cell>
        </row>
        <row r="721">
          <cell r="D721" t="str">
            <v>Q4</v>
          </cell>
          <cell r="I721" t="str">
            <v>C000001279_SW048803</v>
          </cell>
        </row>
        <row r="722">
          <cell r="D722" t="str">
            <v>Q1</v>
          </cell>
          <cell r="I722" t="str">
            <v>86331_SF106678</v>
          </cell>
        </row>
        <row r="723">
          <cell r="D723" t="str">
            <v>Q1</v>
          </cell>
          <cell r="I723" t="str">
            <v>32094_SW106179</v>
          </cell>
        </row>
        <row r="724">
          <cell r="D724" t="str">
            <v>Q3</v>
          </cell>
          <cell r="I724" t="str">
            <v>C000000538_SW041854</v>
          </cell>
        </row>
        <row r="725">
          <cell r="D725" t="str">
            <v>Q1</v>
          </cell>
          <cell r="I725" t="str">
            <v>84464_SW041854</v>
          </cell>
        </row>
        <row r="726">
          <cell r="D726" t="str">
            <v>Q1</v>
          </cell>
          <cell r="I726" t="str">
            <v>C000002060_SF002050</v>
          </cell>
        </row>
        <row r="727">
          <cell r="D727" t="str">
            <v>Q3</v>
          </cell>
          <cell r="I727" t="str">
            <v>61227_SF105678</v>
          </cell>
        </row>
        <row r="728">
          <cell r="D728" t="str">
            <v>Q2</v>
          </cell>
          <cell r="I728" t="str">
            <v>79965_SW105524</v>
          </cell>
        </row>
        <row r="729">
          <cell r="D729" t="str">
            <v>Q3</v>
          </cell>
          <cell r="I729" t="str">
            <v>86716_SW054593</v>
          </cell>
        </row>
        <row r="730">
          <cell r="D730" t="str">
            <v>Q1</v>
          </cell>
          <cell r="I730" t="str">
            <v>87047_SW040924</v>
          </cell>
        </row>
        <row r="731">
          <cell r="D731" t="str">
            <v>Q4</v>
          </cell>
          <cell r="I731" t="str">
            <v>85708_SW108150</v>
          </cell>
        </row>
        <row r="732">
          <cell r="D732" t="str">
            <v>Q1</v>
          </cell>
          <cell r="I732" t="str">
            <v>C000000482_SW108150</v>
          </cell>
        </row>
        <row r="733">
          <cell r="D733" t="str">
            <v>Q4</v>
          </cell>
          <cell r="I733" t="str">
            <v>C000000648_SW052292</v>
          </cell>
        </row>
        <row r="734">
          <cell r="D734" t="str">
            <v>NO</v>
          </cell>
          <cell r="I734" t="str">
            <v>C000001966_SW001040</v>
          </cell>
        </row>
        <row r="735">
          <cell r="D735" t="str">
            <v>Q1</v>
          </cell>
          <cell r="I735" t="str">
            <v>85165_SW101405</v>
          </cell>
        </row>
        <row r="736">
          <cell r="D736" t="str">
            <v>Q2</v>
          </cell>
          <cell r="I736" t="str">
            <v>87583_SF060100</v>
          </cell>
        </row>
        <row r="737">
          <cell r="D737" t="str">
            <v>Q3</v>
          </cell>
          <cell r="I737" t="str">
            <v>C000002116_SW042266</v>
          </cell>
        </row>
        <row r="738">
          <cell r="D738" t="str">
            <v>Q2</v>
          </cell>
          <cell r="I738" t="str">
            <v>C000002079_SW042266</v>
          </cell>
        </row>
        <row r="739">
          <cell r="D739" t="str">
            <v>Q1</v>
          </cell>
          <cell r="I739" t="str">
            <v>C000000241_SF002050</v>
          </cell>
        </row>
        <row r="740">
          <cell r="D740" t="str">
            <v>Q2</v>
          </cell>
          <cell r="I740" t="str">
            <v>C000000616_SW108150</v>
          </cell>
        </row>
        <row r="741">
          <cell r="D741" t="str">
            <v>Q3</v>
          </cell>
          <cell r="I741" t="str">
            <v>53028_SW054593</v>
          </cell>
        </row>
        <row r="742">
          <cell r="D742" t="str">
            <v>Q2</v>
          </cell>
          <cell r="I742" t="str">
            <v>52356_SW000874</v>
          </cell>
        </row>
        <row r="743">
          <cell r="D743" t="str">
            <v>Q1</v>
          </cell>
          <cell r="I743" t="str">
            <v>C000001761_SW108150</v>
          </cell>
        </row>
        <row r="744">
          <cell r="D744" t="str">
            <v>Q1</v>
          </cell>
          <cell r="I744" t="str">
            <v>C000000186_SW034040</v>
          </cell>
        </row>
        <row r="745">
          <cell r="D745" t="str">
            <v>Q4</v>
          </cell>
          <cell r="I745" t="str">
            <v>C000000135_SW108150</v>
          </cell>
        </row>
        <row r="746">
          <cell r="D746" t="str">
            <v>Q1</v>
          </cell>
          <cell r="I746" t="str">
            <v>85940_SW108150</v>
          </cell>
        </row>
        <row r="747">
          <cell r="D747" t="str">
            <v>Q1</v>
          </cell>
          <cell r="I747" t="str">
            <v>86937_SF106477</v>
          </cell>
        </row>
        <row r="748">
          <cell r="D748" t="str">
            <v>Q3</v>
          </cell>
          <cell r="I748" t="str">
            <v>36187_SW000770</v>
          </cell>
        </row>
        <row r="749">
          <cell r="D749" t="str">
            <v>Q4</v>
          </cell>
          <cell r="I749" t="str">
            <v>66491_SW085387</v>
          </cell>
        </row>
        <row r="750">
          <cell r="D750" t="str">
            <v>Q4</v>
          </cell>
          <cell r="I750" t="str">
            <v>66491_SS059237</v>
          </cell>
        </row>
        <row r="751">
          <cell r="D751" t="str">
            <v>Q2</v>
          </cell>
          <cell r="I751" t="str">
            <v>61851_SW106955</v>
          </cell>
        </row>
        <row r="752">
          <cell r="D752" t="str">
            <v>Q1</v>
          </cell>
          <cell r="I752" t="str">
            <v>61851_SF105061</v>
          </cell>
        </row>
        <row r="753">
          <cell r="D753" t="str">
            <v>Q4</v>
          </cell>
          <cell r="I753" t="str">
            <v>C000001234_SW087953</v>
          </cell>
        </row>
        <row r="754">
          <cell r="D754" t="str">
            <v>Q3</v>
          </cell>
          <cell r="I754" t="str">
            <v>C000000651_SF060100</v>
          </cell>
        </row>
        <row r="755">
          <cell r="D755" t="str">
            <v>Q1</v>
          </cell>
          <cell r="I755" t="str">
            <v>C000001991_SW048171</v>
          </cell>
        </row>
        <row r="756">
          <cell r="D756" t="str">
            <v>Q3</v>
          </cell>
          <cell r="I756" t="str">
            <v>C000000651_SW040921</v>
          </cell>
        </row>
        <row r="757">
          <cell r="D757" t="str">
            <v>Q1</v>
          </cell>
          <cell r="I757" t="str">
            <v>C000001241_SW087953</v>
          </cell>
        </row>
        <row r="758">
          <cell r="D758" t="str">
            <v>R</v>
          </cell>
          <cell r="I758" t="str">
            <v>72740_SJ106665</v>
          </cell>
        </row>
        <row r="759">
          <cell r="D759" t="str">
            <v>R</v>
          </cell>
          <cell r="I759" t="str">
            <v>C000000485_SJ110605</v>
          </cell>
        </row>
        <row r="760">
          <cell r="D760" t="str">
            <v>R</v>
          </cell>
          <cell r="I760" t="str">
            <v>C000000485_SJ110604</v>
          </cell>
        </row>
        <row r="761">
          <cell r="D761" t="str">
            <v>R</v>
          </cell>
          <cell r="I761" t="str">
            <v>C000000485_SJ110235</v>
          </cell>
        </row>
        <row r="762">
          <cell r="D762" t="str">
            <v>R</v>
          </cell>
          <cell r="I762" t="str">
            <v>85071_SJ106665</v>
          </cell>
        </row>
        <row r="763">
          <cell r="D763" t="str">
            <v>R</v>
          </cell>
          <cell r="I763" t="str">
            <v>57400_SW034186</v>
          </cell>
        </row>
        <row r="764">
          <cell r="D764" t="str">
            <v>Q4</v>
          </cell>
          <cell r="I764" t="str">
            <v>C000001108_SW106176</v>
          </cell>
        </row>
        <row r="765">
          <cell r="D765" t="str">
            <v>Q1</v>
          </cell>
          <cell r="I765" t="str">
            <v>C000001357_SW047822</v>
          </cell>
        </row>
        <row r="766">
          <cell r="D766" t="str">
            <v>Q1</v>
          </cell>
          <cell r="I766" t="str">
            <v>36187_SW047822</v>
          </cell>
        </row>
        <row r="767">
          <cell r="D767" t="str">
            <v>Q1</v>
          </cell>
          <cell r="I767" t="str">
            <v>36187_SB057033</v>
          </cell>
        </row>
        <row r="768">
          <cell r="D768" t="str">
            <v>Q3</v>
          </cell>
          <cell r="I768" t="str">
            <v>53028_SW000874</v>
          </cell>
        </row>
        <row r="769">
          <cell r="D769" t="str">
            <v>Q4</v>
          </cell>
          <cell r="I769" t="str">
            <v>87533_SJ109735</v>
          </cell>
        </row>
        <row r="770">
          <cell r="D770" t="str">
            <v>Q4</v>
          </cell>
          <cell r="I770" t="str">
            <v>87047_SW106037</v>
          </cell>
        </row>
        <row r="771">
          <cell r="D771" t="str">
            <v>Q1</v>
          </cell>
          <cell r="I771" t="str">
            <v>37273_SW006855</v>
          </cell>
        </row>
        <row r="772">
          <cell r="D772" t="str">
            <v>Q2</v>
          </cell>
          <cell r="I772" t="str">
            <v>22785_SW108150</v>
          </cell>
        </row>
        <row r="773">
          <cell r="D773" t="str">
            <v>Q2</v>
          </cell>
          <cell r="I773" t="str">
            <v>C000001316_SW108150</v>
          </cell>
        </row>
        <row r="774">
          <cell r="D774" t="str">
            <v>Q4</v>
          </cell>
          <cell r="I774" t="str">
            <v>86169_SW108150</v>
          </cell>
        </row>
        <row r="775">
          <cell r="D775" t="str">
            <v>Q3</v>
          </cell>
          <cell r="I775" t="str">
            <v>53028_SW046455</v>
          </cell>
        </row>
        <row r="776">
          <cell r="D776" t="str">
            <v>Q4</v>
          </cell>
          <cell r="I776" t="str">
            <v>72011_SW101405</v>
          </cell>
        </row>
        <row r="777">
          <cell r="D777" t="str">
            <v>Q2</v>
          </cell>
          <cell r="I777" t="str">
            <v>11051_SW050111</v>
          </cell>
        </row>
        <row r="778">
          <cell r="D778" t="str">
            <v>Q1</v>
          </cell>
          <cell r="I778" t="str">
            <v>85165_SW034040</v>
          </cell>
        </row>
        <row r="779">
          <cell r="D779" t="str">
            <v>R</v>
          </cell>
          <cell r="I779" t="str">
            <v>82303_SW106166</v>
          </cell>
        </row>
        <row r="780">
          <cell r="D780" t="str">
            <v>Q4</v>
          </cell>
          <cell r="I780" t="str">
            <v>72251_SW106166</v>
          </cell>
        </row>
        <row r="781">
          <cell r="D781" t="str">
            <v>Q3</v>
          </cell>
          <cell r="I781" t="str">
            <v>80831_SW104924</v>
          </cell>
        </row>
        <row r="782">
          <cell r="D782" t="str">
            <v>Q3</v>
          </cell>
          <cell r="I782" t="str">
            <v>84118_SJ109864</v>
          </cell>
        </row>
        <row r="783">
          <cell r="D783" t="str">
            <v>Q3</v>
          </cell>
          <cell r="I783" t="str">
            <v>84118_AS109735</v>
          </cell>
        </row>
        <row r="784">
          <cell r="D784" t="str">
            <v>R</v>
          </cell>
          <cell r="I784" t="str">
            <v>29244_SW105748</v>
          </cell>
        </row>
        <row r="785">
          <cell r="D785" t="str">
            <v>Q1</v>
          </cell>
          <cell r="I785" t="str">
            <v>C000000724_SW040921</v>
          </cell>
        </row>
        <row r="786">
          <cell r="D786" t="str">
            <v>Q4</v>
          </cell>
          <cell r="I786" t="str">
            <v>79255_SB057032</v>
          </cell>
        </row>
        <row r="787">
          <cell r="D787" t="str">
            <v>Q4</v>
          </cell>
          <cell r="I787" t="str">
            <v>C000001398_SW000770</v>
          </cell>
        </row>
        <row r="788">
          <cell r="D788" t="str">
            <v>Q1</v>
          </cell>
          <cell r="I788" t="str">
            <v>78477_SW048171</v>
          </cell>
        </row>
        <row r="789">
          <cell r="D789" t="str">
            <v>R</v>
          </cell>
          <cell r="I789" t="str">
            <v>87528_SW105748</v>
          </cell>
        </row>
        <row r="790">
          <cell r="D790" t="str">
            <v>Q4</v>
          </cell>
          <cell r="I790" t="str">
            <v>59233_SF010404</v>
          </cell>
        </row>
        <row r="791">
          <cell r="D791" t="str">
            <v>R</v>
          </cell>
          <cell r="I791" t="str">
            <v>52011_SW034186</v>
          </cell>
        </row>
        <row r="792">
          <cell r="D792" t="str">
            <v>Q4</v>
          </cell>
          <cell r="I792" t="str">
            <v>73128_SW000633</v>
          </cell>
        </row>
        <row r="793">
          <cell r="D793" t="str">
            <v>Q1</v>
          </cell>
          <cell r="I793" t="str">
            <v>63880_SW107878</v>
          </cell>
        </row>
        <row r="794">
          <cell r="D794" t="str">
            <v>Q2</v>
          </cell>
          <cell r="I794" t="str">
            <v>82094_SW084573</v>
          </cell>
        </row>
        <row r="795">
          <cell r="D795" t="str">
            <v>Q1</v>
          </cell>
          <cell r="I795" t="str">
            <v>80738_SF048858</v>
          </cell>
        </row>
        <row r="796">
          <cell r="D796" t="str">
            <v>Q1</v>
          </cell>
          <cell r="I796" t="str">
            <v>C000002202_SW107322</v>
          </cell>
        </row>
        <row r="797">
          <cell r="D797" t="str">
            <v>R</v>
          </cell>
          <cell r="I797" t="str">
            <v>81201_SJ108803</v>
          </cell>
        </row>
        <row r="798">
          <cell r="D798" t="str">
            <v>Q1</v>
          </cell>
          <cell r="I798" t="str">
            <v>34988_SW101394</v>
          </cell>
        </row>
        <row r="799">
          <cell r="D799" t="str">
            <v>Q4</v>
          </cell>
          <cell r="I799" t="str">
            <v>C000001503_SJ109854</v>
          </cell>
        </row>
        <row r="800">
          <cell r="D800" t="str">
            <v>Q4</v>
          </cell>
          <cell r="I800" t="str">
            <v>C000000666_SW052249</v>
          </cell>
        </row>
        <row r="801">
          <cell r="D801" t="str">
            <v>Q1</v>
          </cell>
          <cell r="I801" t="str">
            <v>C000001966_SF060100</v>
          </cell>
        </row>
        <row r="802">
          <cell r="D802" t="str">
            <v>Q2</v>
          </cell>
          <cell r="I802" t="str">
            <v>C000000582_SF060100</v>
          </cell>
        </row>
        <row r="803">
          <cell r="D803" t="str">
            <v>Q2</v>
          </cell>
          <cell r="I803" t="str">
            <v>C000000841_SW106176</v>
          </cell>
        </row>
        <row r="804">
          <cell r="D804" t="str">
            <v>Q2</v>
          </cell>
          <cell r="I804" t="str">
            <v>C000001790_SW106176</v>
          </cell>
        </row>
        <row r="805">
          <cell r="D805" t="str">
            <v>Q3</v>
          </cell>
          <cell r="I805" t="str">
            <v>C000001638_SW054593</v>
          </cell>
        </row>
        <row r="806">
          <cell r="D806" t="str">
            <v>Q2</v>
          </cell>
          <cell r="I806" t="str">
            <v>C000001317_SF106678</v>
          </cell>
        </row>
        <row r="807">
          <cell r="D807" t="str">
            <v>R</v>
          </cell>
          <cell r="I807" t="str">
            <v>36187_SF002050</v>
          </cell>
        </row>
        <row r="808">
          <cell r="D808" t="str">
            <v>Q4</v>
          </cell>
          <cell r="I808" t="str">
            <v>C000001039_SF106477</v>
          </cell>
        </row>
        <row r="809">
          <cell r="D809" t="str">
            <v>Q2</v>
          </cell>
          <cell r="I809" t="str">
            <v>C000000392_SW046526</v>
          </cell>
        </row>
        <row r="810">
          <cell r="D810" t="str">
            <v>Q2</v>
          </cell>
          <cell r="I810" t="str">
            <v>C000002194_SW601710</v>
          </cell>
        </row>
        <row r="811">
          <cell r="D811" t="str">
            <v>R</v>
          </cell>
          <cell r="I811" t="str">
            <v>53028_SW105748</v>
          </cell>
        </row>
        <row r="812">
          <cell r="D812" t="str">
            <v>Q2</v>
          </cell>
          <cell r="I812" t="str">
            <v>54408_SW018108</v>
          </cell>
        </row>
        <row r="813">
          <cell r="D813" t="str">
            <v>R</v>
          </cell>
          <cell r="I813" t="str">
            <v>C000002175_SJ110793</v>
          </cell>
        </row>
        <row r="814">
          <cell r="D814" t="str">
            <v>Q3</v>
          </cell>
          <cell r="I814" t="str">
            <v>77200_SW041276</v>
          </cell>
        </row>
        <row r="815">
          <cell r="D815" t="str">
            <v>Q3</v>
          </cell>
          <cell r="I815" t="str">
            <v>80891_SF060100</v>
          </cell>
        </row>
        <row r="816">
          <cell r="D816" t="str">
            <v>Q1</v>
          </cell>
          <cell r="I816" t="str">
            <v>63495_SF011212</v>
          </cell>
        </row>
        <row r="817">
          <cell r="D817" t="str">
            <v>Q1</v>
          </cell>
          <cell r="I817" t="str">
            <v>74802_SW044184</v>
          </cell>
        </row>
        <row r="818">
          <cell r="D818" t="str">
            <v>Q3</v>
          </cell>
          <cell r="I818" t="str">
            <v>C000001298_SW106665</v>
          </cell>
        </row>
        <row r="819">
          <cell r="D819" t="str">
            <v>Q4</v>
          </cell>
          <cell r="I819" t="str">
            <v>87496_SW054520</v>
          </cell>
        </row>
        <row r="820">
          <cell r="D820" t="str">
            <v>Q4</v>
          </cell>
          <cell r="I820" t="str">
            <v>11051_SW103699</v>
          </cell>
        </row>
        <row r="821">
          <cell r="D821" t="str">
            <v>Q3</v>
          </cell>
          <cell r="I821" t="str">
            <v>75494_SF105678</v>
          </cell>
        </row>
        <row r="822">
          <cell r="D822" t="str">
            <v>Q3</v>
          </cell>
          <cell r="I822" t="str">
            <v>C000002107_SW048171</v>
          </cell>
        </row>
        <row r="823">
          <cell r="D823" t="str">
            <v>Q1</v>
          </cell>
          <cell r="I823" t="str">
            <v>86171_SF048858</v>
          </cell>
        </row>
        <row r="824">
          <cell r="D824" t="str">
            <v>R</v>
          </cell>
          <cell r="I824" t="str">
            <v>78596_SW106176</v>
          </cell>
        </row>
        <row r="825">
          <cell r="D825" t="str">
            <v>R</v>
          </cell>
          <cell r="I825" t="str">
            <v>67447_SW106176</v>
          </cell>
        </row>
        <row r="826">
          <cell r="D826" t="str">
            <v>R</v>
          </cell>
          <cell r="I826" t="str">
            <v>67447_SP002964</v>
          </cell>
        </row>
        <row r="827">
          <cell r="D827" t="str">
            <v/>
          </cell>
          <cell r="I827" t="str">
            <v>78596_SO002964</v>
          </cell>
        </row>
        <row r="828">
          <cell r="D828" t="str">
            <v>Q3</v>
          </cell>
          <cell r="I828" t="str">
            <v>C000001398_SF002050</v>
          </cell>
        </row>
        <row r="829">
          <cell r="D829" t="str">
            <v>Q4</v>
          </cell>
          <cell r="I829" t="str">
            <v>C000001976_SW002008</v>
          </cell>
        </row>
        <row r="830">
          <cell r="D830" t="str">
            <v>Q4</v>
          </cell>
          <cell r="I830" t="str">
            <v>83934_SW046526</v>
          </cell>
        </row>
        <row r="831">
          <cell r="D831" t="str">
            <v>Q2</v>
          </cell>
          <cell r="I831" t="str">
            <v>74362_SW002008</v>
          </cell>
        </row>
        <row r="832">
          <cell r="D832" t="str">
            <v>Q3</v>
          </cell>
          <cell r="I832" t="str">
            <v>C000000141_SW000770</v>
          </cell>
        </row>
        <row r="833">
          <cell r="D833" t="str">
            <v>Q2</v>
          </cell>
          <cell r="I833" t="str">
            <v>C000001010_SW601710</v>
          </cell>
        </row>
        <row r="834">
          <cell r="D834" t="str">
            <v>Q4</v>
          </cell>
          <cell r="I834" t="str">
            <v>66548_SF002050</v>
          </cell>
        </row>
        <row r="835">
          <cell r="D835" t="str">
            <v>Q1</v>
          </cell>
          <cell r="I835" t="str">
            <v>11051_SW018108</v>
          </cell>
        </row>
        <row r="836">
          <cell r="D836" t="str">
            <v>Q1</v>
          </cell>
          <cell r="I836" t="str">
            <v>52356_SF012050</v>
          </cell>
        </row>
        <row r="837">
          <cell r="D837" t="str">
            <v>R</v>
          </cell>
          <cell r="I837" t="str">
            <v>21083_SW041081</v>
          </cell>
        </row>
        <row r="838">
          <cell r="D838" t="str">
            <v>R</v>
          </cell>
          <cell r="I838" t="str">
            <v>29244_SW103699</v>
          </cell>
        </row>
        <row r="839">
          <cell r="D839" t="str">
            <v>R</v>
          </cell>
          <cell r="I839" t="str">
            <v>29244_SW107143</v>
          </cell>
        </row>
        <row r="840">
          <cell r="D840" t="str">
            <v>Q4</v>
          </cell>
          <cell r="I840" t="str">
            <v>C000000106_SW046526</v>
          </cell>
        </row>
        <row r="841">
          <cell r="D841" t="str">
            <v>Q1</v>
          </cell>
          <cell r="I841" t="str">
            <v>C000001315_SW108150</v>
          </cell>
        </row>
        <row r="842">
          <cell r="D842" t="str">
            <v>R</v>
          </cell>
          <cell r="I842" t="str">
            <v>32094_SF050714</v>
          </cell>
        </row>
        <row r="843">
          <cell r="D843" t="str">
            <v>Q3</v>
          </cell>
          <cell r="I843" t="str">
            <v>84776_SW106176</v>
          </cell>
        </row>
        <row r="844">
          <cell r="D844" t="str">
            <v>Q1</v>
          </cell>
          <cell r="I844" t="str">
            <v>C000001769_SF051188</v>
          </cell>
        </row>
        <row r="845">
          <cell r="D845" t="str">
            <v>Q2</v>
          </cell>
          <cell r="I845" t="str">
            <v>C000000648_SW047822</v>
          </cell>
        </row>
        <row r="846">
          <cell r="D846" t="str">
            <v/>
          </cell>
          <cell r="I846" t="str">
            <v>C000000648_SB057033</v>
          </cell>
        </row>
        <row r="847">
          <cell r="D847" t="str">
            <v>Q1</v>
          </cell>
          <cell r="I847" t="str">
            <v>C000002383_SF106477</v>
          </cell>
        </row>
        <row r="848">
          <cell r="D848" t="str">
            <v>Q4</v>
          </cell>
          <cell r="I848" t="str">
            <v>83760_SJ109864</v>
          </cell>
        </row>
        <row r="849">
          <cell r="D849" t="str">
            <v>Q4</v>
          </cell>
          <cell r="I849" t="str">
            <v>83760_SJ109735</v>
          </cell>
        </row>
        <row r="850">
          <cell r="D850" t="str">
            <v>Q4</v>
          </cell>
          <cell r="I850" t="str">
            <v>86044_SW101394</v>
          </cell>
        </row>
        <row r="851">
          <cell r="D851" t="str">
            <v>Q1</v>
          </cell>
          <cell r="I851" t="str">
            <v>23598_SF012050</v>
          </cell>
        </row>
        <row r="852">
          <cell r="D852" t="str">
            <v>Q2</v>
          </cell>
          <cell r="I852" t="str">
            <v>83524_SW046455</v>
          </cell>
        </row>
        <row r="853">
          <cell r="D853" t="str">
            <v>Q1</v>
          </cell>
          <cell r="I853" t="str">
            <v>C000001769_SW102692</v>
          </cell>
        </row>
        <row r="854">
          <cell r="D854" t="str">
            <v>Q4</v>
          </cell>
          <cell r="I854" t="str">
            <v>C000001296_SW040921</v>
          </cell>
        </row>
        <row r="855">
          <cell r="D855" t="str">
            <v>Q3</v>
          </cell>
          <cell r="I855" t="str">
            <v>C000001107_SF106477</v>
          </cell>
        </row>
        <row r="856">
          <cell r="D856" t="str">
            <v>Q4</v>
          </cell>
          <cell r="I856" t="str">
            <v>85581_SF010348</v>
          </cell>
        </row>
        <row r="857">
          <cell r="D857" t="str">
            <v>Q2</v>
          </cell>
          <cell r="I857" t="str">
            <v>84773_SP003168</v>
          </cell>
        </row>
        <row r="858">
          <cell r="D858" t="str">
            <v>Q2</v>
          </cell>
          <cell r="I858" t="str">
            <v>82239_SP003168</v>
          </cell>
        </row>
        <row r="859">
          <cell r="D859" t="str">
            <v>Q4</v>
          </cell>
          <cell r="I859" t="str">
            <v>66375_SW000770</v>
          </cell>
        </row>
        <row r="860">
          <cell r="D860" t="str">
            <v>R</v>
          </cell>
          <cell r="I860" t="str">
            <v>75597_SW107878</v>
          </cell>
        </row>
        <row r="861">
          <cell r="D861" t="str">
            <v>R</v>
          </cell>
          <cell r="I861" t="str">
            <v>84937_SJ109994</v>
          </cell>
        </row>
        <row r="862">
          <cell r="D862" t="str">
            <v>R</v>
          </cell>
          <cell r="I862" t="str">
            <v>84457_SJ109994</v>
          </cell>
        </row>
        <row r="863">
          <cell r="D863" t="str">
            <v>R</v>
          </cell>
          <cell r="I863" t="str">
            <v>84457_SJ109929</v>
          </cell>
        </row>
        <row r="864">
          <cell r="D864" t="str">
            <v>Q1</v>
          </cell>
          <cell r="I864" t="str">
            <v>C000001230_SW087953</v>
          </cell>
        </row>
        <row r="865">
          <cell r="D865" t="str">
            <v>Q3</v>
          </cell>
          <cell r="I865" t="str">
            <v>C000000841_SW108150</v>
          </cell>
        </row>
        <row r="866">
          <cell r="D866" t="str">
            <v>R</v>
          </cell>
          <cell r="I866" t="str">
            <v>67731_SW105748</v>
          </cell>
        </row>
        <row r="867">
          <cell r="D867" t="str">
            <v>R</v>
          </cell>
          <cell r="I867" t="str">
            <v>66432_SW106166</v>
          </cell>
        </row>
        <row r="868">
          <cell r="D868" t="str">
            <v>R</v>
          </cell>
          <cell r="I868" t="str">
            <v>37816_SW052249</v>
          </cell>
        </row>
        <row r="869">
          <cell r="D869" t="str">
            <v>Q1</v>
          </cell>
          <cell r="I869" t="str">
            <v>C000000799_SW040921</v>
          </cell>
        </row>
        <row r="870">
          <cell r="D870" t="str">
            <v>Q1</v>
          </cell>
          <cell r="I870" t="str">
            <v>52011_SW040924</v>
          </cell>
        </row>
        <row r="871">
          <cell r="D871" t="str">
            <v>Q1</v>
          </cell>
          <cell r="I871" t="str">
            <v>C000001108_SW108150</v>
          </cell>
        </row>
        <row r="872">
          <cell r="D872" t="str">
            <v>Q1</v>
          </cell>
          <cell r="I872" t="str">
            <v>C000002052_SW002008</v>
          </cell>
        </row>
        <row r="873">
          <cell r="D873" t="str">
            <v>Q3</v>
          </cell>
          <cell r="I873" t="str">
            <v>C000001950_SW084573</v>
          </cell>
        </row>
        <row r="874">
          <cell r="D874" t="str">
            <v>Q4</v>
          </cell>
          <cell r="I874" t="str">
            <v>C000002260_SW087953</v>
          </cell>
        </row>
        <row r="875">
          <cell r="D875" t="str">
            <v>Q2</v>
          </cell>
          <cell r="I875" t="str">
            <v>83933_SW002008</v>
          </cell>
        </row>
        <row r="876">
          <cell r="D876" t="str">
            <v>Q4</v>
          </cell>
          <cell r="I876" t="str">
            <v>75634_SW052249</v>
          </cell>
        </row>
        <row r="877">
          <cell r="D877" t="str">
            <v>Q3</v>
          </cell>
          <cell r="I877" t="str">
            <v>22785_SW041081</v>
          </cell>
        </row>
        <row r="878">
          <cell r="D878" t="str">
            <v>Q4</v>
          </cell>
          <cell r="I878" t="str">
            <v>C000001044_SW108150</v>
          </cell>
        </row>
        <row r="879">
          <cell r="D879" t="str">
            <v>Q4</v>
          </cell>
          <cell r="I879" t="str">
            <v>C000002089_SW107322</v>
          </cell>
        </row>
        <row r="880">
          <cell r="D880" t="str">
            <v>Q1</v>
          </cell>
          <cell r="I880" t="str">
            <v>59232_SF010404</v>
          </cell>
        </row>
        <row r="881">
          <cell r="D881" t="str">
            <v>R</v>
          </cell>
          <cell r="I881" t="str">
            <v>C000000599_SW107378</v>
          </cell>
        </row>
        <row r="882">
          <cell r="D882" t="str">
            <v>Q2</v>
          </cell>
          <cell r="I882" t="str">
            <v>61851_SW104504</v>
          </cell>
        </row>
        <row r="883">
          <cell r="D883" t="str">
            <v>Q4</v>
          </cell>
          <cell r="I883" t="str">
            <v>85708_SF106477</v>
          </cell>
        </row>
        <row r="884">
          <cell r="D884" t="str">
            <v>Q1</v>
          </cell>
          <cell r="I884" t="str">
            <v>84464_SW041854</v>
          </cell>
        </row>
        <row r="885">
          <cell r="D885" t="str">
            <v>Q1</v>
          </cell>
          <cell r="I885" t="str">
            <v>C000000366_SW050386</v>
          </cell>
        </row>
        <row r="886">
          <cell r="D886" t="str">
            <v>Q1</v>
          </cell>
          <cell r="I886" t="str">
            <v>70294_SW042931</v>
          </cell>
        </row>
        <row r="887">
          <cell r="D887" t="str">
            <v>Q1</v>
          </cell>
          <cell r="I887" t="str">
            <v>C000002365_SW109029</v>
          </cell>
        </row>
        <row r="888">
          <cell r="D888" t="str">
            <v>Q2</v>
          </cell>
          <cell r="I888" t="str">
            <v>75938_SW109084</v>
          </cell>
        </row>
        <row r="889">
          <cell r="D889" t="str">
            <v>Q2</v>
          </cell>
          <cell r="I889" t="str">
            <v>43101_SW053527</v>
          </cell>
        </row>
        <row r="890">
          <cell r="D890" t="str">
            <v>Q2</v>
          </cell>
          <cell r="I890" t="str">
            <v>82840_SW107409</v>
          </cell>
        </row>
        <row r="891">
          <cell r="D891" t="str">
            <v>Q1</v>
          </cell>
          <cell r="I891" t="str">
            <v>11501_SF012050</v>
          </cell>
        </row>
        <row r="892">
          <cell r="D892" t="str">
            <v>Q1</v>
          </cell>
          <cell r="I892" t="str">
            <v>33331_SW084573</v>
          </cell>
        </row>
        <row r="893">
          <cell r="D893" t="str">
            <v>Q4</v>
          </cell>
          <cell r="I893" t="str">
            <v>80945_SW084573</v>
          </cell>
        </row>
        <row r="894">
          <cell r="D894" t="str">
            <v>Q1</v>
          </cell>
          <cell r="I894" t="str">
            <v>32094_SW045124</v>
          </cell>
        </row>
        <row r="895">
          <cell r="D895" t="str">
            <v>Q1</v>
          </cell>
          <cell r="I895" t="str">
            <v>C000001622_SF051188</v>
          </cell>
        </row>
        <row r="896">
          <cell r="D896" t="str">
            <v>R</v>
          </cell>
          <cell r="I896" t="str">
            <v>10324_SW000874</v>
          </cell>
        </row>
        <row r="897">
          <cell r="D897" t="str">
            <v>R</v>
          </cell>
          <cell r="I897" t="str">
            <v>21083_SF048858</v>
          </cell>
        </row>
        <row r="898">
          <cell r="D898" t="str">
            <v>Q3</v>
          </cell>
          <cell r="I898" t="str">
            <v>79384_SW106176</v>
          </cell>
        </row>
        <row r="899">
          <cell r="D899" t="str">
            <v>R</v>
          </cell>
          <cell r="I899" t="str">
            <v>C000001214_SW109084</v>
          </cell>
        </row>
        <row r="900">
          <cell r="D900" t="str">
            <v>R</v>
          </cell>
          <cell r="I900" t="str">
            <v>C000001214_SW109695</v>
          </cell>
        </row>
        <row r="901">
          <cell r="D901" t="str">
            <v>Q1</v>
          </cell>
          <cell r="I901" t="str">
            <v>52011_SW106037</v>
          </cell>
        </row>
        <row r="902">
          <cell r="D902" t="str">
            <v>Q3</v>
          </cell>
          <cell r="I902" t="str">
            <v>53028_SW103267</v>
          </cell>
        </row>
        <row r="903">
          <cell r="D903" t="str">
            <v>Q2</v>
          </cell>
          <cell r="I903" t="str">
            <v>C000000799_SF060100</v>
          </cell>
        </row>
        <row r="904">
          <cell r="D904" t="str">
            <v>Q3</v>
          </cell>
          <cell r="I904" t="str">
            <v>C000000690_SW018108</v>
          </cell>
        </row>
        <row r="905">
          <cell r="D905" t="str">
            <v>R</v>
          </cell>
          <cell r="I905" t="str">
            <v>81871_SJ109653</v>
          </cell>
        </row>
        <row r="906">
          <cell r="D906" t="str">
            <v>R</v>
          </cell>
          <cell r="I906" t="str">
            <v>81970_SJ109653</v>
          </cell>
        </row>
        <row r="907">
          <cell r="D907" t="str">
            <v>R</v>
          </cell>
          <cell r="I907" t="str">
            <v>83286_SJ109653</v>
          </cell>
        </row>
        <row r="908">
          <cell r="D908" t="str">
            <v>R</v>
          </cell>
          <cell r="I908" t="str">
            <v>C000000615_SW106176</v>
          </cell>
        </row>
        <row r="909">
          <cell r="D909" t="str">
            <v>Q1</v>
          </cell>
          <cell r="I909" t="str">
            <v>C000002401_SW105524</v>
          </cell>
        </row>
        <row r="910">
          <cell r="D910" t="str">
            <v>Q4</v>
          </cell>
          <cell r="I910" t="str">
            <v>C000001966_SW049733</v>
          </cell>
        </row>
        <row r="911">
          <cell r="D911" t="str">
            <v>Q1</v>
          </cell>
          <cell r="I911" t="str">
            <v>62444_SF106477</v>
          </cell>
        </row>
        <row r="912">
          <cell r="D912" t="str">
            <v>Q1</v>
          </cell>
          <cell r="I912" t="str">
            <v>C000000615_SW108150</v>
          </cell>
        </row>
        <row r="913">
          <cell r="D913" t="str">
            <v>Q4</v>
          </cell>
          <cell r="I913" t="str">
            <v>C000000792_SW052249</v>
          </cell>
        </row>
        <row r="914">
          <cell r="D914" t="str">
            <v>Q1</v>
          </cell>
          <cell r="I914" t="str">
            <v>87384_SF051188</v>
          </cell>
        </row>
        <row r="915">
          <cell r="D915" t="str">
            <v>R</v>
          </cell>
          <cell r="I915" t="str">
            <v>C000000047_SW001119</v>
          </cell>
        </row>
        <row r="916">
          <cell r="D916" t="str">
            <v>R</v>
          </cell>
          <cell r="I916" t="str">
            <v>C000001214_SW105171</v>
          </cell>
        </row>
        <row r="917">
          <cell r="D917" t="str">
            <v>Q2</v>
          </cell>
          <cell r="I917" t="str">
            <v>C000001046_SF106477</v>
          </cell>
        </row>
        <row r="918">
          <cell r="D918" t="str">
            <v>Q1</v>
          </cell>
          <cell r="I918" t="str">
            <v>87476_SW087953</v>
          </cell>
        </row>
        <row r="919">
          <cell r="D919" t="str">
            <v>Q4</v>
          </cell>
          <cell r="I919" t="str">
            <v>79847_SF002050</v>
          </cell>
        </row>
        <row r="920">
          <cell r="D920" t="str">
            <v>Q3</v>
          </cell>
          <cell r="I920" t="str">
            <v>78034_SW108511</v>
          </cell>
        </row>
        <row r="921">
          <cell r="D921" t="str">
            <v>R</v>
          </cell>
          <cell r="I921" t="str">
            <v>C000002100_SJ110793</v>
          </cell>
        </row>
        <row r="922">
          <cell r="D922" t="str">
            <v>Q4</v>
          </cell>
          <cell r="I922" t="str">
            <v>C000001296_SF060100.010.0</v>
          </cell>
        </row>
        <row r="923">
          <cell r="D923" t="str">
            <v>Q4</v>
          </cell>
          <cell r="I923" t="str">
            <v>C000000514_SW002007</v>
          </cell>
        </row>
        <row r="924">
          <cell r="D924" t="str">
            <v>Q1</v>
          </cell>
          <cell r="I924" t="str">
            <v>74362_SW034504</v>
          </cell>
        </row>
        <row r="925">
          <cell r="D925" t="str">
            <v>Q1</v>
          </cell>
          <cell r="I925" t="str">
            <v>C000000422_SW041379</v>
          </cell>
        </row>
        <row r="926">
          <cell r="D926" t="str">
            <v>Q4</v>
          </cell>
          <cell r="I926" t="str">
            <v>52356_SW054593</v>
          </cell>
        </row>
        <row r="927">
          <cell r="D927" t="str">
            <v>Q1</v>
          </cell>
          <cell r="I927" t="str">
            <v>C000001042_SF106477</v>
          </cell>
        </row>
        <row r="928">
          <cell r="D928" t="str">
            <v>Q1</v>
          </cell>
          <cell r="I928" t="str">
            <v>C000001427_SW052249</v>
          </cell>
        </row>
        <row r="929">
          <cell r="D929" t="str">
            <v>Q2</v>
          </cell>
          <cell r="I929" t="str">
            <v>C000001515_SW105171</v>
          </cell>
        </row>
        <row r="930">
          <cell r="D930" t="str">
            <v>Q1</v>
          </cell>
          <cell r="I930" t="str">
            <v>C000001667_SW034504</v>
          </cell>
        </row>
        <row r="931">
          <cell r="D931" t="str">
            <v>Q3</v>
          </cell>
          <cell r="I931" t="str">
            <v>C000000794_SW041379</v>
          </cell>
        </row>
        <row r="932">
          <cell r="D932" t="str">
            <v>Q4</v>
          </cell>
          <cell r="I932" t="str">
            <v>C000000272_SJ109735</v>
          </cell>
        </row>
        <row r="933">
          <cell r="D933" t="str">
            <v>Q4</v>
          </cell>
          <cell r="I933" t="str">
            <v>C000000272_SJ109864</v>
          </cell>
        </row>
        <row r="934">
          <cell r="D934" t="str">
            <v>R</v>
          </cell>
          <cell r="I934" t="str">
            <v>80442_SW053021</v>
          </cell>
        </row>
        <row r="935">
          <cell r="D935" t="str">
            <v>R</v>
          </cell>
          <cell r="I935" t="str">
            <v>83475_SW084573</v>
          </cell>
        </row>
        <row r="936">
          <cell r="D936" t="str">
            <v>Q3</v>
          </cell>
          <cell r="I936" t="str">
            <v>10325_SW101732</v>
          </cell>
        </row>
        <row r="937">
          <cell r="D937" t="str">
            <v>Q4</v>
          </cell>
          <cell r="I937" t="str">
            <v>10325_SW103267</v>
          </cell>
        </row>
        <row r="938">
          <cell r="D938" t="str">
            <v>R</v>
          </cell>
          <cell r="I938" t="str">
            <v>52231_SW104745</v>
          </cell>
        </row>
        <row r="939">
          <cell r="D939" t="str">
            <v>Q1</v>
          </cell>
          <cell r="I939" t="str">
            <v>69330_SB056800</v>
          </cell>
        </row>
        <row r="940">
          <cell r="D940" t="str">
            <v>Q3</v>
          </cell>
          <cell r="I940" t="str">
            <v>83933_SW049409</v>
          </cell>
        </row>
        <row r="941">
          <cell r="D941" t="str">
            <v>Q2</v>
          </cell>
          <cell r="I941" t="str">
            <v>C000001212_SW109695</v>
          </cell>
        </row>
        <row r="942">
          <cell r="D942" t="str">
            <v>Q4</v>
          </cell>
          <cell r="I942" t="str">
            <v>C000000514_SW040921</v>
          </cell>
        </row>
        <row r="943">
          <cell r="D943" t="str">
            <v>Q3</v>
          </cell>
          <cell r="I943" t="str">
            <v>C000001212_SW109084</v>
          </cell>
        </row>
        <row r="944">
          <cell r="D944" t="str">
            <v>Q1</v>
          </cell>
          <cell r="I944" t="str">
            <v>C000001210_SW109084</v>
          </cell>
        </row>
        <row r="945">
          <cell r="D945" t="str">
            <v>Q4</v>
          </cell>
          <cell r="I945" t="str">
            <v>66548_SF002050</v>
          </cell>
        </row>
        <row r="946">
          <cell r="D946" t="str">
            <v>Q1</v>
          </cell>
          <cell r="I946" t="str">
            <v>78251_SW002008</v>
          </cell>
        </row>
        <row r="947">
          <cell r="D947" t="str">
            <v>Q1</v>
          </cell>
          <cell r="I947" t="str">
            <v>59801_SW041379</v>
          </cell>
        </row>
        <row r="948">
          <cell r="D948" t="str">
            <v>Q3</v>
          </cell>
          <cell r="I948" t="str">
            <v>81649_SW108545</v>
          </cell>
        </row>
        <row r="949">
          <cell r="D949" t="str">
            <v>Q1</v>
          </cell>
          <cell r="I949" t="str">
            <v>53028_SW102046</v>
          </cell>
        </row>
        <row r="950">
          <cell r="D950" t="str">
            <v>Q2</v>
          </cell>
          <cell r="I950" t="str">
            <v>C000000724_SW052249</v>
          </cell>
        </row>
        <row r="951">
          <cell r="D951" t="str">
            <v>Q1</v>
          </cell>
          <cell r="I951" t="str">
            <v>77918_SW106176</v>
          </cell>
        </row>
        <row r="952">
          <cell r="D952" t="str">
            <v>Q1</v>
          </cell>
          <cell r="I952" t="str">
            <v>77918_SP002964</v>
          </cell>
        </row>
        <row r="953">
          <cell r="D953" t="str">
            <v>Q2</v>
          </cell>
          <cell r="I953" t="str">
            <v>C000001217_SW109084</v>
          </cell>
        </row>
        <row r="954">
          <cell r="D954" t="str">
            <v>Q1</v>
          </cell>
          <cell r="I954" t="str">
            <v>76273_SW042931</v>
          </cell>
        </row>
        <row r="955">
          <cell r="D955" t="str">
            <v>Q2</v>
          </cell>
          <cell r="I955" t="str">
            <v>C000002184_SJ104638</v>
          </cell>
        </row>
        <row r="956">
          <cell r="D956" t="str">
            <v>Q3</v>
          </cell>
          <cell r="I956" t="str">
            <v>C000001638_SW054592</v>
          </cell>
        </row>
        <row r="957">
          <cell r="D957" t="str">
            <v>Q3</v>
          </cell>
          <cell r="I957" t="str">
            <v>C000001357_SW052292</v>
          </cell>
        </row>
        <row r="958">
          <cell r="D958" t="str">
            <v>R</v>
          </cell>
          <cell r="I958" t="str">
            <v>48761_SW105748</v>
          </cell>
        </row>
        <row r="959">
          <cell r="D959" t="str">
            <v>Q2</v>
          </cell>
          <cell r="I959" t="str">
            <v>C000000813_SW108545</v>
          </cell>
        </row>
        <row r="960">
          <cell r="D960" t="str">
            <v>Q2</v>
          </cell>
          <cell r="I960" t="str">
            <v>C000001209_SW105171</v>
          </cell>
        </row>
        <row r="961">
          <cell r="D961" t="str">
            <v>Q2</v>
          </cell>
          <cell r="I961" t="str">
            <v>C000001926_SW087953</v>
          </cell>
        </row>
        <row r="962">
          <cell r="D962" t="str">
            <v>Q2</v>
          </cell>
          <cell r="I962" t="str">
            <v>C000002261_SW087953</v>
          </cell>
        </row>
        <row r="963">
          <cell r="D963" t="str">
            <v>Q2</v>
          </cell>
          <cell r="I963" t="str">
            <v>C000001212_SW105171</v>
          </cell>
        </row>
        <row r="964">
          <cell r="D964" t="str">
            <v>Q1</v>
          </cell>
          <cell r="I964" t="str">
            <v>C000001688_SW099504</v>
          </cell>
        </row>
        <row r="965">
          <cell r="D965" t="str">
            <v>R</v>
          </cell>
          <cell r="I965" t="str">
            <v>C000001213_SW109695</v>
          </cell>
        </row>
        <row r="966">
          <cell r="D966" t="str">
            <v>R</v>
          </cell>
          <cell r="I966" t="str">
            <v>C000001213_SW109084</v>
          </cell>
        </row>
        <row r="967">
          <cell r="D967" t="str">
            <v>R</v>
          </cell>
          <cell r="I967" t="str">
            <v>C000001213_SW105171</v>
          </cell>
        </row>
        <row r="968">
          <cell r="D968" t="str">
            <v>Q1</v>
          </cell>
          <cell r="I968" t="str">
            <v>78251_SW049409</v>
          </cell>
        </row>
        <row r="969">
          <cell r="D969" t="str">
            <v>Q1</v>
          </cell>
          <cell r="I969" t="str">
            <v>C000000799_SW052249</v>
          </cell>
        </row>
        <row r="970">
          <cell r="D970" t="str">
            <v>Q1</v>
          </cell>
          <cell r="I970" t="str">
            <v>C000001681_SF106477</v>
          </cell>
        </row>
        <row r="971">
          <cell r="D971" t="str">
            <v>Q4</v>
          </cell>
          <cell r="I971" t="str">
            <v>C000001948_SW084573</v>
          </cell>
        </row>
        <row r="972">
          <cell r="D972" t="str">
            <v>Q1</v>
          </cell>
          <cell r="I972" t="str">
            <v>C000001948_SW087953</v>
          </cell>
        </row>
        <row r="973">
          <cell r="D973" t="str">
            <v>Q2</v>
          </cell>
          <cell r="I973" t="str">
            <v>C000001210_SW109695</v>
          </cell>
        </row>
        <row r="974">
          <cell r="D974" t="str">
            <v>Q3</v>
          </cell>
          <cell r="I974" t="str">
            <v>C000001211_SW105171</v>
          </cell>
        </row>
        <row r="975">
          <cell r="D975" t="str">
            <v>Q2</v>
          </cell>
          <cell r="I975" t="str">
            <v>C000001211_SW109695</v>
          </cell>
        </row>
        <row r="976">
          <cell r="D976" t="str">
            <v>Q2</v>
          </cell>
          <cell r="I976" t="str">
            <v>C000001217_SW105171</v>
          </cell>
        </row>
        <row r="977">
          <cell r="D977" t="str">
            <v>Q4</v>
          </cell>
          <cell r="I977" t="str">
            <v>C000001210_SW105171</v>
          </cell>
        </row>
        <row r="978">
          <cell r="D978" t="str">
            <v>Q4</v>
          </cell>
          <cell r="I978" t="str">
            <v>C000000586_SW052249</v>
          </cell>
        </row>
        <row r="979">
          <cell r="D979" t="str">
            <v>Q1</v>
          </cell>
          <cell r="I979" t="str">
            <v>36809_SW040362</v>
          </cell>
        </row>
        <row r="980">
          <cell r="D980" t="str">
            <v>Q1</v>
          </cell>
          <cell r="I980" t="str">
            <v>69330_SJ102250</v>
          </cell>
        </row>
        <row r="981">
          <cell r="D981" t="str">
            <v>Q2</v>
          </cell>
          <cell r="I981" t="str">
            <v>78351_SJ108923</v>
          </cell>
        </row>
        <row r="982">
          <cell r="D982" t="str">
            <v>Q2</v>
          </cell>
          <cell r="I982" t="str">
            <v>78351_SJ108922</v>
          </cell>
        </row>
        <row r="983">
          <cell r="D983" t="str">
            <v>Q3</v>
          </cell>
          <cell r="I983" t="str">
            <v>77303_SC059433</v>
          </cell>
        </row>
        <row r="984">
          <cell r="D984" t="str">
            <v>Q4</v>
          </cell>
          <cell r="I984" t="str">
            <v>C000002143_SW107322</v>
          </cell>
        </row>
        <row r="985">
          <cell r="D985" t="str">
            <v>Q4</v>
          </cell>
          <cell r="I985" t="str">
            <v>61851_SC059433</v>
          </cell>
        </row>
        <row r="986">
          <cell r="D986" t="str">
            <v>Q2</v>
          </cell>
          <cell r="I986" t="str">
            <v>87514_SJ109735</v>
          </cell>
        </row>
        <row r="987">
          <cell r="D987" t="str">
            <v>R</v>
          </cell>
          <cell r="I987" t="str">
            <v>83689_SJ110604</v>
          </cell>
        </row>
        <row r="988">
          <cell r="D988" t="str">
            <v>R</v>
          </cell>
          <cell r="I988" t="str">
            <v>83689_SJ110235</v>
          </cell>
        </row>
        <row r="989">
          <cell r="D989" t="str">
            <v>Q4</v>
          </cell>
          <cell r="I989" t="str">
            <v>C000001503_SJ109735</v>
          </cell>
        </row>
        <row r="990">
          <cell r="D990" t="str">
            <v>Q2</v>
          </cell>
          <cell r="I990" t="str">
            <v>84906_SJ109864</v>
          </cell>
        </row>
        <row r="991">
          <cell r="D991" t="str">
            <v>Q2</v>
          </cell>
          <cell r="I991" t="str">
            <v>75080_SJ101818</v>
          </cell>
        </row>
        <row r="992">
          <cell r="D992" t="str">
            <v>Q2</v>
          </cell>
          <cell r="I992" t="str">
            <v>74341_SJ101818</v>
          </cell>
        </row>
        <row r="993">
          <cell r="D993" t="str">
            <v>Q2</v>
          </cell>
          <cell r="I993" t="str">
            <v>C000002039_SW053308</v>
          </cell>
        </row>
        <row r="994">
          <cell r="D994" t="str">
            <v>Q2</v>
          </cell>
          <cell r="I994" t="str">
            <v>87162_SJ108651</v>
          </cell>
        </row>
        <row r="995">
          <cell r="D995" t="str">
            <v>Q2</v>
          </cell>
          <cell r="I995" t="str">
            <v>84066_SJ108651</v>
          </cell>
        </row>
        <row r="996">
          <cell r="D996" t="str">
            <v>Q4</v>
          </cell>
          <cell r="I996" t="str">
            <v>C000001504_SJ109735</v>
          </cell>
        </row>
        <row r="997">
          <cell r="D997" t="str">
            <v>Q3</v>
          </cell>
          <cell r="I997" t="str">
            <v>83603_SJ106665</v>
          </cell>
        </row>
        <row r="998">
          <cell r="D998" t="str">
            <v>Q4</v>
          </cell>
          <cell r="I998" t="str">
            <v>C000001686_SF051188</v>
          </cell>
        </row>
        <row r="999">
          <cell r="D999" t="str">
            <v>Q3</v>
          </cell>
          <cell r="I999" t="str">
            <v>C000000982_SW087953</v>
          </cell>
        </row>
        <row r="1000">
          <cell r="D1000" t="str">
            <v>Q4</v>
          </cell>
          <cell r="I1000" t="str">
            <v>C000001748_SW087953</v>
          </cell>
        </row>
        <row r="1001">
          <cell r="D1001" t="str">
            <v>Q1</v>
          </cell>
          <cell r="I1001" t="str">
            <v>C000002402_SW090104</v>
          </cell>
        </row>
        <row r="1002">
          <cell r="D1002" t="str">
            <v>R</v>
          </cell>
          <cell r="I1002" t="str">
            <v>83188_SJ106665</v>
          </cell>
        </row>
        <row r="1003">
          <cell r="D1003" t="str">
            <v>Q4</v>
          </cell>
          <cell r="I1003" t="str">
            <v>83740_SW108150</v>
          </cell>
        </row>
        <row r="1004">
          <cell r="D1004" t="str">
            <v>Q1</v>
          </cell>
          <cell r="I1004" t="str">
            <v>C000000544_SW108150</v>
          </cell>
        </row>
        <row r="1005">
          <cell r="D1005" t="str">
            <v>Q2</v>
          </cell>
          <cell r="I1005" t="str">
            <v>C000000380_SW054520</v>
          </cell>
        </row>
        <row r="1006">
          <cell r="D1006" t="str">
            <v>Q1</v>
          </cell>
          <cell r="I1006" t="str">
            <v>C000000353_SW108150</v>
          </cell>
        </row>
        <row r="1007">
          <cell r="D1007" t="str">
            <v>Q1</v>
          </cell>
          <cell r="I1007" t="str">
            <v>C000000514_SW040362</v>
          </cell>
        </row>
        <row r="1008">
          <cell r="D1008" t="str">
            <v>Q1</v>
          </cell>
          <cell r="I1008" t="str">
            <v>C000001435_SW052292</v>
          </cell>
        </row>
        <row r="1009">
          <cell r="D1009" t="str">
            <v>Q4</v>
          </cell>
          <cell r="I1009" t="str">
            <v>82778_SW108150</v>
          </cell>
        </row>
        <row r="1010">
          <cell r="D1010" t="str">
            <v>Q4</v>
          </cell>
          <cell r="I1010" t="str">
            <v>34179_SF106477</v>
          </cell>
        </row>
        <row r="1011">
          <cell r="D1011" t="str">
            <v>Q2</v>
          </cell>
          <cell r="I1011" t="str">
            <v>68651_SJ104638</v>
          </cell>
        </row>
        <row r="1012">
          <cell r="D1012" t="str">
            <v>Q4</v>
          </cell>
          <cell r="I1012" t="str">
            <v>34988_SW101587</v>
          </cell>
        </row>
        <row r="1013">
          <cell r="D1013" t="str">
            <v>R</v>
          </cell>
          <cell r="I1013" t="str">
            <v>82329_SP002964</v>
          </cell>
        </row>
        <row r="1014">
          <cell r="D1014" t="str">
            <v>R</v>
          </cell>
          <cell r="I1014" t="str">
            <v>86233_SP002964</v>
          </cell>
        </row>
        <row r="1015">
          <cell r="D1015" t="str">
            <v>R</v>
          </cell>
          <cell r="I1015" t="str">
            <v>C000001763_SP002964</v>
          </cell>
        </row>
        <row r="1016">
          <cell r="D1016" t="str">
            <v>R</v>
          </cell>
          <cell r="I1016" t="str">
            <v>C000001408_SP002964</v>
          </cell>
        </row>
        <row r="1017">
          <cell r="D1017" t="str">
            <v>Q2</v>
          </cell>
          <cell r="I1017" t="str">
            <v>83553_SJ109965</v>
          </cell>
        </row>
        <row r="1018">
          <cell r="D1018" t="str">
            <v>Q2</v>
          </cell>
          <cell r="I1018" t="str">
            <v>83553_SJ109735</v>
          </cell>
        </row>
        <row r="1019">
          <cell r="D1019" t="str">
            <v>Q2</v>
          </cell>
          <cell r="I1019" t="str">
            <v>83553_SJ109864</v>
          </cell>
        </row>
        <row r="1020">
          <cell r="D1020" t="str">
            <v>Q1</v>
          </cell>
          <cell r="I1020" t="str">
            <v>C000001939_SF050875</v>
          </cell>
        </row>
        <row r="1021">
          <cell r="D1021" t="str">
            <v>Q1</v>
          </cell>
          <cell r="I1021" t="str">
            <v>C000002405_SW090104</v>
          </cell>
        </row>
        <row r="1022">
          <cell r="D1022" t="str">
            <v>Q1</v>
          </cell>
          <cell r="I1022" t="str">
            <v>C000002403_SW090104</v>
          </cell>
        </row>
        <row r="1023">
          <cell r="D1023" t="str">
            <v>Q4</v>
          </cell>
          <cell r="I1023" t="str">
            <v>32094_SW000874</v>
          </cell>
        </row>
        <row r="1024">
          <cell r="D1024" t="str">
            <v>Q3</v>
          </cell>
          <cell r="I1024" t="str">
            <v>C000001239_SW087953</v>
          </cell>
        </row>
        <row r="1025">
          <cell r="D1025" t="str">
            <v>Q3</v>
          </cell>
          <cell r="I1025" t="str">
            <v>C000001501_SJ109735</v>
          </cell>
        </row>
        <row r="1026">
          <cell r="D1026" t="str">
            <v>Q3</v>
          </cell>
          <cell r="I1026" t="str">
            <v>C000001501_SJ109854</v>
          </cell>
        </row>
        <row r="1027">
          <cell r="D1027" t="str">
            <v>Q4</v>
          </cell>
          <cell r="I1027" t="str">
            <v>C000000794_SF106678</v>
          </cell>
        </row>
        <row r="1028">
          <cell r="D1028" t="str">
            <v>Q2</v>
          </cell>
          <cell r="I1028" t="str">
            <v>72181_SW101499</v>
          </cell>
        </row>
        <row r="1029">
          <cell r="D1029" t="str">
            <v>Q4</v>
          </cell>
          <cell r="I1029" t="str">
            <v>75500_SF051188</v>
          </cell>
        </row>
        <row r="1030">
          <cell r="D1030" t="str">
            <v>Q1</v>
          </cell>
          <cell r="I1030" t="str">
            <v>80779_SW052791</v>
          </cell>
        </row>
        <row r="1031">
          <cell r="D1031" t="str">
            <v>Q1</v>
          </cell>
          <cell r="I1031" t="str">
            <v>82139_SW052791</v>
          </cell>
        </row>
        <row r="1032">
          <cell r="D1032" t="str">
            <v>Q1</v>
          </cell>
          <cell r="I1032" t="str">
            <v>82875_SW052791</v>
          </cell>
        </row>
        <row r="1033">
          <cell r="D1033" t="str">
            <v>Q2</v>
          </cell>
          <cell r="I1033" t="str">
            <v>82204_SF106477</v>
          </cell>
        </row>
        <row r="1034">
          <cell r="D1034" t="str">
            <v>Q2</v>
          </cell>
          <cell r="I1034" t="str">
            <v>71709_SW090822</v>
          </cell>
        </row>
        <row r="1035">
          <cell r="D1035" t="str">
            <v>Q3</v>
          </cell>
          <cell r="I1035" t="str">
            <v>C000000538_SF106477</v>
          </cell>
        </row>
        <row r="1036">
          <cell r="D1036" t="str">
            <v>Q2</v>
          </cell>
          <cell r="I1036" t="str">
            <v>34988_SW108917</v>
          </cell>
        </row>
        <row r="1037">
          <cell r="D1037" t="str">
            <v>Q3</v>
          </cell>
          <cell r="I1037" t="str">
            <v>79384_SW106176</v>
          </cell>
        </row>
        <row r="1038">
          <cell r="D1038" t="str">
            <v>Q2</v>
          </cell>
          <cell r="I1038" t="str">
            <v>11051_SW102046</v>
          </cell>
        </row>
        <row r="1039">
          <cell r="D1039" t="str">
            <v>Q3</v>
          </cell>
          <cell r="I1039" t="str">
            <v>C000001942_SF010348</v>
          </cell>
        </row>
        <row r="1040">
          <cell r="D1040" t="str">
            <v>R</v>
          </cell>
          <cell r="I1040" t="str">
            <v>75631_SW052249</v>
          </cell>
        </row>
        <row r="1041">
          <cell r="D1041" t="str">
            <v>Q4</v>
          </cell>
          <cell r="I1041" t="str">
            <v>62034_SW090822</v>
          </cell>
        </row>
        <row r="1042">
          <cell r="D1042" t="str">
            <v>R</v>
          </cell>
          <cell r="I1042" t="str">
            <v>80611_SJ018425</v>
          </cell>
        </row>
        <row r="1043">
          <cell r="D1043" t="str">
            <v>Q2</v>
          </cell>
          <cell r="I1043" t="str">
            <v>C000000660_SF060100</v>
          </cell>
        </row>
        <row r="1044">
          <cell r="D1044" t="str">
            <v>Q2</v>
          </cell>
          <cell r="I1044" t="str">
            <v>C00000653_SW052249</v>
          </cell>
        </row>
        <row r="1045">
          <cell r="D1045" t="str">
            <v>Q2</v>
          </cell>
          <cell r="I1045" t="str">
            <v>11051_SW000874</v>
          </cell>
        </row>
        <row r="1046">
          <cell r="D1046" t="str">
            <v>Q1</v>
          </cell>
          <cell r="I1046" t="str">
            <v>C000002408_SW090104</v>
          </cell>
        </row>
        <row r="1047">
          <cell r="D1047" t="str">
            <v>Q3</v>
          </cell>
          <cell r="I1047" t="str">
            <v>C000002409_SW090104</v>
          </cell>
        </row>
        <row r="1048">
          <cell r="D1048" t="str">
            <v>Q1</v>
          </cell>
          <cell r="I1048" t="str">
            <v>C000002406_SW090104</v>
          </cell>
        </row>
        <row r="1049">
          <cell r="D1049" t="str">
            <v>Q2</v>
          </cell>
          <cell r="I1049" t="str">
            <v>37817_SW040921</v>
          </cell>
        </row>
        <row r="1050">
          <cell r="D1050" t="str">
            <v>Q4</v>
          </cell>
          <cell r="I1050" t="str">
            <v>29245_SW048171</v>
          </cell>
        </row>
        <row r="1051">
          <cell r="D1051" t="str">
            <v>Q2</v>
          </cell>
          <cell r="I1051" t="str">
            <v>74362_SW049409</v>
          </cell>
        </row>
        <row r="1052">
          <cell r="D1052" t="str">
            <v>Q1</v>
          </cell>
          <cell r="I1052" t="str">
            <v>C000001298_SJ106665</v>
          </cell>
        </row>
        <row r="1053">
          <cell r="D1053" t="str">
            <v>Q1</v>
          </cell>
          <cell r="I1053" t="str">
            <v>85455_SW109940</v>
          </cell>
        </row>
        <row r="1054">
          <cell r="D1054" t="str">
            <v>R</v>
          </cell>
          <cell r="I1054" t="str">
            <v>32094_SW0000756</v>
          </cell>
        </row>
        <row r="1055">
          <cell r="D1055" t="str">
            <v>Q3</v>
          </cell>
          <cell r="I1055" t="str">
            <v>C000001314_SW106176</v>
          </cell>
        </row>
        <row r="1056">
          <cell r="D1056" t="str">
            <v>Q3</v>
          </cell>
          <cell r="I1056" t="str">
            <v>C000001481_SW106176</v>
          </cell>
        </row>
        <row r="1057">
          <cell r="D1057" t="str">
            <v>Q4</v>
          </cell>
          <cell r="I1057" t="str">
            <v>C000001291_SF106477</v>
          </cell>
        </row>
        <row r="1058">
          <cell r="D1058" t="str">
            <v>Q4</v>
          </cell>
          <cell r="I1058" t="str">
            <v>C000002415_SW052249</v>
          </cell>
        </row>
        <row r="1059">
          <cell r="D1059" t="str">
            <v>Q4</v>
          </cell>
          <cell r="I1059" t="str">
            <v>C000002404_SW090104</v>
          </cell>
        </row>
        <row r="1060">
          <cell r="D1060" t="str">
            <v>Q1</v>
          </cell>
          <cell r="I1060" t="str">
            <v>76898_SF0507850</v>
          </cell>
        </row>
        <row r="1061">
          <cell r="D1061" t="str">
            <v>Q2</v>
          </cell>
          <cell r="I1061" t="str">
            <v>61862_SF060100</v>
          </cell>
        </row>
        <row r="1062">
          <cell r="D1062" t="str">
            <v>Q4</v>
          </cell>
          <cell r="I1062" t="str">
            <v>C000001688_SW087953</v>
          </cell>
        </row>
        <row r="1063">
          <cell r="D1063" t="str">
            <v>Q2</v>
          </cell>
          <cell r="I1063" t="str">
            <v>C000001217_SW109695</v>
          </cell>
        </row>
        <row r="1064">
          <cell r="D1064" t="str">
            <v>Q1</v>
          </cell>
          <cell r="I1064" t="str">
            <v>C000001751_SW087953</v>
          </cell>
        </row>
        <row r="1065">
          <cell r="D1065" t="str">
            <v>Q3</v>
          </cell>
          <cell r="I1065" t="str">
            <v>C000001565_SW087953</v>
          </cell>
        </row>
        <row r="1066">
          <cell r="D1066" t="str">
            <v>Q4</v>
          </cell>
          <cell r="I1066" t="str">
            <v>C000002407_SW090104</v>
          </cell>
        </row>
        <row r="1067">
          <cell r="D1067" t="str">
            <v>Q3</v>
          </cell>
          <cell r="I1067" t="str">
            <v>83686_SJ109735</v>
          </cell>
        </row>
        <row r="1068">
          <cell r="D1068" t="str">
            <v>Q3</v>
          </cell>
          <cell r="I1068" t="str">
            <v>83686_SJ109864</v>
          </cell>
        </row>
        <row r="1069">
          <cell r="D1069" t="str">
            <v>Q3</v>
          </cell>
          <cell r="I1069" t="str">
            <v>83686_SJ109854</v>
          </cell>
        </row>
        <row r="1070">
          <cell r="D1070" t="str">
            <v>Q3</v>
          </cell>
          <cell r="I1070" t="str">
            <v>83817_SJ109735</v>
          </cell>
        </row>
        <row r="1071">
          <cell r="D1071" t="str">
            <v>Q3</v>
          </cell>
          <cell r="I1071" t="str">
            <v>83817_SJ109864</v>
          </cell>
        </row>
        <row r="1072">
          <cell r="D1072" t="str">
            <v>Q3</v>
          </cell>
          <cell r="I1072" t="str">
            <v>83817_SJ109854</v>
          </cell>
        </row>
        <row r="1073">
          <cell r="D1073" t="str">
            <v>Q3</v>
          </cell>
          <cell r="I1073" t="str">
            <v>10325_SC000780</v>
          </cell>
        </row>
        <row r="1074">
          <cell r="D1074" t="str">
            <v>Q4</v>
          </cell>
          <cell r="I1074" t="str">
            <v>82289_SF060100</v>
          </cell>
        </row>
        <row r="1075">
          <cell r="D1075" t="str">
            <v>Q3</v>
          </cell>
          <cell r="I1075" t="str">
            <v>86608_SW087953</v>
          </cell>
        </row>
        <row r="1076">
          <cell r="D1076" t="str">
            <v>R</v>
          </cell>
          <cell r="I1076" t="str">
            <v>C000001516_SW105171</v>
          </cell>
        </row>
        <row r="1077">
          <cell r="D1077" t="str">
            <v>Q3</v>
          </cell>
          <cell r="I1077" t="str">
            <v>C0000001209_SW109084</v>
          </cell>
        </row>
        <row r="1078">
          <cell r="D1078" t="str">
            <v>Q2</v>
          </cell>
          <cell r="I1078" t="str">
            <v>C000001209_SW109695</v>
          </cell>
        </row>
        <row r="1079">
          <cell r="D1079" t="str">
            <v>Q3</v>
          </cell>
          <cell r="I1079" t="str">
            <v>C000002472_SW087953</v>
          </cell>
        </row>
        <row r="1080">
          <cell r="D1080" t="str">
            <v>Q1</v>
          </cell>
          <cell r="I1080" t="str">
            <v>C000001211_SW109084</v>
          </cell>
        </row>
        <row r="1081">
          <cell r="D1081" t="str">
            <v>Q4</v>
          </cell>
          <cell r="I1081" t="str">
            <v>36187_SF106477</v>
          </cell>
        </row>
        <row r="1082">
          <cell r="D1082" t="str">
            <v>Q3</v>
          </cell>
          <cell r="I1082" t="str">
            <v>C000001868_SW109029</v>
          </cell>
        </row>
        <row r="1083">
          <cell r="D1083" t="str">
            <v>Q2</v>
          </cell>
          <cell r="I1083" t="str">
            <v>C000001120_SW052249</v>
          </cell>
        </row>
        <row r="1084">
          <cell r="D1084" t="str">
            <v>Q3</v>
          </cell>
          <cell r="I1084" t="str">
            <v>82329_SF106678</v>
          </cell>
        </row>
        <row r="1085">
          <cell r="D1085" t="str">
            <v>Q1</v>
          </cell>
          <cell r="I1085" t="str">
            <v>69330_SW103755</v>
          </cell>
        </row>
        <row r="1086">
          <cell r="D1086" t="str">
            <v>Q4</v>
          </cell>
          <cell r="I1086" t="str">
            <v>82329_SF106477</v>
          </cell>
        </row>
        <row r="1087">
          <cell r="D1087" t="str">
            <v>Q3</v>
          </cell>
          <cell r="I1087" t="str">
            <v>C000001314_SW108150</v>
          </cell>
        </row>
        <row r="1088">
          <cell r="D1088" t="str">
            <v>Q3</v>
          </cell>
          <cell r="I1088" t="str">
            <v>C000002584_SW106176</v>
          </cell>
        </row>
        <row r="1089">
          <cell r="D1089" t="str">
            <v>Q3</v>
          </cell>
          <cell r="I1089" t="str">
            <v>C000001679_SW106176</v>
          </cell>
        </row>
        <row r="1090">
          <cell r="D1090" t="str">
            <v>Q3</v>
          </cell>
          <cell r="I1090" t="str">
            <v>59801_SW106176</v>
          </cell>
        </row>
        <row r="1091">
          <cell r="D1091" t="str">
            <v>Q3</v>
          </cell>
          <cell r="I1091" t="str">
            <v>80323_SW106176</v>
          </cell>
        </row>
        <row r="1092">
          <cell r="D1092" t="str">
            <v>Q3</v>
          </cell>
          <cell r="I1092" t="str">
            <v>81412_SW106176</v>
          </cell>
        </row>
        <row r="1093">
          <cell r="D1093" t="str">
            <v>Q3</v>
          </cell>
          <cell r="I1093" t="str">
            <v>85227_SW106176</v>
          </cell>
        </row>
        <row r="1094">
          <cell r="D1094" t="str">
            <v>Q3</v>
          </cell>
          <cell r="I1094" t="str">
            <v>78598_SW106176</v>
          </cell>
        </row>
        <row r="1095">
          <cell r="D1095" t="str">
            <v>Q3</v>
          </cell>
          <cell r="I1095" t="str">
            <v>78601_SW106176</v>
          </cell>
        </row>
        <row r="1096">
          <cell r="D1096" t="str">
            <v>Q3</v>
          </cell>
          <cell r="I1096" t="str">
            <v>77917_SW106176</v>
          </cell>
        </row>
        <row r="1097">
          <cell r="D1097" t="str">
            <v>Q3</v>
          </cell>
          <cell r="I1097" t="str">
            <v>83199_SW106176</v>
          </cell>
        </row>
        <row r="1098">
          <cell r="D1098" t="str">
            <v>Q3</v>
          </cell>
          <cell r="I1098" t="str">
            <v>62444_SF106678</v>
          </cell>
        </row>
        <row r="1099">
          <cell r="D1099" t="str">
            <v>Q3</v>
          </cell>
          <cell r="I1099" t="str">
            <v>77546_SF051188</v>
          </cell>
        </row>
        <row r="1100">
          <cell r="D1100" t="str">
            <v>R</v>
          </cell>
          <cell r="I1100" t="str">
            <v>29244_SF012050</v>
          </cell>
        </row>
        <row r="1101">
          <cell r="D1101" t="str">
            <v>Q3</v>
          </cell>
          <cell r="I1101" t="str">
            <v>C000001622_SW102692</v>
          </cell>
        </row>
        <row r="1102">
          <cell r="D1102" t="str">
            <v>Q3</v>
          </cell>
          <cell r="I1102" t="str">
            <v>C000001596_SJ106665</v>
          </cell>
        </row>
        <row r="1103">
          <cell r="D1103" t="str">
            <v>Q1</v>
          </cell>
          <cell r="I1103" t="str">
            <v>66489_SC059431</v>
          </cell>
        </row>
        <row r="1104">
          <cell r="D1104" t="str">
            <v>Q1</v>
          </cell>
          <cell r="I1104" t="str">
            <v>22288_SW108930</v>
          </cell>
        </row>
        <row r="1105">
          <cell r="D1105" t="str">
            <v>Q1</v>
          </cell>
          <cell r="I1105" t="str">
            <v>C000002415_SW040921</v>
          </cell>
        </row>
        <row r="1106">
          <cell r="D1106" t="str">
            <v>Q1</v>
          </cell>
          <cell r="I1106" t="str">
            <v>C000001599_SJ106665</v>
          </cell>
        </row>
        <row r="1107">
          <cell r="D1107" t="str">
            <v>Q4</v>
          </cell>
          <cell r="I1107" t="str">
            <v>34179_SF106477</v>
          </cell>
        </row>
        <row r="1108">
          <cell r="D1108" t="str">
            <v>Q1</v>
          </cell>
          <cell r="I1108" t="str">
            <v>69373_SJ104638</v>
          </cell>
        </row>
        <row r="1109">
          <cell r="D1109" t="str">
            <v>Q3</v>
          </cell>
          <cell r="I1109" t="str">
            <v>66491_SC059431</v>
          </cell>
        </row>
        <row r="1110">
          <cell r="D1110" t="str">
            <v>Q1</v>
          </cell>
          <cell r="I1110" t="str">
            <v>C000001680_SW108150</v>
          </cell>
        </row>
        <row r="1111">
          <cell r="D1111" t="str">
            <v>Q3</v>
          </cell>
          <cell r="I1111" t="str">
            <v>32094_SW107378</v>
          </cell>
        </row>
        <row r="1112">
          <cell r="D1112" t="str">
            <v>Q2</v>
          </cell>
          <cell r="I1112" t="str">
            <v>34988_SB056287</v>
          </cell>
        </row>
        <row r="1113">
          <cell r="D1113" t="str">
            <v>Q1</v>
          </cell>
          <cell r="I1113" t="str">
            <v>C000001626_SW108150</v>
          </cell>
        </row>
        <row r="1114">
          <cell r="D1114" t="str">
            <v>Q4</v>
          </cell>
          <cell r="I1114" t="str">
            <v>82969_SF106678</v>
          </cell>
        </row>
        <row r="1115">
          <cell r="D1115" t="str">
            <v>Q3</v>
          </cell>
          <cell r="I1115" t="str">
            <v>78382_SF106477</v>
          </cell>
        </row>
        <row r="1116">
          <cell r="D1116" t="str">
            <v>R</v>
          </cell>
          <cell r="I1116" t="str">
            <v>C000000983_SF106477</v>
          </cell>
        </row>
        <row r="1117">
          <cell r="D1117" t="str">
            <v>Q1</v>
          </cell>
          <cell r="I1117" t="str">
            <v>77339_SW042931</v>
          </cell>
        </row>
        <row r="1118">
          <cell r="D1118" t="str">
            <v>Q3</v>
          </cell>
          <cell r="I1118" t="str">
            <v>C000002109_SW048171</v>
          </cell>
        </row>
        <row r="1119">
          <cell r="D1119" t="str">
            <v>Q1</v>
          </cell>
          <cell r="I1119" t="str">
            <v>C000002090_SW042931</v>
          </cell>
        </row>
        <row r="1120">
          <cell r="D1120" t="str">
            <v>R</v>
          </cell>
          <cell r="I1120" t="str">
            <v>60890_SW042931</v>
          </cell>
        </row>
        <row r="1121">
          <cell r="D1121" t="str">
            <v>Q1</v>
          </cell>
          <cell r="I1121" t="str">
            <v>C000001680_SW106176</v>
          </cell>
        </row>
        <row r="1122">
          <cell r="D1122" t="str">
            <v>Q1</v>
          </cell>
          <cell r="I1122" t="str">
            <v>C000002589_SW106176</v>
          </cell>
        </row>
        <row r="1123">
          <cell r="D1123" t="str">
            <v>Q1</v>
          </cell>
          <cell r="I1123" t="str">
            <v>C000001653_SW106176</v>
          </cell>
        </row>
        <row r="1124">
          <cell r="D1124" t="str">
            <v>Q1</v>
          </cell>
          <cell r="I1124" t="str">
            <v>C000002585_SW106176</v>
          </cell>
        </row>
        <row r="1125">
          <cell r="D1125" t="str">
            <v>Q2</v>
          </cell>
          <cell r="I1125" t="str">
            <v>85013_SW084573</v>
          </cell>
        </row>
        <row r="1126">
          <cell r="D1126" t="str">
            <v>Q4</v>
          </cell>
          <cell r="I1126" t="str">
            <v>85708_SW106176</v>
          </cell>
        </row>
        <row r="1127">
          <cell r="D1127" t="str">
            <v>Q4</v>
          </cell>
          <cell r="I1127" t="str">
            <v>C000001797_SW106176</v>
          </cell>
        </row>
        <row r="1128">
          <cell r="D1128" t="str">
            <v>Q4</v>
          </cell>
          <cell r="I1128" t="str">
            <v>C000002583_SW106176</v>
          </cell>
        </row>
        <row r="1129">
          <cell r="D1129" t="str">
            <v>Q2</v>
          </cell>
          <cell r="I1129" t="str">
            <v>59339_SW108150</v>
          </cell>
        </row>
        <row r="1130">
          <cell r="D1130" t="str">
            <v>Q1</v>
          </cell>
          <cell r="I1130" t="str">
            <v>C000000141_SW001166</v>
          </cell>
        </row>
        <row r="1131">
          <cell r="D1131" t="str">
            <v>Q3</v>
          </cell>
          <cell r="I1131" t="str">
            <v>C000001178_SF050875</v>
          </cell>
        </row>
        <row r="1132">
          <cell r="D1132" t="str">
            <v>Q2</v>
          </cell>
          <cell r="I1132" t="str">
            <v>87488_SW084573</v>
          </cell>
        </row>
        <row r="1133">
          <cell r="D1133" t="str">
            <v>Q3</v>
          </cell>
          <cell r="I1133" t="str">
            <v>C000001950_SW087953</v>
          </cell>
        </row>
        <row r="1134">
          <cell r="D1134" t="str">
            <v>Q1</v>
          </cell>
          <cell r="I1134" t="str">
            <v>C000002114_SW048171</v>
          </cell>
        </row>
        <row r="1135">
          <cell r="D1135" t="str">
            <v>Q1</v>
          </cell>
          <cell r="I1135" t="str">
            <v>C000001927_SW087953</v>
          </cell>
        </row>
        <row r="1136">
          <cell r="D1136" t="str">
            <v>Q1</v>
          </cell>
          <cell r="I1136" t="str">
            <v>61851_SW105064</v>
          </cell>
        </row>
        <row r="1137">
          <cell r="D1137" t="str">
            <v>Q3</v>
          </cell>
          <cell r="I1137" t="str">
            <v>59339_SW101587</v>
          </cell>
        </row>
        <row r="1138">
          <cell r="D1138" t="str">
            <v>Q2</v>
          </cell>
          <cell r="I1138" t="str">
            <v>87475_SW084573</v>
          </cell>
        </row>
        <row r="1139">
          <cell r="D1139" t="str">
            <v>Q1</v>
          </cell>
          <cell r="I1139" t="str">
            <v>84464_SW108150</v>
          </cell>
        </row>
        <row r="1140">
          <cell r="D1140" t="str">
            <v>Q2</v>
          </cell>
          <cell r="I1140" t="str">
            <v>86560_SW087953</v>
          </cell>
        </row>
        <row r="1141">
          <cell r="D1141" t="str">
            <v>Q3</v>
          </cell>
          <cell r="I1141" t="str">
            <v>49792_SW108150</v>
          </cell>
        </row>
        <row r="1142">
          <cell r="D1142" t="str">
            <v>Q3</v>
          </cell>
          <cell r="I1142" t="str">
            <v>59339_SW034040</v>
          </cell>
        </row>
        <row r="1143">
          <cell r="D1143" t="str">
            <v>Q4</v>
          </cell>
          <cell r="I1143" t="str">
            <v>81427_SF060100</v>
          </cell>
        </row>
        <row r="1144">
          <cell r="D1144" t="str">
            <v>Q4</v>
          </cell>
          <cell r="I1144" t="str">
            <v>86178_SF012050</v>
          </cell>
        </row>
        <row r="1145">
          <cell r="D1145" t="str">
            <v>Q3</v>
          </cell>
          <cell r="I1145" t="str">
            <v>85354_SW052249</v>
          </cell>
        </row>
        <row r="1146">
          <cell r="D1146" t="str">
            <v>Q3</v>
          </cell>
          <cell r="I1146" t="str">
            <v>74338_SF051188</v>
          </cell>
        </row>
        <row r="1147">
          <cell r="D1147" t="str">
            <v>Q4</v>
          </cell>
          <cell r="I1147" t="str">
            <v>C000001159_SW108545</v>
          </cell>
        </row>
        <row r="1148">
          <cell r="D1148" t="str">
            <v>Q1</v>
          </cell>
          <cell r="I1148" t="str">
            <v>C000001354_SW101405</v>
          </cell>
        </row>
        <row r="1149">
          <cell r="D1149" t="str">
            <v>Q3</v>
          </cell>
          <cell r="I1149" t="str">
            <v>C000001267_SJ106665</v>
          </cell>
        </row>
        <row r="1150">
          <cell r="D1150" t="str">
            <v>Q1</v>
          </cell>
          <cell r="I1150" t="str">
            <v>C000001354_SW048803</v>
          </cell>
        </row>
        <row r="1151">
          <cell r="D1151" t="str">
            <v>Q2</v>
          </cell>
          <cell r="I1151" t="str">
            <v>87485_SW087953</v>
          </cell>
        </row>
        <row r="1152">
          <cell r="D1152" t="str">
            <v>Q4</v>
          </cell>
          <cell r="I1152" t="str">
            <v>69556_SJ104638</v>
          </cell>
        </row>
        <row r="1153">
          <cell r="D1153" t="str">
            <v>Q4</v>
          </cell>
          <cell r="I1153" t="str">
            <v>82969_SF106678</v>
          </cell>
        </row>
        <row r="1154">
          <cell r="D1154" t="str">
            <v>Q3</v>
          </cell>
          <cell r="I1154" t="str">
            <v>76823_SF106477</v>
          </cell>
        </row>
        <row r="1155">
          <cell r="D1155" t="str">
            <v>R</v>
          </cell>
          <cell r="I1155" t="str">
            <v>52419_SW018563</v>
          </cell>
        </row>
        <row r="1156">
          <cell r="D1156" t="str">
            <v>Q1</v>
          </cell>
          <cell r="I1156" t="str">
            <v>52689_SW046526</v>
          </cell>
        </row>
        <row r="1157">
          <cell r="D1157" t="str">
            <v>Q2</v>
          </cell>
          <cell r="I1157" t="str">
            <v>62625_SW106196</v>
          </cell>
        </row>
        <row r="1158">
          <cell r="D1158" t="str">
            <v>Q3</v>
          </cell>
          <cell r="I1158" t="str">
            <v>86585_SW000770</v>
          </cell>
        </row>
        <row r="1159">
          <cell r="D1159" t="str">
            <v>Q3</v>
          </cell>
          <cell r="I1159" t="str">
            <v>87485_SW084573</v>
          </cell>
        </row>
        <row r="1160">
          <cell r="D1160" t="str">
            <v>Q1</v>
          </cell>
          <cell r="I1160" t="str">
            <v>C000000978_SW107409</v>
          </cell>
        </row>
        <row r="1161">
          <cell r="D1161" t="str">
            <v>Q3</v>
          </cell>
          <cell r="I1161" t="str">
            <v>52356_SW018108</v>
          </cell>
        </row>
        <row r="1162">
          <cell r="D1162" t="str">
            <v>Q2</v>
          </cell>
          <cell r="I1162" t="str">
            <v>66471_SW105171</v>
          </cell>
        </row>
        <row r="1163">
          <cell r="D1163" t="str">
            <v>Q3</v>
          </cell>
          <cell r="I1163" t="str">
            <v>C000002168_SW102692</v>
          </cell>
        </row>
        <row r="1164">
          <cell r="D1164" t="str">
            <v>Q3</v>
          </cell>
          <cell r="I1164" t="str">
            <v>77546_SW102692</v>
          </cell>
        </row>
        <row r="1165">
          <cell r="D1165" t="str">
            <v>R</v>
          </cell>
          <cell r="I1165" t="str">
            <v>37816_sf105678</v>
          </cell>
        </row>
        <row r="1166">
          <cell r="D1166" t="str">
            <v>Q2</v>
          </cell>
          <cell r="I1166" t="str">
            <v>C000001356_SW046526</v>
          </cell>
        </row>
        <row r="1167">
          <cell r="D1167" t="str">
            <v>Q4</v>
          </cell>
          <cell r="I1167" t="str">
            <v>C000001356_SF010348</v>
          </cell>
        </row>
        <row r="1168">
          <cell r="D1168" t="str">
            <v>Q3</v>
          </cell>
          <cell r="I1168" t="str">
            <v>77415</v>
          </cell>
        </row>
        <row r="1169">
          <cell r="D1169" t="str">
            <v>Q4</v>
          </cell>
          <cell r="I1169" t="str">
            <v>85708_SW101587</v>
          </cell>
        </row>
        <row r="1170">
          <cell r="D1170" t="str">
            <v>Q3</v>
          </cell>
          <cell r="I1170" t="str">
            <v>C000001599_SJ106665</v>
          </cell>
        </row>
        <row r="1171">
          <cell r="D1171" t="str">
            <v>Q2</v>
          </cell>
          <cell r="I1171" t="str">
            <v>C000001217_SW109695</v>
          </cell>
        </row>
        <row r="1172">
          <cell r="D1172" t="str">
            <v>Q1</v>
          </cell>
          <cell r="I1172" t="str">
            <v>11051_SW000633</v>
          </cell>
        </row>
        <row r="1173">
          <cell r="D1173" t="str">
            <v>Q1</v>
          </cell>
          <cell r="I1173" t="str">
            <v>63880_SW108511</v>
          </cell>
        </row>
        <row r="1174">
          <cell r="D1174" t="str">
            <v>Q1</v>
          </cell>
          <cell r="I1174" t="str">
            <v>34988_SF048858</v>
          </cell>
        </row>
        <row r="1175">
          <cell r="D1175" t="str">
            <v>Q1</v>
          </cell>
          <cell r="I1175" t="str">
            <v>C000001268_SW041854</v>
          </cell>
        </row>
        <row r="1176">
          <cell r="D1176" t="str">
            <v>R</v>
          </cell>
          <cell r="I1176" t="str">
            <v>50203_SW000770</v>
          </cell>
        </row>
        <row r="1177">
          <cell r="D1177" t="str">
            <v>Q2</v>
          </cell>
          <cell r="I1177" t="str">
            <v>82329_SW041081</v>
          </cell>
        </row>
        <row r="1178">
          <cell r="D1178" t="str">
            <v>Q1</v>
          </cell>
          <cell r="I1178" t="str">
            <v>C000001626_SW101587</v>
          </cell>
        </row>
        <row r="1179">
          <cell r="D1179" t="str">
            <v>Q2</v>
          </cell>
          <cell r="I1179" t="str">
            <v>86170_SW108150</v>
          </cell>
        </row>
        <row r="1180">
          <cell r="D1180" t="str">
            <v>Q2</v>
          </cell>
          <cell r="I1180" t="str">
            <v>84529_SF106477</v>
          </cell>
        </row>
        <row r="1181">
          <cell r="D1181" t="str">
            <v>Q1</v>
          </cell>
          <cell r="I1181" t="str">
            <v>62444_SW041081</v>
          </cell>
        </row>
        <row r="1182">
          <cell r="D1182" t="str">
            <v>Q3</v>
          </cell>
          <cell r="I1182" t="str">
            <v>C000000538_SW041854</v>
          </cell>
        </row>
        <row r="1183">
          <cell r="D1183" t="str">
            <v>Q3</v>
          </cell>
          <cell r="I1183" t="str">
            <v>C000001108_SW106176</v>
          </cell>
        </row>
        <row r="1184">
          <cell r="D1184" t="str">
            <v>Q3</v>
          </cell>
          <cell r="I1184" t="str">
            <v>C000001779_SW106176</v>
          </cell>
        </row>
        <row r="1185">
          <cell r="D1185" t="str">
            <v>Q3</v>
          </cell>
          <cell r="I1185" t="str">
            <v>C000001998_SW106176</v>
          </cell>
        </row>
        <row r="1186">
          <cell r="D1186" t="str">
            <v>R</v>
          </cell>
          <cell r="I1186" t="str">
            <v>29244_SW103267</v>
          </cell>
        </row>
        <row r="1187">
          <cell r="D1187" t="str">
            <v>Q1</v>
          </cell>
          <cell r="I1187" t="str">
            <v>C000001315_SW041854</v>
          </cell>
        </row>
        <row r="1188">
          <cell r="D1188" t="str">
            <v>Q3</v>
          </cell>
          <cell r="I1188" t="str">
            <v>C000001144_SW106665</v>
          </cell>
        </row>
        <row r="1189">
          <cell r="D1189" t="str">
            <v>Q3</v>
          </cell>
          <cell r="I1189" t="str">
            <v>C000000608_SW108150</v>
          </cell>
        </row>
        <row r="1190">
          <cell r="D1190" t="str">
            <v>Q2</v>
          </cell>
          <cell r="I1190" t="str">
            <v>36187_SW047822</v>
          </cell>
        </row>
        <row r="1191">
          <cell r="D1191" t="str">
            <v>Q1</v>
          </cell>
          <cell r="I1191" t="str">
            <v>C000001679_SW101587</v>
          </cell>
        </row>
        <row r="1192">
          <cell r="D1192" t="str">
            <v>R</v>
          </cell>
          <cell r="I1192" t="str">
            <v>C000002711_SF002050</v>
          </cell>
        </row>
        <row r="1193">
          <cell r="D1193" t="str">
            <v>Q3</v>
          </cell>
          <cell r="I1193" t="str">
            <v>C000001949_SW087953</v>
          </cell>
        </row>
        <row r="1194">
          <cell r="D1194" t="str">
            <v>Q4</v>
          </cell>
          <cell r="I1194" t="str">
            <v>C000001142_SW108150</v>
          </cell>
        </row>
        <row r="1195">
          <cell r="D1195" t="str">
            <v>Q4</v>
          </cell>
          <cell r="I1195" t="str">
            <v>C000002432_SW108150</v>
          </cell>
        </row>
        <row r="1196">
          <cell r="D1196" t="str">
            <v>Q4</v>
          </cell>
          <cell r="I1196" t="str">
            <v>C000001679_SW108150</v>
          </cell>
        </row>
        <row r="1197">
          <cell r="D1197" t="str">
            <v>Q4</v>
          </cell>
          <cell r="I1197" t="str">
            <v>C000002115_SW048171</v>
          </cell>
        </row>
        <row r="1198">
          <cell r="D1198" t="str">
            <v>Q3</v>
          </cell>
          <cell r="I1198" t="str">
            <v>C000001235_SW084573</v>
          </cell>
        </row>
        <row r="1199">
          <cell r="D1199" t="str">
            <v>Q3</v>
          </cell>
          <cell r="I1199" t="str">
            <v>42389_SF105678</v>
          </cell>
        </row>
        <row r="1200">
          <cell r="D1200" t="str">
            <v>Q3</v>
          </cell>
          <cell r="I1200" t="str">
            <v>36809_SF010348</v>
          </cell>
        </row>
        <row r="1201">
          <cell r="D1201" t="str">
            <v>Q1</v>
          </cell>
          <cell r="I1201" t="str">
            <v>22785_SW041081</v>
          </cell>
        </row>
        <row r="1202">
          <cell r="D1202" t="str">
            <v>R</v>
          </cell>
          <cell r="I1202" t="str">
            <v>29244_SW000669</v>
          </cell>
        </row>
        <row r="1203">
          <cell r="D1203" t="str">
            <v>Q3</v>
          </cell>
          <cell r="I1203" t="str">
            <v>79384_SW041081</v>
          </cell>
        </row>
        <row r="1204">
          <cell r="D1204" t="str">
            <v>Q1</v>
          </cell>
          <cell r="I1204" t="str">
            <v>81962_SF012050</v>
          </cell>
        </row>
        <row r="1205">
          <cell r="D1205" t="str">
            <v>R</v>
          </cell>
          <cell r="I1205" t="str">
            <v>84235_SW101587</v>
          </cell>
        </row>
        <row r="1206">
          <cell r="D1206" t="str">
            <v>R</v>
          </cell>
          <cell r="I1206" t="str">
            <v>C000001916_SJ067316</v>
          </cell>
        </row>
        <row r="1207">
          <cell r="D1207" t="str">
            <v>Q4</v>
          </cell>
          <cell r="I1207" t="str">
            <v>C000001295_SW041854</v>
          </cell>
        </row>
        <row r="1208">
          <cell r="D1208" t="str">
            <v>R</v>
          </cell>
          <cell r="I1208" t="str">
            <v>C000001918_SJ067316</v>
          </cell>
        </row>
        <row r="1209">
          <cell r="D1209" t="str">
            <v>Q3</v>
          </cell>
          <cell r="I1209" t="str">
            <v>57708_SW085043</v>
          </cell>
        </row>
        <row r="1210">
          <cell r="D1210" t="str">
            <v>Q2</v>
          </cell>
          <cell r="I1210" t="str">
            <v>C000000988_SF106477</v>
          </cell>
        </row>
        <row r="1211">
          <cell r="D1211" t="str">
            <v>Q3</v>
          </cell>
          <cell r="I1211" t="str">
            <v>C000002168_SF051188</v>
          </cell>
        </row>
        <row r="1212">
          <cell r="D1212" t="str">
            <v>Q1</v>
          </cell>
          <cell r="I1212" t="str">
            <v>C000002372_SW000770</v>
          </cell>
        </row>
        <row r="1213">
          <cell r="D1213" t="str">
            <v>Q1</v>
          </cell>
          <cell r="I1213" t="str">
            <v>C000002471_SF010348</v>
          </cell>
        </row>
        <row r="1214">
          <cell r="D1214" t="str">
            <v>Q3</v>
          </cell>
          <cell r="I1214" t="str">
            <v>C000002372_SF002050</v>
          </cell>
        </row>
        <row r="1215">
          <cell r="D1215" t="str">
            <v>Q3</v>
          </cell>
          <cell r="I1215" t="str">
            <v>87415_SF051188</v>
          </cell>
        </row>
        <row r="1216">
          <cell r="D1216" t="str">
            <v>Q1</v>
          </cell>
          <cell r="I1216" t="str">
            <v>66375_SW047822</v>
          </cell>
        </row>
        <row r="1217">
          <cell r="D1217" t="str">
            <v>Q3/Q4</v>
          </cell>
          <cell r="I1217" t="str">
            <v>61227_SW040362</v>
          </cell>
        </row>
        <row r="1218">
          <cell r="D1218" t="str">
            <v>Q1/Q2</v>
          </cell>
          <cell r="I1218" t="str">
            <v>80910_SW101587</v>
          </cell>
        </row>
        <row r="1219">
          <cell r="D1219" t="str">
            <v>Q3</v>
          </cell>
          <cell r="I1219" t="str">
            <v>C000002557_SW042931</v>
          </cell>
        </row>
        <row r="1220">
          <cell r="D1220" t="str">
            <v>Q3</v>
          </cell>
          <cell r="I1220" t="str">
            <v>84075_SJ108651</v>
          </cell>
        </row>
        <row r="1221">
          <cell r="D1221" t="str">
            <v>Q3</v>
          </cell>
          <cell r="I1221" t="str">
            <v>C000000690_SW103267</v>
          </cell>
        </row>
        <row r="1222">
          <cell r="D1222" t="str">
            <v>Q3</v>
          </cell>
          <cell r="I1222" t="str">
            <v>C000000683_SW108930</v>
          </cell>
        </row>
        <row r="1223">
          <cell r="D1223" t="str">
            <v>Q1</v>
          </cell>
          <cell r="I1223" t="str">
            <v>59339_SW041081</v>
          </cell>
        </row>
        <row r="1224">
          <cell r="D1224" t="str">
            <v>Q1</v>
          </cell>
          <cell r="I1224" t="str">
            <v>C000001751_SW087953</v>
          </cell>
        </row>
        <row r="1225">
          <cell r="D1225" t="str">
            <v>Q1</v>
          </cell>
          <cell r="I1225" t="str">
            <v>C000001722_SJ106665</v>
          </cell>
        </row>
        <row r="1226">
          <cell r="D1226" t="str">
            <v>Q3</v>
          </cell>
          <cell r="I1226" t="str">
            <v>49792_SW041081</v>
          </cell>
        </row>
        <row r="1227">
          <cell r="D1227" t="str">
            <v>Q1</v>
          </cell>
          <cell r="I1227" t="str">
            <v>C000002380_SW090822</v>
          </cell>
        </row>
        <row r="1228">
          <cell r="D1228" t="str">
            <v>Q4</v>
          </cell>
          <cell r="I1228" t="str">
            <v>C000002561_SW042931</v>
          </cell>
        </row>
        <row r="1229">
          <cell r="D1229" t="str">
            <v>Q4</v>
          </cell>
          <cell r="I1229" t="str">
            <v>C000002559_SW042931</v>
          </cell>
        </row>
        <row r="1230">
          <cell r="D1230" t="str">
            <v>Q3</v>
          </cell>
          <cell r="I1230" t="str">
            <v>59339_SF106477</v>
          </cell>
        </row>
        <row r="1231">
          <cell r="D1231" t="str">
            <v>Q4</v>
          </cell>
          <cell r="I1231" t="str">
            <v>37817_SW040362</v>
          </cell>
        </row>
        <row r="1232">
          <cell r="D1232" t="str">
            <v>Q1</v>
          </cell>
          <cell r="I1232" t="str">
            <v>62601_SW090822</v>
          </cell>
        </row>
        <row r="1233">
          <cell r="D1233" t="str">
            <v>Q1</v>
          </cell>
          <cell r="I1233" t="str">
            <v>C000002381_SW041276</v>
          </cell>
        </row>
        <row r="1234">
          <cell r="D1234" t="str">
            <v>R</v>
          </cell>
          <cell r="I1234" t="str">
            <v>52231_SW042931</v>
          </cell>
        </row>
        <row r="1235">
          <cell r="D1235" t="str">
            <v>Q1</v>
          </cell>
          <cell r="I1235" t="str">
            <v>C000001192_SW044801</v>
          </cell>
        </row>
        <row r="1236">
          <cell r="D1236" t="str">
            <v>Q1</v>
          </cell>
          <cell r="I1236" t="str">
            <v>50892_SW108150</v>
          </cell>
        </row>
        <row r="1237">
          <cell r="D1237" t="str">
            <v>Q1</v>
          </cell>
          <cell r="I1237" t="str">
            <v>C000001265_SF106678</v>
          </cell>
        </row>
        <row r="1238">
          <cell r="D1238" t="str">
            <v>Q4</v>
          </cell>
          <cell r="I1238" t="str">
            <v>C000002269_SB056287</v>
          </cell>
        </row>
        <row r="1239">
          <cell r="D1239" t="str">
            <v>R</v>
          </cell>
          <cell r="I1239" t="str">
            <v>83475_SW099504</v>
          </cell>
        </row>
        <row r="1240">
          <cell r="D1240" t="str">
            <v>Q1</v>
          </cell>
          <cell r="I1240" t="str">
            <v>C000001423_SW044801</v>
          </cell>
        </row>
        <row r="1241">
          <cell r="D1241" t="str">
            <v>Q3</v>
          </cell>
          <cell r="I1241" t="str">
            <v>C000000654_SW041081</v>
          </cell>
        </row>
        <row r="1242">
          <cell r="D1242" t="str">
            <v>Q4</v>
          </cell>
          <cell r="I1242" t="str">
            <v>C000001639_SW108150</v>
          </cell>
        </row>
        <row r="1243">
          <cell r="D1243" t="str">
            <v>Q3</v>
          </cell>
          <cell r="I1243" t="str">
            <v>C000001443_SW048171</v>
          </cell>
        </row>
        <row r="1244">
          <cell r="D1244" t="str">
            <v>Q1</v>
          </cell>
          <cell r="I1244" t="str">
            <v>C000002638_SW042931</v>
          </cell>
        </row>
        <row r="1245">
          <cell r="D1245" t="str">
            <v>Q1</v>
          </cell>
          <cell r="I1245" t="str">
            <v>C000002398_SW042931</v>
          </cell>
        </row>
        <row r="1246">
          <cell r="D1246" t="str">
            <v>R</v>
          </cell>
          <cell r="I1246" t="str">
            <v>C000002112_SW090822</v>
          </cell>
        </row>
        <row r="1247">
          <cell r="D1247" t="str">
            <v>Q4</v>
          </cell>
          <cell r="I1247" t="str">
            <v>C000002540_SW041276</v>
          </cell>
        </row>
        <row r="1248">
          <cell r="D1248" t="str">
            <v>Q3</v>
          </cell>
          <cell r="I1248" t="str">
            <v>78382_SW041081</v>
          </cell>
        </row>
        <row r="1249">
          <cell r="D1249" t="str">
            <v>Q1</v>
          </cell>
          <cell r="I1249" t="str">
            <v>C0000001680_SW041081</v>
          </cell>
        </row>
        <row r="1250">
          <cell r="D1250" t="str">
            <v>Q3</v>
          </cell>
          <cell r="I1250" t="str">
            <v>81286_SJ106665</v>
          </cell>
        </row>
        <row r="1251">
          <cell r="D1251" t="str">
            <v>Q1</v>
          </cell>
          <cell r="I1251" t="str">
            <v>C000002182_SF051188</v>
          </cell>
        </row>
        <row r="1252">
          <cell r="D1252" t="str">
            <v>Q1</v>
          </cell>
          <cell r="I1252" t="str">
            <v>C000001639_SW041081</v>
          </cell>
        </row>
        <row r="1253">
          <cell r="D1253" t="str">
            <v>Q2</v>
          </cell>
          <cell r="I1253" t="str">
            <v>C000001443_SW044801-287</v>
          </cell>
        </row>
        <row r="1254">
          <cell r="D1254" t="str">
            <v>Q4</v>
          </cell>
          <cell r="I1254" t="str">
            <v>C000001142_SW090104</v>
          </cell>
        </row>
        <row r="1255">
          <cell r="D1255" t="str">
            <v>Q2</v>
          </cell>
          <cell r="I1255" t="str">
            <v>C000002291_SW052292</v>
          </cell>
        </row>
        <row r="1256">
          <cell r="D1256" t="str">
            <v>Q2</v>
          </cell>
          <cell r="I1256" t="str">
            <v>C000002322_SW105065</v>
          </cell>
        </row>
        <row r="1257">
          <cell r="D1257" t="str">
            <v>Q3</v>
          </cell>
          <cell r="I1257" t="str">
            <v>C000002575_SK104546</v>
          </cell>
        </row>
        <row r="1258">
          <cell r="D1258" t="str">
            <v>Q3</v>
          </cell>
          <cell r="I1258" t="str">
            <v>C000001107_SW041081</v>
          </cell>
        </row>
        <row r="1259">
          <cell r="D1259" t="str">
            <v>Q1</v>
          </cell>
          <cell r="I1259" t="str">
            <v>C000002385_SW107402</v>
          </cell>
        </row>
        <row r="1260">
          <cell r="D1260" t="str">
            <v>Q4</v>
          </cell>
          <cell r="I1260" t="str">
            <v>86044_SW048803</v>
          </cell>
        </row>
        <row r="1261">
          <cell r="D1261" t="str">
            <v>Q1</v>
          </cell>
          <cell r="I1261" t="str">
            <v>C000001469_SW044801</v>
          </cell>
        </row>
        <row r="1262">
          <cell r="D1262" t="str">
            <v>R</v>
          </cell>
          <cell r="I1262" t="str">
            <v>C000002541_SW041276</v>
          </cell>
        </row>
        <row r="1263">
          <cell r="D1263" t="str">
            <v>Q4</v>
          </cell>
          <cell r="I1263" t="str">
            <v>C000002424_SW111073</v>
          </cell>
        </row>
        <row r="1264">
          <cell r="D1264" t="str">
            <v>Q3</v>
          </cell>
          <cell r="I1264" t="str">
            <v>C000002643_SW090104</v>
          </cell>
        </row>
        <row r="1265">
          <cell r="D1265" t="str">
            <v>Q3</v>
          </cell>
          <cell r="I1265" t="str">
            <v>53028_SW048171</v>
          </cell>
        </row>
        <row r="1266">
          <cell r="D1266" t="str">
            <v>Q2</v>
          </cell>
          <cell r="I1266" t="str">
            <v>74362_SW048412</v>
          </cell>
        </row>
        <row r="1267">
          <cell r="D1267" t="str">
            <v>Q2</v>
          </cell>
          <cell r="I1267" t="str">
            <v>C000002260_SW087953</v>
          </cell>
        </row>
        <row r="1268">
          <cell r="D1268" t="str">
            <v>R</v>
          </cell>
          <cell r="I1268" t="str">
            <v>64078_SW107023</v>
          </cell>
        </row>
        <row r="1269">
          <cell r="D1269" t="str">
            <v>R</v>
          </cell>
          <cell r="I1269" t="str">
            <v>C000000690_SF050714</v>
          </cell>
        </row>
        <row r="1270">
          <cell r="D1270" t="str">
            <v>Q2</v>
          </cell>
          <cell r="I1270" t="str">
            <v>C000000690_SW107143</v>
          </cell>
        </row>
        <row r="1271">
          <cell r="D1271" t="str">
            <v>Q4</v>
          </cell>
          <cell r="I1271" t="str">
            <v>C000001423_SW046990</v>
          </cell>
        </row>
        <row r="1272">
          <cell r="D1272" t="str">
            <v>NO ENTAR</v>
          </cell>
          <cell r="I1272" t="str">
            <v>59339_SW108150</v>
          </cell>
        </row>
        <row r="1273">
          <cell r="D1273" t="str">
            <v>Q4</v>
          </cell>
          <cell r="I1273" t="str">
            <v>C000001711_SW099504</v>
          </cell>
        </row>
        <row r="1274">
          <cell r="D1274" t="str">
            <v>R</v>
          </cell>
          <cell r="I1274" t="str">
            <v>77955_SJ109359</v>
          </cell>
        </row>
        <row r="1275">
          <cell r="D1275" t="str">
            <v>Q3</v>
          </cell>
          <cell r="I1275" t="str">
            <v>34988_SW034040</v>
          </cell>
        </row>
        <row r="1276">
          <cell r="D1276" t="str">
            <v>Q4</v>
          </cell>
          <cell r="I1276" t="str">
            <v>63880_SW108511</v>
          </cell>
        </row>
        <row r="1277">
          <cell r="D1277" t="str">
            <v>Q4</v>
          </cell>
          <cell r="I1277" t="str">
            <v>C000002254_SW044801</v>
          </cell>
        </row>
        <row r="1278">
          <cell r="D1278" t="str">
            <v>Q1/Q2</v>
          </cell>
          <cell r="I1278" t="str">
            <v>C000001626_SW101587</v>
          </cell>
        </row>
        <row r="1279">
          <cell r="D1279" t="str">
            <v>Q2</v>
          </cell>
          <cell r="I1279" t="str">
            <v>C000001424_SW044801</v>
          </cell>
        </row>
        <row r="1280">
          <cell r="D1280" t="str">
            <v>Q3</v>
          </cell>
          <cell r="I1280" t="str">
            <v>C000000538_SW041081</v>
          </cell>
        </row>
        <row r="1281">
          <cell r="D1281" t="str">
            <v>Q3</v>
          </cell>
          <cell r="I1281" t="str">
            <v>C000001142_SW041081</v>
          </cell>
        </row>
        <row r="1282">
          <cell r="D1282" t="str">
            <v>Q4</v>
          </cell>
          <cell r="I1282" t="str">
            <v>C000001247_SW087953</v>
          </cell>
        </row>
        <row r="1283">
          <cell r="D1283" t="str">
            <v>Q3</v>
          </cell>
          <cell r="I1283" t="str">
            <v>C000002233_SW034504</v>
          </cell>
        </row>
        <row r="1284">
          <cell r="D1284" t="str">
            <v>Q1</v>
          </cell>
          <cell r="I1284" t="str">
            <v>87573_SF106477</v>
          </cell>
        </row>
        <row r="1285">
          <cell r="D1285" t="str">
            <v>Q4</v>
          </cell>
          <cell r="I1285" t="str">
            <v>51276_SW102692</v>
          </cell>
        </row>
        <row r="1286">
          <cell r="D1286" t="str">
            <v>Q3</v>
          </cell>
          <cell r="I1286" t="str">
            <v>84464_SW041081</v>
          </cell>
        </row>
        <row r="1287">
          <cell r="D1287" t="str">
            <v>Q3</v>
          </cell>
          <cell r="I1287" t="str">
            <v>77415_SW034040</v>
          </cell>
        </row>
        <row r="1288">
          <cell r="D1288" t="str">
            <v>Q1</v>
          </cell>
          <cell r="I1288" t="str">
            <v>C000001279_SF106477</v>
          </cell>
        </row>
        <row r="1289">
          <cell r="D1289" t="str">
            <v>Q2/Q3</v>
          </cell>
          <cell r="I1289" t="str">
            <v>11051_SW000657</v>
          </cell>
        </row>
        <row r="1290">
          <cell r="D1290" t="str">
            <v>Q4</v>
          </cell>
          <cell r="I1290" t="str">
            <v>71709_SW090822</v>
          </cell>
        </row>
        <row r="1291">
          <cell r="D1291" t="str">
            <v>Q4</v>
          </cell>
          <cell r="I1291" t="str">
            <v>11051_SW103267</v>
          </cell>
        </row>
        <row r="1292">
          <cell r="D1292" t="str">
            <v>R</v>
          </cell>
          <cell r="I1292" t="str">
            <v>79100_SW107023</v>
          </cell>
        </row>
        <row r="1293">
          <cell r="D1293" t="str">
            <v>Q4</v>
          </cell>
          <cell r="I1293" t="str">
            <v>C000002107_SW048171</v>
          </cell>
        </row>
        <row r="1294">
          <cell r="D1294" t="str">
            <v>Q3</v>
          </cell>
          <cell r="I1294" t="str">
            <v>36187_SF010348</v>
          </cell>
        </row>
        <row r="1295">
          <cell r="D1295" t="str">
            <v>Q3</v>
          </cell>
          <cell r="I1295" t="str">
            <v>34988_SW085043</v>
          </cell>
        </row>
        <row r="1296">
          <cell r="D1296" t="str">
            <v>Q3</v>
          </cell>
          <cell r="I1296" t="str">
            <v>34988_SW108916</v>
          </cell>
        </row>
        <row r="1297">
          <cell r="D1297" t="str">
            <v>Q3</v>
          </cell>
          <cell r="I1297" t="str">
            <v>34179_SW034040</v>
          </cell>
        </row>
        <row r="1298">
          <cell r="D1298" t="str">
            <v>Q2</v>
          </cell>
          <cell r="I1298" t="str">
            <v>69701_SW044801</v>
          </cell>
        </row>
        <row r="1299">
          <cell r="D1299" t="str">
            <v>Q3</v>
          </cell>
          <cell r="I1299" t="str">
            <v>77415_SF106477</v>
          </cell>
        </row>
        <row r="1300">
          <cell r="D1300" t="str">
            <v>Q3</v>
          </cell>
          <cell r="I1300" t="str">
            <v>C000001639_SW090104</v>
          </cell>
        </row>
        <row r="1301">
          <cell r="D1301" t="str">
            <v>Q4</v>
          </cell>
          <cell r="I1301" t="str">
            <v>C000002178_SW102692</v>
          </cell>
        </row>
        <row r="1302">
          <cell r="D1302" t="str">
            <v>Q3/Q4</v>
          </cell>
          <cell r="I1302" t="str">
            <v>39264_SW052292</v>
          </cell>
        </row>
        <row r="1303">
          <cell r="D1303" t="str">
            <v>Q1</v>
          </cell>
          <cell r="I1303" t="str">
            <v>C000001469_SW044801</v>
          </cell>
        </row>
        <row r="1304">
          <cell r="D1304" t="str">
            <v>Q3</v>
          </cell>
          <cell r="I1304" t="str">
            <v>C000001107_SW034040</v>
          </cell>
        </row>
        <row r="1305">
          <cell r="D1305" t="str">
            <v>R</v>
          </cell>
          <cell r="I1305" t="str">
            <v>69748_SW046990</v>
          </cell>
        </row>
        <row r="1306">
          <cell r="D1306" t="str">
            <v>Q4</v>
          </cell>
          <cell r="I1306" t="str">
            <v>85708_SW090104</v>
          </cell>
        </row>
        <row r="1307">
          <cell r="D1307" t="str">
            <v>NO ENTAR</v>
          </cell>
          <cell r="I1307" t="str">
            <v>82211_SF010404</v>
          </cell>
        </row>
        <row r="1308">
          <cell r="D1308" t="str">
            <v>Q3</v>
          </cell>
          <cell r="I1308" t="str">
            <v>C000000538_SW090104</v>
          </cell>
        </row>
        <row r="1309">
          <cell r="D1309" t="str">
            <v>Q3</v>
          </cell>
          <cell r="I1309" t="str">
            <v>C000002426_SW111073</v>
          </cell>
        </row>
        <row r="1310">
          <cell r="D1310" t="str">
            <v>Q2</v>
          </cell>
          <cell r="I1310" t="str">
            <v>C000001425_SW044801</v>
          </cell>
        </row>
        <row r="1311">
          <cell r="D1311" t="str">
            <v>Q1</v>
          </cell>
          <cell r="I1311" t="str">
            <v>C000002381_SW041276</v>
          </cell>
        </row>
        <row r="1312">
          <cell r="D1312" t="str">
            <v>Q1</v>
          </cell>
          <cell r="I1312" t="str">
            <v>C000001263_SW108150</v>
          </cell>
        </row>
        <row r="1313">
          <cell r="D1313" t="str">
            <v>Q1</v>
          </cell>
          <cell r="I1313" t="str">
            <v>C000001263_SJ108731</v>
          </cell>
        </row>
        <row r="1314">
          <cell r="D1314" t="str">
            <v>Q3</v>
          </cell>
          <cell r="I1314" t="str">
            <v>86169_SW041081</v>
          </cell>
        </row>
        <row r="1315">
          <cell r="D1315" t="str">
            <v>Q3</v>
          </cell>
          <cell r="I1315" t="str">
            <v>C000000969_SW041081</v>
          </cell>
        </row>
        <row r="1316">
          <cell r="D1316" t="str">
            <v>Q3</v>
          </cell>
          <cell r="I1316" t="str">
            <v>77914_SF106477</v>
          </cell>
        </row>
        <row r="1317">
          <cell r="D1317" t="str">
            <v>Q3</v>
          </cell>
          <cell r="I1317" t="str">
            <v>C000001349_SW108150</v>
          </cell>
        </row>
        <row r="1318">
          <cell r="D1318" t="str">
            <v>Q4</v>
          </cell>
          <cell r="I1318" t="str">
            <v>C000001334_SW108150</v>
          </cell>
        </row>
        <row r="1319">
          <cell r="D1319" t="str">
            <v>NO ENTAR</v>
          </cell>
          <cell r="I1319" t="str">
            <v>62601_SW090822</v>
          </cell>
        </row>
        <row r="1320">
          <cell r="D1320" t="str">
            <v>NO ENTAR</v>
          </cell>
          <cell r="I1320" t="str">
            <v>59339_SW101587</v>
          </cell>
        </row>
        <row r="1321">
          <cell r="D1321" t="str">
            <v>Q3</v>
          </cell>
          <cell r="I1321" t="str">
            <v>79845_SF002050</v>
          </cell>
        </row>
        <row r="1322">
          <cell r="D1322" t="str">
            <v>NO ENTAR</v>
          </cell>
          <cell r="I1322" t="str">
            <v>59339_SF106678</v>
          </cell>
        </row>
        <row r="1323">
          <cell r="D1323" t="str">
            <v>Q4</v>
          </cell>
          <cell r="I1323" t="str">
            <v>11051_SW000502</v>
          </cell>
        </row>
        <row r="1324">
          <cell r="D1324" t="str">
            <v>Q4</v>
          </cell>
          <cell r="I1324" t="str">
            <v>C000002516_SW052292</v>
          </cell>
        </row>
        <row r="1325">
          <cell r="D1325" t="str">
            <v>Q3</v>
          </cell>
          <cell r="I1325" t="str">
            <v>C000001639_SF106477</v>
          </cell>
        </row>
        <row r="1326">
          <cell r="D1326" t="str">
            <v>Q1</v>
          </cell>
          <cell r="I1326" t="str">
            <v>77415_SF106678</v>
          </cell>
        </row>
        <row r="1327">
          <cell r="D1327" t="str">
            <v>R</v>
          </cell>
          <cell r="I1327" t="str">
            <v>C000002591_SH089507</v>
          </cell>
        </row>
        <row r="1328">
          <cell r="D1328" t="str">
            <v>Q4</v>
          </cell>
          <cell r="I1328" t="str">
            <v>82635_SJ108803</v>
          </cell>
        </row>
        <row r="1329">
          <cell r="D1329" t="str">
            <v>Q4</v>
          </cell>
          <cell r="I1329" t="str">
            <v>C000001639_SW108150</v>
          </cell>
        </row>
        <row r="1330">
          <cell r="D1330" t="str">
            <v>Q3/Q4</v>
          </cell>
          <cell r="I1330" t="str">
            <v>C000000422_SF106678</v>
          </cell>
        </row>
        <row r="1331">
          <cell r="D1331" t="str">
            <v>Q3</v>
          </cell>
          <cell r="I1331" t="str">
            <v>C000001107_SW041081</v>
          </cell>
        </row>
        <row r="1332">
          <cell r="D1332" t="str">
            <v>Q1</v>
          </cell>
          <cell r="I1332" t="str">
            <v>C000001354_SW034040</v>
          </cell>
        </row>
        <row r="1333">
          <cell r="D1333" t="str">
            <v>R</v>
          </cell>
          <cell r="I1333" t="str">
            <v>C000001968_SJ110878</v>
          </cell>
        </row>
        <row r="1334">
          <cell r="D1334" t="str">
            <v>Q3</v>
          </cell>
          <cell r="I1334" t="str">
            <v>86169_SJ108731</v>
          </cell>
        </row>
        <row r="1335">
          <cell r="D1335" t="str">
            <v>Q2</v>
          </cell>
          <cell r="I1335" t="str">
            <v>C00002462_SJ108651</v>
          </cell>
        </row>
        <row r="1336">
          <cell r="D1336" t="str">
            <v>Q4</v>
          </cell>
          <cell r="I1336" t="str">
            <v>C000001142_SW106176</v>
          </cell>
        </row>
        <row r="1337">
          <cell r="D1337" t="str">
            <v>Q4</v>
          </cell>
          <cell r="I1337" t="str">
            <v>C000001111_SW041081</v>
          </cell>
        </row>
        <row r="1338">
          <cell r="D1338" t="str">
            <v>Q3</v>
          </cell>
          <cell r="I1338" t="str">
            <v>85440_SW034040</v>
          </cell>
        </row>
        <row r="1339">
          <cell r="D1339" t="str">
            <v>Q4</v>
          </cell>
          <cell r="I1339" t="str">
            <v>C000001706_SW034040</v>
          </cell>
        </row>
        <row r="1340">
          <cell r="D1340" t="str">
            <v>Q1</v>
          </cell>
          <cell r="I1340" t="str">
            <v>C000001653_SW108150</v>
          </cell>
        </row>
        <row r="1341">
          <cell r="D1341" t="str">
            <v>Q4</v>
          </cell>
          <cell r="I1341" t="str">
            <v>C000001679_SW041081</v>
          </cell>
        </row>
        <row r="1342">
          <cell r="D1342" t="str">
            <v>Q1</v>
          </cell>
          <cell r="I1342" t="str">
            <v>C000001437_SW044801</v>
          </cell>
        </row>
        <row r="1343">
          <cell r="D1343" t="str">
            <v>Q3</v>
          </cell>
          <cell r="I1343" t="str">
            <v>80910_SW101587</v>
          </cell>
        </row>
        <row r="1344">
          <cell r="D1344" t="str">
            <v>Q1</v>
          </cell>
          <cell r="I1344" t="str">
            <v>C000000051_SW102046</v>
          </cell>
        </row>
        <row r="1345">
          <cell r="D1345" t="str">
            <v>Q3</v>
          </cell>
          <cell r="I1345" t="str">
            <v>80580_SW108150</v>
          </cell>
        </row>
        <row r="1346">
          <cell r="D1346" t="str">
            <v>Q3/Q4</v>
          </cell>
          <cell r="I1346" t="str">
            <v>83966_SW087953</v>
          </cell>
        </row>
        <row r="1347">
          <cell r="D1347" t="str">
            <v>Q3</v>
          </cell>
          <cell r="I1347" t="str">
            <v>82329_SW034040</v>
          </cell>
        </row>
        <row r="1348">
          <cell r="D1348" t="str">
            <v>Q4</v>
          </cell>
          <cell r="I1348" t="str">
            <v>80986_SW054520</v>
          </cell>
        </row>
        <row r="1349">
          <cell r="D1349" t="str">
            <v>Q2</v>
          </cell>
          <cell r="I1349" t="str">
            <v>C000000654_SW041081</v>
          </cell>
        </row>
        <row r="1350">
          <cell r="D1350" t="str">
            <v>Q2</v>
          </cell>
          <cell r="I1350" t="str">
            <v>C000000560_SF106477</v>
          </cell>
        </row>
        <row r="1351">
          <cell r="D1351" t="str">
            <v>Q3</v>
          </cell>
          <cell r="I1351" t="str">
            <v>83969_SW087953</v>
          </cell>
        </row>
        <row r="1352">
          <cell r="D1352" t="str">
            <v>Q3</v>
          </cell>
          <cell r="I1352" t="str">
            <v>83739_SW041081</v>
          </cell>
        </row>
        <row r="1353">
          <cell r="D1353" t="str">
            <v>Q3</v>
          </cell>
          <cell r="I1353" t="str">
            <v>86433_SF106477</v>
          </cell>
        </row>
        <row r="1354">
          <cell r="D1354" t="str">
            <v>Q3</v>
          </cell>
          <cell r="I1354" t="str">
            <v>86170_SW041081</v>
          </cell>
        </row>
        <row r="1355">
          <cell r="D1355" t="str">
            <v>Q4</v>
          </cell>
          <cell r="I1355" t="str">
            <v>C000001706_SW050162</v>
          </cell>
        </row>
        <row r="1356">
          <cell r="D1356" t="str">
            <v>Q1</v>
          </cell>
          <cell r="I1356" t="str">
            <v>C000001263_SW041081</v>
          </cell>
        </row>
        <row r="1357">
          <cell r="D1357" t="str">
            <v>Q4</v>
          </cell>
          <cell r="I1357" t="str">
            <v>86044_SW034040</v>
          </cell>
        </row>
        <row r="1358">
          <cell r="D1358" t="str">
            <v>Q3</v>
          </cell>
          <cell r="I1358" t="str">
            <v>78382_SF048858</v>
          </cell>
        </row>
        <row r="1359">
          <cell r="D1359" t="str">
            <v>Q4</v>
          </cell>
          <cell r="I1359" t="str">
            <v>79255_SF010348</v>
          </cell>
        </row>
        <row r="1360">
          <cell r="D1360" t="str">
            <v>Q3</v>
          </cell>
          <cell r="I1360" t="str">
            <v>85107_SW041276</v>
          </cell>
        </row>
        <row r="1361">
          <cell r="D1361" t="str">
            <v>Q4</v>
          </cell>
          <cell r="I1361" t="str">
            <v>C000002423_SW111069</v>
          </cell>
        </row>
        <row r="1362">
          <cell r="D1362" t="str">
            <v>Q3</v>
          </cell>
          <cell r="I1362" t="str">
            <v>C000002559_SW107322</v>
          </cell>
        </row>
        <row r="1363">
          <cell r="D1363" t="str">
            <v>Q4</v>
          </cell>
          <cell r="I1363" t="str">
            <v>C000000498_SW090104</v>
          </cell>
        </row>
        <row r="1364">
          <cell r="D1364" t="str">
            <v>Q4</v>
          </cell>
          <cell r="I1364" t="str">
            <v>C000001739_SF106477</v>
          </cell>
        </row>
        <row r="1365">
          <cell r="D1365" t="str">
            <v>Q3</v>
          </cell>
          <cell r="I1365" t="str">
            <v>C000002451_SJ108651</v>
          </cell>
        </row>
        <row r="1366">
          <cell r="D1366" t="str">
            <v>Q3</v>
          </cell>
          <cell r="I1366" t="str">
            <v>84088_SW050162</v>
          </cell>
        </row>
        <row r="1367">
          <cell r="D1367" t="str">
            <v>Q4</v>
          </cell>
          <cell r="I1367" t="str">
            <v>85440_SW050162</v>
          </cell>
        </row>
        <row r="1368">
          <cell r="D1368" t="str">
            <v>Q4</v>
          </cell>
          <cell r="I1368" t="str">
            <v>C000001561_SF106678</v>
          </cell>
        </row>
        <row r="1369">
          <cell r="D1369" t="str">
            <v>Q3</v>
          </cell>
          <cell r="I1369" t="str">
            <v>82919_SW090104</v>
          </cell>
        </row>
        <row r="1370">
          <cell r="D1370" t="str">
            <v>Q2</v>
          </cell>
          <cell r="I1370" t="str">
            <v>C000002322_SF105061</v>
          </cell>
        </row>
        <row r="1371">
          <cell r="D1371" t="str">
            <v>NO ENTAR</v>
          </cell>
          <cell r="I1371" t="str">
            <v>C000000538_SW041081</v>
          </cell>
        </row>
        <row r="1372">
          <cell r="D1372" t="str">
            <v>NO ENTAR</v>
          </cell>
          <cell r="I1372" t="str">
            <v>C000000615_SW106176</v>
          </cell>
        </row>
        <row r="1373">
          <cell r="D1373" t="str">
            <v>NO ENTAR</v>
          </cell>
          <cell r="I1373" t="str">
            <v>C000002035_SW106176</v>
          </cell>
        </row>
        <row r="1374">
          <cell r="D1374" t="str">
            <v>Q1</v>
          </cell>
          <cell r="I1374" t="str">
            <v>C000002421_SW106176</v>
          </cell>
        </row>
        <row r="1375">
          <cell r="D1375" t="str">
            <v>Q3</v>
          </cell>
          <cell r="I1375" t="str">
            <v>C000002432_SF106477</v>
          </cell>
        </row>
        <row r="1376">
          <cell r="D1376" t="str">
            <v>Q1</v>
          </cell>
          <cell r="I1376" t="str">
            <v>51276_SF051188</v>
          </cell>
        </row>
        <row r="1377">
          <cell r="D1377" t="str">
            <v>Q4</v>
          </cell>
          <cell r="I1377" t="str">
            <v>C000000582_SF060100</v>
          </cell>
        </row>
        <row r="1378">
          <cell r="D1378" t="str">
            <v>Q1</v>
          </cell>
          <cell r="I1378" t="str">
            <v>C000002322_SW105058</v>
          </cell>
        </row>
        <row r="1379">
          <cell r="D1379" t="str">
            <v>Q1</v>
          </cell>
          <cell r="I1379" t="str">
            <v>C000001679_SF048858</v>
          </cell>
        </row>
        <row r="1380">
          <cell r="D1380" t="str">
            <v>Q4</v>
          </cell>
          <cell r="I1380" t="str">
            <v>C000001679_SF106477</v>
          </cell>
        </row>
        <row r="1381">
          <cell r="D1381" t="str">
            <v>Q4</v>
          </cell>
          <cell r="I1381" t="str">
            <v>23598_SW000770</v>
          </cell>
        </row>
        <row r="1382">
          <cell r="D1382" t="str">
            <v>R</v>
          </cell>
          <cell r="I1382" t="str">
            <v>57400_SW040924</v>
          </cell>
        </row>
        <row r="1383">
          <cell r="D1383" t="str">
            <v>R</v>
          </cell>
          <cell r="I1383" t="str">
            <v>80831_SW108281</v>
          </cell>
        </row>
        <row r="1384">
          <cell r="D1384" t="str">
            <v>Q1</v>
          </cell>
          <cell r="I1384" t="str">
            <v>84144_SW052249</v>
          </cell>
        </row>
        <row r="1385">
          <cell r="D1385" t="str">
            <v>Q1</v>
          </cell>
          <cell r="I1385" t="str">
            <v>C000001968_SJ110878</v>
          </cell>
        </row>
        <row r="1386">
          <cell r="D1386" t="str">
            <v>Q3</v>
          </cell>
          <cell r="I1386" t="str">
            <v>C000000027_SF010404</v>
          </cell>
        </row>
        <row r="1387">
          <cell r="D1387" t="str">
            <v>Q2</v>
          </cell>
          <cell r="I1387" t="str">
            <v>C000001354_SF106477</v>
          </cell>
        </row>
        <row r="1388">
          <cell r="D1388" t="str">
            <v>Q1</v>
          </cell>
          <cell r="I1388" t="str">
            <v>80333_SF106477</v>
          </cell>
        </row>
        <row r="1389">
          <cell r="D1389" t="str">
            <v>Q3</v>
          </cell>
          <cell r="I1389" t="str">
            <v>80665_SW042931</v>
          </cell>
        </row>
        <row r="1390">
          <cell r="D1390" t="str">
            <v>Q1/Q2</v>
          </cell>
          <cell r="I1390" t="str">
            <v>73128_SW000633</v>
          </cell>
        </row>
        <row r="1391">
          <cell r="D1391" t="str">
            <v>Q2</v>
          </cell>
          <cell r="I1391" t="str">
            <v>C000001263_SW106176</v>
          </cell>
        </row>
        <row r="1392">
          <cell r="D1392" t="str">
            <v>Q3</v>
          </cell>
          <cell r="I1392" t="str">
            <v>C000002560_SW104745</v>
          </cell>
        </row>
        <row r="1393">
          <cell r="D1393" t="str">
            <v>Q3</v>
          </cell>
          <cell r="I1393" t="str">
            <v>87475_SW084573</v>
          </cell>
        </row>
        <row r="1394">
          <cell r="D1394" t="str">
            <v>Q3</v>
          </cell>
          <cell r="I1394" t="str">
            <v>C000001107_SW048803</v>
          </cell>
        </row>
        <row r="1395">
          <cell r="D1395" t="str">
            <v>R</v>
          </cell>
          <cell r="I1395" t="str">
            <v>C000002056_SJ110877</v>
          </cell>
        </row>
        <row r="1396">
          <cell r="D1396" t="str">
            <v>Q4</v>
          </cell>
          <cell r="I1396" t="str">
            <v>C000002420_SW106176</v>
          </cell>
        </row>
        <row r="1397">
          <cell r="D1397" t="str">
            <v>Q3</v>
          </cell>
          <cell r="I1397" t="str">
            <v>C000002560_SW042931</v>
          </cell>
        </row>
        <row r="1398">
          <cell r="D1398" t="str">
            <v>Q1</v>
          </cell>
          <cell r="I1398" t="str">
            <v>56472_SJ108825-194</v>
          </cell>
        </row>
        <row r="1399">
          <cell r="D1399" t="str">
            <v>Q3</v>
          </cell>
          <cell r="I1399" t="str">
            <v>C000001357_SF010348</v>
          </cell>
        </row>
        <row r="1400">
          <cell r="D1400" t="str">
            <v>Q1</v>
          </cell>
          <cell r="I1400" t="str">
            <v>22288_SW053628-SB7033</v>
          </cell>
        </row>
        <row r="1401">
          <cell r="D1401" t="str">
            <v>Q1</v>
          </cell>
          <cell r="I1401" t="str">
            <v>C000001725_SF106477</v>
          </cell>
        </row>
        <row r="1402">
          <cell r="D1402" t="str">
            <v>Q3</v>
          </cell>
          <cell r="I1402" t="str">
            <v>C000002557_SW107322</v>
          </cell>
        </row>
        <row r="1403">
          <cell r="D1403" t="str">
            <v>Q1</v>
          </cell>
          <cell r="I1403" t="str">
            <v>C000002420_SW041081</v>
          </cell>
        </row>
        <row r="1404">
          <cell r="D1404" t="str">
            <v>Q1</v>
          </cell>
          <cell r="I1404" t="str">
            <v>C000001354_SW050162</v>
          </cell>
        </row>
        <row r="1405">
          <cell r="D1405" t="str">
            <v>Q4</v>
          </cell>
          <cell r="I1405" t="str">
            <v>85708_SF106678</v>
          </cell>
        </row>
        <row r="1406">
          <cell r="D1406" t="str">
            <v>Q2</v>
          </cell>
          <cell r="I1406" t="str">
            <v>C000001724_SF106477</v>
          </cell>
        </row>
        <row r="1407">
          <cell r="D1407" t="str">
            <v>R</v>
          </cell>
          <cell r="I1407" t="str">
            <v>C000001680_SW106176</v>
          </cell>
        </row>
        <row r="1408">
          <cell r="D1408" t="str">
            <v>R</v>
          </cell>
          <cell r="I1408" t="str">
            <v>C000002055_SJ110878</v>
          </cell>
        </row>
        <row r="1409">
          <cell r="D1409" t="str">
            <v>Q1</v>
          </cell>
          <cell r="I1409" t="str">
            <v>C000001724_SW048803</v>
          </cell>
        </row>
        <row r="1410">
          <cell r="D1410" t="str">
            <v>Q4</v>
          </cell>
          <cell r="I1410" t="str">
            <v>C000002693_SW034040</v>
          </cell>
        </row>
        <row r="1411">
          <cell r="D1411" t="str">
            <v>R</v>
          </cell>
          <cell r="I1411" t="str">
            <v>C000001676_SW090104</v>
          </cell>
        </row>
        <row r="1412">
          <cell r="D1412" t="str">
            <v>R</v>
          </cell>
          <cell r="I1412" t="str">
            <v>C000001676_SW101499</v>
          </cell>
        </row>
        <row r="1413">
          <cell r="D1413" t="str">
            <v>Q3</v>
          </cell>
          <cell r="I1413" t="str">
            <v>82919_sw101499</v>
          </cell>
        </row>
        <row r="1414">
          <cell r="D1414" t="str">
            <v>Q1</v>
          </cell>
          <cell r="I1414" t="str">
            <v>75938_SW109084</v>
          </cell>
        </row>
        <row r="1415">
          <cell r="D1415" t="str">
            <v>Q3</v>
          </cell>
          <cell r="I1415" t="str">
            <v>C000002421_SW041081</v>
          </cell>
        </row>
        <row r="1416">
          <cell r="D1416" t="str">
            <v>NO</v>
          </cell>
          <cell r="I1416" t="str">
            <v>C000001679_SW041081</v>
          </cell>
        </row>
        <row r="1417">
          <cell r="D1417" t="str">
            <v>NO</v>
          </cell>
          <cell r="I1417" t="str">
            <v>C000001739_SF106477</v>
          </cell>
        </row>
        <row r="1418">
          <cell r="D1418" t="str">
            <v>R</v>
          </cell>
          <cell r="I1418" t="str">
            <v>C000002701_SW105748</v>
          </cell>
        </row>
        <row r="1419">
          <cell r="D1419" t="str">
            <v>Q4</v>
          </cell>
          <cell r="I1419" t="str">
            <v>85708_SW048803</v>
          </cell>
        </row>
        <row r="1420">
          <cell r="D1420" t="str">
            <v>R</v>
          </cell>
          <cell r="I1420" t="str">
            <v>C000000575_SW050162</v>
          </cell>
        </row>
        <row r="1421">
          <cell r="D1421" t="str">
            <v>R</v>
          </cell>
          <cell r="I1421" t="str">
            <v>C000002423_SJ111083</v>
          </cell>
        </row>
        <row r="1422">
          <cell r="D1422" t="str">
            <v>R</v>
          </cell>
          <cell r="I1422" t="str">
            <v>C000000575_SW034040</v>
          </cell>
        </row>
        <row r="1423">
          <cell r="D1423" t="str">
            <v>Q2</v>
          </cell>
          <cell r="I1423" t="str">
            <v>C000001469_SW048171</v>
          </cell>
        </row>
        <row r="1424">
          <cell r="D1424" t="str">
            <v>Q2</v>
          </cell>
          <cell r="I1424" t="str">
            <v>76537_SW052249</v>
          </cell>
        </row>
        <row r="1425">
          <cell r="D1425" t="str">
            <v>R</v>
          </cell>
          <cell r="I1425" t="str">
            <v>C000002450_SJ108651</v>
          </cell>
        </row>
        <row r="1426">
          <cell r="D1426" t="str">
            <v>Q1</v>
          </cell>
          <cell r="I1426" t="str">
            <v>C000001391_SW090104</v>
          </cell>
        </row>
        <row r="1427">
          <cell r="D1427" t="str">
            <v>Q4</v>
          </cell>
          <cell r="I1427" t="str">
            <v>C000002398_SW107322</v>
          </cell>
        </row>
        <row r="1428">
          <cell r="D1428" t="str">
            <v>Q1</v>
          </cell>
          <cell r="I1428" t="str">
            <v>C0000002423_SW111073</v>
          </cell>
        </row>
        <row r="1429">
          <cell r="D1429" t="str">
            <v>Q3</v>
          </cell>
          <cell r="I1429" t="str">
            <v>85033_SW050162</v>
          </cell>
        </row>
        <row r="1430">
          <cell r="D1430" t="str">
            <v>Q4</v>
          </cell>
          <cell r="I1430" t="str">
            <v>C000001950_SW087953</v>
          </cell>
        </row>
        <row r="1431">
          <cell r="D1431" t="str">
            <v>Q2</v>
          </cell>
          <cell r="I1431" t="str">
            <v>11051_SW000770</v>
          </cell>
        </row>
        <row r="1432">
          <cell r="D1432" t="str">
            <v>Q1</v>
          </cell>
          <cell r="I1432" t="str">
            <v>C000002178_SF051188</v>
          </cell>
        </row>
        <row r="1433">
          <cell r="D1433" t="str">
            <v>Q4</v>
          </cell>
          <cell r="I1433" t="str">
            <v>85708_SF048858</v>
          </cell>
        </row>
        <row r="1434">
          <cell r="D1434" t="str">
            <v>Q4</v>
          </cell>
          <cell r="I1434" t="str">
            <v>C000001409_SW001167</v>
          </cell>
        </row>
        <row r="1435">
          <cell r="D1435" t="str">
            <v>Q4</v>
          </cell>
          <cell r="I1435" t="str">
            <v>86044_SW085043</v>
          </cell>
        </row>
        <row r="1436">
          <cell r="D1436" t="str">
            <v>Q3</v>
          </cell>
          <cell r="I1436" t="str">
            <v>C000001926_SW087953</v>
          </cell>
        </row>
        <row r="1437">
          <cell r="D1437" t="str">
            <v>Q4</v>
          </cell>
          <cell r="I1437" t="str">
            <v>C000001142_SW260011571</v>
          </cell>
        </row>
        <row r="1438">
          <cell r="D1438" t="str">
            <v>Q3</v>
          </cell>
          <cell r="I1438" t="str">
            <v>34179_SW101405</v>
          </cell>
        </row>
        <row r="1439">
          <cell r="D1439" t="str">
            <v>Q3</v>
          </cell>
          <cell r="I1439" t="str">
            <v>C000000969_SF048858</v>
          </cell>
        </row>
        <row r="1440">
          <cell r="D1440" t="str">
            <v>Q4</v>
          </cell>
          <cell r="I1440" t="str">
            <v>C000001706_SW101405</v>
          </cell>
        </row>
        <row r="1441">
          <cell r="D1441" t="str">
            <v>Q3</v>
          </cell>
          <cell r="I1441" t="str">
            <v>C000002261_SW084573</v>
          </cell>
        </row>
        <row r="1442">
          <cell r="D1442" t="str">
            <v>R</v>
          </cell>
          <cell r="I1442" t="str">
            <v>23598_SW100177</v>
          </cell>
        </row>
        <row r="1443">
          <cell r="D1443" t="str">
            <v>Q3</v>
          </cell>
          <cell r="I1443" t="str">
            <v>74827_SW050162</v>
          </cell>
        </row>
        <row r="1444">
          <cell r="D1444" t="str">
            <v>Q4</v>
          </cell>
          <cell r="I1444" t="str">
            <v>C000002027_SJ109863</v>
          </cell>
        </row>
        <row r="1445">
          <cell r="D1445" t="str">
            <v>Q4</v>
          </cell>
          <cell r="I1445" t="str">
            <v>C000002027_SJ109733</v>
          </cell>
        </row>
        <row r="1446">
          <cell r="D1446" t="str">
            <v>Q2</v>
          </cell>
          <cell r="I1446" t="str">
            <v>C000002561_SW107322</v>
          </cell>
        </row>
        <row r="1447">
          <cell r="D1447" t="str">
            <v>Q3</v>
          </cell>
          <cell r="I1447" t="str">
            <v>C000002638_SW107322</v>
          </cell>
        </row>
        <row r="1448">
          <cell r="D1448" t="str">
            <v>Q3</v>
          </cell>
          <cell r="I1448" t="str">
            <v>C000001626_SF048858</v>
          </cell>
        </row>
        <row r="1449">
          <cell r="D1449" t="str">
            <v>R</v>
          </cell>
          <cell r="I1449" t="str">
            <v>C000002447_SW108930</v>
          </cell>
        </row>
        <row r="1450">
          <cell r="D1450" t="str">
            <v>Q4</v>
          </cell>
          <cell r="I1450" t="str">
            <v>01354_SK104546</v>
          </cell>
        </row>
        <row r="1451">
          <cell r="D1451" t="str">
            <v>Q1</v>
          </cell>
          <cell r="I1451" t="str">
            <v>C000001565_SW087953</v>
          </cell>
        </row>
        <row r="1452">
          <cell r="D1452" t="str">
            <v>Q2</v>
          </cell>
          <cell r="I1452" t="str">
            <v>C000001748_SW087953</v>
          </cell>
        </row>
        <row r="1453">
          <cell r="D1453" t="str">
            <v>R</v>
          </cell>
          <cell r="I1453" t="str">
            <v>62123_SK104546</v>
          </cell>
        </row>
        <row r="1454">
          <cell r="D1454" t="str">
            <v>Q4</v>
          </cell>
          <cell r="I1454" t="str">
            <v>71621_SK104546</v>
          </cell>
        </row>
        <row r="1455">
          <cell r="D1455" t="str">
            <v>Q3</v>
          </cell>
          <cell r="I1455" t="str">
            <v>C000002432_SF048858</v>
          </cell>
        </row>
        <row r="1456">
          <cell r="D1456" t="str">
            <v>Q1</v>
          </cell>
          <cell r="I1456" t="str">
            <v>C000002453_SW048171</v>
          </cell>
        </row>
        <row r="1457">
          <cell r="D1457" t="str">
            <v>Q4</v>
          </cell>
          <cell r="I1457" t="str">
            <v>C000001679_SW101405</v>
          </cell>
        </row>
        <row r="1458">
          <cell r="D1458" t="str">
            <v>Q1</v>
          </cell>
          <cell r="I1458" t="str">
            <v>C000001679_SW034040</v>
          </cell>
        </row>
        <row r="1459">
          <cell r="D1459" t="str">
            <v>Q3</v>
          </cell>
          <cell r="I1459" t="str">
            <v>C000001626_SF106477</v>
          </cell>
        </row>
        <row r="1460">
          <cell r="D1460" t="str">
            <v>Q3</v>
          </cell>
          <cell r="I1460" t="str">
            <v>C000002698_SF106477</v>
          </cell>
        </row>
        <row r="1461">
          <cell r="D1461" t="str">
            <v>Q1</v>
          </cell>
          <cell r="I1461" t="str">
            <v>C000002643_SW101499</v>
          </cell>
        </row>
        <row r="1462">
          <cell r="D1462" t="str">
            <v>Q1</v>
          </cell>
          <cell r="I1462" t="str">
            <v>C000001111_SW041081</v>
          </cell>
        </row>
        <row r="1463">
          <cell r="D1463" t="str">
            <v>Q1</v>
          </cell>
          <cell r="I1463" t="str">
            <v>C000002385_SF051188</v>
          </cell>
        </row>
        <row r="1464">
          <cell r="D1464" t="str">
            <v>Q2</v>
          </cell>
          <cell r="I1464" t="str">
            <v>C000002640_SW104745</v>
          </cell>
        </row>
        <row r="1465">
          <cell r="D1465" t="str">
            <v>Q2</v>
          </cell>
          <cell r="I1465" t="str">
            <v>34988_SW051910</v>
          </cell>
        </row>
        <row r="1466">
          <cell r="D1466" t="str">
            <v>Q3</v>
          </cell>
          <cell r="I1466" t="str">
            <v>77917_SF048858</v>
          </cell>
        </row>
        <row r="1467">
          <cell r="D1467" t="str">
            <v>Q2</v>
          </cell>
          <cell r="I1467" t="str">
            <v>C000001107_SW034040</v>
          </cell>
        </row>
        <row r="1468">
          <cell r="D1468" t="str">
            <v>Q4</v>
          </cell>
          <cell r="I1468" t="str">
            <v>66168_SW084573</v>
          </cell>
        </row>
        <row r="1469">
          <cell r="D1469" t="str">
            <v>Q1</v>
          </cell>
          <cell r="I1469" t="str">
            <v>C000001354_SW085043</v>
          </cell>
        </row>
        <row r="1470">
          <cell r="D1470" t="str">
            <v>Q1</v>
          </cell>
          <cell r="I1470" t="str">
            <v>C000002555_SW001167</v>
          </cell>
        </row>
        <row r="1471">
          <cell r="D1471" t="str">
            <v>Q2</v>
          </cell>
          <cell r="I1471" t="str">
            <v>59339_SW050162</v>
          </cell>
        </row>
        <row r="1472">
          <cell r="D1472" t="str">
            <v>Q4</v>
          </cell>
          <cell r="I1472" t="str">
            <v>C000002730_SW001167</v>
          </cell>
        </row>
        <row r="1473">
          <cell r="D1473" t="str">
            <v>Q3</v>
          </cell>
          <cell r="I1473" t="str">
            <v>78382_SW108050</v>
          </cell>
        </row>
        <row r="1474">
          <cell r="D1474" t="str">
            <v>Q4</v>
          </cell>
          <cell r="I1474" t="str">
            <v>C000001706_SW100755</v>
          </cell>
        </row>
        <row r="1475">
          <cell r="D1475" t="str">
            <v>Q3</v>
          </cell>
          <cell r="I1475" t="str">
            <v>85033_SW051910</v>
          </cell>
        </row>
        <row r="1476">
          <cell r="D1476" t="str">
            <v>Q1</v>
          </cell>
          <cell r="I1476" t="str">
            <v>59236_SF010404</v>
          </cell>
        </row>
        <row r="1477">
          <cell r="D1477" t="str">
            <v>Q3</v>
          </cell>
          <cell r="I1477" t="str">
            <v>71621_SW106955</v>
          </cell>
        </row>
        <row r="1478">
          <cell r="D1478" t="str">
            <v>Q3</v>
          </cell>
          <cell r="I1478" t="str">
            <v>71623_SW107053</v>
          </cell>
        </row>
        <row r="1479">
          <cell r="D1479" t="str">
            <v>Q3</v>
          </cell>
          <cell r="I1479" t="str">
            <v>71621_SW107053</v>
          </cell>
        </row>
        <row r="1480">
          <cell r="D1480" t="str">
            <v>NO ENTAR</v>
          </cell>
          <cell r="I1480" t="str">
            <v>52689_SW107378</v>
          </cell>
        </row>
        <row r="1481">
          <cell r="D1481" t="str">
            <v>NO ENTAR</v>
          </cell>
          <cell r="I1481" t="str">
            <v>74827_SW108150</v>
          </cell>
        </row>
        <row r="1482">
          <cell r="D1482" t="str">
            <v>Q3</v>
          </cell>
          <cell r="I1482" t="str">
            <v>39848_SW050162</v>
          </cell>
        </row>
        <row r="1483">
          <cell r="D1483" t="str">
            <v>R</v>
          </cell>
          <cell r="I1483" t="str">
            <v>62123_SW106959</v>
          </cell>
        </row>
        <row r="1484">
          <cell r="D1484" t="str">
            <v>R</v>
          </cell>
          <cell r="I1484" t="str">
            <v>62123_SW107053</v>
          </cell>
        </row>
        <row r="1485">
          <cell r="D1485" t="str">
            <v>NO ENTAR</v>
          </cell>
          <cell r="I1485" t="str">
            <v>71623_SW107263</v>
          </cell>
        </row>
        <row r="1486">
          <cell r="D1486" t="str">
            <v>NO ENTAR</v>
          </cell>
          <cell r="I1486" t="str">
            <v>72251_SW107263</v>
          </cell>
        </row>
        <row r="1487">
          <cell r="D1487" t="str">
            <v>NO ENTAR</v>
          </cell>
          <cell r="I1487" t="str">
            <v>71623_SW106959</v>
          </cell>
        </row>
        <row r="1488">
          <cell r="D1488" t="str">
            <v>R</v>
          </cell>
          <cell r="I1488" t="str">
            <v>29244_SW048171</v>
          </cell>
        </row>
        <row r="1489">
          <cell r="D1489" t="str">
            <v>R</v>
          </cell>
          <cell r="I1489" t="str">
            <v>77104_SW105748</v>
          </cell>
        </row>
        <row r="1490">
          <cell r="D1490" t="str">
            <v>Q4</v>
          </cell>
          <cell r="I1490" t="str">
            <v>86555_SW084573</v>
          </cell>
        </row>
        <row r="1491">
          <cell r="D1491" t="str">
            <v>NO ENTAR</v>
          </cell>
          <cell r="I1491" t="str">
            <v>C000002115_SW048171</v>
          </cell>
        </row>
        <row r="1492">
          <cell r="D1492" t="str">
            <v>NO ENTAR</v>
          </cell>
          <cell r="I1492" t="str">
            <v>C000001391_SW108150</v>
          </cell>
        </row>
        <row r="1493">
          <cell r="D1493" t="str">
            <v>NO ENTAR</v>
          </cell>
          <cell r="I1493" t="str">
            <v>C000001679_SW108150</v>
          </cell>
        </row>
        <row r="1494">
          <cell r="D1494" t="str">
            <v>R</v>
          </cell>
          <cell r="I1494" t="str">
            <v>C000002562_SW107322</v>
          </cell>
        </row>
        <row r="1495">
          <cell r="D1495" t="str">
            <v>R</v>
          </cell>
          <cell r="I1495" t="str">
            <v>C000002562_SW104745</v>
          </cell>
        </row>
        <row r="1496">
          <cell r="D1496" t="str">
            <v>Q3</v>
          </cell>
          <cell r="I1496" t="str">
            <v>71621_SW107263</v>
          </cell>
        </row>
        <row r="1497">
          <cell r="D1497" t="str">
            <v>Q4</v>
          </cell>
          <cell r="I1497" t="str">
            <v>C000002260_SW084573</v>
          </cell>
        </row>
        <row r="1498">
          <cell r="D1498" t="str">
            <v>Q3</v>
          </cell>
          <cell r="I1498" t="str">
            <v>87415_SW102692</v>
          </cell>
        </row>
        <row r="1499">
          <cell r="D1499" t="str">
            <v>Q4</v>
          </cell>
          <cell r="I1499" t="str">
            <v>C000002425_SW048171</v>
          </cell>
        </row>
        <row r="1500">
          <cell r="D1500" t="str">
            <v>Q1</v>
          </cell>
          <cell r="I1500" t="str">
            <v>C000002685_SW018108</v>
          </cell>
        </row>
        <row r="1501">
          <cell r="D1501" t="str">
            <v>Q1</v>
          </cell>
          <cell r="I1501" t="str">
            <v>C000001354_SW100755</v>
          </cell>
        </row>
        <row r="1502">
          <cell r="D1502" t="str">
            <v>Q2</v>
          </cell>
          <cell r="I1502" t="str">
            <v>C000002556_SW001167</v>
          </cell>
        </row>
        <row r="1503">
          <cell r="D1503" t="str">
            <v>Q4</v>
          </cell>
          <cell r="I1503" t="str">
            <v>71621_SW106959</v>
          </cell>
        </row>
        <row r="1504">
          <cell r="D1504" t="str">
            <v>R</v>
          </cell>
          <cell r="I1504" t="str">
            <v>74657_SW105748</v>
          </cell>
        </row>
        <row r="1505">
          <cell r="D1505" t="str">
            <v>Q1</v>
          </cell>
          <cell r="I1505" t="str">
            <v>C000001041_SW106176</v>
          </cell>
        </row>
        <row r="1506">
          <cell r="D1506" t="str">
            <v>Q1</v>
          </cell>
          <cell r="I1506" t="str">
            <v>C000002693_SW100755</v>
          </cell>
        </row>
        <row r="1507">
          <cell r="D1507" t="str">
            <v>Q2</v>
          </cell>
          <cell r="I1507" t="str">
            <v>85699_SW084573</v>
          </cell>
        </row>
        <row r="1508">
          <cell r="D1508" t="str">
            <v>Q1</v>
          </cell>
          <cell r="I1508" t="str">
            <v>C000001751_SW099504</v>
          </cell>
        </row>
        <row r="1509">
          <cell r="D1509" t="str">
            <v>Q2</v>
          </cell>
          <cell r="I1509" t="str">
            <v>C000001749_SW099504</v>
          </cell>
        </row>
        <row r="1510">
          <cell r="D1510" t="str">
            <v>Q2</v>
          </cell>
          <cell r="I1510" t="str">
            <v>C000001108_SW041081</v>
          </cell>
        </row>
        <row r="1511">
          <cell r="D1511" t="str">
            <v>Q1</v>
          </cell>
          <cell r="I1511" t="str">
            <v>C000002424_SJ111083</v>
          </cell>
        </row>
        <row r="1512">
          <cell r="D1512" t="str">
            <v>Q1</v>
          </cell>
          <cell r="I1512" t="str">
            <v>C000001926_SW084573</v>
          </cell>
        </row>
        <row r="1513">
          <cell r="D1513" t="str">
            <v>Q1</v>
          </cell>
          <cell r="I1513" t="str">
            <v>C000001041_SW108150</v>
          </cell>
        </row>
        <row r="1514">
          <cell r="D1514" t="str">
            <v>Q2</v>
          </cell>
          <cell r="I1514" t="str">
            <v>85033_SW051910</v>
          </cell>
        </row>
        <row r="1515">
          <cell r="D1515" t="str">
            <v>Q3</v>
          </cell>
          <cell r="I1515" t="str">
            <v>C000001301_SJ106665</v>
          </cell>
        </row>
        <row r="1516">
          <cell r="D1516" t="str">
            <v>R</v>
          </cell>
          <cell r="I1516" t="str">
            <v>75631_SF06100</v>
          </cell>
        </row>
        <row r="1517">
          <cell r="D1517" t="str">
            <v>R</v>
          </cell>
          <cell r="I1517" t="str">
            <v>C000000575_SW100755</v>
          </cell>
        </row>
        <row r="1518">
          <cell r="D1518" t="str">
            <v>R</v>
          </cell>
          <cell r="I1518" t="str">
            <v>C000000575_SW101405</v>
          </cell>
        </row>
        <row r="1519">
          <cell r="D1519" t="str">
            <v>Q2</v>
          </cell>
          <cell r="I1519" t="str">
            <v>C000002424_SW111069</v>
          </cell>
        </row>
        <row r="1520">
          <cell r="D1520" t="str">
            <v>Q4</v>
          </cell>
          <cell r="I1520" t="str">
            <v>C000002426_SW111069</v>
          </cell>
        </row>
        <row r="1521">
          <cell r="D1521" t="str">
            <v>Q3</v>
          </cell>
          <cell r="I1521" t="str">
            <v>C000002431_SJ111083</v>
          </cell>
        </row>
        <row r="1522">
          <cell r="D1522" t="str">
            <v>Q3</v>
          </cell>
          <cell r="I1522" t="str">
            <v>C000002428_SW048171</v>
          </cell>
        </row>
        <row r="1523">
          <cell r="D1523" t="str">
            <v>Q1</v>
          </cell>
          <cell r="I1523" t="str">
            <v>C000002693_SW101405</v>
          </cell>
        </row>
        <row r="1524">
          <cell r="D1524" t="str">
            <v>Q3</v>
          </cell>
          <cell r="I1524" t="str">
            <v>77914_SW108150</v>
          </cell>
        </row>
        <row r="1525">
          <cell r="D1525" t="str">
            <v>Q4</v>
          </cell>
          <cell r="I1525" t="str">
            <v>53007_SF106678</v>
          </cell>
        </row>
        <row r="1526">
          <cell r="D1526" t="str">
            <v>Q1</v>
          </cell>
          <cell r="I1526" t="str">
            <v>54408_SW001166</v>
          </cell>
        </row>
        <row r="1527">
          <cell r="D1527" t="str">
            <v>Q4</v>
          </cell>
          <cell r="I1527" t="str">
            <v>74827_SW050162</v>
          </cell>
        </row>
        <row r="1528">
          <cell r="D1528" t="str">
            <v>Q4</v>
          </cell>
          <cell r="I1528" t="str">
            <v>59339_SW108150</v>
          </cell>
        </row>
        <row r="1529">
          <cell r="D1529" t="str">
            <v>Q3</v>
          </cell>
          <cell r="I1529" t="str">
            <v>87513_SJ109435</v>
          </cell>
        </row>
        <row r="1530">
          <cell r="D1530" t="str">
            <v>Q3</v>
          </cell>
          <cell r="I1530" t="str">
            <v>87513_SJ109854</v>
          </cell>
        </row>
        <row r="1531">
          <cell r="D1531" t="str">
            <v>Q3</v>
          </cell>
          <cell r="I1531" t="str">
            <v>C000002261_SW084573</v>
          </cell>
        </row>
        <row r="1532">
          <cell r="D1532" t="str">
            <v>Q3</v>
          </cell>
          <cell r="I1532" t="str">
            <v>C000001706_SW034040</v>
          </cell>
        </row>
        <row r="1533">
          <cell r="D1533" t="str">
            <v>Q4</v>
          </cell>
          <cell r="I1533" t="str">
            <v>C000001354_SW034040</v>
          </cell>
        </row>
        <row r="1534">
          <cell r="D1534" t="str">
            <v>Q2</v>
          </cell>
          <cell r="I1534" t="str">
            <v>85440_SW034040</v>
          </cell>
        </row>
        <row r="1535">
          <cell r="D1535" t="str">
            <v>Q3</v>
          </cell>
          <cell r="I1535" t="str">
            <v>C0000002421_SW041081</v>
          </cell>
        </row>
        <row r="1536">
          <cell r="D1536" t="str">
            <v>R</v>
          </cell>
          <cell r="I1536" t="str">
            <v>C000002381_SW090822</v>
          </cell>
        </row>
        <row r="1537">
          <cell r="D1537" t="str">
            <v>Q1</v>
          </cell>
          <cell r="I1537" t="str">
            <v>61851_SW106959</v>
          </cell>
        </row>
        <row r="1538">
          <cell r="D1538" t="str">
            <v>Q1</v>
          </cell>
          <cell r="I1538" t="str">
            <v>71564_SW107053</v>
          </cell>
        </row>
        <row r="1539">
          <cell r="D1539" t="str">
            <v>Q4</v>
          </cell>
          <cell r="I1539" t="str">
            <v>71564_SW106959</v>
          </cell>
        </row>
        <row r="1540">
          <cell r="D1540" t="str">
            <v>Q2</v>
          </cell>
          <cell r="I1540" t="str">
            <v>78382_SF048858</v>
          </cell>
        </row>
        <row r="1541">
          <cell r="D1541" t="str">
            <v>Q3</v>
          </cell>
          <cell r="I1541" t="str">
            <v>C000002426_SJ111083</v>
          </cell>
        </row>
        <row r="1542">
          <cell r="D1542" t="str">
            <v>Q3</v>
          </cell>
          <cell r="I1542" t="str">
            <v>59339_SW085043</v>
          </cell>
        </row>
        <row r="1543">
          <cell r="D1543" t="str">
            <v>Q3</v>
          </cell>
          <cell r="I1543" t="str">
            <v>C000002431_SW048171</v>
          </cell>
        </row>
        <row r="1544">
          <cell r="D1544" t="str">
            <v>Q3</v>
          </cell>
          <cell r="I1544" t="str">
            <v>C000002698_SW048803</v>
          </cell>
        </row>
        <row r="1545">
          <cell r="D1545" t="str">
            <v>Q3</v>
          </cell>
          <cell r="I1545" t="str">
            <v>C000001198_SF106477</v>
          </cell>
        </row>
        <row r="1546">
          <cell r="D1546" t="str">
            <v>Q1</v>
          </cell>
          <cell r="I1546" t="str">
            <v>C000002604_SF012050</v>
          </cell>
        </row>
        <row r="1547">
          <cell r="D1547" t="str">
            <v>Q3</v>
          </cell>
          <cell r="I1547" t="str">
            <v>83640_SW106959</v>
          </cell>
        </row>
        <row r="1548">
          <cell r="D1548" t="str">
            <v>Q1</v>
          </cell>
          <cell r="I1548" t="str">
            <v>C000001537_SK104546</v>
          </cell>
        </row>
        <row r="1549">
          <cell r="D1549" t="str">
            <v>Q1/Q2</v>
          </cell>
          <cell r="I1549" t="str">
            <v>C000002697_SJ104638</v>
          </cell>
        </row>
        <row r="1550">
          <cell r="D1550" t="str">
            <v>NO ENTAR</v>
          </cell>
          <cell r="I1550" t="str">
            <v>77303_sk104546</v>
          </cell>
        </row>
        <row r="1551">
          <cell r="D1551" t="str">
            <v>Q3</v>
          </cell>
          <cell r="I1551" t="str">
            <v>79380_SW101499</v>
          </cell>
        </row>
        <row r="1552">
          <cell r="D1552" t="str">
            <v>Q3</v>
          </cell>
          <cell r="I1552" t="str">
            <v>C000002693_SW034040</v>
          </cell>
        </row>
        <row r="1553">
          <cell r="D1553" t="str">
            <v>Q3</v>
          </cell>
          <cell r="I1553" t="str">
            <v>C000002428_SW111069</v>
          </cell>
        </row>
        <row r="1554">
          <cell r="D1554" t="str">
            <v>Q1</v>
          </cell>
          <cell r="I1554" t="str">
            <v>C000001107_SW085043</v>
          </cell>
        </row>
        <row r="1555">
          <cell r="D1555" t="str">
            <v>Q3</v>
          </cell>
          <cell r="I1555" t="str">
            <v>C000001107_SW101405</v>
          </cell>
        </row>
        <row r="1556">
          <cell r="D1556" t="str">
            <v>Q1/Q2</v>
          </cell>
          <cell r="I1556" t="str">
            <v>61851_SW107263</v>
          </cell>
        </row>
        <row r="1557">
          <cell r="D1557" t="str">
            <v>Q1</v>
          </cell>
          <cell r="I1557" t="str">
            <v>34179_SW085043</v>
          </cell>
        </row>
        <row r="1558">
          <cell r="D1558" t="str">
            <v>Q4</v>
          </cell>
          <cell r="I1558" t="str">
            <v>39848_SW101405</v>
          </cell>
        </row>
        <row r="1559">
          <cell r="D1559" t="str">
            <v>Q1</v>
          </cell>
          <cell r="I1559" t="str">
            <v>74827_SW101405</v>
          </cell>
        </row>
        <row r="1560">
          <cell r="D1560" t="str">
            <v>R</v>
          </cell>
          <cell r="I1560" t="str">
            <v>73128_SW104924</v>
          </cell>
        </row>
        <row r="1561">
          <cell r="D1561" t="str">
            <v>Q2/Q3</v>
          </cell>
          <cell r="I1561" t="str">
            <v>75829_SW042931</v>
          </cell>
        </row>
        <row r="1562">
          <cell r="D1562" t="str">
            <v>Q4</v>
          </cell>
          <cell r="I1562" t="str">
            <v>80875_SW001166</v>
          </cell>
        </row>
        <row r="1563">
          <cell r="D1563" t="str">
            <v>Q1</v>
          </cell>
          <cell r="I1563" t="str">
            <v>C000002471_SW052292</v>
          </cell>
        </row>
        <row r="1564">
          <cell r="D1564" t="str">
            <v>Q4</v>
          </cell>
          <cell r="I1564" t="str">
            <v>74827_SW100755</v>
          </cell>
        </row>
        <row r="1565">
          <cell r="D1565" t="str">
            <v>Q3</v>
          </cell>
          <cell r="I1565" t="str">
            <v>85708_SW085043</v>
          </cell>
        </row>
        <row r="1566">
          <cell r="D1566" t="str">
            <v>Q4</v>
          </cell>
          <cell r="I1566" t="str">
            <v>37273_SW018239</v>
          </cell>
        </row>
        <row r="1567">
          <cell r="D1567" t="str">
            <v>Q1</v>
          </cell>
          <cell r="I1567" t="str">
            <v>67250_SW044801</v>
          </cell>
        </row>
        <row r="1568">
          <cell r="D1568" t="str">
            <v>Q3</v>
          </cell>
          <cell r="I1568" t="str">
            <v>69817_SW042931</v>
          </cell>
        </row>
        <row r="1569">
          <cell r="D1569" t="str">
            <v>Q3</v>
          </cell>
          <cell r="I1569" t="str">
            <v>61851_SK107552</v>
          </cell>
        </row>
        <row r="1570">
          <cell r="D1570" t="str">
            <v>Q4</v>
          </cell>
          <cell r="I1570" t="str">
            <v>C000001679_SW108150</v>
          </cell>
        </row>
        <row r="1571">
          <cell r="D1571" t="str">
            <v>Q3</v>
          </cell>
          <cell r="I1571" t="str">
            <v>82919_SW101499</v>
          </cell>
        </row>
        <row r="1572">
          <cell r="D1572" t="str">
            <v>R</v>
          </cell>
          <cell r="I1572" t="str">
            <v>C00000575_SW085043</v>
          </cell>
        </row>
        <row r="1573">
          <cell r="D1573" t="str">
            <v>Q1</v>
          </cell>
          <cell r="I1573" t="str">
            <v>C000002515_SW090104</v>
          </cell>
        </row>
        <row r="1574">
          <cell r="D1574" t="str">
            <v>Q1</v>
          </cell>
          <cell r="I1574" t="str">
            <v>C000001739_SW048803</v>
          </cell>
        </row>
        <row r="1575">
          <cell r="D1575" t="str">
            <v>Q2</v>
          </cell>
          <cell r="I1575" t="str">
            <v>C000002634_SW107137</v>
          </cell>
        </row>
        <row r="1576">
          <cell r="D1576" t="str">
            <v>Q1</v>
          </cell>
          <cell r="I1576" t="str">
            <v>84289_SW040921</v>
          </cell>
        </row>
        <row r="1577">
          <cell r="D1577" t="str">
            <v>R</v>
          </cell>
          <cell r="I1577" t="str">
            <v>C000000921_SW001119</v>
          </cell>
        </row>
        <row r="1578">
          <cell r="D1578" t="str">
            <v>R</v>
          </cell>
          <cell r="I1578" t="str">
            <v>C000002719_SW107378</v>
          </cell>
        </row>
        <row r="1579">
          <cell r="D1579" t="str">
            <v>Q3</v>
          </cell>
          <cell r="I1579" t="str">
            <v>78247_SW034504</v>
          </cell>
        </row>
        <row r="1580">
          <cell r="D1580" t="str">
            <v>Q3</v>
          </cell>
          <cell r="I1580" t="str">
            <v>82329_sw0855043</v>
          </cell>
        </row>
        <row r="1581">
          <cell r="D1581" t="str">
            <v>Q3</v>
          </cell>
          <cell r="I1581" t="str">
            <v>82329_SW101405</v>
          </cell>
        </row>
        <row r="1582">
          <cell r="D1582" t="str">
            <v>Q4</v>
          </cell>
          <cell r="I1582" t="str">
            <v>62034_SW090822</v>
          </cell>
        </row>
        <row r="1583">
          <cell r="D1583" t="str">
            <v>Q2</v>
          </cell>
          <cell r="I1583" t="str">
            <v>C000002634_SW104745</v>
          </cell>
        </row>
        <row r="1584">
          <cell r="D1584" t="str">
            <v>Q1</v>
          </cell>
          <cell r="I1584" t="str">
            <v>C000002029_SW108545</v>
          </cell>
        </row>
        <row r="1585">
          <cell r="D1585" t="str">
            <v>R</v>
          </cell>
          <cell r="I1585" t="str">
            <v>C000001107_SW050162</v>
          </cell>
        </row>
        <row r="1586">
          <cell r="D1586" t="str">
            <v>R</v>
          </cell>
          <cell r="I1586" t="str">
            <v>C000001679_SW050162</v>
          </cell>
        </row>
        <row r="1587">
          <cell r="D1587" t="str">
            <v>R</v>
          </cell>
          <cell r="I1587" t="str">
            <v>11051_SW100177</v>
          </cell>
        </row>
        <row r="1588">
          <cell r="D1588" t="str">
            <v>Q1</v>
          </cell>
          <cell r="I1588" t="str">
            <v>75829_SW104745</v>
          </cell>
        </row>
        <row r="1589">
          <cell r="D1589" t="str">
            <v>Q2</v>
          </cell>
          <cell r="I1589" t="str">
            <v>85126_SW054520</v>
          </cell>
        </row>
        <row r="1590">
          <cell r="D1590" t="str">
            <v>Q4</v>
          </cell>
          <cell r="I1590" t="str">
            <v>82094_SW054520</v>
          </cell>
        </row>
        <row r="1591">
          <cell r="D1591" t="str">
            <v>Q2</v>
          </cell>
          <cell r="I1591" t="str">
            <v>59236_SF002050</v>
          </cell>
        </row>
        <row r="1592">
          <cell r="D1592" t="str">
            <v>Q3</v>
          </cell>
          <cell r="I1592" t="str">
            <v>65051_SW002008</v>
          </cell>
        </row>
        <row r="1593">
          <cell r="D1593" t="str">
            <v>Q4</v>
          </cell>
          <cell r="I1593" t="str">
            <v>C000001739_SW085043</v>
          </cell>
        </row>
        <row r="1594">
          <cell r="D1594" t="str">
            <v>Q3</v>
          </cell>
          <cell r="I1594" t="str">
            <v>C000000969_SW101405</v>
          </cell>
        </row>
        <row r="1595">
          <cell r="D1595" t="str">
            <v>Q4</v>
          </cell>
          <cell r="I1595" t="str">
            <v>86829_SW052249</v>
          </cell>
        </row>
        <row r="1596">
          <cell r="D1596" t="str">
            <v>R</v>
          </cell>
          <cell r="I1596" t="str">
            <v>29244_SW018372</v>
          </cell>
        </row>
        <row r="1597">
          <cell r="D1597" t="str">
            <v>NO ENTAR</v>
          </cell>
          <cell r="I1597" t="str">
            <v>34988_SW108050</v>
          </cell>
        </row>
        <row r="1598">
          <cell r="D1598" t="str">
            <v>NO ENTAR</v>
          </cell>
          <cell r="I1598" t="str">
            <v>C000002462_SJ108651</v>
          </cell>
        </row>
        <row r="1599">
          <cell r="D1599" t="str">
            <v>R</v>
          </cell>
          <cell r="I1599" t="str">
            <v>59339_SW050162</v>
          </cell>
        </row>
        <row r="1600">
          <cell r="D1600" t="str">
            <v>R</v>
          </cell>
          <cell r="I1600" t="str">
            <v>61471_SW040921</v>
          </cell>
        </row>
        <row r="1601">
          <cell r="D1601" t="str">
            <v>Q2</v>
          </cell>
          <cell r="I1601" t="str">
            <v>74827_SW085043</v>
          </cell>
        </row>
        <row r="1602">
          <cell r="D1602" t="str">
            <v>Q3</v>
          </cell>
          <cell r="I1602" t="str">
            <v>C000001706_SW085043</v>
          </cell>
        </row>
        <row r="1603">
          <cell r="D1603" t="str">
            <v>Q3</v>
          </cell>
          <cell r="I1603" t="str">
            <v>78382_SW108916</v>
          </cell>
        </row>
        <row r="1604">
          <cell r="D1604" t="str">
            <v>Q3</v>
          </cell>
          <cell r="I1604" t="str">
            <v>85440_SW101405</v>
          </cell>
        </row>
        <row r="1605">
          <cell r="D1605" t="str">
            <v>Q3</v>
          </cell>
          <cell r="I1605" t="str">
            <v>C000001717_SW106176</v>
          </cell>
        </row>
        <row r="1606">
          <cell r="D1606" t="str">
            <v>Q1</v>
          </cell>
          <cell r="I1606" t="str">
            <v>C000001638_SW018108</v>
          </cell>
        </row>
        <row r="1607">
          <cell r="D1607" t="str">
            <v>Q4</v>
          </cell>
          <cell r="I1607" t="str">
            <v>C000001706_SW048803</v>
          </cell>
        </row>
        <row r="1608">
          <cell r="D1608" t="str">
            <v>Q1</v>
          </cell>
          <cell r="I1608" t="str">
            <v>C000001717_SW108150</v>
          </cell>
        </row>
        <row r="1609">
          <cell r="D1609" t="str">
            <v>Q1</v>
          </cell>
          <cell r="I1609" t="str">
            <v>C000001724_SW085043</v>
          </cell>
        </row>
        <row r="1610">
          <cell r="D1610" t="str">
            <v>Q2</v>
          </cell>
          <cell r="I1610" t="str">
            <v>C000001751_SW084573</v>
          </cell>
        </row>
        <row r="1611">
          <cell r="D1611" t="str">
            <v>Q3</v>
          </cell>
          <cell r="I1611" t="str">
            <v>C000002474_SF010348</v>
          </cell>
        </row>
        <row r="1612">
          <cell r="D1612" t="str">
            <v>Q2</v>
          </cell>
          <cell r="I1612" t="str">
            <v>C000001237_SW087953</v>
          </cell>
        </row>
        <row r="1613">
          <cell r="D1613" t="str">
            <v>Q3</v>
          </cell>
          <cell r="I1613" t="str">
            <v>85440_SW100755</v>
          </cell>
        </row>
        <row r="1614">
          <cell r="D1614" t="str">
            <v>Q3</v>
          </cell>
          <cell r="I1614" t="str">
            <v>82373_SF048858</v>
          </cell>
        </row>
        <row r="1615">
          <cell r="D1615" t="str">
            <v>R</v>
          </cell>
          <cell r="I1615" t="str">
            <v>66420_SW002008</v>
          </cell>
        </row>
        <row r="1616">
          <cell r="D1616" t="str">
            <v>Q2</v>
          </cell>
          <cell r="I1616" t="str">
            <v>49652_SW109028</v>
          </cell>
        </row>
        <row r="1617">
          <cell r="D1617" t="str">
            <v>R</v>
          </cell>
          <cell r="I1617" t="str">
            <v>C000002298_SW101405</v>
          </cell>
        </row>
        <row r="1618">
          <cell r="D1618" t="str">
            <v>R</v>
          </cell>
          <cell r="I1618" t="str">
            <v>34988_SW041081</v>
          </cell>
        </row>
        <row r="1619">
          <cell r="D1619" t="str">
            <v>Q3</v>
          </cell>
          <cell r="I1619" t="str">
            <v>C000001267_SJ106665</v>
          </cell>
        </row>
        <row r="1620">
          <cell r="D1620" t="str">
            <v>Q3</v>
          </cell>
          <cell r="I1620" t="str">
            <v>C000001724_SW048803</v>
          </cell>
        </row>
        <row r="1621">
          <cell r="D1621" t="str">
            <v>Q3</v>
          </cell>
          <cell r="I1621" t="str">
            <v>C000001301_SJ106665</v>
          </cell>
        </row>
        <row r="1622">
          <cell r="D1622" t="str">
            <v>R</v>
          </cell>
          <cell r="I1622" t="str">
            <v>C000001107_SW050162</v>
          </cell>
        </row>
        <row r="1623">
          <cell r="D1623" t="str">
            <v>Q3</v>
          </cell>
          <cell r="I1623" t="str">
            <v>39848_SW100755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5"/>
      <sheetName val="Sheet4"/>
      <sheetName val="Sheet3"/>
      <sheetName val="Sheet2"/>
    </sheetNames>
    <sheetDataSet>
      <sheetData sheetId="0"/>
      <sheetData sheetId="1"/>
      <sheetData sheetId="2"/>
      <sheetData sheetId="3"/>
      <sheetData sheetId="4">
        <row r="2">
          <cell r="B2" t="str">
            <v>FB260002688</v>
          </cell>
          <cell r="F2" t="str">
            <v>N/ App</v>
          </cell>
        </row>
        <row r="3">
          <cell r="B3" t="str">
            <v>FB260003195</v>
          </cell>
          <cell r="F3" t="str">
            <v>C/APP</v>
          </cell>
        </row>
        <row r="4">
          <cell r="B4" t="str">
            <v>FB260005082</v>
          </cell>
          <cell r="F4" t="str">
            <v>N/ App</v>
          </cell>
        </row>
        <row r="5">
          <cell r="B5" t="str">
            <v>FB260004927</v>
          </cell>
          <cell r="F5" t="str">
            <v>N/ App</v>
          </cell>
        </row>
        <row r="6">
          <cell r="B6" t="str">
            <v>FB260004950</v>
          </cell>
          <cell r="F6" t="str">
            <v>N/ App</v>
          </cell>
        </row>
        <row r="7">
          <cell r="B7" t="str">
            <v>FB260005094</v>
          </cell>
          <cell r="F7" t="str">
            <v>N/ App</v>
          </cell>
        </row>
        <row r="8">
          <cell r="B8" t="str">
            <v>FB260004952</v>
          </cell>
          <cell r="F8" t="str">
            <v>N/ App</v>
          </cell>
        </row>
        <row r="9">
          <cell r="B9" t="str">
            <v>FB260004412</v>
          </cell>
          <cell r="F9" t="str">
            <v>N/ App</v>
          </cell>
        </row>
        <row r="10">
          <cell r="B10" t="str">
            <v>FB260005098</v>
          </cell>
          <cell r="F10" t="str">
            <v>N/ App</v>
          </cell>
        </row>
        <row r="11">
          <cell r="B11" t="str">
            <v>FB260004947</v>
          </cell>
          <cell r="F11" t="str">
            <v>N/ App</v>
          </cell>
        </row>
        <row r="12">
          <cell r="B12" t="str">
            <v>FB260004619</v>
          </cell>
          <cell r="F12" t="str">
            <v>N/ App</v>
          </cell>
        </row>
        <row r="13">
          <cell r="B13" t="str">
            <v>FB260004944</v>
          </cell>
          <cell r="F13" t="str">
            <v>N/ App</v>
          </cell>
        </row>
        <row r="14">
          <cell r="B14" t="str">
            <v>FB260004623</v>
          </cell>
          <cell r="F14" t="str">
            <v>N/ App</v>
          </cell>
        </row>
        <row r="15">
          <cell r="B15" t="str">
            <v>FB260005152</v>
          </cell>
          <cell r="F15" t="str">
            <v>N/ App</v>
          </cell>
        </row>
        <row r="16">
          <cell r="B16" t="str">
            <v>FB260002472</v>
          </cell>
          <cell r="F16" t="str">
            <v>C/APP</v>
          </cell>
        </row>
        <row r="17">
          <cell r="B17" t="str">
            <v>FB260005243</v>
          </cell>
          <cell r="F17" t="str">
            <v>C/APP</v>
          </cell>
        </row>
        <row r="18">
          <cell r="B18" t="str">
            <v>FB260005276</v>
          </cell>
          <cell r="F18" t="str">
            <v>N/ App</v>
          </cell>
        </row>
        <row r="19">
          <cell r="B19" t="str">
            <v>FB260004941</v>
          </cell>
          <cell r="F19" t="str">
            <v>N/ App</v>
          </cell>
        </row>
        <row r="20">
          <cell r="B20" t="str">
            <v>FB260004943</v>
          </cell>
          <cell r="F20" t="str">
            <v>N/ App</v>
          </cell>
        </row>
        <row r="21">
          <cell r="B21" t="str">
            <v>FB260004622</v>
          </cell>
          <cell r="F21" t="str">
            <v>N/ App</v>
          </cell>
        </row>
        <row r="22">
          <cell r="B22" t="str">
            <v>FB260004940</v>
          </cell>
          <cell r="F22" t="str">
            <v>N/ App</v>
          </cell>
        </row>
        <row r="23">
          <cell r="B23" t="str">
            <v>FB260004456</v>
          </cell>
          <cell r="F23" t="str">
            <v>N/ App</v>
          </cell>
        </row>
        <row r="24">
          <cell r="B24" t="str">
            <v>FB260004928</v>
          </cell>
          <cell r="F24" t="str">
            <v>N/ App</v>
          </cell>
        </row>
        <row r="25">
          <cell r="B25" t="str">
            <v>FB260004959</v>
          </cell>
          <cell r="F25" t="str">
            <v>N/ App</v>
          </cell>
        </row>
        <row r="26">
          <cell r="B26" t="str">
            <v>FB260002687</v>
          </cell>
          <cell r="F26" t="str">
            <v>C/APP</v>
          </cell>
        </row>
        <row r="27">
          <cell r="B27" t="str">
            <v>FB260003161</v>
          </cell>
          <cell r="F27" t="str">
            <v>C/APP</v>
          </cell>
        </row>
        <row r="28">
          <cell r="B28" t="str">
            <v>FB250021647</v>
          </cell>
          <cell r="F28" t="str">
            <v>N/ App</v>
          </cell>
        </row>
        <row r="29">
          <cell r="B29" t="str">
            <v>FB260003577</v>
          </cell>
          <cell r="F29" t="str">
            <v>N/ App</v>
          </cell>
        </row>
        <row r="30">
          <cell r="B30" t="str">
            <v>FB260004017</v>
          </cell>
          <cell r="F30" t="str">
            <v>C/APP</v>
          </cell>
        </row>
        <row r="31">
          <cell r="B31" t="str">
            <v>FR260000100</v>
          </cell>
          <cell r="F31" t="str">
            <v>C/APP</v>
          </cell>
        </row>
        <row r="32">
          <cell r="B32" t="str">
            <v>FB260004612</v>
          </cell>
          <cell r="F32" t="str">
            <v>N/ App</v>
          </cell>
        </row>
        <row r="33">
          <cell r="B33" t="str">
            <v>FB260004611</v>
          </cell>
          <cell r="F33" t="str">
            <v>N/ App</v>
          </cell>
        </row>
        <row r="34">
          <cell r="B34" t="str">
            <v>FB260001266</v>
          </cell>
          <cell r="F34" t="str">
            <v>N/ App</v>
          </cell>
        </row>
        <row r="35">
          <cell r="B35" t="str">
            <v>FB260004613</v>
          </cell>
          <cell r="F35" t="str">
            <v>N/ App</v>
          </cell>
        </row>
        <row r="36">
          <cell r="B36" t="str">
            <v>FB260005370</v>
          </cell>
          <cell r="F36" t="str">
            <v>N/ App</v>
          </cell>
        </row>
        <row r="37">
          <cell r="B37" t="str">
            <v>FB260004614</v>
          </cell>
          <cell r="F37" t="str">
            <v>N/ App</v>
          </cell>
        </row>
        <row r="38">
          <cell r="B38" t="str">
            <v>FB260002595</v>
          </cell>
          <cell r="F38" t="str">
            <v>C/APP</v>
          </cell>
        </row>
        <row r="39">
          <cell r="B39" t="str">
            <v>FB260002116</v>
          </cell>
          <cell r="F39" t="str">
            <v>N/ App</v>
          </cell>
        </row>
        <row r="40">
          <cell r="B40" t="str">
            <v>FB260005241</v>
          </cell>
          <cell r="F40" t="str">
            <v>N/ App</v>
          </cell>
        </row>
        <row r="41">
          <cell r="B41" t="str">
            <v>FB260002689</v>
          </cell>
          <cell r="F41" t="str">
            <v>N/ App</v>
          </cell>
        </row>
        <row r="42">
          <cell r="B42" t="str">
            <v>FB260004697</v>
          </cell>
          <cell r="F42" t="str">
            <v>N/ App</v>
          </cell>
        </row>
        <row r="43">
          <cell r="B43" t="str">
            <v>FB260002847</v>
          </cell>
          <cell r="F43" t="str">
            <v>N/ App</v>
          </cell>
        </row>
        <row r="44">
          <cell r="B44" t="str">
            <v>FB260004596</v>
          </cell>
          <cell r="F44" t="str">
            <v>N/ App</v>
          </cell>
        </row>
        <row r="45">
          <cell r="B45" t="str">
            <v>FB260004598</v>
          </cell>
          <cell r="F45" t="str">
            <v>N/ App</v>
          </cell>
        </row>
        <row r="46">
          <cell r="B46" t="str">
            <v>FB260004637</v>
          </cell>
          <cell r="F46" t="str">
            <v>C/APP</v>
          </cell>
        </row>
        <row r="47">
          <cell r="B47" t="str">
            <v>FB260005577</v>
          </cell>
          <cell r="F47" t="str">
            <v>N/ App</v>
          </cell>
        </row>
        <row r="48">
          <cell r="B48" t="str">
            <v>FB260003642</v>
          </cell>
          <cell r="F48" t="str">
            <v>N/ App</v>
          </cell>
        </row>
        <row r="49">
          <cell r="B49" t="str">
            <v>FB250026846</v>
          </cell>
          <cell r="F49" t="str">
            <v>N/ App</v>
          </cell>
        </row>
        <row r="50">
          <cell r="B50" t="str">
            <v>FB260005643</v>
          </cell>
          <cell r="F50" t="str">
            <v>C/APP</v>
          </cell>
        </row>
        <row r="51">
          <cell r="B51" t="str">
            <v>FB260003962</v>
          </cell>
          <cell r="F51" t="str">
            <v>N/ App</v>
          </cell>
        </row>
        <row r="52">
          <cell r="B52" t="str">
            <v>FB260002965</v>
          </cell>
          <cell r="F52" t="str">
            <v>N/ App</v>
          </cell>
        </row>
        <row r="53">
          <cell r="B53" t="str">
            <v>FB260004141</v>
          </cell>
          <cell r="F53" t="str">
            <v>N/ App</v>
          </cell>
        </row>
        <row r="54">
          <cell r="B54" t="str">
            <v>FB250029009</v>
          </cell>
          <cell r="F54" t="str">
            <v>N/ App</v>
          </cell>
        </row>
        <row r="55">
          <cell r="B55" t="str">
            <v>FB260003636</v>
          </cell>
          <cell r="F55" t="str">
            <v>N/ App</v>
          </cell>
        </row>
        <row r="56">
          <cell r="B56" t="str">
            <v>FB260003988</v>
          </cell>
          <cell r="F56" t="str">
            <v>C/APP</v>
          </cell>
        </row>
        <row r="57">
          <cell r="B57" t="str">
            <v>FB260002690</v>
          </cell>
          <cell r="F57" t="str">
            <v>N/ App</v>
          </cell>
        </row>
        <row r="58">
          <cell r="B58" t="str">
            <v>FB260005477</v>
          </cell>
          <cell r="F58" t="str">
            <v>N/ App</v>
          </cell>
        </row>
        <row r="59">
          <cell r="B59" t="str">
            <v>FB260004617</v>
          </cell>
          <cell r="F59" t="str">
            <v>N/ App</v>
          </cell>
        </row>
        <row r="60">
          <cell r="B60" t="str">
            <v>FB250002634</v>
          </cell>
          <cell r="F60" t="str">
            <v>N/ App</v>
          </cell>
        </row>
        <row r="61">
          <cell r="B61" t="str">
            <v>FB260004433</v>
          </cell>
          <cell r="F61" t="str">
            <v>N/ App</v>
          </cell>
        </row>
        <row r="62">
          <cell r="B62" t="str">
            <v>FB260003133</v>
          </cell>
          <cell r="F62" t="str">
            <v>C/APP</v>
          </cell>
        </row>
        <row r="63">
          <cell r="B63" t="str">
            <v>FB260003424</v>
          </cell>
          <cell r="F63" t="str">
            <v>N/ App</v>
          </cell>
        </row>
        <row r="64">
          <cell r="B64" t="str">
            <v>FB260003163</v>
          </cell>
          <cell r="F64" t="str">
            <v>N/ App</v>
          </cell>
        </row>
        <row r="65">
          <cell r="B65" t="str">
            <v>FB260003167</v>
          </cell>
          <cell r="F65" t="str">
            <v>C/APP</v>
          </cell>
        </row>
        <row r="66">
          <cell r="B66" t="str">
            <v>FB260004034</v>
          </cell>
          <cell r="F66" t="str">
            <v>N/ App</v>
          </cell>
        </row>
        <row r="67">
          <cell r="B67" t="str">
            <v>FB260003761</v>
          </cell>
          <cell r="F67" t="str">
            <v>N/ App</v>
          </cell>
        </row>
        <row r="68">
          <cell r="B68" t="str">
            <v>FB260004044</v>
          </cell>
          <cell r="F68" t="str">
            <v>N/ App</v>
          </cell>
        </row>
        <row r="69">
          <cell r="B69" t="str">
            <v>FB260002749</v>
          </cell>
          <cell r="F69" t="str">
            <v>N/ App</v>
          </cell>
        </row>
        <row r="70">
          <cell r="B70" t="str">
            <v>FB260002672</v>
          </cell>
          <cell r="F70" t="str">
            <v>N/ App</v>
          </cell>
        </row>
        <row r="71">
          <cell r="B71" t="str">
            <v>FB260002257</v>
          </cell>
          <cell r="F71" t="str">
            <v>C/APP</v>
          </cell>
        </row>
        <row r="72">
          <cell r="B72" t="str">
            <v>FB260003425</v>
          </cell>
          <cell r="F72" t="str">
            <v>N/ App</v>
          </cell>
        </row>
        <row r="73">
          <cell r="B73" t="str">
            <v>FB260005367</v>
          </cell>
          <cell r="F73" t="str">
            <v>N/ App</v>
          </cell>
        </row>
        <row r="74">
          <cell r="B74" t="str">
            <v>FB260005369</v>
          </cell>
          <cell r="F74" t="str">
            <v>N/ App</v>
          </cell>
        </row>
        <row r="75">
          <cell r="B75" t="str">
            <v>FB260004804</v>
          </cell>
          <cell r="F75" t="str">
            <v>N/ App</v>
          </cell>
        </row>
        <row r="76">
          <cell r="B76" t="str">
            <v>FB260005038</v>
          </cell>
          <cell r="F76" t="str">
            <v>N/ App</v>
          </cell>
        </row>
        <row r="77">
          <cell r="B77" t="str">
            <v>FB260003622</v>
          </cell>
          <cell r="F77" t="str">
            <v>N/ App</v>
          </cell>
        </row>
        <row r="78">
          <cell r="B78" t="str">
            <v>FB260004336</v>
          </cell>
          <cell r="F78" t="str">
            <v>N/ App</v>
          </cell>
        </row>
        <row r="79">
          <cell r="B79" t="str">
            <v>FB260003507</v>
          </cell>
          <cell r="F79" t="str">
            <v>N/ App</v>
          </cell>
        </row>
        <row r="80">
          <cell r="B80" t="str">
            <v>FB260005153</v>
          </cell>
          <cell r="F80" t="str">
            <v>N/ App</v>
          </cell>
        </row>
        <row r="81">
          <cell r="B81" t="str">
            <v>FB260002694</v>
          </cell>
          <cell r="F81" t="str">
            <v>N/ App</v>
          </cell>
        </row>
        <row r="82">
          <cell r="B82" t="str">
            <v>FB260002696</v>
          </cell>
          <cell r="F82" t="str">
            <v>N/ App</v>
          </cell>
        </row>
        <row r="83">
          <cell r="B83" t="str">
            <v>FB260002475</v>
          </cell>
          <cell r="F83" t="str">
            <v>N/ App</v>
          </cell>
        </row>
        <row r="84">
          <cell r="B84" t="str">
            <v>FB260004317</v>
          </cell>
          <cell r="F84" t="str">
            <v>N/ App</v>
          </cell>
        </row>
        <row r="85">
          <cell r="B85" t="str">
            <v>FB260003509</v>
          </cell>
          <cell r="F85" t="str">
            <v>N/ App</v>
          </cell>
        </row>
        <row r="86">
          <cell r="B86" t="str">
            <v>FB260005443</v>
          </cell>
          <cell r="F86" t="str">
            <v>N/ App</v>
          </cell>
        </row>
        <row r="87">
          <cell r="B87" t="str">
            <v>FB260003367</v>
          </cell>
          <cell r="F87" t="str">
            <v>N/ App</v>
          </cell>
        </row>
        <row r="88">
          <cell r="B88" t="str">
            <v>FB250029010</v>
          </cell>
          <cell r="F88" t="str">
            <v>N/ App</v>
          </cell>
        </row>
        <row r="89">
          <cell r="B89" t="str">
            <v>FB260004349</v>
          </cell>
          <cell r="F89" t="str">
            <v>N/ App</v>
          </cell>
        </row>
        <row r="90">
          <cell r="B90" t="str">
            <v>FB260005083</v>
          </cell>
          <cell r="F90" t="str">
            <v>N/ App</v>
          </cell>
        </row>
        <row r="91">
          <cell r="B91" t="str">
            <v>FB260002845</v>
          </cell>
          <cell r="F91" t="str">
            <v>N/ App</v>
          </cell>
        </row>
        <row r="92">
          <cell r="B92" t="str">
            <v>FB260005436</v>
          </cell>
          <cell r="F92" t="str">
            <v>C/APP</v>
          </cell>
        </row>
        <row r="93">
          <cell r="B93" t="str">
            <v>FB260002484</v>
          </cell>
          <cell r="F93" t="str">
            <v>N/ App</v>
          </cell>
        </row>
        <row r="94">
          <cell r="B94" t="str">
            <v>FB260001161</v>
          </cell>
          <cell r="F94" t="str">
            <v>C/APP</v>
          </cell>
        </row>
        <row r="95">
          <cell r="B95" t="str">
            <v>FB260004633</v>
          </cell>
          <cell r="F95" t="str">
            <v>N/ App</v>
          </cell>
        </row>
        <row r="96">
          <cell r="B96" t="str">
            <v>FB260004591</v>
          </cell>
          <cell r="F96" t="str">
            <v>N/ App</v>
          </cell>
        </row>
        <row r="97">
          <cell r="B97" t="str">
            <v>FB260004554</v>
          </cell>
          <cell r="F97" t="str">
            <v>N/ App</v>
          </cell>
        </row>
        <row r="98">
          <cell r="B98" t="str">
            <v>FB260004556</v>
          </cell>
          <cell r="F98" t="str">
            <v>N/ App</v>
          </cell>
        </row>
        <row r="99">
          <cell r="B99" t="str">
            <v>FB260002824</v>
          </cell>
          <cell r="F99" t="str">
            <v>N/ App</v>
          </cell>
        </row>
        <row r="100">
          <cell r="B100" t="str">
            <v>FB260004318</v>
          </cell>
          <cell r="F100" t="str">
            <v>N/ App</v>
          </cell>
        </row>
        <row r="101">
          <cell r="B101" t="str">
            <v>FB260002880</v>
          </cell>
          <cell r="F101" t="str">
            <v>N/ App</v>
          </cell>
        </row>
        <row r="102">
          <cell r="B102" t="str">
            <v>FB260005487</v>
          </cell>
          <cell r="F102" t="str">
            <v>N/ App</v>
          </cell>
        </row>
        <row r="103">
          <cell r="B103" t="str">
            <v>FB260004508</v>
          </cell>
          <cell r="F103" t="str">
            <v>N/ App</v>
          </cell>
        </row>
        <row r="104">
          <cell r="B104" t="str">
            <v>FB260004206</v>
          </cell>
          <cell r="F104" t="str">
            <v>N/ App</v>
          </cell>
        </row>
        <row r="105">
          <cell r="B105" t="str">
            <v>FB260002686</v>
          </cell>
          <cell r="F105" t="str">
            <v>N/ App</v>
          </cell>
        </row>
        <row r="106">
          <cell r="B106" t="str">
            <v>FB260002685</v>
          </cell>
          <cell r="F106" t="str">
            <v>N/ App</v>
          </cell>
        </row>
        <row r="107">
          <cell r="B107" t="str">
            <v>FB260004026</v>
          </cell>
          <cell r="F107" t="str">
            <v>N/ App</v>
          </cell>
        </row>
        <row r="108">
          <cell r="B108" t="str">
            <v>FB260004037</v>
          </cell>
          <cell r="F108" t="str">
            <v>N/ App</v>
          </cell>
        </row>
        <row r="109">
          <cell r="B109" t="str">
            <v>FB260005078</v>
          </cell>
          <cell r="F109" t="str">
            <v>N/ App</v>
          </cell>
        </row>
        <row r="110">
          <cell r="B110" t="str">
            <v>FB260003125</v>
          </cell>
          <cell r="F110" t="str">
            <v>N/ App</v>
          </cell>
        </row>
        <row r="111">
          <cell r="B111" t="str">
            <v>FB260002522</v>
          </cell>
          <cell r="F111" t="str">
            <v>N/ App</v>
          </cell>
        </row>
        <row r="112">
          <cell r="B112" t="str">
            <v>FB260002673</v>
          </cell>
          <cell r="F112" t="str">
            <v>N/ App</v>
          </cell>
        </row>
        <row r="113">
          <cell r="B113" t="str">
            <v>FB260004885</v>
          </cell>
          <cell r="F113" t="str">
            <v>N/ App</v>
          </cell>
        </row>
        <row r="114">
          <cell r="B114" t="str">
            <v>FB260005581</v>
          </cell>
          <cell r="F114" t="str">
            <v>N/ App</v>
          </cell>
        </row>
        <row r="115">
          <cell r="B115" t="str">
            <v>FB260004019</v>
          </cell>
          <cell r="F115" t="str">
            <v>N/ App</v>
          </cell>
        </row>
        <row r="116">
          <cell r="B116" t="str">
            <v>FB260004045</v>
          </cell>
          <cell r="F116" t="str">
            <v>N/ App</v>
          </cell>
        </row>
        <row r="117">
          <cell r="B117" t="str">
            <v>FB260004046</v>
          </cell>
          <cell r="F117" t="str">
            <v>N/ App</v>
          </cell>
        </row>
        <row r="118">
          <cell r="B118" t="str">
            <v>FB260004030</v>
          </cell>
          <cell r="F118" t="str">
            <v>N/ App</v>
          </cell>
        </row>
        <row r="119">
          <cell r="B119" t="str">
            <v>FB260004196</v>
          </cell>
          <cell r="F119" t="str">
            <v>N/ App</v>
          </cell>
        </row>
        <row r="120">
          <cell r="B120" t="str">
            <v>FB260004198</v>
          </cell>
          <cell r="F120" t="str">
            <v>N/ App</v>
          </cell>
        </row>
        <row r="121">
          <cell r="B121" t="str">
            <v>FB260003168</v>
          </cell>
          <cell r="F121" t="str">
            <v>N/ App</v>
          </cell>
        </row>
        <row r="122">
          <cell r="B122" t="str">
            <v>FB260003677</v>
          </cell>
          <cell r="F122" t="str">
            <v>N/ App</v>
          </cell>
        </row>
        <row r="123">
          <cell r="B123" t="str">
            <v>FB260004882</v>
          </cell>
          <cell r="F123" t="str">
            <v>C/APP</v>
          </cell>
        </row>
        <row r="124">
          <cell r="B124" t="str">
            <v>FB260004021</v>
          </cell>
          <cell r="F124" t="str">
            <v>N/ App</v>
          </cell>
        </row>
        <row r="125">
          <cell r="B125" t="str">
            <v>FB260005153</v>
          </cell>
          <cell r="F125" t="str">
            <v>N/ App</v>
          </cell>
        </row>
        <row r="126">
          <cell r="B126" t="str">
            <v>FB260002694</v>
          </cell>
          <cell r="F126" t="str">
            <v>N/ App</v>
          </cell>
        </row>
        <row r="127">
          <cell r="B127" t="str">
            <v>FB260002696</v>
          </cell>
          <cell r="F127" t="str">
            <v>N/ App</v>
          </cell>
        </row>
        <row r="128">
          <cell r="B128" t="str">
            <v>FB260002475</v>
          </cell>
          <cell r="F128" t="str">
            <v>N/ App</v>
          </cell>
        </row>
        <row r="129">
          <cell r="B129" t="str">
            <v>FB260004317</v>
          </cell>
          <cell r="F129" t="str">
            <v>N/ App</v>
          </cell>
        </row>
        <row r="130">
          <cell r="B130" t="str">
            <v>FB260003509</v>
          </cell>
          <cell r="F130" t="str">
            <v>N/ App</v>
          </cell>
        </row>
        <row r="131">
          <cell r="B131" t="str">
            <v>FB260005443</v>
          </cell>
          <cell r="F131" t="str">
            <v>N/ App</v>
          </cell>
        </row>
        <row r="132">
          <cell r="B132" t="str">
            <v>FB260003367</v>
          </cell>
          <cell r="F132" t="str">
            <v>N/ App</v>
          </cell>
        </row>
        <row r="133">
          <cell r="B133" t="str">
            <v>FB250029010</v>
          </cell>
          <cell r="F133" t="str">
            <v>N/ App</v>
          </cell>
        </row>
        <row r="134">
          <cell r="B134" t="str">
            <v>FB260004349</v>
          </cell>
          <cell r="F134" t="str">
            <v>N/ App</v>
          </cell>
        </row>
        <row r="135">
          <cell r="B135" t="str">
            <v>FB260005083</v>
          </cell>
          <cell r="F135" t="str">
            <v>N/ App</v>
          </cell>
        </row>
        <row r="136">
          <cell r="B136" t="str">
            <v>FB260002845</v>
          </cell>
          <cell r="F136" t="str">
            <v>N/ App</v>
          </cell>
        </row>
        <row r="137">
          <cell r="B137" t="str">
            <v>FB260005436</v>
          </cell>
          <cell r="F137" t="str">
            <v>C/APP</v>
          </cell>
        </row>
        <row r="138">
          <cell r="B138" t="str">
            <v>FB260002484</v>
          </cell>
          <cell r="F138" t="str">
            <v>C/APP</v>
          </cell>
        </row>
        <row r="139">
          <cell r="B139" t="str">
            <v>FB260001161</v>
          </cell>
          <cell r="F139" t="str">
            <v>C/APP</v>
          </cell>
        </row>
        <row r="140">
          <cell r="B140" t="str">
            <v>FB260004633</v>
          </cell>
          <cell r="F140" t="str">
            <v>N/ App</v>
          </cell>
        </row>
        <row r="141">
          <cell r="B141" t="str">
            <v>FB260004591</v>
          </cell>
          <cell r="F141" t="str">
            <v>N/ App</v>
          </cell>
        </row>
        <row r="142">
          <cell r="B142" t="str">
            <v>FB260004554</v>
          </cell>
          <cell r="F142" t="str">
            <v>N/ App</v>
          </cell>
        </row>
        <row r="143">
          <cell r="B143" t="str">
            <v>FB260004556</v>
          </cell>
          <cell r="F143" t="str">
            <v>N/ App</v>
          </cell>
        </row>
        <row r="144">
          <cell r="B144" t="str">
            <v>FB260002824</v>
          </cell>
          <cell r="F144" t="str">
            <v>N/ App</v>
          </cell>
        </row>
        <row r="145">
          <cell r="B145" t="str">
            <v>FB260004318</v>
          </cell>
          <cell r="F145" t="str">
            <v>N/ App</v>
          </cell>
        </row>
        <row r="146">
          <cell r="B146" t="str">
            <v>FB260002880</v>
          </cell>
          <cell r="F146" t="str">
            <v>N/ App</v>
          </cell>
        </row>
        <row r="147">
          <cell r="B147" t="str">
            <v>FB260005487</v>
          </cell>
          <cell r="F147" t="str">
            <v>N/ App</v>
          </cell>
        </row>
        <row r="148">
          <cell r="B148" t="str">
            <v>FB260004508</v>
          </cell>
          <cell r="F148" t="str">
            <v>N/ App</v>
          </cell>
        </row>
        <row r="149">
          <cell r="B149" t="str">
            <v>FB260004206</v>
          </cell>
          <cell r="F149" t="str">
            <v>N/ App</v>
          </cell>
        </row>
        <row r="150">
          <cell r="B150" t="str">
            <v>FB260002686</v>
          </cell>
          <cell r="F150" t="str">
            <v>N/ App</v>
          </cell>
        </row>
        <row r="151">
          <cell r="B151" t="str">
            <v>FB260002685</v>
          </cell>
          <cell r="F151" t="str">
            <v>N/ App</v>
          </cell>
        </row>
        <row r="152">
          <cell r="B152" t="str">
            <v>FB260004026</v>
          </cell>
          <cell r="F152" t="str">
            <v>N/ App</v>
          </cell>
        </row>
        <row r="153">
          <cell r="B153" t="str">
            <v>FB260004037</v>
          </cell>
          <cell r="F153" t="str">
            <v>C/APP</v>
          </cell>
        </row>
        <row r="154">
          <cell r="B154" t="str">
            <v>FB260005078</v>
          </cell>
          <cell r="F154" t="str">
            <v>N/ App</v>
          </cell>
        </row>
        <row r="155">
          <cell r="B155" t="str">
            <v>FB260003125</v>
          </cell>
          <cell r="F155" t="str">
            <v>N/ App</v>
          </cell>
        </row>
        <row r="156">
          <cell r="B156" t="str">
            <v>FB260002522</v>
          </cell>
          <cell r="F156" t="str">
            <v>N/ App</v>
          </cell>
        </row>
        <row r="157">
          <cell r="B157" t="str">
            <v>FB260002673</v>
          </cell>
          <cell r="F157" t="str">
            <v>N/ App</v>
          </cell>
        </row>
        <row r="158">
          <cell r="B158" t="str">
            <v>FB260004885</v>
          </cell>
          <cell r="F158" t="str">
            <v>N/ App</v>
          </cell>
        </row>
        <row r="159">
          <cell r="B159" t="str">
            <v>FB260005581</v>
          </cell>
          <cell r="F159" t="str">
            <v>N/ App</v>
          </cell>
        </row>
        <row r="160">
          <cell r="B160" t="str">
            <v>FB260004019</v>
          </cell>
          <cell r="F160" t="str">
            <v>N/ App</v>
          </cell>
        </row>
        <row r="161">
          <cell r="B161" t="str">
            <v>FB260004045</v>
          </cell>
          <cell r="F161" t="str">
            <v>N/ App</v>
          </cell>
        </row>
        <row r="162">
          <cell r="B162" t="str">
            <v>FB260004046</v>
          </cell>
          <cell r="F162" t="str">
            <v>N/ App</v>
          </cell>
        </row>
        <row r="163">
          <cell r="B163" t="str">
            <v>FB260004030</v>
          </cell>
          <cell r="F163" t="str">
            <v>N/ App</v>
          </cell>
        </row>
        <row r="164">
          <cell r="B164" t="str">
            <v>FB260004196</v>
          </cell>
          <cell r="F164" t="str">
            <v>N/ App</v>
          </cell>
        </row>
        <row r="165">
          <cell r="B165" t="str">
            <v>FB260004198</v>
          </cell>
          <cell r="F165" t="str">
            <v>N/ App</v>
          </cell>
        </row>
        <row r="166">
          <cell r="B166" t="str">
            <v>FB260003168</v>
          </cell>
          <cell r="F166" t="str">
            <v>N/ App</v>
          </cell>
        </row>
        <row r="167">
          <cell r="B167" t="str">
            <v>FB260003677</v>
          </cell>
          <cell r="F167" t="str">
            <v>N/ App</v>
          </cell>
        </row>
        <row r="168">
          <cell r="B168" t="str">
            <v>FB260004882</v>
          </cell>
          <cell r="F168" t="str">
            <v>C/APP</v>
          </cell>
        </row>
        <row r="169">
          <cell r="B169" t="str">
            <v>FB260004021</v>
          </cell>
          <cell r="F169" t="str">
            <v>N/ App</v>
          </cell>
        </row>
        <row r="170">
          <cell r="B170" t="str">
            <v>FB260003759</v>
          </cell>
          <cell r="F170" t="str">
            <v>N/ App</v>
          </cell>
        </row>
        <row r="171">
          <cell r="B171" t="str">
            <v>FB260004418</v>
          </cell>
          <cell r="F171" t="str">
            <v>N/ App</v>
          </cell>
        </row>
        <row r="172">
          <cell r="B172" t="str">
            <v>FB260003338</v>
          </cell>
          <cell r="F172" t="str">
            <v>N/ App</v>
          </cell>
        </row>
        <row r="173">
          <cell r="B173" t="str">
            <v>FB250028967</v>
          </cell>
          <cell r="F173" t="str">
            <v>C/APP</v>
          </cell>
        </row>
        <row r="174">
          <cell r="B174" t="str">
            <v>FB260003000</v>
          </cell>
          <cell r="F174" t="str">
            <v>C/APP</v>
          </cell>
        </row>
        <row r="175">
          <cell r="B175" t="str">
            <v>FB260003510</v>
          </cell>
          <cell r="F175" t="str">
            <v>N/ App</v>
          </cell>
        </row>
        <row r="176">
          <cell r="B176" t="str">
            <v>FB260004544</v>
          </cell>
          <cell r="F176" t="str">
            <v>N/ App</v>
          </cell>
        </row>
        <row r="177">
          <cell r="B177" t="str">
            <v>FB260003634</v>
          </cell>
          <cell r="F177" t="str">
            <v>C/APP</v>
          </cell>
        </row>
        <row r="178">
          <cell r="B178" t="str">
            <v>FB260003619</v>
          </cell>
          <cell r="F178" t="str">
            <v>C/APP</v>
          </cell>
        </row>
        <row r="179">
          <cell r="B179" t="str">
            <v>FR260000105</v>
          </cell>
          <cell r="F179" t="str">
            <v>N/ App</v>
          </cell>
        </row>
        <row r="180">
          <cell r="B180" t="str">
            <v>FB260005763</v>
          </cell>
          <cell r="F180" t="str">
            <v>N/ App</v>
          </cell>
        </row>
        <row r="181">
          <cell r="B181" t="str">
            <v>FB260005010</v>
          </cell>
          <cell r="F181" t="str">
            <v>C/APP</v>
          </cell>
        </row>
        <row r="182">
          <cell r="B182" t="str">
            <v>FB260005009</v>
          </cell>
          <cell r="F182" t="str">
            <v>C/APP</v>
          </cell>
        </row>
        <row r="183">
          <cell r="B183" t="str">
            <v>FB260005014</v>
          </cell>
          <cell r="F183" t="str">
            <v>C/APP</v>
          </cell>
        </row>
        <row r="184">
          <cell r="B184" t="str">
            <v>FB260004832</v>
          </cell>
          <cell r="F184" t="str">
            <v>N/ App</v>
          </cell>
        </row>
        <row r="185">
          <cell r="B185" t="str">
            <v>FR260000118</v>
          </cell>
          <cell r="F185" t="str">
            <v>N/ App</v>
          </cell>
        </row>
        <row r="186">
          <cell r="B186" t="str">
            <v>FB260004052</v>
          </cell>
          <cell r="F186" t="str">
            <v>C/APP</v>
          </cell>
        </row>
        <row r="187">
          <cell r="B187" t="str">
            <v>FB260002620</v>
          </cell>
          <cell r="F187" t="str">
            <v>N/ App</v>
          </cell>
        </row>
        <row r="188">
          <cell r="B188" t="str">
            <v>FB260003008</v>
          </cell>
          <cell r="F188" t="str">
            <v>C/APP</v>
          </cell>
        </row>
        <row r="189">
          <cell r="B189" t="str">
            <v>FB260003007</v>
          </cell>
          <cell r="F189" t="str">
            <v>C/APP</v>
          </cell>
        </row>
        <row r="190">
          <cell r="B190" t="str">
            <v>FB260004455</v>
          </cell>
          <cell r="F190" t="str">
            <v>N/ App</v>
          </cell>
        </row>
        <row r="191">
          <cell r="B191" t="str">
            <v>FB260003364</v>
          </cell>
          <cell r="F191" t="str">
            <v>C/APP</v>
          </cell>
        </row>
        <row r="192">
          <cell r="B192" t="str">
            <v>FB260003091</v>
          </cell>
          <cell r="F192" t="str">
            <v>N/ App</v>
          </cell>
        </row>
        <row r="193">
          <cell r="B193" t="str">
            <v>FB260004824</v>
          </cell>
          <cell r="F193" t="str">
            <v>N/ App</v>
          </cell>
        </row>
        <row r="194">
          <cell r="B194" t="str">
            <v>FB260003361</v>
          </cell>
          <cell r="F194" t="str">
            <v>N/ App</v>
          </cell>
        </row>
        <row r="195">
          <cell r="B195" t="str">
            <v>FB250028964</v>
          </cell>
          <cell r="F195" t="str">
            <v>N/ App</v>
          </cell>
        </row>
        <row r="196">
          <cell r="B196" t="str">
            <v>FB260004516</v>
          </cell>
          <cell r="F196" t="str">
            <v>N/ App</v>
          </cell>
        </row>
        <row r="197">
          <cell r="B197" t="str">
            <v>FB260002988</v>
          </cell>
          <cell r="F197" t="str">
            <v>C/APP</v>
          </cell>
        </row>
        <row r="198">
          <cell r="B198" t="str">
            <v>FB260005661</v>
          </cell>
          <cell r="F198" t="str">
            <v>N/ App</v>
          </cell>
        </row>
        <row r="199">
          <cell r="B199" t="str">
            <v>FB260004461</v>
          </cell>
          <cell r="F199" t="str">
            <v>N/ App</v>
          </cell>
        </row>
        <row r="200">
          <cell r="B200" t="str">
            <v>FB260004462</v>
          </cell>
          <cell r="F200" t="str">
            <v>N/ App</v>
          </cell>
        </row>
        <row r="201">
          <cell r="B201" t="str">
            <v>FB260004460</v>
          </cell>
          <cell r="F201" t="str">
            <v>N/ App</v>
          </cell>
        </row>
        <row r="202">
          <cell r="B202" t="str">
            <v>FB260002977</v>
          </cell>
          <cell r="F202" t="str">
            <v>N/ App</v>
          </cell>
        </row>
        <row r="203">
          <cell r="B203" t="str">
            <v>FB260002598</v>
          </cell>
          <cell r="F203" t="str">
            <v>C/APP</v>
          </cell>
        </row>
        <row r="204">
          <cell r="B204" t="str">
            <v>FB260004740</v>
          </cell>
          <cell r="F204" t="str">
            <v>N/ App</v>
          </cell>
        </row>
        <row r="205">
          <cell r="B205" t="str">
            <v>FB260004741</v>
          </cell>
          <cell r="F205" t="str">
            <v>N/ App</v>
          </cell>
        </row>
        <row r="206">
          <cell r="B206" t="str">
            <v>FB260003922</v>
          </cell>
          <cell r="F206" t="str">
            <v>N/ App</v>
          </cell>
        </row>
        <row r="207">
          <cell r="B207" t="str">
            <v>FB250029039</v>
          </cell>
          <cell r="F207" t="str">
            <v>N/ App</v>
          </cell>
        </row>
        <row r="208">
          <cell r="B208" t="str">
            <v>FR260000130</v>
          </cell>
          <cell r="F208" t="str">
            <v>C/APP</v>
          </cell>
        </row>
        <row r="209">
          <cell r="B209" t="str">
            <v>FB260002747</v>
          </cell>
          <cell r="F209" t="str">
            <v>N/ App</v>
          </cell>
        </row>
        <row r="210">
          <cell r="B210" t="str">
            <v>FB260002678</v>
          </cell>
          <cell r="F210" t="str">
            <v>N/ App</v>
          </cell>
        </row>
        <row r="211">
          <cell r="B211" t="str">
            <v>FB260001815</v>
          </cell>
          <cell r="F211" t="str">
            <v>N/ App</v>
          </cell>
        </row>
        <row r="212">
          <cell r="B212" t="str">
            <v>FB260005570</v>
          </cell>
          <cell r="F212" t="str">
            <v>C/APP</v>
          </cell>
        </row>
        <row r="213">
          <cell r="B213" t="str">
            <v>FB260003686</v>
          </cell>
          <cell r="F213" t="str">
            <v>N/ App</v>
          </cell>
        </row>
        <row r="214">
          <cell r="B214" t="str">
            <v>FB260004039</v>
          </cell>
          <cell r="F214" t="str">
            <v>N/ App</v>
          </cell>
        </row>
        <row r="215">
          <cell r="B215" t="str">
            <v>FB260004875</v>
          </cell>
          <cell r="F215" t="str">
            <v>N/ App</v>
          </cell>
        </row>
        <row r="216">
          <cell r="B216" t="str">
            <v>FB260004404</v>
          </cell>
          <cell r="F216" t="str">
            <v>N/ App</v>
          </cell>
        </row>
        <row r="217">
          <cell r="B217" t="str">
            <v>FB260003414</v>
          </cell>
          <cell r="F217" t="str">
            <v>C/APP</v>
          </cell>
        </row>
        <row r="218">
          <cell r="B218" t="str">
            <v>FB260005582</v>
          </cell>
          <cell r="F218" t="str">
            <v>N/ App</v>
          </cell>
        </row>
        <row r="219">
          <cell r="B219" t="str">
            <v>FB260005580</v>
          </cell>
          <cell r="F219" t="str">
            <v>N/ App</v>
          </cell>
        </row>
        <row r="220">
          <cell r="B220" t="str">
            <v>FB260005821</v>
          </cell>
          <cell r="F220" t="str">
            <v>N/ App</v>
          </cell>
        </row>
        <row r="221">
          <cell r="B221" t="str">
            <v>FB260003572</v>
          </cell>
          <cell r="F221" t="str">
            <v>N/ App</v>
          </cell>
        </row>
        <row r="222">
          <cell r="B222" t="str">
            <v>FB260004824</v>
          </cell>
          <cell r="F222" t="str">
            <v>N/ App</v>
          </cell>
        </row>
        <row r="223">
          <cell r="B223" t="str">
            <v>FB260003361</v>
          </cell>
          <cell r="F223" t="str">
            <v>N/ App</v>
          </cell>
        </row>
        <row r="224">
          <cell r="B224" t="str">
            <v>FB250028964</v>
          </cell>
          <cell r="F224" t="str">
            <v>N/ App</v>
          </cell>
        </row>
        <row r="225">
          <cell r="B225" t="str">
            <v>FB260004516</v>
          </cell>
          <cell r="F225" t="str">
            <v>N/ App</v>
          </cell>
        </row>
        <row r="226">
          <cell r="B226" t="str">
            <v>FB260002988</v>
          </cell>
          <cell r="F226" t="str">
            <v>C/APP</v>
          </cell>
        </row>
        <row r="227">
          <cell r="B227" t="str">
            <v>FB260005661</v>
          </cell>
          <cell r="F227" t="str">
            <v>N/ App</v>
          </cell>
        </row>
        <row r="228">
          <cell r="B228" t="str">
            <v>FB260004461</v>
          </cell>
          <cell r="F228" t="str">
            <v>N/ App</v>
          </cell>
        </row>
        <row r="229">
          <cell r="B229" t="str">
            <v>FB260004462</v>
          </cell>
          <cell r="F229" t="str">
            <v>N/ App</v>
          </cell>
        </row>
        <row r="230">
          <cell r="B230" t="str">
            <v>FB260004460</v>
          </cell>
          <cell r="F230" t="str">
            <v>N/ App</v>
          </cell>
        </row>
        <row r="231">
          <cell r="B231" t="str">
            <v>FB260005360</v>
          </cell>
          <cell r="F231" t="str">
            <v>N/ App</v>
          </cell>
        </row>
        <row r="232">
          <cell r="B232" t="str">
            <v>FB260005489</v>
          </cell>
          <cell r="F232" t="str">
            <v>N/ App</v>
          </cell>
        </row>
        <row r="233">
          <cell r="B233" t="str">
            <v>FR260000103</v>
          </cell>
          <cell r="F233" t="str">
            <v>N/ App</v>
          </cell>
        </row>
        <row r="234">
          <cell r="B234" t="str">
            <v>FB260002977</v>
          </cell>
          <cell r="F234" t="str">
            <v>N/ App</v>
          </cell>
        </row>
        <row r="235">
          <cell r="B235" t="str">
            <v>FB260002598</v>
          </cell>
          <cell r="F235" t="str">
            <v>C/APP</v>
          </cell>
        </row>
        <row r="236">
          <cell r="B236" t="str">
            <v>FB260004740</v>
          </cell>
          <cell r="F236" t="str">
            <v>N/ App</v>
          </cell>
        </row>
        <row r="237">
          <cell r="B237" t="str">
            <v>FB260004741</v>
          </cell>
          <cell r="F237" t="str">
            <v>N/ App</v>
          </cell>
        </row>
        <row r="238">
          <cell r="B238" t="str">
            <v>FB260004807</v>
          </cell>
          <cell r="F238" t="str">
            <v>N/ App</v>
          </cell>
        </row>
        <row r="239">
          <cell r="B239" t="str">
            <v>FR260000117</v>
          </cell>
          <cell r="F239" t="str">
            <v>N/ App</v>
          </cell>
        </row>
        <row r="240">
          <cell r="B240" t="str">
            <v>FB260003922</v>
          </cell>
          <cell r="F240" t="str">
            <v>N/ App</v>
          </cell>
        </row>
        <row r="241">
          <cell r="B241" t="str">
            <v>FB250029039</v>
          </cell>
          <cell r="F241" t="str">
            <v>N/ App</v>
          </cell>
        </row>
        <row r="242">
          <cell r="B242" t="str">
            <v>FR260000104</v>
          </cell>
          <cell r="F242" t="str">
            <v>N/ App</v>
          </cell>
        </row>
        <row r="243">
          <cell r="B243" t="str">
            <v>FR260000114</v>
          </cell>
          <cell r="F243" t="str">
            <v>C/APP</v>
          </cell>
        </row>
        <row r="244">
          <cell r="B244" t="str">
            <v>FB260005366</v>
          </cell>
          <cell r="F244" t="str">
            <v>N/ App</v>
          </cell>
        </row>
        <row r="245">
          <cell r="B245" t="str">
            <v>FR260000130</v>
          </cell>
          <cell r="F245" t="str">
            <v>C/APP</v>
          </cell>
        </row>
        <row r="246">
          <cell r="B246" t="str">
            <v>FB260002747</v>
          </cell>
          <cell r="F246" t="str">
            <v>N/ App</v>
          </cell>
        </row>
        <row r="247">
          <cell r="B247" t="str">
            <v>FB260002678</v>
          </cell>
          <cell r="F247" t="str">
            <v>N/ App</v>
          </cell>
        </row>
        <row r="248">
          <cell r="B248" t="str">
            <v>FB260001815</v>
          </cell>
          <cell r="F248" t="str">
            <v>N/ App</v>
          </cell>
        </row>
        <row r="249">
          <cell r="B249" t="str">
            <v>FB260005570</v>
          </cell>
          <cell r="F249" t="str">
            <v>C/APP</v>
          </cell>
        </row>
        <row r="250">
          <cell r="B250" t="str">
            <v>FB260003686</v>
          </cell>
          <cell r="F250" t="str">
            <v>N/ App</v>
          </cell>
        </row>
        <row r="251">
          <cell r="B251" t="str">
            <v>FB260004039</v>
          </cell>
          <cell r="F251" t="str">
            <v>N/ App</v>
          </cell>
        </row>
        <row r="252">
          <cell r="B252" t="str">
            <v>FB260004875</v>
          </cell>
          <cell r="F252" t="str">
            <v>N/ App</v>
          </cell>
        </row>
        <row r="253">
          <cell r="B253" t="str">
            <v>FB260004404</v>
          </cell>
          <cell r="F253" t="str">
            <v>N/ App</v>
          </cell>
        </row>
        <row r="254">
          <cell r="B254" t="str">
            <v>FB260003414</v>
          </cell>
          <cell r="F254" t="str">
            <v>C/APP</v>
          </cell>
        </row>
        <row r="255">
          <cell r="B255" t="str">
            <v>FB260003250</v>
          </cell>
          <cell r="F255" t="str">
            <v>N/ App</v>
          </cell>
        </row>
        <row r="256">
          <cell r="B256" t="str">
            <v>FB260005582</v>
          </cell>
          <cell r="F256" t="str">
            <v>N/ App</v>
          </cell>
        </row>
        <row r="257">
          <cell r="B257" t="str">
            <v>FB260005580</v>
          </cell>
          <cell r="F257" t="str">
            <v>N/ App</v>
          </cell>
        </row>
        <row r="258">
          <cell r="B258" t="str">
            <v>FB260004843</v>
          </cell>
          <cell r="F258" t="str">
            <v>N/ App</v>
          </cell>
        </row>
        <row r="259">
          <cell r="B259" t="str">
            <v>FB260005821</v>
          </cell>
          <cell r="F259" t="str">
            <v>N/ App</v>
          </cell>
        </row>
        <row r="260">
          <cell r="B260" t="str">
            <v>FB260005490</v>
          </cell>
          <cell r="F260" t="str">
            <v>N/ App</v>
          </cell>
        </row>
        <row r="261">
          <cell r="B261" t="str">
            <v>FB260003812</v>
          </cell>
          <cell r="F261" t="str">
            <v>N/ App</v>
          </cell>
        </row>
        <row r="262">
          <cell r="B262" t="str">
            <v>FB260003996</v>
          </cell>
          <cell r="F262" t="str">
            <v>N/ App</v>
          </cell>
        </row>
        <row r="263">
          <cell r="B263" t="str">
            <v>FB260003359</v>
          </cell>
          <cell r="F263" t="str">
            <v>N/ App</v>
          </cell>
        </row>
        <row r="264">
          <cell r="B264" t="str">
            <v>FB260003929</v>
          </cell>
          <cell r="F264" t="str">
            <v>N/ App</v>
          </cell>
        </row>
        <row r="265">
          <cell r="B265" t="str">
            <v>FB260004463</v>
          </cell>
          <cell r="F265" t="str">
            <v>N/ App</v>
          </cell>
        </row>
        <row r="266">
          <cell r="B266" t="str">
            <v>FB260003572</v>
          </cell>
          <cell r="F266" t="str">
            <v>N/ App</v>
          </cell>
        </row>
        <row r="267">
          <cell r="B267" t="str">
            <v>FR260000098</v>
          </cell>
          <cell r="F267" t="str">
            <v>N/ App</v>
          </cell>
        </row>
        <row r="268">
          <cell r="B268" t="str">
            <v>FB260004270</v>
          </cell>
          <cell r="F268" t="str">
            <v>N/ App</v>
          </cell>
        </row>
        <row r="269">
          <cell r="B269" t="str">
            <v>FB260002575</v>
          </cell>
          <cell r="F269" t="str">
            <v>N/ App</v>
          </cell>
        </row>
        <row r="270">
          <cell r="B270" t="str">
            <v>FB260004166</v>
          </cell>
          <cell r="F270" t="str">
            <v>N/ App</v>
          </cell>
        </row>
        <row r="271">
          <cell r="B271" t="str">
            <v>FB260003363</v>
          </cell>
          <cell r="F271" t="str">
            <v>N/ App</v>
          </cell>
        </row>
        <row r="272">
          <cell r="B272" t="str">
            <v>FB260004164</v>
          </cell>
          <cell r="F272" t="str">
            <v>N/ App</v>
          </cell>
        </row>
        <row r="273">
          <cell r="B273" t="str">
            <v>FB260002853</v>
          </cell>
          <cell r="F273" t="str">
            <v>C/APP</v>
          </cell>
        </row>
        <row r="274">
          <cell r="B274" t="str">
            <v>FB250029046</v>
          </cell>
          <cell r="F274" t="str">
            <v>N/ App</v>
          </cell>
        </row>
        <row r="275">
          <cell r="B275" t="str">
            <v>FB260002835</v>
          </cell>
          <cell r="F275" t="str">
            <v>N/ App</v>
          </cell>
        </row>
        <row r="276">
          <cell r="B276" t="str">
            <v>FB260004836</v>
          </cell>
          <cell r="F276" t="str">
            <v>N/ App</v>
          </cell>
        </row>
        <row r="277">
          <cell r="B277" t="str">
            <v>FB260005212</v>
          </cell>
          <cell r="F277" t="str">
            <v>N/ App</v>
          </cell>
        </row>
        <row r="278">
          <cell r="B278" t="str">
            <v>FB260005399</v>
          </cell>
          <cell r="F278" t="str">
            <v>N/ App</v>
          </cell>
        </row>
        <row r="279">
          <cell r="B279" t="str">
            <v>FB260003942</v>
          </cell>
          <cell r="F279" t="str">
            <v>N/ App</v>
          </cell>
        </row>
        <row r="280">
          <cell r="B280" t="str">
            <v>FB260003943</v>
          </cell>
          <cell r="F280" t="str">
            <v>N/ App</v>
          </cell>
        </row>
        <row r="281">
          <cell r="B281" t="str">
            <v>FB260003847</v>
          </cell>
          <cell r="F281" t="str">
            <v>N/ App</v>
          </cell>
        </row>
        <row r="282">
          <cell r="B282" t="str">
            <v>FB260003846</v>
          </cell>
          <cell r="F282" t="str">
            <v>N/ App</v>
          </cell>
        </row>
        <row r="283">
          <cell r="B283" t="str">
            <v>FB260005695</v>
          </cell>
          <cell r="F283" t="str">
            <v>N/ App</v>
          </cell>
        </row>
        <row r="284">
          <cell r="B284" t="str">
            <v>FB260004510</v>
          </cell>
          <cell r="F284" t="str">
            <v>N/ App</v>
          </cell>
        </row>
        <row r="285">
          <cell r="B285" t="str">
            <v>FB250029037</v>
          </cell>
          <cell r="F285" t="str">
            <v>N/ App</v>
          </cell>
        </row>
        <row r="286">
          <cell r="B286" t="str">
            <v>FB260003918</v>
          </cell>
          <cell r="F286" t="str">
            <v>N/ App</v>
          </cell>
        </row>
        <row r="287">
          <cell r="B287" t="str">
            <v>FB260003876</v>
          </cell>
          <cell r="F287" t="str">
            <v>N/ App</v>
          </cell>
        </row>
        <row r="288">
          <cell r="B288" t="str">
            <v>FB260004841</v>
          </cell>
          <cell r="F288" t="str">
            <v>N/ App</v>
          </cell>
        </row>
        <row r="289">
          <cell r="B289" t="str">
            <v>FB260005574</v>
          </cell>
          <cell r="F289" t="str">
            <v>N/ App</v>
          </cell>
        </row>
        <row r="290">
          <cell r="B290" t="str">
            <v>FB260004116</v>
          </cell>
          <cell r="F290" t="str">
            <v>C/APP</v>
          </cell>
        </row>
        <row r="291">
          <cell r="B291" t="str">
            <v>FB260002981</v>
          </cell>
          <cell r="F291" t="str">
            <v>C/APP</v>
          </cell>
        </row>
        <row r="292">
          <cell r="B292" t="str">
            <v>FB260002606</v>
          </cell>
          <cell r="F292" t="str">
            <v>N/ App</v>
          </cell>
        </row>
        <row r="293">
          <cell r="B293" t="str">
            <v>FB260002980</v>
          </cell>
          <cell r="F293" t="str">
            <v>N/ App</v>
          </cell>
        </row>
        <row r="294">
          <cell r="B294" t="str">
            <v>FB260005691</v>
          </cell>
          <cell r="F294" t="str">
            <v>N/ App</v>
          </cell>
        </row>
        <row r="295">
          <cell r="B295" t="str">
            <v>FB260003705</v>
          </cell>
          <cell r="F295" t="str">
            <v>N/ App</v>
          </cell>
        </row>
        <row r="296">
          <cell r="B296" t="str">
            <v>FB260004204</v>
          </cell>
          <cell r="F296" t="str">
            <v>N/ App</v>
          </cell>
        </row>
        <row r="297">
          <cell r="B297" t="str">
            <v>FB260003170</v>
          </cell>
          <cell r="F297" t="str">
            <v>N/ App</v>
          </cell>
        </row>
        <row r="298">
          <cell r="B298" t="str">
            <v>FB260004041</v>
          </cell>
          <cell r="F298" t="str">
            <v>N/ App</v>
          </cell>
        </row>
        <row r="299">
          <cell r="B299" t="str">
            <v>FB260003132</v>
          </cell>
          <cell r="F299" t="str">
            <v>C/APP</v>
          </cell>
        </row>
        <row r="300">
          <cell r="B300" t="str">
            <v>FB260004482</v>
          </cell>
          <cell r="F300" t="str">
            <v>N/ App</v>
          </cell>
        </row>
        <row r="301">
          <cell r="B301" t="str">
            <v>FB260004031</v>
          </cell>
          <cell r="F301" t="str">
            <v>N/ App</v>
          </cell>
        </row>
        <row r="302">
          <cell r="B302" t="str">
            <v>FB260004879</v>
          </cell>
          <cell r="F302" t="str">
            <v>N/ App</v>
          </cell>
        </row>
        <row r="303">
          <cell r="B303" t="str">
            <v>FB260005769</v>
          </cell>
          <cell r="F303" t="str">
            <v>C/APP</v>
          </cell>
        </row>
        <row r="304">
          <cell r="B304" t="str">
            <v>FB260003848</v>
          </cell>
          <cell r="F304" t="str">
            <v>N/ App</v>
          </cell>
        </row>
        <row r="305">
          <cell r="B305" t="str">
            <v>FB260005692</v>
          </cell>
          <cell r="F305" t="str">
            <v>N/ App</v>
          </cell>
        </row>
        <row r="306">
          <cell r="B306" t="str">
            <v>FR260000106</v>
          </cell>
          <cell r="F306" t="str">
            <v>N/ App</v>
          </cell>
        </row>
        <row r="307">
          <cell r="B307" t="str">
            <v>FB260004872</v>
          </cell>
          <cell r="F307" t="str">
            <v>N/ App</v>
          </cell>
        </row>
        <row r="308">
          <cell r="B308" t="str">
            <v>FB260004896</v>
          </cell>
          <cell r="F308" t="str">
            <v>N/ App</v>
          </cell>
        </row>
        <row r="309">
          <cell r="B309" t="str">
            <v>FB260005357</v>
          </cell>
          <cell r="F309" t="str">
            <v>N/ App</v>
          </cell>
        </row>
        <row r="310">
          <cell r="B310" t="str">
            <v>FB260004897</v>
          </cell>
          <cell r="F310" t="str">
            <v>N/ App</v>
          </cell>
        </row>
        <row r="311">
          <cell r="B311" t="str">
            <v>FB260004895</v>
          </cell>
          <cell r="F311" t="str">
            <v>N/ App</v>
          </cell>
        </row>
        <row r="312">
          <cell r="B312" t="str">
            <v>FB260004898</v>
          </cell>
          <cell r="F312" t="str">
            <v>N/ App</v>
          </cell>
        </row>
        <row r="313">
          <cell r="B313" t="str">
            <v>FB260005400</v>
          </cell>
          <cell r="F313" t="str">
            <v>N/ App</v>
          </cell>
        </row>
        <row r="314">
          <cell r="B314" t="str">
            <v>FB260005355</v>
          </cell>
          <cell r="F314" t="str">
            <v>N/ App</v>
          </cell>
        </row>
        <row r="315">
          <cell r="B315" t="str">
            <v>FB260003247</v>
          </cell>
          <cell r="F315" t="str">
            <v>C/APP</v>
          </cell>
        </row>
        <row r="316">
          <cell r="B316" t="str">
            <v>FB260003239</v>
          </cell>
          <cell r="F316" t="str">
            <v>C/APP</v>
          </cell>
        </row>
        <row r="317">
          <cell r="B317" t="str">
            <v>FB250029038</v>
          </cell>
          <cell r="F317" t="str">
            <v>N/ App</v>
          </cell>
        </row>
        <row r="318">
          <cell r="B318" t="str">
            <v>FB260003127</v>
          </cell>
          <cell r="F318" t="str">
            <v>N/ App</v>
          </cell>
        </row>
        <row r="319">
          <cell r="B319" t="str">
            <v>FB260005696</v>
          </cell>
          <cell r="F319" t="str">
            <v>N/ App</v>
          </cell>
        </row>
        <row r="320">
          <cell r="B320" t="str">
            <v>FB260005719</v>
          </cell>
          <cell r="F320" t="str">
            <v>N/ App</v>
          </cell>
        </row>
        <row r="321">
          <cell r="B321" t="str">
            <v>FB260005359</v>
          </cell>
          <cell r="F321" t="str">
            <v>N/ App</v>
          </cell>
        </row>
        <row r="322">
          <cell r="B322" t="str">
            <v>FB260003702</v>
          </cell>
          <cell r="F322" t="str">
            <v>N/ App</v>
          </cell>
        </row>
        <row r="323">
          <cell r="B323" t="str">
            <v>FB260005272</v>
          </cell>
          <cell r="F323" t="str">
            <v>N/ App</v>
          </cell>
        </row>
        <row r="324">
          <cell r="B324" t="str">
            <v>FB260003960</v>
          </cell>
          <cell r="F324" t="str">
            <v>N/ App</v>
          </cell>
        </row>
        <row r="325">
          <cell r="B325" t="str">
            <v>FB260003963</v>
          </cell>
          <cell r="F325" t="str">
            <v>N/ App</v>
          </cell>
        </row>
        <row r="326">
          <cell r="B326" t="str">
            <v>FB260004402</v>
          </cell>
          <cell r="F326" t="str">
            <v>C/APP</v>
          </cell>
        </row>
        <row r="327">
          <cell r="B327" t="str">
            <v>FB260005705</v>
          </cell>
          <cell r="F327" t="str">
            <v>N/ App</v>
          </cell>
        </row>
        <row r="328">
          <cell r="B328" t="str">
            <v>FB260003561</v>
          </cell>
          <cell r="F328" t="str">
            <v>C/APP</v>
          </cell>
        </row>
        <row r="329">
          <cell r="B329" t="str">
            <v>FB250029042</v>
          </cell>
          <cell r="F329" t="str">
            <v>N/ App</v>
          </cell>
        </row>
        <row r="330">
          <cell r="B330" t="str">
            <v>FB250029041</v>
          </cell>
          <cell r="F330" t="str">
            <v>N/ App</v>
          </cell>
        </row>
        <row r="331">
          <cell r="B331" t="str">
            <v>FB260003254</v>
          </cell>
          <cell r="F331" t="str">
            <v>N/ App</v>
          </cell>
        </row>
        <row r="332">
          <cell r="B332" t="str">
            <v>FB260003257</v>
          </cell>
          <cell r="F332" t="str">
            <v>N/ App</v>
          </cell>
        </row>
        <row r="333">
          <cell r="B333" t="str">
            <v>FB260003564</v>
          </cell>
          <cell r="F333" t="str">
            <v>C/APP</v>
          </cell>
        </row>
        <row r="334">
          <cell r="B334" t="str">
            <v>FR260000108</v>
          </cell>
          <cell r="F334" t="str">
            <v>N/ App</v>
          </cell>
        </row>
        <row r="335">
          <cell r="B335" t="str">
            <v>FB260005576</v>
          </cell>
          <cell r="F335" t="str">
            <v>N/ App</v>
          </cell>
        </row>
        <row r="336">
          <cell r="B336" t="str">
            <v>FB260004842</v>
          </cell>
          <cell r="F336" t="str">
            <v>N/ App</v>
          </cell>
        </row>
        <row r="337">
          <cell r="B337" t="str">
            <v>FB260004829</v>
          </cell>
          <cell r="F337" t="str">
            <v>N/ App</v>
          </cell>
        </row>
        <row r="338">
          <cell r="B338" t="str">
            <v>FB260004819</v>
          </cell>
          <cell r="F338" t="str">
            <v>N/ App</v>
          </cell>
        </row>
        <row r="339">
          <cell r="B339" t="str">
            <v>FB260002946</v>
          </cell>
          <cell r="F339" t="str">
            <v>N/ App</v>
          </cell>
        </row>
        <row r="340">
          <cell r="B340" t="str">
            <v>FB260004786</v>
          </cell>
          <cell r="F340" t="str">
            <v>N/ App</v>
          </cell>
        </row>
        <row r="341">
          <cell r="B341" t="str">
            <v>FB250029043</v>
          </cell>
          <cell r="F341" t="str">
            <v>N/ App</v>
          </cell>
        </row>
        <row r="342">
          <cell r="B342" t="str">
            <v>FB260002844</v>
          </cell>
          <cell r="F342" t="str">
            <v>N/ App</v>
          </cell>
        </row>
        <row r="343">
          <cell r="B343" t="str">
            <v>FB260005253</v>
          </cell>
          <cell r="F343" t="str">
            <v>N/ App</v>
          </cell>
        </row>
        <row r="344">
          <cell r="B344" t="str">
            <v>FB260005700</v>
          </cell>
          <cell r="F344" t="str">
            <v>N/ App</v>
          </cell>
        </row>
        <row r="345">
          <cell r="B345" t="str">
            <v>FB260005767</v>
          </cell>
          <cell r="F345" t="str">
            <v>N/ App</v>
          </cell>
        </row>
        <row r="346">
          <cell r="B346" t="str">
            <v>FB260003329</v>
          </cell>
          <cell r="F346" t="str">
            <v>N/ App</v>
          </cell>
        </row>
        <row r="347">
          <cell r="B347" t="str">
            <v>FR260000120</v>
          </cell>
          <cell r="F347" t="str">
            <v>C/APP</v>
          </cell>
        </row>
        <row r="348">
          <cell r="B348" t="str">
            <v>FB260002940</v>
          </cell>
          <cell r="F348" t="str">
            <v>N/ App</v>
          </cell>
        </row>
        <row r="349">
          <cell r="B349" t="str">
            <v>FB260005699</v>
          </cell>
          <cell r="F349" t="str">
            <v>N/ App</v>
          </cell>
        </row>
        <row r="350">
          <cell r="B350" t="str">
            <v>FB260005711</v>
          </cell>
          <cell r="F350" t="str">
            <v>N/ App</v>
          </cell>
        </row>
        <row r="351">
          <cell r="B351" t="str">
            <v>FB260005716</v>
          </cell>
          <cell r="F351" t="str">
            <v>N/ App</v>
          </cell>
        </row>
        <row r="352">
          <cell r="B352" t="str">
            <v>FB260003701</v>
          </cell>
          <cell r="F352" t="str">
            <v>N/ App</v>
          </cell>
        </row>
        <row r="353">
          <cell r="B353" t="str">
            <v>FB260004036</v>
          </cell>
          <cell r="F353" t="str">
            <v>N/ App</v>
          </cell>
        </row>
        <row r="354">
          <cell r="B354" t="str">
            <v>FB260004834</v>
          </cell>
          <cell r="F354" t="str">
            <v>N/ App</v>
          </cell>
        </row>
        <row r="355">
          <cell r="B355" t="str">
            <v>FB260004914</v>
          </cell>
          <cell r="F355" t="str">
            <v>N/ App</v>
          </cell>
        </row>
        <row r="356">
          <cell r="B356" t="str">
            <v>FB260003683</v>
          </cell>
          <cell r="F356" t="str">
            <v>N/ App</v>
          </cell>
        </row>
        <row r="357">
          <cell r="B357" t="str">
            <v>FB260004035</v>
          </cell>
          <cell r="F357" t="str">
            <v>N/ App</v>
          </cell>
        </row>
        <row r="358">
          <cell r="B358" t="str">
            <v>FB260004395</v>
          </cell>
          <cell r="F358" t="str">
            <v>N/ App</v>
          </cell>
        </row>
        <row r="359">
          <cell r="B359" t="str">
            <v>FB260003681</v>
          </cell>
          <cell r="F359" t="str">
            <v>N/ App</v>
          </cell>
        </row>
        <row r="360">
          <cell r="B360" t="str">
            <v>FB260003688</v>
          </cell>
          <cell r="F360" t="str">
            <v>N/ App</v>
          </cell>
        </row>
        <row r="361">
          <cell r="B361" t="str">
            <v>FB260004405</v>
          </cell>
          <cell r="F361" t="str">
            <v>N/ App</v>
          </cell>
        </row>
        <row r="362">
          <cell r="B362" t="str">
            <v>FB260005768</v>
          </cell>
          <cell r="F362" t="str">
            <v>N/ App</v>
          </cell>
        </row>
        <row r="363">
          <cell r="B363" t="str">
            <v>FB260002997</v>
          </cell>
          <cell r="F363" t="str">
            <v>N/ App</v>
          </cell>
        </row>
        <row r="364">
          <cell r="B364" t="str">
            <v>FB260005694</v>
          </cell>
          <cell r="F364" t="str">
            <v>N/ App</v>
          </cell>
        </row>
        <row r="365">
          <cell r="B365" t="str">
            <v>FB260004811</v>
          </cell>
          <cell r="F365" t="str">
            <v>N/ App</v>
          </cell>
        </row>
        <row r="366">
          <cell r="B366" t="str">
            <v>FB260004803</v>
          </cell>
          <cell r="F366" t="str">
            <v>N/ App</v>
          </cell>
        </row>
        <row r="367">
          <cell r="B367" t="str">
            <v>FB260005899</v>
          </cell>
          <cell r="F367" t="str">
            <v>N/ App</v>
          </cell>
        </row>
        <row r="368">
          <cell r="B368" t="str">
            <v>FR260000129</v>
          </cell>
          <cell r="F368" t="str">
            <v>N/ App</v>
          </cell>
        </row>
        <row r="369">
          <cell r="B369" t="str">
            <v>FR260000127</v>
          </cell>
          <cell r="F369" t="str">
            <v>N/ App</v>
          </cell>
        </row>
        <row r="370">
          <cell r="B370" t="str">
            <v>FB260003169</v>
          </cell>
          <cell r="F370" t="str">
            <v>C/APP</v>
          </cell>
        </row>
        <row r="371">
          <cell r="B371" t="str">
            <v>FB260004410</v>
          </cell>
          <cell r="F371" t="str">
            <v>N/ App</v>
          </cell>
        </row>
        <row r="372">
          <cell r="B372" t="str">
            <v>FB260004192</v>
          </cell>
          <cell r="F372" t="str">
            <v>N/ App</v>
          </cell>
        </row>
        <row r="373">
          <cell r="B373" t="str">
            <v>FB260005713</v>
          </cell>
          <cell r="F373" t="str">
            <v>N/ App</v>
          </cell>
        </row>
        <row r="374">
          <cell r="B374" t="str">
            <v>FB260004239</v>
          </cell>
          <cell r="F374" t="str">
            <v>N/ App</v>
          </cell>
        </row>
        <row r="375">
          <cell r="B375" t="str">
            <v>FB260005434</v>
          </cell>
          <cell r="F375" t="str">
            <v>N/ App</v>
          </cell>
        </row>
        <row r="376">
          <cell r="B376" t="str">
            <v>FB260003431</v>
          </cell>
          <cell r="F376" t="str">
            <v>N/ App</v>
          </cell>
        </row>
        <row r="377">
          <cell r="B377" t="str">
            <v>FB260003164</v>
          </cell>
          <cell r="F377" t="str">
            <v>N/ App</v>
          </cell>
        </row>
        <row r="378">
          <cell r="B378" t="str">
            <v>FB260005258</v>
          </cell>
          <cell r="F378" t="str">
            <v>N/ App</v>
          </cell>
        </row>
        <row r="379">
          <cell r="B379" t="str">
            <v>FB260004422</v>
          </cell>
          <cell r="F379" t="str">
            <v>N/ App</v>
          </cell>
        </row>
        <row r="380">
          <cell r="B380" t="str">
            <v>FB260003344</v>
          </cell>
          <cell r="F380" t="str">
            <v>N/ App</v>
          </cell>
        </row>
        <row r="381">
          <cell r="B381" t="str">
            <v>FB260003039</v>
          </cell>
          <cell r="F381" t="str">
            <v>N/ App</v>
          </cell>
        </row>
        <row r="382">
          <cell r="B382" t="str">
            <v>FB260003042</v>
          </cell>
          <cell r="F382" t="str">
            <v>N/ App</v>
          </cell>
        </row>
        <row r="383">
          <cell r="B383" t="str">
            <v>FB260005712</v>
          </cell>
          <cell r="F383" t="str">
            <v>N/ App</v>
          </cell>
        </row>
        <row r="384">
          <cell r="B384" t="str">
            <v>FB260005256</v>
          </cell>
          <cell r="F384" t="str">
            <v>N/ App</v>
          </cell>
        </row>
        <row r="385">
          <cell r="B385" t="str">
            <v>FB250029036</v>
          </cell>
          <cell r="F385" t="str">
            <v>N/ App</v>
          </cell>
        </row>
        <row r="386">
          <cell r="B386" t="str">
            <v>FB260005267</v>
          </cell>
          <cell r="F386" t="str">
            <v>N/ App</v>
          </cell>
        </row>
        <row r="387">
          <cell r="B387" t="str">
            <v>FB260005268</v>
          </cell>
          <cell r="F387" t="str">
            <v>N/ App</v>
          </cell>
        </row>
        <row r="388">
          <cell r="B388" t="str">
            <v>FB260005263</v>
          </cell>
          <cell r="F388" t="str">
            <v>N/ App</v>
          </cell>
        </row>
        <row r="389">
          <cell r="B389" t="str">
            <v>FB260002483</v>
          </cell>
          <cell r="F389" t="str">
            <v>N/ App</v>
          </cell>
        </row>
        <row r="390">
          <cell r="B390" t="str">
            <v>FB260005809</v>
          </cell>
          <cell r="F390" t="str">
            <v>N/ App</v>
          </cell>
        </row>
        <row r="391">
          <cell r="B391" t="str">
            <v>FB260005810</v>
          </cell>
          <cell r="F391" t="str">
            <v>N/ App</v>
          </cell>
        </row>
        <row r="392">
          <cell r="B392" t="str">
            <v>FB260002916</v>
          </cell>
          <cell r="F392" t="str">
            <v>C/APP</v>
          </cell>
        </row>
        <row r="393">
          <cell r="B393" t="str">
            <v>FB260005697</v>
          </cell>
          <cell r="F393" t="str">
            <v>N/ App</v>
          </cell>
        </row>
        <row r="394">
          <cell r="B394" t="str">
            <v>FB260003055</v>
          </cell>
          <cell r="F394" t="str">
            <v>N/ App</v>
          </cell>
        </row>
        <row r="395">
          <cell r="B395" t="str">
            <v>FB260005708</v>
          </cell>
          <cell r="F395" t="str">
            <v>C/APP</v>
          </cell>
        </row>
        <row r="396">
          <cell r="B396" t="str">
            <v>FB260004816</v>
          </cell>
          <cell r="F396" t="str">
            <v>N/ App</v>
          </cell>
        </row>
        <row r="397">
          <cell r="B397" t="str">
            <v>FB260005458</v>
          </cell>
          <cell r="F397" t="str">
            <v>N/ App</v>
          </cell>
        </row>
        <row r="398">
          <cell r="B398" t="str">
            <v>FB260005816</v>
          </cell>
          <cell r="F398" t="str">
            <v>N/ App</v>
          </cell>
        </row>
        <row r="399">
          <cell r="B399" t="str">
            <v>FB260005269</v>
          </cell>
          <cell r="F399" t="str">
            <v>N/ App</v>
          </cell>
        </row>
        <row r="400">
          <cell r="B400" t="str">
            <v>FB260002746</v>
          </cell>
          <cell r="F400" t="str">
            <v>C/APP</v>
          </cell>
        </row>
        <row r="401">
          <cell r="B401" t="str">
            <v>FB260004266</v>
          </cell>
          <cell r="F401" t="str">
            <v>C/APP</v>
          </cell>
        </row>
        <row r="402">
          <cell r="B402" t="str">
            <v>FB260003430</v>
          </cell>
          <cell r="F402" t="str">
            <v>C/APP</v>
          </cell>
        </row>
        <row r="403">
          <cell r="B403" t="str">
            <v>FB260005714</v>
          </cell>
          <cell r="F403" t="str">
            <v>N/ App</v>
          </cell>
        </row>
        <row r="404">
          <cell r="B404" t="str">
            <v>FB260004193</v>
          </cell>
          <cell r="F404" t="str">
            <v>C/APP</v>
          </cell>
        </row>
        <row r="405">
          <cell r="B405" t="str">
            <v>FB260005773</v>
          </cell>
          <cell r="F405" t="str">
            <v>N/ App</v>
          </cell>
        </row>
        <row r="406">
          <cell r="B406" t="str">
            <v>FB260005774</v>
          </cell>
          <cell r="F406" t="str">
            <v>N/ App</v>
          </cell>
        </row>
        <row r="407">
          <cell r="B407" t="str">
            <v>FB260003571</v>
          </cell>
          <cell r="F407" t="str">
            <v>N/ App</v>
          </cell>
        </row>
        <row r="408">
          <cell r="B408" t="str">
            <v>FB260004795</v>
          </cell>
          <cell r="F408" t="str">
            <v>N/ App</v>
          </cell>
        </row>
        <row r="409">
          <cell r="B409" t="str">
            <v>FB260005386</v>
          </cell>
          <cell r="F409" t="str">
            <v>N/ App</v>
          </cell>
        </row>
        <row r="410">
          <cell r="B410" t="str">
            <v>FB260004810</v>
          </cell>
          <cell r="F410" t="str">
            <v>N/ App</v>
          </cell>
        </row>
        <row r="411">
          <cell r="B411" t="str">
            <v>FB260004799</v>
          </cell>
          <cell r="F411" t="str">
            <v>N/ App</v>
          </cell>
        </row>
        <row r="412">
          <cell r="B412" t="str">
            <v>FB260005368</v>
          </cell>
          <cell r="F412" t="str">
            <v>N/ App</v>
          </cell>
        </row>
        <row r="413">
          <cell r="B413" t="str">
            <v>FB260005300</v>
          </cell>
          <cell r="F413" t="str">
            <v>N/ App</v>
          </cell>
        </row>
        <row r="414">
          <cell r="B414" t="str">
            <v>FB260003065</v>
          </cell>
          <cell r="F414" t="str">
            <v>N/ App</v>
          </cell>
        </row>
        <row r="415">
          <cell r="B415" t="str">
            <v>FB260003328</v>
          </cell>
          <cell r="F415" t="str">
            <v>C/APP</v>
          </cell>
        </row>
        <row r="416">
          <cell r="B416" t="str">
            <v>FB260005808</v>
          </cell>
          <cell r="F416" t="str">
            <v>C/APP</v>
          </cell>
        </row>
        <row r="417">
          <cell r="B417" t="str">
            <v>FB260005114</v>
          </cell>
          <cell r="F417" t="str">
            <v>N/ App</v>
          </cell>
        </row>
        <row r="418">
          <cell r="B418" t="str">
            <v>FB260005452</v>
          </cell>
          <cell r="F418" t="str">
            <v>N/ App</v>
          </cell>
        </row>
        <row r="419">
          <cell r="B419" t="str">
            <v>FB260005087</v>
          </cell>
          <cell r="F419" t="str">
            <v>N/ App</v>
          </cell>
        </row>
        <row r="420">
          <cell r="B420" t="str">
            <v>FB260004958</v>
          </cell>
          <cell r="F420" t="str">
            <v>N/ App</v>
          </cell>
        </row>
        <row r="421">
          <cell r="B421" t="str">
            <v>FB260004955</v>
          </cell>
          <cell r="F421" t="str">
            <v>N/ App</v>
          </cell>
        </row>
        <row r="422">
          <cell r="B422" t="str">
            <v>FB260005479</v>
          </cell>
          <cell r="F422" t="str">
            <v>N/ App</v>
          </cell>
        </row>
        <row r="423">
          <cell r="B423" t="str">
            <v>FB260005347</v>
          </cell>
          <cell r="F423" t="str">
            <v>N/ App</v>
          </cell>
        </row>
        <row r="424">
          <cell r="B424" t="str">
            <v>FB260005706</v>
          </cell>
          <cell r="F424" t="str">
            <v>N/ App</v>
          </cell>
        </row>
        <row r="425">
          <cell r="B425" t="str">
            <v>FR260000126</v>
          </cell>
          <cell r="F425" t="str">
            <v>N/ App</v>
          </cell>
        </row>
        <row r="426">
          <cell r="B426" t="str">
            <v>FB250029012</v>
          </cell>
          <cell r="F426" t="str">
            <v>N/ App</v>
          </cell>
        </row>
        <row r="427">
          <cell r="B427" t="str">
            <v>FB250029011</v>
          </cell>
          <cell r="F427" t="str">
            <v>N/ App</v>
          </cell>
        </row>
        <row r="428">
          <cell r="B428" t="str">
            <v>FB250029040</v>
          </cell>
          <cell r="F428" t="str">
            <v>N/ App</v>
          </cell>
        </row>
        <row r="429">
          <cell r="B429" t="str">
            <v>FB260002871</v>
          </cell>
          <cell r="F429" t="str">
            <v>N/ App</v>
          </cell>
        </row>
        <row r="430">
          <cell r="B430" t="str">
            <v>FB260004733</v>
          </cell>
          <cell r="F430" t="str">
            <v>N/ App</v>
          </cell>
        </row>
        <row r="431">
          <cell r="B431" t="str">
            <v>FB260003704</v>
          </cell>
          <cell r="F431" t="str">
            <v>N/ App</v>
          </cell>
        </row>
        <row r="432">
          <cell r="B432" t="str">
            <v>FB260004734</v>
          </cell>
          <cell r="F432" t="str">
            <v>N/ App</v>
          </cell>
        </row>
        <row r="433">
          <cell r="B433" t="str">
            <v>FR260000124</v>
          </cell>
          <cell r="F433" t="str">
            <v>N/ App</v>
          </cell>
        </row>
        <row r="434">
          <cell r="B434" t="str">
            <v>FR260000124</v>
          </cell>
          <cell r="F434" t="str">
            <v>N/ App</v>
          </cell>
        </row>
        <row r="435">
          <cell r="B435" t="str">
            <v>FB260004378</v>
          </cell>
          <cell r="F435" t="str">
            <v>N/ App</v>
          </cell>
        </row>
        <row r="436">
          <cell r="B436" t="str">
            <v>FB260004380</v>
          </cell>
          <cell r="F436" t="str">
            <v>N/ App</v>
          </cell>
        </row>
        <row r="437">
          <cell r="B437" t="str">
            <v>FB260002918</v>
          </cell>
          <cell r="F437" t="str">
            <v>C/APP</v>
          </cell>
        </row>
        <row r="438">
          <cell r="B438" t="str">
            <v>FB260002920</v>
          </cell>
          <cell r="F438" t="str">
            <v>N/ App</v>
          </cell>
        </row>
        <row r="439">
          <cell r="B439" t="str">
            <v>FB260002922</v>
          </cell>
          <cell r="F439" t="str">
            <v>N/ App</v>
          </cell>
        </row>
        <row r="440">
          <cell r="B440" t="str">
            <v>FB260003117</v>
          </cell>
          <cell r="F440" t="str">
            <v>N/ App</v>
          </cell>
        </row>
        <row r="441">
          <cell r="B441" t="str">
            <v>FB260005811</v>
          </cell>
          <cell r="F441" t="str">
            <v>N/ App</v>
          </cell>
        </row>
        <row r="442">
          <cell r="B442" t="str">
            <v>FB260004934</v>
          </cell>
          <cell r="F442" t="str">
            <v>N/ App</v>
          </cell>
        </row>
        <row r="443">
          <cell r="B443" t="str">
            <v>FB260005255</v>
          </cell>
          <cell r="F443" t="str">
            <v>N/ App</v>
          </cell>
        </row>
        <row r="444">
          <cell r="B444" t="str">
            <v>FB260005358</v>
          </cell>
          <cell r="F444" t="str">
            <v>N/ App</v>
          </cell>
        </row>
        <row r="445">
          <cell r="B445" t="str">
            <v>FB260005257</v>
          </cell>
          <cell r="F445" t="str">
            <v>N/ App</v>
          </cell>
        </row>
        <row r="446">
          <cell r="B446" t="str">
            <v>FB260004953</v>
          </cell>
          <cell r="F446" t="str">
            <v>N/ App</v>
          </cell>
        </row>
        <row r="447">
          <cell r="B447" t="str">
            <v>FB260004840</v>
          </cell>
          <cell r="F447" t="str">
            <v>N/ App</v>
          </cell>
        </row>
        <row r="448">
          <cell r="B448" t="str">
            <v>FB260004942</v>
          </cell>
          <cell r="F448" t="str">
            <v>N/ App</v>
          </cell>
        </row>
        <row r="449">
          <cell r="B449" t="str">
            <v>FB260005011</v>
          </cell>
          <cell r="F449" t="str">
            <v>N/ App</v>
          </cell>
        </row>
        <row r="450">
          <cell r="B450" t="str">
            <v>FB260004929</v>
          </cell>
          <cell r="F450" t="str">
            <v>N/ App</v>
          </cell>
        </row>
        <row r="451">
          <cell r="B451" t="str">
            <v>FB260005013</v>
          </cell>
          <cell r="F451" t="str">
            <v>N/ App</v>
          </cell>
        </row>
        <row r="452">
          <cell r="B452" t="str">
            <v>FB260005007</v>
          </cell>
          <cell r="F452" t="str">
            <v>N/ App</v>
          </cell>
        </row>
        <row r="453">
          <cell r="B453" t="str">
            <v>FB260005617</v>
          </cell>
          <cell r="F453" t="str">
            <v>N/ App</v>
          </cell>
        </row>
        <row r="454">
          <cell r="B454" t="str">
            <v>FB260004956</v>
          </cell>
          <cell r="F454" t="str">
            <v>N/ App</v>
          </cell>
        </row>
        <row r="455">
          <cell r="B455" t="str">
            <v>FB260005209</v>
          </cell>
          <cell r="F455" t="str">
            <v>C/APP</v>
          </cell>
        </row>
        <row r="456">
          <cell r="B456" t="str">
            <v>FB260001908</v>
          </cell>
          <cell r="F456" t="str">
            <v>N/ App</v>
          </cell>
        </row>
        <row r="457">
          <cell r="B457" t="str">
            <v>FB250029008</v>
          </cell>
          <cell r="F457" t="str">
            <v>C/APP</v>
          </cell>
        </row>
        <row r="458">
          <cell r="B458" t="str">
            <v>FB260003035</v>
          </cell>
          <cell r="F458" t="str">
            <v>N/ App</v>
          </cell>
        </row>
        <row r="459">
          <cell r="B459" t="str">
            <v>FB260005704</v>
          </cell>
          <cell r="F459" t="str">
            <v>C/APP</v>
          </cell>
        </row>
        <row r="460">
          <cell r="B460" t="str">
            <v>FB260002619</v>
          </cell>
          <cell r="F460" t="str">
            <v>N/ App</v>
          </cell>
        </row>
        <row r="461">
          <cell r="B461" t="str">
            <v>FB260005864</v>
          </cell>
          <cell r="F461" t="str">
            <v>N/ App</v>
          </cell>
        </row>
        <row r="462">
          <cell r="B462" t="str">
            <v>FB260005702</v>
          </cell>
          <cell r="F462" t="str">
            <v>N/ App</v>
          </cell>
        </row>
        <row r="463">
          <cell r="B463" t="str">
            <v>FR260000133</v>
          </cell>
          <cell r="F463" t="str">
            <v>N/ App</v>
          </cell>
        </row>
        <row r="464">
          <cell r="B464" t="str">
            <v>FB260004754</v>
          </cell>
          <cell r="F464" t="str">
            <v>N/ App</v>
          </cell>
        </row>
        <row r="465">
          <cell r="B465" t="str">
            <v>FB260005715</v>
          </cell>
          <cell r="F465" t="str">
            <v>N/ App</v>
          </cell>
        </row>
        <row r="466">
          <cell r="B466" t="str">
            <v>FB260005658</v>
          </cell>
          <cell r="F466" t="str">
            <v>N/ App</v>
          </cell>
        </row>
        <row r="467">
          <cell r="B467" t="str">
            <v>FB260005657</v>
          </cell>
          <cell r="F467" t="str">
            <v>N/ App</v>
          </cell>
        </row>
        <row r="468">
          <cell r="B468" t="str">
            <v>FB260004238</v>
          </cell>
          <cell r="F468" t="str">
            <v>N/ App</v>
          </cell>
        </row>
        <row r="469">
          <cell r="B469" t="str">
            <v>FB260005154</v>
          </cell>
          <cell r="F469" t="str">
            <v>N/ App</v>
          </cell>
        </row>
        <row r="470">
          <cell r="B470" t="str">
            <v>FB260005151</v>
          </cell>
          <cell r="F470" t="str">
            <v>N/ App</v>
          </cell>
        </row>
        <row r="471">
          <cell r="B471" t="str">
            <v>FB260004480</v>
          </cell>
          <cell r="F471" t="str">
            <v>N/ App</v>
          </cell>
        </row>
        <row r="472">
          <cell r="B472" t="str">
            <v>FB260004526</v>
          </cell>
          <cell r="F472" t="str">
            <v>N/ App</v>
          </cell>
        </row>
        <row r="473">
          <cell r="B473" t="str">
            <v>FB260005813</v>
          </cell>
          <cell r="F473" t="str">
            <v>C/APP</v>
          </cell>
        </row>
        <row r="474">
          <cell r="B474" t="str">
            <v>FB260004946</v>
          </cell>
          <cell r="F474" t="str">
            <v>N/ App</v>
          </cell>
        </row>
        <row r="475">
          <cell r="B475" t="str">
            <v>FB260004949</v>
          </cell>
          <cell r="F475" t="str">
            <v>N/ App</v>
          </cell>
        </row>
        <row r="476">
          <cell r="B476" t="str">
            <v>FB260004932</v>
          </cell>
          <cell r="F476" t="str">
            <v>N/ App</v>
          </cell>
        </row>
        <row r="477">
          <cell r="B477" t="str">
            <v>FB260005766</v>
          </cell>
          <cell r="F477" t="str">
            <v>N/ App</v>
          </cell>
        </row>
        <row r="478">
          <cell r="B478" t="str">
            <v>FB260005480</v>
          </cell>
          <cell r="F478" t="str">
            <v>N/ App</v>
          </cell>
        </row>
        <row r="479">
          <cell r="B479" t="str">
            <v>FB260005455</v>
          </cell>
          <cell r="F479" t="str">
            <v>N/ App</v>
          </cell>
        </row>
        <row r="480">
          <cell r="B480" t="str">
            <v>FB260004948</v>
          </cell>
          <cell r="F480" t="str">
            <v>N/ App</v>
          </cell>
        </row>
        <row r="481">
          <cell r="B481" t="str">
            <v>FB260004945</v>
          </cell>
          <cell r="F481" t="str">
            <v>N/ App</v>
          </cell>
        </row>
        <row r="482">
          <cell r="B482" t="str">
            <v>FB260003063</v>
          </cell>
          <cell r="F482" t="str">
            <v>N/ App</v>
          </cell>
        </row>
        <row r="483">
          <cell r="B483" t="str">
            <v>FB260002991</v>
          </cell>
          <cell r="F483" t="str">
            <v>N/ App</v>
          </cell>
        </row>
        <row r="484">
          <cell r="B484" t="str">
            <v>FR260000128</v>
          </cell>
          <cell r="F484" t="str">
            <v>N/ App</v>
          </cell>
        </row>
        <row r="485">
          <cell r="B485" t="str">
            <v>FB260005709</v>
          </cell>
          <cell r="F485" t="str">
            <v>N/ App</v>
          </cell>
        </row>
        <row r="486">
          <cell r="B486" t="str">
            <v>FB260005005</v>
          </cell>
          <cell r="F486" t="str">
            <v>N/ App</v>
          </cell>
        </row>
        <row r="487">
          <cell r="B487" t="str">
            <v>FB260005019</v>
          </cell>
          <cell r="F487" t="str">
            <v>N/ App</v>
          </cell>
        </row>
        <row r="488">
          <cell r="B488" t="str">
            <v>FB260005003</v>
          </cell>
          <cell r="F488" t="str">
            <v>N/ App</v>
          </cell>
        </row>
        <row r="489">
          <cell r="B489" t="str">
            <v>FB260004907</v>
          </cell>
          <cell r="F489" t="str">
            <v>N/ App</v>
          </cell>
        </row>
        <row r="490">
          <cell r="B490" t="str">
            <v>FB260005815</v>
          </cell>
          <cell r="F490" t="str">
            <v>C/APP</v>
          </cell>
        </row>
        <row r="491">
          <cell r="B491" t="str">
            <v>FB260005812</v>
          </cell>
          <cell r="F491" t="str">
            <v>N/ App</v>
          </cell>
        </row>
        <row r="492">
          <cell r="B492" t="str">
            <v>FB260005450</v>
          </cell>
          <cell r="F492" t="str">
            <v>N/ App</v>
          </cell>
        </row>
        <row r="493">
          <cell r="B493" t="str">
            <v>FB260005454</v>
          </cell>
          <cell r="F493" t="str">
            <v>N/ App</v>
          </cell>
        </row>
        <row r="494">
          <cell r="B494" t="str">
            <v>FB260005457</v>
          </cell>
          <cell r="F494" t="str">
            <v>N/ App</v>
          </cell>
        </row>
        <row r="495">
          <cell r="B495" t="str">
            <v>FB260005027</v>
          </cell>
          <cell r="F495" t="str">
            <v>N/ App</v>
          </cell>
        </row>
        <row r="496">
          <cell r="B496" t="str">
            <v>FB260003840</v>
          </cell>
          <cell r="F496" t="str">
            <v>N/ App</v>
          </cell>
        </row>
        <row r="497">
          <cell r="B497" t="str">
            <v>FB260002854</v>
          </cell>
          <cell r="F497" t="str">
            <v>N/ App</v>
          </cell>
        </row>
        <row r="498">
          <cell r="B498" t="str">
            <v>FB250029033</v>
          </cell>
          <cell r="F498" t="str">
            <v>C/APP</v>
          </cell>
        </row>
        <row r="499">
          <cell r="B499" t="str">
            <v>FR260000119</v>
          </cell>
          <cell r="F499" t="str">
            <v>N/ App</v>
          </cell>
        </row>
        <row r="500">
          <cell r="B500" t="str">
            <v>FB260004246</v>
          </cell>
          <cell r="F500" t="str">
            <v>N/ App</v>
          </cell>
        </row>
        <row r="501">
          <cell r="B501" t="str">
            <v>FB260005159</v>
          </cell>
          <cell r="F501" t="str">
            <v>N/ App</v>
          </cell>
        </row>
        <row r="502">
          <cell r="B502" t="str">
            <v>FB260004409</v>
          </cell>
          <cell r="F502" t="str">
            <v>N/ App</v>
          </cell>
        </row>
        <row r="503">
          <cell r="B503" t="str">
            <v>FB260004525</v>
          </cell>
          <cell r="F503" t="str">
            <v>N/ App</v>
          </cell>
        </row>
        <row r="504">
          <cell r="B504" t="str">
            <v>FB260003332</v>
          </cell>
          <cell r="F504" t="str">
            <v>C/APP</v>
          </cell>
        </row>
        <row r="505">
          <cell r="B505" t="str">
            <v>FB260005701</v>
          </cell>
          <cell r="F505" t="str">
            <v>N/ App</v>
          </cell>
        </row>
        <row r="506">
          <cell r="B506" t="str">
            <v>FB260005969</v>
          </cell>
          <cell r="F506" t="str">
            <v>C/APP</v>
          </cell>
        </row>
        <row r="507">
          <cell r="B507" t="str">
            <v>FB260004813</v>
          </cell>
          <cell r="F507" t="str">
            <v>N/ App</v>
          </cell>
        </row>
        <row r="508">
          <cell r="B508" t="str">
            <v>FB260002875</v>
          </cell>
          <cell r="F508" t="str">
            <v>N/ App</v>
          </cell>
        </row>
        <row r="509">
          <cell r="B509" t="str">
            <v>FB260003629</v>
          </cell>
          <cell r="F509" t="str">
            <v>N/ App</v>
          </cell>
        </row>
        <row r="510">
          <cell r="B510" t="str">
            <v>FB260002947</v>
          </cell>
          <cell r="F510" t="str">
            <v>N/ App</v>
          </cell>
        </row>
        <row r="511">
          <cell r="B511" t="str">
            <v>FB260003333</v>
          </cell>
          <cell r="F511" t="str">
            <v>C/APP</v>
          </cell>
        </row>
        <row r="512">
          <cell r="B512" t="str">
            <v>FB260003331</v>
          </cell>
          <cell r="F512" t="str">
            <v>C/APP</v>
          </cell>
        </row>
        <row r="513">
          <cell r="B513" t="str">
            <v>FB260003337</v>
          </cell>
          <cell r="F513" t="str">
            <v>C/APP</v>
          </cell>
        </row>
        <row r="514">
          <cell r="B514" t="str">
            <v>FB260004938</v>
          </cell>
          <cell r="F514" t="str">
            <v>N/ App</v>
          </cell>
        </row>
        <row r="515">
          <cell r="B515" t="str">
            <v>FB260003335</v>
          </cell>
          <cell r="F515" t="str">
            <v>C/APP</v>
          </cell>
        </row>
        <row r="516">
          <cell r="B516" t="str">
            <v>FB260004936</v>
          </cell>
          <cell r="F516" t="str">
            <v>N/ App</v>
          </cell>
        </row>
        <row r="517">
          <cell r="B517" t="str">
            <v>FB260004982</v>
          </cell>
          <cell r="F517" t="str">
            <v>N/ App</v>
          </cell>
        </row>
        <row r="518">
          <cell r="B518" t="str">
            <v>FB260004475</v>
          </cell>
          <cell r="F518" t="str">
            <v>N/ App</v>
          </cell>
        </row>
        <row r="519">
          <cell r="B519" t="str">
            <v>FB250028987</v>
          </cell>
          <cell r="F519" t="str">
            <v>N/ App</v>
          </cell>
        </row>
        <row r="520">
          <cell r="B520" t="str">
            <v>FB260005002</v>
          </cell>
          <cell r="F520" t="str">
            <v>N/ App</v>
          </cell>
        </row>
        <row r="521">
          <cell r="B521" t="str">
            <v>FB260005391</v>
          </cell>
          <cell r="F521" t="str">
            <v>N/ App</v>
          </cell>
        </row>
        <row r="522">
          <cell r="B522" t="str">
            <v>FB260004773</v>
          </cell>
          <cell r="F522" t="str">
            <v>N/ App</v>
          </cell>
        </row>
        <row r="523">
          <cell r="B523" t="str">
            <v>FB260002941</v>
          </cell>
          <cell r="F523" t="str">
            <v>N/ App</v>
          </cell>
        </row>
        <row r="524">
          <cell r="B524" t="str">
            <v>FB260002858</v>
          </cell>
          <cell r="F524" t="str">
            <v>N/ App</v>
          </cell>
        </row>
        <row r="525">
          <cell r="B525" t="str">
            <v>FB260005903</v>
          </cell>
          <cell r="F525" t="str">
            <v>N/ App</v>
          </cell>
        </row>
        <row r="526">
          <cell r="B526" t="str">
            <v>FB260002942</v>
          </cell>
          <cell r="F526" t="str">
            <v>N/ App</v>
          </cell>
        </row>
        <row r="527">
          <cell r="B527" t="str">
            <v>FB250029063</v>
          </cell>
          <cell r="F527" t="str">
            <v>N/ App</v>
          </cell>
        </row>
        <row r="528">
          <cell r="B528" t="str">
            <v>FB260003815</v>
          </cell>
          <cell r="F528" t="str">
            <v>N/ App</v>
          </cell>
        </row>
        <row r="529">
          <cell r="B529"/>
          <cell r="F529"/>
        </row>
        <row r="530">
          <cell r="B530" t="str">
            <v>FB260004925</v>
          </cell>
          <cell r="F530" t="str">
            <v>N/ App</v>
          </cell>
        </row>
        <row r="531">
          <cell r="B531" t="str">
            <v>FB260004924</v>
          </cell>
          <cell r="F531" t="str">
            <v>N/ App</v>
          </cell>
        </row>
        <row r="532">
          <cell r="B532" t="str">
            <v>FB260004432</v>
          </cell>
          <cell r="F532" t="str">
            <v>N/ App</v>
          </cell>
        </row>
        <row r="533">
          <cell r="B533" t="str">
            <v>FB260002717</v>
          </cell>
          <cell r="F533" t="str">
            <v>N/ App</v>
          </cell>
        </row>
        <row r="534">
          <cell r="B534" t="str">
            <v>FB260004954</v>
          </cell>
          <cell r="F534" t="str">
            <v>N/ App</v>
          </cell>
        </row>
        <row r="535">
          <cell r="B535" t="str">
            <v>FB260005089</v>
          </cell>
          <cell r="F535" t="str">
            <v>N/ App</v>
          </cell>
        </row>
        <row r="536">
          <cell r="B536" t="str">
            <v>FB260005084</v>
          </cell>
          <cell r="F536" t="str">
            <v>N/ App</v>
          </cell>
        </row>
        <row r="537">
          <cell r="B537" t="str">
            <v>FB260005088</v>
          </cell>
          <cell r="F537" t="str">
            <v>N/ App</v>
          </cell>
        </row>
        <row r="538">
          <cell r="B538" t="str">
            <v>FB260005085</v>
          </cell>
          <cell r="F538" t="str">
            <v>N/ App</v>
          </cell>
        </row>
        <row r="539">
          <cell r="B539" t="str">
            <v>FB260005086</v>
          </cell>
          <cell r="F539" t="str">
            <v>N/ App</v>
          </cell>
        </row>
        <row r="540">
          <cell r="B540" t="str">
            <v>FB260004960</v>
          </cell>
          <cell r="F540" t="str">
            <v>N/ App</v>
          </cell>
        </row>
        <row r="541">
          <cell r="B541" t="str">
            <v>FB260005093</v>
          </cell>
          <cell r="F541" t="str">
            <v>N/ App</v>
          </cell>
        </row>
        <row r="542">
          <cell r="B542" t="str">
            <v>FB260004937</v>
          </cell>
          <cell r="F542" t="str">
            <v>N/ App</v>
          </cell>
        </row>
        <row r="543">
          <cell r="B543" t="str">
            <v>FB260005095</v>
          </cell>
          <cell r="F543" t="str">
            <v>N/ App</v>
          </cell>
        </row>
        <row r="544">
          <cell r="B544" t="str">
            <v>FB260005100</v>
          </cell>
          <cell r="F544" t="str">
            <v>N/ App</v>
          </cell>
        </row>
        <row r="545">
          <cell r="B545" t="str">
            <v>FB260005096</v>
          </cell>
          <cell r="F545" t="str">
            <v>N/ App</v>
          </cell>
        </row>
        <row r="546">
          <cell r="B546" t="str">
            <v>FB260003605</v>
          </cell>
          <cell r="F546" t="str">
            <v>N/ App</v>
          </cell>
        </row>
        <row r="547">
          <cell r="B547" t="str">
            <v>FB260002597</v>
          </cell>
          <cell r="F547" t="str">
            <v>C/APP</v>
          </cell>
        </row>
        <row r="548">
          <cell r="B548" t="str">
            <v>FB260004333</v>
          </cell>
          <cell r="F548" t="str">
            <v>C/APP</v>
          </cell>
        </row>
        <row r="549">
          <cell r="B549" t="str">
            <v>FB260002183</v>
          </cell>
          <cell r="F549" t="str">
            <v>C/APP</v>
          </cell>
        </row>
        <row r="550">
          <cell r="B550" t="str">
            <v>FB260002182</v>
          </cell>
          <cell r="F550" t="str">
            <v>C/APP</v>
          </cell>
        </row>
        <row r="551">
          <cell r="B551" t="str">
            <v>FB260004152</v>
          </cell>
          <cell r="F551" t="str">
            <v>C/APP</v>
          </cell>
        </row>
        <row r="552">
          <cell r="B552" t="str">
            <v>FB260001551</v>
          </cell>
          <cell r="F552" t="str">
            <v>C/APP</v>
          </cell>
        </row>
        <row r="553">
          <cell r="B553" t="str">
            <v>FB260001552</v>
          </cell>
          <cell r="F553" t="str">
            <v>N/ App</v>
          </cell>
        </row>
        <row r="554">
          <cell r="B554" t="str">
            <v>FB260004372</v>
          </cell>
          <cell r="F554" t="str">
            <v>N/ App</v>
          </cell>
        </row>
        <row r="555">
          <cell r="B555" t="str">
            <v>FB260004413</v>
          </cell>
          <cell r="F555" t="str">
            <v>C/APP</v>
          </cell>
        </row>
        <row r="556">
          <cell r="B556" t="str">
            <v>FB260004870</v>
          </cell>
          <cell r="F556" t="str">
            <v>N/ App</v>
          </cell>
        </row>
        <row r="557">
          <cell r="B557" t="str">
            <v>FB260004200</v>
          </cell>
          <cell r="F557" t="str">
            <v>N/ App</v>
          </cell>
        </row>
        <row r="558">
          <cell r="B558" t="str">
            <v>FB260005155</v>
          </cell>
          <cell r="F558" t="str">
            <v>N/ App</v>
          </cell>
        </row>
        <row r="559">
          <cell r="B559" t="str">
            <v>FB260004407</v>
          </cell>
          <cell r="F559" t="str">
            <v>N/ App</v>
          </cell>
        </row>
        <row r="560">
          <cell r="B560" t="str">
            <v>FB260005805</v>
          </cell>
          <cell r="F560" t="str">
            <v>C/APP</v>
          </cell>
        </row>
        <row r="561">
          <cell r="B561" t="str">
            <v>FB260004796</v>
          </cell>
          <cell r="F561" t="str">
            <v>N/ App</v>
          </cell>
        </row>
        <row r="562">
          <cell r="B562" t="str">
            <v>FB260005356</v>
          </cell>
          <cell r="F562" t="str">
            <v>N/ App</v>
          </cell>
        </row>
        <row r="563">
          <cell r="B563" t="str">
            <v>FB260004887</v>
          </cell>
          <cell r="F563" t="str">
            <v>N/ App</v>
          </cell>
        </row>
        <row r="564">
          <cell r="B564" t="str">
            <v>FB260005254</v>
          </cell>
          <cell r="F564" t="str">
            <v>N/ App</v>
          </cell>
        </row>
        <row r="565">
          <cell r="B565" t="str">
            <v>FB260005015</v>
          </cell>
          <cell r="F565" t="str">
            <v>N/ App</v>
          </cell>
        </row>
        <row r="566">
          <cell r="B566" t="str">
            <v>FB260004905</v>
          </cell>
          <cell r="F566" t="str">
            <v>N/ App</v>
          </cell>
        </row>
        <row r="567">
          <cell r="B567" t="str">
            <v>FB260004893</v>
          </cell>
          <cell r="F567" t="str">
            <v>N/ App</v>
          </cell>
        </row>
        <row r="568">
          <cell r="B568" t="str">
            <v>FB260004821</v>
          </cell>
          <cell r="F568" t="str">
            <v>N/ App</v>
          </cell>
        </row>
        <row r="569">
          <cell r="B569" t="str">
            <v>FB260005349</v>
          </cell>
          <cell r="F569" t="str">
            <v>N/ App</v>
          </cell>
        </row>
        <row r="570">
          <cell r="B570" t="str">
            <v>FB260000010</v>
          </cell>
          <cell r="F570" t="str">
            <v>N/ App</v>
          </cell>
        </row>
        <row r="571">
          <cell r="B571" t="str">
            <v>FB260003334</v>
          </cell>
          <cell r="F571" t="str">
            <v>N/ App</v>
          </cell>
        </row>
        <row r="572">
          <cell r="B572" t="str">
            <v>FB260003959</v>
          </cell>
          <cell r="F572" t="str">
            <v>N/ App</v>
          </cell>
        </row>
        <row r="573">
          <cell r="B573" t="str">
            <v>FB260003958</v>
          </cell>
          <cell r="F573" t="str">
            <v>N/ App</v>
          </cell>
        </row>
        <row r="574">
          <cell r="B574" t="str">
            <v>FB250029004</v>
          </cell>
          <cell r="F574" t="str">
            <v>N/ App</v>
          </cell>
        </row>
        <row r="575">
          <cell r="B575" t="str">
            <v>FB260003874</v>
          </cell>
          <cell r="F575" t="str">
            <v>N/ App</v>
          </cell>
        </row>
        <row r="576">
          <cell r="B576" t="str">
            <v>FB260002827</v>
          </cell>
          <cell r="F576" t="str">
            <v>N/ App</v>
          </cell>
        </row>
        <row r="577">
          <cell r="B577" t="str">
            <v>FB260005659</v>
          </cell>
          <cell r="F577" t="str">
            <v>N/ App</v>
          </cell>
        </row>
        <row r="578">
          <cell r="B578" t="str">
            <v>FB260002830</v>
          </cell>
          <cell r="F578" t="str">
            <v>N/ App</v>
          </cell>
        </row>
        <row r="579">
          <cell r="B579" t="str">
            <v>FB260002661</v>
          </cell>
          <cell r="F579" t="str">
            <v>N/ App</v>
          </cell>
        </row>
        <row r="580">
          <cell r="B580" t="str">
            <v>FB260004805</v>
          </cell>
          <cell r="F580" t="str">
            <v>N/ App</v>
          </cell>
        </row>
        <row r="581">
          <cell r="B581" t="str">
            <v>FB260004297</v>
          </cell>
          <cell r="F581" t="str">
            <v>C/APP</v>
          </cell>
        </row>
        <row r="582">
          <cell r="B582" t="str">
            <v>FB260003912</v>
          </cell>
          <cell r="F582" t="str">
            <v>C/APP</v>
          </cell>
        </row>
        <row r="583">
          <cell r="B583" t="str">
            <v>FB260005592</v>
          </cell>
          <cell r="F583" t="str">
            <v>N/ App</v>
          </cell>
        </row>
        <row r="584">
          <cell r="B584" t="str">
            <v>FB260004248</v>
          </cell>
          <cell r="F584" t="str">
            <v>N/ App</v>
          </cell>
        </row>
        <row r="585">
          <cell r="B585" t="str">
            <v>FB260002984</v>
          </cell>
          <cell r="F585" t="str">
            <v>N/ App</v>
          </cell>
        </row>
        <row r="586">
          <cell r="B586" t="str">
            <v>FB260003029</v>
          </cell>
          <cell r="F586" t="str">
            <v>N/ App</v>
          </cell>
        </row>
        <row r="587">
          <cell r="B587" t="str">
            <v>FB260003213</v>
          </cell>
          <cell r="F587" t="str">
            <v>N/ App</v>
          </cell>
        </row>
        <row r="588">
          <cell r="B588" t="str">
            <v>FB260004901</v>
          </cell>
          <cell r="F588" t="str">
            <v>N/ App</v>
          </cell>
        </row>
        <row r="589">
          <cell r="B589" t="str">
            <v>FB260005213</v>
          </cell>
          <cell r="F589" t="str">
            <v>N/ App</v>
          </cell>
        </row>
        <row r="590">
          <cell r="B590" t="str">
            <v>FB260004878</v>
          </cell>
          <cell r="F590" t="str">
            <v>N/ App</v>
          </cell>
        </row>
        <row r="591">
          <cell r="B591" t="str">
            <v>FB260004892</v>
          </cell>
          <cell r="F591" t="str">
            <v>N/ App</v>
          </cell>
        </row>
        <row r="592">
          <cell r="B592" t="str">
            <v>FB260005663</v>
          </cell>
          <cell r="F592" t="str">
            <v>N/ App</v>
          </cell>
        </row>
        <row r="593">
          <cell r="B593" t="str">
            <v>FB260005908</v>
          </cell>
          <cell r="F593" t="str">
            <v>N/ App</v>
          </cell>
        </row>
        <row r="594">
          <cell r="B594" t="str">
            <v>FB260005904</v>
          </cell>
          <cell r="F594" t="str">
            <v>N/ App</v>
          </cell>
        </row>
        <row r="595">
          <cell r="B595" t="str">
            <v>FB260005902</v>
          </cell>
          <cell r="F595" t="str">
            <v>N/ App</v>
          </cell>
        </row>
        <row r="596">
          <cell r="B596" t="str">
            <v>FB260005210</v>
          </cell>
          <cell r="F596" t="str">
            <v>N/ App</v>
          </cell>
        </row>
        <row r="597">
          <cell r="B597" t="str">
            <v>FB260002986</v>
          </cell>
          <cell r="F597" t="str">
            <v>N/ App</v>
          </cell>
        </row>
        <row r="598">
          <cell r="B598" t="str">
            <v>FB260004247</v>
          </cell>
          <cell r="F598" t="str">
            <v>N/ App</v>
          </cell>
        </row>
        <row r="599">
          <cell r="B599" t="str">
            <v>FB260005075</v>
          </cell>
          <cell r="F599" t="str">
            <v>N/ App</v>
          </cell>
        </row>
        <row r="600">
          <cell r="B600" t="str">
            <v>FB260004476</v>
          </cell>
          <cell r="F600" t="str">
            <v>N/ App</v>
          </cell>
        </row>
        <row r="601">
          <cell r="B601" t="str">
            <v>FB260003162</v>
          </cell>
          <cell r="F601" t="str">
            <v>N/ App</v>
          </cell>
        </row>
        <row r="602">
          <cell r="B602" t="str">
            <v>FB260004545</v>
          </cell>
          <cell r="F602" t="str">
            <v>C/APP</v>
          </cell>
        </row>
        <row r="603">
          <cell r="B603" t="str">
            <v>FB260004024</v>
          </cell>
          <cell r="F603" t="str">
            <v>N/ App</v>
          </cell>
        </row>
        <row r="604">
          <cell r="B604" t="str">
            <v>FB260004025</v>
          </cell>
          <cell r="F604" t="str">
            <v>N/ App</v>
          </cell>
        </row>
        <row r="605">
          <cell r="B605" t="str">
            <v>FB260004874</v>
          </cell>
          <cell r="F605" t="str">
            <v>N/ App</v>
          </cell>
        </row>
        <row r="606">
          <cell r="B606" t="str">
            <v>FB260004488</v>
          </cell>
          <cell r="F606" t="str">
            <v>N/ App</v>
          </cell>
        </row>
        <row r="607">
          <cell r="B607" t="str">
            <v>FB260005428</v>
          </cell>
          <cell r="F607" t="str">
            <v>N/ App</v>
          </cell>
        </row>
        <row r="608">
          <cell r="B608" t="str">
            <v>FB260004207</v>
          </cell>
          <cell r="F608" t="str">
            <v>N/ App</v>
          </cell>
        </row>
        <row r="609">
          <cell r="B609" t="str">
            <v>FB260004195</v>
          </cell>
          <cell r="F609" t="str">
            <v>C/APP</v>
          </cell>
        </row>
        <row r="610">
          <cell r="B610" t="str">
            <v>FB260005270</v>
          </cell>
          <cell r="F610" t="str">
            <v>C/APP</v>
          </cell>
        </row>
        <row r="611">
          <cell r="B611" t="str">
            <v>FB260003957</v>
          </cell>
          <cell r="F611" t="str">
            <v>N/ App</v>
          </cell>
        </row>
        <row r="612">
          <cell r="B612" t="str">
            <v>FB250029020</v>
          </cell>
          <cell r="F612" t="str">
            <v>C/APP</v>
          </cell>
        </row>
        <row r="613">
          <cell r="B613" t="str">
            <v>FB250029022</v>
          </cell>
          <cell r="F613" t="str">
            <v>N/ App</v>
          </cell>
        </row>
        <row r="614">
          <cell r="B614" t="str">
            <v>FB250029021</v>
          </cell>
          <cell r="F614" t="str">
            <v>N/ App</v>
          </cell>
        </row>
        <row r="615">
          <cell r="B615" t="str">
            <v>FB260004902</v>
          </cell>
          <cell r="F615" t="str">
            <v>N/ App</v>
          </cell>
        </row>
        <row r="616">
          <cell r="B616" t="str">
            <v>FB260005211</v>
          </cell>
          <cell r="F616" t="str">
            <v>N/ App</v>
          </cell>
        </row>
        <row r="617">
          <cell r="B617" t="str">
            <v>FB260005214</v>
          </cell>
          <cell r="F617" t="str">
            <v>N/ App</v>
          </cell>
        </row>
        <row r="618">
          <cell r="B618" t="str">
            <v>FB260005354</v>
          </cell>
          <cell r="F618" t="str">
            <v>N/ App</v>
          </cell>
        </row>
        <row r="619">
          <cell r="B619" t="str">
            <v>FB260005546</v>
          </cell>
          <cell r="F619" t="str">
            <v>N/ App</v>
          </cell>
        </row>
        <row r="620">
          <cell r="B620" t="str">
            <v>FB260005667</v>
          </cell>
          <cell r="F620" t="str">
            <v>N/ App</v>
          </cell>
        </row>
        <row r="621">
          <cell r="B621" t="str">
            <v>FB260005499</v>
          </cell>
          <cell r="F621" t="str">
            <v>N/ App</v>
          </cell>
        </row>
        <row r="622">
          <cell r="B622" t="str">
            <v>FB260004971</v>
          </cell>
          <cell r="F622" t="str">
            <v>C/APP</v>
          </cell>
        </row>
        <row r="623">
          <cell r="B623" t="str">
            <v>FB260003236</v>
          </cell>
          <cell r="F623" t="str">
            <v>N/ App</v>
          </cell>
        </row>
        <row r="624">
          <cell r="B624" t="str">
            <v>FB260003210</v>
          </cell>
          <cell r="F624" t="str">
            <v>N/ App</v>
          </cell>
        </row>
        <row r="625">
          <cell r="B625"/>
          <cell r="F625"/>
        </row>
        <row r="626">
          <cell r="B626" t="str">
            <v>FB260002970</v>
          </cell>
          <cell r="F626" t="str">
            <v>N/ App</v>
          </cell>
        </row>
        <row r="627">
          <cell r="B627" t="str">
            <v>FB260003360</v>
          </cell>
          <cell r="F627" t="str">
            <v>N/ App</v>
          </cell>
        </row>
        <row r="628">
          <cell r="B628" t="str">
            <v>FB260004442</v>
          </cell>
          <cell r="F628" t="str">
            <v>N/ App</v>
          </cell>
        </row>
        <row r="629">
          <cell r="B629" t="str">
            <v>FB260000011</v>
          </cell>
          <cell r="F629" t="str">
            <v>N/ App</v>
          </cell>
        </row>
        <row r="630">
          <cell r="B630" t="str">
            <v>FB260004884</v>
          </cell>
          <cell r="F630" t="str">
            <v>N/ App</v>
          </cell>
        </row>
        <row r="631">
          <cell r="B631" t="str">
            <v>FB260003192</v>
          </cell>
          <cell r="F631" t="str">
            <v>N/ App</v>
          </cell>
        </row>
        <row r="632">
          <cell r="B632" t="str">
            <v>FB260004208</v>
          </cell>
          <cell r="F632" t="str">
            <v>N/ App</v>
          </cell>
        </row>
        <row r="633">
          <cell r="B633" t="str">
            <v>FB260005508</v>
          </cell>
          <cell r="F633" t="str">
            <v>N/ App</v>
          </cell>
        </row>
        <row r="634">
          <cell r="B634" t="str">
            <v>FB260005551</v>
          </cell>
          <cell r="F634" t="str">
            <v>N/ App</v>
          </cell>
        </row>
        <row r="635">
          <cell r="B635" t="str">
            <v>FB260004774</v>
          </cell>
          <cell r="F635" t="str">
            <v>N/ App</v>
          </cell>
        </row>
        <row r="636">
          <cell r="B636" t="str">
            <v>FB260004903</v>
          </cell>
          <cell r="F636" t="str">
            <v>N/ App</v>
          </cell>
        </row>
        <row r="637">
          <cell r="B637" t="str">
            <v>FB260005491</v>
          </cell>
          <cell r="F637" t="str">
            <v>N/ App</v>
          </cell>
        </row>
        <row r="638">
          <cell r="B638" t="str">
            <v>FB260004900</v>
          </cell>
          <cell r="F638" t="str">
            <v>N/ App</v>
          </cell>
        </row>
        <row r="639">
          <cell r="B639" t="str">
            <v>FB260004434</v>
          </cell>
          <cell r="F639" t="str">
            <v>N/ App</v>
          </cell>
        </row>
        <row r="640">
          <cell r="B640" t="str">
            <v>FB260005453</v>
          </cell>
          <cell r="F640" t="str">
            <v>N/ App</v>
          </cell>
        </row>
        <row r="641">
          <cell r="B641" t="str">
            <v>FB260004957</v>
          </cell>
          <cell r="F641" t="str">
            <v>N/ App</v>
          </cell>
        </row>
        <row r="642">
          <cell r="B642" t="str">
            <v>FB260005090</v>
          </cell>
          <cell r="F642" t="str">
            <v>N/ App</v>
          </cell>
        </row>
        <row r="643">
          <cell r="B643" t="str">
            <v>FB260004935</v>
          </cell>
          <cell r="F643" t="str">
            <v>N/ App</v>
          </cell>
        </row>
        <row r="644">
          <cell r="B644" t="str">
            <v>FB260004939</v>
          </cell>
          <cell r="F644" t="str">
            <v>N/ App</v>
          </cell>
        </row>
        <row r="645">
          <cell r="B645" t="str">
            <v>FB260005448</v>
          </cell>
          <cell r="F645" t="str">
            <v>N/ App</v>
          </cell>
        </row>
        <row r="646">
          <cell r="B646" t="str">
            <v>FB260004440</v>
          </cell>
          <cell r="F646" t="str">
            <v>N/ App</v>
          </cell>
        </row>
        <row r="647">
          <cell r="B647" t="str">
            <v>FB260004443</v>
          </cell>
          <cell r="F647" t="str">
            <v>N/ App</v>
          </cell>
        </row>
        <row r="648">
          <cell r="B648" t="str">
            <v>FB260005025</v>
          </cell>
          <cell r="F648" t="str">
            <v>N/ App</v>
          </cell>
        </row>
        <row r="649">
          <cell r="B649" t="str">
            <v>FB260004997</v>
          </cell>
          <cell r="F649" t="str">
            <v>N/ App</v>
          </cell>
        </row>
        <row r="650">
          <cell r="B650" t="str">
            <v>FB260005004</v>
          </cell>
          <cell r="F650" t="str">
            <v>N/ App</v>
          </cell>
        </row>
        <row r="651">
          <cell r="B651" t="str">
            <v>FB260005028</v>
          </cell>
          <cell r="F651" t="str">
            <v>N/ App</v>
          </cell>
        </row>
        <row r="652">
          <cell r="B652" t="str">
            <v>FB260005006</v>
          </cell>
          <cell r="F652" t="str">
            <v>N/ App</v>
          </cell>
        </row>
        <row r="653">
          <cell r="B653" t="str">
            <v>FB260002934</v>
          </cell>
          <cell r="F653" t="str">
            <v>N/ App</v>
          </cell>
        </row>
        <row r="654">
          <cell r="B654" t="str">
            <v>FB260004877</v>
          </cell>
          <cell r="F654" t="str">
            <v>N/ App</v>
          </cell>
        </row>
        <row r="655">
          <cell r="B655" t="str">
            <v>FB260005550</v>
          </cell>
          <cell r="F655" t="str">
            <v>N/ App</v>
          </cell>
        </row>
        <row r="656">
          <cell r="B656" t="str">
            <v>FB260005666</v>
          </cell>
          <cell r="F656" t="str">
            <v>N/ App</v>
          </cell>
        </row>
        <row r="657">
          <cell r="B657" t="str">
            <v>FB260004906</v>
          </cell>
          <cell r="F657" t="str">
            <v>N/ App</v>
          </cell>
        </row>
        <row r="658">
          <cell r="B658" t="str">
            <v>FB260003961</v>
          </cell>
          <cell r="F658" t="str">
            <v>C/APP</v>
          </cell>
        </row>
        <row r="659">
          <cell r="B659" t="str">
            <v>FB260003964</v>
          </cell>
          <cell r="F659" t="str">
            <v>C/APP</v>
          </cell>
        </row>
        <row r="660">
          <cell r="B660" t="str">
            <v>FB260002935</v>
          </cell>
          <cell r="F660" t="str">
            <v>N/ App</v>
          </cell>
        </row>
        <row r="661">
          <cell r="B661" t="str">
            <v>FB260004134</v>
          </cell>
          <cell r="F661" t="str">
            <v>N/ App</v>
          </cell>
        </row>
        <row r="662">
          <cell r="B662" t="str">
            <v>FB260003830</v>
          </cell>
          <cell r="F662" t="str">
            <v>N/ App</v>
          </cell>
        </row>
        <row r="663">
          <cell r="B663" t="str">
            <v>FB260004673</v>
          </cell>
          <cell r="F663" t="str">
            <v>C/APP</v>
          </cell>
        </row>
        <row r="664">
          <cell r="B664" t="str">
            <v>FB260004135</v>
          </cell>
          <cell r="F664" t="str">
            <v>N/ App</v>
          </cell>
        </row>
        <row r="665">
          <cell r="B665" t="str">
            <v>FB260002976</v>
          </cell>
          <cell r="F665" t="str">
            <v>N/ App</v>
          </cell>
        </row>
        <row r="666">
          <cell r="B666" t="str">
            <v>FB260004873</v>
          </cell>
          <cell r="F666" t="str">
            <v>N/ App</v>
          </cell>
        </row>
        <row r="667">
          <cell r="B667" t="str">
            <v>FB250029014</v>
          </cell>
          <cell r="F667" t="str">
            <v>N/ App</v>
          </cell>
        </row>
        <row r="668">
          <cell r="B668" t="str">
            <v>FB250029065</v>
          </cell>
          <cell r="F668" t="str">
            <v>C/APP</v>
          </cell>
        </row>
        <row r="669">
          <cell r="B669" t="str">
            <v>FB250029064</v>
          </cell>
          <cell r="F669" t="str">
            <v>C/APP</v>
          </cell>
        </row>
        <row r="670">
          <cell r="B670" t="str">
            <v>FB260002985</v>
          </cell>
          <cell r="F670" t="str">
            <v>C/APP</v>
          </cell>
        </row>
        <row r="671">
          <cell r="B671" t="str">
            <v>FB260003976</v>
          </cell>
          <cell r="F671" t="str">
            <v>C/APP</v>
          </cell>
        </row>
        <row r="672">
          <cell r="B672" t="str">
            <v>FB260003921</v>
          </cell>
          <cell r="F672" t="str">
            <v>C/APP</v>
          </cell>
        </row>
        <row r="673">
          <cell r="B673" t="str">
            <v>FB260003109</v>
          </cell>
          <cell r="F673" t="str">
            <v>C/APP</v>
          </cell>
        </row>
        <row r="674">
          <cell r="B674" t="str">
            <v>FB260003108</v>
          </cell>
          <cell r="F674" t="str">
            <v>C/APP</v>
          </cell>
        </row>
        <row r="675">
          <cell r="B675" t="str">
            <v>FB260004255</v>
          </cell>
          <cell r="F675" t="str">
            <v>N/ App</v>
          </cell>
        </row>
        <row r="676">
          <cell r="B676" t="str">
            <v>FB260004888</v>
          </cell>
          <cell r="F676" t="str">
            <v>N/ App</v>
          </cell>
        </row>
        <row r="677">
          <cell r="B677" t="str">
            <v>FB260004883</v>
          </cell>
          <cell r="F677" t="str">
            <v>N/ App</v>
          </cell>
        </row>
        <row r="678">
          <cell r="B678" t="str">
            <v>FB260005244</v>
          </cell>
          <cell r="F678" t="str">
            <v>N/ App</v>
          </cell>
        </row>
        <row r="679">
          <cell r="B679" t="str">
            <v>FB260004729</v>
          </cell>
          <cell r="F679" t="str">
            <v>N/ App</v>
          </cell>
        </row>
        <row r="680">
          <cell r="B680" t="str">
            <v>FB260003436</v>
          </cell>
          <cell r="F680" t="str">
            <v>N/ App</v>
          </cell>
        </row>
        <row r="681">
          <cell r="B681" t="str">
            <v>FB260004590</v>
          </cell>
          <cell r="F681" t="str">
            <v>C/APP</v>
          </cell>
        </row>
        <row r="682">
          <cell r="B682" t="str">
            <v>FB260004555</v>
          </cell>
          <cell r="F682" t="str">
            <v>C/APP</v>
          </cell>
        </row>
        <row r="683">
          <cell r="B683" t="str">
            <v>FB260004553</v>
          </cell>
          <cell r="F683" t="str">
            <v>C/APP</v>
          </cell>
        </row>
        <row r="684">
          <cell r="B684" t="str">
            <v>FB260003112</v>
          </cell>
          <cell r="F684" t="str">
            <v>N/ App</v>
          </cell>
        </row>
        <row r="685">
          <cell r="B685" t="str">
            <v>FB260005540</v>
          </cell>
          <cell r="F685" t="str">
            <v>N/ App</v>
          </cell>
        </row>
        <row r="686">
          <cell r="B686" t="str">
            <v>FB260004891</v>
          </cell>
          <cell r="F686" t="str">
            <v>N/ App</v>
          </cell>
        </row>
        <row r="687">
          <cell r="B687" t="str">
            <v>FB260004254</v>
          </cell>
          <cell r="F687" t="str">
            <v>N/ App</v>
          </cell>
        </row>
        <row r="688">
          <cell r="B688" t="str">
            <v>FB260004894</v>
          </cell>
          <cell r="F688" t="str">
            <v>N/ App</v>
          </cell>
        </row>
        <row r="689">
          <cell r="B689" t="str">
            <v>FB260004040</v>
          </cell>
          <cell r="F689" t="str">
            <v>N/ App</v>
          </cell>
        </row>
        <row r="690">
          <cell r="B690" t="str">
            <v>FB260004537</v>
          </cell>
          <cell r="F690" t="str">
            <v>C/APP</v>
          </cell>
        </row>
        <row r="691">
          <cell r="B691" t="str">
            <v>FB260004972</v>
          </cell>
          <cell r="F691" t="str">
            <v>C/APP</v>
          </cell>
        </row>
        <row r="692">
          <cell r="B692" t="str">
            <v>FB260006103</v>
          </cell>
          <cell r="F692" t="str">
            <v>C/APP</v>
          </cell>
        </row>
        <row r="693">
          <cell r="B693" t="str">
            <v>FB260004245</v>
          </cell>
          <cell r="F693" t="str">
            <v>C/APP</v>
          </cell>
        </row>
        <row r="694">
          <cell r="B694" t="str">
            <v>FB260005552</v>
          </cell>
          <cell r="F694" t="str">
            <v>N/ App</v>
          </cell>
        </row>
        <row r="695">
          <cell r="B695" t="str">
            <v>FB260004558</v>
          </cell>
          <cell r="F695" t="str">
            <v>C/APP</v>
          </cell>
        </row>
        <row r="696">
          <cell r="B696" t="str">
            <v>FB260004559</v>
          </cell>
          <cell r="F696" t="str">
            <v>C/APP</v>
          </cell>
        </row>
        <row r="697">
          <cell r="B697" t="str">
            <v>FB260004204</v>
          </cell>
          <cell r="F697" t="str">
            <v>C/APP</v>
          </cell>
        </row>
        <row r="698">
          <cell r="B698" t="str">
            <v>FB260004951</v>
          </cell>
          <cell r="F698" t="str">
            <v>N/ App</v>
          </cell>
        </row>
        <row r="699">
          <cell r="B699" t="str">
            <v>FB260004931</v>
          </cell>
          <cell r="F699" t="str">
            <v>N/ App</v>
          </cell>
        </row>
        <row r="700">
          <cell r="B700" t="str">
            <v>FB260002659</v>
          </cell>
          <cell r="F700" t="str">
            <v>N/ App</v>
          </cell>
        </row>
        <row r="701">
          <cell r="B701" t="str">
            <v>FB250029016</v>
          </cell>
          <cell r="F701" t="str">
            <v>C/APP</v>
          </cell>
        </row>
        <row r="702">
          <cell r="B702" t="str">
            <v>FB260005147</v>
          </cell>
          <cell r="F702" t="str">
            <v>N/ App</v>
          </cell>
        </row>
        <row r="703">
          <cell r="B703" t="str">
            <v>FB260004699</v>
          </cell>
          <cell r="F703" t="str">
            <v>N/ App</v>
          </cell>
        </row>
        <row r="704">
          <cell r="B704" t="str">
            <v>FB260003580</v>
          </cell>
          <cell r="F704" t="str">
            <v>C/APP</v>
          </cell>
        </row>
        <row r="705">
          <cell r="B705" t="str">
            <v>FB260003006</v>
          </cell>
          <cell r="F705" t="str">
            <v>N/ App</v>
          </cell>
        </row>
        <row r="706">
          <cell r="B706" t="str">
            <v>FB260005991</v>
          </cell>
          <cell r="F706" t="str">
            <v>N/ App</v>
          </cell>
        </row>
        <row r="707">
          <cell r="B707" t="str">
            <v>FB260005990</v>
          </cell>
          <cell r="F707" t="str">
            <v>N/ App</v>
          </cell>
        </row>
        <row r="708">
          <cell r="B708" t="str">
            <v>FB260005993</v>
          </cell>
          <cell r="F708" t="str">
            <v>N/ App</v>
          </cell>
        </row>
        <row r="709">
          <cell r="B709" t="str">
            <v>FB260002869</v>
          </cell>
          <cell r="F709" t="str">
            <v>N/ App</v>
          </cell>
        </row>
        <row r="710">
          <cell r="B710" t="str">
            <v>FB260004342</v>
          </cell>
          <cell r="F710" t="str">
            <v>N/ App</v>
          </cell>
        </row>
        <row r="711">
          <cell r="B711" t="str">
            <v>FB260004694</v>
          </cell>
          <cell r="F711" t="str">
            <v>N/ App</v>
          </cell>
        </row>
        <row r="712">
          <cell r="B712" t="str">
            <v>FB260004698</v>
          </cell>
          <cell r="F712" t="str">
            <v>N/ App</v>
          </cell>
        </row>
        <row r="713">
          <cell r="B713" t="str">
            <v>FB260004142</v>
          </cell>
          <cell r="F713" t="str">
            <v>C/APP</v>
          </cell>
        </row>
        <row r="714">
          <cell r="B714" t="str">
            <v>FB260004101</v>
          </cell>
          <cell r="F714" t="str">
            <v>N/ App</v>
          </cell>
        </row>
        <row r="715">
          <cell r="B715" t="str">
            <v>FB250029047</v>
          </cell>
          <cell r="F715" t="str">
            <v>N/ App</v>
          </cell>
        </row>
        <row r="716">
          <cell r="B716" t="str">
            <v>FB260002557</v>
          </cell>
          <cell r="F716" t="str">
            <v>N/ App</v>
          </cell>
        </row>
        <row r="717">
          <cell r="B717" t="str">
            <v>FB260006148</v>
          </cell>
          <cell r="F717" t="str">
            <v>C/APP</v>
          </cell>
        </row>
        <row r="718">
          <cell r="B718" t="str">
            <v>FB250029019</v>
          </cell>
          <cell r="F718" t="str">
            <v>C/APP</v>
          </cell>
        </row>
        <row r="719">
          <cell r="B719" t="str">
            <v>FB260004766</v>
          </cell>
          <cell r="F719" t="str">
            <v>N/ App</v>
          </cell>
        </row>
        <row r="720">
          <cell r="B720" t="str">
            <v>FB260003764</v>
          </cell>
          <cell r="F720" t="str">
            <v>N/ App</v>
          </cell>
        </row>
        <row r="721">
          <cell r="B721" t="str">
            <v>FB260004479</v>
          </cell>
          <cell r="F721" t="str">
            <v>N/ App</v>
          </cell>
        </row>
        <row r="722">
          <cell r="B722" t="str">
            <v>FB260004202</v>
          </cell>
          <cell r="F722" t="str">
            <v>N/ App</v>
          </cell>
        </row>
        <row r="723">
          <cell r="B723" t="str">
            <v>FB260003850</v>
          </cell>
          <cell r="F723" t="str">
            <v>N/ App</v>
          </cell>
        </row>
        <row r="724">
          <cell r="B724" t="str">
            <v>FB260004128</v>
          </cell>
          <cell r="F724" t="str">
            <v>C/APP</v>
          </cell>
        </row>
        <row r="725">
          <cell r="B725" t="str">
            <v>FB260004299</v>
          </cell>
          <cell r="F725" t="str">
            <v>C/APP</v>
          </cell>
        </row>
        <row r="726">
          <cell r="B726" t="str">
            <v>FB260004295</v>
          </cell>
          <cell r="F726" t="str">
            <v>C/APP</v>
          </cell>
        </row>
        <row r="727">
          <cell r="B727" t="str">
            <v>FB260003596</v>
          </cell>
          <cell r="F727" t="str">
            <v>N/ App</v>
          </cell>
        </row>
        <row r="728">
          <cell r="B728" t="str">
            <v>FB260004700</v>
          </cell>
          <cell r="F728" t="str">
            <v>N/ App</v>
          </cell>
        </row>
        <row r="729">
          <cell r="B729" t="str">
            <v>FB260005891</v>
          </cell>
          <cell r="F729" t="str">
            <v>N/ App</v>
          </cell>
        </row>
        <row r="730">
          <cell r="B730" t="str">
            <v>FB260006155</v>
          </cell>
          <cell r="F730" t="str">
            <v>N/ App</v>
          </cell>
        </row>
        <row r="731">
          <cell r="B731" t="str">
            <v>FB260004702</v>
          </cell>
          <cell r="F731" t="str">
            <v>N/ App</v>
          </cell>
        </row>
        <row r="732">
          <cell r="B732" t="str">
            <v>FB260004150</v>
          </cell>
          <cell r="F732" t="str">
            <v>N/ App</v>
          </cell>
        </row>
        <row r="733">
          <cell r="B733" t="str">
            <v>FB260004149</v>
          </cell>
          <cell r="F733" t="str">
            <v>N/ App</v>
          </cell>
        </row>
        <row r="734">
          <cell r="B734" t="str">
            <v>FB260003992</v>
          </cell>
          <cell r="F734" t="str">
            <v>N/ App</v>
          </cell>
        </row>
        <row r="735">
          <cell r="B735" t="str">
            <v>FB260004792</v>
          </cell>
          <cell r="F735" t="str">
            <v>N/ App</v>
          </cell>
        </row>
        <row r="736">
          <cell r="B736" t="str">
            <v>FB260003993</v>
          </cell>
          <cell r="F736" t="str">
            <v>N/ App</v>
          </cell>
        </row>
        <row r="737">
          <cell r="B737" t="str">
            <v>FB260004701</v>
          </cell>
          <cell r="F737" t="str">
            <v>N/ App</v>
          </cell>
        </row>
        <row r="738">
          <cell r="B738"/>
          <cell r="F738"/>
        </row>
        <row r="739">
          <cell r="B739" t="str">
            <v>FB260006149</v>
          </cell>
          <cell r="F739" t="str">
            <v>N/ App</v>
          </cell>
        </row>
        <row r="740">
          <cell r="B740" t="str">
            <v>FB260004157</v>
          </cell>
          <cell r="F740" t="str">
            <v>N/ App</v>
          </cell>
        </row>
        <row r="741">
          <cell r="B741" t="str">
            <v>FB260005222</v>
          </cell>
          <cell r="F741" t="str">
            <v>N/ App</v>
          </cell>
        </row>
        <row r="742">
          <cell r="B742" t="str">
            <v>FB260003852</v>
          </cell>
          <cell r="F742" t="str">
            <v>N/ App</v>
          </cell>
        </row>
        <row r="743">
          <cell r="B743" t="str">
            <v>FB260003090</v>
          </cell>
          <cell r="F743" t="str">
            <v>N/ App</v>
          </cell>
        </row>
        <row r="744">
          <cell r="B744" t="str">
            <v>FB260003917</v>
          </cell>
          <cell r="F744" t="str">
            <v>N/ App</v>
          </cell>
        </row>
        <row r="745">
          <cell r="B745" t="str">
            <v>FB250029045</v>
          </cell>
          <cell r="F745" t="str">
            <v>C/APP</v>
          </cell>
        </row>
        <row r="746">
          <cell r="B746" t="str">
            <v>FB260006147</v>
          </cell>
          <cell r="F746" t="str">
            <v>N/ App</v>
          </cell>
        </row>
        <row r="747">
          <cell r="B747" t="str">
            <v>FB260005890</v>
          </cell>
          <cell r="F747" t="str">
            <v>N/ App</v>
          </cell>
        </row>
        <row r="748">
          <cell r="B748" t="str">
            <v>FB260003508</v>
          </cell>
          <cell r="F748" t="str">
            <v>N/ App</v>
          </cell>
        </row>
        <row r="749">
          <cell r="B749" t="str">
            <v>FB260004298</v>
          </cell>
          <cell r="F749" t="str">
            <v>N/ App</v>
          </cell>
        </row>
        <row r="750">
          <cell r="B750" t="str">
            <v>FB260004716</v>
          </cell>
          <cell r="F750" t="str">
            <v>N/ App</v>
          </cell>
        </row>
        <row r="751">
          <cell r="B751" t="str">
            <v>FB260004362</v>
          </cell>
          <cell r="F751" t="str">
            <v>N/ App</v>
          </cell>
        </row>
        <row r="752">
          <cell r="B752" t="str">
            <v>FB260004361</v>
          </cell>
          <cell r="F752" t="str">
            <v>N/ App</v>
          </cell>
        </row>
        <row r="753">
          <cell r="B753" t="str">
            <v>FB260006151</v>
          </cell>
          <cell r="F753" t="str">
            <v>N/ App</v>
          </cell>
        </row>
        <row r="754">
          <cell r="B754" t="str">
            <v>FB250029044</v>
          </cell>
          <cell r="F754" t="str">
            <v>C/APP</v>
          </cell>
        </row>
        <row r="755">
          <cell r="B755" t="str">
            <v>FB260005889</v>
          </cell>
          <cell r="F755" t="str">
            <v>N/ App</v>
          </cell>
        </row>
        <row r="756">
          <cell r="B756" t="str">
            <v>FB260004401</v>
          </cell>
          <cell r="F756" t="str">
            <v>C/APP</v>
          </cell>
        </row>
        <row r="757">
          <cell r="B757" t="str">
            <v>FB260003948</v>
          </cell>
          <cell r="F757" t="str">
            <v>N/ App</v>
          </cell>
        </row>
        <row r="758">
          <cell r="B758" t="str">
            <v>FB260003757</v>
          </cell>
          <cell r="F758" t="str">
            <v>N/ App</v>
          </cell>
        </row>
        <row r="759">
          <cell r="B759" t="str">
            <v>FB260003505</v>
          </cell>
          <cell r="F759" t="str">
            <v>N/ App</v>
          </cell>
        </row>
        <row r="760">
          <cell r="B760" t="str">
            <v>FB260004671</v>
          </cell>
          <cell r="F760" t="str">
            <v>N/ App</v>
          </cell>
        </row>
        <row r="761">
          <cell r="B761" t="str">
            <v>FB260003690</v>
          </cell>
          <cell r="F761" t="str">
            <v>N/ App</v>
          </cell>
        </row>
        <row r="762">
          <cell r="B762" t="str">
            <v>FB260004153</v>
          </cell>
          <cell r="F762" t="str">
            <v>N/ App</v>
          </cell>
        </row>
        <row r="763">
          <cell r="B763" t="str">
            <v>FB260004866</v>
          </cell>
          <cell r="F763" t="str">
            <v>N/ App</v>
          </cell>
        </row>
        <row r="764">
          <cell r="B764" t="str">
            <v>FB260004159</v>
          </cell>
          <cell r="F764" t="str">
            <v>N/ App</v>
          </cell>
        </row>
        <row r="765">
          <cell r="B765" t="str">
            <v>FB260005069</v>
          </cell>
          <cell r="F765" t="str">
            <v>N/ App</v>
          </cell>
        </row>
        <row r="766">
          <cell r="B766" t="str">
            <v>FB260004160</v>
          </cell>
          <cell r="F766" t="str">
            <v>N/ App</v>
          </cell>
        </row>
        <row r="767">
          <cell r="B767" t="str">
            <v>FB260004530</v>
          </cell>
          <cell r="F767" t="str">
            <v>N/ App</v>
          </cell>
        </row>
        <row r="768">
          <cell r="B768" t="str">
            <v>FB260004529</v>
          </cell>
          <cell r="F768" t="str">
            <v>C/APP</v>
          </cell>
        </row>
        <row r="769">
          <cell r="B769" t="str">
            <v>FB260004447</v>
          </cell>
          <cell r="F769" t="str">
            <v>N/ App</v>
          </cell>
        </row>
        <row r="770">
          <cell r="B770" t="str">
            <v>FB260004487</v>
          </cell>
          <cell r="F770" t="str">
            <v>N/ App</v>
          </cell>
        </row>
        <row r="771">
          <cell r="B771" t="str">
            <v>FB260005806</v>
          </cell>
          <cell r="F771" t="str">
            <v>N/ App</v>
          </cell>
        </row>
        <row r="772">
          <cell r="B772" t="str">
            <v>FB260005681</v>
          </cell>
          <cell r="F772" t="str">
            <v>N/ App</v>
          </cell>
        </row>
        <row r="773">
          <cell r="B773" t="str">
            <v>FB260004909</v>
          </cell>
          <cell r="F773" t="str">
            <v>N/ App</v>
          </cell>
        </row>
        <row r="774">
          <cell r="B774" t="str">
            <v>FB260005227</v>
          </cell>
          <cell r="F774" t="str">
            <v>N/ App</v>
          </cell>
        </row>
        <row r="775">
          <cell r="B775" t="str">
            <v>FR260000140</v>
          </cell>
          <cell r="F775" t="str">
            <v>N/ App</v>
          </cell>
        </row>
        <row r="776">
          <cell r="B776" t="str">
            <v>FB260004300</v>
          </cell>
          <cell r="F776" t="str">
            <v>N/ App</v>
          </cell>
        </row>
        <row r="777">
          <cell r="B777" t="str">
            <v>FB250029069</v>
          </cell>
          <cell r="F777" t="str">
            <v>N/ App</v>
          </cell>
        </row>
        <row r="778">
          <cell r="B778" t="str">
            <v>FB260005679</v>
          </cell>
          <cell r="F778" t="str">
            <v>N/ App</v>
          </cell>
        </row>
        <row r="779">
          <cell r="B779" t="str">
            <v>FB260004161</v>
          </cell>
          <cell r="F779" t="str">
            <v>N/ App</v>
          </cell>
        </row>
        <row r="780">
          <cell r="B780" t="str">
            <v>FB260006152</v>
          </cell>
          <cell r="F780" t="str">
            <v>N/ App</v>
          </cell>
        </row>
        <row r="781">
          <cell r="B781" t="str">
            <v>FB260003808</v>
          </cell>
          <cell r="F781" t="str">
            <v>N/ App</v>
          </cell>
        </row>
        <row r="782">
          <cell r="B782" t="str">
            <v>FB260004438</v>
          </cell>
          <cell r="F782" t="str">
            <v>N/ App</v>
          </cell>
        </row>
        <row r="783">
          <cell r="B783" t="str">
            <v>FB260006016</v>
          </cell>
          <cell r="F783" t="str">
            <v>N/ App</v>
          </cell>
        </row>
        <row r="784">
          <cell r="B784" t="str">
            <v>FB260004301</v>
          </cell>
          <cell r="F784" t="str">
            <v>N/ App</v>
          </cell>
        </row>
        <row r="785">
          <cell r="B785" t="str">
            <v>FB260003817</v>
          </cell>
          <cell r="F785" t="str">
            <v>N/ App</v>
          </cell>
        </row>
        <row r="786">
          <cell r="B786" t="str">
            <v>FB260006022</v>
          </cell>
          <cell r="F786" t="str">
            <v>C/APP</v>
          </cell>
        </row>
        <row r="787">
          <cell r="B787" t="str">
            <v>FB260002541</v>
          </cell>
          <cell r="F787" t="str">
            <v>N/ App</v>
          </cell>
        </row>
        <row r="788">
          <cell r="B788" t="str">
            <v>FB260002716</v>
          </cell>
          <cell r="F788" t="str">
            <v>N/ App</v>
          </cell>
        </row>
        <row r="789">
          <cell r="B789" t="str">
            <v>FB260000008</v>
          </cell>
          <cell r="F789" t="str">
            <v>N/ App</v>
          </cell>
        </row>
        <row r="790">
          <cell r="B790" t="str">
            <v>FB250029070</v>
          </cell>
          <cell r="F790" t="str">
            <v>N/ App</v>
          </cell>
        </row>
        <row r="791">
          <cell r="B791" t="str">
            <v>FB260005352</v>
          </cell>
          <cell r="F791" t="str">
            <v>N/ App</v>
          </cell>
        </row>
        <row r="792">
          <cell r="B792" t="str">
            <v>FB260005536</v>
          </cell>
          <cell r="F792" t="str">
            <v>N/ App</v>
          </cell>
        </row>
        <row r="793">
          <cell r="B793" t="str">
            <v>FB260005506</v>
          </cell>
          <cell r="F793" t="str">
            <v>N/ App</v>
          </cell>
        </row>
        <row r="794">
          <cell r="B794" t="str">
            <v>FB260005511</v>
          </cell>
          <cell r="F794" t="str">
            <v>N/ App</v>
          </cell>
        </row>
        <row r="795">
          <cell r="B795" t="str">
            <v>FB260005509</v>
          </cell>
          <cell r="F795" t="str">
            <v>N/ App</v>
          </cell>
        </row>
        <row r="796">
          <cell r="B796" t="str">
            <v>FB260006153</v>
          </cell>
          <cell r="F796" t="str">
            <v>N/ App</v>
          </cell>
        </row>
        <row r="797">
          <cell r="B797" t="str">
            <v>FB260004136</v>
          </cell>
          <cell r="F797" t="str">
            <v>N/ App</v>
          </cell>
        </row>
        <row r="798">
          <cell r="B798" t="str">
            <v>FB260003944</v>
          </cell>
          <cell r="F798" t="str">
            <v>N/ App</v>
          </cell>
        </row>
        <row r="799">
          <cell r="B799" t="str">
            <v>FB260005558</v>
          </cell>
          <cell r="F799" t="str">
            <v>N/ App</v>
          </cell>
        </row>
        <row r="800">
          <cell r="B800" t="str">
            <v>FB260005569</v>
          </cell>
          <cell r="F800" t="str">
            <v>N/ App</v>
          </cell>
        </row>
        <row r="801">
          <cell r="B801" t="str">
            <v>FB260004179</v>
          </cell>
          <cell r="F801" t="str">
            <v>N/ App</v>
          </cell>
        </row>
        <row r="802">
          <cell r="B802" t="str">
            <v>FB260002841</v>
          </cell>
          <cell r="F802" t="str">
            <v>N/ App</v>
          </cell>
        </row>
        <row r="803">
          <cell r="B803" t="str">
            <v>FB260003818</v>
          </cell>
          <cell r="F803" t="str">
            <v>N/ App</v>
          </cell>
        </row>
        <row r="804">
          <cell r="B804" t="str">
            <v>FB260005519</v>
          </cell>
          <cell r="F804" t="str">
            <v>N/ App</v>
          </cell>
        </row>
        <row r="805">
          <cell r="B805" t="str">
            <v>FB260005398</v>
          </cell>
          <cell r="F805" t="str">
            <v>N/ App</v>
          </cell>
        </row>
        <row r="806">
          <cell r="B806" t="str">
            <v>FB260002660</v>
          </cell>
          <cell r="F806" t="str">
            <v>N/ App</v>
          </cell>
        </row>
        <row r="807">
          <cell r="B807" t="str">
            <v>FB260005504</v>
          </cell>
          <cell r="F807" t="str">
            <v>N/ App</v>
          </cell>
        </row>
        <row r="808">
          <cell r="B808" t="str">
            <v>FB260004129</v>
          </cell>
          <cell r="F808" t="str">
            <v>N/ App</v>
          </cell>
        </row>
        <row r="809">
          <cell r="B809" t="str">
            <v>FB260005560</v>
          </cell>
          <cell r="F809" t="str">
            <v>N/ App</v>
          </cell>
        </row>
        <row r="810">
          <cell r="B810" t="str">
            <v>FB260005564</v>
          </cell>
          <cell r="F810" t="str">
            <v>N/ App</v>
          </cell>
        </row>
        <row r="811">
          <cell r="B811" t="str">
            <v>FB260006008</v>
          </cell>
          <cell r="F811" t="str">
            <v>N/ App</v>
          </cell>
        </row>
        <row r="812">
          <cell r="B812" t="str">
            <v>FB260005608</v>
          </cell>
          <cell r="F812" t="str">
            <v>N/ App</v>
          </cell>
        </row>
        <row r="813">
          <cell r="B813" t="str">
            <v>FB260002599</v>
          </cell>
          <cell r="F813" t="str">
            <v>N/ App</v>
          </cell>
        </row>
        <row r="814">
          <cell r="B814" t="str">
            <v>FB260005568</v>
          </cell>
          <cell r="F814" t="str">
            <v>N/ App</v>
          </cell>
        </row>
        <row r="815">
          <cell r="B815" t="str">
            <v>FB260004176</v>
          </cell>
          <cell r="F815" t="str">
            <v>N/ App</v>
          </cell>
        </row>
        <row r="816">
          <cell r="B816" t="str">
            <v>FB250029068</v>
          </cell>
          <cell r="F816" t="str">
            <v>N/ App</v>
          </cell>
        </row>
        <row r="817">
          <cell r="B817" t="str">
            <v>FB260005353</v>
          </cell>
          <cell r="F817" t="str">
            <v>N/ App</v>
          </cell>
        </row>
        <row r="818">
          <cell r="B818" t="str">
            <v>FB260003579</v>
          </cell>
          <cell r="F818" t="str">
            <v>C/APP</v>
          </cell>
        </row>
        <row r="819">
          <cell r="B819" t="str">
            <v>FB260002715</v>
          </cell>
          <cell r="F819" t="str">
            <v>N/ App</v>
          </cell>
        </row>
        <row r="820">
          <cell r="B820" t="str">
            <v>FB260005825</v>
          </cell>
          <cell r="F820" t="str">
            <v>N/ App</v>
          </cell>
        </row>
        <row r="821">
          <cell r="B821" t="str">
            <v>FB260004493</v>
          </cell>
          <cell r="F821" t="str">
            <v>N/ App</v>
          </cell>
        </row>
        <row r="822">
          <cell r="B822" t="str">
            <v>FB260004542</v>
          </cell>
          <cell r="F822" t="str">
            <v>N/ App</v>
          </cell>
        </row>
        <row r="823">
          <cell r="B823" t="str">
            <v>FB260005823</v>
          </cell>
          <cell r="F823" t="str">
            <v>N/ App</v>
          </cell>
        </row>
        <row r="824">
          <cell r="B824" t="str">
            <v>FB260004910</v>
          </cell>
          <cell r="F824" t="str">
            <v>N/ App</v>
          </cell>
        </row>
        <row r="825">
          <cell r="B825" t="str">
            <v>FB260005656</v>
          </cell>
          <cell r="F825" t="str">
            <v>C/APP</v>
          </cell>
        </row>
        <row r="826">
          <cell r="B826" t="str">
            <v>FB260005066</v>
          </cell>
          <cell r="F826" t="str">
            <v>N/ App</v>
          </cell>
        </row>
        <row r="827">
          <cell r="B827" t="str">
            <v>FB260003037</v>
          </cell>
          <cell r="F827" t="str">
            <v>N/ App</v>
          </cell>
        </row>
        <row r="828">
          <cell r="B828" t="str">
            <v>FB260003370</v>
          </cell>
          <cell r="F828" t="str">
            <v>N/ App</v>
          </cell>
        </row>
        <row r="829">
          <cell r="B829" t="str">
            <v>FB260004815</v>
          </cell>
          <cell r="F829" t="str">
            <v>N/ App</v>
          </cell>
        </row>
        <row r="830">
          <cell r="B830" t="str">
            <v>FB260004835</v>
          </cell>
          <cell r="F830" t="str">
            <v>N/ App</v>
          </cell>
        </row>
        <row r="831">
          <cell r="B831" t="str">
            <v>FB260006163</v>
          </cell>
          <cell r="F831" t="str">
            <v>N/ App</v>
          </cell>
        </row>
        <row r="832">
          <cell r="B832" t="str">
            <v>FB260003854</v>
          </cell>
          <cell r="F832" t="str">
            <v>N/ App</v>
          </cell>
        </row>
        <row r="833">
          <cell r="B833" t="str">
            <v>FB260005994</v>
          </cell>
          <cell r="F833" t="str">
            <v>N/ App</v>
          </cell>
        </row>
        <row r="834">
          <cell r="B834" t="str">
            <v>FB260005995</v>
          </cell>
          <cell r="F834" t="str">
            <v>N/ App</v>
          </cell>
        </row>
        <row r="835">
          <cell r="B835" t="str">
            <v>FB260005996</v>
          </cell>
          <cell r="F835" t="str">
            <v>N/ App</v>
          </cell>
        </row>
        <row r="836">
          <cell r="B836" t="str">
            <v>FB260004538</v>
          </cell>
          <cell r="F836" t="str">
            <v>N/ App</v>
          </cell>
        </row>
        <row r="837">
          <cell r="B837" t="str">
            <v>FB260003703</v>
          </cell>
          <cell r="F837" t="str">
            <v>N/ App</v>
          </cell>
        </row>
        <row r="838">
          <cell r="B838" t="str">
            <v>FB260005048</v>
          </cell>
          <cell r="F838" t="str">
            <v>N/ App</v>
          </cell>
        </row>
        <row r="839">
          <cell r="B839" t="str">
            <v>FB260003190</v>
          </cell>
          <cell r="F839" t="str">
            <v>N/ App</v>
          </cell>
        </row>
        <row r="840">
          <cell r="B840" t="str">
            <v>FB260003188</v>
          </cell>
          <cell r="F840" t="str">
            <v>N/ App</v>
          </cell>
        </row>
        <row r="841">
          <cell r="B841" t="str">
            <v>FB260004352</v>
          </cell>
          <cell r="F841" t="str">
            <v>N/ App</v>
          </cell>
        </row>
        <row r="842">
          <cell r="B842" t="str">
            <v>FB260003138</v>
          </cell>
          <cell r="F842" t="str">
            <v>N/ App</v>
          </cell>
        </row>
        <row r="843">
          <cell r="B843" t="str">
            <v>FB260003574</v>
          </cell>
          <cell r="F843" t="str">
            <v>N/ App</v>
          </cell>
        </row>
        <row r="844">
          <cell r="B844" t="str">
            <v>FB260004838</v>
          </cell>
          <cell r="F844" t="str">
            <v>N/ App</v>
          </cell>
        </row>
        <row r="845">
          <cell r="B845" t="str">
            <v>FB260003805</v>
          </cell>
          <cell r="F845" t="str">
            <v>N/ App</v>
          </cell>
        </row>
        <row r="846">
          <cell r="B846" t="str">
            <v>FB260003234</v>
          </cell>
          <cell r="F846" t="str">
            <v>N/ App</v>
          </cell>
        </row>
        <row r="847">
          <cell r="B847" t="str">
            <v>FB260003968</v>
          </cell>
          <cell r="F847" t="str">
            <v>N/ App</v>
          </cell>
        </row>
        <row r="848">
          <cell r="B848" t="str">
            <v>FB260003970</v>
          </cell>
          <cell r="F848" t="str">
            <v>N/ App</v>
          </cell>
        </row>
        <row r="849">
          <cell r="B849" t="str">
            <v>FB260003967</v>
          </cell>
          <cell r="F849" t="str">
            <v>N/ App</v>
          </cell>
        </row>
        <row r="850">
          <cell r="B850" t="str">
            <v>FB260006009</v>
          </cell>
          <cell r="F850" t="str">
            <v>N/ App</v>
          </cell>
        </row>
        <row r="851">
          <cell r="B851" t="str">
            <v>FB260006012</v>
          </cell>
          <cell r="F851" t="str">
            <v>N/ App</v>
          </cell>
        </row>
        <row r="852">
          <cell r="B852" t="str">
            <v>FB260006010</v>
          </cell>
          <cell r="F852" t="str">
            <v>N/ App</v>
          </cell>
        </row>
        <row r="853">
          <cell r="B853" t="str">
            <v>FB260006013</v>
          </cell>
          <cell r="F853" t="str">
            <v>N/ App</v>
          </cell>
        </row>
        <row r="854">
          <cell r="B854" t="str">
            <v>FB260005997</v>
          </cell>
          <cell r="F854" t="str">
            <v>N/ App</v>
          </cell>
        </row>
        <row r="855">
          <cell r="B855" t="str">
            <v>FB260005998</v>
          </cell>
          <cell r="F855" t="str">
            <v>N/ App</v>
          </cell>
        </row>
        <row r="856">
          <cell r="B856" t="str">
            <v>FB260003588</v>
          </cell>
          <cell r="F856" t="str">
            <v>N/ App</v>
          </cell>
        </row>
        <row r="857">
          <cell r="B857" t="str">
            <v>FB260006178</v>
          </cell>
          <cell r="F857" t="str">
            <v>N/ App</v>
          </cell>
        </row>
        <row r="858">
          <cell r="B858" t="str">
            <v>FB260004306</v>
          </cell>
          <cell r="F858" t="str">
            <v>N/ App</v>
          </cell>
        </row>
        <row r="859">
          <cell r="B859" t="str">
            <v>FB260004163</v>
          </cell>
          <cell r="F859" t="str">
            <v>N/ App</v>
          </cell>
        </row>
        <row r="860">
          <cell r="B860" t="str">
            <v>FB260003855</v>
          </cell>
          <cell r="F860" t="str">
            <v>N/ App</v>
          </cell>
        </row>
        <row r="861">
          <cell r="B861" t="str">
            <v>FB260003036</v>
          </cell>
          <cell r="F861" t="str">
            <v>C/APP</v>
          </cell>
        </row>
        <row r="862">
          <cell r="B862" t="str">
            <v>FB260003369</v>
          </cell>
          <cell r="F862" t="str">
            <v>C/APP</v>
          </cell>
        </row>
        <row r="863">
          <cell r="B863" t="str">
            <v>FB260005397</v>
          </cell>
          <cell r="F863" t="str">
            <v>C/APP</v>
          </cell>
        </row>
        <row r="864">
          <cell r="B864" t="str">
            <v>FB260006101</v>
          </cell>
          <cell r="F864" t="str">
            <v>C/APP</v>
          </cell>
        </row>
        <row r="865">
          <cell r="B865" t="str">
            <v>FB260004771</v>
          </cell>
          <cell r="F865" t="str">
            <v>C/APP</v>
          </cell>
        </row>
        <row r="866">
          <cell r="B866" t="str">
            <v>FB250029073</v>
          </cell>
          <cell r="F866" t="str">
            <v>C/APP</v>
          </cell>
        </row>
        <row r="867">
          <cell r="B867" t="str">
            <v>FR260000136</v>
          </cell>
          <cell r="F867" t="str">
            <v>N/ App</v>
          </cell>
        </row>
        <row r="868">
          <cell r="B868" t="str">
            <v>FB260005822</v>
          </cell>
          <cell r="F868" t="str">
            <v>N/ App</v>
          </cell>
        </row>
        <row r="869">
          <cell r="B869" t="str">
            <v>FB260005585</v>
          </cell>
          <cell r="F869" t="str">
            <v>N/ App</v>
          </cell>
        </row>
        <row r="870">
          <cell r="B870" t="str">
            <v>FB260004251</v>
          </cell>
          <cell r="F870" t="str">
            <v>C/APP</v>
          </cell>
        </row>
        <row r="871">
          <cell r="B871" t="str">
            <v>FB260005073</v>
          </cell>
          <cell r="F871" t="str">
            <v>N/ App</v>
          </cell>
        </row>
        <row r="872">
          <cell r="B872" t="str">
            <v>FB260004979</v>
          </cell>
          <cell r="F872" t="str">
            <v>N/ App</v>
          </cell>
        </row>
        <row r="873">
          <cell r="B873" t="str">
            <v>FB260004232</v>
          </cell>
          <cell r="F873" t="str">
            <v>N/ App</v>
          </cell>
        </row>
        <row r="874">
          <cell r="B874" t="str">
            <v>FB260004492</v>
          </cell>
          <cell r="F874" t="str">
            <v>N/ App</v>
          </cell>
        </row>
        <row r="875">
          <cell r="B875" t="str">
            <v>FB260004194</v>
          </cell>
          <cell r="F875" t="str">
            <v>N/ App</v>
          </cell>
        </row>
        <row r="876">
          <cell r="B876" t="str">
            <v>FB260005051</v>
          </cell>
          <cell r="F876" t="str">
            <v>N/ App</v>
          </cell>
        </row>
        <row r="877">
          <cell r="B877" t="str">
            <v>FB260004849</v>
          </cell>
          <cell r="F877" t="str">
            <v>N/ App</v>
          </cell>
        </row>
        <row r="878">
          <cell r="B878" t="str">
            <v>FB260002714</v>
          </cell>
          <cell r="F878" t="str">
            <v>N/ App</v>
          </cell>
        </row>
        <row r="879">
          <cell r="B879" t="str">
            <v>FB260006025</v>
          </cell>
          <cell r="F879" t="str">
            <v>C/APP</v>
          </cell>
        </row>
        <row r="880">
          <cell r="B880" t="str">
            <v>FB260006097</v>
          </cell>
          <cell r="F880" t="str">
            <v>C/APP</v>
          </cell>
        </row>
        <row r="881">
          <cell r="B881" t="str">
            <v>FB260005685</v>
          </cell>
          <cell r="F881" t="str">
            <v>N/ App</v>
          </cell>
        </row>
        <row r="882">
          <cell r="B882" t="str">
            <v>FB260005690</v>
          </cell>
          <cell r="F882" t="str">
            <v>N/ App</v>
          </cell>
        </row>
        <row r="883">
          <cell r="B883" t="str">
            <v>FB260004146</v>
          </cell>
          <cell r="F883" t="str">
            <v>N/ App</v>
          </cell>
        </row>
        <row r="884">
          <cell r="B884" t="str">
            <v>FB260003872</v>
          </cell>
          <cell r="F884" t="str">
            <v>N/ App</v>
          </cell>
        </row>
        <row r="885">
          <cell r="B885" t="str">
            <v>FB260006100</v>
          </cell>
          <cell r="F885" t="str">
            <v>N/ App</v>
          </cell>
        </row>
        <row r="886">
          <cell r="B886" t="str">
            <v>FB260003916</v>
          </cell>
          <cell r="F886" t="str">
            <v>N/ App</v>
          </cell>
        </row>
        <row r="887">
          <cell r="B887" t="str">
            <v>FB260006154</v>
          </cell>
          <cell r="F887" t="str">
            <v>N/ App</v>
          </cell>
        </row>
        <row r="888">
          <cell r="B888" t="str">
            <v>FB260006179</v>
          </cell>
          <cell r="F888" t="str">
            <v>N/ App</v>
          </cell>
        </row>
        <row r="889">
          <cell r="B889" t="str">
            <v>FB250028997</v>
          </cell>
          <cell r="F889" t="str">
            <v>N/ App</v>
          </cell>
        </row>
        <row r="890">
          <cell r="B890" t="str">
            <v>FB260004818</v>
          </cell>
          <cell r="F890" t="str">
            <v>N/ App</v>
          </cell>
        </row>
        <row r="891">
          <cell r="B891" t="str">
            <v>FB260005071</v>
          </cell>
          <cell r="F891" t="str">
            <v>N/ App</v>
          </cell>
        </row>
        <row r="892">
          <cell r="B892" t="str">
            <v>FB260004398</v>
          </cell>
          <cell r="F892" t="str">
            <v>N/ App</v>
          </cell>
        </row>
        <row r="893">
          <cell r="B893" t="str">
            <v>FB260005819</v>
          </cell>
          <cell r="F893" t="str">
            <v>C/APP</v>
          </cell>
        </row>
        <row r="894">
          <cell r="B894" t="str">
            <v>FB260004912</v>
          </cell>
          <cell r="F894" t="str">
            <v>N/ App</v>
          </cell>
        </row>
        <row r="895">
          <cell r="B895" t="str">
            <v>FB260003562</v>
          </cell>
          <cell r="F895" t="str">
            <v>C/APP</v>
          </cell>
        </row>
        <row r="896">
          <cell r="B896" t="str">
            <v>FB260003590</v>
          </cell>
          <cell r="F896" t="str">
            <v>C/APP</v>
          </cell>
        </row>
        <row r="897">
          <cell r="B897" t="str">
            <v>FB260003583</v>
          </cell>
          <cell r="F897" t="str">
            <v>C/APP</v>
          </cell>
        </row>
        <row r="898">
          <cell r="B898" t="str">
            <v>FB260002713</v>
          </cell>
          <cell r="F898" t="str">
            <v>N/ App</v>
          </cell>
        </row>
        <row r="899">
          <cell r="B899" t="str">
            <v>FB260005238</v>
          </cell>
          <cell r="F899" t="str">
            <v>N/ App</v>
          </cell>
        </row>
        <row r="900">
          <cell r="B900" t="str">
            <v>FB260005430</v>
          </cell>
          <cell r="F900" t="str">
            <v>N/ App</v>
          </cell>
        </row>
        <row r="901">
          <cell r="B901" t="str">
            <v>FB260004032</v>
          </cell>
          <cell r="F901" t="str">
            <v>N/ App</v>
          </cell>
        </row>
        <row r="902">
          <cell r="B902" t="str">
            <v>FB260004852</v>
          </cell>
          <cell r="F902" t="str">
            <v>N/ App</v>
          </cell>
        </row>
        <row r="903">
          <cell r="B903" t="str">
            <v>FB260004756</v>
          </cell>
          <cell r="F903" t="str">
            <v>N/ App</v>
          </cell>
        </row>
        <row r="904">
          <cell r="B904" t="str">
            <v>FB260003691</v>
          </cell>
          <cell r="F904" t="str">
            <v>N/ App</v>
          </cell>
        </row>
        <row r="905">
          <cell r="B905" t="str">
            <v>FB260004685</v>
          </cell>
          <cell r="F905" t="str">
            <v>N/ App</v>
          </cell>
        </row>
        <row r="906">
          <cell r="B906" t="str">
            <v>FB260004680</v>
          </cell>
          <cell r="F906" t="str">
            <v>C/APP</v>
          </cell>
        </row>
        <row r="907">
          <cell r="B907" t="str">
            <v>FB260005217</v>
          </cell>
          <cell r="F907" t="str">
            <v>C/APP</v>
          </cell>
        </row>
        <row r="908">
          <cell r="B908" t="str">
            <v>FB250029074</v>
          </cell>
          <cell r="F908" t="str">
            <v>N/ App</v>
          </cell>
        </row>
        <row r="909">
          <cell r="B909" t="str">
            <v>FB260004615</v>
          </cell>
          <cell r="F909" t="str">
            <v>N/ App</v>
          </cell>
        </row>
        <row r="910">
          <cell r="B910" t="str">
            <v>FB260005162</v>
          </cell>
          <cell r="F910" t="str">
            <v>C/APP</v>
          </cell>
        </row>
        <row r="911">
          <cell r="B911" t="str">
            <v>FB260003101</v>
          </cell>
          <cell r="F911" t="str">
            <v>C/APP</v>
          </cell>
        </row>
        <row r="912">
          <cell r="B912" t="str">
            <v>FB260006187</v>
          </cell>
          <cell r="F912" t="str">
            <v>N/ App</v>
          </cell>
        </row>
        <row r="913">
          <cell r="B913" t="str">
            <v>FB260004429</v>
          </cell>
          <cell r="F913" t="str">
            <v>N/ App</v>
          </cell>
        </row>
        <row r="914">
          <cell r="B914" t="str">
            <v>FB260003030</v>
          </cell>
          <cell r="F914" t="str">
            <v>C/APP</v>
          </cell>
        </row>
        <row r="915">
          <cell r="B915" t="str">
            <v>FB260003015</v>
          </cell>
          <cell r="F915" t="str">
            <v>N/ App</v>
          </cell>
        </row>
        <row r="916">
          <cell r="B916" t="str">
            <v>FB260004854</v>
          </cell>
          <cell r="F916" t="str">
            <v>C/APP</v>
          </cell>
        </row>
        <row r="917">
          <cell r="B917" t="str">
            <v>FB260005076</v>
          </cell>
          <cell r="F917" t="str">
            <v>N/ App</v>
          </cell>
        </row>
        <row r="918">
          <cell r="B918" t="str">
            <v>FB260005076</v>
          </cell>
          <cell r="F918" t="str">
            <v>N/ App</v>
          </cell>
        </row>
        <row r="919">
          <cell r="B919" t="str">
            <v>FB260005645</v>
          </cell>
          <cell r="F919" t="str">
            <v>N/ App</v>
          </cell>
        </row>
        <row r="920">
          <cell r="B920" t="str">
            <v>FB260004397</v>
          </cell>
          <cell r="F920" t="str">
            <v>C/APP</v>
          </cell>
        </row>
        <row r="921">
          <cell r="B921" t="str">
            <v>FB260005077</v>
          </cell>
          <cell r="F921" t="str">
            <v>N/ App</v>
          </cell>
        </row>
        <row r="922">
          <cell r="B922" t="str">
            <v>FB260004244</v>
          </cell>
          <cell r="F922" t="str">
            <v>N/ App</v>
          </cell>
        </row>
        <row r="923">
          <cell r="B923" t="str">
            <v>FB260005874</v>
          </cell>
          <cell r="F923" t="str">
            <v>N/ App</v>
          </cell>
        </row>
        <row r="924">
          <cell r="B924" t="str">
            <v>FB260005053</v>
          </cell>
          <cell r="F924" t="str">
            <v>N/ App</v>
          </cell>
        </row>
        <row r="925">
          <cell r="B925" t="str">
            <v>FB260003127</v>
          </cell>
          <cell r="F925" t="str">
            <v>N/ App</v>
          </cell>
        </row>
        <row r="926">
          <cell r="B926" t="str">
            <v>FB260006107</v>
          </cell>
          <cell r="F926" t="str">
            <v>N/ App</v>
          </cell>
        </row>
        <row r="927">
          <cell r="B927" t="str">
            <v>FB260004664</v>
          </cell>
          <cell r="F927" t="str">
            <v>N/ App</v>
          </cell>
        </row>
        <row r="928">
          <cell r="B928" t="str">
            <v>FB250029080</v>
          </cell>
          <cell r="F928" t="str">
            <v>N/ App</v>
          </cell>
        </row>
        <row r="929">
          <cell r="B929" t="str">
            <v>FB260006018</v>
          </cell>
          <cell r="F929" t="str">
            <v>N/ App</v>
          </cell>
        </row>
        <row r="930">
          <cell r="B930" t="str">
            <v>FB260006188</v>
          </cell>
          <cell r="F930" t="str">
            <v>C/APP</v>
          </cell>
        </row>
        <row r="931">
          <cell r="B931" t="str">
            <v>FB260003567</v>
          </cell>
          <cell r="F931" t="str">
            <v>N/ App</v>
          </cell>
        </row>
        <row r="932">
          <cell r="B932" t="str">
            <v>FB260003795</v>
          </cell>
          <cell r="F932" t="str">
            <v>N/ App</v>
          </cell>
        </row>
        <row r="933">
          <cell r="B933" t="str">
            <v>FB260003790</v>
          </cell>
          <cell r="F933" t="str">
            <v>N/ App</v>
          </cell>
        </row>
        <row r="934">
          <cell r="B934" t="str">
            <v>FB260003793</v>
          </cell>
          <cell r="F934" t="str">
            <v>N/ App</v>
          </cell>
        </row>
        <row r="935">
          <cell r="B935" t="str">
            <v>FB260003792</v>
          </cell>
          <cell r="F935" t="str">
            <v>N/ App</v>
          </cell>
        </row>
        <row r="936">
          <cell r="B936" t="str">
            <v>FB260003789</v>
          </cell>
          <cell r="F936" t="str">
            <v>N/ App</v>
          </cell>
        </row>
        <row r="937">
          <cell r="B937" t="str">
            <v>FB250029076</v>
          </cell>
          <cell r="F937" t="str">
            <v>N/ App</v>
          </cell>
        </row>
        <row r="938">
          <cell r="B938" t="str">
            <v>FB260005202</v>
          </cell>
          <cell r="F938" t="str">
            <v>N/ App</v>
          </cell>
        </row>
        <row r="939">
          <cell r="B939" t="str">
            <v>FB250029075</v>
          </cell>
          <cell r="F939" t="str">
            <v>N/ App</v>
          </cell>
        </row>
        <row r="940">
          <cell r="B940" t="str">
            <v>FB260006184</v>
          </cell>
          <cell r="F940" t="str">
            <v>N/ App</v>
          </cell>
        </row>
        <row r="941">
          <cell r="B941" t="str">
            <v>FB260005219</v>
          </cell>
          <cell r="F941" t="str">
            <v>C/APP</v>
          </cell>
        </row>
        <row r="942">
          <cell r="B942" t="str">
            <v>FB260003635</v>
          </cell>
          <cell r="F942" t="str">
            <v>C/APP</v>
          </cell>
        </row>
        <row r="943">
          <cell r="B943" t="str">
            <v>FB260004507</v>
          </cell>
          <cell r="F943" t="str">
            <v>N/ App</v>
          </cell>
        </row>
        <row r="944">
          <cell r="B944" t="str">
            <v>FB260002917</v>
          </cell>
          <cell r="F944" t="str">
            <v>N/ App</v>
          </cell>
        </row>
        <row r="945">
          <cell r="B945" t="str">
            <v>FB260002842</v>
          </cell>
          <cell r="F945" t="str">
            <v>N/ App</v>
          </cell>
        </row>
        <row r="946">
          <cell r="B946" t="str">
            <v>FB260003585</v>
          </cell>
          <cell r="F946" t="str">
            <v>C/APP</v>
          </cell>
        </row>
        <row r="947">
          <cell r="B947" t="str">
            <v>FB260003920</v>
          </cell>
          <cell r="F947" t="str">
            <v>N/ App</v>
          </cell>
        </row>
        <row r="948">
          <cell r="B948" t="str">
            <v>FB260003597</v>
          </cell>
          <cell r="F948" t="str">
            <v>C/APP</v>
          </cell>
        </row>
        <row r="949">
          <cell r="B949" t="str">
            <v>FB260002967</v>
          </cell>
          <cell r="F949" t="str">
            <v>N/ App</v>
          </cell>
        </row>
        <row r="950">
          <cell r="B950" t="str">
            <v>FB260004704</v>
          </cell>
          <cell r="F950" t="str">
            <v>N/ App</v>
          </cell>
        </row>
        <row r="951">
          <cell r="B951" t="str">
            <v>FB260002821</v>
          </cell>
          <cell r="F951" t="str">
            <v>C/APP</v>
          </cell>
        </row>
        <row r="952">
          <cell r="B952" t="str">
            <v>FB260003692</v>
          </cell>
          <cell r="F952" t="str">
            <v>N/ App</v>
          </cell>
        </row>
        <row r="953">
          <cell r="B953" t="str">
            <v>FB260003908</v>
          </cell>
          <cell r="F953" t="str">
            <v>N/ App</v>
          </cell>
        </row>
        <row r="954">
          <cell r="B954" t="str">
            <v>FB260005865</v>
          </cell>
          <cell r="F954" t="str">
            <v>N/ App</v>
          </cell>
        </row>
        <row r="955">
          <cell r="B955" t="str">
            <v>FB260003637</v>
          </cell>
          <cell r="F955" t="str">
            <v>N/ App</v>
          </cell>
        </row>
        <row r="956">
          <cell r="B956" t="str">
            <v>FB260006002</v>
          </cell>
          <cell r="F956" t="str">
            <v>N/ App</v>
          </cell>
        </row>
        <row r="957">
          <cell r="B957" t="str">
            <v>FB260005446</v>
          </cell>
          <cell r="F957" t="str">
            <v>N/ App</v>
          </cell>
        </row>
        <row r="958">
          <cell r="B958" t="str">
            <v>FB260004490</v>
          </cell>
          <cell r="F958" t="str">
            <v>N/ App</v>
          </cell>
        </row>
        <row r="959">
          <cell r="B959" t="str">
            <v>FB260005655</v>
          </cell>
          <cell r="F959" t="str">
            <v>N/ App</v>
          </cell>
        </row>
        <row r="960">
          <cell r="B960" t="str">
            <v>FB260005584</v>
          </cell>
          <cell r="F960" t="str">
            <v>N/ App</v>
          </cell>
        </row>
        <row r="961">
          <cell r="B961" t="str">
            <v>FB260004911</v>
          </cell>
          <cell r="F961" t="str">
            <v>N/ App</v>
          </cell>
        </row>
        <row r="962">
          <cell r="B962" t="str">
            <v>FB260005064</v>
          </cell>
          <cell r="F962" t="str">
            <v>N/ App</v>
          </cell>
        </row>
        <row r="963">
          <cell r="B963" t="str">
            <v>FB260005057</v>
          </cell>
          <cell r="F963" t="str">
            <v>N/ App</v>
          </cell>
        </row>
        <row r="964">
          <cell r="B964" t="str">
            <v>FB260004975</v>
          </cell>
          <cell r="F964" t="str">
            <v>N/ App</v>
          </cell>
        </row>
        <row r="965">
          <cell r="B965" t="str">
            <v>FB260005059</v>
          </cell>
          <cell r="F965" t="str">
            <v>N/ App</v>
          </cell>
        </row>
        <row r="966">
          <cell r="B966" t="str">
            <v>FB260004245</v>
          </cell>
          <cell r="F966" t="str">
            <v>N/ App</v>
          </cell>
        </row>
        <row r="967">
          <cell r="B967" t="str">
            <v>FB260003578</v>
          </cell>
          <cell r="F967" t="str">
            <v>C/APP</v>
          </cell>
        </row>
        <row r="968">
          <cell r="B968" t="str">
            <v>FB260003591</v>
          </cell>
          <cell r="F968" t="str">
            <v>C/APP</v>
          </cell>
        </row>
        <row r="969">
          <cell r="B969" t="str">
            <v>FB260006181</v>
          </cell>
          <cell r="F969" t="str">
            <v>N/ App</v>
          </cell>
        </row>
        <row r="970">
          <cell r="B970" t="str">
            <v>FB260006182</v>
          </cell>
          <cell r="F970" t="str">
            <v>N/ App</v>
          </cell>
        </row>
        <row r="971">
          <cell r="B971" t="str">
            <v>FB260006183</v>
          </cell>
          <cell r="F971" t="str">
            <v>N/ App</v>
          </cell>
        </row>
        <row r="972">
          <cell r="B972" t="str">
            <v>FB250029089</v>
          </cell>
          <cell r="F972" t="str">
            <v>N/ App</v>
          </cell>
        </row>
        <row r="973">
          <cell r="B973" t="str">
            <v>FB260005032</v>
          </cell>
          <cell r="F973" t="str">
            <v>N/ App</v>
          </cell>
        </row>
        <row r="974">
          <cell r="B974" t="str">
            <v>FB260005018</v>
          </cell>
          <cell r="F974" t="str">
            <v>N/ App</v>
          </cell>
        </row>
        <row r="975">
          <cell r="B975" t="str">
            <v>FB260003924</v>
          </cell>
          <cell r="F975" t="str">
            <v>N/ App</v>
          </cell>
        </row>
        <row r="976">
          <cell r="B976" t="str">
            <v>FB260004340</v>
          </cell>
          <cell r="F976" t="str">
            <v>N/ App</v>
          </cell>
        </row>
        <row r="977">
          <cell r="B977" t="str">
            <v>FB260004281</v>
          </cell>
          <cell r="F977" t="str">
            <v>N/ App</v>
          </cell>
        </row>
        <row r="978">
          <cell r="B978" t="str">
            <v>FB260002888</v>
          </cell>
          <cell r="F978" t="str">
            <v>N/ App</v>
          </cell>
        </row>
        <row r="979">
          <cell r="B979" t="str">
            <v>FB260002894</v>
          </cell>
          <cell r="F979" t="str">
            <v>N/ App</v>
          </cell>
        </row>
        <row r="980">
          <cell r="B980" t="str">
            <v>FB260004690</v>
          </cell>
          <cell r="F980" t="str">
            <v>N/ App</v>
          </cell>
        </row>
        <row r="981">
          <cell r="B981" t="str">
            <v>FB260003633</v>
          </cell>
          <cell r="F981" t="str">
            <v>C/APP</v>
          </cell>
        </row>
        <row r="982">
          <cell r="B982" t="str">
            <v>FB260003632</v>
          </cell>
          <cell r="F982" t="str">
            <v>C/APP</v>
          </cell>
        </row>
        <row r="983">
          <cell r="B983" t="str">
            <v>FB260004304</v>
          </cell>
          <cell r="F983" t="str">
            <v>N/ App</v>
          </cell>
        </row>
        <row r="984">
          <cell r="B984" t="str">
            <v>FB260004670</v>
          </cell>
          <cell r="F984" t="str">
            <v>N/ App</v>
          </cell>
        </row>
        <row r="985">
          <cell r="B985" t="str">
            <v>FB260003926</v>
          </cell>
          <cell r="F985" t="str">
            <v>N/ App</v>
          </cell>
        </row>
        <row r="986">
          <cell r="B986" t="str">
            <v>FB260006269</v>
          </cell>
          <cell r="F986" t="str">
            <v>N/ App</v>
          </cell>
        </row>
        <row r="987">
          <cell r="B987" t="str">
            <v>FB260006150</v>
          </cell>
          <cell r="F987" t="str">
            <v>N/ App</v>
          </cell>
        </row>
        <row r="988">
          <cell r="B988" t="str">
            <v>FB260005451</v>
          </cell>
          <cell r="F988" t="str">
            <v>N/ App</v>
          </cell>
        </row>
        <row r="989">
          <cell r="B989" t="str">
            <v>FB260004675</v>
          </cell>
          <cell r="F989" t="str">
            <v>N/ App</v>
          </cell>
        </row>
        <row r="990">
          <cell r="B990" t="str">
            <v>FB260006252</v>
          </cell>
          <cell r="F990" t="str">
            <v>N/ App</v>
          </cell>
        </row>
        <row r="991">
          <cell r="B991" t="str">
            <v>FB260006261</v>
          </cell>
          <cell r="F991" t="str">
            <v>N/ App</v>
          </cell>
        </row>
        <row r="992">
          <cell r="B992" t="str">
            <v>FB260004396</v>
          </cell>
          <cell r="F992" t="str">
            <v>C/APP</v>
          </cell>
        </row>
        <row r="993">
          <cell r="B993" t="str">
            <v>FB260005571</v>
          </cell>
          <cell r="F993" t="str">
            <v>C/APP</v>
          </cell>
        </row>
        <row r="994">
          <cell r="B994" t="str">
            <v>FB260004033</v>
          </cell>
          <cell r="F994" t="str">
            <v>N/ App</v>
          </cell>
        </row>
        <row r="995">
          <cell r="B995" t="str">
            <v>FB260003096</v>
          </cell>
          <cell r="F995" t="str">
            <v>N/ App</v>
          </cell>
        </row>
        <row r="996">
          <cell r="B996" t="str">
            <v>FB260003106</v>
          </cell>
          <cell r="F996" t="str">
            <v>N/ App</v>
          </cell>
        </row>
        <row r="997">
          <cell r="B997" t="str">
            <v>FB250028990</v>
          </cell>
          <cell r="F997" t="str">
            <v>C/APP</v>
          </cell>
        </row>
        <row r="998">
          <cell r="B998" t="str">
            <v>FB260004908</v>
          </cell>
          <cell r="F998" t="str">
            <v>N/ App</v>
          </cell>
        </row>
        <row r="999">
          <cell r="B999" t="str">
            <v>FB260005299</v>
          </cell>
          <cell r="F999" t="str">
            <v>N/ App</v>
          </cell>
        </row>
        <row r="1000">
          <cell r="B1000" t="str">
            <v>FB260003875</v>
          </cell>
          <cell r="F1000" t="str">
            <v>N/ App</v>
          </cell>
        </row>
        <row r="1001">
          <cell r="B1001" t="str">
            <v>FB260003868</v>
          </cell>
          <cell r="F1001" t="str">
            <v>N/ App</v>
          </cell>
        </row>
        <row r="1002">
          <cell r="B1002" t="str">
            <v>FB260003867</v>
          </cell>
          <cell r="F1002" t="str">
            <v>N/ App</v>
          </cell>
        </row>
        <row r="1003">
          <cell r="B1003" t="str">
            <v>FB260005456</v>
          </cell>
          <cell r="F1003" t="str">
            <v>N/ App</v>
          </cell>
        </row>
        <row r="1004">
          <cell r="B1004" t="str">
            <v>FB260005179</v>
          </cell>
          <cell r="F1004" t="str">
            <v>N/ App</v>
          </cell>
        </row>
        <row r="1005">
          <cell r="B1005" t="str">
            <v>FB260003500</v>
          </cell>
          <cell r="F1005" t="str">
            <v>N/ App</v>
          </cell>
        </row>
        <row r="1006">
          <cell r="B1006" t="str">
            <v>FB260005218</v>
          </cell>
          <cell r="F1006" t="str">
            <v>N/ App</v>
          </cell>
        </row>
        <row r="1007">
          <cell r="B1007" t="str">
            <v>FB260004616</v>
          </cell>
          <cell r="F1007" t="str">
            <v>N/ App</v>
          </cell>
        </row>
        <row r="1008">
          <cell r="B1008" t="str">
            <v>FB260004334</v>
          </cell>
          <cell r="F1008" t="str">
            <v>N/ App</v>
          </cell>
        </row>
        <row r="1009">
          <cell r="B1009" t="str">
            <v>FB260004120</v>
          </cell>
          <cell r="F1009" t="str">
            <v>C/APP</v>
          </cell>
        </row>
        <row r="1010">
          <cell r="B1010" t="str">
            <v>FB260004668</v>
          </cell>
          <cell r="F1010" t="str">
            <v>C/APP</v>
          </cell>
        </row>
        <row r="1011">
          <cell r="B1011" t="str">
            <v>FB260004307</v>
          </cell>
          <cell r="F1011" t="str">
            <v>N/ App</v>
          </cell>
        </row>
        <row r="1012">
          <cell r="B1012" t="str">
            <v>FB260004169</v>
          </cell>
          <cell r="F1012" t="str">
            <v>N/ App</v>
          </cell>
        </row>
        <row r="1013">
          <cell r="B1013" t="str">
            <v>FB260003885</v>
          </cell>
          <cell r="F1013" t="str">
            <v>N/ App</v>
          </cell>
        </row>
        <row r="1014">
          <cell r="B1014" t="str">
            <v>FB260004348</v>
          </cell>
          <cell r="F1014" t="str">
            <v>N/ App</v>
          </cell>
        </row>
        <row r="1015">
          <cell r="B1015" t="str">
            <v>FB260006024</v>
          </cell>
          <cell r="F1015" t="str">
            <v>N/ App</v>
          </cell>
        </row>
        <row r="1016">
          <cell r="B1016" t="str">
            <v>FB260004346</v>
          </cell>
          <cell r="F1016" t="str">
            <v>N/ App</v>
          </cell>
        </row>
        <row r="1017">
          <cell r="B1017" t="str">
            <v>FB260004347</v>
          </cell>
          <cell r="F1017" t="str">
            <v>N/ App</v>
          </cell>
        </row>
        <row r="1018">
          <cell r="B1018" t="str">
            <v>FB260006273</v>
          </cell>
          <cell r="F1018" t="str">
            <v>N/ App</v>
          </cell>
        </row>
        <row r="1019">
          <cell r="B1019" t="str">
            <v>FB260003118</v>
          </cell>
          <cell r="F1019" t="str">
            <v>N/ App</v>
          </cell>
        </row>
        <row r="1020">
          <cell r="B1020" t="str">
            <v>FB260003880</v>
          </cell>
          <cell r="F1020" t="str">
            <v>N/ App</v>
          </cell>
        </row>
        <row r="1021">
          <cell r="B1021" t="str">
            <v>FB260004647</v>
          </cell>
          <cell r="F1021" t="str">
            <v>N/ App</v>
          </cell>
        </row>
        <row r="1022">
          <cell r="B1022" t="str">
            <v>FB260006023</v>
          </cell>
          <cell r="F1022" t="str">
            <v>N/ App</v>
          </cell>
        </row>
        <row r="1023">
          <cell r="B1023" t="str">
            <v>FB260006021</v>
          </cell>
          <cell r="F1023" t="str">
            <v>N/ App</v>
          </cell>
        </row>
        <row r="1024">
          <cell r="B1024" t="str">
            <v>FB260004345</v>
          </cell>
          <cell r="F1024" t="str">
            <v>N/ App</v>
          </cell>
        </row>
        <row r="1025">
          <cell r="B1025" t="str">
            <v>FB260003913</v>
          </cell>
          <cell r="F1025" t="str">
            <v>N/ App</v>
          </cell>
        </row>
        <row r="1026">
          <cell r="B1026" t="str">
            <v>FB250029054</v>
          </cell>
          <cell r="F1026" t="str">
            <v>N/ App</v>
          </cell>
        </row>
        <row r="1027">
          <cell r="B1027" t="str">
            <v>FB250029053</v>
          </cell>
          <cell r="F1027" t="str">
            <v>C/APP</v>
          </cell>
        </row>
        <row r="1028">
          <cell r="B1028" t="str">
            <v>FB260004121</v>
          </cell>
          <cell r="F1028" t="str">
            <v>N/ App</v>
          </cell>
        </row>
        <row r="1029">
          <cell r="B1029" t="str">
            <v>FB260003837</v>
          </cell>
          <cell r="F1029" t="str">
            <v>N/ App</v>
          </cell>
        </row>
        <row r="1030">
          <cell r="B1030" t="str">
            <v>FB260005949</v>
          </cell>
          <cell r="F1030" t="str">
            <v>C/APP</v>
          </cell>
        </row>
        <row r="1031">
          <cell r="B1031" t="str">
            <v>FB260003020</v>
          </cell>
          <cell r="F1031" t="str">
            <v>C/APP</v>
          </cell>
        </row>
        <row r="1032">
          <cell r="B1032" t="str">
            <v>FB260004580</v>
          </cell>
          <cell r="F1032" t="str">
            <v>N/ App</v>
          </cell>
        </row>
        <row r="1033">
          <cell r="B1033" t="str">
            <v>FB260004581</v>
          </cell>
          <cell r="F1033" t="str">
            <v>C/APP</v>
          </cell>
        </row>
        <row r="1034">
          <cell r="B1034" t="str">
            <v>FB260004787</v>
          </cell>
          <cell r="F1034" t="str">
            <v>N/ App</v>
          </cell>
        </row>
        <row r="1035">
          <cell r="B1035" t="str">
            <v>FB260004788</v>
          </cell>
          <cell r="F1035" t="str">
            <v>N/ App</v>
          </cell>
        </row>
        <row r="1036">
          <cell r="B1036" t="str">
            <v>FB260004714</v>
          </cell>
          <cell r="F1036" t="str">
            <v>N/ App</v>
          </cell>
        </row>
        <row r="1037">
          <cell r="B1037" t="str">
            <v>FB260004695</v>
          </cell>
          <cell r="F1037" t="str">
            <v>N/ App</v>
          </cell>
        </row>
        <row r="1038">
          <cell r="B1038" t="str">
            <v>FB260004584</v>
          </cell>
          <cell r="F1038" t="str">
            <v>N/ App</v>
          </cell>
        </row>
        <row r="1039">
          <cell r="B1039" t="str">
            <v>FB250028959</v>
          </cell>
          <cell r="F1039" t="str">
            <v>N/ App</v>
          </cell>
        </row>
        <row r="1040">
          <cell r="B1040" t="str">
            <v>FB260004661</v>
          </cell>
          <cell r="F1040" t="str">
            <v>N/ App</v>
          </cell>
        </row>
        <row r="1041">
          <cell r="B1041" t="str">
            <v>FB260004659</v>
          </cell>
          <cell r="F1041" t="str">
            <v>N/ App</v>
          </cell>
        </row>
        <row r="1042">
          <cell r="B1042" t="str">
            <v>FB260003883</v>
          </cell>
          <cell r="F1042" t="str">
            <v>N/ App</v>
          </cell>
        </row>
        <row r="1043">
          <cell r="B1043" t="str">
            <v>FB260006035</v>
          </cell>
          <cell r="F1043" t="str">
            <v>N/ App</v>
          </cell>
        </row>
        <row r="1044">
          <cell r="B1044" t="str">
            <v>FB260006356</v>
          </cell>
          <cell r="F1044" t="str">
            <v>N/ App</v>
          </cell>
        </row>
        <row r="1045">
          <cell r="B1045" t="str">
            <v>FB260006300</v>
          </cell>
          <cell r="F1045" t="str">
            <v>N/ App</v>
          </cell>
        </row>
        <row r="1046">
          <cell r="B1046" t="str">
            <v>FB260004692</v>
          </cell>
          <cell r="F1046" t="str">
            <v>N/ App</v>
          </cell>
        </row>
        <row r="1047">
          <cell r="B1047" t="str">
            <v>FB260004173</v>
          </cell>
          <cell r="F1047" t="str">
            <v>N/ App</v>
          </cell>
        </row>
        <row r="1048">
          <cell r="B1048" t="str">
            <v>FB250029077</v>
          </cell>
          <cell r="F1048" t="str">
            <v>N/ App</v>
          </cell>
        </row>
        <row r="1049">
          <cell r="B1049" t="str">
            <v>FB260003884</v>
          </cell>
          <cell r="F1049" t="str">
            <v>C/APP</v>
          </cell>
        </row>
        <row r="1050">
          <cell r="B1050" t="str">
            <v>FB260004335</v>
          </cell>
          <cell r="F1050" t="str">
            <v>N/ App</v>
          </cell>
        </row>
        <row r="1051">
          <cell r="B1051" t="str">
            <v>FB260004999</v>
          </cell>
          <cell r="F1051" t="str">
            <v>N/ App</v>
          </cell>
        </row>
        <row r="1052">
          <cell r="B1052" t="str">
            <v>FB260003989</v>
          </cell>
          <cell r="F1052" t="str">
            <v>N/ App</v>
          </cell>
        </row>
        <row r="1053">
          <cell r="B1053" t="str">
            <v>FB260006263</v>
          </cell>
          <cell r="F1053" t="str">
            <v>N/ App</v>
          </cell>
        </row>
        <row r="1054">
          <cell r="B1054" t="str">
            <v>FB260005572</v>
          </cell>
          <cell r="F1054" t="str">
            <v>C/APP</v>
          </cell>
        </row>
        <row r="1055">
          <cell r="B1055" t="str">
            <v>FB260006259</v>
          </cell>
          <cell r="F1055" t="str">
            <v>C/APP</v>
          </cell>
        </row>
        <row r="1056">
          <cell r="B1056" t="str">
            <v>FB260004504</v>
          </cell>
          <cell r="F1056" t="str">
            <v>N/ App</v>
          </cell>
        </row>
        <row r="1057">
          <cell r="B1057" t="str">
            <v>FB260004441</v>
          </cell>
          <cell r="F1057" t="str">
            <v>N/ App</v>
          </cell>
        </row>
        <row r="1058">
          <cell r="B1058" t="str">
            <v>FB260003595</v>
          </cell>
          <cell r="F1058" t="str">
            <v>C/APP</v>
          </cell>
        </row>
        <row r="1059">
          <cell r="B1059" t="str">
            <v>FB260006189</v>
          </cell>
          <cell r="F1059" t="str">
            <v>N/ App</v>
          </cell>
        </row>
        <row r="1060">
          <cell r="B1060" t="str">
            <v>FB260005672</v>
          </cell>
          <cell r="F1060" t="str">
            <v>N/ App</v>
          </cell>
        </row>
        <row r="1061">
          <cell r="B1061" t="str">
            <v>FB260003931</v>
          </cell>
          <cell r="F1061" t="str">
            <v>N/ App</v>
          </cell>
        </row>
        <row r="1062">
          <cell r="B1062" t="str">
            <v>FB260003853</v>
          </cell>
          <cell r="F1062" t="str">
            <v>N/ App</v>
          </cell>
        </row>
        <row r="1063">
          <cell r="B1063" t="str">
            <v>FB260004775</v>
          </cell>
          <cell r="F1063" t="str">
            <v>N/ App</v>
          </cell>
        </row>
        <row r="1064">
          <cell r="B1064" t="str">
            <v>FB260005731</v>
          </cell>
          <cell r="F1064" t="str">
            <v>N/ App</v>
          </cell>
        </row>
        <row r="1065">
          <cell r="B1065" t="str">
            <v>FB260004497</v>
          </cell>
          <cell r="F1065" t="str">
            <v>N/ App</v>
          </cell>
        </row>
        <row r="1066">
          <cell r="B1066" t="str">
            <v>FB260005422</v>
          </cell>
          <cell r="F1066" t="str">
            <v>C/APP</v>
          </cell>
        </row>
        <row r="1067">
          <cell r="B1067" t="str">
            <v>FB260004540</v>
          </cell>
          <cell r="F1067" t="str">
            <v>C/APP</v>
          </cell>
        </row>
        <row r="1068">
          <cell r="B1068" t="str">
            <v>FB260004042</v>
          </cell>
          <cell r="F1068" t="str">
            <v>C/APP</v>
          </cell>
        </row>
        <row r="1069">
          <cell r="B1069" t="str">
            <v>FB260003794</v>
          </cell>
          <cell r="F1069" t="str">
            <v>N/ App</v>
          </cell>
        </row>
        <row r="1070">
          <cell r="B1070" t="str">
            <v>FB260005670</v>
          </cell>
          <cell r="F1070" t="str">
            <v>N/ App</v>
          </cell>
        </row>
        <row r="1071">
          <cell r="B1071" t="str">
            <v>FB260004674</v>
          </cell>
          <cell r="F1071" t="str">
            <v>N/ App</v>
          </cell>
        </row>
        <row r="1072">
          <cell r="B1072" t="str">
            <v>FB260004154</v>
          </cell>
          <cell r="F1072" t="str">
            <v>C/APP</v>
          </cell>
        </row>
        <row r="1073">
          <cell r="B1073" t="str">
            <v>FB260005579</v>
          </cell>
          <cell r="F1073" t="str">
            <v>N/ App</v>
          </cell>
        </row>
        <row r="1074">
          <cell r="B1074" t="str">
            <v>FB260006191</v>
          </cell>
          <cell r="F1074" t="str">
            <v>N/ App</v>
          </cell>
        </row>
        <row r="1075">
          <cell r="B1075" t="str">
            <v>FB260006192</v>
          </cell>
          <cell r="F1075" t="str">
            <v>N/ App</v>
          </cell>
        </row>
        <row r="1076">
          <cell r="B1076" t="str">
            <v>FB260006190</v>
          </cell>
          <cell r="F1076" t="str">
            <v>N/ App</v>
          </cell>
        </row>
        <row r="1077">
          <cell r="B1077" t="str">
            <v>FB260004693</v>
          </cell>
          <cell r="F1077" t="str">
            <v>N/ App</v>
          </cell>
        </row>
        <row r="1078">
          <cell r="B1078" t="str">
            <v>FB260004312</v>
          </cell>
          <cell r="F1078" t="str">
            <v>N/ App</v>
          </cell>
        </row>
        <row r="1079">
          <cell r="B1079" t="str">
            <v>FB260005683</v>
          </cell>
          <cell r="F1079" t="str">
            <v>N/ App</v>
          </cell>
        </row>
        <row r="1080">
          <cell r="B1080" t="str">
            <v>FB260004645</v>
          </cell>
          <cell r="F1080" t="str">
            <v>N/ App</v>
          </cell>
        </row>
        <row r="1081">
          <cell r="B1081" t="str">
            <v>FB260006254</v>
          </cell>
          <cell r="F1081" t="str">
            <v>C/APP</v>
          </cell>
        </row>
        <row r="1082">
          <cell r="B1082" t="str">
            <v>FB260003930</v>
          </cell>
          <cell r="F1082" t="str">
            <v>N/ App</v>
          </cell>
        </row>
        <row r="1083">
          <cell r="B1083" t="str">
            <v>FB260006264</v>
          </cell>
          <cell r="F1083" t="str">
            <v>C/APP</v>
          </cell>
        </row>
        <row r="1084">
          <cell r="B1084" t="str">
            <v>FB260005072</v>
          </cell>
          <cell r="F1084" t="str">
            <v>C/APP</v>
          </cell>
        </row>
        <row r="1085">
          <cell r="B1085" t="str">
            <v>FB260004316</v>
          </cell>
          <cell r="F1085" t="str">
            <v>N/ App</v>
          </cell>
        </row>
        <row r="1086">
          <cell r="B1086" t="str">
            <v>FB260005311</v>
          </cell>
          <cell r="F1086" t="str">
            <v>N/ App</v>
          </cell>
        </row>
        <row r="1087">
          <cell r="B1087" t="str">
            <v>FB260004717</v>
          </cell>
          <cell r="F1087" t="str">
            <v>N/ App</v>
          </cell>
        </row>
        <row r="1088">
          <cell r="B1088" t="str">
            <v>FB260004703</v>
          </cell>
          <cell r="F1088" t="str">
            <v>C/APP</v>
          </cell>
        </row>
        <row r="1089">
          <cell r="B1089" t="str">
            <v>FB260004755</v>
          </cell>
          <cell r="F1089" t="str">
            <v>N/ App</v>
          </cell>
        </row>
        <row r="1090">
          <cell r="B1090" t="str">
            <v>FB260005449</v>
          </cell>
          <cell r="F1090" t="str">
            <v>N/ App</v>
          </cell>
        </row>
        <row r="1091">
          <cell r="B1091" t="str">
            <v>FB260003019</v>
          </cell>
          <cell r="F1091" t="str">
            <v>N/ App</v>
          </cell>
        </row>
        <row r="1092">
          <cell r="B1092" t="str">
            <v>FB260004132</v>
          </cell>
          <cell r="F1092" t="str">
            <v>N/ App</v>
          </cell>
        </row>
        <row r="1093">
          <cell r="B1093" t="str">
            <v>FB260004168</v>
          </cell>
          <cell r="F1093" t="str">
            <v>N/ App</v>
          </cell>
        </row>
        <row r="1094">
          <cell r="B1094" t="str">
            <v>FB260003018</v>
          </cell>
          <cell r="F1094" t="str">
            <v>N/ App</v>
          </cell>
        </row>
        <row r="1095">
          <cell r="B1095" t="str">
            <v>FB260004131</v>
          </cell>
          <cell r="F1095" t="str">
            <v>N/ App</v>
          </cell>
        </row>
        <row r="1096">
          <cell r="B1096" t="str">
            <v>FB260004776</v>
          </cell>
          <cell r="F1096" t="str">
            <v>N/ App</v>
          </cell>
        </row>
        <row r="1097">
          <cell r="B1097" t="str">
            <v>FB260004977</v>
          </cell>
          <cell r="F1097" t="str">
            <v>N/ App</v>
          </cell>
        </row>
        <row r="1098">
          <cell r="B1098" t="str">
            <v>FB260004437</v>
          </cell>
          <cell r="F1098" t="str">
            <v>N/ App</v>
          </cell>
        </row>
        <row r="1099">
          <cell r="B1099" t="str">
            <v>FB260005080</v>
          </cell>
          <cell r="F1099" t="str">
            <v>C/APP</v>
          </cell>
        </row>
        <row r="1100">
          <cell r="B1100" t="str">
            <v>FB260004436</v>
          </cell>
          <cell r="F1100" t="str">
            <v>N/ App</v>
          </cell>
        </row>
        <row r="1101">
          <cell r="B1101" t="str">
            <v>FB260003810</v>
          </cell>
          <cell r="F1101" t="str">
            <v>N/ App</v>
          </cell>
        </row>
        <row r="1102">
          <cell r="B1102" t="str">
            <v>FB260006295</v>
          </cell>
          <cell r="F1102" t="str">
            <v>N/ App</v>
          </cell>
        </row>
        <row r="1103">
          <cell r="B1103" t="str">
            <v>FB260006296</v>
          </cell>
          <cell r="F1103" t="str">
            <v>N/ App</v>
          </cell>
        </row>
        <row r="1104">
          <cell r="B1104" t="str">
            <v>FB260006359</v>
          </cell>
          <cell r="F1104" t="str">
            <v>N/ App</v>
          </cell>
        </row>
        <row r="1105">
          <cell r="B1105" t="str">
            <v>FB260003829</v>
          </cell>
          <cell r="F1105" t="str">
            <v>C/APP</v>
          </cell>
        </row>
        <row r="1106">
          <cell r="B1106" t="str">
            <v>FB260004284</v>
          </cell>
          <cell r="F1106" t="str">
            <v>N/ App</v>
          </cell>
        </row>
        <row r="1107">
          <cell r="B1107" t="str">
            <v>FB260004197</v>
          </cell>
          <cell r="F1107" t="str">
            <v>N/ App</v>
          </cell>
        </row>
        <row r="1108">
          <cell r="B1108" t="str">
            <v>FB260004809</v>
          </cell>
          <cell r="F1108" t="str">
            <v>N/ App</v>
          </cell>
        </row>
        <row r="1109">
          <cell r="B1109" t="str">
            <v>FB250029094</v>
          </cell>
          <cell r="F1109" t="str">
            <v>N/ App</v>
          </cell>
        </row>
        <row r="1110">
          <cell r="B1110" t="str">
            <v>FB260003845</v>
          </cell>
          <cell r="F1110" t="str">
            <v>C/APP</v>
          </cell>
        </row>
        <row r="1111">
          <cell r="B1111" t="str">
            <v>FB260003827</v>
          </cell>
          <cell r="F1111" t="str">
            <v>C/APP</v>
          </cell>
        </row>
        <row r="1112">
          <cell r="B1112" t="str">
            <v>FB260003825</v>
          </cell>
          <cell r="F1112" t="str">
            <v>C/APP</v>
          </cell>
        </row>
        <row r="1113">
          <cell r="B1113" t="str">
            <v>FB260004642</v>
          </cell>
          <cell r="F1113" t="str">
            <v>N/ App</v>
          </cell>
        </row>
        <row r="1114">
          <cell r="B1114" t="str">
            <v>FB260004648</v>
          </cell>
          <cell r="F1114" t="str">
            <v>N/ App</v>
          </cell>
        </row>
        <row r="1115">
          <cell r="B1115" t="str">
            <v>FB260003907</v>
          </cell>
          <cell r="F1115" t="str">
            <v>N/ App</v>
          </cell>
        </row>
        <row r="1116">
          <cell r="B1116" t="str">
            <v>FB260002622</v>
          </cell>
          <cell r="F1116" t="str">
            <v>N/ App</v>
          </cell>
        </row>
        <row r="1117">
          <cell r="B1117" t="str">
            <v>FB260003838</v>
          </cell>
          <cell r="F1117" t="str">
            <v>N/ App</v>
          </cell>
        </row>
        <row r="1118">
          <cell r="B1118" t="str">
            <v>FB260003831</v>
          </cell>
          <cell r="F1118" t="str">
            <v>N/ App</v>
          </cell>
        </row>
        <row r="1119">
          <cell r="B1119" t="str">
            <v>FR260000144</v>
          </cell>
          <cell r="F1119" t="str">
            <v>N/ App</v>
          </cell>
        </row>
        <row r="1120">
          <cell r="B1120" t="str">
            <v>FB260005987</v>
          </cell>
          <cell r="F1120" t="str">
            <v>N/ App</v>
          </cell>
        </row>
        <row r="1121">
          <cell r="B1121" t="str">
            <v>FB260004862</v>
          </cell>
          <cell r="F1121" t="str">
            <v>N/ App</v>
          </cell>
        </row>
        <row r="1122">
          <cell r="B1122" t="str">
            <v>FB260003466</v>
          </cell>
          <cell r="F1122" t="str">
            <v>N/ App</v>
          </cell>
        </row>
        <row r="1123">
          <cell r="B1123" t="str">
            <v>FB260006258</v>
          </cell>
          <cell r="F1123" t="str">
            <v>N/ App</v>
          </cell>
        </row>
        <row r="1124">
          <cell r="B1124" t="str">
            <v>FB260005429</v>
          </cell>
          <cell r="F1124" t="str">
            <v>N/ App</v>
          </cell>
        </row>
        <row r="1125">
          <cell r="B1125" t="str">
            <v>FB260005055</v>
          </cell>
          <cell r="F1125" t="str">
            <v>N/ App</v>
          </cell>
        </row>
        <row r="1126">
          <cell r="B1126" t="str">
            <v>FB260004860</v>
          </cell>
          <cell r="F1126" t="str">
            <v>N/ App</v>
          </cell>
        </row>
        <row r="1127">
          <cell r="B1127" t="str">
            <v>FB260005868</v>
          </cell>
          <cell r="F1127" t="str">
            <v>C/APP</v>
          </cell>
        </row>
        <row r="1128">
          <cell r="B1128" t="str">
            <v>FB260003573</v>
          </cell>
          <cell r="F1128" t="str">
            <v>N/ App</v>
          </cell>
        </row>
        <row r="1129">
          <cell r="B1129" t="str">
            <v>FB260006156</v>
          </cell>
          <cell r="F1129" t="str">
            <v>N/ App</v>
          </cell>
        </row>
        <row r="1130">
          <cell r="B1130" t="str">
            <v>FR260000147</v>
          </cell>
          <cell r="F1130" t="str">
            <v>N/ App</v>
          </cell>
        </row>
        <row r="1131">
          <cell r="B1131" t="str">
            <v>FB260004235</v>
          </cell>
          <cell r="F1131" t="str">
            <v>N/ App</v>
          </cell>
        </row>
        <row r="1132">
          <cell r="B1132" t="str">
            <v>FB260005583</v>
          </cell>
          <cell r="F1132" t="str">
            <v>N/ App</v>
          </cell>
        </row>
        <row r="1133">
          <cell r="B1133" t="str">
            <v>FB260004477</v>
          </cell>
          <cell r="F1133" t="str">
            <v>N/ App</v>
          </cell>
        </row>
        <row r="1134">
          <cell r="B1134" t="str">
            <v>FB260005200</v>
          </cell>
          <cell r="F1134" t="str">
            <v>N/ App</v>
          </cell>
        </row>
        <row r="1135">
          <cell r="B1135" t="str">
            <v>FB260006255</v>
          </cell>
          <cell r="F1135" t="str">
            <v>N/ App</v>
          </cell>
        </row>
        <row r="1136">
          <cell r="B1136" t="str">
            <v>FB260006267</v>
          </cell>
          <cell r="F1136" t="str">
            <v>N/ App</v>
          </cell>
        </row>
        <row r="1137">
          <cell r="B1137" t="str">
            <v>FB260003575</v>
          </cell>
          <cell r="F1137" t="str">
            <v>N/ App</v>
          </cell>
        </row>
        <row r="1138">
          <cell r="B1138" t="str">
            <v>FB260002752</v>
          </cell>
          <cell r="F1138" t="str">
            <v>N/ App</v>
          </cell>
        </row>
        <row r="1139">
          <cell r="B1139" t="str">
            <v>FB260004430</v>
          </cell>
          <cell r="F1139" t="str">
            <v>N/ App</v>
          </cell>
        </row>
        <row r="1140">
          <cell r="B1140" t="str">
            <v>FB260003723</v>
          </cell>
          <cell r="F1140" t="str">
            <v>N/ App</v>
          </cell>
        </row>
        <row r="1141">
          <cell r="B1141" t="str">
            <v>FB260003722</v>
          </cell>
          <cell r="F1141" t="str">
            <v>N/ App</v>
          </cell>
        </row>
        <row r="1142">
          <cell r="B1142" t="str">
            <v>FB260003569</v>
          </cell>
          <cell r="F1142" t="str">
            <v>N/ App</v>
          </cell>
        </row>
        <row r="1143">
          <cell r="B1143" t="str">
            <v>FB260003193</v>
          </cell>
          <cell r="F1143" t="str">
            <v>N/ App</v>
          </cell>
        </row>
        <row r="1144">
          <cell r="B1144" t="str">
            <v>FB260002773</v>
          </cell>
          <cell r="F1144" t="str">
            <v>N/ App</v>
          </cell>
        </row>
        <row r="1145">
          <cell r="B1145" t="str">
            <v>FB260002765</v>
          </cell>
          <cell r="F1145" t="str">
            <v>N/ App</v>
          </cell>
        </row>
        <row r="1146">
          <cell r="B1146" t="str">
            <v>FB260002761</v>
          </cell>
          <cell r="F1146" t="str">
            <v>N/ App</v>
          </cell>
        </row>
        <row r="1147">
          <cell r="B1147" t="str">
            <v>FB260002855</v>
          </cell>
          <cell r="F1147" t="str">
            <v>N/ App</v>
          </cell>
        </row>
        <row r="1148">
          <cell r="B1148" t="str">
            <v>FB260004326</v>
          </cell>
          <cell r="F1148" t="str">
            <v>C/APP</v>
          </cell>
        </row>
        <row r="1149">
          <cell r="B1149" t="str">
            <v>FB260005411</v>
          </cell>
          <cell r="F1149" t="str">
            <v>N/ App</v>
          </cell>
        </row>
        <row r="1150">
          <cell r="B1150" t="str">
            <v>FB260005410</v>
          </cell>
          <cell r="F1150" t="str">
            <v>N/ App</v>
          </cell>
        </row>
        <row r="1151">
          <cell r="B1151" t="str">
            <v>FB260005409</v>
          </cell>
          <cell r="F1151" t="str">
            <v>N/ App</v>
          </cell>
        </row>
        <row r="1152">
          <cell r="B1152" t="str">
            <v>FB260005047</v>
          </cell>
          <cell r="F1152" t="str">
            <v>N/ App</v>
          </cell>
        </row>
        <row r="1153">
          <cell r="B1153" t="str">
            <v>FB260005041</v>
          </cell>
          <cell r="F1153" t="str">
            <v>N/ App</v>
          </cell>
        </row>
        <row r="1154">
          <cell r="B1154" t="str">
            <v>FB260004772</v>
          </cell>
          <cell r="F1154" t="str">
            <v>N/ App</v>
          </cell>
        </row>
        <row r="1155">
          <cell r="B1155" t="str">
            <v>FB260005954</v>
          </cell>
          <cell r="F1155" t="str">
            <v>C/APP</v>
          </cell>
        </row>
        <row r="1156">
          <cell r="B1156" t="str">
            <v>FB260003842</v>
          </cell>
          <cell r="F1156" t="str">
            <v>N/ App</v>
          </cell>
        </row>
        <row r="1157">
          <cell r="B1157" t="str">
            <v>FB260002426</v>
          </cell>
          <cell r="F1157" t="str">
            <v>N/ App</v>
          </cell>
        </row>
        <row r="1158">
          <cell r="B1158" t="str">
            <v>FB260002996</v>
          </cell>
          <cell r="F1158" t="str">
            <v>N/ App</v>
          </cell>
        </row>
        <row r="1159">
          <cell r="B1159" t="str">
            <v>FB260005833</v>
          </cell>
          <cell r="F1159" t="str">
            <v>N/ App</v>
          </cell>
        </row>
        <row r="1160">
          <cell r="B1160" t="str">
            <v>FR260000145</v>
          </cell>
          <cell r="F1160" t="str">
            <v>N/ App</v>
          </cell>
        </row>
        <row r="1161">
          <cell r="B1161" t="str">
            <v>FB260003841</v>
          </cell>
          <cell r="F1161" t="str">
            <v>C/APP</v>
          </cell>
        </row>
        <row r="1162">
          <cell r="B1162" t="str">
            <v>FB260005963</v>
          </cell>
          <cell r="F1162" t="str">
            <v>N/ App</v>
          </cell>
        </row>
        <row r="1163">
          <cell r="B1163" t="str">
            <v>FB260003928</v>
          </cell>
          <cell r="F1163" t="str">
            <v>C/APP</v>
          </cell>
        </row>
        <row r="1164">
          <cell r="B1164" t="str">
            <v>FB260005383</v>
          </cell>
          <cell r="F1164" t="str">
            <v>C/APP</v>
          </cell>
        </row>
        <row r="1165">
          <cell r="B1165" t="str">
            <v>FB260006266</v>
          </cell>
          <cell r="F1165" t="str">
            <v>N/ App</v>
          </cell>
        </row>
        <row r="1166">
          <cell r="B1166" t="str">
            <v>FB260006256</v>
          </cell>
          <cell r="F1166" t="str">
            <v>N/ App</v>
          </cell>
        </row>
        <row r="1167">
          <cell r="B1167" t="str">
            <v>FB260005982</v>
          </cell>
          <cell r="F1167" t="str">
            <v>N/ App</v>
          </cell>
        </row>
        <row r="1168">
          <cell r="B1168" t="str">
            <v>FB260005074</v>
          </cell>
          <cell r="F1168" t="str">
            <v>N/ App</v>
          </cell>
        </row>
        <row r="1169">
          <cell r="B1169" t="str">
            <v>FB260006257</v>
          </cell>
          <cell r="F1169" t="str">
            <v>N/ App</v>
          </cell>
        </row>
        <row r="1170">
          <cell r="B1170" t="str">
            <v>FB260003563</v>
          </cell>
          <cell r="F1170" t="str">
            <v>N/ App</v>
          </cell>
        </row>
        <row r="1171">
          <cell r="B1171" t="str">
            <v>FB260004250</v>
          </cell>
          <cell r="F1171" t="str">
            <v>N/ App</v>
          </cell>
        </row>
        <row r="1172">
          <cell r="B1172" t="str">
            <v>FB260004491</v>
          </cell>
          <cell r="F1172" t="str">
            <v>N/ App</v>
          </cell>
        </row>
        <row r="1173">
          <cell r="B1173" t="str">
            <v>FB260004470</v>
          </cell>
          <cell r="F1173" t="str">
            <v>N/ App</v>
          </cell>
        </row>
        <row r="1174">
          <cell r="B1174" t="str">
            <v>FB260002364</v>
          </cell>
          <cell r="F1174" t="str">
            <v>N/ App</v>
          </cell>
        </row>
        <row r="1175">
          <cell r="B1175" t="str">
            <v>FB260004469</v>
          </cell>
          <cell r="F1175" t="str">
            <v>N/ App</v>
          </cell>
        </row>
        <row r="1176">
          <cell r="B1176" t="str">
            <v>FB260005044</v>
          </cell>
          <cell r="F1176" t="str">
            <v>N/ App</v>
          </cell>
        </row>
        <row r="1177">
          <cell r="B1177" t="str">
            <v>FB260005251</v>
          </cell>
          <cell r="F1177" t="str">
            <v>N/ App</v>
          </cell>
        </row>
        <row r="1178">
          <cell r="B1178" t="str">
            <v>FB260005252</v>
          </cell>
          <cell r="F1178" t="str">
            <v>N/ App</v>
          </cell>
        </row>
        <row r="1179">
          <cell r="B1179" t="str">
            <v>FB260005653</v>
          </cell>
          <cell r="F1179" t="str">
            <v>C/APP</v>
          </cell>
        </row>
        <row r="1180">
          <cell r="B1180" t="str">
            <v>FB260004029</v>
          </cell>
          <cell r="F1180" t="str">
            <v>C/APP</v>
          </cell>
        </row>
        <row r="1181">
          <cell r="B1181" t="str">
            <v>FB260004401</v>
          </cell>
          <cell r="F1181" t="str">
            <v>C/APP</v>
          </cell>
        </row>
        <row r="1182">
          <cell r="B1182" t="str">
            <v>FB250029090</v>
          </cell>
          <cell r="F1182" t="str">
            <v>C/APP</v>
          </cell>
        </row>
        <row r="1183">
          <cell r="B1183" t="str">
            <v>FB260006463</v>
          </cell>
          <cell r="F1183" t="str">
            <v>N/ App</v>
          </cell>
        </row>
        <row r="1184">
          <cell r="B1184" t="str">
            <v>FB260004167</v>
          </cell>
          <cell r="F1184" t="str">
            <v>N/ App</v>
          </cell>
        </row>
        <row r="1185">
          <cell r="B1185" t="str">
            <v>FB260002425</v>
          </cell>
          <cell r="F1185" t="str">
            <v>C/APP</v>
          </cell>
        </row>
        <row r="1186">
          <cell r="B1186" t="str">
            <v>FB260004767</v>
          </cell>
          <cell r="F1186" t="str">
            <v>N/ App</v>
          </cell>
        </row>
        <row r="1187">
          <cell r="B1187" t="str">
            <v>FB260002490</v>
          </cell>
          <cell r="F1187" t="str">
            <v>N/ App</v>
          </cell>
        </row>
        <row r="1188">
          <cell r="B1188" t="str">
            <v>FB260005142</v>
          </cell>
          <cell r="F1188" t="str">
            <v>N/ App</v>
          </cell>
        </row>
        <row r="1189">
          <cell r="B1189" t="str">
            <v>FB260005351</v>
          </cell>
          <cell r="F1189" t="str">
            <v>N/ App</v>
          </cell>
        </row>
        <row r="1190">
          <cell r="B1190" t="str">
            <v>FB260005346</v>
          </cell>
          <cell r="F1190" t="str">
            <v>N/ App</v>
          </cell>
        </row>
        <row r="1191">
          <cell r="B1191" t="str">
            <v>FB260005350</v>
          </cell>
          <cell r="F1191" t="str">
            <v>N/ App</v>
          </cell>
        </row>
        <row r="1192">
          <cell r="B1192" t="str">
            <v>FB260005225</v>
          </cell>
          <cell r="F1192" t="str">
            <v>N/ App</v>
          </cell>
        </row>
        <row r="1193">
          <cell r="B1193" t="str">
            <v>FB260004749</v>
          </cell>
          <cell r="F1193" t="str">
            <v>N/ App</v>
          </cell>
        </row>
        <row r="1194">
          <cell r="B1194" t="str">
            <v>FB260004748</v>
          </cell>
          <cell r="F1194" t="str">
            <v>N/ App</v>
          </cell>
        </row>
        <row r="1195">
          <cell r="B1195" t="str">
            <v>FB260004750</v>
          </cell>
          <cell r="F1195" t="str">
            <v>N/ App</v>
          </cell>
        </row>
        <row r="1196">
          <cell r="B1196" t="str">
            <v>FB260003140</v>
          </cell>
          <cell r="F1196" t="str">
            <v>N/ App</v>
          </cell>
        </row>
        <row r="1197">
          <cell r="B1197" t="str">
            <v>FB260004789</v>
          </cell>
          <cell r="F1197" t="str">
            <v>N/ App</v>
          </cell>
        </row>
        <row r="1198">
          <cell r="B1198" t="str">
            <v>FB250029098</v>
          </cell>
          <cell r="F1198" t="str">
            <v>N/ App</v>
          </cell>
        </row>
        <row r="1199">
          <cell r="B1199" t="str">
            <v>FB250029100</v>
          </cell>
          <cell r="F1199" t="str">
            <v>N/ App</v>
          </cell>
        </row>
        <row r="1200">
          <cell r="B1200" t="str">
            <v>FB250029097</v>
          </cell>
          <cell r="F1200" t="str">
            <v>N/ App</v>
          </cell>
        </row>
        <row r="1201">
          <cell r="B1201" t="str">
            <v>FB250029096</v>
          </cell>
          <cell r="F1201" t="str">
            <v>N/ App</v>
          </cell>
        </row>
        <row r="1202">
          <cell r="B1202" t="str">
            <v>FB260006292</v>
          </cell>
          <cell r="F1202" t="str">
            <v>N/ App</v>
          </cell>
        </row>
        <row r="1203">
          <cell r="B1203" t="str">
            <v>FB260002390</v>
          </cell>
          <cell r="F1203" t="str">
            <v>N/ App</v>
          </cell>
        </row>
        <row r="1204">
          <cell r="B1204" t="str">
            <v>FB260006335</v>
          </cell>
          <cell r="F1204" t="str">
            <v>N/ App</v>
          </cell>
        </row>
        <row r="1205">
          <cell r="B1205" t="str">
            <v>FB260006329</v>
          </cell>
          <cell r="F1205" t="str">
            <v>N/ App</v>
          </cell>
        </row>
        <row r="1206">
          <cell r="B1206" t="str">
            <v>FB260006333</v>
          </cell>
          <cell r="F1206" t="str">
            <v>N/ App</v>
          </cell>
        </row>
        <row r="1207">
          <cell r="B1207" t="str">
            <v>FB260006330</v>
          </cell>
          <cell r="F1207" t="str">
            <v>N/ App</v>
          </cell>
        </row>
        <row r="1208">
          <cell r="B1208" t="str">
            <v>FB260006284</v>
          </cell>
          <cell r="F1208" t="str">
            <v>N/ App</v>
          </cell>
        </row>
        <row r="1209">
          <cell r="B1209" t="str">
            <v>FB260006360</v>
          </cell>
          <cell r="F1209" t="str">
            <v>N/ App</v>
          </cell>
        </row>
        <row r="1210">
          <cell r="B1210" t="str">
            <v>FB260006336</v>
          </cell>
          <cell r="F1210" t="str">
            <v>N/ App</v>
          </cell>
        </row>
        <row r="1211">
          <cell r="B1211" t="str">
            <v>FB260006358</v>
          </cell>
          <cell r="F1211" t="str">
            <v>N/ App</v>
          </cell>
        </row>
        <row r="1212">
          <cell r="B1212" t="str">
            <v>FB260005273</v>
          </cell>
          <cell r="F1212" t="str">
            <v>N/ App</v>
          </cell>
        </row>
        <row r="1213">
          <cell r="B1213" t="str">
            <v>FB260005826</v>
          </cell>
          <cell r="F1213" t="str">
            <v>N/ App</v>
          </cell>
        </row>
        <row r="1214">
          <cell r="B1214" t="str">
            <v>FB260006137</v>
          </cell>
          <cell r="F1214" t="str">
            <v>N/ App</v>
          </cell>
        </row>
        <row r="1215">
          <cell r="B1215" t="str">
            <v>FB260004038</v>
          </cell>
          <cell r="F1215" t="str">
            <v>N/ App</v>
          </cell>
        </row>
        <row r="1216">
          <cell r="B1216" t="str">
            <v>FB260006328</v>
          </cell>
          <cell r="F1216" t="str">
            <v>N/ App</v>
          </cell>
        </row>
        <row r="1217">
          <cell r="B1217" t="str">
            <v>FB260005068</v>
          </cell>
          <cell r="F1217" t="str">
            <v>N/ App</v>
          </cell>
        </row>
        <row r="1218">
          <cell r="B1218" t="str">
            <v>FB260005650</v>
          </cell>
          <cell r="F1218" t="str">
            <v>C/APP</v>
          </cell>
        </row>
        <row r="1219">
          <cell r="B1219" t="str">
            <v>FB260005649</v>
          </cell>
          <cell r="F1219" t="str">
            <v>C/APP</v>
          </cell>
        </row>
        <row r="1220">
          <cell r="B1220" t="str">
            <v>FB260003584</v>
          </cell>
          <cell r="F1220" t="str">
            <v>N/ App</v>
          </cell>
        </row>
        <row r="1221">
          <cell r="B1221" t="str">
            <v>FB260005262</v>
          </cell>
          <cell r="F1221" t="str">
            <v>N/ App</v>
          </cell>
        </row>
        <row r="1222">
          <cell r="B1222" t="str">
            <v>FB260004725</v>
          </cell>
          <cell r="F1222" t="str">
            <v>N/ App</v>
          </cell>
        </row>
        <row r="1223">
          <cell r="B1223" t="str">
            <v>FB260003592</v>
          </cell>
          <cell r="F1223" t="str">
            <v>N/ App</v>
          </cell>
        </row>
        <row r="1224">
          <cell r="B1224" t="str">
            <v>FB260005948</v>
          </cell>
          <cell r="F1224" t="str">
            <v>C/APP</v>
          </cell>
        </row>
        <row r="1225">
          <cell r="B1225" t="str">
            <v>FB260006572</v>
          </cell>
          <cell r="F1225" t="str">
            <v>N/ App</v>
          </cell>
        </row>
        <row r="1226">
          <cell r="B1226" t="str">
            <v>FB260004777</v>
          </cell>
          <cell r="F1226" t="str">
            <v>N/ App</v>
          </cell>
        </row>
        <row r="1227">
          <cell r="B1227" t="str">
            <v>FB260005169</v>
          </cell>
          <cell r="F1227" t="str">
            <v>N/ App</v>
          </cell>
        </row>
        <row r="1228">
          <cell r="B1228" t="str">
            <v>FB260004521</v>
          </cell>
          <cell r="F1228" t="str">
            <v>C/APP</v>
          </cell>
        </row>
        <row r="1229">
          <cell r="B1229" t="str">
            <v>FB260004851</v>
          </cell>
          <cell r="F1229" t="str">
            <v>C/APP</v>
          </cell>
        </row>
        <row r="1230">
          <cell r="B1230" t="str">
            <v>FB250029104</v>
          </cell>
          <cell r="F1230" t="str">
            <v>C/APP</v>
          </cell>
        </row>
        <row r="1231">
          <cell r="B1231" t="str">
            <v>FB250029105</v>
          </cell>
          <cell r="F1231" t="str">
            <v>C/APP</v>
          </cell>
        </row>
        <row r="1232">
          <cell r="B1232" t="str">
            <v>FB260003594</v>
          </cell>
          <cell r="F1232" t="str">
            <v>N/ App</v>
          </cell>
        </row>
        <row r="1233">
          <cell r="B1233" t="str">
            <v>FB260002751</v>
          </cell>
          <cell r="F1233" t="str">
            <v>N/ App</v>
          </cell>
        </row>
        <row r="1234">
          <cell r="B1234" t="str">
            <v>FB250029102</v>
          </cell>
          <cell r="F1234" t="str">
            <v>C/APP</v>
          </cell>
        </row>
        <row r="1235">
          <cell r="B1235" t="str">
            <v>FB260003187</v>
          </cell>
          <cell r="F1235" t="str">
            <v>N/ App</v>
          </cell>
        </row>
        <row r="1236">
          <cell r="B1236" t="str">
            <v>FB260003819</v>
          </cell>
          <cell r="F1236" t="str">
            <v>N/ App</v>
          </cell>
        </row>
        <row r="1237">
          <cell r="B1237" t="str">
            <v>FB260005327</v>
          </cell>
          <cell r="F1237" t="str">
            <v>N/ App</v>
          </cell>
        </row>
        <row r="1238">
          <cell r="B1238" t="str">
            <v>FB260003983</v>
          </cell>
          <cell r="F1238" t="str">
            <v>C/APP</v>
          </cell>
        </row>
        <row r="1239">
          <cell r="B1239" t="str">
            <v>FB260003802</v>
          </cell>
          <cell r="F1239" t="str">
            <v>N/ App</v>
          </cell>
        </row>
        <row r="1240">
          <cell r="B1240" t="str">
            <v>FB260004683</v>
          </cell>
          <cell r="F1240" t="str">
            <v>N/ App</v>
          </cell>
        </row>
        <row r="1241">
          <cell r="B1241" t="str">
            <v>FB260004682</v>
          </cell>
          <cell r="F1241" t="str">
            <v>N/ App</v>
          </cell>
        </row>
        <row r="1242">
          <cell r="B1242" t="str">
            <v>FB260005305</v>
          </cell>
          <cell r="F1242" t="str">
            <v>N/ App</v>
          </cell>
        </row>
        <row r="1243">
          <cell r="B1243" t="str">
            <v>FB260003501</v>
          </cell>
          <cell r="F1243" t="str">
            <v>N/ App</v>
          </cell>
        </row>
        <row r="1244">
          <cell r="B1244" t="str">
            <v>FB260004681</v>
          </cell>
          <cell r="F1244" t="str">
            <v>N/ App</v>
          </cell>
        </row>
        <row r="1245">
          <cell r="B1245" t="str">
            <v>FB260004790</v>
          </cell>
          <cell r="F1245" t="str">
            <v>N/ App</v>
          </cell>
        </row>
        <row r="1246">
          <cell r="B1246" t="str">
            <v>FB260004780</v>
          </cell>
          <cell r="F1246" t="str">
            <v>N/ App</v>
          </cell>
        </row>
        <row r="1247">
          <cell r="B1247" t="str">
            <v>FB260004778</v>
          </cell>
          <cell r="F1247" t="str">
            <v>N/ App</v>
          </cell>
        </row>
        <row r="1248">
          <cell r="B1248" t="str">
            <v>FB260004427</v>
          </cell>
          <cell r="F1248" t="str">
            <v>N/ App</v>
          </cell>
        </row>
        <row r="1249">
          <cell r="B1249" t="str">
            <v>FB260003014</v>
          </cell>
          <cell r="F1249" t="str">
            <v>N/ App</v>
          </cell>
        </row>
        <row r="1250">
          <cell r="B1250" t="str">
            <v>FB260006566</v>
          </cell>
          <cell r="F1250" t="str">
            <v>N/ App</v>
          </cell>
        </row>
        <row r="1251">
          <cell r="B1251" t="str">
            <v>FB260005249</v>
          </cell>
          <cell r="F1251" t="str">
            <v>N/ App</v>
          </cell>
        </row>
        <row r="1252">
          <cell r="B1252" t="str">
            <v>FB260004291</v>
          </cell>
          <cell r="F1252" t="str">
            <v>N/ App</v>
          </cell>
        </row>
        <row r="1253">
          <cell r="B1253" t="str">
            <v>FB260004124</v>
          </cell>
          <cell r="F1253" t="str">
            <v>N/ App</v>
          </cell>
        </row>
        <row r="1254">
          <cell r="B1254" t="str">
            <v>FB260004122</v>
          </cell>
          <cell r="F1254" t="str">
            <v>N/ App</v>
          </cell>
        </row>
        <row r="1255">
          <cell r="B1255" t="str">
            <v>FB260005527</v>
          </cell>
          <cell r="F1255" t="str">
            <v>N/ App</v>
          </cell>
        </row>
        <row r="1256">
          <cell r="B1256" t="str">
            <v>FB260005363</v>
          </cell>
          <cell r="F1256" t="str">
            <v>C/APP</v>
          </cell>
        </row>
        <row r="1257">
          <cell r="B1257" t="str">
            <v>FB260005322</v>
          </cell>
          <cell r="F1257" t="str">
            <v>N/ App</v>
          </cell>
        </row>
        <row r="1258">
          <cell r="B1258" t="str">
            <v>FB260006456</v>
          </cell>
          <cell r="F1258" t="str">
            <v>N/ App</v>
          </cell>
        </row>
        <row r="1259">
          <cell r="B1259" t="str">
            <v>FB260006199</v>
          </cell>
          <cell r="F1259" t="str">
            <v>N/ App</v>
          </cell>
        </row>
        <row r="1260">
          <cell r="B1260" t="str">
            <v>FB260005042</v>
          </cell>
          <cell r="F1260" t="str">
            <v>C/APP</v>
          </cell>
        </row>
        <row r="1261">
          <cell r="B1261" t="str">
            <v>FB260006568</v>
          </cell>
          <cell r="F1261" t="str">
            <v>N/ App</v>
          </cell>
        </row>
        <row r="1262">
          <cell r="B1262" t="str">
            <v>FB260006593</v>
          </cell>
          <cell r="F1262" t="str">
            <v>N/ App</v>
          </cell>
        </row>
        <row r="1263">
          <cell r="B1263" t="str">
            <v>FB260006575</v>
          </cell>
          <cell r="F1263" t="str">
            <v>N/ App</v>
          </cell>
        </row>
        <row r="1264">
          <cell r="B1264" t="str">
            <v>FB260003502</v>
          </cell>
          <cell r="F1264" t="str">
            <v>C/APP</v>
          </cell>
        </row>
        <row r="1265">
          <cell r="B1265" t="str">
            <v>FB260005326</v>
          </cell>
          <cell r="F1265" t="str">
            <v>N/ App</v>
          </cell>
        </row>
        <row r="1266">
          <cell r="B1266" t="str">
            <v>FB260004711</v>
          </cell>
          <cell r="F1266" t="str">
            <v>N/ App</v>
          </cell>
        </row>
        <row r="1267">
          <cell r="B1267" t="str">
            <v>FB260005043</v>
          </cell>
          <cell r="F1267" t="str">
            <v>N/ App</v>
          </cell>
        </row>
        <row r="1268">
          <cell r="B1268" t="str">
            <v>FB260003026</v>
          </cell>
          <cell r="F1268" t="str">
            <v>C/APP</v>
          </cell>
        </row>
        <row r="1269">
          <cell r="B1269" t="str">
            <v>FB260003972</v>
          </cell>
          <cell r="F1269" t="str">
            <v>N/ App</v>
          </cell>
        </row>
        <row r="1270">
          <cell r="B1270" t="str">
            <v>FB260005046</v>
          </cell>
          <cell r="F1270" t="str">
            <v>N/ App</v>
          </cell>
        </row>
        <row r="1271">
          <cell r="B1271" t="str">
            <v>FB260005259</v>
          </cell>
          <cell r="F1271" t="str">
            <v>C/APP</v>
          </cell>
        </row>
        <row r="1272">
          <cell r="B1272" t="str">
            <v>FB260005260</v>
          </cell>
          <cell r="F1272" t="str">
            <v>C/APP</v>
          </cell>
        </row>
        <row r="1273">
          <cell r="B1273" t="str">
            <v>FB260003604</v>
          </cell>
          <cell r="F1273" t="str">
            <v>N/ App</v>
          </cell>
        </row>
        <row r="1274">
          <cell r="B1274" t="str">
            <v>FB260005824</v>
          </cell>
          <cell r="F1274" t="str">
            <v>N/ App</v>
          </cell>
        </row>
        <row r="1275">
          <cell r="B1275" t="str">
            <v>FB260005775</v>
          </cell>
          <cell r="F1275" t="str">
            <v>N/ App</v>
          </cell>
        </row>
        <row r="1276">
          <cell r="B1276" t="str">
            <v>FB260005204</v>
          </cell>
          <cell r="F1276" t="str">
            <v>N/ App</v>
          </cell>
        </row>
        <row r="1277">
          <cell r="B1277" t="str">
            <v>FB260005652</v>
          </cell>
          <cell r="F1277" t="str">
            <v>N/ App</v>
          </cell>
        </row>
        <row r="1278">
          <cell r="B1278" t="str">
            <v>FB260005648</v>
          </cell>
          <cell r="F1278" t="str">
            <v>N/ App</v>
          </cell>
        </row>
        <row r="1279">
          <cell r="B1279" t="str">
            <v>FB260006262</v>
          </cell>
          <cell r="F1279" t="str">
            <v>N/ App</v>
          </cell>
        </row>
        <row r="1280">
          <cell r="B1280" t="str">
            <v>FB260006255</v>
          </cell>
          <cell r="F1280" t="str">
            <v>N/ App</v>
          </cell>
        </row>
        <row r="1281">
          <cell r="B1281" t="str">
            <v>FB260003691</v>
          </cell>
          <cell r="F1281" t="str">
            <v>N/ App</v>
          </cell>
        </row>
        <row r="1282">
          <cell r="B1282" t="str">
            <v>FB260003566</v>
          </cell>
          <cell r="F1282" t="str">
            <v>C/APP</v>
          </cell>
        </row>
        <row r="1283">
          <cell r="B1283" t="str">
            <v>FB260003593</v>
          </cell>
          <cell r="F1283" t="str">
            <v>N/ App</v>
          </cell>
        </row>
        <row r="1284">
          <cell r="B1284" t="str">
            <v>FB260003598</v>
          </cell>
          <cell r="F1284" t="str">
            <v>N/ App</v>
          </cell>
        </row>
        <row r="1285">
          <cell r="B1285" t="str">
            <v>FB260003559</v>
          </cell>
          <cell r="F1285" t="str">
            <v>N/ App</v>
          </cell>
        </row>
        <row r="1286">
          <cell r="B1286" t="str">
            <v>FB260003558</v>
          </cell>
          <cell r="F1286" t="str">
            <v>N/ App</v>
          </cell>
        </row>
        <row r="1287">
          <cell r="B1287" t="str">
            <v>FB260003882</v>
          </cell>
          <cell r="F1287" t="str">
            <v>C/APP</v>
          </cell>
        </row>
        <row r="1288">
          <cell r="B1288" t="str">
            <v>FB260004536</v>
          </cell>
          <cell r="F1288" t="str">
            <v>N/ App</v>
          </cell>
        </row>
        <row r="1289">
          <cell r="B1289" t="str">
            <v>FB260006079</v>
          </cell>
          <cell r="F1289" t="str">
            <v>N/ App</v>
          </cell>
        </row>
        <row r="1290">
          <cell r="B1290" t="str">
            <v>FB260004713</v>
          </cell>
          <cell r="F1290" t="str">
            <v>N/ App</v>
          </cell>
        </row>
        <row r="1291">
          <cell r="B1291" t="str">
            <v>FB260004138</v>
          </cell>
          <cell r="F1291" t="str">
            <v>C/APP</v>
          </cell>
        </row>
        <row r="1292">
          <cell r="B1292" t="str">
            <v>FB260004292</v>
          </cell>
          <cell r="F1292" t="str">
            <v>N/ App</v>
          </cell>
        </row>
        <row r="1293">
          <cell r="B1293" t="str">
            <v>FB260005417</v>
          </cell>
          <cell r="F1293" t="str">
            <v>C/APP</v>
          </cell>
        </row>
        <row r="1294">
          <cell r="B1294" t="str">
            <v>FB260003009</v>
          </cell>
          <cell r="F1294" t="str">
            <v>C/APP</v>
          </cell>
        </row>
        <row r="1295">
          <cell r="B1295" t="str">
            <v>FR260000142</v>
          </cell>
          <cell r="F1295" t="str">
            <v>C/APP</v>
          </cell>
        </row>
        <row r="1296">
          <cell r="B1296" t="str">
            <v>FB260003139</v>
          </cell>
          <cell r="F1296" t="str">
            <v>N/ App</v>
          </cell>
        </row>
        <row r="1297">
          <cell r="B1297" t="str">
            <v>FB260005286</v>
          </cell>
          <cell r="F1297" t="str">
            <v>N/ App</v>
          </cell>
        </row>
        <row r="1298">
          <cell r="B1298" t="str">
            <v>FB260004431</v>
          </cell>
          <cell r="F1298" t="str">
            <v>N/ App</v>
          </cell>
        </row>
        <row r="1299">
          <cell r="B1299" t="str">
            <v>FB260005284</v>
          </cell>
          <cell r="F1299" t="str">
            <v>N/ App</v>
          </cell>
        </row>
        <row r="1300">
          <cell r="B1300" t="str">
            <v>FB260004308</v>
          </cell>
          <cell r="F1300" t="str">
            <v>N/ App</v>
          </cell>
        </row>
        <row r="1301">
          <cell r="B1301" t="str">
            <v>FB260006459</v>
          </cell>
          <cell r="F1301" t="str">
            <v>C/APP</v>
          </cell>
        </row>
        <row r="1302">
          <cell r="B1302" t="str">
            <v>FB260005522</v>
          </cell>
          <cell r="F1302" t="str">
            <v>N/ App</v>
          </cell>
        </row>
        <row r="1303">
          <cell r="B1303" t="str">
            <v>FB260005310</v>
          </cell>
          <cell r="F1303" t="str">
            <v>N/ App</v>
          </cell>
        </row>
        <row r="1304">
          <cell r="B1304" t="str">
            <v>FB260006502</v>
          </cell>
          <cell r="F1304" t="str">
            <v>C/APP</v>
          </cell>
        </row>
        <row r="1305">
          <cell r="B1305" t="str">
            <v>FB260006504</v>
          </cell>
          <cell r="F1305" t="str">
            <v>C/APP</v>
          </cell>
        </row>
        <row r="1306">
          <cell r="B1306" t="str">
            <v>FB260006458</v>
          </cell>
          <cell r="F1306" t="str">
            <v>N/ App</v>
          </cell>
        </row>
        <row r="1307">
          <cell r="B1307" t="str">
            <v>FB260006583</v>
          </cell>
          <cell r="F1307" t="str">
            <v>N/ App</v>
          </cell>
        </row>
        <row r="1308">
          <cell r="B1308" t="str">
            <v>FB260006579</v>
          </cell>
          <cell r="F1308" t="str">
            <v>N/ App</v>
          </cell>
        </row>
        <row r="1309">
          <cell r="B1309" t="str">
            <v>FB260003804</v>
          </cell>
          <cell r="F1309" t="str">
            <v>N/ App</v>
          </cell>
        </row>
        <row r="1310">
          <cell r="B1310" t="str">
            <v>FB260004672</v>
          </cell>
          <cell r="F1310" t="str">
            <v>N/ App</v>
          </cell>
        </row>
        <row r="1311">
          <cell r="B1311" t="str">
            <v>FB260004669</v>
          </cell>
          <cell r="F1311" t="str">
            <v>N/ App</v>
          </cell>
        </row>
        <row r="1312">
          <cell r="B1312" t="str">
            <v>FB260006639</v>
          </cell>
          <cell r="F1312" t="str">
            <v>N/ App</v>
          </cell>
        </row>
        <row r="1313">
          <cell r="B1313" t="str">
            <v>FB260005827</v>
          </cell>
          <cell r="F1313" t="str">
            <v>N/ App</v>
          </cell>
        </row>
        <row r="1314">
          <cell r="B1314" t="str">
            <v>FB260005165</v>
          </cell>
          <cell r="F1314" t="str">
            <v>N/ App</v>
          </cell>
        </row>
        <row r="1315">
          <cell r="B1315" t="str">
            <v>FB260005164</v>
          </cell>
          <cell r="F1315" t="str">
            <v>N/ App</v>
          </cell>
        </row>
        <row r="1316">
          <cell r="B1316" t="str">
            <v>FB260003010</v>
          </cell>
          <cell r="F1316" t="str">
            <v>N/ App</v>
          </cell>
        </row>
        <row r="1317">
          <cell r="B1317" t="str">
            <v>FB260004113</v>
          </cell>
          <cell r="F1317" t="str">
            <v>N/ App</v>
          </cell>
        </row>
        <row r="1318">
          <cell r="B1318" t="str">
            <v>FR260000143</v>
          </cell>
          <cell r="F1318" t="str">
            <v>C/APP</v>
          </cell>
        </row>
        <row r="1319">
          <cell r="B1319" t="str">
            <v>FB260006370</v>
          </cell>
          <cell r="F1319" t="str">
            <v>N/ App</v>
          </cell>
        </row>
        <row r="1320">
          <cell r="B1320" t="str">
            <v>FB260004112</v>
          </cell>
          <cell r="F1320" t="str">
            <v>N/ App</v>
          </cell>
        </row>
        <row r="1321">
          <cell r="B1321" t="str">
            <v>FB260004110</v>
          </cell>
          <cell r="F1321" t="str">
            <v>N/ App</v>
          </cell>
        </row>
        <row r="1322">
          <cell r="B1322" t="str">
            <v>FB260005167</v>
          </cell>
          <cell r="F1322" t="str">
            <v>N/ App</v>
          </cell>
        </row>
        <row r="1323">
          <cell r="B1323" t="str">
            <v>FB260005304</v>
          </cell>
          <cell r="F1323" t="str">
            <v>N/ App</v>
          </cell>
        </row>
        <row r="1324">
          <cell r="B1324" t="str">
            <v>FB260005303</v>
          </cell>
          <cell r="F1324" t="str">
            <v>N/ App</v>
          </cell>
        </row>
        <row r="1325">
          <cell r="B1325" t="str">
            <v>FB260006658</v>
          </cell>
          <cell r="F1325" t="str">
            <v>N/ App</v>
          </cell>
        </row>
        <row r="1326">
          <cell r="B1326" t="str">
            <v>FB260003803</v>
          </cell>
          <cell r="F1326" t="str">
            <v>N/ App</v>
          </cell>
        </row>
        <row r="1327">
          <cell r="B1327" t="str">
            <v>FB250029078</v>
          </cell>
          <cell r="F1327" t="str">
            <v>C/APP</v>
          </cell>
        </row>
        <row r="1328">
          <cell r="B1328" t="str">
            <v>FB260006289</v>
          </cell>
          <cell r="F1328" t="str">
            <v>N/ App</v>
          </cell>
        </row>
        <row r="1329">
          <cell r="B1329" t="str">
            <v>FB260005393</v>
          </cell>
          <cell r="F1329" t="str">
            <v>N/ App</v>
          </cell>
        </row>
        <row r="1330">
          <cell r="B1330" t="str">
            <v>FB260006636</v>
          </cell>
          <cell r="F1330" t="str">
            <v>N/ App</v>
          </cell>
        </row>
        <row r="1331">
          <cell r="B1331" t="str">
            <v>FB260005380</v>
          </cell>
          <cell r="F1331" t="str">
            <v>N/ App</v>
          </cell>
        </row>
        <row r="1332">
          <cell r="B1332" t="str">
            <v>FB260004687</v>
          </cell>
          <cell r="F1332" t="str">
            <v>N/ App</v>
          </cell>
        </row>
        <row r="1333">
          <cell r="B1333" t="str">
            <v>FB260005166</v>
          </cell>
          <cell r="F1333" t="str">
            <v>C/APP</v>
          </cell>
        </row>
        <row r="1334">
          <cell r="B1334" t="str">
            <v>FB260006500</v>
          </cell>
          <cell r="F1334" t="str">
            <v>N/ App</v>
          </cell>
        </row>
        <row r="1335">
          <cell r="B1335" t="str">
            <v>FR260000151</v>
          </cell>
          <cell r="F1335" t="str">
            <v>N/ App</v>
          </cell>
        </row>
        <row r="1336">
          <cell r="B1336" t="str">
            <v>FB260006578</v>
          </cell>
          <cell r="F1336" t="str">
            <v>N/ App</v>
          </cell>
        </row>
        <row r="1337">
          <cell r="B1337" t="str">
            <v>FB260006594</v>
          </cell>
          <cell r="F1337" t="str">
            <v>N/ App</v>
          </cell>
        </row>
        <row r="1338">
          <cell r="B1338" t="str">
            <v>FB260005158</v>
          </cell>
          <cell r="F1338" t="str">
            <v>N/ App</v>
          </cell>
        </row>
        <row r="1339">
          <cell r="B1339" t="str">
            <v>FB260002992</v>
          </cell>
          <cell r="F1339" t="str">
            <v>N/ App</v>
          </cell>
        </row>
        <row r="1340">
          <cell r="B1340" t="str">
            <v>FB260002993</v>
          </cell>
          <cell r="F1340" t="str">
            <v>N/ App</v>
          </cell>
        </row>
        <row r="1341">
          <cell r="B1341" t="str">
            <v>FB260005379</v>
          </cell>
          <cell r="F1341" t="str">
            <v>N/ App</v>
          </cell>
        </row>
        <row r="1342">
          <cell r="B1342" t="str">
            <v>FB260005308</v>
          </cell>
          <cell r="F1342" t="str">
            <v>N/ App</v>
          </cell>
        </row>
        <row r="1343">
          <cell r="B1343" t="str">
            <v>FB260004177</v>
          </cell>
          <cell r="F1343" t="str">
            <v>N/ App</v>
          </cell>
        </row>
        <row r="1344">
          <cell r="B1344" t="str">
            <v>FB260006505</v>
          </cell>
          <cell r="F1344" t="str">
            <v>C/APP</v>
          </cell>
        </row>
        <row r="1345">
          <cell r="B1345" t="str">
            <v>FB260005651</v>
          </cell>
          <cell r="F1345" t="str">
            <v>N/ App</v>
          </cell>
        </row>
        <row r="1346">
          <cell r="B1346" t="str">
            <v>FB260004252</v>
          </cell>
          <cell r="F1346" t="str">
            <v>N/ App</v>
          </cell>
        </row>
        <row r="1347">
          <cell r="B1347" t="str">
            <v>FB260004269</v>
          </cell>
          <cell r="F1347" t="str">
            <v>N/ App</v>
          </cell>
        </row>
        <row r="1348">
          <cell r="B1348" t="str">
            <v>FB260004864</v>
          </cell>
          <cell r="F1348" t="str">
            <v>N/ App</v>
          </cell>
        </row>
        <row r="1349">
          <cell r="B1349" t="str">
            <v>FB260005642</v>
          </cell>
          <cell r="F1349" t="str">
            <v>N/ App</v>
          </cell>
        </row>
        <row r="1350">
          <cell r="B1350" t="str">
            <v>FB260005061</v>
          </cell>
          <cell r="F1350" t="str">
            <v>N/ App</v>
          </cell>
        </row>
        <row r="1351">
          <cell r="B1351" t="str">
            <v>FB260005786</v>
          </cell>
          <cell r="F1351" t="str">
            <v>N/ App</v>
          </cell>
        </row>
        <row r="1352">
          <cell r="B1352" t="str">
            <v>FB260005060</v>
          </cell>
          <cell r="F1352" t="str">
            <v>N/ App</v>
          </cell>
        </row>
        <row r="1353">
          <cell r="B1353" t="str">
            <v>FB260004403</v>
          </cell>
          <cell r="F1353" t="str">
            <v>C/APP</v>
          </cell>
        </row>
        <row r="1354">
          <cell r="B1354" t="str">
            <v>FB260006271</v>
          </cell>
          <cell r="F1354" t="str">
            <v>C/APP</v>
          </cell>
        </row>
        <row r="1355">
          <cell r="B1355" t="str">
            <v>FB260004501</v>
          </cell>
          <cell r="F1355" t="str">
            <v>N/ App</v>
          </cell>
        </row>
        <row r="1356">
          <cell r="B1356" t="str">
            <v>FB260004539</v>
          </cell>
          <cell r="F1356" t="str">
            <v>N/ App</v>
          </cell>
        </row>
        <row r="1357">
          <cell r="B1357" t="str">
            <v>FB260005070</v>
          </cell>
          <cell r="F1357" t="str">
            <v>N/ App</v>
          </cell>
        </row>
        <row r="1358">
          <cell r="B1358" t="str">
            <v>FB260005777</v>
          </cell>
          <cell r="F1358" t="str">
            <v>N/ App</v>
          </cell>
        </row>
        <row r="1359">
          <cell r="B1359" t="str">
            <v>FB260003589</v>
          </cell>
          <cell r="F1359" t="str">
            <v>N/ App</v>
          </cell>
        </row>
        <row r="1360">
          <cell r="B1360" t="str">
            <v>FB260004435</v>
          </cell>
          <cell r="F1360" t="str">
            <v>N/ App</v>
          </cell>
        </row>
        <row r="1361">
          <cell r="B1361" t="str">
            <v>FB260005752</v>
          </cell>
          <cell r="F1361" t="str">
            <v>C/APP</v>
          </cell>
        </row>
        <row r="1362">
          <cell r="B1362" t="str">
            <v>FB260006571</v>
          </cell>
          <cell r="F1362" t="str">
            <v>N/ App</v>
          </cell>
        </row>
        <row r="1363">
          <cell r="B1363" t="str">
            <v>FB260006577</v>
          </cell>
          <cell r="F1363" t="str">
            <v>N/ App</v>
          </cell>
        </row>
        <row r="1364">
          <cell r="B1364" t="str">
            <v>FB260005939</v>
          </cell>
          <cell r="F1364" t="str">
            <v>N/ App</v>
          </cell>
        </row>
        <row r="1365">
          <cell r="B1365" t="str">
            <v>FB260006562</v>
          </cell>
          <cell r="F1365" t="str">
            <v>N/ App</v>
          </cell>
        </row>
        <row r="1366">
          <cell r="B1366" t="str">
            <v>FB260004178</v>
          </cell>
          <cell r="F1366" t="str">
            <v>N/ App</v>
          </cell>
        </row>
        <row r="1367">
          <cell r="B1367" t="str">
            <v>FB260006581</v>
          </cell>
          <cell r="F1367" t="str">
            <v>N/ App</v>
          </cell>
        </row>
        <row r="1368">
          <cell r="B1368" t="str">
            <v>FB260005514</v>
          </cell>
          <cell r="F1368" t="str">
            <v>REJECT</v>
          </cell>
        </row>
        <row r="1369">
          <cell r="B1369" t="str">
            <v>FB260001947</v>
          </cell>
          <cell r="F1369" t="str">
            <v>REJECT</v>
          </cell>
        </row>
        <row r="1370">
          <cell r="B1370" t="str">
            <v>FB260004858</v>
          </cell>
          <cell r="F1370" t="str">
            <v>C/APP</v>
          </cell>
        </row>
        <row r="1371">
          <cell r="B1371" t="str">
            <v>FB260004400</v>
          </cell>
          <cell r="F1371" t="str">
            <v>C/APP</v>
          </cell>
        </row>
        <row r="1372">
          <cell r="B1372" t="str">
            <v>FB260005977</v>
          </cell>
          <cell r="F1372" t="str">
            <v>C/APP</v>
          </cell>
        </row>
        <row r="1373">
          <cell r="B1373" t="str">
            <v>FB260005688</v>
          </cell>
          <cell r="F1373" t="str">
            <v>C/APP</v>
          </cell>
        </row>
        <row r="1374">
          <cell r="B1374" t="str">
            <v>FB260005988</v>
          </cell>
          <cell r="F1374" t="str">
            <v>N/ App</v>
          </cell>
        </row>
        <row r="1375">
          <cell r="B1375" t="str">
            <v>FB260005045</v>
          </cell>
          <cell r="F1375" t="str">
            <v>N/ App</v>
          </cell>
        </row>
        <row r="1376">
          <cell r="B1376" t="str">
            <v>FB260004428</v>
          </cell>
          <cell r="F1376" t="str">
            <v>N/ App</v>
          </cell>
        </row>
        <row r="1377">
          <cell r="B1377" t="str">
            <v>FB260004423</v>
          </cell>
          <cell r="F1377" t="str">
            <v>N/ App</v>
          </cell>
        </row>
        <row r="1378">
          <cell r="B1378" t="str">
            <v>FB260003600</v>
          </cell>
          <cell r="F1378" t="str">
            <v>N/ App</v>
          </cell>
        </row>
        <row r="1379">
          <cell r="B1379" t="str">
            <v>FB260002760</v>
          </cell>
          <cell r="F1379" t="str">
            <v>N/ App</v>
          </cell>
        </row>
        <row r="1380">
          <cell r="B1380" t="str">
            <v>FB260002750</v>
          </cell>
          <cell r="F1380" t="str">
            <v>N/ App</v>
          </cell>
        </row>
        <row r="1381">
          <cell r="B1381" t="str">
            <v>FB260005933</v>
          </cell>
          <cell r="F1381" t="str">
            <v>C/APP</v>
          </cell>
        </row>
        <row r="1382">
          <cell r="B1382" t="str">
            <v>FB260004158</v>
          </cell>
          <cell r="F1382" t="str">
            <v>N/ App</v>
          </cell>
        </row>
        <row r="1383">
          <cell r="B1383" t="str">
            <v>FB260004859</v>
          </cell>
          <cell r="F1383" t="str">
            <v>N/ App</v>
          </cell>
        </row>
        <row r="1384">
          <cell r="B1384" t="str">
            <v>FB260006635</v>
          </cell>
          <cell r="F1384" t="str">
            <v>C/APP</v>
          </cell>
        </row>
        <row r="1385">
          <cell r="B1385" t="str">
            <v>FB260006502</v>
          </cell>
          <cell r="F1385" t="str">
            <v>C/APP</v>
          </cell>
        </row>
        <row r="1386">
          <cell r="B1386" t="str">
            <v>FB260006693</v>
          </cell>
          <cell r="F1386" t="str">
            <v>N/ App</v>
          </cell>
        </row>
        <row r="1387">
          <cell r="B1387" t="str">
            <v>FB260004696</v>
          </cell>
          <cell r="F1387" t="str">
            <v>N/ App</v>
          </cell>
        </row>
        <row r="1388">
          <cell r="B1388" t="str">
            <v>FB260006644</v>
          </cell>
          <cell r="F1388" t="str">
            <v>C/APP</v>
          </cell>
        </row>
        <row r="1389">
          <cell r="B1389" t="str">
            <v>FB260006640</v>
          </cell>
          <cell r="F1389" t="str">
            <v>C/APP</v>
          </cell>
        </row>
        <row r="1390">
          <cell r="B1390" t="str">
            <v>FB250028961</v>
          </cell>
          <cell r="F1390" t="str">
            <v>N/ App</v>
          </cell>
        </row>
        <row r="1391">
          <cell r="B1391" t="str">
            <v>FB250028960</v>
          </cell>
          <cell r="F1391" t="str">
            <v>C/APP</v>
          </cell>
        </row>
        <row r="1392">
          <cell r="B1392" t="str">
            <v>FB260003940</v>
          </cell>
          <cell r="F1392" t="str">
            <v>C/APP</v>
          </cell>
        </row>
        <row r="1393">
          <cell r="B1393" t="str">
            <v>FB260005404</v>
          </cell>
          <cell r="F1393" t="str">
            <v>C/APP</v>
          </cell>
        </row>
        <row r="1394">
          <cell r="B1394" t="str">
            <v>FB260005407</v>
          </cell>
          <cell r="F1394" t="str">
            <v>C/APP</v>
          </cell>
        </row>
        <row r="1395">
          <cell r="B1395" t="str">
            <v>FB260005405</v>
          </cell>
          <cell r="F1395" t="str">
            <v>C/APP</v>
          </cell>
        </row>
        <row r="1396">
          <cell r="B1396" t="str">
            <v>FB260004751</v>
          </cell>
          <cell r="F1396" t="str">
            <v>C/APP</v>
          </cell>
        </row>
        <row r="1397">
          <cell r="B1397" t="str">
            <v>FB250028962</v>
          </cell>
          <cell r="F1397" t="str">
            <v>C/APP</v>
          </cell>
        </row>
        <row r="1398">
          <cell r="B1398" t="str">
            <v>FB260002758</v>
          </cell>
          <cell r="F1398" t="str">
            <v>C/APP</v>
          </cell>
        </row>
        <row r="1399">
          <cell r="B1399" t="str">
            <v>FB260002774</v>
          </cell>
          <cell r="F1399" t="str">
            <v>C/APP</v>
          </cell>
        </row>
        <row r="1400">
          <cell r="B1400" t="str">
            <v>FB260003325</v>
          </cell>
          <cell r="F1400" t="str">
            <v>N/ App</v>
          </cell>
        </row>
        <row r="1401">
          <cell r="B1401" t="str">
            <v>FB260000792</v>
          </cell>
          <cell r="F1401" t="str">
            <v>N/ App</v>
          </cell>
        </row>
        <row r="1402">
          <cell r="B1402" t="str">
            <v>FB260003326</v>
          </cell>
          <cell r="F1402" t="str">
            <v>N/ App</v>
          </cell>
        </row>
        <row r="1403">
          <cell r="B1403" t="str">
            <v>FB260006668</v>
          </cell>
          <cell r="F1403" t="str">
            <v>C/APP</v>
          </cell>
        </row>
        <row r="1404">
          <cell r="B1404" t="str">
            <v>FB260006634</v>
          </cell>
          <cell r="F1404" t="str">
            <v>C/APP</v>
          </cell>
        </row>
        <row r="1405">
          <cell r="B1405" t="str">
            <v>FB260004861</v>
          </cell>
          <cell r="F1405" t="str">
            <v>C/APP</v>
          </cell>
        </row>
        <row r="1406">
          <cell r="B1406" t="str">
            <v>FB260005797</v>
          </cell>
          <cell r="F1406" t="str">
            <v>N/ App</v>
          </cell>
        </row>
        <row r="1407">
          <cell r="B1407" t="str">
            <v>FB260004499</v>
          </cell>
          <cell r="F1407" t="str">
            <v>N/ App</v>
          </cell>
        </row>
        <row r="1408">
          <cell r="B1408" t="str">
            <v>FB260005646</v>
          </cell>
          <cell r="F1408" t="str">
            <v>N/ App</v>
          </cell>
        </row>
        <row r="1409">
          <cell r="B1409" t="str">
            <v>FB260006637</v>
          </cell>
          <cell r="F1409" t="str">
            <v>C/APP</v>
          </cell>
        </row>
        <row r="1410">
          <cell r="B1410" t="str">
            <v>FB260004201</v>
          </cell>
          <cell r="F1410" t="str">
            <v>C/APP</v>
          </cell>
        </row>
        <row r="1411">
          <cell r="B1411" t="str">
            <v>FB260006698</v>
          </cell>
          <cell r="F1411" t="str">
            <v>C/APP</v>
          </cell>
        </row>
        <row r="1412">
          <cell r="B1412" t="str">
            <v>FB260004498</v>
          </cell>
          <cell r="F1412" t="str">
            <v>C/APP</v>
          </cell>
        </row>
        <row r="1413">
          <cell r="B1413" t="str">
            <v>FB260006587</v>
          </cell>
          <cell r="F1413" t="str">
            <v>N/ App</v>
          </cell>
        </row>
        <row r="1414">
          <cell r="B1414" t="str">
            <v>FB260006590</v>
          </cell>
          <cell r="F1414" t="str">
            <v>N/ App</v>
          </cell>
        </row>
        <row r="1415">
          <cell r="B1415" t="str">
            <v>FB260006695</v>
          </cell>
          <cell r="F1415" t="str">
            <v>N/ App</v>
          </cell>
        </row>
        <row r="1416">
          <cell r="B1416" t="str">
            <v>FB260004511</v>
          </cell>
          <cell r="F1416" t="str">
            <v>N/ App</v>
          </cell>
        </row>
        <row r="1417">
          <cell r="B1417" t="str">
            <v>FB260004290</v>
          </cell>
          <cell r="F1417" t="str">
            <v>N/ App</v>
          </cell>
        </row>
        <row r="1418">
          <cell r="B1418" t="str">
            <v>FB260005749</v>
          </cell>
          <cell r="F1418" t="str">
            <v>C/APP</v>
          </cell>
        </row>
        <row r="1419">
          <cell r="B1419" t="str">
            <v>FB260004994</v>
          </cell>
          <cell r="F1419" t="str">
            <v>C/APP</v>
          </cell>
        </row>
        <row r="1420">
          <cell r="B1420" t="str">
            <v>FB260004439</v>
          </cell>
          <cell r="F1420" t="str">
            <v>N/ App</v>
          </cell>
        </row>
        <row r="1421">
          <cell r="B1421" t="str">
            <v>FB260006529</v>
          </cell>
          <cell r="F1421" t="str">
            <v>N/ App</v>
          </cell>
        </row>
        <row r="1422">
          <cell r="B1422" t="str">
            <v>FB260004505</v>
          </cell>
          <cell r="F1422" t="str">
            <v>N/ App</v>
          </cell>
        </row>
        <row r="1423">
          <cell r="B1423" t="str">
            <v>FB260006697</v>
          </cell>
          <cell r="F1423" t="str">
            <v>C/APP</v>
          </cell>
        </row>
        <row r="1424">
          <cell r="B1424" t="str">
            <v>FB260006718</v>
          </cell>
          <cell r="F1424" t="str">
            <v>C/APP</v>
          </cell>
        </row>
        <row r="1425">
          <cell r="B1425" t="str">
            <v>FB260006719</v>
          </cell>
          <cell r="F1425" t="str">
            <v>C/APP</v>
          </cell>
        </row>
        <row r="1426">
          <cell r="B1426" t="str">
            <v>FB260006733</v>
          </cell>
          <cell r="F1426" t="str">
            <v>N/ App</v>
          </cell>
        </row>
        <row r="1427">
          <cell r="B1427" t="str">
            <v>FB260003587</v>
          </cell>
          <cell r="F1427" t="str">
            <v>C/APP</v>
          </cell>
        </row>
        <row r="1428">
          <cell r="B1428" t="str">
            <v>FB250029055</v>
          </cell>
          <cell r="F1428" t="str">
            <v>C/APP</v>
          </cell>
        </row>
        <row r="1429">
          <cell r="B1429" t="str">
            <v>FB260006756</v>
          </cell>
          <cell r="F1429" t="str">
            <v>C/APP</v>
          </cell>
        </row>
        <row r="1430">
          <cell r="B1430" t="str">
            <v>FB260006757</v>
          </cell>
          <cell r="F1430" t="str">
            <v>C/APP</v>
          </cell>
        </row>
        <row r="1431">
          <cell r="B1431" t="str">
            <v>FB260006758</v>
          </cell>
          <cell r="F1431" t="str">
            <v>C/APP</v>
          </cell>
        </row>
        <row r="1432">
          <cell r="B1432" t="str">
            <v>FB260004995</v>
          </cell>
          <cell r="F1432" t="str">
            <v>C/APP</v>
          </cell>
        </row>
        <row r="1433">
          <cell r="B1433" t="str">
            <v>FB260006504</v>
          </cell>
          <cell r="F1433" t="str">
            <v>C/APP</v>
          </cell>
        </row>
        <row r="1434">
          <cell r="B1434" t="str">
            <v>FB250029056</v>
          </cell>
          <cell r="F1434" t="str">
            <v>N/ App</v>
          </cell>
        </row>
        <row r="1435">
          <cell r="B1435" t="str">
            <v>FB250029057</v>
          </cell>
          <cell r="F1435" t="str">
            <v>N/ App</v>
          </cell>
        </row>
        <row r="1436">
          <cell r="B1436" t="str">
            <v>FR260000156</v>
          </cell>
          <cell r="F1436" t="str">
            <v>N/ App</v>
          </cell>
        </row>
        <row r="1437">
          <cell r="B1437" t="str">
            <v>FR260000155</v>
          </cell>
          <cell r="F1437" t="str">
            <v>N/ App</v>
          </cell>
        </row>
        <row r="1438">
          <cell r="B1438" t="str">
            <v>FB250029113</v>
          </cell>
          <cell r="F1438" t="str">
            <v>N/ App</v>
          </cell>
        </row>
        <row r="1439">
          <cell r="B1439" t="str">
            <v>FB250029112</v>
          </cell>
          <cell r="F1439" t="str">
            <v>N/ App</v>
          </cell>
        </row>
        <row r="1440">
          <cell r="B1440" t="str">
            <v>FB260003949</v>
          </cell>
          <cell r="F1440" t="str">
            <v>N/ App</v>
          </cell>
        </row>
        <row r="1441">
          <cell r="B1441" t="str">
            <v>FB260005288</v>
          </cell>
          <cell r="F1441" t="str">
            <v>N/ App</v>
          </cell>
        </row>
        <row r="1442">
          <cell r="B1442" t="str">
            <v>FB260005282</v>
          </cell>
          <cell r="F1442" t="str">
            <v>N/ App</v>
          </cell>
        </row>
        <row r="1443">
          <cell r="B1443" t="str">
            <v>FB260003797</v>
          </cell>
          <cell r="F1443" t="str">
            <v>N/ App</v>
          </cell>
        </row>
        <row r="1444">
          <cell r="B1444" t="str">
            <v>FB260003339</v>
          </cell>
          <cell r="F1444" t="str">
            <v>C/APP</v>
          </cell>
        </row>
        <row r="1445">
          <cell r="B1445" t="str">
            <v>FB260004369</v>
          </cell>
          <cell r="F1445" t="str">
            <v>N/ App</v>
          </cell>
        </row>
        <row r="1446">
          <cell r="B1446" t="str">
            <v>FB260006282</v>
          </cell>
          <cell r="F1446" t="str">
            <v>N/ App</v>
          </cell>
        </row>
        <row r="1447">
          <cell r="B1447" t="str">
            <v>FB260004998</v>
          </cell>
          <cell r="F1447" t="str">
            <v>C/APP</v>
          </cell>
        </row>
        <row r="1448">
          <cell r="B1448" t="str">
            <v>FB260004996</v>
          </cell>
          <cell r="F1448" t="str">
            <v>C/APP</v>
          </cell>
        </row>
        <row r="1449">
          <cell r="B1449" t="str">
            <v>FB260003950</v>
          </cell>
          <cell r="F1449" t="str">
            <v>N/ App</v>
          </cell>
        </row>
        <row r="1450">
          <cell r="B1450" t="str">
            <v>FB260006168</v>
          </cell>
          <cell r="F1450" t="str">
            <v>C/APP</v>
          </cell>
        </row>
        <row r="1451">
          <cell r="B1451" t="str">
            <v>FB260006124</v>
          </cell>
          <cell r="F1451" t="str">
            <v>C/APP</v>
          </cell>
        </row>
        <row r="1452">
          <cell r="B1452" t="str">
            <v>FB260006638</v>
          </cell>
          <cell r="F1452" t="str">
            <v>N/ App</v>
          </cell>
        </row>
        <row r="1453">
          <cell r="B1453" t="str">
            <v>FB260005686</v>
          </cell>
          <cell r="F1453" t="str">
            <v>N/ App</v>
          </cell>
        </row>
        <row r="1454">
          <cell r="B1454" t="str">
            <v>FB260006469</v>
          </cell>
          <cell r="F1454" t="str">
            <v>N/ App</v>
          </cell>
        </row>
        <row r="1455">
          <cell r="B1455" t="str">
            <v>FB260005880</v>
          </cell>
          <cell r="F1455" t="str">
            <v>C/APP</v>
          </cell>
        </row>
        <row r="1456">
          <cell r="B1456" t="str">
            <v>FB260004495</v>
          </cell>
          <cell r="F1456" t="str">
            <v>N/ App</v>
          </cell>
        </row>
        <row r="1457">
          <cell r="B1457" t="str">
            <v>FB260005789</v>
          </cell>
          <cell r="F1457" t="str">
            <v>N/ App</v>
          </cell>
        </row>
        <row r="1458">
          <cell r="B1458" t="str">
            <v>FB260004294</v>
          </cell>
          <cell r="F1458" t="str">
            <v>C/APP</v>
          </cell>
        </row>
        <row r="1459">
          <cell r="B1459" t="str">
            <v>FB260004419</v>
          </cell>
          <cell r="F1459" t="str">
            <v>N/ App</v>
          </cell>
        </row>
        <row r="1460">
          <cell r="B1460" t="str">
            <v>FB260006089</v>
          </cell>
          <cell r="F1460" t="str">
            <v>N/ App</v>
          </cell>
        </row>
        <row r="1461">
          <cell r="B1461" t="str">
            <v>FB260006445</v>
          </cell>
          <cell r="F1461" t="str">
            <v>N/ App</v>
          </cell>
        </row>
        <row r="1462">
          <cell r="B1462" t="str">
            <v>FR260000162</v>
          </cell>
          <cell r="F1462" t="str">
            <v>N/ App</v>
          </cell>
        </row>
        <row r="1463">
          <cell r="B1463" t="str">
            <v>FR260000161</v>
          </cell>
          <cell r="F1463" t="str">
            <v>N/ App</v>
          </cell>
        </row>
        <row r="1464">
          <cell r="B1464" t="str">
            <v>FB260004325</v>
          </cell>
          <cell r="F1464" t="str">
            <v>N/ App</v>
          </cell>
        </row>
        <row r="1465">
          <cell r="B1465" t="str">
            <v>FB260006094</v>
          </cell>
          <cell r="F1465" t="str">
            <v>C/APP</v>
          </cell>
        </row>
        <row r="1466">
          <cell r="B1466" t="str">
            <v>FB260006091</v>
          </cell>
          <cell r="F1466" t="str">
            <v>C/APP</v>
          </cell>
        </row>
        <row r="1467">
          <cell r="B1467" t="str">
            <v>FB260006716</v>
          </cell>
          <cell r="F1467" t="str">
            <v>C/APP</v>
          </cell>
        </row>
        <row r="1468">
          <cell r="B1468" t="str">
            <v>FB260006720</v>
          </cell>
          <cell r="F1468" t="str">
            <v>N/ App</v>
          </cell>
        </row>
        <row r="1469">
          <cell r="B1469" t="str">
            <v>FB260000012</v>
          </cell>
          <cell r="F1469" t="str">
            <v>N/ App</v>
          </cell>
        </row>
        <row r="1470">
          <cell r="B1470" t="str">
            <v>FB260006205</v>
          </cell>
          <cell r="F1470" t="str">
            <v>N/ App</v>
          </cell>
        </row>
        <row r="1471">
          <cell r="B1471" t="str">
            <v>FB260006299</v>
          </cell>
          <cell r="F1471" t="str">
            <v>N/ App</v>
          </cell>
        </row>
        <row r="1472">
          <cell r="B1472" t="str">
            <v>FB260005885</v>
          </cell>
          <cell r="F1472" t="str">
            <v>N/ App</v>
          </cell>
        </row>
        <row r="1473">
          <cell r="B1473" t="str">
            <v>FB260003800</v>
          </cell>
          <cell r="F1473" t="str">
            <v>N/ App</v>
          </cell>
        </row>
        <row r="1474">
          <cell r="B1474" t="str">
            <v>FB260005372</v>
          </cell>
          <cell r="F1474" t="str">
            <v>N/ App</v>
          </cell>
        </row>
        <row r="1475">
          <cell r="B1475" t="str">
            <v>FB260004548</v>
          </cell>
          <cell r="F1475" t="str">
            <v>N/ App</v>
          </cell>
        </row>
        <row r="1476">
          <cell r="B1476" t="str">
            <v>FB260005516</v>
          </cell>
          <cell r="F1476" t="str">
            <v>N/ App</v>
          </cell>
        </row>
        <row r="1477">
          <cell r="B1477" t="str">
            <v>FB260005287</v>
          </cell>
          <cell r="F1477" t="str">
            <v>N/ App</v>
          </cell>
        </row>
        <row r="1478">
          <cell r="B1478" t="str">
            <v>FB260005283</v>
          </cell>
          <cell r="F1478" t="str">
            <v>N/ App</v>
          </cell>
        </row>
        <row r="1479">
          <cell r="B1479" t="str">
            <v>FB260004656</v>
          </cell>
          <cell r="F1479" t="str">
            <v>N/ App</v>
          </cell>
        </row>
        <row r="1480">
          <cell r="B1480" t="str">
            <v>FB260004857</v>
          </cell>
          <cell r="F1480" t="str">
            <v>N/ App</v>
          </cell>
        </row>
        <row r="1481">
          <cell r="B1481" t="str">
            <v>FB260005588</v>
          </cell>
          <cell r="F1481" t="str">
            <v>N/ App</v>
          </cell>
        </row>
        <row r="1482">
          <cell r="B1482" t="str">
            <v>FB260005199</v>
          </cell>
          <cell r="F1482" t="str">
            <v>N/ App</v>
          </cell>
        </row>
        <row r="1483">
          <cell r="B1483" t="str">
            <v>FB260004288</v>
          </cell>
          <cell r="F1483" t="str">
            <v>N/ App</v>
          </cell>
        </row>
        <row r="1484">
          <cell r="B1484" t="str">
            <v>FB260004287</v>
          </cell>
          <cell r="F1484" t="str">
            <v>N/ App</v>
          </cell>
        </row>
        <row r="1485">
          <cell r="B1485" t="str">
            <v>FB260006670</v>
          </cell>
          <cell r="F1485" t="str">
            <v>C/APP</v>
          </cell>
        </row>
        <row r="1486">
          <cell r="B1486" t="str">
            <v>FB260005538</v>
          </cell>
          <cell r="F1486" t="str">
            <v>N/ App</v>
          </cell>
        </row>
        <row r="1487">
          <cell r="B1487" t="str">
            <v>FB260006696</v>
          </cell>
          <cell r="F1487" t="str">
            <v>N/ App</v>
          </cell>
        </row>
        <row r="1488">
          <cell r="B1488" t="str">
            <v>FB260003807</v>
          </cell>
          <cell r="F1488" t="str">
            <v>N/ App</v>
          </cell>
        </row>
        <row r="1489">
          <cell r="B1489" t="str">
            <v>FB260006278</v>
          </cell>
          <cell r="F1489" t="str">
            <v>N/ App</v>
          </cell>
        </row>
        <row r="1490">
          <cell r="B1490" t="str">
            <v>FB260005012</v>
          </cell>
          <cell r="F1490" t="str">
            <v>C/APP</v>
          </cell>
        </row>
        <row r="1491">
          <cell r="B1491" t="str">
            <v>FB260005535</v>
          </cell>
          <cell r="F1491" t="str">
            <v>C/APP</v>
          </cell>
        </row>
        <row r="1492">
          <cell r="B1492" t="str">
            <v>FB260002463</v>
          </cell>
          <cell r="F1492" t="str">
            <v>N/ App</v>
          </cell>
        </row>
        <row r="1493">
          <cell r="B1493" t="str">
            <v>FB260006126</v>
          </cell>
          <cell r="F1493" t="str">
            <v>N/ App</v>
          </cell>
        </row>
        <row r="1494">
          <cell r="B1494" t="str">
            <v>FB260004541</v>
          </cell>
          <cell r="F1494" t="str">
            <v>C/APP</v>
          </cell>
        </row>
        <row r="1495">
          <cell r="B1495" t="str">
            <v>FB260005595</v>
          </cell>
          <cell r="F1495" t="str">
            <v>N/ App</v>
          </cell>
        </row>
        <row r="1496">
          <cell r="B1496" t="str">
            <v>FB260004472</v>
          </cell>
          <cell r="F1496" t="str">
            <v>N/ App</v>
          </cell>
        </row>
        <row r="1497">
          <cell r="B1497" t="str">
            <v>FB260005879</v>
          </cell>
          <cell r="F1497" t="str">
            <v>N/ App</v>
          </cell>
        </row>
        <row r="1498">
          <cell r="B1498" t="str">
            <v>FB260005065</v>
          </cell>
          <cell r="F1498" t="str">
            <v>N/ App</v>
          </cell>
        </row>
        <row r="1499">
          <cell r="B1499" t="str">
            <v>FB260005589</v>
          </cell>
          <cell r="F1499" t="str">
            <v>N/ App</v>
          </cell>
        </row>
        <row r="1500">
          <cell r="B1500" t="str">
            <v>FB260006642</v>
          </cell>
          <cell r="F1500" t="str">
            <v>N/ App</v>
          </cell>
        </row>
        <row r="1501">
          <cell r="B1501" t="str">
            <v>FB260004376</v>
          </cell>
          <cell r="F1501" t="str">
            <v>N/ App</v>
          </cell>
        </row>
        <row r="1502">
          <cell r="B1502" t="str">
            <v>FB260005203</v>
          </cell>
          <cell r="F1502" t="str">
            <v>N/ App</v>
          </cell>
        </row>
        <row r="1503">
          <cell r="B1503" t="str">
            <v>FB260004370</v>
          </cell>
          <cell r="F1503" t="str">
            <v>N/ App</v>
          </cell>
        </row>
        <row r="1504">
          <cell r="B1504" t="str">
            <v>FB260005323</v>
          </cell>
          <cell r="F1504" t="str">
            <v>N/ App</v>
          </cell>
        </row>
        <row r="1505">
          <cell r="B1505" t="str">
            <v>FB260005325</v>
          </cell>
          <cell r="F1505" t="str">
            <v>N/ App</v>
          </cell>
        </row>
        <row r="1506">
          <cell r="B1506" t="str">
            <v>FB260005188</v>
          </cell>
          <cell r="F1506" t="str">
            <v>N/ App</v>
          </cell>
        </row>
        <row r="1507">
          <cell r="B1507" t="str">
            <v>FB260006589</v>
          </cell>
          <cell r="F1507" t="str">
            <v>N/ App</v>
          </cell>
        </row>
        <row r="1508">
          <cell r="B1508" t="str">
            <v>FB260004310</v>
          </cell>
          <cell r="F1508" t="str">
            <v>N/ App</v>
          </cell>
        </row>
        <row r="1509">
          <cell r="B1509" t="str">
            <v>FB260004148</v>
          </cell>
          <cell r="F1509" t="str">
            <v>C/APP</v>
          </cell>
        </row>
        <row r="1510">
          <cell r="B1510" t="str">
            <v>FB260005292</v>
          </cell>
          <cell r="F1510" t="str">
            <v>C/APP</v>
          </cell>
        </row>
        <row r="1511">
          <cell r="B1511" t="str">
            <v>FB260002770</v>
          </cell>
          <cell r="F1511" t="str">
            <v>N/ App</v>
          </cell>
        </row>
        <row r="1512">
          <cell r="B1512" t="str">
            <v>FB260006721</v>
          </cell>
          <cell r="F1512" t="str">
            <v>C/APP</v>
          </cell>
        </row>
        <row r="1513">
          <cell r="B1513" t="str">
            <v>FB260005285</v>
          </cell>
          <cell r="F1513" t="str">
            <v>C/APP</v>
          </cell>
        </row>
        <row r="1514">
          <cell r="B1514" t="str">
            <v>FB250029082</v>
          </cell>
          <cell r="F1514" t="str">
            <v>N/ App</v>
          </cell>
        </row>
        <row r="1515">
          <cell r="B1515" t="str">
            <v>FB260006279</v>
          </cell>
          <cell r="F1515" t="str">
            <v>N/ App</v>
          </cell>
        </row>
        <row r="1516">
          <cell r="B1516" t="str">
            <v>FB260003896</v>
          </cell>
          <cell r="F1516" t="str">
            <v>N/ App</v>
          </cell>
        </row>
        <row r="1517">
          <cell r="B1517" t="str">
            <v>FB260005878</v>
          </cell>
          <cell r="F1517" t="str">
            <v>C/APP</v>
          </cell>
        </row>
        <row r="1518">
          <cell r="B1518" t="str">
            <v>FB260005884</v>
          </cell>
          <cell r="F1518" t="str">
            <v>N/ App</v>
          </cell>
        </row>
        <row r="1519">
          <cell r="B1519" t="str">
            <v>FB260005431</v>
          </cell>
          <cell r="F1519" t="str">
            <v>C/APP</v>
          </cell>
        </row>
        <row r="1520">
          <cell r="B1520" t="str">
            <v>FB260004321</v>
          </cell>
          <cell r="F1520" t="str">
            <v>C/APP</v>
          </cell>
        </row>
        <row r="1521">
          <cell r="B1521" t="str">
            <v>FB260006206</v>
          </cell>
          <cell r="F1521" t="str">
            <v>N/ App</v>
          </cell>
        </row>
        <row r="1522">
          <cell r="B1522" t="str">
            <v>FB260005231</v>
          </cell>
          <cell r="F1522" t="str">
            <v>C/APP</v>
          </cell>
        </row>
        <row r="1523">
          <cell r="B1523" t="str">
            <v>FB250028984</v>
          </cell>
          <cell r="F1523" t="str">
            <v>N/ App</v>
          </cell>
        </row>
        <row r="1524">
          <cell r="B1524" t="str">
            <v>FB260005947</v>
          </cell>
          <cell r="F1524" t="str">
            <v>C/APP</v>
          </cell>
        </row>
        <row r="1525">
          <cell r="B1525" t="str">
            <v>FB260004770</v>
          </cell>
          <cell r="F1525" t="str">
            <v>N/ App</v>
          </cell>
        </row>
        <row r="1526">
          <cell r="B1526" t="str">
            <v>FB260006443</v>
          </cell>
          <cell r="F1526" t="str">
            <v>C/APP</v>
          </cell>
        </row>
        <row r="1527">
          <cell r="B1527" t="str">
            <v>FB260006604</v>
          </cell>
          <cell r="F1527" t="str">
            <v>N/ App</v>
          </cell>
        </row>
        <row r="1528">
          <cell r="B1528" t="str">
            <v>FB260006623</v>
          </cell>
          <cell r="F1528" t="str">
            <v>N/ App</v>
          </cell>
        </row>
        <row r="1529">
          <cell r="B1529" t="str">
            <v>FB260003581</v>
          </cell>
          <cell r="F1529" t="str">
            <v>C/APP</v>
          </cell>
        </row>
        <row r="1530">
          <cell r="B1530" t="str">
            <v>FB260005978</v>
          </cell>
          <cell r="F1530" t="str">
            <v>C/APP</v>
          </cell>
        </row>
        <row r="1531">
          <cell r="B1531" t="str">
            <v>FB260003782</v>
          </cell>
          <cell r="F1531" t="str">
            <v>N/ App</v>
          </cell>
        </row>
        <row r="1532">
          <cell r="B1532" t="str">
            <v>FB260006166</v>
          </cell>
          <cell r="F1532" t="str">
            <v>N/ App</v>
          </cell>
        </row>
        <row r="1533">
          <cell r="B1533" t="str">
            <v>FB260006321</v>
          </cell>
          <cell r="F1533" t="str">
            <v>N/ App</v>
          </cell>
        </row>
        <row r="1534">
          <cell r="B1534" t="str">
            <v>FB260006467</v>
          </cell>
          <cell r="F1534" t="str">
            <v>N/ App</v>
          </cell>
        </row>
        <row r="1535">
          <cell r="B1535" t="str">
            <v>FB260006170</v>
          </cell>
          <cell r="F1535" t="str">
            <v>N/ App</v>
          </cell>
        </row>
        <row r="1536">
          <cell r="B1536" t="str">
            <v>FB260006472</v>
          </cell>
          <cell r="F1536" t="str">
            <v>N/ App</v>
          </cell>
        </row>
        <row r="1537">
          <cell r="B1537" t="str">
            <v>FB260006641</v>
          </cell>
          <cell r="F1537" t="str">
            <v>N/ App</v>
          </cell>
        </row>
        <row r="1538">
          <cell r="B1538" t="str">
            <v>FB260006227</v>
          </cell>
          <cell r="F1538" t="str">
            <v>N/ App</v>
          </cell>
        </row>
        <row r="1539">
          <cell r="B1539" t="str">
            <v>FB260005976</v>
          </cell>
          <cell r="F1539" t="str">
            <v>N/ App</v>
          </cell>
        </row>
        <row r="1540">
          <cell r="B1540" t="str">
            <v>FB260004237</v>
          </cell>
          <cell r="F1540" t="str">
            <v>N/ App</v>
          </cell>
        </row>
        <row r="1541">
          <cell r="B1541" t="str">
            <v>FB260006588</v>
          </cell>
          <cell r="F1541" t="str">
            <v>N/ App</v>
          </cell>
        </row>
        <row r="1542">
          <cell r="B1542" t="str">
            <v>FB260004850</v>
          </cell>
          <cell r="F1542" t="str">
            <v>N/ App</v>
          </cell>
        </row>
        <row r="1543">
          <cell r="B1543" t="str">
            <v>FB260006077</v>
          </cell>
          <cell r="F1543" t="str">
            <v>N/ App</v>
          </cell>
        </row>
        <row r="1544">
          <cell r="B1544" t="str">
            <v>FB260006592</v>
          </cell>
          <cell r="F1544" t="str">
            <v>N/ App</v>
          </cell>
        </row>
        <row r="1545">
          <cell r="B1545" t="str">
            <v>FB260005050</v>
          </cell>
          <cell r="F1545" t="str">
            <v>N/ App</v>
          </cell>
        </row>
        <row r="1546">
          <cell r="B1546" t="str">
            <v>FB260004848</v>
          </cell>
          <cell r="F1546" t="str">
            <v>N/ App</v>
          </cell>
        </row>
        <row r="1547">
          <cell r="B1547" t="str">
            <v>FB260005598</v>
          </cell>
          <cell r="F1547" t="str">
            <v>C/APP</v>
          </cell>
        </row>
        <row r="1548">
          <cell r="B1548" t="str">
            <v>FB260004377</v>
          </cell>
          <cell r="F1548" t="str">
            <v>N/ App</v>
          </cell>
        </row>
        <row r="1549">
          <cell r="B1549" t="str">
            <v>FB260005587</v>
          </cell>
          <cell r="F1549" t="str">
            <v>N/ App</v>
          </cell>
        </row>
        <row r="1550">
          <cell r="B1550" t="str">
            <v>FB260005591</v>
          </cell>
          <cell r="F1550" t="str">
            <v>N/ App</v>
          </cell>
        </row>
        <row r="1551">
          <cell r="B1551" t="str">
            <v>FB260006591</v>
          </cell>
          <cell r="F1551" t="str">
            <v>N/ App</v>
          </cell>
        </row>
        <row r="1552">
          <cell r="B1552" t="str">
            <v>FB260005435</v>
          </cell>
          <cell r="F1552" t="str">
            <v>N/ App</v>
          </cell>
        </row>
        <row r="1553">
          <cell r="B1553" t="str">
            <v>FB260006773</v>
          </cell>
          <cell r="F1553" t="str">
            <v>N/ App</v>
          </cell>
        </row>
        <row r="1554">
          <cell r="B1554" t="str">
            <v>FB260006753</v>
          </cell>
          <cell r="F1554" t="str">
            <v>N/ App</v>
          </cell>
        </row>
        <row r="1555">
          <cell r="B1555" t="str">
            <v>FB260005426</v>
          </cell>
          <cell r="F1555" t="str">
            <v>N/ App</v>
          </cell>
        </row>
        <row r="1556">
          <cell r="B1556" t="str">
            <v>FB260004371</v>
          </cell>
          <cell r="F1556" t="str">
            <v>N/ App</v>
          </cell>
        </row>
        <row r="1557">
          <cell r="B1557" t="str">
            <v>FB260005790</v>
          </cell>
          <cell r="F1557" t="str">
            <v>N/ App</v>
          </cell>
        </row>
        <row r="1558">
          <cell r="B1558" t="str">
            <v>FB260006380</v>
          </cell>
          <cell r="F1558" t="str">
            <v>N/ App</v>
          </cell>
        </row>
        <row r="1559">
          <cell r="B1559" t="str">
            <v>FB260005515</v>
          </cell>
          <cell r="F1559" t="str">
            <v>N/ App</v>
          </cell>
        </row>
        <row r="1560">
          <cell r="B1560" t="str">
            <v>FB260006419</v>
          </cell>
          <cell r="F1560" t="str">
            <v>N/ App</v>
          </cell>
        </row>
        <row r="1561">
          <cell r="B1561" t="str">
            <v>FB260003582</v>
          </cell>
          <cell r="F1561" t="str">
            <v>N/ App</v>
          </cell>
        </row>
        <row r="1562">
          <cell r="B1562" t="str">
            <v>FB260004328</v>
          </cell>
          <cell r="F1562" t="str">
            <v>N/ App</v>
          </cell>
        </row>
        <row r="1563">
          <cell r="B1563" t="str">
            <v>FB260003601</v>
          </cell>
          <cell r="F1563" t="str">
            <v>N/ App</v>
          </cell>
        </row>
        <row r="1564">
          <cell r="B1564" t="str">
            <v>FB260003945</v>
          </cell>
          <cell r="F1564" t="str">
            <v>N/ App</v>
          </cell>
        </row>
        <row r="1565">
          <cell r="B1565" t="str">
            <v>FB260004379</v>
          </cell>
          <cell r="F1565" t="str">
            <v>N/ App</v>
          </cell>
        </row>
        <row r="1566">
          <cell r="B1566" t="str">
            <v>FB260006075</v>
          </cell>
          <cell r="F1566" t="str">
            <v>N/ App</v>
          </cell>
        </row>
        <row r="1567">
          <cell r="B1567" t="str">
            <v>FB260004688</v>
          </cell>
          <cell r="F1567" t="str">
            <v>N/ App</v>
          </cell>
        </row>
        <row r="1568">
          <cell r="B1568" t="str">
            <v>FB260004676</v>
          </cell>
          <cell r="F1568" t="str">
            <v>N/ App</v>
          </cell>
        </row>
        <row r="1569">
          <cell r="B1569" t="str">
            <v>FB260004107</v>
          </cell>
          <cell r="F1569" t="str">
            <v>N/ App</v>
          </cell>
        </row>
        <row r="1570">
          <cell r="B1570" t="str">
            <v>FB260006779</v>
          </cell>
          <cell r="F1570" t="str">
            <v>N/ App</v>
          </cell>
        </row>
        <row r="1571">
          <cell r="B1571" t="str">
            <v>FB260003799</v>
          </cell>
          <cell r="F1571" t="str">
            <v>N/ App</v>
          </cell>
        </row>
        <row r="1572">
          <cell r="B1572" t="str">
            <v>FB260006707</v>
          </cell>
          <cell r="F1572" t="str">
            <v>N/ App</v>
          </cell>
        </row>
        <row r="1573">
          <cell r="B1573" t="str">
            <v>FB260006706</v>
          </cell>
          <cell r="F1573" t="str">
            <v>N/ App</v>
          </cell>
        </row>
        <row r="1574">
          <cell r="B1574" t="str">
            <v>FB260006736</v>
          </cell>
          <cell r="F1574" t="str">
            <v>N/ App</v>
          </cell>
        </row>
        <row r="1575">
          <cell r="B1575" t="str">
            <v>FB260006515</v>
          </cell>
          <cell r="F1575" t="str">
            <v>N/ App</v>
          </cell>
        </row>
        <row r="1576">
          <cell r="B1576" t="str">
            <v>FB260006400</v>
          </cell>
          <cell r="F1576" t="str">
            <v>N/ App</v>
          </cell>
        </row>
        <row r="1577">
          <cell r="B1577" t="str">
            <v>FB260006777</v>
          </cell>
          <cell r="F1577" t="str">
            <v>N/ App</v>
          </cell>
        </row>
        <row r="1578">
          <cell r="B1578" t="str">
            <v>FB260005723</v>
          </cell>
          <cell r="F1578" t="str">
            <v>C/APP</v>
          </cell>
        </row>
        <row r="1579">
          <cell r="B1579" t="str">
            <v>FB260005725</v>
          </cell>
          <cell r="F1579" t="str">
            <v>N/ App</v>
          </cell>
        </row>
        <row r="1580">
          <cell r="B1580" t="str">
            <v>FB260004663</v>
          </cell>
          <cell r="F1580" t="str">
            <v>C/APP</v>
          </cell>
        </row>
        <row r="1581">
          <cell r="B1581" t="str">
            <v>FB260005328</v>
          </cell>
          <cell r="F1581" t="str">
            <v>N/ App</v>
          </cell>
        </row>
        <row r="1582">
          <cell r="B1582" t="str">
            <v>FB260004147</v>
          </cell>
          <cell r="F1582" t="str">
            <v>N/ App</v>
          </cell>
        </row>
        <row r="1583">
          <cell r="B1583" t="str">
            <v>FB260004319</v>
          </cell>
          <cell r="F1583" t="str">
            <v>N/ App</v>
          </cell>
        </row>
        <row r="1584">
          <cell r="B1584" t="str">
            <v>FB260005609</v>
          </cell>
          <cell r="F1584" t="str">
            <v>N/ App</v>
          </cell>
        </row>
        <row r="1585">
          <cell r="B1585" t="str">
            <v>FB260005607</v>
          </cell>
          <cell r="F1585" t="str">
            <v>N/ App</v>
          </cell>
        </row>
        <row r="1586">
          <cell r="B1586" t="str">
            <v>FB260006884</v>
          </cell>
          <cell r="F1586" t="str">
            <v>C/APP</v>
          </cell>
        </row>
        <row r="1587">
          <cell r="B1587" t="str">
            <v>FB260004517</v>
          </cell>
          <cell r="F1587" t="str">
            <v>N/ App</v>
          </cell>
        </row>
        <row r="1588">
          <cell r="B1588" t="str">
            <v>FB260005738</v>
          </cell>
          <cell r="F1588" t="str">
            <v>N/ App</v>
          </cell>
        </row>
        <row r="1589">
          <cell r="B1589" t="str">
            <v>FB260005024</v>
          </cell>
          <cell r="F1589" t="str">
            <v>C/APP</v>
          </cell>
        </row>
        <row r="1590">
          <cell r="B1590" t="str">
            <v>FB260004708</v>
          </cell>
          <cell r="F1590" t="str">
            <v>N/ App</v>
          </cell>
        </row>
        <row r="1591">
          <cell r="B1591" t="str">
            <v>FB260003462</v>
          </cell>
          <cell r="F1591" t="str">
            <v>C/APP</v>
          </cell>
        </row>
        <row r="1592">
          <cell r="B1592" t="str">
            <v>FB260000797</v>
          </cell>
          <cell r="F1592" t="str">
            <v>N/ App</v>
          </cell>
        </row>
        <row r="1593">
          <cell r="B1593" t="str">
            <v>FB260003362</v>
          </cell>
          <cell r="F1593" t="str">
            <v>C/APP</v>
          </cell>
        </row>
        <row r="1594">
          <cell r="B1594" t="str">
            <v>FB260005062</v>
          </cell>
          <cell r="F1594" t="str">
            <v>C/APP</v>
          </cell>
        </row>
        <row r="1595">
          <cell r="B1595" t="str">
            <v>FB260006127</v>
          </cell>
          <cell r="F1595" t="str">
            <v>C/APP</v>
          </cell>
        </row>
        <row r="1596">
          <cell r="B1596" t="str">
            <v>FB260004500</v>
          </cell>
          <cell r="F1596" t="str">
            <v>N/ App</v>
          </cell>
        </row>
        <row r="1597">
          <cell r="B1597" t="str">
            <v>FB260005981</v>
          </cell>
          <cell r="F1597" t="str">
            <v>N/ App</v>
          </cell>
        </row>
        <row r="1598">
          <cell r="B1598" t="str">
            <v>FB260004373</v>
          </cell>
          <cell r="F1598" t="str">
            <v>N/ App</v>
          </cell>
        </row>
        <row r="1599">
          <cell r="B1599" t="str">
            <v>FB260006669</v>
          </cell>
          <cell r="F1599" t="str">
            <v>N/ App</v>
          </cell>
        </row>
        <row r="1600">
          <cell r="B1600" t="str">
            <v>FB260004886</v>
          </cell>
          <cell r="F1600" t="str">
            <v>N/ App</v>
          </cell>
        </row>
        <row r="1601">
          <cell r="B1601" t="str">
            <v>FB260004481</v>
          </cell>
          <cell r="F1601" t="str">
            <v>N/ App</v>
          </cell>
        </row>
        <row r="1602">
          <cell r="B1602" t="str">
            <v>FB260002781</v>
          </cell>
          <cell r="F1602" t="str">
            <v>N/ App</v>
          </cell>
        </row>
        <row r="1603">
          <cell r="B1603" t="str">
            <v>FB260000796</v>
          </cell>
          <cell r="F1603" t="str">
            <v>N/ App</v>
          </cell>
        </row>
        <row r="1604">
          <cell r="B1604" t="str">
            <v>FB260002764</v>
          </cell>
          <cell r="F1604" t="str">
            <v>N/ App</v>
          </cell>
        </row>
        <row r="1605">
          <cell r="B1605" t="str">
            <v>FB260006715</v>
          </cell>
          <cell r="F1605" t="str">
            <v>N/ App</v>
          </cell>
        </row>
        <row r="1606">
          <cell r="B1606" t="str">
            <v>FB260005092</v>
          </cell>
          <cell r="F1606" t="str">
            <v>N/ App</v>
          </cell>
        </row>
        <row r="1607">
          <cell r="B1607" t="str">
            <v>FB260006339</v>
          </cell>
          <cell r="F1607" t="str">
            <v>N/ App</v>
          </cell>
        </row>
        <row r="1608">
          <cell r="B1608" t="str">
            <v>FB260004961</v>
          </cell>
          <cell r="F1608" t="str">
            <v>N/ App</v>
          </cell>
        </row>
        <row r="1609">
          <cell r="B1609" t="str">
            <v>FB260005476</v>
          </cell>
          <cell r="F1609" t="str">
            <v>N/ App</v>
          </cell>
        </row>
        <row r="1610">
          <cell r="B1610" t="str">
            <v>FB250002634</v>
          </cell>
          <cell r="F1610" t="str">
            <v>N/ App</v>
          </cell>
        </row>
        <row r="1611">
          <cell r="B1611" t="str">
            <v>FB260005467</v>
          </cell>
          <cell r="F1611" t="str">
            <v>N/ App</v>
          </cell>
        </row>
        <row r="1612">
          <cell r="B1612" t="str">
            <v>FB260006626</v>
          </cell>
          <cell r="F1612" t="str">
            <v>C/APP</v>
          </cell>
        </row>
        <row r="1613">
          <cell r="B1613" t="str">
            <v>FB260004320</v>
          </cell>
          <cell r="F1613" t="str">
            <v>N/ App</v>
          </cell>
        </row>
        <row r="1614">
          <cell r="B1614" t="str">
            <v>FB260005389</v>
          </cell>
          <cell r="F1614" t="str">
            <v>C/APP</v>
          </cell>
        </row>
        <row r="1615">
          <cell r="B1615" t="str">
            <v>FB260004662</v>
          </cell>
          <cell r="F1615" t="str">
            <v>N/ App</v>
          </cell>
        </row>
        <row r="1616">
          <cell r="B1616" t="str">
            <v>FB260006274</v>
          </cell>
          <cell r="F1616" t="str">
            <v>N/ App</v>
          </cell>
        </row>
        <row r="1617">
          <cell r="B1617" t="str">
            <v>FB260005161</v>
          </cell>
          <cell r="F1617" t="str">
            <v>N/ App</v>
          </cell>
        </row>
        <row r="1618">
          <cell r="B1618" t="str">
            <v>FB260004322</v>
          </cell>
          <cell r="F1618" t="str">
            <v>N/ App</v>
          </cell>
        </row>
        <row r="1619">
          <cell r="B1619" t="str">
            <v>FB260004677</v>
          </cell>
          <cell r="F1619" t="str">
            <v>N/ App</v>
          </cell>
        </row>
        <row r="1620">
          <cell r="B1620" t="str">
            <v>FB260006734</v>
          </cell>
          <cell r="F1620" t="str">
            <v>N/ App</v>
          </cell>
        </row>
        <row r="1621">
          <cell r="B1621" t="str">
            <v>FB260005722</v>
          </cell>
          <cell r="F1621" t="str">
            <v>N/ App</v>
          </cell>
        </row>
        <row r="1622">
          <cell r="B1622" t="str">
            <v>FB260006576</v>
          </cell>
          <cell r="F1622" t="str">
            <v>N/ App</v>
          </cell>
        </row>
        <row r="1623">
          <cell r="B1623" t="str">
            <v>FB260006585</v>
          </cell>
          <cell r="F1623" t="str">
            <v>N/ App</v>
          </cell>
        </row>
        <row r="1624">
          <cell r="B1624" t="str">
            <v>FB260005361</v>
          </cell>
          <cell r="F1624" t="str">
            <v>N/ App</v>
          </cell>
        </row>
        <row r="1625">
          <cell r="B1625" t="str">
            <v>FB260006564</v>
          </cell>
          <cell r="F1625" t="str">
            <v>N/ App</v>
          </cell>
        </row>
        <row r="1626">
          <cell r="B1626" t="str">
            <v>FB260005301</v>
          </cell>
          <cell r="F1626" t="str">
            <v>C/APP</v>
          </cell>
        </row>
        <row r="1627">
          <cell r="B1627" t="str">
            <v>FB260004684</v>
          </cell>
          <cell r="F1627" t="str">
            <v>N/ App</v>
          </cell>
        </row>
        <row r="1628">
          <cell r="B1628" t="str">
            <v>FB260005156</v>
          </cell>
          <cell r="F1628" t="str">
            <v>N/ App</v>
          </cell>
        </row>
        <row r="1629">
          <cell r="B1629" t="str">
            <v>FB260004119</v>
          </cell>
          <cell r="F1629" t="str">
            <v>N/ App</v>
          </cell>
        </row>
        <row r="1630">
          <cell r="B1630" t="str">
            <v>FB260005726</v>
          </cell>
          <cell r="F1630" t="str">
            <v>N/ App</v>
          </cell>
        </row>
        <row r="1631">
          <cell r="B1631" t="str">
            <v>FB250002634</v>
          </cell>
          <cell r="F1631" t="str">
            <v>N/ App</v>
          </cell>
        </row>
        <row r="1632">
          <cell r="B1632" t="str">
            <v>FB260004426</v>
          </cell>
          <cell r="F1632" t="str">
            <v>N/ App</v>
          </cell>
        </row>
        <row r="1633">
          <cell r="B1633" t="str">
            <v>FB260004503</v>
          </cell>
          <cell r="F1633" t="str">
            <v>N/ App</v>
          </cell>
        </row>
        <row r="1634">
          <cell r="B1634" t="str">
            <v>FB260000800</v>
          </cell>
          <cell r="F1634" t="str">
            <v>N/ App</v>
          </cell>
        </row>
        <row r="1635">
          <cell r="B1635" t="str">
            <v>FB260000794</v>
          </cell>
          <cell r="F1635" t="str">
            <v>N/ App</v>
          </cell>
        </row>
        <row r="1636">
          <cell r="B1636" t="str">
            <v>FB260006627</v>
          </cell>
          <cell r="F1636" t="str">
            <v>N/ App</v>
          </cell>
        </row>
        <row r="1637">
          <cell r="B1637" t="str">
            <v>FB260003460</v>
          </cell>
          <cell r="F1637" t="str">
            <v>C/APP</v>
          </cell>
        </row>
        <row r="1638">
          <cell r="B1638" t="str">
            <v>FB260006605</v>
          </cell>
          <cell r="F1638" t="str">
            <v>N/ App</v>
          </cell>
        </row>
        <row r="1639">
          <cell r="B1639" t="str">
            <v>FB260006990</v>
          </cell>
          <cell r="F1639" t="str">
            <v>N/ App</v>
          </cell>
        </row>
        <row r="1640">
          <cell r="B1640" t="str">
            <v>FB260005312</v>
          </cell>
          <cell r="F1640" t="str">
            <v>C/APP</v>
          </cell>
        </row>
        <row r="1641">
          <cell r="B1641" t="str">
            <v>FB260005831</v>
          </cell>
          <cell r="F1641" t="str">
            <v>N/ App</v>
          </cell>
        </row>
        <row r="1642">
          <cell r="B1642" t="str">
            <v>FB260005425</v>
          </cell>
          <cell r="F1642" t="str">
            <v>N/ App</v>
          </cell>
        </row>
        <row r="1643">
          <cell r="B1643" t="str">
            <v>FB260005979</v>
          </cell>
          <cell r="F1643" t="str">
            <v>N/ App</v>
          </cell>
        </row>
        <row r="1644">
          <cell r="B1644" t="str">
            <v>FB260005052</v>
          </cell>
          <cell r="F1644" t="str">
            <v>N/ App</v>
          </cell>
        </row>
        <row r="1645">
          <cell r="B1645" t="str">
            <v>FB260006246</v>
          </cell>
          <cell r="F1645" t="str">
            <v>N/ App</v>
          </cell>
        </row>
        <row r="1646">
          <cell r="B1646" t="str">
            <v>FB260005799</v>
          </cell>
          <cell r="F1646" t="str">
            <v>C/APP</v>
          </cell>
        </row>
        <row r="1647">
          <cell r="B1647" t="str">
            <v>FB260005778</v>
          </cell>
          <cell r="F1647" t="str">
            <v>N/ App</v>
          </cell>
        </row>
        <row r="1648">
          <cell r="B1648" t="str">
            <v>FB260005972</v>
          </cell>
          <cell r="F1648" t="str">
            <v>C/APP</v>
          </cell>
        </row>
        <row r="1649">
          <cell r="B1649" t="str">
            <v>FB260006167</v>
          </cell>
          <cell r="F1649" t="str">
            <v>N/ App</v>
          </cell>
        </row>
        <row r="1650">
          <cell r="B1650" t="str">
            <v>FB260004446</v>
          </cell>
          <cell r="F1650" t="str">
            <v>C/APP</v>
          </cell>
        </row>
        <row r="1651">
          <cell r="B1651" t="str">
            <v>FB260006102</v>
          </cell>
          <cell r="F1651" t="str">
            <v>C/APP</v>
          </cell>
        </row>
        <row r="1652">
          <cell r="B1652" t="str">
            <v>FB260004309</v>
          </cell>
          <cell r="F1652" t="str">
            <v>N/ App</v>
          </cell>
        </row>
        <row r="1653">
          <cell r="B1653" t="str">
            <v>FB260005427</v>
          </cell>
          <cell r="F1653" t="str">
            <v>C/APP</v>
          </cell>
        </row>
        <row r="1654">
          <cell r="B1654" t="str">
            <v>FB260005420</v>
          </cell>
          <cell r="F1654" t="str">
            <v>N/ App</v>
          </cell>
        </row>
        <row r="1655">
          <cell r="B1655" t="str">
            <v>FB260004527</v>
          </cell>
          <cell r="F1655" t="str">
            <v>N/ App</v>
          </cell>
        </row>
        <row r="1656">
          <cell r="B1656" t="str">
            <v>FB260005796</v>
          </cell>
          <cell r="F1656" t="str">
            <v>N/ App</v>
          </cell>
        </row>
        <row r="1657">
          <cell r="B1657" t="str">
            <v>FB260006260</v>
          </cell>
          <cell r="F1657" t="str">
            <v>C/APP</v>
          </cell>
        </row>
        <row r="1658">
          <cell r="B1658" t="str">
            <v>FB260002838</v>
          </cell>
          <cell r="F1658" t="str">
            <v>C/APP</v>
          </cell>
        </row>
        <row r="1659">
          <cell r="B1659" t="str">
            <v>FB260005762</v>
          </cell>
          <cell r="F1659" t="str">
            <v>N/ App</v>
          </cell>
        </row>
        <row r="1660">
          <cell r="B1660" t="str">
            <v>FB260006948</v>
          </cell>
          <cell r="F1660" t="str">
            <v>N/ App</v>
          </cell>
        </row>
        <row r="1661">
          <cell r="B1661" t="str">
            <v>FB260006687</v>
          </cell>
          <cell r="F1661" t="str">
            <v>N/ App</v>
          </cell>
        </row>
        <row r="1662">
          <cell r="B1662" t="str">
            <v>FB260005466</v>
          </cell>
          <cell r="F1662" t="str">
            <v>N/ App</v>
          </cell>
        </row>
        <row r="1663">
          <cell r="B1663" t="str">
            <v>FB260002771</v>
          </cell>
          <cell r="F1663" t="str">
            <v>N/ App</v>
          </cell>
        </row>
        <row r="1664">
          <cell r="B1664" t="str">
            <v>FB260006685</v>
          </cell>
          <cell r="F1664" t="str">
            <v>N/ App</v>
          </cell>
        </row>
        <row r="1665">
          <cell r="B1665" t="str">
            <v>FB260006711</v>
          </cell>
          <cell r="F1665" t="str">
            <v>N/ App</v>
          </cell>
        </row>
        <row r="1666">
          <cell r="B1666" t="str">
            <v>FB260006681</v>
          </cell>
          <cell r="F1666" t="str">
            <v>N/ App</v>
          </cell>
        </row>
        <row r="1667">
          <cell r="B1667" t="str">
            <v>FB260006682</v>
          </cell>
          <cell r="F1667" t="str">
            <v>N/ App</v>
          </cell>
        </row>
        <row r="1668">
          <cell r="B1668" t="str">
            <v>FB260006683</v>
          </cell>
          <cell r="F1668" t="str">
            <v>N/ App</v>
          </cell>
        </row>
        <row r="1669">
          <cell r="B1669" t="str">
            <v>FB260006771</v>
          </cell>
          <cell r="F1669" t="str">
            <v>N/ App</v>
          </cell>
        </row>
        <row r="1670">
          <cell r="B1670" t="str">
            <v>FB260004719</v>
          </cell>
          <cell r="F1670" t="str">
            <v>N/ App</v>
          </cell>
        </row>
        <row r="1671">
          <cell r="B1671" t="str">
            <v>FB260005324</v>
          </cell>
          <cell r="F1671" t="str">
            <v>C/APP</v>
          </cell>
        </row>
        <row r="1672">
          <cell r="B1672" t="str">
            <v>FB260005205</v>
          </cell>
          <cell r="F1672" t="str">
            <v>N/ App</v>
          </cell>
        </row>
        <row r="1673">
          <cell r="B1673" t="str">
            <v>FB260005374</v>
          </cell>
          <cell r="F1673" t="str">
            <v>N/ App</v>
          </cell>
        </row>
        <row r="1674">
          <cell r="B1674" t="str">
            <v>FB260005396</v>
          </cell>
          <cell r="F1674" t="str">
            <v>N/ App</v>
          </cell>
        </row>
        <row r="1675">
          <cell r="B1675" t="str">
            <v>FB260006444</v>
          </cell>
          <cell r="F1675" t="str">
            <v>N/ App</v>
          </cell>
        </row>
        <row r="1676">
          <cell r="B1676" t="str">
            <v>FB260006316</v>
          </cell>
          <cell r="F1676" t="str">
            <v>N/ App</v>
          </cell>
        </row>
        <row r="1677">
          <cell r="B1677" t="str">
            <v>FB260006466</v>
          </cell>
          <cell r="F1677" t="str">
            <v>N/ App</v>
          </cell>
        </row>
        <row r="1678">
          <cell r="B1678" t="str">
            <v>FB260006914</v>
          </cell>
          <cell r="F1678" t="str">
            <v>C/APP</v>
          </cell>
        </row>
        <row r="1679">
          <cell r="B1679" t="str">
            <v>FB260006896</v>
          </cell>
          <cell r="F1679" t="str">
            <v>N/ App</v>
          </cell>
        </row>
        <row r="1680">
          <cell r="B1680" t="str">
            <v>FB260004327</v>
          </cell>
          <cell r="F1680" t="str">
            <v>N/ App</v>
          </cell>
        </row>
        <row r="1681">
          <cell r="B1681" t="str">
            <v>FB260004660</v>
          </cell>
          <cell r="F1681" t="str">
            <v>N/ App</v>
          </cell>
        </row>
        <row r="1682">
          <cell r="B1682" t="str">
            <v>FB260005780</v>
          </cell>
          <cell r="F1682" t="str">
            <v>N/ App</v>
          </cell>
        </row>
        <row r="1683">
          <cell r="B1683" t="str">
            <v>FB260005788</v>
          </cell>
          <cell r="F1683" t="str">
            <v>N/ App</v>
          </cell>
        </row>
        <row r="1684">
          <cell r="B1684" t="str">
            <v>FB260005980</v>
          </cell>
          <cell r="F1684" t="str">
            <v>N/ App</v>
          </cell>
        </row>
        <row r="1685">
          <cell r="B1685" t="str">
            <v>FB260004512</v>
          </cell>
          <cell r="F1685" t="str">
            <v>C/APP</v>
          </cell>
        </row>
        <row r="1686">
          <cell r="B1686" t="str">
            <v>FB260005735</v>
          </cell>
          <cell r="F1686" t="str">
            <v>C/APP</v>
          </cell>
        </row>
        <row r="1687">
          <cell r="B1687" t="str">
            <v>FB260006628</v>
          </cell>
          <cell r="F1687" t="str">
            <v>N/ App</v>
          </cell>
        </row>
        <row r="1688">
          <cell r="B1688" t="str">
            <v>FB260005850</v>
          </cell>
          <cell r="F1688" t="str">
            <v>N/ App</v>
          </cell>
        </row>
        <row r="1689">
          <cell r="B1689" t="str">
            <v>FB260006941</v>
          </cell>
          <cell r="F1689" t="str">
            <v>C/APP</v>
          </cell>
        </row>
        <row r="1690">
          <cell r="B1690" t="str">
            <v>FB260006911</v>
          </cell>
          <cell r="F1690" t="str">
            <v>C/APP</v>
          </cell>
        </row>
        <row r="1691">
          <cell r="B1691" t="str">
            <v>FB260006606</v>
          </cell>
          <cell r="F1691" t="str">
            <v>C/APP</v>
          </cell>
        </row>
        <row r="1692">
          <cell r="B1692" t="str">
            <v>FB260004667</v>
          </cell>
          <cell r="F1692" t="str">
            <v>C/APP</v>
          </cell>
        </row>
        <row r="1693">
          <cell r="B1693" t="str">
            <v>FB260005859</v>
          </cell>
          <cell r="F1693" t="str">
            <v>C/APP</v>
          </cell>
        </row>
        <row r="1694">
          <cell r="B1694" t="str">
            <v>FB260005757</v>
          </cell>
          <cell r="F1694" t="str">
            <v>C/APP</v>
          </cell>
        </row>
        <row r="1695">
          <cell r="B1695" t="str">
            <v>FB260005830</v>
          </cell>
          <cell r="F1695" t="str">
            <v>N/ App</v>
          </cell>
        </row>
        <row r="1696">
          <cell r="B1696" t="str">
            <v>FB260005828</v>
          </cell>
          <cell r="F1696" t="str">
            <v>N/ App</v>
          </cell>
        </row>
        <row r="1697">
          <cell r="B1697" t="str">
            <v>FB260005909</v>
          </cell>
          <cell r="F1697" t="str">
            <v>N/ App</v>
          </cell>
        </row>
        <row r="1698">
          <cell r="B1698" t="str">
            <v>FB260004125</v>
          </cell>
          <cell r="F1698" t="str">
            <v>N/ App</v>
          </cell>
        </row>
        <row r="1699">
          <cell r="B1699" t="str">
            <v>FB260003813</v>
          </cell>
          <cell r="F1699" t="str">
            <v>N/ App</v>
          </cell>
        </row>
        <row r="1700">
          <cell r="B1700" t="str">
            <v>FB260003511</v>
          </cell>
          <cell r="F1700" t="str">
            <v>N/ App</v>
          </cell>
        </row>
        <row r="1701">
          <cell r="B1701" t="str">
            <v>FB260003514</v>
          </cell>
          <cell r="F1701" t="str">
            <v>N/ App</v>
          </cell>
        </row>
        <row r="1702">
          <cell r="B1702" t="str">
            <v>FB260003013</v>
          </cell>
          <cell r="F1702" t="str">
            <v>N/ App</v>
          </cell>
        </row>
        <row r="1703">
          <cell r="B1703" t="str">
            <v>FB260005377</v>
          </cell>
          <cell r="F1703" t="str">
            <v>N/ App</v>
          </cell>
        </row>
        <row r="1704">
          <cell r="B1704" t="str">
            <v>FB260003791</v>
          </cell>
          <cell r="F1704" t="str">
            <v>N/ App</v>
          </cell>
        </row>
        <row r="1705">
          <cell r="B1705" t="str">
            <v>FB260002780</v>
          </cell>
          <cell r="F1705" t="str">
            <v>N/ App</v>
          </cell>
        </row>
        <row r="1706">
          <cell r="B1706" t="str">
            <v>FB260003781</v>
          </cell>
          <cell r="F1706" t="str">
            <v>N/ App</v>
          </cell>
        </row>
        <row r="1707">
          <cell r="B1707" t="str">
            <v>FB260006158</v>
          </cell>
          <cell r="F1707" t="str">
            <v>N/ App</v>
          </cell>
        </row>
        <row r="1708">
          <cell r="B1708" t="str">
            <v>FB260005525</v>
          </cell>
          <cell r="F1708" t="str">
            <v>N/ App</v>
          </cell>
        </row>
        <row r="1709">
          <cell r="B1709" t="str">
            <v>FB260005143</v>
          </cell>
          <cell r="F1709" t="str">
            <v>N/ App</v>
          </cell>
        </row>
        <row r="1710">
          <cell r="B1710" t="str">
            <v>FB260004414</v>
          </cell>
          <cell r="F1710" t="str">
            <v>C/APP</v>
          </cell>
        </row>
        <row r="1711">
          <cell r="B1711" t="str">
            <v>FB260005973</v>
          </cell>
          <cell r="F1711" t="str">
            <v>C/APP</v>
          </cell>
        </row>
        <row r="1712">
          <cell r="B1712" t="str">
            <v>FB260006169</v>
          </cell>
          <cell r="F1712" t="str">
            <v>C/APP</v>
          </cell>
        </row>
        <row r="1713">
          <cell r="B1713" t="str">
            <v>FB260006283</v>
          </cell>
          <cell r="F1713" t="str">
            <v>N/ App</v>
          </cell>
        </row>
        <row r="1714">
          <cell r="B1714" t="str">
            <v>FB260005590</v>
          </cell>
          <cell r="F1714" t="str">
            <v>N/ App</v>
          </cell>
        </row>
        <row r="1715">
          <cell r="B1715" t="str">
            <v>FB260006323</v>
          </cell>
          <cell r="F1715" t="str">
            <v>C/APP</v>
          </cell>
        </row>
        <row r="1716">
          <cell r="B1716" t="str">
            <v>FB260004494</v>
          </cell>
          <cell r="F1716" t="str">
            <v>N/ App</v>
          </cell>
        </row>
        <row r="1717">
          <cell r="B1717" t="str">
            <v>FB260005779</v>
          </cell>
          <cell r="F1717" t="str">
            <v>N/ App</v>
          </cell>
        </row>
        <row r="1718">
          <cell r="B1718" t="str">
            <v>FB260006132</v>
          </cell>
          <cell r="F1718" t="str">
            <v>C/APP</v>
          </cell>
        </row>
        <row r="1719">
          <cell r="B1719" t="str">
            <v>FB260005687</v>
          </cell>
          <cell r="F1719" t="str">
            <v>N/ App</v>
          </cell>
        </row>
        <row r="1720">
          <cell r="B1720" t="str">
            <v>FB260006226</v>
          </cell>
          <cell r="F1720" t="str">
            <v>C/APP</v>
          </cell>
        </row>
        <row r="1721">
          <cell r="B1721" t="str">
            <v>FB250002634</v>
          </cell>
          <cell r="F1721" t="str">
            <v>N/ App</v>
          </cell>
        </row>
        <row r="1722">
          <cell r="B1722" t="str">
            <v>FB260002777</v>
          </cell>
          <cell r="F1722" t="str">
            <v>C/APP</v>
          </cell>
        </row>
        <row r="1723">
          <cell r="B1723" t="str">
            <v>FB260002776</v>
          </cell>
          <cell r="F1723" t="str">
            <v>N/ App</v>
          </cell>
        </row>
        <row r="1724">
          <cell r="B1724" t="str">
            <v>FB260005295</v>
          </cell>
          <cell r="F1724" t="str">
            <v>N/ App</v>
          </cell>
        </row>
        <row r="1725">
          <cell r="B1725" t="str">
            <v>FB260006912</v>
          </cell>
          <cell r="F1725" t="str">
            <v>C/APP</v>
          </cell>
        </row>
        <row r="1726">
          <cell r="B1726" t="str">
            <v>FB260003340</v>
          </cell>
          <cell r="F1726" t="str">
            <v>C/APP</v>
          </cell>
        </row>
        <row r="1727">
          <cell r="B1727" t="str">
            <v>FB260002768</v>
          </cell>
          <cell r="F1727" t="str">
            <v>C/APP</v>
          </cell>
        </row>
        <row r="1728">
          <cell r="B1728" t="str">
            <v>FB260005791</v>
          </cell>
          <cell r="F1728" t="str">
            <v>N/ App</v>
          </cell>
        </row>
        <row r="1729">
          <cell r="B1729" t="str">
            <v>FB260005872</v>
          </cell>
          <cell r="F1729" t="str">
            <v>N/ App</v>
          </cell>
        </row>
        <row r="1730">
          <cell r="B1730" t="str">
            <v>FB260006302</v>
          </cell>
          <cell r="F1730" t="str">
            <v>N/ App</v>
          </cell>
        </row>
        <row r="1731">
          <cell r="B1731" t="str">
            <v>FB250029131</v>
          </cell>
          <cell r="F1731" t="str">
            <v>N/ App</v>
          </cell>
        </row>
        <row r="1732">
          <cell r="B1732" t="str">
            <v>FB250029130</v>
          </cell>
          <cell r="F1732" t="str">
            <v>N/ App</v>
          </cell>
        </row>
        <row r="1733">
          <cell r="B1733" t="str">
            <v>FB260006382</v>
          </cell>
          <cell r="F1733" t="str">
            <v>N/ App</v>
          </cell>
        </row>
        <row r="1734">
          <cell r="B1734" t="str">
            <v>FB260005724</v>
          </cell>
          <cell r="F1734" t="str">
            <v>N/ App</v>
          </cell>
        </row>
        <row r="1735">
          <cell r="B1735" t="str">
            <v>FB260005524</v>
          </cell>
          <cell r="F1735" t="str">
            <v>N/ App</v>
          </cell>
        </row>
        <row r="1736">
          <cell r="B1736" t="str">
            <v>FB260003995</v>
          </cell>
          <cell r="F1736" t="str">
            <v>N/ App</v>
          </cell>
        </row>
        <row r="1737">
          <cell r="B1737" t="str">
            <v>FB260003984</v>
          </cell>
          <cell r="F1737" t="str">
            <v>N/ App</v>
          </cell>
        </row>
        <row r="1738">
          <cell r="B1738" t="str">
            <v>FB260005062</v>
          </cell>
          <cell r="F1738" t="str">
            <v>C/APP</v>
          </cell>
        </row>
        <row r="1739">
          <cell r="B1739" t="str">
            <v>FB260005971</v>
          </cell>
          <cell r="F1739" t="str">
            <v>N/ App</v>
          </cell>
        </row>
        <row r="1740">
          <cell r="B1740" t="str">
            <v>FB260005802</v>
          </cell>
          <cell r="F1740" t="str">
            <v>N/ App</v>
          </cell>
        </row>
        <row r="1741">
          <cell r="B1741" t="str">
            <v>FB260003323</v>
          </cell>
          <cell r="F1741" t="str">
            <v>N/ App</v>
          </cell>
        </row>
        <row r="1742">
          <cell r="B1742" t="str">
            <v>FB260003458</v>
          </cell>
          <cell r="F1742" t="str">
            <v>C/APP</v>
          </cell>
        </row>
        <row r="1743">
          <cell r="B1743" t="str">
            <v>FB260003464</v>
          </cell>
          <cell r="F1743" t="str">
            <v>N/ App</v>
          </cell>
        </row>
        <row r="1744">
          <cell r="B1744" t="str">
            <v>FB260002769</v>
          </cell>
          <cell r="F1744" t="str">
            <v>N/ App</v>
          </cell>
        </row>
        <row r="1745">
          <cell r="B1745" t="str">
            <v>FB260004865</v>
          </cell>
          <cell r="F1745" t="str">
            <v>N/ App</v>
          </cell>
        </row>
        <row r="1746">
          <cell r="B1746" t="str">
            <v>FB260006424</v>
          </cell>
          <cell r="F1746" t="str">
            <v>C/APP</v>
          </cell>
        </row>
        <row r="1747">
          <cell r="B1747" t="str">
            <v>FB260005375</v>
          </cell>
          <cell r="F1747" t="str">
            <v>N/ App</v>
          </cell>
        </row>
        <row r="1748">
          <cell r="B1748" t="str">
            <v>FR260000158</v>
          </cell>
          <cell r="F1748" t="str">
            <v>C/APP</v>
          </cell>
        </row>
        <row r="1749">
          <cell r="B1749" t="str">
            <v>FB260005838</v>
          </cell>
          <cell r="F1749" t="str">
            <v>N/ App</v>
          </cell>
        </row>
        <row r="1750">
          <cell r="B1750" t="str">
            <v>FB260005968</v>
          </cell>
          <cell r="F1750" t="str">
            <v>N/ App</v>
          </cell>
        </row>
        <row r="1751">
          <cell r="B1751" t="str">
            <v>FB260006631</v>
          </cell>
          <cell r="F1751" t="str">
            <v>N/ App</v>
          </cell>
        </row>
        <row r="1752">
          <cell r="B1752" t="str">
            <v>FB250029071</v>
          </cell>
          <cell r="F1752" t="str">
            <v>N/ App</v>
          </cell>
        </row>
        <row r="1753">
          <cell r="B1753" t="str">
            <v>FB260003513</v>
          </cell>
          <cell r="F1753" t="str">
            <v>N/ App</v>
          </cell>
        </row>
        <row r="1754">
          <cell r="B1754" t="str">
            <v>FB260006421</v>
          </cell>
          <cell r="F1754" t="str">
            <v>N/ App</v>
          </cell>
        </row>
        <row r="1755">
          <cell r="B1755" t="str">
            <v>FB260005728</v>
          </cell>
          <cell r="F1755" t="str">
            <v>N/ App</v>
          </cell>
        </row>
        <row r="1756">
          <cell r="B1756" t="str">
            <v>FB260005910</v>
          </cell>
          <cell r="F1756" t="str">
            <v>N/ App</v>
          </cell>
        </row>
        <row r="1757">
          <cell r="B1757" t="str">
            <v>FB260006825</v>
          </cell>
          <cell r="F1757" t="str">
            <v>N/ App</v>
          </cell>
        </row>
        <row r="1758">
          <cell r="B1758" t="str">
            <v>FB260006567</v>
          </cell>
          <cell r="F1758" t="str">
            <v>C/APP</v>
          </cell>
        </row>
        <row r="1759">
          <cell r="B1759" t="str">
            <v>FB260005836</v>
          </cell>
          <cell r="F1759" t="str">
            <v>N/ App</v>
          </cell>
        </row>
        <row r="1760">
          <cell r="B1760" t="str">
            <v>FB260006902</v>
          </cell>
          <cell r="F1760" t="str">
            <v>N/ App</v>
          </cell>
        </row>
        <row r="1761">
          <cell r="B1761" t="str">
            <v>FB260006904</v>
          </cell>
          <cell r="F1761" t="str">
            <v>N/ App</v>
          </cell>
        </row>
        <row r="1762">
          <cell r="B1762" t="str">
            <v>FB260006900</v>
          </cell>
          <cell r="F1762" t="str">
            <v>N/ App</v>
          </cell>
        </row>
        <row r="1763">
          <cell r="B1763" t="str">
            <v>FB260005837</v>
          </cell>
          <cell r="F1763" t="str">
            <v>N/ App</v>
          </cell>
        </row>
        <row r="1764">
          <cell r="B1764" t="str">
            <v>FB260004679</v>
          </cell>
          <cell r="F1764" t="str">
            <v>N/ App</v>
          </cell>
        </row>
        <row r="1765">
          <cell r="B1765" t="str">
            <v>FB260005513</v>
          </cell>
          <cell r="F1765" t="str">
            <v>C/APP</v>
          </cell>
        </row>
        <row r="1766">
          <cell r="B1766" t="str">
            <v>FB260005531</v>
          </cell>
          <cell r="F1766" t="str">
            <v>C/APP</v>
          </cell>
        </row>
        <row r="1767">
          <cell r="B1767" t="str">
            <v>FB260004718</v>
          </cell>
          <cell r="F1767" t="str">
            <v>N/ App</v>
          </cell>
        </row>
        <row r="1768">
          <cell r="B1768" t="str">
            <v>FB260006435</v>
          </cell>
          <cell r="F1768" t="str">
            <v>C/APP</v>
          </cell>
        </row>
        <row r="1769">
          <cell r="B1769" t="str">
            <v>FB260005334</v>
          </cell>
          <cell r="F1769" t="str">
            <v>N/ App</v>
          </cell>
        </row>
        <row r="1770">
          <cell r="B1770" t="str">
            <v>FB260005408</v>
          </cell>
          <cell r="F1770" t="str">
            <v>N/ App</v>
          </cell>
        </row>
        <row r="1771">
          <cell r="B1771" t="str">
            <v>FB260006629</v>
          </cell>
          <cell r="F1771" t="str">
            <v>N/ App</v>
          </cell>
        </row>
        <row r="1772">
          <cell r="B1772" t="str">
            <v>FB260005734</v>
          </cell>
          <cell r="F1772" t="str">
            <v>N/ App</v>
          </cell>
        </row>
        <row r="1773">
          <cell r="B1773" t="str">
            <v>FB250029129</v>
          </cell>
          <cell r="F1773" t="str">
            <v>N/ App</v>
          </cell>
        </row>
        <row r="1774">
          <cell r="B1774" t="str">
            <v>FB260005030</v>
          </cell>
          <cell r="F1774" t="str">
            <v>C/APP</v>
          </cell>
        </row>
        <row r="1775">
          <cell r="B1775" t="str">
            <v>FB260003946</v>
          </cell>
          <cell r="F1775" t="str">
            <v>N/ App</v>
          </cell>
        </row>
        <row r="1776">
          <cell r="B1776" t="str">
            <v>FB260006396</v>
          </cell>
          <cell r="F1776" t="str">
            <v>N/ App</v>
          </cell>
        </row>
        <row r="1777">
          <cell r="B1777" t="str">
            <v>FB250029125</v>
          </cell>
          <cell r="F1777" t="str">
            <v>N/ App</v>
          </cell>
        </row>
        <row r="1778">
          <cell r="B1778" t="str">
            <v>FB260004666</v>
          </cell>
          <cell r="F1778" t="str">
            <v>N/ App</v>
          </cell>
        </row>
        <row r="1779">
          <cell r="B1779" t="str">
            <v>FB260005313</v>
          </cell>
          <cell r="F1779" t="str">
            <v>C/APP</v>
          </cell>
        </row>
        <row r="1780">
          <cell r="B1780" t="str">
            <v>FB260003939</v>
          </cell>
          <cell r="F1780" t="str">
            <v>N/ App</v>
          </cell>
        </row>
        <row r="1781">
          <cell r="B1781" t="str">
            <v>FB260006915</v>
          </cell>
          <cell r="F1781" t="str">
            <v>N/ App</v>
          </cell>
        </row>
        <row r="1782">
          <cell r="B1782" t="str">
            <v>FB260006607</v>
          </cell>
          <cell r="F1782" t="str">
            <v>N/ App</v>
          </cell>
        </row>
        <row r="1783">
          <cell r="B1783" t="str">
            <v>FB260005961</v>
          </cell>
          <cell r="F1783" t="str">
            <v>N/ App</v>
          </cell>
        </row>
        <row r="1784">
          <cell r="B1784" t="str">
            <v>FB260005317</v>
          </cell>
          <cell r="F1784" t="str">
            <v>N/ App</v>
          </cell>
        </row>
        <row r="1785">
          <cell r="B1785" t="str">
            <v>FB260003463</v>
          </cell>
          <cell r="F1785" t="str">
            <v>N/ App</v>
          </cell>
        </row>
        <row r="1786">
          <cell r="B1786" t="str">
            <v>FB250029107</v>
          </cell>
          <cell r="F1786" t="str">
            <v>C/APP</v>
          </cell>
        </row>
        <row r="1787">
          <cell r="B1787" t="str">
            <v>FB250029106</v>
          </cell>
          <cell r="F1787" t="str">
            <v>C/APP</v>
          </cell>
        </row>
        <row r="1788">
          <cell r="B1788" t="str">
            <v>FB260003560</v>
          </cell>
          <cell r="F1788" t="str">
            <v>N/ App</v>
          </cell>
        </row>
        <row r="1789">
          <cell r="B1789" t="str">
            <v>FR260000153</v>
          </cell>
          <cell r="F1789" t="str">
            <v>C/APP</v>
          </cell>
        </row>
        <row r="1790">
          <cell r="B1790" t="str">
            <v>FB260006217</v>
          </cell>
          <cell r="F1790" t="str">
            <v>C/APP</v>
          </cell>
        </row>
        <row r="1791">
          <cell r="B1791" t="str">
            <v>FB260006121</v>
          </cell>
          <cell r="F1791" t="str">
            <v>N/ App</v>
          </cell>
        </row>
        <row r="1792">
          <cell r="B1792" t="str">
            <v>FB260006115</v>
          </cell>
          <cell r="F1792" t="str">
            <v>N/ App</v>
          </cell>
        </row>
        <row r="1793">
          <cell r="B1793" t="str">
            <v>FB260005873</v>
          </cell>
          <cell r="F1793" t="str">
            <v>N/ App</v>
          </cell>
        </row>
        <row r="1794">
          <cell r="B1794" t="str">
            <v>FB260005800</v>
          </cell>
          <cell r="F1794" t="str">
            <v>N/ App</v>
          </cell>
        </row>
        <row r="1795">
          <cell r="B1795" t="str">
            <v>FB260005881</v>
          </cell>
          <cell r="F1795" t="str">
            <v>C/APP</v>
          </cell>
        </row>
        <row r="1796">
          <cell r="B1796" t="str">
            <v>FB260006157</v>
          </cell>
          <cell r="F1796" t="str">
            <v>C/APP</v>
          </cell>
        </row>
        <row r="1797">
          <cell r="B1797" t="str">
            <v>FB250002634</v>
          </cell>
          <cell r="F1797" t="str">
            <v>N/ App</v>
          </cell>
        </row>
        <row r="1798">
          <cell r="B1798" t="str">
            <v>FB260005958</v>
          </cell>
          <cell r="F1798" t="str">
            <v>N/ App</v>
          </cell>
        </row>
        <row r="1799">
          <cell r="B1799" t="str">
            <v>FB260005957</v>
          </cell>
          <cell r="F1799" t="str">
            <v>N/ App</v>
          </cell>
        </row>
        <row r="1800">
          <cell r="B1800" t="str">
            <v>FB260006218</v>
          </cell>
          <cell r="F1800" t="str">
            <v>C/APP</v>
          </cell>
        </row>
        <row r="1801">
          <cell r="B1801" t="str">
            <v>FB260003719</v>
          </cell>
          <cell r="F1801" t="str">
            <v>N/ App</v>
          </cell>
        </row>
        <row r="1802">
          <cell r="B1802" t="str">
            <v>FB260002779</v>
          </cell>
          <cell r="F1802" t="str">
            <v>N/ App</v>
          </cell>
        </row>
        <row r="1803">
          <cell r="B1803" t="str">
            <v>FB260002778</v>
          </cell>
          <cell r="F1803" t="str">
            <v>N/ App</v>
          </cell>
        </row>
        <row r="1804">
          <cell r="B1804" t="str">
            <v>FB260006499</v>
          </cell>
          <cell r="F1804" t="str">
            <v>C/APP</v>
          </cell>
        </row>
        <row r="1805">
          <cell r="B1805" t="str">
            <v>FR260000152</v>
          </cell>
          <cell r="F1805" t="str">
            <v>N/ App</v>
          </cell>
        </row>
        <row r="1806">
          <cell r="B1806" t="str">
            <v>FB260005849</v>
          </cell>
          <cell r="F1806" t="str">
            <v>N/ App</v>
          </cell>
        </row>
        <row r="1807">
          <cell r="B1807" t="str">
            <v>FB250029146</v>
          </cell>
          <cell r="F1807" t="str">
            <v>N/ App</v>
          </cell>
        </row>
        <row r="1808">
          <cell r="B1808" t="str">
            <v>FB250029127</v>
          </cell>
          <cell r="F1808" t="str">
            <v>C/APP</v>
          </cell>
        </row>
        <row r="1809">
          <cell r="B1809" t="str">
            <v>FB250029024</v>
          </cell>
          <cell r="F1809" t="str">
            <v>N/ App</v>
          </cell>
        </row>
        <row r="1810">
          <cell r="B1810" t="str">
            <v>FB260005384</v>
          </cell>
          <cell r="F1810" t="str">
            <v>N/ App</v>
          </cell>
        </row>
        <row r="1811">
          <cell r="B1811" t="str">
            <v>FB260005817</v>
          </cell>
          <cell r="F1811" t="str">
            <v>C/APP</v>
          </cell>
        </row>
        <row r="1812">
          <cell r="B1812" t="str">
            <v>FB260005067</v>
          </cell>
          <cell r="F1812" t="str">
            <v>C/APP</v>
          </cell>
        </row>
        <row r="1813">
          <cell r="B1813" t="str">
            <v>FB260006455</v>
          </cell>
          <cell r="F1813" t="str">
            <v>C/APP</v>
          </cell>
        </row>
        <row r="1814">
          <cell r="B1814" t="str">
            <v>FB260004445</v>
          </cell>
          <cell r="F1814" t="str">
            <v>N/ App</v>
          </cell>
        </row>
        <row r="1815">
          <cell r="B1815" t="str">
            <v>FB260005974</v>
          </cell>
          <cell r="F1815" t="str">
            <v>N/ App</v>
          </cell>
        </row>
        <row r="1816">
          <cell r="B1816" t="str">
            <v>FB250002634</v>
          </cell>
          <cell r="F1816" t="str">
            <v>N/ App</v>
          </cell>
        </row>
        <row r="1817">
          <cell r="B1817" t="str">
            <v>FB260005387</v>
          </cell>
          <cell r="F1817" t="str">
            <v>N/ App</v>
          </cell>
        </row>
        <row r="1818">
          <cell r="B1818" t="str">
            <v>FB260007126</v>
          </cell>
          <cell r="F1818" t="str">
            <v>N/ App</v>
          </cell>
        </row>
        <row r="1819">
          <cell r="B1819" t="str">
            <v>FB250029128</v>
          </cell>
          <cell r="F1819" t="str">
            <v>C/APP</v>
          </cell>
        </row>
        <row r="1820">
          <cell r="B1820" t="str">
            <v>FB260005022</v>
          </cell>
          <cell r="F1820" t="str">
            <v>N/ App</v>
          </cell>
        </row>
        <row r="1821">
          <cell r="B1821" t="str">
            <v>FB250029120</v>
          </cell>
          <cell r="F1821" t="str">
            <v>N/ App</v>
          </cell>
        </row>
        <row r="1822">
          <cell r="B1822" t="str">
            <v>FB260005840</v>
          </cell>
          <cell r="F1822" t="str">
            <v>C/APP</v>
          </cell>
        </row>
        <row r="1823">
          <cell r="B1823" t="str">
            <v>FB250029126</v>
          </cell>
          <cell r="F1823" t="str">
            <v>N/ App</v>
          </cell>
        </row>
        <row r="1824">
          <cell r="B1824" t="str">
            <v>FB260006596</v>
          </cell>
          <cell r="F1824" t="str">
            <v>N/ App</v>
          </cell>
        </row>
        <row r="1825">
          <cell r="B1825" t="str">
            <v>FB260005091</v>
          </cell>
          <cell r="F1825" t="str">
            <v>N/ App</v>
          </cell>
        </row>
        <row r="1826">
          <cell r="B1826" t="str">
            <v>FB260003455</v>
          </cell>
          <cell r="F1826" t="str">
            <v>C/APP</v>
          </cell>
        </row>
        <row r="1827">
          <cell r="B1827" t="str">
            <v>FB260003603</v>
          </cell>
          <cell r="F1827" t="str">
            <v>N/ App</v>
          </cell>
        </row>
        <row r="1828">
          <cell r="B1828" t="str">
            <v>FB260002762</v>
          </cell>
          <cell r="F1828" t="str">
            <v>N/ App</v>
          </cell>
        </row>
        <row r="1829">
          <cell r="B1829" t="str">
            <v>FB260006913</v>
          </cell>
          <cell r="F1829" t="str">
            <v>N/ App</v>
          </cell>
        </row>
        <row r="1830">
          <cell r="B1830" t="str">
            <v>FB260006307</v>
          </cell>
          <cell r="F1830" t="str">
            <v>N/ App</v>
          </cell>
        </row>
        <row r="1831">
          <cell r="B1831" t="str">
            <v>FB260007123</v>
          </cell>
          <cell r="F1831" t="str">
            <v>N/ App</v>
          </cell>
        </row>
        <row r="1832">
          <cell r="B1832" t="str">
            <v>FB260006135</v>
          </cell>
          <cell r="F1832" t="str">
            <v>N/ App</v>
          </cell>
        </row>
        <row r="1833">
          <cell r="B1833" t="str">
            <v>FB260005871</v>
          </cell>
          <cell r="F1833" t="str">
            <v>C/APP</v>
          </cell>
        </row>
        <row r="1834">
          <cell r="B1834" t="str">
            <v>FB260005781</v>
          </cell>
          <cell r="F1834" t="str">
            <v>N/ App</v>
          </cell>
        </row>
        <row r="1835">
          <cell r="B1835" t="str">
            <v>FB260006216</v>
          </cell>
          <cell r="F1835" t="str">
            <v>N/ App</v>
          </cell>
        </row>
        <row r="1836">
          <cell r="B1836" t="str">
            <v>FB260004374</v>
          </cell>
          <cell r="F1836" t="str">
            <v>N/ App</v>
          </cell>
        </row>
        <row r="1837">
          <cell r="B1837" t="str">
            <v>FB260006907</v>
          </cell>
          <cell r="F1837" t="str">
            <v>N/ App</v>
          </cell>
        </row>
        <row r="1838">
          <cell r="B1838" t="str">
            <v>FB260006125</v>
          </cell>
          <cell r="F1838" t="str">
            <v>N/ App</v>
          </cell>
        </row>
        <row r="1839">
          <cell r="B1839" t="str">
            <v>FB260006574</v>
          </cell>
          <cell r="F1839" t="str">
            <v>N/ App</v>
          </cell>
        </row>
        <row r="1840">
          <cell r="B1840" t="str">
            <v>FB260005732</v>
          </cell>
          <cell r="F1840" t="str">
            <v>N/ App</v>
          </cell>
        </row>
        <row r="1841">
          <cell r="B1841" t="str">
            <v>FB260007100</v>
          </cell>
          <cell r="F1841" t="str">
            <v>N/ App</v>
          </cell>
        </row>
        <row r="1842">
          <cell r="B1842" t="str">
            <v>FB260005191</v>
          </cell>
          <cell r="F1842" t="str">
            <v>N/ App</v>
          </cell>
        </row>
        <row r="1843">
          <cell r="B1843" t="str">
            <v>FB260006597</v>
          </cell>
          <cell r="F1843" t="str">
            <v>N/ App</v>
          </cell>
        </row>
        <row r="1844">
          <cell r="B1844" t="str">
            <v>FB260000799</v>
          </cell>
          <cell r="F1844" t="str">
            <v>N/ App</v>
          </cell>
        </row>
        <row r="1845">
          <cell r="B1845" t="str">
            <v>FB260003780</v>
          </cell>
          <cell r="F1845" t="str">
            <v>N/ App</v>
          </cell>
        </row>
        <row r="1846">
          <cell r="B1846" t="str">
            <v>FB260003457</v>
          </cell>
          <cell r="F1846" t="str">
            <v>N/ App</v>
          </cell>
        </row>
        <row r="1847">
          <cell r="B1847" t="str">
            <v>FB260002775</v>
          </cell>
          <cell r="F1847" t="str">
            <v>N/ App</v>
          </cell>
        </row>
        <row r="1848">
          <cell r="B1848" t="str">
            <v>FB250029026</v>
          </cell>
          <cell r="F1848" t="str">
            <v>N/ App</v>
          </cell>
        </row>
        <row r="1849">
          <cell r="B1849" t="str">
            <v>FB260005339</v>
          </cell>
          <cell r="F1849" t="str">
            <v>N/ App</v>
          </cell>
        </row>
        <row r="1850">
          <cell r="B1850" t="str">
            <v>FB260006595</v>
          </cell>
          <cell r="F1850" t="str">
            <v>N/ App</v>
          </cell>
        </row>
        <row r="1851">
          <cell r="B1851" t="str">
            <v>FB260006417</v>
          </cell>
          <cell r="F1851" t="str">
            <v>N/ App</v>
          </cell>
        </row>
        <row r="1852">
          <cell r="B1852" t="str">
            <v>FB260000329</v>
          </cell>
          <cell r="F1852" t="str">
            <v>C/APP</v>
          </cell>
        </row>
        <row r="1853">
          <cell r="B1853" t="str">
            <v>FB260006033</v>
          </cell>
          <cell r="F1853" t="str">
            <v>N/ App</v>
          </cell>
        </row>
        <row r="1854">
          <cell r="B1854" t="str">
            <v>FB260005157</v>
          </cell>
          <cell r="F1854" t="str">
            <v>N/ App</v>
          </cell>
        </row>
        <row r="1855">
          <cell r="B1855" t="str">
            <v>FB260007122</v>
          </cell>
          <cell r="F1855" t="str">
            <v>N/ App</v>
          </cell>
        </row>
        <row r="1856">
          <cell r="B1856" t="str">
            <v>FB260005758</v>
          </cell>
          <cell r="F1856" t="str">
            <v>N/ App</v>
          </cell>
        </row>
        <row r="1857">
          <cell r="B1857" t="str">
            <v>FB260005855</v>
          </cell>
          <cell r="F1857" t="str">
            <v>N/ App</v>
          </cell>
        </row>
        <row r="1858">
          <cell r="B1858" t="str">
            <v>FB260006905</v>
          </cell>
          <cell r="F1858" t="str">
            <v>N/ App</v>
          </cell>
        </row>
        <row r="1859">
          <cell r="B1859" t="str">
            <v>FB250029132</v>
          </cell>
          <cell r="F1859" t="str">
            <v>N/ App</v>
          </cell>
        </row>
        <row r="1860">
          <cell r="B1860" t="str">
            <v>FB260007128</v>
          </cell>
          <cell r="F1860" t="str">
            <v>N/ App</v>
          </cell>
        </row>
        <row r="1861">
          <cell r="B1861" t="str">
            <v>FB260006297</v>
          </cell>
          <cell r="F1861" t="str">
            <v>N/ App</v>
          </cell>
        </row>
        <row r="1862">
          <cell r="B1862" t="str">
            <v>FB260006630</v>
          </cell>
          <cell r="F1862" t="str">
            <v>N/ App</v>
          </cell>
        </row>
        <row r="1863">
          <cell r="B1863" t="str">
            <v>FB260007129</v>
          </cell>
          <cell r="F1863" t="str">
            <v>N/ App</v>
          </cell>
        </row>
        <row r="1864">
          <cell r="B1864" t="str">
            <v>FB250029121</v>
          </cell>
          <cell r="F1864" t="str">
            <v>C/APP</v>
          </cell>
        </row>
        <row r="1865">
          <cell r="B1865" t="str">
            <v>FB260006138</v>
          </cell>
          <cell r="F1865" t="str">
            <v>N/ App</v>
          </cell>
        </row>
        <row r="1866">
          <cell r="B1866" t="str">
            <v>FB250029122</v>
          </cell>
          <cell r="F1866" t="str">
            <v>C/APP</v>
          </cell>
        </row>
        <row r="1867">
          <cell r="B1867" t="str">
            <v>FB260005877</v>
          </cell>
          <cell r="F1867" t="str">
            <v>C/APP</v>
          </cell>
        </row>
        <row r="1868">
          <cell r="B1868" t="str">
            <v>FB260004519</v>
          </cell>
          <cell r="F1868" t="str">
            <v>N/ App</v>
          </cell>
        </row>
        <row r="1869">
          <cell r="B1869" t="str">
            <v>FB260006317</v>
          </cell>
          <cell r="F1869" t="str">
            <v>C/APP</v>
          </cell>
        </row>
        <row r="1870">
          <cell r="B1870" t="str">
            <v>FB260006233</v>
          </cell>
          <cell r="F1870" t="str">
            <v>N/ App</v>
          </cell>
        </row>
        <row r="1871">
          <cell r="B1871" t="str">
            <v>FB260006306</v>
          </cell>
          <cell r="F1871" t="str">
            <v>C/APP</v>
          </cell>
        </row>
        <row r="1872">
          <cell r="B1872" t="str">
            <v>FB260006304</v>
          </cell>
          <cell r="F1872" t="str">
            <v>C/APP</v>
          </cell>
        </row>
        <row r="1873">
          <cell r="B1873" t="str">
            <v>FB260003906</v>
          </cell>
          <cell r="F1873" t="str">
            <v>N/ App</v>
          </cell>
        </row>
        <row r="1874">
          <cell r="B1874" t="str">
            <v>FB250028566</v>
          </cell>
          <cell r="F1874" t="str">
            <v>N/ App</v>
          </cell>
        </row>
        <row r="1875">
          <cell r="B1875" t="str">
            <v>FB260005173</v>
          </cell>
          <cell r="F1875" t="str">
            <v>N/ App</v>
          </cell>
        </row>
        <row r="1876">
          <cell r="B1876" t="str">
            <v>FB250029028</v>
          </cell>
          <cell r="F1876" t="str">
            <v>N/ App</v>
          </cell>
        </row>
        <row r="1877">
          <cell r="B1877" t="str">
            <v>FB260005336</v>
          </cell>
          <cell r="F1877" t="str">
            <v>N/ App</v>
          </cell>
        </row>
        <row r="1878">
          <cell r="B1878" t="str">
            <v>FB260006608</v>
          </cell>
          <cell r="F1878" t="str">
            <v>N/ App</v>
          </cell>
        </row>
        <row r="1879">
          <cell r="B1879" t="str">
            <v>FB260004706</v>
          </cell>
          <cell r="F1879" t="str">
            <v>REJECT</v>
          </cell>
        </row>
        <row r="1880">
          <cell r="B1880" t="str">
            <v>FB260003599</v>
          </cell>
          <cell r="F1880" t="str">
            <v>N/ App</v>
          </cell>
        </row>
        <row r="1881">
          <cell r="B1881" t="str">
            <v>FB260003606</v>
          </cell>
          <cell r="F1881" t="str">
            <v>N/ App</v>
          </cell>
        </row>
        <row r="1882">
          <cell r="B1882" t="str">
            <v>FB260003607</v>
          </cell>
          <cell r="F1882" t="str">
            <v>N/ App</v>
          </cell>
        </row>
        <row r="1883">
          <cell r="B1883" t="str">
            <v>FB260003576</v>
          </cell>
          <cell r="F1883" t="str">
            <v>N/ App</v>
          </cell>
        </row>
        <row r="1884">
          <cell r="B1884" t="str">
            <v>FB260006984</v>
          </cell>
          <cell r="F1884" t="str">
            <v>N/ App</v>
          </cell>
        </row>
        <row r="1885">
          <cell r="B1885" t="str">
            <v>FB260004296</v>
          </cell>
          <cell r="F1885" t="str">
            <v>N/ App</v>
          </cell>
        </row>
        <row r="1886">
          <cell r="B1886" t="str">
            <v>FB260005376</v>
          </cell>
          <cell r="F1886" t="str">
            <v>N/ App</v>
          </cell>
        </row>
        <row r="1887">
          <cell r="B1887" t="str">
            <v>FB260005832</v>
          </cell>
          <cell r="F1887" t="str">
            <v>N/ App</v>
          </cell>
        </row>
        <row r="1888">
          <cell r="B1888" t="str">
            <v>FB260005829</v>
          </cell>
          <cell r="F1888" t="str">
            <v>N/ App</v>
          </cell>
        </row>
        <row r="1889">
          <cell r="B1889" t="str">
            <v>FB250029124</v>
          </cell>
          <cell r="F1889" t="str">
            <v>N/ App</v>
          </cell>
        </row>
        <row r="1890">
          <cell r="B1890" t="str">
            <v>FB260006599</v>
          </cell>
          <cell r="F1890" t="str">
            <v>N/ App</v>
          </cell>
        </row>
        <row r="1891">
          <cell r="B1891" t="str">
            <v>FB250029138</v>
          </cell>
          <cell r="F1891" t="str">
            <v>N/ App</v>
          </cell>
        </row>
        <row r="1892">
          <cell r="B1892" t="str">
            <v>FB260006032</v>
          </cell>
          <cell r="F1892" t="str">
            <v>N/ App</v>
          </cell>
        </row>
        <row r="1893">
          <cell r="B1893" t="str">
            <v>FB260006030</v>
          </cell>
          <cell r="F1893" t="str">
            <v>N/ App</v>
          </cell>
        </row>
        <row r="1894">
          <cell r="B1894" t="str">
            <v>FB260006029</v>
          </cell>
          <cell r="F1894" t="str">
            <v>N/ App</v>
          </cell>
        </row>
        <row r="1895">
          <cell r="B1895" t="str">
            <v>FB260005783</v>
          </cell>
          <cell r="F1895" t="str">
            <v>N/ App</v>
          </cell>
        </row>
        <row r="1896">
          <cell r="B1896" t="str">
            <v>FB260006210</v>
          </cell>
          <cell r="F1896" t="str">
            <v>N/ App</v>
          </cell>
        </row>
        <row r="1897">
          <cell r="B1897" t="str">
            <v>FB260005883</v>
          </cell>
          <cell r="F1897" t="str">
            <v>N/ App</v>
          </cell>
        </row>
        <row r="1898">
          <cell r="B1898" t="str">
            <v>FB260005818</v>
          </cell>
          <cell r="F1898" t="str">
            <v>C/APP</v>
          </cell>
        </row>
        <row r="1899">
          <cell r="B1899" t="str">
            <v>FB260006518</v>
          </cell>
          <cell r="F1899" t="str">
            <v>N/ App</v>
          </cell>
        </row>
        <row r="1900">
          <cell r="B1900" t="str">
            <v>FB260004867</v>
          </cell>
          <cell r="F1900" t="str">
            <v>N/ App</v>
          </cell>
        </row>
        <row r="1901">
          <cell r="B1901" t="str">
            <v>FB260005794</v>
          </cell>
          <cell r="F1901" t="str">
            <v>N/ App</v>
          </cell>
        </row>
        <row r="1902">
          <cell r="B1902" t="str">
            <v>FB260005795</v>
          </cell>
          <cell r="F1902" t="str">
            <v>N/ App</v>
          </cell>
        </row>
        <row r="1903">
          <cell r="B1903" t="str">
            <v>FB260007130</v>
          </cell>
          <cell r="F1903" t="str">
            <v>N/ App</v>
          </cell>
        </row>
        <row r="1904">
          <cell r="B1904" t="str">
            <v>FB260005314</v>
          </cell>
          <cell r="F1904" t="str">
            <v>N/ App</v>
          </cell>
        </row>
        <row r="1905">
          <cell r="B1905" t="str">
            <v>FB260005316</v>
          </cell>
          <cell r="F1905" t="str">
            <v>N/ App</v>
          </cell>
        </row>
        <row r="1906">
          <cell r="B1906" t="str">
            <v>FB260006601</v>
          </cell>
          <cell r="F1906" t="str">
            <v>N/ App</v>
          </cell>
        </row>
        <row r="1907">
          <cell r="B1907" t="str">
            <v>FB260005843</v>
          </cell>
          <cell r="F1907" t="str">
            <v>N/ App</v>
          </cell>
        </row>
        <row r="1908">
          <cell r="B1908" t="str">
            <v>FB260005611</v>
          </cell>
          <cell r="F1908" t="str">
            <v>N/ App</v>
          </cell>
        </row>
        <row r="1909">
          <cell r="B1909" t="str">
            <v>FB260005097</v>
          </cell>
          <cell r="F1909" t="str">
            <v>N/ App</v>
          </cell>
        </row>
        <row r="1910">
          <cell r="B1910" t="str">
            <v>FB260006474</v>
          </cell>
          <cell r="F1910" t="str">
            <v>N/ App</v>
          </cell>
        </row>
        <row r="1911">
          <cell r="B1911" t="str">
            <v>FB260006600</v>
          </cell>
          <cell r="F1911" t="str">
            <v>N/ App</v>
          </cell>
        </row>
        <row r="1912">
          <cell r="B1912" t="str">
            <v>FB260007098</v>
          </cell>
          <cell r="F1912" t="str">
            <v>N/ App</v>
          </cell>
        </row>
        <row r="1913">
          <cell r="B1913" t="str">
            <v>FB260006242</v>
          </cell>
          <cell r="F1913" t="str">
            <v>N/ App</v>
          </cell>
        </row>
        <row r="1914">
          <cell r="B1914" t="str">
            <v>FB260005787</v>
          </cell>
          <cell r="F1914" t="str">
            <v>N/ App</v>
          </cell>
        </row>
        <row r="1915">
          <cell r="B1915" t="str">
            <v>FB260005424</v>
          </cell>
          <cell r="F1915" t="str">
            <v>N/ App</v>
          </cell>
        </row>
        <row r="1916">
          <cell r="B1916" t="str">
            <v>FB260006609</v>
          </cell>
          <cell r="F1916" t="str">
            <v>N/ App</v>
          </cell>
        </row>
        <row r="1917">
          <cell r="B1917" t="str">
            <v>FB260003336</v>
          </cell>
          <cell r="F1917" t="str">
            <v>C/APP</v>
          </cell>
        </row>
        <row r="1918">
          <cell r="B1918" t="str">
            <v>FB260006212</v>
          </cell>
          <cell r="F1918" t="str">
            <v>C/APP</v>
          </cell>
        </row>
        <row r="1919">
          <cell r="B1919" t="str">
            <v>FB250029136</v>
          </cell>
          <cell r="F1919" t="str">
            <v>C/APP</v>
          </cell>
        </row>
        <row r="1920">
          <cell r="B1920" t="str">
            <v>FB260005021</v>
          </cell>
          <cell r="F1920" t="str">
            <v>C/APP</v>
          </cell>
        </row>
        <row r="1921">
          <cell r="B1921" t="str">
            <v>FB250029137</v>
          </cell>
          <cell r="F1921" t="str">
            <v>C/APP</v>
          </cell>
        </row>
        <row r="1922">
          <cell r="B1922" t="str">
            <v>FB260005000</v>
          </cell>
          <cell r="F1922" t="str">
            <v>C/APP</v>
          </cell>
        </row>
        <row r="1923">
          <cell r="B1923" t="str">
            <v>FB250029027</v>
          </cell>
          <cell r="F1923" t="str">
            <v>N/ App</v>
          </cell>
        </row>
        <row r="1924">
          <cell r="B1924" t="str">
            <v>FB260006142</v>
          </cell>
          <cell r="F1924" t="str">
            <v>C/APP</v>
          </cell>
        </row>
        <row r="1925">
          <cell r="B1925" t="str">
            <v>FR260000172</v>
          </cell>
          <cell r="F1925" t="str">
            <v>N/ App</v>
          </cell>
        </row>
        <row r="1926">
          <cell r="B1926" t="str">
            <v>FB260005526</v>
          </cell>
          <cell r="F1926" t="str">
            <v>N/ App</v>
          </cell>
        </row>
        <row r="1927">
          <cell r="B1927" t="str">
            <v>FB250029025</v>
          </cell>
          <cell r="F1927" t="str">
            <v>N/ App</v>
          </cell>
        </row>
        <row r="1928">
          <cell r="B1928" t="str">
            <v>FB260005599</v>
          </cell>
          <cell r="F1928" t="str">
            <v>N/ App</v>
          </cell>
        </row>
        <row r="1929">
          <cell r="B1929" t="str">
            <v>FB250029152</v>
          </cell>
          <cell r="F1929" t="str">
            <v>N/ App</v>
          </cell>
        </row>
        <row r="1930">
          <cell r="B1930" t="str">
            <v>FB260005521</v>
          </cell>
          <cell r="F1930" t="str">
            <v>C/APP</v>
          </cell>
        </row>
        <row r="1931">
          <cell r="B1931" t="str">
            <v>FB260006405</v>
          </cell>
          <cell r="F1931" t="str">
            <v>N/ App</v>
          </cell>
        </row>
        <row r="1932">
          <cell r="B1932" t="str">
            <v>FB250029029</v>
          </cell>
          <cell r="F1932" t="str">
            <v>N/ App</v>
          </cell>
        </row>
        <row r="1933">
          <cell r="B1933" t="str">
            <v>FB260006555</v>
          </cell>
          <cell r="F1933" t="str">
            <v>C/APP</v>
          </cell>
        </row>
        <row r="1934">
          <cell r="B1934" t="str">
            <v>FB260003554</v>
          </cell>
          <cell r="F1934" t="str">
            <v>N/ App</v>
          </cell>
        </row>
        <row r="1935">
          <cell r="B1935" t="str">
            <v>FB260007038</v>
          </cell>
          <cell r="F1935" t="str">
            <v>N/ App</v>
          </cell>
        </row>
        <row r="1936">
          <cell r="B1936" t="str">
            <v>FB260005600</v>
          </cell>
          <cell r="F1936" t="str">
            <v>N/ App</v>
          </cell>
        </row>
        <row r="1937">
          <cell r="B1937" t="str">
            <v>FB260006759</v>
          </cell>
          <cell r="F1937" t="str">
            <v>N/ App</v>
          </cell>
        </row>
        <row r="1938">
          <cell r="B1938" t="str">
            <v>FB260005853</v>
          </cell>
          <cell r="F1938" t="str">
            <v>N/ App</v>
          </cell>
        </row>
        <row r="1939">
          <cell r="B1939" t="str">
            <v>FB260007027</v>
          </cell>
          <cell r="F1939" t="str">
            <v>N/ App</v>
          </cell>
        </row>
        <row r="1940">
          <cell r="B1940" t="str">
            <v>FB260006379</v>
          </cell>
          <cell r="F1940" t="str">
            <v>N/ App</v>
          </cell>
        </row>
        <row r="1941">
          <cell r="B1941" t="str">
            <v>FB260005927</v>
          </cell>
          <cell r="F1941" t="str">
            <v>N/ App</v>
          </cell>
        </row>
        <row r="1942">
          <cell r="B1942" t="str">
            <v>FB260006311</v>
          </cell>
          <cell r="F1942" t="str">
            <v>N/ App</v>
          </cell>
        </row>
        <row r="1943">
          <cell r="B1943" t="str">
            <v>FB260006520</v>
          </cell>
          <cell r="F1943" t="str">
            <v>N/ App</v>
          </cell>
        </row>
        <row r="1944">
          <cell r="B1944" t="str">
            <v>FB260005689</v>
          </cell>
          <cell r="F1944" t="str">
            <v>N/ App</v>
          </cell>
        </row>
        <row r="1945">
          <cell r="B1945" t="str">
            <v>FB260006677</v>
          </cell>
          <cell r="F1945" t="str">
            <v>N/ App</v>
          </cell>
        </row>
        <row r="1946">
          <cell r="B1946" t="str">
            <v>FB260005772</v>
          </cell>
          <cell r="F1946" t="str">
            <v>N/ App</v>
          </cell>
        </row>
        <row r="1947">
          <cell r="B1947" t="str">
            <v>FB260006793</v>
          </cell>
          <cell r="F1947" t="str">
            <v>N/ App</v>
          </cell>
        </row>
        <row r="1948">
          <cell r="B1948" t="str">
            <v>FB260006247</v>
          </cell>
          <cell r="F1948" t="str">
            <v>N/ App</v>
          </cell>
        </row>
        <row r="1949">
          <cell r="B1949" t="str">
            <v>FB260006648</v>
          </cell>
          <cell r="F1949" t="str">
            <v>N/ App</v>
          </cell>
        </row>
        <row r="1950">
          <cell r="B1950" t="str">
            <v>FB260006657</v>
          </cell>
          <cell r="F1950" t="str">
            <v>N/ App</v>
          </cell>
        </row>
        <row r="1951">
          <cell r="B1951" t="str">
            <v>FB260006740</v>
          </cell>
          <cell r="F1951" t="str">
            <v>N/ App</v>
          </cell>
        </row>
        <row r="1952">
          <cell r="B1952" t="str">
            <v>FB260007041</v>
          </cell>
          <cell r="F1952" t="str">
            <v>N/ App</v>
          </cell>
        </row>
        <row r="1953">
          <cell r="B1953" t="str">
            <v>FB260006477</v>
          </cell>
          <cell r="F1953" t="str">
            <v>N/ App</v>
          </cell>
        </row>
        <row r="1954">
          <cell r="B1954" t="str">
            <v>FB260006479</v>
          </cell>
          <cell r="F1954" t="str">
            <v>N/ App</v>
          </cell>
        </row>
        <row r="1955">
          <cell r="B1955" t="str">
            <v>FB260005776</v>
          </cell>
          <cell r="F1955" t="str">
            <v>N/ App</v>
          </cell>
        </row>
        <row r="1956">
          <cell r="B1956" t="str">
            <v>FB260006139</v>
          </cell>
          <cell r="F1956" t="str">
            <v>N/ App</v>
          </cell>
        </row>
        <row r="1957">
          <cell r="B1957" t="str">
            <v>FB260006133</v>
          </cell>
          <cell r="F1957" t="str">
            <v>N/ App</v>
          </cell>
        </row>
        <row r="1958">
          <cell r="B1958" t="str">
            <v>FB260006298</v>
          </cell>
          <cell r="F1958" t="str">
            <v>N/ App</v>
          </cell>
        </row>
        <row r="1959">
          <cell r="B1959" t="str">
            <v>FB260007196</v>
          </cell>
          <cell r="F1959" t="str">
            <v>N/ App</v>
          </cell>
        </row>
        <row r="1960">
          <cell r="B1960" t="str">
            <v>FB260006471</v>
          </cell>
          <cell r="F1960" t="str">
            <v>N/ App</v>
          </cell>
        </row>
        <row r="1961">
          <cell r="B1961" t="str">
            <v>FB260003608</v>
          </cell>
          <cell r="F1961" t="str">
            <v>N/ App</v>
          </cell>
        </row>
        <row r="1962">
          <cell r="B1962" t="str">
            <v>FB260005937</v>
          </cell>
          <cell r="F1962" t="str">
            <v>N/ App</v>
          </cell>
        </row>
        <row r="1963">
          <cell r="B1963" t="str">
            <v>FB260006652</v>
          </cell>
          <cell r="F1963" t="str">
            <v>N/ App</v>
          </cell>
        </row>
        <row r="1964">
          <cell r="B1964" t="str">
            <v>FB260005985</v>
          </cell>
          <cell r="F1964" t="str">
            <v>C/APP</v>
          </cell>
        </row>
        <row r="1965">
          <cell r="B1965" t="str">
            <v>FB260005593</v>
          </cell>
          <cell r="F1965" t="str">
            <v>N/ App</v>
          </cell>
        </row>
        <row r="1966">
          <cell r="B1966" t="str">
            <v>FB250029134</v>
          </cell>
          <cell r="F1966" t="str">
            <v>N/ App</v>
          </cell>
        </row>
        <row r="1967">
          <cell r="B1967" t="str">
            <v>FB260006760</v>
          </cell>
          <cell r="F1967" t="str">
            <v>N/ App</v>
          </cell>
        </row>
        <row r="1968">
          <cell r="B1968" t="str">
            <v>FB250029135</v>
          </cell>
          <cell r="F1968" t="str">
            <v>N/ App</v>
          </cell>
        </row>
        <row r="1969">
          <cell r="B1969" t="str">
            <v>FB260003859</v>
          </cell>
          <cell r="F1969" t="str">
            <v>N/ App</v>
          </cell>
        </row>
        <row r="1970">
          <cell r="B1970" t="str">
            <v>FB260003858</v>
          </cell>
          <cell r="F1970" t="str">
            <v>N/ App</v>
          </cell>
        </row>
        <row r="1971">
          <cell r="B1971" t="str">
            <v>FB260003864</v>
          </cell>
          <cell r="F1971" t="str">
            <v>C/APP</v>
          </cell>
        </row>
        <row r="1972">
          <cell r="B1972" t="str">
            <v>FB260004115</v>
          </cell>
          <cell r="F1972" t="str">
            <v>N/ App</v>
          </cell>
        </row>
        <row r="1973">
          <cell r="B1973" t="str">
            <v>FB260006882</v>
          </cell>
          <cell r="F1973" t="str">
            <v>N/ App</v>
          </cell>
        </row>
        <row r="1974">
          <cell r="B1974" t="str">
            <v>FB260006906</v>
          </cell>
          <cell r="F1974" t="str">
            <v>N/ App</v>
          </cell>
        </row>
        <row r="1975">
          <cell r="B1975" t="str">
            <v>FB260007124</v>
          </cell>
          <cell r="F1975" t="str">
            <v>C/APP</v>
          </cell>
        </row>
        <row r="1976">
          <cell r="B1976" t="str">
            <v>FB260006817</v>
          </cell>
          <cell r="F1976" t="str">
            <v>N/ App</v>
          </cell>
        </row>
        <row r="1977">
          <cell r="B1977" t="str">
            <v>FB260004665</v>
          </cell>
          <cell r="F1977" t="str">
            <v>N/ App</v>
          </cell>
        </row>
        <row r="1978">
          <cell r="B1978" t="str">
            <v>FB260006821</v>
          </cell>
          <cell r="F1978" t="str">
            <v>N/ App</v>
          </cell>
        </row>
        <row r="1979">
          <cell r="B1979" t="str">
            <v>FB260006820</v>
          </cell>
          <cell r="F1979" t="str">
            <v>N/ App</v>
          </cell>
        </row>
        <row r="1980">
          <cell r="B1980" t="str">
            <v>FB260005935</v>
          </cell>
          <cell r="F1980" t="str">
            <v>N/ App</v>
          </cell>
        </row>
        <row r="1981">
          <cell r="B1981" t="str">
            <v>FB250029147</v>
          </cell>
          <cell r="F1981" t="str">
            <v>N/ App</v>
          </cell>
        </row>
        <row r="1982">
          <cell r="B1982" t="str">
            <v>FB250029123</v>
          </cell>
          <cell r="F1982" t="str">
            <v>N/ App</v>
          </cell>
        </row>
        <row r="1983">
          <cell r="B1983" t="str">
            <v>FB260007201</v>
          </cell>
          <cell r="F1983" t="str">
            <v>N/ App</v>
          </cell>
        </row>
        <row r="1984">
          <cell r="B1984" t="str">
            <v>FB260005289</v>
          </cell>
          <cell r="F1984" t="str">
            <v>N/ App</v>
          </cell>
        </row>
        <row r="1985">
          <cell r="B1985" t="str">
            <v>FB260003324</v>
          </cell>
          <cell r="F1985" t="str">
            <v>N/ App</v>
          </cell>
        </row>
        <row r="1986">
          <cell r="B1986" t="str">
            <v>FB260006319</v>
          </cell>
          <cell r="F1986" t="str">
            <v>N/ App</v>
          </cell>
        </row>
        <row r="1987">
          <cell r="B1987" t="str">
            <v>FB260006743</v>
          </cell>
          <cell r="F1987" t="str">
            <v>N/ App</v>
          </cell>
        </row>
        <row r="1988">
          <cell r="B1988" t="str">
            <v>FB260006120</v>
          </cell>
          <cell r="F1988" t="str">
            <v>N/ App</v>
          </cell>
        </row>
        <row r="1989">
          <cell r="B1989" t="str">
            <v>FB260005594</v>
          </cell>
          <cell r="F1989" t="str">
            <v>N/ App</v>
          </cell>
        </row>
        <row r="1990">
          <cell r="B1990" t="str">
            <v>FB260007096</v>
          </cell>
          <cell r="F1990" t="str">
            <v>N/ App</v>
          </cell>
        </row>
        <row r="1991">
          <cell r="B1991" t="str">
            <v>FB260004253</v>
          </cell>
          <cell r="F1991" t="str">
            <v>N/ App</v>
          </cell>
        </row>
        <row r="1992">
          <cell r="B1992" t="str">
            <v>FB260006654</v>
          </cell>
          <cell r="F1992" t="str">
            <v>N/ App</v>
          </cell>
        </row>
        <row r="1993">
          <cell r="B1993" t="str">
            <v>FB260006308</v>
          </cell>
          <cell r="F1993" t="str">
            <v>N/ App</v>
          </cell>
        </row>
        <row r="1994">
          <cell r="B1994" t="str">
            <v>FB260006305</v>
          </cell>
          <cell r="F1994" t="str">
            <v>N/ App</v>
          </cell>
        </row>
        <row r="1995">
          <cell r="B1995" t="str">
            <v>FB260007094</v>
          </cell>
          <cell r="F1995" t="str">
            <v>N/ App</v>
          </cell>
        </row>
        <row r="1996">
          <cell r="B1996" t="str">
            <v>FB260006680</v>
          </cell>
          <cell r="F1996" t="str">
            <v>N/ App</v>
          </cell>
        </row>
        <row r="1997">
          <cell r="B1997" t="str">
            <v>FB260005911</v>
          </cell>
          <cell r="F1997" t="str">
            <v>N/ App</v>
          </cell>
        </row>
        <row r="1998">
          <cell r="B1998" t="str">
            <v>FB260007197</v>
          </cell>
          <cell r="F1998" t="str">
            <v>N/ App</v>
          </cell>
        </row>
        <row r="1999">
          <cell r="B1999" t="str">
            <v>FB260007198</v>
          </cell>
          <cell r="F1999" t="str">
            <v>N/ App</v>
          </cell>
        </row>
        <row r="2000">
          <cell r="B2000" t="str">
            <v>FB260003892</v>
          </cell>
          <cell r="F2000" t="str">
            <v>N/ App</v>
          </cell>
        </row>
        <row r="2001">
          <cell r="B2001" t="str">
            <v>FB260005912</v>
          </cell>
          <cell r="F2001" t="str">
            <v>N/ App</v>
          </cell>
        </row>
        <row r="2002">
          <cell r="B2002" t="str">
            <v>FB260005913</v>
          </cell>
          <cell r="F2002" t="str">
            <v>N/ App</v>
          </cell>
        </row>
        <row r="2003">
          <cell r="B2003" t="str">
            <v>FB260003894</v>
          </cell>
          <cell r="F2003" t="str">
            <v>N/ App</v>
          </cell>
        </row>
        <row r="2004">
          <cell r="B2004" t="str">
            <v>FB260005848</v>
          </cell>
          <cell r="F2004" t="str">
            <v>N/ App</v>
          </cell>
        </row>
        <row r="2005">
          <cell r="B2005" t="str">
            <v>FB260005119</v>
          </cell>
          <cell r="F2005" t="str">
            <v>N/ App</v>
          </cell>
        </row>
        <row r="2006">
          <cell r="B2006" t="str">
            <v>FB260003602</v>
          </cell>
          <cell r="F2006" t="str">
            <v>N/ App</v>
          </cell>
        </row>
        <row r="2007">
          <cell r="B2007" t="str">
            <v>FB260006076</v>
          </cell>
          <cell r="F2007" t="str">
            <v>N/ App</v>
          </cell>
        </row>
        <row r="2008">
          <cell r="B2008" t="str">
            <v>FB260005362</v>
          </cell>
          <cell r="F2008" t="str">
            <v>C/APP</v>
          </cell>
        </row>
        <row r="2009">
          <cell r="B2009" t="str">
            <v>FB260006952</v>
          </cell>
          <cell r="F2009" t="str">
            <v>N/ App</v>
          </cell>
        </row>
        <row r="2010">
          <cell r="B2010" t="str">
            <v>FB260006464</v>
          </cell>
          <cell r="F2010" t="str">
            <v>N/ App</v>
          </cell>
        </row>
        <row r="2011">
          <cell r="B2011" t="str">
            <v>FB260006958</v>
          </cell>
          <cell r="F2011" t="str">
            <v>N/ App</v>
          </cell>
        </row>
        <row r="2012">
          <cell r="B2012" t="str">
            <v>FB260006646</v>
          </cell>
          <cell r="F2012" t="str">
            <v>N/ App</v>
          </cell>
        </row>
        <row r="2013">
          <cell r="B2013" t="str">
            <v>FB260005343</v>
          </cell>
          <cell r="F2013" t="str">
            <v>N/ App</v>
          </cell>
        </row>
        <row r="2014">
          <cell r="B2014" t="str">
            <v>FB260003454</v>
          </cell>
          <cell r="F2014" t="str">
            <v>N/ App</v>
          </cell>
        </row>
        <row r="2015">
          <cell r="B2015" t="str">
            <v>FB260004005</v>
          </cell>
          <cell r="F2015" t="str">
            <v>C/APP</v>
          </cell>
        </row>
        <row r="2016">
          <cell r="B2016" t="str">
            <v>FB260000791</v>
          </cell>
          <cell r="F2016" t="str">
            <v>N/ App</v>
          </cell>
        </row>
        <row r="2017">
          <cell r="B2017" t="str">
            <v>FB260006649</v>
          </cell>
          <cell r="F2017" t="str">
            <v>N/ App</v>
          </cell>
        </row>
        <row r="2018">
          <cell r="B2018" t="str">
            <v>FB260005348</v>
          </cell>
          <cell r="F2018" t="str">
            <v>N/ App</v>
          </cell>
        </row>
        <row r="2019">
          <cell r="B2019" t="str">
            <v>FB260003899</v>
          </cell>
          <cell r="F2019" t="str">
            <v>N/ App</v>
          </cell>
        </row>
        <row r="2020">
          <cell r="B2020" t="str">
            <v>FB260006398</v>
          </cell>
          <cell r="F2020" t="str">
            <v>C/APP</v>
          </cell>
        </row>
        <row r="2021">
          <cell r="B2021" t="str">
            <v>FB260006614</v>
          </cell>
          <cell r="F2021" t="str">
            <v>N/ App</v>
          </cell>
        </row>
        <row r="2022">
          <cell r="B2022" t="str">
            <v>FB260005517</v>
          </cell>
          <cell r="F2022" t="str">
            <v>N/ App</v>
          </cell>
        </row>
        <row r="2023">
          <cell r="B2023" t="str">
            <v>FB260004658</v>
          </cell>
          <cell r="F2023" t="str">
            <v>C/APP</v>
          </cell>
        </row>
        <row r="2024">
          <cell r="B2024" t="str">
            <v>FB260006713</v>
          </cell>
          <cell r="F2024" t="str">
            <v>N/ App</v>
          </cell>
        </row>
        <row r="2025">
          <cell r="B2025" t="str">
            <v>FB260006714</v>
          </cell>
          <cell r="F2025" t="str">
            <v>N/ App</v>
          </cell>
        </row>
        <row r="2026">
          <cell r="B2026" t="str">
            <v>FB260005332</v>
          </cell>
          <cell r="F2026" t="str">
            <v>N/ App</v>
          </cell>
        </row>
        <row r="2027">
          <cell r="B2027" t="str">
            <v>FB260005333</v>
          </cell>
          <cell r="F2027" t="str">
            <v>C/APP</v>
          </cell>
        </row>
        <row r="2028">
          <cell r="B2028" t="str">
            <v>FB260005344</v>
          </cell>
          <cell r="F2028" t="str">
            <v>C/APP</v>
          </cell>
        </row>
        <row r="2029">
          <cell r="B2029" t="str">
            <v>FB260005345</v>
          </cell>
          <cell r="F2029" t="str">
            <v>C/APP</v>
          </cell>
        </row>
        <row r="2030">
          <cell r="B2030" t="str">
            <v>FB260005750</v>
          </cell>
          <cell r="F2030" t="str">
            <v>C/APP</v>
          </cell>
        </row>
        <row r="2031">
          <cell r="B2031" t="str">
            <v>FB260006712</v>
          </cell>
          <cell r="F2031" t="str">
            <v>N/ App</v>
          </cell>
        </row>
        <row r="2032">
          <cell r="B2032" t="str">
            <v>FB260007199</v>
          </cell>
          <cell r="F2032" t="str">
            <v>N/ App</v>
          </cell>
        </row>
        <row r="2033">
          <cell r="B2033" t="str">
            <v>FB260005123</v>
          </cell>
          <cell r="F2033" t="str">
            <v>N/ App</v>
          </cell>
        </row>
        <row r="2034">
          <cell r="B2034" t="str">
            <v>FB260007163</v>
          </cell>
          <cell r="F2034" t="str">
            <v>N/ App</v>
          </cell>
        </row>
        <row r="2035">
          <cell r="B2035" t="str">
            <v>FB260006988</v>
          </cell>
          <cell r="F2035" t="str">
            <v>N/ App</v>
          </cell>
        </row>
        <row r="2036">
          <cell r="B2036" t="str">
            <v>FB260007204</v>
          </cell>
          <cell r="F2036" t="str">
            <v>N/ App</v>
          </cell>
        </row>
        <row r="2037">
          <cell r="B2037" t="str">
            <v>FB260006702</v>
          </cell>
          <cell r="F2037" t="str">
            <v>N/ App</v>
          </cell>
        </row>
        <row r="2038">
          <cell r="B2038" t="str">
            <v>FB260006034</v>
          </cell>
          <cell r="F2038" t="str">
            <v>C/APP</v>
          </cell>
        </row>
        <row r="2039">
          <cell r="B2039" t="str">
            <v>FB260007002</v>
          </cell>
          <cell r="F2039" t="str">
            <v>N/ App</v>
          </cell>
        </row>
        <row r="2040">
          <cell r="B2040" t="str">
            <v>FB260005606</v>
          </cell>
          <cell r="F2040" t="str">
            <v>N/ App</v>
          </cell>
        </row>
        <row r="2041">
          <cell r="B2041" t="str">
            <v>FB260005605</v>
          </cell>
          <cell r="F2041" t="str">
            <v>N/ App</v>
          </cell>
        </row>
        <row r="2042">
          <cell r="B2042" t="str">
            <v>FB260006041</v>
          </cell>
          <cell r="F2042" t="str">
            <v>C/APP</v>
          </cell>
        </row>
        <row r="2043">
          <cell r="B2043" t="str">
            <v>FB260006761</v>
          </cell>
          <cell r="F2043" t="str">
            <v>N/ App</v>
          </cell>
        </row>
        <row r="2044">
          <cell r="B2044" t="str">
            <v>FB260006989</v>
          </cell>
          <cell r="F2044" t="str">
            <v>N/ App</v>
          </cell>
        </row>
        <row r="2045">
          <cell r="B2045" t="str">
            <v>FB260005751</v>
          </cell>
          <cell r="F2045" t="str">
            <v>C/APP</v>
          </cell>
        </row>
        <row r="2046">
          <cell r="B2046" t="str">
            <v>FB260003895</v>
          </cell>
          <cell r="F2046" t="str">
            <v>N/ App</v>
          </cell>
        </row>
        <row r="2047">
          <cell r="B2047" t="str">
            <v>FB260003905</v>
          </cell>
          <cell r="F2047" t="str">
            <v>N/ App</v>
          </cell>
        </row>
        <row r="2048">
          <cell r="B2048" t="str">
            <v>FB260006983</v>
          </cell>
          <cell r="F2048" t="str">
            <v>N/ App</v>
          </cell>
        </row>
        <row r="2049">
          <cell r="B2049" t="str">
            <v>FB260005170</v>
          </cell>
          <cell r="F2049" t="str">
            <v>N/ App</v>
          </cell>
        </row>
        <row r="2050">
          <cell r="B2050" t="str">
            <v>FB260007001</v>
          </cell>
          <cell r="F2050" t="str">
            <v>N/ App</v>
          </cell>
        </row>
        <row r="2051">
          <cell r="B2051" t="str">
            <v>FB260007085</v>
          </cell>
          <cell r="F2051" t="str">
            <v>C/APP</v>
          </cell>
        </row>
        <row r="2052">
          <cell r="B2052" t="str">
            <v>FB260005916</v>
          </cell>
          <cell r="F2052" t="str">
            <v>C/APP</v>
          </cell>
        </row>
        <row r="2053">
          <cell r="B2053" t="str">
            <v>FB260006219</v>
          </cell>
          <cell r="F2053" t="str">
            <v>N/ App</v>
          </cell>
        </row>
        <row r="2054">
          <cell r="B2054" t="str">
            <v>FB260006746</v>
          </cell>
          <cell r="F2054" t="str">
            <v>N/ App</v>
          </cell>
        </row>
        <row r="2055">
          <cell r="B2055" t="str">
            <v>FB260006136</v>
          </cell>
          <cell r="F2055" t="str">
            <v>N/ App</v>
          </cell>
        </row>
        <row r="2056">
          <cell r="B2056" t="str">
            <v>FB260004522</v>
          </cell>
          <cell r="F2056" t="str">
            <v>N/ App</v>
          </cell>
        </row>
        <row r="2057">
          <cell r="B2057" t="str">
            <v>FB260006465</v>
          </cell>
          <cell r="F2057" t="str">
            <v>N/ App</v>
          </cell>
        </row>
        <row r="2058">
          <cell r="B2058" t="str">
            <v>FB260006797</v>
          </cell>
          <cell r="F2058" t="str">
            <v>N/ App</v>
          </cell>
        </row>
        <row r="2059">
          <cell r="B2059" t="str">
            <v>FB260006133</v>
          </cell>
          <cell r="F2059" t="str">
            <v>N/ App</v>
          </cell>
        </row>
        <row r="2060">
          <cell r="B2060" t="str">
            <v>FB260006117</v>
          </cell>
          <cell r="F2060" t="str">
            <v>N/ App</v>
          </cell>
        </row>
        <row r="2061">
          <cell r="B2061" t="str">
            <v>FB260006224</v>
          </cell>
          <cell r="F2061" t="str">
            <v>N/ App</v>
          </cell>
        </row>
        <row r="2062">
          <cell r="B2062" t="str">
            <v>FB260006248</v>
          </cell>
          <cell r="F2062" t="str">
            <v>N/ App</v>
          </cell>
        </row>
        <row r="2063">
          <cell r="B2063" t="str">
            <v>FB260006960</v>
          </cell>
          <cell r="F2063" t="str">
            <v>N/ App</v>
          </cell>
        </row>
        <row r="2064">
          <cell r="B2064" t="str">
            <v>FB260005049</v>
          </cell>
          <cell r="F2064" t="str">
            <v>N/ App</v>
          </cell>
        </row>
        <row r="2065">
          <cell r="B2065" t="str">
            <v>FB260006128</v>
          </cell>
          <cell r="F2065" t="str">
            <v>N/ App</v>
          </cell>
        </row>
        <row r="2066">
          <cell r="B2066" t="str">
            <v>FB260006220</v>
          </cell>
          <cell r="F2066" t="str">
            <v>N/ App</v>
          </cell>
        </row>
        <row r="2067">
          <cell r="B2067" t="str">
            <v>FB260005925</v>
          </cell>
          <cell r="F2067" t="str">
            <v>C/APP</v>
          </cell>
        </row>
        <row r="2068">
          <cell r="B2068" t="str">
            <v>FB260005104</v>
          </cell>
          <cell r="F2068" t="str">
            <v>N/ App</v>
          </cell>
        </row>
        <row r="2069">
          <cell r="B2069" t="str">
            <v>FB260005111</v>
          </cell>
          <cell r="F2069" t="str">
            <v>N/ App</v>
          </cell>
        </row>
        <row r="2070">
          <cell r="B2070" t="str">
            <v>FB260006831</v>
          </cell>
          <cell r="F2070" t="str">
            <v>N/ App</v>
          </cell>
        </row>
        <row r="2071">
          <cell r="B2071" t="str">
            <v>FB260005124</v>
          </cell>
          <cell r="F2071" t="str">
            <v>N/ App</v>
          </cell>
        </row>
        <row r="2072">
          <cell r="B2072" t="str">
            <v>FB260005984</v>
          </cell>
          <cell r="F2072" t="str">
            <v>N/ App</v>
          </cell>
        </row>
        <row r="2073">
          <cell r="B2073" t="str">
            <v>FB260005983</v>
          </cell>
          <cell r="F2073" t="str">
            <v>N/ App</v>
          </cell>
        </row>
        <row r="2074">
          <cell r="B2074" t="str">
            <v>FB260006664</v>
          </cell>
          <cell r="F2074" t="str">
            <v>N/ App</v>
          </cell>
        </row>
        <row r="2075">
          <cell r="B2075" t="str">
            <v>FB260006742</v>
          </cell>
          <cell r="F2075" t="str">
            <v>N/ App</v>
          </cell>
        </row>
        <row r="2076">
          <cell r="B2076" t="str">
            <v>FB260007247</v>
          </cell>
          <cell r="F2076" t="str">
            <v>N/ App</v>
          </cell>
        </row>
        <row r="2077">
          <cell r="B2077" t="str">
            <v>FB260007621</v>
          </cell>
          <cell r="F2077" t="str">
            <v>N/ App</v>
          </cell>
        </row>
        <row r="2078">
          <cell r="B2078" t="str">
            <v>FB260006160</v>
          </cell>
          <cell r="F2078" t="str">
            <v>N/ App</v>
          </cell>
        </row>
        <row r="2079">
          <cell r="B2079" t="str">
            <v>FB260006432</v>
          </cell>
          <cell r="F2079" t="str">
            <v>N/ App</v>
          </cell>
        </row>
        <row r="2080">
          <cell r="B2080" t="str">
            <v>FB260006095</v>
          </cell>
          <cell r="F2080" t="str">
            <v>N/ App</v>
          </cell>
        </row>
        <row r="2081">
          <cell r="B2081" t="str">
            <v>FB260006123</v>
          </cell>
          <cell r="F2081" t="str">
            <v>C/APP</v>
          </cell>
        </row>
        <row r="2082">
          <cell r="B2082" t="str">
            <v>FB260007225</v>
          </cell>
          <cell r="F2082" t="str">
            <v>N/ App</v>
          </cell>
        </row>
        <row r="2083">
          <cell r="B2083" t="str">
            <v>FB260006204</v>
          </cell>
          <cell r="F2083" t="str">
            <v>N/ App</v>
          </cell>
        </row>
        <row r="2084">
          <cell r="B2084" t="str">
            <v>FB260006473</v>
          </cell>
          <cell r="F2084" t="str">
            <v>N/ App</v>
          </cell>
        </row>
        <row r="2085">
          <cell r="B2085" t="str">
            <v>FB260004425</v>
          </cell>
          <cell r="F2085" t="str">
            <v>C/APP</v>
          </cell>
        </row>
        <row r="2086">
          <cell r="B2086" t="str">
            <v>FB260004424</v>
          </cell>
          <cell r="F2086" t="str">
            <v>N/ App</v>
          </cell>
        </row>
        <row r="2087">
          <cell r="B2087" t="str">
            <v>FB260006650</v>
          </cell>
          <cell r="F2087" t="str">
            <v>N/ App</v>
          </cell>
        </row>
        <row r="2088">
          <cell r="B2088" t="str">
            <v>FB260006119</v>
          </cell>
          <cell r="F2088" t="str">
            <v>N/ App</v>
          </cell>
        </row>
        <row r="2089">
          <cell r="B2089" t="str">
            <v>FB260006953</v>
          </cell>
          <cell r="F2089" t="str">
            <v>C/APP</v>
          </cell>
        </row>
        <row r="2090">
          <cell r="B2090" t="str">
            <v>FB260004523</v>
          </cell>
          <cell r="F2090" t="str">
            <v>N/ App</v>
          </cell>
        </row>
        <row r="2091">
          <cell r="B2091" t="str">
            <v>FB260005921</v>
          </cell>
          <cell r="F2091" t="str">
            <v>N/ App</v>
          </cell>
        </row>
        <row r="2092">
          <cell r="B2092" t="str">
            <v>FB260004156</v>
          </cell>
          <cell r="F2092" t="str">
            <v>N/ App</v>
          </cell>
        </row>
        <row r="2093">
          <cell r="B2093" t="str">
            <v>FB260003889</v>
          </cell>
          <cell r="F2093" t="str">
            <v>N/ App</v>
          </cell>
        </row>
        <row r="2094">
          <cell r="B2094" t="str">
            <v>FB250029133</v>
          </cell>
          <cell r="F2094" t="str">
            <v>N/ App</v>
          </cell>
        </row>
        <row r="2095">
          <cell r="B2095" t="str">
            <v>FB260007504</v>
          </cell>
          <cell r="F2095" t="str">
            <v>N/ App</v>
          </cell>
        </row>
        <row r="2096">
          <cell r="B2096" t="str">
            <v>FB260007271</v>
          </cell>
          <cell r="F2096" t="str">
            <v>C/APP</v>
          </cell>
        </row>
        <row r="2097">
          <cell r="B2097" t="str">
            <v>FB250002634</v>
          </cell>
          <cell r="F2097" t="str">
            <v>N/ App</v>
          </cell>
        </row>
        <row r="2098">
          <cell r="B2098" t="str">
            <v>FB260005944</v>
          </cell>
          <cell r="F2098" t="str">
            <v>N/ App</v>
          </cell>
        </row>
        <row r="2099">
          <cell r="B2099" t="str">
            <v>FB260006770</v>
          </cell>
          <cell r="F2099" t="str">
            <v>C/APP</v>
          </cell>
        </row>
        <row r="2100">
          <cell r="B2100" t="str">
            <v>FB260006345</v>
          </cell>
          <cell r="F2100" t="str">
            <v>N/ App</v>
          </cell>
        </row>
        <row r="2101">
          <cell r="B2101" t="str">
            <v>FB260005121</v>
          </cell>
          <cell r="F2101" t="str">
            <v>N/ App</v>
          </cell>
        </row>
        <row r="2102">
          <cell r="B2102" t="str">
            <v>FB260003102</v>
          </cell>
          <cell r="F2102" t="str">
            <v>C/APP</v>
          </cell>
        </row>
        <row r="2103">
          <cell r="B2103" t="str">
            <v>FB260006042</v>
          </cell>
          <cell r="F2103" t="str">
            <v>C/APP</v>
          </cell>
        </row>
        <row r="2104">
          <cell r="B2104" t="str">
            <v>FB260006294</v>
          </cell>
          <cell r="F2104" t="str">
            <v>N/ App</v>
          </cell>
        </row>
        <row r="2105">
          <cell r="B2105" t="str">
            <v>FB260005934</v>
          </cell>
          <cell r="F2105" t="str">
            <v>N/ App</v>
          </cell>
        </row>
        <row r="2106">
          <cell r="B2106" t="str">
            <v>FB260006028</v>
          </cell>
          <cell r="F2106" t="str">
            <v>C/APP</v>
          </cell>
        </row>
        <row r="2107">
          <cell r="B2107" t="str">
            <v>FB260006159</v>
          </cell>
          <cell r="F2107" t="str">
            <v>N/ App</v>
          </cell>
        </row>
        <row r="2108">
          <cell r="B2108" t="str">
            <v>FB260005804</v>
          </cell>
          <cell r="F2108" t="str">
            <v>N/ App</v>
          </cell>
        </row>
        <row r="2109">
          <cell r="B2109" t="str">
            <v>FB260006164</v>
          </cell>
          <cell r="F2109" t="str">
            <v>N/ App</v>
          </cell>
        </row>
        <row r="2110">
          <cell r="B2110" t="str">
            <v>FB260007092</v>
          </cell>
          <cell r="F2110" t="str">
            <v>N/ App</v>
          </cell>
        </row>
        <row r="2111">
          <cell r="B2111" t="str">
            <v>FB260006968</v>
          </cell>
          <cell r="F2111" t="str">
            <v>N/ App</v>
          </cell>
        </row>
        <row r="2112">
          <cell r="B2112" t="str">
            <v>FB260007274</v>
          </cell>
          <cell r="F2112" t="str">
            <v>N/ App</v>
          </cell>
        </row>
        <row r="2113">
          <cell r="B2113" t="str">
            <v>FB260006223</v>
          </cell>
          <cell r="F2113" t="str">
            <v>N/ App</v>
          </cell>
        </row>
        <row r="2114">
          <cell r="B2114" t="str">
            <v>FB260006208</v>
          </cell>
          <cell r="F2114" t="str">
            <v>N/ App</v>
          </cell>
        </row>
        <row r="2115">
          <cell r="B2115" t="str">
            <v>FB260006225</v>
          </cell>
          <cell r="F2115" t="str">
            <v>N/ App</v>
          </cell>
        </row>
        <row r="2116">
          <cell r="B2116" t="str">
            <v>FB260006485</v>
          </cell>
          <cell r="F2116" t="str">
            <v>N/ App</v>
          </cell>
        </row>
        <row r="2117">
          <cell r="B2117" t="str">
            <v>FB260004416</v>
          </cell>
          <cell r="F2117" t="str">
            <v>N/ App</v>
          </cell>
        </row>
        <row r="2118">
          <cell r="B2118" t="str">
            <v>FB260005793</v>
          </cell>
          <cell r="F2118" t="str">
            <v>N/ App</v>
          </cell>
        </row>
        <row r="2119">
          <cell r="B2119" t="str">
            <v>FB260006675</v>
          </cell>
          <cell r="F2119" t="str">
            <v>N/ App</v>
          </cell>
        </row>
        <row r="2120">
          <cell r="B2120" t="str">
            <v>FB260006845</v>
          </cell>
          <cell r="F2120" t="str">
            <v>C/APP</v>
          </cell>
        </row>
        <row r="2121">
          <cell r="B2121" t="str">
            <v>FB260007426</v>
          </cell>
          <cell r="F2121" t="str">
            <v>N/ App</v>
          </cell>
        </row>
        <row r="2122">
          <cell r="B2122" t="str">
            <v>FB260007257</v>
          </cell>
          <cell r="F2122" t="str">
            <v>N/ App</v>
          </cell>
        </row>
        <row r="2123">
          <cell r="B2123" t="str">
            <v>FB260007132</v>
          </cell>
          <cell r="F2123" t="str">
            <v>N/ App</v>
          </cell>
        </row>
        <row r="2124">
          <cell r="B2124" t="str">
            <v>FB260006703</v>
          </cell>
          <cell r="F2124" t="str">
            <v>C/APP</v>
          </cell>
        </row>
        <row r="2125">
          <cell r="B2125" t="str">
            <v>FB260004155</v>
          </cell>
          <cell r="F2125" t="str">
            <v>C/APP</v>
          </cell>
        </row>
        <row r="2126">
          <cell r="B2126" t="str">
            <v>FB260003902</v>
          </cell>
          <cell r="F2126" t="str">
            <v>C/APP</v>
          </cell>
        </row>
        <row r="2127">
          <cell r="B2127" t="str">
            <v>FB260006342</v>
          </cell>
          <cell r="F2127" t="str">
            <v>N/ App</v>
          </cell>
        </row>
        <row r="2128">
          <cell r="B2128" t="str">
            <v>FB260007622</v>
          </cell>
          <cell r="F2128" t="str">
            <v>N/ App</v>
          </cell>
        </row>
        <row r="2129">
          <cell r="B2129" t="str">
            <v>FB260005675</v>
          </cell>
          <cell r="F2129" t="str">
            <v>N/ App</v>
          </cell>
        </row>
        <row r="2130">
          <cell r="B2130" t="str">
            <v>FB260005302</v>
          </cell>
          <cell r="F2130" t="str">
            <v>N/ App</v>
          </cell>
        </row>
        <row r="2131">
          <cell r="B2131" t="str">
            <v>FB260005676</v>
          </cell>
          <cell r="F2131" t="str">
            <v>N/ App</v>
          </cell>
        </row>
        <row r="2132">
          <cell r="B2132" t="str">
            <v>FB260007489</v>
          </cell>
          <cell r="F2132" t="str">
            <v>N/ App</v>
          </cell>
        </row>
        <row r="2133">
          <cell r="B2133" t="str">
            <v>FB260006068</v>
          </cell>
          <cell r="F2133" t="str">
            <v>N/ App</v>
          </cell>
        </row>
        <row r="2134">
          <cell r="B2134" t="str">
            <v>FB260003459</v>
          </cell>
          <cell r="F2134" t="str">
            <v>C/APP</v>
          </cell>
        </row>
        <row r="2135">
          <cell r="B2135" t="str">
            <v>FB260003456</v>
          </cell>
          <cell r="F2135" t="str">
            <v>C/APP</v>
          </cell>
        </row>
        <row r="2136">
          <cell r="B2136" t="str">
            <v>FB250029164</v>
          </cell>
          <cell r="F2136" t="str">
            <v>C/APP</v>
          </cell>
        </row>
        <row r="2137">
          <cell r="B2137" t="str">
            <v>FB250029168</v>
          </cell>
          <cell r="F2137" t="str">
            <v>N/ App</v>
          </cell>
        </row>
        <row r="2138">
          <cell r="B2138" t="str">
            <v>FB260007430</v>
          </cell>
          <cell r="F2138" t="str">
            <v>N/ App</v>
          </cell>
        </row>
        <row r="2139">
          <cell r="B2139" t="str">
            <v>FB260005144</v>
          </cell>
          <cell r="F2139" t="str">
            <v>N/ App</v>
          </cell>
        </row>
        <row r="2140">
          <cell r="B2140" t="str">
            <v>FB260007232</v>
          </cell>
          <cell r="F2140" t="str">
            <v>C/APP</v>
          </cell>
        </row>
        <row r="2141">
          <cell r="B2141" t="str">
            <v>FB260006281</v>
          </cell>
          <cell r="F2141" t="str">
            <v>N/ App</v>
          </cell>
        </row>
        <row r="2142">
          <cell r="B2142" t="str">
            <v>FB260006074</v>
          </cell>
          <cell r="F2142" t="str">
            <v>N/ App</v>
          </cell>
        </row>
        <row r="2143">
          <cell r="B2143" t="str">
            <v>FB260005943</v>
          </cell>
          <cell r="F2143" t="str">
            <v>N/ App</v>
          </cell>
        </row>
        <row r="2144">
          <cell r="B2144" t="str">
            <v>FB260007431</v>
          </cell>
          <cell r="F2144" t="str">
            <v>N/ App</v>
          </cell>
        </row>
        <row r="2145">
          <cell r="B2145" t="str">
            <v>FB260007334</v>
          </cell>
          <cell r="F2145" t="str">
            <v>N/ App</v>
          </cell>
        </row>
        <row r="2146">
          <cell r="B2146" t="str">
            <v>FB260006027</v>
          </cell>
          <cell r="F2146" t="str">
            <v>N/ App</v>
          </cell>
        </row>
        <row r="2147">
          <cell r="B2147" t="str">
            <v>FB260007645</v>
          </cell>
          <cell r="F2147" t="str">
            <v>N/ App</v>
          </cell>
        </row>
        <row r="2148">
          <cell r="B2148" t="str">
            <v>FB260004473</v>
          </cell>
          <cell r="F2148" t="str">
            <v>N/ App</v>
          </cell>
        </row>
        <row r="2149">
          <cell r="B2149" t="str">
            <v>FB260006610</v>
          </cell>
          <cell r="F2149" t="str">
            <v>C/APP</v>
          </cell>
        </row>
        <row r="2150">
          <cell r="B2150" t="str">
            <v>FB260007337</v>
          </cell>
          <cell r="F2150" t="str">
            <v>N/ App</v>
          </cell>
        </row>
        <row r="2151">
          <cell r="B2151" t="str">
            <v>FB260007006</v>
          </cell>
          <cell r="F2151" t="str">
            <v>N/ App</v>
          </cell>
        </row>
        <row r="2152">
          <cell r="B2152" t="str">
            <v>FB250029174</v>
          </cell>
          <cell r="F2152" t="str">
            <v>N/ App</v>
          </cell>
        </row>
        <row r="2153">
          <cell r="B2153" t="str">
            <v>FB250029175</v>
          </cell>
          <cell r="F2153" t="str">
            <v>N/ App</v>
          </cell>
        </row>
        <row r="2154">
          <cell r="B2154" t="str">
            <v>FB260004761</v>
          </cell>
          <cell r="F2154" t="str">
            <v>N/ App</v>
          </cell>
        </row>
        <row r="2155">
          <cell r="B2155" t="str">
            <v>FB260005296</v>
          </cell>
          <cell r="F2155" t="str">
            <v>N/ App</v>
          </cell>
        </row>
        <row r="2156">
          <cell r="B2156" t="str">
            <v>FB260004314</v>
          </cell>
          <cell r="F2156" t="str">
            <v>N/ App</v>
          </cell>
        </row>
        <row r="2157">
          <cell r="B2157" t="str">
            <v>FB260004769</v>
          </cell>
          <cell r="F2157" t="str">
            <v>N/ App</v>
          </cell>
        </row>
        <row r="2158">
          <cell r="B2158" t="str">
            <v>FB260004114</v>
          </cell>
          <cell r="F2158" t="str">
            <v>C/APP</v>
          </cell>
        </row>
        <row r="2159">
          <cell r="B2159" t="str">
            <v>FB260007482</v>
          </cell>
          <cell r="F2159" t="str">
            <v>N/ App</v>
          </cell>
        </row>
        <row r="2160">
          <cell r="B2160" t="str">
            <v>FB250029177</v>
          </cell>
          <cell r="F2160" t="str">
            <v>N/ App</v>
          </cell>
        </row>
        <row r="2161">
          <cell r="B2161" t="str">
            <v>FB260006570</v>
          </cell>
          <cell r="F2161" t="str">
            <v>N/ App</v>
          </cell>
        </row>
        <row r="2162">
          <cell r="B2162" t="str">
            <v>FB260006039</v>
          </cell>
          <cell r="F2162" t="str">
            <v>REJECT</v>
          </cell>
        </row>
        <row r="2163">
          <cell r="B2163" t="str">
            <v>FB260007162</v>
          </cell>
          <cell r="F2163" t="str">
            <v>N/ App</v>
          </cell>
        </row>
        <row r="2164">
          <cell r="B2164" t="str">
            <v>FB250029158</v>
          </cell>
          <cell r="F2164" t="str">
            <v>N/ App</v>
          </cell>
        </row>
        <row r="2165">
          <cell r="B2165" t="str">
            <v>FB260007009</v>
          </cell>
          <cell r="F2165" t="str">
            <v>C/APP</v>
          </cell>
        </row>
        <row r="2166">
          <cell r="B2166" t="str">
            <v>FB260005037</v>
          </cell>
          <cell r="F2166" t="str">
            <v>N/ App</v>
          </cell>
        </row>
        <row r="2167">
          <cell r="B2167" t="str">
            <v>FB260005381</v>
          </cell>
          <cell r="F2167" t="str">
            <v>C/APP</v>
          </cell>
        </row>
        <row r="2168">
          <cell r="B2168" t="str">
            <v>FB260007742</v>
          </cell>
          <cell r="F2168" t="str">
            <v>C/APP</v>
          </cell>
        </row>
        <row r="2169">
          <cell r="B2169" t="str">
            <v>FB260007432</v>
          </cell>
          <cell r="F2169" t="str">
            <v>N/ App</v>
          </cell>
        </row>
        <row r="2170">
          <cell r="B2170" t="str">
            <v>FB260004474</v>
          </cell>
          <cell r="F2170" t="str">
            <v>N/ App</v>
          </cell>
        </row>
        <row r="2171">
          <cell r="B2171" t="str">
            <v>FR260000160</v>
          </cell>
          <cell r="F2171" t="str">
            <v>C/APP</v>
          </cell>
        </row>
        <row r="2172">
          <cell r="B2172" t="str">
            <v>FB260006411</v>
          </cell>
          <cell r="F2172" t="str">
            <v>C/APP</v>
          </cell>
        </row>
        <row r="2173">
          <cell r="B2173" t="str">
            <v>FR260000175</v>
          </cell>
          <cell r="F2173" t="str">
            <v>REJECT</v>
          </cell>
        </row>
        <row r="2174">
          <cell r="B2174" t="str">
            <v>FB260004249</v>
          </cell>
          <cell r="F2174" t="str">
            <v>C/APP</v>
          </cell>
        </row>
        <row r="2175">
          <cell r="B2175" t="str">
            <v>FB260006131</v>
          </cell>
          <cell r="F2175" t="str">
            <v>N/ App</v>
          </cell>
        </row>
        <row r="2176">
          <cell r="B2176" t="str">
            <v>FB260006215</v>
          </cell>
          <cell r="F2176" t="str">
            <v>N/ App</v>
          </cell>
        </row>
        <row r="2177">
          <cell r="B2177" t="str">
            <v>FB260007510</v>
          </cell>
          <cell r="F2177" t="str">
            <v>C/APP</v>
          </cell>
        </row>
        <row r="2178">
          <cell r="B2178" t="str">
            <v>FB260007526</v>
          </cell>
          <cell r="F2178" t="str">
            <v>N/ App</v>
          </cell>
        </row>
        <row r="2179">
          <cell r="B2179" t="str">
            <v>FB260007525</v>
          </cell>
          <cell r="F2179" t="str">
            <v>N/ App</v>
          </cell>
        </row>
        <row r="2180">
          <cell r="B2180" t="str">
            <v>FB260005792</v>
          </cell>
          <cell r="F2180" t="str">
            <v>N/ App</v>
          </cell>
        </row>
        <row r="2181">
          <cell r="B2181" t="str">
            <v>FB260007281</v>
          </cell>
          <cell r="F2181" t="str">
            <v>N/ App</v>
          </cell>
        </row>
        <row r="2182">
          <cell r="B2182" t="str">
            <v>FB260006663</v>
          </cell>
          <cell r="F2182" t="str">
            <v>N/ App</v>
          </cell>
        </row>
        <row r="2183">
          <cell r="B2183" t="str">
            <v>FB260006165</v>
          </cell>
          <cell r="F2183" t="str">
            <v>N/ App</v>
          </cell>
        </row>
        <row r="2184">
          <cell r="B2184" t="str">
            <v>FB260007513</v>
          </cell>
          <cell r="F2184" t="str">
            <v>N/ App</v>
          </cell>
        </row>
        <row r="2185">
          <cell r="B2185" t="str">
            <v>FB260006123</v>
          </cell>
          <cell r="F2185" t="str">
            <v>C/APP</v>
          </cell>
        </row>
        <row r="2186">
          <cell r="B2186" t="str">
            <v>FB250029176</v>
          </cell>
          <cell r="F2186" t="str">
            <v>N/ App</v>
          </cell>
        </row>
        <row r="2187">
          <cell r="B2187" t="str">
            <v>FB250029182</v>
          </cell>
          <cell r="F2187" t="str">
            <v>N/ App</v>
          </cell>
        </row>
        <row r="2188">
          <cell r="B2188" t="str">
            <v>FB260006346</v>
          </cell>
          <cell r="F2188" t="str">
            <v>N/ App</v>
          </cell>
        </row>
        <row r="2189">
          <cell r="B2189" t="str">
            <v>FB260006679</v>
          </cell>
          <cell r="F2189" t="str">
            <v>N/ App</v>
          </cell>
        </row>
        <row r="2190">
          <cell r="B2190" t="str">
            <v>FB260005115</v>
          </cell>
          <cell r="F2190" t="str">
            <v>N/ App</v>
          </cell>
        </row>
        <row r="2191">
          <cell r="B2191" t="str">
            <v>FB260005415</v>
          </cell>
          <cell r="F2191" t="str">
            <v>N/ App</v>
          </cell>
        </row>
        <row r="2192">
          <cell r="B2192" t="str">
            <v>FB260005385</v>
          </cell>
          <cell r="F2192" t="str">
            <v>N/ App</v>
          </cell>
        </row>
        <row r="2193">
          <cell r="B2193" t="str">
            <v>FB260005306</v>
          </cell>
          <cell r="F2193" t="str">
            <v>N/ App</v>
          </cell>
        </row>
        <row r="2194">
          <cell r="B2194" t="str">
            <v>FB260007744</v>
          </cell>
          <cell r="F2194" t="str">
            <v>N/ App</v>
          </cell>
        </row>
        <row r="2195">
          <cell r="B2195" t="str">
            <v>FB260007777</v>
          </cell>
          <cell r="F2195" t="str">
            <v>N/ App</v>
          </cell>
        </row>
        <row r="2196">
          <cell r="B2196" t="str">
            <v>FB260007743</v>
          </cell>
          <cell r="F2196" t="str">
            <v>N/ App</v>
          </cell>
        </row>
        <row r="2197">
          <cell r="B2197" t="str">
            <v>FB260007623</v>
          </cell>
          <cell r="F2197" t="str">
            <v>N/ App</v>
          </cell>
        </row>
        <row r="2198">
          <cell r="B2198" t="str">
            <v>FB260006975</v>
          </cell>
          <cell r="F2198" t="str">
            <v>N/ App</v>
          </cell>
        </row>
        <row r="2199">
          <cell r="B2199" t="str">
            <v>FB260006908</v>
          </cell>
          <cell r="F2199" t="str">
            <v>C/APP</v>
          </cell>
        </row>
        <row r="2200">
          <cell r="B2200" t="str">
            <v>FB260006322</v>
          </cell>
          <cell r="F2200" t="str">
            <v>C/APP</v>
          </cell>
        </row>
        <row r="2201">
          <cell r="B2201" t="str">
            <v>FR260000176</v>
          </cell>
          <cell r="F2201" t="str">
            <v>N/ App</v>
          </cell>
        </row>
        <row r="2202">
          <cell r="B2202" t="str">
            <v>FB260006144</v>
          </cell>
          <cell r="F2202" t="str">
            <v>C/APP</v>
          </cell>
        </row>
        <row r="2203">
          <cell r="B2203" t="str">
            <v>FB260006744</v>
          </cell>
          <cell r="F2203" t="str">
            <v>C/APP</v>
          </cell>
        </row>
        <row r="2204">
          <cell r="B2204" t="str">
            <v>FB260006320</v>
          </cell>
          <cell r="F2204" t="str">
            <v>C/APP</v>
          </cell>
        </row>
        <row r="2205">
          <cell r="B2205" t="str">
            <v>FB260005801</v>
          </cell>
          <cell r="F2205" t="str">
            <v>N/ App</v>
          </cell>
        </row>
        <row r="2206">
          <cell r="B2206" t="str">
            <v>FB260005432</v>
          </cell>
          <cell r="F2206" t="str">
            <v>N/ App</v>
          </cell>
        </row>
        <row r="2207">
          <cell r="B2207" t="str">
            <v>FB260006795</v>
          </cell>
          <cell r="F2207" t="str">
            <v>N/ App</v>
          </cell>
        </row>
        <row r="2208">
          <cell r="B2208" t="str">
            <v>FB260005754</v>
          </cell>
          <cell r="F2208" t="str">
            <v>N/ App</v>
          </cell>
        </row>
        <row r="2209">
          <cell r="B2209" t="str">
            <v>FB260007010</v>
          </cell>
          <cell r="F2209" t="str">
            <v>N/ App</v>
          </cell>
        </row>
        <row r="2210">
          <cell r="B2210" t="str">
            <v>FB260005171</v>
          </cell>
          <cell r="F2210" t="str">
            <v>N/ App</v>
          </cell>
        </row>
        <row r="2211">
          <cell r="B2211" t="str">
            <v>FB250029163</v>
          </cell>
          <cell r="F2211" t="str">
            <v>N/ App</v>
          </cell>
        </row>
        <row r="2212">
          <cell r="B2212" t="str">
            <v>FB260005189</v>
          </cell>
          <cell r="F2212" t="str">
            <v>N/ App</v>
          </cell>
        </row>
        <row r="2213">
          <cell r="B2213" t="str">
            <v>FB260006122</v>
          </cell>
          <cell r="F2213" t="str">
            <v>C/APP</v>
          </cell>
        </row>
        <row r="2214">
          <cell r="B2214" t="str">
            <v>FB260006481</v>
          </cell>
          <cell r="F2214" t="str">
            <v>N/ App</v>
          </cell>
        </row>
        <row r="2215">
          <cell r="B2215" t="str">
            <v>FB260007822</v>
          </cell>
          <cell r="F2215" t="str">
            <v>N/ App</v>
          </cell>
        </row>
        <row r="2216">
          <cell r="B2216" t="str">
            <v>FB260003461</v>
          </cell>
          <cell r="F2216" t="str">
            <v>N/ App</v>
          </cell>
        </row>
        <row r="2217">
          <cell r="B2217" t="str">
            <v>FB260007776</v>
          </cell>
          <cell r="F2217" t="str">
            <v>N/ App</v>
          </cell>
        </row>
        <row r="2218">
          <cell r="B2218" t="str">
            <v>FB260003862</v>
          </cell>
          <cell r="F2218" t="str">
            <v>N/ App</v>
          </cell>
        </row>
        <row r="2219">
          <cell r="B2219" t="str">
            <v>FB260005742</v>
          </cell>
          <cell r="F2219" t="str">
            <v>N/ App</v>
          </cell>
        </row>
        <row r="2220">
          <cell r="B2220" t="str">
            <v>FB260007012</v>
          </cell>
          <cell r="F2220" t="str">
            <v>N/ App</v>
          </cell>
        </row>
        <row r="2221">
          <cell r="B2221" t="str">
            <v>FB260004005</v>
          </cell>
          <cell r="F2221" t="str">
            <v>C/APP</v>
          </cell>
        </row>
        <row r="2222">
          <cell r="B2222" t="str">
            <v>FB260006476</v>
          </cell>
          <cell r="F2222" t="str">
            <v>N/ App</v>
          </cell>
        </row>
        <row r="2223">
          <cell r="B2223" t="str">
            <v>FB260006482</v>
          </cell>
          <cell r="F2223" t="str">
            <v>N/ App</v>
          </cell>
        </row>
        <row r="2224">
          <cell r="B2224" t="str">
            <v>FB260006480</v>
          </cell>
          <cell r="F2224" t="str">
            <v>N/ App</v>
          </cell>
        </row>
        <row r="2225">
          <cell r="B2225" t="str">
            <v>FB260005915</v>
          </cell>
          <cell r="F2225" t="str">
            <v>N/ App</v>
          </cell>
        </row>
        <row r="2226">
          <cell r="B2226" t="str">
            <v>FB260005537</v>
          </cell>
          <cell r="F2226" t="str">
            <v>N/ App</v>
          </cell>
        </row>
        <row r="2227">
          <cell r="B2227" t="str">
            <v>FB260007017</v>
          </cell>
          <cell r="F2227" t="str">
            <v>N/ App</v>
          </cell>
        </row>
        <row r="2228">
          <cell r="B2228" t="str">
            <v>FB260005523</v>
          </cell>
          <cell r="F2228" t="str">
            <v>N/ App</v>
          </cell>
        </row>
        <row r="2229">
          <cell r="B2229" t="str">
            <v>FB260005174</v>
          </cell>
          <cell r="F2229" t="str">
            <v>N/ App</v>
          </cell>
        </row>
        <row r="2230">
          <cell r="B2230" t="str">
            <v>FB260006194</v>
          </cell>
          <cell r="F2230" t="str">
            <v>N/ App</v>
          </cell>
        </row>
        <row r="2231">
          <cell r="B2231" t="str">
            <v>FB260007747</v>
          </cell>
          <cell r="F2231" t="str">
            <v>N/ App</v>
          </cell>
        </row>
        <row r="2232">
          <cell r="B2232" t="str">
            <v>FB260006662</v>
          </cell>
          <cell r="F2232" t="str">
            <v>N/ App</v>
          </cell>
        </row>
        <row r="2233">
          <cell r="B2233" t="str">
            <v>FB260005986</v>
          </cell>
          <cell r="F2233" t="str">
            <v>N/ App</v>
          </cell>
        </row>
        <row r="2234">
          <cell r="B2234" t="str">
            <v>FB260007277</v>
          </cell>
          <cell r="F2234" t="str">
            <v>N/ App</v>
          </cell>
        </row>
        <row r="2235">
          <cell r="B2235" t="str">
            <v>FB260006211</v>
          </cell>
          <cell r="F2235" t="str">
            <v>N/ App</v>
          </cell>
        </row>
        <row r="2236">
          <cell r="B2236" t="str">
            <v>FB260006310</v>
          </cell>
          <cell r="F2236" t="str">
            <v>N/ App</v>
          </cell>
        </row>
        <row r="2237">
          <cell r="B2237" t="str">
            <v>FB260007823</v>
          </cell>
          <cell r="F2237" t="str">
            <v>N/ App</v>
          </cell>
        </row>
        <row r="2238">
          <cell r="B2238" t="str">
            <v>FB260007292</v>
          </cell>
          <cell r="F2238" t="str">
            <v>N/ App</v>
          </cell>
        </row>
        <row r="2239">
          <cell r="B2239" t="str">
            <v>FB260006981</v>
          </cell>
          <cell r="F2239" t="str">
            <v>N/ App</v>
          </cell>
        </row>
        <row r="2240">
          <cell r="B2240" t="str">
            <v>FB260005182</v>
          </cell>
          <cell r="F2240" t="str">
            <v>N/ App</v>
          </cell>
        </row>
        <row r="2241">
          <cell r="B2241" t="str">
            <v>FB260007019</v>
          </cell>
          <cell r="F2241" t="str">
            <v>N/ App</v>
          </cell>
        </row>
        <row r="2242">
          <cell r="B2242" t="str">
            <v>FB260007486</v>
          </cell>
          <cell r="F2242" t="str">
            <v>N/ App</v>
          </cell>
        </row>
        <row r="2243">
          <cell r="B2243" t="str">
            <v>FB260006671</v>
          </cell>
          <cell r="F2243" t="str">
            <v>N/ App</v>
          </cell>
        </row>
        <row r="2244">
          <cell r="B2244" t="str">
            <v>FB260006686</v>
          </cell>
          <cell r="F2244" t="str">
            <v>N/ App</v>
          </cell>
        </row>
        <row r="2245">
          <cell r="B2245" t="str">
            <v>FB260005460</v>
          </cell>
          <cell r="F2245" t="str">
            <v>N/ App</v>
          </cell>
        </row>
        <row r="2246">
          <cell r="B2246" t="str">
            <v>FB260006470</v>
          </cell>
          <cell r="F2246" t="str">
            <v>N/ App</v>
          </cell>
        </row>
        <row r="2247">
          <cell r="B2247" t="str">
            <v>FB260006134</v>
          </cell>
          <cell r="F2247" t="str">
            <v>N/ App</v>
          </cell>
        </row>
        <row r="2248">
          <cell r="B2248" t="str">
            <v>FB260007745</v>
          </cell>
          <cell r="F2248" t="str">
            <v>N/ App</v>
          </cell>
        </row>
        <row r="2249">
          <cell r="B2249" t="str">
            <v>FB260007746</v>
          </cell>
          <cell r="F2249" t="str">
            <v>N/ App</v>
          </cell>
        </row>
        <row r="2250">
          <cell r="B2250" t="str">
            <v>FB260007278</v>
          </cell>
          <cell r="F2250" t="str">
            <v>N/ App</v>
          </cell>
        </row>
        <row r="2251">
          <cell r="B2251" t="str">
            <v>FB260007496</v>
          </cell>
          <cell r="F2251" t="str">
            <v>N/ App</v>
          </cell>
        </row>
        <row r="2252">
          <cell r="B2252" t="str">
            <v>FB260007624</v>
          </cell>
          <cell r="F2252" t="str">
            <v>N/ App</v>
          </cell>
        </row>
        <row r="2253">
          <cell r="B2253" t="str">
            <v>FB250029180</v>
          </cell>
          <cell r="F2253" t="str">
            <v>N/ App</v>
          </cell>
        </row>
        <row r="2254">
          <cell r="B2254" t="str">
            <v>FB260007527</v>
          </cell>
          <cell r="F2254" t="str">
            <v>N/ App</v>
          </cell>
        </row>
        <row r="2255">
          <cell r="B2255" t="str">
            <v>FB260007179</v>
          </cell>
          <cell r="F2255" t="str">
            <v>N/ App</v>
          </cell>
        </row>
        <row r="2256">
          <cell r="B2256" t="str">
            <v>FB250029142</v>
          </cell>
          <cell r="F2256" t="str">
            <v>N/ App</v>
          </cell>
        </row>
        <row r="2257">
          <cell r="B2257" t="str">
            <v>FB260007491</v>
          </cell>
          <cell r="F2257" t="str">
            <v>N/ App</v>
          </cell>
        </row>
        <row r="2258">
          <cell r="B2258" t="str">
            <v>FB260006057</v>
          </cell>
          <cell r="F2258" t="str">
            <v>C/APP</v>
          </cell>
        </row>
        <row r="2259">
          <cell r="B2259" t="str">
            <v>FB260005181</v>
          </cell>
          <cell r="F2259" t="str">
            <v>N/ App</v>
          </cell>
        </row>
        <row r="2260">
          <cell r="B2260" t="str">
            <v>FB260006676</v>
          </cell>
          <cell r="F2260" t="str">
            <v>N/ App</v>
          </cell>
        </row>
        <row r="2261">
          <cell r="B2261" t="str">
            <v>FB260006678</v>
          </cell>
          <cell r="F2261" t="str">
            <v>N/ App</v>
          </cell>
        </row>
        <row r="2262">
          <cell r="B2262" t="str">
            <v>FB250029141</v>
          </cell>
          <cell r="F2262" t="str">
            <v>N/ App</v>
          </cell>
        </row>
        <row r="2263">
          <cell r="B2263" t="str">
            <v>FB250029181</v>
          </cell>
          <cell r="F2263" t="str">
            <v>N/ App</v>
          </cell>
        </row>
        <row r="2264">
          <cell r="B2264" t="str">
            <v>FB260003865</v>
          </cell>
          <cell r="F2264" t="str">
            <v>N/ App</v>
          </cell>
        </row>
        <row r="2265">
          <cell r="B2265" t="str">
            <v>FB260006673</v>
          </cell>
          <cell r="F2265" t="str">
            <v>N/ App</v>
          </cell>
        </row>
        <row r="2266">
          <cell r="B2266" t="str">
            <v>FB260003863</v>
          </cell>
          <cell r="F2266" t="str">
            <v>N/ App</v>
          </cell>
        </row>
        <row r="2267">
          <cell r="B2267" t="str">
            <v>FB260006672</v>
          </cell>
          <cell r="F2267" t="str">
            <v>N/ App</v>
          </cell>
        </row>
        <row r="2268">
          <cell r="B2268" t="str">
            <v>FB260007531</v>
          </cell>
          <cell r="F2268" t="str">
            <v>N/ App</v>
          </cell>
        </row>
        <row r="2269">
          <cell r="B2269" t="str">
            <v>FB260003866</v>
          </cell>
          <cell r="F2269" t="str">
            <v>N/ App</v>
          </cell>
        </row>
        <row r="2270">
          <cell r="B2270" t="str">
            <v>FB260006484</v>
          </cell>
          <cell r="F2270" t="str">
            <v>N/ App</v>
          </cell>
        </row>
        <row r="2271">
          <cell r="B2271" t="str">
            <v>FB260007838</v>
          </cell>
          <cell r="F2271" t="str">
            <v>N/ App</v>
          </cell>
        </row>
        <row r="2272">
          <cell r="B2272" t="str">
            <v>FB260005461</v>
          </cell>
          <cell r="F2272" t="str">
            <v>N/ App</v>
          </cell>
        </row>
        <row r="2273">
          <cell r="B2273" t="str">
            <v>FB260005193</v>
          </cell>
          <cell r="F2273" t="str">
            <v>N/ App</v>
          </cell>
        </row>
        <row r="2274">
          <cell r="B2274" t="str">
            <v>FB260000795</v>
          </cell>
          <cell r="F2274" t="str">
            <v>N/ App</v>
          </cell>
        </row>
        <row r="2275">
          <cell r="B2275" t="str">
            <v>FB250029140</v>
          </cell>
          <cell r="F2275" t="str">
            <v>N/ App</v>
          </cell>
        </row>
        <row r="2276">
          <cell r="B2276" t="str">
            <v>FB260006799</v>
          </cell>
          <cell r="F2276" t="str">
            <v>C/APP</v>
          </cell>
        </row>
        <row r="2277">
          <cell r="B2277" t="str">
            <v>FB260006749</v>
          </cell>
          <cell r="F2277" t="str">
            <v>N/ App</v>
          </cell>
        </row>
        <row r="2278">
          <cell r="B2278" t="str">
            <v>FB260006313</v>
          </cell>
          <cell r="F2278" t="str">
            <v>N/ App</v>
          </cell>
        </row>
        <row r="2279">
          <cell r="B2279" t="str">
            <v>FB260007793</v>
          </cell>
          <cell r="F2279" t="str">
            <v>N/ App</v>
          </cell>
        </row>
        <row r="2280">
          <cell r="B2280" t="str">
            <v>FB260007790</v>
          </cell>
          <cell r="F2280" t="str">
            <v>N/ App</v>
          </cell>
        </row>
        <row r="2281">
          <cell r="B2281" t="str">
            <v>FB260007748</v>
          </cell>
          <cell r="F2281" t="str">
            <v>N/ App</v>
          </cell>
        </row>
        <row r="2282">
          <cell r="B2282" t="str">
            <v>FB260007788</v>
          </cell>
          <cell r="F2282" t="str">
            <v>N/ App</v>
          </cell>
        </row>
        <row r="2283">
          <cell r="B2283" t="str">
            <v>FB260006666</v>
          </cell>
          <cell r="F2283" t="str">
            <v>N/ App</v>
          </cell>
        </row>
        <row r="2284">
          <cell r="B2284" t="str">
            <v>FB260007042</v>
          </cell>
          <cell r="F2284" t="str">
            <v>N/ App</v>
          </cell>
        </row>
        <row r="2285">
          <cell r="B2285" t="str">
            <v>FB260006431</v>
          </cell>
          <cell r="F2285" t="str">
            <v>C/APP</v>
          </cell>
        </row>
        <row r="2286">
          <cell r="B2286" t="str">
            <v>FB260006691</v>
          </cell>
          <cell r="F2286" t="str">
            <v>C/APP</v>
          </cell>
        </row>
        <row r="2287">
          <cell r="B2287" t="str">
            <v>FB260005956</v>
          </cell>
          <cell r="F2287" t="str">
            <v>C/APP</v>
          </cell>
        </row>
        <row r="2288">
          <cell r="B2288" t="str">
            <v>FB260006429</v>
          </cell>
          <cell r="F2288" t="str">
            <v>C/APP</v>
          </cell>
        </row>
        <row r="2289">
          <cell r="B2289" t="str">
            <v>FB260006430</v>
          </cell>
          <cell r="F2289" t="str">
            <v>C/APP</v>
          </cell>
        </row>
        <row r="2290">
          <cell r="B2290" t="str">
            <v>FB260006397</v>
          </cell>
          <cell r="F2290" t="str">
            <v>N/ App</v>
          </cell>
        </row>
        <row r="2291">
          <cell r="B2291" t="str">
            <v>FB260004524</v>
          </cell>
          <cell r="F2291" t="str">
            <v>N/ App</v>
          </cell>
        </row>
        <row r="2292">
          <cell r="B2292" t="str">
            <v>FB260006478</v>
          </cell>
          <cell r="F2292" t="str">
            <v>N/ App</v>
          </cell>
        </row>
        <row r="2293">
          <cell r="B2293" t="str">
            <v>FB260004764</v>
          </cell>
          <cell r="F2293" t="str">
            <v>N/ App</v>
          </cell>
        </row>
        <row r="2294">
          <cell r="B2294" t="str">
            <v>FB260006171</v>
          </cell>
          <cell r="F2294" t="str">
            <v>N/ App</v>
          </cell>
        </row>
        <row r="2295">
          <cell r="B2295" t="str">
            <v>FB260006498</v>
          </cell>
          <cell r="F2295" t="str">
            <v>N/ App</v>
          </cell>
        </row>
        <row r="2296">
          <cell r="B2296" t="str">
            <v>FB260006832</v>
          </cell>
          <cell r="F2296" t="str">
            <v>N/ App</v>
          </cell>
        </row>
        <row r="2297">
          <cell r="B2297" t="str">
            <v>FB260007532</v>
          </cell>
          <cell r="F2297" t="str">
            <v>N/ App</v>
          </cell>
        </row>
        <row r="2298">
          <cell r="B2298" t="str">
            <v>FB260006212</v>
          </cell>
          <cell r="F2298" t="str">
            <v>C/APP</v>
          </cell>
        </row>
        <row r="2299">
          <cell r="B2299" t="str">
            <v>FB260006081</v>
          </cell>
          <cell r="F2299" t="str">
            <v>C/APP</v>
          </cell>
        </row>
        <row r="2300">
          <cell r="B2300" t="str">
            <v>FB260007326</v>
          </cell>
          <cell r="F2300" t="str">
            <v>N/ App</v>
          </cell>
        </row>
        <row r="2301">
          <cell r="B2301" t="str">
            <v>FB260007303</v>
          </cell>
          <cell r="F2301" t="str">
            <v>N/ App</v>
          </cell>
        </row>
        <row r="2302">
          <cell r="B2302" t="str">
            <v>FB260007302</v>
          </cell>
          <cell r="F2302" t="str">
            <v>N/ App</v>
          </cell>
        </row>
        <row r="2303">
          <cell r="B2303" t="str">
            <v>FB260007305</v>
          </cell>
          <cell r="F2303" t="str">
            <v>N/ App</v>
          </cell>
        </row>
        <row r="2304">
          <cell r="B2304" t="str">
            <v>FB260007304</v>
          </cell>
          <cell r="F2304" t="str">
            <v>N/ App</v>
          </cell>
        </row>
        <row r="2305">
          <cell r="B2305" t="str">
            <v>FB260007307</v>
          </cell>
          <cell r="F2305" t="str">
            <v>N/ App</v>
          </cell>
        </row>
        <row r="2306">
          <cell r="B2306" t="str">
            <v>FB260007306</v>
          </cell>
          <cell r="F2306" t="str">
            <v>N/ App</v>
          </cell>
        </row>
        <row r="2307">
          <cell r="B2307" t="str">
            <v>FB260007317</v>
          </cell>
          <cell r="F2307" t="str">
            <v>N/ App</v>
          </cell>
        </row>
        <row r="2308">
          <cell r="B2308" t="str">
            <v>FB260007309</v>
          </cell>
          <cell r="F2308" t="str">
            <v>N/ App</v>
          </cell>
        </row>
        <row r="2309">
          <cell r="B2309" t="str">
            <v>FB260007308</v>
          </cell>
          <cell r="F2309" t="str">
            <v>N/ App</v>
          </cell>
        </row>
        <row r="2310">
          <cell r="B2310" t="str">
            <v>FB260007323</v>
          </cell>
          <cell r="F2310" t="str">
            <v>N/ App</v>
          </cell>
        </row>
        <row r="2311">
          <cell r="B2311" t="str">
            <v>FB260007321</v>
          </cell>
          <cell r="F2311" t="str">
            <v>N/ App</v>
          </cell>
        </row>
        <row r="2312">
          <cell r="B2312" t="str">
            <v>FB260007319</v>
          </cell>
          <cell r="F2312" t="str">
            <v>N/ App</v>
          </cell>
        </row>
        <row r="2313">
          <cell r="B2313" t="str">
            <v>FB260007324</v>
          </cell>
          <cell r="F2313" t="str">
            <v>N/ App</v>
          </cell>
        </row>
        <row r="2314">
          <cell r="B2314" t="str">
            <v>FB260005615</v>
          </cell>
          <cell r="F2314" t="str">
            <v>N/ App</v>
          </cell>
        </row>
        <row r="2315">
          <cell r="B2315" t="str">
            <v>FB260005721</v>
          </cell>
          <cell r="F2315" t="str">
            <v>C/APP</v>
          </cell>
        </row>
        <row r="2316">
          <cell r="B2316" t="str">
            <v>FB260006037</v>
          </cell>
          <cell r="F2316" t="str">
            <v>N/ App</v>
          </cell>
        </row>
        <row r="2317">
          <cell r="B2317" t="str">
            <v>FB260007008</v>
          </cell>
          <cell r="F2317" t="str">
            <v>N/ App</v>
          </cell>
        </row>
        <row r="2318">
          <cell r="B2318" t="str">
            <v>FB260007013</v>
          </cell>
          <cell r="F2318" t="str">
            <v>N/ App</v>
          </cell>
        </row>
        <row r="2319">
          <cell r="B2319" t="str">
            <v>FB260007261</v>
          </cell>
          <cell r="F2319" t="str">
            <v>C/APP</v>
          </cell>
        </row>
        <row r="2320">
          <cell r="B2320" t="str">
            <v>FB260007620</v>
          </cell>
          <cell r="F2320" t="str">
            <v>N/ App</v>
          </cell>
        </row>
        <row r="2321">
          <cell r="B2321" t="str">
            <v>FB260006088</v>
          </cell>
          <cell r="F2321" t="str">
            <v>N/ App</v>
          </cell>
        </row>
        <row r="2322">
          <cell r="B2322" t="str">
            <v>FB260005952</v>
          </cell>
          <cell r="F2322" t="str">
            <v>N/ App</v>
          </cell>
        </row>
        <row r="2323">
          <cell r="B2323" t="str">
            <v>FB260007028</v>
          </cell>
          <cell r="F2323" t="str">
            <v>C/APP</v>
          </cell>
        </row>
        <row r="2324">
          <cell r="B2324" t="str">
            <v>FB260007260</v>
          </cell>
          <cell r="F2324" t="str">
            <v>C/APP</v>
          </cell>
        </row>
        <row r="2325">
          <cell r="B2325" t="str">
            <v>FB260007872</v>
          </cell>
          <cell r="F2325" t="str">
            <v>C/APP</v>
          </cell>
        </row>
        <row r="2326">
          <cell r="B2326" t="str">
            <v>FB260006031</v>
          </cell>
          <cell r="F2326" t="str">
            <v>Digital App</v>
          </cell>
        </row>
        <row r="2327">
          <cell r="B2327" t="str">
            <v>FB250029179</v>
          </cell>
          <cell r="F2327" t="str">
            <v>N/ App</v>
          </cell>
        </row>
        <row r="2328">
          <cell r="B2328" t="str">
            <v>FB260006038</v>
          </cell>
          <cell r="F2328" t="str">
            <v>N/ App</v>
          </cell>
        </row>
        <row r="2329">
          <cell r="B2329" t="str">
            <v>FB260006996</v>
          </cell>
          <cell r="F2329" t="str">
            <v>REJECT</v>
          </cell>
        </row>
        <row r="2330">
          <cell r="B2330" t="str">
            <v>FB260006798</v>
          </cell>
          <cell r="F2330" t="str">
            <v>N/ App</v>
          </cell>
        </row>
        <row r="2331">
          <cell r="B2331" t="str">
            <v>FB260007787</v>
          </cell>
          <cell r="F2331" t="str">
            <v>C/APP</v>
          </cell>
        </row>
        <row r="2332">
          <cell r="B2332" t="str">
            <v>FB260007512</v>
          </cell>
          <cell r="F2332" t="str">
            <v>N/ App</v>
          </cell>
        </row>
        <row r="2333">
          <cell r="B2333" t="str">
            <v>FB260007516</v>
          </cell>
          <cell r="F2333" t="str">
            <v>N/ App</v>
          </cell>
        </row>
        <row r="2334">
          <cell r="B2334" t="str">
            <v>FB260007792</v>
          </cell>
          <cell r="F2334" t="str">
            <v>N/ App</v>
          </cell>
        </row>
        <row r="2335">
          <cell r="B2335" t="str">
            <v>FB260006661</v>
          </cell>
          <cell r="F2335" t="str">
            <v>N/ App</v>
          </cell>
        </row>
        <row r="2336">
          <cell r="B2336" t="str">
            <v>FB260005782</v>
          </cell>
          <cell r="F2336" t="str">
            <v>N/ App</v>
          </cell>
        </row>
        <row r="2337">
          <cell r="B2337" t="str">
            <v>FB260004415</v>
          </cell>
          <cell r="F2337" t="str">
            <v>N/ App</v>
          </cell>
        </row>
        <row r="2338">
          <cell r="B2338" t="str">
            <v>FB260006318</v>
          </cell>
          <cell r="F2338" t="str">
            <v>N/ App</v>
          </cell>
        </row>
        <row r="2339">
          <cell r="B2339" t="str">
            <v>FB260006739</v>
          </cell>
          <cell r="F2339" t="str">
            <v>N/ App</v>
          </cell>
        </row>
        <row r="2340">
          <cell r="B2340" t="str">
            <v>FB260006791</v>
          </cell>
          <cell r="F2340" t="str">
            <v>N/ App</v>
          </cell>
        </row>
        <row r="2341">
          <cell r="B2341" t="str">
            <v>FB260006928</v>
          </cell>
          <cell r="F2341" t="str">
            <v>C/APP</v>
          </cell>
        </row>
        <row r="2342">
          <cell r="B2342" t="str">
            <v>FB260007164</v>
          </cell>
          <cell r="F2342" t="str">
            <v>N/ App</v>
          </cell>
        </row>
        <row r="2343">
          <cell r="B2343" t="str">
            <v>FB260007024</v>
          </cell>
          <cell r="F2343" t="str">
            <v>N/ App</v>
          </cell>
        </row>
        <row r="2344">
          <cell r="B2344" t="str">
            <v>FB260007769</v>
          </cell>
          <cell r="F2344" t="str">
            <v>N/ App</v>
          </cell>
        </row>
        <row r="2345">
          <cell r="B2345" t="str">
            <v>FB260007585</v>
          </cell>
          <cell r="F2345" t="str">
            <v>N/ App</v>
          </cell>
        </row>
        <row r="2346">
          <cell r="B2346" t="str">
            <v>FB260007579</v>
          </cell>
          <cell r="F2346" t="str">
            <v>N/ App</v>
          </cell>
        </row>
        <row r="2347">
          <cell r="B2347" t="str">
            <v>FB260006674</v>
          </cell>
          <cell r="F2347" t="str">
            <v>N/ App</v>
          </cell>
        </row>
        <row r="2348">
          <cell r="B2348" t="str">
            <v>FB260007015</v>
          </cell>
          <cell r="F2348" t="str">
            <v>N/ App</v>
          </cell>
        </row>
        <row r="2349">
          <cell r="B2349" t="str">
            <v>FB260005541</v>
          </cell>
          <cell r="F2349" t="str">
            <v>C/APP</v>
          </cell>
        </row>
        <row r="2350">
          <cell r="B2350" t="str">
            <v>FB250029110</v>
          </cell>
          <cell r="F2350" t="str">
            <v>N/ App</v>
          </cell>
        </row>
        <row r="2351">
          <cell r="B2351" t="str">
            <v>FB260006087</v>
          </cell>
          <cell r="F2351" t="str">
            <v>N/ App</v>
          </cell>
        </row>
        <row r="2352">
          <cell r="B2352" t="str">
            <v>FB260006468</v>
          </cell>
          <cell r="F2352" t="str">
            <v>N/ App</v>
          </cell>
        </row>
        <row r="2353">
          <cell r="B2353" t="str">
            <v>FB260006130</v>
          </cell>
          <cell r="F2353" t="str">
            <v>N/ App</v>
          </cell>
        </row>
        <row r="2354">
          <cell r="B2354" t="str">
            <v>FB260007358</v>
          </cell>
          <cell r="F2354" t="str">
            <v>N/ App</v>
          </cell>
        </row>
        <row r="2355">
          <cell r="B2355" t="str">
            <v>FB260004758</v>
          </cell>
          <cell r="F2355" t="str">
            <v>N/ App</v>
          </cell>
        </row>
        <row r="2356">
          <cell r="B2356" t="str">
            <v>FB260007025</v>
          </cell>
          <cell r="F2356" t="str">
            <v>N/ App</v>
          </cell>
        </row>
        <row r="2357">
          <cell r="B2357" t="str">
            <v>FB260005834</v>
          </cell>
          <cell r="F2357" t="str">
            <v>N/ App</v>
          </cell>
        </row>
        <row r="2358">
          <cell r="B2358" t="str">
            <v>FB260006717</v>
          </cell>
          <cell r="F2358" t="str">
            <v>N/ App</v>
          </cell>
        </row>
        <row r="2359">
          <cell r="B2359" t="str">
            <v>FB260005612</v>
          </cell>
          <cell r="F2359" t="str">
            <v>N/ App</v>
          </cell>
        </row>
        <row r="2360">
          <cell r="B2360" t="str">
            <v>FB260006483</v>
          </cell>
          <cell r="F2360" t="str">
            <v>N/ App</v>
          </cell>
        </row>
        <row r="2361">
          <cell r="B2361" t="str">
            <v>FB260007948</v>
          </cell>
          <cell r="F2361" t="str">
            <v>N/ App</v>
          </cell>
        </row>
        <row r="2362">
          <cell r="B2362" t="str">
            <v>FB260007950</v>
          </cell>
          <cell r="F2362" t="str">
            <v>N/ App</v>
          </cell>
        </row>
        <row r="2363">
          <cell r="B2363" t="str">
            <v>FB250029195</v>
          </cell>
          <cell r="F2363" t="str">
            <v>N/ App</v>
          </cell>
        </row>
        <row r="2364">
          <cell r="B2364" t="str">
            <v>FB250029185</v>
          </cell>
          <cell r="F2364" t="str">
            <v>N/ App</v>
          </cell>
        </row>
        <row r="2365">
          <cell r="B2365" t="str">
            <v>FB260006315</v>
          </cell>
          <cell r="F2365" t="str">
            <v>C/APP</v>
          </cell>
        </row>
        <row r="2366">
          <cell r="B2366" t="str">
            <v>FB260007026</v>
          </cell>
          <cell r="F2366" t="str">
            <v>N/ App</v>
          </cell>
        </row>
        <row r="2367">
          <cell r="B2367" t="str">
            <v>FB260006388</v>
          </cell>
          <cell r="F2367" t="str">
            <v>C/APP</v>
          </cell>
        </row>
        <row r="2368">
          <cell r="B2368" t="str">
            <v>FB260007945</v>
          </cell>
          <cell r="F2368" t="str">
            <v>N/ App</v>
          </cell>
        </row>
        <row r="2369">
          <cell r="B2369" t="str">
            <v>FB260005294</v>
          </cell>
          <cell r="F2369" t="str">
            <v>C/APP</v>
          </cell>
        </row>
        <row r="2370">
          <cell r="B2370" t="str">
            <v>FB260005293</v>
          </cell>
          <cell r="F2370" t="str">
            <v>N/ App</v>
          </cell>
        </row>
        <row r="2371">
          <cell r="B2371" t="str">
            <v>FB260007779</v>
          </cell>
          <cell r="F2371" t="str">
            <v>N/ App</v>
          </cell>
        </row>
        <row r="2372">
          <cell r="B2372" t="str">
            <v>FB260007060</v>
          </cell>
          <cell r="F2372" t="str">
            <v>N/ App</v>
          </cell>
        </row>
        <row r="2373">
          <cell r="B2373" t="str">
            <v>FB260007061</v>
          </cell>
          <cell r="F2373" t="str">
            <v>N/ App</v>
          </cell>
        </row>
        <row r="2374">
          <cell r="B2374" t="str">
            <v>FB260006235</v>
          </cell>
          <cell r="F2374" t="str">
            <v>N/ App</v>
          </cell>
        </row>
        <row r="2375">
          <cell r="B2375" t="str">
            <v>FB260006776</v>
          </cell>
          <cell r="F2375" t="str">
            <v>N/ App</v>
          </cell>
        </row>
        <row r="2376">
          <cell r="B2376" t="str">
            <v>FB260006214</v>
          </cell>
          <cell r="F2376" t="str">
            <v>N/ App</v>
          </cell>
        </row>
        <row r="2377">
          <cell r="B2377" t="str">
            <v>FB260006659</v>
          </cell>
          <cell r="F2377" t="str">
            <v>N/ App</v>
          </cell>
        </row>
        <row r="2378">
          <cell r="B2378" t="str">
            <v>FB260007796</v>
          </cell>
          <cell r="F2378" t="str">
            <v>N/ App</v>
          </cell>
        </row>
        <row r="2379">
          <cell r="B2379" t="str">
            <v>FB260006805</v>
          </cell>
          <cell r="F2379" t="str">
            <v>C/APP</v>
          </cell>
        </row>
        <row r="2380">
          <cell r="B2380" t="str">
            <v>FB260007279</v>
          </cell>
          <cell r="F2380" t="str">
            <v>N/ App</v>
          </cell>
        </row>
        <row r="2381">
          <cell r="B2381" t="str">
            <v>FB260007770</v>
          </cell>
          <cell r="F2381" t="str">
            <v>N/ App</v>
          </cell>
        </row>
        <row r="2382">
          <cell r="B2382" t="str">
            <v>FB260007007</v>
          </cell>
          <cell r="F2382" t="str">
            <v>Digital App</v>
          </cell>
        </row>
        <row r="2383">
          <cell r="B2383" t="str">
            <v>FB260005175</v>
          </cell>
          <cell r="F2383" t="str">
            <v>N/ App</v>
          </cell>
        </row>
        <row r="2384">
          <cell r="B2384" t="str">
            <v>FB260007275</v>
          </cell>
          <cell r="F2384" t="str">
            <v>N/ App</v>
          </cell>
        </row>
        <row r="2385">
          <cell r="B2385" t="str">
            <v>FB260005610</v>
          </cell>
          <cell r="F2385" t="str">
            <v>N/ App</v>
          </cell>
        </row>
        <row r="2386">
          <cell r="B2386" t="str">
            <v>FB260005614</v>
          </cell>
          <cell r="F2386" t="str">
            <v>N/ App</v>
          </cell>
        </row>
        <row r="2387">
          <cell r="B2387" t="str">
            <v>FB260005469</v>
          </cell>
          <cell r="F2387" t="str">
            <v>N/ App</v>
          </cell>
        </row>
        <row r="2388">
          <cell r="B2388" t="str">
            <v>FB260005613</v>
          </cell>
          <cell r="F2388" t="str">
            <v>N/ App</v>
          </cell>
        </row>
        <row r="2389">
          <cell r="B2389" t="str">
            <v>FB260005464</v>
          </cell>
          <cell r="F2389" t="str">
            <v>N/ App</v>
          </cell>
        </row>
        <row r="2390">
          <cell r="B2390" t="str">
            <v>FB260005462</v>
          </cell>
          <cell r="F2390" t="str">
            <v>N/ App</v>
          </cell>
        </row>
        <row r="2391">
          <cell r="B2391" t="str">
            <v>FB260007781</v>
          </cell>
          <cell r="F2391" t="str">
            <v>N/ App</v>
          </cell>
        </row>
        <row r="2392">
          <cell r="B2392" t="str">
            <v>FB260005730</v>
          </cell>
          <cell r="F2392" t="str">
            <v>N/ App</v>
          </cell>
        </row>
        <row r="2393">
          <cell r="B2393" t="str">
            <v>FB260005926</v>
          </cell>
          <cell r="F2393" t="str">
            <v>C/APP</v>
          </cell>
        </row>
        <row r="2394">
          <cell r="B2394" t="str">
            <v>FB260006061</v>
          </cell>
          <cell r="F2394" t="str">
            <v>N/ App</v>
          </cell>
        </row>
        <row r="2395">
          <cell r="B2395" t="str">
            <v>FB250029178</v>
          </cell>
          <cell r="F2395" t="str">
            <v>N/ App</v>
          </cell>
        </row>
        <row r="2396">
          <cell r="B2396" t="str">
            <v>FB260005187</v>
          </cell>
          <cell r="F2396" t="str">
            <v>N/ App</v>
          </cell>
        </row>
        <row r="2397">
          <cell r="B2397" t="str">
            <v>FB260006985</v>
          </cell>
          <cell r="F2397" t="str">
            <v>N/ App</v>
          </cell>
        </row>
        <row r="2398">
          <cell r="B2398" t="str">
            <v>FB260007892</v>
          </cell>
          <cell r="F2398" t="str">
            <v>C/APP</v>
          </cell>
        </row>
        <row r="2399">
          <cell r="B2399" t="str">
            <v>FB260007772</v>
          </cell>
          <cell r="F2399" t="str">
            <v>N/ App</v>
          </cell>
        </row>
        <row r="2400">
          <cell r="B2400" t="str">
            <v>FB260005845</v>
          </cell>
          <cell r="F2400" t="str">
            <v>C/APP</v>
          </cell>
        </row>
        <row r="2401">
          <cell r="B2401" t="str">
            <v>FB260007155</v>
          </cell>
          <cell r="F2401" t="str">
            <v>N/ App</v>
          </cell>
        </row>
        <row r="2402">
          <cell r="B2402" t="str">
            <v>FB260006060</v>
          </cell>
          <cell r="F2402" t="str">
            <v>C/APP</v>
          </cell>
        </row>
        <row r="2403">
          <cell r="B2403" t="str">
            <v>FB260007883</v>
          </cell>
          <cell r="F2403" t="str">
            <v>N/ App</v>
          </cell>
        </row>
        <row r="2404">
          <cell r="B2404" t="str">
            <v>FB260007067</v>
          </cell>
          <cell r="F2404" t="str">
            <v>N/ App</v>
          </cell>
        </row>
        <row r="2405">
          <cell r="B2405" t="str">
            <v>FB260007280</v>
          </cell>
          <cell r="F2405" t="str">
            <v>N/ App</v>
          </cell>
        </row>
        <row r="2406">
          <cell r="B2406" t="str">
            <v>FB260007798</v>
          </cell>
          <cell r="F2406" t="str">
            <v>N/ App</v>
          </cell>
        </row>
        <row r="2407">
          <cell r="B2407" t="str">
            <v>FB260006966</v>
          </cell>
          <cell r="F2407" t="str">
            <v>N/ App</v>
          </cell>
        </row>
        <row r="2408">
          <cell r="B2408" t="str">
            <v>FB260006656</v>
          </cell>
          <cell r="F2408" t="str">
            <v>N/ App</v>
          </cell>
        </row>
        <row r="2409">
          <cell r="B2409" t="str">
            <v>FB260006228</v>
          </cell>
          <cell r="F2409" t="str">
            <v>N/ App</v>
          </cell>
        </row>
        <row r="2410">
          <cell r="B2410" t="str">
            <v>FB260006955</v>
          </cell>
          <cell r="F2410" t="str">
            <v>N/ App</v>
          </cell>
        </row>
        <row r="2411">
          <cell r="B2411" t="str">
            <v>FB260006451</v>
          </cell>
          <cell r="F2411" t="str">
            <v>C/APP</v>
          </cell>
        </row>
        <row r="2412">
          <cell r="B2412" t="str">
            <v>FB260006800</v>
          </cell>
          <cell r="F2412" t="str">
            <v>C/APP</v>
          </cell>
        </row>
        <row r="2413">
          <cell r="B2413" t="str">
            <v>FB250029170</v>
          </cell>
          <cell r="F2413" t="str">
            <v>N/ App</v>
          </cell>
        </row>
        <row r="2414">
          <cell r="B2414" t="str">
            <v>FB260005932</v>
          </cell>
          <cell r="F2414" t="str">
            <v>N/ App</v>
          </cell>
        </row>
        <row r="2415">
          <cell r="B2415" t="str">
            <v>FB260007181</v>
          </cell>
          <cell r="F2415" t="str">
            <v>N/ App</v>
          </cell>
        </row>
        <row r="2416">
          <cell r="B2416" t="str">
            <v>FB260007036</v>
          </cell>
          <cell r="F2416" t="str">
            <v>N/ App</v>
          </cell>
        </row>
        <row r="2417">
          <cell r="B2417" t="str">
            <v>FB260006381</v>
          </cell>
          <cell r="F2417" t="str">
            <v>N/ App</v>
          </cell>
        </row>
        <row r="2418">
          <cell r="B2418" t="str">
            <v>FB260005931</v>
          </cell>
          <cell r="F2418" t="str">
            <v>N/ App</v>
          </cell>
        </row>
        <row r="2419">
          <cell r="B2419" t="str">
            <v>FB260006065</v>
          </cell>
          <cell r="F2419" t="str">
            <v>N/ App</v>
          </cell>
        </row>
        <row r="2420">
          <cell r="B2420" t="str">
            <v>FB260007944</v>
          </cell>
          <cell r="F2420" t="str">
            <v>N/ App</v>
          </cell>
        </row>
        <row r="2421">
          <cell r="B2421" t="str">
            <v>FB260006044</v>
          </cell>
          <cell r="F2421" t="str">
            <v>N/ App</v>
          </cell>
        </row>
        <row r="2422">
          <cell r="B2422" t="str">
            <v>FB250029160</v>
          </cell>
          <cell r="F2422" t="str">
            <v>N/ App</v>
          </cell>
        </row>
        <row r="2423">
          <cell r="B2423" t="str">
            <v>FB260005520</v>
          </cell>
          <cell r="F2423" t="str">
            <v>C/APP</v>
          </cell>
        </row>
        <row r="2424">
          <cell r="B2424" t="str">
            <v>FB260005520</v>
          </cell>
          <cell r="F2424" t="str">
            <v>C/APP</v>
          </cell>
        </row>
        <row r="2425">
          <cell r="B2425" t="str">
            <v>FB260005518</v>
          </cell>
          <cell r="F2425" t="str">
            <v>C/APP</v>
          </cell>
        </row>
        <row r="2426">
          <cell r="B2426" t="str">
            <v>FB260005518</v>
          </cell>
          <cell r="F2426" t="str">
            <v>C/APP</v>
          </cell>
        </row>
        <row r="2427">
          <cell r="B2427" t="str">
            <v>FB260007193</v>
          </cell>
          <cell r="F2427" t="str">
            <v>N/ App</v>
          </cell>
        </row>
        <row r="2428">
          <cell r="B2428" t="str">
            <v>FB250029145</v>
          </cell>
          <cell r="F2428" t="str">
            <v>N/ App</v>
          </cell>
        </row>
        <row r="2429">
          <cell r="B2429" t="str">
            <v>FB260006708</v>
          </cell>
          <cell r="F2429" t="str">
            <v>N/ App</v>
          </cell>
        </row>
        <row r="2430">
          <cell r="B2430" t="str">
            <v>FB260007192</v>
          </cell>
          <cell r="F2430" t="str">
            <v>N/ App</v>
          </cell>
        </row>
        <row r="2431">
          <cell r="B2431" t="str">
            <v>FB260007031</v>
          </cell>
          <cell r="F2431" t="str">
            <v>N/ App</v>
          </cell>
        </row>
        <row r="2432">
          <cell r="B2432" t="str">
            <v>FB260006080</v>
          </cell>
          <cell r="F2432" t="str">
            <v>N/ App</v>
          </cell>
        </row>
        <row r="2433">
          <cell r="B2433" t="str">
            <v>FB260006036</v>
          </cell>
          <cell r="F2433" t="str">
            <v>C/APP</v>
          </cell>
        </row>
        <row r="2434">
          <cell r="B2434" t="str">
            <v>FB260007029</v>
          </cell>
          <cell r="F2434" t="str">
            <v>N/ App</v>
          </cell>
        </row>
        <row r="2435">
          <cell r="B2435" t="str">
            <v>FB260007797</v>
          </cell>
          <cell r="F2435" t="str">
            <v>C/APP</v>
          </cell>
        </row>
        <row r="2436">
          <cell r="B2436" t="str">
            <v>FB260005743</v>
          </cell>
          <cell r="F2436" t="str">
            <v>N/ App</v>
          </cell>
        </row>
        <row r="2437">
          <cell r="B2437" t="str">
            <v>FB260006364</v>
          </cell>
          <cell r="F2437" t="str">
            <v>C/APP</v>
          </cell>
        </row>
        <row r="2438">
          <cell r="B2438" t="str">
            <v>FB260007484</v>
          </cell>
          <cell r="F2438" t="str">
            <v>N/ App</v>
          </cell>
        </row>
        <row r="2439">
          <cell r="B2439" t="str">
            <v>FB260007487</v>
          </cell>
          <cell r="F2439" t="str">
            <v>N/ App</v>
          </cell>
        </row>
        <row r="2440">
          <cell r="B2440" t="str">
            <v>FB250029155</v>
          </cell>
          <cell r="F2440" t="str">
            <v>C/APP</v>
          </cell>
        </row>
        <row r="2441">
          <cell r="B2441" t="str">
            <v>FB260006559</v>
          </cell>
          <cell r="F2441" t="str">
            <v>N/ App</v>
          </cell>
        </row>
        <row r="2442">
          <cell r="B2442" t="str">
            <v>FB260007870</v>
          </cell>
          <cell r="F2442" t="str">
            <v>N/ App</v>
          </cell>
        </row>
        <row r="2443">
          <cell r="B2443" t="str">
            <v>FB260005856</v>
          </cell>
          <cell r="F2443" t="str">
            <v>N/ App</v>
          </cell>
        </row>
        <row r="2444">
          <cell r="B2444" t="str">
            <v>FB260005760</v>
          </cell>
          <cell r="F2444" t="str">
            <v>N/ App</v>
          </cell>
        </row>
        <row r="2445">
          <cell r="B2445" t="str">
            <v>FB260006078</v>
          </cell>
          <cell r="F2445" t="str">
            <v>N/ App</v>
          </cell>
        </row>
        <row r="2446">
          <cell r="B2446" t="str">
            <v>FB260005928</v>
          </cell>
          <cell r="F2446" t="str">
            <v>N/ App</v>
          </cell>
        </row>
        <row r="2447">
          <cell r="B2447" t="str">
            <v>FB260007495</v>
          </cell>
          <cell r="F2447" t="str">
            <v>N/ App</v>
          </cell>
        </row>
        <row r="2448">
          <cell r="B2448" t="str">
            <v>FB260007952</v>
          </cell>
          <cell r="F2448" t="str">
            <v>N/ App</v>
          </cell>
        </row>
        <row r="2449">
          <cell r="B2449" t="str">
            <v>FB260005852</v>
          </cell>
          <cell r="F2449" t="str">
            <v>N/ App</v>
          </cell>
        </row>
        <row r="2450">
          <cell r="B2450" t="str">
            <v>FB260005851</v>
          </cell>
          <cell r="F2450" t="str">
            <v>N/ App</v>
          </cell>
        </row>
        <row r="2451">
          <cell r="B2451" t="str">
            <v>FB260006549</v>
          </cell>
          <cell r="F2451" t="str">
            <v>N/ App</v>
          </cell>
        </row>
        <row r="2452">
          <cell r="B2452" t="str">
            <v>FB260007419</v>
          </cell>
          <cell r="F2452" t="str">
            <v>C/APP</v>
          </cell>
        </row>
        <row r="2453">
          <cell r="B2453" t="str">
            <v>FR260000163</v>
          </cell>
          <cell r="F2453" t="str">
            <v>Digital App</v>
          </cell>
        </row>
        <row r="2454">
          <cell r="B2454" t="str">
            <v>FB260003888</v>
          </cell>
          <cell r="F2454" t="str">
            <v>N/ App</v>
          </cell>
        </row>
        <row r="2455">
          <cell r="B2455" t="str">
            <v>FB260006996</v>
          </cell>
          <cell r="F2455" t="str">
            <v>N/ App</v>
          </cell>
        </row>
        <row r="2456">
          <cell r="B2456" t="str">
            <v>FB260005918</v>
          </cell>
          <cell r="F2456" t="str">
            <v>N/ App</v>
          </cell>
        </row>
        <row r="2457">
          <cell r="B2457" t="str">
            <v>FB260005920</v>
          </cell>
          <cell r="F2457" t="str">
            <v>N/ App</v>
          </cell>
        </row>
        <row r="2458">
          <cell r="B2458" t="str">
            <v>FB260007876</v>
          </cell>
          <cell r="F2458" t="str">
            <v>N/ App</v>
          </cell>
        </row>
        <row r="2459">
          <cell r="B2459" t="str">
            <v>FB260006051</v>
          </cell>
          <cell r="F2459" t="str">
            <v>N/ App</v>
          </cell>
        </row>
        <row r="2460">
          <cell r="B2460" t="str">
            <v>FB260006987</v>
          </cell>
          <cell r="F2460" t="str">
            <v>N/ App</v>
          </cell>
        </row>
        <row r="2461">
          <cell r="B2461" t="str">
            <v>FB260006986</v>
          </cell>
          <cell r="F2461" t="str">
            <v>N/ App</v>
          </cell>
        </row>
        <row r="2462">
          <cell r="B2462" t="str">
            <v>FB260006367</v>
          </cell>
          <cell r="F2462" t="str">
            <v>N/ App</v>
          </cell>
        </row>
        <row r="2463">
          <cell r="B2463" t="str">
            <v>FB260007831</v>
          </cell>
          <cell r="F2463" t="str">
            <v>N/ App</v>
          </cell>
        </row>
        <row r="2464">
          <cell r="B2464" t="str">
            <v>FB260007414</v>
          </cell>
          <cell r="F2464" t="str">
            <v>N/ App</v>
          </cell>
        </row>
        <row r="2465">
          <cell r="B2465" t="str">
            <v>FB260007896</v>
          </cell>
          <cell r="F2465" t="str">
            <v>C/APP</v>
          </cell>
        </row>
        <row r="2466">
          <cell r="B2466" t="str">
            <v>FB260007490</v>
          </cell>
          <cell r="F2466" t="str">
            <v>N/ App</v>
          </cell>
        </row>
        <row r="2467">
          <cell r="B2467" t="str">
            <v>FB260007761</v>
          </cell>
          <cell r="F2467" t="str">
            <v>N/ App</v>
          </cell>
        </row>
        <row r="2468">
          <cell r="B2468" t="str">
            <v>FB260007937</v>
          </cell>
          <cell r="F2468" t="str">
            <v>N/ App</v>
          </cell>
        </row>
        <row r="2469">
          <cell r="B2469" t="str">
            <v>FB260006394</v>
          </cell>
          <cell r="F2469" t="str">
            <v>N/ App</v>
          </cell>
        </row>
        <row r="2470">
          <cell r="B2470" t="str">
            <v>FB260005146</v>
          </cell>
          <cell r="F2470" t="str">
            <v>N/ App</v>
          </cell>
        </row>
        <row r="2471">
          <cell r="B2471" t="str">
            <v>FB260003556</v>
          </cell>
          <cell r="F2471" t="str">
            <v>N/ App</v>
          </cell>
        </row>
        <row r="2472">
          <cell r="B2472" t="str">
            <v>FB260007881</v>
          </cell>
          <cell r="F2472" t="str">
            <v>N/ App</v>
          </cell>
        </row>
        <row r="2473">
          <cell r="B2473" t="str">
            <v>FB260007753</v>
          </cell>
          <cell r="F2473" t="str">
            <v>N/ App</v>
          </cell>
        </row>
        <row r="2474">
          <cell r="B2474" t="str">
            <v>FB260006410</v>
          </cell>
          <cell r="F2474" t="str">
            <v>N/ App</v>
          </cell>
        </row>
        <row r="2475">
          <cell r="B2475" t="str">
            <v>FB260007942</v>
          </cell>
          <cell r="F2475" t="str">
            <v>N/ App</v>
          </cell>
        </row>
        <row r="2476">
          <cell r="B2476" t="str">
            <v>FB260006999</v>
          </cell>
          <cell r="F2476" t="str">
            <v>N/ App</v>
          </cell>
        </row>
        <row r="2477">
          <cell r="B2477" t="str">
            <v>FB260007000</v>
          </cell>
          <cell r="F2477" t="str">
            <v>N/ App</v>
          </cell>
        </row>
        <row r="2478">
          <cell r="B2478" t="str">
            <v>FB260006055</v>
          </cell>
          <cell r="F2478" t="str">
            <v>N/ App</v>
          </cell>
        </row>
        <row r="2479">
          <cell r="B2479" t="str">
            <v>FB260007985</v>
          </cell>
          <cell r="F2479" t="str">
            <v>N/ App</v>
          </cell>
        </row>
        <row r="2480">
          <cell r="B2480" t="str">
            <v>FB260007939</v>
          </cell>
          <cell r="F2480" t="str">
            <v>C/APP</v>
          </cell>
        </row>
        <row r="2481">
          <cell r="B2481" t="str">
            <v>FB260007488</v>
          </cell>
          <cell r="F2481" t="str">
            <v>C/APP</v>
          </cell>
        </row>
        <row r="2482">
          <cell r="B2482" t="str">
            <v>FB250029183</v>
          </cell>
          <cell r="F2482" t="str">
            <v>C/APP</v>
          </cell>
        </row>
        <row r="2483">
          <cell r="B2483" t="str">
            <v>FB260007016</v>
          </cell>
          <cell r="F2483" t="str">
            <v>Digital App</v>
          </cell>
        </row>
        <row r="2484">
          <cell r="B2484" t="str">
            <v>FB260006528</v>
          </cell>
          <cell r="F2484" t="str">
            <v>N/ App</v>
          </cell>
        </row>
        <row r="2485">
          <cell r="B2485" t="str">
            <v>FB260006387</v>
          </cell>
          <cell r="F2485" t="str">
            <v>C/APP</v>
          </cell>
        </row>
        <row r="2486">
          <cell r="B2486" t="str">
            <v>FB260006090</v>
          </cell>
          <cell r="F2486" t="str">
            <v>C/APP</v>
          </cell>
        </row>
        <row r="2487">
          <cell r="B2487" t="str">
            <v>FB260007750</v>
          </cell>
          <cell r="F2487" t="str">
            <v>N/ App</v>
          </cell>
        </row>
        <row r="2488">
          <cell r="B2488" t="str">
            <v>FB260005331</v>
          </cell>
          <cell r="F2488" t="str">
            <v>C/APP</v>
          </cell>
        </row>
        <row r="2489">
          <cell r="B2489" t="str">
            <v>FB260007891</v>
          </cell>
          <cell r="F2489" t="str">
            <v>C/APP</v>
          </cell>
        </row>
        <row r="2490">
          <cell r="B2490" t="str">
            <v>FB260005817</v>
          </cell>
          <cell r="F2490" t="str">
            <v>N/ App</v>
          </cell>
        </row>
        <row r="2491">
          <cell r="B2491" t="str">
            <v>FB260007049</v>
          </cell>
          <cell r="F2491" t="str">
            <v>C/APP</v>
          </cell>
        </row>
        <row r="2492">
          <cell r="B2492" t="str">
            <v>FB260006322</v>
          </cell>
          <cell r="F2492" t="str">
            <v>C/APP</v>
          </cell>
        </row>
        <row r="2493">
          <cell r="B2493" t="str">
            <v>FB260007035</v>
          </cell>
          <cell r="F2493" t="str">
            <v>N/ App</v>
          </cell>
        </row>
        <row r="2494">
          <cell r="B2494" t="str">
            <v>FB250029148</v>
          </cell>
          <cell r="F2494" t="str">
            <v>N/ App</v>
          </cell>
        </row>
        <row r="2495">
          <cell r="B2495" t="str">
            <v>FB260006449</v>
          </cell>
          <cell r="F2495" t="str">
            <v>C/APP</v>
          </cell>
        </row>
        <row r="2496">
          <cell r="B2496" t="str">
            <v>FB260006615</v>
          </cell>
          <cell r="F2496" t="str">
            <v>N/ App</v>
          </cell>
        </row>
        <row r="2497">
          <cell r="B2497" t="str">
            <v>FB260006454</v>
          </cell>
          <cell r="F2497" t="str">
            <v>C/APP</v>
          </cell>
        </row>
        <row r="2498">
          <cell r="B2498" t="str">
            <v>FB260005342</v>
          </cell>
          <cell r="F2498" t="str">
            <v>N/ App</v>
          </cell>
        </row>
        <row r="2499">
          <cell r="B2499" t="str">
            <v>FB250029186</v>
          </cell>
          <cell r="F2499" t="str">
            <v>N/ App</v>
          </cell>
        </row>
        <row r="2500">
          <cell r="B2500" t="str">
            <v>FB260006452</v>
          </cell>
          <cell r="F2500" t="str">
            <v>C/APP</v>
          </cell>
        </row>
        <row r="2501">
          <cell r="B2501" t="str">
            <v>FB260007830</v>
          </cell>
          <cell r="F2501" t="str">
            <v>C/APP</v>
          </cell>
        </row>
        <row r="2502">
          <cell r="B2502" t="str">
            <v>FB250029143</v>
          </cell>
          <cell r="F2502" t="str">
            <v>N/ App</v>
          </cell>
        </row>
        <row r="2503">
          <cell r="B2503" t="str">
            <v>FB260007417</v>
          </cell>
          <cell r="F2503" t="str">
            <v>N/ App</v>
          </cell>
        </row>
        <row r="2504">
          <cell r="B2504" t="str">
            <v>FB260006910</v>
          </cell>
          <cell r="F2504" t="str">
            <v>N/ App</v>
          </cell>
        </row>
        <row r="2505">
          <cell r="B2505" t="str">
            <v>FB260007083</v>
          </cell>
          <cell r="F2505" t="str">
            <v>N/ App</v>
          </cell>
        </row>
        <row r="2506">
          <cell r="B2506" t="str">
            <v>FB260006118</v>
          </cell>
          <cell r="F2506" t="str">
            <v>N/ App</v>
          </cell>
        </row>
        <row r="2507">
          <cell r="B2507" t="str">
            <v>FB260006309</v>
          </cell>
          <cell r="F2507" t="str">
            <v>N/ App</v>
          </cell>
        </row>
        <row r="2508">
          <cell r="B2508" t="str">
            <v>FB260004738</v>
          </cell>
          <cell r="F2508" t="str">
            <v>N/ App</v>
          </cell>
        </row>
        <row r="2509">
          <cell r="B2509" t="str">
            <v>FB260007825</v>
          </cell>
          <cell r="F2509" t="str">
            <v>N/ App</v>
          </cell>
        </row>
        <row r="2510">
          <cell r="B2510" t="str">
            <v>FB260006895</v>
          </cell>
          <cell r="F2510" t="str">
            <v>N/ App</v>
          </cell>
        </row>
        <row r="2511">
          <cell r="B2511" t="str">
            <v>FB260007874</v>
          </cell>
          <cell r="F2511" t="str">
            <v>N/ App</v>
          </cell>
        </row>
        <row r="2512">
          <cell r="B2512" t="str">
            <v>FB260006745</v>
          </cell>
          <cell r="F2512" t="str">
            <v>C/APP</v>
          </cell>
        </row>
        <row r="2513">
          <cell r="B2513" t="str">
            <v>FB260007713</v>
          </cell>
          <cell r="F2513" t="str">
            <v>C/APP</v>
          </cell>
        </row>
        <row r="2514">
          <cell r="B2514" t="str">
            <v>FB260006392</v>
          </cell>
          <cell r="F2514" t="str">
            <v>N/ App</v>
          </cell>
        </row>
        <row r="2515">
          <cell r="B2515" t="str">
            <v>FB260005468</v>
          </cell>
          <cell r="F2515" t="str">
            <v>N/ App</v>
          </cell>
        </row>
        <row r="2516">
          <cell r="B2516" t="str">
            <v>FB260006751</v>
          </cell>
          <cell r="F2516" t="str">
            <v>N/ App</v>
          </cell>
        </row>
        <row r="2517">
          <cell r="B2517" t="str">
            <v>FB260007938</v>
          </cell>
          <cell r="F2517" t="str">
            <v>N/ App</v>
          </cell>
        </row>
        <row r="2518">
          <cell r="B2518" t="str">
            <v>FB260006524</v>
          </cell>
          <cell r="F2518" t="str">
            <v>C/APP</v>
          </cell>
        </row>
        <row r="2519">
          <cell r="B2519" t="str">
            <v>FB260006438</v>
          </cell>
          <cell r="F2519" t="str">
            <v>C/APP</v>
          </cell>
        </row>
        <row r="2520">
          <cell r="B2520" t="str">
            <v>FB260007824</v>
          </cell>
          <cell r="F2520" t="str">
            <v>C/APP</v>
          </cell>
        </row>
        <row r="2521">
          <cell r="B2521" t="str">
            <v>FB250002634</v>
          </cell>
          <cell r="F2521" t="str">
            <v>N/ App</v>
          </cell>
        </row>
        <row r="2522">
          <cell r="B2522" t="str">
            <v>FB260006236</v>
          </cell>
          <cell r="F2522" t="str">
            <v>C/APP</v>
          </cell>
        </row>
        <row r="2523">
          <cell r="B2523" t="str">
            <v>FB260006386</v>
          </cell>
          <cell r="F2523" t="str">
            <v>C/APP</v>
          </cell>
        </row>
        <row r="2524">
          <cell r="B2524" t="str">
            <v>FB260006385</v>
          </cell>
          <cell r="F2524" t="str">
            <v>N/ App</v>
          </cell>
        </row>
        <row r="2525">
          <cell r="B2525" t="str">
            <v>FB260007411</v>
          </cell>
          <cell r="F2525" t="str">
            <v>N/ App</v>
          </cell>
        </row>
        <row r="2526">
          <cell r="B2526" t="str">
            <v>FB260007943</v>
          </cell>
          <cell r="F2526" t="str">
            <v>N/ App</v>
          </cell>
        </row>
        <row r="2527">
          <cell r="B2527" t="str">
            <v>FB260007030</v>
          </cell>
          <cell r="F2527" t="str">
            <v>N/ App</v>
          </cell>
        </row>
        <row r="2528">
          <cell r="B2528" t="str">
            <v>FB250029153</v>
          </cell>
          <cell r="F2528" t="str">
            <v>N/ App</v>
          </cell>
        </row>
        <row r="2529">
          <cell r="B2529" t="str">
            <v>FB260005841</v>
          </cell>
          <cell r="F2529" t="str">
            <v>N/ App</v>
          </cell>
        </row>
        <row r="2530">
          <cell r="B2530" t="str">
            <v>FB260006616</v>
          </cell>
          <cell r="F2530" t="str">
            <v>N/ App</v>
          </cell>
        </row>
        <row r="2531">
          <cell r="B2531" t="str">
            <v>FB260007648</v>
          </cell>
          <cell r="F2531" t="str">
            <v>N/ App</v>
          </cell>
        </row>
        <row r="2532">
          <cell r="B2532" t="str">
            <v>FB260007656</v>
          </cell>
          <cell r="F2532" t="str">
            <v>N/ App</v>
          </cell>
        </row>
        <row r="2533">
          <cell r="B2533" t="str">
            <v>FB250029151</v>
          </cell>
          <cell r="F2533" t="str">
            <v>N/ App</v>
          </cell>
        </row>
        <row r="2534">
          <cell r="B2534" t="str">
            <v>FB260007941</v>
          </cell>
          <cell r="F2534" t="str">
            <v>N/ App</v>
          </cell>
        </row>
        <row r="2535">
          <cell r="B2535" t="str">
            <v>FR260000173</v>
          </cell>
          <cell r="F2535" t="str">
            <v>C/APP</v>
          </cell>
        </row>
        <row r="2536">
          <cell r="B2536" t="str">
            <v>FB260005720</v>
          </cell>
          <cell r="F2536" t="str">
            <v>C/APP</v>
          </cell>
        </row>
        <row r="2537">
          <cell r="B2537" t="str">
            <v>FB250029154</v>
          </cell>
          <cell r="F2537" t="str">
            <v>N/ App</v>
          </cell>
        </row>
        <row r="2538">
          <cell r="B2538" t="str">
            <v>FB260007184</v>
          </cell>
          <cell r="F2538" t="str">
            <v>N/ App</v>
          </cell>
        </row>
        <row r="2539">
          <cell r="B2539" t="str">
            <v>FB260007185</v>
          </cell>
          <cell r="F2539" t="str">
            <v>N/ App</v>
          </cell>
        </row>
        <row r="2540">
          <cell r="B2540" t="str">
            <v>FB260005465</v>
          </cell>
          <cell r="F2540" t="str">
            <v>N/ App</v>
          </cell>
        </row>
        <row r="2541">
          <cell r="B2541" t="str">
            <v>FB260006054</v>
          </cell>
          <cell r="F2541" t="str">
            <v>N/ App</v>
          </cell>
        </row>
        <row r="2542">
          <cell r="B2542" t="str">
            <v>FB260007837</v>
          </cell>
          <cell r="F2542" t="str">
            <v>N/ App</v>
          </cell>
        </row>
        <row r="2543">
          <cell r="B2543" t="str">
            <v>FB260007492</v>
          </cell>
          <cell r="F2543" t="str">
            <v>N/ App</v>
          </cell>
        </row>
        <row r="2544">
          <cell r="B2544" t="str">
            <v>FB260006416</v>
          </cell>
          <cell r="F2544" t="str">
            <v>N/ App</v>
          </cell>
        </row>
        <row r="2545">
          <cell r="B2545" t="str">
            <v>FB260006998</v>
          </cell>
          <cell r="F2545" t="str">
            <v>N/ App</v>
          </cell>
        </row>
        <row r="2546">
          <cell r="B2546" t="str">
            <v>FB260007429</v>
          </cell>
          <cell r="F2546" t="str">
            <v>N/ App</v>
          </cell>
        </row>
        <row r="2547">
          <cell r="B2547" t="str">
            <v>FB260007311</v>
          </cell>
          <cell r="F2547" t="str">
            <v>N/ App</v>
          </cell>
        </row>
        <row r="2548">
          <cell r="B2548" t="str">
            <v>FB260007571</v>
          </cell>
          <cell r="F2548" t="str">
            <v>C/APP</v>
          </cell>
        </row>
        <row r="2549">
          <cell r="B2549" t="str">
            <v>FB260006792</v>
          </cell>
          <cell r="F2549" t="str">
            <v>N/ App</v>
          </cell>
        </row>
        <row r="2550">
          <cell r="B2550" t="str">
            <v>FB260007106</v>
          </cell>
          <cell r="F2550" t="str">
            <v>N/ App</v>
          </cell>
        </row>
        <row r="2551">
          <cell r="B2551" t="str">
            <v>FB260007105</v>
          </cell>
          <cell r="F2551" t="str">
            <v>N/ App</v>
          </cell>
        </row>
        <row r="2552">
          <cell r="B2552" t="str">
            <v>FB260007506</v>
          </cell>
          <cell r="F2552" t="str">
            <v>N/ App</v>
          </cell>
        </row>
        <row r="2553">
          <cell r="B2553" t="str">
            <v>FB260007800</v>
          </cell>
          <cell r="F2553" t="str">
            <v>N/ App</v>
          </cell>
        </row>
        <row r="2554">
          <cell r="B2554" t="str">
            <v>FB260007518</v>
          </cell>
          <cell r="F2554" t="str">
            <v>N/ App</v>
          </cell>
        </row>
        <row r="2555">
          <cell r="B2555" t="str">
            <v>FB260004737</v>
          </cell>
          <cell r="F2555" t="str">
            <v>N/ App</v>
          </cell>
        </row>
        <row r="2556">
          <cell r="B2556" t="str">
            <v>FB260006239</v>
          </cell>
          <cell r="F2556" t="str">
            <v>C/APP</v>
          </cell>
        </row>
        <row r="2557">
          <cell r="B2557" t="str">
            <v>FB260006207</v>
          </cell>
          <cell r="F2557" t="str">
            <v>N/ App</v>
          </cell>
        </row>
        <row r="2558">
          <cell r="B2558" t="str">
            <v>FB260007700</v>
          </cell>
          <cell r="F2558" t="str">
            <v>N/ App</v>
          </cell>
        </row>
        <row r="2559">
          <cell r="B2559" t="str">
            <v>FB260007402</v>
          </cell>
          <cell r="F2559" t="str">
            <v>N/ App</v>
          </cell>
        </row>
        <row r="2560">
          <cell r="B2560" t="str">
            <v>FB260007401</v>
          </cell>
          <cell r="F2560" t="str">
            <v>N/ App</v>
          </cell>
        </row>
        <row r="2561">
          <cell r="B2561" t="str">
            <v>FB260006043</v>
          </cell>
          <cell r="F2561" t="str">
            <v>C/APP</v>
          </cell>
        </row>
        <row r="2562">
          <cell r="B2562" t="str">
            <v>FB260006849</v>
          </cell>
          <cell r="F2562" t="str">
            <v>N/ App</v>
          </cell>
        </row>
        <row r="2563">
          <cell r="B2563" t="str">
            <v>FB260006237</v>
          </cell>
          <cell r="F2563" t="str">
            <v>C/APP</v>
          </cell>
        </row>
        <row r="2564">
          <cell r="B2564" t="str">
            <v>FB260006234</v>
          </cell>
          <cell r="F2564" t="str">
            <v>C/APP</v>
          </cell>
        </row>
        <row r="2565">
          <cell r="B2565" t="str">
            <v>FB260006232</v>
          </cell>
          <cell r="F2565" t="str">
            <v>C/APP</v>
          </cell>
        </row>
        <row r="2566">
          <cell r="B2566" t="str">
            <v>FB250029191</v>
          </cell>
          <cell r="F2566" t="str">
            <v>N/ App</v>
          </cell>
        </row>
        <row r="2567">
          <cell r="B2567" t="str">
            <v>FB250002634</v>
          </cell>
          <cell r="F2567" t="str">
            <v>N/ App</v>
          </cell>
        </row>
        <row r="2568">
          <cell r="B2568" t="str">
            <v>FB260006439</v>
          </cell>
          <cell r="F2568" t="str">
            <v>N/ App</v>
          </cell>
        </row>
        <row r="2569">
          <cell r="B2569" t="str">
            <v>FB260006058</v>
          </cell>
          <cell r="F2569" t="str">
            <v>N/ App</v>
          </cell>
        </row>
        <row r="2570">
          <cell r="B2570" t="str">
            <v>FB260006413</v>
          </cell>
          <cell r="F2570" t="str">
            <v>N/ App</v>
          </cell>
        </row>
        <row r="2571">
          <cell r="B2571" t="str">
            <v>FB260005107</v>
          </cell>
          <cell r="F2571" t="str">
            <v>N/ App</v>
          </cell>
        </row>
        <row r="2572">
          <cell r="B2572" t="str">
            <v>FB260006848</v>
          </cell>
          <cell r="F2572" t="str">
            <v>N/ App</v>
          </cell>
        </row>
        <row r="2573">
          <cell r="B2573" t="str">
            <v>FB250002634</v>
          </cell>
          <cell r="F2573" t="str">
            <v>N/ App</v>
          </cell>
        </row>
        <row r="2574">
          <cell r="B2574" t="str">
            <v>FB260005160</v>
          </cell>
          <cell r="F2574" t="str">
            <v>N/ App</v>
          </cell>
        </row>
        <row r="2575">
          <cell r="B2575" t="str">
            <v>FB260005180</v>
          </cell>
          <cell r="F2575" t="str">
            <v>N/ App</v>
          </cell>
        </row>
        <row r="2576">
          <cell r="B2576" t="str">
            <v>FB260007835</v>
          </cell>
          <cell r="F2576" t="str">
            <v>N/ App</v>
          </cell>
        </row>
        <row r="2577">
          <cell r="B2577" t="str">
            <v>FB260006927</v>
          </cell>
          <cell r="F2577" t="str">
            <v>N/ App</v>
          </cell>
        </row>
        <row r="2578">
          <cell r="B2578" t="str">
            <v>FB260007418</v>
          </cell>
          <cell r="F2578" t="str">
            <v>C/APP</v>
          </cell>
        </row>
        <row r="2579">
          <cell r="B2579" t="str">
            <v>FB260007581</v>
          </cell>
          <cell r="F2579" t="str">
            <v>N/ App</v>
          </cell>
        </row>
        <row r="2580">
          <cell r="B2580" t="str">
            <v>FB260007570</v>
          </cell>
          <cell r="F2580" t="str">
            <v>N/ App</v>
          </cell>
        </row>
        <row r="2581">
          <cell r="B2581" t="str">
            <v>FB260007895</v>
          </cell>
          <cell r="F2581" t="str">
            <v>N/ App</v>
          </cell>
        </row>
        <row r="2582">
          <cell r="B2582" t="str">
            <v>FB260007310</v>
          </cell>
          <cell r="F2582" t="str">
            <v>N/ App</v>
          </cell>
        </row>
        <row r="2583">
          <cell r="B2583" t="str">
            <v>FB260005463</v>
          </cell>
          <cell r="F2583" t="str">
            <v>C/APP</v>
          </cell>
        </row>
        <row r="2584">
          <cell r="B2584" t="str">
            <v>FB260006748</v>
          </cell>
          <cell r="F2584" t="str">
            <v>N/ App</v>
          </cell>
        </row>
        <row r="2585">
          <cell r="B2585" t="str">
            <v>FB260006963</v>
          </cell>
          <cell r="F2585" t="str">
            <v>C/APP</v>
          </cell>
        </row>
        <row r="2586">
          <cell r="B2586" t="str">
            <v>FB260007517</v>
          </cell>
          <cell r="F2586" t="str">
            <v>N/ App</v>
          </cell>
        </row>
        <row r="2587">
          <cell r="B2587" t="str">
            <v>FB260007567</v>
          </cell>
          <cell r="F2587" t="str">
            <v>N/ App</v>
          </cell>
        </row>
        <row r="2588">
          <cell r="B2588" t="str">
            <v>FB260007594</v>
          </cell>
          <cell r="F2588" t="str">
            <v>N/ App</v>
          </cell>
        </row>
        <row r="2589">
          <cell r="B2589" t="str">
            <v>FB260007514</v>
          </cell>
          <cell r="F2589" t="str">
            <v>N/ App</v>
          </cell>
        </row>
        <row r="2590">
          <cell r="B2590" t="str">
            <v>FB260007043</v>
          </cell>
          <cell r="F2590" t="str">
            <v>N/ App</v>
          </cell>
        </row>
        <row r="2591">
          <cell r="B2591" t="str">
            <v>FB260007785</v>
          </cell>
          <cell r="F2591" t="str">
            <v>N/ App</v>
          </cell>
        </row>
        <row r="2592">
          <cell r="B2592" t="str">
            <v>FB260007783</v>
          </cell>
          <cell r="F2592" t="str">
            <v>N/ App</v>
          </cell>
        </row>
        <row r="2593">
          <cell r="B2593" t="str">
            <v>FB260007736</v>
          </cell>
          <cell r="F2593" t="str">
            <v>N/ App</v>
          </cell>
        </row>
        <row r="2594">
          <cell r="B2594" t="str">
            <v>FB260007331</v>
          </cell>
          <cell r="F2594" t="str">
            <v>N/ App</v>
          </cell>
        </row>
        <row r="2595">
          <cell r="B2595" t="str">
            <v>FB260006826</v>
          </cell>
          <cell r="F2595" t="str">
            <v>N/ App</v>
          </cell>
        </row>
        <row r="2596">
          <cell r="B2596" t="str">
            <v>FB260007330</v>
          </cell>
          <cell r="F2596" t="str">
            <v>N/ App</v>
          </cell>
        </row>
        <row r="2597">
          <cell r="B2597" t="str">
            <v>FB260006301</v>
          </cell>
          <cell r="F2597" t="str">
            <v>N/ App</v>
          </cell>
        </row>
        <row r="2598">
          <cell r="B2598" t="str">
            <v>FB260006737</v>
          </cell>
          <cell r="F2598" t="str">
            <v>N/ App</v>
          </cell>
        </row>
        <row r="2599">
          <cell r="B2599" t="str">
            <v>FB260007799</v>
          </cell>
          <cell r="F2599" t="str">
            <v>N/ App</v>
          </cell>
        </row>
        <row r="2600">
          <cell r="B2600" t="str">
            <v>FB260007515</v>
          </cell>
          <cell r="F2600" t="str">
            <v>N/ App</v>
          </cell>
        </row>
        <row r="2601">
          <cell r="B2601" t="str">
            <v>FB260006812</v>
          </cell>
          <cell r="F2601" t="str">
            <v>N/ App</v>
          </cell>
        </row>
        <row r="2602">
          <cell r="B2602" t="str">
            <v>FB260007936</v>
          </cell>
          <cell r="F2602" t="str">
            <v>N/ App</v>
          </cell>
        </row>
        <row r="2603">
          <cell r="B2603" t="str">
            <v>FB260007173</v>
          </cell>
          <cell r="F2603" t="str">
            <v>N/ App</v>
          </cell>
        </row>
        <row r="2604">
          <cell r="B2604" t="str">
            <v>FB260008085</v>
          </cell>
          <cell r="F2604" t="str">
            <v>N/ App</v>
          </cell>
        </row>
        <row r="2605">
          <cell r="B2605" t="str">
            <v>FB260007886</v>
          </cell>
          <cell r="F2605" t="str">
            <v>N/ App</v>
          </cell>
        </row>
        <row r="2606">
          <cell r="B2606" t="str">
            <v>FB250029206</v>
          </cell>
          <cell r="F2606" t="str">
            <v>N/ App</v>
          </cell>
        </row>
        <row r="2607">
          <cell r="B2607" t="str">
            <v>FB260008088</v>
          </cell>
          <cell r="F2607" t="str">
            <v>N/ App</v>
          </cell>
        </row>
        <row r="2608">
          <cell r="B2608" t="str">
            <v>FB260007575</v>
          </cell>
          <cell r="F2608" t="str">
            <v>C/APP</v>
          </cell>
        </row>
        <row r="2609">
          <cell r="B2609" t="str">
            <v>FB260007576</v>
          </cell>
          <cell r="F2609" t="str">
            <v>C/APP</v>
          </cell>
        </row>
        <row r="2610">
          <cell r="B2610" t="str">
            <v>FB260008069</v>
          </cell>
          <cell r="F2610" t="str">
            <v>Digital App</v>
          </cell>
        </row>
        <row r="2611">
          <cell r="B2611" t="str">
            <v>FB260007236</v>
          </cell>
          <cell r="F2611" t="str">
            <v>N/ App</v>
          </cell>
        </row>
        <row r="2612">
          <cell r="B2612" t="str">
            <v>FB260007032</v>
          </cell>
          <cell r="F2612" t="str">
            <v>Digital App</v>
          </cell>
        </row>
        <row r="2613">
          <cell r="B2613" t="str">
            <v>FB260006414</v>
          </cell>
          <cell r="F2613" t="str">
            <v>N/ App</v>
          </cell>
        </row>
        <row r="2614">
          <cell r="B2614" t="str">
            <v>FB260006415</v>
          </cell>
          <cell r="F2614" t="str">
            <v>N/ App</v>
          </cell>
        </row>
        <row r="2615">
          <cell r="B2615" t="str">
            <v>FB260008067</v>
          </cell>
          <cell r="F2615" t="str">
            <v>C/APP</v>
          </cell>
        </row>
        <row r="2616">
          <cell r="B2616" t="str">
            <v>FB260004782</v>
          </cell>
          <cell r="F2616" t="str">
            <v>Digital App</v>
          </cell>
        </row>
        <row r="2617">
          <cell r="B2617" t="str">
            <v>FB260008007</v>
          </cell>
          <cell r="F2617" t="str">
            <v>N/ App</v>
          </cell>
        </row>
        <row r="2618">
          <cell r="B2618" t="str">
            <v>FB260007363</v>
          </cell>
          <cell r="F2618" t="str">
            <v>C/APP</v>
          </cell>
        </row>
        <row r="2619">
          <cell r="B2619" t="str">
            <v>FB260006312</v>
          </cell>
          <cell r="F2619" t="str">
            <v>C/APP</v>
          </cell>
        </row>
        <row r="2620">
          <cell r="B2620" t="str">
            <v>FB260007818</v>
          </cell>
          <cell r="F2620" t="str">
            <v>N/ App</v>
          </cell>
        </row>
        <row r="2621">
          <cell r="B2621" t="str">
            <v>FB260006423</v>
          </cell>
          <cell r="F2621" t="str">
            <v>C/APP</v>
          </cell>
        </row>
        <row r="2622">
          <cell r="B2622" t="str">
            <v>FB260007817</v>
          </cell>
          <cell r="F2622" t="str">
            <v>N/ App</v>
          </cell>
        </row>
        <row r="2623">
          <cell r="B2623" t="str">
            <v>FB260006803</v>
          </cell>
          <cell r="F2623" t="str">
            <v>C/APP</v>
          </cell>
        </row>
        <row r="2624">
          <cell r="B2624" t="str">
            <v>FB260007046</v>
          </cell>
          <cell r="F2624" t="str">
            <v>C/APP</v>
          </cell>
        </row>
        <row r="2625">
          <cell r="B2625" t="str">
            <v>FB250029167</v>
          </cell>
          <cell r="F2625" t="str">
            <v>C/APP</v>
          </cell>
        </row>
        <row r="2626">
          <cell r="B2626" t="str">
            <v>FB260008092</v>
          </cell>
          <cell r="F2626" t="str">
            <v>N/ App</v>
          </cell>
        </row>
        <row r="2627">
          <cell r="B2627" t="str">
            <v>FB260006363</v>
          </cell>
          <cell r="F2627" t="str">
            <v>C/APP</v>
          </cell>
        </row>
        <row r="2628">
          <cell r="B2628" t="str">
            <v>FB260007171</v>
          </cell>
          <cell r="F2628" t="str">
            <v>N/ App</v>
          </cell>
        </row>
        <row r="2629">
          <cell r="B2629" t="str">
            <v>FB260007684</v>
          </cell>
          <cell r="F2629" t="str">
            <v>N/ App</v>
          </cell>
        </row>
        <row r="2630">
          <cell r="B2630" t="str">
            <v>FB260008052</v>
          </cell>
          <cell r="F2630" t="str">
            <v>N/ App</v>
          </cell>
        </row>
        <row r="2631">
          <cell r="B2631" t="str">
            <v>FB260008040</v>
          </cell>
          <cell r="F2631" t="str">
            <v>N/ App</v>
          </cell>
        </row>
        <row r="2632">
          <cell r="B2632" t="str">
            <v>FB260006319</v>
          </cell>
          <cell r="F2632" t="str">
            <v>C/APP</v>
          </cell>
        </row>
        <row r="2633">
          <cell r="B2633" t="str">
            <v>FB260004783</v>
          </cell>
          <cell r="F2633" t="str">
            <v>N/ App</v>
          </cell>
        </row>
        <row r="2634">
          <cell r="B2634" t="str">
            <v>FB250029196</v>
          </cell>
          <cell r="F2634" t="str">
            <v>C/APP</v>
          </cell>
        </row>
        <row r="2635">
          <cell r="B2635" t="str">
            <v>FB260006684</v>
          </cell>
          <cell r="F2635" t="str">
            <v>N/ App</v>
          </cell>
        </row>
        <row r="2636">
          <cell r="B2636" t="str">
            <v>FB260006830</v>
          </cell>
          <cell r="F2636" t="str">
            <v>C/APP</v>
          </cell>
        </row>
        <row r="2637">
          <cell r="B2637" t="str">
            <v>FB260007081</v>
          </cell>
          <cell r="F2637" t="str">
            <v>N/ App</v>
          </cell>
        </row>
        <row r="2638">
          <cell r="B2638" t="str">
            <v>FB260007890</v>
          </cell>
          <cell r="F2638" t="str">
            <v>N/ App</v>
          </cell>
        </row>
        <row r="2639">
          <cell r="B2639" t="str">
            <v>FB260006957</v>
          </cell>
          <cell r="F2639" t="str">
            <v>N/ App</v>
          </cell>
        </row>
        <row r="2640">
          <cell r="B2640" t="str">
            <v>FB260006655</v>
          </cell>
          <cell r="F2640" t="str">
            <v>N/ App</v>
          </cell>
        </row>
        <row r="2641">
          <cell r="B2641" t="str">
            <v>FB260006967</v>
          </cell>
          <cell r="F2641" t="str">
            <v>N/ App</v>
          </cell>
        </row>
        <row r="2642">
          <cell r="B2642" t="str">
            <v>FB260007833</v>
          </cell>
          <cell r="F2642" t="str">
            <v>N/ App</v>
          </cell>
        </row>
        <row r="2643">
          <cell r="B2643" t="str">
            <v>FB260006643</v>
          </cell>
          <cell r="F2643" t="str">
            <v>N/ App</v>
          </cell>
        </row>
        <row r="2644">
          <cell r="B2644" t="str">
            <v>FB260007795</v>
          </cell>
          <cell r="F2644" t="str">
            <v>N/ App</v>
          </cell>
        </row>
        <row r="2645">
          <cell r="B2645" t="str">
            <v>FB260006752</v>
          </cell>
          <cell r="F2645" t="str">
            <v>N/ App</v>
          </cell>
        </row>
        <row r="2646">
          <cell r="B2646" t="str">
            <v>FB260007069</v>
          </cell>
          <cell r="F2646" t="str">
            <v>N/ App</v>
          </cell>
        </row>
        <row r="2647">
          <cell r="B2647" t="str">
            <v>FB260007619</v>
          </cell>
          <cell r="F2647" t="str">
            <v>N/ App</v>
          </cell>
        </row>
        <row r="2648">
          <cell r="B2648" t="str">
            <v>FB260007080</v>
          </cell>
          <cell r="F2648" t="str">
            <v>N/ App</v>
          </cell>
        </row>
        <row r="2649">
          <cell r="B2649" t="str">
            <v>FB260007715</v>
          </cell>
          <cell r="F2649" t="str">
            <v>N/ App</v>
          </cell>
        </row>
        <row r="2650">
          <cell r="B2650" t="str">
            <v>FB260007542</v>
          </cell>
          <cell r="F2650" t="str">
            <v>N/ App</v>
          </cell>
        </row>
        <row r="2651">
          <cell r="B2651" t="str">
            <v>FB260006977</v>
          </cell>
          <cell r="F2651" t="str">
            <v>N/ App</v>
          </cell>
        </row>
        <row r="2652">
          <cell r="B2652" t="str">
            <v>FB260008006</v>
          </cell>
          <cell r="F2652" t="str">
            <v>N/ App</v>
          </cell>
        </row>
        <row r="2653">
          <cell r="B2653" t="str">
            <v>FB260007259</v>
          </cell>
          <cell r="F2653" t="str">
            <v>C/APP</v>
          </cell>
        </row>
        <row r="2654">
          <cell r="B2654" t="str">
            <v>FB260006324</v>
          </cell>
          <cell r="F2654" t="str">
            <v>N/ App</v>
          </cell>
        </row>
        <row r="2655">
          <cell r="B2655" t="str">
            <v>FB260006561</v>
          </cell>
          <cell r="F2655" t="str">
            <v>C/APP</v>
          </cell>
        </row>
        <row r="2656">
          <cell r="B2656" t="str">
            <v>FB260005924</v>
          </cell>
          <cell r="F2656" t="str">
            <v>N/ App</v>
          </cell>
        </row>
        <row r="2657">
          <cell r="B2657" t="str">
            <v>FB260006391</v>
          </cell>
          <cell r="F2657" t="str">
            <v>N/ App</v>
          </cell>
        </row>
        <row r="2658">
          <cell r="B2658" t="str">
            <v>FB260007200</v>
          </cell>
          <cell r="F2658" t="str">
            <v>N/ App</v>
          </cell>
        </row>
        <row r="2659">
          <cell r="B2659" t="str">
            <v>FB260007935</v>
          </cell>
          <cell r="F2659" t="str">
            <v>C/APP</v>
          </cell>
        </row>
        <row r="2660">
          <cell r="B2660" t="str">
            <v>FB260007370</v>
          </cell>
          <cell r="F2660" t="str">
            <v>N/ App</v>
          </cell>
        </row>
        <row r="2661">
          <cell r="B2661" t="str">
            <v>FB260007372</v>
          </cell>
          <cell r="F2661" t="str">
            <v>N/ App</v>
          </cell>
        </row>
        <row r="2662">
          <cell r="B2662" t="str">
            <v>FB250029205</v>
          </cell>
          <cell r="F2662" t="str">
            <v>N/ App</v>
          </cell>
        </row>
        <row r="2663">
          <cell r="B2663" t="str">
            <v>FB260008009</v>
          </cell>
          <cell r="F2663" t="str">
            <v>N/ App</v>
          </cell>
        </row>
        <row r="2664">
          <cell r="B2664" t="str">
            <v>FB260006750</v>
          </cell>
          <cell r="F2664" t="str">
            <v>N/ App</v>
          </cell>
        </row>
        <row r="2665">
          <cell r="B2665" t="str">
            <v>FB260006965</v>
          </cell>
          <cell r="F2665" t="str">
            <v>N/ App</v>
          </cell>
        </row>
        <row r="2666">
          <cell r="B2666" t="str">
            <v>FB260006790</v>
          </cell>
          <cell r="F2666" t="str">
            <v>N/ App</v>
          </cell>
        </row>
        <row r="2667">
          <cell r="B2667" t="str">
            <v>FB260006810</v>
          </cell>
          <cell r="F2667" t="str">
            <v>N/ App</v>
          </cell>
        </row>
        <row r="2668">
          <cell r="B2668" t="str">
            <v>FB260006221</v>
          </cell>
          <cell r="F2668" t="str">
            <v>N/ App</v>
          </cell>
        </row>
        <row r="2669">
          <cell r="B2669" t="str">
            <v>FB260006962</v>
          </cell>
          <cell r="F2669" t="str">
            <v>N/ App</v>
          </cell>
        </row>
        <row r="2670">
          <cell r="B2670" t="str">
            <v>FB260008071</v>
          </cell>
          <cell r="F2670" t="str">
            <v>N/ App</v>
          </cell>
        </row>
        <row r="2671">
          <cell r="B2671" t="str">
            <v>FB260007782</v>
          </cell>
          <cell r="F2671" t="str">
            <v>N/ App</v>
          </cell>
        </row>
        <row r="2672">
          <cell r="B2672" t="str">
            <v>FB260006133</v>
          </cell>
          <cell r="F2672" t="str">
            <v>C/APP</v>
          </cell>
        </row>
        <row r="2673">
          <cell r="B2673" t="str">
            <v>FB260007712</v>
          </cell>
          <cell r="F2673" t="str">
            <v>N/ App</v>
          </cell>
        </row>
        <row r="2674">
          <cell r="B2674" t="str">
            <v>FB260006243</v>
          </cell>
          <cell r="F2674" t="str">
            <v>N/ App</v>
          </cell>
        </row>
        <row r="2675">
          <cell r="B2675" t="str">
            <v>FB260007973</v>
          </cell>
          <cell r="F2675" t="str">
            <v>N/ App</v>
          </cell>
        </row>
        <row r="2676">
          <cell r="B2676" t="str">
            <v>FB260007897</v>
          </cell>
          <cell r="F2676" t="str">
            <v>C/APP</v>
          </cell>
        </row>
        <row r="2677">
          <cell r="B2677" t="str">
            <v>FB260007062</v>
          </cell>
          <cell r="F2677" t="str">
            <v>N/ App</v>
          </cell>
        </row>
        <row r="2678">
          <cell r="B2678" t="str">
            <v>FB260006767</v>
          </cell>
          <cell r="F2678" t="str">
            <v>N/ App</v>
          </cell>
        </row>
        <row r="2679">
          <cell r="B2679" t="str">
            <v>FB260007110</v>
          </cell>
          <cell r="F2679" t="str">
            <v>N/ App</v>
          </cell>
        </row>
        <row r="2680">
          <cell r="B2680" t="str">
            <v>FB260006543</v>
          </cell>
          <cell r="F2680" t="str">
            <v>N/ App</v>
          </cell>
        </row>
        <row r="2681">
          <cell r="B2681" t="str">
            <v>FB260007760</v>
          </cell>
          <cell r="F2681" t="str">
            <v>N/ App</v>
          </cell>
        </row>
        <row r="2682">
          <cell r="B2682" t="str">
            <v>FB260007679</v>
          </cell>
          <cell r="F2682" t="str">
            <v>C/APP</v>
          </cell>
        </row>
        <row r="2683">
          <cell r="B2683" t="str">
            <v>FB260007676</v>
          </cell>
          <cell r="F2683" t="str">
            <v>C/APP</v>
          </cell>
        </row>
        <row r="2684">
          <cell r="B2684" t="str">
            <v>FB260007749</v>
          </cell>
          <cell r="F2684" t="str">
            <v>N/ App</v>
          </cell>
        </row>
        <row r="2685">
          <cell r="B2685" t="str">
            <v>FB260007766</v>
          </cell>
          <cell r="F2685" t="str">
            <v>N/ App</v>
          </cell>
        </row>
        <row r="2686">
          <cell r="B2686" t="str">
            <v>FB260008083</v>
          </cell>
          <cell r="F2686" t="str">
            <v>C/APP</v>
          </cell>
        </row>
        <row r="2687">
          <cell r="B2687" t="str">
            <v>FB260006402</v>
          </cell>
          <cell r="F2687" t="str">
            <v>N/ App</v>
          </cell>
        </row>
        <row r="2688">
          <cell r="B2688" t="str">
            <v>FB260008125</v>
          </cell>
          <cell r="F2688" t="str">
            <v>N/ App</v>
          </cell>
        </row>
        <row r="2689">
          <cell r="B2689" t="str">
            <v>FB260006727</v>
          </cell>
          <cell r="F2689" t="str">
            <v>N/ App</v>
          </cell>
        </row>
        <row r="2690">
          <cell r="B2690" t="str">
            <v>FB260006728</v>
          </cell>
          <cell r="F2690" t="str">
            <v>N/ App</v>
          </cell>
        </row>
        <row r="2691">
          <cell r="B2691" t="str">
            <v>FB260006729</v>
          </cell>
          <cell r="F2691" t="str">
            <v>N/ App</v>
          </cell>
        </row>
        <row r="2692">
          <cell r="B2692" t="str">
            <v>FB260006725</v>
          </cell>
          <cell r="F2692" t="str">
            <v>N/ App</v>
          </cell>
        </row>
        <row r="2693">
          <cell r="B2693" t="str">
            <v>FB260008135</v>
          </cell>
          <cell r="F2693" t="str">
            <v>N/ App</v>
          </cell>
        </row>
        <row r="2694">
          <cell r="B2694" t="str">
            <v>FB260006919</v>
          </cell>
          <cell r="F2694" t="str">
            <v>N/ App</v>
          </cell>
        </row>
        <row r="2695">
          <cell r="B2695" t="str">
            <v>FB260007176</v>
          </cell>
          <cell r="F2695" t="str">
            <v>N/ App</v>
          </cell>
        </row>
        <row r="2696">
          <cell r="B2696" t="str">
            <v>FB260006921</v>
          </cell>
          <cell r="F2696" t="str">
            <v>N/ App</v>
          </cell>
        </row>
        <row r="2697">
          <cell r="B2697" t="str">
            <v>FB260007791</v>
          </cell>
          <cell r="F2697" t="str">
            <v>N/ App</v>
          </cell>
        </row>
        <row r="2698">
          <cell r="B2698" t="str">
            <v>FB250029159</v>
          </cell>
          <cell r="F2698" t="str">
            <v>N/ App</v>
          </cell>
        </row>
        <row r="2699">
          <cell r="B2699" t="str">
            <v>FB260008077</v>
          </cell>
          <cell r="F2699" t="str">
            <v>N/ App</v>
          </cell>
        </row>
        <row r="2700">
          <cell r="B2700" t="str">
            <v>FB260008095</v>
          </cell>
          <cell r="F2700" t="str">
            <v>N/ App</v>
          </cell>
        </row>
        <row r="2701">
          <cell r="B2701" t="str">
            <v>FB260007972</v>
          </cell>
          <cell r="F2701" t="str">
            <v>N/ App</v>
          </cell>
        </row>
        <row r="2702">
          <cell r="B2702" t="str">
            <v>FB260008054</v>
          </cell>
          <cell r="F2702" t="str">
            <v>C/APP</v>
          </cell>
        </row>
        <row r="2703">
          <cell r="B2703" t="str">
            <v>FB260006315</v>
          </cell>
          <cell r="F2703" t="str">
            <v>C/APP</v>
          </cell>
        </row>
        <row r="2704">
          <cell r="B2704" t="str">
            <v>FB260007751</v>
          </cell>
          <cell r="F2704" t="str">
            <v>N/ App</v>
          </cell>
        </row>
        <row r="2705">
          <cell r="B2705" t="str">
            <v>FB260007312</v>
          </cell>
          <cell r="F2705" t="str">
            <v>N/ App</v>
          </cell>
        </row>
        <row r="2706">
          <cell r="B2706" t="str">
            <v>FB260007314</v>
          </cell>
          <cell r="F2706" t="str">
            <v>N/ App</v>
          </cell>
        </row>
        <row r="2707">
          <cell r="B2707" t="str">
            <v>FB260007975</v>
          </cell>
          <cell r="F2707" t="str">
            <v>N/ App</v>
          </cell>
        </row>
        <row r="2708">
          <cell r="B2708" t="str">
            <v>FB260007441</v>
          </cell>
          <cell r="F2708" t="str">
            <v>N/ App</v>
          </cell>
        </row>
        <row r="2709">
          <cell r="B2709" t="str">
            <v>FB260006764</v>
          </cell>
          <cell r="F2709" t="str">
            <v>N/ App</v>
          </cell>
        </row>
        <row r="2710">
          <cell r="B2710" t="str">
            <v>FB260004759</v>
          </cell>
          <cell r="F2710" t="str">
            <v>N/ App</v>
          </cell>
        </row>
        <row r="2711">
          <cell r="B2711" t="str">
            <v>FB260008143</v>
          </cell>
          <cell r="F2711" t="str">
            <v>N/ App</v>
          </cell>
        </row>
        <row r="2712">
          <cell r="B2712" t="str">
            <v>FB260007678</v>
          </cell>
          <cell r="F2712" t="str">
            <v>N/ App</v>
          </cell>
        </row>
        <row r="2713">
          <cell r="B2713" t="str">
            <v>FB260007682</v>
          </cell>
          <cell r="F2713" t="str">
            <v>N/ App</v>
          </cell>
        </row>
        <row r="2714">
          <cell r="B2714" t="str">
            <v>FB260007666</v>
          </cell>
          <cell r="F2714" t="str">
            <v>N/ App</v>
          </cell>
        </row>
        <row r="2715">
          <cell r="B2715" t="str">
            <v>FB260007290</v>
          </cell>
          <cell r="F2715" t="str">
            <v>N/ App</v>
          </cell>
        </row>
        <row r="2716">
          <cell r="B2716" t="str">
            <v>FB260005846</v>
          </cell>
          <cell r="F2716" t="str">
            <v>N/ App</v>
          </cell>
        </row>
        <row r="2717">
          <cell r="B2717" t="str">
            <v>FB260005178</v>
          </cell>
          <cell r="F2717" t="str">
            <v>N/ App</v>
          </cell>
        </row>
        <row r="2718">
          <cell r="B2718" t="str">
            <v>FB260006726</v>
          </cell>
          <cell r="F2718" t="str">
            <v>N/ App</v>
          </cell>
        </row>
        <row r="2719">
          <cell r="B2719" t="str">
            <v>FB260006393</v>
          </cell>
          <cell r="F2719" t="str">
            <v>C/APP</v>
          </cell>
        </row>
        <row r="2720">
          <cell r="B2720" t="str">
            <v>FB260008141</v>
          </cell>
          <cell r="F2720" t="str">
            <v>N/ App</v>
          </cell>
        </row>
        <row r="2721">
          <cell r="B2721" t="str">
            <v>FB260007668</v>
          </cell>
          <cell r="F2721" t="str">
            <v>N/ App</v>
          </cell>
        </row>
        <row r="2722">
          <cell r="B2722" t="str">
            <v>FB260006026</v>
          </cell>
          <cell r="F2722" t="str">
            <v>N/ App</v>
          </cell>
        </row>
        <row r="2723">
          <cell r="B2723" t="str">
            <v>FB260006808</v>
          </cell>
          <cell r="F2723" t="str">
            <v>C/APP</v>
          </cell>
        </row>
        <row r="2724">
          <cell r="B2724" t="str">
            <v>FB260006839</v>
          </cell>
          <cell r="F2724" t="str">
            <v>N/ App</v>
          </cell>
        </row>
        <row r="2725">
          <cell r="B2725" t="str">
            <v>FB260008139</v>
          </cell>
          <cell r="F2725" t="str">
            <v>N/ App</v>
          </cell>
        </row>
        <row r="2726">
          <cell r="B2726" t="str">
            <v>FB260006047</v>
          </cell>
          <cell r="F2726" t="str">
            <v>N/ App</v>
          </cell>
        </row>
        <row r="2727">
          <cell r="B2727" t="str">
            <v>FB260006048</v>
          </cell>
          <cell r="F2727" t="str">
            <v>N/ App</v>
          </cell>
        </row>
        <row r="2728">
          <cell r="B2728" t="str">
            <v>FB260006920</v>
          </cell>
          <cell r="F2728" t="str">
            <v>N/ App</v>
          </cell>
        </row>
        <row r="2729">
          <cell r="B2729" t="str">
            <v>FB260003891</v>
          </cell>
          <cell r="F2729" t="str">
            <v>N/ App</v>
          </cell>
        </row>
        <row r="2730">
          <cell r="B2730" t="str">
            <v>FB260006730</v>
          </cell>
          <cell r="F2730" t="str">
            <v>N/ App</v>
          </cell>
        </row>
        <row r="2731">
          <cell r="B2731" t="str">
            <v>FB260007262</v>
          </cell>
          <cell r="F2731" t="str">
            <v>N/ App</v>
          </cell>
        </row>
        <row r="2732">
          <cell r="B2732" t="str">
            <v>FB260008124</v>
          </cell>
          <cell r="F2732" t="str">
            <v>N/ App</v>
          </cell>
        </row>
        <row r="2733">
          <cell r="B2733" t="str">
            <v>FB260007366</v>
          </cell>
          <cell r="F2733" t="str">
            <v>C/APP</v>
          </cell>
        </row>
        <row r="2734">
          <cell r="B2734" t="str">
            <v>FB260006979</v>
          </cell>
          <cell r="F2734" t="str">
            <v>N/ App</v>
          </cell>
        </row>
        <row r="2735">
          <cell r="B2735" t="str">
            <v>FB260007974</v>
          </cell>
          <cell r="F2735" t="str">
            <v>N/ App</v>
          </cell>
        </row>
        <row r="2736">
          <cell r="B2736" t="str">
            <v>FB260006548</v>
          </cell>
          <cell r="F2736" t="str">
            <v>N/ App</v>
          </cell>
        </row>
        <row r="2737">
          <cell r="B2737" t="str">
            <v>FB260008149</v>
          </cell>
          <cell r="F2737" t="str">
            <v>N/ App</v>
          </cell>
        </row>
        <row r="2738">
          <cell r="B2738" t="str">
            <v>FB260006970</v>
          </cell>
          <cell r="F2738" t="str">
            <v>N/ App</v>
          </cell>
        </row>
        <row r="2739">
          <cell r="B2739" t="str">
            <v>FB260008078</v>
          </cell>
          <cell r="F2739" t="str">
            <v>N/ App</v>
          </cell>
        </row>
        <row r="2740">
          <cell r="B2740" t="str">
            <v>FB260006303</v>
          </cell>
          <cell r="F2740" t="str">
            <v>N/ App</v>
          </cell>
        </row>
        <row r="2741">
          <cell r="B2741" t="str">
            <v>FB260006973</v>
          </cell>
          <cell r="F2741" t="str">
            <v>C/APP</v>
          </cell>
        </row>
        <row r="2742">
          <cell r="B2742" t="str">
            <v>FB260008140</v>
          </cell>
          <cell r="F2742" t="str">
            <v>N/ App</v>
          </cell>
        </row>
        <row r="2743">
          <cell r="B2743" t="str">
            <v>FB260006229</v>
          </cell>
          <cell r="F2743" t="str">
            <v>N/ App</v>
          </cell>
        </row>
        <row r="2744">
          <cell r="B2744" t="str">
            <v>FB260007784</v>
          </cell>
          <cell r="F2744" t="str">
            <v>N/ App</v>
          </cell>
        </row>
        <row r="2745">
          <cell r="B2745" t="str">
            <v>FB260006802</v>
          </cell>
          <cell r="F2745" t="str">
            <v>C/APP</v>
          </cell>
        </row>
        <row r="2746">
          <cell r="B2746" t="str">
            <v>FR260000164</v>
          </cell>
          <cell r="F2746" t="str">
            <v>N/ App</v>
          </cell>
        </row>
        <row r="2747">
          <cell r="B2747" t="str">
            <v>FB260006956</v>
          </cell>
          <cell r="F2747" t="str">
            <v>C/APP</v>
          </cell>
        </row>
        <row r="2748">
          <cell r="B2748" t="str">
            <v>FB260007301</v>
          </cell>
          <cell r="F2748" t="str">
            <v>N/ App</v>
          </cell>
        </row>
        <row r="2749">
          <cell r="B2749" t="str">
            <v>FB260008145</v>
          </cell>
          <cell r="F2749" t="str">
            <v>N/ App</v>
          </cell>
        </row>
        <row r="2750">
          <cell r="B2750" t="str">
            <v>FR260000181</v>
          </cell>
          <cell r="F2750" t="str">
            <v>N/ App</v>
          </cell>
        </row>
        <row r="2751">
          <cell r="B2751" t="str">
            <v>FB260008105</v>
          </cell>
          <cell r="F2751" t="str">
            <v>N/ App</v>
          </cell>
        </row>
        <row r="2752">
          <cell r="B2752" t="str">
            <v>FB260008082</v>
          </cell>
          <cell r="F2752" t="str">
            <v>N/ App</v>
          </cell>
        </row>
        <row r="2753">
          <cell r="B2753" t="str">
            <v>FB260007373</v>
          </cell>
          <cell r="F2753" t="str">
            <v>N/ App</v>
          </cell>
        </row>
        <row r="2754">
          <cell r="B2754" t="str">
            <v>FB260007762</v>
          </cell>
          <cell r="F2754" t="str">
            <v>N/ App</v>
          </cell>
        </row>
        <row r="2755">
          <cell r="B2755" t="str">
            <v>FB260007765</v>
          </cell>
          <cell r="F2755" t="str">
            <v>N/ App</v>
          </cell>
        </row>
        <row r="2756">
          <cell r="B2756" t="str">
            <v>FB260007764</v>
          </cell>
          <cell r="F2756" t="str">
            <v>N/ App</v>
          </cell>
        </row>
        <row r="2757">
          <cell r="B2757" t="str">
            <v>FB260007689</v>
          </cell>
          <cell r="F2757" t="str">
            <v>C/APP</v>
          </cell>
        </row>
        <row r="2758">
          <cell r="B2758" t="str">
            <v>FB260007352</v>
          </cell>
          <cell r="F2758" t="str">
            <v>C/APP</v>
          </cell>
        </row>
        <row r="2759">
          <cell r="B2759" t="str">
            <v>FR260000179</v>
          </cell>
          <cell r="F2759" t="str">
            <v>N/ App</v>
          </cell>
        </row>
        <row r="2760">
          <cell r="B2760" t="str">
            <v>FB260007267</v>
          </cell>
          <cell r="F2760" t="str">
            <v>N/ App</v>
          </cell>
        </row>
        <row r="2761">
          <cell r="B2761" t="str">
            <v>FB260008148</v>
          </cell>
          <cell r="F2761" t="str">
            <v>C/APP</v>
          </cell>
        </row>
        <row r="2762">
          <cell r="B2762" t="str">
            <v>FB260007420</v>
          </cell>
          <cell r="F2762" t="str">
            <v>N/ App</v>
          </cell>
        </row>
        <row r="2763">
          <cell r="B2763" t="str">
            <v>FB260005105</v>
          </cell>
          <cell r="F2763" t="str">
            <v>N/ App</v>
          </cell>
        </row>
        <row r="2764">
          <cell r="B2764" t="str">
            <v>FB260006403</v>
          </cell>
          <cell r="F2764" t="str">
            <v>C/APP</v>
          </cell>
        </row>
        <row r="2765">
          <cell r="B2765" t="str">
            <v>FB260007298</v>
          </cell>
          <cell r="F2765" t="str">
            <v>C/APP</v>
          </cell>
        </row>
        <row r="2766">
          <cell r="B2766" t="str">
            <v>FB260007971</v>
          </cell>
          <cell r="F2766" t="str">
            <v>N/ App</v>
          </cell>
        </row>
        <row r="2767">
          <cell r="B2767" t="str">
            <v>FB260007970</v>
          </cell>
          <cell r="F2767" t="str">
            <v>N/ App</v>
          </cell>
        </row>
        <row r="2768">
          <cell r="B2768" t="str">
            <v>FB260005101</v>
          </cell>
          <cell r="F2768" t="str">
            <v>C/APP</v>
          </cell>
        </row>
        <row r="2769">
          <cell r="B2769" t="str">
            <v>FB260007202</v>
          </cell>
          <cell r="F2769" t="str">
            <v>N/ App</v>
          </cell>
        </row>
        <row r="2770">
          <cell r="B2770" t="str">
            <v>FB260007203</v>
          </cell>
          <cell r="F2770" t="str">
            <v>N/ App</v>
          </cell>
        </row>
        <row r="2771">
          <cell r="B2771" t="str">
            <v>FB260008003</v>
          </cell>
          <cell r="F2771" t="str">
            <v>N/ App</v>
          </cell>
        </row>
        <row r="2772">
          <cell r="B2772" t="str">
            <v>FB260008011</v>
          </cell>
          <cell r="F2772" t="str">
            <v>N/ App</v>
          </cell>
        </row>
        <row r="2773">
          <cell r="B2773" t="str">
            <v>FB260007070</v>
          </cell>
          <cell r="F2773" t="str">
            <v>N/ App</v>
          </cell>
        </row>
        <row r="2774">
          <cell r="B2774" t="str">
            <v>FB260007068</v>
          </cell>
          <cell r="F2774" t="str">
            <v>N/ App</v>
          </cell>
        </row>
        <row r="2775">
          <cell r="B2775" t="str">
            <v>FB260006647</v>
          </cell>
          <cell r="F2775" t="str">
            <v>N/ App</v>
          </cell>
        </row>
        <row r="2776">
          <cell r="B2776" t="str">
            <v>FB260008128</v>
          </cell>
          <cell r="F2776" t="str">
            <v>Digital App</v>
          </cell>
        </row>
        <row r="2777">
          <cell r="B2777" t="str">
            <v>FB260007107</v>
          </cell>
          <cell r="F2777" t="str">
            <v>N/ App</v>
          </cell>
        </row>
        <row r="2778">
          <cell r="B2778" t="str">
            <v>FB260006645</v>
          </cell>
          <cell r="F2778" t="str">
            <v>N/ App</v>
          </cell>
        </row>
        <row r="2779">
          <cell r="B2779" t="str">
            <v>FB260006961</v>
          </cell>
          <cell r="F2779" t="str">
            <v>N/ App</v>
          </cell>
        </row>
        <row r="2780">
          <cell r="B2780" t="str">
            <v>FB260008094</v>
          </cell>
          <cell r="F2780" t="str">
            <v>N/ App</v>
          </cell>
        </row>
        <row r="2781">
          <cell r="B2781" t="str">
            <v>FB260006653</v>
          </cell>
          <cell r="F2781" t="str">
            <v>C/APP</v>
          </cell>
        </row>
        <row r="2782">
          <cell r="B2782" t="str">
            <v>FB260006741</v>
          </cell>
          <cell r="F2782" t="str">
            <v>C/APP</v>
          </cell>
        </row>
        <row r="2783">
          <cell r="B2783" t="str">
            <v>FB260006213</v>
          </cell>
          <cell r="F2783" t="str">
            <v>C/APP</v>
          </cell>
        </row>
        <row r="2784">
          <cell r="B2784" t="str">
            <v>FB260007111</v>
          </cell>
          <cell r="F2784" t="str">
            <v>N/ App</v>
          </cell>
        </row>
        <row r="2785">
          <cell r="B2785" t="str">
            <v>FB260006222</v>
          </cell>
          <cell r="F2785" t="str">
            <v>N/ App</v>
          </cell>
        </row>
        <row r="2786">
          <cell r="B2786" t="str">
            <v>FB260007066</v>
          </cell>
          <cell r="F2786" t="str">
            <v>N/ App</v>
          </cell>
        </row>
        <row r="2787">
          <cell r="B2787" t="str">
            <v>FB260007050</v>
          </cell>
          <cell r="F2787" t="str">
            <v>N/ App</v>
          </cell>
        </row>
        <row r="2788">
          <cell r="B2788" t="str">
            <v>FB260008127</v>
          </cell>
          <cell r="F2788" t="str">
            <v>N/ App</v>
          </cell>
        </row>
        <row r="2789">
          <cell r="B2789" t="str">
            <v>FB260007722</v>
          </cell>
          <cell r="F2789" t="str">
            <v>C/APP</v>
          </cell>
        </row>
        <row r="2790">
          <cell r="B2790" t="str">
            <v>FB260007045</v>
          </cell>
          <cell r="F2790" t="str">
            <v>N/ App</v>
          </cell>
        </row>
        <row r="2791">
          <cell r="B2791" t="str">
            <v>FB260008146</v>
          </cell>
          <cell r="F2791" t="str">
            <v>N/ App</v>
          </cell>
        </row>
        <row r="2792">
          <cell r="B2792" t="str">
            <v>FB260007878</v>
          </cell>
          <cell r="F2792" t="str">
            <v>N/ App</v>
          </cell>
        </row>
        <row r="2793">
          <cell r="B2793" t="str">
            <v>FB260006885</v>
          </cell>
          <cell r="F2793" t="str">
            <v>C/APP</v>
          </cell>
        </row>
        <row r="2794">
          <cell r="B2794" t="str">
            <v>FB260006401</v>
          </cell>
          <cell r="F2794" t="str">
            <v>N/ App</v>
          </cell>
        </row>
        <row r="2795">
          <cell r="B2795" t="str">
            <v>FB260007814</v>
          </cell>
          <cell r="F2795" t="str">
            <v>N/ App</v>
          </cell>
        </row>
        <row r="2796">
          <cell r="B2796" t="str">
            <v>FB260007862</v>
          </cell>
          <cell r="F2796" t="str">
            <v>N/ App</v>
          </cell>
        </row>
        <row r="2797">
          <cell r="B2797" t="str">
            <v>FR260000180</v>
          </cell>
          <cell r="F2797" t="str">
            <v>C/APP</v>
          </cell>
        </row>
        <row r="2798">
          <cell r="B2798" t="str">
            <v>FB260007816</v>
          </cell>
          <cell r="F2798" t="str">
            <v>N/ App</v>
          </cell>
        </row>
        <row r="2799">
          <cell r="B2799" t="str">
            <v>FB260006738</v>
          </cell>
          <cell r="F2799" t="str">
            <v>N/ App</v>
          </cell>
        </row>
        <row r="2800">
          <cell r="B2800" t="str">
            <v>FB260006049</v>
          </cell>
          <cell r="F2800" t="str">
            <v>C/APP</v>
          </cell>
        </row>
        <row r="2801">
          <cell r="B2801" t="str">
            <v>FB260008147</v>
          </cell>
          <cell r="F2801" t="str">
            <v>C/APP</v>
          </cell>
        </row>
        <row r="2802">
          <cell r="B2802" t="str">
            <v>FB260007258</v>
          </cell>
          <cell r="F2802" t="str">
            <v>N/ App</v>
          </cell>
        </row>
        <row r="2803">
          <cell r="B2803" t="str">
            <v>FB260007683</v>
          </cell>
          <cell r="F2803" t="str">
            <v>N/ App</v>
          </cell>
        </row>
        <row r="2804">
          <cell r="B2804" t="str">
            <v>FB260006722</v>
          </cell>
          <cell r="F2804" t="str">
            <v>N/ App</v>
          </cell>
        </row>
        <row r="2805">
          <cell r="B2805" t="str">
            <v>FB260006618</v>
          </cell>
          <cell r="F2805" t="str">
            <v>C/APP</v>
          </cell>
        </row>
        <row r="2806">
          <cell r="B2806" t="str">
            <v>FB260006050</v>
          </cell>
          <cell r="F2806" t="str">
            <v>N/ App</v>
          </cell>
        </row>
        <row r="2807">
          <cell r="B2807" t="str">
            <v>FB250029109</v>
          </cell>
          <cell r="F2807" t="str">
            <v>N/ App</v>
          </cell>
        </row>
        <row r="2808">
          <cell r="B2808" t="str">
            <v>FB260007371</v>
          </cell>
          <cell r="F2808" t="str">
            <v>N/ App</v>
          </cell>
        </row>
        <row r="2809">
          <cell r="B2809" t="str">
            <v>FB260008235</v>
          </cell>
          <cell r="F2809" t="str">
            <v>N/ App</v>
          </cell>
        </row>
        <row r="2810">
          <cell r="B2810" t="str">
            <v>FB260007212</v>
          </cell>
          <cell r="F2810" t="str">
            <v>C/APP</v>
          </cell>
        </row>
        <row r="2811">
          <cell r="B2811" t="str">
            <v>FB260007217</v>
          </cell>
          <cell r="F2811" t="str">
            <v>N/ App</v>
          </cell>
        </row>
        <row r="2812">
          <cell r="B2812" t="str">
            <v>FB260007056</v>
          </cell>
          <cell r="F2812" t="str">
            <v>N/ App</v>
          </cell>
        </row>
        <row r="2813">
          <cell r="B2813" t="str">
            <v>FB260007056</v>
          </cell>
          <cell r="F2813" t="str">
            <v>N/ App</v>
          </cell>
        </row>
        <row r="2814">
          <cell r="B2814" t="str">
            <v>FB260007218</v>
          </cell>
          <cell r="F2814" t="str">
            <v>N/ App</v>
          </cell>
        </row>
        <row r="2815">
          <cell r="B2815" t="str">
            <v>FB250029215</v>
          </cell>
          <cell r="F2815" t="str">
            <v>N/ App</v>
          </cell>
        </row>
        <row r="2816">
          <cell r="B2816" t="str">
            <v>FB260006238</v>
          </cell>
          <cell r="F2816" t="str">
            <v>N/ App</v>
          </cell>
        </row>
        <row r="2817">
          <cell r="B2817" t="str">
            <v>FB260007121</v>
          </cell>
          <cell r="F2817" t="str">
            <v>N/ App</v>
          </cell>
        </row>
        <row r="2818">
          <cell r="B2818" t="str">
            <v>FB260006974</v>
          </cell>
          <cell r="F2818" t="str">
            <v>N/ App</v>
          </cell>
        </row>
        <row r="2819">
          <cell r="B2819" t="str">
            <v>FB260007108</v>
          </cell>
          <cell r="F2819" t="str">
            <v>N/ App</v>
          </cell>
        </row>
        <row r="2820">
          <cell r="B2820" t="str">
            <v>FB260007055</v>
          </cell>
          <cell r="F2820" t="str">
            <v>N/ App</v>
          </cell>
        </row>
        <row r="2821">
          <cell r="B2821" t="str">
            <v>FB260007347</v>
          </cell>
          <cell r="F2821" t="str">
            <v>C/APP</v>
          </cell>
        </row>
        <row r="2822">
          <cell r="B2822" t="str">
            <v>FB260007119</v>
          </cell>
          <cell r="F2822" t="str">
            <v>C/APP</v>
          </cell>
        </row>
        <row r="2823">
          <cell r="B2823" t="str">
            <v>FB260007296</v>
          </cell>
          <cell r="F2823" t="str">
            <v>C/APP</v>
          </cell>
        </row>
        <row r="2824">
          <cell r="B2824" t="str">
            <v>FB260007443</v>
          </cell>
          <cell r="F2824" t="str">
            <v>C/APP</v>
          </cell>
        </row>
        <row r="2825">
          <cell r="B2825" t="str">
            <v>FB260008129</v>
          </cell>
          <cell r="F2825" t="str">
            <v>C/APP</v>
          </cell>
        </row>
        <row r="2826">
          <cell r="B2826" t="str">
            <v>FB260006052</v>
          </cell>
          <cell r="F2826" t="str">
            <v>C/APP</v>
          </cell>
        </row>
        <row r="2827">
          <cell r="B2827" t="str">
            <v>FB260007135</v>
          </cell>
          <cell r="F2827" t="str">
            <v>N/ App</v>
          </cell>
        </row>
        <row r="2828">
          <cell r="B2828" t="str">
            <v>FB260007136</v>
          </cell>
          <cell r="F2828" t="str">
            <v>N/ App</v>
          </cell>
        </row>
        <row r="2829">
          <cell r="B2829" t="str">
            <v>FB260007295</v>
          </cell>
          <cell r="F2829" t="str">
            <v>C/APP</v>
          </cell>
        </row>
        <row r="2830">
          <cell r="B2830" t="str">
            <v>FB260007403</v>
          </cell>
          <cell r="F2830" t="str">
            <v>C/APP</v>
          </cell>
        </row>
        <row r="2831">
          <cell r="B2831" t="str">
            <v>FB260007767</v>
          </cell>
          <cell r="F2831" t="str">
            <v>N/ App</v>
          </cell>
        </row>
        <row r="2832">
          <cell r="B2832" t="str">
            <v>FB260008266</v>
          </cell>
          <cell r="F2832" t="str">
            <v>N/ App</v>
          </cell>
        </row>
        <row r="2833">
          <cell r="B2833" t="str">
            <v>FB260006619</v>
          </cell>
          <cell r="F2833" t="str">
            <v>N/ App</v>
          </cell>
        </row>
        <row r="2834">
          <cell r="B2834" t="str">
            <v>FB260007346</v>
          </cell>
          <cell r="F2834" t="str">
            <v>C/APP</v>
          </cell>
        </row>
        <row r="2835">
          <cell r="B2835" t="str">
            <v>FB260008142</v>
          </cell>
          <cell r="F2835" t="str">
            <v>N/ App</v>
          </cell>
        </row>
        <row r="2836">
          <cell r="B2836" t="str">
            <v>FB260007166</v>
          </cell>
          <cell r="F2836" t="str">
            <v>C/APP</v>
          </cell>
        </row>
        <row r="2837">
          <cell r="B2837" t="str">
            <v>FB260007400</v>
          </cell>
          <cell r="F2837" t="str">
            <v>N/ App</v>
          </cell>
        </row>
        <row r="2838">
          <cell r="B2838" t="str">
            <v>FB260007716</v>
          </cell>
          <cell r="F2838" t="str">
            <v>N/ App</v>
          </cell>
        </row>
        <row r="2839">
          <cell r="B2839" t="str">
            <v>FB260007391</v>
          </cell>
          <cell r="F2839" t="str">
            <v>N/ App</v>
          </cell>
        </row>
        <row r="2840">
          <cell r="B2840" t="str">
            <v>FB260005923</v>
          </cell>
          <cell r="F2840" t="str">
            <v>N/ App</v>
          </cell>
        </row>
        <row r="2841">
          <cell r="B2841" t="str">
            <v>FB260007048</v>
          </cell>
          <cell r="F2841" t="str">
            <v>C/APP</v>
          </cell>
        </row>
        <row r="2842">
          <cell r="B2842" t="str">
            <v>FR260000169</v>
          </cell>
          <cell r="F2842" t="str">
            <v>N/ App</v>
          </cell>
        </row>
        <row r="2843">
          <cell r="B2843" t="str">
            <v>FB260006083</v>
          </cell>
          <cell r="F2843" t="str">
            <v>N/ App</v>
          </cell>
        </row>
        <row r="2844">
          <cell r="B2844" t="str">
            <v>FR260000191</v>
          </cell>
          <cell r="F2844" t="str">
            <v>C/APP</v>
          </cell>
        </row>
        <row r="2845">
          <cell r="B2845" t="str">
            <v>FB260008144</v>
          </cell>
          <cell r="F2845" t="str">
            <v>C/APP</v>
          </cell>
        </row>
        <row r="2846">
          <cell r="B2846" t="str">
            <v>FB260007932</v>
          </cell>
          <cell r="F2846" t="str">
            <v>C/APP</v>
          </cell>
        </row>
        <row r="2847">
          <cell r="B2847" t="str">
            <v>FB260007374</v>
          </cell>
          <cell r="F2847" t="str">
            <v>N/ App</v>
          </cell>
        </row>
        <row r="2848">
          <cell r="B2848" t="str">
            <v>FB260007458</v>
          </cell>
          <cell r="F2848" t="str">
            <v>N/ App</v>
          </cell>
        </row>
        <row r="2849">
          <cell r="B2849" t="str">
            <v>FB260008130</v>
          </cell>
          <cell r="F2849" t="str">
            <v>N/ App</v>
          </cell>
        </row>
        <row r="2850">
          <cell r="B2850" t="str">
            <v>FR260000190</v>
          </cell>
          <cell r="F2850" t="str">
            <v>N/ App</v>
          </cell>
        </row>
        <row r="2851">
          <cell r="B2851" t="str">
            <v>FB250029217</v>
          </cell>
          <cell r="F2851" t="str">
            <v>N/ App</v>
          </cell>
        </row>
        <row r="2852">
          <cell r="B2852" t="str">
            <v>FB260006383</v>
          </cell>
          <cell r="F2852" t="str">
            <v>C/APP</v>
          </cell>
        </row>
        <row r="2853">
          <cell r="B2853" t="str">
            <v>FB260007583</v>
          </cell>
          <cell r="F2853" t="str">
            <v>N/ App</v>
          </cell>
        </row>
        <row r="2854">
          <cell r="B2854" t="str">
            <v>FB260006811</v>
          </cell>
          <cell r="F2854" t="str">
            <v>N/ App</v>
          </cell>
        </row>
        <row r="2855">
          <cell r="B2855" t="str">
            <v>FB260007724</v>
          </cell>
          <cell r="F2855" t="str">
            <v>C/APP</v>
          </cell>
        </row>
        <row r="2856">
          <cell r="B2856" t="str">
            <v>FB260008021</v>
          </cell>
          <cell r="F2856" t="str">
            <v>C/APP</v>
          </cell>
        </row>
        <row r="2857">
          <cell r="B2857" t="str">
            <v>FB260007901</v>
          </cell>
          <cell r="F2857" t="str">
            <v>N/ App</v>
          </cell>
        </row>
        <row r="2858">
          <cell r="B2858" t="str">
            <v>FB260007051</v>
          </cell>
          <cell r="F2858" t="str">
            <v>N/ App</v>
          </cell>
        </row>
        <row r="2859">
          <cell r="B2859" t="str">
            <v>FB260008070</v>
          </cell>
          <cell r="F2859" t="str">
            <v>Digital App</v>
          </cell>
        </row>
        <row r="2860">
          <cell r="B2860" t="str">
            <v>FB260007283</v>
          </cell>
          <cell r="F2860" t="str">
            <v>N/ App</v>
          </cell>
        </row>
        <row r="2861">
          <cell r="B2861" t="str">
            <v>FB260007054</v>
          </cell>
          <cell r="F2861" t="str">
            <v>C/APP</v>
          </cell>
        </row>
        <row r="2862">
          <cell r="B2862" t="str">
            <v>FB260007207</v>
          </cell>
          <cell r="F2862" t="str">
            <v>N/ App</v>
          </cell>
        </row>
        <row r="2863">
          <cell r="B2863" t="str">
            <v>FB260007730</v>
          </cell>
          <cell r="F2863" t="str">
            <v>N/ App</v>
          </cell>
        </row>
        <row r="2864">
          <cell r="B2864" t="str">
            <v>FB260007220</v>
          </cell>
          <cell r="F2864" t="str">
            <v>N/ App</v>
          </cell>
        </row>
        <row r="2865">
          <cell r="B2865" t="str">
            <v>FB260007221</v>
          </cell>
          <cell r="F2865" t="str">
            <v>N/ App</v>
          </cell>
        </row>
        <row r="2866">
          <cell r="B2866" t="str">
            <v>FB260007725</v>
          </cell>
          <cell r="F2866" t="str">
            <v>N/ App</v>
          </cell>
        </row>
        <row r="2867">
          <cell r="B2867" t="str">
            <v>FB260006801</v>
          </cell>
          <cell r="F2867" t="str">
            <v>C/APP</v>
          </cell>
        </row>
        <row r="2868">
          <cell r="B2868" t="str">
            <v>FB260007459</v>
          </cell>
          <cell r="F2868" t="str">
            <v>C/APP</v>
          </cell>
        </row>
        <row r="2869">
          <cell r="B2869" t="str">
            <v>FB250029209</v>
          </cell>
          <cell r="F2869" t="str">
            <v>N/ App</v>
          </cell>
        </row>
        <row r="2870">
          <cell r="B2870" t="str">
            <v>FB250029211</v>
          </cell>
          <cell r="F2870" t="str">
            <v>N/ App</v>
          </cell>
        </row>
        <row r="2871">
          <cell r="B2871" t="str">
            <v>FB260007413</v>
          </cell>
          <cell r="F2871" t="str">
            <v>N/ App</v>
          </cell>
        </row>
        <row r="2872">
          <cell r="B2872" t="str">
            <v>FB250029229</v>
          </cell>
          <cell r="F2872" t="str">
            <v>N/ App</v>
          </cell>
        </row>
        <row r="2873">
          <cell r="B2873" t="str">
            <v>FB250029234</v>
          </cell>
          <cell r="F2873" t="str">
            <v>N/ App</v>
          </cell>
        </row>
        <row r="2874">
          <cell r="B2874" t="str">
            <v>FB260007803</v>
          </cell>
          <cell r="F2874" t="str">
            <v>N/ App</v>
          </cell>
        </row>
        <row r="2875">
          <cell r="B2875" t="str">
            <v>FB260007273</v>
          </cell>
          <cell r="F2875" t="str">
            <v>N/ App</v>
          </cell>
        </row>
        <row r="2876">
          <cell r="B2876" t="str">
            <v>FB260007900</v>
          </cell>
          <cell r="F2876" t="str">
            <v>N/ App</v>
          </cell>
        </row>
        <row r="2877">
          <cell r="B2877" t="str">
            <v>FB260006141</v>
          </cell>
          <cell r="F2877" t="str">
            <v>N/ App</v>
          </cell>
        </row>
        <row r="2878">
          <cell r="B2878" t="str">
            <v>FB260007059</v>
          </cell>
          <cell r="F2878" t="str">
            <v>N/ App</v>
          </cell>
        </row>
        <row r="2879">
          <cell r="B2879" t="str">
            <v>FB260008108</v>
          </cell>
          <cell r="F2879" t="str">
            <v>N/ App</v>
          </cell>
        </row>
        <row r="2880">
          <cell r="B2880" t="str">
            <v>FB260005186</v>
          </cell>
          <cell r="F2880" t="str">
            <v>N/ App</v>
          </cell>
        </row>
        <row r="2881">
          <cell r="B2881" t="str">
            <v>FB260008132</v>
          </cell>
          <cell r="F2881" t="str">
            <v>N/ App</v>
          </cell>
        </row>
        <row r="2882">
          <cell r="B2882" t="str">
            <v>FB250029216</v>
          </cell>
          <cell r="F2882" t="str">
            <v>N/ App</v>
          </cell>
        </row>
        <row r="2883">
          <cell r="B2883" t="str">
            <v>FB260008274</v>
          </cell>
          <cell r="F2883" t="str">
            <v>N/ App</v>
          </cell>
        </row>
        <row r="2884">
          <cell r="B2884" t="str">
            <v>FB260006408</v>
          </cell>
          <cell r="F2884" t="str">
            <v>N/ App</v>
          </cell>
        </row>
        <row r="2885">
          <cell r="B2885" t="str">
            <v>FB250029225</v>
          </cell>
          <cell r="F2885" t="str">
            <v>N/ App</v>
          </cell>
        </row>
        <row r="2886">
          <cell r="B2886" t="str">
            <v>FB260008237</v>
          </cell>
          <cell r="F2886" t="str">
            <v>N/ App</v>
          </cell>
        </row>
        <row r="2887">
          <cell r="B2887" t="str">
            <v>FB250029230</v>
          </cell>
          <cell r="F2887" t="str">
            <v>N/ App</v>
          </cell>
        </row>
        <row r="2888">
          <cell r="B2888" t="str">
            <v>FB260007775</v>
          </cell>
          <cell r="F2888" t="str">
            <v>C/APP</v>
          </cell>
        </row>
        <row r="2889">
          <cell r="B2889" t="str">
            <v>FB260007299</v>
          </cell>
          <cell r="F2889" t="str">
            <v>N/ App</v>
          </cell>
        </row>
        <row r="2890">
          <cell r="B2890" t="str">
            <v>FB260006842</v>
          </cell>
          <cell r="F2890" t="str">
            <v>C/APP</v>
          </cell>
        </row>
        <row r="2891">
          <cell r="B2891" t="str">
            <v>FB260007440</v>
          </cell>
          <cell r="F2891" t="str">
            <v>N/ App</v>
          </cell>
        </row>
        <row r="2892">
          <cell r="B2892" t="str">
            <v>FB260007474</v>
          </cell>
          <cell r="F2892" t="str">
            <v>N/ App</v>
          </cell>
        </row>
        <row r="2893">
          <cell r="B2893" t="str">
            <v>FB260007681</v>
          </cell>
          <cell r="F2893" t="str">
            <v>N/ App</v>
          </cell>
        </row>
        <row r="2894">
          <cell r="B2894" t="str">
            <v>FB260007680</v>
          </cell>
          <cell r="F2894" t="str">
            <v>N/ App</v>
          </cell>
        </row>
        <row r="2895">
          <cell r="B2895" t="str">
            <v>FB250029115</v>
          </cell>
          <cell r="F2895" t="str">
            <v>N/ App</v>
          </cell>
        </row>
        <row r="2896">
          <cell r="B2896" t="str">
            <v>FB260006538</v>
          </cell>
          <cell r="F2896" t="str">
            <v>N/ App</v>
          </cell>
        </row>
        <row r="2897">
          <cell r="B2897" t="str">
            <v>FB250029226</v>
          </cell>
          <cell r="F2897" t="str">
            <v>N/ App</v>
          </cell>
        </row>
        <row r="2898">
          <cell r="B2898" t="str">
            <v>FB260007670</v>
          </cell>
          <cell r="F2898" t="str">
            <v>N/ App</v>
          </cell>
        </row>
        <row r="2899">
          <cell r="B2899" t="str">
            <v>FB260006399</v>
          </cell>
          <cell r="F2899" t="str">
            <v>N/ App</v>
          </cell>
        </row>
        <row r="2900">
          <cell r="B2900" t="str">
            <v>FB260007672</v>
          </cell>
          <cell r="F2900" t="str">
            <v>N/ App</v>
          </cell>
        </row>
        <row r="2901">
          <cell r="B2901" t="str">
            <v>FB260007592</v>
          </cell>
          <cell r="F2901" t="str">
            <v>N/ App</v>
          </cell>
        </row>
        <row r="2902">
          <cell r="B2902" t="str">
            <v>FB260007593</v>
          </cell>
          <cell r="F2902" t="str">
            <v>N/ App</v>
          </cell>
        </row>
        <row r="2903">
          <cell r="B2903" t="str">
            <v>FB260007137</v>
          </cell>
          <cell r="F2903" t="str">
            <v>N/ App</v>
          </cell>
        </row>
        <row r="2904">
          <cell r="B2904" t="str">
            <v>FB260006835</v>
          </cell>
          <cell r="F2904" t="str">
            <v>N/ App</v>
          </cell>
        </row>
        <row r="2905">
          <cell r="B2905" t="str">
            <v>FB260006844</v>
          </cell>
          <cell r="F2905" t="str">
            <v>N/ App</v>
          </cell>
        </row>
        <row r="2906">
          <cell r="B2906" t="str">
            <v>FB260007857</v>
          </cell>
          <cell r="F2906" t="str">
            <v>N/ App</v>
          </cell>
        </row>
        <row r="2907">
          <cell r="B2907" t="str">
            <v>FB260006240</v>
          </cell>
          <cell r="F2907" t="str">
            <v>N/ App</v>
          </cell>
        </row>
        <row r="2908">
          <cell r="B2908" t="str">
            <v>FB260007537</v>
          </cell>
          <cell r="F2908" t="str">
            <v>N/ App</v>
          </cell>
        </row>
        <row r="2909">
          <cell r="B2909" t="str">
            <v>FB260008217</v>
          </cell>
          <cell r="F2909" t="str">
            <v>N/ App</v>
          </cell>
        </row>
        <row r="2910">
          <cell r="B2910" t="str">
            <v>FB260006843</v>
          </cell>
          <cell r="F2910" t="str">
            <v>N/ App</v>
          </cell>
        </row>
        <row r="2911">
          <cell r="B2911" t="str">
            <v>FB260007265</v>
          </cell>
          <cell r="F2911" t="str">
            <v>N/ App</v>
          </cell>
        </row>
        <row r="2912">
          <cell r="B2912" t="str">
            <v>FB260007052</v>
          </cell>
          <cell r="F2912" t="str">
            <v>N/ App</v>
          </cell>
        </row>
        <row r="2913">
          <cell r="B2913" t="str">
            <v>FB260007902</v>
          </cell>
          <cell r="F2913" t="str">
            <v>N/ App</v>
          </cell>
        </row>
        <row r="2914">
          <cell r="B2914" t="str">
            <v>FB260007729</v>
          </cell>
          <cell r="F2914" t="str">
            <v>N/ App</v>
          </cell>
        </row>
        <row r="2915">
          <cell r="B2915" t="str">
            <v>FB260007861</v>
          </cell>
          <cell r="F2915" t="str">
            <v>N/ App</v>
          </cell>
        </row>
        <row r="2916">
          <cell r="B2916" t="str">
            <v>FB260007728</v>
          </cell>
          <cell r="F2916" t="str">
            <v>N/ App</v>
          </cell>
        </row>
        <row r="2917">
          <cell r="B2917" t="str">
            <v>FB260007320</v>
          </cell>
          <cell r="F2917" t="str">
            <v>N/ App</v>
          </cell>
        </row>
        <row r="2918">
          <cell r="B2918" t="str">
            <v>FB260007318</v>
          </cell>
          <cell r="F2918" t="str">
            <v>N/ App</v>
          </cell>
        </row>
        <row r="2919">
          <cell r="B2919" t="str">
            <v>FB260007316</v>
          </cell>
          <cell r="F2919" t="str">
            <v>N/ App</v>
          </cell>
        </row>
        <row r="2920">
          <cell r="B2920" t="str">
            <v>FB260007325</v>
          </cell>
          <cell r="F2920" t="str">
            <v>N/ App</v>
          </cell>
        </row>
        <row r="2921">
          <cell r="B2921" t="str">
            <v>FB260007322</v>
          </cell>
          <cell r="F2921" t="str">
            <v>N/ App</v>
          </cell>
        </row>
        <row r="2922">
          <cell r="B2922" t="str">
            <v>FB260007300</v>
          </cell>
          <cell r="F2922" t="str">
            <v>N/ App</v>
          </cell>
        </row>
        <row r="2923">
          <cell r="B2923" t="str">
            <v>FB260007315</v>
          </cell>
          <cell r="F2923" t="str">
            <v>N/ App</v>
          </cell>
        </row>
        <row r="2924">
          <cell r="B2924" t="str">
            <v>FB260007673</v>
          </cell>
          <cell r="F2924" t="str">
            <v>N/ App</v>
          </cell>
        </row>
        <row r="2925">
          <cell r="B2925" t="str">
            <v>FB260008327</v>
          </cell>
          <cell r="F2925" t="str">
            <v>N/ App</v>
          </cell>
        </row>
        <row r="2926">
          <cell r="B2926" t="str">
            <v>FB260008328</v>
          </cell>
          <cell r="F2926" t="str">
            <v>N/ App</v>
          </cell>
        </row>
        <row r="2927">
          <cell r="B2927" t="str">
            <v>FB260007848</v>
          </cell>
          <cell r="F2927" t="str">
            <v>N/ App</v>
          </cell>
        </row>
        <row r="2928">
          <cell r="B2928" t="str">
            <v>FB260007804</v>
          </cell>
          <cell r="F2928" t="str">
            <v>N/ App</v>
          </cell>
        </row>
        <row r="2929">
          <cell r="B2929" t="str">
            <v>FB260007349</v>
          </cell>
          <cell r="F2929" t="str">
            <v>N/ App</v>
          </cell>
        </row>
        <row r="2930">
          <cell r="B2930" t="str">
            <v>FB250029236</v>
          </cell>
          <cell r="F2930" t="str">
            <v>N/ App</v>
          </cell>
        </row>
        <row r="2931">
          <cell r="B2931" t="str">
            <v>FB260007665</v>
          </cell>
          <cell r="F2931" t="str">
            <v>N/ App</v>
          </cell>
        </row>
        <row r="2932">
          <cell r="B2932" t="str">
            <v>FB260007650</v>
          </cell>
          <cell r="F2932" t="str">
            <v>N/ App</v>
          </cell>
        </row>
        <row r="2933">
          <cell r="B2933" t="str">
            <v>FB260005239</v>
          </cell>
          <cell r="F2933" t="str">
            <v>C/APP</v>
          </cell>
        </row>
        <row r="2934">
          <cell r="B2934" t="str">
            <v>FB260008330</v>
          </cell>
          <cell r="F2934" t="str">
            <v>N/ App</v>
          </cell>
        </row>
        <row r="2935">
          <cell r="B2935" t="str">
            <v>FB260007467</v>
          </cell>
          <cell r="F2935" t="str">
            <v>N/ App</v>
          </cell>
        </row>
        <row r="2936">
          <cell r="B2936" t="str">
            <v>FB260006427</v>
          </cell>
          <cell r="F2936" t="str">
            <v>N/ App</v>
          </cell>
        </row>
        <row r="2937">
          <cell r="B2937" t="str">
            <v>FB260007156</v>
          </cell>
          <cell r="F2937" t="str">
            <v>N/ App</v>
          </cell>
        </row>
        <row r="2938">
          <cell r="B2938" t="str">
            <v>FB260006140</v>
          </cell>
          <cell r="F2938" t="str">
            <v>N/ App</v>
          </cell>
        </row>
        <row r="2939">
          <cell r="B2939" t="str">
            <v>FB260006545</v>
          </cell>
          <cell r="F2939" t="str">
            <v>N/ App</v>
          </cell>
        </row>
        <row r="2940">
          <cell r="B2940" t="str">
            <v>FB260008051</v>
          </cell>
          <cell r="F2940" t="str">
            <v>N/ App</v>
          </cell>
        </row>
        <row r="2941">
          <cell r="B2941" t="str">
            <v>FB260008122</v>
          </cell>
          <cell r="F2941" t="str">
            <v>C/APP</v>
          </cell>
        </row>
        <row r="2942">
          <cell r="B2942" t="str">
            <v>FB260007439</v>
          </cell>
          <cell r="F2942" t="str">
            <v>N/ App</v>
          </cell>
        </row>
        <row r="2943">
          <cell r="B2943" t="str">
            <v>FB260007664</v>
          </cell>
          <cell r="F2943" t="str">
            <v>N/ App</v>
          </cell>
        </row>
        <row r="2944">
          <cell r="B2944" t="str">
            <v>FB260007674</v>
          </cell>
          <cell r="F2944" t="str">
            <v>N/ App</v>
          </cell>
        </row>
        <row r="2945">
          <cell r="B2945" t="str">
            <v>FB260006840</v>
          </cell>
          <cell r="F2945" t="str">
            <v>C/APP</v>
          </cell>
        </row>
        <row r="2946">
          <cell r="B2946" t="str">
            <v>FB260007191</v>
          </cell>
          <cell r="F2946" t="str">
            <v>N/ App</v>
          </cell>
        </row>
        <row r="2947">
          <cell r="B2947" t="str">
            <v>FB260007189</v>
          </cell>
          <cell r="F2947" t="str">
            <v>N/ App</v>
          </cell>
        </row>
        <row r="2948">
          <cell r="B2948" t="str">
            <v>FB260007190</v>
          </cell>
          <cell r="F2948" t="str">
            <v>N/ App</v>
          </cell>
        </row>
        <row r="2949">
          <cell r="B2949" t="str">
            <v>FB260006837</v>
          </cell>
          <cell r="F2949" t="str">
            <v>N/ App</v>
          </cell>
        </row>
        <row r="2950">
          <cell r="B2950" t="str">
            <v>FB260006534</v>
          </cell>
          <cell r="F2950" t="str">
            <v>N/ App</v>
          </cell>
        </row>
        <row r="2951">
          <cell r="B2951" t="str">
            <v>FB260006406</v>
          </cell>
          <cell r="F2951" t="str">
            <v>N/ App</v>
          </cell>
        </row>
        <row r="2952">
          <cell r="B2952" t="str">
            <v>FB260007234</v>
          </cell>
          <cell r="F2952" t="str">
            <v>N/ App</v>
          </cell>
        </row>
        <row r="2953">
          <cell r="B2953" t="str">
            <v>FB260008050</v>
          </cell>
          <cell r="F2953" t="str">
            <v>N/ App</v>
          </cell>
        </row>
        <row r="2954">
          <cell r="B2954" t="str">
            <v>FB260007929</v>
          </cell>
          <cell r="F2954" t="str">
            <v>C/APP</v>
          </cell>
        </row>
        <row r="2955">
          <cell r="B2955" t="str">
            <v>FB260007360</v>
          </cell>
          <cell r="F2955" t="str">
            <v>N/ App</v>
          </cell>
        </row>
        <row r="2956">
          <cell r="B2956" t="str">
            <v>FB260006995</v>
          </cell>
          <cell r="F2956" t="str">
            <v>N/ App</v>
          </cell>
        </row>
        <row r="2957">
          <cell r="B2957" t="str">
            <v>FB260007152</v>
          </cell>
          <cell r="F2957" t="str">
            <v>N/ App</v>
          </cell>
        </row>
        <row r="2958">
          <cell r="B2958" t="str">
            <v>FB260007144</v>
          </cell>
          <cell r="F2958" t="str">
            <v>N/ App</v>
          </cell>
        </row>
        <row r="2959">
          <cell r="B2959" t="str">
            <v>FB260008015</v>
          </cell>
          <cell r="F2959" t="str">
            <v>N/ App</v>
          </cell>
        </row>
        <row r="2960">
          <cell r="B2960" t="str">
            <v>FB260006428</v>
          </cell>
          <cell r="F2960" t="str">
            <v>N/ App</v>
          </cell>
        </row>
        <row r="2961">
          <cell r="B2961" t="str">
            <v>FB260008014</v>
          </cell>
          <cell r="F2961" t="str">
            <v>N/ App</v>
          </cell>
        </row>
        <row r="2962">
          <cell r="B2962" t="str">
            <v>FB260007449</v>
          </cell>
          <cell r="F2962" t="str">
            <v>N/ App</v>
          </cell>
        </row>
        <row r="2963">
          <cell r="B2963" t="str">
            <v>FB260007961</v>
          </cell>
          <cell r="F2963" t="str">
            <v>N/ App</v>
          </cell>
        </row>
        <row r="2964">
          <cell r="B2964" t="str">
            <v>FB260007962</v>
          </cell>
          <cell r="F2964" t="str">
            <v>N/ App</v>
          </cell>
        </row>
        <row r="2965">
          <cell r="B2965" t="str">
            <v>FB260006834</v>
          </cell>
          <cell r="F2965" t="str">
            <v>N/ App</v>
          </cell>
        </row>
        <row r="2966">
          <cell r="B2966" t="str">
            <v>FB260007494</v>
          </cell>
          <cell r="F2966" t="str">
            <v>N/ App</v>
          </cell>
        </row>
        <row r="2967">
          <cell r="B2967" t="str">
            <v>FB260007580</v>
          </cell>
          <cell r="F2967" t="str">
            <v>N/ App</v>
          </cell>
        </row>
        <row r="2968">
          <cell r="B2968" t="str">
            <v>FB260007586</v>
          </cell>
          <cell r="F2968" t="str">
            <v>N/ App</v>
          </cell>
        </row>
        <row r="2969">
          <cell r="B2969" t="str">
            <v>FB260007584</v>
          </cell>
          <cell r="F2969" t="str">
            <v>N/ App</v>
          </cell>
        </row>
        <row r="2970">
          <cell r="B2970" t="str">
            <v>FB260007578</v>
          </cell>
          <cell r="F2970" t="str">
            <v>N/ App</v>
          </cell>
        </row>
        <row r="2971">
          <cell r="B2971" t="str">
            <v>FB260007591</v>
          </cell>
          <cell r="F2971" t="str">
            <v>N/ App</v>
          </cell>
        </row>
        <row r="2972">
          <cell r="B2972" t="str">
            <v>FB260007590</v>
          </cell>
          <cell r="F2972" t="str">
            <v>N/ App</v>
          </cell>
        </row>
        <row r="2973">
          <cell r="B2973" t="str">
            <v>FB260006796</v>
          </cell>
          <cell r="F2973" t="str">
            <v>N/ App</v>
          </cell>
        </row>
        <row r="2974">
          <cell r="B2974" t="str">
            <v>FB260007647</v>
          </cell>
          <cell r="F2974" t="str">
            <v>N/ App</v>
          </cell>
        </row>
        <row r="2975">
          <cell r="B2975" t="str">
            <v>FB250029221</v>
          </cell>
          <cell r="F2975" t="str">
            <v>N/ App</v>
          </cell>
        </row>
        <row r="2976">
          <cell r="B2976" t="str">
            <v>FB250029237</v>
          </cell>
          <cell r="F2976" t="str">
            <v>N/ App</v>
          </cell>
        </row>
        <row r="2977">
          <cell r="B2977" t="str">
            <v>FB260007348</v>
          </cell>
          <cell r="F2977" t="str">
            <v>N/ App</v>
          </cell>
        </row>
        <row r="2978">
          <cell r="B2978" t="str">
            <v>FB260006828</v>
          </cell>
          <cell r="F2978" t="str">
            <v>N/ App</v>
          </cell>
        </row>
        <row r="2979">
          <cell r="B2979" t="str">
            <v>FB260006544</v>
          </cell>
          <cell r="F2979" t="str">
            <v>N/ App</v>
          </cell>
        </row>
        <row r="2980">
          <cell r="B2980" t="str">
            <v>FB260007468</v>
          </cell>
          <cell r="F2980" t="str">
            <v>N/ App</v>
          </cell>
        </row>
        <row r="2981">
          <cell r="B2981" t="str">
            <v>FB260007470</v>
          </cell>
          <cell r="F2981" t="str">
            <v>N/ App</v>
          </cell>
        </row>
        <row r="2982">
          <cell r="B2982" t="str">
            <v>FB260007460</v>
          </cell>
          <cell r="F2982" t="str">
            <v>N/ App</v>
          </cell>
        </row>
        <row r="2983">
          <cell r="B2983" t="str">
            <v>FB260008339</v>
          </cell>
          <cell r="F2983" t="str">
            <v>N/ App</v>
          </cell>
        </row>
        <row r="2984">
          <cell r="B2984" t="str">
            <v>FB260008344</v>
          </cell>
          <cell r="F2984" t="str">
            <v>REJECT</v>
          </cell>
        </row>
        <row r="2985">
          <cell r="B2985" t="str">
            <v>FB260007509</v>
          </cell>
          <cell r="F2985" t="str">
            <v>C/APP</v>
          </cell>
        </row>
        <row r="2986">
          <cell r="B2986" t="str">
            <v>FB260007297</v>
          </cell>
          <cell r="F2986" t="str">
            <v>N/ App</v>
          </cell>
        </row>
        <row r="2987">
          <cell r="B2987" t="str">
            <v>FB260007587</v>
          </cell>
          <cell r="F2987" t="str">
            <v>N/ App</v>
          </cell>
        </row>
        <row r="2988">
          <cell r="B2988" t="str">
            <v>FB260007574</v>
          </cell>
          <cell r="F2988" t="str">
            <v>N/ App</v>
          </cell>
        </row>
        <row r="2989">
          <cell r="B2989" t="str">
            <v>FB260008106</v>
          </cell>
          <cell r="F2989" t="str">
            <v>N/ App</v>
          </cell>
        </row>
        <row r="2990">
          <cell r="B2990" t="str">
            <v>FB250029220</v>
          </cell>
          <cell r="F2990" t="str">
            <v>N/ App</v>
          </cell>
        </row>
        <row r="2991">
          <cell r="B2991" t="str">
            <v>FB250029218</v>
          </cell>
          <cell r="F2991" t="str">
            <v>N/ App</v>
          </cell>
        </row>
        <row r="2992">
          <cell r="B2992" t="str">
            <v>FB260005112</v>
          </cell>
          <cell r="F2992" t="str">
            <v>C/APP</v>
          </cell>
        </row>
        <row r="2993">
          <cell r="B2993" t="str">
            <v>FB260007588</v>
          </cell>
          <cell r="F2993" t="str">
            <v>N/ App</v>
          </cell>
        </row>
        <row r="2994">
          <cell r="B2994" t="str">
            <v>FB260007405</v>
          </cell>
          <cell r="F2994" t="str">
            <v>N/ App</v>
          </cell>
        </row>
        <row r="2995">
          <cell r="B2995" t="str">
            <v>FB260006806</v>
          </cell>
          <cell r="F2995" t="str">
            <v>N/ App</v>
          </cell>
        </row>
        <row r="2996">
          <cell r="B2996" t="str">
            <v>FB260008239</v>
          </cell>
          <cell r="F2996" t="str">
            <v>N/ App</v>
          </cell>
        </row>
        <row r="2997">
          <cell r="B2997" t="str">
            <v>FB260008387</v>
          </cell>
          <cell r="F2997" t="str">
            <v>N/ App</v>
          </cell>
        </row>
        <row r="2998">
          <cell r="B2998" t="str">
            <v>FB260007455</v>
          </cell>
          <cell r="F2998" t="str">
            <v>N/ App</v>
          </cell>
        </row>
        <row r="2999">
          <cell r="B2999" t="str">
            <v>FB260007252</v>
          </cell>
          <cell r="F2999" t="str">
            <v>N/ App</v>
          </cell>
        </row>
        <row r="3000">
          <cell r="B3000" t="str">
            <v>FB260007368</v>
          </cell>
          <cell r="F3000" t="str">
            <v>N/ App</v>
          </cell>
        </row>
        <row r="3001">
          <cell r="B3001" t="str">
            <v>FB260008104</v>
          </cell>
          <cell r="F3001" t="str">
            <v>N/ App</v>
          </cell>
        </row>
        <row r="3002">
          <cell r="B3002" t="str">
            <v>FB260008016</v>
          </cell>
          <cell r="F3002" t="str">
            <v>N/ App</v>
          </cell>
        </row>
        <row r="3003">
          <cell r="B3003" t="str">
            <v>FB260008374</v>
          </cell>
          <cell r="F3003" t="str">
            <v>N/ App</v>
          </cell>
        </row>
        <row r="3004">
          <cell r="B3004" t="str">
            <v>FB250029157</v>
          </cell>
          <cell r="F3004" t="str">
            <v>N/ App</v>
          </cell>
        </row>
        <row r="3005">
          <cell r="B3005" t="str">
            <v>FB260008032</v>
          </cell>
          <cell r="F3005" t="str">
            <v>N/ App</v>
          </cell>
        </row>
        <row r="3006">
          <cell r="B3006" t="str">
            <v>FB260006084</v>
          </cell>
          <cell r="F3006" t="str">
            <v>N/ App</v>
          </cell>
        </row>
        <row r="3007">
          <cell r="B3007" t="str">
            <v>FB260007461</v>
          </cell>
          <cell r="F3007" t="str">
            <v>N/ App</v>
          </cell>
        </row>
        <row r="3008">
          <cell r="B3008" t="str">
            <v>FB260007379</v>
          </cell>
          <cell r="F3008" t="str">
            <v>N/ App</v>
          </cell>
        </row>
        <row r="3009">
          <cell r="B3009" t="str">
            <v>FB260007577</v>
          </cell>
          <cell r="F3009" t="str">
            <v>N/ App</v>
          </cell>
        </row>
        <row r="3010">
          <cell r="B3010" t="str">
            <v>FB260007572</v>
          </cell>
          <cell r="F3010" t="str">
            <v>N/ App</v>
          </cell>
        </row>
        <row r="3011">
          <cell r="B3011" t="str">
            <v>FB260007291</v>
          </cell>
          <cell r="F3011" t="str">
            <v>N/ App</v>
          </cell>
        </row>
        <row r="3012">
          <cell r="B3012" t="str">
            <v>FB260007442</v>
          </cell>
          <cell r="F3012" t="str">
            <v>N/ App</v>
          </cell>
        </row>
        <row r="3013">
          <cell r="B3013" t="str">
            <v>FB260008436</v>
          </cell>
          <cell r="F3013" t="str">
            <v>N/ App</v>
          </cell>
        </row>
        <row r="3014">
          <cell r="B3014" t="str">
            <v>FB260008383</v>
          </cell>
          <cell r="F3014" t="str">
            <v>N/ App</v>
          </cell>
        </row>
        <row r="3015">
          <cell r="B3015" t="str">
            <v>FB260007675</v>
          </cell>
          <cell r="F3015" t="str">
            <v>N/ App</v>
          </cell>
        </row>
        <row r="3016">
          <cell r="B3016" t="str">
            <v>FB260007398</v>
          </cell>
          <cell r="F3016" t="str">
            <v>N/ App</v>
          </cell>
        </row>
        <row r="3017">
          <cell r="B3017" t="str">
            <v>FB260008381</v>
          </cell>
          <cell r="F3017" t="str">
            <v>N/ App</v>
          </cell>
        </row>
        <row r="3018">
          <cell r="B3018" t="str">
            <v>FB260008345</v>
          </cell>
          <cell r="F3018" t="str">
            <v>N/ App</v>
          </cell>
        </row>
        <row r="3019">
          <cell r="B3019" t="str">
            <v>FB260006841</v>
          </cell>
          <cell r="F3019" t="str">
            <v>N/ App</v>
          </cell>
        </row>
        <row r="3020">
          <cell r="B3020" t="str">
            <v>FB260005102</v>
          </cell>
          <cell r="F3020" t="str">
            <v>N/ App</v>
          </cell>
        </row>
        <row r="3021">
          <cell r="B3021" t="str">
            <v>FB260005110</v>
          </cell>
          <cell r="F3021" t="str">
            <v>C/APP</v>
          </cell>
        </row>
        <row r="3022">
          <cell r="B3022" t="str">
            <v>FB260005109</v>
          </cell>
          <cell r="F3022" t="str">
            <v>N/ App</v>
          </cell>
        </row>
        <row r="3023">
          <cell r="B3023" t="str">
            <v>FB260007582</v>
          </cell>
          <cell r="F3023" t="str">
            <v>N/ App</v>
          </cell>
        </row>
        <row r="3024">
          <cell r="B3024" t="str">
            <v>FB260007573</v>
          </cell>
          <cell r="F3024" t="str">
            <v>N/ App</v>
          </cell>
        </row>
        <row r="3025">
          <cell r="B3025" t="str">
            <v>FB260007589</v>
          </cell>
          <cell r="F3025" t="str">
            <v>N/ App</v>
          </cell>
        </row>
        <row r="3026">
          <cell r="B3026" t="str">
            <v>FB260007659</v>
          </cell>
          <cell r="F3026" t="str">
            <v>N/ App</v>
          </cell>
        </row>
        <row r="3027">
          <cell r="B3027" t="str">
            <v>FB260006541</v>
          </cell>
          <cell r="F3027" t="str">
            <v>N/ App</v>
          </cell>
        </row>
        <row r="3028">
          <cell r="B3028" t="str">
            <v>FB260008385</v>
          </cell>
          <cell r="F3028" t="str">
            <v>N/ App</v>
          </cell>
        </row>
        <row r="3029">
          <cell r="B3029" t="str">
            <v>FB260007471</v>
          </cell>
          <cell r="F3029" t="str">
            <v>N/ App</v>
          </cell>
        </row>
        <row r="3030">
          <cell r="B3030" t="str">
            <v>FB260008193</v>
          </cell>
          <cell r="F3030" t="str">
            <v>N/ App</v>
          </cell>
        </row>
        <row r="3031">
          <cell r="B3031" t="str">
            <v>FB260007469</v>
          </cell>
          <cell r="F3031" t="str">
            <v>N/ App</v>
          </cell>
        </row>
        <row r="3032">
          <cell r="B3032" t="str">
            <v>FB260007464</v>
          </cell>
          <cell r="F3032" t="str">
            <v>N/ App</v>
          </cell>
        </row>
        <row r="3033">
          <cell r="B3033" t="str">
            <v>FB260006440</v>
          </cell>
          <cell r="F3033" t="str">
            <v>N/ App</v>
          </cell>
        </row>
        <row r="3034">
          <cell r="B3034" t="str">
            <v>FB260007395</v>
          </cell>
          <cell r="F3034" t="str">
            <v>C/APP</v>
          </cell>
        </row>
        <row r="3035">
          <cell r="B3035" t="str">
            <v>FB260008400</v>
          </cell>
          <cell r="F3035" t="str">
            <v>N/ App</v>
          </cell>
        </row>
        <row r="3036">
          <cell r="B3036" t="str">
            <v>FB260008399</v>
          </cell>
          <cell r="F3036" t="str">
            <v>N/ App</v>
          </cell>
        </row>
        <row r="3037">
          <cell r="B3037" t="str">
            <v>FB260007235</v>
          </cell>
          <cell r="F3037" t="str">
            <v>N/ App</v>
          </cell>
        </row>
        <row r="3038">
          <cell r="B3038" t="str">
            <v>FB260008395</v>
          </cell>
          <cell r="F3038" t="str">
            <v>N/ App</v>
          </cell>
        </row>
        <row r="3039">
          <cell r="B3039" t="str">
            <v>FB260006441</v>
          </cell>
          <cell r="F3039" t="str">
            <v>N/ App</v>
          </cell>
        </row>
        <row r="3040">
          <cell r="B3040" t="str">
            <v>FB260007960</v>
          </cell>
          <cell r="F3040" t="str">
            <v>C/APP</v>
          </cell>
        </row>
        <row r="3041">
          <cell r="B3041" t="str">
            <v>FB260007959</v>
          </cell>
          <cell r="F3041" t="str">
            <v>C/APP</v>
          </cell>
        </row>
        <row r="3042">
          <cell r="B3042" t="str">
            <v>FB260008290</v>
          </cell>
          <cell r="F3042" t="str">
            <v>N/ App</v>
          </cell>
        </row>
        <row r="3043">
          <cell r="B3043" t="str">
            <v>FB260008393</v>
          </cell>
          <cell r="F3043" t="str">
            <v>N/ App</v>
          </cell>
        </row>
        <row r="3044">
          <cell r="B3044" t="str">
            <v>FB260006531</v>
          </cell>
          <cell r="F3044" t="str">
            <v>N/ App</v>
          </cell>
        </row>
        <row r="3045">
          <cell r="B3045" t="str">
            <v>FB260006390</v>
          </cell>
          <cell r="F3045" t="str">
            <v>C/APP</v>
          </cell>
        </row>
        <row r="3046">
          <cell r="B3046" t="str">
            <v>FB260008012</v>
          </cell>
          <cell r="F3046" t="str">
            <v>C/APP</v>
          </cell>
        </row>
        <row r="3047">
          <cell r="B3047" t="str">
            <v>FB250029165</v>
          </cell>
          <cell r="F3047" t="str">
            <v>N/ App</v>
          </cell>
        </row>
        <row r="3048">
          <cell r="B3048" t="str">
            <v>FB260007167</v>
          </cell>
          <cell r="F3048" t="str">
            <v>N/ App</v>
          </cell>
        </row>
        <row r="3049">
          <cell r="B3049" t="str">
            <v>FB260006195</v>
          </cell>
          <cell r="F3049" t="str">
            <v>N/ App</v>
          </cell>
        </row>
        <row r="3050">
          <cell r="B3050" t="str">
            <v>FB260006949</v>
          </cell>
          <cell r="F3050" t="str">
            <v>N/ App</v>
          </cell>
        </row>
        <row r="3051">
          <cell r="B3051" t="str">
            <v>FB260008228</v>
          </cell>
          <cell r="F3051" t="str">
            <v>C/APP</v>
          </cell>
        </row>
        <row r="3052">
          <cell r="B3052" t="str">
            <v>FB260007058</v>
          </cell>
          <cell r="F3052" t="str">
            <v>N/ App</v>
          </cell>
        </row>
        <row r="3053">
          <cell r="B3053" t="str">
            <v>FB260007507</v>
          </cell>
          <cell r="F3053" t="str">
            <v>N/ App</v>
          </cell>
        </row>
        <row r="3054">
          <cell r="B3054" t="str">
            <v>FB260007924</v>
          </cell>
          <cell r="F3054" t="str">
            <v>N/ App</v>
          </cell>
        </row>
        <row r="3055">
          <cell r="B3055" t="str">
            <v>FB250029228</v>
          </cell>
          <cell r="F3055" t="str">
            <v>N/ App</v>
          </cell>
        </row>
        <row r="3056">
          <cell r="B3056" t="str">
            <v>FB260007215</v>
          </cell>
          <cell r="F3056" t="str">
            <v>N/ App</v>
          </cell>
        </row>
        <row r="3057">
          <cell r="B3057" t="str">
            <v>FB260006854</v>
          </cell>
          <cell r="F3057" t="str">
            <v>N/ App</v>
          </cell>
        </row>
        <row r="3058">
          <cell r="B3058" t="str">
            <v>FB260006959</v>
          </cell>
          <cell r="F3058" t="str">
            <v>N/ App</v>
          </cell>
        </row>
        <row r="3059">
          <cell r="B3059" t="str">
            <v>FB260006864</v>
          </cell>
          <cell r="F3059" t="str">
            <v>N/ App</v>
          </cell>
        </row>
        <row r="3060">
          <cell r="B3060" t="str">
            <v>FB260008370</v>
          </cell>
          <cell r="F3060" t="str">
            <v>N/ App</v>
          </cell>
        </row>
        <row r="3061">
          <cell r="B3061" t="str">
            <v>FB260006850</v>
          </cell>
          <cell r="F3061" t="str">
            <v>N/ App</v>
          </cell>
        </row>
        <row r="3062">
          <cell r="B3062" t="str">
            <v>FB260007719</v>
          </cell>
          <cell r="F3062" t="str">
            <v>N/ App</v>
          </cell>
        </row>
        <row r="3063">
          <cell r="B3063" t="str">
            <v>FB260007854</v>
          </cell>
          <cell r="F3063" t="str">
            <v>N/ App</v>
          </cell>
        </row>
        <row r="3064">
          <cell r="B3064" t="str">
            <v>FB260007118</v>
          </cell>
          <cell r="F3064" t="str">
            <v>N/ App</v>
          </cell>
        </row>
        <row r="3065">
          <cell r="B3065" t="str">
            <v>FB260007847</v>
          </cell>
          <cell r="F3065" t="str">
            <v>C/APP</v>
          </cell>
        </row>
        <row r="3066">
          <cell r="B3066" t="str">
            <v>FB260007044</v>
          </cell>
          <cell r="F3066" t="str">
            <v>N/ App</v>
          </cell>
        </row>
        <row r="3067">
          <cell r="B3067" t="str">
            <v>FB260006794</v>
          </cell>
          <cell r="F3067" t="str">
            <v>C/APP</v>
          </cell>
        </row>
        <row r="3068">
          <cell r="B3068" t="str">
            <v>FB260008225</v>
          </cell>
          <cell r="F3068" t="str">
            <v>N/ App</v>
          </cell>
        </row>
        <row r="3069">
          <cell r="B3069" t="str">
            <v>FB260007071</v>
          </cell>
          <cell r="F3069" t="str">
            <v>N/ App</v>
          </cell>
        </row>
        <row r="3070">
          <cell r="B3070" t="str">
            <v>FB260007134</v>
          </cell>
          <cell r="F3070" t="str">
            <v>N/ App</v>
          </cell>
        </row>
        <row r="3071">
          <cell r="B3071" t="str">
            <v>FB260008447</v>
          </cell>
          <cell r="F3071" t="str">
            <v>N/ App</v>
          </cell>
        </row>
        <row r="3072">
          <cell r="B3072" t="str">
            <v>FB260008445</v>
          </cell>
          <cell r="F3072" t="str">
            <v>N/ App</v>
          </cell>
        </row>
        <row r="3073">
          <cell r="B3073" t="str">
            <v>FB260008372</v>
          </cell>
          <cell r="F3073" t="str">
            <v>N/ App</v>
          </cell>
        </row>
        <row r="3074">
          <cell r="B3074" t="str">
            <v>FB260007396</v>
          </cell>
          <cell r="F3074" t="str">
            <v>N/ App</v>
          </cell>
        </row>
        <row r="3075">
          <cell r="B3075" t="str">
            <v>FB260008093</v>
          </cell>
          <cell r="F3075" t="str">
            <v>N/ App</v>
          </cell>
        </row>
        <row r="3076">
          <cell r="B3076" t="str">
            <v>FB260008035</v>
          </cell>
          <cell r="F3076" t="str">
            <v>N/ App</v>
          </cell>
        </row>
        <row r="3077">
          <cell r="B3077" t="str">
            <v>FB260007365</v>
          </cell>
          <cell r="F3077" t="str">
            <v>N/ App</v>
          </cell>
        </row>
        <row r="3078">
          <cell r="B3078" t="str">
            <v>FB260007407</v>
          </cell>
          <cell r="F3078" t="str">
            <v>N/ App</v>
          </cell>
        </row>
        <row r="3079">
          <cell r="B3079" t="str">
            <v>FB260007397</v>
          </cell>
          <cell r="F3079" t="str">
            <v>N/ App</v>
          </cell>
        </row>
        <row r="3080">
          <cell r="B3080" t="str">
            <v>FB250029166</v>
          </cell>
          <cell r="F3080" t="str">
            <v>N/ App</v>
          </cell>
        </row>
        <row r="3081">
          <cell r="B3081" t="str">
            <v>FB260006863</v>
          </cell>
          <cell r="F3081" t="str">
            <v>N/ App</v>
          </cell>
        </row>
        <row r="3082">
          <cell r="B3082" t="str">
            <v>FB260007759</v>
          </cell>
          <cell r="F3082" t="str">
            <v>N/ App</v>
          </cell>
        </row>
        <row r="3083">
          <cell r="B3083" t="str">
            <v>FB260007694</v>
          </cell>
          <cell r="F3083" t="str">
            <v>N/ App</v>
          </cell>
        </row>
        <row r="3084">
          <cell r="B3084" t="str">
            <v>FB260007693</v>
          </cell>
          <cell r="F3084" t="str">
            <v>N/ App</v>
          </cell>
        </row>
        <row r="3085">
          <cell r="B3085" t="str">
            <v>FB260007696</v>
          </cell>
          <cell r="F3085" t="str">
            <v>N/ App</v>
          </cell>
        </row>
        <row r="3086">
          <cell r="B3086" t="str">
            <v>FB260007452</v>
          </cell>
          <cell r="F3086" t="str">
            <v>N/ App</v>
          </cell>
        </row>
        <row r="3087">
          <cell r="B3087" t="str">
            <v>FB260007660</v>
          </cell>
          <cell r="F3087" t="str">
            <v>N/ App</v>
          </cell>
        </row>
        <row r="3088">
          <cell r="B3088" t="str">
            <v>FB260007651</v>
          </cell>
          <cell r="F3088" t="str">
            <v>N/ App</v>
          </cell>
        </row>
        <row r="3089">
          <cell r="B3089" t="str">
            <v>FB250029214</v>
          </cell>
          <cell r="F3089" t="str">
            <v>C/APP</v>
          </cell>
        </row>
        <row r="3090">
          <cell r="B3090" t="str">
            <v>FB260007394</v>
          </cell>
          <cell r="F3090" t="str">
            <v>C/APP</v>
          </cell>
        </row>
        <row r="3091">
          <cell r="B3091" t="str">
            <v>FB260008369</v>
          </cell>
          <cell r="F3091" t="str">
            <v>N/ App</v>
          </cell>
        </row>
        <row r="3092">
          <cell r="B3092" t="str">
            <v>FB260007903</v>
          </cell>
          <cell r="F3092" t="str">
            <v>C/APP</v>
          </cell>
        </row>
        <row r="3093">
          <cell r="B3093" t="str">
            <v>FB260007112</v>
          </cell>
          <cell r="F3093" t="str">
            <v>N/ App</v>
          </cell>
        </row>
        <row r="3094">
          <cell r="B3094" t="str">
            <v>FB260007907</v>
          </cell>
          <cell r="F3094" t="str">
            <v>N/ App</v>
          </cell>
        </row>
        <row r="3095">
          <cell r="B3095" t="str">
            <v>FB260006667</v>
          </cell>
          <cell r="F3095" t="str">
            <v>C/APP</v>
          </cell>
        </row>
        <row r="3096">
          <cell r="B3096" t="str">
            <v>FB260008218</v>
          </cell>
          <cell r="F3096" t="str">
            <v>N/ App</v>
          </cell>
        </row>
        <row r="3097">
          <cell r="B3097" t="str">
            <v>FB260007853</v>
          </cell>
          <cell r="F3097" t="str">
            <v>N/ App</v>
          </cell>
        </row>
        <row r="3098">
          <cell r="B3098" t="str">
            <v>FB260007120</v>
          </cell>
          <cell r="F3098" t="str">
            <v>N/ App</v>
          </cell>
        </row>
        <row r="3099">
          <cell r="B3099" t="str">
            <v>FB260005103</v>
          </cell>
          <cell r="F3099" t="str">
            <v>N/ App</v>
          </cell>
        </row>
        <row r="3100">
          <cell r="B3100" t="str">
            <v>FB260007206</v>
          </cell>
          <cell r="F3100" t="str">
            <v>N/ App</v>
          </cell>
        </row>
        <row r="3101">
          <cell r="B3101" t="str">
            <v>FB260004381</v>
          </cell>
          <cell r="F3101" t="str">
            <v>N/ App</v>
          </cell>
        </row>
        <row r="3102">
          <cell r="B3102" t="str">
            <v>FB260007698</v>
          </cell>
          <cell r="F3102" t="str">
            <v>N/ App</v>
          </cell>
        </row>
        <row r="3103">
          <cell r="B3103" t="str">
            <v>FB260007194</v>
          </cell>
          <cell r="F3103" t="str">
            <v>N/ App</v>
          </cell>
        </row>
        <row r="3104">
          <cell r="B3104" t="str">
            <v>FB260008443</v>
          </cell>
          <cell r="F3104" t="str">
            <v>N/ App</v>
          </cell>
        </row>
        <row r="3105">
          <cell r="B3105" t="str">
            <v>FB260006852</v>
          </cell>
          <cell r="F3105" t="str">
            <v>N/ App</v>
          </cell>
        </row>
        <row r="3106">
          <cell r="B3106" t="str">
            <v>FB260008260</v>
          </cell>
          <cell r="F3106" t="str">
            <v>N/ App</v>
          </cell>
        </row>
        <row r="3107">
          <cell r="B3107" t="str">
            <v>FB260007562</v>
          </cell>
          <cell r="F3107" t="str">
            <v>N/ App</v>
          </cell>
        </row>
        <row r="3108">
          <cell r="B3108" t="str">
            <v>FB260007057</v>
          </cell>
          <cell r="F3108" t="str">
            <v>N/ App</v>
          </cell>
        </row>
        <row r="3109">
          <cell r="B3109" t="str">
            <v>FB260006314</v>
          </cell>
          <cell r="F3109" t="str">
            <v>N/ App</v>
          </cell>
        </row>
        <row r="3110">
          <cell r="B3110" t="str">
            <v>FB260007208</v>
          </cell>
          <cell r="F3110" t="str">
            <v>N/ App</v>
          </cell>
        </row>
        <row r="3111">
          <cell r="B3111" t="str">
            <v>FB260007863</v>
          </cell>
          <cell r="F3111" t="str">
            <v>N/ App</v>
          </cell>
        </row>
        <row r="3112">
          <cell r="B3112" t="str">
            <v>FB260007958</v>
          </cell>
          <cell r="F3112" t="str">
            <v>C/APP</v>
          </cell>
        </row>
        <row r="3113">
          <cell r="B3113" t="str">
            <v>FB260008000</v>
          </cell>
          <cell r="F3113" t="str">
            <v>N/ App</v>
          </cell>
        </row>
        <row r="3114">
          <cell r="B3114" t="str">
            <v>FB260008289</v>
          </cell>
          <cell r="F3114" t="str">
            <v>N/ App</v>
          </cell>
        </row>
        <row r="3115">
          <cell r="B3115" t="str">
            <v>FB260008167</v>
          </cell>
          <cell r="F3115" t="str">
            <v>N/ App</v>
          </cell>
        </row>
        <row r="3116">
          <cell r="B3116" t="str">
            <v>FB260007250</v>
          </cell>
          <cell r="F3116" t="str">
            <v>N/ App</v>
          </cell>
        </row>
        <row r="3117">
          <cell r="B3117" t="str">
            <v>FB260007708</v>
          </cell>
          <cell r="F3117" t="str">
            <v>N/ App</v>
          </cell>
        </row>
        <row r="3118">
          <cell r="B3118" t="str">
            <v>FB260008163</v>
          </cell>
          <cell r="F3118" t="str">
            <v>N/ App</v>
          </cell>
        </row>
        <row r="3119">
          <cell r="B3119" t="str">
            <v>FB260007399</v>
          </cell>
          <cell r="F3119" t="str">
            <v>N/ App</v>
          </cell>
        </row>
        <row r="3120">
          <cell r="B3120" t="str">
            <v>FB260007653</v>
          </cell>
          <cell r="F3120" t="str">
            <v>N/ App</v>
          </cell>
        </row>
        <row r="3121">
          <cell r="B3121" t="str">
            <v>FB260008398</v>
          </cell>
          <cell r="F3121" t="str">
            <v>N/ App</v>
          </cell>
        </row>
        <row r="3122">
          <cell r="B3122" t="str">
            <v>FB260006909</v>
          </cell>
          <cell r="F3122" t="str">
            <v>C/APP</v>
          </cell>
        </row>
        <row r="3123">
          <cell r="B3123" t="str">
            <v>FB260007213</v>
          </cell>
          <cell r="F3123" t="str">
            <v>C/APP</v>
          </cell>
        </row>
        <row r="3124">
          <cell r="B3124" t="str">
            <v>FB260007047</v>
          </cell>
          <cell r="F3124" t="str">
            <v>C/APP</v>
          </cell>
        </row>
        <row r="3125">
          <cell r="B3125" t="str">
            <v>FB260007726</v>
          </cell>
          <cell r="F3125" t="str">
            <v>N/ App</v>
          </cell>
        </row>
        <row r="3126">
          <cell r="B3126" t="str">
            <v>FB260007905</v>
          </cell>
          <cell r="F3126" t="str">
            <v>N/ App</v>
          </cell>
        </row>
        <row r="3127">
          <cell r="B3127" t="str">
            <v>FB260008223</v>
          </cell>
          <cell r="F3127" t="str">
            <v>N/ App</v>
          </cell>
        </row>
        <row r="3128">
          <cell r="B3128" t="str">
            <v>FB260008224</v>
          </cell>
          <cell r="F3128" t="str">
            <v>N/ App</v>
          </cell>
        </row>
        <row r="3129">
          <cell r="B3129" t="str">
            <v>FB260006241</v>
          </cell>
          <cell r="F3129" t="str">
            <v>N/ App</v>
          </cell>
        </row>
        <row r="3130">
          <cell r="B3130" t="str">
            <v>FB260007064</v>
          </cell>
          <cell r="F3130" t="str">
            <v>N/ App</v>
          </cell>
        </row>
        <row r="3131">
          <cell r="B3131" t="str">
            <v>FB260006735</v>
          </cell>
          <cell r="F3131" t="str">
            <v>N/ App</v>
          </cell>
        </row>
        <row r="3132">
          <cell r="B3132" t="str">
            <v>FB260006804</v>
          </cell>
          <cell r="F3132" t="str">
            <v>C/APP</v>
          </cell>
        </row>
        <row r="3133">
          <cell r="B3133" t="str">
            <v>FB260006129</v>
          </cell>
          <cell r="F3133" t="str">
            <v>N/ App</v>
          </cell>
        </row>
        <row r="3134">
          <cell r="B3134" t="str">
            <v>FB260008336</v>
          </cell>
          <cell r="F3134" t="str">
            <v>N/ App</v>
          </cell>
        </row>
        <row r="3135">
          <cell r="B3135" t="str">
            <v>FB260007758</v>
          </cell>
          <cell r="F3135" t="str">
            <v>N/ App</v>
          </cell>
        </row>
        <row r="3136">
          <cell r="B3136" t="str">
            <v>FB260008365</v>
          </cell>
          <cell r="F3136" t="str">
            <v>N/ App</v>
          </cell>
        </row>
        <row r="3137">
          <cell r="B3137" t="str">
            <v>FB260006369</v>
          </cell>
          <cell r="F3137" t="str">
            <v>N/ App</v>
          </cell>
        </row>
        <row r="3138">
          <cell r="B3138" t="str">
            <v>FB260007249</v>
          </cell>
          <cell r="F3138" t="str">
            <v>N/ App</v>
          </cell>
        </row>
        <row r="3139">
          <cell r="B3139" t="str">
            <v>FB260007246</v>
          </cell>
          <cell r="F3139" t="str">
            <v>N/ App</v>
          </cell>
        </row>
        <row r="3140">
          <cell r="B3140" t="str">
            <v>FB260008195</v>
          </cell>
          <cell r="F3140" t="str">
            <v>N/ App</v>
          </cell>
        </row>
        <row r="3141">
          <cell r="B3141" t="str">
            <v>FB260008446</v>
          </cell>
          <cell r="F3141" t="str">
            <v>N/ App</v>
          </cell>
        </row>
        <row r="3142">
          <cell r="B3142" t="str">
            <v>FB260008215</v>
          </cell>
          <cell r="F3142" t="str">
            <v>N/ App</v>
          </cell>
        </row>
        <row r="3143">
          <cell r="B3143" t="str">
            <v>FB260007904</v>
          </cell>
          <cell r="F3143" t="str">
            <v>N/ App</v>
          </cell>
        </row>
        <row r="3144">
          <cell r="B3144" t="str">
            <v>FB260007809</v>
          </cell>
          <cell r="F3144" t="str">
            <v>N/ App</v>
          </cell>
        </row>
        <row r="3145">
          <cell r="B3145" t="str">
            <v>FB260007536</v>
          </cell>
          <cell r="F3145" t="str">
            <v>N/ App</v>
          </cell>
        </row>
        <row r="3146">
          <cell r="B3146" t="str">
            <v>FB260004760</v>
          </cell>
          <cell r="F3146" t="str">
            <v>C/APP</v>
          </cell>
        </row>
        <row r="3147">
          <cell r="B3147" t="str">
            <v>FB260008171</v>
          </cell>
          <cell r="F3147" t="str">
            <v>N/ App</v>
          </cell>
        </row>
        <row r="3148">
          <cell r="B3148" t="str">
            <v>FB260008464</v>
          </cell>
          <cell r="F3148" t="str">
            <v>N/ App</v>
          </cell>
        </row>
        <row r="3149">
          <cell r="B3149" t="str">
            <v>FB260006918</v>
          </cell>
          <cell r="F3149" t="str">
            <v>N/ App</v>
          </cell>
        </row>
        <row r="3150">
          <cell r="B3150" t="str">
            <v>FB260005108</v>
          </cell>
          <cell r="F3150" t="str">
            <v>N/ App</v>
          </cell>
        </row>
        <row r="3151">
          <cell r="B3151" t="str">
            <v>FR260000200</v>
          </cell>
          <cell r="F3151" t="str">
            <v>N/ App</v>
          </cell>
        </row>
        <row r="3152">
          <cell r="B3152" t="str">
            <v>FB260007957</v>
          </cell>
          <cell r="F3152" t="str">
            <v>N/ App</v>
          </cell>
        </row>
        <row r="3153">
          <cell r="B3153" t="str">
            <v>FB250002634</v>
          </cell>
          <cell r="F3153" t="str">
            <v>N/ App</v>
          </cell>
        </row>
        <row r="3154">
          <cell r="B3154" t="str">
            <v>FB250002634</v>
          </cell>
          <cell r="F3154" t="str">
            <v>N/ App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9DC9-89A8-4C15-B115-F3F8A3007759}">
  <dimension ref="A1:Z1457"/>
  <sheetViews>
    <sheetView topLeftCell="B1454" workbookViewId="0">
      <selection activeCell="F1457" sqref="F1457"/>
    </sheetView>
  </sheetViews>
  <sheetFormatPr defaultColWidth="8.7265625" defaultRowHeight="14.5" x14ac:dyDescent="0.35"/>
  <cols>
    <col min="1" max="1" width="48.7265625" style="1" customWidth="1"/>
    <col min="2" max="2" width="25.7265625" customWidth="1"/>
    <col min="3" max="5" width="21.08984375" style="1" customWidth="1"/>
    <col min="6" max="6" width="17.1796875" style="10" customWidth="1"/>
    <col min="7" max="7" width="9.1796875" style="1" customWidth="1"/>
    <col min="8" max="8" width="22.08984375" style="1" customWidth="1"/>
    <col min="9" max="12" width="13.7265625" style="1" customWidth="1"/>
    <col min="13" max="13" width="39.6328125" style="1" customWidth="1"/>
    <col min="14" max="14" width="15.453125" style="1" customWidth="1"/>
    <col min="15" max="15" width="19.90625" style="1" customWidth="1"/>
    <col min="16" max="16" width="16" style="1" customWidth="1"/>
    <col min="17" max="17" width="16.1796875" style="1" customWidth="1"/>
    <col min="18" max="18" width="18.08984375" style="1" customWidth="1"/>
    <col min="19" max="19" width="14.6328125" style="1" customWidth="1"/>
    <col min="20" max="23" width="8.7265625" style="1" customWidth="1"/>
    <col min="24" max="24" width="22.453125" style="1" customWidth="1"/>
    <col min="25" max="25" width="18.08984375" style="1" customWidth="1"/>
    <col min="26" max="16384" width="8.7265625" style="1"/>
  </cols>
  <sheetData>
    <row r="1" spans="1:26" customFormat="1" x14ac:dyDescent="0.35">
      <c r="A1" s="3" t="s">
        <v>0</v>
      </c>
      <c r="B1" s="3" t="s">
        <v>1</v>
      </c>
      <c r="C1" s="3" t="s">
        <v>19</v>
      </c>
      <c r="D1" s="3" t="s">
        <v>20</v>
      </c>
      <c r="E1" s="3" t="s">
        <v>21</v>
      </c>
      <c r="F1" s="9" t="s">
        <v>2</v>
      </c>
      <c r="G1" s="3" t="s">
        <v>3</v>
      </c>
      <c r="H1" s="8" t="s">
        <v>717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8" t="s">
        <v>722</v>
      </c>
      <c r="O1" s="8" t="s">
        <v>723</v>
      </c>
      <c r="P1" s="8" t="s">
        <v>724</v>
      </c>
      <c r="Q1" s="8" t="s">
        <v>725</v>
      </c>
      <c r="R1" s="8" t="s">
        <v>726</v>
      </c>
      <c r="S1" s="8" t="s">
        <v>727</v>
      </c>
      <c r="T1" s="8" t="s">
        <v>728</v>
      </c>
      <c r="U1" s="8" t="s">
        <v>729</v>
      </c>
      <c r="V1" s="8" t="s">
        <v>730</v>
      </c>
      <c r="W1" s="8" t="s">
        <v>731</v>
      </c>
      <c r="X1" s="8" t="s">
        <v>732</v>
      </c>
      <c r="Y1" s="8" t="s">
        <v>733</v>
      </c>
      <c r="Z1" s="8" t="s">
        <v>720</v>
      </c>
    </row>
    <row r="2" spans="1:26" x14ac:dyDescent="0.35">
      <c r="A2" s="7" t="s">
        <v>1500</v>
      </c>
      <c r="B2" s="7" t="s">
        <v>950</v>
      </c>
      <c r="C2" s="4" t="str">
        <f>_xlfn.XLOOKUP(A2,[2]Sheet2!$I$2:$I$1273,[2]Sheet2!$D$2:$D$1273,0)</f>
        <v>Q2</v>
      </c>
      <c r="D2" s="4">
        <f>_xlfn.XLOOKUP(B2,[4]Sheet2!$B$2:$B$3154,[4]Sheet2!$F$2:$F$3154,0)</f>
        <v>0</v>
      </c>
      <c r="E2" s="4" t="e">
        <f>_xlfn.XLOOKUP(B2,[2]Sheet2!$E$2:$E$713,[2]Sheet2!$G$2:$G$713)</f>
        <v>#N/A</v>
      </c>
      <c r="F2" s="18">
        <v>46025</v>
      </c>
      <c r="G2" s="14">
        <v>0.38090277777777776</v>
      </c>
      <c r="H2" s="7" t="s">
        <v>5</v>
      </c>
      <c r="I2" s="2" t="str">
        <f>IF(AND(R2=0,S2=0),IF(C2="","Origin",C2),
IF(AND(R2&gt;0,S2=0),"Q4",
IF(AND(R2&lt;0,S2=0),"Q3",
IF(AND(R2&gt;=0,S2&lt;0),"Q4",
IF(AND(R2&gt;=0,S2&gt;0),"Q1",
IF(AND(R2&lt;0,S2&lt;=0),"Q3",
IF(AND(R2&lt;0,S2&gt;0),"Q2",
"")))))))</f>
        <v>Q4</v>
      </c>
      <c r="J2" s="2" t="str">
        <f>IF(I2=C2,"Match",IF(C2=0,"Not Found","Not Match"))</f>
        <v>Not Match</v>
      </c>
      <c r="K2" s="2">
        <f t="shared" ref="K2:K65" si="0">SQRT(R2^2+S2^2)</f>
        <v>0.3</v>
      </c>
      <c r="L2" s="2" t="e">
        <f t="shared" ref="L2:L65" si="1">IF(K2&lt;=E2,"Within Range","Over Range")</f>
        <v>#N/A</v>
      </c>
      <c r="M2" s="2" t="str">
        <f t="shared" ref="M2:M65" si="2">IF(AND(J2="Match",V2&lt;=0.8),"Digital Approve Hit",
IF(AND(J2="Match",V2&gt;0.8),"Failed but within quadrant",
IF(AND(J2="Not Match",V2&lt;=0.8),"Below 0.8 not in assigned quadrant",
"Assign quadrant hit")))</f>
        <v>Below 0.8 not in assigned quadrant</v>
      </c>
      <c r="N2" s="7">
        <v>17</v>
      </c>
      <c r="O2" s="7">
        <v>-0.6</v>
      </c>
      <c r="P2" s="7">
        <v>-1.7</v>
      </c>
      <c r="Q2" s="7">
        <v>0.36</v>
      </c>
      <c r="R2" s="7">
        <v>0</v>
      </c>
      <c r="S2" s="7">
        <v>-0.3</v>
      </c>
      <c r="T2" s="7">
        <v>0.34</v>
      </c>
      <c r="U2" s="7">
        <v>0.28000000000000003</v>
      </c>
      <c r="V2" s="7">
        <v>0.56999999999999995</v>
      </c>
      <c r="W2" s="7" t="s">
        <v>8</v>
      </c>
      <c r="X2" s="7" t="s">
        <v>9</v>
      </c>
      <c r="Y2" s="2" t="s">
        <v>719</v>
      </c>
      <c r="Z2" s="2" t="s">
        <v>721</v>
      </c>
    </row>
    <row r="3" spans="1:26" x14ac:dyDescent="0.35">
      <c r="A3" s="7" t="s">
        <v>1501</v>
      </c>
      <c r="B3" s="7" t="s">
        <v>951</v>
      </c>
      <c r="C3" s="4" t="str">
        <f>_xlfn.XLOOKUP(A3,[2]Sheet2!$I$2:$I$1273,[2]Sheet2!$D$2:$D$1273,0)</f>
        <v>Q3</v>
      </c>
      <c r="D3" s="4">
        <f>_xlfn.XLOOKUP(B3,[4]Sheet2!$B$2:$B$3154,[4]Sheet2!$F$2:$F$3154,0)</f>
        <v>0</v>
      </c>
      <c r="E3" s="4" t="e">
        <f>_xlfn.XLOOKUP(B3,[2]Sheet2!$E$2:$E$713,[2]Sheet2!$G$2:$G$713)</f>
        <v>#N/A</v>
      </c>
      <c r="F3" s="18">
        <v>46025</v>
      </c>
      <c r="G3" s="14">
        <v>0.48364583333333333</v>
      </c>
      <c r="H3" s="7" t="s">
        <v>11</v>
      </c>
      <c r="I3" s="2" t="str">
        <f t="shared" ref="I3:I66" si="3">IF(AND(R3=0,S3=0),IF(C3="","Origin",C3),
IF(AND(R3&gt;0,S3=0),"Q4",
IF(AND(R3&lt;0,S3=0),"Q3",
IF(AND(R3&gt;=0,S3&lt;0),"Q4",
IF(AND(R3&gt;=0,S3&gt;0),"Q1",
IF(AND(R3&lt;0,S3&lt;=0),"Q3",
IF(AND(R3&lt;0,S3&gt;0),"Q2",
"")))))))</f>
        <v>Q2</v>
      </c>
      <c r="J3" s="2" t="str">
        <f t="shared" ref="J3:J66" si="4">IF(I3=C3,"Match",IF(C3=0,"Not Found","Not Match"))</f>
        <v>Not Match</v>
      </c>
      <c r="K3" s="2">
        <f t="shared" si="0"/>
        <v>1.2369316876852983</v>
      </c>
      <c r="L3" s="2" t="e">
        <f t="shared" si="1"/>
        <v>#N/A</v>
      </c>
      <c r="M3" s="2" t="str">
        <f t="shared" si="2"/>
        <v>Assign quadrant hit</v>
      </c>
      <c r="N3" s="7">
        <v>39.4</v>
      </c>
      <c r="O3" s="7">
        <v>42.8</v>
      </c>
      <c r="P3" s="7">
        <v>27.7</v>
      </c>
      <c r="Q3" s="7">
        <v>-1.08</v>
      </c>
      <c r="R3" s="7">
        <v>-1.2</v>
      </c>
      <c r="S3" s="7">
        <v>0.3</v>
      </c>
      <c r="T3" s="7">
        <v>-0.34</v>
      </c>
      <c r="U3" s="7">
        <v>0.69</v>
      </c>
      <c r="V3" s="7">
        <v>1.32</v>
      </c>
      <c r="W3" s="7" t="s">
        <v>6</v>
      </c>
      <c r="X3" s="7" t="s">
        <v>12</v>
      </c>
      <c r="Y3" s="2" t="s">
        <v>719</v>
      </c>
      <c r="Z3" s="2" t="s">
        <v>721</v>
      </c>
    </row>
    <row r="4" spans="1:26" x14ac:dyDescent="0.35">
      <c r="A4" s="7" t="s">
        <v>1502</v>
      </c>
      <c r="B4" s="7" t="s">
        <v>952</v>
      </c>
      <c r="C4" s="4">
        <f>_xlfn.XLOOKUP(A4,[2]Sheet2!$I$2:$I$1273,[2]Sheet2!$D$2:$D$1273,0)</f>
        <v>0</v>
      </c>
      <c r="D4" s="4">
        <f>_xlfn.XLOOKUP(B4,[4]Sheet2!$B$2:$B$3154,[4]Sheet2!$F$2:$F$3154,0)</f>
        <v>0</v>
      </c>
      <c r="E4" s="4" t="e">
        <f>_xlfn.XLOOKUP(B4,[2]Sheet2!$E$2:$E$713,[2]Sheet2!$G$2:$G$713)</f>
        <v>#N/A</v>
      </c>
      <c r="F4" s="18">
        <v>46025</v>
      </c>
      <c r="G4" s="14">
        <v>0.62697916666666664</v>
      </c>
      <c r="H4" s="7" t="s">
        <v>4</v>
      </c>
      <c r="I4" s="2" t="str">
        <f t="shared" si="3"/>
        <v>Q1</v>
      </c>
      <c r="J4" s="2" t="str">
        <f t="shared" si="4"/>
        <v>Not Found</v>
      </c>
      <c r="K4" s="2">
        <f t="shared" si="0"/>
        <v>0.72111025509279791</v>
      </c>
      <c r="L4" s="2" t="e">
        <f t="shared" si="1"/>
        <v>#N/A</v>
      </c>
      <c r="M4" s="2" t="str">
        <f t="shared" si="2"/>
        <v>Assign quadrant hit</v>
      </c>
      <c r="N4" s="7">
        <v>20.6</v>
      </c>
      <c r="O4" s="7">
        <v>2.1</v>
      </c>
      <c r="P4" s="7">
        <v>-17.8</v>
      </c>
      <c r="Q4" s="7">
        <v>0.01</v>
      </c>
      <c r="R4" s="7">
        <v>0.6</v>
      </c>
      <c r="S4" s="7">
        <v>0.4</v>
      </c>
      <c r="T4" s="7">
        <v>-0.21</v>
      </c>
      <c r="U4" s="7">
        <v>0.75</v>
      </c>
      <c r="V4" s="7">
        <v>0.78</v>
      </c>
      <c r="W4" s="7" t="s">
        <v>13</v>
      </c>
      <c r="X4" s="7" t="s">
        <v>9</v>
      </c>
      <c r="Y4" s="2" t="s">
        <v>719</v>
      </c>
      <c r="Z4" s="2" t="s">
        <v>721</v>
      </c>
    </row>
    <row r="5" spans="1:26" x14ac:dyDescent="0.35">
      <c r="A5" s="7" t="s">
        <v>1503</v>
      </c>
      <c r="B5" s="7" t="s">
        <v>953</v>
      </c>
      <c r="C5" s="4">
        <f>_xlfn.XLOOKUP(A5,[2]Sheet2!$I$2:$I$1273,[2]Sheet2!$D$2:$D$1273,0)</f>
        <v>0</v>
      </c>
      <c r="D5" s="4">
        <f>_xlfn.XLOOKUP(B5,[4]Sheet2!$B$2:$B$3154,[4]Sheet2!$F$2:$F$3154,0)</f>
        <v>0</v>
      </c>
      <c r="E5" s="4" t="e">
        <f>_xlfn.XLOOKUP(B5,[2]Sheet2!$E$2:$E$713,[2]Sheet2!$G$2:$G$713)</f>
        <v>#N/A</v>
      </c>
      <c r="F5" s="18">
        <v>46025</v>
      </c>
      <c r="G5" s="14">
        <v>0.6950115740740741</v>
      </c>
      <c r="H5" s="7" t="s">
        <v>4</v>
      </c>
      <c r="I5" s="2" t="str">
        <f t="shared" si="3"/>
        <v>Q1</v>
      </c>
      <c r="J5" s="2" t="str">
        <f t="shared" si="4"/>
        <v>Not Found</v>
      </c>
      <c r="K5" s="2">
        <f t="shared" si="0"/>
        <v>0.3</v>
      </c>
      <c r="L5" s="2" t="e">
        <f t="shared" si="1"/>
        <v>#N/A</v>
      </c>
      <c r="M5" s="2" t="str">
        <f t="shared" si="2"/>
        <v>Assign quadrant hit</v>
      </c>
      <c r="N5" s="7">
        <v>20</v>
      </c>
      <c r="O5" s="7">
        <v>4.4000000000000004</v>
      </c>
      <c r="P5" s="7">
        <v>4.5999999999999996</v>
      </c>
      <c r="Q5" s="7">
        <v>-0.98</v>
      </c>
      <c r="R5" s="7">
        <v>0</v>
      </c>
      <c r="S5" s="7">
        <v>0.3</v>
      </c>
      <c r="T5" s="7">
        <v>0.22</v>
      </c>
      <c r="U5" s="7">
        <v>0.47</v>
      </c>
      <c r="V5" s="7">
        <v>1.1100000000000001</v>
      </c>
      <c r="W5" s="7" t="s">
        <v>6</v>
      </c>
      <c r="X5" s="7" t="s">
        <v>12</v>
      </c>
      <c r="Y5" s="2" t="s">
        <v>719</v>
      </c>
      <c r="Z5" s="2" t="s">
        <v>721</v>
      </c>
    </row>
    <row r="6" spans="1:26" x14ac:dyDescent="0.35">
      <c r="A6" s="7" t="s">
        <v>1501</v>
      </c>
      <c r="B6" s="7" t="s">
        <v>954</v>
      </c>
      <c r="C6" s="4" t="str">
        <f>_xlfn.XLOOKUP(A6,[2]Sheet2!$I$2:$I$1273,[2]Sheet2!$D$2:$D$1273,0)</f>
        <v>Q3</v>
      </c>
      <c r="D6" s="4">
        <f>_xlfn.XLOOKUP(B6,[4]Sheet2!$B$2:$B$3154,[4]Sheet2!$F$2:$F$3154,0)</f>
        <v>0</v>
      </c>
      <c r="E6" s="4" t="e">
        <f>_xlfn.XLOOKUP(B6,[2]Sheet2!$E$2:$E$713,[2]Sheet2!$G$2:$G$713)</f>
        <v>#N/A</v>
      </c>
      <c r="F6" s="18">
        <v>46025</v>
      </c>
      <c r="G6" s="14">
        <v>0.51059027777777777</v>
      </c>
      <c r="H6" s="7" t="s">
        <v>11</v>
      </c>
      <c r="I6" s="2" t="str">
        <f t="shared" si="3"/>
        <v>Q3</v>
      </c>
      <c r="J6" s="2" t="str">
        <f t="shared" si="4"/>
        <v>Match</v>
      </c>
      <c r="K6" s="2">
        <f t="shared" si="0"/>
        <v>1</v>
      </c>
      <c r="L6" s="2" t="e">
        <f t="shared" si="1"/>
        <v>#N/A</v>
      </c>
      <c r="M6" s="2" t="str">
        <f t="shared" si="2"/>
        <v>Digital Approve Hit</v>
      </c>
      <c r="N6" s="7">
        <v>40.5</v>
      </c>
      <c r="O6" s="7">
        <v>43.1</v>
      </c>
      <c r="P6" s="7">
        <v>27.3</v>
      </c>
      <c r="Q6" s="7">
        <v>-0.54</v>
      </c>
      <c r="R6" s="7">
        <v>-1</v>
      </c>
      <c r="S6" s="7">
        <v>0</v>
      </c>
      <c r="T6" s="7">
        <v>-0.34</v>
      </c>
      <c r="U6" s="7">
        <v>0.34</v>
      </c>
      <c r="V6" s="7">
        <v>0.72</v>
      </c>
      <c r="W6" s="7" t="s">
        <v>8</v>
      </c>
      <c r="X6" s="7" t="s">
        <v>12</v>
      </c>
      <c r="Y6" s="2" t="s">
        <v>719</v>
      </c>
      <c r="Z6" s="2" t="s">
        <v>721</v>
      </c>
    </row>
    <row r="7" spans="1:26" x14ac:dyDescent="0.35">
      <c r="A7" s="7" t="s">
        <v>1501</v>
      </c>
      <c r="B7" s="7" t="s">
        <v>955</v>
      </c>
      <c r="C7" s="4" t="str">
        <f>_xlfn.XLOOKUP(A7,[2]Sheet2!$I$2:$I$1273,[2]Sheet2!$D$2:$D$1273,0)</f>
        <v>Q3</v>
      </c>
      <c r="D7" s="4">
        <f>_xlfn.XLOOKUP(B7,[4]Sheet2!$B$2:$B$3154,[4]Sheet2!$F$2:$F$3154,0)</f>
        <v>0</v>
      </c>
      <c r="E7" s="4" t="e">
        <f>_xlfn.XLOOKUP(B7,[2]Sheet2!$E$2:$E$713,[2]Sheet2!$G$2:$G$713)</f>
        <v>#N/A</v>
      </c>
      <c r="F7" s="18">
        <v>46025</v>
      </c>
      <c r="G7" s="14">
        <v>0.3988888888888889</v>
      </c>
      <c r="H7" s="7" t="s">
        <v>11</v>
      </c>
      <c r="I7" s="2" t="str">
        <f t="shared" si="3"/>
        <v>Q3</v>
      </c>
      <c r="J7" s="2" t="str">
        <f t="shared" si="4"/>
        <v>Match</v>
      </c>
      <c r="K7" s="2">
        <f t="shared" si="0"/>
        <v>1.3</v>
      </c>
      <c r="L7" s="2" t="e">
        <f t="shared" si="1"/>
        <v>#N/A</v>
      </c>
      <c r="M7" s="2" t="str">
        <f t="shared" si="2"/>
        <v>Failed but within quadrant</v>
      </c>
      <c r="N7" s="7">
        <v>40.1</v>
      </c>
      <c r="O7" s="7">
        <v>42.8</v>
      </c>
      <c r="P7" s="7">
        <v>26.8</v>
      </c>
      <c r="Q7" s="7">
        <v>-0.7</v>
      </c>
      <c r="R7" s="7">
        <v>-1.2</v>
      </c>
      <c r="S7" s="7">
        <v>-0.5</v>
      </c>
      <c r="T7" s="7">
        <v>-0.53</v>
      </c>
      <c r="U7" s="7">
        <v>0.14000000000000001</v>
      </c>
      <c r="V7" s="7">
        <v>0.89</v>
      </c>
      <c r="W7" s="7" t="s">
        <v>13</v>
      </c>
      <c r="X7" s="7" t="s">
        <v>12</v>
      </c>
      <c r="Y7" s="2" t="s">
        <v>719</v>
      </c>
      <c r="Z7" s="2" t="s">
        <v>721</v>
      </c>
    </row>
    <row r="8" spans="1:26" x14ac:dyDescent="0.35">
      <c r="A8" s="7" t="s">
        <v>1504</v>
      </c>
      <c r="B8" s="7" t="s">
        <v>956</v>
      </c>
      <c r="C8" s="4">
        <f>_xlfn.XLOOKUP(A8,[2]Sheet2!$I$2:$I$1273,[2]Sheet2!$D$2:$D$1273,0)</f>
        <v>0</v>
      </c>
      <c r="D8" s="4">
        <f>_xlfn.XLOOKUP(B8,[4]Sheet2!$B$2:$B$3154,[4]Sheet2!$F$2:$F$3154,0)</f>
        <v>0</v>
      </c>
      <c r="E8" s="4" t="e">
        <f>_xlfn.XLOOKUP(B8,[2]Sheet2!$E$2:$E$713,[2]Sheet2!$G$2:$G$713)</f>
        <v>#N/A</v>
      </c>
      <c r="F8" s="18">
        <v>46025</v>
      </c>
      <c r="G8" s="14">
        <v>0.56533564814814818</v>
      </c>
      <c r="H8" s="7" t="s">
        <v>5</v>
      </c>
      <c r="I8" s="2" t="str">
        <f t="shared" si="3"/>
        <v>Q4</v>
      </c>
      <c r="J8" s="2" t="str">
        <f t="shared" si="4"/>
        <v>Not Found</v>
      </c>
      <c r="K8" s="2">
        <f t="shared" si="0"/>
        <v>0.28284271247461906</v>
      </c>
      <c r="L8" s="2" t="e">
        <f t="shared" si="1"/>
        <v>#N/A</v>
      </c>
      <c r="M8" s="2" t="str">
        <f t="shared" si="2"/>
        <v>Assign quadrant hit</v>
      </c>
      <c r="N8" s="7">
        <v>15.3</v>
      </c>
      <c r="O8" s="7">
        <v>-0.2</v>
      </c>
      <c r="P8" s="7">
        <v>-3.3</v>
      </c>
      <c r="Q8" s="7">
        <v>-0.92</v>
      </c>
      <c r="R8" s="7">
        <v>0.2</v>
      </c>
      <c r="S8" s="7">
        <v>-0.2</v>
      </c>
      <c r="T8" s="7">
        <v>0.31</v>
      </c>
      <c r="U8" s="7">
        <v>0.39</v>
      </c>
      <c r="V8" s="7">
        <v>1.05</v>
      </c>
      <c r="W8" s="7" t="s">
        <v>6</v>
      </c>
      <c r="X8" s="7" t="s">
        <v>9</v>
      </c>
      <c r="Y8" s="2" t="s">
        <v>719</v>
      </c>
      <c r="Z8" s="2" t="s">
        <v>721</v>
      </c>
    </row>
    <row r="9" spans="1:26" x14ac:dyDescent="0.35">
      <c r="A9" s="7" t="s">
        <v>1505</v>
      </c>
      <c r="B9" s="7" t="s">
        <v>957</v>
      </c>
      <c r="C9" s="4" t="str">
        <f>_xlfn.XLOOKUP(A9,[2]Sheet2!$I$2:$I$1273,[2]Sheet2!$D$2:$D$1273,0)</f>
        <v>Q4</v>
      </c>
      <c r="D9" s="4">
        <f>_xlfn.XLOOKUP(B9,[4]Sheet2!$B$2:$B$3154,[4]Sheet2!$F$2:$F$3154,0)</f>
        <v>0</v>
      </c>
      <c r="E9" s="4" t="e">
        <f>_xlfn.XLOOKUP(B9,[2]Sheet2!$E$2:$E$713,[2]Sheet2!$G$2:$G$713)</f>
        <v>#N/A</v>
      </c>
      <c r="F9" s="18">
        <v>46025</v>
      </c>
      <c r="G9" s="14">
        <v>0.68298611111111107</v>
      </c>
      <c r="H9" s="7" t="s">
        <v>5</v>
      </c>
      <c r="I9" s="2" t="str">
        <f t="shared" si="3"/>
        <v>Q4</v>
      </c>
      <c r="J9" s="2" t="str">
        <f t="shared" si="4"/>
        <v>Match</v>
      </c>
      <c r="K9" s="2">
        <f t="shared" si="0"/>
        <v>0</v>
      </c>
      <c r="L9" s="2" t="e">
        <f t="shared" si="1"/>
        <v>#N/A</v>
      </c>
      <c r="M9" s="2" t="str">
        <f t="shared" si="2"/>
        <v>Failed but within quadrant</v>
      </c>
      <c r="N9" s="7">
        <v>16.399999999999999</v>
      </c>
      <c r="O9" s="7">
        <v>-0.9</v>
      </c>
      <c r="P9" s="7">
        <v>-3</v>
      </c>
      <c r="Q9" s="7">
        <v>-1.4</v>
      </c>
      <c r="R9" s="7">
        <v>0</v>
      </c>
      <c r="S9" s="7">
        <v>0</v>
      </c>
      <c r="T9" s="7">
        <v>-0.03</v>
      </c>
      <c r="U9" s="7">
        <v>0.06</v>
      </c>
      <c r="V9" s="7">
        <v>1.4</v>
      </c>
      <c r="W9" s="7" t="s">
        <v>6</v>
      </c>
      <c r="X9" s="7" t="s">
        <v>9</v>
      </c>
      <c r="Y9" s="2" t="s">
        <v>719</v>
      </c>
      <c r="Z9" s="2" t="s">
        <v>721</v>
      </c>
    </row>
    <row r="10" spans="1:26" x14ac:dyDescent="0.35">
      <c r="A10" s="7" t="s">
        <v>1506</v>
      </c>
      <c r="B10" s="7" t="s">
        <v>958</v>
      </c>
      <c r="C10" s="4" t="str">
        <f>_xlfn.XLOOKUP(A10,[2]Sheet2!$I$2:$I$1273,[2]Sheet2!$D$2:$D$1273,0)</f>
        <v>Q1</v>
      </c>
      <c r="D10" s="4">
        <f>_xlfn.XLOOKUP(B10,[4]Sheet2!$B$2:$B$3154,[4]Sheet2!$F$2:$F$3154,0)</f>
        <v>0</v>
      </c>
      <c r="E10" s="4" t="e">
        <f>_xlfn.XLOOKUP(B10,[2]Sheet2!$E$2:$E$713,[2]Sheet2!$G$2:$G$713)</f>
        <v>#N/A</v>
      </c>
      <c r="F10" s="18">
        <v>46027</v>
      </c>
      <c r="G10" s="14">
        <v>0.58084490740740746</v>
      </c>
      <c r="H10" s="7" t="s">
        <v>4</v>
      </c>
      <c r="I10" s="2" t="str">
        <f t="shared" si="3"/>
        <v>Q1</v>
      </c>
      <c r="J10" s="2" t="str">
        <f t="shared" si="4"/>
        <v>Match</v>
      </c>
      <c r="K10" s="2">
        <f t="shared" si="0"/>
        <v>0</v>
      </c>
      <c r="L10" s="2" t="e">
        <f t="shared" si="1"/>
        <v>#N/A</v>
      </c>
      <c r="M10" s="2" t="str">
        <f t="shared" si="2"/>
        <v>Digital Approve Hit</v>
      </c>
      <c r="N10" s="7">
        <v>15.9</v>
      </c>
      <c r="O10" s="7">
        <v>-0.4</v>
      </c>
      <c r="P10" s="7">
        <v>-1.7</v>
      </c>
      <c r="Q10" s="7">
        <v>0.31</v>
      </c>
      <c r="R10" s="7">
        <v>0</v>
      </c>
      <c r="S10" s="7">
        <v>0</v>
      </c>
      <c r="T10" s="7">
        <v>-0.12</v>
      </c>
      <c r="U10" s="7">
        <v>0.01</v>
      </c>
      <c r="V10" s="7">
        <v>0.34</v>
      </c>
      <c r="W10" s="7" t="s">
        <v>8</v>
      </c>
      <c r="X10" s="7" t="s">
        <v>9</v>
      </c>
      <c r="Y10" s="2" t="s">
        <v>719</v>
      </c>
      <c r="Z10" s="2" t="s">
        <v>721</v>
      </c>
    </row>
    <row r="11" spans="1:26" x14ac:dyDescent="0.35">
      <c r="A11" s="7" t="s">
        <v>1508</v>
      </c>
      <c r="B11" s="7" t="s">
        <v>28</v>
      </c>
      <c r="C11" s="4" t="str">
        <f>_xlfn.XLOOKUP(A11,[2]Sheet2!$I$2:$I$1273,[2]Sheet2!$D$2:$D$1273,0)</f>
        <v>Q2</v>
      </c>
      <c r="D11" s="4">
        <f>_xlfn.XLOOKUP(B11,[4]Sheet2!$B$2:$B$3154,[4]Sheet2!$F$2:$F$3154,0)</f>
        <v>0</v>
      </c>
      <c r="E11" s="17" t="e">
        <f>_xlfn.XLOOKUP(B11,[2]Sheet2!$E$2:$E$713,[2]Sheet2!$G$2:$G$713)</f>
        <v>#N/A</v>
      </c>
      <c r="F11" s="18">
        <v>46027</v>
      </c>
      <c r="G11" s="14">
        <v>0.65831018518518514</v>
      </c>
      <c r="H11" s="7" t="s">
        <v>5</v>
      </c>
      <c r="I11" s="2" t="str">
        <f t="shared" si="3"/>
        <v>Q4</v>
      </c>
      <c r="J11" s="2" t="str">
        <f t="shared" si="4"/>
        <v>Not Match</v>
      </c>
      <c r="K11" s="16">
        <f t="shared" si="0"/>
        <v>0.7</v>
      </c>
      <c r="L11" s="16" t="e">
        <f t="shared" si="1"/>
        <v>#N/A</v>
      </c>
      <c r="M11" s="16" t="str">
        <f t="shared" si="2"/>
        <v>Below 0.8 not in assigned quadrant</v>
      </c>
      <c r="N11" s="7">
        <v>18.600000000000001</v>
      </c>
      <c r="O11" s="7">
        <v>-0.8</v>
      </c>
      <c r="P11" s="7">
        <v>-9.8000000000000007</v>
      </c>
      <c r="Q11" s="7">
        <v>0.38</v>
      </c>
      <c r="R11" s="7">
        <v>0</v>
      </c>
      <c r="S11" s="7">
        <v>-0.7</v>
      </c>
      <c r="T11" s="7">
        <v>0.66</v>
      </c>
      <c r="U11" s="7">
        <v>0.16</v>
      </c>
      <c r="V11" s="7">
        <v>0.78</v>
      </c>
      <c r="W11" s="7" t="s">
        <v>13</v>
      </c>
      <c r="X11" s="7" t="s">
        <v>9</v>
      </c>
      <c r="Y11" s="2" t="s">
        <v>719</v>
      </c>
      <c r="Z11" s="2" t="s">
        <v>721</v>
      </c>
    </row>
    <row r="12" spans="1:26" x14ac:dyDescent="0.35">
      <c r="A12" s="7" t="s">
        <v>1501</v>
      </c>
      <c r="B12" s="7" t="s">
        <v>29</v>
      </c>
      <c r="C12" s="4" t="str">
        <f>_xlfn.XLOOKUP(A12,[2]Sheet2!$I$2:$I$1273,[2]Sheet2!$D$2:$D$1273,0)</f>
        <v>Q3</v>
      </c>
      <c r="D12" s="4">
        <f>_xlfn.XLOOKUP(B12,[4]Sheet2!$B$2:$B$3154,[4]Sheet2!$F$2:$F$3154,0)</f>
        <v>0</v>
      </c>
      <c r="E12" s="4" t="e">
        <f>_xlfn.XLOOKUP(B12,[2]Sheet2!$E$2:$E$713,[2]Sheet2!$G$2:$G$713)</f>
        <v>#N/A</v>
      </c>
      <c r="F12" s="18">
        <v>46027</v>
      </c>
      <c r="G12" s="14">
        <v>0.7056365740740741</v>
      </c>
      <c r="H12" s="7" t="s">
        <v>11</v>
      </c>
      <c r="I12" s="2" t="str">
        <f t="shared" si="3"/>
        <v>Q2</v>
      </c>
      <c r="J12" s="2" t="str">
        <f t="shared" si="4"/>
        <v>Not Match</v>
      </c>
      <c r="K12" s="2">
        <f t="shared" si="0"/>
        <v>1.3038404810405297</v>
      </c>
      <c r="L12" s="2" t="e">
        <f t="shared" si="1"/>
        <v>#N/A</v>
      </c>
      <c r="M12" s="2" t="str">
        <f t="shared" si="2"/>
        <v>Assign quadrant hit</v>
      </c>
      <c r="N12" s="7">
        <v>39.799999999999997</v>
      </c>
      <c r="O12" s="7">
        <v>42.8</v>
      </c>
      <c r="P12" s="7">
        <v>27.5</v>
      </c>
      <c r="Q12" s="7">
        <v>-0.85</v>
      </c>
      <c r="R12" s="7">
        <v>-1.3</v>
      </c>
      <c r="S12" s="7">
        <v>0.1</v>
      </c>
      <c r="T12" s="7">
        <v>-0.4</v>
      </c>
      <c r="U12" s="7">
        <v>0.63</v>
      </c>
      <c r="V12" s="7">
        <v>1.1299999999999999</v>
      </c>
      <c r="W12" s="7" t="s">
        <v>6</v>
      </c>
      <c r="X12" s="7" t="s">
        <v>12</v>
      </c>
      <c r="Y12" s="2" t="s">
        <v>719</v>
      </c>
      <c r="Z12" s="2" t="s">
        <v>721</v>
      </c>
    </row>
    <row r="13" spans="1:26" x14ac:dyDescent="0.35">
      <c r="A13" s="7" t="s">
        <v>1509</v>
      </c>
      <c r="B13" s="7" t="s">
        <v>30</v>
      </c>
      <c r="C13" s="4" t="str">
        <f>_xlfn.XLOOKUP(A13,[2]Sheet2!$I$2:$I$1273,[2]Sheet2!$D$2:$D$1273,0)</f>
        <v>Q2</v>
      </c>
      <c r="D13" s="4">
        <f>_xlfn.XLOOKUP(B13,[4]Sheet2!$B$2:$B$3154,[4]Sheet2!$F$2:$F$3154,0)</f>
        <v>0</v>
      </c>
      <c r="E13" s="4" t="e">
        <f>_xlfn.XLOOKUP(B13,[2]Sheet2!$E$2:$E$713,[2]Sheet2!$G$2:$G$713)</f>
        <v>#N/A</v>
      </c>
      <c r="F13" s="18">
        <v>46027</v>
      </c>
      <c r="G13" s="14">
        <v>0.70011574074074079</v>
      </c>
      <c r="H13" s="7" t="s">
        <v>4</v>
      </c>
      <c r="I13" s="2" t="str">
        <f t="shared" si="3"/>
        <v>Q4</v>
      </c>
      <c r="J13" s="2" t="str">
        <f t="shared" si="4"/>
        <v>Not Match</v>
      </c>
      <c r="K13" s="2">
        <f t="shared" si="0"/>
        <v>0.1</v>
      </c>
      <c r="L13" s="2" t="e">
        <f t="shared" si="1"/>
        <v>#N/A</v>
      </c>
      <c r="M13" s="2" t="str">
        <f t="shared" si="2"/>
        <v>Below 0.8 not in assigned quadrant</v>
      </c>
      <c r="N13" s="7">
        <v>17.100000000000001</v>
      </c>
      <c r="O13" s="7">
        <v>-1.1000000000000001</v>
      </c>
      <c r="P13" s="7">
        <v>-2</v>
      </c>
      <c r="Q13" s="7">
        <v>-0.23</v>
      </c>
      <c r="R13" s="7">
        <v>0</v>
      </c>
      <c r="S13" s="7">
        <v>-0.1</v>
      </c>
      <c r="T13" s="7">
        <v>0.15</v>
      </c>
      <c r="U13" s="7">
        <v>0.04</v>
      </c>
      <c r="V13" s="7">
        <v>0.28000000000000003</v>
      </c>
      <c r="W13" s="7" t="s">
        <v>8</v>
      </c>
      <c r="X13" s="7" t="s">
        <v>9</v>
      </c>
      <c r="Y13" s="2" t="s">
        <v>719</v>
      </c>
      <c r="Z13" s="2" t="s">
        <v>721</v>
      </c>
    </row>
    <row r="14" spans="1:26" x14ac:dyDescent="0.35">
      <c r="A14" s="7" t="s">
        <v>1507</v>
      </c>
      <c r="B14" s="7" t="s">
        <v>27</v>
      </c>
      <c r="C14" s="4" t="str">
        <f>_xlfn.XLOOKUP(A14,[2]Sheet2!$I$2:$I$1273,[2]Sheet2!$D$2:$D$1273,0)</f>
        <v>Q3</v>
      </c>
      <c r="D14" s="4">
        <f>_xlfn.XLOOKUP(B14,[4]Sheet2!$B$2:$B$3154,[4]Sheet2!$F$2:$F$3154,0)</f>
        <v>0</v>
      </c>
      <c r="E14" s="4" t="e">
        <f>_xlfn.XLOOKUP(B14,[2]Sheet2!$E$2:$E$713,[2]Sheet2!$G$2:$G$713)</f>
        <v>#N/A</v>
      </c>
      <c r="F14" s="18">
        <v>46027</v>
      </c>
      <c r="G14" s="14">
        <v>0.63452546296296297</v>
      </c>
      <c r="H14" s="7" t="s">
        <v>11</v>
      </c>
      <c r="I14" s="2" t="str">
        <f t="shared" si="3"/>
        <v>Q4</v>
      </c>
      <c r="J14" s="2" t="str">
        <f t="shared" si="4"/>
        <v>Not Match</v>
      </c>
      <c r="K14" s="2">
        <f t="shared" si="0"/>
        <v>0.90553851381374173</v>
      </c>
      <c r="L14" s="2" t="e">
        <f t="shared" si="1"/>
        <v>#N/A</v>
      </c>
      <c r="M14" s="2" t="str">
        <f t="shared" si="2"/>
        <v>Assign quadrant hit</v>
      </c>
      <c r="N14" s="7">
        <v>15.5</v>
      </c>
      <c r="O14" s="7">
        <v>-0.9</v>
      </c>
      <c r="P14" s="7">
        <v>-1.7</v>
      </c>
      <c r="Q14" s="7">
        <v>-0.21</v>
      </c>
      <c r="R14" s="7">
        <v>0.1</v>
      </c>
      <c r="S14" s="7">
        <v>-0.9</v>
      </c>
      <c r="T14" s="7">
        <v>0.87</v>
      </c>
      <c r="U14" s="7">
        <v>1.05</v>
      </c>
      <c r="V14" s="7">
        <v>1.38</v>
      </c>
      <c r="W14" s="7" t="s">
        <v>6</v>
      </c>
      <c r="X14" s="7" t="s">
        <v>7</v>
      </c>
      <c r="Y14" s="2" t="s">
        <v>719</v>
      </c>
      <c r="Z14" s="2" t="s">
        <v>721</v>
      </c>
    </row>
    <row r="15" spans="1:26" x14ac:dyDescent="0.35">
      <c r="A15" s="7" t="s">
        <v>1501</v>
      </c>
      <c r="B15" s="7" t="s">
        <v>31</v>
      </c>
      <c r="C15" s="4" t="str">
        <f>_xlfn.XLOOKUP(A15,[2]Sheet2!$I$2:$I$1273,[2]Sheet2!$D$2:$D$1273,0)</f>
        <v>Q3</v>
      </c>
      <c r="D15" s="4">
        <f>_xlfn.XLOOKUP(B15,[4]Sheet2!$B$2:$B$3154,[4]Sheet2!$F$2:$F$3154,0)</f>
        <v>0</v>
      </c>
      <c r="E15" s="4" t="e">
        <f>_xlfn.XLOOKUP(B15,[2]Sheet2!$E$2:$E$713,[2]Sheet2!$G$2:$G$713)</f>
        <v>#N/A</v>
      </c>
      <c r="F15" s="18">
        <v>46027</v>
      </c>
      <c r="G15" s="14">
        <v>0.74104166666666671</v>
      </c>
      <c r="H15" s="7" t="s">
        <v>11</v>
      </c>
      <c r="I15" s="2" t="str">
        <f t="shared" si="3"/>
        <v>Q2</v>
      </c>
      <c r="J15" s="2" t="str">
        <f t="shared" si="4"/>
        <v>Not Match</v>
      </c>
      <c r="K15" s="2">
        <f t="shared" si="0"/>
        <v>0.92195444572928864</v>
      </c>
      <c r="L15" s="2" t="e">
        <f t="shared" si="1"/>
        <v>#N/A</v>
      </c>
      <c r="M15" s="2" t="str">
        <f t="shared" si="2"/>
        <v>Below 0.8 not in assigned quadrant</v>
      </c>
      <c r="N15" s="7">
        <v>41.2</v>
      </c>
      <c r="O15" s="7">
        <v>43.5</v>
      </c>
      <c r="P15" s="7">
        <v>28.1</v>
      </c>
      <c r="Q15" s="7">
        <v>-0.16</v>
      </c>
      <c r="R15" s="7">
        <v>-0.6</v>
      </c>
      <c r="S15" s="7">
        <v>0.7</v>
      </c>
      <c r="T15" s="7">
        <v>-0.06</v>
      </c>
      <c r="U15" s="7">
        <v>0.72</v>
      </c>
      <c r="V15" s="7">
        <v>0.74</v>
      </c>
      <c r="W15" s="7" t="s">
        <v>8</v>
      </c>
      <c r="X15" s="7" t="s">
        <v>12</v>
      </c>
      <c r="Y15" s="2" t="s">
        <v>719</v>
      </c>
      <c r="Z15" s="2" t="s">
        <v>721</v>
      </c>
    </row>
    <row r="16" spans="1:26" x14ac:dyDescent="0.35">
      <c r="A16" s="7" t="s">
        <v>1510</v>
      </c>
      <c r="B16" s="7" t="s">
        <v>32</v>
      </c>
      <c r="C16" s="4">
        <f>_xlfn.XLOOKUP(A16,[2]Sheet2!$I$2:$I$1273,[2]Sheet2!$D$2:$D$1273,0)</f>
        <v>0</v>
      </c>
      <c r="D16" s="4">
        <f>_xlfn.XLOOKUP(B16,[4]Sheet2!$B$2:$B$3154,[4]Sheet2!$F$2:$F$3154,0)</f>
        <v>0</v>
      </c>
      <c r="E16" s="4" t="e">
        <f>_xlfn.XLOOKUP(B16,[2]Sheet2!$E$2:$E$713,[2]Sheet2!$G$2:$G$713)</f>
        <v>#N/A</v>
      </c>
      <c r="F16" s="18">
        <v>46027</v>
      </c>
      <c r="G16" s="14">
        <v>0.78143518518518518</v>
      </c>
      <c r="H16" s="7" t="s">
        <v>11</v>
      </c>
      <c r="I16" s="2" t="str">
        <f t="shared" si="3"/>
        <v>Q1</v>
      </c>
      <c r="J16" s="2" t="str">
        <f t="shared" si="4"/>
        <v>Not Found</v>
      </c>
      <c r="K16" s="2">
        <f t="shared" si="0"/>
        <v>0.14142135623730953</v>
      </c>
      <c r="L16" s="2" t="e">
        <f t="shared" si="1"/>
        <v>#N/A</v>
      </c>
      <c r="M16" s="2" t="str">
        <f t="shared" si="2"/>
        <v>Assign quadrant hit</v>
      </c>
      <c r="N16" s="7">
        <v>16.5</v>
      </c>
      <c r="O16" s="7">
        <v>-0.1</v>
      </c>
      <c r="P16" s="7">
        <v>-1.1000000000000001</v>
      </c>
      <c r="Q16" s="7">
        <v>-0.28000000000000003</v>
      </c>
      <c r="R16" s="7">
        <v>0.1</v>
      </c>
      <c r="S16" s="7">
        <v>0.1</v>
      </c>
      <c r="T16" s="7">
        <v>-0.27</v>
      </c>
      <c r="U16" s="7">
        <v>0.14000000000000001</v>
      </c>
      <c r="V16" s="7">
        <v>0.41</v>
      </c>
      <c r="W16" s="7" t="s">
        <v>8</v>
      </c>
      <c r="X16" s="7" t="s">
        <v>9</v>
      </c>
      <c r="Y16" s="2" t="s">
        <v>719</v>
      </c>
      <c r="Z16" s="2" t="s">
        <v>721</v>
      </c>
    </row>
    <row r="17" spans="1:26" x14ac:dyDescent="0.35">
      <c r="A17" s="7" t="s">
        <v>1511</v>
      </c>
      <c r="B17" s="7" t="s">
        <v>33</v>
      </c>
      <c r="C17" s="4">
        <f>_xlfn.XLOOKUP(A17,[2]Sheet2!$I$2:$I$1273,[2]Sheet2!$D$2:$D$1273,0)</f>
        <v>0</v>
      </c>
      <c r="D17" s="4">
        <f>_xlfn.XLOOKUP(B17,[4]Sheet2!$B$2:$B$3154,[4]Sheet2!$F$2:$F$3154,0)</f>
        <v>0</v>
      </c>
      <c r="E17" s="4" t="e">
        <f>_xlfn.XLOOKUP(B17,[2]Sheet2!$E$2:$E$713,[2]Sheet2!$G$2:$G$713)</f>
        <v>#N/A</v>
      </c>
      <c r="F17" s="18">
        <v>46027</v>
      </c>
      <c r="G17" s="14">
        <v>0.86629629629629634</v>
      </c>
      <c r="H17" s="7" t="s">
        <v>4</v>
      </c>
      <c r="I17" s="2" t="str">
        <f t="shared" si="3"/>
        <v>Q4</v>
      </c>
      <c r="J17" s="2" t="str">
        <f t="shared" si="4"/>
        <v>Not Found</v>
      </c>
      <c r="K17" s="2">
        <f t="shared" si="0"/>
        <v>0.56568542494923812</v>
      </c>
      <c r="L17" s="2" t="e">
        <f t="shared" si="1"/>
        <v>#N/A</v>
      </c>
      <c r="M17" s="2" t="str">
        <f t="shared" si="2"/>
        <v>Assign quadrant hit</v>
      </c>
      <c r="N17" s="7">
        <v>19</v>
      </c>
      <c r="O17" s="7">
        <v>0.4</v>
      </c>
      <c r="P17" s="7">
        <v>-11.2</v>
      </c>
      <c r="Q17" s="7">
        <v>0.18</v>
      </c>
      <c r="R17" s="7">
        <v>0.4</v>
      </c>
      <c r="S17" s="7">
        <v>-0.4</v>
      </c>
      <c r="T17" s="7">
        <v>0.37</v>
      </c>
      <c r="U17" s="7">
        <v>0.52</v>
      </c>
      <c r="V17" s="7">
        <v>0.66</v>
      </c>
      <c r="W17" s="7" t="s">
        <v>8</v>
      </c>
      <c r="X17" s="7" t="s">
        <v>9</v>
      </c>
      <c r="Y17" s="2" t="s">
        <v>719</v>
      </c>
      <c r="Z17" s="2" t="s">
        <v>721</v>
      </c>
    </row>
    <row r="18" spans="1:26" x14ac:dyDescent="0.35">
      <c r="A18" s="7" t="s">
        <v>1512</v>
      </c>
      <c r="B18" s="7" t="s">
        <v>34</v>
      </c>
      <c r="C18" s="4" t="str">
        <f>_xlfn.XLOOKUP(A18,[2]Sheet2!$I$2:$I$1273,[2]Sheet2!$D$2:$D$1273,0)</f>
        <v>Q1</v>
      </c>
      <c r="D18" s="4">
        <f>_xlfn.XLOOKUP(B18,[4]Sheet2!$B$2:$B$3154,[4]Sheet2!$F$2:$F$3154,0)</f>
        <v>0</v>
      </c>
      <c r="E18" s="4" t="e">
        <f>_xlfn.XLOOKUP(B18,[2]Sheet2!$E$2:$E$713,[2]Sheet2!$G$2:$G$713)</f>
        <v>#N/A</v>
      </c>
      <c r="F18" s="18">
        <v>46027</v>
      </c>
      <c r="G18" s="14">
        <v>0.87109953703703702</v>
      </c>
      <c r="H18" s="7" t="s">
        <v>14</v>
      </c>
      <c r="I18" s="2" t="str">
        <f t="shared" si="3"/>
        <v>Q1</v>
      </c>
      <c r="J18" s="2" t="str">
        <f t="shared" si="4"/>
        <v>Match</v>
      </c>
      <c r="K18" s="2">
        <f t="shared" si="0"/>
        <v>0.36055512754639896</v>
      </c>
      <c r="L18" s="2" t="e">
        <f t="shared" si="1"/>
        <v>#N/A</v>
      </c>
      <c r="M18" s="2" t="str">
        <f t="shared" si="2"/>
        <v>Digital Approve Hit</v>
      </c>
      <c r="N18" s="7">
        <v>20.6</v>
      </c>
      <c r="O18" s="7">
        <v>6.9</v>
      </c>
      <c r="P18" s="7">
        <v>2.5</v>
      </c>
      <c r="Q18" s="7">
        <v>-7.0000000000000007E-2</v>
      </c>
      <c r="R18" s="7">
        <v>0.2</v>
      </c>
      <c r="S18" s="7">
        <v>0.3</v>
      </c>
      <c r="T18" s="7">
        <v>0.3</v>
      </c>
      <c r="U18" s="7">
        <v>0.28999999999999998</v>
      </c>
      <c r="V18" s="7">
        <v>0.42</v>
      </c>
      <c r="W18" s="7" t="s">
        <v>8</v>
      </c>
      <c r="X18" s="7" t="s">
        <v>12</v>
      </c>
      <c r="Y18" s="2" t="s">
        <v>719</v>
      </c>
      <c r="Z18" s="2" t="s">
        <v>721</v>
      </c>
    </row>
    <row r="19" spans="1:26" x14ac:dyDescent="0.35">
      <c r="A19" s="7" t="s">
        <v>1513</v>
      </c>
      <c r="B19" s="7" t="s">
        <v>35</v>
      </c>
      <c r="C19" s="4">
        <f>_xlfn.XLOOKUP(A19,[2]Sheet2!$I$2:$I$1273,[2]Sheet2!$D$2:$D$1273,0)</f>
        <v>0</v>
      </c>
      <c r="D19" s="4">
        <f>_xlfn.XLOOKUP(B19,[4]Sheet2!$B$2:$B$3154,[4]Sheet2!$F$2:$F$3154,0)</f>
        <v>0</v>
      </c>
      <c r="E19" s="4" t="e">
        <f>_xlfn.XLOOKUP(B19,[2]Sheet2!$E$2:$E$713,[2]Sheet2!$G$2:$G$713)</f>
        <v>#N/A</v>
      </c>
      <c r="F19" s="18">
        <v>46028</v>
      </c>
      <c r="G19" s="14">
        <v>2.9907407407407407E-2</v>
      </c>
      <c r="H19" s="7" t="s">
        <v>5</v>
      </c>
      <c r="I19" s="2" t="str">
        <f t="shared" si="3"/>
        <v>Q1</v>
      </c>
      <c r="J19" s="2" t="str">
        <f t="shared" si="4"/>
        <v>Not Found</v>
      </c>
      <c r="K19" s="2">
        <f t="shared" si="0"/>
        <v>0.31622776601683794</v>
      </c>
      <c r="L19" s="2" t="e">
        <f t="shared" si="1"/>
        <v>#N/A</v>
      </c>
      <c r="M19" s="2" t="str">
        <f t="shared" si="2"/>
        <v>Assign quadrant hit</v>
      </c>
      <c r="N19" s="7">
        <v>32.9</v>
      </c>
      <c r="O19" s="7">
        <v>-7.7</v>
      </c>
      <c r="P19" s="7">
        <v>4.4000000000000004</v>
      </c>
      <c r="Q19" s="7">
        <v>-0.3</v>
      </c>
      <c r="R19" s="7">
        <v>0.1</v>
      </c>
      <c r="S19" s="7">
        <v>0.3</v>
      </c>
      <c r="T19" s="7">
        <v>0.01</v>
      </c>
      <c r="U19" s="7">
        <v>-0.36</v>
      </c>
      <c r="V19" s="7">
        <v>0.47</v>
      </c>
      <c r="W19" s="7" t="s">
        <v>8</v>
      </c>
      <c r="X19" s="7" t="s">
        <v>12</v>
      </c>
      <c r="Y19" s="2" t="s">
        <v>719</v>
      </c>
      <c r="Z19" s="2" t="s">
        <v>721</v>
      </c>
    </row>
    <row r="20" spans="1:26" x14ac:dyDescent="0.35">
      <c r="A20" s="7" t="s">
        <v>1514</v>
      </c>
      <c r="B20" s="7" t="s">
        <v>36</v>
      </c>
      <c r="C20" s="4">
        <f>_xlfn.XLOOKUP(A20,[2]Sheet2!$I$2:$I$1273,[2]Sheet2!$D$2:$D$1273,0)</f>
        <v>0</v>
      </c>
      <c r="D20" s="4">
        <f>_xlfn.XLOOKUP(B20,[4]Sheet2!$B$2:$B$3154,[4]Sheet2!$F$2:$F$3154,0)</f>
        <v>0</v>
      </c>
      <c r="E20" s="4" t="e">
        <f>_xlfn.XLOOKUP(B20,[2]Sheet2!$E$2:$E$713,[2]Sheet2!$G$2:$G$713)</f>
        <v>#N/A</v>
      </c>
      <c r="F20" s="18">
        <v>46028</v>
      </c>
      <c r="G20" s="14">
        <v>0.13782407407407407</v>
      </c>
      <c r="H20" s="7" t="s">
        <v>11</v>
      </c>
      <c r="I20" s="2" t="str">
        <f t="shared" si="3"/>
        <v>Q4</v>
      </c>
      <c r="J20" s="2" t="str">
        <f t="shared" si="4"/>
        <v>Not Found</v>
      </c>
      <c r="K20" s="2">
        <f t="shared" si="0"/>
        <v>0.7</v>
      </c>
      <c r="L20" s="2" t="e">
        <f t="shared" si="1"/>
        <v>#N/A</v>
      </c>
      <c r="M20" s="2" t="str">
        <f t="shared" si="2"/>
        <v>Assign quadrant hit</v>
      </c>
      <c r="N20" s="7">
        <v>15.4</v>
      </c>
      <c r="O20" s="7">
        <v>-0.1</v>
      </c>
      <c r="P20" s="7">
        <v>-4</v>
      </c>
      <c r="Q20" s="7">
        <v>-0.14000000000000001</v>
      </c>
      <c r="R20" s="7">
        <v>0</v>
      </c>
      <c r="S20" s="7">
        <v>-0.7</v>
      </c>
      <c r="T20" s="7">
        <v>0.94</v>
      </c>
      <c r="U20" s="7">
        <v>0.06</v>
      </c>
      <c r="V20" s="7">
        <v>0.96</v>
      </c>
      <c r="W20" s="7" t="s">
        <v>13</v>
      </c>
      <c r="X20" s="7" t="s">
        <v>9</v>
      </c>
      <c r="Y20" s="2" t="s">
        <v>719</v>
      </c>
      <c r="Z20" s="2" t="s">
        <v>721</v>
      </c>
    </row>
    <row r="21" spans="1:26" x14ac:dyDescent="0.35">
      <c r="A21" s="7" t="s">
        <v>1515</v>
      </c>
      <c r="B21" s="7" t="s">
        <v>37</v>
      </c>
      <c r="C21" s="4" t="str">
        <f>_xlfn.XLOOKUP(A21,[2]Sheet2!$I$2:$I$1273,[2]Sheet2!$D$2:$D$1273,0)</f>
        <v>Q3</v>
      </c>
      <c r="D21" s="4">
        <f>_xlfn.XLOOKUP(B21,[4]Sheet2!$B$2:$B$3154,[4]Sheet2!$F$2:$F$3154,0)</f>
        <v>0</v>
      </c>
      <c r="E21" s="4" t="e">
        <f>_xlfn.XLOOKUP(B21,[2]Sheet2!$E$2:$E$713,[2]Sheet2!$G$2:$G$713)</f>
        <v>#N/A</v>
      </c>
      <c r="F21" s="18">
        <v>46028</v>
      </c>
      <c r="G21" s="14">
        <v>0.14144675925925926</v>
      </c>
      <c r="H21" s="7" t="s">
        <v>10</v>
      </c>
      <c r="I21" s="2" t="str">
        <f t="shared" si="3"/>
        <v>Q4</v>
      </c>
      <c r="J21" s="2" t="str">
        <f t="shared" si="4"/>
        <v>Not Match</v>
      </c>
      <c r="K21" s="2">
        <f t="shared" si="0"/>
        <v>0.3</v>
      </c>
      <c r="L21" s="2" t="e">
        <f t="shared" si="1"/>
        <v>#N/A</v>
      </c>
      <c r="M21" s="2" t="str">
        <f t="shared" si="2"/>
        <v>Below 0.8 not in assigned quadrant</v>
      </c>
      <c r="N21" s="7">
        <v>13.8</v>
      </c>
      <c r="O21" s="7">
        <v>0.1</v>
      </c>
      <c r="P21" s="7">
        <v>-1.9</v>
      </c>
      <c r="Q21" s="7">
        <v>-0.3</v>
      </c>
      <c r="R21" s="7">
        <v>0</v>
      </c>
      <c r="S21" s="7">
        <v>-0.3</v>
      </c>
      <c r="T21" s="7">
        <v>0.44</v>
      </c>
      <c r="U21" s="7">
        <v>0.04</v>
      </c>
      <c r="V21" s="7">
        <v>0.53</v>
      </c>
      <c r="W21" s="7" t="s">
        <v>8</v>
      </c>
      <c r="X21" s="7" t="s">
        <v>9</v>
      </c>
      <c r="Y21" s="2" t="s">
        <v>719</v>
      </c>
      <c r="Z21" s="2" t="s">
        <v>721</v>
      </c>
    </row>
    <row r="22" spans="1:26" x14ac:dyDescent="0.35">
      <c r="A22" s="7" t="s">
        <v>1510</v>
      </c>
      <c r="B22" s="7" t="s">
        <v>38</v>
      </c>
      <c r="C22" s="4">
        <f>_xlfn.XLOOKUP(A22,[2]Sheet2!$I$2:$I$1273,[2]Sheet2!$D$2:$D$1273,0)</f>
        <v>0</v>
      </c>
      <c r="D22" s="4">
        <f>_xlfn.XLOOKUP(B22,[4]Sheet2!$B$2:$B$3154,[4]Sheet2!$F$2:$F$3154,0)</f>
        <v>0</v>
      </c>
      <c r="E22" s="4" t="e">
        <f>_xlfn.XLOOKUP(B22,[2]Sheet2!$E$2:$E$713,[2]Sheet2!$G$2:$G$713)</f>
        <v>#N/A</v>
      </c>
      <c r="F22" s="18">
        <v>46028</v>
      </c>
      <c r="G22" s="14">
        <v>0.14452546296296295</v>
      </c>
      <c r="H22" s="7" t="s">
        <v>10</v>
      </c>
      <c r="I22" s="2" t="str">
        <f t="shared" si="3"/>
        <v>Q1</v>
      </c>
      <c r="J22" s="2" t="str">
        <f t="shared" si="4"/>
        <v>Not Found</v>
      </c>
      <c r="K22" s="2">
        <f t="shared" si="0"/>
        <v>0.1</v>
      </c>
      <c r="L22" s="2" t="e">
        <f t="shared" si="1"/>
        <v>#N/A</v>
      </c>
      <c r="M22" s="2" t="str">
        <f t="shared" si="2"/>
        <v>Assign quadrant hit</v>
      </c>
      <c r="N22" s="7">
        <v>16.100000000000001</v>
      </c>
      <c r="O22" s="7">
        <v>0.3</v>
      </c>
      <c r="P22" s="7">
        <v>-0.8</v>
      </c>
      <c r="Q22" s="7">
        <v>-0.82</v>
      </c>
      <c r="R22" s="7">
        <v>0</v>
      </c>
      <c r="S22" s="7">
        <v>0.1</v>
      </c>
      <c r="T22" s="7">
        <v>-0.14000000000000001</v>
      </c>
      <c r="U22" s="7">
        <v>0.12</v>
      </c>
      <c r="V22" s="7">
        <v>0.85</v>
      </c>
      <c r="W22" s="7" t="s">
        <v>13</v>
      </c>
      <c r="X22" s="7" t="s">
        <v>9</v>
      </c>
      <c r="Y22" s="2" t="s">
        <v>719</v>
      </c>
      <c r="Z22" s="2" t="s">
        <v>721</v>
      </c>
    </row>
    <row r="23" spans="1:26" x14ac:dyDescent="0.35">
      <c r="A23" s="7" t="s">
        <v>1516</v>
      </c>
      <c r="B23" s="7" t="s">
        <v>39</v>
      </c>
      <c r="C23" s="4" t="str">
        <f>_xlfn.XLOOKUP(A23,[2]Sheet2!$I$2:$I$1273,[2]Sheet2!$D$2:$D$1273,0)</f>
        <v>Q2</v>
      </c>
      <c r="D23" s="4">
        <f>_xlfn.XLOOKUP(B23,[4]Sheet2!$B$2:$B$3154,[4]Sheet2!$F$2:$F$3154,0)</f>
        <v>0</v>
      </c>
      <c r="E23" s="4" t="e">
        <f>_xlfn.XLOOKUP(B23,[2]Sheet2!$E$2:$E$713,[2]Sheet2!$G$2:$G$713)</f>
        <v>#N/A</v>
      </c>
      <c r="F23" s="18">
        <v>46028</v>
      </c>
      <c r="G23" s="14">
        <v>0.1464699074074074</v>
      </c>
      <c r="H23" s="7" t="s">
        <v>4</v>
      </c>
      <c r="I23" s="2" t="str">
        <f t="shared" si="3"/>
        <v>Q2</v>
      </c>
      <c r="J23" s="2" t="str">
        <f t="shared" si="4"/>
        <v>Match</v>
      </c>
      <c r="K23" s="2">
        <f t="shared" si="0"/>
        <v>0.22360679774997899</v>
      </c>
      <c r="L23" s="2" t="e">
        <f t="shared" si="1"/>
        <v>#N/A</v>
      </c>
      <c r="M23" s="2" t="str">
        <f t="shared" si="2"/>
        <v>Digital Approve Hit</v>
      </c>
      <c r="N23" s="7">
        <v>17.600000000000001</v>
      </c>
      <c r="O23" s="7">
        <v>-1.5</v>
      </c>
      <c r="P23" s="7">
        <v>-1.5</v>
      </c>
      <c r="Q23" s="7">
        <v>-0.69</v>
      </c>
      <c r="R23" s="7">
        <v>-0.1</v>
      </c>
      <c r="S23" s="7">
        <v>0.2</v>
      </c>
      <c r="T23" s="7">
        <v>-7.0000000000000007E-2</v>
      </c>
      <c r="U23" s="7">
        <v>-0.3</v>
      </c>
      <c r="V23" s="7">
        <v>0.76</v>
      </c>
      <c r="W23" s="7" t="s">
        <v>13</v>
      </c>
      <c r="X23" s="7" t="s">
        <v>12</v>
      </c>
      <c r="Y23" s="2" t="s">
        <v>719</v>
      </c>
      <c r="Z23" s="2" t="s">
        <v>721</v>
      </c>
    </row>
    <row r="24" spans="1:26" x14ac:dyDescent="0.35">
      <c r="A24" s="7" t="s">
        <v>1510</v>
      </c>
      <c r="B24" s="7" t="s">
        <v>40</v>
      </c>
      <c r="C24" s="4">
        <f>_xlfn.XLOOKUP(A24,[2]Sheet2!$I$2:$I$1273,[2]Sheet2!$D$2:$D$1273,0)</f>
        <v>0</v>
      </c>
      <c r="D24" s="4">
        <f>_xlfn.XLOOKUP(B24,[4]Sheet2!$B$2:$B$3154,[4]Sheet2!$F$2:$F$3154,0)</f>
        <v>0</v>
      </c>
      <c r="E24" s="4" t="e">
        <f>_xlfn.XLOOKUP(B24,[2]Sheet2!$E$2:$E$713,[2]Sheet2!$G$2:$G$713)</f>
        <v>#N/A</v>
      </c>
      <c r="F24" s="18">
        <v>46028</v>
      </c>
      <c r="G24" s="14">
        <v>0.21331018518518519</v>
      </c>
      <c r="H24" s="7" t="s">
        <v>11</v>
      </c>
      <c r="I24" s="2" t="str">
        <f t="shared" si="3"/>
        <v>Q1</v>
      </c>
      <c r="J24" s="2" t="str">
        <f t="shared" si="4"/>
        <v>Not Found</v>
      </c>
      <c r="K24" s="2">
        <f t="shared" si="0"/>
        <v>0.22360679774997899</v>
      </c>
      <c r="L24" s="2" t="e">
        <f t="shared" si="1"/>
        <v>#N/A</v>
      </c>
      <c r="M24" s="2" t="str">
        <f t="shared" si="2"/>
        <v>Assign quadrant hit</v>
      </c>
      <c r="N24" s="7">
        <v>16.5</v>
      </c>
      <c r="O24" s="7">
        <v>-0.1</v>
      </c>
      <c r="P24" s="7">
        <v>-1</v>
      </c>
      <c r="Q24" s="7">
        <v>-0.27</v>
      </c>
      <c r="R24" s="7">
        <v>0.1</v>
      </c>
      <c r="S24" s="7">
        <v>0.2</v>
      </c>
      <c r="T24" s="7">
        <v>-0.35</v>
      </c>
      <c r="U24" s="7">
        <v>0.11</v>
      </c>
      <c r="V24" s="7">
        <v>0.45</v>
      </c>
      <c r="W24" s="7" t="s">
        <v>8</v>
      </c>
      <c r="X24" s="7" t="s">
        <v>9</v>
      </c>
      <c r="Y24" s="2" t="s">
        <v>719</v>
      </c>
      <c r="Z24" s="2" t="s">
        <v>721</v>
      </c>
    </row>
    <row r="25" spans="1:26" x14ac:dyDescent="0.35">
      <c r="A25" s="7" t="s">
        <v>1517</v>
      </c>
      <c r="B25" s="7" t="s">
        <v>41</v>
      </c>
      <c r="C25" s="4">
        <f>_xlfn.XLOOKUP(A25,[2]Sheet2!$I$2:$I$1273,[2]Sheet2!$D$2:$D$1273,0)</f>
        <v>0</v>
      </c>
      <c r="D25" s="4">
        <f>_xlfn.XLOOKUP(B25,[4]Sheet2!$B$2:$B$3154,[4]Sheet2!$F$2:$F$3154,0)</f>
        <v>0</v>
      </c>
      <c r="E25" s="4" t="e">
        <f>_xlfn.XLOOKUP(B25,[2]Sheet2!$E$2:$E$713,[2]Sheet2!$G$2:$G$713)</f>
        <v>#N/A</v>
      </c>
      <c r="F25" s="18">
        <v>46028</v>
      </c>
      <c r="G25" s="14">
        <v>0.21784722222222222</v>
      </c>
      <c r="H25" s="7" t="s">
        <v>11</v>
      </c>
      <c r="I25" s="2" t="str">
        <f t="shared" si="3"/>
        <v>Q1</v>
      </c>
      <c r="J25" s="2" t="str">
        <f t="shared" si="4"/>
        <v>Not Found</v>
      </c>
      <c r="K25" s="2">
        <f t="shared" si="0"/>
        <v>0.31622776601683794</v>
      </c>
      <c r="L25" s="2" t="e">
        <f t="shared" si="1"/>
        <v>#N/A</v>
      </c>
      <c r="M25" s="2" t="str">
        <f t="shared" si="2"/>
        <v>Assign quadrant hit</v>
      </c>
      <c r="N25" s="7">
        <v>14.6</v>
      </c>
      <c r="O25" s="7">
        <v>-0.6</v>
      </c>
      <c r="P25" s="7">
        <v>-1.6</v>
      </c>
      <c r="Q25" s="7">
        <v>0.79</v>
      </c>
      <c r="R25" s="7">
        <v>0.1</v>
      </c>
      <c r="S25" s="7">
        <v>0.3</v>
      </c>
      <c r="T25" s="7">
        <v>-0.55000000000000004</v>
      </c>
      <c r="U25" s="7">
        <v>0.06</v>
      </c>
      <c r="V25" s="7">
        <v>0.96</v>
      </c>
      <c r="W25" s="7" t="s">
        <v>13</v>
      </c>
      <c r="X25" s="7" t="s">
        <v>9</v>
      </c>
      <c r="Y25" s="2" t="s">
        <v>719</v>
      </c>
      <c r="Z25" s="2" t="s">
        <v>721</v>
      </c>
    </row>
    <row r="26" spans="1:26" x14ac:dyDescent="0.35">
      <c r="A26" s="7" t="s">
        <v>1507</v>
      </c>
      <c r="B26" s="7" t="s">
        <v>42</v>
      </c>
      <c r="C26" s="4" t="str">
        <f>_xlfn.XLOOKUP(A26,[2]Sheet2!$I$2:$I$1273,[2]Sheet2!$D$2:$D$1273,0)</f>
        <v>Q3</v>
      </c>
      <c r="D26" s="4">
        <f>_xlfn.XLOOKUP(B26,[4]Sheet2!$B$2:$B$3154,[4]Sheet2!$F$2:$F$3154,0)</f>
        <v>0</v>
      </c>
      <c r="E26" s="4" t="e">
        <f>_xlfn.XLOOKUP(B26,[2]Sheet2!$E$2:$E$713,[2]Sheet2!$G$2:$G$713)</f>
        <v>#N/A</v>
      </c>
      <c r="F26" s="18">
        <v>46028</v>
      </c>
      <c r="G26" s="14">
        <v>0.22054398148148149</v>
      </c>
      <c r="H26" s="7" t="s">
        <v>11</v>
      </c>
      <c r="I26" s="2" t="str">
        <f t="shared" si="3"/>
        <v>Q4</v>
      </c>
      <c r="J26" s="2" t="str">
        <f t="shared" si="4"/>
        <v>Not Match</v>
      </c>
      <c r="K26" s="2">
        <f t="shared" si="0"/>
        <v>0.3</v>
      </c>
      <c r="L26" s="2" t="e">
        <f t="shared" si="1"/>
        <v>#N/A</v>
      </c>
      <c r="M26" s="2" t="str">
        <f t="shared" si="2"/>
        <v>Below 0.8 not in assigned quadrant</v>
      </c>
      <c r="N26" s="7">
        <v>15.6</v>
      </c>
      <c r="O26" s="7">
        <v>-1.1000000000000001</v>
      </c>
      <c r="P26" s="7">
        <v>-1.2</v>
      </c>
      <c r="Q26" s="7">
        <v>-0.12</v>
      </c>
      <c r="R26" s="7">
        <v>0</v>
      </c>
      <c r="S26" s="7">
        <v>-0.3</v>
      </c>
      <c r="T26" s="7">
        <v>0.42</v>
      </c>
      <c r="U26" s="7">
        <v>0.33</v>
      </c>
      <c r="V26" s="7">
        <v>0.55000000000000004</v>
      </c>
      <c r="W26" s="7" t="s">
        <v>8</v>
      </c>
      <c r="X26" s="7" t="s">
        <v>7</v>
      </c>
      <c r="Y26" s="2" t="s">
        <v>719</v>
      </c>
      <c r="Z26" s="2" t="s">
        <v>721</v>
      </c>
    </row>
    <row r="27" spans="1:26" x14ac:dyDescent="0.35">
      <c r="A27" s="7" t="s">
        <v>1518</v>
      </c>
      <c r="B27" s="7" t="s">
        <v>43</v>
      </c>
      <c r="C27" s="4" t="str">
        <f>_xlfn.XLOOKUP(A27,[2]Sheet2!$I$2:$I$1273,[2]Sheet2!$D$2:$D$1273,0)</f>
        <v>Q1</v>
      </c>
      <c r="D27" s="4">
        <f>_xlfn.XLOOKUP(B27,[4]Sheet2!$B$2:$B$3154,[4]Sheet2!$F$2:$F$3154,0)</f>
        <v>0</v>
      </c>
      <c r="E27" s="4" t="e">
        <f>_xlfn.XLOOKUP(B27,[2]Sheet2!$E$2:$E$713,[2]Sheet2!$G$2:$G$713)</f>
        <v>#N/A</v>
      </c>
      <c r="F27" s="18">
        <v>46028</v>
      </c>
      <c r="G27" s="14">
        <v>0.22292824074074075</v>
      </c>
      <c r="H27" s="7" t="s">
        <v>11</v>
      </c>
      <c r="I27" s="2" t="str">
        <f t="shared" si="3"/>
        <v>Q1</v>
      </c>
      <c r="J27" s="2" t="str">
        <f t="shared" si="4"/>
        <v>Match</v>
      </c>
      <c r="K27" s="2">
        <f t="shared" si="0"/>
        <v>0.5</v>
      </c>
      <c r="L27" s="2" t="e">
        <f t="shared" si="1"/>
        <v>#N/A</v>
      </c>
      <c r="M27" s="2" t="str">
        <f t="shared" si="2"/>
        <v>Failed but within quadrant</v>
      </c>
      <c r="N27" s="7">
        <v>27.2</v>
      </c>
      <c r="O27" s="7">
        <v>6.3</v>
      </c>
      <c r="P27" s="7">
        <v>8.4</v>
      </c>
      <c r="Q27" s="7">
        <v>0.52</v>
      </c>
      <c r="R27" s="7">
        <v>0</v>
      </c>
      <c r="S27" s="7">
        <v>0.5</v>
      </c>
      <c r="T27" s="7">
        <v>0.39</v>
      </c>
      <c r="U27" s="7">
        <v>0.54</v>
      </c>
      <c r="V27" s="7">
        <v>0.84</v>
      </c>
      <c r="W27" s="7" t="s">
        <v>13</v>
      </c>
      <c r="X27" s="7" t="s">
        <v>12</v>
      </c>
      <c r="Y27" s="2" t="s">
        <v>719</v>
      </c>
      <c r="Z27" s="2" t="s">
        <v>721</v>
      </c>
    </row>
    <row r="28" spans="1:26" x14ac:dyDescent="0.35">
      <c r="A28" s="7" t="s">
        <v>1511</v>
      </c>
      <c r="B28" s="7" t="s">
        <v>44</v>
      </c>
      <c r="C28" s="4">
        <f>_xlfn.XLOOKUP(A28,[2]Sheet2!$I$2:$I$1273,[2]Sheet2!$D$2:$D$1273,0)</f>
        <v>0</v>
      </c>
      <c r="D28" s="4">
        <f>_xlfn.XLOOKUP(B28,[4]Sheet2!$B$2:$B$3154,[4]Sheet2!$F$2:$F$3154,0)</f>
        <v>0</v>
      </c>
      <c r="E28" s="4" t="e">
        <f>_xlfn.XLOOKUP(B28,[2]Sheet2!$E$2:$E$713,[2]Sheet2!$G$2:$G$713)</f>
        <v>#N/A</v>
      </c>
      <c r="F28" s="18">
        <v>46028</v>
      </c>
      <c r="G28" s="14">
        <v>0.22694444444444445</v>
      </c>
      <c r="H28" s="7" t="s">
        <v>4</v>
      </c>
      <c r="I28" s="2" t="str">
        <f t="shared" si="3"/>
        <v>Q4</v>
      </c>
      <c r="J28" s="2" t="str">
        <f t="shared" si="4"/>
        <v>Not Found</v>
      </c>
      <c r="K28" s="2">
        <f t="shared" si="0"/>
        <v>0.28284271247461906</v>
      </c>
      <c r="L28" s="2" t="e">
        <f t="shared" si="1"/>
        <v>#N/A</v>
      </c>
      <c r="M28" s="2" t="str">
        <f t="shared" si="2"/>
        <v>Assign quadrant hit</v>
      </c>
      <c r="N28" s="7">
        <v>19.600000000000001</v>
      </c>
      <c r="O28" s="7">
        <v>0.2</v>
      </c>
      <c r="P28" s="7">
        <v>-11</v>
      </c>
      <c r="Q28" s="7">
        <v>0.66</v>
      </c>
      <c r="R28" s="7">
        <v>0.2</v>
      </c>
      <c r="S28" s="7">
        <v>-0.2</v>
      </c>
      <c r="T28" s="7">
        <v>0.23</v>
      </c>
      <c r="U28" s="7">
        <v>0.34</v>
      </c>
      <c r="V28" s="7">
        <v>0.78</v>
      </c>
      <c r="W28" s="7" t="s">
        <v>13</v>
      </c>
      <c r="X28" s="7" t="s">
        <v>9</v>
      </c>
      <c r="Y28" s="2" t="s">
        <v>719</v>
      </c>
      <c r="Z28" s="2" t="s">
        <v>721</v>
      </c>
    </row>
    <row r="29" spans="1:26" x14ac:dyDescent="0.35">
      <c r="A29" s="7" t="s">
        <v>1519</v>
      </c>
      <c r="B29" s="7" t="s">
        <v>47</v>
      </c>
      <c r="C29" s="4">
        <f>_xlfn.XLOOKUP(A29,[2]Sheet2!$I$2:$I$1273,[2]Sheet2!$D$2:$D$1273,0)</f>
        <v>0</v>
      </c>
      <c r="D29" s="4">
        <f>_xlfn.XLOOKUP(B29,[4]Sheet2!$B$2:$B$3154,[4]Sheet2!$F$2:$F$3154,0)</f>
        <v>0</v>
      </c>
      <c r="E29" s="4" t="e">
        <f>_xlfn.XLOOKUP(B29,[2]Sheet2!$E$2:$E$713,[2]Sheet2!$G$2:$G$713)</f>
        <v>#N/A</v>
      </c>
      <c r="F29" s="18">
        <v>46028</v>
      </c>
      <c r="G29" s="14">
        <v>0.27361111111111114</v>
      </c>
      <c r="H29" s="7" t="s">
        <v>5</v>
      </c>
      <c r="I29" s="2" t="str">
        <f t="shared" si="3"/>
        <v>Q1</v>
      </c>
      <c r="J29" s="2" t="str">
        <f t="shared" si="4"/>
        <v>Not Found</v>
      </c>
      <c r="K29" s="2">
        <f t="shared" si="0"/>
        <v>1.3038404810405297</v>
      </c>
      <c r="L29" s="2" t="e">
        <f t="shared" si="1"/>
        <v>#N/A</v>
      </c>
      <c r="M29" s="2" t="str">
        <f t="shared" si="2"/>
        <v>Assign quadrant hit</v>
      </c>
      <c r="N29" s="7">
        <v>26.9</v>
      </c>
      <c r="O29" s="7">
        <v>23.8</v>
      </c>
      <c r="P29" s="7">
        <v>17.5</v>
      </c>
      <c r="Q29" s="7">
        <v>-0.9</v>
      </c>
      <c r="R29" s="7">
        <v>1.1000000000000001</v>
      </c>
      <c r="S29" s="7">
        <v>0.7</v>
      </c>
      <c r="T29" s="7">
        <v>0.7</v>
      </c>
      <c r="U29" s="7">
        <v>-0.12</v>
      </c>
      <c r="V29" s="7">
        <v>1.1499999999999999</v>
      </c>
      <c r="W29" s="7" t="s">
        <v>6</v>
      </c>
      <c r="X29" s="7" t="s">
        <v>7</v>
      </c>
      <c r="Y29" s="2" t="s">
        <v>719</v>
      </c>
      <c r="Z29" s="2" t="s">
        <v>721</v>
      </c>
    </row>
    <row r="30" spans="1:26" x14ac:dyDescent="0.35">
      <c r="A30" s="7" t="s">
        <v>1520</v>
      </c>
      <c r="B30" s="7" t="s">
        <v>48</v>
      </c>
      <c r="C30" s="4" t="str">
        <f>_xlfn.XLOOKUP(A30,[2]Sheet2!$I$2:$I$1273,[2]Sheet2!$D$2:$D$1273,0)</f>
        <v>Q1</v>
      </c>
      <c r="D30" s="4">
        <f>_xlfn.XLOOKUP(B30,[4]Sheet2!$B$2:$B$3154,[4]Sheet2!$F$2:$F$3154,0)</f>
        <v>0</v>
      </c>
      <c r="E30" s="4" t="e">
        <f>_xlfn.XLOOKUP(B30,[2]Sheet2!$E$2:$E$713,[2]Sheet2!$G$2:$G$713)</f>
        <v>#N/A</v>
      </c>
      <c r="F30" s="18">
        <v>46028</v>
      </c>
      <c r="G30" s="14">
        <v>0.27868055555555554</v>
      </c>
      <c r="H30" s="7" t="s">
        <v>11</v>
      </c>
      <c r="I30" s="2" t="str">
        <f t="shared" si="3"/>
        <v>Q4</v>
      </c>
      <c r="J30" s="2" t="str">
        <f t="shared" si="4"/>
        <v>Not Match</v>
      </c>
      <c r="K30" s="2">
        <f t="shared" si="0"/>
        <v>0.2</v>
      </c>
      <c r="L30" s="2" t="e">
        <f t="shared" si="1"/>
        <v>#N/A</v>
      </c>
      <c r="M30" s="2" t="str">
        <f t="shared" si="2"/>
        <v>Below 0.8 not in assigned quadrant</v>
      </c>
      <c r="N30" s="7">
        <v>26.5</v>
      </c>
      <c r="O30" s="7">
        <v>6.3</v>
      </c>
      <c r="P30" s="7">
        <v>7.8</v>
      </c>
      <c r="Q30" s="7">
        <v>-0.08</v>
      </c>
      <c r="R30" s="7">
        <v>0</v>
      </c>
      <c r="S30" s="7">
        <v>-0.2</v>
      </c>
      <c r="T30" s="7">
        <v>-0.21</v>
      </c>
      <c r="U30" s="7">
        <v>-0.25</v>
      </c>
      <c r="V30" s="7">
        <v>0.34</v>
      </c>
      <c r="W30" s="7" t="s">
        <v>8</v>
      </c>
      <c r="X30" s="7" t="s">
        <v>9</v>
      </c>
      <c r="Y30" s="2" t="s">
        <v>719</v>
      </c>
      <c r="Z30" s="2" t="s">
        <v>721</v>
      </c>
    </row>
    <row r="31" spans="1:26" x14ac:dyDescent="0.35">
      <c r="A31" s="7" t="s">
        <v>1521</v>
      </c>
      <c r="B31" s="7" t="s">
        <v>49</v>
      </c>
      <c r="C31" s="4" t="str">
        <f>_xlfn.XLOOKUP(A31,[2]Sheet2!$I$2:$I$1273,[2]Sheet2!$D$2:$D$1273,0)</f>
        <v>Q3</v>
      </c>
      <c r="D31" s="4">
        <f>_xlfn.XLOOKUP(B31,[4]Sheet2!$B$2:$B$3154,[4]Sheet2!$F$2:$F$3154,0)</f>
        <v>0</v>
      </c>
      <c r="E31" s="4" t="e">
        <f>_xlfn.XLOOKUP(B31,[2]Sheet2!$E$2:$E$713,[2]Sheet2!$G$2:$G$713)</f>
        <v>#N/A</v>
      </c>
      <c r="F31" s="18">
        <v>46028</v>
      </c>
      <c r="G31" s="14">
        <v>0.28171296296296294</v>
      </c>
      <c r="H31" s="7" t="s">
        <v>11</v>
      </c>
      <c r="I31" s="2" t="str">
        <f t="shared" si="3"/>
        <v>Q2</v>
      </c>
      <c r="J31" s="2" t="str">
        <f t="shared" si="4"/>
        <v>Not Match</v>
      </c>
      <c r="K31" s="2">
        <f t="shared" si="0"/>
        <v>1.2165525060596438</v>
      </c>
      <c r="L31" s="2" t="e">
        <f t="shared" si="1"/>
        <v>#N/A</v>
      </c>
      <c r="M31" s="2" t="str">
        <f t="shared" si="2"/>
        <v>Assign quadrant hit</v>
      </c>
      <c r="N31" s="7">
        <v>19.7</v>
      </c>
      <c r="O31" s="7">
        <v>0.9</v>
      </c>
      <c r="P31" s="7">
        <v>-8</v>
      </c>
      <c r="Q31" s="7">
        <v>0.03</v>
      </c>
      <c r="R31" s="7">
        <v>-0.2</v>
      </c>
      <c r="S31" s="7">
        <v>1.2</v>
      </c>
      <c r="T31" s="7">
        <v>-1.06</v>
      </c>
      <c r="U31" s="7">
        <v>-0.11</v>
      </c>
      <c r="V31" s="7">
        <v>1.07</v>
      </c>
      <c r="W31" s="7" t="s">
        <v>6</v>
      </c>
      <c r="X31" s="7" t="s">
        <v>15</v>
      </c>
      <c r="Y31" s="2" t="s">
        <v>719</v>
      </c>
      <c r="Z31" s="2" t="s">
        <v>721</v>
      </c>
    </row>
    <row r="32" spans="1:26" x14ac:dyDescent="0.35">
      <c r="A32" s="7" t="s">
        <v>1508</v>
      </c>
      <c r="B32" s="7" t="s">
        <v>50</v>
      </c>
      <c r="C32" s="4" t="str">
        <f>_xlfn.XLOOKUP(A32,[2]Sheet2!$I$2:$I$1273,[2]Sheet2!$D$2:$D$1273,0)</f>
        <v>Q2</v>
      </c>
      <c r="D32" s="4">
        <f>_xlfn.XLOOKUP(B32,[4]Sheet2!$B$2:$B$3154,[4]Sheet2!$F$2:$F$3154,0)</f>
        <v>0</v>
      </c>
      <c r="E32" s="4" t="e">
        <f>_xlfn.XLOOKUP(B32,[2]Sheet2!$E$2:$E$713,[2]Sheet2!$G$2:$G$713)</f>
        <v>#N/A</v>
      </c>
      <c r="F32" s="18">
        <v>46028</v>
      </c>
      <c r="G32" s="14">
        <v>0.28390046296296295</v>
      </c>
      <c r="H32" s="7" t="s">
        <v>5</v>
      </c>
      <c r="I32" s="2" t="str">
        <f t="shared" si="3"/>
        <v>Q4</v>
      </c>
      <c r="J32" s="2" t="str">
        <f t="shared" si="4"/>
        <v>Not Match</v>
      </c>
      <c r="K32" s="2">
        <f t="shared" si="0"/>
        <v>0.3</v>
      </c>
      <c r="L32" s="2" t="e">
        <f t="shared" si="1"/>
        <v>#N/A</v>
      </c>
      <c r="M32" s="2" t="str">
        <f t="shared" si="2"/>
        <v>Below 0.8 not in assigned quadrant</v>
      </c>
      <c r="N32" s="7">
        <v>17.600000000000001</v>
      </c>
      <c r="O32" s="7">
        <v>-0.9</v>
      </c>
      <c r="P32" s="7">
        <v>-9.4</v>
      </c>
      <c r="Q32" s="7">
        <v>-0.53</v>
      </c>
      <c r="R32" s="7">
        <v>0</v>
      </c>
      <c r="S32" s="7">
        <v>-0.3</v>
      </c>
      <c r="T32" s="7">
        <v>0.31</v>
      </c>
      <c r="U32" s="7">
        <v>-0.03</v>
      </c>
      <c r="V32" s="7">
        <v>0.62</v>
      </c>
      <c r="W32" s="7" t="s">
        <v>8</v>
      </c>
      <c r="X32" s="7" t="s">
        <v>15</v>
      </c>
      <c r="Y32" s="2" t="s">
        <v>719</v>
      </c>
      <c r="Z32" s="2" t="s">
        <v>721</v>
      </c>
    </row>
    <row r="33" spans="1:26" x14ac:dyDescent="0.35">
      <c r="A33" s="7" t="s">
        <v>1518</v>
      </c>
      <c r="B33" s="7" t="s">
        <v>51</v>
      </c>
      <c r="C33" s="4" t="str">
        <f>_xlfn.XLOOKUP(A33,[2]Sheet2!$I$2:$I$1273,[2]Sheet2!$D$2:$D$1273,0)</f>
        <v>Q1</v>
      </c>
      <c r="D33" s="4">
        <f>_xlfn.XLOOKUP(B33,[4]Sheet2!$B$2:$B$3154,[4]Sheet2!$F$2:$F$3154,0)</f>
        <v>0</v>
      </c>
      <c r="E33" s="4" t="e">
        <f>_xlfn.XLOOKUP(B33,[2]Sheet2!$E$2:$E$713,[2]Sheet2!$G$2:$G$713)</f>
        <v>#N/A</v>
      </c>
      <c r="F33" s="18">
        <v>46028</v>
      </c>
      <c r="G33" s="14">
        <v>0.28578703703703706</v>
      </c>
      <c r="H33" s="7" t="s">
        <v>11</v>
      </c>
      <c r="I33" s="2" t="str">
        <f t="shared" si="3"/>
        <v>Q1</v>
      </c>
      <c r="J33" s="2" t="str">
        <f t="shared" si="4"/>
        <v>Match</v>
      </c>
      <c r="K33" s="2">
        <f t="shared" si="0"/>
        <v>0.5</v>
      </c>
      <c r="L33" s="2" t="e">
        <f t="shared" si="1"/>
        <v>#N/A</v>
      </c>
      <c r="M33" s="2" t="str">
        <f t="shared" si="2"/>
        <v>Digital Approve Hit</v>
      </c>
      <c r="N33" s="7">
        <v>26.6</v>
      </c>
      <c r="O33" s="7">
        <v>6.4</v>
      </c>
      <c r="P33" s="7">
        <v>8.3000000000000007</v>
      </c>
      <c r="Q33" s="7">
        <v>0.11</v>
      </c>
      <c r="R33" s="7">
        <v>0</v>
      </c>
      <c r="S33" s="7">
        <v>0.5</v>
      </c>
      <c r="T33" s="7">
        <v>0.36</v>
      </c>
      <c r="U33" s="7">
        <v>0.48</v>
      </c>
      <c r="V33" s="7">
        <v>0.61</v>
      </c>
      <c r="W33" s="7" t="s">
        <v>8</v>
      </c>
      <c r="X33" s="7" t="s">
        <v>12</v>
      </c>
      <c r="Y33" s="2" t="s">
        <v>719</v>
      </c>
      <c r="Z33" s="2" t="s">
        <v>721</v>
      </c>
    </row>
    <row r="34" spans="1:26" x14ac:dyDescent="0.35">
      <c r="A34" s="7" t="s">
        <v>1516</v>
      </c>
      <c r="B34" s="7" t="s">
        <v>52</v>
      </c>
      <c r="C34" s="4" t="str">
        <f>_xlfn.XLOOKUP(A34,[2]Sheet2!$I$2:$I$1273,[2]Sheet2!$D$2:$D$1273,0)</f>
        <v>Q2</v>
      </c>
      <c r="D34" s="4">
        <f>_xlfn.XLOOKUP(B34,[4]Sheet2!$B$2:$B$3154,[4]Sheet2!$F$2:$F$3154,0)</f>
        <v>0</v>
      </c>
      <c r="E34" s="4" t="e">
        <f>_xlfn.XLOOKUP(B34,[2]Sheet2!$E$2:$E$713,[2]Sheet2!$G$2:$G$713)</f>
        <v>#N/A</v>
      </c>
      <c r="F34" s="18">
        <v>46028</v>
      </c>
      <c r="G34" s="14">
        <v>0.39100694444444445</v>
      </c>
      <c r="H34" s="7" t="s">
        <v>4</v>
      </c>
      <c r="I34" s="2" t="str">
        <f t="shared" si="3"/>
        <v>Q1</v>
      </c>
      <c r="J34" s="2" t="str">
        <f t="shared" si="4"/>
        <v>Not Match</v>
      </c>
      <c r="K34" s="2">
        <f t="shared" si="0"/>
        <v>0.3</v>
      </c>
      <c r="L34" s="2" t="e">
        <f t="shared" si="1"/>
        <v>#N/A</v>
      </c>
      <c r="M34" s="2" t="str">
        <f t="shared" si="2"/>
        <v>Below 0.8 not in assigned quadrant</v>
      </c>
      <c r="N34" s="7">
        <v>19</v>
      </c>
      <c r="O34" s="7">
        <v>-1.4</v>
      </c>
      <c r="P34" s="7">
        <v>-1.4</v>
      </c>
      <c r="Q34" s="7">
        <v>0.5</v>
      </c>
      <c r="R34" s="7">
        <v>0</v>
      </c>
      <c r="S34" s="7">
        <v>0.3</v>
      </c>
      <c r="T34" s="7">
        <v>-0.24</v>
      </c>
      <c r="U34" s="7">
        <v>-0.31</v>
      </c>
      <c r="V34" s="7">
        <v>0.63</v>
      </c>
      <c r="W34" s="7" t="s">
        <v>8</v>
      </c>
      <c r="X34" s="7" t="s">
        <v>12</v>
      </c>
      <c r="Y34" s="2" t="s">
        <v>719</v>
      </c>
      <c r="Z34" s="2" t="s">
        <v>721</v>
      </c>
    </row>
    <row r="35" spans="1:26" x14ac:dyDescent="0.35">
      <c r="A35" s="7" t="s">
        <v>1506</v>
      </c>
      <c r="B35" s="7" t="s">
        <v>53</v>
      </c>
      <c r="C35" s="4" t="str">
        <f>_xlfn.XLOOKUP(A35,[2]Sheet2!$I$2:$I$1273,[2]Sheet2!$D$2:$D$1273,0)</f>
        <v>Q1</v>
      </c>
      <c r="D35" s="4">
        <f>_xlfn.XLOOKUP(B35,[4]Sheet2!$B$2:$B$3154,[4]Sheet2!$F$2:$F$3154,0)</f>
        <v>0</v>
      </c>
      <c r="E35" s="4" t="e">
        <f>_xlfn.XLOOKUP(B35,[2]Sheet2!$E$2:$E$713,[2]Sheet2!$G$2:$G$713)</f>
        <v>#N/A</v>
      </c>
      <c r="F35" s="18">
        <v>46028</v>
      </c>
      <c r="G35" s="14">
        <v>0.39557870370370368</v>
      </c>
      <c r="H35" s="7" t="s">
        <v>4</v>
      </c>
      <c r="I35" s="2" t="str">
        <f t="shared" si="3"/>
        <v>Q1</v>
      </c>
      <c r="J35" s="2" t="str">
        <f t="shared" si="4"/>
        <v>Match</v>
      </c>
      <c r="K35" s="2">
        <f t="shared" si="0"/>
        <v>0.14142135623730953</v>
      </c>
      <c r="L35" s="2" t="e">
        <f t="shared" si="1"/>
        <v>#N/A</v>
      </c>
      <c r="M35" s="2" t="str">
        <f t="shared" si="2"/>
        <v>Digital Approve Hit</v>
      </c>
      <c r="N35" s="7">
        <v>15.6</v>
      </c>
      <c r="O35" s="7">
        <v>-0.2</v>
      </c>
      <c r="P35" s="7">
        <v>-1.7</v>
      </c>
      <c r="Q35" s="7">
        <v>-0.01</v>
      </c>
      <c r="R35" s="7">
        <v>0.1</v>
      </c>
      <c r="S35" s="7">
        <v>0.1</v>
      </c>
      <c r="T35" s="7">
        <v>-0.23</v>
      </c>
      <c r="U35" s="7">
        <v>0.21</v>
      </c>
      <c r="V35" s="7">
        <v>0.31</v>
      </c>
      <c r="W35" s="7" t="s">
        <v>8</v>
      </c>
      <c r="X35" s="7" t="s">
        <v>9</v>
      </c>
      <c r="Y35" s="2" t="s">
        <v>719</v>
      </c>
      <c r="Z35" s="2" t="s">
        <v>721</v>
      </c>
    </row>
    <row r="36" spans="1:26" x14ac:dyDescent="0.35">
      <c r="A36" s="7" t="s">
        <v>1516</v>
      </c>
      <c r="B36" s="7" t="s">
        <v>54</v>
      </c>
      <c r="C36" s="4" t="str">
        <f>_xlfn.XLOOKUP(A36,[2]Sheet2!$I$2:$I$1273,[2]Sheet2!$D$2:$D$1273,0)</f>
        <v>Q2</v>
      </c>
      <c r="D36" s="4">
        <f>_xlfn.XLOOKUP(B36,[4]Sheet2!$B$2:$B$3154,[4]Sheet2!$F$2:$F$3154,0)</f>
        <v>0</v>
      </c>
      <c r="E36" s="4" t="e">
        <f>_xlfn.XLOOKUP(B36,[2]Sheet2!$E$2:$E$713,[2]Sheet2!$G$2:$G$713)</f>
        <v>#N/A</v>
      </c>
      <c r="F36" s="18">
        <v>46028</v>
      </c>
      <c r="G36" s="14">
        <v>0.40891203703703705</v>
      </c>
      <c r="H36" s="7" t="s">
        <v>4</v>
      </c>
      <c r="I36" s="2" t="str">
        <f t="shared" si="3"/>
        <v>Q3</v>
      </c>
      <c r="J36" s="2" t="str">
        <f t="shared" si="4"/>
        <v>Not Match</v>
      </c>
      <c r="K36" s="2">
        <f t="shared" si="0"/>
        <v>0.1</v>
      </c>
      <c r="L36" s="2" t="e">
        <f t="shared" si="1"/>
        <v>#N/A</v>
      </c>
      <c r="M36" s="2" t="str">
        <f t="shared" si="2"/>
        <v>Below 0.8 not in assigned quadrant</v>
      </c>
      <c r="N36" s="7">
        <v>18.8</v>
      </c>
      <c r="O36" s="7">
        <v>-1.5</v>
      </c>
      <c r="P36" s="7">
        <v>-1.7</v>
      </c>
      <c r="Q36" s="7">
        <v>0.33</v>
      </c>
      <c r="R36" s="7">
        <v>-0.1</v>
      </c>
      <c r="S36" s="7">
        <v>0</v>
      </c>
      <c r="T36" s="7">
        <v>0.11</v>
      </c>
      <c r="U36" s="7">
        <v>-0.14000000000000001</v>
      </c>
      <c r="V36" s="7">
        <v>0.37</v>
      </c>
      <c r="W36" s="7" t="s">
        <v>8</v>
      </c>
      <c r="X36" s="7" t="s">
        <v>12</v>
      </c>
      <c r="Y36" s="2" t="s">
        <v>719</v>
      </c>
      <c r="Z36" s="2" t="s">
        <v>721</v>
      </c>
    </row>
    <row r="37" spans="1:26" x14ac:dyDescent="0.35">
      <c r="A37" s="7" t="s">
        <v>1518</v>
      </c>
      <c r="B37" s="7" t="s">
        <v>45</v>
      </c>
      <c r="C37" s="4" t="str">
        <f>_xlfn.XLOOKUP(A37,[2]Sheet2!$I$2:$I$1273,[2]Sheet2!$D$2:$D$1273,0)</f>
        <v>Q1</v>
      </c>
      <c r="D37" s="4">
        <f>_xlfn.XLOOKUP(B37,[4]Sheet2!$B$2:$B$3154,[4]Sheet2!$F$2:$F$3154,0)</f>
        <v>0</v>
      </c>
      <c r="E37" s="4" t="e">
        <f>_xlfn.XLOOKUP(B37,[2]Sheet2!$E$2:$E$713,[2]Sheet2!$G$2:$G$713)</f>
        <v>#N/A</v>
      </c>
      <c r="F37" s="18">
        <v>46028</v>
      </c>
      <c r="G37" s="14">
        <v>0.45950231481481479</v>
      </c>
      <c r="H37" s="7" t="s">
        <v>11</v>
      </c>
      <c r="I37" s="2" t="str">
        <f t="shared" si="3"/>
        <v>Q1</v>
      </c>
      <c r="J37" s="2" t="str">
        <f t="shared" si="4"/>
        <v>Match</v>
      </c>
      <c r="K37" s="2">
        <f t="shared" si="0"/>
        <v>0.22360679774997899</v>
      </c>
      <c r="L37" s="2" t="e">
        <f t="shared" si="1"/>
        <v>#N/A</v>
      </c>
      <c r="M37" s="2" t="str">
        <f t="shared" si="2"/>
        <v>Digital Approve Hit</v>
      </c>
      <c r="N37" s="7">
        <v>26.5</v>
      </c>
      <c r="O37" s="7">
        <v>6.6</v>
      </c>
      <c r="P37" s="7">
        <v>8</v>
      </c>
      <c r="Q37" s="7">
        <v>0.03</v>
      </c>
      <c r="R37" s="7">
        <v>0.2</v>
      </c>
      <c r="S37" s="7">
        <v>0.1</v>
      </c>
      <c r="T37" s="7">
        <v>0.26</v>
      </c>
      <c r="U37" s="7">
        <v>-0.2</v>
      </c>
      <c r="V37" s="7">
        <v>0.33</v>
      </c>
      <c r="W37" s="7" t="s">
        <v>8</v>
      </c>
      <c r="X37" s="7" t="s">
        <v>9</v>
      </c>
      <c r="Y37" s="2" t="s">
        <v>719</v>
      </c>
      <c r="Z37" s="2" t="s">
        <v>721</v>
      </c>
    </row>
    <row r="38" spans="1:26" x14ac:dyDescent="0.35">
      <c r="A38" s="7" t="s">
        <v>1521</v>
      </c>
      <c r="B38" s="7" t="s">
        <v>55</v>
      </c>
      <c r="C38" s="4" t="str">
        <f>_xlfn.XLOOKUP(A38,[2]Sheet2!$I$2:$I$1273,[2]Sheet2!$D$2:$D$1273,0)</f>
        <v>Q3</v>
      </c>
      <c r="D38" s="4">
        <f>_xlfn.XLOOKUP(B38,[4]Sheet2!$B$2:$B$3154,[4]Sheet2!$F$2:$F$3154,0)</f>
        <v>0</v>
      </c>
      <c r="E38" s="4" t="e">
        <f>_xlfn.XLOOKUP(B38,[2]Sheet2!$E$2:$E$713,[2]Sheet2!$G$2:$G$713)</f>
        <v>#N/A</v>
      </c>
      <c r="F38" s="18">
        <v>46028</v>
      </c>
      <c r="G38" s="14">
        <v>0.59444444444444444</v>
      </c>
      <c r="H38" s="7" t="s">
        <v>11</v>
      </c>
      <c r="I38" s="2" t="str">
        <f t="shared" si="3"/>
        <v>Q2</v>
      </c>
      <c r="J38" s="2" t="str">
        <f t="shared" si="4"/>
        <v>Not Match</v>
      </c>
      <c r="K38" s="2">
        <f t="shared" si="0"/>
        <v>1.3152946437965907</v>
      </c>
      <c r="L38" s="2" t="e">
        <f t="shared" si="1"/>
        <v>#N/A</v>
      </c>
      <c r="M38" s="2" t="str">
        <f t="shared" si="2"/>
        <v>Assign quadrant hit</v>
      </c>
      <c r="N38" s="7">
        <v>19.7</v>
      </c>
      <c r="O38" s="7">
        <v>0.9</v>
      </c>
      <c r="P38" s="7">
        <v>-7.9</v>
      </c>
      <c r="Q38" s="7">
        <v>0.05</v>
      </c>
      <c r="R38" s="7">
        <v>-0.2</v>
      </c>
      <c r="S38" s="7">
        <v>1.3</v>
      </c>
      <c r="T38" s="7">
        <v>-1.1399999999999999</v>
      </c>
      <c r="U38" s="7">
        <v>-0.1</v>
      </c>
      <c r="V38" s="7">
        <v>1.1399999999999999</v>
      </c>
      <c r="W38" s="7" t="s">
        <v>6</v>
      </c>
      <c r="X38" s="7" t="s">
        <v>15</v>
      </c>
      <c r="Y38" s="2" t="s">
        <v>719</v>
      </c>
      <c r="Z38" s="2" t="s">
        <v>721</v>
      </c>
    </row>
    <row r="39" spans="1:26" x14ac:dyDescent="0.35">
      <c r="A39" s="7" t="s">
        <v>1522</v>
      </c>
      <c r="B39" s="7" t="s">
        <v>56</v>
      </c>
      <c r="C39" s="4">
        <f>_xlfn.XLOOKUP(A39,[2]Sheet2!$I$2:$I$1273,[2]Sheet2!$D$2:$D$1273,0)</f>
        <v>0</v>
      </c>
      <c r="D39" s="4">
        <f>_xlfn.XLOOKUP(B39,[4]Sheet2!$B$2:$B$3154,[4]Sheet2!$F$2:$F$3154,0)</f>
        <v>0</v>
      </c>
      <c r="E39" s="4" t="e">
        <f>_xlfn.XLOOKUP(B39,[2]Sheet2!$E$2:$E$713,[2]Sheet2!$G$2:$G$713)</f>
        <v>#N/A</v>
      </c>
      <c r="F39" s="18">
        <v>46028</v>
      </c>
      <c r="G39" s="14">
        <v>0.59668981481481487</v>
      </c>
      <c r="H39" s="7" t="s">
        <v>4</v>
      </c>
      <c r="I39" s="2" t="str">
        <f t="shared" si="3"/>
        <v>Q1</v>
      </c>
      <c r="J39" s="2" t="str">
        <f t="shared" si="4"/>
        <v>Not Found</v>
      </c>
      <c r="K39" s="2">
        <f t="shared" si="0"/>
        <v>0.1</v>
      </c>
      <c r="L39" s="2" t="e">
        <f t="shared" si="1"/>
        <v>#N/A</v>
      </c>
      <c r="M39" s="2" t="str">
        <f t="shared" si="2"/>
        <v>Assign quadrant hit</v>
      </c>
      <c r="N39" s="7">
        <v>14.9</v>
      </c>
      <c r="O39" s="7">
        <v>-0.1</v>
      </c>
      <c r="P39" s="7">
        <v>-0.8</v>
      </c>
      <c r="Q39" s="7">
        <v>0.66</v>
      </c>
      <c r="R39" s="7">
        <v>0</v>
      </c>
      <c r="S39" s="7">
        <v>0.1</v>
      </c>
      <c r="T39" s="7">
        <v>-0.22</v>
      </c>
      <c r="U39" s="7">
        <v>0.08</v>
      </c>
      <c r="V39" s="7">
        <v>0.7</v>
      </c>
      <c r="W39" s="7" t="s">
        <v>8</v>
      </c>
      <c r="X39" s="7" t="s">
        <v>9</v>
      </c>
      <c r="Y39" s="2" t="s">
        <v>719</v>
      </c>
      <c r="Z39" s="2" t="s">
        <v>721</v>
      </c>
    </row>
    <row r="40" spans="1:26" x14ac:dyDescent="0.35">
      <c r="A40" s="7" t="s">
        <v>1523</v>
      </c>
      <c r="B40" s="7" t="s">
        <v>58</v>
      </c>
      <c r="C40" s="4">
        <f>_xlfn.XLOOKUP(A40,[2]Sheet2!$I$2:$I$1273,[2]Sheet2!$D$2:$D$1273,0)</f>
        <v>0</v>
      </c>
      <c r="D40" s="4">
        <f>_xlfn.XLOOKUP(B40,[4]Sheet2!$B$2:$B$3154,[4]Sheet2!$F$2:$F$3154,0)</f>
        <v>0</v>
      </c>
      <c r="E40" s="4" t="e">
        <f>_xlfn.XLOOKUP(B40,[2]Sheet2!$E$2:$E$713,[2]Sheet2!$G$2:$G$713)</f>
        <v>#N/A</v>
      </c>
      <c r="F40" s="18">
        <v>46028</v>
      </c>
      <c r="G40" s="14">
        <v>0.71780092592592593</v>
      </c>
      <c r="H40" s="7" t="s">
        <v>4</v>
      </c>
      <c r="I40" s="2" t="str">
        <f t="shared" si="3"/>
        <v>Q4</v>
      </c>
      <c r="J40" s="2" t="str">
        <f t="shared" si="4"/>
        <v>Not Found</v>
      </c>
      <c r="K40" s="2">
        <f t="shared" si="0"/>
        <v>0.22360679774997899</v>
      </c>
      <c r="L40" s="2" t="e">
        <f t="shared" si="1"/>
        <v>#N/A</v>
      </c>
      <c r="M40" s="2" t="str">
        <f t="shared" si="2"/>
        <v>Assign quadrant hit</v>
      </c>
      <c r="N40" s="7">
        <v>18.100000000000001</v>
      </c>
      <c r="O40" s="7">
        <v>2</v>
      </c>
      <c r="P40" s="7">
        <v>-11.2</v>
      </c>
      <c r="Q40" s="7">
        <v>-0.36</v>
      </c>
      <c r="R40" s="7">
        <v>0.2</v>
      </c>
      <c r="S40" s="7">
        <v>-0.1</v>
      </c>
      <c r="T40" s="7">
        <v>0.18</v>
      </c>
      <c r="U40" s="7">
        <v>0.31</v>
      </c>
      <c r="V40" s="7">
        <v>0.51</v>
      </c>
      <c r="W40" s="7" t="s">
        <v>8</v>
      </c>
      <c r="X40" s="7" t="s">
        <v>9</v>
      </c>
      <c r="Y40" s="2" t="s">
        <v>719</v>
      </c>
      <c r="Z40" s="2" t="s">
        <v>721</v>
      </c>
    </row>
    <row r="41" spans="1:26" x14ac:dyDescent="0.35">
      <c r="A41" s="7" t="s">
        <v>1524</v>
      </c>
      <c r="B41" s="7" t="s">
        <v>59</v>
      </c>
      <c r="C41" s="4">
        <f>_xlfn.XLOOKUP(A41,[2]Sheet2!$I$2:$I$1273,[2]Sheet2!$D$2:$D$1273,0)</f>
        <v>0</v>
      </c>
      <c r="D41" s="4">
        <f>_xlfn.XLOOKUP(B41,[4]Sheet2!$B$2:$B$3154,[4]Sheet2!$F$2:$F$3154,0)</f>
        <v>0</v>
      </c>
      <c r="E41" s="4" t="e">
        <f>_xlfn.XLOOKUP(B41,[2]Sheet2!$E$2:$E$713,[2]Sheet2!$G$2:$G$713)</f>
        <v>#N/A</v>
      </c>
      <c r="F41" s="18">
        <v>46028</v>
      </c>
      <c r="G41" s="14">
        <v>0.73237268518518517</v>
      </c>
      <c r="H41" s="7" t="s">
        <v>4</v>
      </c>
      <c r="I41" s="2" t="str">
        <f t="shared" si="3"/>
        <v>Q1</v>
      </c>
      <c r="J41" s="2" t="str">
        <f t="shared" si="4"/>
        <v>Not Found</v>
      </c>
      <c r="K41" s="2">
        <f t="shared" si="0"/>
        <v>1.1000000000000001</v>
      </c>
      <c r="L41" s="2" t="e">
        <f t="shared" si="1"/>
        <v>#N/A</v>
      </c>
      <c r="M41" s="2" t="str">
        <f t="shared" si="2"/>
        <v>Assign quadrant hit</v>
      </c>
      <c r="N41" s="7">
        <v>28.1</v>
      </c>
      <c r="O41" s="7">
        <v>32.5</v>
      </c>
      <c r="P41" s="7">
        <v>21.5</v>
      </c>
      <c r="Q41" s="7">
        <v>-0.86</v>
      </c>
      <c r="R41" s="7">
        <v>0</v>
      </c>
      <c r="S41" s="7">
        <v>1.1000000000000001</v>
      </c>
      <c r="T41" s="7">
        <v>0.3</v>
      </c>
      <c r="U41" s="7">
        <v>0.79</v>
      </c>
      <c r="V41" s="7">
        <v>1.21</v>
      </c>
      <c r="W41" s="7" t="s">
        <v>6</v>
      </c>
      <c r="X41" s="7" t="s">
        <v>12</v>
      </c>
      <c r="Y41" s="2" t="s">
        <v>719</v>
      </c>
      <c r="Z41" s="2" t="s">
        <v>721</v>
      </c>
    </row>
    <row r="42" spans="1:26" x14ac:dyDescent="0.35">
      <c r="A42" s="7" t="s">
        <v>1501</v>
      </c>
      <c r="B42" s="7" t="s">
        <v>60</v>
      </c>
      <c r="C42" s="4" t="str">
        <f>_xlfn.XLOOKUP(A42,[2]Sheet2!$I$2:$I$1273,[2]Sheet2!$D$2:$D$1273,0)</f>
        <v>Q3</v>
      </c>
      <c r="D42" s="4">
        <f>_xlfn.XLOOKUP(B42,[4]Sheet2!$B$2:$B$3154,[4]Sheet2!$F$2:$F$3154,0)</f>
        <v>0</v>
      </c>
      <c r="E42" s="4" t="e">
        <f>_xlfn.XLOOKUP(B42,[2]Sheet2!$E$2:$E$713,[2]Sheet2!$G$2:$G$713)</f>
        <v>#N/A</v>
      </c>
      <c r="F42" s="18">
        <v>46028</v>
      </c>
      <c r="G42" s="14">
        <v>0.74420138888888887</v>
      </c>
      <c r="H42" s="7" t="s">
        <v>11</v>
      </c>
      <c r="I42" s="2" t="str">
        <f t="shared" si="3"/>
        <v>Q3</v>
      </c>
      <c r="J42" s="2" t="str">
        <f t="shared" si="4"/>
        <v>Match</v>
      </c>
      <c r="K42" s="2">
        <f t="shared" si="0"/>
        <v>1.019803902718557</v>
      </c>
      <c r="L42" s="2" t="e">
        <f t="shared" si="1"/>
        <v>#N/A</v>
      </c>
      <c r="M42" s="2" t="str">
        <f t="shared" si="2"/>
        <v>Failed but within quadrant</v>
      </c>
      <c r="N42" s="7">
        <v>40</v>
      </c>
      <c r="O42" s="7">
        <v>43.1</v>
      </c>
      <c r="P42" s="7">
        <v>27.1</v>
      </c>
      <c r="Q42" s="7">
        <v>-0.79</v>
      </c>
      <c r="R42" s="7">
        <v>-1</v>
      </c>
      <c r="S42" s="7">
        <v>-0.2</v>
      </c>
      <c r="T42" s="7">
        <v>-0.38</v>
      </c>
      <c r="U42" s="7">
        <v>0.24</v>
      </c>
      <c r="V42" s="7">
        <v>0.91</v>
      </c>
      <c r="W42" s="7" t="s">
        <v>13</v>
      </c>
      <c r="X42" s="7" t="s">
        <v>12</v>
      </c>
      <c r="Y42" s="2" t="s">
        <v>719</v>
      </c>
      <c r="Z42" s="2" t="s">
        <v>721</v>
      </c>
    </row>
    <row r="43" spans="1:26" x14ac:dyDescent="0.35">
      <c r="A43" s="7" t="s">
        <v>1525</v>
      </c>
      <c r="B43" s="7" t="s">
        <v>61</v>
      </c>
      <c r="C43" s="4">
        <f>_xlfn.XLOOKUP(A43,[2]Sheet2!$I$2:$I$1273,[2]Sheet2!$D$2:$D$1273,0)</f>
        <v>0</v>
      </c>
      <c r="D43" s="4">
        <f>_xlfn.XLOOKUP(B43,[4]Sheet2!$B$2:$B$3154,[4]Sheet2!$F$2:$F$3154,0)</f>
        <v>0</v>
      </c>
      <c r="E43" s="4" t="e">
        <f>_xlfn.XLOOKUP(B43,[2]Sheet2!$E$2:$E$713,[2]Sheet2!$G$2:$G$713)</f>
        <v>#N/A</v>
      </c>
      <c r="F43" s="18">
        <v>46028</v>
      </c>
      <c r="G43" s="14">
        <v>0.7600231481481482</v>
      </c>
      <c r="H43" s="7" t="s">
        <v>4</v>
      </c>
      <c r="I43" s="2" t="str">
        <f t="shared" si="3"/>
        <v>Q3</v>
      </c>
      <c r="J43" s="2" t="str">
        <f t="shared" si="4"/>
        <v>Not Found</v>
      </c>
      <c r="K43" s="2">
        <f t="shared" si="0"/>
        <v>0.36055512754639896</v>
      </c>
      <c r="L43" s="2" t="e">
        <f t="shared" si="1"/>
        <v>#N/A</v>
      </c>
      <c r="M43" s="2" t="str">
        <f t="shared" si="2"/>
        <v>Assign quadrant hit</v>
      </c>
      <c r="N43" s="7">
        <v>17.600000000000001</v>
      </c>
      <c r="O43" s="7">
        <v>4.5999999999999996</v>
      </c>
      <c r="P43" s="7">
        <v>4.3</v>
      </c>
      <c r="Q43" s="7">
        <v>-1.1499999999999999</v>
      </c>
      <c r="R43" s="7">
        <v>-0.3</v>
      </c>
      <c r="S43" s="7">
        <v>-0.2</v>
      </c>
      <c r="T43" s="7">
        <v>-0.42</v>
      </c>
      <c r="U43" s="7">
        <v>0.02</v>
      </c>
      <c r="V43" s="7">
        <v>1.23</v>
      </c>
      <c r="W43" s="7" t="s">
        <v>6</v>
      </c>
      <c r="X43" s="7" t="s">
        <v>12</v>
      </c>
      <c r="Y43" s="2" t="s">
        <v>719</v>
      </c>
      <c r="Z43" s="2" t="s">
        <v>721</v>
      </c>
    </row>
    <row r="44" spans="1:26" x14ac:dyDescent="0.35">
      <c r="A44" s="7" t="s">
        <v>1523</v>
      </c>
      <c r="B44" s="7" t="s">
        <v>62</v>
      </c>
      <c r="C44" s="4">
        <f>_xlfn.XLOOKUP(A44,[2]Sheet2!$I$2:$I$1273,[2]Sheet2!$D$2:$D$1273,0)</f>
        <v>0</v>
      </c>
      <c r="D44" s="4">
        <f>_xlfn.XLOOKUP(B44,[4]Sheet2!$B$2:$B$3154,[4]Sheet2!$F$2:$F$3154,0)</f>
        <v>0</v>
      </c>
      <c r="E44" s="4" t="e">
        <f>_xlfn.XLOOKUP(B44,[2]Sheet2!$E$2:$E$713,[2]Sheet2!$G$2:$G$713)</f>
        <v>#N/A</v>
      </c>
      <c r="F44" s="18">
        <v>46028</v>
      </c>
      <c r="G44" s="14">
        <v>0.7663078703703704</v>
      </c>
      <c r="H44" s="7" t="s">
        <v>4</v>
      </c>
      <c r="I44" s="2" t="str">
        <f t="shared" si="3"/>
        <v>Q4</v>
      </c>
      <c r="J44" s="2" t="str">
        <f t="shared" si="4"/>
        <v>Not Found</v>
      </c>
      <c r="K44" s="2">
        <f t="shared" si="0"/>
        <v>0.2</v>
      </c>
      <c r="L44" s="2" t="e">
        <f t="shared" si="1"/>
        <v>#N/A</v>
      </c>
      <c r="M44" s="2" t="str">
        <f t="shared" si="2"/>
        <v>Assign quadrant hit</v>
      </c>
      <c r="N44" s="7">
        <v>18.2</v>
      </c>
      <c r="O44" s="7">
        <v>1.8</v>
      </c>
      <c r="P44" s="7">
        <v>-11.2</v>
      </c>
      <c r="Q44" s="7">
        <v>-0.31</v>
      </c>
      <c r="R44" s="7">
        <v>0</v>
      </c>
      <c r="S44" s="7">
        <v>-0.2</v>
      </c>
      <c r="T44" s="7">
        <v>0.18</v>
      </c>
      <c r="U44" s="7">
        <v>0.02</v>
      </c>
      <c r="V44" s="7">
        <v>0.36</v>
      </c>
      <c r="W44" s="7" t="s">
        <v>8</v>
      </c>
      <c r="X44" s="7" t="s">
        <v>9</v>
      </c>
      <c r="Y44" s="2" t="s">
        <v>719</v>
      </c>
      <c r="Z44" s="2" t="s">
        <v>721</v>
      </c>
    </row>
    <row r="45" spans="1:26" x14ac:dyDescent="0.35">
      <c r="A45" s="7" t="s">
        <v>1526</v>
      </c>
      <c r="B45" s="7" t="s">
        <v>63</v>
      </c>
      <c r="C45" s="4" t="str">
        <f>_xlfn.XLOOKUP(A45,[2]Sheet2!$I$2:$I$1273,[2]Sheet2!$D$2:$D$1273,0)</f>
        <v>Q4</v>
      </c>
      <c r="D45" s="4">
        <f>_xlfn.XLOOKUP(B45,[4]Sheet2!$B$2:$B$3154,[4]Sheet2!$F$2:$F$3154,0)</f>
        <v>0</v>
      </c>
      <c r="E45" s="4" t="e">
        <f>_xlfn.XLOOKUP(B45,[2]Sheet2!$E$2:$E$713,[2]Sheet2!$G$2:$G$713)</f>
        <v>#N/A</v>
      </c>
      <c r="F45" s="18">
        <v>46028</v>
      </c>
      <c r="G45" s="14">
        <v>0.84637731481481482</v>
      </c>
      <c r="H45" s="7" t="s">
        <v>11</v>
      </c>
      <c r="I45" s="2" t="str">
        <f t="shared" si="3"/>
        <v>Q2</v>
      </c>
      <c r="J45" s="2" t="str">
        <f t="shared" si="4"/>
        <v>Not Match</v>
      </c>
      <c r="K45" s="2">
        <f t="shared" si="0"/>
        <v>0.56568542494923812</v>
      </c>
      <c r="L45" s="2" t="e">
        <f t="shared" si="1"/>
        <v>#N/A</v>
      </c>
      <c r="M45" s="2" t="str">
        <f t="shared" si="2"/>
        <v>Below 0.8 not in assigned quadrant</v>
      </c>
      <c r="N45" s="7">
        <v>32.700000000000003</v>
      </c>
      <c r="O45" s="7">
        <v>-6</v>
      </c>
      <c r="P45" s="7">
        <v>-10.5</v>
      </c>
      <c r="Q45" s="7">
        <v>-0.39</v>
      </c>
      <c r="R45" s="7">
        <v>-0.4</v>
      </c>
      <c r="S45" s="7">
        <v>0.4</v>
      </c>
      <c r="T45" s="7">
        <v>-0.15</v>
      </c>
      <c r="U45" s="7">
        <v>-0.61</v>
      </c>
      <c r="V45" s="7">
        <v>0.74</v>
      </c>
      <c r="W45" s="7" t="s">
        <v>8</v>
      </c>
      <c r="X45" s="7" t="s">
        <v>15</v>
      </c>
      <c r="Y45" s="2" t="s">
        <v>719</v>
      </c>
      <c r="Z45" s="2" t="s">
        <v>721</v>
      </c>
    </row>
    <row r="46" spans="1:26" x14ac:dyDescent="0.35">
      <c r="A46" s="7" t="s">
        <v>1527</v>
      </c>
      <c r="B46" s="7" t="s">
        <v>64</v>
      </c>
      <c r="C46" s="4">
        <f>_xlfn.XLOOKUP(A46,[2]Sheet2!$I$2:$I$1273,[2]Sheet2!$D$2:$D$1273,0)</f>
        <v>0</v>
      </c>
      <c r="D46" s="4">
        <f>_xlfn.XLOOKUP(B46,[4]Sheet2!$B$2:$B$3154,[4]Sheet2!$F$2:$F$3154,0)</f>
        <v>0</v>
      </c>
      <c r="E46" s="4" t="e">
        <f>_xlfn.XLOOKUP(B46,[2]Sheet2!$E$2:$E$713,[2]Sheet2!$G$2:$G$713)</f>
        <v>#N/A</v>
      </c>
      <c r="F46" s="18">
        <v>46028</v>
      </c>
      <c r="G46" s="14">
        <v>0.97631944444444441</v>
      </c>
      <c r="H46" s="7" t="s">
        <v>5</v>
      </c>
      <c r="I46" s="2" t="str">
        <f t="shared" si="3"/>
        <v>Q2</v>
      </c>
      <c r="J46" s="2" t="str">
        <f t="shared" si="4"/>
        <v>Not Found</v>
      </c>
      <c r="K46" s="2">
        <f t="shared" si="0"/>
        <v>1.3152946437965907</v>
      </c>
      <c r="L46" s="2" t="e">
        <f t="shared" si="1"/>
        <v>#N/A</v>
      </c>
      <c r="M46" s="2" t="str">
        <f t="shared" si="2"/>
        <v>Assign quadrant hit</v>
      </c>
      <c r="N46" s="7">
        <v>29</v>
      </c>
      <c r="O46" s="7">
        <v>6.6</v>
      </c>
      <c r="P46" s="7">
        <v>-45.9</v>
      </c>
      <c r="Q46" s="7">
        <v>0.23</v>
      </c>
      <c r="R46" s="7">
        <v>-0.2</v>
      </c>
      <c r="S46" s="7">
        <v>1.3</v>
      </c>
      <c r="T46" s="7">
        <v>-0.54</v>
      </c>
      <c r="U46" s="7">
        <v>-7.0000000000000007E-2</v>
      </c>
      <c r="V46" s="7">
        <v>0.59</v>
      </c>
      <c r="W46" s="7" t="s">
        <v>8</v>
      </c>
      <c r="X46" s="7" t="s">
        <v>15</v>
      </c>
      <c r="Y46" s="2" t="s">
        <v>719</v>
      </c>
      <c r="Z46" s="2" t="s">
        <v>721</v>
      </c>
    </row>
    <row r="47" spans="1:26" x14ac:dyDescent="0.35">
      <c r="A47" s="7" t="s">
        <v>1528</v>
      </c>
      <c r="B47" s="7" t="s">
        <v>65</v>
      </c>
      <c r="C47" s="4" t="str">
        <f>_xlfn.XLOOKUP(A47,[2]Sheet2!$I$2:$I$1273,[2]Sheet2!$D$2:$D$1273,0)</f>
        <v>Q1</v>
      </c>
      <c r="D47" s="4">
        <f>_xlfn.XLOOKUP(B47,[4]Sheet2!$B$2:$B$3154,[4]Sheet2!$F$2:$F$3154,0)</f>
        <v>0</v>
      </c>
      <c r="E47" s="4" t="e">
        <f>_xlfn.XLOOKUP(B47,[2]Sheet2!$E$2:$E$713,[2]Sheet2!$G$2:$G$713)</f>
        <v>#N/A</v>
      </c>
      <c r="F47" s="18">
        <v>46028</v>
      </c>
      <c r="G47" s="14">
        <v>0.97906249999999995</v>
      </c>
      <c r="H47" s="7" t="s">
        <v>5</v>
      </c>
      <c r="I47" s="2" t="str">
        <f t="shared" si="3"/>
        <v>Q1</v>
      </c>
      <c r="J47" s="2" t="str">
        <f t="shared" si="4"/>
        <v>Match</v>
      </c>
      <c r="K47" s="2">
        <f t="shared" si="0"/>
        <v>1.4142135623730949</v>
      </c>
      <c r="L47" s="2" t="e">
        <f t="shared" si="1"/>
        <v>#N/A</v>
      </c>
      <c r="M47" s="2" t="str">
        <f t="shared" si="2"/>
        <v>Failed but within quadrant</v>
      </c>
      <c r="N47" s="7">
        <v>43.1</v>
      </c>
      <c r="O47" s="7">
        <v>50.9</v>
      </c>
      <c r="P47" s="7">
        <v>-2.7</v>
      </c>
      <c r="Q47" s="7">
        <v>-0.28999999999999998</v>
      </c>
      <c r="R47" s="7">
        <v>0.2</v>
      </c>
      <c r="S47" s="7">
        <v>1.4</v>
      </c>
      <c r="T47" s="7">
        <v>7.0000000000000007E-2</v>
      </c>
      <c r="U47" s="7">
        <v>0.8</v>
      </c>
      <c r="V47" s="7">
        <v>0.85</v>
      </c>
      <c r="W47" s="7" t="s">
        <v>13</v>
      </c>
      <c r="X47" s="7" t="s">
        <v>9</v>
      </c>
      <c r="Y47" s="2" t="s">
        <v>719</v>
      </c>
      <c r="Z47" s="2" t="s">
        <v>721</v>
      </c>
    </row>
    <row r="48" spans="1:26" x14ac:dyDescent="0.35">
      <c r="A48" s="7" t="s">
        <v>1529</v>
      </c>
      <c r="B48" s="7" t="s">
        <v>66</v>
      </c>
      <c r="C48" s="4">
        <f>_xlfn.XLOOKUP(A48,[2]Sheet2!$I$2:$I$1273,[2]Sheet2!$D$2:$D$1273,0)</f>
        <v>0</v>
      </c>
      <c r="D48" s="4">
        <f>_xlfn.XLOOKUP(B48,[4]Sheet2!$B$2:$B$3154,[4]Sheet2!$F$2:$F$3154,0)</f>
        <v>0</v>
      </c>
      <c r="E48" s="4" t="e">
        <f>_xlfn.XLOOKUP(B48,[2]Sheet2!$E$2:$E$713,[2]Sheet2!$G$2:$G$713)</f>
        <v>#N/A</v>
      </c>
      <c r="F48" s="18">
        <v>46028</v>
      </c>
      <c r="G48" s="14">
        <v>0.98141203703703705</v>
      </c>
      <c r="H48" s="7" t="s">
        <v>5</v>
      </c>
      <c r="I48" s="2" t="str">
        <f t="shared" si="3"/>
        <v>Q1</v>
      </c>
      <c r="J48" s="2" t="str">
        <f t="shared" si="4"/>
        <v>Not Found</v>
      </c>
      <c r="K48" s="2">
        <f t="shared" si="0"/>
        <v>1</v>
      </c>
      <c r="L48" s="2" t="e">
        <f t="shared" si="1"/>
        <v>#N/A</v>
      </c>
      <c r="M48" s="2" t="str">
        <f t="shared" si="2"/>
        <v>Assign quadrant hit</v>
      </c>
      <c r="N48" s="7">
        <v>31.1</v>
      </c>
      <c r="O48" s="7">
        <v>33.299999999999997</v>
      </c>
      <c r="P48" s="7">
        <v>4.8</v>
      </c>
      <c r="Q48" s="7">
        <v>-0.6</v>
      </c>
      <c r="R48" s="7">
        <v>0</v>
      </c>
      <c r="S48" s="7">
        <v>1</v>
      </c>
      <c r="T48" s="7">
        <v>0.08</v>
      </c>
      <c r="U48" s="7">
        <v>0.76</v>
      </c>
      <c r="V48" s="7">
        <v>0.97</v>
      </c>
      <c r="W48" s="7" t="s">
        <v>13</v>
      </c>
      <c r="X48" s="7" t="s">
        <v>9</v>
      </c>
      <c r="Y48" s="2" t="s">
        <v>719</v>
      </c>
      <c r="Z48" s="2" t="s">
        <v>721</v>
      </c>
    </row>
    <row r="49" spans="1:26" x14ac:dyDescent="0.35">
      <c r="A49" s="7" t="s">
        <v>1530</v>
      </c>
      <c r="B49" s="7" t="s">
        <v>67</v>
      </c>
      <c r="C49" s="4">
        <f>_xlfn.XLOOKUP(A49,[2]Sheet2!$I$2:$I$1273,[2]Sheet2!$D$2:$D$1273,0)</f>
        <v>0</v>
      </c>
      <c r="D49" s="4">
        <f>_xlfn.XLOOKUP(B49,[4]Sheet2!$B$2:$B$3154,[4]Sheet2!$F$2:$F$3154,0)</f>
        <v>0</v>
      </c>
      <c r="E49" s="4" t="e">
        <f>_xlfn.XLOOKUP(B49,[2]Sheet2!$E$2:$E$713,[2]Sheet2!$G$2:$G$713)</f>
        <v>#N/A</v>
      </c>
      <c r="F49" s="18">
        <v>46029</v>
      </c>
      <c r="G49" s="14">
        <v>7.6967592592592591E-3</v>
      </c>
      <c r="H49" s="7" t="s">
        <v>4</v>
      </c>
      <c r="I49" s="2" t="str">
        <f t="shared" si="3"/>
        <v>Q1</v>
      </c>
      <c r="J49" s="2" t="str">
        <f t="shared" si="4"/>
        <v>Not Found</v>
      </c>
      <c r="K49" s="2">
        <f t="shared" si="0"/>
        <v>0.28284271247461906</v>
      </c>
      <c r="L49" s="2" t="e">
        <f t="shared" si="1"/>
        <v>#N/A</v>
      </c>
      <c r="M49" s="2" t="str">
        <f t="shared" si="2"/>
        <v>Assign quadrant hit</v>
      </c>
      <c r="N49" s="7">
        <v>31.6</v>
      </c>
      <c r="O49" s="7">
        <v>-11.3</v>
      </c>
      <c r="P49" s="7">
        <v>-21.1</v>
      </c>
      <c r="Q49" s="7">
        <v>0.51</v>
      </c>
      <c r="R49" s="7">
        <v>0.2</v>
      </c>
      <c r="S49" s="7">
        <v>0.2</v>
      </c>
      <c r="T49" s="7">
        <v>-0.21</v>
      </c>
      <c r="U49" s="7">
        <v>0.08</v>
      </c>
      <c r="V49" s="7">
        <v>0.55000000000000004</v>
      </c>
      <c r="W49" s="7" t="s">
        <v>8</v>
      </c>
      <c r="X49" s="7" t="s">
        <v>9</v>
      </c>
      <c r="Y49" s="2" t="s">
        <v>719</v>
      </c>
      <c r="Z49" s="2" t="s">
        <v>721</v>
      </c>
    </row>
    <row r="50" spans="1:26" x14ac:dyDescent="0.35">
      <c r="A50" s="7" t="s">
        <v>1531</v>
      </c>
      <c r="B50" s="7" t="s">
        <v>959</v>
      </c>
      <c r="C50" s="4" t="str">
        <f>_xlfn.XLOOKUP(A50,[2]Sheet2!$I$2:$I$1273,[2]Sheet2!$D$2:$D$1273,0)</f>
        <v>Q2</v>
      </c>
      <c r="D50" s="4">
        <f>_xlfn.XLOOKUP(B50,[4]Sheet2!$B$2:$B$3154,[4]Sheet2!$F$2:$F$3154,0)</f>
        <v>0</v>
      </c>
      <c r="E50" s="4" t="e">
        <f>_xlfn.XLOOKUP(B50,[2]Sheet2!$E$2:$E$713,[2]Sheet2!$G$2:$G$713)</f>
        <v>#N/A</v>
      </c>
      <c r="F50" s="18">
        <v>46029</v>
      </c>
      <c r="G50" s="14">
        <v>1.0625000000000001E-2</v>
      </c>
      <c r="H50" s="7" t="s">
        <v>16</v>
      </c>
      <c r="I50" s="2" t="str">
        <f t="shared" si="3"/>
        <v>Q3</v>
      </c>
      <c r="J50" s="2" t="str">
        <f t="shared" si="4"/>
        <v>Not Match</v>
      </c>
      <c r="K50" s="2">
        <f t="shared" si="0"/>
        <v>0.36055512754639896</v>
      </c>
      <c r="L50" s="2" t="e">
        <f t="shared" si="1"/>
        <v>#N/A</v>
      </c>
      <c r="M50" s="2" t="str">
        <f t="shared" si="2"/>
        <v>Below 0.8 not in assigned quadrant</v>
      </c>
      <c r="N50" s="7">
        <v>17.5</v>
      </c>
      <c r="O50" s="7">
        <v>-1.2</v>
      </c>
      <c r="P50" s="7">
        <v>-9.8000000000000007</v>
      </c>
      <c r="Q50" s="7">
        <v>0.08</v>
      </c>
      <c r="R50" s="7">
        <v>-0.2</v>
      </c>
      <c r="S50" s="7">
        <v>-0.3</v>
      </c>
      <c r="T50" s="7">
        <v>0.31</v>
      </c>
      <c r="U50" s="7">
        <v>-0.26</v>
      </c>
      <c r="V50" s="7">
        <v>0.42</v>
      </c>
      <c r="W50" s="7" t="s">
        <v>8</v>
      </c>
      <c r="X50" s="7" t="s">
        <v>15</v>
      </c>
      <c r="Y50" s="2" t="s">
        <v>719</v>
      </c>
      <c r="Z50" s="2" t="s">
        <v>721</v>
      </c>
    </row>
    <row r="51" spans="1:26" x14ac:dyDescent="0.35">
      <c r="A51" s="7" t="s">
        <v>1532</v>
      </c>
      <c r="B51" s="7" t="s">
        <v>68</v>
      </c>
      <c r="C51" s="4" t="str">
        <f>_xlfn.XLOOKUP(A51,[2]Sheet2!$I$2:$I$1273,[2]Sheet2!$D$2:$D$1273,0)</f>
        <v>Q3</v>
      </c>
      <c r="D51" s="4">
        <f>_xlfn.XLOOKUP(B51,[4]Sheet2!$B$2:$B$3154,[4]Sheet2!$F$2:$F$3154,0)</f>
        <v>0</v>
      </c>
      <c r="E51" s="4" t="e">
        <f>_xlfn.XLOOKUP(B51,[2]Sheet2!$E$2:$E$713,[2]Sheet2!$G$2:$G$713)</f>
        <v>#N/A</v>
      </c>
      <c r="F51" s="18">
        <v>46029</v>
      </c>
      <c r="G51" s="14">
        <v>2.4155092592592593E-2</v>
      </c>
      <c r="H51" s="7" t="s">
        <v>16</v>
      </c>
      <c r="I51" s="2" t="str">
        <f t="shared" si="3"/>
        <v>Q4</v>
      </c>
      <c r="J51" s="2" t="str">
        <f t="shared" si="4"/>
        <v>Not Match</v>
      </c>
      <c r="K51" s="2">
        <f t="shared" si="0"/>
        <v>0.1</v>
      </c>
      <c r="L51" s="2" t="e">
        <f t="shared" si="1"/>
        <v>#N/A</v>
      </c>
      <c r="M51" s="2" t="str">
        <f t="shared" si="2"/>
        <v>Below 0.8 not in assigned quadrant</v>
      </c>
      <c r="N51" s="7">
        <v>14.5</v>
      </c>
      <c r="O51" s="7">
        <v>-0.4</v>
      </c>
      <c r="P51" s="7">
        <v>-2</v>
      </c>
      <c r="Q51" s="7">
        <v>-0.59</v>
      </c>
      <c r="R51" s="7">
        <v>0</v>
      </c>
      <c r="S51" s="7">
        <v>-0.1</v>
      </c>
      <c r="T51" s="7">
        <v>0.27</v>
      </c>
      <c r="U51" s="7">
        <v>-0.03</v>
      </c>
      <c r="V51" s="7">
        <v>0.65</v>
      </c>
      <c r="W51" s="7" t="s">
        <v>8</v>
      </c>
      <c r="X51" s="7" t="s">
        <v>15</v>
      </c>
      <c r="Y51" s="2" t="s">
        <v>719</v>
      </c>
      <c r="Z51" s="2" t="s">
        <v>721</v>
      </c>
    </row>
    <row r="52" spans="1:26" x14ac:dyDescent="0.35">
      <c r="A52" s="7" t="s">
        <v>1518</v>
      </c>
      <c r="B52" s="7" t="s">
        <v>69</v>
      </c>
      <c r="C52" s="4" t="str">
        <f>_xlfn.XLOOKUP(A52,[2]Sheet2!$I$2:$I$1273,[2]Sheet2!$D$2:$D$1273,0)</f>
        <v>Q1</v>
      </c>
      <c r="D52" s="4">
        <f>_xlfn.XLOOKUP(B52,[4]Sheet2!$B$2:$B$3154,[4]Sheet2!$F$2:$F$3154,0)</f>
        <v>0</v>
      </c>
      <c r="E52" s="4" t="e">
        <f>_xlfn.XLOOKUP(B52,[2]Sheet2!$E$2:$E$713,[2]Sheet2!$G$2:$G$713)</f>
        <v>#N/A</v>
      </c>
      <c r="F52" s="18">
        <v>46029</v>
      </c>
      <c r="G52" s="14">
        <v>5.1307870370370372E-2</v>
      </c>
      <c r="H52" s="7" t="s">
        <v>11</v>
      </c>
      <c r="I52" s="2" t="str">
        <f t="shared" si="3"/>
        <v>Q1</v>
      </c>
      <c r="J52" s="2" t="str">
        <f t="shared" si="4"/>
        <v>Match</v>
      </c>
      <c r="K52" s="2">
        <f t="shared" si="0"/>
        <v>0.58309518948452999</v>
      </c>
      <c r="L52" s="2" t="e">
        <f t="shared" si="1"/>
        <v>#N/A</v>
      </c>
      <c r="M52" s="2" t="str">
        <f t="shared" si="2"/>
        <v>Digital Approve Hit</v>
      </c>
      <c r="N52" s="7">
        <v>26.5</v>
      </c>
      <c r="O52" s="7">
        <v>6.6</v>
      </c>
      <c r="P52" s="7">
        <v>8.4</v>
      </c>
      <c r="Q52" s="7">
        <v>0.01</v>
      </c>
      <c r="R52" s="7">
        <v>0.3</v>
      </c>
      <c r="S52" s="7">
        <v>0.5</v>
      </c>
      <c r="T52" s="7">
        <v>0.51</v>
      </c>
      <c r="U52" s="7">
        <v>0.19</v>
      </c>
      <c r="V52" s="7">
        <v>0.54</v>
      </c>
      <c r="W52" s="7" t="s">
        <v>8</v>
      </c>
      <c r="X52" s="7" t="s">
        <v>12</v>
      </c>
      <c r="Y52" s="2" t="s">
        <v>719</v>
      </c>
      <c r="Z52" s="2" t="s">
        <v>721</v>
      </c>
    </row>
    <row r="53" spans="1:26" x14ac:dyDescent="0.35">
      <c r="A53" s="7" t="s">
        <v>1533</v>
      </c>
      <c r="B53" s="7" t="s">
        <v>70</v>
      </c>
      <c r="C53" s="4" t="str">
        <f>_xlfn.XLOOKUP(A53,[2]Sheet2!$I$2:$I$1273,[2]Sheet2!$D$2:$D$1273,0)</f>
        <v>Q2</v>
      </c>
      <c r="D53" s="4">
        <f>_xlfn.XLOOKUP(B53,[4]Sheet2!$B$2:$B$3154,[4]Sheet2!$F$2:$F$3154,0)</f>
        <v>0</v>
      </c>
      <c r="E53" s="4" t="e">
        <f>_xlfn.XLOOKUP(B53,[2]Sheet2!$E$2:$E$713,[2]Sheet2!$G$2:$G$713)</f>
        <v>#N/A</v>
      </c>
      <c r="F53" s="18">
        <v>46029</v>
      </c>
      <c r="G53" s="14">
        <v>7.8310185185185191E-2</v>
      </c>
      <c r="H53" s="7" t="s">
        <v>16</v>
      </c>
      <c r="I53" s="2" t="str">
        <f t="shared" si="3"/>
        <v>Q3</v>
      </c>
      <c r="J53" s="2" t="str">
        <f t="shared" si="4"/>
        <v>Not Match</v>
      </c>
      <c r="K53" s="2">
        <f t="shared" si="0"/>
        <v>0.28284271247461906</v>
      </c>
      <c r="L53" s="2" t="e">
        <f t="shared" si="1"/>
        <v>#N/A</v>
      </c>
      <c r="M53" s="2" t="str">
        <f t="shared" si="2"/>
        <v>Assign quadrant hit</v>
      </c>
      <c r="N53" s="7">
        <v>25.7</v>
      </c>
      <c r="O53" s="7">
        <v>1.2</v>
      </c>
      <c r="P53" s="7">
        <v>8.8000000000000007</v>
      </c>
      <c r="Q53" s="7">
        <v>-0.99</v>
      </c>
      <c r="R53" s="7">
        <v>-0.2</v>
      </c>
      <c r="S53" s="7">
        <v>-0.2</v>
      </c>
      <c r="T53" s="7">
        <v>-0.23</v>
      </c>
      <c r="U53" s="7">
        <v>0.28999999999999998</v>
      </c>
      <c r="V53" s="7">
        <v>1.06</v>
      </c>
      <c r="W53" s="7" t="s">
        <v>6</v>
      </c>
      <c r="X53" s="7" t="s">
        <v>15</v>
      </c>
      <c r="Y53" s="2" t="s">
        <v>719</v>
      </c>
      <c r="Z53" s="2" t="s">
        <v>721</v>
      </c>
    </row>
    <row r="54" spans="1:26" x14ac:dyDescent="0.35">
      <c r="A54" s="7" t="s">
        <v>1500</v>
      </c>
      <c r="B54" s="7" t="s">
        <v>71</v>
      </c>
      <c r="C54" s="4" t="str">
        <f>_xlfn.XLOOKUP(A54,[2]Sheet2!$I$2:$I$1273,[2]Sheet2!$D$2:$D$1273,0)</f>
        <v>Q2</v>
      </c>
      <c r="D54" s="4">
        <f>_xlfn.XLOOKUP(B54,[4]Sheet2!$B$2:$B$3154,[4]Sheet2!$F$2:$F$3154,0)</f>
        <v>0</v>
      </c>
      <c r="E54" s="4" t="e">
        <f>_xlfn.XLOOKUP(B54,[2]Sheet2!$E$2:$E$713,[2]Sheet2!$G$2:$G$713)</f>
        <v>#N/A</v>
      </c>
      <c r="F54" s="18">
        <v>46029</v>
      </c>
      <c r="G54" s="14">
        <v>8.0023148148148149E-2</v>
      </c>
      <c r="H54" s="7" t="s">
        <v>5</v>
      </c>
      <c r="I54" s="2" t="str">
        <f t="shared" si="3"/>
        <v>Q4</v>
      </c>
      <c r="J54" s="2" t="str">
        <f t="shared" si="4"/>
        <v>Not Match</v>
      </c>
      <c r="K54" s="2">
        <f t="shared" si="0"/>
        <v>0.41231056256176613</v>
      </c>
      <c r="L54" s="2" t="e">
        <f t="shared" si="1"/>
        <v>#N/A</v>
      </c>
      <c r="M54" s="2" t="str">
        <f t="shared" si="2"/>
        <v>Below 0.8 not in assigned quadrant</v>
      </c>
      <c r="N54" s="7">
        <v>17</v>
      </c>
      <c r="O54" s="7">
        <v>-0.5</v>
      </c>
      <c r="P54" s="7">
        <v>-1.8</v>
      </c>
      <c r="Q54" s="7">
        <v>0.35</v>
      </c>
      <c r="R54" s="7">
        <v>0.1</v>
      </c>
      <c r="S54" s="7">
        <v>-0.4</v>
      </c>
      <c r="T54" s="7">
        <v>0.43</v>
      </c>
      <c r="U54" s="7">
        <v>0.41</v>
      </c>
      <c r="V54" s="7">
        <v>0.69</v>
      </c>
      <c r="W54" s="7" t="s">
        <v>8</v>
      </c>
      <c r="X54" s="7" t="s">
        <v>9</v>
      </c>
      <c r="Y54" s="2" t="s">
        <v>719</v>
      </c>
      <c r="Z54" s="2" t="s">
        <v>721</v>
      </c>
    </row>
    <row r="55" spans="1:26" x14ac:dyDescent="0.35">
      <c r="A55" s="7" t="s">
        <v>1500</v>
      </c>
      <c r="B55" s="7" t="s">
        <v>72</v>
      </c>
      <c r="C55" s="4" t="str">
        <f>_xlfn.XLOOKUP(A55,[2]Sheet2!$I$2:$I$1273,[2]Sheet2!$D$2:$D$1273,0)</f>
        <v>Q2</v>
      </c>
      <c r="D55" s="4">
        <f>_xlfn.XLOOKUP(B55,[4]Sheet2!$B$2:$B$3154,[4]Sheet2!$F$2:$F$3154,0)</f>
        <v>0</v>
      </c>
      <c r="E55" s="4" t="e">
        <f>_xlfn.XLOOKUP(B55,[2]Sheet2!$E$2:$E$713,[2]Sheet2!$G$2:$G$713)</f>
        <v>#N/A</v>
      </c>
      <c r="F55" s="18">
        <v>46029</v>
      </c>
      <c r="G55" s="14">
        <v>0.13913194444444443</v>
      </c>
      <c r="H55" s="7" t="s">
        <v>5</v>
      </c>
      <c r="I55" s="2" t="str">
        <f t="shared" si="3"/>
        <v>Q4</v>
      </c>
      <c r="J55" s="2" t="str">
        <f t="shared" si="4"/>
        <v>Not Match</v>
      </c>
      <c r="K55" s="2">
        <f t="shared" si="0"/>
        <v>0.22360679774997899</v>
      </c>
      <c r="L55" s="2" t="e">
        <f t="shared" si="1"/>
        <v>#N/A</v>
      </c>
      <c r="M55" s="2" t="str">
        <f t="shared" si="2"/>
        <v>Below 0.8 not in assigned quadrant</v>
      </c>
      <c r="N55" s="7">
        <v>16.3</v>
      </c>
      <c r="O55" s="7">
        <v>-0.5</v>
      </c>
      <c r="P55" s="7">
        <v>-1.6</v>
      </c>
      <c r="Q55" s="7">
        <v>-0.32</v>
      </c>
      <c r="R55" s="7">
        <v>0.1</v>
      </c>
      <c r="S55" s="7">
        <v>-0.2</v>
      </c>
      <c r="T55" s="7">
        <v>0.2</v>
      </c>
      <c r="U55" s="7">
        <v>0.32</v>
      </c>
      <c r="V55" s="7">
        <v>0.5</v>
      </c>
      <c r="W55" s="7" t="s">
        <v>8</v>
      </c>
      <c r="X55" s="7" t="s">
        <v>9</v>
      </c>
      <c r="Y55" s="2" t="s">
        <v>719</v>
      </c>
      <c r="Z55" s="2" t="s">
        <v>721</v>
      </c>
    </row>
    <row r="56" spans="1:26" x14ac:dyDescent="0.35">
      <c r="A56" s="7" t="s">
        <v>1534</v>
      </c>
      <c r="B56" s="7" t="s">
        <v>73</v>
      </c>
      <c r="C56" s="4">
        <f>_xlfn.XLOOKUP(A56,[2]Sheet2!$I$2:$I$1273,[2]Sheet2!$D$2:$D$1273,0)</f>
        <v>0</v>
      </c>
      <c r="D56" s="4">
        <f>_xlfn.XLOOKUP(B56,[4]Sheet2!$B$2:$B$3154,[4]Sheet2!$F$2:$F$3154,0)</f>
        <v>0</v>
      </c>
      <c r="E56" s="4" t="e">
        <f>_xlfn.XLOOKUP(B56,[2]Sheet2!$E$2:$E$713,[2]Sheet2!$G$2:$G$713)</f>
        <v>#N/A</v>
      </c>
      <c r="F56" s="18">
        <v>46029</v>
      </c>
      <c r="G56" s="14">
        <v>0.1846875</v>
      </c>
      <c r="H56" s="7" t="s">
        <v>11</v>
      </c>
      <c r="I56" s="2" t="str">
        <f t="shared" si="3"/>
        <v>Q2</v>
      </c>
      <c r="J56" s="2" t="str">
        <f t="shared" si="4"/>
        <v>Not Found</v>
      </c>
      <c r="K56" s="2">
        <f t="shared" si="0"/>
        <v>0.31622776601683794</v>
      </c>
      <c r="L56" s="2" t="e">
        <f t="shared" si="1"/>
        <v>#N/A</v>
      </c>
      <c r="M56" s="2" t="str">
        <f t="shared" si="2"/>
        <v>Assign quadrant hit</v>
      </c>
      <c r="N56" s="7">
        <v>19.600000000000001</v>
      </c>
      <c r="O56" s="7">
        <v>-1.9</v>
      </c>
      <c r="P56" s="7">
        <v>-2.4</v>
      </c>
      <c r="Q56" s="7">
        <v>-1.0900000000000001</v>
      </c>
      <c r="R56" s="7">
        <v>-0.1</v>
      </c>
      <c r="S56" s="7">
        <v>0.3</v>
      </c>
      <c r="T56" s="7">
        <v>-0.23</v>
      </c>
      <c r="U56" s="7">
        <v>-0.47</v>
      </c>
      <c r="V56" s="7">
        <v>1.21</v>
      </c>
      <c r="W56" s="7" t="s">
        <v>6</v>
      </c>
      <c r="X56" s="7" t="s">
        <v>15</v>
      </c>
      <c r="Y56" s="2" t="s">
        <v>719</v>
      </c>
      <c r="Z56" s="2" t="s">
        <v>721</v>
      </c>
    </row>
    <row r="57" spans="1:26" x14ac:dyDescent="0.35">
      <c r="A57" s="7" t="s">
        <v>1535</v>
      </c>
      <c r="B57" s="7" t="s">
        <v>74</v>
      </c>
      <c r="C57" s="4" t="str">
        <f>_xlfn.XLOOKUP(A57,[2]Sheet2!$I$2:$I$1273,[2]Sheet2!$D$2:$D$1273,0)</f>
        <v>Q3</v>
      </c>
      <c r="D57" s="4">
        <f>_xlfn.XLOOKUP(B57,[4]Sheet2!$B$2:$B$3154,[4]Sheet2!$F$2:$F$3154,0)</f>
        <v>0</v>
      </c>
      <c r="E57" s="4" t="e">
        <f>_xlfn.XLOOKUP(B57,[2]Sheet2!$E$2:$E$713,[2]Sheet2!$G$2:$G$713)</f>
        <v>#N/A</v>
      </c>
      <c r="F57" s="18">
        <v>46029</v>
      </c>
      <c r="G57" s="14">
        <v>0.25324074074074077</v>
      </c>
      <c r="H57" s="7" t="s">
        <v>5</v>
      </c>
      <c r="I57" s="2" t="str">
        <f t="shared" si="3"/>
        <v>Q1</v>
      </c>
      <c r="J57" s="2" t="str">
        <f t="shared" si="4"/>
        <v>Not Match</v>
      </c>
      <c r="K57" s="2">
        <f t="shared" si="0"/>
        <v>0.3</v>
      </c>
      <c r="L57" s="2" t="e">
        <f t="shared" si="1"/>
        <v>#N/A</v>
      </c>
      <c r="M57" s="2" t="str">
        <f t="shared" si="2"/>
        <v>Below 0.8 not in assigned quadrant</v>
      </c>
      <c r="N57" s="7">
        <v>16.2</v>
      </c>
      <c r="O57" s="7">
        <v>-0.6</v>
      </c>
      <c r="P57" s="7">
        <v>-3.1</v>
      </c>
      <c r="Q57" s="7">
        <v>-0.49</v>
      </c>
      <c r="R57" s="7">
        <v>0</v>
      </c>
      <c r="S57" s="7">
        <v>0.3</v>
      </c>
      <c r="T57" s="7">
        <v>-0.34</v>
      </c>
      <c r="U57" s="7">
        <v>-0.11</v>
      </c>
      <c r="V57" s="7">
        <v>0.6</v>
      </c>
      <c r="W57" s="7" t="s">
        <v>8</v>
      </c>
      <c r="X57" s="7" t="s">
        <v>15</v>
      </c>
      <c r="Y57" s="2" t="s">
        <v>719</v>
      </c>
      <c r="Z57" s="2" t="s">
        <v>721</v>
      </c>
    </row>
    <row r="58" spans="1:26" x14ac:dyDescent="0.35">
      <c r="A58" s="7" t="s">
        <v>1536</v>
      </c>
      <c r="B58" s="7" t="s">
        <v>75</v>
      </c>
      <c r="C58" s="4" t="str">
        <f>_xlfn.XLOOKUP(A58,[2]Sheet2!$I$2:$I$1273,[2]Sheet2!$D$2:$D$1273,0)</f>
        <v>Q2</v>
      </c>
      <c r="D58" s="4">
        <f>_xlfn.XLOOKUP(B58,[4]Sheet2!$B$2:$B$3154,[4]Sheet2!$F$2:$F$3154,0)</f>
        <v>0</v>
      </c>
      <c r="E58" s="4" t="e">
        <f>_xlfn.XLOOKUP(B58,[2]Sheet2!$E$2:$E$713,[2]Sheet2!$G$2:$G$713)</f>
        <v>#N/A</v>
      </c>
      <c r="F58" s="18">
        <v>46029</v>
      </c>
      <c r="G58" s="14">
        <v>0.29065972222222225</v>
      </c>
      <c r="H58" s="7" t="s">
        <v>5</v>
      </c>
      <c r="I58" s="2" t="str">
        <f t="shared" si="3"/>
        <v>Q4</v>
      </c>
      <c r="J58" s="2" t="str">
        <f t="shared" si="4"/>
        <v>Not Match</v>
      </c>
      <c r="K58" s="2">
        <f t="shared" si="0"/>
        <v>0.14142135623730953</v>
      </c>
      <c r="L58" s="2" t="e">
        <f t="shared" si="1"/>
        <v>#N/A</v>
      </c>
      <c r="M58" s="2" t="str">
        <f t="shared" si="2"/>
        <v>Below 0.8 not in assigned quadrant</v>
      </c>
      <c r="N58" s="7">
        <v>15.6</v>
      </c>
      <c r="O58" s="7">
        <v>-0.4</v>
      </c>
      <c r="P58" s="7">
        <v>-2.7</v>
      </c>
      <c r="Q58" s="7">
        <v>0.39</v>
      </c>
      <c r="R58" s="7">
        <v>0.1</v>
      </c>
      <c r="S58" s="7">
        <v>-0.1</v>
      </c>
      <c r="T58" s="7">
        <v>0.12</v>
      </c>
      <c r="U58" s="7">
        <v>0.25</v>
      </c>
      <c r="V58" s="7">
        <v>0.47</v>
      </c>
      <c r="W58" s="7" t="s">
        <v>8</v>
      </c>
      <c r="X58" s="7" t="s">
        <v>9</v>
      </c>
      <c r="Y58" s="2" t="s">
        <v>719</v>
      </c>
      <c r="Z58" s="2" t="s">
        <v>721</v>
      </c>
    </row>
    <row r="59" spans="1:26" x14ac:dyDescent="0.35">
      <c r="A59" s="7" t="s">
        <v>1537</v>
      </c>
      <c r="B59" s="7" t="s">
        <v>76</v>
      </c>
      <c r="C59" s="4">
        <f>_xlfn.XLOOKUP(A59,[2]Sheet2!$I$2:$I$1273,[2]Sheet2!$D$2:$D$1273,0)</f>
        <v>0</v>
      </c>
      <c r="D59" s="4">
        <f>_xlfn.XLOOKUP(B59,[4]Sheet2!$B$2:$B$3154,[4]Sheet2!$F$2:$F$3154,0)</f>
        <v>0</v>
      </c>
      <c r="E59" s="4" t="e">
        <f>_xlfn.XLOOKUP(B59,[2]Sheet2!$E$2:$E$713,[2]Sheet2!$G$2:$G$713)</f>
        <v>#N/A</v>
      </c>
      <c r="F59" s="18">
        <v>46029</v>
      </c>
      <c r="G59" s="14">
        <v>0.29638888888888887</v>
      </c>
      <c r="H59" s="7" t="s">
        <v>4</v>
      </c>
      <c r="I59" s="2" t="str">
        <f t="shared" si="3"/>
        <v>Q2</v>
      </c>
      <c r="J59" s="2" t="str">
        <f t="shared" si="4"/>
        <v>Not Found</v>
      </c>
      <c r="K59" s="2">
        <f t="shared" si="0"/>
        <v>0.56568542494923812</v>
      </c>
      <c r="L59" s="2" t="e">
        <f t="shared" si="1"/>
        <v>#N/A</v>
      </c>
      <c r="M59" s="2" t="str">
        <f t="shared" si="2"/>
        <v>Assign quadrant hit</v>
      </c>
      <c r="N59" s="7">
        <v>19.100000000000001</v>
      </c>
      <c r="O59" s="7">
        <v>13.8</v>
      </c>
      <c r="P59" s="7">
        <v>-1.4</v>
      </c>
      <c r="Q59" s="7">
        <v>-0.19</v>
      </c>
      <c r="R59" s="7">
        <v>-0.4</v>
      </c>
      <c r="S59" s="7">
        <v>0.4</v>
      </c>
      <c r="T59" s="7">
        <v>-0.31</v>
      </c>
      <c r="U59" s="7">
        <v>0.38</v>
      </c>
      <c r="V59" s="7">
        <v>0.53</v>
      </c>
      <c r="W59" s="7" t="s">
        <v>8</v>
      </c>
      <c r="X59" s="7" t="s">
        <v>9</v>
      </c>
      <c r="Y59" s="2" t="s">
        <v>719</v>
      </c>
      <c r="Z59" s="2" t="s">
        <v>721</v>
      </c>
    </row>
    <row r="60" spans="1:26" x14ac:dyDescent="0.35">
      <c r="A60" s="7" t="s">
        <v>1526</v>
      </c>
      <c r="B60" s="7" t="s">
        <v>77</v>
      </c>
      <c r="C60" s="4" t="str">
        <f>_xlfn.XLOOKUP(A60,[2]Sheet2!$I$2:$I$1273,[2]Sheet2!$D$2:$D$1273,0)</f>
        <v>Q4</v>
      </c>
      <c r="D60" s="4">
        <f>_xlfn.XLOOKUP(B60,[4]Sheet2!$B$2:$B$3154,[4]Sheet2!$F$2:$F$3154,0)</f>
        <v>0</v>
      </c>
      <c r="E60" s="4" t="e">
        <f>_xlfn.XLOOKUP(B60,[2]Sheet2!$E$2:$E$713,[2]Sheet2!$G$2:$G$713)</f>
        <v>#N/A</v>
      </c>
      <c r="F60" s="18">
        <v>46029</v>
      </c>
      <c r="G60" s="14">
        <v>0.47814814814814816</v>
      </c>
      <c r="H60" s="7" t="s">
        <v>11</v>
      </c>
      <c r="I60" s="2" t="str">
        <f t="shared" si="3"/>
        <v>Q4</v>
      </c>
      <c r="J60" s="2" t="str">
        <f t="shared" si="4"/>
        <v>Match</v>
      </c>
      <c r="K60" s="2">
        <f t="shared" si="0"/>
        <v>0.3</v>
      </c>
      <c r="L60" s="2" t="e">
        <f t="shared" si="1"/>
        <v>#N/A</v>
      </c>
      <c r="M60" s="2" t="str">
        <f t="shared" si="2"/>
        <v>Digital Approve Hit</v>
      </c>
      <c r="N60" s="7">
        <v>32.6</v>
      </c>
      <c r="O60" s="7">
        <v>-5.7</v>
      </c>
      <c r="P60" s="7">
        <v>-11.3</v>
      </c>
      <c r="Q60" s="7">
        <v>-0.45</v>
      </c>
      <c r="R60" s="7">
        <v>0</v>
      </c>
      <c r="S60" s="7">
        <v>-0.3</v>
      </c>
      <c r="T60" s="7">
        <v>0.24</v>
      </c>
      <c r="U60" s="7">
        <v>0.08</v>
      </c>
      <c r="V60" s="7">
        <v>0.51</v>
      </c>
      <c r="W60" s="7" t="s">
        <v>8</v>
      </c>
      <c r="X60" s="7" t="s">
        <v>9</v>
      </c>
      <c r="Y60" s="2" t="s">
        <v>719</v>
      </c>
      <c r="Z60" s="2" t="s">
        <v>721</v>
      </c>
    </row>
    <row r="61" spans="1:26" x14ac:dyDescent="0.35">
      <c r="A61" s="7" t="s">
        <v>1521</v>
      </c>
      <c r="B61" s="7" t="s">
        <v>78</v>
      </c>
      <c r="C61" s="4" t="str">
        <f>_xlfn.XLOOKUP(A61,[2]Sheet2!$I$2:$I$1273,[2]Sheet2!$D$2:$D$1273,0)</f>
        <v>Q3</v>
      </c>
      <c r="D61" s="4">
        <f>_xlfn.XLOOKUP(B61,[4]Sheet2!$B$2:$B$3154,[4]Sheet2!$F$2:$F$3154,0)</f>
        <v>0</v>
      </c>
      <c r="E61" s="4" t="e">
        <f>_xlfn.XLOOKUP(B61,[2]Sheet2!$E$2:$E$713,[2]Sheet2!$G$2:$G$713)</f>
        <v>#N/A</v>
      </c>
      <c r="F61" s="18">
        <v>46029</v>
      </c>
      <c r="G61" s="14">
        <v>0.48248842592592595</v>
      </c>
      <c r="H61" s="7" t="s">
        <v>11</v>
      </c>
      <c r="I61" s="2" t="str">
        <f t="shared" si="3"/>
        <v>Q2</v>
      </c>
      <c r="J61" s="2" t="str">
        <f t="shared" si="4"/>
        <v>Not Match</v>
      </c>
      <c r="K61" s="2">
        <f t="shared" si="0"/>
        <v>1.3152946437965907</v>
      </c>
      <c r="L61" s="2" t="e">
        <f t="shared" si="1"/>
        <v>#N/A</v>
      </c>
      <c r="M61" s="2" t="str">
        <f t="shared" si="2"/>
        <v>Assign quadrant hit</v>
      </c>
      <c r="N61" s="7">
        <v>19.2</v>
      </c>
      <c r="O61" s="7">
        <v>0.9</v>
      </c>
      <c r="P61" s="7">
        <v>-7.9</v>
      </c>
      <c r="Q61" s="7">
        <v>-0.37</v>
      </c>
      <c r="R61" s="7">
        <v>-0.2</v>
      </c>
      <c r="S61" s="7">
        <v>1.3</v>
      </c>
      <c r="T61" s="7">
        <v>-1.1299999999999999</v>
      </c>
      <c r="U61" s="7">
        <v>-0.09</v>
      </c>
      <c r="V61" s="7">
        <v>1.2</v>
      </c>
      <c r="W61" s="7" t="s">
        <v>6</v>
      </c>
      <c r="X61" s="7" t="s">
        <v>15</v>
      </c>
      <c r="Y61" s="2" t="s">
        <v>719</v>
      </c>
      <c r="Z61" s="2" t="s">
        <v>721</v>
      </c>
    </row>
    <row r="62" spans="1:26" x14ac:dyDescent="0.35">
      <c r="A62" s="7" t="s">
        <v>1538</v>
      </c>
      <c r="B62" s="7" t="s">
        <v>79</v>
      </c>
      <c r="C62" s="4">
        <f>_xlfn.XLOOKUP(A62,[2]Sheet2!$I$2:$I$1273,[2]Sheet2!$D$2:$D$1273,0)</f>
        <v>0</v>
      </c>
      <c r="D62" s="4">
        <f>_xlfn.XLOOKUP(B62,[4]Sheet2!$B$2:$B$3154,[4]Sheet2!$F$2:$F$3154,0)</f>
        <v>0</v>
      </c>
      <c r="E62" s="4" t="e">
        <f>_xlfn.XLOOKUP(B62,[2]Sheet2!$E$2:$E$713,[2]Sheet2!$G$2:$G$713)</f>
        <v>#N/A</v>
      </c>
      <c r="F62" s="18">
        <v>46029</v>
      </c>
      <c r="G62" s="14">
        <v>0.48601851851851852</v>
      </c>
      <c r="H62" s="7" t="s">
        <v>4</v>
      </c>
      <c r="I62" s="2">
        <f t="shared" si="3"/>
        <v>0</v>
      </c>
      <c r="J62" s="2" t="str">
        <f t="shared" si="4"/>
        <v>Match</v>
      </c>
      <c r="K62" s="2">
        <f t="shared" si="0"/>
        <v>0</v>
      </c>
      <c r="L62" s="2" t="e">
        <f t="shared" si="1"/>
        <v>#N/A</v>
      </c>
      <c r="M62" s="2" t="str">
        <f t="shared" si="2"/>
        <v>Digital Approve Hit</v>
      </c>
      <c r="N62" s="7">
        <v>14.9</v>
      </c>
      <c r="O62" s="7">
        <v>-0.6</v>
      </c>
      <c r="P62" s="7">
        <v>-1.7</v>
      </c>
      <c r="Q62" s="7">
        <v>0.11</v>
      </c>
      <c r="R62" s="7">
        <v>0</v>
      </c>
      <c r="S62" s="7">
        <v>0</v>
      </c>
      <c r="T62" s="7">
        <v>-0.05</v>
      </c>
      <c r="U62" s="7">
        <v>0.1</v>
      </c>
      <c r="V62" s="7">
        <v>0.16</v>
      </c>
      <c r="W62" s="7" t="s">
        <v>8</v>
      </c>
      <c r="X62" s="7" t="s">
        <v>9</v>
      </c>
      <c r="Y62" s="2" t="s">
        <v>719</v>
      </c>
      <c r="Z62" s="2" t="s">
        <v>721</v>
      </c>
    </row>
    <row r="63" spans="1:26" x14ac:dyDescent="0.35">
      <c r="A63" s="7" t="s">
        <v>1539</v>
      </c>
      <c r="B63" s="7" t="s">
        <v>80</v>
      </c>
      <c r="C63" s="4" t="str">
        <f>_xlfn.XLOOKUP(A63,[2]Sheet2!$I$2:$I$1273,[2]Sheet2!$D$2:$D$1273,0)</f>
        <v>Q4</v>
      </c>
      <c r="D63" s="4">
        <f>_xlfn.XLOOKUP(B63,[4]Sheet2!$B$2:$B$3154,[4]Sheet2!$F$2:$F$3154,0)</f>
        <v>0</v>
      </c>
      <c r="E63" s="4" t="e">
        <f>_xlfn.XLOOKUP(B63,[2]Sheet2!$E$2:$E$713,[2]Sheet2!$G$2:$G$713)</f>
        <v>#N/A</v>
      </c>
      <c r="F63" s="18">
        <v>46029</v>
      </c>
      <c r="G63" s="14">
        <v>0.38185185185185183</v>
      </c>
      <c r="H63" s="7" t="s">
        <v>16</v>
      </c>
      <c r="I63" s="2" t="str">
        <f t="shared" si="3"/>
        <v>Q1</v>
      </c>
      <c r="J63" s="2" t="str">
        <f t="shared" si="4"/>
        <v>Not Match</v>
      </c>
      <c r="K63" s="2">
        <f t="shared" si="0"/>
        <v>0.31622776601683794</v>
      </c>
      <c r="L63" s="2" t="e">
        <f t="shared" si="1"/>
        <v>#N/A</v>
      </c>
      <c r="M63" s="2" t="str">
        <f t="shared" si="2"/>
        <v>Below 0.8 not in assigned quadrant</v>
      </c>
      <c r="N63" s="7">
        <v>33.299999999999997</v>
      </c>
      <c r="O63" s="7">
        <v>-0.3</v>
      </c>
      <c r="P63" s="7">
        <v>3.3</v>
      </c>
      <c r="Q63" s="7">
        <v>-0.41</v>
      </c>
      <c r="R63" s="7">
        <v>0.1</v>
      </c>
      <c r="S63" s="7">
        <v>0.3</v>
      </c>
      <c r="T63" s="7">
        <v>0.38</v>
      </c>
      <c r="U63" s="7">
        <v>-0.18</v>
      </c>
      <c r="V63" s="7">
        <v>0.59</v>
      </c>
      <c r="W63" s="7" t="s">
        <v>8</v>
      </c>
      <c r="X63" s="7" t="s">
        <v>12</v>
      </c>
      <c r="Y63" s="2" t="s">
        <v>719</v>
      </c>
      <c r="Z63" s="2" t="s">
        <v>721</v>
      </c>
    </row>
    <row r="64" spans="1:26" x14ac:dyDescent="0.35">
      <c r="A64" s="7" t="s">
        <v>1540</v>
      </c>
      <c r="B64" s="7" t="s">
        <v>82</v>
      </c>
      <c r="C64" s="4" t="str">
        <f>_xlfn.XLOOKUP(A64,[2]Sheet2!$I$2:$I$1273,[2]Sheet2!$D$2:$D$1273,0)</f>
        <v>Q3</v>
      </c>
      <c r="D64" s="4">
        <f>_xlfn.XLOOKUP(B64,[4]Sheet2!$B$2:$B$3154,[4]Sheet2!$F$2:$F$3154,0)</f>
        <v>0</v>
      </c>
      <c r="E64" s="4" t="e">
        <f>_xlfn.XLOOKUP(B64,[2]Sheet2!$E$2:$E$713,[2]Sheet2!$G$2:$G$713)</f>
        <v>#N/A</v>
      </c>
      <c r="F64" s="18">
        <v>46029</v>
      </c>
      <c r="G64" s="14">
        <v>0.72918981481481482</v>
      </c>
      <c r="H64" s="7" t="s">
        <v>11</v>
      </c>
      <c r="I64" s="2" t="str">
        <f t="shared" si="3"/>
        <v>Q1</v>
      </c>
      <c r="J64" s="2" t="str">
        <f t="shared" si="4"/>
        <v>Not Match</v>
      </c>
      <c r="K64" s="2">
        <f t="shared" si="0"/>
        <v>0.63245553203367588</v>
      </c>
      <c r="L64" s="2" t="e">
        <f t="shared" si="1"/>
        <v>#N/A</v>
      </c>
      <c r="M64" s="2" t="str">
        <f t="shared" si="2"/>
        <v>Assign quadrant hit</v>
      </c>
      <c r="N64" s="7">
        <v>13.9</v>
      </c>
      <c r="O64" s="7">
        <v>-0.4</v>
      </c>
      <c r="P64" s="7">
        <v>-1.4</v>
      </c>
      <c r="Q64" s="7">
        <v>-0.14000000000000001</v>
      </c>
      <c r="R64" s="7">
        <v>0.2</v>
      </c>
      <c r="S64" s="7">
        <v>0.6</v>
      </c>
      <c r="T64" s="7">
        <v>-0.89</v>
      </c>
      <c r="U64" s="7">
        <v>0.09</v>
      </c>
      <c r="V64" s="7">
        <v>0.91</v>
      </c>
      <c r="W64" s="7" t="s">
        <v>13</v>
      </c>
      <c r="X64" s="7" t="s">
        <v>9</v>
      </c>
      <c r="Y64" s="2" t="s">
        <v>719</v>
      </c>
      <c r="Z64" s="2" t="s">
        <v>721</v>
      </c>
    </row>
    <row r="65" spans="1:26" x14ac:dyDescent="0.35">
      <c r="A65" s="7" t="s">
        <v>1501</v>
      </c>
      <c r="B65" s="7" t="s">
        <v>83</v>
      </c>
      <c r="C65" s="4" t="str">
        <f>_xlfn.XLOOKUP(A65,[2]Sheet2!$I$2:$I$1273,[2]Sheet2!$D$2:$D$1273,0)</f>
        <v>Q3</v>
      </c>
      <c r="D65" s="4">
        <f>_xlfn.XLOOKUP(B65,[4]Sheet2!$B$2:$B$3154,[4]Sheet2!$F$2:$F$3154,0)</f>
        <v>0</v>
      </c>
      <c r="E65" s="4" t="e">
        <f>_xlfn.XLOOKUP(B65,[2]Sheet2!$E$2:$E$713,[2]Sheet2!$G$2:$G$713)</f>
        <v>#N/A</v>
      </c>
      <c r="F65" s="18">
        <v>46029</v>
      </c>
      <c r="G65" s="14">
        <v>0.73201388888888885</v>
      </c>
      <c r="H65" s="7" t="s">
        <v>11</v>
      </c>
      <c r="I65" s="2" t="str">
        <f t="shared" si="3"/>
        <v>Q2</v>
      </c>
      <c r="J65" s="2" t="str">
        <f t="shared" si="4"/>
        <v>Not Match</v>
      </c>
      <c r="K65" s="2">
        <f t="shared" si="0"/>
        <v>0.67082039324993692</v>
      </c>
      <c r="L65" s="2" t="e">
        <f t="shared" si="1"/>
        <v>#N/A</v>
      </c>
      <c r="M65" s="2" t="str">
        <f t="shared" si="2"/>
        <v>Assign quadrant hit</v>
      </c>
      <c r="N65" s="7">
        <v>40.1</v>
      </c>
      <c r="O65" s="7">
        <v>43.4</v>
      </c>
      <c r="P65" s="7">
        <v>27.6</v>
      </c>
      <c r="Q65" s="7">
        <v>-0.72</v>
      </c>
      <c r="R65" s="7">
        <v>-0.6</v>
      </c>
      <c r="S65" s="7">
        <v>0.3</v>
      </c>
      <c r="T65" s="7">
        <v>-0.16</v>
      </c>
      <c r="U65" s="7">
        <v>0.46</v>
      </c>
      <c r="V65" s="7">
        <v>0.86</v>
      </c>
      <c r="W65" s="7" t="s">
        <v>13</v>
      </c>
      <c r="X65" s="7" t="s">
        <v>12</v>
      </c>
      <c r="Y65" s="2" t="s">
        <v>719</v>
      </c>
      <c r="Z65" s="2" t="s">
        <v>721</v>
      </c>
    </row>
    <row r="66" spans="1:26" x14ac:dyDescent="0.35">
      <c r="A66" s="7" t="s">
        <v>1528</v>
      </c>
      <c r="B66" s="7" t="s">
        <v>84</v>
      </c>
      <c r="C66" s="4" t="str">
        <f>_xlfn.XLOOKUP(A66,[2]Sheet2!$I$2:$I$1273,[2]Sheet2!$D$2:$D$1273,0)</f>
        <v>Q1</v>
      </c>
      <c r="D66" s="4">
        <f>_xlfn.XLOOKUP(B66,[4]Sheet2!$B$2:$B$3154,[4]Sheet2!$F$2:$F$3154,0)</f>
        <v>0</v>
      </c>
      <c r="E66" s="4" t="e">
        <f>_xlfn.XLOOKUP(B66,[2]Sheet2!$E$2:$E$713,[2]Sheet2!$G$2:$G$713)</f>
        <v>#N/A</v>
      </c>
      <c r="F66" s="18">
        <v>46029</v>
      </c>
      <c r="G66" s="14">
        <v>0.74829861111111107</v>
      </c>
      <c r="H66" s="7" t="s">
        <v>5</v>
      </c>
      <c r="I66" s="2" t="str">
        <f t="shared" si="3"/>
        <v>Q2</v>
      </c>
      <c r="J66" s="2" t="str">
        <f t="shared" si="4"/>
        <v>Not Match</v>
      </c>
      <c r="K66" s="2">
        <f t="shared" ref="K66:K128" si="5">SQRT(R66^2+S66^2)</f>
        <v>1.1401754250991381</v>
      </c>
      <c r="L66" s="2" t="e">
        <f t="shared" ref="L66:L128" si="6">IF(K66&lt;=E66,"Within Range","Over Range")</f>
        <v>#N/A</v>
      </c>
      <c r="M66" s="2" t="str">
        <f t="shared" ref="M66:M128" si="7">IF(AND(J66="Match",V66&lt;=0.8),"Digital Approve Hit",
IF(AND(J66="Match",V66&gt;0.8),"Failed but within quadrant",
IF(AND(J66="Not Match",V66&lt;=0.8),"Below 0.8 not in assigned quadrant",
"Assign quadrant hit")))</f>
        <v>Below 0.8 not in assigned quadrant</v>
      </c>
      <c r="N66" s="7">
        <v>43</v>
      </c>
      <c r="O66" s="7">
        <v>50.2</v>
      </c>
      <c r="P66" s="7">
        <v>-3</v>
      </c>
      <c r="Q66" s="7">
        <v>-0.31</v>
      </c>
      <c r="R66" s="7">
        <v>-0.3</v>
      </c>
      <c r="S66" s="7">
        <v>1.1000000000000001</v>
      </c>
      <c r="T66" s="7">
        <v>-0.17</v>
      </c>
      <c r="U66" s="7">
        <v>0.6</v>
      </c>
      <c r="V66" s="7">
        <v>0.7</v>
      </c>
      <c r="W66" s="7" t="s">
        <v>8</v>
      </c>
      <c r="X66" s="7" t="s">
        <v>9</v>
      </c>
      <c r="Y66" s="2" t="s">
        <v>719</v>
      </c>
      <c r="Z66" s="2" t="s">
        <v>721</v>
      </c>
    </row>
    <row r="67" spans="1:26" x14ac:dyDescent="0.35">
      <c r="A67" s="7" t="s">
        <v>1541</v>
      </c>
      <c r="B67" s="7" t="s">
        <v>85</v>
      </c>
      <c r="C67" s="4" t="str">
        <f>_xlfn.XLOOKUP(A67,[2]Sheet2!$I$2:$I$1273,[2]Sheet2!$D$2:$D$1273,0)</f>
        <v>Q3</v>
      </c>
      <c r="D67" s="4">
        <f>_xlfn.XLOOKUP(B67,[4]Sheet2!$B$2:$B$3154,[4]Sheet2!$F$2:$F$3154,0)</f>
        <v>0</v>
      </c>
      <c r="E67" s="4" t="e">
        <f>_xlfn.XLOOKUP(B67,[2]Sheet2!$E$2:$E$713,[2]Sheet2!$G$2:$G$713)</f>
        <v>#N/A</v>
      </c>
      <c r="F67" s="18">
        <v>46029</v>
      </c>
      <c r="G67" s="14">
        <v>0.7493171296296296</v>
      </c>
      <c r="H67" s="7" t="s">
        <v>16</v>
      </c>
      <c r="I67" s="2" t="str">
        <f t="shared" ref="I67:I129" si="8">IF(AND(R67=0,S67=0),IF(C67="","Origin",C67),
IF(AND(R67&gt;0,S67=0),"Q4",
IF(AND(R67&lt;0,S67=0),"Q3",
IF(AND(R67&gt;=0,S67&lt;0),"Q4",
IF(AND(R67&gt;=0,S67&gt;0),"Q1",
IF(AND(R67&lt;0,S67&lt;=0),"Q3",
IF(AND(R67&lt;0,S67&gt;0),"Q2",
"")))))))</f>
        <v>Q4</v>
      </c>
      <c r="J67" s="2" t="str">
        <f t="shared" ref="J67:J130" si="9">IF(I67=C67,"Match",IF(C67=0,"Not Found","Not Match"))</f>
        <v>Not Match</v>
      </c>
      <c r="K67" s="2">
        <f t="shared" si="5"/>
        <v>0.2</v>
      </c>
      <c r="L67" s="2" t="e">
        <f t="shared" si="6"/>
        <v>#N/A</v>
      </c>
      <c r="M67" s="2" t="str">
        <f t="shared" si="7"/>
        <v>Below 0.8 not in assigned quadrant</v>
      </c>
      <c r="N67" s="7">
        <v>14.9</v>
      </c>
      <c r="O67" s="7">
        <v>-0.4</v>
      </c>
      <c r="P67" s="7">
        <v>-2.1</v>
      </c>
      <c r="Q67" s="7">
        <v>-0.27</v>
      </c>
      <c r="R67" s="7">
        <v>0</v>
      </c>
      <c r="S67" s="7">
        <v>-0.2</v>
      </c>
      <c r="T67" s="7">
        <v>0.3</v>
      </c>
      <c r="U67" s="7">
        <v>-0.05</v>
      </c>
      <c r="V67" s="7">
        <v>0.41</v>
      </c>
      <c r="W67" s="7" t="s">
        <v>8</v>
      </c>
      <c r="X67" s="7" t="s">
        <v>15</v>
      </c>
      <c r="Y67" s="2" t="s">
        <v>719</v>
      </c>
      <c r="Z67" s="2" t="s">
        <v>721</v>
      </c>
    </row>
    <row r="68" spans="1:26" x14ac:dyDescent="0.35">
      <c r="A68" s="7" t="s">
        <v>1542</v>
      </c>
      <c r="B68" s="7" t="s">
        <v>57</v>
      </c>
      <c r="C68" s="4">
        <f>_xlfn.XLOOKUP(A68,[2]Sheet2!$I$2:$I$1273,[2]Sheet2!$D$2:$D$1273,0)</f>
        <v>0</v>
      </c>
      <c r="D68" s="4">
        <f>_xlfn.XLOOKUP(B68,[4]Sheet2!$B$2:$B$3154,[4]Sheet2!$F$2:$F$3154,0)</f>
        <v>0</v>
      </c>
      <c r="E68" s="4" t="e">
        <f>_xlfn.XLOOKUP(B68,[2]Sheet2!$E$2:$E$713,[2]Sheet2!$G$2:$G$713)</f>
        <v>#N/A</v>
      </c>
      <c r="F68" s="18">
        <v>46030</v>
      </c>
      <c r="G68" s="14">
        <v>0.72081018518518514</v>
      </c>
      <c r="H68" s="7" t="s">
        <v>16</v>
      </c>
      <c r="I68" s="2" t="str">
        <f t="shared" si="8"/>
        <v>Q2</v>
      </c>
      <c r="J68" s="2" t="str">
        <f t="shared" si="9"/>
        <v>Not Found</v>
      </c>
      <c r="K68" s="2">
        <f t="shared" si="5"/>
        <v>0.50990195135927852</v>
      </c>
      <c r="L68" s="2" t="e">
        <f t="shared" si="6"/>
        <v>#N/A</v>
      </c>
      <c r="M68" s="2" t="str">
        <f t="shared" si="7"/>
        <v>Assign quadrant hit</v>
      </c>
      <c r="N68" s="7">
        <v>33.5</v>
      </c>
      <c r="O68" s="7">
        <v>13.5</v>
      </c>
      <c r="P68" s="7">
        <v>21.9</v>
      </c>
      <c r="Q68" s="7">
        <v>-0.19</v>
      </c>
      <c r="R68" s="7">
        <v>-0.1</v>
      </c>
      <c r="S68" s="7">
        <v>0.5</v>
      </c>
      <c r="T68" s="7">
        <v>0.2</v>
      </c>
      <c r="U68" s="7">
        <v>0.64</v>
      </c>
      <c r="V68" s="7">
        <v>0.7</v>
      </c>
      <c r="W68" s="7" t="s">
        <v>8</v>
      </c>
      <c r="X68" s="7" t="s">
        <v>12</v>
      </c>
      <c r="Y68" s="2" t="s">
        <v>719</v>
      </c>
      <c r="Z68" s="2" t="s">
        <v>721</v>
      </c>
    </row>
    <row r="69" spans="1:26" x14ac:dyDescent="0.35">
      <c r="A69" s="7" t="s">
        <v>1543</v>
      </c>
      <c r="B69" s="7" t="s">
        <v>86</v>
      </c>
      <c r="C69" s="4" t="str">
        <f>_xlfn.XLOOKUP(A69,[2]Sheet2!$I$2:$I$1273,[2]Sheet2!$D$2:$D$1273,0)</f>
        <v>Q3</v>
      </c>
      <c r="D69" s="4">
        <f>_xlfn.XLOOKUP(B69,[4]Sheet2!$B$2:$B$3154,[4]Sheet2!$F$2:$F$3154,0)</f>
        <v>0</v>
      </c>
      <c r="E69" s="4" t="e">
        <f>_xlfn.XLOOKUP(B69,[2]Sheet2!$E$2:$E$713,[2]Sheet2!$G$2:$G$713)</f>
        <v>#N/A</v>
      </c>
      <c r="F69" s="18">
        <v>46030</v>
      </c>
      <c r="G69" s="14">
        <v>0.74673611111111116</v>
      </c>
      <c r="H69" s="7" t="s">
        <v>16</v>
      </c>
      <c r="I69" s="2" t="str">
        <f t="shared" si="8"/>
        <v>Q3</v>
      </c>
      <c r="J69" s="2" t="str">
        <f t="shared" si="9"/>
        <v>Match</v>
      </c>
      <c r="K69" s="2">
        <f t="shared" si="5"/>
        <v>0</v>
      </c>
      <c r="L69" s="2" t="e">
        <f t="shared" si="6"/>
        <v>#N/A</v>
      </c>
      <c r="M69" s="2" t="str">
        <f t="shared" si="7"/>
        <v>Digital Approve Hit</v>
      </c>
      <c r="N69" s="7">
        <v>26.3</v>
      </c>
      <c r="O69" s="7">
        <v>9</v>
      </c>
      <c r="P69" s="7">
        <v>10.1</v>
      </c>
      <c r="Q69" s="7">
        <v>-0.42</v>
      </c>
      <c r="R69" s="7">
        <v>0</v>
      </c>
      <c r="S69" s="7">
        <v>0</v>
      </c>
      <c r="T69" s="7">
        <v>0.01</v>
      </c>
      <c r="U69" s="7">
        <v>0</v>
      </c>
      <c r="V69" s="7">
        <v>0.42</v>
      </c>
      <c r="W69" s="7" t="s">
        <v>8</v>
      </c>
      <c r="X69" s="7" t="s">
        <v>9</v>
      </c>
      <c r="Y69" s="2" t="s">
        <v>719</v>
      </c>
      <c r="Z69" s="2" t="s">
        <v>721</v>
      </c>
    </row>
    <row r="70" spans="1:26" x14ac:dyDescent="0.35">
      <c r="A70" s="7" t="s">
        <v>1544</v>
      </c>
      <c r="B70" s="7" t="s">
        <v>87</v>
      </c>
      <c r="C70" s="4">
        <f>_xlfn.XLOOKUP(A70,[2]Sheet2!$I$2:$I$1273,[2]Sheet2!$D$2:$D$1273,0)</f>
        <v>0</v>
      </c>
      <c r="D70" s="4">
        <f>_xlfn.XLOOKUP(B70,[4]Sheet2!$B$2:$B$3154,[4]Sheet2!$F$2:$F$3154,0)</f>
        <v>0</v>
      </c>
      <c r="E70" s="4" t="e">
        <f>_xlfn.XLOOKUP(B70,[2]Sheet2!$E$2:$E$713,[2]Sheet2!$G$2:$G$713)</f>
        <v>#N/A</v>
      </c>
      <c r="F70" s="18">
        <v>46030</v>
      </c>
      <c r="G70" s="14">
        <v>0.72456018518518517</v>
      </c>
      <c r="H70" s="7" t="s">
        <v>5</v>
      </c>
      <c r="I70" s="2" t="str">
        <f t="shared" si="8"/>
        <v>Q4</v>
      </c>
      <c r="J70" s="2" t="str">
        <f t="shared" si="9"/>
        <v>Not Found</v>
      </c>
      <c r="K70" s="2">
        <f t="shared" si="5"/>
        <v>0.1</v>
      </c>
      <c r="L70" s="2" t="e">
        <f t="shared" si="6"/>
        <v>#N/A</v>
      </c>
      <c r="M70" s="2" t="str">
        <f t="shared" si="7"/>
        <v>Assign quadrant hit</v>
      </c>
      <c r="N70" s="7">
        <v>15.3</v>
      </c>
      <c r="O70" s="7">
        <v>-0.7</v>
      </c>
      <c r="P70" s="7">
        <v>-2.1</v>
      </c>
      <c r="Q70" s="7">
        <v>-0.22</v>
      </c>
      <c r="R70" s="7">
        <v>0</v>
      </c>
      <c r="S70" s="7">
        <v>-0.1</v>
      </c>
      <c r="T70" s="7">
        <v>0.14000000000000001</v>
      </c>
      <c r="U70" s="7">
        <v>-0.04</v>
      </c>
      <c r="V70" s="7">
        <v>0.26</v>
      </c>
      <c r="W70" s="7" t="s">
        <v>8</v>
      </c>
      <c r="X70" s="7" t="s">
        <v>15</v>
      </c>
      <c r="Y70" s="2" t="s">
        <v>719</v>
      </c>
      <c r="Z70" s="2" t="s">
        <v>721</v>
      </c>
    </row>
    <row r="71" spans="1:26" x14ac:dyDescent="0.35">
      <c r="A71" s="7" t="s">
        <v>1539</v>
      </c>
      <c r="B71" s="7" t="s">
        <v>46</v>
      </c>
      <c r="C71" s="4" t="str">
        <f>_xlfn.XLOOKUP(A71,[2]Sheet2!$I$2:$I$1273,[2]Sheet2!$D$2:$D$1273,0)</f>
        <v>Q4</v>
      </c>
      <c r="D71" s="4">
        <f>_xlfn.XLOOKUP(B71,[4]Sheet2!$B$2:$B$3154,[4]Sheet2!$F$2:$F$3154,0)</f>
        <v>0</v>
      </c>
      <c r="E71" s="17" t="e">
        <f>_xlfn.XLOOKUP(B71,[2]Sheet2!$E$2:$E$713,[2]Sheet2!$G$2:$G$713)</f>
        <v>#N/A</v>
      </c>
      <c r="F71" s="18">
        <v>46030</v>
      </c>
      <c r="G71" s="14">
        <v>0.75373842592592588</v>
      </c>
      <c r="H71" s="7" t="s">
        <v>16</v>
      </c>
      <c r="I71" s="2" t="str">
        <f t="shared" si="8"/>
        <v>Q1</v>
      </c>
      <c r="J71" s="2" t="str">
        <f t="shared" si="9"/>
        <v>Not Match</v>
      </c>
      <c r="K71" s="16">
        <f t="shared" si="5"/>
        <v>0.90553851381374173</v>
      </c>
      <c r="L71" s="16" t="e">
        <f t="shared" si="6"/>
        <v>#N/A</v>
      </c>
      <c r="M71" s="16" t="str">
        <f t="shared" si="7"/>
        <v>Assign quadrant hit</v>
      </c>
      <c r="N71" s="7">
        <v>33.299999999999997</v>
      </c>
      <c r="O71" s="7">
        <v>-0.3</v>
      </c>
      <c r="P71" s="7">
        <v>3.9</v>
      </c>
      <c r="Q71" s="7">
        <v>-0.4</v>
      </c>
      <c r="R71" s="7">
        <v>0.1</v>
      </c>
      <c r="S71" s="7">
        <v>0.9</v>
      </c>
      <c r="T71" s="7">
        <v>1.1399999999999999</v>
      </c>
      <c r="U71" s="7">
        <v>-0.34</v>
      </c>
      <c r="V71" s="7">
        <v>1.26</v>
      </c>
      <c r="W71" s="7" t="s">
        <v>6</v>
      </c>
      <c r="X71" s="7" t="s">
        <v>12</v>
      </c>
      <c r="Y71" s="2" t="s">
        <v>719</v>
      </c>
      <c r="Z71" s="2" t="s">
        <v>721</v>
      </c>
    </row>
    <row r="72" spans="1:26" x14ac:dyDescent="0.35">
      <c r="A72" s="7" t="s">
        <v>1545</v>
      </c>
      <c r="B72" s="7" t="s">
        <v>88</v>
      </c>
      <c r="C72" s="4" t="str">
        <f>_xlfn.XLOOKUP(A72,[2]Sheet2!$I$2:$I$1273,[2]Sheet2!$D$2:$D$1273,0)</f>
        <v>Q2</v>
      </c>
      <c r="D72" s="4">
        <f>_xlfn.XLOOKUP(B72,[4]Sheet2!$B$2:$B$3154,[4]Sheet2!$F$2:$F$3154,0)</f>
        <v>0</v>
      </c>
      <c r="E72" s="4" t="e">
        <f>_xlfn.XLOOKUP(B72,[2]Sheet2!$E$2:$E$713,[2]Sheet2!$G$2:$G$713)</f>
        <v>#N/A</v>
      </c>
      <c r="F72" s="18">
        <v>46030</v>
      </c>
      <c r="G72" s="14">
        <v>0.77303240740740742</v>
      </c>
      <c r="H72" s="7" t="s">
        <v>5</v>
      </c>
      <c r="I72" s="2" t="str">
        <f t="shared" si="8"/>
        <v>Q4</v>
      </c>
      <c r="J72" s="2" t="str">
        <f t="shared" si="9"/>
        <v>Not Match</v>
      </c>
      <c r="K72" s="2">
        <f t="shared" si="5"/>
        <v>0.80622577482985502</v>
      </c>
      <c r="L72" s="2" t="e">
        <f t="shared" si="6"/>
        <v>#N/A</v>
      </c>
      <c r="M72" s="2" t="str">
        <f t="shared" si="7"/>
        <v>Assign quadrant hit</v>
      </c>
      <c r="N72" s="7">
        <v>17.3</v>
      </c>
      <c r="O72" s="7">
        <v>-0.5</v>
      </c>
      <c r="P72" s="7">
        <v>-3.2</v>
      </c>
      <c r="Q72" s="7">
        <v>-0.6</v>
      </c>
      <c r="R72" s="7">
        <v>0.1</v>
      </c>
      <c r="S72" s="7">
        <v>-0.8</v>
      </c>
      <c r="T72" s="7">
        <v>1.02</v>
      </c>
      <c r="U72" s="7">
        <v>0.44</v>
      </c>
      <c r="V72" s="7">
        <v>1.26</v>
      </c>
      <c r="W72" s="7" t="s">
        <v>6</v>
      </c>
      <c r="X72" s="7" t="s">
        <v>9</v>
      </c>
      <c r="Y72" s="2" t="s">
        <v>719</v>
      </c>
      <c r="Z72" s="2" t="s">
        <v>721</v>
      </c>
    </row>
    <row r="73" spans="1:26" x14ac:dyDescent="0.35">
      <c r="A73" s="7" t="s">
        <v>1520</v>
      </c>
      <c r="B73" s="7" t="s">
        <v>89</v>
      </c>
      <c r="C73" s="4" t="str">
        <f>_xlfn.XLOOKUP(A73,[2]Sheet2!$I$2:$I$1273,[2]Sheet2!$D$2:$D$1273,0)</f>
        <v>Q1</v>
      </c>
      <c r="D73" s="4">
        <f>_xlfn.XLOOKUP(B73,[4]Sheet2!$B$2:$B$3154,[4]Sheet2!$F$2:$F$3154,0)</f>
        <v>0</v>
      </c>
      <c r="E73" s="4" t="e">
        <f>_xlfn.XLOOKUP(B73,[2]Sheet2!$E$2:$E$713,[2]Sheet2!$G$2:$G$713)</f>
        <v>#N/A</v>
      </c>
      <c r="F73" s="18">
        <v>46030</v>
      </c>
      <c r="G73" s="14">
        <v>0.77820601851851856</v>
      </c>
      <c r="H73" s="7" t="s">
        <v>11</v>
      </c>
      <c r="I73" s="2" t="str">
        <f t="shared" si="8"/>
        <v>Q1</v>
      </c>
      <c r="J73" s="2" t="str">
        <f t="shared" si="9"/>
        <v>Match</v>
      </c>
      <c r="K73" s="2">
        <f t="shared" si="5"/>
        <v>0.84852813742385702</v>
      </c>
      <c r="L73" s="2" t="e">
        <f t="shared" si="6"/>
        <v>#N/A</v>
      </c>
      <c r="M73" s="2" t="str">
        <f t="shared" si="7"/>
        <v>Failed but within quadrant</v>
      </c>
      <c r="N73" s="7">
        <v>26.1</v>
      </c>
      <c r="O73" s="7">
        <v>7.1</v>
      </c>
      <c r="P73" s="7">
        <v>8.6999999999999993</v>
      </c>
      <c r="Q73" s="7">
        <v>-0.28999999999999998</v>
      </c>
      <c r="R73" s="7">
        <v>0.6</v>
      </c>
      <c r="S73" s="7">
        <v>0.6</v>
      </c>
      <c r="T73" s="7">
        <v>0.72</v>
      </c>
      <c r="U73" s="7">
        <v>-0.26</v>
      </c>
      <c r="V73" s="7">
        <v>0.81</v>
      </c>
      <c r="W73" s="7" t="s">
        <v>13</v>
      </c>
      <c r="X73" s="7" t="s">
        <v>9</v>
      </c>
      <c r="Y73" s="2" t="s">
        <v>719</v>
      </c>
      <c r="Z73" s="2" t="s">
        <v>721</v>
      </c>
    </row>
    <row r="74" spans="1:26" x14ac:dyDescent="0.35">
      <c r="A74" s="7" t="s">
        <v>1546</v>
      </c>
      <c r="B74" s="7" t="s">
        <v>90</v>
      </c>
      <c r="C74" s="4">
        <f>_xlfn.XLOOKUP(A74,[2]Sheet2!$I$2:$I$1273,[2]Sheet2!$D$2:$D$1273,0)</f>
        <v>0</v>
      </c>
      <c r="D74" s="4">
        <f>_xlfn.XLOOKUP(B74,[4]Sheet2!$B$2:$B$3154,[4]Sheet2!$F$2:$F$3154,0)</f>
        <v>0</v>
      </c>
      <c r="E74" s="4" t="e">
        <f>_xlfn.XLOOKUP(B74,[2]Sheet2!$E$2:$E$713,[2]Sheet2!$G$2:$G$713)</f>
        <v>#N/A</v>
      </c>
      <c r="F74" s="18">
        <v>46030</v>
      </c>
      <c r="G74" s="14">
        <v>0.91798611111111106</v>
      </c>
      <c r="H74" s="7" t="s">
        <v>5</v>
      </c>
      <c r="I74" s="2" t="str">
        <f t="shared" si="8"/>
        <v>Q3</v>
      </c>
      <c r="J74" s="2" t="str">
        <f t="shared" si="9"/>
        <v>Not Found</v>
      </c>
      <c r="K74" s="2">
        <f t="shared" si="5"/>
        <v>1.3601470508735443</v>
      </c>
      <c r="L74" s="2" t="e">
        <f t="shared" si="6"/>
        <v>#N/A</v>
      </c>
      <c r="M74" s="2" t="str">
        <f t="shared" si="7"/>
        <v>Assign quadrant hit</v>
      </c>
      <c r="N74" s="7">
        <v>50.5</v>
      </c>
      <c r="O74" s="7">
        <v>56.5</v>
      </c>
      <c r="P74" s="7">
        <v>47.9</v>
      </c>
      <c r="Q74" s="7">
        <v>-0.75</v>
      </c>
      <c r="R74" s="7">
        <v>-0.4</v>
      </c>
      <c r="S74" s="7">
        <v>-1.3</v>
      </c>
      <c r="T74" s="7">
        <v>-0.41</v>
      </c>
      <c r="U74" s="7">
        <v>-0.5</v>
      </c>
      <c r="V74" s="7">
        <v>0.99</v>
      </c>
      <c r="W74" s="7" t="s">
        <v>13</v>
      </c>
      <c r="X74" s="7" t="s">
        <v>9</v>
      </c>
      <c r="Y74" s="2" t="s">
        <v>719</v>
      </c>
      <c r="Z74" s="2" t="s">
        <v>721</v>
      </c>
    </row>
    <row r="75" spans="1:26" x14ac:dyDescent="0.35">
      <c r="A75" s="7" t="s">
        <v>1536</v>
      </c>
      <c r="B75" s="7" t="s">
        <v>100</v>
      </c>
      <c r="C75" s="4" t="str">
        <f>_xlfn.XLOOKUP(A75,[2]Sheet2!$I$2:$I$1273,[2]Sheet2!$D$2:$D$1273,0)</f>
        <v>Q2</v>
      </c>
      <c r="D75" s="4">
        <f>_xlfn.XLOOKUP(B75,[4]Sheet2!$B$2:$B$3154,[4]Sheet2!$F$2:$F$3154,0)</f>
        <v>0</v>
      </c>
      <c r="E75" s="4" t="e">
        <f>_xlfn.XLOOKUP(B75,[2]Sheet2!$E$2:$E$713,[2]Sheet2!$G$2:$G$713)</f>
        <v>#N/A</v>
      </c>
      <c r="F75" s="18">
        <v>46030</v>
      </c>
      <c r="G75" s="14">
        <v>0.93978009259259254</v>
      </c>
      <c r="H75" s="7" t="s">
        <v>5</v>
      </c>
      <c r="I75" s="2" t="str">
        <f t="shared" si="8"/>
        <v>Q4</v>
      </c>
      <c r="J75" s="2" t="str">
        <f t="shared" si="9"/>
        <v>Not Match</v>
      </c>
      <c r="K75" s="2">
        <f t="shared" si="5"/>
        <v>0.22360679774997899</v>
      </c>
      <c r="L75" s="2" t="e">
        <f t="shared" si="6"/>
        <v>#N/A</v>
      </c>
      <c r="M75" s="2" t="str">
        <f t="shared" si="7"/>
        <v>Below 0.8 not in assigned quadrant</v>
      </c>
      <c r="N75" s="7">
        <v>15.7</v>
      </c>
      <c r="O75" s="7">
        <v>-0.5</v>
      </c>
      <c r="P75" s="7">
        <v>-2.8</v>
      </c>
      <c r="Q75" s="7">
        <v>0.51</v>
      </c>
      <c r="R75" s="7">
        <v>0.1</v>
      </c>
      <c r="S75" s="7">
        <v>-0.2</v>
      </c>
      <c r="T75" s="7">
        <v>0.28000000000000003</v>
      </c>
      <c r="U75" s="7">
        <v>0.24</v>
      </c>
      <c r="V75" s="7">
        <v>0.63</v>
      </c>
      <c r="W75" s="7" t="s">
        <v>8</v>
      </c>
      <c r="X75" s="7" t="s">
        <v>9</v>
      </c>
      <c r="Y75" s="2" t="s">
        <v>719</v>
      </c>
      <c r="Z75" s="2" t="s">
        <v>721</v>
      </c>
    </row>
    <row r="76" spans="1:26" x14ac:dyDescent="0.35">
      <c r="A76" s="7" t="s">
        <v>1515</v>
      </c>
      <c r="B76" s="7" t="s">
        <v>91</v>
      </c>
      <c r="C76" s="4" t="str">
        <f>_xlfn.XLOOKUP(A76,[2]Sheet2!$I$2:$I$1273,[2]Sheet2!$D$2:$D$1273,0)</f>
        <v>Q3</v>
      </c>
      <c r="D76" s="4">
        <f>_xlfn.XLOOKUP(B76,[4]Sheet2!$B$2:$B$3154,[4]Sheet2!$F$2:$F$3154,0)</f>
        <v>0</v>
      </c>
      <c r="E76" s="4" t="e">
        <f>_xlfn.XLOOKUP(B76,[2]Sheet2!$E$2:$E$713,[2]Sheet2!$G$2:$G$713)</f>
        <v>#N/A</v>
      </c>
      <c r="F76" s="18">
        <v>46031</v>
      </c>
      <c r="G76" s="14">
        <v>5.9641203703703703E-2</v>
      </c>
      <c r="H76" s="7" t="s">
        <v>11</v>
      </c>
      <c r="I76" s="2" t="str">
        <f t="shared" si="8"/>
        <v>Q4</v>
      </c>
      <c r="J76" s="2" t="str">
        <f t="shared" si="9"/>
        <v>Not Match</v>
      </c>
      <c r="K76" s="2">
        <f t="shared" si="5"/>
        <v>0.1</v>
      </c>
      <c r="L76" s="2" t="e">
        <f t="shared" si="6"/>
        <v>#N/A</v>
      </c>
      <c r="M76" s="2" t="str">
        <f t="shared" si="7"/>
        <v>Assign quadrant hit</v>
      </c>
      <c r="N76" s="7">
        <v>13.1</v>
      </c>
      <c r="O76" s="7">
        <v>-0.4</v>
      </c>
      <c r="P76" s="7">
        <v>-2.2000000000000002</v>
      </c>
      <c r="Q76" s="7">
        <v>-0.81</v>
      </c>
      <c r="R76" s="7">
        <v>0</v>
      </c>
      <c r="S76" s="7">
        <v>-0.1</v>
      </c>
      <c r="T76" s="7">
        <v>0.22</v>
      </c>
      <c r="U76" s="7">
        <v>-0.06</v>
      </c>
      <c r="V76" s="7">
        <v>0.84</v>
      </c>
      <c r="W76" s="7" t="s">
        <v>13</v>
      </c>
      <c r="X76" s="7" t="s">
        <v>15</v>
      </c>
      <c r="Y76" s="2" t="s">
        <v>719</v>
      </c>
      <c r="Z76" s="2" t="s">
        <v>721</v>
      </c>
    </row>
    <row r="77" spans="1:26" x14ac:dyDescent="0.35">
      <c r="A77" s="7" t="s">
        <v>1506</v>
      </c>
      <c r="B77" s="7" t="s">
        <v>92</v>
      </c>
      <c r="C77" s="4" t="str">
        <f>_xlfn.XLOOKUP(A77,[2]Sheet2!$I$2:$I$1273,[2]Sheet2!$D$2:$D$1273,0)</f>
        <v>Q1</v>
      </c>
      <c r="D77" s="4">
        <f>_xlfn.XLOOKUP(B77,[4]Sheet2!$B$2:$B$3154,[4]Sheet2!$F$2:$F$3154,0)</f>
        <v>0</v>
      </c>
      <c r="E77" s="4" t="e">
        <f>_xlfn.XLOOKUP(B77,[2]Sheet2!$E$2:$E$713,[2]Sheet2!$G$2:$G$713)</f>
        <v>#N/A</v>
      </c>
      <c r="F77" s="18">
        <v>46031</v>
      </c>
      <c r="G77" s="14">
        <v>6.1400462962962962E-2</v>
      </c>
      <c r="H77" s="7" t="s">
        <v>4</v>
      </c>
      <c r="I77" s="2" t="str">
        <f t="shared" si="8"/>
        <v>Q4</v>
      </c>
      <c r="J77" s="2" t="str">
        <f t="shared" si="9"/>
        <v>Not Match</v>
      </c>
      <c r="K77" s="2">
        <f t="shared" si="5"/>
        <v>0.1</v>
      </c>
      <c r="L77" s="2" t="e">
        <f t="shared" si="6"/>
        <v>#N/A</v>
      </c>
      <c r="M77" s="2" t="str">
        <f t="shared" si="7"/>
        <v>Below 0.8 not in assigned quadrant</v>
      </c>
      <c r="N77" s="7">
        <v>15.4</v>
      </c>
      <c r="O77" s="7">
        <v>-0.3</v>
      </c>
      <c r="P77" s="7">
        <v>-1.8</v>
      </c>
      <c r="Q77" s="7">
        <v>-0.23</v>
      </c>
      <c r="R77" s="7">
        <v>0.1</v>
      </c>
      <c r="S77" s="7">
        <v>0</v>
      </c>
      <c r="T77" s="7">
        <v>-0.13</v>
      </c>
      <c r="U77" s="7">
        <v>0.12</v>
      </c>
      <c r="V77" s="7">
        <v>0.28999999999999998</v>
      </c>
      <c r="W77" s="7" t="s">
        <v>8</v>
      </c>
      <c r="X77" s="7" t="s">
        <v>9</v>
      </c>
      <c r="Y77" s="2" t="s">
        <v>719</v>
      </c>
      <c r="Z77" s="2" t="s">
        <v>721</v>
      </c>
    </row>
    <row r="78" spans="1:26" x14ac:dyDescent="0.35">
      <c r="A78" s="7" t="s">
        <v>1547</v>
      </c>
      <c r="B78" s="7" t="s">
        <v>93</v>
      </c>
      <c r="C78" s="4" t="str">
        <f>_xlfn.XLOOKUP(A78,[2]Sheet2!$I$2:$I$1273,[2]Sheet2!$D$2:$D$1273,0)</f>
        <v>Q3</v>
      </c>
      <c r="D78" s="4">
        <f>_xlfn.XLOOKUP(B78,[4]Sheet2!$B$2:$B$3154,[4]Sheet2!$F$2:$F$3154,0)</f>
        <v>0</v>
      </c>
      <c r="E78" s="4" t="e">
        <f>_xlfn.XLOOKUP(B78,[2]Sheet2!$E$2:$E$713,[2]Sheet2!$G$2:$G$713)</f>
        <v>#N/A</v>
      </c>
      <c r="F78" s="18">
        <v>46031</v>
      </c>
      <c r="G78" s="14">
        <v>6.3009259259259265E-2</v>
      </c>
      <c r="H78" s="7" t="s">
        <v>16</v>
      </c>
      <c r="I78" s="2" t="str">
        <f t="shared" si="8"/>
        <v>Q3</v>
      </c>
      <c r="J78" s="2" t="str">
        <f t="shared" si="9"/>
        <v>Match</v>
      </c>
      <c r="K78" s="2">
        <f t="shared" si="5"/>
        <v>0.31622776601683794</v>
      </c>
      <c r="L78" s="2" t="e">
        <f t="shared" si="6"/>
        <v>#N/A</v>
      </c>
      <c r="M78" s="2" t="str">
        <f t="shared" si="7"/>
        <v>Failed but within quadrant</v>
      </c>
      <c r="N78" s="7">
        <v>14.3</v>
      </c>
      <c r="O78" s="7">
        <v>-0.4</v>
      </c>
      <c r="P78" s="7">
        <v>-2.1</v>
      </c>
      <c r="Q78" s="7">
        <v>-1.1000000000000001</v>
      </c>
      <c r="R78" s="7">
        <v>-0.1</v>
      </c>
      <c r="S78" s="7">
        <v>-0.3</v>
      </c>
      <c r="T78" s="7">
        <v>0.42</v>
      </c>
      <c r="U78" s="7">
        <v>-0.08</v>
      </c>
      <c r="V78" s="7">
        <v>1.18</v>
      </c>
      <c r="W78" s="7" t="s">
        <v>6</v>
      </c>
      <c r="X78" s="7" t="s">
        <v>15</v>
      </c>
      <c r="Y78" s="2" t="s">
        <v>719</v>
      </c>
      <c r="Z78" s="2" t="s">
        <v>721</v>
      </c>
    </row>
    <row r="79" spans="1:26" x14ac:dyDescent="0.35">
      <c r="A79" s="7" t="s">
        <v>1521</v>
      </c>
      <c r="B79" s="7" t="s">
        <v>94</v>
      </c>
      <c r="C79" s="4" t="str">
        <f>_xlfn.XLOOKUP(A79,[2]Sheet2!$I$2:$I$1273,[2]Sheet2!$D$2:$D$1273,0)</f>
        <v>Q3</v>
      </c>
      <c r="D79" s="4">
        <f>_xlfn.XLOOKUP(B79,[4]Sheet2!$B$2:$B$3154,[4]Sheet2!$F$2:$F$3154,0)</f>
        <v>0</v>
      </c>
      <c r="E79" s="4" t="e">
        <f>_xlfn.XLOOKUP(B79,[2]Sheet2!$E$2:$E$713,[2]Sheet2!$G$2:$G$713)</f>
        <v>#N/A</v>
      </c>
      <c r="F79" s="18">
        <v>46031</v>
      </c>
      <c r="G79" s="14">
        <v>7.7187500000000006E-2</v>
      </c>
      <c r="H79" s="7" t="s">
        <v>11</v>
      </c>
      <c r="I79" s="2" t="str">
        <f t="shared" si="8"/>
        <v>Q2</v>
      </c>
      <c r="J79" s="2" t="str">
        <f t="shared" si="9"/>
        <v>Not Match</v>
      </c>
      <c r="K79" s="2">
        <f t="shared" si="5"/>
        <v>1.019803902718557</v>
      </c>
      <c r="L79" s="2" t="e">
        <f t="shared" si="6"/>
        <v>#N/A</v>
      </c>
      <c r="M79" s="2" t="str">
        <f t="shared" si="7"/>
        <v>Assign quadrant hit</v>
      </c>
      <c r="N79" s="7">
        <v>19.2</v>
      </c>
      <c r="O79" s="7">
        <v>0.8</v>
      </c>
      <c r="P79" s="7">
        <v>-8.1999999999999993</v>
      </c>
      <c r="Q79" s="7">
        <v>-0.37</v>
      </c>
      <c r="R79" s="7">
        <v>-0.2</v>
      </c>
      <c r="S79" s="7">
        <v>1</v>
      </c>
      <c r="T79" s="7">
        <v>-0.92</v>
      </c>
      <c r="U79" s="7">
        <v>-0.17</v>
      </c>
      <c r="V79" s="7">
        <v>1</v>
      </c>
      <c r="W79" s="7" t="s">
        <v>6</v>
      </c>
      <c r="X79" s="7" t="s">
        <v>15</v>
      </c>
      <c r="Y79" s="2" t="s">
        <v>719</v>
      </c>
      <c r="Z79" s="2" t="s">
        <v>721</v>
      </c>
    </row>
    <row r="80" spans="1:26" x14ac:dyDescent="0.35">
      <c r="A80" s="7" t="s">
        <v>1548</v>
      </c>
      <c r="B80" s="7" t="s">
        <v>95</v>
      </c>
      <c r="C80" s="4" t="str">
        <f>_xlfn.XLOOKUP(A80,[2]Sheet2!$I$2:$I$1273,[2]Sheet2!$D$2:$D$1273,0)</f>
        <v>Q4</v>
      </c>
      <c r="D80" s="4">
        <f>_xlfn.XLOOKUP(B80,[4]Sheet2!$B$2:$B$3154,[4]Sheet2!$F$2:$F$3154,0)</f>
        <v>0</v>
      </c>
      <c r="E80" s="4" t="e">
        <f>_xlfn.XLOOKUP(B80,[2]Sheet2!$E$2:$E$713,[2]Sheet2!$G$2:$G$713)</f>
        <v>#N/A</v>
      </c>
      <c r="F80" s="18">
        <v>46031</v>
      </c>
      <c r="G80" s="14">
        <v>0.25817129629629632</v>
      </c>
      <c r="H80" s="7" t="s">
        <v>11</v>
      </c>
      <c r="I80" s="2" t="str">
        <f t="shared" si="8"/>
        <v>Q4</v>
      </c>
      <c r="J80" s="2" t="str">
        <f t="shared" si="9"/>
        <v>Match</v>
      </c>
      <c r="K80" s="2">
        <f t="shared" si="5"/>
        <v>0.36055512754639896</v>
      </c>
      <c r="L80" s="2" t="e">
        <f t="shared" si="6"/>
        <v>#N/A</v>
      </c>
      <c r="M80" s="2" t="str">
        <f t="shared" si="7"/>
        <v>Digital Approve Hit</v>
      </c>
      <c r="N80" s="7">
        <v>25.3</v>
      </c>
      <c r="O80" s="7">
        <v>2.2999999999999998</v>
      </c>
      <c r="P80" s="7">
        <v>7.1</v>
      </c>
      <c r="Q80" s="7">
        <v>-0.28999999999999998</v>
      </c>
      <c r="R80" s="7">
        <v>0.2</v>
      </c>
      <c r="S80" s="7">
        <v>-0.3</v>
      </c>
      <c r="T80" s="7">
        <v>-0.23</v>
      </c>
      <c r="U80" s="7">
        <v>-0.45</v>
      </c>
      <c r="V80" s="7">
        <v>0.57999999999999996</v>
      </c>
      <c r="W80" s="7" t="s">
        <v>8</v>
      </c>
      <c r="X80" s="7" t="s">
        <v>9</v>
      </c>
      <c r="Y80" s="2" t="s">
        <v>719</v>
      </c>
      <c r="Z80" s="2" t="s">
        <v>721</v>
      </c>
    </row>
    <row r="81" spans="1:26" x14ac:dyDescent="0.35">
      <c r="A81" s="7" t="s">
        <v>1549</v>
      </c>
      <c r="B81" s="7" t="s">
        <v>96</v>
      </c>
      <c r="C81" s="4" t="str">
        <f>_xlfn.XLOOKUP(A81,[2]Sheet2!$I$2:$I$1273,[2]Sheet2!$D$2:$D$1273,0)</f>
        <v>Q1</v>
      </c>
      <c r="D81" s="4">
        <f>_xlfn.XLOOKUP(B81,[4]Sheet2!$B$2:$B$3154,[4]Sheet2!$F$2:$F$3154,0)</f>
        <v>0</v>
      </c>
      <c r="E81" s="4" t="e">
        <f>_xlfn.XLOOKUP(B81,[2]Sheet2!$E$2:$E$713,[2]Sheet2!$G$2:$G$713)</f>
        <v>#N/A</v>
      </c>
      <c r="F81" s="18">
        <v>46031</v>
      </c>
      <c r="G81" s="14">
        <v>0.26267361111111109</v>
      </c>
      <c r="H81" s="7" t="s">
        <v>4</v>
      </c>
      <c r="I81" s="2" t="str">
        <f t="shared" si="8"/>
        <v>Q1</v>
      </c>
      <c r="J81" s="2" t="str">
        <f t="shared" si="9"/>
        <v>Match</v>
      </c>
      <c r="K81" s="2">
        <f t="shared" si="5"/>
        <v>0.14142135623730953</v>
      </c>
      <c r="L81" s="2" t="e">
        <f t="shared" si="6"/>
        <v>#N/A</v>
      </c>
      <c r="M81" s="2" t="str">
        <f t="shared" si="7"/>
        <v>Failed but within quadrant</v>
      </c>
      <c r="N81" s="7">
        <v>17.2</v>
      </c>
      <c r="O81" s="7">
        <v>-0.1</v>
      </c>
      <c r="P81" s="7">
        <v>-1</v>
      </c>
      <c r="Q81" s="7">
        <v>-1.23</v>
      </c>
      <c r="R81" s="7">
        <v>0.1</v>
      </c>
      <c r="S81" s="7">
        <v>0.1</v>
      </c>
      <c r="T81" s="7">
        <v>-0.25</v>
      </c>
      <c r="U81" s="7">
        <v>0.21</v>
      </c>
      <c r="V81" s="7">
        <v>1.28</v>
      </c>
      <c r="W81" s="7" t="s">
        <v>6</v>
      </c>
      <c r="X81" s="7" t="s">
        <v>9</v>
      </c>
      <c r="Y81" s="2" t="s">
        <v>719</v>
      </c>
      <c r="Z81" s="2" t="s">
        <v>721</v>
      </c>
    </row>
    <row r="82" spans="1:26" x14ac:dyDescent="0.35">
      <c r="A82" s="7" t="s">
        <v>1550</v>
      </c>
      <c r="B82" s="7" t="s">
        <v>97</v>
      </c>
      <c r="C82" s="4">
        <f>_xlfn.XLOOKUP(A82,[2]Sheet2!$I$2:$I$1273,[2]Sheet2!$D$2:$D$1273,0)</f>
        <v>0</v>
      </c>
      <c r="D82" s="4">
        <f>_xlfn.XLOOKUP(B82,[4]Sheet2!$B$2:$B$3154,[4]Sheet2!$F$2:$F$3154,0)</f>
        <v>0</v>
      </c>
      <c r="E82" s="4" t="e">
        <f>_xlfn.XLOOKUP(B82,[2]Sheet2!$E$2:$E$713,[2]Sheet2!$G$2:$G$713)</f>
        <v>#N/A</v>
      </c>
      <c r="F82" s="18">
        <v>46031</v>
      </c>
      <c r="G82" s="14">
        <v>0.27195601851851853</v>
      </c>
      <c r="H82" s="7" t="s">
        <v>11</v>
      </c>
      <c r="I82" s="2">
        <f t="shared" si="8"/>
        <v>0</v>
      </c>
      <c r="J82" s="2" t="str">
        <f t="shared" si="9"/>
        <v>Match</v>
      </c>
      <c r="K82" s="2">
        <f t="shared" si="5"/>
        <v>0</v>
      </c>
      <c r="L82" s="2" t="e">
        <f t="shared" si="6"/>
        <v>#N/A</v>
      </c>
      <c r="M82" s="2" t="str">
        <f t="shared" si="7"/>
        <v>Failed but within quadrant</v>
      </c>
      <c r="N82" s="7">
        <v>15.2</v>
      </c>
      <c r="O82" s="7">
        <v>-0.9</v>
      </c>
      <c r="P82" s="7">
        <v>-2.8</v>
      </c>
      <c r="Q82" s="7">
        <v>-1.92</v>
      </c>
      <c r="R82" s="7">
        <v>0</v>
      </c>
      <c r="S82" s="7">
        <v>0</v>
      </c>
      <c r="T82" s="7">
        <v>-0.08</v>
      </c>
      <c r="U82" s="7">
        <v>0.05</v>
      </c>
      <c r="V82" s="7">
        <v>1.92</v>
      </c>
      <c r="W82" s="7" t="s">
        <v>6</v>
      </c>
      <c r="X82" s="7" t="s">
        <v>9</v>
      </c>
      <c r="Y82" s="2" t="s">
        <v>719</v>
      </c>
      <c r="Z82" s="2" t="s">
        <v>721</v>
      </c>
    </row>
    <row r="83" spans="1:26" x14ac:dyDescent="0.35">
      <c r="A83" s="7" t="s">
        <v>1551</v>
      </c>
      <c r="B83" s="7" t="s">
        <v>81</v>
      </c>
      <c r="C83" s="4">
        <f>_xlfn.XLOOKUP(A83,[2]Sheet2!$I$2:$I$1273,[2]Sheet2!$D$2:$D$1273,0)</f>
        <v>0</v>
      </c>
      <c r="D83" s="4">
        <f>_xlfn.XLOOKUP(B83,[4]Sheet2!$B$2:$B$3154,[4]Sheet2!$F$2:$F$3154,0)</f>
        <v>0</v>
      </c>
      <c r="E83" s="4" t="e">
        <f>_xlfn.XLOOKUP(B83,[2]Sheet2!$E$2:$E$713,[2]Sheet2!$G$2:$G$713)</f>
        <v>#N/A</v>
      </c>
      <c r="F83" s="18">
        <v>46031</v>
      </c>
      <c r="G83" s="14">
        <v>0.27328703703703705</v>
      </c>
      <c r="H83" s="7" t="s">
        <v>11</v>
      </c>
      <c r="I83" s="2" t="str">
        <f t="shared" si="8"/>
        <v>Q1</v>
      </c>
      <c r="J83" s="2" t="str">
        <f t="shared" si="9"/>
        <v>Not Found</v>
      </c>
      <c r="K83" s="2">
        <f t="shared" si="5"/>
        <v>1.019803902718557</v>
      </c>
      <c r="L83" s="2" t="e">
        <f t="shared" si="6"/>
        <v>#N/A</v>
      </c>
      <c r="M83" s="2" t="str">
        <f t="shared" si="7"/>
        <v>Assign quadrant hit</v>
      </c>
      <c r="N83" s="7">
        <v>19</v>
      </c>
      <c r="O83" s="7">
        <v>-1.7</v>
      </c>
      <c r="P83" s="7">
        <v>-1.5</v>
      </c>
      <c r="Q83" s="7">
        <v>-1.33</v>
      </c>
      <c r="R83" s="7">
        <v>0.2</v>
      </c>
      <c r="S83" s="7">
        <v>1</v>
      </c>
      <c r="T83" s="7">
        <v>-1.0900000000000001</v>
      </c>
      <c r="U83" s="7">
        <v>-0.61</v>
      </c>
      <c r="V83" s="7">
        <v>1.83</v>
      </c>
      <c r="W83" s="7" t="s">
        <v>6</v>
      </c>
      <c r="X83" s="7" t="s">
        <v>12</v>
      </c>
      <c r="Y83" s="2" t="s">
        <v>719</v>
      </c>
      <c r="Z83" s="2" t="s">
        <v>721</v>
      </c>
    </row>
    <row r="84" spans="1:26" x14ac:dyDescent="0.35">
      <c r="A84" s="7" t="s">
        <v>1552</v>
      </c>
      <c r="B84" s="7" t="s">
        <v>98</v>
      </c>
      <c r="C84" s="4" t="str">
        <f>_xlfn.XLOOKUP(A84,[2]Sheet2!$I$2:$I$1273,[2]Sheet2!$D$2:$D$1273,0)</f>
        <v>Q1</v>
      </c>
      <c r="D84" s="4">
        <f>_xlfn.XLOOKUP(B84,[4]Sheet2!$B$2:$B$3154,[4]Sheet2!$F$2:$F$3154,0)</f>
        <v>0</v>
      </c>
      <c r="E84" s="4" t="e">
        <f>_xlfn.XLOOKUP(B84,[2]Sheet2!$E$2:$E$713,[2]Sheet2!$G$2:$G$713)</f>
        <v>#N/A</v>
      </c>
      <c r="F84" s="18">
        <v>46031</v>
      </c>
      <c r="G84" s="14">
        <v>0.27681712962962962</v>
      </c>
      <c r="H84" s="7" t="s">
        <v>11</v>
      </c>
      <c r="I84" s="2" t="str">
        <f t="shared" si="8"/>
        <v>Q1</v>
      </c>
      <c r="J84" s="2" t="str">
        <f t="shared" si="9"/>
        <v>Match</v>
      </c>
      <c r="K84" s="2">
        <f t="shared" si="5"/>
        <v>0</v>
      </c>
      <c r="L84" s="2" t="e">
        <f t="shared" si="6"/>
        <v>#N/A</v>
      </c>
      <c r="M84" s="2" t="str">
        <f t="shared" si="7"/>
        <v>Digital Approve Hit</v>
      </c>
      <c r="N84" s="7">
        <v>14.4</v>
      </c>
      <c r="O84" s="7">
        <v>-1</v>
      </c>
      <c r="P84" s="7">
        <v>-2.2000000000000002</v>
      </c>
      <c r="Q84" s="7">
        <v>0.15</v>
      </c>
      <c r="R84" s="7">
        <v>0</v>
      </c>
      <c r="S84" s="7">
        <v>0</v>
      </c>
      <c r="T84" s="7">
        <v>-0.02</v>
      </c>
      <c r="U84" s="7">
        <v>-0.02</v>
      </c>
      <c r="V84" s="7">
        <v>0.16</v>
      </c>
      <c r="W84" s="7" t="s">
        <v>8</v>
      </c>
      <c r="X84" s="7" t="s">
        <v>15</v>
      </c>
      <c r="Y84" s="2" t="s">
        <v>719</v>
      </c>
      <c r="Z84" s="2" t="s">
        <v>721</v>
      </c>
    </row>
    <row r="85" spans="1:26" x14ac:dyDescent="0.35">
      <c r="A85" s="7" t="s">
        <v>1552</v>
      </c>
      <c r="B85" s="7" t="s">
        <v>99</v>
      </c>
      <c r="C85" s="4" t="str">
        <f>_xlfn.XLOOKUP(A85,[2]Sheet2!$I$2:$I$1273,[2]Sheet2!$D$2:$D$1273,0)</f>
        <v>Q1</v>
      </c>
      <c r="D85" s="4">
        <f>_xlfn.XLOOKUP(B85,[4]Sheet2!$B$2:$B$3154,[4]Sheet2!$F$2:$F$3154,0)</f>
        <v>0</v>
      </c>
      <c r="E85" s="4" t="e">
        <f>_xlfn.XLOOKUP(B85,[2]Sheet2!$E$2:$E$713,[2]Sheet2!$G$2:$G$713)</f>
        <v>#N/A</v>
      </c>
      <c r="F85" s="18">
        <v>46031</v>
      </c>
      <c r="G85" s="14">
        <v>0.27945601851851853</v>
      </c>
      <c r="H85" s="7" t="s">
        <v>11</v>
      </c>
      <c r="I85" s="2" t="str">
        <f t="shared" si="8"/>
        <v>Q3</v>
      </c>
      <c r="J85" s="2" t="str">
        <f t="shared" si="9"/>
        <v>Not Match</v>
      </c>
      <c r="K85" s="2">
        <f t="shared" si="5"/>
        <v>0.1</v>
      </c>
      <c r="L85" s="2" t="e">
        <f t="shared" si="6"/>
        <v>#N/A</v>
      </c>
      <c r="M85" s="2" t="str">
        <f t="shared" si="7"/>
        <v>Assign quadrant hit</v>
      </c>
      <c r="N85" s="7">
        <v>13.1</v>
      </c>
      <c r="O85" s="7">
        <v>-1.1000000000000001</v>
      </c>
      <c r="P85" s="7">
        <v>-2.2000000000000002</v>
      </c>
      <c r="Q85" s="7">
        <v>-1.1000000000000001</v>
      </c>
      <c r="R85" s="7">
        <v>-0.1</v>
      </c>
      <c r="S85" s="7">
        <v>0</v>
      </c>
      <c r="T85" s="7">
        <v>7.0000000000000007E-2</v>
      </c>
      <c r="U85" s="7">
        <v>-0.15</v>
      </c>
      <c r="V85" s="7">
        <v>1.1200000000000001</v>
      </c>
      <c r="W85" s="7" t="s">
        <v>6</v>
      </c>
      <c r="X85" s="7" t="s">
        <v>15</v>
      </c>
      <c r="Y85" s="2" t="s">
        <v>719</v>
      </c>
      <c r="Z85" s="2" t="s">
        <v>721</v>
      </c>
    </row>
    <row r="86" spans="1:26" x14ac:dyDescent="0.35">
      <c r="A86" s="7" t="s">
        <v>1553</v>
      </c>
      <c r="B86" s="7" t="s">
        <v>101</v>
      </c>
      <c r="C86" s="4" t="str">
        <f>_xlfn.XLOOKUP(A86,[2]Sheet2!$I$2:$I$1273,[2]Sheet2!$D$2:$D$1273,0)</f>
        <v>Q4</v>
      </c>
      <c r="D86" s="4">
        <f>_xlfn.XLOOKUP(B86,[4]Sheet2!$B$2:$B$3154,[4]Sheet2!$F$2:$F$3154,0)</f>
        <v>0</v>
      </c>
      <c r="E86" s="4" t="e">
        <f>_xlfn.XLOOKUP(B86,[2]Sheet2!$E$2:$E$713,[2]Sheet2!$G$2:$G$713)</f>
        <v>#N/A</v>
      </c>
      <c r="F86" s="18">
        <v>46031</v>
      </c>
      <c r="G86" s="14">
        <v>0.34821759259259261</v>
      </c>
      <c r="H86" s="7" t="s">
        <v>5</v>
      </c>
      <c r="I86" s="2" t="str">
        <f t="shared" si="8"/>
        <v>Q3</v>
      </c>
      <c r="J86" s="2" t="str">
        <f t="shared" si="9"/>
        <v>Not Match</v>
      </c>
      <c r="K86" s="2">
        <f t="shared" si="5"/>
        <v>0.28284271247461906</v>
      </c>
      <c r="L86" s="2" t="e">
        <f t="shared" si="6"/>
        <v>#N/A</v>
      </c>
      <c r="M86" s="2" t="str">
        <f t="shared" si="7"/>
        <v>Below 0.8 not in assigned quadrant</v>
      </c>
      <c r="N86" s="7">
        <v>15.6</v>
      </c>
      <c r="O86" s="7">
        <v>-0.4</v>
      </c>
      <c r="P86" s="7">
        <v>-3.7</v>
      </c>
      <c r="Q86" s="7">
        <v>0.09</v>
      </c>
      <c r="R86" s="7">
        <v>-0.2</v>
      </c>
      <c r="S86" s="7">
        <v>-0.2</v>
      </c>
      <c r="T86" s="7">
        <v>0.28999999999999998</v>
      </c>
      <c r="U86" s="7">
        <v>-0.3</v>
      </c>
      <c r="V86" s="7">
        <v>0.43</v>
      </c>
      <c r="W86" s="7" t="s">
        <v>8</v>
      </c>
      <c r="X86" s="7" t="s">
        <v>15</v>
      </c>
      <c r="Y86" s="2" t="s">
        <v>719</v>
      </c>
      <c r="Z86" s="2" t="s">
        <v>721</v>
      </c>
    </row>
    <row r="87" spans="1:26" x14ac:dyDescent="0.35">
      <c r="A87" s="7" t="s">
        <v>1554</v>
      </c>
      <c r="B87" s="7" t="s">
        <v>102</v>
      </c>
      <c r="C87" s="4" t="str">
        <f>_xlfn.XLOOKUP(A87,[2]Sheet2!$I$2:$I$1273,[2]Sheet2!$D$2:$D$1273,0)</f>
        <v>Q1</v>
      </c>
      <c r="D87" s="4">
        <f>_xlfn.XLOOKUP(B87,[4]Sheet2!$B$2:$B$3154,[4]Sheet2!$F$2:$F$3154,0)</f>
        <v>0</v>
      </c>
      <c r="E87" s="4" t="e">
        <f>_xlfn.XLOOKUP(B87,[2]Sheet2!$E$2:$E$713,[2]Sheet2!$G$2:$G$713)</f>
        <v>#N/A</v>
      </c>
      <c r="F87" s="18">
        <v>46031</v>
      </c>
      <c r="G87" s="14">
        <v>0.44055555555555553</v>
      </c>
      <c r="H87" s="7" t="s">
        <v>5</v>
      </c>
      <c r="I87" s="2" t="str">
        <f t="shared" si="8"/>
        <v>Q1</v>
      </c>
      <c r="J87" s="2" t="str">
        <f t="shared" si="9"/>
        <v>Match</v>
      </c>
      <c r="K87" s="2">
        <f t="shared" si="5"/>
        <v>0.5</v>
      </c>
      <c r="L87" s="2" t="e">
        <f t="shared" si="6"/>
        <v>#N/A</v>
      </c>
      <c r="M87" s="2" t="str">
        <f t="shared" si="7"/>
        <v>Failed but within quadrant</v>
      </c>
      <c r="N87" s="7">
        <v>15.8</v>
      </c>
      <c r="O87" s="7">
        <v>-0.4</v>
      </c>
      <c r="P87" s="7">
        <v>-2.2999999999999998</v>
      </c>
      <c r="Q87" s="7">
        <v>-1.1299999999999999</v>
      </c>
      <c r="R87" s="7">
        <v>0.4</v>
      </c>
      <c r="S87" s="7">
        <v>0.3</v>
      </c>
      <c r="T87" s="7">
        <v>-0.56999999999999995</v>
      </c>
      <c r="U87" s="7">
        <v>0.5</v>
      </c>
      <c r="V87" s="7">
        <v>1.36</v>
      </c>
      <c r="W87" s="7" t="s">
        <v>6</v>
      </c>
      <c r="X87" s="7" t="s">
        <v>9</v>
      </c>
      <c r="Y87" s="2" t="s">
        <v>719</v>
      </c>
      <c r="Z87" s="2" t="s">
        <v>721</v>
      </c>
    </row>
    <row r="88" spans="1:26" x14ac:dyDescent="0.35">
      <c r="A88" s="7" t="s">
        <v>1555</v>
      </c>
      <c r="B88" s="7" t="s">
        <v>103</v>
      </c>
      <c r="C88" s="4">
        <f>_xlfn.XLOOKUP(A88,[2]Sheet2!$I$2:$I$1273,[2]Sheet2!$D$2:$D$1273,0)</f>
        <v>0</v>
      </c>
      <c r="D88" s="4">
        <f>_xlfn.XLOOKUP(B88,[4]Sheet2!$B$2:$B$3154,[4]Sheet2!$F$2:$F$3154,0)</f>
        <v>0</v>
      </c>
      <c r="E88" s="4" t="e">
        <f>_xlfn.XLOOKUP(B88,[2]Sheet2!$E$2:$E$713,[2]Sheet2!$G$2:$G$713)</f>
        <v>#N/A</v>
      </c>
      <c r="F88" s="18">
        <v>46031</v>
      </c>
      <c r="G88" s="14">
        <v>0.44285879629629632</v>
      </c>
      <c r="H88" s="7" t="s">
        <v>5</v>
      </c>
      <c r="I88" s="2" t="str">
        <f t="shared" si="8"/>
        <v>Q4</v>
      </c>
      <c r="J88" s="2" t="str">
        <f t="shared" si="9"/>
        <v>Not Found</v>
      </c>
      <c r="K88" s="2">
        <f t="shared" si="5"/>
        <v>0.2</v>
      </c>
      <c r="L88" s="2" t="e">
        <f t="shared" si="6"/>
        <v>#N/A</v>
      </c>
      <c r="M88" s="2" t="str">
        <f t="shared" si="7"/>
        <v>Assign quadrant hit</v>
      </c>
      <c r="N88" s="7">
        <v>16.3</v>
      </c>
      <c r="O88" s="7">
        <v>-0.2</v>
      </c>
      <c r="P88" s="7">
        <v>-1.3</v>
      </c>
      <c r="Q88" s="7">
        <v>-0.28000000000000003</v>
      </c>
      <c r="R88" s="7">
        <v>0</v>
      </c>
      <c r="S88" s="7">
        <v>-0.2</v>
      </c>
      <c r="T88" s="7">
        <v>0.28000000000000003</v>
      </c>
      <c r="U88" s="7">
        <v>0.04</v>
      </c>
      <c r="V88" s="7">
        <v>0.39</v>
      </c>
      <c r="W88" s="7" t="s">
        <v>8</v>
      </c>
      <c r="X88" s="7" t="s">
        <v>9</v>
      </c>
      <c r="Y88" s="2" t="s">
        <v>719</v>
      </c>
      <c r="Z88" s="2" t="s">
        <v>721</v>
      </c>
    </row>
    <row r="89" spans="1:26" x14ac:dyDescent="0.35">
      <c r="A89" s="7" t="s">
        <v>1556</v>
      </c>
      <c r="B89" s="7" t="s">
        <v>104</v>
      </c>
      <c r="C89" s="4">
        <f>_xlfn.XLOOKUP(A89,[2]Sheet2!$I$2:$I$1273,[2]Sheet2!$D$2:$D$1273,0)</f>
        <v>0</v>
      </c>
      <c r="D89" s="4">
        <f>_xlfn.XLOOKUP(B89,[4]Sheet2!$B$2:$B$3154,[4]Sheet2!$F$2:$F$3154,0)</f>
        <v>0</v>
      </c>
      <c r="E89" s="4" t="e">
        <f>_xlfn.XLOOKUP(B89,[2]Sheet2!$E$2:$E$713,[2]Sheet2!$G$2:$G$713)</f>
        <v>#N/A</v>
      </c>
      <c r="F89" s="18">
        <v>46031</v>
      </c>
      <c r="G89" s="14">
        <v>0.63210648148148152</v>
      </c>
      <c r="H89" s="7" t="s">
        <v>16</v>
      </c>
      <c r="I89" s="2" t="str">
        <f t="shared" si="8"/>
        <v>Q4</v>
      </c>
      <c r="J89" s="2" t="str">
        <f t="shared" si="9"/>
        <v>Not Found</v>
      </c>
      <c r="K89" s="2">
        <f t="shared" si="5"/>
        <v>0.1</v>
      </c>
      <c r="L89" s="2" t="e">
        <f t="shared" si="6"/>
        <v>#N/A</v>
      </c>
      <c r="M89" s="2" t="str">
        <f t="shared" si="7"/>
        <v>Assign quadrant hit</v>
      </c>
      <c r="N89" s="7">
        <v>29.5</v>
      </c>
      <c r="O89" s="7">
        <v>-3.3</v>
      </c>
      <c r="P89" s="7">
        <v>17.3</v>
      </c>
      <c r="Q89" s="7">
        <v>-0.59</v>
      </c>
      <c r="R89" s="7">
        <v>0.1</v>
      </c>
      <c r="S89" s="7">
        <v>0</v>
      </c>
      <c r="T89" s="7">
        <v>0.03</v>
      </c>
      <c r="U89" s="7">
        <v>-0.14000000000000001</v>
      </c>
      <c r="V89" s="7">
        <v>0.6</v>
      </c>
      <c r="W89" s="7" t="s">
        <v>8</v>
      </c>
      <c r="X89" s="7" t="s">
        <v>12</v>
      </c>
      <c r="Y89" s="2" t="s">
        <v>719</v>
      </c>
      <c r="Z89" s="2" t="s">
        <v>721</v>
      </c>
    </row>
    <row r="90" spans="1:26" x14ac:dyDescent="0.35">
      <c r="A90" s="7" t="s">
        <v>1552</v>
      </c>
      <c r="B90" s="7" t="s">
        <v>105</v>
      </c>
      <c r="C90" s="4" t="str">
        <f>_xlfn.XLOOKUP(A90,[2]Sheet2!$I$2:$I$1273,[2]Sheet2!$D$2:$D$1273,0)</f>
        <v>Q1</v>
      </c>
      <c r="D90" s="4">
        <f>_xlfn.XLOOKUP(B90,[4]Sheet2!$B$2:$B$3154,[4]Sheet2!$F$2:$F$3154,0)</f>
        <v>0</v>
      </c>
      <c r="E90" s="4" t="e">
        <f>_xlfn.XLOOKUP(B90,[2]Sheet2!$E$2:$E$713,[2]Sheet2!$G$2:$G$713)</f>
        <v>#N/A</v>
      </c>
      <c r="F90" s="18">
        <v>46031</v>
      </c>
      <c r="G90" s="14">
        <v>0.61774305555555553</v>
      </c>
      <c r="H90" s="7" t="s">
        <v>11</v>
      </c>
      <c r="I90" s="2" t="str">
        <f t="shared" si="8"/>
        <v>Q3</v>
      </c>
      <c r="J90" s="2" t="str">
        <f t="shared" si="9"/>
        <v>Not Match</v>
      </c>
      <c r="K90" s="2">
        <f t="shared" si="5"/>
        <v>0.1</v>
      </c>
      <c r="L90" s="2" t="e">
        <f t="shared" si="6"/>
        <v>#N/A</v>
      </c>
      <c r="M90" s="2" t="str">
        <f t="shared" si="7"/>
        <v>Assign quadrant hit</v>
      </c>
      <c r="N90" s="7">
        <v>12.7</v>
      </c>
      <c r="O90" s="7">
        <v>-1.2</v>
      </c>
      <c r="P90" s="7">
        <v>-2.2999999999999998</v>
      </c>
      <c r="Q90" s="7">
        <v>-1.46</v>
      </c>
      <c r="R90" s="7">
        <v>-0.1</v>
      </c>
      <c r="S90" s="7">
        <v>0</v>
      </c>
      <c r="T90" s="7">
        <v>0.2</v>
      </c>
      <c r="U90" s="7">
        <v>-0.16</v>
      </c>
      <c r="V90" s="7">
        <v>1.48</v>
      </c>
      <c r="W90" s="7" t="s">
        <v>6</v>
      </c>
      <c r="X90" s="7" t="s">
        <v>15</v>
      </c>
      <c r="Y90" s="2" t="s">
        <v>719</v>
      </c>
      <c r="Z90" s="2" t="s">
        <v>721</v>
      </c>
    </row>
    <row r="91" spans="1:26" x14ac:dyDescent="0.35">
      <c r="A91" s="7" t="s">
        <v>1552</v>
      </c>
      <c r="B91" s="7" t="s">
        <v>106</v>
      </c>
      <c r="C91" s="4" t="str">
        <f>_xlfn.XLOOKUP(A91,[2]Sheet2!$I$2:$I$1273,[2]Sheet2!$D$2:$D$1273,0)</f>
        <v>Q1</v>
      </c>
      <c r="D91" s="4">
        <f>_xlfn.XLOOKUP(B91,[4]Sheet2!$B$2:$B$3154,[4]Sheet2!$F$2:$F$3154,0)</f>
        <v>0</v>
      </c>
      <c r="E91" s="4" t="e">
        <f>_xlfn.XLOOKUP(B91,[2]Sheet2!$E$2:$E$713,[2]Sheet2!$G$2:$G$713)</f>
        <v>#N/A</v>
      </c>
      <c r="F91" s="18">
        <v>46031</v>
      </c>
      <c r="G91" s="14">
        <v>0.72138888888888886</v>
      </c>
      <c r="H91" s="7" t="s">
        <v>11</v>
      </c>
      <c r="I91" s="2" t="str">
        <f t="shared" si="8"/>
        <v>Q3</v>
      </c>
      <c r="J91" s="2" t="str">
        <f t="shared" si="9"/>
        <v>Not Match</v>
      </c>
      <c r="K91" s="2">
        <f t="shared" si="5"/>
        <v>0.14142135623730953</v>
      </c>
      <c r="L91" s="2" t="e">
        <f t="shared" si="6"/>
        <v>#N/A</v>
      </c>
      <c r="M91" s="2" t="str">
        <f t="shared" si="7"/>
        <v>Below 0.8 not in assigned quadrant</v>
      </c>
      <c r="N91" s="7">
        <v>13.9</v>
      </c>
      <c r="O91" s="7">
        <v>-1.2</v>
      </c>
      <c r="P91" s="7">
        <v>-2.2999999999999998</v>
      </c>
      <c r="Q91" s="7">
        <v>-0.33</v>
      </c>
      <c r="R91" s="7">
        <v>-0.1</v>
      </c>
      <c r="S91" s="7">
        <v>-0.1</v>
      </c>
      <c r="T91" s="7">
        <v>0.22</v>
      </c>
      <c r="U91" s="7">
        <v>-0.16</v>
      </c>
      <c r="V91" s="7">
        <v>0.43</v>
      </c>
      <c r="W91" s="7" t="s">
        <v>8</v>
      </c>
      <c r="X91" s="7" t="s">
        <v>15</v>
      </c>
      <c r="Y91" s="2" t="s">
        <v>719</v>
      </c>
      <c r="Z91" s="2" t="s">
        <v>721</v>
      </c>
    </row>
    <row r="92" spans="1:26" x14ac:dyDescent="0.35">
      <c r="A92" s="7" t="s">
        <v>1552</v>
      </c>
      <c r="B92" s="7" t="s">
        <v>107</v>
      </c>
      <c r="C92" s="4" t="str">
        <f>_xlfn.XLOOKUP(A92,[2]Sheet2!$I$2:$I$1273,[2]Sheet2!$D$2:$D$1273,0)</f>
        <v>Q1</v>
      </c>
      <c r="D92" s="4">
        <f>_xlfn.XLOOKUP(B92,[4]Sheet2!$B$2:$B$3154,[4]Sheet2!$F$2:$F$3154,0)</f>
        <v>0</v>
      </c>
      <c r="E92" s="4" t="e">
        <f>_xlfn.XLOOKUP(B92,[2]Sheet2!$E$2:$E$713,[2]Sheet2!$G$2:$G$713)</f>
        <v>#N/A</v>
      </c>
      <c r="F92" s="18">
        <v>46031</v>
      </c>
      <c r="G92" s="14">
        <v>0.72291666666666665</v>
      </c>
      <c r="H92" s="7" t="s">
        <v>11</v>
      </c>
      <c r="I92" s="2" t="str">
        <f t="shared" si="8"/>
        <v>Q1</v>
      </c>
      <c r="J92" s="2" t="str">
        <f t="shared" si="9"/>
        <v>Match</v>
      </c>
      <c r="K92" s="2">
        <f t="shared" si="5"/>
        <v>0</v>
      </c>
      <c r="L92" s="2" t="e">
        <f t="shared" si="6"/>
        <v>#N/A</v>
      </c>
      <c r="M92" s="2" t="str">
        <f t="shared" si="7"/>
        <v>Digital Approve Hit</v>
      </c>
      <c r="N92" s="7">
        <v>14.9</v>
      </c>
      <c r="O92" s="7">
        <v>-1</v>
      </c>
      <c r="P92" s="7">
        <v>-2.2999999999999998</v>
      </c>
      <c r="Q92" s="7">
        <v>0.71</v>
      </c>
      <c r="R92" s="7">
        <v>0</v>
      </c>
      <c r="S92" s="7">
        <v>0</v>
      </c>
      <c r="T92" s="7">
        <v>0.08</v>
      </c>
      <c r="U92" s="7">
        <v>-0.01</v>
      </c>
      <c r="V92" s="7">
        <v>0.72</v>
      </c>
      <c r="W92" s="7" t="s">
        <v>8</v>
      </c>
      <c r="X92" s="7" t="s">
        <v>15</v>
      </c>
      <c r="Y92" s="2" t="s">
        <v>719</v>
      </c>
      <c r="Z92" s="2" t="s">
        <v>721</v>
      </c>
    </row>
    <row r="93" spans="1:26" x14ac:dyDescent="0.35">
      <c r="A93" s="7" t="s">
        <v>1557</v>
      </c>
      <c r="B93" s="7" t="s">
        <v>108</v>
      </c>
      <c r="C93" s="4" t="str">
        <f>_xlfn.XLOOKUP(A93,[2]Sheet2!$I$2:$I$1273,[2]Sheet2!$D$2:$D$1273,0)</f>
        <v>Q3</v>
      </c>
      <c r="D93" s="4">
        <f>_xlfn.XLOOKUP(B93,[4]Sheet2!$B$2:$B$3154,[4]Sheet2!$F$2:$F$3154,0)</f>
        <v>0</v>
      </c>
      <c r="E93" s="4" t="e">
        <f>_xlfn.XLOOKUP(B93,[2]Sheet2!$E$2:$E$713,[2]Sheet2!$G$2:$G$713)</f>
        <v>#N/A</v>
      </c>
      <c r="F93" s="18">
        <v>46031</v>
      </c>
      <c r="G93" s="14">
        <v>0.7249768518518519</v>
      </c>
      <c r="H93" s="7" t="s">
        <v>16</v>
      </c>
      <c r="I93" s="2" t="str">
        <f t="shared" si="8"/>
        <v>Q3</v>
      </c>
      <c r="J93" s="2" t="str">
        <f t="shared" si="9"/>
        <v>Match</v>
      </c>
      <c r="K93" s="2">
        <f t="shared" si="5"/>
        <v>0.28284271247461906</v>
      </c>
      <c r="L93" s="2" t="e">
        <f t="shared" si="6"/>
        <v>#N/A</v>
      </c>
      <c r="M93" s="2" t="str">
        <f t="shared" si="7"/>
        <v>Failed but within quadrant</v>
      </c>
      <c r="N93" s="7">
        <v>14.8</v>
      </c>
      <c r="O93" s="7">
        <v>-0.3</v>
      </c>
      <c r="P93" s="7">
        <v>-2</v>
      </c>
      <c r="Q93" s="7">
        <v>-0.73</v>
      </c>
      <c r="R93" s="7">
        <v>-0.2</v>
      </c>
      <c r="S93" s="7">
        <v>-0.2</v>
      </c>
      <c r="T93" s="7">
        <v>0.39</v>
      </c>
      <c r="U93" s="7">
        <v>-0.23</v>
      </c>
      <c r="V93" s="7">
        <v>0.86</v>
      </c>
      <c r="W93" s="7" t="s">
        <v>13</v>
      </c>
      <c r="X93" s="7" t="s">
        <v>15</v>
      </c>
      <c r="Y93" s="2" t="s">
        <v>719</v>
      </c>
      <c r="Z93" s="2" t="s">
        <v>721</v>
      </c>
    </row>
    <row r="94" spans="1:26" x14ac:dyDescent="0.35">
      <c r="A94" s="7" t="s">
        <v>1508</v>
      </c>
      <c r="B94" s="7" t="s">
        <v>109</v>
      </c>
      <c r="C94" s="4" t="str">
        <f>_xlfn.XLOOKUP(A94,[2]Sheet2!$I$2:$I$1273,[2]Sheet2!$D$2:$D$1273,0)</f>
        <v>Q2</v>
      </c>
      <c r="D94" s="4">
        <f>_xlfn.XLOOKUP(B94,[4]Sheet2!$B$2:$B$3154,[4]Sheet2!$F$2:$F$3154,0)</f>
        <v>0</v>
      </c>
      <c r="E94" s="4" t="e">
        <f>_xlfn.XLOOKUP(B94,[2]Sheet2!$E$2:$E$713,[2]Sheet2!$G$2:$G$713)</f>
        <v>#N/A</v>
      </c>
      <c r="F94" s="18">
        <v>46031</v>
      </c>
      <c r="G94" s="14">
        <v>0.72671296296296295</v>
      </c>
      <c r="H94" s="7" t="s">
        <v>5</v>
      </c>
      <c r="I94" s="2" t="str">
        <f t="shared" si="8"/>
        <v>Q4</v>
      </c>
      <c r="J94" s="2" t="str">
        <f t="shared" si="9"/>
        <v>Not Match</v>
      </c>
      <c r="K94" s="2">
        <f t="shared" si="5"/>
        <v>0.6</v>
      </c>
      <c r="L94" s="2" t="e">
        <f t="shared" si="6"/>
        <v>#N/A</v>
      </c>
      <c r="M94" s="2" t="str">
        <f t="shared" si="7"/>
        <v>Below 0.8 not in assigned quadrant</v>
      </c>
      <c r="N94" s="7">
        <v>18.100000000000001</v>
      </c>
      <c r="O94" s="7">
        <v>-0.9</v>
      </c>
      <c r="P94" s="7">
        <v>-9.6999999999999993</v>
      </c>
      <c r="Q94" s="7">
        <v>-0.04</v>
      </c>
      <c r="R94" s="7">
        <v>0</v>
      </c>
      <c r="S94" s="7">
        <v>-0.6</v>
      </c>
      <c r="T94" s="7">
        <v>0.57999999999999996</v>
      </c>
      <c r="U94" s="7">
        <v>-0.03</v>
      </c>
      <c r="V94" s="7">
        <v>0.57999999999999996</v>
      </c>
      <c r="W94" s="7" t="s">
        <v>8</v>
      </c>
      <c r="X94" s="7" t="s">
        <v>15</v>
      </c>
      <c r="Y94" s="2" t="s">
        <v>719</v>
      </c>
      <c r="Z94" s="2" t="s">
        <v>721</v>
      </c>
    </row>
    <row r="95" spans="1:26" x14ac:dyDescent="0.35">
      <c r="A95" s="7" t="s">
        <v>1558</v>
      </c>
      <c r="B95" s="7" t="s">
        <v>110</v>
      </c>
      <c r="C95" s="4" t="str">
        <f>_xlfn.XLOOKUP(A95,[2]Sheet2!$I$2:$I$1273,[2]Sheet2!$D$2:$D$1273,0)</f>
        <v>Q3</v>
      </c>
      <c r="D95" s="4">
        <f>_xlfn.XLOOKUP(B95,[4]Sheet2!$B$2:$B$3154,[4]Sheet2!$F$2:$F$3154,0)</f>
        <v>0</v>
      </c>
      <c r="E95" s="4" t="e">
        <f>_xlfn.XLOOKUP(B95,[2]Sheet2!$E$2:$E$713,[2]Sheet2!$G$2:$G$713)</f>
        <v>#N/A</v>
      </c>
      <c r="F95" s="18">
        <v>46031</v>
      </c>
      <c r="G95" s="14">
        <v>0.77335648148148151</v>
      </c>
      <c r="H95" s="7" t="s">
        <v>16</v>
      </c>
      <c r="I95" s="2" t="str">
        <f t="shared" si="8"/>
        <v>Q3</v>
      </c>
      <c r="J95" s="2" t="str">
        <f t="shared" si="9"/>
        <v>Match</v>
      </c>
      <c r="K95" s="2">
        <f t="shared" si="5"/>
        <v>0.22360679774997899</v>
      </c>
      <c r="L95" s="2" t="e">
        <f t="shared" si="6"/>
        <v>#N/A</v>
      </c>
      <c r="M95" s="2" t="str">
        <f t="shared" si="7"/>
        <v>Failed but within quadrant</v>
      </c>
      <c r="N95" s="7">
        <v>14.6</v>
      </c>
      <c r="O95" s="7">
        <v>-0.4</v>
      </c>
      <c r="P95" s="7">
        <v>-2.1</v>
      </c>
      <c r="Q95" s="7">
        <v>-0.9</v>
      </c>
      <c r="R95" s="7">
        <v>-0.1</v>
      </c>
      <c r="S95" s="7">
        <v>-0.2</v>
      </c>
      <c r="T95" s="7">
        <v>0.33</v>
      </c>
      <c r="U95" s="7">
        <v>-0.1</v>
      </c>
      <c r="V95" s="7">
        <v>0.96</v>
      </c>
      <c r="W95" s="7" t="s">
        <v>13</v>
      </c>
      <c r="X95" s="7" t="s">
        <v>15</v>
      </c>
      <c r="Y95" s="2" t="s">
        <v>719</v>
      </c>
      <c r="Z95" s="2" t="s">
        <v>721</v>
      </c>
    </row>
    <row r="96" spans="1:26" x14ac:dyDescent="0.35">
      <c r="A96" s="7" t="s">
        <v>1546</v>
      </c>
      <c r="B96" s="7" t="s">
        <v>111</v>
      </c>
      <c r="C96" s="4">
        <f>_xlfn.XLOOKUP(A96,[2]Sheet2!$I$2:$I$1273,[2]Sheet2!$D$2:$D$1273,0)</f>
        <v>0</v>
      </c>
      <c r="D96" s="4">
        <f>_xlfn.XLOOKUP(B96,[4]Sheet2!$B$2:$B$3154,[4]Sheet2!$F$2:$F$3154,0)</f>
        <v>0</v>
      </c>
      <c r="E96" s="4" t="e">
        <f>_xlfn.XLOOKUP(B96,[2]Sheet2!$E$2:$E$713,[2]Sheet2!$G$2:$G$713)</f>
        <v>#N/A</v>
      </c>
      <c r="F96" s="18">
        <v>46031</v>
      </c>
      <c r="G96" s="14">
        <v>0.7756481481481482</v>
      </c>
      <c r="H96" s="7" t="s">
        <v>5</v>
      </c>
      <c r="I96" s="2" t="str">
        <f t="shared" si="8"/>
        <v>Q3</v>
      </c>
      <c r="J96" s="2" t="str">
        <f t="shared" si="9"/>
        <v>Not Found</v>
      </c>
      <c r="K96" s="2">
        <f t="shared" si="5"/>
        <v>1.9104973174542801</v>
      </c>
      <c r="L96" s="2" t="e">
        <f t="shared" si="6"/>
        <v>#N/A</v>
      </c>
      <c r="M96" s="2" t="str">
        <f t="shared" si="7"/>
        <v>Assign quadrant hit</v>
      </c>
      <c r="N96" s="7">
        <v>49.6</v>
      </c>
      <c r="O96" s="7">
        <v>55.5</v>
      </c>
      <c r="P96" s="7">
        <v>47.9</v>
      </c>
      <c r="Q96" s="7">
        <v>-1.17</v>
      </c>
      <c r="R96" s="7">
        <v>-1.4</v>
      </c>
      <c r="S96" s="7">
        <v>-1.3</v>
      </c>
      <c r="T96" s="7">
        <v>-0.65</v>
      </c>
      <c r="U96" s="7">
        <v>-0.06</v>
      </c>
      <c r="V96" s="7">
        <v>1.33</v>
      </c>
      <c r="W96" s="7" t="s">
        <v>6</v>
      </c>
      <c r="X96" s="7" t="s">
        <v>9</v>
      </c>
      <c r="Y96" s="2" t="s">
        <v>719</v>
      </c>
      <c r="Z96" s="2" t="s">
        <v>721</v>
      </c>
    </row>
    <row r="97" spans="1:26" x14ac:dyDescent="0.35">
      <c r="A97" s="7" t="s">
        <v>1509</v>
      </c>
      <c r="B97" s="7" t="s">
        <v>112</v>
      </c>
      <c r="C97" s="4" t="str">
        <f>_xlfn.XLOOKUP(A97,[2]Sheet2!$I$2:$I$1273,[2]Sheet2!$D$2:$D$1273,0)</f>
        <v>Q2</v>
      </c>
      <c r="D97" s="4">
        <f>_xlfn.XLOOKUP(B97,[4]Sheet2!$B$2:$B$3154,[4]Sheet2!$F$2:$F$3154,0)</f>
        <v>0</v>
      </c>
      <c r="E97" s="4" t="e">
        <f>_xlfn.XLOOKUP(B97,[2]Sheet2!$E$2:$E$713,[2]Sheet2!$G$2:$G$713)</f>
        <v>#N/A</v>
      </c>
      <c r="F97" s="18">
        <v>46031</v>
      </c>
      <c r="G97" s="14">
        <v>0.7774537037037037</v>
      </c>
      <c r="H97" s="7" t="s">
        <v>14</v>
      </c>
      <c r="I97" s="2" t="str">
        <f t="shared" si="8"/>
        <v>Q3</v>
      </c>
      <c r="J97" s="2" t="str">
        <f t="shared" si="9"/>
        <v>Not Match</v>
      </c>
      <c r="K97" s="2">
        <f t="shared" si="5"/>
        <v>0.41231056256176613</v>
      </c>
      <c r="L97" s="2" t="e">
        <f t="shared" si="6"/>
        <v>#N/A</v>
      </c>
      <c r="M97" s="2" t="str">
        <f t="shared" si="7"/>
        <v>Assign quadrant hit</v>
      </c>
      <c r="N97" s="7">
        <v>18</v>
      </c>
      <c r="O97" s="7">
        <v>-0.9</v>
      </c>
      <c r="P97" s="7">
        <v>-3.5</v>
      </c>
      <c r="Q97" s="7">
        <v>1.21</v>
      </c>
      <c r="R97" s="7">
        <v>-0.1</v>
      </c>
      <c r="S97" s="7">
        <v>-0.4</v>
      </c>
      <c r="T97" s="7">
        <v>0.61</v>
      </c>
      <c r="U97" s="7">
        <v>0.01</v>
      </c>
      <c r="V97" s="7">
        <v>1.35</v>
      </c>
      <c r="W97" s="7" t="s">
        <v>6</v>
      </c>
      <c r="X97" s="7" t="s">
        <v>9</v>
      </c>
      <c r="Y97" s="2" t="s">
        <v>719</v>
      </c>
      <c r="Z97" s="2" t="s">
        <v>721</v>
      </c>
    </row>
    <row r="98" spans="1:26" x14ac:dyDescent="0.35">
      <c r="A98" s="7" t="s">
        <v>1552</v>
      </c>
      <c r="B98" s="7" t="s">
        <v>113</v>
      </c>
      <c r="C98" s="4" t="str">
        <f>_xlfn.XLOOKUP(A98,[2]Sheet2!$I$2:$I$1273,[2]Sheet2!$D$2:$D$1273,0)</f>
        <v>Q1</v>
      </c>
      <c r="D98" s="4">
        <f>_xlfn.XLOOKUP(B98,[4]Sheet2!$B$2:$B$3154,[4]Sheet2!$F$2:$F$3154,0)</f>
        <v>0</v>
      </c>
      <c r="E98" s="4" t="e">
        <f>_xlfn.XLOOKUP(B98,[2]Sheet2!$E$2:$E$713,[2]Sheet2!$G$2:$G$713)</f>
        <v>#N/A</v>
      </c>
      <c r="F98" s="18">
        <v>46031</v>
      </c>
      <c r="G98" s="14">
        <v>0.99821759259259257</v>
      </c>
      <c r="H98" s="7" t="s">
        <v>11</v>
      </c>
      <c r="I98" s="2" t="str">
        <f t="shared" si="8"/>
        <v>Q3</v>
      </c>
      <c r="J98" s="2" t="str">
        <f t="shared" si="9"/>
        <v>Not Match</v>
      </c>
      <c r="K98" s="2">
        <f t="shared" si="5"/>
        <v>0.1</v>
      </c>
      <c r="L98" s="2" t="e">
        <f t="shared" si="6"/>
        <v>#N/A</v>
      </c>
      <c r="M98" s="2" t="str">
        <f t="shared" si="7"/>
        <v>Below 0.8 not in assigned quadrant</v>
      </c>
      <c r="N98" s="7">
        <v>13.8</v>
      </c>
      <c r="O98" s="7">
        <v>-1.1000000000000001</v>
      </c>
      <c r="P98" s="7">
        <v>-2.2000000000000002</v>
      </c>
      <c r="Q98" s="7">
        <v>-0.41</v>
      </c>
      <c r="R98" s="7">
        <v>-0.1</v>
      </c>
      <c r="S98" s="7">
        <v>0</v>
      </c>
      <c r="T98" s="7">
        <v>0.03</v>
      </c>
      <c r="U98" s="7">
        <v>-0.14000000000000001</v>
      </c>
      <c r="V98" s="7">
        <v>0.43</v>
      </c>
      <c r="W98" s="7" t="s">
        <v>8</v>
      </c>
      <c r="X98" s="7" t="s">
        <v>15</v>
      </c>
      <c r="Y98" s="2" t="s">
        <v>719</v>
      </c>
      <c r="Z98" s="2" t="s">
        <v>721</v>
      </c>
    </row>
    <row r="99" spans="1:26" x14ac:dyDescent="0.35">
      <c r="A99" s="7" t="s">
        <v>1527</v>
      </c>
      <c r="B99" s="7" t="s">
        <v>114</v>
      </c>
      <c r="C99" s="4">
        <f>_xlfn.XLOOKUP(A99,[2]Sheet2!$I$2:$I$1273,[2]Sheet2!$D$2:$D$1273,0)</f>
        <v>0</v>
      </c>
      <c r="D99" s="4">
        <f>_xlfn.XLOOKUP(B99,[4]Sheet2!$B$2:$B$3154,[4]Sheet2!$F$2:$F$3154,0)</f>
        <v>0</v>
      </c>
      <c r="E99" s="4" t="e">
        <f>_xlfn.XLOOKUP(B99,[2]Sheet2!$E$2:$E$713,[2]Sheet2!$G$2:$G$713)</f>
        <v>#N/A</v>
      </c>
      <c r="F99" s="18">
        <v>46032</v>
      </c>
      <c r="G99" s="14">
        <v>0.10578703703703704</v>
      </c>
      <c r="H99" s="7" t="s">
        <v>5</v>
      </c>
      <c r="I99" s="2" t="str">
        <f t="shared" si="8"/>
        <v>Q2</v>
      </c>
      <c r="J99" s="2" t="str">
        <f t="shared" si="9"/>
        <v>Not Found</v>
      </c>
      <c r="K99" s="2">
        <f t="shared" si="5"/>
        <v>1.004987562112089</v>
      </c>
      <c r="L99" s="2" t="e">
        <f t="shared" si="6"/>
        <v>#N/A</v>
      </c>
      <c r="M99" s="2" t="str">
        <f t="shared" si="7"/>
        <v>Assign quadrant hit</v>
      </c>
      <c r="N99" s="7">
        <v>28</v>
      </c>
      <c r="O99" s="7">
        <v>6.7</v>
      </c>
      <c r="P99" s="7">
        <v>-46.3</v>
      </c>
      <c r="Q99" s="7">
        <v>-0.46</v>
      </c>
      <c r="R99" s="7">
        <v>-0.1</v>
      </c>
      <c r="S99" s="7">
        <v>1</v>
      </c>
      <c r="T99" s="7">
        <v>-0.41</v>
      </c>
      <c r="U99" s="7">
        <v>-0.01</v>
      </c>
      <c r="V99" s="7">
        <v>0.61</v>
      </c>
      <c r="W99" s="7" t="s">
        <v>8</v>
      </c>
      <c r="X99" s="7" t="s">
        <v>15</v>
      </c>
      <c r="Y99" s="2" t="s">
        <v>719</v>
      </c>
      <c r="Z99" s="2" t="s">
        <v>721</v>
      </c>
    </row>
    <row r="100" spans="1:26" x14ac:dyDescent="0.35">
      <c r="A100" s="7" t="s">
        <v>1557</v>
      </c>
      <c r="B100" s="7" t="s">
        <v>115</v>
      </c>
      <c r="C100" s="4" t="str">
        <f>_xlfn.XLOOKUP(A100,[2]Sheet2!$I$2:$I$1273,[2]Sheet2!$D$2:$D$1273,0)</f>
        <v>Q3</v>
      </c>
      <c r="D100" s="4">
        <f>_xlfn.XLOOKUP(B100,[4]Sheet2!$B$2:$B$3154,[4]Sheet2!$F$2:$F$3154,0)</f>
        <v>0</v>
      </c>
      <c r="E100" s="4" t="e">
        <f>_xlfn.XLOOKUP(B100,[2]Sheet2!$E$2:$E$713,[2]Sheet2!$G$2:$G$713)</f>
        <v>#N/A</v>
      </c>
      <c r="F100" s="18">
        <v>46032</v>
      </c>
      <c r="G100" s="14">
        <v>0.10738425925925926</v>
      </c>
      <c r="H100" s="7" t="s">
        <v>16</v>
      </c>
      <c r="I100" s="2" t="str">
        <f t="shared" si="8"/>
        <v>Q3</v>
      </c>
      <c r="J100" s="2" t="str">
        <f t="shared" si="9"/>
        <v>Match</v>
      </c>
      <c r="K100" s="2">
        <f t="shared" si="5"/>
        <v>0.36055512754639896</v>
      </c>
      <c r="L100" s="2" t="e">
        <f t="shared" si="6"/>
        <v>#N/A</v>
      </c>
      <c r="M100" s="2" t="str">
        <f t="shared" si="7"/>
        <v>Failed but within quadrant</v>
      </c>
      <c r="N100" s="7">
        <v>14.5</v>
      </c>
      <c r="O100" s="7">
        <v>-0.4</v>
      </c>
      <c r="P100" s="7">
        <v>-2</v>
      </c>
      <c r="Q100" s="7">
        <v>-0.98</v>
      </c>
      <c r="R100" s="7">
        <v>-0.2</v>
      </c>
      <c r="S100" s="7">
        <v>-0.3</v>
      </c>
      <c r="T100" s="7">
        <v>0.46</v>
      </c>
      <c r="U100" s="7">
        <v>-0.25</v>
      </c>
      <c r="V100" s="7">
        <v>1.1100000000000001</v>
      </c>
      <c r="W100" s="7" t="s">
        <v>6</v>
      </c>
      <c r="X100" s="7" t="s">
        <v>15</v>
      </c>
      <c r="Y100" s="2" t="s">
        <v>719</v>
      </c>
      <c r="Z100" s="2" t="s">
        <v>721</v>
      </c>
    </row>
    <row r="101" spans="1:26" x14ac:dyDescent="0.35">
      <c r="A101" s="7" t="s">
        <v>1545</v>
      </c>
      <c r="B101" s="7" t="s">
        <v>960</v>
      </c>
      <c r="C101" s="4" t="str">
        <f>_xlfn.XLOOKUP(A101,[2]Sheet2!$I$2:$I$1273,[2]Sheet2!$D$2:$D$1273,0)</f>
        <v>Q2</v>
      </c>
      <c r="D101" s="4">
        <f>_xlfn.XLOOKUP(B101,[4]Sheet2!$B$2:$B$3154,[4]Sheet2!$F$2:$F$3154,0)</f>
        <v>0</v>
      </c>
      <c r="E101" s="4" t="e">
        <f>_xlfn.XLOOKUP(B101,[2]Sheet2!$E$2:$E$713,[2]Sheet2!$G$2:$G$713)</f>
        <v>#N/A</v>
      </c>
      <c r="F101" s="18">
        <v>46034</v>
      </c>
      <c r="G101" s="14">
        <v>0.68844907407407407</v>
      </c>
      <c r="H101" s="7" t="s">
        <v>5</v>
      </c>
      <c r="I101" s="2" t="str">
        <f t="shared" si="8"/>
        <v>Q4</v>
      </c>
      <c r="J101" s="2" t="str">
        <f t="shared" si="9"/>
        <v>Not Match</v>
      </c>
      <c r="K101" s="2">
        <f t="shared" si="5"/>
        <v>0.3</v>
      </c>
      <c r="L101" s="2" t="e">
        <f t="shared" si="6"/>
        <v>#N/A</v>
      </c>
      <c r="M101" s="2" t="str">
        <f t="shared" si="7"/>
        <v>Assign quadrant hit</v>
      </c>
      <c r="N101" s="7">
        <v>17.2</v>
      </c>
      <c r="O101" s="7">
        <v>-0.6</v>
      </c>
      <c r="P101" s="7">
        <v>-2.7</v>
      </c>
      <c r="Q101" s="7">
        <v>-0.69</v>
      </c>
      <c r="R101" s="7">
        <v>0</v>
      </c>
      <c r="S101" s="7">
        <v>-0.3</v>
      </c>
      <c r="T101" s="7">
        <v>0.4</v>
      </c>
      <c r="U101" s="7">
        <v>0.23</v>
      </c>
      <c r="V101" s="7">
        <v>0.83</v>
      </c>
      <c r="W101" s="7" t="s">
        <v>13</v>
      </c>
      <c r="X101" s="7" t="s">
        <v>9</v>
      </c>
      <c r="Y101" s="2" t="s">
        <v>719</v>
      </c>
      <c r="Z101" s="2" t="s">
        <v>721</v>
      </c>
    </row>
    <row r="102" spans="1:26" x14ac:dyDescent="0.35">
      <c r="A102" s="7" t="s">
        <v>1559</v>
      </c>
      <c r="B102" s="7" t="s">
        <v>961</v>
      </c>
      <c r="C102" s="4" t="str">
        <f>_xlfn.XLOOKUP(A102,[2]Sheet2!$I$2:$I$1273,[2]Sheet2!$D$2:$D$1273,0)</f>
        <v>Q3</v>
      </c>
      <c r="D102" s="4">
        <f>_xlfn.XLOOKUP(B102,[4]Sheet2!$B$2:$B$3154,[4]Sheet2!$F$2:$F$3154,0)</f>
        <v>0</v>
      </c>
      <c r="E102" s="4" t="e">
        <f>_xlfn.XLOOKUP(B102,[2]Sheet2!$E$2:$E$713,[2]Sheet2!$G$2:$G$713)</f>
        <v>#N/A</v>
      </c>
      <c r="F102" s="18">
        <v>46034</v>
      </c>
      <c r="G102" s="14">
        <v>0.69243055555555555</v>
      </c>
      <c r="H102" s="7" t="s">
        <v>11</v>
      </c>
      <c r="I102" s="2" t="str">
        <f t="shared" si="8"/>
        <v>Q3</v>
      </c>
      <c r="J102" s="2" t="str">
        <f t="shared" si="9"/>
        <v>Match</v>
      </c>
      <c r="K102" s="2">
        <f t="shared" si="5"/>
        <v>0</v>
      </c>
      <c r="L102" s="2" t="e">
        <f t="shared" si="6"/>
        <v>#N/A</v>
      </c>
      <c r="M102" s="2" t="str">
        <f t="shared" si="7"/>
        <v>Digital Approve Hit</v>
      </c>
      <c r="N102" s="7">
        <v>17</v>
      </c>
      <c r="O102" s="7">
        <v>-0.5</v>
      </c>
      <c r="P102" s="7">
        <v>-3.1</v>
      </c>
      <c r="Q102" s="7">
        <v>0.17</v>
      </c>
      <c r="R102" s="7">
        <v>0</v>
      </c>
      <c r="S102" s="7">
        <v>0</v>
      </c>
      <c r="T102" s="7">
        <v>-0.11</v>
      </c>
      <c r="U102" s="7">
        <v>-0.01</v>
      </c>
      <c r="V102" s="7">
        <v>0.21</v>
      </c>
      <c r="W102" s="7" t="s">
        <v>8</v>
      </c>
      <c r="X102" s="7" t="s">
        <v>15</v>
      </c>
      <c r="Y102" s="2" t="s">
        <v>719</v>
      </c>
      <c r="Z102" s="2" t="s">
        <v>721</v>
      </c>
    </row>
    <row r="103" spans="1:26" x14ac:dyDescent="0.35">
      <c r="A103" s="7" t="s">
        <v>1560</v>
      </c>
      <c r="B103" s="7" t="s">
        <v>962</v>
      </c>
      <c r="C103" s="4" t="str">
        <f>_xlfn.XLOOKUP(A103,[2]Sheet2!$I$2:$I$1273,[2]Sheet2!$D$2:$D$1273,0)</f>
        <v>Q2</v>
      </c>
      <c r="D103" s="4">
        <f>_xlfn.XLOOKUP(B103,[4]Sheet2!$B$2:$B$3154,[4]Sheet2!$F$2:$F$3154,0)</f>
        <v>0</v>
      </c>
      <c r="E103" s="4" t="e">
        <f>_xlfn.XLOOKUP(B103,[2]Sheet2!$E$2:$E$713,[2]Sheet2!$G$2:$G$713)</f>
        <v>#N/A</v>
      </c>
      <c r="F103" s="18">
        <v>46034</v>
      </c>
      <c r="G103" s="14">
        <v>0.755462962962963</v>
      </c>
      <c r="H103" s="7" t="s">
        <v>4</v>
      </c>
      <c r="I103" s="2" t="str">
        <f t="shared" si="8"/>
        <v>Q4</v>
      </c>
      <c r="J103" s="2" t="str">
        <f t="shared" si="9"/>
        <v>Not Match</v>
      </c>
      <c r="K103" s="2">
        <f t="shared" si="5"/>
        <v>0.70710678118654746</v>
      </c>
      <c r="L103" s="2" t="e">
        <f t="shared" si="6"/>
        <v>#N/A</v>
      </c>
      <c r="M103" s="2" t="str">
        <f t="shared" si="7"/>
        <v>Below 0.8 not in assigned quadrant</v>
      </c>
      <c r="N103" s="7">
        <v>18.899999999999999</v>
      </c>
      <c r="O103" s="7">
        <v>2.2999999999999998</v>
      </c>
      <c r="P103" s="7">
        <v>-11.2</v>
      </c>
      <c r="Q103" s="7">
        <v>0.08</v>
      </c>
      <c r="R103" s="7">
        <v>0.1</v>
      </c>
      <c r="S103" s="7">
        <v>-0.7</v>
      </c>
      <c r="T103" s="7">
        <v>0.64</v>
      </c>
      <c r="U103" s="7">
        <v>-0.01</v>
      </c>
      <c r="V103" s="7">
        <v>0.64</v>
      </c>
      <c r="W103" s="7" t="s">
        <v>8</v>
      </c>
      <c r="X103" s="7" t="s">
        <v>15</v>
      </c>
      <c r="Y103" s="2" t="s">
        <v>719</v>
      </c>
      <c r="Z103" s="2" t="s">
        <v>721</v>
      </c>
    </row>
    <row r="104" spans="1:26" x14ac:dyDescent="0.35">
      <c r="A104" s="7" t="s">
        <v>1545</v>
      </c>
      <c r="B104" s="7" t="s">
        <v>116</v>
      </c>
      <c r="C104" s="4" t="str">
        <f>_xlfn.XLOOKUP(A104,[2]Sheet2!$I$2:$I$1273,[2]Sheet2!$D$2:$D$1273,0)</f>
        <v>Q2</v>
      </c>
      <c r="D104" s="4">
        <f>_xlfn.XLOOKUP(B104,[4]Sheet2!$B$2:$B$3154,[4]Sheet2!$F$2:$F$3154,0)</f>
        <v>0</v>
      </c>
      <c r="E104" s="4" t="e">
        <f>_xlfn.XLOOKUP(B104,[2]Sheet2!$E$2:$E$713,[2]Sheet2!$G$2:$G$713)</f>
        <v>#N/A</v>
      </c>
      <c r="F104" s="18">
        <v>46034</v>
      </c>
      <c r="G104" s="14">
        <v>0.95541666666666669</v>
      </c>
      <c r="H104" s="7" t="s">
        <v>5</v>
      </c>
      <c r="I104" s="2" t="str">
        <f t="shared" si="8"/>
        <v>Q4</v>
      </c>
      <c r="J104" s="2" t="str">
        <f t="shared" si="9"/>
        <v>Not Match</v>
      </c>
      <c r="K104" s="2">
        <f t="shared" si="5"/>
        <v>0.22360679774997899</v>
      </c>
      <c r="L104" s="2" t="e">
        <f t="shared" si="6"/>
        <v>#N/A</v>
      </c>
      <c r="M104" s="2" t="str">
        <f t="shared" si="7"/>
        <v>Below 0.8 not in assigned quadrant</v>
      </c>
      <c r="N104" s="7">
        <v>17.899999999999999</v>
      </c>
      <c r="O104" s="7">
        <v>-0.5</v>
      </c>
      <c r="P104" s="7">
        <v>-2.6</v>
      </c>
      <c r="Q104" s="7">
        <v>-0.02</v>
      </c>
      <c r="R104" s="7">
        <v>0.1</v>
      </c>
      <c r="S104" s="7">
        <v>-0.2</v>
      </c>
      <c r="T104" s="7">
        <v>0.32</v>
      </c>
      <c r="U104" s="7">
        <v>0.26</v>
      </c>
      <c r="V104" s="7">
        <v>0.41</v>
      </c>
      <c r="W104" s="7" t="s">
        <v>8</v>
      </c>
      <c r="X104" s="7" t="s">
        <v>9</v>
      </c>
      <c r="Y104" s="2" t="s">
        <v>719</v>
      </c>
      <c r="Z104" s="2" t="s">
        <v>721</v>
      </c>
    </row>
    <row r="105" spans="1:26" x14ac:dyDescent="0.35">
      <c r="A105" s="7" t="s">
        <v>1513</v>
      </c>
      <c r="B105" s="7" t="s">
        <v>117</v>
      </c>
      <c r="C105" s="4">
        <f>_xlfn.XLOOKUP(A105,[2]Sheet2!$I$2:$I$1273,[2]Sheet2!$D$2:$D$1273,0)</f>
        <v>0</v>
      </c>
      <c r="D105" s="4">
        <f>_xlfn.XLOOKUP(B105,[4]Sheet2!$B$2:$B$3154,[4]Sheet2!$F$2:$F$3154,0)</f>
        <v>0</v>
      </c>
      <c r="E105" s="4" t="e">
        <f>_xlfn.XLOOKUP(B105,[2]Sheet2!$E$2:$E$713,[2]Sheet2!$G$2:$G$713)</f>
        <v>#N/A</v>
      </c>
      <c r="F105" s="18">
        <v>46034</v>
      </c>
      <c r="G105" s="14">
        <v>0.98107638888888893</v>
      </c>
      <c r="H105" s="7" t="s">
        <v>5</v>
      </c>
      <c r="I105" s="2" t="str">
        <f t="shared" si="8"/>
        <v>Q2</v>
      </c>
      <c r="J105" s="2" t="str">
        <f t="shared" si="9"/>
        <v>Not Found</v>
      </c>
      <c r="K105" s="2">
        <f t="shared" si="5"/>
        <v>0.5</v>
      </c>
      <c r="L105" s="2" t="e">
        <f t="shared" si="6"/>
        <v>#N/A</v>
      </c>
      <c r="M105" s="2" t="str">
        <f t="shared" si="7"/>
        <v>Assign quadrant hit</v>
      </c>
      <c r="N105" s="7">
        <v>33.9</v>
      </c>
      <c r="O105" s="7">
        <v>-8.3000000000000007</v>
      </c>
      <c r="P105" s="7">
        <v>4.4000000000000004</v>
      </c>
      <c r="Q105" s="7">
        <v>0.28999999999999998</v>
      </c>
      <c r="R105" s="7">
        <v>-0.4</v>
      </c>
      <c r="S105" s="7">
        <v>0.3</v>
      </c>
      <c r="T105" s="7">
        <v>0.47</v>
      </c>
      <c r="U105" s="7">
        <v>-0.1</v>
      </c>
      <c r="V105" s="7">
        <v>0.56000000000000005</v>
      </c>
      <c r="W105" s="7" t="s">
        <v>8</v>
      </c>
      <c r="X105" s="7" t="s">
        <v>12</v>
      </c>
      <c r="Y105" s="2" t="s">
        <v>719</v>
      </c>
      <c r="Z105" s="2" t="s">
        <v>721</v>
      </c>
    </row>
    <row r="106" spans="1:26" x14ac:dyDescent="0.35">
      <c r="A106" s="7" t="s">
        <v>1561</v>
      </c>
      <c r="B106" s="7" t="s">
        <v>118</v>
      </c>
      <c r="C106" s="4">
        <f>_xlfn.XLOOKUP(A106,[2]Sheet2!$I$2:$I$1273,[2]Sheet2!$D$2:$D$1273,0)</f>
        <v>0</v>
      </c>
      <c r="D106" s="4">
        <f>_xlfn.XLOOKUP(B106,[4]Sheet2!$B$2:$B$3154,[4]Sheet2!$F$2:$F$3154,0)</f>
        <v>0</v>
      </c>
      <c r="E106" s="4" t="e">
        <f>_xlfn.XLOOKUP(B106,[2]Sheet2!$E$2:$E$713,[2]Sheet2!$G$2:$G$713)</f>
        <v>#N/A</v>
      </c>
      <c r="F106" s="18">
        <v>46035</v>
      </c>
      <c r="G106" s="14">
        <v>6.0601851851851851E-2</v>
      </c>
      <c r="H106" s="7" t="s">
        <v>4</v>
      </c>
      <c r="I106" s="2" t="str">
        <f t="shared" si="8"/>
        <v>Q1</v>
      </c>
      <c r="J106" s="2" t="str">
        <f t="shared" si="9"/>
        <v>Not Found</v>
      </c>
      <c r="K106" s="2">
        <f t="shared" si="5"/>
        <v>0.3</v>
      </c>
      <c r="L106" s="2" t="e">
        <f t="shared" si="6"/>
        <v>#N/A</v>
      </c>
      <c r="M106" s="2" t="str">
        <f t="shared" si="7"/>
        <v>Assign quadrant hit</v>
      </c>
      <c r="N106" s="7">
        <v>15.1</v>
      </c>
      <c r="O106" s="7">
        <v>0</v>
      </c>
      <c r="P106" s="7">
        <v>-0.5</v>
      </c>
      <c r="Q106" s="7">
        <v>-0.17</v>
      </c>
      <c r="R106" s="7">
        <v>0</v>
      </c>
      <c r="S106" s="7">
        <v>0.3</v>
      </c>
      <c r="T106" s="7">
        <v>-0.51</v>
      </c>
      <c r="U106" s="7">
        <v>0.09</v>
      </c>
      <c r="V106" s="7">
        <v>0.54</v>
      </c>
      <c r="W106" s="7" t="s">
        <v>8</v>
      </c>
      <c r="X106" s="7" t="s">
        <v>9</v>
      </c>
      <c r="Y106" s="2" t="s">
        <v>719</v>
      </c>
      <c r="Z106" s="2" t="s">
        <v>721</v>
      </c>
    </row>
    <row r="107" spans="1:26" x14ac:dyDescent="0.35">
      <c r="A107" s="7" t="s">
        <v>1559</v>
      </c>
      <c r="B107" s="7" t="s">
        <v>119</v>
      </c>
      <c r="C107" s="4" t="str">
        <f>_xlfn.XLOOKUP(A107,[2]Sheet2!$I$2:$I$1273,[2]Sheet2!$D$2:$D$1273,0)</f>
        <v>Q3</v>
      </c>
      <c r="D107" s="4">
        <f>_xlfn.XLOOKUP(B107,[4]Sheet2!$B$2:$B$3154,[4]Sheet2!$F$2:$F$3154,0)</f>
        <v>0</v>
      </c>
      <c r="E107" s="4" t="e">
        <f>_xlfn.XLOOKUP(B107,[2]Sheet2!$E$2:$E$713,[2]Sheet2!$G$2:$G$713)</f>
        <v>#N/A</v>
      </c>
      <c r="F107" s="18">
        <v>46035</v>
      </c>
      <c r="G107" s="14">
        <v>6.33912037037037E-2</v>
      </c>
      <c r="H107" s="7" t="s">
        <v>11</v>
      </c>
      <c r="I107" s="2" t="str">
        <f t="shared" si="8"/>
        <v>Q4</v>
      </c>
      <c r="J107" s="2" t="str">
        <f t="shared" si="9"/>
        <v>Not Match</v>
      </c>
      <c r="K107" s="2">
        <f t="shared" si="5"/>
        <v>0.1</v>
      </c>
      <c r="L107" s="2" t="e">
        <f t="shared" si="6"/>
        <v>#N/A</v>
      </c>
      <c r="M107" s="2" t="str">
        <f t="shared" si="7"/>
        <v>Below 0.8 not in assigned quadrant</v>
      </c>
      <c r="N107" s="7">
        <v>17</v>
      </c>
      <c r="O107" s="7">
        <v>-0.5</v>
      </c>
      <c r="P107" s="7">
        <v>-3.3</v>
      </c>
      <c r="Q107" s="7">
        <v>0.19</v>
      </c>
      <c r="R107" s="7">
        <v>0</v>
      </c>
      <c r="S107" s="7">
        <v>-0.1</v>
      </c>
      <c r="T107" s="7">
        <v>0.16</v>
      </c>
      <c r="U107" s="7">
        <v>0.02</v>
      </c>
      <c r="V107" s="7">
        <v>0.25</v>
      </c>
      <c r="W107" s="7" t="s">
        <v>8</v>
      </c>
      <c r="X107" s="7" t="s">
        <v>9</v>
      </c>
      <c r="Y107" s="2" t="s">
        <v>719</v>
      </c>
      <c r="Z107" s="2" t="s">
        <v>721</v>
      </c>
    </row>
    <row r="108" spans="1:26" x14ac:dyDescent="0.35">
      <c r="A108" s="7" t="s">
        <v>1545</v>
      </c>
      <c r="B108" s="7" t="s">
        <v>120</v>
      </c>
      <c r="C108" s="4" t="str">
        <f>_xlfn.XLOOKUP(A108,[2]Sheet2!$I$2:$I$1273,[2]Sheet2!$D$2:$D$1273,0)</f>
        <v>Q2</v>
      </c>
      <c r="D108" s="4">
        <f>_xlfn.XLOOKUP(B108,[4]Sheet2!$B$2:$B$3154,[4]Sheet2!$F$2:$F$3154,0)</f>
        <v>0</v>
      </c>
      <c r="E108" s="4" t="e">
        <f>_xlfn.XLOOKUP(B108,[2]Sheet2!$E$2:$E$713,[2]Sheet2!$G$2:$G$713)</f>
        <v>#N/A</v>
      </c>
      <c r="F108" s="18">
        <v>46035</v>
      </c>
      <c r="G108" s="14">
        <v>6.6064814814814812E-2</v>
      </c>
      <c r="H108" s="7" t="s">
        <v>5</v>
      </c>
      <c r="I108" s="2" t="str">
        <f t="shared" si="8"/>
        <v>Q4</v>
      </c>
      <c r="J108" s="2" t="str">
        <f t="shared" si="9"/>
        <v>Not Match</v>
      </c>
      <c r="K108" s="2">
        <f t="shared" si="5"/>
        <v>0.31622776601683794</v>
      </c>
      <c r="L108" s="2" t="e">
        <f t="shared" si="6"/>
        <v>#N/A</v>
      </c>
      <c r="M108" s="2" t="str">
        <f t="shared" si="7"/>
        <v>Below 0.8 not in assigned quadrant</v>
      </c>
      <c r="N108" s="7">
        <v>17.7</v>
      </c>
      <c r="O108" s="7">
        <v>-0.5</v>
      </c>
      <c r="P108" s="7">
        <v>-2.7</v>
      </c>
      <c r="Q108" s="7">
        <v>-0.22</v>
      </c>
      <c r="R108" s="7">
        <v>0.1</v>
      </c>
      <c r="S108" s="7">
        <v>-0.3</v>
      </c>
      <c r="T108" s="7">
        <v>0.38</v>
      </c>
      <c r="U108" s="7">
        <v>0.3</v>
      </c>
      <c r="V108" s="7">
        <v>0.53</v>
      </c>
      <c r="W108" s="7" t="s">
        <v>8</v>
      </c>
      <c r="X108" s="7" t="s">
        <v>9</v>
      </c>
      <c r="Y108" s="2" t="s">
        <v>719</v>
      </c>
      <c r="Z108" s="2" t="s">
        <v>721</v>
      </c>
    </row>
    <row r="109" spans="1:26" x14ac:dyDescent="0.35">
      <c r="A109" s="7" t="s">
        <v>1562</v>
      </c>
      <c r="B109" s="7" t="s">
        <v>121</v>
      </c>
      <c r="C109" s="4">
        <f>_xlfn.XLOOKUP(A109,[2]Sheet2!$I$2:$I$1273,[2]Sheet2!$D$2:$D$1273,0)</f>
        <v>0</v>
      </c>
      <c r="D109" s="4">
        <f>_xlfn.XLOOKUP(B109,[4]Sheet2!$B$2:$B$3154,[4]Sheet2!$F$2:$F$3154,0)</f>
        <v>0</v>
      </c>
      <c r="E109" s="4" t="e">
        <f>_xlfn.XLOOKUP(B109,[2]Sheet2!$E$2:$E$713,[2]Sheet2!$G$2:$G$713)</f>
        <v>#N/A</v>
      </c>
      <c r="F109" s="18">
        <v>46035</v>
      </c>
      <c r="G109" s="14">
        <v>6.8541666666666667E-2</v>
      </c>
      <c r="H109" s="7" t="s">
        <v>4</v>
      </c>
      <c r="I109" s="2" t="str">
        <f t="shared" si="8"/>
        <v>Q4</v>
      </c>
      <c r="J109" s="2" t="str">
        <f t="shared" si="9"/>
        <v>Not Found</v>
      </c>
      <c r="K109" s="2">
        <f t="shared" si="5"/>
        <v>0.1</v>
      </c>
      <c r="L109" s="2" t="e">
        <f t="shared" si="6"/>
        <v>#N/A</v>
      </c>
      <c r="M109" s="2" t="str">
        <f t="shared" si="7"/>
        <v>Assign quadrant hit</v>
      </c>
      <c r="N109" s="7">
        <v>18.899999999999999</v>
      </c>
      <c r="O109" s="7">
        <v>0</v>
      </c>
      <c r="P109" s="7">
        <v>-1.1000000000000001</v>
      </c>
      <c r="Q109" s="7">
        <v>-0.4</v>
      </c>
      <c r="R109" s="7">
        <v>0</v>
      </c>
      <c r="S109" s="7">
        <v>-0.1</v>
      </c>
      <c r="T109" s="7">
        <v>0.25</v>
      </c>
      <c r="U109" s="7">
        <v>0.06</v>
      </c>
      <c r="V109" s="7">
        <v>0.47</v>
      </c>
      <c r="W109" s="7" t="s">
        <v>8</v>
      </c>
      <c r="X109" s="7" t="s">
        <v>9</v>
      </c>
      <c r="Y109" s="2" t="s">
        <v>719</v>
      </c>
      <c r="Z109" s="2" t="s">
        <v>721</v>
      </c>
    </row>
    <row r="110" spans="1:26" x14ac:dyDescent="0.35">
      <c r="A110" s="7" t="s">
        <v>1563</v>
      </c>
      <c r="B110" s="7" t="s">
        <v>122</v>
      </c>
      <c r="C110" s="4" t="str">
        <f>_xlfn.XLOOKUP(A110,[2]Sheet2!$I$2:$I$1273,[2]Sheet2!$D$2:$D$1273,0)</f>
        <v>Q2</v>
      </c>
      <c r="D110" s="4">
        <f>_xlfn.XLOOKUP(B110,[4]Sheet2!$B$2:$B$3154,[4]Sheet2!$F$2:$F$3154,0)</f>
        <v>0</v>
      </c>
      <c r="E110" s="4" t="e">
        <f>_xlfn.XLOOKUP(B110,[2]Sheet2!$E$2:$E$713,[2]Sheet2!$G$2:$G$713)</f>
        <v>#N/A</v>
      </c>
      <c r="F110" s="18">
        <v>46035</v>
      </c>
      <c r="G110" s="14">
        <v>0.29394675925925928</v>
      </c>
      <c r="H110" s="7" t="s">
        <v>5</v>
      </c>
      <c r="I110" s="2" t="str">
        <f t="shared" si="8"/>
        <v>Q3</v>
      </c>
      <c r="J110" s="2" t="str">
        <f t="shared" si="9"/>
        <v>Not Match</v>
      </c>
      <c r="K110" s="2">
        <f t="shared" si="5"/>
        <v>0.67082039324993692</v>
      </c>
      <c r="L110" s="2" t="e">
        <f t="shared" si="6"/>
        <v>#N/A</v>
      </c>
      <c r="M110" s="2" t="str">
        <f t="shared" si="7"/>
        <v>Below 0.8 not in assigned quadrant</v>
      </c>
      <c r="N110" s="7">
        <v>20.6</v>
      </c>
      <c r="O110" s="7">
        <v>-6.9</v>
      </c>
      <c r="P110" s="7">
        <v>-12.9</v>
      </c>
      <c r="Q110" s="7">
        <v>-0.59</v>
      </c>
      <c r="R110" s="7">
        <v>-0.3</v>
      </c>
      <c r="S110" s="7">
        <v>-0.6</v>
      </c>
      <c r="T110" s="7">
        <v>0.52</v>
      </c>
      <c r="U110" s="7">
        <v>-0.02</v>
      </c>
      <c r="V110" s="7">
        <v>0.79</v>
      </c>
      <c r="W110" s="7" t="s">
        <v>13</v>
      </c>
      <c r="X110" s="7" t="s">
        <v>15</v>
      </c>
      <c r="Y110" s="2" t="s">
        <v>719</v>
      </c>
      <c r="Z110" s="2" t="s">
        <v>721</v>
      </c>
    </row>
    <row r="111" spans="1:26" x14ac:dyDescent="0.35">
      <c r="A111" s="7" t="s">
        <v>1547</v>
      </c>
      <c r="B111" s="7" t="s">
        <v>123</v>
      </c>
      <c r="C111" s="4" t="str">
        <f>_xlfn.XLOOKUP(A111,[2]Sheet2!$I$2:$I$1273,[2]Sheet2!$D$2:$D$1273,0)</f>
        <v>Q3</v>
      </c>
      <c r="D111" s="4">
        <f>_xlfn.XLOOKUP(B111,[4]Sheet2!$B$2:$B$3154,[4]Sheet2!$F$2:$F$3154,0)</f>
        <v>0</v>
      </c>
      <c r="E111" s="4" t="e">
        <f>_xlfn.XLOOKUP(B111,[2]Sheet2!$E$2:$E$713,[2]Sheet2!$G$2:$G$713)</f>
        <v>#N/A</v>
      </c>
      <c r="F111" s="18">
        <v>46035</v>
      </c>
      <c r="G111" s="14">
        <v>0.29827546296296298</v>
      </c>
      <c r="H111" s="7" t="s">
        <v>16</v>
      </c>
      <c r="I111" s="2" t="str">
        <f t="shared" si="8"/>
        <v>Q3</v>
      </c>
      <c r="J111" s="2" t="str">
        <f t="shared" si="9"/>
        <v>Match</v>
      </c>
      <c r="K111" s="2">
        <f t="shared" si="5"/>
        <v>0.14142135623730953</v>
      </c>
      <c r="L111" s="2" t="e">
        <f t="shared" si="6"/>
        <v>#N/A</v>
      </c>
      <c r="M111" s="2" t="str">
        <f t="shared" si="7"/>
        <v>Failed but within quadrant</v>
      </c>
      <c r="N111" s="7">
        <v>14.2</v>
      </c>
      <c r="O111" s="7">
        <v>-0.4</v>
      </c>
      <c r="P111" s="7">
        <v>-1.9</v>
      </c>
      <c r="Q111" s="7">
        <v>-1.17</v>
      </c>
      <c r="R111" s="7">
        <v>-0.1</v>
      </c>
      <c r="S111" s="7">
        <v>-0.1</v>
      </c>
      <c r="T111" s="7">
        <v>0.18</v>
      </c>
      <c r="U111" s="7">
        <v>-0.11</v>
      </c>
      <c r="V111" s="7">
        <v>1.19</v>
      </c>
      <c r="W111" s="7" t="s">
        <v>6</v>
      </c>
      <c r="X111" s="7" t="s">
        <v>15</v>
      </c>
      <c r="Y111" s="2" t="s">
        <v>719</v>
      </c>
      <c r="Z111" s="2" t="s">
        <v>721</v>
      </c>
    </row>
    <row r="112" spans="1:26" x14ac:dyDescent="0.35">
      <c r="A112" s="7" t="s">
        <v>1532</v>
      </c>
      <c r="B112" s="7" t="s">
        <v>124</v>
      </c>
      <c r="C112" s="4" t="str">
        <f>_xlfn.XLOOKUP(A112,[2]Sheet2!$I$2:$I$1273,[2]Sheet2!$D$2:$D$1273,0)</f>
        <v>Q3</v>
      </c>
      <c r="D112" s="4">
        <f>_xlfn.XLOOKUP(B112,[4]Sheet2!$B$2:$B$3154,[4]Sheet2!$F$2:$F$3154,0)</f>
        <v>0</v>
      </c>
      <c r="E112" s="4" t="e">
        <f>_xlfn.XLOOKUP(B112,[2]Sheet2!$E$2:$E$713,[2]Sheet2!$G$2:$G$713)</f>
        <v>#N/A</v>
      </c>
      <c r="F112" s="18">
        <v>46035</v>
      </c>
      <c r="G112" s="14">
        <v>0.49728009259259259</v>
      </c>
      <c r="H112" s="7" t="s">
        <v>16</v>
      </c>
      <c r="I112" s="2" t="str">
        <f t="shared" si="8"/>
        <v>Q3</v>
      </c>
      <c r="J112" s="2" t="str">
        <f t="shared" si="9"/>
        <v>Match</v>
      </c>
      <c r="K112" s="2">
        <f t="shared" si="5"/>
        <v>0.31622776601683794</v>
      </c>
      <c r="L112" s="2" t="e">
        <f t="shared" si="6"/>
        <v>#N/A</v>
      </c>
      <c r="M112" s="2" t="str">
        <f t="shared" si="7"/>
        <v>Failed but within quadrant</v>
      </c>
      <c r="N112" s="7">
        <v>14.4</v>
      </c>
      <c r="O112" s="7">
        <v>-0.4</v>
      </c>
      <c r="P112" s="7">
        <v>-2.2000000000000002</v>
      </c>
      <c r="Q112" s="7">
        <v>-0.85</v>
      </c>
      <c r="R112" s="7">
        <v>-0.1</v>
      </c>
      <c r="S112" s="7">
        <v>-0.3</v>
      </c>
      <c r="T112" s="7">
        <v>0.41</v>
      </c>
      <c r="U112" s="7">
        <v>-0.08</v>
      </c>
      <c r="V112" s="7">
        <v>0.95</v>
      </c>
      <c r="W112" s="7" t="s">
        <v>13</v>
      </c>
      <c r="X112" s="7" t="s">
        <v>15</v>
      </c>
      <c r="Y112" s="2" t="s">
        <v>719</v>
      </c>
      <c r="Z112" s="2" t="s">
        <v>721</v>
      </c>
    </row>
    <row r="113" spans="1:26" x14ac:dyDescent="0.35">
      <c r="A113" s="7" t="s">
        <v>1532</v>
      </c>
      <c r="B113" s="7" t="s">
        <v>125</v>
      </c>
      <c r="C113" s="4" t="str">
        <f>_xlfn.XLOOKUP(A113,[2]Sheet2!$I$2:$I$1273,[2]Sheet2!$D$2:$D$1273,0)</f>
        <v>Q3</v>
      </c>
      <c r="D113" s="4">
        <f>_xlfn.XLOOKUP(B113,[4]Sheet2!$B$2:$B$3154,[4]Sheet2!$F$2:$F$3154,0)</f>
        <v>0</v>
      </c>
      <c r="E113" s="4" t="e">
        <f>_xlfn.XLOOKUP(B113,[2]Sheet2!$E$2:$E$713,[2]Sheet2!$G$2:$G$713)</f>
        <v>#N/A</v>
      </c>
      <c r="F113" s="18">
        <v>46035</v>
      </c>
      <c r="G113" s="14">
        <v>0.50047453703703704</v>
      </c>
      <c r="H113" s="7" t="s">
        <v>16</v>
      </c>
      <c r="I113" s="2" t="str">
        <f t="shared" si="8"/>
        <v>Q4</v>
      </c>
      <c r="J113" s="2" t="str">
        <f t="shared" si="9"/>
        <v>Not Match</v>
      </c>
      <c r="K113" s="2">
        <f t="shared" si="5"/>
        <v>0.1</v>
      </c>
      <c r="L113" s="2" t="e">
        <f t="shared" si="6"/>
        <v>#N/A</v>
      </c>
      <c r="M113" s="2" t="str">
        <f t="shared" si="7"/>
        <v>Assign quadrant hit</v>
      </c>
      <c r="N113" s="7">
        <v>14.4</v>
      </c>
      <c r="O113" s="7">
        <v>-0.4</v>
      </c>
      <c r="P113" s="7">
        <v>-2</v>
      </c>
      <c r="Q113" s="7">
        <v>-0.88</v>
      </c>
      <c r="R113" s="7">
        <v>0</v>
      </c>
      <c r="S113" s="7">
        <v>-0.1</v>
      </c>
      <c r="T113" s="7">
        <v>0.26</v>
      </c>
      <c r="U113" s="7">
        <v>-0.04</v>
      </c>
      <c r="V113" s="7">
        <v>0.92</v>
      </c>
      <c r="W113" s="7" t="s">
        <v>13</v>
      </c>
      <c r="X113" s="7" t="s">
        <v>15</v>
      </c>
      <c r="Y113" s="2" t="s">
        <v>719</v>
      </c>
      <c r="Z113" s="2" t="s">
        <v>721</v>
      </c>
    </row>
    <row r="114" spans="1:26" x14ac:dyDescent="0.35">
      <c r="A114" s="7" t="s">
        <v>1564</v>
      </c>
      <c r="B114" s="7" t="s">
        <v>127</v>
      </c>
      <c r="C114" s="4" t="str">
        <f>_xlfn.XLOOKUP(A114,[2]Sheet2!$I$2:$I$1273,[2]Sheet2!$D$2:$D$1273,0)</f>
        <v>Q4</v>
      </c>
      <c r="D114" s="4">
        <f>_xlfn.XLOOKUP(B114,[4]Sheet2!$B$2:$B$3154,[4]Sheet2!$F$2:$F$3154,0)</f>
        <v>0</v>
      </c>
      <c r="E114" s="4" t="e">
        <f>_xlfn.XLOOKUP(B114,[2]Sheet2!$E$2:$E$713,[2]Sheet2!$G$2:$G$713)</f>
        <v>#N/A</v>
      </c>
      <c r="F114" s="18">
        <v>46035</v>
      </c>
      <c r="G114" s="14">
        <v>0.55069444444444449</v>
      </c>
      <c r="H114" s="7" t="s">
        <v>5</v>
      </c>
      <c r="I114" s="2" t="str">
        <f t="shared" si="8"/>
        <v>Q1</v>
      </c>
      <c r="J114" s="2" t="str">
        <f t="shared" si="9"/>
        <v>Not Match</v>
      </c>
      <c r="K114" s="2">
        <f t="shared" si="5"/>
        <v>0.31622776601683794</v>
      </c>
      <c r="L114" s="2" t="e">
        <f t="shared" si="6"/>
        <v>#N/A</v>
      </c>
      <c r="M114" s="2" t="str">
        <f t="shared" si="7"/>
        <v>Assign quadrant hit</v>
      </c>
      <c r="N114" s="7">
        <v>15.3</v>
      </c>
      <c r="O114" s="7">
        <v>-0.8</v>
      </c>
      <c r="P114" s="7">
        <v>-1.5</v>
      </c>
      <c r="Q114" s="7">
        <v>-0.7</v>
      </c>
      <c r="R114" s="7">
        <v>0.1</v>
      </c>
      <c r="S114" s="7">
        <v>0.3</v>
      </c>
      <c r="T114" s="7">
        <v>-0.51</v>
      </c>
      <c r="U114" s="7">
        <v>-0.06</v>
      </c>
      <c r="V114" s="7">
        <v>0.87</v>
      </c>
      <c r="W114" s="7" t="s">
        <v>13</v>
      </c>
      <c r="X114" s="7" t="s">
        <v>15</v>
      </c>
      <c r="Y114" s="2" t="s">
        <v>719</v>
      </c>
      <c r="Z114" s="2" t="s">
        <v>721</v>
      </c>
    </row>
    <row r="115" spans="1:26" x14ac:dyDescent="0.35">
      <c r="A115" s="7" t="s">
        <v>1545</v>
      </c>
      <c r="B115" s="7" t="s">
        <v>128</v>
      </c>
      <c r="C115" s="4" t="str">
        <f>_xlfn.XLOOKUP(A115,[2]Sheet2!$I$2:$I$1273,[2]Sheet2!$D$2:$D$1273,0)</f>
        <v>Q2</v>
      </c>
      <c r="D115" s="4">
        <f>_xlfn.XLOOKUP(B115,[4]Sheet2!$B$2:$B$3154,[4]Sheet2!$F$2:$F$3154,0)</f>
        <v>0</v>
      </c>
      <c r="E115" s="4" t="e">
        <f>_xlfn.XLOOKUP(B115,[2]Sheet2!$E$2:$E$713,[2]Sheet2!$G$2:$G$713)</f>
        <v>#N/A</v>
      </c>
      <c r="F115" s="18">
        <v>46035</v>
      </c>
      <c r="G115" s="14">
        <v>0.61589120370370365</v>
      </c>
      <c r="H115" s="7" t="s">
        <v>5</v>
      </c>
      <c r="I115" s="2" t="str">
        <f t="shared" si="8"/>
        <v>Q4</v>
      </c>
      <c r="J115" s="2" t="str">
        <f t="shared" si="9"/>
        <v>Not Match</v>
      </c>
      <c r="K115" s="2">
        <f t="shared" si="5"/>
        <v>0.3</v>
      </c>
      <c r="L115" s="2" t="e">
        <f t="shared" si="6"/>
        <v>#N/A</v>
      </c>
      <c r="M115" s="2" t="str">
        <f t="shared" si="7"/>
        <v>Below 0.8 not in assigned quadrant</v>
      </c>
      <c r="N115" s="7">
        <v>17.3</v>
      </c>
      <c r="O115" s="7">
        <v>-0.6</v>
      </c>
      <c r="P115" s="7">
        <v>-2.6</v>
      </c>
      <c r="Q115" s="7">
        <v>-0.57999999999999996</v>
      </c>
      <c r="R115" s="7">
        <v>0</v>
      </c>
      <c r="S115" s="7">
        <v>-0.3</v>
      </c>
      <c r="T115" s="7">
        <v>0.39</v>
      </c>
      <c r="U115" s="7">
        <v>0.19</v>
      </c>
      <c r="V115" s="7">
        <v>0.72</v>
      </c>
      <c r="W115" s="7" t="s">
        <v>8</v>
      </c>
      <c r="X115" s="7" t="s">
        <v>9</v>
      </c>
      <c r="Y115" s="2" t="s">
        <v>719</v>
      </c>
      <c r="Z115" s="2" t="s">
        <v>721</v>
      </c>
    </row>
    <row r="116" spans="1:26" x14ac:dyDescent="0.35">
      <c r="A116" s="7" t="s">
        <v>1565</v>
      </c>
      <c r="B116" s="7" t="s">
        <v>129</v>
      </c>
      <c r="C116" s="4">
        <f>_xlfn.XLOOKUP(A116,[2]Sheet2!$I$2:$I$1273,[2]Sheet2!$D$2:$D$1273,0)</f>
        <v>0</v>
      </c>
      <c r="D116" s="4">
        <f>_xlfn.XLOOKUP(B116,[4]Sheet2!$B$2:$B$3154,[4]Sheet2!$F$2:$F$3154,0)</f>
        <v>0</v>
      </c>
      <c r="E116" s="4" t="e">
        <f>_xlfn.XLOOKUP(B116,[2]Sheet2!$E$2:$E$713,[2]Sheet2!$G$2:$G$713)</f>
        <v>#N/A</v>
      </c>
      <c r="F116" s="18">
        <v>46035</v>
      </c>
      <c r="G116" s="14">
        <v>0.66188657407407403</v>
      </c>
      <c r="H116" s="7" t="s">
        <v>16</v>
      </c>
      <c r="I116" s="2" t="str">
        <f t="shared" si="8"/>
        <v>Q3</v>
      </c>
      <c r="J116" s="2" t="str">
        <f t="shared" si="9"/>
        <v>Not Found</v>
      </c>
      <c r="K116" s="2">
        <f t="shared" si="5"/>
        <v>0.41231056256176613</v>
      </c>
      <c r="L116" s="2" t="e">
        <f t="shared" si="6"/>
        <v>#N/A</v>
      </c>
      <c r="M116" s="2" t="str">
        <f t="shared" si="7"/>
        <v>Assign quadrant hit</v>
      </c>
      <c r="N116" s="7">
        <v>15.9</v>
      </c>
      <c r="O116" s="7">
        <v>-0.4</v>
      </c>
      <c r="P116" s="7">
        <v>-1.8</v>
      </c>
      <c r="Q116" s="7">
        <v>-0.56999999999999995</v>
      </c>
      <c r="R116" s="7">
        <v>-0.1</v>
      </c>
      <c r="S116" s="7">
        <v>-0.4</v>
      </c>
      <c r="T116" s="7">
        <v>0.64</v>
      </c>
      <c r="U116" s="7">
        <v>-0.05</v>
      </c>
      <c r="V116" s="7">
        <v>0.86</v>
      </c>
      <c r="W116" s="7" t="s">
        <v>13</v>
      </c>
      <c r="X116" s="7" t="s">
        <v>15</v>
      </c>
      <c r="Y116" s="2" t="s">
        <v>719</v>
      </c>
      <c r="Z116" s="2" t="s">
        <v>721</v>
      </c>
    </row>
    <row r="117" spans="1:26" x14ac:dyDescent="0.35">
      <c r="A117" s="7" t="s">
        <v>1561</v>
      </c>
      <c r="B117" s="7" t="s">
        <v>130</v>
      </c>
      <c r="C117" s="4">
        <f>_xlfn.XLOOKUP(A117,[2]Sheet2!$I$2:$I$1273,[2]Sheet2!$D$2:$D$1273,0)</f>
        <v>0</v>
      </c>
      <c r="D117" s="4">
        <f>_xlfn.XLOOKUP(B117,[4]Sheet2!$B$2:$B$3154,[4]Sheet2!$F$2:$F$3154,0)</f>
        <v>0</v>
      </c>
      <c r="E117" s="4" t="e">
        <f>_xlfn.XLOOKUP(B117,[2]Sheet2!$E$2:$E$713,[2]Sheet2!$G$2:$G$713)</f>
        <v>#N/A</v>
      </c>
      <c r="F117" s="18">
        <v>46035</v>
      </c>
      <c r="G117" s="14">
        <v>0.76976851851851846</v>
      </c>
      <c r="H117" s="7" t="s">
        <v>5</v>
      </c>
      <c r="I117" s="2" t="str">
        <f t="shared" si="8"/>
        <v>Q1</v>
      </c>
      <c r="J117" s="2" t="str">
        <f t="shared" si="9"/>
        <v>Not Found</v>
      </c>
      <c r="K117" s="2">
        <f t="shared" si="5"/>
        <v>0.58309518948452999</v>
      </c>
      <c r="L117" s="2" t="e">
        <f t="shared" si="6"/>
        <v>#N/A</v>
      </c>
      <c r="M117" s="2" t="str">
        <f t="shared" si="7"/>
        <v>Assign quadrant hit</v>
      </c>
      <c r="N117" s="7">
        <v>15.6</v>
      </c>
      <c r="O117" s="7">
        <v>0</v>
      </c>
      <c r="P117" s="7">
        <v>-0.4</v>
      </c>
      <c r="Q117" s="7">
        <v>0.31</v>
      </c>
      <c r="R117" s="7">
        <v>0.3</v>
      </c>
      <c r="S117" s="7">
        <v>0.5</v>
      </c>
      <c r="T117" s="7">
        <v>-0.84</v>
      </c>
      <c r="U117" s="7">
        <v>0.28000000000000003</v>
      </c>
      <c r="V117" s="7">
        <v>0.93</v>
      </c>
      <c r="W117" s="7" t="s">
        <v>13</v>
      </c>
      <c r="X117" s="7" t="s">
        <v>9</v>
      </c>
      <c r="Y117" s="2" t="s">
        <v>719</v>
      </c>
      <c r="Z117" s="2" t="s">
        <v>721</v>
      </c>
    </row>
    <row r="118" spans="1:26" x14ac:dyDescent="0.35">
      <c r="A118" s="7" t="s">
        <v>1566</v>
      </c>
      <c r="B118" s="7" t="s">
        <v>131</v>
      </c>
      <c r="C118" s="4" t="str">
        <f>_xlfn.XLOOKUP(A118,[2]Sheet2!$I$2:$I$1273,[2]Sheet2!$D$2:$D$1273,0)</f>
        <v>Q4</v>
      </c>
      <c r="D118" s="4">
        <f>_xlfn.XLOOKUP(B118,[4]Sheet2!$B$2:$B$3154,[4]Sheet2!$F$2:$F$3154,0)</f>
        <v>0</v>
      </c>
      <c r="E118" s="4" t="e">
        <f>_xlfn.XLOOKUP(B118,[2]Sheet2!$E$2:$E$713,[2]Sheet2!$G$2:$G$713)</f>
        <v>#N/A</v>
      </c>
      <c r="F118" s="18">
        <v>46035</v>
      </c>
      <c r="G118" s="14">
        <v>0.77260416666666665</v>
      </c>
      <c r="H118" s="7" t="s">
        <v>16</v>
      </c>
      <c r="I118" s="2" t="str">
        <f t="shared" si="8"/>
        <v>Q2</v>
      </c>
      <c r="J118" s="2" t="str">
        <f t="shared" si="9"/>
        <v>Not Match</v>
      </c>
      <c r="K118" s="2">
        <f t="shared" si="5"/>
        <v>0.28284271247461906</v>
      </c>
      <c r="L118" s="2" t="e">
        <f t="shared" si="6"/>
        <v>#N/A</v>
      </c>
      <c r="M118" s="2" t="str">
        <f t="shared" si="7"/>
        <v>Below 0.8 not in assigned quadrant</v>
      </c>
      <c r="N118" s="7">
        <v>16.3</v>
      </c>
      <c r="O118" s="7">
        <v>-0.9</v>
      </c>
      <c r="P118" s="7">
        <v>-6</v>
      </c>
      <c r="Q118" s="7">
        <v>0.66</v>
      </c>
      <c r="R118" s="7">
        <v>-0.2</v>
      </c>
      <c r="S118" s="7">
        <v>0.2</v>
      </c>
      <c r="T118" s="7">
        <v>-0.2</v>
      </c>
      <c r="U118" s="7">
        <v>-0.35</v>
      </c>
      <c r="V118" s="7">
        <v>0.77</v>
      </c>
      <c r="W118" s="7" t="s">
        <v>13</v>
      </c>
      <c r="X118" s="7" t="s">
        <v>15</v>
      </c>
      <c r="Y118" s="2" t="s">
        <v>719</v>
      </c>
      <c r="Z118" s="2" t="s">
        <v>721</v>
      </c>
    </row>
    <row r="119" spans="1:26" x14ac:dyDescent="0.35">
      <c r="A119" s="7" t="s">
        <v>1501</v>
      </c>
      <c r="B119" s="7" t="s">
        <v>132</v>
      </c>
      <c r="C119" s="4" t="str">
        <f>_xlfn.XLOOKUP(A119,[2]Sheet2!$I$2:$I$1273,[2]Sheet2!$D$2:$D$1273,0)</f>
        <v>Q3</v>
      </c>
      <c r="D119" s="4">
        <f>_xlfn.XLOOKUP(B119,[4]Sheet2!$B$2:$B$3154,[4]Sheet2!$F$2:$F$3154,0)</f>
        <v>0</v>
      </c>
      <c r="E119" s="4" t="e">
        <f>_xlfn.XLOOKUP(B119,[2]Sheet2!$E$2:$E$713,[2]Sheet2!$G$2:$G$713)</f>
        <v>#N/A</v>
      </c>
      <c r="F119" s="18">
        <v>46035</v>
      </c>
      <c r="G119" s="14">
        <v>0.77468749999999997</v>
      </c>
      <c r="H119" s="7" t="s">
        <v>11</v>
      </c>
      <c r="I119" s="2" t="str">
        <f t="shared" si="8"/>
        <v>Q3</v>
      </c>
      <c r="J119" s="2" t="str">
        <f t="shared" si="9"/>
        <v>Match</v>
      </c>
      <c r="K119" s="2">
        <f t="shared" si="5"/>
        <v>1.6552945357246849</v>
      </c>
      <c r="L119" s="2" t="e">
        <f t="shared" si="6"/>
        <v>#N/A</v>
      </c>
      <c r="M119" s="2" t="str">
        <f t="shared" si="7"/>
        <v>Failed but within quadrant</v>
      </c>
      <c r="N119" s="7">
        <v>39.9</v>
      </c>
      <c r="O119" s="7">
        <v>42.5</v>
      </c>
      <c r="P119" s="7">
        <v>26.6</v>
      </c>
      <c r="Q119" s="7">
        <v>-0.81</v>
      </c>
      <c r="R119" s="7">
        <v>-1.5</v>
      </c>
      <c r="S119" s="7">
        <v>-0.7</v>
      </c>
      <c r="T119" s="7">
        <v>-0.66</v>
      </c>
      <c r="U119" s="7">
        <v>0.12</v>
      </c>
      <c r="V119" s="7">
        <v>1.06</v>
      </c>
      <c r="W119" s="7" t="s">
        <v>6</v>
      </c>
      <c r="X119" s="7" t="s">
        <v>12</v>
      </c>
      <c r="Y119" s="2" t="s">
        <v>719</v>
      </c>
      <c r="Z119" s="2" t="s">
        <v>721</v>
      </c>
    </row>
    <row r="120" spans="1:26" x14ac:dyDescent="0.35">
      <c r="A120" s="7" t="s">
        <v>1567</v>
      </c>
      <c r="B120" s="7" t="s">
        <v>133</v>
      </c>
      <c r="C120" s="4" t="str">
        <f>_xlfn.XLOOKUP(A120,[2]Sheet2!$I$2:$I$1273,[2]Sheet2!$D$2:$D$1273,0)</f>
        <v>Q3</v>
      </c>
      <c r="D120" s="4">
        <f>_xlfn.XLOOKUP(B120,[4]Sheet2!$B$2:$B$3154,[4]Sheet2!$F$2:$F$3154,0)</f>
        <v>0</v>
      </c>
      <c r="E120" s="4" t="e">
        <f>_xlfn.XLOOKUP(B120,[2]Sheet2!$E$2:$E$713,[2]Sheet2!$G$2:$G$713)</f>
        <v>#N/A</v>
      </c>
      <c r="F120" s="18">
        <v>46035</v>
      </c>
      <c r="G120" s="14">
        <v>0.77722222222222226</v>
      </c>
      <c r="H120" s="7" t="s">
        <v>16</v>
      </c>
      <c r="I120" s="2" t="str">
        <f t="shared" si="8"/>
        <v>Q3</v>
      </c>
      <c r="J120" s="2" t="str">
        <f t="shared" si="9"/>
        <v>Match</v>
      </c>
      <c r="K120" s="2">
        <f t="shared" si="5"/>
        <v>0.36055512754639896</v>
      </c>
      <c r="L120" s="2" t="e">
        <f t="shared" si="6"/>
        <v>#N/A</v>
      </c>
      <c r="M120" s="2" t="str">
        <f t="shared" si="7"/>
        <v>Digital Approve Hit</v>
      </c>
      <c r="N120" s="7">
        <v>24.8</v>
      </c>
      <c r="O120" s="7">
        <v>-5.5</v>
      </c>
      <c r="P120" s="7">
        <v>-8.4</v>
      </c>
      <c r="Q120" s="7">
        <v>-0.11</v>
      </c>
      <c r="R120" s="7">
        <v>-0.3</v>
      </c>
      <c r="S120" s="7">
        <v>-0.2</v>
      </c>
      <c r="T120" s="7">
        <v>0.33</v>
      </c>
      <c r="U120" s="7">
        <v>-0.24</v>
      </c>
      <c r="V120" s="7">
        <v>0.42</v>
      </c>
      <c r="W120" s="7" t="s">
        <v>8</v>
      </c>
      <c r="X120" s="7" t="s">
        <v>15</v>
      </c>
      <c r="Y120" s="2" t="s">
        <v>719</v>
      </c>
      <c r="Z120" s="2" t="s">
        <v>721</v>
      </c>
    </row>
    <row r="121" spans="1:26" x14ac:dyDescent="0.35">
      <c r="A121" s="7" t="s">
        <v>1548</v>
      </c>
      <c r="B121" s="7" t="s">
        <v>126</v>
      </c>
      <c r="C121" s="4" t="str">
        <f>_xlfn.XLOOKUP(A121,[2]Sheet2!$I$2:$I$1273,[2]Sheet2!$D$2:$D$1273,0)</f>
        <v>Q4</v>
      </c>
      <c r="D121" s="4">
        <f>_xlfn.XLOOKUP(B121,[4]Sheet2!$B$2:$B$3154,[4]Sheet2!$F$2:$F$3154,0)</f>
        <v>0</v>
      </c>
      <c r="E121" s="4" t="e">
        <f>_xlfn.XLOOKUP(B121,[2]Sheet2!$E$2:$E$713,[2]Sheet2!$G$2:$G$713)</f>
        <v>#N/A</v>
      </c>
      <c r="F121" s="18">
        <v>46035</v>
      </c>
      <c r="G121" s="14">
        <v>0.96375</v>
      </c>
      <c r="H121" s="7" t="s">
        <v>5</v>
      </c>
      <c r="I121" s="2" t="str">
        <f t="shared" si="8"/>
        <v>Q1</v>
      </c>
      <c r="J121" s="2" t="str">
        <f t="shared" si="9"/>
        <v>Not Match</v>
      </c>
      <c r="K121" s="2">
        <f t="shared" si="5"/>
        <v>0.70710678118654746</v>
      </c>
      <c r="L121" s="2" t="e">
        <f t="shared" si="6"/>
        <v>#N/A</v>
      </c>
      <c r="M121" s="2" t="str">
        <f t="shared" si="7"/>
        <v>Assign quadrant hit</v>
      </c>
      <c r="N121" s="7">
        <v>24.6</v>
      </c>
      <c r="O121" s="7">
        <v>3.3</v>
      </c>
      <c r="P121" s="7">
        <v>8.4</v>
      </c>
      <c r="Q121" s="7">
        <v>-0.87</v>
      </c>
      <c r="R121" s="7">
        <v>0.1</v>
      </c>
      <c r="S121" s="7">
        <v>0.7</v>
      </c>
      <c r="T121" s="7">
        <v>0.65</v>
      </c>
      <c r="U121" s="7">
        <v>0.28999999999999998</v>
      </c>
      <c r="V121" s="7">
        <v>1.1299999999999999</v>
      </c>
      <c r="W121" s="7" t="s">
        <v>6</v>
      </c>
      <c r="X121" s="7" t="s">
        <v>12</v>
      </c>
      <c r="Y121" s="2" t="s">
        <v>719</v>
      </c>
      <c r="Z121" s="2" t="s">
        <v>721</v>
      </c>
    </row>
    <row r="122" spans="1:26" x14ac:dyDescent="0.35">
      <c r="A122" s="7" t="s">
        <v>1500</v>
      </c>
      <c r="B122" s="7" t="s">
        <v>963</v>
      </c>
      <c r="C122" s="4" t="str">
        <f>_xlfn.XLOOKUP(A122,[2]Sheet2!$I$2:$I$1273,[2]Sheet2!$D$2:$D$1273,0)</f>
        <v>Q2</v>
      </c>
      <c r="D122" s="4">
        <f>_xlfn.XLOOKUP(B122,[4]Sheet2!$B$2:$B$3154,[4]Sheet2!$F$2:$F$3154,0)</f>
        <v>0</v>
      </c>
      <c r="E122" s="4" t="e">
        <f>_xlfn.XLOOKUP(B122,[2]Sheet2!$E$2:$E$713,[2]Sheet2!$G$2:$G$713)</f>
        <v>#N/A</v>
      </c>
      <c r="F122" s="18">
        <v>46035</v>
      </c>
      <c r="G122" s="14">
        <v>0.96881944444444446</v>
      </c>
      <c r="H122" s="7" t="s">
        <v>5</v>
      </c>
      <c r="I122" s="2" t="str">
        <f t="shared" si="8"/>
        <v>Q4</v>
      </c>
      <c r="J122" s="2" t="str">
        <f t="shared" si="9"/>
        <v>Not Match</v>
      </c>
      <c r="K122" s="2">
        <f t="shared" si="5"/>
        <v>0.28284271247461906</v>
      </c>
      <c r="L122" s="2" t="e">
        <f t="shared" si="6"/>
        <v>#N/A</v>
      </c>
      <c r="M122" s="2" t="str">
        <f t="shared" si="7"/>
        <v>Below 0.8 not in assigned quadrant</v>
      </c>
      <c r="N122" s="7">
        <v>17.100000000000001</v>
      </c>
      <c r="O122" s="7">
        <v>-0.4</v>
      </c>
      <c r="P122" s="7">
        <v>-1.6</v>
      </c>
      <c r="Q122" s="7">
        <v>0.47</v>
      </c>
      <c r="R122" s="7">
        <v>0.2</v>
      </c>
      <c r="S122" s="7">
        <v>-0.2</v>
      </c>
      <c r="T122" s="7">
        <v>0.24</v>
      </c>
      <c r="U122" s="7">
        <v>0.4</v>
      </c>
      <c r="V122" s="7">
        <v>0.66</v>
      </c>
      <c r="W122" s="7" t="s">
        <v>8</v>
      </c>
      <c r="X122" s="7" t="s">
        <v>9</v>
      </c>
      <c r="Y122" s="2" t="s">
        <v>719</v>
      </c>
      <c r="Z122" s="2" t="s">
        <v>721</v>
      </c>
    </row>
    <row r="123" spans="1:26" x14ac:dyDescent="0.35">
      <c r="A123" s="7" t="s">
        <v>1568</v>
      </c>
      <c r="B123" s="7" t="s">
        <v>964</v>
      </c>
      <c r="C123" s="4">
        <f>_xlfn.XLOOKUP(A123,[2]Sheet2!$I$2:$I$1273,[2]Sheet2!$D$2:$D$1273,0)</f>
        <v>0</v>
      </c>
      <c r="D123" s="4">
        <f>_xlfn.XLOOKUP(B123,[4]Sheet2!$B$2:$B$3154,[4]Sheet2!$F$2:$F$3154,0)</f>
        <v>0</v>
      </c>
      <c r="E123" s="4" t="e">
        <f>_xlfn.XLOOKUP(B123,[2]Sheet2!$E$2:$E$713,[2]Sheet2!$G$2:$G$713)</f>
        <v>#N/A</v>
      </c>
      <c r="F123" s="18">
        <v>46036</v>
      </c>
      <c r="G123" s="14">
        <v>5.5740740740740743E-2</v>
      </c>
      <c r="H123" s="7" t="s">
        <v>10</v>
      </c>
      <c r="I123" s="2">
        <f t="shared" si="8"/>
        <v>0</v>
      </c>
      <c r="J123" s="2" t="str">
        <f t="shared" si="9"/>
        <v>Match</v>
      </c>
      <c r="K123" s="2">
        <f t="shared" si="5"/>
        <v>0</v>
      </c>
      <c r="L123" s="2" t="e">
        <f t="shared" si="6"/>
        <v>#N/A</v>
      </c>
      <c r="M123" s="2" t="str">
        <f t="shared" si="7"/>
        <v>Digital Approve Hit</v>
      </c>
      <c r="N123" s="7">
        <v>14.7</v>
      </c>
      <c r="O123" s="7">
        <v>1</v>
      </c>
      <c r="P123" s="7">
        <v>-1.2</v>
      </c>
      <c r="Q123" s="7">
        <v>-0.25</v>
      </c>
      <c r="R123" s="7">
        <v>0</v>
      </c>
      <c r="S123" s="7">
        <v>0</v>
      </c>
      <c r="T123" s="7">
        <v>0.08</v>
      </c>
      <c r="U123" s="7">
        <v>0.04</v>
      </c>
      <c r="V123" s="7">
        <v>0.27</v>
      </c>
      <c r="W123" s="7" t="s">
        <v>8</v>
      </c>
      <c r="X123" s="7" t="s">
        <v>9</v>
      </c>
      <c r="Y123" s="2" t="s">
        <v>719</v>
      </c>
      <c r="Z123" s="2" t="s">
        <v>721</v>
      </c>
    </row>
    <row r="124" spans="1:26" x14ac:dyDescent="0.35">
      <c r="A124" s="7" t="s">
        <v>1569</v>
      </c>
      <c r="B124" s="7" t="s">
        <v>965</v>
      </c>
      <c r="C124" s="4">
        <f>_xlfn.XLOOKUP(A124,[2]Sheet2!$I$2:$I$1273,[2]Sheet2!$D$2:$D$1273,0)</f>
        <v>0</v>
      </c>
      <c r="D124" s="4">
        <f>_xlfn.XLOOKUP(B124,[4]Sheet2!$B$2:$B$3154,[4]Sheet2!$F$2:$F$3154,0)</f>
        <v>0</v>
      </c>
      <c r="E124" s="4" t="e">
        <f>_xlfn.XLOOKUP(B124,[2]Sheet2!$E$2:$E$713,[2]Sheet2!$G$2:$G$713)</f>
        <v>#N/A</v>
      </c>
      <c r="F124" s="18">
        <v>46036</v>
      </c>
      <c r="G124" s="14">
        <v>0.19670138888888888</v>
      </c>
      <c r="H124" s="7" t="s">
        <v>4</v>
      </c>
      <c r="I124" s="2" t="str">
        <f t="shared" si="8"/>
        <v>Q3</v>
      </c>
      <c r="J124" s="2" t="str">
        <f t="shared" si="9"/>
        <v>Not Found</v>
      </c>
      <c r="K124" s="2">
        <f t="shared" si="5"/>
        <v>0.28284271247461906</v>
      </c>
      <c r="L124" s="2" t="e">
        <f t="shared" si="6"/>
        <v>#N/A</v>
      </c>
      <c r="M124" s="2" t="str">
        <f t="shared" si="7"/>
        <v>Assign quadrant hit</v>
      </c>
      <c r="N124" s="7">
        <v>17.600000000000001</v>
      </c>
      <c r="O124" s="7">
        <v>-2.1</v>
      </c>
      <c r="P124" s="7">
        <v>-7.1</v>
      </c>
      <c r="Q124" s="7">
        <v>0.14000000000000001</v>
      </c>
      <c r="R124" s="7">
        <v>-0.2</v>
      </c>
      <c r="S124" s="7">
        <v>-0.2</v>
      </c>
      <c r="T124" s="7">
        <v>0.33</v>
      </c>
      <c r="U124" s="7">
        <v>-0.22</v>
      </c>
      <c r="V124" s="7">
        <v>0.42</v>
      </c>
      <c r="W124" s="7" t="s">
        <v>8</v>
      </c>
      <c r="X124" s="7" t="s">
        <v>15</v>
      </c>
      <c r="Y124" s="2" t="s">
        <v>719</v>
      </c>
      <c r="Z124" s="2" t="s">
        <v>721</v>
      </c>
    </row>
    <row r="125" spans="1:26" x14ac:dyDescent="0.35">
      <c r="A125" s="7" t="s">
        <v>1531</v>
      </c>
      <c r="B125" s="7" t="s">
        <v>966</v>
      </c>
      <c r="C125" s="4" t="str">
        <f>_xlfn.XLOOKUP(A125,[2]Sheet2!$I$2:$I$1273,[2]Sheet2!$D$2:$D$1273,0)</f>
        <v>Q2</v>
      </c>
      <c r="D125" s="4">
        <f>_xlfn.XLOOKUP(B125,[4]Sheet2!$B$2:$B$3154,[4]Sheet2!$F$2:$F$3154,0)</f>
        <v>0</v>
      </c>
      <c r="E125" s="4" t="e">
        <f>_xlfn.XLOOKUP(B125,[2]Sheet2!$E$2:$E$713,[2]Sheet2!$G$2:$G$713)</f>
        <v>#N/A</v>
      </c>
      <c r="F125" s="18">
        <v>46036</v>
      </c>
      <c r="G125" s="14">
        <v>0.2011111111111111</v>
      </c>
      <c r="H125" s="7" t="s">
        <v>14</v>
      </c>
      <c r="I125" s="2" t="str">
        <f t="shared" si="8"/>
        <v>Q3</v>
      </c>
      <c r="J125" s="2" t="str">
        <f t="shared" si="9"/>
        <v>Not Match</v>
      </c>
      <c r="K125" s="2">
        <f t="shared" si="5"/>
        <v>0.36055512754639896</v>
      </c>
      <c r="L125" s="2" t="e">
        <f t="shared" si="6"/>
        <v>#N/A</v>
      </c>
      <c r="M125" s="2" t="str">
        <f t="shared" si="7"/>
        <v>Below 0.8 not in assigned quadrant</v>
      </c>
      <c r="N125" s="7">
        <v>17.3</v>
      </c>
      <c r="O125" s="7">
        <v>-1.2</v>
      </c>
      <c r="P125" s="7">
        <v>-10.1</v>
      </c>
      <c r="Q125" s="7">
        <v>-0.01</v>
      </c>
      <c r="R125" s="7">
        <v>-0.2</v>
      </c>
      <c r="S125" s="7">
        <v>-0.3</v>
      </c>
      <c r="T125" s="7">
        <v>0.27</v>
      </c>
      <c r="U125" s="7">
        <v>-0.23</v>
      </c>
      <c r="V125" s="7">
        <v>0.36</v>
      </c>
      <c r="W125" s="7" t="s">
        <v>8</v>
      </c>
      <c r="X125" s="7" t="s">
        <v>15</v>
      </c>
      <c r="Y125" s="2" t="s">
        <v>719</v>
      </c>
      <c r="Z125" s="2" t="s">
        <v>721</v>
      </c>
    </row>
    <row r="126" spans="1:26" x14ac:dyDescent="0.35">
      <c r="A126" s="7" t="s">
        <v>1501</v>
      </c>
      <c r="B126" s="7" t="s">
        <v>967</v>
      </c>
      <c r="C126" s="4" t="str">
        <f>_xlfn.XLOOKUP(A126,[2]Sheet2!$I$2:$I$1273,[2]Sheet2!$D$2:$D$1273,0)</f>
        <v>Q3</v>
      </c>
      <c r="D126" s="4">
        <f>_xlfn.XLOOKUP(B126,[4]Sheet2!$B$2:$B$3154,[4]Sheet2!$F$2:$F$3154,0)</f>
        <v>0</v>
      </c>
      <c r="E126" s="4" t="e">
        <f>_xlfn.XLOOKUP(B126,[2]Sheet2!$E$2:$E$713,[2]Sheet2!$G$2:$G$713)</f>
        <v>#N/A</v>
      </c>
      <c r="F126" s="18">
        <v>46036</v>
      </c>
      <c r="G126" s="14">
        <v>0.20453703703703704</v>
      </c>
      <c r="H126" s="7" t="s">
        <v>11</v>
      </c>
      <c r="I126" s="2" t="str">
        <f t="shared" si="8"/>
        <v>Q3</v>
      </c>
      <c r="J126" s="2" t="str">
        <f t="shared" si="9"/>
        <v>Match</v>
      </c>
      <c r="K126" s="2">
        <f t="shared" si="5"/>
        <v>0.72111025509279791</v>
      </c>
      <c r="L126" s="2" t="e">
        <f t="shared" si="6"/>
        <v>#N/A</v>
      </c>
      <c r="M126" s="2" t="str">
        <f t="shared" si="7"/>
        <v>Digital Approve Hit</v>
      </c>
      <c r="N126" s="7">
        <v>40.5</v>
      </c>
      <c r="O126" s="7">
        <v>43.4</v>
      </c>
      <c r="P126" s="7">
        <v>26.9</v>
      </c>
      <c r="Q126" s="7">
        <v>-0.53</v>
      </c>
      <c r="R126" s="7">
        <v>-0.6</v>
      </c>
      <c r="S126" s="7">
        <v>-0.4</v>
      </c>
      <c r="T126" s="7">
        <v>-0.31</v>
      </c>
      <c r="U126" s="7">
        <v>-0.01</v>
      </c>
      <c r="V126" s="7">
        <v>0.62</v>
      </c>
      <c r="W126" s="7" t="s">
        <v>8</v>
      </c>
      <c r="X126" s="7" t="s">
        <v>7</v>
      </c>
      <c r="Y126" s="2" t="s">
        <v>719</v>
      </c>
      <c r="Z126" s="2" t="s">
        <v>721</v>
      </c>
    </row>
    <row r="127" spans="1:26" x14ac:dyDescent="0.35">
      <c r="A127" s="7" t="s">
        <v>1570</v>
      </c>
      <c r="B127" s="7" t="s">
        <v>134</v>
      </c>
      <c r="C127" s="4">
        <f>_xlfn.XLOOKUP(A127,[2]Sheet2!$I$2:$I$1273,[2]Sheet2!$D$2:$D$1273,0)</f>
        <v>0</v>
      </c>
      <c r="D127" s="4">
        <f>_xlfn.XLOOKUP(B127,[4]Sheet2!$B$2:$B$3154,[4]Sheet2!$F$2:$F$3154,0)</f>
        <v>0</v>
      </c>
      <c r="E127" s="4" t="e">
        <f>_xlfn.XLOOKUP(B127,[2]Sheet2!$E$2:$E$713,[2]Sheet2!$G$2:$G$713)</f>
        <v>#N/A</v>
      </c>
      <c r="F127" s="18">
        <v>46036</v>
      </c>
      <c r="G127" s="14">
        <v>0.49299768518518516</v>
      </c>
      <c r="H127" s="7" t="s">
        <v>4</v>
      </c>
      <c r="I127" s="2" t="str">
        <f t="shared" si="8"/>
        <v>Q2</v>
      </c>
      <c r="J127" s="2" t="str">
        <f t="shared" si="9"/>
        <v>Not Found</v>
      </c>
      <c r="K127" s="2">
        <f t="shared" si="5"/>
        <v>0.56568542494923812</v>
      </c>
      <c r="L127" s="2" t="e">
        <f t="shared" si="6"/>
        <v>#N/A</v>
      </c>
      <c r="M127" s="2" t="str">
        <f t="shared" si="7"/>
        <v>Assign quadrant hit</v>
      </c>
      <c r="N127" s="7">
        <v>44</v>
      </c>
      <c r="O127" s="7">
        <v>52.3</v>
      </c>
      <c r="P127" s="7">
        <v>-1.4</v>
      </c>
      <c r="Q127" s="7">
        <v>-0.53</v>
      </c>
      <c r="R127" s="7">
        <v>-0.4</v>
      </c>
      <c r="S127" s="7">
        <v>0.4</v>
      </c>
      <c r="T127" s="7">
        <v>-0.17</v>
      </c>
      <c r="U127" s="7">
        <v>0.24</v>
      </c>
      <c r="V127" s="7">
        <v>0.61</v>
      </c>
      <c r="W127" s="7" t="s">
        <v>8</v>
      </c>
      <c r="X127" s="7" t="s">
        <v>9</v>
      </c>
      <c r="Y127" s="2" t="s">
        <v>719</v>
      </c>
      <c r="Z127" s="2" t="s">
        <v>721</v>
      </c>
    </row>
    <row r="128" spans="1:26" x14ac:dyDescent="0.35">
      <c r="A128" s="7" t="s">
        <v>1571</v>
      </c>
      <c r="B128" s="7" t="s">
        <v>135</v>
      </c>
      <c r="C128" s="4" t="str">
        <f>_xlfn.XLOOKUP(A128,[2]Sheet2!$I$2:$I$1273,[2]Sheet2!$D$2:$D$1273,0)</f>
        <v>Q1</v>
      </c>
      <c r="D128" s="4">
        <f>_xlfn.XLOOKUP(B128,[4]Sheet2!$B$2:$B$3154,[4]Sheet2!$F$2:$F$3154,0)</f>
        <v>0</v>
      </c>
      <c r="E128" s="4" t="e">
        <f>_xlfn.XLOOKUP(B128,[2]Sheet2!$E$2:$E$713,[2]Sheet2!$G$2:$G$713)</f>
        <v>#N/A</v>
      </c>
      <c r="F128" s="18">
        <v>46036</v>
      </c>
      <c r="G128" s="14">
        <v>0.62938657407407406</v>
      </c>
      <c r="H128" s="7" t="s">
        <v>5</v>
      </c>
      <c r="I128" s="2" t="str">
        <f t="shared" si="8"/>
        <v>Q1</v>
      </c>
      <c r="J128" s="2" t="str">
        <f t="shared" si="9"/>
        <v>Match</v>
      </c>
      <c r="K128" s="2">
        <f t="shared" si="5"/>
        <v>0</v>
      </c>
      <c r="L128" s="2" t="e">
        <f t="shared" si="6"/>
        <v>#N/A</v>
      </c>
      <c r="M128" s="2" t="str">
        <f t="shared" si="7"/>
        <v>Digital Approve Hit</v>
      </c>
      <c r="N128" s="7">
        <v>17.899999999999999</v>
      </c>
      <c r="O128" s="7">
        <v>-0.2</v>
      </c>
      <c r="P128" s="7">
        <v>-1.8</v>
      </c>
      <c r="Q128" s="7">
        <v>-0.11</v>
      </c>
      <c r="R128" s="7">
        <v>0</v>
      </c>
      <c r="S128" s="7">
        <v>0</v>
      </c>
      <c r="T128" s="7">
        <v>-0.09</v>
      </c>
      <c r="U128" s="7">
        <v>-0.08</v>
      </c>
      <c r="V128" s="7">
        <v>0.16</v>
      </c>
      <c r="W128" s="7" t="s">
        <v>8</v>
      </c>
      <c r="X128" s="7" t="s">
        <v>15</v>
      </c>
      <c r="Y128" s="2" t="s">
        <v>719</v>
      </c>
      <c r="Z128" s="2" t="s">
        <v>721</v>
      </c>
    </row>
    <row r="129" spans="1:26" x14ac:dyDescent="0.35">
      <c r="A129" s="7" t="s">
        <v>1572</v>
      </c>
      <c r="B129" s="7" t="s">
        <v>136</v>
      </c>
      <c r="C129" s="4" t="str">
        <f>_xlfn.XLOOKUP(A129,[2]Sheet2!$I$2:$I$1273,[2]Sheet2!$D$2:$D$1273,0)</f>
        <v>Q3</v>
      </c>
      <c r="D129" s="4">
        <f>_xlfn.XLOOKUP(B129,[4]Sheet2!$B$2:$B$3154,[4]Sheet2!$F$2:$F$3154,0)</f>
        <v>0</v>
      </c>
      <c r="E129" s="4" t="e">
        <f>_xlfn.XLOOKUP(B129,[2]Sheet2!$E$2:$E$713,[2]Sheet2!$G$2:$G$713)</f>
        <v>#N/A</v>
      </c>
      <c r="F129" s="18">
        <v>46036</v>
      </c>
      <c r="G129" s="14">
        <v>0.70870370370370372</v>
      </c>
      <c r="H129" s="7" t="s">
        <v>5</v>
      </c>
      <c r="I129" s="2" t="str">
        <f t="shared" si="8"/>
        <v>Q3</v>
      </c>
      <c r="J129" s="2" t="str">
        <f t="shared" si="9"/>
        <v>Match</v>
      </c>
      <c r="K129" s="2">
        <f t="shared" ref="K129:K192" si="10">SQRT(R129^2+S129^2)</f>
        <v>0</v>
      </c>
      <c r="L129" s="2" t="e">
        <f t="shared" ref="L129:L192" si="11">IF(K129&lt;=E129,"Within Range","Over Range")</f>
        <v>#N/A</v>
      </c>
      <c r="M129" s="2" t="str">
        <f t="shared" ref="M129:M192" si="12">IF(AND(J129="Match",V129&lt;=0.8),"Digital Approve Hit",
IF(AND(J129="Match",V129&gt;0.8),"Failed but within quadrant",
IF(AND(J129="Not Match",V129&lt;=0.8),"Below 0.8 not in assigned quadrant",
"Assign quadrant hit")))</f>
        <v>Digital Approve Hit</v>
      </c>
      <c r="N129" s="7">
        <v>16.2</v>
      </c>
      <c r="O129" s="7">
        <v>-0.6</v>
      </c>
      <c r="P129" s="7">
        <v>-2.1</v>
      </c>
      <c r="Q129" s="7">
        <v>-0.27</v>
      </c>
      <c r="R129" s="7">
        <v>0</v>
      </c>
      <c r="S129" s="7">
        <v>0</v>
      </c>
      <c r="T129" s="7">
        <v>-0.14000000000000001</v>
      </c>
      <c r="U129" s="7">
        <v>0.08</v>
      </c>
      <c r="V129" s="7">
        <v>0.32</v>
      </c>
      <c r="W129" s="7" t="s">
        <v>8</v>
      </c>
      <c r="X129" s="7" t="s">
        <v>9</v>
      </c>
      <c r="Y129" s="2" t="s">
        <v>719</v>
      </c>
      <c r="Z129" s="2" t="s">
        <v>721</v>
      </c>
    </row>
    <row r="130" spans="1:26" x14ac:dyDescent="0.35">
      <c r="A130" s="7" t="s">
        <v>1573</v>
      </c>
      <c r="B130" s="7" t="s">
        <v>137</v>
      </c>
      <c r="C130" s="4" t="str">
        <f>_xlfn.XLOOKUP(A130,[2]Sheet2!$I$2:$I$1273,[2]Sheet2!$D$2:$D$1273,0)</f>
        <v>Q1</v>
      </c>
      <c r="D130" s="4">
        <f>_xlfn.XLOOKUP(B130,[4]Sheet2!$B$2:$B$3154,[4]Sheet2!$F$2:$F$3154,0)</f>
        <v>0</v>
      </c>
      <c r="E130" s="4" t="e">
        <f>_xlfn.XLOOKUP(B130,[2]Sheet2!$E$2:$E$713,[2]Sheet2!$G$2:$G$713)</f>
        <v>#N/A</v>
      </c>
      <c r="F130" s="18">
        <v>46036</v>
      </c>
      <c r="G130" s="14">
        <v>0.71189814814814811</v>
      </c>
      <c r="H130" s="7" t="s">
        <v>5</v>
      </c>
      <c r="I130" s="2" t="str">
        <f t="shared" ref="I130:I193" si="13">IF(AND(R130=0,S130=0),IF(C130="","Origin",C130),
IF(AND(R130&gt;0,S130=0),"Q4",
IF(AND(R130&lt;0,S130=0),"Q3",
IF(AND(R130&gt;=0,S130&lt;0),"Q4",
IF(AND(R130&gt;=0,S130&gt;0),"Q1",
IF(AND(R130&lt;0,S130&lt;=0),"Q3",
IF(AND(R130&lt;0,S130&gt;0),"Q2",
"")))))))</f>
        <v>Q4</v>
      </c>
      <c r="J130" s="2" t="str">
        <f t="shared" si="9"/>
        <v>Not Match</v>
      </c>
      <c r="K130" s="2">
        <f t="shared" si="10"/>
        <v>0.2</v>
      </c>
      <c r="L130" s="2" t="e">
        <f t="shared" si="11"/>
        <v>#N/A</v>
      </c>
      <c r="M130" s="2" t="str">
        <f t="shared" si="12"/>
        <v>Below 0.8 not in assigned quadrant</v>
      </c>
      <c r="N130" s="7">
        <v>18.5</v>
      </c>
      <c r="O130" s="7">
        <v>-0.2</v>
      </c>
      <c r="P130" s="7">
        <v>-1.8</v>
      </c>
      <c r="Q130" s="7">
        <v>0.39</v>
      </c>
      <c r="R130" s="7">
        <v>0</v>
      </c>
      <c r="S130" s="7">
        <v>-0.2</v>
      </c>
      <c r="T130" s="7">
        <v>0.28000000000000003</v>
      </c>
      <c r="U130" s="7">
        <v>0.08</v>
      </c>
      <c r="V130" s="7">
        <v>0.49</v>
      </c>
      <c r="W130" s="7" t="s">
        <v>8</v>
      </c>
      <c r="X130" s="7" t="s">
        <v>9</v>
      </c>
      <c r="Y130" s="2" t="s">
        <v>719</v>
      </c>
      <c r="Z130" s="2" t="s">
        <v>721</v>
      </c>
    </row>
    <row r="131" spans="1:26" x14ac:dyDescent="0.35">
      <c r="A131" s="7" t="s">
        <v>1574</v>
      </c>
      <c r="B131" s="7" t="s">
        <v>138</v>
      </c>
      <c r="C131" s="4" t="str">
        <f>_xlfn.XLOOKUP(A131,[2]Sheet2!$I$2:$I$1273,[2]Sheet2!$D$2:$D$1273,0)</f>
        <v>Q2</v>
      </c>
      <c r="D131" s="4">
        <f>_xlfn.XLOOKUP(B131,[4]Sheet2!$B$2:$B$3154,[4]Sheet2!$F$2:$F$3154,0)</f>
        <v>0</v>
      </c>
      <c r="E131" s="4" t="e">
        <f>_xlfn.XLOOKUP(B131,[2]Sheet2!$E$2:$E$713,[2]Sheet2!$G$2:$G$713)</f>
        <v>#N/A</v>
      </c>
      <c r="F131" s="18">
        <v>46036</v>
      </c>
      <c r="G131" s="14">
        <v>0.71415509259259258</v>
      </c>
      <c r="H131" s="7" t="s">
        <v>11</v>
      </c>
      <c r="I131" s="2" t="str">
        <f t="shared" si="13"/>
        <v>Q4</v>
      </c>
      <c r="J131" s="2" t="str">
        <f t="shared" ref="J131:J194" si="14">IF(I131=C131,"Match",IF(C131=0,"Not Found","Not Match"))</f>
        <v>Not Match</v>
      </c>
      <c r="K131" s="2">
        <f t="shared" si="10"/>
        <v>0.3</v>
      </c>
      <c r="L131" s="2" t="e">
        <f t="shared" si="11"/>
        <v>#N/A</v>
      </c>
      <c r="M131" s="2" t="str">
        <f t="shared" si="12"/>
        <v>Below 0.8 not in assigned quadrant</v>
      </c>
      <c r="N131" s="7">
        <v>18.899999999999999</v>
      </c>
      <c r="O131" s="7">
        <v>-0.1</v>
      </c>
      <c r="P131" s="7">
        <v>-12.6</v>
      </c>
      <c r="Q131" s="7">
        <v>0.6</v>
      </c>
      <c r="R131" s="7">
        <v>0</v>
      </c>
      <c r="S131" s="7">
        <v>-0.3</v>
      </c>
      <c r="T131" s="7">
        <v>0.24</v>
      </c>
      <c r="U131" s="7">
        <v>0.04</v>
      </c>
      <c r="V131" s="7">
        <v>0.65</v>
      </c>
      <c r="W131" s="7" t="s">
        <v>8</v>
      </c>
      <c r="X131" s="7" t="s">
        <v>9</v>
      </c>
      <c r="Y131" s="2" t="s">
        <v>719</v>
      </c>
      <c r="Z131" s="2" t="s">
        <v>721</v>
      </c>
    </row>
    <row r="132" spans="1:26" x14ac:dyDescent="0.35">
      <c r="A132" s="7" t="s">
        <v>1575</v>
      </c>
      <c r="B132" s="7" t="s">
        <v>139</v>
      </c>
      <c r="C132" s="4" t="str">
        <f>_xlfn.XLOOKUP(A132,[2]Sheet2!$I$2:$I$1273,[2]Sheet2!$D$2:$D$1273,0)</f>
        <v>Q1</v>
      </c>
      <c r="D132" s="4">
        <f>_xlfn.XLOOKUP(B132,[4]Sheet2!$B$2:$B$3154,[4]Sheet2!$F$2:$F$3154,0)</f>
        <v>0</v>
      </c>
      <c r="E132" s="4" t="e">
        <f>_xlfn.XLOOKUP(B132,[2]Sheet2!$E$2:$E$713,[2]Sheet2!$G$2:$G$713)</f>
        <v>#N/A</v>
      </c>
      <c r="F132" s="18">
        <v>46036</v>
      </c>
      <c r="G132" s="14">
        <v>0.73901620370370369</v>
      </c>
      <c r="H132" s="7" t="s">
        <v>5</v>
      </c>
      <c r="I132" s="2" t="str">
        <f t="shared" si="13"/>
        <v>Q3</v>
      </c>
      <c r="J132" s="2" t="str">
        <f t="shared" si="14"/>
        <v>Not Match</v>
      </c>
      <c r="K132" s="2">
        <f t="shared" si="10"/>
        <v>0.2</v>
      </c>
      <c r="L132" s="2" t="e">
        <f t="shared" si="11"/>
        <v>#N/A</v>
      </c>
      <c r="M132" s="2" t="str">
        <f t="shared" si="12"/>
        <v>Below 0.8 not in assigned quadrant</v>
      </c>
      <c r="N132" s="7">
        <v>14.9</v>
      </c>
      <c r="O132" s="7">
        <v>-0.8</v>
      </c>
      <c r="P132" s="7">
        <v>-2.1</v>
      </c>
      <c r="Q132" s="7">
        <v>0.15</v>
      </c>
      <c r="R132" s="7">
        <v>-0.2</v>
      </c>
      <c r="S132" s="7">
        <v>0</v>
      </c>
      <c r="T132" s="7">
        <v>0.09</v>
      </c>
      <c r="U132" s="7">
        <v>-0.36</v>
      </c>
      <c r="V132" s="7">
        <v>0.4</v>
      </c>
      <c r="W132" s="7" t="s">
        <v>8</v>
      </c>
      <c r="X132" s="7" t="s">
        <v>15</v>
      </c>
      <c r="Y132" s="2" t="s">
        <v>719</v>
      </c>
      <c r="Z132" s="2" t="s">
        <v>721</v>
      </c>
    </row>
    <row r="133" spans="1:26" x14ac:dyDescent="0.35">
      <c r="A133" s="7" t="s">
        <v>1558</v>
      </c>
      <c r="B133" s="7" t="s">
        <v>140</v>
      </c>
      <c r="C133" s="4" t="str">
        <f>_xlfn.XLOOKUP(A133,[2]Sheet2!$I$2:$I$1273,[2]Sheet2!$D$2:$D$1273,0)</f>
        <v>Q3</v>
      </c>
      <c r="D133" s="4">
        <f>_xlfn.XLOOKUP(B133,[4]Sheet2!$B$2:$B$3154,[4]Sheet2!$F$2:$F$3154,0)</f>
        <v>0</v>
      </c>
      <c r="E133" s="4" t="e">
        <f>_xlfn.XLOOKUP(B133,[2]Sheet2!$E$2:$E$713,[2]Sheet2!$G$2:$G$713)</f>
        <v>#N/A</v>
      </c>
      <c r="F133" s="18">
        <v>46036</v>
      </c>
      <c r="G133" s="14">
        <v>0.74174768518518519</v>
      </c>
      <c r="H133" s="7" t="s">
        <v>5</v>
      </c>
      <c r="I133" s="2" t="str">
        <f t="shared" si="13"/>
        <v>Q4</v>
      </c>
      <c r="J133" s="2" t="str">
        <f t="shared" si="14"/>
        <v>Not Match</v>
      </c>
      <c r="K133" s="2">
        <f t="shared" si="10"/>
        <v>0.2</v>
      </c>
      <c r="L133" s="2" t="e">
        <f t="shared" si="11"/>
        <v>#N/A</v>
      </c>
      <c r="M133" s="2" t="str">
        <f t="shared" si="12"/>
        <v>Below 0.8 not in assigned quadrant</v>
      </c>
      <c r="N133" s="7">
        <v>15.4</v>
      </c>
      <c r="O133" s="7">
        <v>-0.5</v>
      </c>
      <c r="P133" s="7">
        <v>-2.1</v>
      </c>
      <c r="Q133" s="7">
        <v>-0.22</v>
      </c>
      <c r="R133" s="7">
        <v>0</v>
      </c>
      <c r="S133" s="7">
        <v>-0.2</v>
      </c>
      <c r="T133" s="7">
        <v>0.36</v>
      </c>
      <c r="U133" s="7">
        <v>-0.01</v>
      </c>
      <c r="V133" s="7">
        <v>0.42</v>
      </c>
      <c r="W133" s="7" t="s">
        <v>8</v>
      </c>
      <c r="X133" s="7" t="s">
        <v>15</v>
      </c>
      <c r="Y133" s="2" t="s">
        <v>719</v>
      </c>
      <c r="Z133" s="2" t="s">
        <v>721</v>
      </c>
    </row>
    <row r="134" spans="1:26" x14ac:dyDescent="0.35">
      <c r="A134" s="7" t="s">
        <v>1576</v>
      </c>
      <c r="B134" s="7" t="s">
        <v>141</v>
      </c>
      <c r="C134" s="4">
        <f>_xlfn.XLOOKUP(A134,[2]Sheet2!$I$2:$I$1273,[2]Sheet2!$D$2:$D$1273,0)</f>
        <v>0</v>
      </c>
      <c r="D134" s="4">
        <f>_xlfn.XLOOKUP(B134,[4]Sheet2!$B$2:$B$3154,[4]Sheet2!$F$2:$F$3154,0)</f>
        <v>0</v>
      </c>
      <c r="E134" s="4" t="e">
        <f>_xlfn.XLOOKUP(B134,[2]Sheet2!$E$2:$E$713,[2]Sheet2!$G$2:$G$713)</f>
        <v>#N/A</v>
      </c>
      <c r="F134" s="18">
        <v>46036</v>
      </c>
      <c r="G134" s="14">
        <v>0.73746527777777782</v>
      </c>
      <c r="H134" s="7" t="s">
        <v>5</v>
      </c>
      <c r="I134" s="2" t="str">
        <f t="shared" si="13"/>
        <v>Q1</v>
      </c>
      <c r="J134" s="2" t="str">
        <f t="shared" si="14"/>
        <v>Not Found</v>
      </c>
      <c r="K134" s="2">
        <f t="shared" si="10"/>
        <v>0.6</v>
      </c>
      <c r="L134" s="2" t="e">
        <f t="shared" si="11"/>
        <v>#N/A</v>
      </c>
      <c r="M134" s="2" t="str">
        <f t="shared" si="12"/>
        <v>Assign quadrant hit</v>
      </c>
      <c r="N134" s="7">
        <v>25.7</v>
      </c>
      <c r="O134" s="7">
        <v>20.8</v>
      </c>
      <c r="P134" s="7">
        <v>5.8</v>
      </c>
      <c r="Q134" s="7">
        <v>-0.77</v>
      </c>
      <c r="R134" s="7">
        <v>0</v>
      </c>
      <c r="S134" s="7">
        <v>0.6</v>
      </c>
      <c r="T134" s="7">
        <v>0.08</v>
      </c>
      <c r="U134" s="7">
        <v>0.61</v>
      </c>
      <c r="V134" s="7">
        <v>0.98</v>
      </c>
      <c r="W134" s="7" t="s">
        <v>13</v>
      </c>
      <c r="X134" s="7" t="s">
        <v>12</v>
      </c>
      <c r="Y134" s="2" t="s">
        <v>719</v>
      </c>
      <c r="Z134" s="2" t="s">
        <v>721</v>
      </c>
    </row>
    <row r="135" spans="1:26" x14ac:dyDescent="0.35">
      <c r="A135" s="7" t="s">
        <v>1558</v>
      </c>
      <c r="B135" s="7" t="s">
        <v>142</v>
      </c>
      <c r="C135" s="4" t="str">
        <f>_xlfn.XLOOKUP(A135,[2]Sheet2!$I$2:$I$1273,[2]Sheet2!$D$2:$D$1273,0)</f>
        <v>Q3</v>
      </c>
      <c r="D135" s="4">
        <f>_xlfn.XLOOKUP(B135,[4]Sheet2!$B$2:$B$3154,[4]Sheet2!$F$2:$F$3154,0)</f>
        <v>0</v>
      </c>
      <c r="E135" s="4" t="e">
        <f>_xlfn.XLOOKUP(B135,[2]Sheet2!$E$2:$E$713,[2]Sheet2!$G$2:$G$713)</f>
        <v>#N/A</v>
      </c>
      <c r="F135" s="18">
        <v>46036</v>
      </c>
      <c r="G135" s="14">
        <v>0.77552083333333333</v>
      </c>
      <c r="H135" s="7" t="s">
        <v>16</v>
      </c>
      <c r="I135" s="2" t="str">
        <f t="shared" si="13"/>
        <v>Q4</v>
      </c>
      <c r="J135" s="2" t="str">
        <f t="shared" si="14"/>
        <v>Not Match</v>
      </c>
      <c r="K135" s="2">
        <f t="shared" si="10"/>
        <v>0.1</v>
      </c>
      <c r="L135" s="2" t="e">
        <f t="shared" si="11"/>
        <v>#N/A</v>
      </c>
      <c r="M135" s="2" t="str">
        <f t="shared" si="12"/>
        <v>Below 0.8 not in assigned quadrant</v>
      </c>
      <c r="N135" s="7">
        <v>15.3</v>
      </c>
      <c r="O135" s="7">
        <v>-0.4</v>
      </c>
      <c r="P135" s="7">
        <v>-2</v>
      </c>
      <c r="Q135" s="7">
        <v>-0.23</v>
      </c>
      <c r="R135" s="7">
        <v>0</v>
      </c>
      <c r="S135" s="7">
        <v>-0.1</v>
      </c>
      <c r="T135" s="7">
        <v>0.27</v>
      </c>
      <c r="U135" s="7">
        <v>-7.0000000000000007E-2</v>
      </c>
      <c r="V135" s="7">
        <v>0.36</v>
      </c>
      <c r="W135" s="7" t="s">
        <v>8</v>
      </c>
      <c r="X135" s="7" t="s">
        <v>15</v>
      </c>
      <c r="Y135" s="2" t="s">
        <v>719</v>
      </c>
      <c r="Z135" s="2" t="s">
        <v>721</v>
      </c>
    </row>
    <row r="136" spans="1:26" x14ac:dyDescent="0.35">
      <c r="A136" s="7" t="s">
        <v>1528</v>
      </c>
      <c r="B136" s="7" t="s">
        <v>144</v>
      </c>
      <c r="C136" s="4" t="str">
        <f>_xlfn.XLOOKUP(A136,[2]Sheet2!$I$2:$I$1273,[2]Sheet2!$D$2:$D$1273,0)</f>
        <v>Q1</v>
      </c>
      <c r="D136" s="4">
        <f>_xlfn.XLOOKUP(B136,[4]Sheet2!$B$2:$B$3154,[4]Sheet2!$F$2:$F$3154,0)</f>
        <v>0</v>
      </c>
      <c r="E136" s="4" t="e">
        <f>_xlfn.XLOOKUP(B136,[2]Sheet2!$E$2:$E$713,[2]Sheet2!$G$2:$G$713)</f>
        <v>#N/A</v>
      </c>
      <c r="F136" s="18">
        <v>46037</v>
      </c>
      <c r="G136" s="14">
        <v>0.40524305555555556</v>
      </c>
      <c r="H136" s="7" t="s">
        <v>5</v>
      </c>
      <c r="I136" s="2" t="str">
        <f t="shared" si="13"/>
        <v>Q2</v>
      </c>
      <c r="J136" s="2" t="str">
        <f t="shared" si="14"/>
        <v>Not Match</v>
      </c>
      <c r="K136" s="2">
        <f t="shared" si="10"/>
        <v>1.2649110640673518</v>
      </c>
      <c r="L136" s="2" t="e">
        <f t="shared" si="11"/>
        <v>#N/A</v>
      </c>
      <c r="M136" s="2" t="str">
        <f t="shared" si="12"/>
        <v>Assign quadrant hit</v>
      </c>
      <c r="N136" s="7">
        <v>42.2</v>
      </c>
      <c r="O136" s="7">
        <v>50.1</v>
      </c>
      <c r="P136" s="7">
        <v>-2.9</v>
      </c>
      <c r="Q136" s="7">
        <v>-0.73</v>
      </c>
      <c r="R136" s="7">
        <v>-0.4</v>
      </c>
      <c r="S136" s="7">
        <v>1.2</v>
      </c>
      <c r="T136" s="7">
        <v>-0.22</v>
      </c>
      <c r="U136" s="7">
        <v>0.67</v>
      </c>
      <c r="V136" s="7">
        <v>1.02</v>
      </c>
      <c r="W136" s="7" t="s">
        <v>6</v>
      </c>
      <c r="X136" s="7" t="s">
        <v>9</v>
      </c>
      <c r="Y136" s="2" t="s">
        <v>719</v>
      </c>
      <c r="Z136" s="2" t="s">
        <v>721</v>
      </c>
    </row>
    <row r="137" spans="1:26" x14ac:dyDescent="0.35">
      <c r="A137" s="7" t="s">
        <v>1577</v>
      </c>
      <c r="B137" s="7" t="s">
        <v>143</v>
      </c>
      <c r="C137" s="4">
        <f>_xlfn.XLOOKUP(A137,[2]Sheet2!$I$2:$I$1273,[2]Sheet2!$D$2:$D$1273,0)</f>
        <v>0</v>
      </c>
      <c r="D137" s="4">
        <f>_xlfn.XLOOKUP(B137,[4]Sheet2!$B$2:$B$3154,[4]Sheet2!$F$2:$F$3154,0)</f>
        <v>0</v>
      </c>
      <c r="E137" s="4" t="e">
        <f>_xlfn.XLOOKUP(B137,[2]Sheet2!$E$2:$E$713,[2]Sheet2!$G$2:$G$713)</f>
        <v>#N/A</v>
      </c>
      <c r="F137" s="18">
        <v>46037</v>
      </c>
      <c r="G137" s="14">
        <v>0.47237268518518516</v>
      </c>
      <c r="H137" s="7" t="s">
        <v>5</v>
      </c>
      <c r="I137" s="2" t="str">
        <f t="shared" si="13"/>
        <v>Q1</v>
      </c>
      <c r="J137" s="2" t="str">
        <f t="shared" si="14"/>
        <v>Not Found</v>
      </c>
      <c r="K137" s="2">
        <f t="shared" si="10"/>
        <v>0.14142135623730953</v>
      </c>
      <c r="L137" s="2" t="e">
        <f t="shared" si="11"/>
        <v>#N/A</v>
      </c>
      <c r="M137" s="2" t="str">
        <f t="shared" si="12"/>
        <v>Assign quadrant hit</v>
      </c>
      <c r="N137" s="7">
        <v>21.9</v>
      </c>
      <c r="O137" s="7">
        <v>-8.6</v>
      </c>
      <c r="P137" s="7">
        <v>-3.7</v>
      </c>
      <c r="Q137" s="7">
        <v>-0.19</v>
      </c>
      <c r="R137" s="7">
        <v>0.1</v>
      </c>
      <c r="S137" s="7">
        <v>0.1</v>
      </c>
      <c r="T137" s="7">
        <v>-0.2</v>
      </c>
      <c r="U137" s="7">
        <v>-0.11</v>
      </c>
      <c r="V137" s="7">
        <v>0.28999999999999998</v>
      </c>
      <c r="W137" s="7" t="s">
        <v>8</v>
      </c>
      <c r="X137" s="7" t="s">
        <v>12</v>
      </c>
      <c r="Y137" s="2" t="s">
        <v>719</v>
      </c>
      <c r="Z137" s="2" t="s">
        <v>721</v>
      </c>
    </row>
    <row r="138" spans="1:26" x14ac:dyDescent="0.35">
      <c r="A138" s="7" t="s">
        <v>1538</v>
      </c>
      <c r="B138" s="7" t="s">
        <v>145</v>
      </c>
      <c r="C138" s="4">
        <f>_xlfn.XLOOKUP(A138,[2]Sheet2!$I$2:$I$1273,[2]Sheet2!$D$2:$D$1273,0)</f>
        <v>0</v>
      </c>
      <c r="D138" s="4">
        <f>_xlfn.XLOOKUP(B138,[4]Sheet2!$B$2:$B$3154,[4]Sheet2!$F$2:$F$3154,0)</f>
        <v>0</v>
      </c>
      <c r="E138" s="4" t="e">
        <f>_xlfn.XLOOKUP(B138,[2]Sheet2!$E$2:$E$713,[2]Sheet2!$G$2:$G$713)</f>
        <v>#N/A</v>
      </c>
      <c r="F138" s="18">
        <v>46037</v>
      </c>
      <c r="G138" s="14">
        <v>0.5835069444444444</v>
      </c>
      <c r="H138" s="7" t="s">
        <v>4</v>
      </c>
      <c r="I138" s="2" t="str">
        <f t="shared" si="13"/>
        <v>Q4</v>
      </c>
      <c r="J138" s="2" t="str">
        <f t="shared" si="14"/>
        <v>Not Found</v>
      </c>
      <c r="K138" s="2">
        <f t="shared" si="10"/>
        <v>0.3</v>
      </c>
      <c r="L138" s="2" t="e">
        <f t="shared" si="11"/>
        <v>#N/A</v>
      </c>
      <c r="M138" s="2" t="str">
        <f t="shared" si="12"/>
        <v>Assign quadrant hit</v>
      </c>
      <c r="N138" s="7">
        <v>14.7</v>
      </c>
      <c r="O138" s="7">
        <v>-0.4</v>
      </c>
      <c r="P138" s="7">
        <v>-1.7</v>
      </c>
      <c r="Q138" s="7">
        <v>-0.03</v>
      </c>
      <c r="R138" s="7">
        <v>0.3</v>
      </c>
      <c r="S138" s="7">
        <v>0</v>
      </c>
      <c r="T138" s="7">
        <v>-0.11</v>
      </c>
      <c r="U138" s="7">
        <v>0.43</v>
      </c>
      <c r="V138" s="7">
        <v>0.44</v>
      </c>
      <c r="W138" s="7" t="s">
        <v>8</v>
      </c>
      <c r="X138" s="7" t="s">
        <v>9</v>
      </c>
      <c r="Y138" s="2" t="s">
        <v>719</v>
      </c>
      <c r="Z138" s="2" t="s">
        <v>721</v>
      </c>
    </row>
    <row r="139" spans="1:26" x14ac:dyDescent="0.35">
      <c r="A139" s="7" t="s">
        <v>1564</v>
      </c>
      <c r="B139" s="7" t="s">
        <v>146</v>
      </c>
      <c r="C139" s="4" t="str">
        <f>_xlfn.XLOOKUP(A139,[2]Sheet2!$I$2:$I$1273,[2]Sheet2!$D$2:$D$1273,0)</f>
        <v>Q4</v>
      </c>
      <c r="D139" s="4">
        <f>_xlfn.XLOOKUP(B139,[4]Sheet2!$B$2:$B$3154,[4]Sheet2!$F$2:$F$3154,0)</f>
        <v>0</v>
      </c>
      <c r="E139" s="4" t="e">
        <f>_xlfn.XLOOKUP(B139,[2]Sheet2!$E$2:$E$713,[2]Sheet2!$G$2:$G$713)</f>
        <v>#N/A</v>
      </c>
      <c r="F139" s="18">
        <v>46037</v>
      </c>
      <c r="G139" s="14">
        <v>0.64170138888888884</v>
      </c>
      <c r="H139" s="7" t="s">
        <v>4</v>
      </c>
      <c r="I139" s="2" t="str">
        <f t="shared" si="13"/>
        <v>Q1</v>
      </c>
      <c r="J139" s="2" t="str">
        <f t="shared" si="14"/>
        <v>Not Match</v>
      </c>
      <c r="K139" s="2">
        <f t="shared" si="10"/>
        <v>0.3</v>
      </c>
      <c r="L139" s="2" t="e">
        <f t="shared" si="11"/>
        <v>#N/A</v>
      </c>
      <c r="M139" s="2" t="str">
        <f t="shared" si="12"/>
        <v>Assign quadrant hit</v>
      </c>
      <c r="N139" s="7">
        <v>15.1</v>
      </c>
      <c r="O139" s="7">
        <v>-1</v>
      </c>
      <c r="P139" s="7">
        <v>-1</v>
      </c>
      <c r="Q139" s="7">
        <v>-1.21</v>
      </c>
      <c r="R139" s="7">
        <v>0</v>
      </c>
      <c r="S139" s="7">
        <v>0.3</v>
      </c>
      <c r="T139" s="7">
        <v>-0.44</v>
      </c>
      <c r="U139" s="7">
        <v>-0.22</v>
      </c>
      <c r="V139" s="7">
        <v>1.31</v>
      </c>
      <c r="W139" s="7" t="s">
        <v>6</v>
      </c>
      <c r="X139" s="7" t="s">
        <v>12</v>
      </c>
      <c r="Y139" s="2" t="s">
        <v>719</v>
      </c>
      <c r="Z139" s="2" t="s">
        <v>721</v>
      </c>
    </row>
    <row r="140" spans="1:26" x14ac:dyDescent="0.35">
      <c r="A140" s="7" t="s">
        <v>1500</v>
      </c>
      <c r="B140" s="7" t="s">
        <v>147</v>
      </c>
      <c r="C140" s="4" t="str">
        <f>_xlfn.XLOOKUP(A140,[2]Sheet2!$I$2:$I$1273,[2]Sheet2!$D$2:$D$1273,0)</f>
        <v>Q2</v>
      </c>
      <c r="D140" s="4">
        <f>_xlfn.XLOOKUP(B140,[4]Sheet2!$B$2:$B$3154,[4]Sheet2!$F$2:$F$3154,0)</f>
        <v>0</v>
      </c>
      <c r="E140" s="4" t="e">
        <f>_xlfn.XLOOKUP(B140,[2]Sheet2!$E$2:$E$713,[2]Sheet2!$G$2:$G$713)</f>
        <v>#N/A</v>
      </c>
      <c r="F140" s="18">
        <v>46037</v>
      </c>
      <c r="G140" s="14">
        <v>0.68874999999999997</v>
      </c>
      <c r="H140" s="7" t="s">
        <v>5</v>
      </c>
      <c r="I140" s="2" t="str">
        <f t="shared" si="13"/>
        <v>Q4</v>
      </c>
      <c r="J140" s="2" t="str">
        <f t="shared" si="14"/>
        <v>Not Match</v>
      </c>
      <c r="K140" s="2">
        <f t="shared" si="10"/>
        <v>0.28284271247461906</v>
      </c>
      <c r="L140" s="2" t="e">
        <f t="shared" si="11"/>
        <v>#N/A</v>
      </c>
      <c r="M140" s="2" t="str">
        <f t="shared" si="12"/>
        <v>Below 0.8 not in assigned quadrant</v>
      </c>
      <c r="N140" s="7">
        <v>16.8</v>
      </c>
      <c r="O140" s="7">
        <v>-0.4</v>
      </c>
      <c r="P140" s="7">
        <v>-1.6</v>
      </c>
      <c r="Q140" s="7">
        <v>0.22</v>
      </c>
      <c r="R140" s="7">
        <v>0.2</v>
      </c>
      <c r="S140" s="7">
        <v>-0.2</v>
      </c>
      <c r="T140" s="7">
        <v>0.14000000000000001</v>
      </c>
      <c r="U140" s="7">
        <v>0.37</v>
      </c>
      <c r="V140" s="7">
        <v>0.45</v>
      </c>
      <c r="W140" s="7" t="s">
        <v>8</v>
      </c>
      <c r="X140" s="7" t="s">
        <v>9</v>
      </c>
      <c r="Y140" s="2" t="s">
        <v>719</v>
      </c>
      <c r="Z140" s="2" t="s">
        <v>721</v>
      </c>
    </row>
    <row r="141" spans="1:26" x14ac:dyDescent="0.35">
      <c r="A141" s="7" t="s">
        <v>1574</v>
      </c>
      <c r="B141" s="7" t="s">
        <v>148</v>
      </c>
      <c r="C141" s="4" t="str">
        <f>_xlfn.XLOOKUP(A141,[2]Sheet2!$I$2:$I$1273,[2]Sheet2!$D$2:$D$1273,0)</f>
        <v>Q2</v>
      </c>
      <c r="D141" s="4">
        <f>_xlfn.XLOOKUP(B141,[4]Sheet2!$B$2:$B$3154,[4]Sheet2!$F$2:$F$3154,0)</f>
        <v>0</v>
      </c>
      <c r="E141" s="4" t="e">
        <f>_xlfn.XLOOKUP(B141,[2]Sheet2!$E$2:$E$713,[2]Sheet2!$G$2:$G$713)</f>
        <v>#N/A</v>
      </c>
      <c r="F141" s="18">
        <v>46037</v>
      </c>
      <c r="G141" s="14">
        <v>0.6909953703703704</v>
      </c>
      <c r="H141" s="7" t="s">
        <v>11</v>
      </c>
      <c r="I141" s="2" t="str">
        <f t="shared" si="13"/>
        <v>Q3</v>
      </c>
      <c r="J141" s="2" t="str">
        <f t="shared" si="14"/>
        <v>Not Match</v>
      </c>
      <c r="K141" s="2">
        <f t="shared" si="10"/>
        <v>0.22360679774997899</v>
      </c>
      <c r="L141" s="2" t="e">
        <f t="shared" si="11"/>
        <v>#N/A</v>
      </c>
      <c r="M141" s="2" t="str">
        <f t="shared" si="12"/>
        <v>Below 0.8 not in assigned quadrant</v>
      </c>
      <c r="N141" s="7">
        <v>19.100000000000001</v>
      </c>
      <c r="O141" s="7">
        <v>-0.3</v>
      </c>
      <c r="P141" s="7">
        <v>-12.5</v>
      </c>
      <c r="Q141" s="7">
        <v>0.71</v>
      </c>
      <c r="R141" s="7">
        <v>-0.1</v>
      </c>
      <c r="S141" s="7">
        <v>-0.2</v>
      </c>
      <c r="T141" s="7">
        <v>0.17</v>
      </c>
      <c r="U141" s="7">
        <v>-0.16</v>
      </c>
      <c r="V141" s="7">
        <v>0.75</v>
      </c>
      <c r="W141" s="7" t="s">
        <v>13</v>
      </c>
      <c r="X141" s="7" t="s">
        <v>15</v>
      </c>
      <c r="Y141" s="2" t="s">
        <v>719</v>
      </c>
      <c r="Z141" s="2" t="s">
        <v>721</v>
      </c>
    </row>
    <row r="142" spans="1:26" x14ac:dyDescent="0.35">
      <c r="A142" s="7" t="s">
        <v>1578</v>
      </c>
      <c r="B142" s="7" t="s">
        <v>149</v>
      </c>
      <c r="C142" s="4">
        <f>_xlfn.XLOOKUP(A142,[2]Sheet2!$I$2:$I$1273,[2]Sheet2!$D$2:$D$1273,0)</f>
        <v>0</v>
      </c>
      <c r="D142" s="4">
        <f>_xlfn.XLOOKUP(B142,[4]Sheet2!$B$2:$B$3154,[4]Sheet2!$F$2:$F$3154,0)</f>
        <v>0</v>
      </c>
      <c r="E142" s="4" t="e">
        <f>_xlfn.XLOOKUP(B142,[2]Sheet2!$E$2:$E$713,[2]Sheet2!$G$2:$G$713)</f>
        <v>#N/A</v>
      </c>
      <c r="F142" s="18">
        <v>46037</v>
      </c>
      <c r="G142" s="14">
        <v>0.70854166666666663</v>
      </c>
      <c r="H142" s="7" t="s">
        <v>5</v>
      </c>
      <c r="I142" s="2" t="str">
        <f t="shared" si="13"/>
        <v>Q4</v>
      </c>
      <c r="J142" s="2" t="str">
        <f t="shared" si="14"/>
        <v>Not Found</v>
      </c>
      <c r="K142" s="2">
        <f t="shared" si="10"/>
        <v>0.5</v>
      </c>
      <c r="L142" s="2" t="e">
        <f t="shared" si="11"/>
        <v>#N/A</v>
      </c>
      <c r="M142" s="2" t="str">
        <f t="shared" si="12"/>
        <v>Assign quadrant hit</v>
      </c>
      <c r="N142" s="7">
        <v>23.6</v>
      </c>
      <c r="O142" s="7">
        <v>2.2000000000000002</v>
      </c>
      <c r="P142" s="7">
        <v>-20.5</v>
      </c>
      <c r="Q142" s="7">
        <v>0.36</v>
      </c>
      <c r="R142" s="7">
        <v>0</v>
      </c>
      <c r="S142" s="7">
        <v>-0.5</v>
      </c>
      <c r="T142" s="7">
        <v>0.34</v>
      </c>
      <c r="U142" s="7">
        <v>-0.15</v>
      </c>
      <c r="V142" s="7">
        <v>0.52</v>
      </c>
      <c r="W142" s="7" t="s">
        <v>8</v>
      </c>
      <c r="X142" s="7" t="s">
        <v>15</v>
      </c>
      <c r="Y142" s="2" t="s">
        <v>719</v>
      </c>
      <c r="Z142" s="2" t="s">
        <v>721</v>
      </c>
    </row>
    <row r="143" spans="1:26" x14ac:dyDescent="0.35">
      <c r="A143" s="7" t="s">
        <v>1500</v>
      </c>
      <c r="B143" s="7" t="s">
        <v>150</v>
      </c>
      <c r="C143" s="4" t="str">
        <f>_xlfn.XLOOKUP(A143,[2]Sheet2!$I$2:$I$1273,[2]Sheet2!$D$2:$D$1273,0)</f>
        <v>Q2</v>
      </c>
      <c r="D143" s="4">
        <f>_xlfn.XLOOKUP(B143,[4]Sheet2!$B$2:$B$3154,[4]Sheet2!$F$2:$F$3154,0)</f>
        <v>0</v>
      </c>
      <c r="E143" s="4" t="e">
        <f>_xlfn.XLOOKUP(B143,[2]Sheet2!$E$2:$E$713,[2]Sheet2!$G$2:$G$713)</f>
        <v>#N/A</v>
      </c>
      <c r="F143" s="18">
        <v>46037</v>
      </c>
      <c r="G143" s="14">
        <v>0.71373842592592596</v>
      </c>
      <c r="H143" s="7" t="s">
        <v>5</v>
      </c>
      <c r="I143" s="2" t="str">
        <f t="shared" si="13"/>
        <v>Q4</v>
      </c>
      <c r="J143" s="2" t="str">
        <f t="shared" si="14"/>
        <v>Not Match</v>
      </c>
      <c r="K143" s="2">
        <f t="shared" si="10"/>
        <v>0.28284271247461906</v>
      </c>
      <c r="L143" s="2" t="e">
        <f t="shared" si="11"/>
        <v>#N/A</v>
      </c>
      <c r="M143" s="2" t="str">
        <f t="shared" si="12"/>
        <v>Below 0.8 not in assigned quadrant</v>
      </c>
      <c r="N143" s="7">
        <v>16.7</v>
      </c>
      <c r="O143" s="7">
        <v>-0.5</v>
      </c>
      <c r="P143" s="7">
        <v>-1.6</v>
      </c>
      <c r="Q143" s="7">
        <v>0.12</v>
      </c>
      <c r="R143" s="7">
        <v>0.2</v>
      </c>
      <c r="S143" s="7">
        <v>-0.2</v>
      </c>
      <c r="T143" s="7">
        <v>0.23</v>
      </c>
      <c r="U143" s="7">
        <v>0.39</v>
      </c>
      <c r="V143" s="7">
        <v>0.47</v>
      </c>
      <c r="W143" s="7" t="s">
        <v>8</v>
      </c>
      <c r="X143" s="7" t="s">
        <v>9</v>
      </c>
      <c r="Y143" s="2" t="s">
        <v>719</v>
      </c>
      <c r="Z143" s="2" t="s">
        <v>721</v>
      </c>
    </row>
    <row r="144" spans="1:26" x14ac:dyDescent="0.35">
      <c r="A144" s="7" t="s">
        <v>1528</v>
      </c>
      <c r="B144" s="7" t="s">
        <v>151</v>
      </c>
      <c r="C144" s="4" t="str">
        <f>_xlfn.XLOOKUP(A144,[2]Sheet2!$I$2:$I$1273,[2]Sheet2!$D$2:$D$1273,0)</f>
        <v>Q1</v>
      </c>
      <c r="D144" s="4">
        <f>_xlfn.XLOOKUP(B144,[4]Sheet2!$B$2:$B$3154,[4]Sheet2!$F$2:$F$3154,0)</f>
        <v>0</v>
      </c>
      <c r="E144" s="4" t="e">
        <f>_xlfn.XLOOKUP(B144,[2]Sheet2!$E$2:$E$713,[2]Sheet2!$G$2:$G$713)</f>
        <v>#N/A</v>
      </c>
      <c r="F144" s="18">
        <v>46037</v>
      </c>
      <c r="G144" s="14">
        <v>0.75556712962962957</v>
      </c>
      <c r="H144" s="7" t="s">
        <v>5</v>
      </c>
      <c r="I144" s="2" t="str">
        <f t="shared" si="13"/>
        <v>Q1</v>
      </c>
      <c r="J144" s="2" t="str">
        <f t="shared" si="14"/>
        <v>Match</v>
      </c>
      <c r="K144" s="2">
        <f t="shared" si="10"/>
        <v>1.1180339887498949</v>
      </c>
      <c r="L144" s="2" t="e">
        <f t="shared" si="11"/>
        <v>#N/A</v>
      </c>
      <c r="M144" s="2" t="str">
        <f t="shared" si="12"/>
        <v>Digital Approve Hit</v>
      </c>
      <c r="N144" s="7">
        <v>43.1</v>
      </c>
      <c r="O144" s="7">
        <v>50.8</v>
      </c>
      <c r="P144" s="7">
        <v>-2.9</v>
      </c>
      <c r="Q144" s="7">
        <v>-0.28999999999999998</v>
      </c>
      <c r="R144" s="7">
        <v>0.2</v>
      </c>
      <c r="S144" s="7">
        <v>1.1000000000000001</v>
      </c>
      <c r="T144" s="7">
        <v>0.06</v>
      </c>
      <c r="U144" s="7">
        <v>0.65</v>
      </c>
      <c r="V144" s="7">
        <v>0.72</v>
      </c>
      <c r="W144" s="7" t="s">
        <v>8</v>
      </c>
      <c r="X144" s="7" t="s">
        <v>9</v>
      </c>
      <c r="Y144" s="2" t="s">
        <v>719</v>
      </c>
      <c r="Z144" s="2" t="s">
        <v>721</v>
      </c>
    </row>
    <row r="145" spans="1:26" x14ac:dyDescent="0.35">
      <c r="A145" s="7" t="s">
        <v>1579</v>
      </c>
      <c r="B145" s="7" t="s">
        <v>152</v>
      </c>
      <c r="C145" s="4" t="str">
        <f>_xlfn.XLOOKUP(A145,[2]Sheet2!$I$2:$I$1273,[2]Sheet2!$D$2:$D$1273,0)</f>
        <v>Q4</v>
      </c>
      <c r="D145" s="4">
        <f>_xlfn.XLOOKUP(B145,[4]Sheet2!$B$2:$B$3154,[4]Sheet2!$F$2:$F$3154,0)</f>
        <v>0</v>
      </c>
      <c r="E145" s="4" t="e">
        <f>_xlfn.XLOOKUP(B145,[2]Sheet2!$E$2:$E$713,[2]Sheet2!$G$2:$G$713)</f>
        <v>#N/A</v>
      </c>
      <c r="F145" s="18">
        <v>46037</v>
      </c>
      <c r="G145" s="14">
        <v>0.76324074074074078</v>
      </c>
      <c r="H145" s="7" t="s">
        <v>16</v>
      </c>
      <c r="I145" s="2" t="str">
        <f t="shared" si="13"/>
        <v>Q2</v>
      </c>
      <c r="J145" s="2" t="str">
        <f t="shared" si="14"/>
        <v>Not Match</v>
      </c>
      <c r="K145" s="2">
        <f t="shared" si="10"/>
        <v>0.28284271247461906</v>
      </c>
      <c r="L145" s="2" t="e">
        <f t="shared" si="11"/>
        <v>#N/A</v>
      </c>
      <c r="M145" s="2" t="str">
        <f t="shared" si="12"/>
        <v>Assign quadrant hit</v>
      </c>
      <c r="N145" s="7">
        <v>16.600000000000001</v>
      </c>
      <c r="O145" s="7">
        <v>-1</v>
      </c>
      <c r="P145" s="7">
        <v>-6</v>
      </c>
      <c r="Q145" s="7">
        <v>0.95</v>
      </c>
      <c r="R145" s="7">
        <v>-0.2</v>
      </c>
      <c r="S145" s="7">
        <v>0.2</v>
      </c>
      <c r="T145" s="7">
        <v>-0.21</v>
      </c>
      <c r="U145" s="7">
        <v>-0.44</v>
      </c>
      <c r="V145" s="7">
        <v>1.07</v>
      </c>
      <c r="W145" s="7" t="s">
        <v>6</v>
      </c>
      <c r="X145" s="7" t="s">
        <v>15</v>
      </c>
      <c r="Y145" s="2" t="s">
        <v>719</v>
      </c>
      <c r="Z145" s="2" t="s">
        <v>721</v>
      </c>
    </row>
    <row r="146" spans="1:26" x14ac:dyDescent="0.35">
      <c r="A146" s="7" t="s">
        <v>1507</v>
      </c>
      <c r="B146" s="7" t="s">
        <v>153</v>
      </c>
      <c r="C146" s="4" t="str">
        <f>_xlfn.XLOOKUP(A146,[2]Sheet2!$I$2:$I$1273,[2]Sheet2!$D$2:$D$1273,0)</f>
        <v>Q3</v>
      </c>
      <c r="D146" s="4">
        <f>_xlfn.XLOOKUP(B146,[4]Sheet2!$B$2:$B$3154,[4]Sheet2!$F$2:$F$3154,0)</f>
        <v>0</v>
      </c>
      <c r="E146" s="4" t="e">
        <f>_xlfn.XLOOKUP(B146,[2]Sheet2!$E$2:$E$713,[2]Sheet2!$G$2:$G$713)</f>
        <v>#N/A</v>
      </c>
      <c r="F146" s="18">
        <v>46037</v>
      </c>
      <c r="G146" s="14">
        <v>0.92646990740740742</v>
      </c>
      <c r="H146" s="7" t="s">
        <v>11</v>
      </c>
      <c r="I146" s="2" t="str">
        <f t="shared" si="13"/>
        <v>Q4</v>
      </c>
      <c r="J146" s="2" t="str">
        <f t="shared" si="14"/>
        <v>Not Match</v>
      </c>
      <c r="K146" s="2">
        <f t="shared" si="10"/>
        <v>1.2041594578792296</v>
      </c>
      <c r="L146" s="2" t="e">
        <f t="shared" si="11"/>
        <v>#N/A</v>
      </c>
      <c r="M146" s="2" t="str">
        <f t="shared" si="12"/>
        <v>Assign quadrant hit</v>
      </c>
      <c r="N146" s="7">
        <v>14.9</v>
      </c>
      <c r="O146" s="7">
        <v>-0.9</v>
      </c>
      <c r="P146" s="7">
        <v>-2</v>
      </c>
      <c r="Q146" s="7">
        <v>-0.84</v>
      </c>
      <c r="R146" s="7">
        <v>0.1</v>
      </c>
      <c r="S146" s="7">
        <v>-1.2</v>
      </c>
      <c r="T146" s="7">
        <v>1.26</v>
      </c>
      <c r="U146" s="7">
        <v>1.2</v>
      </c>
      <c r="V146" s="7">
        <v>1.93</v>
      </c>
      <c r="W146" s="7" t="s">
        <v>6</v>
      </c>
      <c r="X146" s="7" t="s">
        <v>7</v>
      </c>
      <c r="Y146" s="2" t="s">
        <v>719</v>
      </c>
      <c r="Z146" s="2" t="s">
        <v>721</v>
      </c>
    </row>
    <row r="147" spans="1:26" x14ac:dyDescent="0.35">
      <c r="A147" s="7" t="s">
        <v>1500</v>
      </c>
      <c r="B147" s="7" t="s">
        <v>154</v>
      </c>
      <c r="C147" s="4" t="str">
        <f>_xlfn.XLOOKUP(A147,[2]Sheet2!$I$2:$I$1273,[2]Sheet2!$D$2:$D$1273,0)</f>
        <v>Q2</v>
      </c>
      <c r="D147" s="4">
        <f>_xlfn.XLOOKUP(B147,[4]Sheet2!$B$2:$B$3154,[4]Sheet2!$F$2:$F$3154,0)</f>
        <v>0</v>
      </c>
      <c r="E147" s="4" t="e">
        <f>_xlfn.XLOOKUP(B147,[2]Sheet2!$E$2:$E$713,[2]Sheet2!$G$2:$G$713)</f>
        <v>#N/A</v>
      </c>
      <c r="F147" s="18">
        <v>46038</v>
      </c>
      <c r="G147" s="14">
        <v>4.8495370370370368E-3</v>
      </c>
      <c r="H147" s="7" t="s">
        <v>5</v>
      </c>
      <c r="I147" s="2" t="str">
        <f t="shared" si="13"/>
        <v>Q4</v>
      </c>
      <c r="J147" s="2" t="str">
        <f t="shared" si="14"/>
        <v>Not Match</v>
      </c>
      <c r="K147" s="2">
        <f t="shared" si="10"/>
        <v>0.14142135623730953</v>
      </c>
      <c r="L147" s="2" t="e">
        <f t="shared" si="11"/>
        <v>#N/A</v>
      </c>
      <c r="M147" s="2" t="str">
        <f t="shared" si="12"/>
        <v>Below 0.8 not in assigned quadrant</v>
      </c>
      <c r="N147" s="7">
        <v>17.100000000000001</v>
      </c>
      <c r="O147" s="7">
        <v>-0.5</v>
      </c>
      <c r="P147" s="7">
        <v>-1.5</v>
      </c>
      <c r="Q147" s="7">
        <v>0.45</v>
      </c>
      <c r="R147" s="7">
        <v>0.1</v>
      </c>
      <c r="S147" s="7">
        <v>-0.1</v>
      </c>
      <c r="T147" s="7">
        <v>0.09</v>
      </c>
      <c r="U147" s="7">
        <v>0.26</v>
      </c>
      <c r="V147" s="7">
        <v>0.53</v>
      </c>
      <c r="W147" s="7" t="s">
        <v>8</v>
      </c>
      <c r="X147" s="7" t="s">
        <v>9</v>
      </c>
      <c r="Y147" s="2" t="s">
        <v>719</v>
      </c>
      <c r="Z147" s="2" t="s">
        <v>721</v>
      </c>
    </row>
    <row r="148" spans="1:26" x14ac:dyDescent="0.35">
      <c r="A148" s="7" t="s">
        <v>1500</v>
      </c>
      <c r="B148" s="7" t="s">
        <v>155</v>
      </c>
      <c r="C148" s="4" t="str">
        <f>_xlfn.XLOOKUP(A148,[2]Sheet2!$I$2:$I$1273,[2]Sheet2!$D$2:$D$1273,0)</f>
        <v>Q2</v>
      </c>
      <c r="D148" s="4">
        <f>_xlfn.XLOOKUP(B148,[4]Sheet2!$B$2:$B$3154,[4]Sheet2!$F$2:$F$3154,0)</f>
        <v>0</v>
      </c>
      <c r="E148" s="4" t="e">
        <f>_xlfn.XLOOKUP(B148,[2]Sheet2!$E$2:$E$713,[2]Sheet2!$G$2:$G$713)</f>
        <v>#N/A</v>
      </c>
      <c r="F148" s="18">
        <v>46038</v>
      </c>
      <c r="G148" s="14">
        <v>6.6666666666666671E-3</v>
      </c>
      <c r="H148" s="7" t="s">
        <v>5</v>
      </c>
      <c r="I148" s="2" t="str">
        <f t="shared" si="13"/>
        <v>Q4</v>
      </c>
      <c r="J148" s="2" t="str">
        <f t="shared" si="14"/>
        <v>Not Match</v>
      </c>
      <c r="K148" s="2">
        <f t="shared" si="10"/>
        <v>0.22360679774997899</v>
      </c>
      <c r="L148" s="2" t="e">
        <f t="shared" si="11"/>
        <v>#N/A</v>
      </c>
      <c r="M148" s="2" t="str">
        <f t="shared" si="12"/>
        <v>Below 0.8 not in assigned quadrant</v>
      </c>
      <c r="N148" s="7">
        <v>16.8</v>
      </c>
      <c r="O148" s="7">
        <v>-0.5</v>
      </c>
      <c r="P148" s="7">
        <v>-1.6</v>
      </c>
      <c r="Q148" s="7">
        <v>0.19</v>
      </c>
      <c r="R148" s="7">
        <v>0.1</v>
      </c>
      <c r="S148" s="7">
        <v>-0.2</v>
      </c>
      <c r="T148" s="7">
        <v>0.23</v>
      </c>
      <c r="U148" s="7">
        <v>0.35</v>
      </c>
      <c r="V148" s="7">
        <v>0.46</v>
      </c>
      <c r="W148" s="7" t="s">
        <v>8</v>
      </c>
      <c r="X148" s="7" t="s">
        <v>9</v>
      </c>
      <c r="Y148" s="2" t="s">
        <v>719</v>
      </c>
      <c r="Z148" s="2" t="s">
        <v>721</v>
      </c>
    </row>
    <row r="149" spans="1:26" x14ac:dyDescent="0.35">
      <c r="A149" s="7" t="s">
        <v>1500</v>
      </c>
      <c r="B149" s="7" t="s">
        <v>156</v>
      </c>
      <c r="C149" s="4" t="str">
        <f>_xlfn.XLOOKUP(A149,[2]Sheet2!$I$2:$I$1273,[2]Sheet2!$D$2:$D$1273,0)</f>
        <v>Q2</v>
      </c>
      <c r="D149" s="4">
        <f>_xlfn.XLOOKUP(B149,[4]Sheet2!$B$2:$B$3154,[4]Sheet2!$F$2:$F$3154,0)</f>
        <v>0</v>
      </c>
      <c r="E149" s="4" t="e">
        <f>_xlfn.XLOOKUP(B149,[2]Sheet2!$E$2:$E$713,[2]Sheet2!$G$2:$G$713)</f>
        <v>#N/A</v>
      </c>
      <c r="F149" s="18">
        <v>46038</v>
      </c>
      <c r="G149" s="14">
        <v>2.119212962962963E-2</v>
      </c>
      <c r="H149" s="7" t="s">
        <v>5</v>
      </c>
      <c r="I149" s="2" t="str">
        <f t="shared" si="13"/>
        <v>Q4</v>
      </c>
      <c r="J149" s="2" t="str">
        <f t="shared" si="14"/>
        <v>Not Match</v>
      </c>
      <c r="K149" s="2">
        <f t="shared" si="10"/>
        <v>0.5</v>
      </c>
      <c r="L149" s="2" t="e">
        <f t="shared" si="11"/>
        <v>#N/A</v>
      </c>
      <c r="M149" s="2" t="str">
        <f t="shared" si="12"/>
        <v>Below 0.8 not in assigned quadrant</v>
      </c>
      <c r="N149" s="7">
        <v>16.8</v>
      </c>
      <c r="O149" s="7">
        <v>-0.3</v>
      </c>
      <c r="P149" s="7">
        <v>-1.8</v>
      </c>
      <c r="Q149" s="7">
        <v>0.2</v>
      </c>
      <c r="R149" s="7">
        <v>0.3</v>
      </c>
      <c r="S149" s="7">
        <v>-0.4</v>
      </c>
      <c r="T149" s="7">
        <v>0.4</v>
      </c>
      <c r="U149" s="7">
        <v>0.61</v>
      </c>
      <c r="V149" s="7">
        <v>0.75</v>
      </c>
      <c r="W149" s="7" t="s">
        <v>13</v>
      </c>
      <c r="X149" s="7" t="s">
        <v>9</v>
      </c>
      <c r="Y149" s="2" t="s">
        <v>719</v>
      </c>
      <c r="Z149" s="2" t="s">
        <v>721</v>
      </c>
    </row>
    <row r="150" spans="1:26" x14ac:dyDescent="0.35">
      <c r="A150" s="7" t="s">
        <v>1580</v>
      </c>
      <c r="B150" s="7" t="s">
        <v>157</v>
      </c>
      <c r="C150" s="4">
        <f>_xlfn.XLOOKUP(A150,[2]Sheet2!$I$2:$I$1273,[2]Sheet2!$D$2:$D$1273,0)</f>
        <v>0</v>
      </c>
      <c r="D150" s="4">
        <f>_xlfn.XLOOKUP(B150,[4]Sheet2!$B$2:$B$3154,[4]Sheet2!$F$2:$F$3154,0)</f>
        <v>0</v>
      </c>
      <c r="E150" s="4" t="e">
        <f>_xlfn.XLOOKUP(B150,[2]Sheet2!$E$2:$E$713,[2]Sheet2!$G$2:$G$713)</f>
        <v>#N/A</v>
      </c>
      <c r="F150" s="18">
        <v>46038</v>
      </c>
      <c r="G150" s="14">
        <v>7.317129629629629E-2</v>
      </c>
      <c r="H150" s="7" t="s">
        <v>5</v>
      </c>
      <c r="I150" s="2" t="str">
        <f t="shared" si="13"/>
        <v>Q1</v>
      </c>
      <c r="J150" s="2" t="str">
        <f t="shared" si="14"/>
        <v>Not Found</v>
      </c>
      <c r="K150" s="2">
        <f t="shared" si="10"/>
        <v>0.1</v>
      </c>
      <c r="L150" s="2" t="e">
        <f t="shared" si="11"/>
        <v>#N/A</v>
      </c>
      <c r="M150" s="2" t="str">
        <f t="shared" si="12"/>
        <v>Assign quadrant hit</v>
      </c>
      <c r="N150" s="7">
        <v>28.2</v>
      </c>
      <c r="O150" s="7">
        <v>7.8</v>
      </c>
      <c r="P150" s="7">
        <v>6.3</v>
      </c>
      <c r="Q150" s="7">
        <v>0.16</v>
      </c>
      <c r="R150" s="7">
        <v>0</v>
      </c>
      <c r="S150" s="7">
        <v>0.1</v>
      </c>
      <c r="T150" s="7">
        <v>0.05</v>
      </c>
      <c r="U150" s="7">
        <v>0.15</v>
      </c>
      <c r="V150" s="7">
        <v>0.23</v>
      </c>
      <c r="W150" s="7" t="s">
        <v>8</v>
      </c>
      <c r="X150" s="7" t="s">
        <v>12</v>
      </c>
      <c r="Y150" s="2" t="s">
        <v>719</v>
      </c>
      <c r="Z150" s="2" t="s">
        <v>721</v>
      </c>
    </row>
    <row r="151" spans="1:26" x14ac:dyDescent="0.35">
      <c r="A151" s="7" t="s">
        <v>1581</v>
      </c>
      <c r="B151" s="7" t="s">
        <v>158</v>
      </c>
      <c r="C151" s="4">
        <f>_xlfn.XLOOKUP(A151,[2]Sheet2!$I$2:$I$1273,[2]Sheet2!$D$2:$D$1273,0)</f>
        <v>0</v>
      </c>
      <c r="D151" s="4">
        <f>_xlfn.XLOOKUP(B151,[4]Sheet2!$B$2:$B$3154,[4]Sheet2!$F$2:$F$3154,0)</f>
        <v>0</v>
      </c>
      <c r="E151" s="4" t="e">
        <f>_xlfn.XLOOKUP(B151,[2]Sheet2!$E$2:$E$713,[2]Sheet2!$G$2:$G$713)</f>
        <v>#N/A</v>
      </c>
      <c r="F151" s="18">
        <v>46038</v>
      </c>
      <c r="G151" s="14">
        <v>0.11586805555555556</v>
      </c>
      <c r="H151" s="7" t="s">
        <v>14</v>
      </c>
      <c r="I151" s="2" t="str">
        <f t="shared" si="13"/>
        <v>Q3</v>
      </c>
      <c r="J151" s="2" t="str">
        <f t="shared" si="14"/>
        <v>Not Found</v>
      </c>
      <c r="K151" s="2">
        <f t="shared" si="10"/>
        <v>0.50990195135927852</v>
      </c>
      <c r="L151" s="2" t="e">
        <f t="shared" si="11"/>
        <v>#N/A</v>
      </c>
      <c r="M151" s="2" t="str">
        <f t="shared" si="12"/>
        <v>Assign quadrant hit</v>
      </c>
      <c r="N151" s="7">
        <v>17</v>
      </c>
      <c r="O151" s="7">
        <v>-0.6</v>
      </c>
      <c r="P151" s="7">
        <v>-14.6</v>
      </c>
      <c r="Q151" s="7">
        <v>-0.32</v>
      </c>
      <c r="R151" s="7">
        <v>-0.1</v>
      </c>
      <c r="S151" s="7">
        <v>-0.5</v>
      </c>
      <c r="T151" s="7">
        <v>0.42</v>
      </c>
      <c r="U151" s="7">
        <v>-0.19</v>
      </c>
      <c r="V151" s="7">
        <v>0.56000000000000005</v>
      </c>
      <c r="W151" s="7" t="s">
        <v>8</v>
      </c>
      <c r="X151" s="7" t="s">
        <v>15</v>
      </c>
      <c r="Y151" s="2" t="s">
        <v>719</v>
      </c>
      <c r="Z151" s="2" t="s">
        <v>721</v>
      </c>
    </row>
    <row r="152" spans="1:26" x14ac:dyDescent="0.35">
      <c r="A152" s="7" t="s">
        <v>1558</v>
      </c>
      <c r="B152" s="7" t="s">
        <v>159</v>
      </c>
      <c r="C152" s="4" t="str">
        <f>_xlfn.XLOOKUP(A152,[2]Sheet2!$I$2:$I$1273,[2]Sheet2!$D$2:$D$1273,0)</f>
        <v>Q3</v>
      </c>
      <c r="D152" s="4">
        <f>_xlfn.XLOOKUP(B152,[4]Sheet2!$B$2:$B$3154,[4]Sheet2!$F$2:$F$3154,0)</f>
        <v>0</v>
      </c>
      <c r="E152" s="4" t="e">
        <f>_xlfn.XLOOKUP(B152,[2]Sheet2!$E$2:$E$713,[2]Sheet2!$G$2:$G$713)</f>
        <v>#N/A</v>
      </c>
      <c r="F152" s="18">
        <v>46038</v>
      </c>
      <c r="G152" s="14">
        <v>0.15469907407407407</v>
      </c>
      <c r="H152" s="7" t="s">
        <v>16</v>
      </c>
      <c r="I152" s="2" t="str">
        <f t="shared" si="13"/>
        <v>Q3</v>
      </c>
      <c r="J152" s="2" t="str">
        <f t="shared" si="14"/>
        <v>Match</v>
      </c>
      <c r="K152" s="2">
        <f t="shared" si="10"/>
        <v>0.22360679774997899</v>
      </c>
      <c r="L152" s="2" t="e">
        <f t="shared" si="11"/>
        <v>#N/A</v>
      </c>
      <c r="M152" s="2" t="str">
        <f t="shared" si="12"/>
        <v>Failed but within quadrant</v>
      </c>
      <c r="N152" s="7">
        <v>14.5</v>
      </c>
      <c r="O152" s="7">
        <v>-0.4</v>
      </c>
      <c r="P152" s="7">
        <v>-2.1</v>
      </c>
      <c r="Q152" s="7">
        <v>-0.93</v>
      </c>
      <c r="R152" s="7">
        <v>-0.1</v>
      </c>
      <c r="S152" s="7">
        <v>-0.2</v>
      </c>
      <c r="T152" s="7">
        <v>0.4</v>
      </c>
      <c r="U152" s="7">
        <v>-0.1</v>
      </c>
      <c r="V152" s="7">
        <v>1.02</v>
      </c>
      <c r="W152" s="7" t="s">
        <v>6</v>
      </c>
      <c r="X152" s="7" t="s">
        <v>15</v>
      </c>
      <c r="Y152" s="2" t="s">
        <v>719</v>
      </c>
      <c r="Z152" s="2" t="s">
        <v>721</v>
      </c>
    </row>
    <row r="153" spans="1:26" x14ac:dyDescent="0.35">
      <c r="A153" s="7" t="s">
        <v>1581</v>
      </c>
      <c r="B153" s="7" t="s">
        <v>160</v>
      </c>
      <c r="C153" s="4">
        <f>_xlfn.XLOOKUP(A153,[2]Sheet2!$I$2:$I$1273,[2]Sheet2!$D$2:$D$1273,0)</f>
        <v>0</v>
      </c>
      <c r="D153" s="4">
        <f>_xlfn.XLOOKUP(B153,[4]Sheet2!$B$2:$B$3154,[4]Sheet2!$F$2:$F$3154,0)</f>
        <v>0</v>
      </c>
      <c r="E153" s="4" t="e">
        <f>_xlfn.XLOOKUP(B153,[2]Sheet2!$E$2:$E$713,[2]Sheet2!$G$2:$G$713)</f>
        <v>#N/A</v>
      </c>
      <c r="F153" s="18">
        <v>46038</v>
      </c>
      <c r="G153" s="14">
        <v>0.28157407407407409</v>
      </c>
      <c r="H153" s="7" t="s">
        <v>14</v>
      </c>
      <c r="I153" s="2" t="str">
        <f t="shared" si="13"/>
        <v>Q3</v>
      </c>
      <c r="J153" s="2" t="str">
        <f t="shared" si="14"/>
        <v>Not Found</v>
      </c>
      <c r="K153" s="2">
        <f t="shared" si="10"/>
        <v>0.31622776601683794</v>
      </c>
      <c r="L153" s="2" t="e">
        <f t="shared" si="11"/>
        <v>#N/A</v>
      </c>
      <c r="M153" s="2" t="str">
        <f t="shared" si="12"/>
        <v>Assign quadrant hit</v>
      </c>
      <c r="N153" s="7">
        <v>16.600000000000001</v>
      </c>
      <c r="O153" s="7">
        <v>-0.6</v>
      </c>
      <c r="P153" s="7">
        <v>-14.4</v>
      </c>
      <c r="Q153" s="7">
        <v>-0.68</v>
      </c>
      <c r="R153" s="7">
        <v>-0.1</v>
      </c>
      <c r="S153" s="7">
        <v>-0.3</v>
      </c>
      <c r="T153" s="7">
        <v>0.25</v>
      </c>
      <c r="U153" s="7">
        <v>-0.18</v>
      </c>
      <c r="V153" s="7">
        <v>0.75</v>
      </c>
      <c r="W153" s="7" t="s">
        <v>8</v>
      </c>
      <c r="X153" s="7" t="s">
        <v>15</v>
      </c>
      <c r="Y153" s="2" t="s">
        <v>719</v>
      </c>
      <c r="Z153" s="2" t="s">
        <v>721</v>
      </c>
    </row>
    <row r="154" spans="1:26" x14ac:dyDescent="0.35">
      <c r="A154" s="7" t="s">
        <v>1500</v>
      </c>
      <c r="B154" s="7" t="s">
        <v>161</v>
      </c>
      <c r="C154" s="4" t="str">
        <f>_xlfn.XLOOKUP(A154,[2]Sheet2!$I$2:$I$1273,[2]Sheet2!$D$2:$D$1273,0)</f>
        <v>Q2</v>
      </c>
      <c r="D154" s="4">
        <f>_xlfn.XLOOKUP(B154,[4]Sheet2!$B$2:$B$3154,[4]Sheet2!$F$2:$F$3154,0)</f>
        <v>0</v>
      </c>
      <c r="E154" s="4" t="e">
        <f>_xlfn.XLOOKUP(B154,[2]Sheet2!$E$2:$E$713,[2]Sheet2!$G$2:$G$713)</f>
        <v>#N/A</v>
      </c>
      <c r="F154" s="18">
        <v>46038</v>
      </c>
      <c r="G154" s="14">
        <v>0.28331018518518519</v>
      </c>
      <c r="H154" s="7" t="s">
        <v>5</v>
      </c>
      <c r="I154" s="2" t="str">
        <f t="shared" si="13"/>
        <v>Q4</v>
      </c>
      <c r="J154" s="2" t="str">
        <f t="shared" si="14"/>
        <v>Not Match</v>
      </c>
      <c r="K154" s="2">
        <f t="shared" si="10"/>
        <v>0.14142135623730953</v>
      </c>
      <c r="L154" s="2" t="e">
        <f t="shared" si="11"/>
        <v>#N/A</v>
      </c>
      <c r="M154" s="2" t="str">
        <f t="shared" si="12"/>
        <v>Below 0.8 not in assigned quadrant</v>
      </c>
      <c r="N154" s="7">
        <v>16.600000000000001</v>
      </c>
      <c r="O154" s="7">
        <v>-0.5</v>
      </c>
      <c r="P154" s="7">
        <v>-1.5</v>
      </c>
      <c r="Q154" s="7">
        <v>0.03</v>
      </c>
      <c r="R154" s="7">
        <v>0.1</v>
      </c>
      <c r="S154" s="7">
        <v>-0.1</v>
      </c>
      <c r="T154" s="7">
        <v>0.12</v>
      </c>
      <c r="U154" s="7">
        <v>0.34</v>
      </c>
      <c r="V154" s="7">
        <v>0.36</v>
      </c>
      <c r="W154" s="7" t="s">
        <v>8</v>
      </c>
      <c r="X154" s="7" t="s">
        <v>9</v>
      </c>
      <c r="Y154" s="2" t="s">
        <v>719</v>
      </c>
      <c r="Z154" s="2" t="s">
        <v>721</v>
      </c>
    </row>
    <row r="155" spans="1:26" x14ac:dyDescent="0.35">
      <c r="A155" s="7" t="s">
        <v>1500</v>
      </c>
      <c r="B155" s="7" t="s">
        <v>162</v>
      </c>
      <c r="C155" s="4" t="str">
        <f>_xlfn.XLOOKUP(A155,[2]Sheet2!$I$2:$I$1273,[2]Sheet2!$D$2:$D$1273,0)</f>
        <v>Q2</v>
      </c>
      <c r="D155" s="4">
        <f>_xlfn.XLOOKUP(B155,[4]Sheet2!$B$2:$B$3154,[4]Sheet2!$F$2:$F$3154,0)</f>
        <v>0</v>
      </c>
      <c r="E155" s="4" t="e">
        <f>_xlfn.XLOOKUP(B155,[2]Sheet2!$E$2:$E$713,[2]Sheet2!$G$2:$G$713)</f>
        <v>#N/A</v>
      </c>
      <c r="F155" s="18">
        <v>46038</v>
      </c>
      <c r="G155" s="14">
        <v>0.28438657407407408</v>
      </c>
      <c r="H155" s="7" t="s">
        <v>5</v>
      </c>
      <c r="I155" s="2" t="str">
        <f t="shared" si="13"/>
        <v>Q4</v>
      </c>
      <c r="J155" s="2" t="str">
        <f t="shared" si="14"/>
        <v>Not Match</v>
      </c>
      <c r="K155" s="2">
        <f t="shared" si="10"/>
        <v>0.22360679774997899</v>
      </c>
      <c r="L155" s="2" t="e">
        <f t="shared" si="11"/>
        <v>#N/A</v>
      </c>
      <c r="M155" s="2" t="str">
        <f t="shared" si="12"/>
        <v>Below 0.8 not in assigned quadrant</v>
      </c>
      <c r="N155" s="7">
        <v>16.7</v>
      </c>
      <c r="O155" s="7">
        <v>-0.5</v>
      </c>
      <c r="P155" s="7">
        <v>-1.6</v>
      </c>
      <c r="Q155" s="7">
        <v>0.05</v>
      </c>
      <c r="R155" s="7">
        <v>0.1</v>
      </c>
      <c r="S155" s="7">
        <v>-0.2</v>
      </c>
      <c r="T155" s="7">
        <v>0.24</v>
      </c>
      <c r="U155" s="7">
        <v>0.26</v>
      </c>
      <c r="V155" s="7">
        <v>0.35</v>
      </c>
      <c r="W155" s="7" t="s">
        <v>8</v>
      </c>
      <c r="X155" s="7" t="s">
        <v>9</v>
      </c>
      <c r="Y155" s="2" t="s">
        <v>719</v>
      </c>
      <c r="Z155" s="2" t="s">
        <v>721</v>
      </c>
    </row>
    <row r="156" spans="1:26" x14ac:dyDescent="0.35">
      <c r="A156" s="7" t="s">
        <v>1569</v>
      </c>
      <c r="B156" s="7" t="s">
        <v>163</v>
      </c>
      <c r="C156" s="4">
        <f>_xlfn.XLOOKUP(A156,[2]Sheet2!$I$2:$I$1273,[2]Sheet2!$D$2:$D$1273,0)</f>
        <v>0</v>
      </c>
      <c r="D156" s="4">
        <f>_xlfn.XLOOKUP(B156,[4]Sheet2!$B$2:$B$3154,[4]Sheet2!$F$2:$F$3154,0)</f>
        <v>0</v>
      </c>
      <c r="E156" s="4" t="e">
        <f>_xlfn.XLOOKUP(B156,[2]Sheet2!$E$2:$E$713,[2]Sheet2!$G$2:$G$713)</f>
        <v>#N/A</v>
      </c>
      <c r="F156" s="18">
        <v>46038</v>
      </c>
      <c r="G156" s="14">
        <v>0.28569444444444442</v>
      </c>
      <c r="H156" s="7" t="s">
        <v>5</v>
      </c>
      <c r="I156" s="2" t="str">
        <f t="shared" si="13"/>
        <v>Q2</v>
      </c>
      <c r="J156" s="2" t="str">
        <f t="shared" si="14"/>
        <v>Not Found</v>
      </c>
      <c r="K156" s="2">
        <f t="shared" si="10"/>
        <v>0.22360679774997899</v>
      </c>
      <c r="L156" s="2" t="e">
        <f t="shared" si="11"/>
        <v>#N/A</v>
      </c>
      <c r="M156" s="2" t="str">
        <f t="shared" si="12"/>
        <v>Assign quadrant hit</v>
      </c>
      <c r="N156" s="7">
        <v>17.100000000000001</v>
      </c>
      <c r="O156" s="7">
        <v>-1.8</v>
      </c>
      <c r="P156" s="7">
        <v>-7.9</v>
      </c>
      <c r="Q156" s="7">
        <v>0.31</v>
      </c>
      <c r="R156" s="7">
        <v>-0.2</v>
      </c>
      <c r="S156" s="7">
        <v>0.1</v>
      </c>
      <c r="T156" s="7">
        <v>-7.0000000000000007E-2</v>
      </c>
      <c r="U156" s="7">
        <v>-0.38</v>
      </c>
      <c r="V156" s="7">
        <v>0.49</v>
      </c>
      <c r="W156" s="7" t="s">
        <v>8</v>
      </c>
      <c r="X156" s="7" t="s">
        <v>15</v>
      </c>
      <c r="Y156" s="2" t="s">
        <v>719</v>
      </c>
      <c r="Z156" s="2" t="s">
        <v>721</v>
      </c>
    </row>
    <row r="157" spans="1:26" x14ac:dyDescent="0.35">
      <c r="A157" s="7" t="s">
        <v>1582</v>
      </c>
      <c r="B157" s="7" t="s">
        <v>164</v>
      </c>
      <c r="C157" s="4">
        <f>_xlfn.XLOOKUP(A157,[2]Sheet2!$I$2:$I$1273,[2]Sheet2!$D$2:$D$1273,0)</f>
        <v>0</v>
      </c>
      <c r="D157" s="4">
        <f>_xlfn.XLOOKUP(B157,[4]Sheet2!$B$2:$B$3154,[4]Sheet2!$F$2:$F$3154,0)</f>
        <v>0</v>
      </c>
      <c r="E157" s="4" t="e">
        <f>_xlfn.XLOOKUP(B157,[2]Sheet2!$E$2:$E$713,[2]Sheet2!$G$2:$G$713)</f>
        <v>#N/A</v>
      </c>
      <c r="F157" s="18">
        <v>46038</v>
      </c>
      <c r="G157" s="14">
        <v>0.28729166666666667</v>
      </c>
      <c r="H157" s="7" t="s">
        <v>5</v>
      </c>
      <c r="I157" s="2" t="str">
        <f t="shared" si="13"/>
        <v>Q1</v>
      </c>
      <c r="J157" s="2" t="str">
        <f t="shared" si="14"/>
        <v>Not Found</v>
      </c>
      <c r="K157" s="2">
        <f t="shared" si="10"/>
        <v>0.6403124237432849</v>
      </c>
      <c r="L157" s="2" t="e">
        <f t="shared" si="11"/>
        <v>#N/A</v>
      </c>
      <c r="M157" s="2" t="str">
        <f t="shared" si="12"/>
        <v>Assign quadrant hit</v>
      </c>
      <c r="N157" s="7">
        <v>28.4</v>
      </c>
      <c r="O157" s="7">
        <v>28.5</v>
      </c>
      <c r="P157" s="7">
        <v>-1.2</v>
      </c>
      <c r="Q157" s="7">
        <v>0.06</v>
      </c>
      <c r="R157" s="7">
        <v>0.4</v>
      </c>
      <c r="S157" s="7">
        <v>0.5</v>
      </c>
      <c r="T157" s="7">
        <v>0.21</v>
      </c>
      <c r="U157" s="7">
        <v>0.44</v>
      </c>
      <c r="V157" s="7">
        <v>0.49</v>
      </c>
      <c r="W157" s="7" t="s">
        <v>8</v>
      </c>
      <c r="X157" s="7" t="s">
        <v>9</v>
      </c>
      <c r="Y157" s="2" t="s">
        <v>719</v>
      </c>
      <c r="Z157" s="2" t="s">
        <v>721</v>
      </c>
    </row>
    <row r="158" spans="1:26" x14ac:dyDescent="0.35">
      <c r="A158" s="7" t="s">
        <v>1583</v>
      </c>
      <c r="B158" s="7" t="s">
        <v>165</v>
      </c>
      <c r="C158" s="4">
        <f>_xlfn.XLOOKUP(A158,[2]Sheet2!$I$2:$I$1273,[2]Sheet2!$D$2:$D$1273,0)</f>
        <v>0</v>
      </c>
      <c r="D158" s="4">
        <f>_xlfn.XLOOKUP(B158,[4]Sheet2!$B$2:$B$3154,[4]Sheet2!$F$2:$F$3154,0)</f>
        <v>0</v>
      </c>
      <c r="E158" s="4" t="e">
        <f>_xlfn.XLOOKUP(B158,[2]Sheet2!$E$2:$E$713,[2]Sheet2!$G$2:$G$713)</f>
        <v>#N/A</v>
      </c>
      <c r="F158" s="18">
        <v>46038</v>
      </c>
      <c r="G158" s="14">
        <v>0.28875000000000001</v>
      </c>
      <c r="H158" s="7" t="s">
        <v>14</v>
      </c>
      <c r="I158" s="2" t="str">
        <f t="shared" si="13"/>
        <v>Q4</v>
      </c>
      <c r="J158" s="2" t="str">
        <f t="shared" si="14"/>
        <v>Not Found</v>
      </c>
      <c r="K158" s="2">
        <f t="shared" si="10"/>
        <v>0.5</v>
      </c>
      <c r="L158" s="2" t="e">
        <f t="shared" si="11"/>
        <v>#N/A</v>
      </c>
      <c r="M158" s="2" t="str">
        <f t="shared" si="12"/>
        <v>Assign quadrant hit</v>
      </c>
      <c r="N158" s="7">
        <v>39.9</v>
      </c>
      <c r="O158" s="7">
        <v>24.5</v>
      </c>
      <c r="P158" s="7">
        <v>7.4</v>
      </c>
      <c r="Q158" s="7">
        <v>-0.28000000000000003</v>
      </c>
      <c r="R158" s="7">
        <v>0.5</v>
      </c>
      <c r="S158" s="7">
        <v>0</v>
      </c>
      <c r="T158" s="7">
        <v>0.28999999999999998</v>
      </c>
      <c r="U158" s="7">
        <v>-0.1</v>
      </c>
      <c r="V158" s="7">
        <v>0.42</v>
      </c>
      <c r="W158" s="7" t="s">
        <v>8</v>
      </c>
      <c r="X158" s="7" t="s">
        <v>7</v>
      </c>
      <c r="Y158" s="2" t="s">
        <v>719</v>
      </c>
      <c r="Z158" s="2" t="s">
        <v>721</v>
      </c>
    </row>
    <row r="159" spans="1:26" x14ac:dyDescent="0.35">
      <c r="A159" s="7" t="s">
        <v>1584</v>
      </c>
      <c r="B159" s="7" t="s">
        <v>166</v>
      </c>
      <c r="C159" s="4">
        <f>_xlfn.XLOOKUP(A159,[2]Sheet2!$I$2:$I$1273,[2]Sheet2!$D$2:$D$1273,0)</f>
        <v>0</v>
      </c>
      <c r="D159" s="4">
        <f>_xlfn.XLOOKUP(B159,[4]Sheet2!$B$2:$B$3154,[4]Sheet2!$F$2:$F$3154,0)</f>
        <v>0</v>
      </c>
      <c r="E159" s="4" t="e">
        <f>_xlfn.XLOOKUP(B159,[2]Sheet2!$E$2:$E$713,[2]Sheet2!$G$2:$G$713)</f>
        <v>#N/A</v>
      </c>
      <c r="F159" s="18">
        <v>46038</v>
      </c>
      <c r="G159" s="14">
        <v>0.2900462962962963</v>
      </c>
      <c r="H159" s="7" t="s">
        <v>5</v>
      </c>
      <c r="I159" s="2" t="str">
        <f t="shared" si="13"/>
        <v>Q1</v>
      </c>
      <c r="J159" s="2" t="str">
        <f t="shared" si="14"/>
        <v>Not Found</v>
      </c>
      <c r="K159" s="2">
        <f t="shared" si="10"/>
        <v>1</v>
      </c>
      <c r="L159" s="2" t="e">
        <f t="shared" si="11"/>
        <v>#N/A</v>
      </c>
      <c r="M159" s="2" t="str">
        <f t="shared" si="12"/>
        <v>Assign quadrant hit</v>
      </c>
      <c r="N159" s="7">
        <v>36.1</v>
      </c>
      <c r="O159" s="7">
        <v>9.9</v>
      </c>
      <c r="P159" s="7">
        <v>10.9</v>
      </c>
      <c r="Q159" s="7">
        <v>0</v>
      </c>
      <c r="R159" s="7">
        <v>0</v>
      </c>
      <c r="S159" s="7">
        <v>1</v>
      </c>
      <c r="T159" s="7">
        <v>0.57999999999999996</v>
      </c>
      <c r="U159" s="7">
        <v>1.0900000000000001</v>
      </c>
      <c r="V159" s="7">
        <v>1.24</v>
      </c>
      <c r="W159" s="7" t="s">
        <v>6</v>
      </c>
      <c r="X159" s="7" t="s">
        <v>12</v>
      </c>
      <c r="Y159" s="2" t="s">
        <v>719</v>
      </c>
      <c r="Z159" s="2" t="s">
        <v>721</v>
      </c>
    </row>
    <row r="160" spans="1:26" x14ac:dyDescent="0.35">
      <c r="A160" s="7" t="s">
        <v>1509</v>
      </c>
      <c r="B160" s="7" t="s">
        <v>167</v>
      </c>
      <c r="C160" s="4" t="str">
        <f>_xlfn.XLOOKUP(A160,[2]Sheet2!$I$2:$I$1273,[2]Sheet2!$D$2:$D$1273,0)</f>
        <v>Q2</v>
      </c>
      <c r="D160" s="4">
        <f>_xlfn.XLOOKUP(B160,[4]Sheet2!$B$2:$B$3154,[4]Sheet2!$F$2:$F$3154,0)</f>
        <v>0</v>
      </c>
      <c r="E160" s="4" t="e">
        <f>_xlfn.XLOOKUP(B160,[2]Sheet2!$E$2:$E$713,[2]Sheet2!$G$2:$G$713)</f>
        <v>#N/A</v>
      </c>
      <c r="F160" s="18">
        <v>46038</v>
      </c>
      <c r="G160" s="14">
        <v>0.29582175925925924</v>
      </c>
      <c r="H160" s="7" t="s">
        <v>4</v>
      </c>
      <c r="I160" s="2" t="str">
        <f t="shared" si="13"/>
        <v>Q2</v>
      </c>
      <c r="J160" s="2" t="str">
        <f t="shared" si="14"/>
        <v>Match</v>
      </c>
      <c r="K160" s="2">
        <f t="shared" si="10"/>
        <v>0</v>
      </c>
      <c r="L160" s="2" t="e">
        <f t="shared" si="11"/>
        <v>#N/A</v>
      </c>
      <c r="M160" s="2" t="str">
        <f t="shared" si="12"/>
        <v>Digital Approve Hit</v>
      </c>
      <c r="N160" s="7">
        <v>16.8</v>
      </c>
      <c r="O160" s="7">
        <v>-1.1000000000000001</v>
      </c>
      <c r="P160" s="7">
        <v>-1.9</v>
      </c>
      <c r="Q160" s="7">
        <v>-0.52</v>
      </c>
      <c r="R160" s="7">
        <v>0</v>
      </c>
      <c r="S160" s="7">
        <v>0</v>
      </c>
      <c r="T160" s="7">
        <v>0</v>
      </c>
      <c r="U160" s="7">
        <v>7.0000000000000007E-2</v>
      </c>
      <c r="V160" s="7">
        <v>0.53</v>
      </c>
      <c r="W160" s="7" t="s">
        <v>8</v>
      </c>
      <c r="X160" s="7" t="s">
        <v>9</v>
      </c>
      <c r="Y160" s="2" t="s">
        <v>719</v>
      </c>
      <c r="Z160" s="2" t="s">
        <v>721</v>
      </c>
    </row>
    <row r="161" spans="1:26" x14ac:dyDescent="0.35">
      <c r="A161" s="7" t="s">
        <v>1585</v>
      </c>
      <c r="B161" s="7" t="s">
        <v>168</v>
      </c>
      <c r="C161" s="4" t="str">
        <f>_xlfn.XLOOKUP(A161,[2]Sheet2!$I$2:$I$1273,[2]Sheet2!$D$2:$D$1273,0)</f>
        <v>Q2</v>
      </c>
      <c r="D161" s="4">
        <f>_xlfn.XLOOKUP(B161,[4]Sheet2!$B$2:$B$3154,[4]Sheet2!$F$2:$F$3154,0)</f>
        <v>0</v>
      </c>
      <c r="E161" s="4" t="e">
        <f>_xlfn.XLOOKUP(B161,[2]Sheet2!$E$2:$E$713,[2]Sheet2!$G$2:$G$713)</f>
        <v>#N/A</v>
      </c>
      <c r="F161" s="18">
        <v>46038</v>
      </c>
      <c r="G161" s="14">
        <v>0.29947916666666669</v>
      </c>
      <c r="H161" s="7" t="s">
        <v>4</v>
      </c>
      <c r="I161" s="2" t="str">
        <f t="shared" si="13"/>
        <v>Q1</v>
      </c>
      <c r="J161" s="2" t="str">
        <f t="shared" si="14"/>
        <v>Not Match</v>
      </c>
      <c r="K161" s="2">
        <f t="shared" si="10"/>
        <v>0.44721359549995798</v>
      </c>
      <c r="L161" s="2" t="e">
        <f t="shared" si="11"/>
        <v>#N/A</v>
      </c>
      <c r="M161" s="2" t="str">
        <f t="shared" si="12"/>
        <v>Assign quadrant hit</v>
      </c>
      <c r="N161" s="7">
        <v>14.9</v>
      </c>
      <c r="O161" s="7">
        <v>-0.2</v>
      </c>
      <c r="P161" s="7">
        <v>-1.3</v>
      </c>
      <c r="Q161" s="7">
        <v>-1.1299999999999999</v>
      </c>
      <c r="R161" s="7">
        <v>0.4</v>
      </c>
      <c r="S161" s="7">
        <v>0.2</v>
      </c>
      <c r="T161" s="7">
        <v>-0.54</v>
      </c>
      <c r="U161" s="7">
        <v>0.47</v>
      </c>
      <c r="V161" s="7">
        <v>1.33</v>
      </c>
      <c r="W161" s="7" t="s">
        <v>6</v>
      </c>
      <c r="X161" s="7" t="s">
        <v>9</v>
      </c>
      <c r="Y161" s="2" t="s">
        <v>719</v>
      </c>
      <c r="Z161" s="2" t="s">
        <v>721</v>
      </c>
    </row>
    <row r="162" spans="1:26" x14ac:dyDescent="0.35">
      <c r="A162" s="7" t="s">
        <v>1586</v>
      </c>
      <c r="B162" s="7" t="s">
        <v>169</v>
      </c>
      <c r="C162" s="4" t="str">
        <f>_xlfn.XLOOKUP(A162,[2]Sheet2!$I$2:$I$1273,[2]Sheet2!$D$2:$D$1273,0)</f>
        <v>Q2</v>
      </c>
      <c r="D162" s="4">
        <f>_xlfn.XLOOKUP(B162,[4]Sheet2!$B$2:$B$3154,[4]Sheet2!$F$2:$F$3154,0)</f>
        <v>0</v>
      </c>
      <c r="E162" s="4" t="e">
        <f>_xlfn.XLOOKUP(B162,[2]Sheet2!$E$2:$E$713,[2]Sheet2!$G$2:$G$713)</f>
        <v>#N/A</v>
      </c>
      <c r="F162" s="18">
        <v>46038</v>
      </c>
      <c r="G162" s="14">
        <v>0.3043865740740741</v>
      </c>
      <c r="H162" s="7" t="s">
        <v>4</v>
      </c>
      <c r="I162" s="2" t="str">
        <f t="shared" si="13"/>
        <v>Q2</v>
      </c>
      <c r="J162" s="2" t="str">
        <f t="shared" si="14"/>
        <v>Match</v>
      </c>
      <c r="K162" s="2">
        <f t="shared" si="10"/>
        <v>0</v>
      </c>
      <c r="L162" s="2" t="e">
        <f t="shared" si="11"/>
        <v>#N/A</v>
      </c>
      <c r="M162" s="2" t="str">
        <f t="shared" si="12"/>
        <v>Digital Approve Hit</v>
      </c>
      <c r="N162" s="7">
        <v>17.7</v>
      </c>
      <c r="O162" s="7">
        <v>0.1</v>
      </c>
      <c r="P162" s="7">
        <v>-1</v>
      </c>
      <c r="Q162" s="7">
        <v>-0.28999999999999998</v>
      </c>
      <c r="R162" s="7">
        <v>0</v>
      </c>
      <c r="S162" s="7">
        <v>0</v>
      </c>
      <c r="T162" s="7">
        <v>-0.03</v>
      </c>
      <c r="U162" s="7">
        <v>0.05</v>
      </c>
      <c r="V162" s="7">
        <v>0.3</v>
      </c>
      <c r="W162" s="7" t="s">
        <v>8</v>
      </c>
      <c r="X162" s="7" t="s">
        <v>9</v>
      </c>
      <c r="Y162" s="2" t="s">
        <v>719</v>
      </c>
      <c r="Z162" s="2" t="s">
        <v>721</v>
      </c>
    </row>
    <row r="163" spans="1:26" x14ac:dyDescent="0.35">
      <c r="A163" s="7" t="s">
        <v>1587</v>
      </c>
      <c r="B163" s="7" t="s">
        <v>170</v>
      </c>
      <c r="C163" s="4" t="str">
        <f>_xlfn.XLOOKUP(A163,[2]Sheet2!$I$2:$I$1273,[2]Sheet2!$D$2:$D$1273,0)</f>
        <v>Q4</v>
      </c>
      <c r="D163" s="4">
        <f>_xlfn.XLOOKUP(B163,[4]Sheet2!$B$2:$B$3154,[4]Sheet2!$F$2:$F$3154,0)</f>
        <v>0</v>
      </c>
      <c r="E163" s="4" t="e">
        <f>_xlfn.XLOOKUP(B163,[2]Sheet2!$E$2:$E$713,[2]Sheet2!$G$2:$G$713)</f>
        <v>#N/A</v>
      </c>
      <c r="F163" s="18">
        <v>46038</v>
      </c>
      <c r="G163" s="14">
        <v>0.34628472222222223</v>
      </c>
      <c r="H163" s="7" t="s">
        <v>4</v>
      </c>
      <c r="I163" s="2" t="str">
        <f t="shared" si="13"/>
        <v>Q4</v>
      </c>
      <c r="J163" s="2" t="str">
        <f t="shared" si="14"/>
        <v>Match</v>
      </c>
      <c r="K163" s="2">
        <f t="shared" si="10"/>
        <v>0</v>
      </c>
      <c r="L163" s="2" t="e">
        <f t="shared" si="11"/>
        <v>#N/A</v>
      </c>
      <c r="M163" s="2" t="str">
        <f t="shared" si="12"/>
        <v>Failed but within quadrant</v>
      </c>
      <c r="N163" s="7">
        <v>17</v>
      </c>
      <c r="O163" s="7">
        <v>-1.2</v>
      </c>
      <c r="P163" s="7">
        <v>-2.5</v>
      </c>
      <c r="Q163" s="7">
        <v>-1.25</v>
      </c>
      <c r="R163" s="7">
        <v>0</v>
      </c>
      <c r="S163" s="7">
        <v>0</v>
      </c>
      <c r="T163" s="7">
        <v>0</v>
      </c>
      <c r="U163" s="7">
        <v>-0.1</v>
      </c>
      <c r="V163" s="7">
        <v>1.25</v>
      </c>
      <c r="W163" s="7" t="s">
        <v>6</v>
      </c>
      <c r="X163" s="7" t="s">
        <v>15</v>
      </c>
      <c r="Y163" s="2" t="s">
        <v>719</v>
      </c>
      <c r="Z163" s="2" t="s">
        <v>721</v>
      </c>
    </row>
    <row r="164" spans="1:26" x14ac:dyDescent="0.35">
      <c r="A164" s="7" t="s">
        <v>1548</v>
      </c>
      <c r="B164" s="7" t="s">
        <v>171</v>
      </c>
      <c r="C164" s="4" t="str">
        <f>_xlfn.XLOOKUP(A164,[2]Sheet2!$I$2:$I$1273,[2]Sheet2!$D$2:$D$1273,0)</f>
        <v>Q4</v>
      </c>
      <c r="D164" s="4">
        <f>_xlfn.XLOOKUP(B164,[4]Sheet2!$B$2:$B$3154,[4]Sheet2!$F$2:$F$3154,0)</f>
        <v>0</v>
      </c>
      <c r="E164" s="4" t="e">
        <f>_xlfn.XLOOKUP(B164,[2]Sheet2!$E$2:$E$713,[2]Sheet2!$G$2:$G$713)</f>
        <v>#N/A</v>
      </c>
      <c r="F164" s="18">
        <v>46038</v>
      </c>
      <c r="G164" s="14">
        <v>0.45744212962962966</v>
      </c>
      <c r="H164" s="7" t="s">
        <v>5</v>
      </c>
      <c r="I164" s="2" t="str">
        <f t="shared" si="13"/>
        <v>Q1</v>
      </c>
      <c r="J164" s="2" t="str">
        <f t="shared" si="14"/>
        <v>Not Match</v>
      </c>
      <c r="K164" s="2">
        <f t="shared" si="10"/>
        <v>0.5</v>
      </c>
      <c r="L164" s="2" t="e">
        <f t="shared" si="11"/>
        <v>#N/A</v>
      </c>
      <c r="M164" s="2" t="str">
        <f t="shared" si="12"/>
        <v>Below 0.8 not in assigned quadrant</v>
      </c>
      <c r="N164" s="7">
        <v>26.1</v>
      </c>
      <c r="O164" s="7">
        <v>3.3</v>
      </c>
      <c r="P164" s="7">
        <v>8.1999999999999993</v>
      </c>
      <c r="Q164" s="7">
        <v>0.18</v>
      </c>
      <c r="R164" s="7">
        <v>0</v>
      </c>
      <c r="S164" s="7">
        <v>0.5</v>
      </c>
      <c r="T164" s="7">
        <v>0.47</v>
      </c>
      <c r="U164" s="7">
        <v>0.2</v>
      </c>
      <c r="V164" s="7">
        <v>0.54</v>
      </c>
      <c r="W164" s="7" t="s">
        <v>8</v>
      </c>
      <c r="X164" s="7" t="s">
        <v>12</v>
      </c>
      <c r="Y164" s="2" t="s">
        <v>719</v>
      </c>
      <c r="Z164" s="2" t="s">
        <v>721</v>
      </c>
    </row>
    <row r="165" spans="1:26" x14ac:dyDescent="0.35">
      <c r="A165" s="7" t="s">
        <v>1500</v>
      </c>
      <c r="B165" s="7" t="s">
        <v>172</v>
      </c>
      <c r="C165" s="4" t="str">
        <f>_xlfn.XLOOKUP(A165,[2]Sheet2!$I$2:$I$1273,[2]Sheet2!$D$2:$D$1273,0)</f>
        <v>Q2</v>
      </c>
      <c r="D165" s="4">
        <f>_xlfn.XLOOKUP(B165,[4]Sheet2!$B$2:$B$3154,[4]Sheet2!$F$2:$F$3154,0)</f>
        <v>0</v>
      </c>
      <c r="E165" s="4" t="e">
        <f>_xlfn.XLOOKUP(B165,[2]Sheet2!$E$2:$E$713,[2]Sheet2!$G$2:$G$713)</f>
        <v>#N/A</v>
      </c>
      <c r="F165" s="18">
        <v>46038</v>
      </c>
      <c r="G165" s="14">
        <v>0.48912037037037037</v>
      </c>
      <c r="H165" s="7" t="s">
        <v>5</v>
      </c>
      <c r="I165" s="2" t="str">
        <f t="shared" si="13"/>
        <v>Q4</v>
      </c>
      <c r="J165" s="2" t="str">
        <f t="shared" si="14"/>
        <v>Not Match</v>
      </c>
      <c r="K165" s="2">
        <f t="shared" si="10"/>
        <v>0.22360679774997899</v>
      </c>
      <c r="L165" s="2" t="e">
        <f t="shared" si="11"/>
        <v>#N/A</v>
      </c>
      <c r="M165" s="2" t="str">
        <f t="shared" si="12"/>
        <v>Assign quadrant hit</v>
      </c>
      <c r="N165" s="7">
        <v>17.399999999999999</v>
      </c>
      <c r="O165" s="7">
        <v>-0.5</v>
      </c>
      <c r="P165" s="7">
        <v>-1.6</v>
      </c>
      <c r="Q165" s="7">
        <v>0.79</v>
      </c>
      <c r="R165" s="7">
        <v>0.1</v>
      </c>
      <c r="S165" s="7">
        <v>-0.2</v>
      </c>
      <c r="T165" s="7">
        <v>0.28000000000000003</v>
      </c>
      <c r="U165" s="7">
        <v>0.35</v>
      </c>
      <c r="V165" s="7">
        <v>0.91</v>
      </c>
      <c r="W165" s="7" t="s">
        <v>13</v>
      </c>
      <c r="X165" s="7" t="s">
        <v>9</v>
      </c>
      <c r="Y165" s="2" t="s">
        <v>719</v>
      </c>
      <c r="Z165" s="2" t="s">
        <v>721</v>
      </c>
    </row>
    <row r="166" spans="1:26" x14ac:dyDescent="0.35">
      <c r="A166" s="7" t="s">
        <v>1558</v>
      </c>
      <c r="B166" s="7" t="s">
        <v>173</v>
      </c>
      <c r="C166" s="4" t="str">
        <f>_xlfn.XLOOKUP(A166,[2]Sheet2!$I$2:$I$1273,[2]Sheet2!$D$2:$D$1273,0)</f>
        <v>Q3</v>
      </c>
      <c r="D166" s="4">
        <f>_xlfn.XLOOKUP(B166,[4]Sheet2!$B$2:$B$3154,[4]Sheet2!$F$2:$F$3154,0)</f>
        <v>0</v>
      </c>
      <c r="E166" s="4" t="e">
        <f>_xlfn.XLOOKUP(B166,[2]Sheet2!$E$2:$E$713,[2]Sheet2!$G$2:$G$713)</f>
        <v>#N/A</v>
      </c>
      <c r="F166" s="18">
        <v>46038</v>
      </c>
      <c r="G166" s="14">
        <v>0.49170138888888887</v>
      </c>
      <c r="H166" s="7" t="s">
        <v>16</v>
      </c>
      <c r="I166" s="2" t="str">
        <f t="shared" si="13"/>
        <v>Q3</v>
      </c>
      <c r="J166" s="2" t="str">
        <f t="shared" si="14"/>
        <v>Match</v>
      </c>
      <c r="K166" s="2">
        <f t="shared" si="10"/>
        <v>0</v>
      </c>
      <c r="L166" s="2" t="e">
        <f t="shared" si="11"/>
        <v>#N/A</v>
      </c>
      <c r="M166" s="2" t="str">
        <f t="shared" si="12"/>
        <v>Digital Approve Hit</v>
      </c>
      <c r="N166" s="7">
        <v>15.2</v>
      </c>
      <c r="O166" s="7">
        <v>-0.4</v>
      </c>
      <c r="P166" s="7">
        <v>-1.9</v>
      </c>
      <c r="Q166" s="7">
        <v>-0.3</v>
      </c>
      <c r="R166" s="7">
        <v>0</v>
      </c>
      <c r="S166" s="7">
        <v>0</v>
      </c>
      <c r="T166" s="7">
        <v>0.09</v>
      </c>
      <c r="U166" s="7">
        <v>-0.09</v>
      </c>
      <c r="V166" s="7">
        <v>0.33</v>
      </c>
      <c r="W166" s="7" t="s">
        <v>8</v>
      </c>
      <c r="X166" s="7" t="s">
        <v>15</v>
      </c>
      <c r="Y166" s="2" t="s">
        <v>719</v>
      </c>
      <c r="Z166" s="2" t="s">
        <v>721</v>
      </c>
    </row>
    <row r="167" spans="1:26" x14ac:dyDescent="0.35">
      <c r="A167" s="7" t="s">
        <v>1540</v>
      </c>
      <c r="B167" s="7" t="s">
        <v>174</v>
      </c>
      <c r="C167" s="4" t="str">
        <f>_xlfn.XLOOKUP(A167,[2]Sheet2!$I$2:$I$1273,[2]Sheet2!$D$2:$D$1273,0)</f>
        <v>Q3</v>
      </c>
      <c r="D167" s="4">
        <f>_xlfn.XLOOKUP(B167,[4]Sheet2!$B$2:$B$3154,[4]Sheet2!$F$2:$F$3154,0)</f>
        <v>0</v>
      </c>
      <c r="E167" s="4" t="e">
        <f>_xlfn.XLOOKUP(B167,[2]Sheet2!$E$2:$E$713,[2]Sheet2!$G$2:$G$713)</f>
        <v>#N/A</v>
      </c>
      <c r="F167" s="18">
        <v>46038</v>
      </c>
      <c r="G167" s="14">
        <v>0.67479166666666668</v>
      </c>
      <c r="H167" s="7" t="s">
        <v>11</v>
      </c>
      <c r="I167" s="2" t="str">
        <f t="shared" si="13"/>
        <v>Q1</v>
      </c>
      <c r="J167" s="2" t="str">
        <f t="shared" si="14"/>
        <v>Not Match</v>
      </c>
      <c r="K167" s="2">
        <f t="shared" si="10"/>
        <v>0.44721359549995798</v>
      </c>
      <c r="L167" s="2" t="e">
        <f t="shared" si="11"/>
        <v>#N/A</v>
      </c>
      <c r="M167" s="2" t="str">
        <f t="shared" si="12"/>
        <v>Assign quadrant hit</v>
      </c>
      <c r="N167" s="7">
        <v>13.5</v>
      </c>
      <c r="O167" s="7">
        <v>-0.4</v>
      </c>
      <c r="P167" s="7">
        <v>-1.5</v>
      </c>
      <c r="Q167" s="7">
        <v>-0.54</v>
      </c>
      <c r="R167" s="7">
        <v>0.2</v>
      </c>
      <c r="S167" s="7">
        <v>0.4</v>
      </c>
      <c r="T167" s="7">
        <v>-0.68</v>
      </c>
      <c r="U167" s="7">
        <v>0.17</v>
      </c>
      <c r="V167" s="7">
        <v>0.88</v>
      </c>
      <c r="W167" s="7" t="s">
        <v>13</v>
      </c>
      <c r="X167" s="7" t="s">
        <v>9</v>
      </c>
      <c r="Y167" s="2" t="s">
        <v>719</v>
      </c>
      <c r="Z167" s="2" t="s">
        <v>721</v>
      </c>
    </row>
    <row r="168" spans="1:26" x14ac:dyDescent="0.35">
      <c r="A168" s="7" t="s">
        <v>1581</v>
      </c>
      <c r="B168" s="7" t="s">
        <v>175</v>
      </c>
      <c r="C168" s="4">
        <f>_xlfn.XLOOKUP(A168,[2]Sheet2!$I$2:$I$1273,[2]Sheet2!$D$2:$D$1273,0)</f>
        <v>0</v>
      </c>
      <c r="D168" s="4">
        <f>_xlfn.XLOOKUP(B168,[4]Sheet2!$B$2:$B$3154,[4]Sheet2!$F$2:$F$3154,0)</f>
        <v>0</v>
      </c>
      <c r="E168" s="4" t="e">
        <f>_xlfn.XLOOKUP(B168,[2]Sheet2!$E$2:$E$713,[2]Sheet2!$G$2:$G$713)</f>
        <v>#N/A</v>
      </c>
      <c r="F168" s="18">
        <v>46038</v>
      </c>
      <c r="G168" s="14">
        <v>0.67774305555555558</v>
      </c>
      <c r="H168" s="7" t="s">
        <v>4</v>
      </c>
      <c r="I168" s="2" t="str">
        <f t="shared" si="13"/>
        <v>Q4</v>
      </c>
      <c r="J168" s="2" t="str">
        <f t="shared" si="14"/>
        <v>Not Found</v>
      </c>
      <c r="K168" s="2">
        <f t="shared" si="10"/>
        <v>0.28284271247461906</v>
      </c>
      <c r="L168" s="2" t="e">
        <f t="shared" si="11"/>
        <v>#N/A</v>
      </c>
      <c r="M168" s="2" t="str">
        <f t="shared" si="12"/>
        <v>Assign quadrant hit</v>
      </c>
      <c r="N168" s="7">
        <v>17.600000000000001</v>
      </c>
      <c r="O168" s="7">
        <v>1.9</v>
      </c>
      <c r="P168" s="7">
        <v>-12</v>
      </c>
      <c r="Q168" s="7">
        <v>-0.76</v>
      </c>
      <c r="R168" s="7">
        <v>0.2</v>
      </c>
      <c r="S168" s="7">
        <v>-0.2</v>
      </c>
      <c r="T168" s="7">
        <v>0.23</v>
      </c>
      <c r="U168" s="7">
        <v>0.28000000000000003</v>
      </c>
      <c r="V168" s="7">
        <v>0.84</v>
      </c>
      <c r="W168" s="7" t="s">
        <v>13</v>
      </c>
      <c r="X168" s="7" t="s">
        <v>9</v>
      </c>
      <c r="Y168" s="2" t="s">
        <v>719</v>
      </c>
      <c r="Z168" s="2" t="s">
        <v>721</v>
      </c>
    </row>
    <row r="169" spans="1:26" x14ac:dyDescent="0.35">
      <c r="A169" s="7" t="s">
        <v>1556</v>
      </c>
      <c r="B169" s="7" t="s">
        <v>176</v>
      </c>
      <c r="C169" s="4">
        <f>_xlfn.XLOOKUP(A169,[2]Sheet2!$I$2:$I$1273,[2]Sheet2!$D$2:$D$1273,0)</f>
        <v>0</v>
      </c>
      <c r="D169" s="4">
        <f>_xlfn.XLOOKUP(B169,[4]Sheet2!$B$2:$B$3154,[4]Sheet2!$F$2:$F$3154,0)</f>
        <v>0</v>
      </c>
      <c r="E169" s="4" t="e">
        <f>_xlfn.XLOOKUP(B169,[2]Sheet2!$E$2:$E$713,[2]Sheet2!$G$2:$G$713)</f>
        <v>#N/A</v>
      </c>
      <c r="F169" s="18">
        <v>46038</v>
      </c>
      <c r="G169" s="14">
        <v>0.67991898148148144</v>
      </c>
      <c r="H169" s="7" t="s">
        <v>16</v>
      </c>
      <c r="I169" s="2" t="str">
        <f t="shared" si="13"/>
        <v>Q4</v>
      </c>
      <c r="J169" s="2" t="str">
        <f t="shared" si="14"/>
        <v>Not Found</v>
      </c>
      <c r="K169" s="2">
        <f t="shared" si="10"/>
        <v>1</v>
      </c>
      <c r="L169" s="2" t="e">
        <f t="shared" si="11"/>
        <v>#N/A</v>
      </c>
      <c r="M169" s="2" t="str">
        <f t="shared" si="12"/>
        <v>Assign quadrant hit</v>
      </c>
      <c r="N169" s="7">
        <v>30.1</v>
      </c>
      <c r="O169" s="7">
        <v>-3.4</v>
      </c>
      <c r="P169" s="7">
        <v>16.2</v>
      </c>
      <c r="Q169" s="7">
        <v>-0.21</v>
      </c>
      <c r="R169" s="7">
        <v>0</v>
      </c>
      <c r="S169" s="7">
        <v>-1</v>
      </c>
      <c r="T169" s="7">
        <v>-0.64</v>
      </c>
      <c r="U169" s="7">
        <v>0.17</v>
      </c>
      <c r="V169" s="7">
        <v>0.7</v>
      </c>
      <c r="W169" s="7" t="s">
        <v>8</v>
      </c>
      <c r="X169" s="7" t="s">
        <v>7</v>
      </c>
      <c r="Y169" s="2" t="s">
        <v>719</v>
      </c>
      <c r="Z169" s="2" t="s">
        <v>721</v>
      </c>
    </row>
    <row r="170" spans="1:26" x14ac:dyDescent="0.35">
      <c r="A170" s="7" t="s">
        <v>1508</v>
      </c>
      <c r="B170" s="7" t="s">
        <v>177</v>
      </c>
      <c r="C170" s="4" t="str">
        <f>_xlfn.XLOOKUP(A170,[2]Sheet2!$I$2:$I$1273,[2]Sheet2!$D$2:$D$1273,0)</f>
        <v>Q2</v>
      </c>
      <c r="D170" s="4">
        <f>_xlfn.XLOOKUP(B170,[4]Sheet2!$B$2:$B$3154,[4]Sheet2!$F$2:$F$3154,0)</f>
        <v>0</v>
      </c>
      <c r="E170" s="4" t="e">
        <f>_xlfn.XLOOKUP(B170,[2]Sheet2!$E$2:$E$713,[2]Sheet2!$G$2:$G$713)</f>
        <v>#N/A</v>
      </c>
      <c r="F170" s="18">
        <v>46038</v>
      </c>
      <c r="G170" s="14">
        <v>0.68295138888888884</v>
      </c>
      <c r="H170" s="7" t="s">
        <v>5</v>
      </c>
      <c r="I170" s="2" t="str">
        <f t="shared" si="13"/>
        <v>Q3</v>
      </c>
      <c r="J170" s="2" t="str">
        <f t="shared" si="14"/>
        <v>Not Match</v>
      </c>
      <c r="K170" s="2">
        <f t="shared" si="10"/>
        <v>0.28284271247461906</v>
      </c>
      <c r="L170" s="2" t="e">
        <f t="shared" si="11"/>
        <v>#N/A</v>
      </c>
      <c r="M170" s="2" t="str">
        <f t="shared" si="12"/>
        <v>Below 0.8 not in assigned quadrant</v>
      </c>
      <c r="N170" s="7">
        <v>17.899999999999999</v>
      </c>
      <c r="O170" s="7">
        <v>-1</v>
      </c>
      <c r="P170" s="7">
        <v>-9.1999999999999993</v>
      </c>
      <c r="Q170" s="7">
        <v>-0.27</v>
      </c>
      <c r="R170" s="7">
        <v>-0.2</v>
      </c>
      <c r="S170" s="7">
        <v>-0.2</v>
      </c>
      <c r="T170" s="7">
        <v>0.21</v>
      </c>
      <c r="U170" s="7">
        <v>-0.28000000000000003</v>
      </c>
      <c r="V170" s="7">
        <v>0.44</v>
      </c>
      <c r="W170" s="7" t="s">
        <v>8</v>
      </c>
      <c r="X170" s="7" t="s">
        <v>15</v>
      </c>
      <c r="Y170" s="2" t="s">
        <v>719</v>
      </c>
      <c r="Z170" s="2" t="s">
        <v>721</v>
      </c>
    </row>
    <row r="171" spans="1:26" x14ac:dyDescent="0.35">
      <c r="A171" s="7" t="s">
        <v>1500</v>
      </c>
      <c r="B171" s="7" t="s">
        <v>178</v>
      </c>
      <c r="C171" s="4" t="str">
        <f>_xlfn.XLOOKUP(A171,[2]Sheet2!$I$2:$I$1273,[2]Sheet2!$D$2:$D$1273,0)</f>
        <v>Q2</v>
      </c>
      <c r="D171" s="4">
        <f>_xlfn.XLOOKUP(B171,[4]Sheet2!$B$2:$B$3154,[4]Sheet2!$F$2:$F$3154,0)</f>
        <v>0</v>
      </c>
      <c r="E171" s="4" t="e">
        <f>_xlfn.XLOOKUP(B171,[2]Sheet2!$E$2:$E$713,[2]Sheet2!$G$2:$G$713)</f>
        <v>#N/A</v>
      </c>
      <c r="F171" s="18">
        <v>46038</v>
      </c>
      <c r="G171" s="14">
        <v>0.68503472222222217</v>
      </c>
      <c r="H171" s="7" t="s">
        <v>5</v>
      </c>
      <c r="I171" s="2" t="str">
        <f t="shared" si="13"/>
        <v>Q4</v>
      </c>
      <c r="J171" s="2" t="str">
        <f t="shared" si="14"/>
        <v>Not Match</v>
      </c>
      <c r="K171" s="2">
        <f t="shared" si="10"/>
        <v>0.22360679774997899</v>
      </c>
      <c r="L171" s="2" t="e">
        <f t="shared" si="11"/>
        <v>#N/A</v>
      </c>
      <c r="M171" s="2" t="str">
        <f t="shared" si="12"/>
        <v>Below 0.8 not in assigned quadrant</v>
      </c>
      <c r="N171" s="7">
        <v>16.100000000000001</v>
      </c>
      <c r="O171" s="7">
        <v>-0.4</v>
      </c>
      <c r="P171" s="7">
        <v>-1.6</v>
      </c>
      <c r="Q171" s="7">
        <v>-0.47</v>
      </c>
      <c r="R171" s="7">
        <v>0.2</v>
      </c>
      <c r="S171" s="7">
        <v>-0.1</v>
      </c>
      <c r="T171" s="7">
        <v>0.13</v>
      </c>
      <c r="U171" s="7">
        <v>0.4</v>
      </c>
      <c r="V171" s="7">
        <v>0.63</v>
      </c>
      <c r="W171" s="7" t="s">
        <v>8</v>
      </c>
      <c r="X171" s="7" t="s">
        <v>9</v>
      </c>
      <c r="Y171" s="2" t="s">
        <v>719</v>
      </c>
      <c r="Z171" s="2" t="s">
        <v>721</v>
      </c>
    </row>
    <row r="172" spans="1:26" x14ac:dyDescent="0.35">
      <c r="A172" s="7" t="s">
        <v>1528</v>
      </c>
      <c r="B172" s="7" t="s">
        <v>179</v>
      </c>
      <c r="C172" s="4" t="str">
        <f>_xlfn.XLOOKUP(A172,[2]Sheet2!$I$2:$I$1273,[2]Sheet2!$D$2:$D$1273,0)</f>
        <v>Q1</v>
      </c>
      <c r="D172" s="4">
        <f>_xlfn.XLOOKUP(B172,[4]Sheet2!$B$2:$B$3154,[4]Sheet2!$F$2:$F$3154,0)</f>
        <v>0</v>
      </c>
      <c r="E172" s="4" t="e">
        <f>_xlfn.XLOOKUP(B172,[2]Sheet2!$E$2:$E$713,[2]Sheet2!$G$2:$G$713)</f>
        <v>#N/A</v>
      </c>
      <c r="F172" s="18">
        <v>46038</v>
      </c>
      <c r="G172" s="14">
        <v>0.68733796296296301</v>
      </c>
      <c r="H172" s="7" t="s">
        <v>5</v>
      </c>
      <c r="I172" s="2" t="str">
        <f t="shared" si="13"/>
        <v>Q1</v>
      </c>
      <c r="J172" s="2" t="str">
        <f t="shared" si="14"/>
        <v>Match</v>
      </c>
      <c r="K172" s="2">
        <f t="shared" si="10"/>
        <v>2.3086792761230392</v>
      </c>
      <c r="L172" s="2" t="e">
        <f t="shared" si="11"/>
        <v>#N/A</v>
      </c>
      <c r="M172" s="2" t="str">
        <f t="shared" si="12"/>
        <v>Failed but within quadrant</v>
      </c>
      <c r="N172" s="7">
        <v>42.8</v>
      </c>
      <c r="O172" s="7">
        <v>51.3</v>
      </c>
      <c r="P172" s="7">
        <v>-1.9</v>
      </c>
      <c r="Q172" s="7">
        <v>-0.43</v>
      </c>
      <c r="R172" s="7">
        <v>0.7</v>
      </c>
      <c r="S172" s="7">
        <v>2.2000000000000002</v>
      </c>
      <c r="T172" s="7">
        <v>0.23</v>
      </c>
      <c r="U172" s="7">
        <v>1.23</v>
      </c>
      <c r="V172" s="7">
        <v>1.33</v>
      </c>
      <c r="W172" s="7" t="s">
        <v>6</v>
      </c>
      <c r="X172" s="7" t="s">
        <v>9</v>
      </c>
      <c r="Y172" s="2" t="s">
        <v>719</v>
      </c>
      <c r="Z172" s="2" t="s">
        <v>721</v>
      </c>
    </row>
    <row r="173" spans="1:26" x14ac:dyDescent="0.35">
      <c r="A173" s="7" t="s">
        <v>1588</v>
      </c>
      <c r="B173" s="7" t="s">
        <v>180</v>
      </c>
      <c r="C173" s="4" t="str">
        <f>_xlfn.XLOOKUP(A173,[2]Sheet2!$I$2:$I$1273,[2]Sheet2!$D$2:$D$1273,0)</f>
        <v>Q2</v>
      </c>
      <c r="D173" s="4">
        <f>_xlfn.XLOOKUP(B173,[4]Sheet2!$B$2:$B$3154,[4]Sheet2!$F$2:$F$3154,0)</f>
        <v>0</v>
      </c>
      <c r="E173" s="4" t="e">
        <f>_xlfn.XLOOKUP(B173,[2]Sheet2!$E$2:$E$713,[2]Sheet2!$G$2:$G$713)</f>
        <v>#N/A</v>
      </c>
      <c r="F173" s="18">
        <v>46038</v>
      </c>
      <c r="G173" s="14">
        <v>0.7106365740740741</v>
      </c>
      <c r="H173" s="7" t="s">
        <v>5</v>
      </c>
      <c r="I173" s="2" t="str">
        <f t="shared" si="13"/>
        <v>Q2</v>
      </c>
      <c r="J173" s="2" t="str">
        <f t="shared" si="14"/>
        <v>Match</v>
      </c>
      <c r="K173" s="2">
        <f t="shared" si="10"/>
        <v>0.36055512754639896</v>
      </c>
      <c r="L173" s="2" t="e">
        <f t="shared" si="11"/>
        <v>#N/A</v>
      </c>
      <c r="M173" s="2" t="str">
        <f t="shared" si="12"/>
        <v>Failed but within quadrant</v>
      </c>
      <c r="N173" s="7">
        <v>26.5</v>
      </c>
      <c r="O173" s="7">
        <v>20.2</v>
      </c>
      <c r="P173" s="7">
        <v>5</v>
      </c>
      <c r="Q173" s="7">
        <v>-0.81</v>
      </c>
      <c r="R173" s="7">
        <v>-0.3</v>
      </c>
      <c r="S173" s="7">
        <v>0.2</v>
      </c>
      <c r="T173" s="7">
        <v>-0.17</v>
      </c>
      <c r="U173" s="7">
        <v>0.26</v>
      </c>
      <c r="V173" s="7">
        <v>0.87</v>
      </c>
      <c r="W173" s="7" t="s">
        <v>13</v>
      </c>
      <c r="X173" s="7" t="s">
        <v>12</v>
      </c>
      <c r="Y173" s="2" t="s">
        <v>719</v>
      </c>
      <c r="Z173" s="2" t="s">
        <v>721</v>
      </c>
    </row>
    <row r="174" spans="1:26" x14ac:dyDescent="0.35">
      <c r="A174" s="7" t="s">
        <v>1540</v>
      </c>
      <c r="B174" s="7" t="s">
        <v>181</v>
      </c>
      <c r="C174" s="4" t="str">
        <f>_xlfn.XLOOKUP(A174,[2]Sheet2!$I$2:$I$1273,[2]Sheet2!$D$2:$D$1273,0)</f>
        <v>Q3</v>
      </c>
      <c r="D174" s="4">
        <f>_xlfn.XLOOKUP(B174,[4]Sheet2!$B$2:$B$3154,[4]Sheet2!$F$2:$F$3154,0)</f>
        <v>0</v>
      </c>
      <c r="E174" s="4" t="e">
        <f>_xlfn.XLOOKUP(B174,[2]Sheet2!$E$2:$E$713,[2]Sheet2!$G$2:$G$713)</f>
        <v>#N/A</v>
      </c>
      <c r="F174" s="18">
        <v>46038</v>
      </c>
      <c r="G174" s="14">
        <v>0.71258101851851852</v>
      </c>
      <c r="H174" s="7" t="s">
        <v>11</v>
      </c>
      <c r="I174" s="2" t="str">
        <f t="shared" si="13"/>
        <v>Q1</v>
      </c>
      <c r="J174" s="2" t="str">
        <f t="shared" si="14"/>
        <v>Not Match</v>
      </c>
      <c r="K174" s="2">
        <f t="shared" si="10"/>
        <v>0.42426406871192851</v>
      </c>
      <c r="L174" s="2" t="e">
        <f t="shared" si="11"/>
        <v>#N/A</v>
      </c>
      <c r="M174" s="2" t="str">
        <f t="shared" si="12"/>
        <v>Below 0.8 not in assigned quadrant</v>
      </c>
      <c r="N174" s="7">
        <v>13.9</v>
      </c>
      <c r="O174" s="7">
        <v>-0.4</v>
      </c>
      <c r="P174" s="7">
        <v>-1.7</v>
      </c>
      <c r="Q174" s="7">
        <v>-0.12</v>
      </c>
      <c r="R174" s="7">
        <v>0.3</v>
      </c>
      <c r="S174" s="7">
        <v>0.3</v>
      </c>
      <c r="T174" s="7">
        <v>-0.48</v>
      </c>
      <c r="U174" s="7">
        <v>0.27</v>
      </c>
      <c r="V174" s="7">
        <v>0.56999999999999995</v>
      </c>
      <c r="W174" s="7" t="s">
        <v>8</v>
      </c>
      <c r="X174" s="7" t="s">
        <v>9</v>
      </c>
      <c r="Y174" s="2" t="s">
        <v>719</v>
      </c>
      <c r="Z174" s="2" t="s">
        <v>721</v>
      </c>
    </row>
    <row r="175" spans="1:26" x14ac:dyDescent="0.35">
      <c r="A175" s="7" t="s">
        <v>1589</v>
      </c>
      <c r="B175" s="7" t="s">
        <v>182</v>
      </c>
      <c r="C175" s="4">
        <f>_xlfn.XLOOKUP(A175,[2]Sheet2!$I$2:$I$1273,[2]Sheet2!$D$2:$D$1273,0)</f>
        <v>0</v>
      </c>
      <c r="D175" s="4">
        <f>_xlfn.XLOOKUP(B175,[4]Sheet2!$B$2:$B$3154,[4]Sheet2!$F$2:$F$3154,0)</f>
        <v>0</v>
      </c>
      <c r="E175" s="4" t="e">
        <f>_xlfn.XLOOKUP(B175,[2]Sheet2!$E$2:$E$713,[2]Sheet2!$G$2:$G$713)</f>
        <v>#N/A</v>
      </c>
      <c r="F175" s="18">
        <v>46038</v>
      </c>
      <c r="G175" s="14">
        <v>0.75714120370370375</v>
      </c>
      <c r="H175" s="7" t="s">
        <v>4</v>
      </c>
      <c r="I175" s="2" t="str">
        <f t="shared" si="13"/>
        <v>Q1</v>
      </c>
      <c r="J175" s="2" t="str">
        <f t="shared" si="14"/>
        <v>Not Found</v>
      </c>
      <c r="K175" s="2">
        <f t="shared" si="10"/>
        <v>2.1213203435596424</v>
      </c>
      <c r="L175" s="2" t="e">
        <f t="shared" si="11"/>
        <v>#N/A</v>
      </c>
      <c r="M175" s="2" t="str">
        <f t="shared" si="12"/>
        <v>Assign quadrant hit</v>
      </c>
      <c r="N175" s="7">
        <v>47</v>
      </c>
      <c r="O175" s="7">
        <v>50.7</v>
      </c>
      <c r="P175" s="7">
        <v>0</v>
      </c>
      <c r="Q175" s="7">
        <v>-0.12</v>
      </c>
      <c r="R175" s="7">
        <v>1.5</v>
      </c>
      <c r="S175" s="7">
        <v>1.5</v>
      </c>
      <c r="T175" s="7">
        <v>0.59</v>
      </c>
      <c r="U175" s="7">
        <v>0.88</v>
      </c>
      <c r="V175" s="7">
        <v>1.07</v>
      </c>
      <c r="W175" s="7" t="s">
        <v>6</v>
      </c>
      <c r="X175" s="7" t="s">
        <v>9</v>
      </c>
      <c r="Y175" s="2" t="s">
        <v>719</v>
      </c>
      <c r="Z175" s="2" t="s">
        <v>721</v>
      </c>
    </row>
    <row r="176" spans="1:26" x14ac:dyDescent="0.35">
      <c r="A176" s="7" t="s">
        <v>1557</v>
      </c>
      <c r="B176" s="7" t="s">
        <v>183</v>
      </c>
      <c r="C176" s="4" t="str">
        <f>_xlfn.XLOOKUP(A176,[2]Sheet2!$I$2:$I$1273,[2]Sheet2!$D$2:$D$1273,0)</f>
        <v>Q3</v>
      </c>
      <c r="D176" s="4">
        <f>_xlfn.XLOOKUP(B176,[4]Sheet2!$B$2:$B$3154,[4]Sheet2!$F$2:$F$3154,0)</f>
        <v>0</v>
      </c>
      <c r="E176" s="4" t="e">
        <f>_xlfn.XLOOKUP(B176,[2]Sheet2!$E$2:$E$713,[2]Sheet2!$G$2:$G$713)</f>
        <v>#N/A</v>
      </c>
      <c r="F176" s="18">
        <v>46038</v>
      </c>
      <c r="G176" s="14">
        <v>0.77611111111111108</v>
      </c>
      <c r="H176" s="7" t="s">
        <v>16</v>
      </c>
      <c r="I176" s="2" t="str">
        <f t="shared" si="13"/>
        <v>Q3</v>
      </c>
      <c r="J176" s="2" t="str">
        <f t="shared" si="14"/>
        <v>Match</v>
      </c>
      <c r="K176" s="2">
        <f t="shared" si="10"/>
        <v>0.22360679774997899</v>
      </c>
      <c r="L176" s="2" t="e">
        <f t="shared" si="11"/>
        <v>#N/A</v>
      </c>
      <c r="M176" s="2" t="str">
        <f t="shared" si="12"/>
        <v>Digital Approve Hit</v>
      </c>
      <c r="N176" s="7">
        <v>15.4</v>
      </c>
      <c r="O176" s="7">
        <v>-0.3</v>
      </c>
      <c r="P176" s="7">
        <v>-1.9</v>
      </c>
      <c r="Q176" s="7">
        <v>-0.09</v>
      </c>
      <c r="R176" s="7">
        <v>-0.2</v>
      </c>
      <c r="S176" s="7">
        <v>-0.1</v>
      </c>
      <c r="T176" s="7">
        <v>0.28000000000000003</v>
      </c>
      <c r="U176" s="7">
        <v>-0.24</v>
      </c>
      <c r="V176" s="7">
        <v>0.38</v>
      </c>
      <c r="W176" s="7" t="s">
        <v>8</v>
      </c>
      <c r="X176" s="7" t="s">
        <v>15</v>
      </c>
      <c r="Y176" s="2" t="s">
        <v>719</v>
      </c>
      <c r="Z176" s="2" t="s">
        <v>721</v>
      </c>
    </row>
    <row r="177" spans="1:26" x14ac:dyDescent="0.35">
      <c r="A177" s="7" t="s">
        <v>1508</v>
      </c>
      <c r="B177" s="7" t="s">
        <v>184</v>
      </c>
      <c r="C177" s="4" t="str">
        <f>_xlfn.XLOOKUP(A177,[2]Sheet2!$I$2:$I$1273,[2]Sheet2!$D$2:$D$1273,0)</f>
        <v>Q2</v>
      </c>
      <c r="D177" s="4">
        <f>_xlfn.XLOOKUP(B177,[4]Sheet2!$B$2:$B$3154,[4]Sheet2!$F$2:$F$3154,0)</f>
        <v>0</v>
      </c>
      <c r="E177" s="4" t="e">
        <f>_xlfn.XLOOKUP(B177,[2]Sheet2!$E$2:$E$713,[2]Sheet2!$G$2:$G$713)</f>
        <v>#N/A</v>
      </c>
      <c r="F177" s="18">
        <v>46039</v>
      </c>
      <c r="G177" s="14">
        <v>3.1365740740740742E-3</v>
      </c>
      <c r="H177" s="7" t="s">
        <v>5</v>
      </c>
      <c r="I177" s="2" t="str">
        <f t="shared" si="13"/>
        <v>Q1</v>
      </c>
      <c r="J177" s="2" t="str">
        <f t="shared" si="14"/>
        <v>Not Match</v>
      </c>
      <c r="K177" s="2">
        <f t="shared" si="10"/>
        <v>0.1</v>
      </c>
      <c r="L177" s="2" t="e">
        <f t="shared" si="11"/>
        <v>#N/A</v>
      </c>
      <c r="M177" s="2" t="str">
        <f t="shared" si="12"/>
        <v>Below 0.8 not in assigned quadrant</v>
      </c>
      <c r="N177" s="7">
        <v>17.600000000000001</v>
      </c>
      <c r="O177" s="7">
        <v>-0.8</v>
      </c>
      <c r="P177" s="7">
        <v>-8.9</v>
      </c>
      <c r="Q177" s="7">
        <v>-0.53</v>
      </c>
      <c r="R177" s="7">
        <v>0</v>
      </c>
      <c r="S177" s="7">
        <v>0.1</v>
      </c>
      <c r="T177" s="7">
        <v>-0.1</v>
      </c>
      <c r="U177" s="7">
        <v>-0.04</v>
      </c>
      <c r="V177" s="7">
        <v>0.54</v>
      </c>
      <c r="W177" s="7" t="s">
        <v>8</v>
      </c>
      <c r="X177" s="7" t="s">
        <v>15</v>
      </c>
      <c r="Y177" s="2" t="s">
        <v>719</v>
      </c>
      <c r="Z177" s="2" t="s">
        <v>721</v>
      </c>
    </row>
    <row r="178" spans="1:26" x14ac:dyDescent="0.35">
      <c r="A178" s="7" t="s">
        <v>1590</v>
      </c>
      <c r="B178" s="7" t="s">
        <v>185</v>
      </c>
      <c r="C178" s="4" t="str">
        <f>_xlfn.XLOOKUP(A178,[2]Sheet2!$I$2:$I$1273,[2]Sheet2!$D$2:$D$1273,0)</f>
        <v>Q2</v>
      </c>
      <c r="D178" s="4">
        <f>_xlfn.XLOOKUP(B178,[4]Sheet2!$B$2:$B$3154,[4]Sheet2!$F$2:$F$3154,0)</f>
        <v>0</v>
      </c>
      <c r="E178" s="4" t="e">
        <f>_xlfn.XLOOKUP(B178,[2]Sheet2!$E$2:$E$713,[2]Sheet2!$G$2:$G$713)</f>
        <v>#N/A</v>
      </c>
      <c r="F178" s="18">
        <v>46039</v>
      </c>
      <c r="G178" s="14">
        <v>5.7870370370370367E-3</v>
      </c>
      <c r="H178" s="7" t="s">
        <v>5</v>
      </c>
      <c r="I178" s="2" t="str">
        <f t="shared" si="13"/>
        <v>Q4</v>
      </c>
      <c r="J178" s="2" t="str">
        <f t="shared" si="14"/>
        <v>Not Match</v>
      </c>
      <c r="K178" s="2">
        <f t="shared" si="10"/>
        <v>0.3</v>
      </c>
      <c r="L178" s="2" t="e">
        <f t="shared" si="11"/>
        <v>#N/A</v>
      </c>
      <c r="M178" s="2" t="str">
        <f t="shared" si="12"/>
        <v>Assign quadrant hit</v>
      </c>
      <c r="N178" s="7">
        <v>16.399999999999999</v>
      </c>
      <c r="O178" s="7">
        <v>-0.3</v>
      </c>
      <c r="P178" s="7">
        <v>-2.1</v>
      </c>
      <c r="Q178" s="7">
        <v>-0.72</v>
      </c>
      <c r="R178" s="7">
        <v>0</v>
      </c>
      <c r="S178" s="7">
        <v>-0.3</v>
      </c>
      <c r="T178" s="7">
        <v>0.38</v>
      </c>
      <c r="U178" s="7">
        <v>0.2</v>
      </c>
      <c r="V178" s="7">
        <v>0.83</v>
      </c>
      <c r="W178" s="7" t="s">
        <v>13</v>
      </c>
      <c r="X178" s="7" t="s">
        <v>9</v>
      </c>
      <c r="Y178" s="2" t="s">
        <v>719</v>
      </c>
      <c r="Z178" s="2" t="s">
        <v>721</v>
      </c>
    </row>
    <row r="179" spans="1:26" x14ac:dyDescent="0.35">
      <c r="A179" s="7" t="s">
        <v>1557</v>
      </c>
      <c r="B179" s="7" t="s">
        <v>187</v>
      </c>
      <c r="C179" s="4" t="str">
        <f>_xlfn.XLOOKUP(A179,[2]Sheet2!$I$2:$I$1273,[2]Sheet2!$D$2:$D$1273,0)</f>
        <v>Q3</v>
      </c>
      <c r="D179" s="4">
        <f>_xlfn.XLOOKUP(B179,[4]Sheet2!$B$2:$B$3154,[4]Sheet2!$F$2:$F$3154,0)</f>
        <v>0</v>
      </c>
      <c r="E179" s="4" t="e">
        <f>_xlfn.XLOOKUP(B179,[2]Sheet2!$E$2:$E$713,[2]Sheet2!$G$2:$G$713)</f>
        <v>#N/A</v>
      </c>
      <c r="F179" s="18">
        <v>46039</v>
      </c>
      <c r="G179" s="14">
        <v>6.7905092592592586E-2</v>
      </c>
      <c r="H179" s="7" t="s">
        <v>16</v>
      </c>
      <c r="I179" s="2" t="str">
        <f t="shared" si="13"/>
        <v>Q3</v>
      </c>
      <c r="J179" s="2" t="str">
        <f t="shared" si="14"/>
        <v>Match</v>
      </c>
      <c r="K179" s="2">
        <f t="shared" si="10"/>
        <v>0.6403124237432849</v>
      </c>
      <c r="L179" s="2" t="e">
        <f t="shared" si="11"/>
        <v>#N/A</v>
      </c>
      <c r="M179" s="2" t="str">
        <f t="shared" si="12"/>
        <v>Failed but within quadrant</v>
      </c>
      <c r="N179" s="7">
        <v>15.2</v>
      </c>
      <c r="O179" s="7">
        <v>-0.5</v>
      </c>
      <c r="P179" s="7">
        <v>-2.2000000000000002</v>
      </c>
      <c r="Q179" s="7">
        <v>-0.26</v>
      </c>
      <c r="R179" s="7">
        <v>-0.4</v>
      </c>
      <c r="S179" s="7">
        <v>-0.5</v>
      </c>
      <c r="T179" s="7">
        <v>0.78</v>
      </c>
      <c r="U179" s="7">
        <v>-0.41</v>
      </c>
      <c r="V179" s="7">
        <v>0.92</v>
      </c>
      <c r="W179" s="7" t="s">
        <v>13</v>
      </c>
      <c r="X179" s="7" t="s">
        <v>15</v>
      </c>
      <c r="Y179" s="2" t="s">
        <v>719</v>
      </c>
      <c r="Z179" s="2" t="s">
        <v>721</v>
      </c>
    </row>
    <row r="180" spans="1:26" x14ac:dyDescent="0.35">
      <c r="A180" s="7" t="s">
        <v>1528</v>
      </c>
      <c r="B180" s="7" t="s">
        <v>188</v>
      </c>
      <c r="C180" s="4" t="str">
        <f>_xlfn.XLOOKUP(A180,[2]Sheet2!$I$2:$I$1273,[2]Sheet2!$D$2:$D$1273,0)</f>
        <v>Q1</v>
      </c>
      <c r="D180" s="4">
        <f>_xlfn.XLOOKUP(B180,[4]Sheet2!$B$2:$B$3154,[4]Sheet2!$F$2:$F$3154,0)</f>
        <v>0</v>
      </c>
      <c r="E180" s="4" t="e">
        <f>_xlfn.XLOOKUP(B180,[2]Sheet2!$E$2:$E$713,[2]Sheet2!$G$2:$G$713)</f>
        <v>#N/A</v>
      </c>
      <c r="F180" s="18">
        <v>46039</v>
      </c>
      <c r="G180" s="14">
        <v>8.8530092592592591E-2</v>
      </c>
      <c r="H180" s="7" t="s">
        <v>5</v>
      </c>
      <c r="I180" s="2" t="str">
        <f t="shared" si="13"/>
        <v>Q1</v>
      </c>
      <c r="J180" s="2" t="str">
        <f t="shared" si="14"/>
        <v>Match</v>
      </c>
      <c r="K180" s="2">
        <f t="shared" si="10"/>
        <v>1.6031219541881399</v>
      </c>
      <c r="L180" s="2" t="e">
        <f t="shared" si="11"/>
        <v>#N/A</v>
      </c>
      <c r="M180" s="2" t="str">
        <f t="shared" si="12"/>
        <v>Failed but within quadrant</v>
      </c>
      <c r="N180" s="7">
        <v>42.4</v>
      </c>
      <c r="O180" s="7">
        <v>50.8</v>
      </c>
      <c r="P180" s="7">
        <v>-2.5</v>
      </c>
      <c r="Q180" s="7">
        <v>-0.62</v>
      </c>
      <c r="R180" s="7">
        <v>0.1</v>
      </c>
      <c r="S180" s="7">
        <v>1.6</v>
      </c>
      <c r="T180" s="7">
        <v>0.03</v>
      </c>
      <c r="U180" s="7">
        <v>0.89</v>
      </c>
      <c r="V180" s="7">
        <v>1.0900000000000001</v>
      </c>
      <c r="W180" s="7" t="s">
        <v>6</v>
      </c>
      <c r="X180" s="7" t="s">
        <v>9</v>
      </c>
      <c r="Y180" s="2" t="s">
        <v>719</v>
      </c>
      <c r="Z180" s="2" t="s">
        <v>721</v>
      </c>
    </row>
    <row r="181" spans="1:26" x14ac:dyDescent="0.35">
      <c r="A181" s="7" t="s">
        <v>1558</v>
      </c>
      <c r="B181" s="7" t="s">
        <v>189</v>
      </c>
      <c r="C181" s="4" t="str">
        <f>_xlfn.XLOOKUP(A181,[2]Sheet2!$I$2:$I$1273,[2]Sheet2!$D$2:$D$1273,0)</f>
        <v>Q3</v>
      </c>
      <c r="D181" s="4">
        <f>_xlfn.XLOOKUP(B181,[4]Sheet2!$B$2:$B$3154,[4]Sheet2!$F$2:$F$3154,0)</f>
        <v>0</v>
      </c>
      <c r="E181" s="4" t="e">
        <f>_xlfn.XLOOKUP(B181,[2]Sheet2!$E$2:$E$713,[2]Sheet2!$G$2:$G$713)</f>
        <v>#N/A</v>
      </c>
      <c r="F181" s="18">
        <v>46039</v>
      </c>
      <c r="G181" s="14">
        <v>0.14987268518518518</v>
      </c>
      <c r="H181" s="7" t="s">
        <v>16</v>
      </c>
      <c r="I181" s="2" t="str">
        <f t="shared" si="13"/>
        <v>Q3</v>
      </c>
      <c r="J181" s="2" t="str">
        <f t="shared" si="14"/>
        <v>Match</v>
      </c>
      <c r="K181" s="2">
        <f t="shared" si="10"/>
        <v>0.22360679774997899</v>
      </c>
      <c r="L181" s="2" t="e">
        <f t="shared" si="11"/>
        <v>#N/A</v>
      </c>
      <c r="M181" s="2" t="str">
        <f t="shared" si="12"/>
        <v>Failed but within quadrant</v>
      </c>
      <c r="N181" s="7">
        <v>14.6</v>
      </c>
      <c r="O181" s="7">
        <v>-0.4</v>
      </c>
      <c r="P181" s="7">
        <v>-2.1</v>
      </c>
      <c r="Q181" s="7">
        <v>-0.9</v>
      </c>
      <c r="R181" s="7">
        <v>-0.1</v>
      </c>
      <c r="S181" s="7">
        <v>-0.2</v>
      </c>
      <c r="T181" s="7">
        <v>0.31</v>
      </c>
      <c r="U181" s="7">
        <v>-0.08</v>
      </c>
      <c r="V181" s="7">
        <v>0.96</v>
      </c>
      <c r="W181" s="7" t="s">
        <v>13</v>
      </c>
      <c r="X181" s="7" t="s">
        <v>15</v>
      </c>
      <c r="Y181" s="2" t="s">
        <v>719</v>
      </c>
      <c r="Z181" s="2" t="s">
        <v>721</v>
      </c>
    </row>
    <row r="182" spans="1:26" x14ac:dyDescent="0.35">
      <c r="A182" s="7" t="s">
        <v>1558</v>
      </c>
      <c r="B182" s="7" t="s">
        <v>190</v>
      </c>
      <c r="C182" s="4" t="str">
        <f>_xlfn.XLOOKUP(A182,[2]Sheet2!$I$2:$I$1273,[2]Sheet2!$D$2:$D$1273,0)</f>
        <v>Q3</v>
      </c>
      <c r="D182" s="4">
        <f>_xlfn.XLOOKUP(B182,[4]Sheet2!$B$2:$B$3154,[4]Sheet2!$F$2:$F$3154,0)</f>
        <v>0</v>
      </c>
      <c r="E182" s="4" t="e">
        <f>_xlfn.XLOOKUP(B182,[2]Sheet2!$E$2:$E$713,[2]Sheet2!$G$2:$G$713)</f>
        <v>#N/A</v>
      </c>
      <c r="F182" s="18">
        <v>46039</v>
      </c>
      <c r="G182" s="14">
        <v>0.15164351851851851</v>
      </c>
      <c r="H182" s="7" t="s">
        <v>16</v>
      </c>
      <c r="I182" s="2" t="str">
        <f t="shared" si="13"/>
        <v>Q4</v>
      </c>
      <c r="J182" s="2" t="str">
        <f t="shared" si="14"/>
        <v>Not Match</v>
      </c>
      <c r="K182" s="2">
        <f t="shared" si="10"/>
        <v>0.2</v>
      </c>
      <c r="L182" s="2" t="e">
        <f t="shared" si="11"/>
        <v>#N/A</v>
      </c>
      <c r="M182" s="2" t="str">
        <f t="shared" si="12"/>
        <v>Below 0.8 not in assigned quadrant</v>
      </c>
      <c r="N182" s="7">
        <v>15.2</v>
      </c>
      <c r="O182" s="7">
        <v>-0.4</v>
      </c>
      <c r="P182" s="7">
        <v>-2.1</v>
      </c>
      <c r="Q182" s="7">
        <v>-0.3</v>
      </c>
      <c r="R182" s="7">
        <v>0</v>
      </c>
      <c r="S182" s="7">
        <v>-0.2</v>
      </c>
      <c r="T182" s="7">
        <v>0.28000000000000003</v>
      </c>
      <c r="U182" s="7">
        <v>-0.05</v>
      </c>
      <c r="V182" s="7">
        <v>0.42</v>
      </c>
      <c r="W182" s="7" t="s">
        <v>8</v>
      </c>
      <c r="X182" s="7" t="s">
        <v>15</v>
      </c>
      <c r="Y182" s="2" t="s">
        <v>719</v>
      </c>
      <c r="Z182" s="2" t="s">
        <v>721</v>
      </c>
    </row>
    <row r="183" spans="1:26" x14ac:dyDescent="0.35">
      <c r="A183" s="7" t="s">
        <v>1591</v>
      </c>
      <c r="B183" s="7" t="s">
        <v>191</v>
      </c>
      <c r="C183" s="4">
        <f>_xlfn.XLOOKUP(A183,[2]Sheet2!$I$2:$I$1273,[2]Sheet2!$D$2:$D$1273,0)</f>
        <v>0</v>
      </c>
      <c r="D183" s="4">
        <f>_xlfn.XLOOKUP(B183,[4]Sheet2!$B$2:$B$3154,[4]Sheet2!$F$2:$F$3154,0)</f>
        <v>0</v>
      </c>
      <c r="E183" s="4" t="e">
        <f>_xlfn.XLOOKUP(B183,[2]Sheet2!$E$2:$E$713,[2]Sheet2!$G$2:$G$713)</f>
        <v>#N/A</v>
      </c>
      <c r="F183" s="18">
        <v>46042</v>
      </c>
      <c r="G183" s="14">
        <v>0.40604166666666669</v>
      </c>
      <c r="H183" s="7" t="s">
        <v>4</v>
      </c>
      <c r="I183" s="2" t="str">
        <f t="shared" si="13"/>
        <v>Q4</v>
      </c>
      <c r="J183" s="2" t="str">
        <f t="shared" si="14"/>
        <v>Not Found</v>
      </c>
      <c r="K183" s="2">
        <f t="shared" si="10"/>
        <v>0.70710678118654746</v>
      </c>
      <c r="L183" s="2" t="e">
        <f t="shared" si="11"/>
        <v>#N/A</v>
      </c>
      <c r="M183" s="2" t="str">
        <f t="shared" si="12"/>
        <v>Assign quadrant hit</v>
      </c>
      <c r="N183" s="7">
        <v>20.8</v>
      </c>
      <c r="O183" s="7">
        <v>3.3</v>
      </c>
      <c r="P183" s="7">
        <v>-13.8</v>
      </c>
      <c r="Q183" s="7">
        <v>-0.32</v>
      </c>
      <c r="R183" s="7">
        <v>0.1</v>
      </c>
      <c r="S183" s="7">
        <v>-0.7</v>
      </c>
      <c r="T183" s="7">
        <v>0.57999999999999996</v>
      </c>
      <c r="U183" s="7">
        <v>-7.0000000000000007E-2</v>
      </c>
      <c r="V183" s="7">
        <v>0.67</v>
      </c>
      <c r="W183" s="7" t="s">
        <v>8</v>
      </c>
      <c r="X183" s="7" t="s">
        <v>15</v>
      </c>
      <c r="Y183" s="2" t="s">
        <v>719</v>
      </c>
      <c r="Z183" s="2" t="s">
        <v>721</v>
      </c>
    </row>
    <row r="184" spans="1:26" x14ac:dyDescent="0.35">
      <c r="A184" s="7" t="s">
        <v>1558</v>
      </c>
      <c r="B184" s="7" t="s">
        <v>192</v>
      </c>
      <c r="C184" s="4" t="str">
        <f>_xlfn.XLOOKUP(A184,[2]Sheet2!$I$2:$I$1273,[2]Sheet2!$D$2:$D$1273,0)</f>
        <v>Q3</v>
      </c>
      <c r="D184" s="4">
        <f>_xlfn.XLOOKUP(B184,[4]Sheet2!$B$2:$B$3154,[4]Sheet2!$F$2:$F$3154,0)</f>
        <v>0</v>
      </c>
      <c r="E184" s="4" t="e">
        <f>_xlfn.XLOOKUP(B184,[2]Sheet2!$E$2:$E$713,[2]Sheet2!$G$2:$G$713)</f>
        <v>#N/A</v>
      </c>
      <c r="F184" s="18">
        <v>46042</v>
      </c>
      <c r="G184" s="14">
        <v>0.70556712962962964</v>
      </c>
      <c r="H184" s="7" t="s">
        <v>16</v>
      </c>
      <c r="I184" s="2" t="str">
        <f t="shared" si="13"/>
        <v>Q3</v>
      </c>
      <c r="J184" s="2" t="str">
        <f t="shared" si="14"/>
        <v>Match</v>
      </c>
      <c r="K184" s="2">
        <f t="shared" si="10"/>
        <v>0.22360679774997899</v>
      </c>
      <c r="L184" s="2" t="e">
        <f t="shared" si="11"/>
        <v>#N/A</v>
      </c>
      <c r="M184" s="2" t="str">
        <f t="shared" si="12"/>
        <v>Digital Approve Hit</v>
      </c>
      <c r="N184" s="7">
        <v>14.9</v>
      </c>
      <c r="O184" s="7">
        <v>-0.4</v>
      </c>
      <c r="P184" s="7">
        <v>-2.1</v>
      </c>
      <c r="Q184" s="7">
        <v>-0.54</v>
      </c>
      <c r="R184" s="7">
        <v>-0.1</v>
      </c>
      <c r="S184" s="7">
        <v>-0.2</v>
      </c>
      <c r="T184" s="7">
        <v>0.28999999999999998</v>
      </c>
      <c r="U184" s="7">
        <v>-0.09</v>
      </c>
      <c r="V184" s="7">
        <v>0.62</v>
      </c>
      <c r="W184" s="7" t="s">
        <v>8</v>
      </c>
      <c r="X184" s="7" t="s">
        <v>15</v>
      </c>
      <c r="Y184" s="2" t="s">
        <v>719</v>
      </c>
      <c r="Z184" s="2" t="s">
        <v>721</v>
      </c>
    </row>
    <row r="185" spans="1:26" x14ac:dyDescent="0.35">
      <c r="A185" s="7" t="s">
        <v>1519</v>
      </c>
      <c r="B185" s="7" t="s">
        <v>193</v>
      </c>
      <c r="C185" s="4">
        <f>_xlfn.XLOOKUP(A185,[2]Sheet2!$I$2:$I$1273,[2]Sheet2!$D$2:$D$1273,0)</f>
        <v>0</v>
      </c>
      <c r="D185" s="4">
        <f>_xlfn.XLOOKUP(B185,[4]Sheet2!$B$2:$B$3154,[4]Sheet2!$F$2:$F$3154,0)</f>
        <v>0</v>
      </c>
      <c r="E185" s="4" t="e">
        <f>_xlfn.XLOOKUP(B185,[2]Sheet2!$E$2:$E$713,[2]Sheet2!$G$2:$G$713)</f>
        <v>#N/A</v>
      </c>
      <c r="F185" s="18">
        <v>46042</v>
      </c>
      <c r="G185" s="14">
        <v>0.70967592592592588</v>
      </c>
      <c r="H185" s="7" t="s">
        <v>5</v>
      </c>
      <c r="I185" s="2" t="str">
        <f t="shared" si="13"/>
        <v>Q1</v>
      </c>
      <c r="J185" s="2" t="str">
        <f t="shared" si="14"/>
        <v>Not Found</v>
      </c>
      <c r="K185" s="2">
        <f t="shared" si="10"/>
        <v>1</v>
      </c>
      <c r="L185" s="2" t="e">
        <f t="shared" si="11"/>
        <v>#N/A</v>
      </c>
      <c r="M185" s="2" t="str">
        <f t="shared" si="12"/>
        <v>Assign quadrant hit</v>
      </c>
      <c r="N185" s="7">
        <v>27.9</v>
      </c>
      <c r="O185" s="7">
        <v>23.4</v>
      </c>
      <c r="P185" s="7">
        <v>17.5</v>
      </c>
      <c r="Q185" s="7">
        <v>-0.28999999999999998</v>
      </c>
      <c r="R185" s="7">
        <v>0.8</v>
      </c>
      <c r="S185" s="7">
        <v>0.6</v>
      </c>
      <c r="T185" s="7">
        <v>0.54</v>
      </c>
      <c r="U185" s="7">
        <v>7.0000000000000007E-2</v>
      </c>
      <c r="V185" s="7">
        <v>0.62</v>
      </c>
      <c r="W185" s="7" t="s">
        <v>8</v>
      </c>
      <c r="X185" s="7" t="s">
        <v>12</v>
      </c>
      <c r="Y185" s="2" t="s">
        <v>719</v>
      </c>
      <c r="Z185" s="2" t="s">
        <v>721</v>
      </c>
    </row>
    <row r="186" spans="1:26" x14ac:dyDescent="0.35">
      <c r="A186" s="7" t="s">
        <v>1592</v>
      </c>
      <c r="B186" s="7" t="s">
        <v>194</v>
      </c>
      <c r="C186" s="4" t="str">
        <f>_xlfn.XLOOKUP(A186,[2]Sheet2!$I$2:$I$1273,[2]Sheet2!$D$2:$D$1273,0)</f>
        <v>Q4</v>
      </c>
      <c r="D186" s="4">
        <f>_xlfn.XLOOKUP(B186,[4]Sheet2!$B$2:$B$3154,[4]Sheet2!$F$2:$F$3154,0)</f>
        <v>0</v>
      </c>
      <c r="E186" s="4" t="e">
        <f>_xlfn.XLOOKUP(B186,[2]Sheet2!$E$2:$E$713,[2]Sheet2!$G$2:$G$713)</f>
        <v>#N/A</v>
      </c>
      <c r="F186" s="18">
        <v>46042</v>
      </c>
      <c r="G186" s="14">
        <v>0.74922453703703706</v>
      </c>
      <c r="H186" s="7" t="s">
        <v>5</v>
      </c>
      <c r="I186" s="2" t="str">
        <f t="shared" si="13"/>
        <v>Q4</v>
      </c>
      <c r="J186" s="2" t="str">
        <f t="shared" si="14"/>
        <v>Match</v>
      </c>
      <c r="K186" s="2">
        <f t="shared" si="10"/>
        <v>0.53851648071345048</v>
      </c>
      <c r="L186" s="2" t="e">
        <f t="shared" si="11"/>
        <v>#N/A</v>
      </c>
      <c r="M186" s="2" t="str">
        <f t="shared" si="12"/>
        <v>Digital Approve Hit</v>
      </c>
      <c r="N186" s="7">
        <v>47.6</v>
      </c>
      <c r="O186" s="7">
        <v>-16.3</v>
      </c>
      <c r="P186" s="7">
        <v>-41.3</v>
      </c>
      <c r="Q186" s="7">
        <v>-0.64</v>
      </c>
      <c r="R186" s="7">
        <v>0.2</v>
      </c>
      <c r="S186" s="7">
        <v>-0.5</v>
      </c>
      <c r="T186" s="7">
        <v>0.19</v>
      </c>
      <c r="U186" s="7">
        <v>0.28000000000000003</v>
      </c>
      <c r="V186" s="7">
        <v>0.72</v>
      </c>
      <c r="W186" s="7" t="s">
        <v>8</v>
      </c>
      <c r="X186" s="7" t="s">
        <v>9</v>
      </c>
      <c r="Y186" s="2" t="s">
        <v>719</v>
      </c>
      <c r="Z186" s="2" t="s">
        <v>721</v>
      </c>
    </row>
    <row r="187" spans="1:26" x14ac:dyDescent="0.35">
      <c r="A187" s="7" t="s">
        <v>1593</v>
      </c>
      <c r="B187" s="7" t="s">
        <v>195</v>
      </c>
      <c r="C187" s="4" t="str">
        <f>_xlfn.XLOOKUP(A187,[2]Sheet2!$I$2:$I$1273,[2]Sheet2!$D$2:$D$1273,0)</f>
        <v>Q3</v>
      </c>
      <c r="D187" s="4">
        <f>_xlfn.XLOOKUP(B187,[4]Sheet2!$B$2:$B$3154,[4]Sheet2!$F$2:$F$3154,0)</f>
        <v>0</v>
      </c>
      <c r="E187" s="4" t="e">
        <f>_xlfn.XLOOKUP(B187,[2]Sheet2!$E$2:$E$713,[2]Sheet2!$G$2:$G$713)</f>
        <v>#N/A</v>
      </c>
      <c r="F187" s="18">
        <v>46042</v>
      </c>
      <c r="G187" s="14">
        <v>0.90721064814814811</v>
      </c>
      <c r="H187" s="7" t="s">
        <v>5</v>
      </c>
      <c r="I187" s="2" t="str">
        <f t="shared" si="13"/>
        <v>Q4</v>
      </c>
      <c r="J187" s="2" t="str">
        <f t="shared" si="14"/>
        <v>Not Match</v>
      </c>
      <c r="K187" s="2">
        <f t="shared" si="10"/>
        <v>0.22360679774997899</v>
      </c>
      <c r="L187" s="2" t="e">
        <f t="shared" si="11"/>
        <v>#N/A</v>
      </c>
      <c r="M187" s="2" t="str">
        <f t="shared" si="12"/>
        <v>Below 0.8 not in assigned quadrant</v>
      </c>
      <c r="N187" s="7">
        <v>22.3</v>
      </c>
      <c r="O187" s="7">
        <v>3.4</v>
      </c>
      <c r="P187" s="7">
        <v>2.4</v>
      </c>
      <c r="Q187" s="7">
        <v>0.16</v>
      </c>
      <c r="R187" s="7">
        <v>0.2</v>
      </c>
      <c r="S187" s="7">
        <v>-0.1</v>
      </c>
      <c r="T187" s="7">
        <v>0.1</v>
      </c>
      <c r="U187" s="7">
        <v>-0.39</v>
      </c>
      <c r="V187" s="7">
        <v>0.43</v>
      </c>
      <c r="W187" s="7" t="s">
        <v>8</v>
      </c>
      <c r="X187" s="7" t="s">
        <v>7</v>
      </c>
      <c r="Y187" s="2" t="s">
        <v>719</v>
      </c>
      <c r="Z187" s="2" t="s">
        <v>721</v>
      </c>
    </row>
    <row r="188" spans="1:26" x14ac:dyDescent="0.35">
      <c r="A188" s="7" t="s">
        <v>1594</v>
      </c>
      <c r="B188" s="7" t="s">
        <v>196</v>
      </c>
      <c r="C188" s="4" t="str">
        <f>_xlfn.XLOOKUP(A188,[2]Sheet2!$I$2:$I$1273,[2]Sheet2!$D$2:$D$1273,0)</f>
        <v>Q1</v>
      </c>
      <c r="D188" s="4">
        <f>_xlfn.XLOOKUP(B188,[4]Sheet2!$B$2:$B$3154,[4]Sheet2!$F$2:$F$3154,0)</f>
        <v>0</v>
      </c>
      <c r="E188" s="4" t="e">
        <f>_xlfn.XLOOKUP(B188,[2]Sheet2!$E$2:$E$713,[2]Sheet2!$G$2:$G$713)</f>
        <v>#N/A</v>
      </c>
      <c r="F188" s="18">
        <v>46042</v>
      </c>
      <c r="G188" s="14">
        <v>0.96908564814814813</v>
      </c>
      <c r="H188" s="7" t="s">
        <v>11</v>
      </c>
      <c r="I188" s="2" t="str">
        <f t="shared" si="13"/>
        <v>Q4</v>
      </c>
      <c r="J188" s="2" t="str">
        <f t="shared" si="14"/>
        <v>Not Match</v>
      </c>
      <c r="K188" s="2">
        <f t="shared" si="10"/>
        <v>0.4</v>
      </c>
      <c r="L188" s="2" t="e">
        <f t="shared" si="11"/>
        <v>#N/A</v>
      </c>
      <c r="M188" s="2" t="str">
        <f t="shared" si="12"/>
        <v>Assign quadrant hit</v>
      </c>
      <c r="N188" s="7">
        <v>17.5</v>
      </c>
      <c r="O188" s="7">
        <v>-0.5</v>
      </c>
      <c r="P188" s="7">
        <v>-4.5</v>
      </c>
      <c r="Q188" s="7">
        <v>0.83</v>
      </c>
      <c r="R188" s="7">
        <v>0</v>
      </c>
      <c r="S188" s="7">
        <v>-0.4</v>
      </c>
      <c r="T188" s="7">
        <v>0.49</v>
      </c>
      <c r="U188" s="7">
        <v>0.12</v>
      </c>
      <c r="V188" s="7">
        <v>0.97</v>
      </c>
      <c r="W188" s="7" t="s">
        <v>13</v>
      </c>
      <c r="X188" s="7" t="s">
        <v>9</v>
      </c>
      <c r="Y188" s="2" t="s">
        <v>719</v>
      </c>
      <c r="Z188" s="2" t="s">
        <v>721</v>
      </c>
    </row>
    <row r="189" spans="1:26" x14ac:dyDescent="0.35">
      <c r="A189" s="7" t="s">
        <v>1558</v>
      </c>
      <c r="B189" s="7" t="s">
        <v>198</v>
      </c>
      <c r="C189" s="4" t="str">
        <f>_xlfn.XLOOKUP(A189,[2]Sheet2!$I$2:$I$1273,[2]Sheet2!$D$2:$D$1273,0)</f>
        <v>Q3</v>
      </c>
      <c r="D189" s="4">
        <f>_xlfn.XLOOKUP(B189,[4]Sheet2!$B$2:$B$3154,[4]Sheet2!$F$2:$F$3154,0)</f>
        <v>0</v>
      </c>
      <c r="E189" s="4" t="e">
        <f>_xlfn.XLOOKUP(B189,[2]Sheet2!$E$2:$E$713,[2]Sheet2!$G$2:$G$713)</f>
        <v>#N/A</v>
      </c>
      <c r="F189" s="18">
        <v>46043</v>
      </c>
      <c r="G189" s="14">
        <v>8.351851851851852E-2</v>
      </c>
      <c r="H189" s="7" t="s">
        <v>16</v>
      </c>
      <c r="I189" s="2" t="str">
        <f t="shared" si="13"/>
        <v>Q3</v>
      </c>
      <c r="J189" s="2" t="str">
        <f t="shared" si="14"/>
        <v>Match</v>
      </c>
      <c r="K189" s="2">
        <f t="shared" si="10"/>
        <v>0</v>
      </c>
      <c r="L189" s="2" t="e">
        <f t="shared" si="11"/>
        <v>#N/A</v>
      </c>
      <c r="M189" s="2" t="str">
        <f t="shared" si="12"/>
        <v>Failed but within quadrant</v>
      </c>
      <c r="N189" s="7">
        <v>14.3</v>
      </c>
      <c r="O189" s="7">
        <v>-0.3</v>
      </c>
      <c r="P189" s="7">
        <v>-1.9</v>
      </c>
      <c r="Q189" s="7">
        <v>-1.1200000000000001</v>
      </c>
      <c r="R189" s="7">
        <v>0</v>
      </c>
      <c r="S189" s="7">
        <v>0</v>
      </c>
      <c r="T189" s="7">
        <v>7.0000000000000007E-2</v>
      </c>
      <c r="U189" s="7">
        <v>-0.03</v>
      </c>
      <c r="V189" s="7">
        <v>1.1299999999999999</v>
      </c>
      <c r="W189" s="7" t="s">
        <v>6</v>
      </c>
      <c r="X189" s="7" t="s">
        <v>15</v>
      </c>
      <c r="Y189" s="2" t="s">
        <v>719</v>
      </c>
      <c r="Z189" s="2" t="s">
        <v>721</v>
      </c>
    </row>
    <row r="190" spans="1:26" x14ac:dyDescent="0.35">
      <c r="A190" s="7" t="s">
        <v>1595</v>
      </c>
      <c r="B190" s="7" t="s">
        <v>199</v>
      </c>
      <c r="C190" s="4" t="str">
        <f>_xlfn.XLOOKUP(A190,[2]Sheet2!$I$2:$I$1273,[2]Sheet2!$D$2:$D$1273,0)</f>
        <v>Q4</v>
      </c>
      <c r="D190" s="4">
        <f>_xlfn.XLOOKUP(B190,[4]Sheet2!$B$2:$B$3154,[4]Sheet2!$F$2:$F$3154,0)</f>
        <v>0</v>
      </c>
      <c r="E190" s="4" t="e">
        <f>_xlfn.XLOOKUP(B190,[2]Sheet2!$E$2:$E$713,[2]Sheet2!$G$2:$G$713)</f>
        <v>#N/A</v>
      </c>
      <c r="F190" s="18">
        <v>46043</v>
      </c>
      <c r="G190" s="14">
        <v>8.576388888888889E-2</v>
      </c>
      <c r="H190" s="7" t="s">
        <v>16</v>
      </c>
      <c r="I190" s="2" t="str">
        <f t="shared" si="13"/>
        <v>Q1</v>
      </c>
      <c r="J190" s="2" t="str">
        <f t="shared" si="14"/>
        <v>Not Match</v>
      </c>
      <c r="K190" s="2">
        <f t="shared" si="10"/>
        <v>0.2</v>
      </c>
      <c r="L190" s="2" t="e">
        <f t="shared" si="11"/>
        <v>#N/A</v>
      </c>
      <c r="M190" s="2" t="str">
        <f t="shared" si="12"/>
        <v>Below 0.8 not in assigned quadrant</v>
      </c>
      <c r="N190" s="7">
        <v>29.4</v>
      </c>
      <c r="O190" s="7">
        <v>-1.7</v>
      </c>
      <c r="P190" s="7">
        <v>-2.7</v>
      </c>
      <c r="Q190" s="7">
        <v>0.38</v>
      </c>
      <c r="R190" s="7">
        <v>0</v>
      </c>
      <c r="S190" s="7">
        <v>0.2</v>
      </c>
      <c r="T190" s="7">
        <v>-0.24</v>
      </c>
      <c r="U190" s="7">
        <v>-0.21</v>
      </c>
      <c r="V190" s="7">
        <v>0.5</v>
      </c>
      <c r="W190" s="7" t="s">
        <v>8</v>
      </c>
      <c r="X190" s="7" t="s">
        <v>15</v>
      </c>
      <c r="Y190" s="2" t="s">
        <v>719</v>
      </c>
      <c r="Z190" s="2" t="s">
        <v>721</v>
      </c>
    </row>
    <row r="191" spans="1:26" x14ac:dyDescent="0.35">
      <c r="A191" s="7" t="s">
        <v>1596</v>
      </c>
      <c r="B191" s="7" t="s">
        <v>200</v>
      </c>
      <c r="C191" s="4" t="str">
        <f>_xlfn.XLOOKUP(A191,[2]Sheet2!$I$2:$I$1273,[2]Sheet2!$D$2:$D$1273,0)</f>
        <v>Q4</v>
      </c>
      <c r="D191" s="4">
        <f>_xlfn.XLOOKUP(B191,[4]Sheet2!$B$2:$B$3154,[4]Sheet2!$F$2:$F$3154,0)</f>
        <v>0</v>
      </c>
      <c r="E191" s="4" t="e">
        <f>_xlfn.XLOOKUP(B191,[2]Sheet2!$E$2:$E$713,[2]Sheet2!$G$2:$G$713)</f>
        <v>#N/A</v>
      </c>
      <c r="F191" s="18">
        <v>46043</v>
      </c>
      <c r="G191" s="14">
        <v>0.17862268518518518</v>
      </c>
      <c r="H191" s="7" t="s">
        <v>11</v>
      </c>
      <c r="I191" s="2" t="str">
        <f t="shared" si="13"/>
        <v>Q2</v>
      </c>
      <c r="J191" s="2" t="str">
        <f t="shared" si="14"/>
        <v>Not Match</v>
      </c>
      <c r="K191" s="2">
        <f t="shared" si="10"/>
        <v>0.72801098892805172</v>
      </c>
      <c r="L191" s="2" t="e">
        <f t="shared" si="11"/>
        <v>#N/A</v>
      </c>
      <c r="M191" s="2" t="str">
        <f t="shared" si="12"/>
        <v>Assign quadrant hit</v>
      </c>
      <c r="N191" s="7">
        <v>21.1</v>
      </c>
      <c r="O191" s="7">
        <v>-0.3</v>
      </c>
      <c r="P191" s="7">
        <v>-11.5</v>
      </c>
      <c r="Q191" s="7">
        <v>1.19</v>
      </c>
      <c r="R191" s="7">
        <v>-0.2</v>
      </c>
      <c r="S191" s="7">
        <v>0.7</v>
      </c>
      <c r="T191" s="7">
        <v>-0.56000000000000005</v>
      </c>
      <c r="U191" s="7">
        <v>-0.28999999999999998</v>
      </c>
      <c r="V191" s="7">
        <v>1.35</v>
      </c>
      <c r="W191" s="7" t="s">
        <v>6</v>
      </c>
      <c r="X191" s="7" t="s">
        <v>15</v>
      </c>
      <c r="Y191" s="2" t="s">
        <v>719</v>
      </c>
      <c r="Z191" s="2" t="s">
        <v>721</v>
      </c>
    </row>
    <row r="192" spans="1:26" x14ac:dyDescent="0.35">
      <c r="A192" s="7" t="s">
        <v>1597</v>
      </c>
      <c r="B192" s="7" t="s">
        <v>201</v>
      </c>
      <c r="C192" s="4">
        <f>_xlfn.XLOOKUP(A192,[2]Sheet2!$I$2:$I$1273,[2]Sheet2!$D$2:$D$1273,0)</f>
        <v>0</v>
      </c>
      <c r="D192" s="4">
        <f>_xlfn.XLOOKUP(B192,[4]Sheet2!$B$2:$B$3154,[4]Sheet2!$F$2:$F$3154,0)</f>
        <v>0</v>
      </c>
      <c r="E192" s="4" t="e">
        <f>_xlfn.XLOOKUP(B192,[2]Sheet2!$E$2:$E$713,[2]Sheet2!$G$2:$G$713)</f>
        <v>#N/A</v>
      </c>
      <c r="F192" s="18">
        <v>46043</v>
      </c>
      <c r="G192" s="14">
        <v>0.18118055555555557</v>
      </c>
      <c r="H192" s="7" t="s">
        <v>5</v>
      </c>
      <c r="I192" s="2">
        <f t="shared" si="13"/>
        <v>0</v>
      </c>
      <c r="J192" s="2" t="str">
        <f t="shared" si="14"/>
        <v>Match</v>
      </c>
      <c r="K192" s="2">
        <f t="shared" si="10"/>
        <v>0</v>
      </c>
      <c r="L192" s="2" t="e">
        <f t="shared" si="11"/>
        <v>#N/A</v>
      </c>
      <c r="M192" s="2" t="str">
        <f t="shared" si="12"/>
        <v>Digital Approve Hit</v>
      </c>
      <c r="N192" s="7">
        <v>15.8</v>
      </c>
      <c r="O192" s="7">
        <v>-0.5</v>
      </c>
      <c r="P192" s="7">
        <v>-2.9</v>
      </c>
      <c r="Q192" s="7">
        <v>-0.56999999999999995</v>
      </c>
      <c r="R192" s="7">
        <v>0</v>
      </c>
      <c r="S192" s="7">
        <v>0</v>
      </c>
      <c r="T192" s="7">
        <v>0.02</v>
      </c>
      <c r="U192" s="7">
        <v>0.13</v>
      </c>
      <c r="V192" s="7">
        <v>0.59</v>
      </c>
      <c r="W192" s="7" t="s">
        <v>8</v>
      </c>
      <c r="X192" s="7" t="s">
        <v>9</v>
      </c>
      <c r="Y192" s="2" t="s">
        <v>719</v>
      </c>
      <c r="Z192" s="2" t="s">
        <v>721</v>
      </c>
    </row>
    <row r="193" spans="1:26" x14ac:dyDescent="0.35">
      <c r="A193" s="7" t="s">
        <v>1598</v>
      </c>
      <c r="B193" s="7" t="s">
        <v>197</v>
      </c>
      <c r="C193" s="4" t="str">
        <f>_xlfn.XLOOKUP(A193,[2]Sheet2!$I$2:$I$1273,[2]Sheet2!$D$2:$D$1273,0)</f>
        <v>Q3</v>
      </c>
      <c r="D193" s="4">
        <f>_xlfn.XLOOKUP(B193,[4]Sheet2!$B$2:$B$3154,[4]Sheet2!$F$2:$F$3154,0)</f>
        <v>0</v>
      </c>
      <c r="E193" s="4" t="e">
        <f>_xlfn.XLOOKUP(B193,[2]Sheet2!$E$2:$E$713,[2]Sheet2!$G$2:$G$713)</f>
        <v>#N/A</v>
      </c>
      <c r="F193" s="18">
        <v>46043</v>
      </c>
      <c r="G193" s="14">
        <v>0.26143518518518516</v>
      </c>
      <c r="H193" s="7" t="s">
        <v>5</v>
      </c>
      <c r="I193" s="2" t="str">
        <f t="shared" si="13"/>
        <v>Q3</v>
      </c>
      <c r="J193" s="2" t="str">
        <f t="shared" si="14"/>
        <v>Match</v>
      </c>
      <c r="K193" s="2">
        <f t="shared" ref="K193:K256" si="15">SQRT(R193^2+S193^2)</f>
        <v>0.44721359549995798</v>
      </c>
      <c r="L193" s="2" t="e">
        <f t="shared" ref="L193:L256" si="16">IF(K193&lt;=E193,"Within Range","Over Range")</f>
        <v>#N/A</v>
      </c>
      <c r="M193" s="2" t="str">
        <f t="shared" ref="M193:M256" si="17">IF(AND(J193="Match",V193&lt;=0.8),"Digital Approve Hit",
IF(AND(J193="Match",V193&gt;0.8),"Failed but within quadrant",
IF(AND(J193="Not Match",V193&lt;=0.8),"Below 0.8 not in assigned quadrant",
"Assign quadrant hit")))</f>
        <v>Digital Approve Hit</v>
      </c>
      <c r="N193" s="7">
        <v>20.3</v>
      </c>
      <c r="O193" s="7">
        <v>-6.6</v>
      </c>
      <c r="P193" s="7">
        <v>-13.7</v>
      </c>
      <c r="Q193" s="7">
        <v>-0.42</v>
      </c>
      <c r="R193" s="7">
        <v>-0.4</v>
      </c>
      <c r="S193" s="7">
        <v>-0.2</v>
      </c>
      <c r="T193" s="7">
        <v>0.28999999999999998</v>
      </c>
      <c r="U193" s="7">
        <v>-0.33</v>
      </c>
      <c r="V193" s="7">
        <v>0.61</v>
      </c>
      <c r="W193" s="7" t="s">
        <v>8</v>
      </c>
      <c r="X193" s="7" t="s">
        <v>15</v>
      </c>
      <c r="Y193" s="2" t="s">
        <v>719</v>
      </c>
      <c r="Z193" s="2" t="s">
        <v>721</v>
      </c>
    </row>
    <row r="194" spans="1:26" x14ac:dyDescent="0.35">
      <c r="A194" s="7" t="s">
        <v>1599</v>
      </c>
      <c r="B194" s="7" t="s">
        <v>202</v>
      </c>
      <c r="C194" s="4" t="e">
        <f>_xlfn.XLOOKUP(A194,[2]Sheet2!$I$2:$I$1273,[2]Sheet2!$D$2:$D$1273,0)</f>
        <v>#REF!</v>
      </c>
      <c r="D194" s="4">
        <f>_xlfn.XLOOKUP(B194,[4]Sheet2!$B$2:$B$3154,[4]Sheet2!$F$2:$F$3154,0)</f>
        <v>0</v>
      </c>
      <c r="E194" s="4" t="e">
        <f>_xlfn.XLOOKUP(B194,[2]Sheet2!$E$2:$E$713,[2]Sheet2!$G$2:$G$713)</f>
        <v>#N/A</v>
      </c>
      <c r="F194" s="18">
        <v>46043</v>
      </c>
      <c r="G194" s="14">
        <v>0.26364583333333336</v>
      </c>
      <c r="H194" s="7" t="s">
        <v>5</v>
      </c>
      <c r="I194" s="2" t="str">
        <f t="shared" ref="I194:I257" si="18">IF(AND(R194=0,S194=0),IF(C194="","Origin",C194),
IF(AND(R194&gt;0,S194=0),"Q4",
IF(AND(R194&lt;0,S194=0),"Q3",
IF(AND(R194&gt;=0,S194&lt;0),"Q4",
IF(AND(R194&gt;=0,S194&gt;0),"Q1",
IF(AND(R194&lt;0,S194&lt;=0),"Q3",
IF(AND(R194&lt;0,S194&gt;0),"Q2",
"")))))))</f>
        <v>Q1</v>
      </c>
      <c r="J194" s="2" t="e">
        <f t="shared" si="14"/>
        <v>#REF!</v>
      </c>
      <c r="K194" s="2">
        <f t="shared" si="15"/>
        <v>1.3601470508735443</v>
      </c>
      <c r="L194" s="2" t="e">
        <f t="shared" si="16"/>
        <v>#N/A</v>
      </c>
      <c r="M194" s="2" t="e">
        <f t="shared" si="17"/>
        <v>#REF!</v>
      </c>
      <c r="N194" s="7">
        <v>27.8</v>
      </c>
      <c r="O194" s="7">
        <v>0.7</v>
      </c>
      <c r="P194" s="7">
        <v>9.3000000000000007</v>
      </c>
      <c r="Q194" s="7">
        <v>1.5</v>
      </c>
      <c r="R194" s="7">
        <v>0.4</v>
      </c>
      <c r="S194" s="7">
        <v>1.3</v>
      </c>
      <c r="T194" s="7">
        <v>1.26</v>
      </c>
      <c r="U194" s="7">
        <v>-0.56000000000000005</v>
      </c>
      <c r="V194" s="7">
        <v>2.04</v>
      </c>
      <c r="W194" s="7" t="s">
        <v>6</v>
      </c>
      <c r="X194" s="7" t="s">
        <v>9</v>
      </c>
      <c r="Y194" s="2" t="s">
        <v>719</v>
      </c>
      <c r="Z194" s="2" t="s">
        <v>721</v>
      </c>
    </row>
    <row r="195" spans="1:26" x14ac:dyDescent="0.35">
      <c r="A195" s="7" t="s">
        <v>1600</v>
      </c>
      <c r="B195" s="7" t="s">
        <v>203</v>
      </c>
      <c r="C195" s="4">
        <f>_xlfn.XLOOKUP(A195,[2]Sheet2!$I$2:$I$1273,[2]Sheet2!$D$2:$D$1273,0)</f>
        <v>0</v>
      </c>
      <c r="D195" s="4">
        <f>_xlfn.XLOOKUP(B195,[4]Sheet2!$B$2:$B$3154,[4]Sheet2!$F$2:$F$3154,0)</f>
        <v>0</v>
      </c>
      <c r="E195" s="4" t="e">
        <f>_xlfn.XLOOKUP(B195,[2]Sheet2!$E$2:$E$713,[2]Sheet2!$G$2:$G$713)</f>
        <v>#N/A</v>
      </c>
      <c r="F195" s="18">
        <v>46043</v>
      </c>
      <c r="G195" s="14">
        <v>0.26618055555555553</v>
      </c>
      <c r="H195" s="7" t="s">
        <v>5</v>
      </c>
      <c r="I195" s="2">
        <f t="shared" si="18"/>
        <v>0</v>
      </c>
      <c r="J195" s="2" t="str">
        <f t="shared" ref="J195:J258" si="19">IF(I195=C195,"Match",IF(C195=0,"Not Found","Not Match"))</f>
        <v>Match</v>
      </c>
      <c r="K195" s="2">
        <f t="shared" si="15"/>
        <v>0</v>
      </c>
      <c r="L195" s="2" t="e">
        <f t="shared" si="16"/>
        <v>#N/A</v>
      </c>
      <c r="M195" s="2" t="str">
        <f t="shared" si="17"/>
        <v>Digital Approve Hit</v>
      </c>
      <c r="N195" s="7">
        <v>15.7</v>
      </c>
      <c r="O195" s="7">
        <v>-0.5</v>
      </c>
      <c r="P195" s="7">
        <v>-1.5</v>
      </c>
      <c r="Q195" s="7">
        <v>-0.45</v>
      </c>
      <c r="R195" s="7">
        <v>0</v>
      </c>
      <c r="S195" s="7">
        <v>0</v>
      </c>
      <c r="T195" s="7">
        <v>-0.13</v>
      </c>
      <c r="U195" s="7">
        <v>0.01</v>
      </c>
      <c r="V195" s="7">
        <v>0.47</v>
      </c>
      <c r="W195" s="7" t="s">
        <v>8</v>
      </c>
      <c r="X195" s="7" t="s">
        <v>9</v>
      </c>
      <c r="Y195" s="2" t="s">
        <v>719</v>
      </c>
      <c r="Z195" s="2" t="s">
        <v>721</v>
      </c>
    </row>
    <row r="196" spans="1:26" x14ac:dyDescent="0.35">
      <c r="A196" s="7" t="s">
        <v>1508</v>
      </c>
      <c r="B196" s="7" t="s">
        <v>204</v>
      </c>
      <c r="C196" s="4" t="str">
        <f>_xlfn.XLOOKUP(A196,[2]Sheet2!$I$2:$I$1273,[2]Sheet2!$D$2:$D$1273,0)</f>
        <v>Q2</v>
      </c>
      <c r="D196" s="4">
        <f>_xlfn.XLOOKUP(B196,[4]Sheet2!$B$2:$B$3154,[4]Sheet2!$F$2:$F$3154,0)</f>
        <v>0</v>
      </c>
      <c r="E196" s="4" t="e">
        <f>_xlfn.XLOOKUP(B196,[2]Sheet2!$E$2:$E$713,[2]Sheet2!$G$2:$G$713)</f>
        <v>#N/A</v>
      </c>
      <c r="F196" s="18">
        <v>46043</v>
      </c>
      <c r="G196" s="14">
        <v>0.26809027777777777</v>
      </c>
      <c r="H196" s="7" t="s">
        <v>5</v>
      </c>
      <c r="I196" s="2" t="str">
        <f t="shared" si="18"/>
        <v>Q4</v>
      </c>
      <c r="J196" s="2" t="str">
        <f t="shared" si="19"/>
        <v>Not Match</v>
      </c>
      <c r="K196" s="2">
        <f t="shared" si="15"/>
        <v>0.4</v>
      </c>
      <c r="L196" s="2" t="e">
        <f t="shared" si="16"/>
        <v>#N/A</v>
      </c>
      <c r="M196" s="2" t="str">
        <f t="shared" si="17"/>
        <v>Below 0.8 not in assigned quadrant</v>
      </c>
      <c r="N196" s="7">
        <v>17.899999999999999</v>
      </c>
      <c r="O196" s="7">
        <v>-0.8</v>
      </c>
      <c r="P196" s="7">
        <v>-9.5</v>
      </c>
      <c r="Q196" s="7">
        <v>-0.22</v>
      </c>
      <c r="R196" s="7">
        <v>0</v>
      </c>
      <c r="S196" s="7">
        <v>-0.4</v>
      </c>
      <c r="T196" s="7">
        <v>0.42</v>
      </c>
      <c r="U196" s="7">
        <v>7.0000000000000007E-2</v>
      </c>
      <c r="V196" s="7">
        <v>0.48</v>
      </c>
      <c r="W196" s="7" t="s">
        <v>8</v>
      </c>
      <c r="X196" s="7" t="s">
        <v>9</v>
      </c>
      <c r="Y196" s="2" t="s">
        <v>719</v>
      </c>
      <c r="Z196" s="2" t="s">
        <v>721</v>
      </c>
    </row>
    <row r="197" spans="1:26" x14ac:dyDescent="0.35">
      <c r="A197" s="7" t="s">
        <v>1601</v>
      </c>
      <c r="B197" s="7" t="s">
        <v>205</v>
      </c>
      <c r="C197" s="4">
        <f>_xlfn.XLOOKUP(A197,[2]Sheet2!$I$2:$I$1273,[2]Sheet2!$D$2:$D$1273,0)</f>
        <v>0</v>
      </c>
      <c r="D197" s="4">
        <f>_xlfn.XLOOKUP(B197,[4]Sheet2!$B$2:$B$3154,[4]Sheet2!$F$2:$F$3154,0)</f>
        <v>0</v>
      </c>
      <c r="E197" s="4" t="e">
        <f>_xlfn.XLOOKUP(B197,[2]Sheet2!$E$2:$E$713,[2]Sheet2!$G$2:$G$713)</f>
        <v>#N/A</v>
      </c>
      <c r="F197" s="18">
        <v>46043</v>
      </c>
      <c r="G197" s="14">
        <v>0.27112268518518517</v>
      </c>
      <c r="H197" s="7" t="s">
        <v>5</v>
      </c>
      <c r="I197" s="2" t="str">
        <f t="shared" si="18"/>
        <v>Q1</v>
      </c>
      <c r="J197" s="2" t="str">
        <f t="shared" si="19"/>
        <v>Not Found</v>
      </c>
      <c r="K197" s="2">
        <f t="shared" si="15"/>
        <v>0.36055512754639896</v>
      </c>
      <c r="L197" s="2" t="e">
        <f t="shared" si="16"/>
        <v>#N/A</v>
      </c>
      <c r="M197" s="2" t="str">
        <f t="shared" si="17"/>
        <v>Assign quadrant hit</v>
      </c>
      <c r="N197" s="7">
        <v>17.399999999999999</v>
      </c>
      <c r="O197" s="7">
        <v>0.1</v>
      </c>
      <c r="P197" s="7">
        <v>-12.4</v>
      </c>
      <c r="Q197" s="7">
        <v>-1</v>
      </c>
      <c r="R197" s="7">
        <v>0.2</v>
      </c>
      <c r="S197" s="7">
        <v>0.3</v>
      </c>
      <c r="T197" s="7">
        <v>-0.26</v>
      </c>
      <c r="U197" s="7">
        <v>0.28000000000000003</v>
      </c>
      <c r="V197" s="7">
        <v>1.07</v>
      </c>
      <c r="W197" s="7" t="s">
        <v>6</v>
      </c>
      <c r="X197" s="7" t="s">
        <v>9</v>
      </c>
      <c r="Y197" s="2" t="s">
        <v>719</v>
      </c>
      <c r="Z197" s="2" t="s">
        <v>721</v>
      </c>
    </row>
    <row r="198" spans="1:26" x14ac:dyDescent="0.35">
      <c r="A198" s="7" t="s">
        <v>1514</v>
      </c>
      <c r="B198" s="7" t="s">
        <v>206</v>
      </c>
      <c r="C198" s="4">
        <f>_xlfn.XLOOKUP(A198,[2]Sheet2!$I$2:$I$1273,[2]Sheet2!$D$2:$D$1273,0)</f>
        <v>0</v>
      </c>
      <c r="D198" s="4">
        <f>_xlfn.XLOOKUP(B198,[4]Sheet2!$B$2:$B$3154,[4]Sheet2!$F$2:$F$3154,0)</f>
        <v>0</v>
      </c>
      <c r="E198" s="4" t="e">
        <f>_xlfn.XLOOKUP(B198,[2]Sheet2!$E$2:$E$713,[2]Sheet2!$G$2:$G$713)</f>
        <v>#N/A</v>
      </c>
      <c r="F198" s="18">
        <v>46043</v>
      </c>
      <c r="G198" s="14">
        <v>0.27303240740740742</v>
      </c>
      <c r="H198" s="7" t="s">
        <v>11</v>
      </c>
      <c r="I198" s="2" t="str">
        <f t="shared" si="18"/>
        <v>Q4</v>
      </c>
      <c r="J198" s="2" t="str">
        <f t="shared" si="19"/>
        <v>Not Found</v>
      </c>
      <c r="K198" s="2">
        <f t="shared" si="15"/>
        <v>0.70710678118654746</v>
      </c>
      <c r="L198" s="2" t="e">
        <f t="shared" si="16"/>
        <v>#N/A</v>
      </c>
      <c r="M198" s="2" t="str">
        <f t="shared" si="17"/>
        <v>Assign quadrant hit</v>
      </c>
      <c r="N198" s="7">
        <v>14.9</v>
      </c>
      <c r="O198" s="7">
        <v>0</v>
      </c>
      <c r="P198" s="7">
        <v>-3.9</v>
      </c>
      <c r="Q198" s="7">
        <v>-0.67</v>
      </c>
      <c r="R198" s="7">
        <v>0.1</v>
      </c>
      <c r="S198" s="7">
        <v>-0.7</v>
      </c>
      <c r="T198" s="7">
        <v>0.92</v>
      </c>
      <c r="U198" s="7">
        <v>0.18</v>
      </c>
      <c r="V198" s="7">
        <v>1.1499999999999999</v>
      </c>
      <c r="W198" s="7" t="s">
        <v>6</v>
      </c>
      <c r="X198" s="7" t="s">
        <v>9</v>
      </c>
      <c r="Y198" s="2" t="s">
        <v>719</v>
      </c>
      <c r="Z198" s="2" t="s">
        <v>721</v>
      </c>
    </row>
    <row r="199" spans="1:26" x14ac:dyDescent="0.35">
      <c r="A199" s="7" t="s">
        <v>1602</v>
      </c>
      <c r="B199" s="7" t="s">
        <v>207</v>
      </c>
      <c r="C199" s="4" t="str">
        <f>_xlfn.XLOOKUP(A199,[2]Sheet2!$I$2:$I$1273,[2]Sheet2!$D$2:$D$1273,0)</f>
        <v>Q4</v>
      </c>
      <c r="D199" s="4">
        <f>_xlfn.XLOOKUP(B199,[4]Sheet2!$B$2:$B$3154,[4]Sheet2!$F$2:$F$3154,0)</f>
        <v>0</v>
      </c>
      <c r="E199" s="4" t="e">
        <f>_xlfn.XLOOKUP(B199,[2]Sheet2!$E$2:$E$713,[2]Sheet2!$G$2:$G$713)</f>
        <v>#N/A</v>
      </c>
      <c r="F199" s="18">
        <v>46043</v>
      </c>
      <c r="G199" s="14">
        <v>0.28131944444444446</v>
      </c>
      <c r="H199" s="7" t="s">
        <v>5</v>
      </c>
      <c r="I199" s="2" t="str">
        <f t="shared" si="18"/>
        <v>Q1</v>
      </c>
      <c r="J199" s="2" t="str">
        <f t="shared" si="19"/>
        <v>Not Match</v>
      </c>
      <c r="K199" s="2">
        <f t="shared" si="15"/>
        <v>0.4</v>
      </c>
      <c r="L199" s="2" t="e">
        <f t="shared" si="16"/>
        <v>#N/A</v>
      </c>
      <c r="M199" s="2" t="str">
        <f t="shared" si="17"/>
        <v>Assign quadrant hit</v>
      </c>
      <c r="N199" s="7">
        <v>15.5</v>
      </c>
      <c r="O199" s="7">
        <v>-0.9</v>
      </c>
      <c r="P199" s="7">
        <v>-1.4</v>
      </c>
      <c r="Q199" s="7">
        <v>-0.56000000000000005</v>
      </c>
      <c r="R199" s="7">
        <v>0</v>
      </c>
      <c r="S199" s="7">
        <v>0.4</v>
      </c>
      <c r="T199" s="7">
        <v>-0.56999999999999995</v>
      </c>
      <c r="U199" s="7">
        <v>-0.22</v>
      </c>
      <c r="V199" s="7">
        <v>0.83</v>
      </c>
      <c r="W199" s="7" t="s">
        <v>13</v>
      </c>
      <c r="X199" s="7" t="s">
        <v>15</v>
      </c>
      <c r="Y199" s="2" t="s">
        <v>719</v>
      </c>
      <c r="Z199" s="2" t="s">
        <v>721</v>
      </c>
    </row>
    <row r="200" spans="1:26" x14ac:dyDescent="0.35">
      <c r="A200" s="7" t="s">
        <v>1596</v>
      </c>
      <c r="B200" s="7" t="s">
        <v>208</v>
      </c>
      <c r="C200" s="4" t="str">
        <f>_xlfn.XLOOKUP(A200,[2]Sheet2!$I$2:$I$1273,[2]Sheet2!$D$2:$D$1273,0)</f>
        <v>Q4</v>
      </c>
      <c r="D200" s="4">
        <f>_xlfn.XLOOKUP(B200,[4]Sheet2!$B$2:$B$3154,[4]Sheet2!$F$2:$F$3154,0)</f>
        <v>0</v>
      </c>
      <c r="E200" s="4" t="e">
        <f>_xlfn.XLOOKUP(B200,[2]Sheet2!$E$2:$E$713,[2]Sheet2!$G$2:$G$713)</f>
        <v>#N/A</v>
      </c>
      <c r="F200" s="18">
        <v>46043</v>
      </c>
      <c r="G200" s="14">
        <v>0.43103009259259262</v>
      </c>
      <c r="H200" s="7" t="s">
        <v>11</v>
      </c>
      <c r="I200" s="2" t="str">
        <f t="shared" si="18"/>
        <v>Q1</v>
      </c>
      <c r="J200" s="2" t="str">
        <f t="shared" si="19"/>
        <v>Not Match</v>
      </c>
      <c r="K200" s="2">
        <f t="shared" si="15"/>
        <v>0.4</v>
      </c>
      <c r="L200" s="2" t="e">
        <f t="shared" si="16"/>
        <v>#N/A</v>
      </c>
      <c r="M200" s="2" t="str">
        <f t="shared" si="17"/>
        <v>Assign quadrant hit</v>
      </c>
      <c r="N200" s="7">
        <v>20.7</v>
      </c>
      <c r="O200" s="7">
        <v>-0.1</v>
      </c>
      <c r="P200" s="7">
        <v>-11.8</v>
      </c>
      <c r="Q200" s="7">
        <v>0.84</v>
      </c>
      <c r="R200" s="7">
        <v>0</v>
      </c>
      <c r="S200" s="7">
        <v>0.4</v>
      </c>
      <c r="T200" s="7">
        <v>-0.33</v>
      </c>
      <c r="U200" s="7">
        <v>-0.09</v>
      </c>
      <c r="V200" s="7">
        <v>0.9</v>
      </c>
      <c r="W200" s="7" t="s">
        <v>13</v>
      </c>
      <c r="X200" s="7" t="s">
        <v>15</v>
      </c>
      <c r="Y200" s="2" t="s">
        <v>719</v>
      </c>
      <c r="Z200" s="2" t="s">
        <v>721</v>
      </c>
    </row>
    <row r="201" spans="1:26" x14ac:dyDescent="0.35">
      <c r="A201" s="7" t="s">
        <v>1583</v>
      </c>
      <c r="B201" s="7" t="s">
        <v>209</v>
      </c>
      <c r="C201" s="4">
        <f>_xlfn.XLOOKUP(A201,[2]Sheet2!$I$2:$I$1273,[2]Sheet2!$D$2:$D$1273,0)</f>
        <v>0</v>
      </c>
      <c r="D201" s="4">
        <f>_xlfn.XLOOKUP(B201,[4]Sheet2!$B$2:$B$3154,[4]Sheet2!$F$2:$F$3154,0)</f>
        <v>0</v>
      </c>
      <c r="E201" s="4" t="e">
        <f>_xlfn.XLOOKUP(B201,[2]Sheet2!$E$2:$E$713,[2]Sheet2!$G$2:$G$713)</f>
        <v>#N/A</v>
      </c>
      <c r="F201" s="18">
        <v>46043</v>
      </c>
      <c r="G201" s="14">
        <v>0.43625000000000003</v>
      </c>
      <c r="H201" s="7" t="s">
        <v>4</v>
      </c>
      <c r="I201" s="2" t="str">
        <f t="shared" si="18"/>
        <v>Q1</v>
      </c>
      <c r="J201" s="2" t="str">
        <f t="shared" si="19"/>
        <v>Not Found</v>
      </c>
      <c r="K201" s="2">
        <f t="shared" si="15"/>
        <v>0.89442719099991597</v>
      </c>
      <c r="L201" s="2" t="e">
        <f t="shared" si="16"/>
        <v>#N/A</v>
      </c>
      <c r="M201" s="2" t="str">
        <f t="shared" si="17"/>
        <v>Assign quadrant hit</v>
      </c>
      <c r="N201" s="7">
        <v>36</v>
      </c>
      <c r="O201" s="7">
        <v>24.3</v>
      </c>
      <c r="P201" s="7">
        <v>3.8</v>
      </c>
      <c r="Q201" s="7">
        <v>-0.85</v>
      </c>
      <c r="R201" s="7">
        <v>0.4</v>
      </c>
      <c r="S201" s="7">
        <v>0.8</v>
      </c>
      <c r="T201" s="7">
        <v>0.34</v>
      </c>
      <c r="U201" s="7">
        <v>0.68</v>
      </c>
      <c r="V201" s="7">
        <v>1.1299999999999999</v>
      </c>
      <c r="W201" s="7" t="s">
        <v>6</v>
      </c>
      <c r="X201" s="7" t="s">
        <v>9</v>
      </c>
      <c r="Y201" s="2" t="s">
        <v>719</v>
      </c>
      <c r="Z201" s="2" t="s">
        <v>721</v>
      </c>
    </row>
    <row r="202" spans="1:26" x14ac:dyDescent="0.35">
      <c r="A202" s="7" t="s">
        <v>1603</v>
      </c>
      <c r="B202" s="7" t="s">
        <v>210</v>
      </c>
      <c r="C202" s="4" t="str">
        <f>_xlfn.XLOOKUP(A202,[2]Sheet2!$I$2:$I$1273,[2]Sheet2!$D$2:$D$1273,0)</f>
        <v>Q2</v>
      </c>
      <c r="D202" s="4">
        <f>_xlfn.XLOOKUP(B202,[4]Sheet2!$B$2:$B$3154,[4]Sheet2!$F$2:$F$3154,0)</f>
        <v>0</v>
      </c>
      <c r="E202" s="4" t="e">
        <f>_xlfn.XLOOKUP(B202,[2]Sheet2!$E$2:$E$713,[2]Sheet2!$G$2:$G$713)</f>
        <v>#N/A</v>
      </c>
      <c r="F202" s="18">
        <v>46043</v>
      </c>
      <c r="G202" s="14">
        <v>0.49184027777777778</v>
      </c>
      <c r="H202" s="7" t="s">
        <v>4</v>
      </c>
      <c r="I202" s="2" t="str">
        <f t="shared" si="18"/>
        <v>Q4</v>
      </c>
      <c r="J202" s="2" t="str">
        <f t="shared" si="19"/>
        <v>Not Match</v>
      </c>
      <c r="K202" s="2">
        <f t="shared" si="15"/>
        <v>0.1</v>
      </c>
      <c r="L202" s="2" t="e">
        <f t="shared" si="16"/>
        <v>#N/A</v>
      </c>
      <c r="M202" s="2" t="str">
        <f t="shared" si="17"/>
        <v>Assign quadrant hit</v>
      </c>
      <c r="N202" s="7">
        <v>14.2</v>
      </c>
      <c r="O202" s="7">
        <v>0</v>
      </c>
      <c r="P202" s="7">
        <v>-0.7</v>
      </c>
      <c r="Q202" s="7">
        <v>-0.87</v>
      </c>
      <c r="R202" s="7">
        <v>0</v>
      </c>
      <c r="S202" s="7">
        <v>-0.1</v>
      </c>
      <c r="T202" s="7">
        <v>0.25</v>
      </c>
      <c r="U202" s="7">
        <v>-0.03</v>
      </c>
      <c r="V202" s="7">
        <v>0.91</v>
      </c>
      <c r="W202" s="7" t="s">
        <v>13</v>
      </c>
      <c r="X202" s="7" t="s">
        <v>15</v>
      </c>
      <c r="Y202" s="2" t="s">
        <v>719</v>
      </c>
      <c r="Z202" s="2" t="s">
        <v>721</v>
      </c>
    </row>
    <row r="203" spans="1:26" x14ac:dyDescent="0.35">
      <c r="A203" s="7" t="s">
        <v>1508</v>
      </c>
      <c r="B203" s="7" t="s">
        <v>211</v>
      </c>
      <c r="C203" s="4" t="str">
        <f>_xlfn.XLOOKUP(A203,[2]Sheet2!$I$2:$I$1273,[2]Sheet2!$D$2:$D$1273,0)</f>
        <v>Q2</v>
      </c>
      <c r="D203" s="4">
        <f>_xlfn.XLOOKUP(B203,[4]Sheet2!$B$2:$B$3154,[4]Sheet2!$F$2:$F$3154,0)</f>
        <v>0</v>
      </c>
      <c r="E203" s="4" t="e">
        <f>_xlfn.XLOOKUP(B203,[2]Sheet2!$E$2:$E$713,[2]Sheet2!$G$2:$G$713)</f>
        <v>#N/A</v>
      </c>
      <c r="F203" s="18">
        <v>46043</v>
      </c>
      <c r="G203" s="14">
        <v>0.6576157407407407</v>
      </c>
      <c r="H203" s="7" t="s">
        <v>5</v>
      </c>
      <c r="I203" s="2" t="str">
        <f t="shared" si="18"/>
        <v>Q4</v>
      </c>
      <c r="J203" s="2" t="str">
        <f t="shared" si="19"/>
        <v>Not Match</v>
      </c>
      <c r="K203" s="2">
        <f t="shared" si="15"/>
        <v>0.1</v>
      </c>
      <c r="L203" s="2" t="e">
        <f t="shared" si="16"/>
        <v>#N/A</v>
      </c>
      <c r="M203" s="2" t="str">
        <f t="shared" si="17"/>
        <v>Below 0.8 not in assigned quadrant</v>
      </c>
      <c r="N203" s="7">
        <v>18.3</v>
      </c>
      <c r="O203" s="7">
        <v>-0.9</v>
      </c>
      <c r="P203" s="7">
        <v>-9.1999999999999993</v>
      </c>
      <c r="Q203" s="7">
        <v>0.13</v>
      </c>
      <c r="R203" s="7">
        <v>0</v>
      </c>
      <c r="S203" s="7">
        <v>-0.1</v>
      </c>
      <c r="T203" s="7">
        <v>0.14000000000000001</v>
      </c>
      <c r="U203" s="7">
        <v>-7.0000000000000007E-2</v>
      </c>
      <c r="V203" s="7">
        <v>0.2</v>
      </c>
      <c r="W203" s="7" t="s">
        <v>8</v>
      </c>
      <c r="X203" s="7" t="s">
        <v>15</v>
      </c>
      <c r="Y203" s="2" t="s">
        <v>719</v>
      </c>
      <c r="Z203" s="2" t="s">
        <v>721</v>
      </c>
    </row>
    <row r="204" spans="1:26" x14ac:dyDescent="0.35">
      <c r="A204" s="7" t="s">
        <v>1536</v>
      </c>
      <c r="B204" s="7" t="s">
        <v>212</v>
      </c>
      <c r="C204" s="4" t="str">
        <f>_xlfn.XLOOKUP(A204,[2]Sheet2!$I$2:$I$1273,[2]Sheet2!$D$2:$D$1273,0)</f>
        <v>Q2</v>
      </c>
      <c r="D204" s="4">
        <f>_xlfn.XLOOKUP(B204,[4]Sheet2!$B$2:$B$3154,[4]Sheet2!$F$2:$F$3154,0)</f>
        <v>0</v>
      </c>
      <c r="E204" s="4" t="e">
        <f>_xlfn.XLOOKUP(B204,[2]Sheet2!$E$2:$E$713,[2]Sheet2!$G$2:$G$713)</f>
        <v>#N/A</v>
      </c>
      <c r="F204" s="18">
        <v>46043</v>
      </c>
      <c r="G204" s="14">
        <v>0.66333333333333333</v>
      </c>
      <c r="H204" s="7" t="s">
        <v>5</v>
      </c>
      <c r="I204" s="2" t="str">
        <f t="shared" si="18"/>
        <v>Q4</v>
      </c>
      <c r="J204" s="2" t="str">
        <f t="shared" si="19"/>
        <v>Not Match</v>
      </c>
      <c r="K204" s="2">
        <f t="shared" si="15"/>
        <v>0.31622776601683794</v>
      </c>
      <c r="L204" s="2" t="e">
        <f t="shared" si="16"/>
        <v>#N/A</v>
      </c>
      <c r="M204" s="2" t="str">
        <f t="shared" si="17"/>
        <v>Below 0.8 not in assigned quadrant</v>
      </c>
      <c r="N204" s="7">
        <v>15.3</v>
      </c>
      <c r="O204" s="7">
        <v>-0.4</v>
      </c>
      <c r="P204" s="7">
        <v>-2.9</v>
      </c>
      <c r="Q204" s="7">
        <v>0.1</v>
      </c>
      <c r="R204" s="7">
        <v>0.1</v>
      </c>
      <c r="S204" s="7">
        <v>-0.3</v>
      </c>
      <c r="T204" s="7">
        <v>0.38</v>
      </c>
      <c r="U204" s="7">
        <v>0.34</v>
      </c>
      <c r="V204" s="7">
        <v>0.51</v>
      </c>
      <c r="W204" s="7" t="s">
        <v>8</v>
      </c>
      <c r="X204" s="7" t="s">
        <v>9</v>
      </c>
      <c r="Y204" s="2" t="s">
        <v>719</v>
      </c>
      <c r="Z204" s="2" t="s">
        <v>721</v>
      </c>
    </row>
    <row r="205" spans="1:26" x14ac:dyDescent="0.35">
      <c r="A205" s="7" t="s">
        <v>1528</v>
      </c>
      <c r="B205" s="7" t="s">
        <v>213</v>
      </c>
      <c r="C205" s="4" t="str">
        <f>_xlfn.XLOOKUP(A205,[2]Sheet2!$I$2:$I$1273,[2]Sheet2!$D$2:$D$1273,0)</f>
        <v>Q1</v>
      </c>
      <c r="D205" s="4">
        <f>_xlfn.XLOOKUP(B205,[4]Sheet2!$B$2:$B$3154,[4]Sheet2!$F$2:$F$3154,0)</f>
        <v>0</v>
      </c>
      <c r="E205" s="4" t="e">
        <f>_xlfn.XLOOKUP(B205,[2]Sheet2!$E$2:$E$713,[2]Sheet2!$G$2:$G$713)</f>
        <v>#N/A</v>
      </c>
      <c r="F205" s="18">
        <v>46043</v>
      </c>
      <c r="G205" s="14">
        <v>0.79769675925925931</v>
      </c>
      <c r="H205" s="7" t="s">
        <v>5</v>
      </c>
      <c r="I205" s="2" t="str">
        <f t="shared" si="18"/>
        <v>Q1</v>
      </c>
      <c r="J205" s="2" t="str">
        <f t="shared" si="19"/>
        <v>Match</v>
      </c>
      <c r="K205" s="2">
        <f t="shared" si="15"/>
        <v>1.1401754250991381</v>
      </c>
      <c r="L205" s="2" t="e">
        <f t="shared" si="16"/>
        <v>#N/A</v>
      </c>
      <c r="M205" s="2" t="str">
        <f t="shared" si="17"/>
        <v>Digital Approve Hit</v>
      </c>
      <c r="N205" s="7">
        <v>42.9</v>
      </c>
      <c r="O205" s="7">
        <v>50.9</v>
      </c>
      <c r="P205" s="7">
        <v>-2.9</v>
      </c>
      <c r="Q205" s="7">
        <v>-0.35</v>
      </c>
      <c r="R205" s="7">
        <v>0.3</v>
      </c>
      <c r="S205" s="7">
        <v>1.1000000000000001</v>
      </c>
      <c r="T205" s="7">
        <v>0.1</v>
      </c>
      <c r="U205" s="7">
        <v>0.67</v>
      </c>
      <c r="V205" s="7">
        <v>0.76</v>
      </c>
      <c r="W205" s="7" t="s">
        <v>13</v>
      </c>
      <c r="X205" s="7" t="s">
        <v>9</v>
      </c>
      <c r="Y205" s="2" t="s">
        <v>719</v>
      </c>
      <c r="Z205" s="2" t="s">
        <v>721</v>
      </c>
    </row>
    <row r="206" spans="1:26" x14ac:dyDescent="0.35">
      <c r="A206" s="7" t="s">
        <v>1540</v>
      </c>
      <c r="B206" s="7" t="s">
        <v>214</v>
      </c>
      <c r="C206" s="4" t="str">
        <f>_xlfn.XLOOKUP(A206,[2]Sheet2!$I$2:$I$1273,[2]Sheet2!$D$2:$D$1273,0)</f>
        <v>Q3</v>
      </c>
      <c r="D206" s="4">
        <f>_xlfn.XLOOKUP(B206,[4]Sheet2!$B$2:$B$3154,[4]Sheet2!$F$2:$F$3154,0)</f>
        <v>0</v>
      </c>
      <c r="E206" s="4" t="e">
        <f>_xlfn.XLOOKUP(B206,[2]Sheet2!$E$2:$E$713,[2]Sheet2!$G$2:$G$713)</f>
        <v>#N/A</v>
      </c>
      <c r="F206" s="18">
        <v>46043</v>
      </c>
      <c r="G206" s="14">
        <v>0.80388888888888888</v>
      </c>
      <c r="H206" s="7" t="s">
        <v>11</v>
      </c>
      <c r="I206" s="2" t="str">
        <f t="shared" si="18"/>
        <v>Q1</v>
      </c>
      <c r="J206" s="2" t="str">
        <f t="shared" si="19"/>
        <v>Not Match</v>
      </c>
      <c r="K206" s="2">
        <f t="shared" si="15"/>
        <v>0.58309518948452999</v>
      </c>
      <c r="L206" s="2" t="e">
        <f t="shared" si="16"/>
        <v>#N/A</v>
      </c>
      <c r="M206" s="2" t="str">
        <f t="shared" si="17"/>
        <v>Assign quadrant hit</v>
      </c>
      <c r="N206" s="7">
        <v>13.9</v>
      </c>
      <c r="O206" s="7">
        <v>-0.4</v>
      </c>
      <c r="P206" s="7">
        <v>-1.5</v>
      </c>
      <c r="Q206" s="7">
        <v>-0.15</v>
      </c>
      <c r="R206" s="7">
        <v>0.3</v>
      </c>
      <c r="S206" s="7">
        <v>0.5</v>
      </c>
      <c r="T206" s="7">
        <v>-0.79</v>
      </c>
      <c r="U206" s="7">
        <v>0.17</v>
      </c>
      <c r="V206" s="7">
        <v>0.82</v>
      </c>
      <c r="W206" s="7" t="s">
        <v>13</v>
      </c>
      <c r="X206" s="7" t="s">
        <v>9</v>
      </c>
      <c r="Y206" s="2" t="s">
        <v>719</v>
      </c>
      <c r="Z206" s="2" t="s">
        <v>721</v>
      </c>
    </row>
    <row r="207" spans="1:26" x14ac:dyDescent="0.35">
      <c r="A207" s="7" t="s">
        <v>1567</v>
      </c>
      <c r="B207" s="7" t="s">
        <v>216</v>
      </c>
      <c r="C207" s="4" t="str">
        <f>_xlfn.XLOOKUP(A207,[2]Sheet2!$I$2:$I$1273,[2]Sheet2!$D$2:$D$1273,0)</f>
        <v>Q3</v>
      </c>
      <c r="D207" s="4">
        <f>_xlfn.XLOOKUP(B207,[4]Sheet2!$B$2:$B$3154,[4]Sheet2!$F$2:$F$3154,0)</f>
        <v>0</v>
      </c>
      <c r="E207" s="4" t="e">
        <f>_xlfn.XLOOKUP(B207,[2]Sheet2!$E$2:$E$713,[2]Sheet2!$G$2:$G$713)</f>
        <v>#N/A</v>
      </c>
      <c r="F207" s="18">
        <v>46043</v>
      </c>
      <c r="G207" s="14">
        <v>0.93567129629629631</v>
      </c>
      <c r="H207" s="7" t="s">
        <v>16</v>
      </c>
      <c r="I207" s="2" t="str">
        <f t="shared" si="18"/>
        <v>Q2</v>
      </c>
      <c r="J207" s="2" t="str">
        <f t="shared" si="19"/>
        <v>Not Match</v>
      </c>
      <c r="K207" s="2">
        <f t="shared" si="15"/>
        <v>0.31622776601683794</v>
      </c>
      <c r="L207" s="2" t="e">
        <f t="shared" si="16"/>
        <v>#N/A</v>
      </c>
      <c r="M207" s="2" t="str">
        <f t="shared" si="17"/>
        <v>Below 0.8 not in assigned quadrant</v>
      </c>
      <c r="N207" s="7">
        <v>24.4</v>
      </c>
      <c r="O207" s="7">
        <v>-5.2</v>
      </c>
      <c r="P207" s="7">
        <v>-7.8</v>
      </c>
      <c r="Q207" s="7">
        <v>-0.45</v>
      </c>
      <c r="R207" s="7">
        <v>-0.1</v>
      </c>
      <c r="S207" s="7">
        <v>0.3</v>
      </c>
      <c r="T207" s="7">
        <v>-0.21</v>
      </c>
      <c r="U207" s="7">
        <v>-0.32</v>
      </c>
      <c r="V207" s="7">
        <v>0.6</v>
      </c>
      <c r="W207" s="7" t="s">
        <v>8</v>
      </c>
      <c r="X207" s="7" t="s">
        <v>15</v>
      </c>
      <c r="Y207" s="2" t="s">
        <v>719</v>
      </c>
      <c r="Z207" s="2" t="s">
        <v>721</v>
      </c>
    </row>
    <row r="208" spans="1:26" x14ac:dyDescent="0.35">
      <c r="A208" s="7" t="s">
        <v>1554</v>
      </c>
      <c r="B208" s="7" t="s">
        <v>217</v>
      </c>
      <c r="C208" s="4" t="str">
        <f>_xlfn.XLOOKUP(A208,[2]Sheet2!$I$2:$I$1273,[2]Sheet2!$D$2:$D$1273,0)</f>
        <v>Q1</v>
      </c>
      <c r="D208" s="4">
        <f>_xlfn.XLOOKUP(B208,[4]Sheet2!$B$2:$B$3154,[4]Sheet2!$F$2:$F$3154,0)</f>
        <v>0</v>
      </c>
      <c r="E208" s="4" t="e">
        <f>_xlfn.XLOOKUP(B208,[2]Sheet2!$E$2:$E$713,[2]Sheet2!$G$2:$G$713)</f>
        <v>#N/A</v>
      </c>
      <c r="F208" s="18">
        <v>46043</v>
      </c>
      <c r="G208" s="14">
        <v>0.937962962962963</v>
      </c>
      <c r="H208" s="7" t="s">
        <v>5</v>
      </c>
      <c r="I208" s="2" t="str">
        <f t="shared" si="18"/>
        <v>Q1</v>
      </c>
      <c r="J208" s="2" t="str">
        <f t="shared" si="19"/>
        <v>Match</v>
      </c>
      <c r="K208" s="2">
        <f t="shared" si="15"/>
        <v>0.58309518948452999</v>
      </c>
      <c r="L208" s="2" t="e">
        <f t="shared" si="16"/>
        <v>#N/A</v>
      </c>
      <c r="M208" s="2" t="str">
        <f t="shared" si="17"/>
        <v>Failed but within quadrant</v>
      </c>
      <c r="N208" s="7">
        <v>16.100000000000001</v>
      </c>
      <c r="O208" s="7">
        <v>-0.4</v>
      </c>
      <c r="P208" s="7">
        <v>-2.4</v>
      </c>
      <c r="Q208" s="7">
        <v>-0.87</v>
      </c>
      <c r="R208" s="7">
        <v>0.5</v>
      </c>
      <c r="S208" s="7">
        <v>0.3</v>
      </c>
      <c r="T208" s="7">
        <v>-0.55000000000000004</v>
      </c>
      <c r="U208" s="7">
        <v>0.54</v>
      </c>
      <c r="V208" s="7">
        <v>1.1599999999999999</v>
      </c>
      <c r="W208" s="7" t="s">
        <v>6</v>
      </c>
      <c r="X208" s="7" t="s">
        <v>9</v>
      </c>
      <c r="Y208" s="2" t="s">
        <v>719</v>
      </c>
      <c r="Z208" s="2" t="s">
        <v>721</v>
      </c>
    </row>
    <row r="209" spans="1:26" x14ac:dyDescent="0.35">
      <c r="A209" s="7" t="s">
        <v>1565</v>
      </c>
      <c r="B209" s="7" t="s">
        <v>218</v>
      </c>
      <c r="C209" s="4">
        <f>_xlfn.XLOOKUP(A209,[2]Sheet2!$I$2:$I$1273,[2]Sheet2!$D$2:$D$1273,0)</f>
        <v>0</v>
      </c>
      <c r="D209" s="4">
        <f>_xlfn.XLOOKUP(B209,[4]Sheet2!$B$2:$B$3154,[4]Sheet2!$F$2:$F$3154,0)</f>
        <v>0</v>
      </c>
      <c r="E209" s="4" t="e">
        <f>_xlfn.XLOOKUP(B209,[2]Sheet2!$E$2:$E$713,[2]Sheet2!$G$2:$G$713)</f>
        <v>#N/A</v>
      </c>
      <c r="F209" s="18">
        <v>46044</v>
      </c>
      <c r="G209" s="14">
        <v>3.4317129629629628E-2</v>
      </c>
      <c r="H209" s="7" t="s">
        <v>16</v>
      </c>
      <c r="I209" s="2" t="str">
        <f t="shared" si="18"/>
        <v>Q3</v>
      </c>
      <c r="J209" s="2" t="str">
        <f t="shared" si="19"/>
        <v>Not Found</v>
      </c>
      <c r="K209" s="2">
        <f t="shared" si="15"/>
        <v>0.22360679774997899</v>
      </c>
      <c r="L209" s="2" t="e">
        <f t="shared" si="16"/>
        <v>#N/A</v>
      </c>
      <c r="M209" s="2" t="str">
        <f t="shared" si="17"/>
        <v>Assign quadrant hit</v>
      </c>
      <c r="N209" s="7">
        <v>15.5</v>
      </c>
      <c r="O209" s="7">
        <v>-0.4</v>
      </c>
      <c r="P209" s="7">
        <v>-1.6</v>
      </c>
      <c r="Q209" s="7">
        <v>-0.91</v>
      </c>
      <c r="R209" s="7">
        <v>-0.1</v>
      </c>
      <c r="S209" s="7">
        <v>-0.2</v>
      </c>
      <c r="T209" s="7">
        <v>0.35</v>
      </c>
      <c r="U209" s="7">
        <v>-0.08</v>
      </c>
      <c r="V209" s="7">
        <v>0.98</v>
      </c>
      <c r="W209" s="7" t="s">
        <v>13</v>
      </c>
      <c r="X209" s="7" t="s">
        <v>15</v>
      </c>
      <c r="Y209" s="2" t="s">
        <v>719</v>
      </c>
      <c r="Z209" s="2" t="s">
        <v>721</v>
      </c>
    </row>
    <row r="210" spans="1:26" x14ac:dyDescent="0.35">
      <c r="A210" s="7" t="s">
        <v>1603</v>
      </c>
      <c r="B210" s="7" t="s">
        <v>219</v>
      </c>
      <c r="C210" s="4" t="str">
        <f>_xlfn.XLOOKUP(A210,[2]Sheet2!$I$2:$I$1273,[2]Sheet2!$D$2:$D$1273,0)</f>
        <v>Q2</v>
      </c>
      <c r="D210" s="4">
        <f>_xlfn.XLOOKUP(B210,[4]Sheet2!$B$2:$B$3154,[4]Sheet2!$F$2:$F$3154,0)</f>
        <v>0</v>
      </c>
      <c r="E210" s="4" t="e">
        <f>_xlfn.XLOOKUP(B210,[2]Sheet2!$E$2:$E$713,[2]Sheet2!$G$2:$G$713)</f>
        <v>#N/A</v>
      </c>
      <c r="F210" s="18">
        <v>46044</v>
      </c>
      <c r="G210" s="14">
        <v>4.5370370370370373E-2</v>
      </c>
      <c r="H210" s="7" t="s">
        <v>5</v>
      </c>
      <c r="I210" s="2" t="str">
        <f t="shared" si="18"/>
        <v>Q4</v>
      </c>
      <c r="J210" s="2" t="str">
        <f t="shared" si="19"/>
        <v>Not Match</v>
      </c>
      <c r="K210" s="2">
        <f t="shared" si="15"/>
        <v>0.1</v>
      </c>
      <c r="L210" s="2" t="e">
        <f t="shared" si="16"/>
        <v>#N/A</v>
      </c>
      <c r="M210" s="2" t="str">
        <f t="shared" si="17"/>
        <v>Assign quadrant hit</v>
      </c>
      <c r="N210" s="7">
        <v>14.1</v>
      </c>
      <c r="O210" s="7">
        <v>-0.2</v>
      </c>
      <c r="P210" s="7">
        <v>-0.7</v>
      </c>
      <c r="Q210" s="7">
        <v>-1.01</v>
      </c>
      <c r="R210" s="7">
        <v>0</v>
      </c>
      <c r="S210" s="7">
        <v>-0.1</v>
      </c>
      <c r="T210" s="7">
        <v>0.24</v>
      </c>
      <c r="U210" s="7">
        <v>-0.01</v>
      </c>
      <c r="V210" s="7">
        <v>1.04</v>
      </c>
      <c r="W210" s="7" t="s">
        <v>6</v>
      </c>
      <c r="X210" s="7" t="s">
        <v>15</v>
      </c>
      <c r="Y210" s="2" t="s">
        <v>719</v>
      </c>
      <c r="Z210" s="2" t="s">
        <v>721</v>
      </c>
    </row>
    <row r="211" spans="1:26" x14ac:dyDescent="0.35">
      <c r="A211" s="7" t="s">
        <v>1599</v>
      </c>
      <c r="B211" s="7" t="s">
        <v>220</v>
      </c>
      <c r="C211" s="4" t="e">
        <f>_xlfn.XLOOKUP(A211,[2]Sheet2!$I$2:$I$1273,[2]Sheet2!$D$2:$D$1273,0)</f>
        <v>#REF!</v>
      </c>
      <c r="D211" s="4">
        <f>_xlfn.XLOOKUP(B211,[4]Sheet2!$B$2:$B$3154,[4]Sheet2!$F$2:$F$3154,0)</f>
        <v>0</v>
      </c>
      <c r="E211" s="4" t="e">
        <f>_xlfn.XLOOKUP(B211,[2]Sheet2!$E$2:$E$713,[2]Sheet2!$G$2:$G$713)</f>
        <v>#N/A</v>
      </c>
      <c r="F211" s="18">
        <v>46044</v>
      </c>
      <c r="G211" s="14">
        <v>0.26980324074074075</v>
      </c>
      <c r="H211" s="7" t="s">
        <v>5</v>
      </c>
      <c r="I211" s="2" t="str">
        <f t="shared" si="18"/>
        <v>Q1</v>
      </c>
      <c r="J211" s="2" t="e">
        <f t="shared" si="19"/>
        <v>#REF!</v>
      </c>
      <c r="K211" s="2">
        <f t="shared" si="15"/>
        <v>1.3152946437965907</v>
      </c>
      <c r="L211" s="2" t="e">
        <f t="shared" si="16"/>
        <v>#N/A</v>
      </c>
      <c r="M211" s="2" t="e">
        <f t="shared" si="17"/>
        <v>#REF!</v>
      </c>
      <c r="N211" s="7">
        <v>26.8</v>
      </c>
      <c r="O211" s="7">
        <v>0.5</v>
      </c>
      <c r="P211" s="7">
        <v>9.3000000000000007</v>
      </c>
      <c r="Q211" s="7">
        <v>0.88</v>
      </c>
      <c r="R211" s="7">
        <v>0.2</v>
      </c>
      <c r="S211" s="7">
        <v>1.3</v>
      </c>
      <c r="T211" s="7">
        <v>1.22</v>
      </c>
      <c r="U211" s="7">
        <v>-0.23</v>
      </c>
      <c r="V211" s="7">
        <v>1.52</v>
      </c>
      <c r="W211" s="7" t="s">
        <v>6</v>
      </c>
      <c r="X211" s="7" t="s">
        <v>9</v>
      </c>
      <c r="Y211" s="2" t="s">
        <v>719</v>
      </c>
      <c r="Z211" s="2" t="s">
        <v>721</v>
      </c>
    </row>
    <row r="212" spans="1:26" x14ac:dyDescent="0.35">
      <c r="A212" s="7" t="s">
        <v>1545</v>
      </c>
      <c r="B212" s="7" t="s">
        <v>221</v>
      </c>
      <c r="C212" s="4" t="str">
        <f>_xlfn.XLOOKUP(A212,[2]Sheet2!$I$2:$I$1273,[2]Sheet2!$D$2:$D$1273,0)</f>
        <v>Q2</v>
      </c>
      <c r="D212" s="4">
        <f>_xlfn.XLOOKUP(B212,[4]Sheet2!$B$2:$B$3154,[4]Sheet2!$F$2:$F$3154,0)</f>
        <v>0</v>
      </c>
      <c r="E212" s="4" t="e">
        <f>_xlfn.XLOOKUP(B212,[2]Sheet2!$E$2:$E$713,[2]Sheet2!$G$2:$G$713)</f>
        <v>#N/A</v>
      </c>
      <c r="F212" s="18">
        <v>46044</v>
      </c>
      <c r="G212" s="14">
        <v>0.27118055555555554</v>
      </c>
      <c r="H212" s="7" t="s">
        <v>5</v>
      </c>
      <c r="I212" s="2" t="str">
        <f t="shared" si="18"/>
        <v>Q4</v>
      </c>
      <c r="J212" s="2" t="str">
        <f t="shared" si="19"/>
        <v>Not Match</v>
      </c>
      <c r="K212" s="2">
        <f t="shared" si="15"/>
        <v>0.31622776601683794</v>
      </c>
      <c r="L212" s="2" t="e">
        <f t="shared" si="16"/>
        <v>#N/A</v>
      </c>
      <c r="M212" s="2" t="str">
        <f t="shared" si="17"/>
        <v>Below 0.8 not in assigned quadrant</v>
      </c>
      <c r="N212" s="7">
        <v>17.399999999999999</v>
      </c>
      <c r="O212" s="7">
        <v>-0.6</v>
      </c>
      <c r="P212" s="7">
        <v>-2.7</v>
      </c>
      <c r="Q212" s="7">
        <v>-0.44</v>
      </c>
      <c r="R212" s="7">
        <v>0.1</v>
      </c>
      <c r="S212" s="7">
        <v>-0.3</v>
      </c>
      <c r="T212" s="7">
        <v>0.4</v>
      </c>
      <c r="U212" s="7">
        <v>0.25</v>
      </c>
      <c r="V212" s="7">
        <v>0.64</v>
      </c>
      <c r="W212" s="7" t="s">
        <v>8</v>
      </c>
      <c r="X212" s="7" t="s">
        <v>9</v>
      </c>
      <c r="Y212" s="2" t="s">
        <v>719</v>
      </c>
      <c r="Z212" s="2" t="s">
        <v>721</v>
      </c>
    </row>
    <row r="213" spans="1:26" x14ac:dyDescent="0.35">
      <c r="A213" s="7" t="s">
        <v>1602</v>
      </c>
      <c r="B213" s="7" t="s">
        <v>222</v>
      </c>
      <c r="C213" s="4" t="str">
        <f>_xlfn.XLOOKUP(A213,[2]Sheet2!$I$2:$I$1273,[2]Sheet2!$D$2:$D$1273,0)</f>
        <v>Q4</v>
      </c>
      <c r="D213" s="4">
        <f>_xlfn.XLOOKUP(B213,[4]Sheet2!$B$2:$B$3154,[4]Sheet2!$F$2:$F$3154,0)</f>
        <v>0</v>
      </c>
      <c r="E213" s="4" t="e">
        <f>_xlfn.XLOOKUP(B213,[2]Sheet2!$E$2:$E$713,[2]Sheet2!$G$2:$G$713)</f>
        <v>#N/A</v>
      </c>
      <c r="F213" s="18">
        <v>46044</v>
      </c>
      <c r="G213" s="14">
        <v>0.27284722222222224</v>
      </c>
      <c r="H213" s="7" t="s">
        <v>5</v>
      </c>
      <c r="I213" s="2" t="str">
        <f t="shared" si="18"/>
        <v>Q1</v>
      </c>
      <c r="J213" s="2" t="str">
        <f t="shared" si="19"/>
        <v>Not Match</v>
      </c>
      <c r="K213" s="2">
        <f t="shared" si="15"/>
        <v>0.41231056256176613</v>
      </c>
      <c r="L213" s="2" t="e">
        <f t="shared" si="16"/>
        <v>#N/A</v>
      </c>
      <c r="M213" s="2" t="str">
        <f t="shared" si="17"/>
        <v>Assign quadrant hit</v>
      </c>
      <c r="N213" s="7">
        <v>15.2</v>
      </c>
      <c r="O213" s="7">
        <v>-0.8</v>
      </c>
      <c r="P213" s="7">
        <v>-1.5</v>
      </c>
      <c r="Q213" s="7">
        <v>-0.8</v>
      </c>
      <c r="R213" s="7">
        <v>0.1</v>
      </c>
      <c r="S213" s="7">
        <v>0.4</v>
      </c>
      <c r="T213" s="7">
        <v>-0.55000000000000004</v>
      </c>
      <c r="U213" s="7">
        <v>-0.08</v>
      </c>
      <c r="V213" s="7">
        <v>0.97</v>
      </c>
      <c r="W213" s="7" t="s">
        <v>13</v>
      </c>
      <c r="X213" s="7" t="s">
        <v>15</v>
      </c>
      <c r="Y213" s="2" t="s">
        <v>719</v>
      </c>
      <c r="Z213" s="2" t="s">
        <v>721</v>
      </c>
    </row>
    <row r="214" spans="1:26" x14ac:dyDescent="0.35">
      <c r="A214" s="7" t="s">
        <v>1593</v>
      </c>
      <c r="B214" s="7" t="s">
        <v>223</v>
      </c>
      <c r="C214" s="4" t="str">
        <f>_xlfn.XLOOKUP(A214,[2]Sheet2!$I$2:$I$1273,[2]Sheet2!$D$2:$D$1273,0)</f>
        <v>Q3</v>
      </c>
      <c r="D214" s="4">
        <f>_xlfn.XLOOKUP(B214,[4]Sheet2!$B$2:$B$3154,[4]Sheet2!$F$2:$F$3154,0)</f>
        <v>0</v>
      </c>
      <c r="E214" s="4">
        <f>_xlfn.XLOOKUP(B214,[2]Sheet2!$E$2:$E$713,[2]Sheet2!$G$2:$G$713)</f>
        <v>0.8</v>
      </c>
      <c r="F214" s="18">
        <v>46044</v>
      </c>
      <c r="G214" s="14">
        <v>0.27429398148148149</v>
      </c>
      <c r="H214" s="7" t="s">
        <v>5</v>
      </c>
      <c r="I214" s="2" t="str">
        <f t="shared" si="18"/>
        <v>Q4</v>
      </c>
      <c r="J214" s="2" t="str">
        <f t="shared" si="19"/>
        <v>Not Match</v>
      </c>
      <c r="K214" s="2">
        <f t="shared" si="15"/>
        <v>0.1</v>
      </c>
      <c r="L214" s="2" t="str">
        <f t="shared" si="16"/>
        <v>Within Range</v>
      </c>
      <c r="M214" s="2" t="str">
        <f t="shared" si="17"/>
        <v>Below 0.8 not in assigned quadrant</v>
      </c>
      <c r="N214" s="7">
        <v>21.8</v>
      </c>
      <c r="O214" s="7">
        <v>3.3</v>
      </c>
      <c r="P214" s="7">
        <v>2.5</v>
      </c>
      <c r="Q214" s="7">
        <v>-0.2</v>
      </c>
      <c r="R214" s="7">
        <v>0.1</v>
      </c>
      <c r="S214" s="7">
        <v>0</v>
      </c>
      <c r="T214" s="7">
        <v>0.06</v>
      </c>
      <c r="U214" s="7">
        <v>-0.18</v>
      </c>
      <c r="V214" s="7">
        <v>0.28000000000000003</v>
      </c>
      <c r="W214" s="7" t="s">
        <v>8</v>
      </c>
      <c r="X214" s="7" t="s">
        <v>7</v>
      </c>
      <c r="Y214" s="2" t="s">
        <v>719</v>
      </c>
      <c r="Z214" s="2" t="s">
        <v>721</v>
      </c>
    </row>
    <row r="215" spans="1:26" x14ac:dyDescent="0.35">
      <c r="A215" s="7" t="s">
        <v>1558</v>
      </c>
      <c r="B215" s="7" t="s">
        <v>224</v>
      </c>
      <c r="C215" s="4" t="str">
        <f>_xlfn.XLOOKUP(A215,[2]Sheet2!$I$2:$I$1273,[2]Sheet2!$D$2:$D$1273,0)</f>
        <v>Q3</v>
      </c>
      <c r="D215" s="4">
        <f>_xlfn.XLOOKUP(B215,[4]Sheet2!$B$2:$B$3154,[4]Sheet2!$F$2:$F$3154,0)</f>
        <v>0</v>
      </c>
      <c r="E215" s="4" t="e">
        <f>_xlfn.XLOOKUP(B215,[2]Sheet2!$E$2:$E$713,[2]Sheet2!$G$2:$G$713)</f>
        <v>#N/A</v>
      </c>
      <c r="F215" s="18">
        <v>46044</v>
      </c>
      <c r="G215" s="14">
        <v>0.27581018518518519</v>
      </c>
      <c r="H215" s="7" t="s">
        <v>16</v>
      </c>
      <c r="I215" s="2" t="str">
        <f t="shared" si="18"/>
        <v>Q4</v>
      </c>
      <c r="J215" s="2" t="str">
        <f t="shared" si="19"/>
        <v>Not Match</v>
      </c>
      <c r="K215" s="2">
        <f t="shared" si="15"/>
        <v>0.1</v>
      </c>
      <c r="L215" s="2" t="e">
        <f t="shared" si="16"/>
        <v>#N/A</v>
      </c>
      <c r="M215" s="2" t="str">
        <f t="shared" si="17"/>
        <v>Below 0.8 not in assigned quadrant</v>
      </c>
      <c r="N215" s="7">
        <v>15.4</v>
      </c>
      <c r="O215" s="7">
        <v>-0.4</v>
      </c>
      <c r="P215" s="7">
        <v>-2</v>
      </c>
      <c r="Q215" s="7">
        <v>-0.05</v>
      </c>
      <c r="R215" s="7">
        <v>0</v>
      </c>
      <c r="S215" s="7">
        <v>-0.1</v>
      </c>
      <c r="T215" s="7">
        <v>0.2</v>
      </c>
      <c r="U215" s="7">
        <v>-7.0000000000000007E-2</v>
      </c>
      <c r="V215" s="7">
        <v>0.22</v>
      </c>
      <c r="W215" s="7" t="s">
        <v>8</v>
      </c>
      <c r="X215" s="7" t="s">
        <v>15</v>
      </c>
      <c r="Y215" s="2" t="s">
        <v>719</v>
      </c>
      <c r="Z215" s="2" t="s">
        <v>721</v>
      </c>
    </row>
    <row r="216" spans="1:26" x14ac:dyDescent="0.35">
      <c r="A216" s="7" t="s">
        <v>1579</v>
      </c>
      <c r="B216" s="7" t="s">
        <v>225</v>
      </c>
      <c r="C216" s="4" t="str">
        <f>_xlfn.XLOOKUP(A216,[2]Sheet2!$I$2:$I$1273,[2]Sheet2!$D$2:$D$1273,0)</f>
        <v>Q4</v>
      </c>
      <c r="D216" s="4">
        <f>_xlfn.XLOOKUP(B216,[4]Sheet2!$B$2:$B$3154,[4]Sheet2!$F$2:$F$3154,0)</f>
        <v>0</v>
      </c>
      <c r="E216" s="4" t="e">
        <f>_xlfn.XLOOKUP(B216,[2]Sheet2!$E$2:$E$713,[2]Sheet2!$G$2:$G$713)</f>
        <v>#N/A</v>
      </c>
      <c r="F216" s="18">
        <v>46044</v>
      </c>
      <c r="G216" s="14">
        <v>0.2774537037037037</v>
      </c>
      <c r="H216" s="7" t="s">
        <v>16</v>
      </c>
      <c r="I216" s="2" t="str">
        <f t="shared" si="18"/>
        <v>Q3</v>
      </c>
      <c r="J216" s="2" t="str">
        <f t="shared" si="19"/>
        <v>Not Match</v>
      </c>
      <c r="K216" s="2">
        <f t="shared" si="15"/>
        <v>0.2</v>
      </c>
      <c r="L216" s="2" t="e">
        <f t="shared" si="16"/>
        <v>#N/A</v>
      </c>
      <c r="M216" s="2" t="str">
        <f t="shared" si="17"/>
        <v>Assign quadrant hit</v>
      </c>
      <c r="N216" s="7">
        <v>16.399999999999999</v>
      </c>
      <c r="O216" s="7">
        <v>-1</v>
      </c>
      <c r="P216" s="7">
        <v>-6.3</v>
      </c>
      <c r="Q216" s="7">
        <v>0.84</v>
      </c>
      <c r="R216" s="7">
        <v>-0.2</v>
      </c>
      <c r="S216" s="7">
        <v>0</v>
      </c>
      <c r="T216" s="7">
        <v>0.08</v>
      </c>
      <c r="U216" s="7">
        <v>-0.31</v>
      </c>
      <c r="V216" s="7">
        <v>0.9</v>
      </c>
      <c r="W216" s="7" t="s">
        <v>13</v>
      </c>
      <c r="X216" s="7" t="s">
        <v>15</v>
      </c>
      <c r="Y216" s="2" t="s">
        <v>719</v>
      </c>
      <c r="Z216" s="2" t="s">
        <v>721</v>
      </c>
    </row>
    <row r="217" spans="1:26" x14ac:dyDescent="0.35">
      <c r="A217" s="7" t="s">
        <v>1604</v>
      </c>
      <c r="B217" s="7" t="s">
        <v>226</v>
      </c>
      <c r="C217" s="4">
        <f>_xlfn.XLOOKUP(A217,[2]Sheet2!$I$2:$I$1273,[2]Sheet2!$D$2:$D$1273,0)</f>
        <v>0</v>
      </c>
      <c r="D217" s="4">
        <f>_xlfn.XLOOKUP(B217,[4]Sheet2!$B$2:$B$3154,[4]Sheet2!$F$2:$F$3154,0)</f>
        <v>0</v>
      </c>
      <c r="E217" s="4" t="e">
        <f>_xlfn.XLOOKUP(B217,[2]Sheet2!$E$2:$E$713,[2]Sheet2!$G$2:$G$713)</f>
        <v>#N/A</v>
      </c>
      <c r="F217" s="18">
        <v>46044</v>
      </c>
      <c r="G217" s="14">
        <v>0.27886574074074072</v>
      </c>
      <c r="H217" s="7" t="s">
        <v>5</v>
      </c>
      <c r="I217" s="2" t="str">
        <f t="shared" si="18"/>
        <v>Q3</v>
      </c>
      <c r="J217" s="2" t="str">
        <f t="shared" si="19"/>
        <v>Not Found</v>
      </c>
      <c r="K217" s="2">
        <f t="shared" si="15"/>
        <v>0.22360679774997899</v>
      </c>
      <c r="L217" s="2" t="e">
        <f t="shared" si="16"/>
        <v>#N/A</v>
      </c>
      <c r="M217" s="2" t="str">
        <f t="shared" si="17"/>
        <v>Assign quadrant hit</v>
      </c>
      <c r="N217" s="7">
        <v>30.8</v>
      </c>
      <c r="O217" s="7">
        <v>0.7</v>
      </c>
      <c r="P217" s="7">
        <v>8.5</v>
      </c>
      <c r="Q217" s="7">
        <v>-0.92</v>
      </c>
      <c r="R217" s="7">
        <v>-0.1</v>
      </c>
      <c r="S217" s="7">
        <v>-0.2</v>
      </c>
      <c r="T217" s="7">
        <v>-0.23</v>
      </c>
      <c r="U217" s="7">
        <v>0.17</v>
      </c>
      <c r="V217" s="7">
        <v>0.96</v>
      </c>
      <c r="W217" s="7" t="s">
        <v>13</v>
      </c>
      <c r="X217" s="7" t="s">
        <v>15</v>
      </c>
      <c r="Y217" s="2" t="s">
        <v>719</v>
      </c>
      <c r="Z217" s="2" t="s">
        <v>721</v>
      </c>
    </row>
    <row r="218" spans="1:26" x14ac:dyDescent="0.35">
      <c r="A218" s="7" t="s">
        <v>1500</v>
      </c>
      <c r="B218" s="7" t="s">
        <v>227</v>
      </c>
      <c r="C218" s="4" t="str">
        <f>_xlfn.XLOOKUP(A218,[2]Sheet2!$I$2:$I$1273,[2]Sheet2!$D$2:$D$1273,0)</f>
        <v>Q2</v>
      </c>
      <c r="D218" s="4">
        <f>_xlfn.XLOOKUP(B218,[4]Sheet2!$B$2:$B$3154,[4]Sheet2!$F$2:$F$3154,0)</f>
        <v>0</v>
      </c>
      <c r="E218" s="4" t="e">
        <f>_xlfn.XLOOKUP(B218,[2]Sheet2!$E$2:$E$713,[2]Sheet2!$G$2:$G$713)</f>
        <v>#N/A</v>
      </c>
      <c r="F218" s="18">
        <v>46044</v>
      </c>
      <c r="G218" s="14">
        <v>0.28016203703703701</v>
      </c>
      <c r="H218" s="7" t="s">
        <v>5</v>
      </c>
      <c r="I218" s="2" t="str">
        <f t="shared" si="18"/>
        <v>Q4</v>
      </c>
      <c r="J218" s="2" t="str">
        <f t="shared" si="19"/>
        <v>Not Match</v>
      </c>
      <c r="K218" s="2">
        <f t="shared" si="15"/>
        <v>0.2</v>
      </c>
      <c r="L218" s="2" t="e">
        <f t="shared" si="16"/>
        <v>#N/A</v>
      </c>
      <c r="M218" s="2" t="str">
        <f t="shared" si="17"/>
        <v>Below 0.8 not in assigned quadrant</v>
      </c>
      <c r="N218" s="7">
        <v>17</v>
      </c>
      <c r="O218" s="7">
        <v>-0.6</v>
      </c>
      <c r="P218" s="7">
        <v>-1.6</v>
      </c>
      <c r="Q218" s="7">
        <v>0.41</v>
      </c>
      <c r="R218" s="7">
        <v>0</v>
      </c>
      <c r="S218" s="7">
        <v>-0.2</v>
      </c>
      <c r="T218" s="7">
        <v>0.28000000000000003</v>
      </c>
      <c r="U218" s="7">
        <v>0.25</v>
      </c>
      <c r="V218" s="7">
        <v>0.55000000000000004</v>
      </c>
      <c r="W218" s="7" t="s">
        <v>8</v>
      </c>
      <c r="X218" s="7" t="s">
        <v>9</v>
      </c>
      <c r="Y218" s="2" t="s">
        <v>719</v>
      </c>
      <c r="Z218" s="2" t="s">
        <v>721</v>
      </c>
    </row>
    <row r="219" spans="1:26" x14ac:dyDescent="0.35">
      <c r="A219" s="7" t="s">
        <v>1500</v>
      </c>
      <c r="B219" s="7" t="s">
        <v>228</v>
      </c>
      <c r="C219" s="4" t="str">
        <f>_xlfn.XLOOKUP(A219,[2]Sheet2!$I$2:$I$1273,[2]Sheet2!$D$2:$D$1273,0)</f>
        <v>Q2</v>
      </c>
      <c r="D219" s="4">
        <f>_xlfn.XLOOKUP(B219,[4]Sheet2!$B$2:$B$3154,[4]Sheet2!$F$2:$F$3154,0)</f>
        <v>0</v>
      </c>
      <c r="E219" s="4" t="e">
        <f>_xlfn.XLOOKUP(B219,[2]Sheet2!$E$2:$E$713,[2]Sheet2!$G$2:$G$713)</f>
        <v>#N/A</v>
      </c>
      <c r="F219" s="18">
        <v>46044</v>
      </c>
      <c r="G219" s="14">
        <v>0.28342592592592591</v>
      </c>
      <c r="H219" s="7" t="s">
        <v>5</v>
      </c>
      <c r="I219" s="2" t="str">
        <f t="shared" si="18"/>
        <v>Q4</v>
      </c>
      <c r="J219" s="2" t="str">
        <f t="shared" si="19"/>
        <v>Not Match</v>
      </c>
      <c r="K219" s="2">
        <f t="shared" si="15"/>
        <v>0.22360679774997899</v>
      </c>
      <c r="L219" s="2" t="e">
        <f t="shared" si="16"/>
        <v>#N/A</v>
      </c>
      <c r="M219" s="2" t="str">
        <f t="shared" si="17"/>
        <v>Below 0.8 not in assigned quadrant</v>
      </c>
      <c r="N219" s="7">
        <v>16.7</v>
      </c>
      <c r="O219" s="7">
        <v>-0.5</v>
      </c>
      <c r="P219" s="7">
        <v>-1.6</v>
      </c>
      <c r="Q219" s="7">
        <v>0.11</v>
      </c>
      <c r="R219" s="7">
        <v>0.1</v>
      </c>
      <c r="S219" s="7">
        <v>-0.2</v>
      </c>
      <c r="T219" s="7">
        <v>0.24</v>
      </c>
      <c r="U219" s="7">
        <v>0.28999999999999998</v>
      </c>
      <c r="V219" s="7">
        <v>0.39</v>
      </c>
      <c r="W219" s="7" t="s">
        <v>8</v>
      </c>
      <c r="X219" s="7" t="s">
        <v>9</v>
      </c>
      <c r="Y219" s="2" t="s">
        <v>719</v>
      </c>
      <c r="Z219" s="2" t="s">
        <v>721</v>
      </c>
    </row>
    <row r="220" spans="1:26" x14ac:dyDescent="0.35">
      <c r="A220" s="7" t="s">
        <v>1605</v>
      </c>
      <c r="B220" s="7" t="s">
        <v>229</v>
      </c>
      <c r="C220" s="4">
        <f>_xlfn.XLOOKUP(A220,[2]Sheet2!$I$2:$I$1273,[2]Sheet2!$D$2:$D$1273,0)</f>
        <v>0</v>
      </c>
      <c r="D220" s="4">
        <f>_xlfn.XLOOKUP(B220,[4]Sheet2!$B$2:$B$3154,[4]Sheet2!$F$2:$F$3154,0)</f>
        <v>0</v>
      </c>
      <c r="E220" s="4" t="e">
        <f>_xlfn.XLOOKUP(B220,[2]Sheet2!$E$2:$E$713,[2]Sheet2!$G$2:$G$713)</f>
        <v>#N/A</v>
      </c>
      <c r="F220" s="18">
        <v>46044</v>
      </c>
      <c r="G220" s="14">
        <v>0.28671296296296295</v>
      </c>
      <c r="H220" s="7" t="s">
        <v>14</v>
      </c>
      <c r="I220" s="2" t="str">
        <f t="shared" si="18"/>
        <v>Q3</v>
      </c>
      <c r="J220" s="2" t="str">
        <f t="shared" si="19"/>
        <v>Not Found</v>
      </c>
      <c r="K220" s="2">
        <f t="shared" si="15"/>
        <v>0.22360679774997899</v>
      </c>
      <c r="L220" s="2" t="e">
        <f t="shared" si="16"/>
        <v>#N/A</v>
      </c>
      <c r="M220" s="2" t="str">
        <f t="shared" si="17"/>
        <v>Assign quadrant hit</v>
      </c>
      <c r="N220" s="7">
        <v>17.3</v>
      </c>
      <c r="O220" s="7">
        <v>-0.3</v>
      </c>
      <c r="P220" s="7">
        <v>-13.8</v>
      </c>
      <c r="Q220" s="7">
        <v>-0.66</v>
      </c>
      <c r="R220" s="7">
        <v>-0.1</v>
      </c>
      <c r="S220" s="7">
        <v>-0.2</v>
      </c>
      <c r="T220" s="7">
        <v>0.19</v>
      </c>
      <c r="U220" s="7">
        <v>-0.12</v>
      </c>
      <c r="V220" s="7">
        <v>0.69</v>
      </c>
      <c r="W220" s="7" t="s">
        <v>8</v>
      </c>
      <c r="X220" s="7" t="s">
        <v>15</v>
      </c>
      <c r="Y220" s="2" t="s">
        <v>719</v>
      </c>
      <c r="Z220" s="2" t="s">
        <v>721</v>
      </c>
    </row>
    <row r="221" spans="1:26" x14ac:dyDescent="0.35">
      <c r="A221" s="7" t="s">
        <v>1606</v>
      </c>
      <c r="B221" s="7" t="s">
        <v>1059</v>
      </c>
      <c r="C221" s="4" t="str">
        <f>_xlfn.XLOOKUP(A221,[2]Sheet2!$I$2:$I$1273,[2]Sheet2!$D$2:$D$1273,0)</f>
        <v>Q1</v>
      </c>
      <c r="D221" s="4">
        <f>_xlfn.XLOOKUP(B221,[4]Sheet2!$B$2:$B$3154,[4]Sheet2!$F$2:$F$3154,0)</f>
        <v>0</v>
      </c>
      <c r="E221" s="4">
        <f>_xlfn.XLOOKUP(B221,[2]Sheet2!$E$2:$E$713,[2]Sheet2!$G$2:$G$713)</f>
        <v>0.8</v>
      </c>
      <c r="F221" s="18">
        <v>46044</v>
      </c>
      <c r="G221" s="14">
        <v>0.28809027777777779</v>
      </c>
      <c r="H221" s="7" t="s">
        <v>5</v>
      </c>
      <c r="I221" s="2" t="str">
        <f t="shared" si="18"/>
        <v>Q4</v>
      </c>
      <c r="J221" s="2" t="str">
        <f t="shared" si="19"/>
        <v>Not Match</v>
      </c>
      <c r="K221" s="2">
        <f t="shared" si="15"/>
        <v>0.4</v>
      </c>
      <c r="L221" s="2" t="str">
        <f t="shared" si="16"/>
        <v>Within Range</v>
      </c>
      <c r="M221" s="2" t="str">
        <f t="shared" si="17"/>
        <v>Below 0.8 not in assigned quadrant</v>
      </c>
      <c r="N221" s="7">
        <v>18.7</v>
      </c>
      <c r="O221" s="7">
        <v>0</v>
      </c>
      <c r="P221" s="7">
        <v>-10.7</v>
      </c>
      <c r="Q221" s="7">
        <v>0.13</v>
      </c>
      <c r="R221" s="7">
        <v>0</v>
      </c>
      <c r="S221" s="7">
        <v>-0.4</v>
      </c>
      <c r="T221" s="7">
        <v>0.4</v>
      </c>
      <c r="U221" s="7">
        <v>0.1</v>
      </c>
      <c r="V221" s="7">
        <v>0.43</v>
      </c>
      <c r="W221" s="7" t="s">
        <v>8</v>
      </c>
      <c r="X221" s="7" t="s">
        <v>9</v>
      </c>
      <c r="Y221" s="2" t="s">
        <v>719</v>
      </c>
      <c r="Z221" s="2" t="s">
        <v>721</v>
      </c>
    </row>
    <row r="222" spans="1:26" x14ac:dyDescent="0.35">
      <c r="A222" s="7" t="s">
        <v>1500</v>
      </c>
      <c r="B222" s="7" t="s">
        <v>230</v>
      </c>
      <c r="C222" s="4" t="str">
        <f>_xlfn.XLOOKUP(A222,[2]Sheet2!$I$2:$I$1273,[2]Sheet2!$D$2:$D$1273,0)</f>
        <v>Q2</v>
      </c>
      <c r="D222" s="4">
        <f>_xlfn.XLOOKUP(B222,[4]Sheet2!$B$2:$B$3154,[4]Sheet2!$F$2:$F$3154,0)</f>
        <v>0</v>
      </c>
      <c r="E222" s="4" t="e">
        <f>_xlfn.XLOOKUP(B222,[2]Sheet2!$E$2:$E$713,[2]Sheet2!$G$2:$G$713)</f>
        <v>#N/A</v>
      </c>
      <c r="F222" s="18">
        <v>46044</v>
      </c>
      <c r="G222" s="14">
        <v>0.36760416666666668</v>
      </c>
      <c r="H222" s="7" t="s">
        <v>5</v>
      </c>
      <c r="I222" s="2" t="str">
        <f t="shared" si="18"/>
        <v>Q4</v>
      </c>
      <c r="J222" s="2" t="str">
        <f t="shared" si="19"/>
        <v>Not Match</v>
      </c>
      <c r="K222" s="2">
        <f t="shared" si="15"/>
        <v>0.31622776601683794</v>
      </c>
      <c r="L222" s="2" t="e">
        <f t="shared" si="16"/>
        <v>#N/A</v>
      </c>
      <c r="M222" s="2" t="str">
        <f t="shared" si="17"/>
        <v>Below 0.8 not in assigned quadrant</v>
      </c>
      <c r="N222" s="7">
        <v>17.2</v>
      </c>
      <c r="O222" s="7">
        <v>-0.5</v>
      </c>
      <c r="P222" s="7">
        <v>-1.7</v>
      </c>
      <c r="Q222" s="7">
        <v>0.53</v>
      </c>
      <c r="R222" s="7">
        <v>0.1</v>
      </c>
      <c r="S222" s="7">
        <v>-0.3</v>
      </c>
      <c r="T222" s="7">
        <v>0.38</v>
      </c>
      <c r="U222" s="7">
        <v>0.38</v>
      </c>
      <c r="V222" s="7">
        <v>0.76</v>
      </c>
      <c r="W222" s="7" t="s">
        <v>13</v>
      </c>
      <c r="X222" s="7" t="s">
        <v>9</v>
      </c>
      <c r="Y222" s="2" t="s">
        <v>719</v>
      </c>
      <c r="Z222" s="2" t="s">
        <v>721</v>
      </c>
    </row>
    <row r="223" spans="1:26" x14ac:dyDescent="0.35">
      <c r="A223" s="7" t="s">
        <v>1596</v>
      </c>
      <c r="B223" s="7" t="s">
        <v>231</v>
      </c>
      <c r="C223" s="4" t="str">
        <f>_xlfn.XLOOKUP(A223,[2]Sheet2!$I$2:$I$1273,[2]Sheet2!$D$2:$D$1273,0)</f>
        <v>Q4</v>
      </c>
      <c r="D223" s="4">
        <f>_xlfn.XLOOKUP(B223,[4]Sheet2!$B$2:$B$3154,[4]Sheet2!$F$2:$F$3154,0)</f>
        <v>0</v>
      </c>
      <c r="E223" s="4" t="e">
        <f>_xlfn.XLOOKUP(B223,[2]Sheet2!$E$2:$E$713,[2]Sheet2!$G$2:$G$713)</f>
        <v>#N/A</v>
      </c>
      <c r="F223" s="18">
        <v>46044</v>
      </c>
      <c r="G223" s="14">
        <v>0.44290509259259259</v>
      </c>
      <c r="H223" s="7" t="s">
        <v>11</v>
      </c>
      <c r="I223" s="2" t="str">
        <f t="shared" si="18"/>
        <v>Q2</v>
      </c>
      <c r="J223" s="2" t="str">
        <f t="shared" si="19"/>
        <v>Not Match</v>
      </c>
      <c r="K223" s="2">
        <f t="shared" si="15"/>
        <v>0.70710678118654746</v>
      </c>
      <c r="L223" s="2" t="e">
        <f t="shared" si="16"/>
        <v>#N/A</v>
      </c>
      <c r="M223" s="2" t="str">
        <f t="shared" si="17"/>
        <v>Assign quadrant hit</v>
      </c>
      <c r="N223" s="7">
        <v>20.7</v>
      </c>
      <c r="O223" s="7">
        <v>-0.2</v>
      </c>
      <c r="P223" s="7">
        <v>-11.5</v>
      </c>
      <c r="Q223" s="7">
        <v>0.81</v>
      </c>
      <c r="R223" s="7">
        <v>-0.1</v>
      </c>
      <c r="S223" s="7">
        <v>0.7</v>
      </c>
      <c r="T223" s="7">
        <v>-0.6</v>
      </c>
      <c r="U223" s="7">
        <v>-0.19</v>
      </c>
      <c r="V223" s="7">
        <v>1.03</v>
      </c>
      <c r="W223" s="7" t="s">
        <v>6</v>
      </c>
      <c r="X223" s="7" t="s">
        <v>15</v>
      </c>
      <c r="Y223" s="2" t="s">
        <v>719</v>
      </c>
      <c r="Z223" s="2" t="s">
        <v>721</v>
      </c>
    </row>
    <row r="224" spans="1:26" x14ac:dyDescent="0.35">
      <c r="A224" s="7" t="s">
        <v>1500</v>
      </c>
      <c r="B224" s="7" t="s">
        <v>232</v>
      </c>
      <c r="C224" s="4" t="str">
        <f>_xlfn.XLOOKUP(A224,[2]Sheet2!$I$2:$I$1273,[2]Sheet2!$D$2:$D$1273,0)</f>
        <v>Q2</v>
      </c>
      <c r="D224" s="4">
        <f>_xlfn.XLOOKUP(B224,[4]Sheet2!$B$2:$B$3154,[4]Sheet2!$F$2:$F$3154,0)</f>
        <v>0</v>
      </c>
      <c r="E224" s="4" t="e">
        <f>_xlfn.XLOOKUP(B224,[2]Sheet2!$E$2:$E$713,[2]Sheet2!$G$2:$G$713)</f>
        <v>#N/A</v>
      </c>
      <c r="F224" s="18">
        <v>46044</v>
      </c>
      <c r="G224" s="14">
        <v>0.45038194444444446</v>
      </c>
      <c r="H224" s="7" t="s">
        <v>5</v>
      </c>
      <c r="I224" s="2" t="str">
        <f t="shared" si="18"/>
        <v>Q4</v>
      </c>
      <c r="J224" s="2" t="str">
        <f t="shared" si="19"/>
        <v>Not Match</v>
      </c>
      <c r="K224" s="2">
        <f t="shared" si="15"/>
        <v>0.1</v>
      </c>
      <c r="L224" s="2" t="e">
        <f t="shared" si="16"/>
        <v>#N/A</v>
      </c>
      <c r="M224" s="2" t="str">
        <f t="shared" si="17"/>
        <v>Below 0.8 not in assigned quadrant</v>
      </c>
      <c r="N224" s="7">
        <v>16.7</v>
      </c>
      <c r="O224" s="7">
        <v>-0.5</v>
      </c>
      <c r="P224" s="7">
        <v>-1.3</v>
      </c>
      <c r="Q224" s="7">
        <v>7.0000000000000007E-2</v>
      </c>
      <c r="R224" s="7">
        <v>0.1</v>
      </c>
      <c r="S224" s="7">
        <v>0</v>
      </c>
      <c r="T224" s="7">
        <v>-0.19</v>
      </c>
      <c r="U224" s="7">
        <v>0.18</v>
      </c>
      <c r="V224" s="7">
        <v>0.27</v>
      </c>
      <c r="W224" s="7" t="s">
        <v>8</v>
      </c>
      <c r="X224" s="7" t="s">
        <v>9</v>
      </c>
      <c r="Y224" s="2" t="s">
        <v>719</v>
      </c>
      <c r="Z224" s="2" t="s">
        <v>721</v>
      </c>
    </row>
    <row r="225" spans="1:26" x14ac:dyDescent="0.35">
      <c r="A225" s="7" t="s">
        <v>1519</v>
      </c>
      <c r="B225" s="7" t="s">
        <v>215</v>
      </c>
      <c r="C225" s="4">
        <f>_xlfn.XLOOKUP(A225,[2]Sheet2!$I$2:$I$1273,[2]Sheet2!$D$2:$D$1273,0)</f>
        <v>0</v>
      </c>
      <c r="D225" s="4">
        <f>_xlfn.XLOOKUP(B225,[4]Sheet2!$B$2:$B$3154,[4]Sheet2!$F$2:$F$3154,0)</f>
        <v>0</v>
      </c>
      <c r="E225" s="4" t="e">
        <f>_xlfn.XLOOKUP(B225,[2]Sheet2!$E$2:$E$713,[2]Sheet2!$G$2:$G$713)</f>
        <v>#N/A</v>
      </c>
      <c r="F225" s="18">
        <v>46044</v>
      </c>
      <c r="G225" s="14">
        <v>0.4629050925925926</v>
      </c>
      <c r="H225" s="7" t="s">
        <v>5</v>
      </c>
      <c r="I225" s="2" t="str">
        <f t="shared" si="18"/>
        <v>Q2</v>
      </c>
      <c r="J225" s="2" t="str">
        <f t="shared" si="19"/>
        <v>Not Found</v>
      </c>
      <c r="K225" s="2">
        <f t="shared" si="15"/>
        <v>0.82462112512353225</v>
      </c>
      <c r="L225" s="2" t="e">
        <f t="shared" si="16"/>
        <v>#N/A</v>
      </c>
      <c r="M225" s="2" t="str">
        <f t="shared" si="17"/>
        <v>Assign quadrant hit</v>
      </c>
      <c r="N225" s="7">
        <v>27.3</v>
      </c>
      <c r="O225" s="7">
        <v>22.3</v>
      </c>
      <c r="P225" s="7">
        <v>17.600000000000001</v>
      </c>
      <c r="Q225" s="7">
        <v>-0.67</v>
      </c>
      <c r="R225" s="7">
        <v>-0.2</v>
      </c>
      <c r="S225" s="7">
        <v>0.8</v>
      </c>
      <c r="T225" s="7">
        <v>0.14000000000000001</v>
      </c>
      <c r="U225" s="7">
        <v>0.84</v>
      </c>
      <c r="V225" s="7">
        <v>1.0900000000000001</v>
      </c>
      <c r="W225" s="7" t="s">
        <v>6</v>
      </c>
      <c r="X225" s="7" t="s">
        <v>12</v>
      </c>
      <c r="Y225" s="2" t="s">
        <v>719</v>
      </c>
      <c r="Z225" s="2" t="s">
        <v>721</v>
      </c>
    </row>
    <row r="226" spans="1:26" x14ac:dyDescent="0.35">
      <c r="A226" s="7" t="s">
        <v>1510</v>
      </c>
      <c r="B226" s="7" t="s">
        <v>233</v>
      </c>
      <c r="C226" s="4">
        <f>_xlfn.XLOOKUP(A226,[2]Sheet2!$I$2:$I$1273,[2]Sheet2!$D$2:$D$1273,0)</f>
        <v>0</v>
      </c>
      <c r="D226" s="4">
        <f>_xlfn.XLOOKUP(B226,[4]Sheet2!$B$2:$B$3154,[4]Sheet2!$F$2:$F$3154,0)</f>
        <v>0</v>
      </c>
      <c r="E226" s="4" t="e">
        <f>_xlfn.XLOOKUP(B226,[2]Sheet2!$E$2:$E$713,[2]Sheet2!$G$2:$G$713)</f>
        <v>#N/A</v>
      </c>
      <c r="F226" s="18">
        <v>46044</v>
      </c>
      <c r="G226" s="14">
        <v>0.56081018518518522</v>
      </c>
      <c r="H226" s="7" t="s">
        <v>11</v>
      </c>
      <c r="I226" s="2" t="str">
        <f t="shared" si="18"/>
        <v>Q4</v>
      </c>
      <c r="J226" s="2" t="str">
        <f t="shared" si="19"/>
        <v>Not Found</v>
      </c>
      <c r="K226" s="2">
        <f t="shared" si="15"/>
        <v>0.2</v>
      </c>
      <c r="L226" s="2" t="e">
        <f t="shared" si="16"/>
        <v>#N/A</v>
      </c>
      <c r="M226" s="2" t="str">
        <f t="shared" si="17"/>
        <v>Assign quadrant hit</v>
      </c>
      <c r="N226" s="7">
        <v>16.3</v>
      </c>
      <c r="O226" s="7">
        <v>-0.1</v>
      </c>
      <c r="P226" s="7">
        <v>-1.3</v>
      </c>
      <c r="Q226" s="7">
        <v>-0.21</v>
      </c>
      <c r="R226" s="7">
        <v>0</v>
      </c>
      <c r="S226" s="7">
        <v>-0.2</v>
      </c>
      <c r="T226" s="7">
        <v>0.34</v>
      </c>
      <c r="U226" s="7">
        <v>0.06</v>
      </c>
      <c r="V226" s="7">
        <v>0.4</v>
      </c>
      <c r="W226" s="7" t="s">
        <v>8</v>
      </c>
      <c r="X226" s="7" t="s">
        <v>9</v>
      </c>
      <c r="Y226" s="2" t="s">
        <v>719</v>
      </c>
      <c r="Z226" s="2" t="s">
        <v>721</v>
      </c>
    </row>
    <row r="227" spans="1:26" x14ac:dyDescent="0.35">
      <c r="A227" s="7" t="s">
        <v>1559</v>
      </c>
      <c r="B227" s="7" t="s">
        <v>234</v>
      </c>
      <c r="C227" s="4" t="str">
        <f>_xlfn.XLOOKUP(A227,[2]Sheet2!$I$2:$I$1273,[2]Sheet2!$D$2:$D$1273,0)</f>
        <v>Q3</v>
      </c>
      <c r="D227" s="4">
        <f>_xlfn.XLOOKUP(B227,[4]Sheet2!$B$2:$B$3154,[4]Sheet2!$F$2:$F$3154,0)</f>
        <v>0</v>
      </c>
      <c r="E227" s="4" t="e">
        <f>_xlfn.XLOOKUP(B227,[2]Sheet2!$E$2:$E$713,[2]Sheet2!$G$2:$G$713)</f>
        <v>#N/A</v>
      </c>
      <c r="F227" s="18">
        <v>46044</v>
      </c>
      <c r="G227" s="14">
        <v>0.56358796296296299</v>
      </c>
      <c r="H227" s="7" t="s">
        <v>11</v>
      </c>
      <c r="I227" s="2" t="str">
        <f t="shared" si="18"/>
        <v>Q3</v>
      </c>
      <c r="J227" s="2" t="str">
        <f t="shared" si="19"/>
        <v>Match</v>
      </c>
      <c r="K227" s="2">
        <f t="shared" si="15"/>
        <v>0</v>
      </c>
      <c r="L227" s="2" t="e">
        <f t="shared" si="16"/>
        <v>#N/A</v>
      </c>
      <c r="M227" s="2" t="str">
        <f t="shared" si="17"/>
        <v>Digital Approve Hit</v>
      </c>
      <c r="N227" s="7">
        <v>17.2</v>
      </c>
      <c r="O227" s="7">
        <v>-0.5</v>
      </c>
      <c r="P227" s="7">
        <v>-3.2</v>
      </c>
      <c r="Q227" s="7">
        <v>0.65</v>
      </c>
      <c r="R227" s="7">
        <v>0</v>
      </c>
      <c r="S227" s="7">
        <v>0</v>
      </c>
      <c r="T227" s="7">
        <v>-0.01</v>
      </c>
      <c r="U227" s="7">
        <v>-0.06</v>
      </c>
      <c r="V227" s="7">
        <v>0.66</v>
      </c>
      <c r="W227" s="7" t="s">
        <v>8</v>
      </c>
      <c r="X227" s="7" t="s">
        <v>15</v>
      </c>
      <c r="Y227" s="2" t="s">
        <v>719</v>
      </c>
      <c r="Z227" s="2" t="s">
        <v>721</v>
      </c>
    </row>
    <row r="228" spans="1:26" x14ac:dyDescent="0.35">
      <c r="A228" s="7" t="s">
        <v>1536</v>
      </c>
      <c r="B228" s="7" t="s">
        <v>235</v>
      </c>
      <c r="C228" s="4" t="str">
        <f>_xlfn.XLOOKUP(A228,[2]Sheet2!$I$2:$I$1273,[2]Sheet2!$D$2:$D$1273,0)</f>
        <v>Q2</v>
      </c>
      <c r="D228" s="4">
        <f>_xlfn.XLOOKUP(B228,[4]Sheet2!$B$2:$B$3154,[4]Sheet2!$F$2:$F$3154,0)</f>
        <v>0</v>
      </c>
      <c r="E228" s="4" t="e">
        <f>_xlfn.XLOOKUP(B228,[2]Sheet2!$E$2:$E$713,[2]Sheet2!$G$2:$G$713)</f>
        <v>#N/A</v>
      </c>
      <c r="F228" s="18">
        <v>46044</v>
      </c>
      <c r="G228" s="14">
        <v>0.58043981481481477</v>
      </c>
      <c r="H228" s="7" t="s">
        <v>5</v>
      </c>
      <c r="I228" s="2" t="str">
        <f t="shared" si="18"/>
        <v>Q4</v>
      </c>
      <c r="J228" s="2" t="str">
        <f t="shared" si="19"/>
        <v>Not Match</v>
      </c>
      <c r="K228" s="2">
        <f t="shared" si="15"/>
        <v>0.1</v>
      </c>
      <c r="L228" s="2" t="e">
        <f t="shared" si="16"/>
        <v>#N/A</v>
      </c>
      <c r="M228" s="2" t="str">
        <f t="shared" si="17"/>
        <v>Below 0.8 not in assigned quadrant</v>
      </c>
      <c r="N228" s="7">
        <v>15.2</v>
      </c>
      <c r="O228" s="7">
        <v>-0.5</v>
      </c>
      <c r="P228" s="7">
        <v>-2.6</v>
      </c>
      <c r="Q228" s="7">
        <v>0.02</v>
      </c>
      <c r="R228" s="7">
        <v>0.1</v>
      </c>
      <c r="S228" s="7">
        <v>0</v>
      </c>
      <c r="T228" s="7">
        <v>-0.01</v>
      </c>
      <c r="U228" s="7">
        <v>0.19</v>
      </c>
      <c r="V228" s="7">
        <v>0.19</v>
      </c>
      <c r="W228" s="7" t="s">
        <v>8</v>
      </c>
      <c r="X228" s="7" t="s">
        <v>9</v>
      </c>
      <c r="Y228" s="2" t="s">
        <v>719</v>
      </c>
      <c r="Z228" s="2" t="s">
        <v>721</v>
      </c>
    </row>
    <row r="229" spans="1:26" x14ac:dyDescent="0.35">
      <c r="A229" s="7" t="s">
        <v>1500</v>
      </c>
      <c r="B229" s="7" t="s">
        <v>236</v>
      </c>
      <c r="C229" s="4" t="str">
        <f>_xlfn.XLOOKUP(A229,[2]Sheet2!$I$2:$I$1273,[2]Sheet2!$D$2:$D$1273,0)</f>
        <v>Q2</v>
      </c>
      <c r="D229" s="4">
        <f>_xlfn.XLOOKUP(B229,[4]Sheet2!$B$2:$B$3154,[4]Sheet2!$F$2:$F$3154,0)</f>
        <v>0</v>
      </c>
      <c r="E229" s="4" t="e">
        <f>_xlfn.XLOOKUP(B229,[2]Sheet2!$E$2:$E$713,[2]Sheet2!$G$2:$G$713)</f>
        <v>#N/A</v>
      </c>
      <c r="F229" s="18">
        <v>46044</v>
      </c>
      <c r="G229" s="14">
        <v>0.58364583333333331</v>
      </c>
      <c r="H229" s="7" t="s">
        <v>5</v>
      </c>
      <c r="I229" s="2" t="str">
        <f t="shared" si="18"/>
        <v>Q4</v>
      </c>
      <c r="J229" s="2" t="str">
        <f t="shared" si="19"/>
        <v>Not Match</v>
      </c>
      <c r="K229" s="2">
        <f t="shared" si="15"/>
        <v>0.14142135623730953</v>
      </c>
      <c r="L229" s="2" t="e">
        <f t="shared" si="16"/>
        <v>#N/A</v>
      </c>
      <c r="M229" s="2" t="str">
        <f t="shared" si="17"/>
        <v>Below 0.8 not in assigned quadrant</v>
      </c>
      <c r="N229" s="7">
        <v>17.100000000000001</v>
      </c>
      <c r="O229" s="7">
        <v>-0.5</v>
      </c>
      <c r="P229" s="7">
        <v>-1.5</v>
      </c>
      <c r="Q229" s="7">
        <v>0.44</v>
      </c>
      <c r="R229" s="7">
        <v>0.1</v>
      </c>
      <c r="S229" s="7">
        <v>-0.1</v>
      </c>
      <c r="T229" s="7">
        <v>0.13</v>
      </c>
      <c r="U229" s="7">
        <v>0.28000000000000003</v>
      </c>
      <c r="V229" s="7">
        <v>0.53</v>
      </c>
      <c r="W229" s="7" t="s">
        <v>8</v>
      </c>
      <c r="X229" s="7" t="s">
        <v>9</v>
      </c>
      <c r="Y229" s="2" t="s">
        <v>719</v>
      </c>
      <c r="Z229" s="2" t="s">
        <v>721</v>
      </c>
    </row>
    <row r="230" spans="1:26" x14ac:dyDescent="0.35">
      <c r="A230" s="7" t="s">
        <v>1559</v>
      </c>
      <c r="B230" s="7" t="s">
        <v>237</v>
      </c>
      <c r="C230" s="4" t="str">
        <f>_xlfn.XLOOKUP(A230,[2]Sheet2!$I$2:$I$1273,[2]Sheet2!$D$2:$D$1273,0)</f>
        <v>Q3</v>
      </c>
      <c r="D230" s="4">
        <f>_xlfn.XLOOKUP(B230,[4]Sheet2!$B$2:$B$3154,[4]Sheet2!$F$2:$F$3154,0)</f>
        <v>0</v>
      </c>
      <c r="E230" s="4" t="e">
        <f>_xlfn.XLOOKUP(B230,[2]Sheet2!$E$2:$E$713,[2]Sheet2!$G$2:$G$713)</f>
        <v>#N/A</v>
      </c>
      <c r="F230" s="18">
        <v>46044</v>
      </c>
      <c r="G230" s="14">
        <v>0.60754629629629631</v>
      </c>
      <c r="H230" s="7" t="s">
        <v>11</v>
      </c>
      <c r="I230" s="2" t="str">
        <f t="shared" si="18"/>
        <v>Q1</v>
      </c>
      <c r="J230" s="2" t="str">
        <f t="shared" si="19"/>
        <v>Not Match</v>
      </c>
      <c r="K230" s="2">
        <f t="shared" si="15"/>
        <v>0.2</v>
      </c>
      <c r="L230" s="2" t="e">
        <f t="shared" si="16"/>
        <v>#N/A</v>
      </c>
      <c r="M230" s="2" t="str">
        <f t="shared" si="17"/>
        <v>Below 0.8 not in assigned quadrant</v>
      </c>
      <c r="N230" s="7">
        <v>17.600000000000001</v>
      </c>
      <c r="O230" s="7">
        <v>-0.5</v>
      </c>
      <c r="P230" s="7">
        <v>-2.9</v>
      </c>
      <c r="Q230" s="7">
        <v>0.71</v>
      </c>
      <c r="R230" s="7">
        <v>0</v>
      </c>
      <c r="S230" s="7">
        <v>0.2</v>
      </c>
      <c r="T230" s="7">
        <v>-0.24</v>
      </c>
      <c r="U230" s="7">
        <v>-0.06</v>
      </c>
      <c r="V230" s="7">
        <v>0.75</v>
      </c>
      <c r="W230" s="7" t="s">
        <v>13</v>
      </c>
      <c r="X230" s="7" t="s">
        <v>15</v>
      </c>
      <c r="Y230" s="2" t="s">
        <v>719</v>
      </c>
      <c r="Z230" s="2" t="s">
        <v>721</v>
      </c>
    </row>
    <row r="231" spans="1:26" x14ac:dyDescent="0.35">
      <c r="A231" s="7" t="s">
        <v>1603</v>
      </c>
      <c r="B231" s="7" t="s">
        <v>238</v>
      </c>
      <c r="C231" s="4" t="str">
        <f>_xlfn.XLOOKUP(A231,[2]Sheet2!$I$2:$I$1273,[2]Sheet2!$D$2:$D$1273,0)</f>
        <v>Q2</v>
      </c>
      <c r="D231" s="4">
        <f>_xlfn.XLOOKUP(B231,[4]Sheet2!$B$2:$B$3154,[4]Sheet2!$F$2:$F$3154,0)</f>
        <v>0</v>
      </c>
      <c r="E231" s="4" t="e">
        <f>_xlfn.XLOOKUP(B231,[2]Sheet2!$E$2:$E$713,[2]Sheet2!$G$2:$G$713)</f>
        <v>#N/A</v>
      </c>
      <c r="F231" s="18">
        <v>46044</v>
      </c>
      <c r="G231" s="14">
        <v>0.64017361111111115</v>
      </c>
      <c r="H231" s="7" t="s">
        <v>4</v>
      </c>
      <c r="I231" s="2" t="str">
        <f t="shared" si="18"/>
        <v>Q4</v>
      </c>
      <c r="J231" s="2" t="str">
        <f t="shared" si="19"/>
        <v>Not Match</v>
      </c>
      <c r="K231" s="2">
        <f t="shared" si="15"/>
        <v>0.1</v>
      </c>
      <c r="L231" s="2" t="e">
        <f t="shared" si="16"/>
        <v>#N/A</v>
      </c>
      <c r="M231" s="2" t="str">
        <f t="shared" si="17"/>
        <v>Below 0.8 not in assigned quadrant</v>
      </c>
      <c r="N231" s="7">
        <v>15</v>
      </c>
      <c r="O231" s="7">
        <v>0</v>
      </c>
      <c r="P231" s="7">
        <v>-0.7</v>
      </c>
      <c r="Q231" s="7">
        <v>-0.16</v>
      </c>
      <c r="R231" s="7">
        <v>0</v>
      </c>
      <c r="S231" s="7">
        <v>-0.1</v>
      </c>
      <c r="T231" s="7">
        <v>0.27</v>
      </c>
      <c r="U231" s="7">
        <v>-0.02</v>
      </c>
      <c r="V231" s="7">
        <v>0.31</v>
      </c>
      <c r="W231" s="7" t="s">
        <v>8</v>
      </c>
      <c r="X231" s="7" t="s">
        <v>15</v>
      </c>
      <c r="Y231" s="2" t="s">
        <v>719</v>
      </c>
      <c r="Z231" s="2" t="s">
        <v>721</v>
      </c>
    </row>
    <row r="232" spans="1:26" x14ac:dyDescent="0.35">
      <c r="A232" s="7" t="s">
        <v>1545</v>
      </c>
      <c r="B232" s="7" t="s">
        <v>239</v>
      </c>
      <c r="C232" s="4" t="str">
        <f>_xlfn.XLOOKUP(A232,[2]Sheet2!$I$2:$I$1273,[2]Sheet2!$D$2:$D$1273,0)</f>
        <v>Q2</v>
      </c>
      <c r="D232" s="4">
        <f>_xlfn.XLOOKUP(B232,[4]Sheet2!$B$2:$B$3154,[4]Sheet2!$F$2:$F$3154,0)</f>
        <v>0</v>
      </c>
      <c r="E232" s="4" t="e">
        <f>_xlfn.XLOOKUP(B232,[2]Sheet2!$E$2:$E$713,[2]Sheet2!$G$2:$G$713)</f>
        <v>#N/A</v>
      </c>
      <c r="F232" s="18">
        <v>46048</v>
      </c>
      <c r="G232" s="14">
        <v>0.66876157407407411</v>
      </c>
      <c r="H232" s="7" t="s">
        <v>5</v>
      </c>
      <c r="I232" s="2" t="str">
        <f t="shared" si="18"/>
        <v>Q4</v>
      </c>
      <c r="J232" s="2" t="str">
        <f t="shared" si="19"/>
        <v>Not Match</v>
      </c>
      <c r="K232" s="2">
        <f t="shared" si="15"/>
        <v>0.2</v>
      </c>
      <c r="L232" s="2" t="e">
        <f t="shared" si="16"/>
        <v>#N/A</v>
      </c>
      <c r="M232" s="2" t="str">
        <f t="shared" si="17"/>
        <v>Below 0.8 not in assigned quadrant</v>
      </c>
      <c r="N232" s="7">
        <v>17.399999999999999</v>
      </c>
      <c r="O232" s="7">
        <v>-0.6</v>
      </c>
      <c r="P232" s="7">
        <v>-2.6</v>
      </c>
      <c r="Q232" s="7">
        <v>-0.46</v>
      </c>
      <c r="R232" s="7">
        <v>0</v>
      </c>
      <c r="S232" s="7">
        <v>-0.2</v>
      </c>
      <c r="T232" s="7">
        <v>0.33</v>
      </c>
      <c r="U232" s="7">
        <v>0.2</v>
      </c>
      <c r="V232" s="7">
        <v>0.6</v>
      </c>
      <c r="W232" s="7" t="s">
        <v>8</v>
      </c>
      <c r="X232" s="7" t="s">
        <v>9</v>
      </c>
      <c r="Y232" s="2" t="s">
        <v>719</v>
      </c>
      <c r="Z232" s="2" t="s">
        <v>721</v>
      </c>
    </row>
    <row r="233" spans="1:26" x14ac:dyDescent="0.35">
      <c r="A233" s="7" t="s">
        <v>1500</v>
      </c>
      <c r="B233" s="7" t="s">
        <v>240</v>
      </c>
      <c r="C233" s="4" t="str">
        <f>_xlfn.XLOOKUP(A233,[2]Sheet2!$I$2:$I$1273,[2]Sheet2!$D$2:$D$1273,0)</f>
        <v>Q2</v>
      </c>
      <c r="D233" s="4">
        <f>_xlfn.XLOOKUP(B233,[4]Sheet2!$B$2:$B$3154,[4]Sheet2!$F$2:$F$3154,0)</f>
        <v>0</v>
      </c>
      <c r="E233" s="4" t="e">
        <f>_xlfn.XLOOKUP(B233,[2]Sheet2!$E$2:$E$713,[2]Sheet2!$G$2:$G$713)</f>
        <v>#N/A</v>
      </c>
      <c r="F233" s="18">
        <v>46048</v>
      </c>
      <c r="G233" s="14">
        <v>0.67128472222222224</v>
      </c>
      <c r="H233" s="7" t="s">
        <v>5</v>
      </c>
      <c r="I233" s="2" t="str">
        <f t="shared" si="18"/>
        <v>Q4</v>
      </c>
      <c r="J233" s="2" t="str">
        <f t="shared" si="19"/>
        <v>Not Match</v>
      </c>
      <c r="K233" s="2">
        <f t="shared" si="15"/>
        <v>0.14142135623730953</v>
      </c>
      <c r="L233" s="2" t="e">
        <f t="shared" si="16"/>
        <v>#N/A</v>
      </c>
      <c r="M233" s="2" t="str">
        <f t="shared" si="17"/>
        <v>Below 0.8 not in assigned quadrant</v>
      </c>
      <c r="N233" s="7">
        <v>16.600000000000001</v>
      </c>
      <c r="O233" s="7">
        <v>-0.5</v>
      </c>
      <c r="P233" s="7">
        <v>-1.5</v>
      </c>
      <c r="Q233" s="7">
        <v>0.01</v>
      </c>
      <c r="R233" s="7">
        <v>0.1</v>
      </c>
      <c r="S233" s="7">
        <v>-0.1</v>
      </c>
      <c r="T233" s="7">
        <v>0.14000000000000001</v>
      </c>
      <c r="U233" s="7">
        <v>0.32</v>
      </c>
      <c r="V233" s="7">
        <v>0.35</v>
      </c>
      <c r="W233" s="7" t="s">
        <v>8</v>
      </c>
      <c r="X233" s="7" t="s">
        <v>9</v>
      </c>
      <c r="Y233" s="2" t="s">
        <v>719</v>
      </c>
      <c r="Z233" s="2" t="s">
        <v>721</v>
      </c>
    </row>
    <row r="234" spans="1:26" x14ac:dyDescent="0.35">
      <c r="A234" s="7" t="s">
        <v>1500</v>
      </c>
      <c r="B234" s="7" t="s">
        <v>241</v>
      </c>
      <c r="C234" s="4" t="str">
        <f>_xlfn.XLOOKUP(A234,[2]Sheet2!$I$2:$I$1273,[2]Sheet2!$D$2:$D$1273,0)</f>
        <v>Q2</v>
      </c>
      <c r="D234" s="4">
        <f>_xlfn.XLOOKUP(B234,[4]Sheet2!$B$2:$B$3154,[4]Sheet2!$F$2:$F$3154,0)</f>
        <v>0</v>
      </c>
      <c r="E234" s="4" t="e">
        <f>_xlfn.XLOOKUP(B234,[2]Sheet2!$E$2:$E$713,[2]Sheet2!$G$2:$G$713)</f>
        <v>#N/A</v>
      </c>
      <c r="F234" s="18">
        <v>46048</v>
      </c>
      <c r="G234" s="14">
        <v>0.67276620370370366</v>
      </c>
      <c r="H234" s="7" t="s">
        <v>5</v>
      </c>
      <c r="I234" s="2" t="str">
        <f t="shared" si="18"/>
        <v>Q4</v>
      </c>
      <c r="J234" s="2" t="str">
        <f t="shared" si="19"/>
        <v>Not Match</v>
      </c>
      <c r="K234" s="2">
        <f t="shared" si="15"/>
        <v>0.14142135623730953</v>
      </c>
      <c r="L234" s="2" t="e">
        <f t="shared" si="16"/>
        <v>#N/A</v>
      </c>
      <c r="M234" s="2" t="str">
        <f t="shared" si="17"/>
        <v>Assign quadrant hit</v>
      </c>
      <c r="N234" s="7">
        <v>17.600000000000001</v>
      </c>
      <c r="O234" s="7">
        <v>-0.5</v>
      </c>
      <c r="P234" s="7">
        <v>-1.5</v>
      </c>
      <c r="Q234" s="7">
        <v>0.9</v>
      </c>
      <c r="R234" s="7">
        <v>0.1</v>
      </c>
      <c r="S234" s="7">
        <v>-0.1</v>
      </c>
      <c r="T234" s="7">
        <v>0.14000000000000001</v>
      </c>
      <c r="U234" s="7">
        <v>0.27</v>
      </c>
      <c r="V234" s="7">
        <v>0.95</v>
      </c>
      <c r="W234" s="7" t="s">
        <v>13</v>
      </c>
      <c r="X234" s="7" t="s">
        <v>9</v>
      </c>
      <c r="Y234" s="2" t="s">
        <v>719</v>
      </c>
      <c r="Z234" s="2" t="s">
        <v>721</v>
      </c>
    </row>
    <row r="235" spans="1:26" x14ac:dyDescent="0.35">
      <c r="A235" s="7" t="s">
        <v>1603</v>
      </c>
      <c r="B235" s="7" t="s">
        <v>242</v>
      </c>
      <c r="C235" s="4" t="str">
        <f>_xlfn.XLOOKUP(A235,[2]Sheet2!$I$2:$I$1273,[2]Sheet2!$D$2:$D$1273,0)</f>
        <v>Q2</v>
      </c>
      <c r="D235" s="4">
        <f>_xlfn.XLOOKUP(B235,[4]Sheet2!$B$2:$B$3154,[4]Sheet2!$F$2:$F$3154,0)</f>
        <v>0</v>
      </c>
      <c r="E235" s="4" t="e">
        <f>_xlfn.XLOOKUP(B235,[2]Sheet2!$E$2:$E$713,[2]Sheet2!$G$2:$G$713)</f>
        <v>#N/A</v>
      </c>
      <c r="F235" s="18">
        <v>46048</v>
      </c>
      <c r="G235" s="14">
        <v>0.67461805555555554</v>
      </c>
      <c r="H235" s="7" t="s">
        <v>5</v>
      </c>
      <c r="I235" s="2" t="str">
        <f t="shared" si="18"/>
        <v>Q4</v>
      </c>
      <c r="J235" s="2" t="str">
        <f t="shared" si="19"/>
        <v>Not Match</v>
      </c>
      <c r="K235" s="2">
        <f t="shared" si="15"/>
        <v>0.2</v>
      </c>
      <c r="L235" s="2" t="e">
        <f t="shared" si="16"/>
        <v>#N/A</v>
      </c>
      <c r="M235" s="2" t="str">
        <f t="shared" si="17"/>
        <v>Below 0.8 not in assigned quadrant</v>
      </c>
      <c r="N235" s="7">
        <v>14.7</v>
      </c>
      <c r="O235" s="7">
        <v>-0.1</v>
      </c>
      <c r="P235" s="7">
        <v>-0.8</v>
      </c>
      <c r="Q235" s="7">
        <v>-0.48</v>
      </c>
      <c r="R235" s="7">
        <v>0</v>
      </c>
      <c r="S235" s="7">
        <v>-0.2</v>
      </c>
      <c r="T235" s="7">
        <v>0.35</v>
      </c>
      <c r="U235" s="7">
        <v>0.05</v>
      </c>
      <c r="V235" s="7">
        <v>0.6</v>
      </c>
      <c r="W235" s="7" t="s">
        <v>8</v>
      </c>
      <c r="X235" s="7" t="s">
        <v>9</v>
      </c>
      <c r="Y235" s="2" t="s">
        <v>719</v>
      </c>
      <c r="Z235" s="2" t="s">
        <v>721</v>
      </c>
    </row>
    <row r="236" spans="1:26" x14ac:dyDescent="0.35">
      <c r="A236" s="7" t="s">
        <v>1500</v>
      </c>
      <c r="B236" s="7" t="s">
        <v>243</v>
      </c>
      <c r="C236" s="4" t="str">
        <f>_xlfn.XLOOKUP(A236,[2]Sheet2!$I$2:$I$1273,[2]Sheet2!$D$2:$D$1273,0)</f>
        <v>Q2</v>
      </c>
      <c r="D236" s="4">
        <f>_xlfn.XLOOKUP(B236,[4]Sheet2!$B$2:$B$3154,[4]Sheet2!$F$2:$F$3154,0)</f>
        <v>0</v>
      </c>
      <c r="E236" s="4" t="e">
        <f>_xlfn.XLOOKUP(B236,[2]Sheet2!$E$2:$E$713,[2]Sheet2!$G$2:$G$713)</f>
        <v>#N/A</v>
      </c>
      <c r="F236" s="18">
        <v>46048</v>
      </c>
      <c r="G236" s="14">
        <v>0.74885416666666671</v>
      </c>
      <c r="H236" s="7" t="s">
        <v>5</v>
      </c>
      <c r="I236" s="2" t="str">
        <f t="shared" si="18"/>
        <v>Q4</v>
      </c>
      <c r="J236" s="2" t="str">
        <f t="shared" si="19"/>
        <v>Not Match</v>
      </c>
      <c r="K236" s="2">
        <f t="shared" si="15"/>
        <v>0.22360679774997899</v>
      </c>
      <c r="L236" s="2" t="e">
        <f t="shared" si="16"/>
        <v>#N/A</v>
      </c>
      <c r="M236" s="2" t="str">
        <f t="shared" si="17"/>
        <v>Below 0.8 not in assigned quadrant</v>
      </c>
      <c r="N236" s="7">
        <v>17.2</v>
      </c>
      <c r="O236" s="7">
        <v>-0.5</v>
      </c>
      <c r="P236" s="7">
        <v>-1.6</v>
      </c>
      <c r="Q236" s="7">
        <v>0.56999999999999995</v>
      </c>
      <c r="R236" s="7">
        <v>0.1</v>
      </c>
      <c r="S236" s="7">
        <v>-0.2</v>
      </c>
      <c r="T236" s="7">
        <v>0.28999999999999998</v>
      </c>
      <c r="U236" s="7">
        <v>0.33</v>
      </c>
      <c r="V236" s="7">
        <v>0.72</v>
      </c>
      <c r="W236" s="7" t="s">
        <v>8</v>
      </c>
      <c r="X236" s="7" t="s">
        <v>9</v>
      </c>
      <c r="Y236" s="2" t="s">
        <v>719</v>
      </c>
      <c r="Z236" s="2" t="s">
        <v>721</v>
      </c>
    </row>
    <row r="237" spans="1:26" x14ac:dyDescent="0.35">
      <c r="A237" s="7" t="s">
        <v>1546</v>
      </c>
      <c r="B237" s="7" t="s">
        <v>244</v>
      </c>
      <c r="C237" s="4">
        <f>_xlfn.XLOOKUP(A237,[2]Sheet2!$I$2:$I$1273,[2]Sheet2!$D$2:$D$1273,0)</f>
        <v>0</v>
      </c>
      <c r="D237" s="4">
        <f>_xlfn.XLOOKUP(B237,[4]Sheet2!$B$2:$B$3154,[4]Sheet2!$F$2:$F$3154,0)</f>
        <v>0</v>
      </c>
      <c r="E237" s="4" t="e">
        <f>_xlfn.XLOOKUP(B237,[2]Sheet2!$E$2:$E$713,[2]Sheet2!$G$2:$G$713)</f>
        <v>#N/A</v>
      </c>
      <c r="F237" s="18">
        <v>46048</v>
      </c>
      <c r="G237" s="14">
        <v>0.75177083333333339</v>
      </c>
      <c r="H237" s="7" t="s">
        <v>5</v>
      </c>
      <c r="I237" s="2" t="str">
        <f t="shared" si="18"/>
        <v>Q3</v>
      </c>
      <c r="J237" s="2" t="str">
        <f t="shared" si="19"/>
        <v>Not Found</v>
      </c>
      <c r="K237" s="2">
        <f t="shared" si="15"/>
        <v>1.4866068747318506</v>
      </c>
      <c r="L237" s="2" t="e">
        <f t="shared" si="16"/>
        <v>#N/A</v>
      </c>
      <c r="M237" s="2" t="str">
        <f t="shared" si="17"/>
        <v>Assign quadrant hit</v>
      </c>
      <c r="N237" s="7">
        <v>50.1</v>
      </c>
      <c r="O237" s="7">
        <v>55.9</v>
      </c>
      <c r="P237" s="7">
        <v>48.1</v>
      </c>
      <c r="Q237" s="7">
        <v>-0.94</v>
      </c>
      <c r="R237" s="7">
        <v>-1</v>
      </c>
      <c r="S237" s="7">
        <v>-1.1000000000000001</v>
      </c>
      <c r="T237" s="7">
        <v>-0.52</v>
      </c>
      <c r="U237" s="7">
        <v>-0.11</v>
      </c>
      <c r="V237" s="7">
        <v>1.08</v>
      </c>
      <c r="W237" s="7" t="s">
        <v>6</v>
      </c>
      <c r="X237" s="7" t="s">
        <v>9</v>
      </c>
      <c r="Y237" s="2" t="s">
        <v>719</v>
      </c>
      <c r="Z237" s="2" t="s">
        <v>721</v>
      </c>
    </row>
    <row r="238" spans="1:26" x14ac:dyDescent="0.35">
      <c r="A238" s="7" t="s">
        <v>1607</v>
      </c>
      <c r="B238" s="7" t="s">
        <v>245</v>
      </c>
      <c r="C238" s="4" t="str">
        <f>_xlfn.XLOOKUP(A238,[2]Sheet2!$I$2:$I$1273,[2]Sheet2!$D$2:$D$1273,0)</f>
        <v>Q2</v>
      </c>
      <c r="D238" s="4">
        <f>_xlfn.XLOOKUP(B238,[4]Sheet2!$B$2:$B$3154,[4]Sheet2!$F$2:$F$3154,0)</f>
        <v>0</v>
      </c>
      <c r="E238" s="4" t="e">
        <f>_xlfn.XLOOKUP(B238,[2]Sheet2!$E$2:$E$713,[2]Sheet2!$G$2:$G$713)</f>
        <v>#N/A</v>
      </c>
      <c r="F238" s="18">
        <v>46048</v>
      </c>
      <c r="G238" s="14">
        <v>0.7544791666666667</v>
      </c>
      <c r="H238" s="7" t="s">
        <v>16</v>
      </c>
      <c r="I238" s="2" t="str">
        <f t="shared" si="18"/>
        <v>Q3</v>
      </c>
      <c r="J238" s="2" t="str">
        <f t="shared" si="19"/>
        <v>Not Match</v>
      </c>
      <c r="K238" s="2">
        <f t="shared" si="15"/>
        <v>0.1</v>
      </c>
      <c r="L238" s="2" t="e">
        <f t="shared" si="16"/>
        <v>#N/A</v>
      </c>
      <c r="M238" s="2" t="str">
        <f t="shared" si="17"/>
        <v>Below 0.8 not in assigned quadrant</v>
      </c>
      <c r="N238" s="7">
        <v>17</v>
      </c>
      <c r="O238" s="7">
        <v>-1.1000000000000001</v>
      </c>
      <c r="P238" s="7">
        <v>-9.3000000000000007</v>
      </c>
      <c r="Q238" s="7">
        <v>-0.57999999999999996</v>
      </c>
      <c r="R238" s="7">
        <v>-0.1</v>
      </c>
      <c r="S238" s="7">
        <v>0</v>
      </c>
      <c r="T238" s="7">
        <v>-0.04</v>
      </c>
      <c r="U238" s="7">
        <v>-0.17</v>
      </c>
      <c r="V238" s="7">
        <v>0.61</v>
      </c>
      <c r="W238" s="7" t="s">
        <v>8</v>
      </c>
      <c r="X238" s="7" t="s">
        <v>15</v>
      </c>
      <c r="Y238" s="2" t="s">
        <v>719</v>
      </c>
      <c r="Z238" s="2" t="s">
        <v>721</v>
      </c>
    </row>
    <row r="239" spans="1:26" x14ac:dyDescent="0.35">
      <c r="A239" s="7" t="s">
        <v>1561</v>
      </c>
      <c r="B239" s="7" t="s">
        <v>246</v>
      </c>
      <c r="C239" s="4">
        <f>_xlfn.XLOOKUP(A239,[2]Sheet2!$I$2:$I$1273,[2]Sheet2!$D$2:$D$1273,0)</f>
        <v>0</v>
      </c>
      <c r="D239" s="4">
        <f>_xlfn.XLOOKUP(B239,[4]Sheet2!$B$2:$B$3154,[4]Sheet2!$F$2:$F$3154,0)</f>
        <v>0</v>
      </c>
      <c r="E239" s="4" t="e">
        <f>_xlfn.XLOOKUP(B239,[2]Sheet2!$E$2:$E$713,[2]Sheet2!$G$2:$G$713)</f>
        <v>#N/A</v>
      </c>
      <c r="F239" s="18">
        <v>46048</v>
      </c>
      <c r="G239" s="14">
        <v>0.75630787037037039</v>
      </c>
      <c r="H239" s="7" t="s">
        <v>5</v>
      </c>
      <c r="I239" s="2" t="str">
        <f t="shared" si="18"/>
        <v>Q1</v>
      </c>
      <c r="J239" s="2" t="str">
        <f t="shared" si="19"/>
        <v>Not Found</v>
      </c>
      <c r="K239" s="2">
        <f t="shared" si="15"/>
        <v>0.36055512754639896</v>
      </c>
      <c r="L239" s="2" t="e">
        <f t="shared" si="16"/>
        <v>#N/A</v>
      </c>
      <c r="M239" s="2" t="str">
        <f t="shared" si="17"/>
        <v>Assign quadrant hit</v>
      </c>
      <c r="N239" s="7">
        <v>15.9</v>
      </c>
      <c r="O239" s="7">
        <v>-0.1</v>
      </c>
      <c r="P239" s="7">
        <v>-0.6</v>
      </c>
      <c r="Q239" s="7">
        <v>0.69</v>
      </c>
      <c r="R239" s="7">
        <v>0.2</v>
      </c>
      <c r="S239" s="7">
        <v>0.3</v>
      </c>
      <c r="T239" s="7">
        <v>-0.5</v>
      </c>
      <c r="U239" s="7">
        <v>0.17</v>
      </c>
      <c r="V239" s="7">
        <v>0.87</v>
      </c>
      <c r="W239" s="7" t="s">
        <v>13</v>
      </c>
      <c r="X239" s="7" t="s">
        <v>9</v>
      </c>
      <c r="Y239" s="2" t="s">
        <v>719</v>
      </c>
      <c r="Z239" s="2" t="s">
        <v>721</v>
      </c>
    </row>
    <row r="240" spans="1:26" x14ac:dyDescent="0.35">
      <c r="A240" s="7" t="s">
        <v>1500</v>
      </c>
      <c r="B240" s="7" t="s">
        <v>248</v>
      </c>
      <c r="C240" s="4" t="str">
        <f>_xlfn.XLOOKUP(A240,[2]Sheet2!$I$2:$I$1273,[2]Sheet2!$D$2:$D$1273,0)</f>
        <v>Q2</v>
      </c>
      <c r="D240" s="4">
        <f>_xlfn.XLOOKUP(B240,[4]Sheet2!$B$2:$B$3154,[4]Sheet2!$F$2:$F$3154,0)</f>
        <v>0</v>
      </c>
      <c r="E240" s="4" t="e">
        <f>_xlfn.XLOOKUP(B240,[2]Sheet2!$E$2:$E$713,[2]Sheet2!$G$2:$G$713)</f>
        <v>#N/A</v>
      </c>
      <c r="F240" s="18">
        <v>46048</v>
      </c>
      <c r="G240" s="14">
        <v>0.94052083333333336</v>
      </c>
      <c r="H240" s="7" t="s">
        <v>5</v>
      </c>
      <c r="I240" s="2" t="str">
        <f t="shared" si="18"/>
        <v>Q4</v>
      </c>
      <c r="J240" s="2" t="str">
        <f t="shared" si="19"/>
        <v>Not Match</v>
      </c>
      <c r="K240" s="2">
        <f t="shared" si="15"/>
        <v>0.14142135623730953</v>
      </c>
      <c r="L240" s="2" t="e">
        <f t="shared" si="16"/>
        <v>#N/A</v>
      </c>
      <c r="M240" s="2" t="str">
        <f t="shared" si="17"/>
        <v>Below 0.8 not in assigned quadrant</v>
      </c>
      <c r="N240" s="7">
        <v>16.7</v>
      </c>
      <c r="O240" s="7">
        <v>-0.5</v>
      </c>
      <c r="P240" s="7">
        <v>-1.5</v>
      </c>
      <c r="Q240" s="7">
        <v>0.05</v>
      </c>
      <c r="R240" s="7">
        <v>0.1</v>
      </c>
      <c r="S240" s="7">
        <v>-0.1</v>
      </c>
      <c r="T240" s="7">
        <v>0.14000000000000001</v>
      </c>
      <c r="U240" s="7">
        <v>0.25</v>
      </c>
      <c r="V240" s="7">
        <v>0.3</v>
      </c>
      <c r="W240" s="7" t="s">
        <v>8</v>
      </c>
      <c r="X240" s="7" t="s">
        <v>9</v>
      </c>
      <c r="Y240" s="2" t="s">
        <v>719</v>
      </c>
      <c r="Z240" s="2" t="s">
        <v>721</v>
      </c>
    </row>
    <row r="241" spans="1:26" x14ac:dyDescent="0.35">
      <c r="A241" s="7" t="s">
        <v>1500</v>
      </c>
      <c r="B241" s="7" t="s">
        <v>249</v>
      </c>
      <c r="C241" s="4" t="str">
        <f>_xlfn.XLOOKUP(A241,[2]Sheet2!$I$2:$I$1273,[2]Sheet2!$D$2:$D$1273,0)</f>
        <v>Q2</v>
      </c>
      <c r="D241" s="4">
        <f>_xlfn.XLOOKUP(B241,[4]Sheet2!$B$2:$B$3154,[4]Sheet2!$F$2:$F$3154,0)</f>
        <v>0</v>
      </c>
      <c r="E241" s="4" t="e">
        <f>_xlfn.XLOOKUP(B241,[2]Sheet2!$E$2:$E$713,[2]Sheet2!$G$2:$G$713)</f>
        <v>#N/A</v>
      </c>
      <c r="F241" s="18">
        <v>46048</v>
      </c>
      <c r="G241" s="14">
        <v>0.94266203703703699</v>
      </c>
      <c r="H241" s="7" t="s">
        <v>5</v>
      </c>
      <c r="I241" s="2" t="str">
        <f t="shared" si="18"/>
        <v>Q4</v>
      </c>
      <c r="J241" s="2" t="str">
        <f t="shared" si="19"/>
        <v>Not Match</v>
      </c>
      <c r="K241" s="2">
        <f t="shared" si="15"/>
        <v>0.14142135623730953</v>
      </c>
      <c r="L241" s="2" t="e">
        <f t="shared" si="16"/>
        <v>#N/A</v>
      </c>
      <c r="M241" s="2" t="str">
        <f t="shared" si="17"/>
        <v>Below 0.8 not in assigned quadrant</v>
      </c>
      <c r="N241" s="7">
        <v>17</v>
      </c>
      <c r="O241" s="7">
        <v>-0.5</v>
      </c>
      <c r="P241" s="7">
        <v>-1.5</v>
      </c>
      <c r="Q241" s="7">
        <v>0.33</v>
      </c>
      <c r="R241" s="7">
        <v>0.1</v>
      </c>
      <c r="S241" s="7">
        <v>-0.1</v>
      </c>
      <c r="T241" s="7">
        <v>0.13</v>
      </c>
      <c r="U241" s="7">
        <v>0.28000000000000003</v>
      </c>
      <c r="V241" s="7">
        <v>0.45</v>
      </c>
      <c r="W241" s="7" t="s">
        <v>8</v>
      </c>
      <c r="X241" s="7" t="s">
        <v>9</v>
      </c>
      <c r="Y241" s="2" t="s">
        <v>719</v>
      </c>
      <c r="Z241" s="2" t="s">
        <v>721</v>
      </c>
    </row>
    <row r="242" spans="1:26" x14ac:dyDescent="0.35">
      <c r="A242" s="7" t="s">
        <v>1515</v>
      </c>
      <c r="B242" s="7" t="s">
        <v>250</v>
      </c>
      <c r="C242" s="4" t="str">
        <f>_xlfn.XLOOKUP(A242,[2]Sheet2!$I$2:$I$1273,[2]Sheet2!$D$2:$D$1273,0)</f>
        <v>Q3</v>
      </c>
      <c r="D242" s="4">
        <f>_xlfn.XLOOKUP(B242,[4]Sheet2!$B$2:$B$3154,[4]Sheet2!$F$2:$F$3154,0)</f>
        <v>0</v>
      </c>
      <c r="E242" s="4" t="e">
        <f>_xlfn.XLOOKUP(B242,[2]Sheet2!$E$2:$E$713,[2]Sheet2!$G$2:$G$713)</f>
        <v>#N/A</v>
      </c>
      <c r="F242" s="18">
        <v>46048</v>
      </c>
      <c r="G242" s="14">
        <v>0.95724537037037039</v>
      </c>
      <c r="H242" s="7" t="s">
        <v>11</v>
      </c>
      <c r="I242" s="2" t="str">
        <f t="shared" si="18"/>
        <v>Q4</v>
      </c>
      <c r="J242" s="2" t="str">
        <f t="shared" si="19"/>
        <v>Not Match</v>
      </c>
      <c r="K242" s="2">
        <f t="shared" si="15"/>
        <v>0.4</v>
      </c>
      <c r="L242" s="2" t="e">
        <f t="shared" si="16"/>
        <v>#N/A</v>
      </c>
      <c r="M242" s="2" t="str">
        <f t="shared" si="17"/>
        <v>Below 0.8 not in assigned quadrant</v>
      </c>
      <c r="N242" s="7">
        <v>14.1</v>
      </c>
      <c r="O242" s="7">
        <v>-0.3</v>
      </c>
      <c r="P242" s="7">
        <v>-2.5</v>
      </c>
      <c r="Q242" s="7">
        <v>0.14000000000000001</v>
      </c>
      <c r="R242" s="7">
        <v>0</v>
      </c>
      <c r="S242" s="7">
        <v>-0.4</v>
      </c>
      <c r="T242" s="7">
        <v>0.62</v>
      </c>
      <c r="U242" s="7">
        <v>0.04</v>
      </c>
      <c r="V242" s="7">
        <v>0.63</v>
      </c>
      <c r="W242" s="7" t="s">
        <v>8</v>
      </c>
      <c r="X242" s="7" t="s">
        <v>9</v>
      </c>
      <c r="Y242" s="2" t="s">
        <v>719</v>
      </c>
      <c r="Z242" s="2" t="s">
        <v>721</v>
      </c>
    </row>
    <row r="243" spans="1:26" x14ac:dyDescent="0.35">
      <c r="A243" s="7" t="s">
        <v>1515</v>
      </c>
      <c r="B243" s="7" t="s">
        <v>251</v>
      </c>
      <c r="C243" s="4" t="str">
        <f>_xlfn.XLOOKUP(A243,[2]Sheet2!$I$2:$I$1273,[2]Sheet2!$D$2:$D$1273,0)</f>
        <v>Q3</v>
      </c>
      <c r="D243" s="4">
        <f>_xlfn.XLOOKUP(B243,[4]Sheet2!$B$2:$B$3154,[4]Sheet2!$F$2:$F$3154,0)</f>
        <v>0</v>
      </c>
      <c r="E243" s="4" t="e">
        <f>_xlfn.XLOOKUP(B243,[2]Sheet2!$E$2:$E$713,[2]Sheet2!$G$2:$G$713)</f>
        <v>#N/A</v>
      </c>
      <c r="F243" s="18">
        <v>46048</v>
      </c>
      <c r="G243" s="14">
        <v>0.96054398148148146</v>
      </c>
      <c r="H243" s="7" t="s">
        <v>11</v>
      </c>
      <c r="I243" s="2" t="str">
        <f t="shared" si="18"/>
        <v>Q3</v>
      </c>
      <c r="J243" s="2" t="str">
        <f t="shared" si="19"/>
        <v>Match</v>
      </c>
      <c r="K243" s="2">
        <f t="shared" si="15"/>
        <v>0.41231056256176613</v>
      </c>
      <c r="L243" s="2" t="e">
        <f t="shared" si="16"/>
        <v>#N/A</v>
      </c>
      <c r="M243" s="2" t="str">
        <f t="shared" si="17"/>
        <v>Digital Approve Hit</v>
      </c>
      <c r="N243" s="7">
        <v>14.2</v>
      </c>
      <c r="O243" s="7">
        <v>-0.4</v>
      </c>
      <c r="P243" s="7">
        <v>-2.5</v>
      </c>
      <c r="Q243" s="7">
        <v>0.26</v>
      </c>
      <c r="R243" s="7">
        <v>-0.1</v>
      </c>
      <c r="S243" s="7">
        <v>-0.4</v>
      </c>
      <c r="T243" s="7">
        <v>0.63</v>
      </c>
      <c r="U243" s="7">
        <v>-0.06</v>
      </c>
      <c r="V243" s="7">
        <v>0.68</v>
      </c>
      <c r="W243" s="7" t="s">
        <v>8</v>
      </c>
      <c r="X243" s="7" t="s">
        <v>15</v>
      </c>
      <c r="Y243" s="2" t="s">
        <v>719</v>
      </c>
      <c r="Z243" s="2" t="s">
        <v>721</v>
      </c>
    </row>
    <row r="244" spans="1:26" x14ac:dyDescent="0.35">
      <c r="A244" s="7" t="s">
        <v>1593</v>
      </c>
      <c r="B244" s="7" t="s">
        <v>252</v>
      </c>
      <c r="C244" s="4" t="str">
        <f>_xlfn.XLOOKUP(A244,[2]Sheet2!$I$2:$I$1273,[2]Sheet2!$D$2:$D$1273,0)</f>
        <v>Q3</v>
      </c>
      <c r="D244" s="4">
        <f>_xlfn.XLOOKUP(B244,[4]Sheet2!$B$2:$B$3154,[4]Sheet2!$F$2:$F$3154,0)</f>
        <v>0</v>
      </c>
      <c r="E244" s="4" t="e">
        <f>_xlfn.XLOOKUP(B244,[2]Sheet2!$E$2:$E$713,[2]Sheet2!$G$2:$G$713)</f>
        <v>#N/A</v>
      </c>
      <c r="F244" s="18">
        <v>46048</v>
      </c>
      <c r="G244" s="14">
        <v>0.96340277777777783</v>
      </c>
      <c r="H244" s="7" t="s">
        <v>5</v>
      </c>
      <c r="I244" s="2" t="str">
        <f t="shared" si="18"/>
        <v>Q4</v>
      </c>
      <c r="J244" s="2" t="str">
        <f t="shared" si="19"/>
        <v>Not Match</v>
      </c>
      <c r="K244" s="2">
        <f t="shared" si="15"/>
        <v>0.2</v>
      </c>
      <c r="L244" s="2" t="e">
        <f t="shared" si="16"/>
        <v>#N/A</v>
      </c>
      <c r="M244" s="2" t="str">
        <f t="shared" si="17"/>
        <v>Below 0.8 not in assigned quadrant</v>
      </c>
      <c r="N244" s="7">
        <v>22.1</v>
      </c>
      <c r="O244" s="7">
        <v>3.1</v>
      </c>
      <c r="P244" s="7">
        <v>2.2999999999999998</v>
      </c>
      <c r="Q244" s="7">
        <v>0.03</v>
      </c>
      <c r="R244" s="7">
        <v>0</v>
      </c>
      <c r="S244" s="7">
        <v>-0.2</v>
      </c>
      <c r="T244" s="7">
        <v>-0.21</v>
      </c>
      <c r="U244" s="7">
        <v>-0.24</v>
      </c>
      <c r="V244" s="7">
        <v>0.32</v>
      </c>
      <c r="W244" s="7" t="s">
        <v>8</v>
      </c>
      <c r="X244" s="7" t="s">
        <v>7</v>
      </c>
      <c r="Y244" s="2" t="s">
        <v>719</v>
      </c>
      <c r="Z244" s="2" t="s">
        <v>721</v>
      </c>
    </row>
    <row r="245" spans="1:26" x14ac:dyDescent="0.35">
      <c r="A245" s="7" t="s">
        <v>1548</v>
      </c>
      <c r="B245" s="7" t="s">
        <v>186</v>
      </c>
      <c r="C245" s="4" t="str">
        <f>_xlfn.XLOOKUP(A245,[2]Sheet2!$I$2:$I$1273,[2]Sheet2!$D$2:$D$1273,0)</f>
        <v>Q4</v>
      </c>
      <c r="D245" s="4">
        <f>_xlfn.XLOOKUP(B245,[4]Sheet2!$B$2:$B$3154,[4]Sheet2!$F$2:$F$3154,0)</f>
        <v>0</v>
      </c>
      <c r="E245" s="4" t="e">
        <f>_xlfn.XLOOKUP(B245,[2]Sheet2!$E$2:$E$713,[2]Sheet2!$G$2:$G$713)</f>
        <v>#N/A</v>
      </c>
      <c r="F245" s="18">
        <v>46049</v>
      </c>
      <c r="G245" s="14">
        <v>0.13276620370370371</v>
      </c>
      <c r="H245" s="7" t="s">
        <v>5</v>
      </c>
      <c r="I245" s="2" t="str">
        <f t="shared" si="18"/>
        <v>Q1</v>
      </c>
      <c r="J245" s="2" t="str">
        <f t="shared" si="19"/>
        <v>Not Match</v>
      </c>
      <c r="K245" s="2">
        <f t="shared" si="15"/>
        <v>1.004987562112089</v>
      </c>
      <c r="L245" s="2" t="e">
        <f t="shared" si="16"/>
        <v>#N/A</v>
      </c>
      <c r="M245" s="2" t="str">
        <f t="shared" si="17"/>
        <v>Assign quadrant hit</v>
      </c>
      <c r="N245" s="7">
        <v>24.7</v>
      </c>
      <c r="O245" s="7">
        <v>3.3</v>
      </c>
      <c r="P245" s="7">
        <v>8.6999999999999993</v>
      </c>
      <c r="Q245" s="7">
        <v>-0.78</v>
      </c>
      <c r="R245" s="7">
        <v>0.1</v>
      </c>
      <c r="S245" s="7">
        <v>1</v>
      </c>
      <c r="T245" s="7">
        <v>0.88</v>
      </c>
      <c r="U245" s="7">
        <v>0.44</v>
      </c>
      <c r="V245" s="7">
        <v>1.25</v>
      </c>
      <c r="W245" s="7" t="s">
        <v>6</v>
      </c>
      <c r="X245" s="7" t="s">
        <v>12</v>
      </c>
      <c r="Y245" s="2" t="s">
        <v>719</v>
      </c>
      <c r="Z245" s="2" t="s">
        <v>721</v>
      </c>
    </row>
    <row r="246" spans="1:26" x14ac:dyDescent="0.35">
      <c r="A246" s="7" t="s">
        <v>1597</v>
      </c>
      <c r="B246" s="7" t="s">
        <v>253</v>
      </c>
      <c r="C246" s="4">
        <f>_xlfn.XLOOKUP(A246,[2]Sheet2!$I$2:$I$1273,[2]Sheet2!$D$2:$D$1273,0)</f>
        <v>0</v>
      </c>
      <c r="D246" s="4">
        <f>_xlfn.XLOOKUP(B246,[4]Sheet2!$B$2:$B$3154,[4]Sheet2!$F$2:$F$3154,0)</f>
        <v>0</v>
      </c>
      <c r="E246" s="4" t="e">
        <f>_xlfn.XLOOKUP(B246,[2]Sheet2!$E$2:$E$713,[2]Sheet2!$G$2:$G$713)</f>
        <v>#N/A</v>
      </c>
      <c r="F246" s="18">
        <v>46049</v>
      </c>
      <c r="G246" s="14">
        <v>0.17467592592592593</v>
      </c>
      <c r="H246" s="7" t="s">
        <v>5</v>
      </c>
      <c r="I246" s="2" t="str">
        <f t="shared" si="18"/>
        <v>Q4</v>
      </c>
      <c r="J246" s="2" t="str">
        <f t="shared" si="19"/>
        <v>Not Found</v>
      </c>
      <c r="K246" s="2">
        <f t="shared" si="15"/>
        <v>0.2</v>
      </c>
      <c r="L246" s="2" t="e">
        <f t="shared" si="16"/>
        <v>#N/A</v>
      </c>
      <c r="M246" s="2" t="str">
        <f t="shared" si="17"/>
        <v>Assign quadrant hit</v>
      </c>
      <c r="N246" s="7">
        <v>15.9</v>
      </c>
      <c r="O246" s="7">
        <v>-0.6</v>
      </c>
      <c r="P246" s="7">
        <v>-3.1</v>
      </c>
      <c r="Q246" s="7">
        <v>-0.48</v>
      </c>
      <c r="R246" s="7">
        <v>0</v>
      </c>
      <c r="S246" s="7">
        <v>-0.2</v>
      </c>
      <c r="T246" s="7">
        <v>0.3</v>
      </c>
      <c r="U246" s="7">
        <v>7.0000000000000007E-2</v>
      </c>
      <c r="V246" s="7">
        <v>0.56999999999999995</v>
      </c>
      <c r="W246" s="7" t="s">
        <v>8</v>
      </c>
      <c r="X246" s="7" t="s">
        <v>9</v>
      </c>
      <c r="Y246" s="2" t="s">
        <v>719</v>
      </c>
      <c r="Z246" s="2" t="s">
        <v>721</v>
      </c>
    </row>
    <row r="247" spans="1:26" x14ac:dyDescent="0.35">
      <c r="A247" s="7" t="s">
        <v>1540</v>
      </c>
      <c r="B247" s="7" t="s">
        <v>254</v>
      </c>
      <c r="C247" s="4" t="str">
        <f>_xlfn.XLOOKUP(A247,[2]Sheet2!$I$2:$I$1273,[2]Sheet2!$D$2:$D$1273,0)</f>
        <v>Q3</v>
      </c>
      <c r="D247" s="4">
        <f>_xlfn.XLOOKUP(B247,[4]Sheet2!$B$2:$B$3154,[4]Sheet2!$F$2:$F$3154,0)</f>
        <v>0</v>
      </c>
      <c r="E247" s="4" t="e">
        <f>_xlfn.XLOOKUP(B247,[2]Sheet2!$E$2:$E$713,[2]Sheet2!$G$2:$G$713)</f>
        <v>#N/A</v>
      </c>
      <c r="F247" s="18">
        <v>46049</v>
      </c>
      <c r="G247" s="14">
        <v>0.22297453703703704</v>
      </c>
      <c r="H247" s="7" t="s">
        <v>11</v>
      </c>
      <c r="I247" s="2" t="str">
        <f t="shared" si="18"/>
        <v>Q1</v>
      </c>
      <c r="J247" s="2" t="str">
        <f t="shared" si="19"/>
        <v>Not Match</v>
      </c>
      <c r="K247" s="2">
        <f t="shared" si="15"/>
        <v>0.58309518948452999</v>
      </c>
      <c r="L247" s="2" t="e">
        <f t="shared" si="16"/>
        <v>#N/A</v>
      </c>
      <c r="M247" s="2" t="str">
        <f t="shared" si="17"/>
        <v>Assign quadrant hit</v>
      </c>
      <c r="N247" s="7">
        <v>13.3</v>
      </c>
      <c r="O247" s="7">
        <v>-0.3</v>
      </c>
      <c r="P247" s="7">
        <v>-1.5</v>
      </c>
      <c r="Q247" s="7">
        <v>-0.71</v>
      </c>
      <c r="R247" s="7">
        <v>0.3</v>
      </c>
      <c r="S247" s="7">
        <v>0.5</v>
      </c>
      <c r="T247" s="7">
        <v>-0.75</v>
      </c>
      <c r="U247" s="7">
        <v>0.23</v>
      </c>
      <c r="V247" s="7">
        <v>1.06</v>
      </c>
      <c r="W247" s="7" t="s">
        <v>6</v>
      </c>
      <c r="X247" s="7" t="s">
        <v>9</v>
      </c>
      <c r="Y247" s="2" t="s">
        <v>719</v>
      </c>
      <c r="Z247" s="2" t="s">
        <v>721</v>
      </c>
    </row>
    <row r="248" spans="1:26" x14ac:dyDescent="0.35">
      <c r="A248" s="7" t="s">
        <v>1500</v>
      </c>
      <c r="B248" s="7" t="s">
        <v>255</v>
      </c>
      <c r="C248" s="4" t="str">
        <f>_xlfn.XLOOKUP(A248,[2]Sheet2!$I$2:$I$1273,[2]Sheet2!$D$2:$D$1273,0)</f>
        <v>Q2</v>
      </c>
      <c r="D248" s="4">
        <f>_xlfn.XLOOKUP(B248,[4]Sheet2!$B$2:$B$3154,[4]Sheet2!$F$2:$F$3154,0)</f>
        <v>0</v>
      </c>
      <c r="E248" s="4" t="e">
        <f>_xlfn.XLOOKUP(B248,[2]Sheet2!$E$2:$E$713,[2]Sheet2!$G$2:$G$713)</f>
        <v>#N/A</v>
      </c>
      <c r="F248" s="18">
        <v>46049</v>
      </c>
      <c r="G248" s="14">
        <v>0.22657407407407407</v>
      </c>
      <c r="H248" s="7" t="s">
        <v>5</v>
      </c>
      <c r="I248" s="2" t="str">
        <f t="shared" si="18"/>
        <v>Q4</v>
      </c>
      <c r="J248" s="2" t="str">
        <f t="shared" si="19"/>
        <v>Not Match</v>
      </c>
      <c r="K248" s="2">
        <f t="shared" si="15"/>
        <v>0.14142135623730953</v>
      </c>
      <c r="L248" s="2" t="e">
        <f t="shared" si="16"/>
        <v>#N/A</v>
      </c>
      <c r="M248" s="2" t="str">
        <f t="shared" si="17"/>
        <v>Below 0.8 not in assigned quadrant</v>
      </c>
      <c r="N248" s="7">
        <v>16.899999999999999</v>
      </c>
      <c r="O248" s="7">
        <v>-0.5</v>
      </c>
      <c r="P248" s="7">
        <v>-1.5</v>
      </c>
      <c r="Q248" s="7">
        <v>0.23</v>
      </c>
      <c r="R248" s="7">
        <v>0.1</v>
      </c>
      <c r="S248" s="7">
        <v>-0.1</v>
      </c>
      <c r="T248" s="7">
        <v>7.0000000000000007E-2</v>
      </c>
      <c r="U248" s="7">
        <v>0.28999999999999998</v>
      </c>
      <c r="V248" s="7">
        <v>0.38</v>
      </c>
      <c r="W248" s="7" t="s">
        <v>8</v>
      </c>
      <c r="X248" s="7" t="s">
        <v>9</v>
      </c>
      <c r="Y248" s="2" t="s">
        <v>719</v>
      </c>
      <c r="Z248" s="2" t="s">
        <v>721</v>
      </c>
    </row>
    <row r="249" spans="1:26" x14ac:dyDescent="0.35">
      <c r="A249" s="7" t="s">
        <v>1500</v>
      </c>
      <c r="B249" s="7" t="s">
        <v>256</v>
      </c>
      <c r="C249" s="4" t="str">
        <f>_xlfn.XLOOKUP(A249,[2]Sheet2!$I$2:$I$1273,[2]Sheet2!$D$2:$D$1273,0)</f>
        <v>Q2</v>
      </c>
      <c r="D249" s="4">
        <f>_xlfn.XLOOKUP(B249,[4]Sheet2!$B$2:$B$3154,[4]Sheet2!$F$2:$F$3154,0)</f>
        <v>0</v>
      </c>
      <c r="E249" s="4" t="e">
        <f>_xlfn.XLOOKUP(B249,[2]Sheet2!$E$2:$E$713,[2]Sheet2!$G$2:$G$713)</f>
        <v>#N/A</v>
      </c>
      <c r="F249" s="18">
        <v>46049</v>
      </c>
      <c r="G249" s="14">
        <v>0.22881944444444444</v>
      </c>
      <c r="H249" s="7" t="s">
        <v>5</v>
      </c>
      <c r="I249" s="2" t="str">
        <f t="shared" si="18"/>
        <v>Q4</v>
      </c>
      <c r="J249" s="2" t="str">
        <f t="shared" si="19"/>
        <v>Not Match</v>
      </c>
      <c r="K249" s="2">
        <f t="shared" si="15"/>
        <v>0.22360679774997899</v>
      </c>
      <c r="L249" s="2" t="e">
        <f t="shared" si="16"/>
        <v>#N/A</v>
      </c>
      <c r="M249" s="2" t="str">
        <f t="shared" si="17"/>
        <v>Below 0.8 not in assigned quadrant</v>
      </c>
      <c r="N249" s="7">
        <v>16.8</v>
      </c>
      <c r="O249" s="7">
        <v>-0.5</v>
      </c>
      <c r="P249" s="7">
        <v>-1.6</v>
      </c>
      <c r="Q249" s="7">
        <v>0.18</v>
      </c>
      <c r="R249" s="7">
        <v>0.1</v>
      </c>
      <c r="S249" s="7">
        <v>-0.2</v>
      </c>
      <c r="T249" s="7">
        <v>0.28000000000000003</v>
      </c>
      <c r="U249" s="7">
        <v>0.34</v>
      </c>
      <c r="V249" s="7">
        <v>0.47</v>
      </c>
      <c r="W249" s="7" t="s">
        <v>8</v>
      </c>
      <c r="X249" s="7" t="s">
        <v>9</v>
      </c>
      <c r="Y249" s="2" t="s">
        <v>719</v>
      </c>
      <c r="Z249" s="2" t="s">
        <v>721</v>
      </c>
    </row>
    <row r="250" spans="1:26" x14ac:dyDescent="0.35">
      <c r="A250" s="7" t="s">
        <v>1603</v>
      </c>
      <c r="B250" s="7" t="s">
        <v>257</v>
      </c>
      <c r="C250" s="4" t="str">
        <f>_xlfn.XLOOKUP(A250,[2]Sheet2!$I$2:$I$1273,[2]Sheet2!$D$2:$D$1273,0)</f>
        <v>Q2</v>
      </c>
      <c r="D250" s="4">
        <f>_xlfn.XLOOKUP(B250,[4]Sheet2!$B$2:$B$3154,[4]Sheet2!$F$2:$F$3154,0)</f>
        <v>0</v>
      </c>
      <c r="E250" s="4" t="e">
        <f>_xlfn.XLOOKUP(B250,[2]Sheet2!$E$2:$E$713,[2]Sheet2!$G$2:$G$713)</f>
        <v>#N/A</v>
      </c>
      <c r="F250" s="18">
        <v>46049</v>
      </c>
      <c r="G250" s="14">
        <v>0.23108796296296297</v>
      </c>
      <c r="H250" s="7" t="s">
        <v>4</v>
      </c>
      <c r="I250" s="2" t="str">
        <f t="shared" si="18"/>
        <v>Q2</v>
      </c>
      <c r="J250" s="2" t="str">
        <f t="shared" si="19"/>
        <v>Match</v>
      </c>
      <c r="K250" s="2">
        <f t="shared" si="15"/>
        <v>0</v>
      </c>
      <c r="L250" s="2" t="e">
        <f t="shared" si="16"/>
        <v>#N/A</v>
      </c>
      <c r="M250" s="2" t="str">
        <f t="shared" si="17"/>
        <v>Failed but within quadrant</v>
      </c>
      <c r="N250" s="7">
        <v>14.1</v>
      </c>
      <c r="O250" s="7">
        <v>0</v>
      </c>
      <c r="P250" s="7">
        <v>-0.6</v>
      </c>
      <c r="Q250" s="7">
        <v>-1.01</v>
      </c>
      <c r="R250" s="7">
        <v>0</v>
      </c>
      <c r="S250" s="7">
        <v>0</v>
      </c>
      <c r="T250" s="7">
        <v>0.06</v>
      </c>
      <c r="U250" s="7">
        <v>-0.08</v>
      </c>
      <c r="V250" s="7">
        <v>1.01</v>
      </c>
      <c r="W250" s="7" t="s">
        <v>6</v>
      </c>
      <c r="X250" s="7" t="s">
        <v>15</v>
      </c>
      <c r="Y250" s="2" t="s">
        <v>719</v>
      </c>
      <c r="Z250" s="2" t="s">
        <v>721</v>
      </c>
    </row>
    <row r="251" spans="1:26" x14ac:dyDescent="0.35">
      <c r="A251" s="7" t="s">
        <v>1515</v>
      </c>
      <c r="B251" s="7" t="s">
        <v>258</v>
      </c>
      <c r="C251" s="4" t="str">
        <f>_xlfn.XLOOKUP(A251,[2]Sheet2!$I$2:$I$1273,[2]Sheet2!$D$2:$D$1273,0)</f>
        <v>Q3</v>
      </c>
      <c r="D251" s="4">
        <f>_xlfn.XLOOKUP(B251,[4]Sheet2!$B$2:$B$3154,[4]Sheet2!$F$2:$F$3154,0)</f>
        <v>0</v>
      </c>
      <c r="E251" s="4" t="e">
        <f>_xlfn.XLOOKUP(B251,[2]Sheet2!$E$2:$E$713,[2]Sheet2!$G$2:$G$713)</f>
        <v>#N/A</v>
      </c>
      <c r="F251" s="18">
        <v>46049</v>
      </c>
      <c r="G251" s="14">
        <v>0.26158564814814816</v>
      </c>
      <c r="H251" s="7" t="s">
        <v>11</v>
      </c>
      <c r="I251" s="2" t="str">
        <f t="shared" si="18"/>
        <v>Q3</v>
      </c>
      <c r="J251" s="2" t="str">
        <f t="shared" si="19"/>
        <v>Match</v>
      </c>
      <c r="K251" s="2">
        <f t="shared" si="15"/>
        <v>0.22360679774997899</v>
      </c>
      <c r="L251" s="2" t="e">
        <f t="shared" si="16"/>
        <v>#N/A</v>
      </c>
      <c r="M251" s="2" t="str">
        <f t="shared" si="17"/>
        <v>Digital Approve Hit</v>
      </c>
      <c r="N251" s="7">
        <v>13.8</v>
      </c>
      <c r="O251" s="7">
        <v>-0.4</v>
      </c>
      <c r="P251" s="7">
        <v>-2.2999999999999998</v>
      </c>
      <c r="Q251" s="7">
        <v>-0.15</v>
      </c>
      <c r="R251" s="7">
        <v>-0.1</v>
      </c>
      <c r="S251" s="7">
        <v>-0.2</v>
      </c>
      <c r="T251" s="7">
        <v>0.4</v>
      </c>
      <c r="U251" s="7">
        <v>-0.09</v>
      </c>
      <c r="V251" s="7">
        <v>0.43</v>
      </c>
      <c r="W251" s="7" t="s">
        <v>8</v>
      </c>
      <c r="X251" s="7" t="s">
        <v>15</v>
      </c>
      <c r="Y251" s="2" t="s">
        <v>719</v>
      </c>
      <c r="Z251" s="2" t="s">
        <v>721</v>
      </c>
    </row>
    <row r="252" spans="1:26" x14ac:dyDescent="0.35">
      <c r="A252" s="7" t="s">
        <v>1593</v>
      </c>
      <c r="B252" s="7" t="s">
        <v>259</v>
      </c>
      <c r="C252" s="4" t="str">
        <f>_xlfn.XLOOKUP(A252,[2]Sheet2!$I$2:$I$1273,[2]Sheet2!$D$2:$D$1273,0)</f>
        <v>Q3</v>
      </c>
      <c r="D252" s="4">
        <f>_xlfn.XLOOKUP(B252,[4]Sheet2!$B$2:$B$3154,[4]Sheet2!$F$2:$F$3154,0)</f>
        <v>0</v>
      </c>
      <c r="E252" s="4" t="e">
        <f>_xlfn.XLOOKUP(B252,[2]Sheet2!$E$2:$E$713,[2]Sheet2!$G$2:$G$713)</f>
        <v>#N/A</v>
      </c>
      <c r="F252" s="18">
        <v>46049</v>
      </c>
      <c r="G252" s="14">
        <v>0.26824074074074072</v>
      </c>
      <c r="H252" s="7" t="s">
        <v>5</v>
      </c>
      <c r="I252" s="2" t="str">
        <f t="shared" si="18"/>
        <v>Q3</v>
      </c>
      <c r="J252" s="2" t="str">
        <f t="shared" si="19"/>
        <v>Match</v>
      </c>
      <c r="K252" s="2">
        <f t="shared" si="15"/>
        <v>0.53851648071345048</v>
      </c>
      <c r="L252" s="2" t="e">
        <f t="shared" si="16"/>
        <v>#N/A</v>
      </c>
      <c r="M252" s="2" t="str">
        <f t="shared" si="17"/>
        <v>Failed but within quadrant</v>
      </c>
      <c r="N252" s="7">
        <v>21.4</v>
      </c>
      <c r="O252" s="7">
        <v>2.9</v>
      </c>
      <c r="P252" s="7">
        <v>2.1</v>
      </c>
      <c r="Q252" s="7">
        <v>-0.5</v>
      </c>
      <c r="R252" s="7">
        <v>-0.2</v>
      </c>
      <c r="S252" s="7">
        <v>-0.5</v>
      </c>
      <c r="T252" s="7">
        <v>-0.55000000000000004</v>
      </c>
      <c r="U252" s="7">
        <v>-0.35</v>
      </c>
      <c r="V252" s="7">
        <v>0.82</v>
      </c>
      <c r="W252" s="7" t="s">
        <v>13</v>
      </c>
      <c r="X252" s="7" t="s">
        <v>7</v>
      </c>
      <c r="Y252" s="2" t="s">
        <v>719</v>
      </c>
      <c r="Z252" s="2" t="s">
        <v>721</v>
      </c>
    </row>
    <row r="253" spans="1:26" x14ac:dyDescent="0.35">
      <c r="A253" s="7" t="s">
        <v>1557</v>
      </c>
      <c r="B253" s="7" t="s">
        <v>260</v>
      </c>
      <c r="C253" s="4" t="str">
        <f>_xlfn.XLOOKUP(A253,[2]Sheet2!$I$2:$I$1273,[2]Sheet2!$D$2:$D$1273,0)</f>
        <v>Q3</v>
      </c>
      <c r="D253" s="4">
        <f>_xlfn.XLOOKUP(B253,[4]Sheet2!$B$2:$B$3154,[4]Sheet2!$F$2:$F$3154,0)</f>
        <v>0</v>
      </c>
      <c r="E253" s="4" t="e">
        <f>_xlfn.XLOOKUP(B253,[2]Sheet2!$E$2:$E$713,[2]Sheet2!$G$2:$G$713)</f>
        <v>#N/A</v>
      </c>
      <c r="F253" s="18">
        <v>46049</v>
      </c>
      <c r="G253" s="14">
        <v>0.28076388888888887</v>
      </c>
      <c r="H253" s="7" t="s">
        <v>16</v>
      </c>
      <c r="I253" s="2" t="str">
        <f t="shared" si="18"/>
        <v>Q3</v>
      </c>
      <c r="J253" s="2" t="str">
        <f t="shared" si="19"/>
        <v>Match</v>
      </c>
      <c r="K253" s="2">
        <f t="shared" si="15"/>
        <v>0.31622776601683794</v>
      </c>
      <c r="L253" s="2" t="e">
        <f t="shared" si="16"/>
        <v>#N/A</v>
      </c>
      <c r="M253" s="2" t="str">
        <f t="shared" si="17"/>
        <v>Digital Approve Hit</v>
      </c>
      <c r="N253" s="7">
        <v>14.9</v>
      </c>
      <c r="O253" s="7">
        <v>-0.3</v>
      </c>
      <c r="P253" s="7">
        <v>-2</v>
      </c>
      <c r="Q253" s="7">
        <v>-0.63</v>
      </c>
      <c r="R253" s="7">
        <v>-0.1</v>
      </c>
      <c r="S253" s="7">
        <v>-0.3</v>
      </c>
      <c r="T253" s="7">
        <v>0.47</v>
      </c>
      <c r="U253" s="7">
        <v>-0.18</v>
      </c>
      <c r="V253" s="7">
        <v>0.8</v>
      </c>
      <c r="W253" s="7" t="s">
        <v>13</v>
      </c>
      <c r="X253" s="7" t="s">
        <v>15</v>
      </c>
      <c r="Y253" s="2" t="s">
        <v>719</v>
      </c>
      <c r="Z253" s="2" t="s">
        <v>721</v>
      </c>
    </row>
    <row r="254" spans="1:26" x14ac:dyDescent="0.35">
      <c r="A254" s="7" t="s">
        <v>1608</v>
      </c>
      <c r="B254" s="7" t="s">
        <v>261</v>
      </c>
      <c r="C254" s="4">
        <f>_xlfn.XLOOKUP(A254,[2]Sheet2!$I$2:$I$1273,[2]Sheet2!$D$2:$D$1273,0)</f>
        <v>0</v>
      </c>
      <c r="D254" s="4">
        <f>_xlfn.XLOOKUP(B254,[4]Sheet2!$B$2:$B$3154,[4]Sheet2!$F$2:$F$3154,0)</f>
        <v>0</v>
      </c>
      <c r="E254" s="4" t="e">
        <f>_xlfn.XLOOKUP(B254,[2]Sheet2!$E$2:$E$713,[2]Sheet2!$G$2:$G$713)</f>
        <v>#N/A</v>
      </c>
      <c r="F254" s="18">
        <v>46049</v>
      </c>
      <c r="G254" s="14">
        <v>0.49660879629629628</v>
      </c>
      <c r="H254" s="7" t="s">
        <v>5</v>
      </c>
      <c r="I254" s="2" t="str">
        <f t="shared" si="18"/>
        <v>Q1</v>
      </c>
      <c r="J254" s="2" t="str">
        <f t="shared" si="19"/>
        <v>Not Found</v>
      </c>
      <c r="K254" s="2">
        <f t="shared" si="15"/>
        <v>0.14142135623730953</v>
      </c>
      <c r="L254" s="2" t="e">
        <f t="shared" si="16"/>
        <v>#N/A</v>
      </c>
      <c r="M254" s="2" t="str">
        <f t="shared" si="17"/>
        <v>Assign quadrant hit</v>
      </c>
      <c r="N254" s="7">
        <v>15.6</v>
      </c>
      <c r="O254" s="7">
        <v>-0.4</v>
      </c>
      <c r="P254" s="7">
        <v>-1.4</v>
      </c>
      <c r="Q254" s="7">
        <v>-0.61</v>
      </c>
      <c r="R254" s="7">
        <v>0.1</v>
      </c>
      <c r="S254" s="7">
        <v>0.1</v>
      </c>
      <c r="T254" s="7">
        <v>-0.18</v>
      </c>
      <c r="U254" s="7">
        <v>0.12</v>
      </c>
      <c r="V254" s="7">
        <v>0.65</v>
      </c>
      <c r="W254" s="7" t="s">
        <v>8</v>
      </c>
      <c r="X254" s="7" t="s">
        <v>9</v>
      </c>
      <c r="Y254" s="2" t="s">
        <v>719</v>
      </c>
      <c r="Z254" s="2" t="s">
        <v>721</v>
      </c>
    </row>
    <row r="255" spans="1:26" x14ac:dyDescent="0.35">
      <c r="A255" s="7" t="s">
        <v>1609</v>
      </c>
      <c r="B255" s="7" t="s">
        <v>262</v>
      </c>
      <c r="C255" s="4">
        <f>_xlfn.XLOOKUP(A255,[2]Sheet2!$I$2:$I$1273,[2]Sheet2!$D$2:$D$1273,0)</f>
        <v>0</v>
      </c>
      <c r="D255" s="4">
        <f>_xlfn.XLOOKUP(B255,[4]Sheet2!$B$2:$B$3154,[4]Sheet2!$F$2:$F$3154,0)</f>
        <v>0</v>
      </c>
      <c r="E255" s="4" t="e">
        <f>_xlfn.XLOOKUP(B255,[2]Sheet2!$E$2:$E$713,[2]Sheet2!$G$2:$G$713)</f>
        <v>#N/A</v>
      </c>
      <c r="F255" s="18">
        <v>46049</v>
      </c>
      <c r="G255" s="14">
        <v>0.51495370370370375</v>
      </c>
      <c r="H255" s="7" t="s">
        <v>5</v>
      </c>
      <c r="I255" s="2" t="str">
        <f t="shared" si="18"/>
        <v>Q3</v>
      </c>
      <c r="J255" s="2" t="str">
        <f t="shared" si="19"/>
        <v>Not Found</v>
      </c>
      <c r="K255" s="2">
        <f t="shared" si="15"/>
        <v>0.31622776601683794</v>
      </c>
      <c r="L255" s="2" t="e">
        <f t="shared" si="16"/>
        <v>#N/A</v>
      </c>
      <c r="M255" s="2" t="str">
        <f t="shared" si="17"/>
        <v>Assign quadrant hit</v>
      </c>
      <c r="N255" s="7">
        <v>16.899999999999999</v>
      </c>
      <c r="O255" s="7">
        <v>-0.7</v>
      </c>
      <c r="P255" s="7">
        <v>-1.4</v>
      </c>
      <c r="Q255" s="7">
        <v>0.26</v>
      </c>
      <c r="R255" s="7">
        <v>-0.1</v>
      </c>
      <c r="S255" s="7">
        <v>-0.3</v>
      </c>
      <c r="T255" s="7">
        <v>0.45</v>
      </c>
      <c r="U255" s="7">
        <v>0.06</v>
      </c>
      <c r="V255" s="7">
        <v>0.53</v>
      </c>
      <c r="W255" s="7" t="s">
        <v>8</v>
      </c>
      <c r="X255" s="7" t="s">
        <v>9</v>
      </c>
      <c r="Y255" s="2" t="s">
        <v>719</v>
      </c>
      <c r="Z255" s="2" t="s">
        <v>721</v>
      </c>
    </row>
    <row r="256" spans="1:26" x14ac:dyDescent="0.35">
      <c r="A256" s="7" t="s">
        <v>1557</v>
      </c>
      <c r="B256" s="7" t="s">
        <v>263</v>
      </c>
      <c r="C256" s="4" t="str">
        <f>_xlfn.XLOOKUP(A256,[2]Sheet2!$I$2:$I$1273,[2]Sheet2!$D$2:$D$1273,0)</f>
        <v>Q3</v>
      </c>
      <c r="D256" s="4">
        <f>_xlfn.XLOOKUP(B256,[4]Sheet2!$B$2:$B$3154,[4]Sheet2!$F$2:$F$3154,0)</f>
        <v>0</v>
      </c>
      <c r="E256" s="4" t="e">
        <f>_xlfn.XLOOKUP(B256,[2]Sheet2!$E$2:$E$713,[2]Sheet2!$G$2:$G$713)</f>
        <v>#N/A</v>
      </c>
      <c r="F256" s="18">
        <v>46049</v>
      </c>
      <c r="G256" s="14">
        <v>0.62851851851851848</v>
      </c>
      <c r="H256" s="7" t="s">
        <v>16</v>
      </c>
      <c r="I256" s="2" t="str">
        <f t="shared" si="18"/>
        <v>Q3</v>
      </c>
      <c r="J256" s="2" t="str">
        <f t="shared" si="19"/>
        <v>Match</v>
      </c>
      <c r="K256" s="2">
        <f t="shared" si="15"/>
        <v>0.44721359549995798</v>
      </c>
      <c r="L256" s="2" t="e">
        <f t="shared" si="16"/>
        <v>#N/A</v>
      </c>
      <c r="M256" s="2" t="str">
        <f t="shared" si="17"/>
        <v>Failed but within quadrant</v>
      </c>
      <c r="N256" s="7">
        <v>14.9</v>
      </c>
      <c r="O256" s="7">
        <v>-0.4</v>
      </c>
      <c r="P256" s="7">
        <v>-2.2000000000000002</v>
      </c>
      <c r="Q256" s="7">
        <v>-0.59</v>
      </c>
      <c r="R256" s="7">
        <v>-0.2</v>
      </c>
      <c r="S256" s="7">
        <v>-0.4</v>
      </c>
      <c r="T256" s="7">
        <v>0.65</v>
      </c>
      <c r="U256" s="7">
        <v>-0.24</v>
      </c>
      <c r="V256" s="7">
        <v>0.91</v>
      </c>
      <c r="W256" s="7" t="s">
        <v>13</v>
      </c>
      <c r="X256" s="7" t="s">
        <v>15</v>
      </c>
      <c r="Y256" s="2" t="s">
        <v>719</v>
      </c>
      <c r="Z256" s="2" t="s">
        <v>721</v>
      </c>
    </row>
    <row r="257" spans="1:26" x14ac:dyDescent="0.35">
      <c r="A257" s="7" t="s">
        <v>1515</v>
      </c>
      <c r="B257" s="7" t="s">
        <v>264</v>
      </c>
      <c r="C257" s="4" t="str">
        <f>_xlfn.XLOOKUP(A257,[2]Sheet2!$I$2:$I$1273,[2]Sheet2!$D$2:$D$1273,0)</f>
        <v>Q3</v>
      </c>
      <c r="D257" s="4">
        <f>_xlfn.XLOOKUP(B257,[4]Sheet2!$B$2:$B$3154,[4]Sheet2!$F$2:$F$3154,0)</f>
        <v>0</v>
      </c>
      <c r="E257" s="4" t="e">
        <f>_xlfn.XLOOKUP(B257,[2]Sheet2!$E$2:$E$713,[2]Sheet2!$G$2:$G$713)</f>
        <v>#N/A</v>
      </c>
      <c r="F257" s="18">
        <v>46049</v>
      </c>
      <c r="G257" s="14">
        <v>0.68815972222222221</v>
      </c>
      <c r="H257" s="7" t="s">
        <v>11</v>
      </c>
      <c r="I257" s="2" t="str">
        <f t="shared" si="18"/>
        <v>Q3</v>
      </c>
      <c r="J257" s="2" t="str">
        <f t="shared" si="19"/>
        <v>Match</v>
      </c>
      <c r="K257" s="2">
        <f t="shared" ref="K257:K320" si="20">SQRT(R257^2+S257^2)</f>
        <v>0.50990195135927852</v>
      </c>
      <c r="L257" s="2" t="e">
        <f t="shared" ref="L257:L320" si="21">IF(K257&lt;=E257,"Within Range","Over Range")</f>
        <v>#N/A</v>
      </c>
      <c r="M257" s="2" t="str">
        <f t="shared" ref="M257:M320" si="22">IF(AND(J257="Match",V257&lt;=0.8),"Digital Approve Hit",
IF(AND(J257="Match",V257&gt;0.8),"Failed but within quadrant",
IF(AND(J257="Not Match",V257&lt;=0.8),"Below 0.8 not in assigned quadrant",
"Assign quadrant hit")))</f>
        <v>Digital Approve Hit</v>
      </c>
      <c r="N257" s="7">
        <v>14</v>
      </c>
      <c r="O257" s="7">
        <v>-0.5</v>
      </c>
      <c r="P257" s="7">
        <v>-2.6</v>
      </c>
      <c r="Q257" s="7">
        <v>0.01</v>
      </c>
      <c r="R257" s="7">
        <v>-0.1</v>
      </c>
      <c r="S257" s="7">
        <v>-0.5</v>
      </c>
      <c r="T257" s="7">
        <v>0.76</v>
      </c>
      <c r="U257" s="7">
        <v>-0.08</v>
      </c>
      <c r="V257" s="7">
        <v>0.77</v>
      </c>
      <c r="W257" s="7" t="s">
        <v>13</v>
      </c>
      <c r="X257" s="7" t="s">
        <v>15</v>
      </c>
      <c r="Y257" s="2" t="s">
        <v>719</v>
      </c>
      <c r="Z257" s="2" t="s">
        <v>721</v>
      </c>
    </row>
    <row r="258" spans="1:26" x14ac:dyDescent="0.35">
      <c r="A258" s="7" t="s">
        <v>1558</v>
      </c>
      <c r="B258" s="7" t="s">
        <v>265</v>
      </c>
      <c r="C258" s="4" t="str">
        <f>_xlfn.XLOOKUP(A258,[2]Sheet2!$I$2:$I$1273,[2]Sheet2!$D$2:$D$1273,0)</f>
        <v>Q3</v>
      </c>
      <c r="D258" s="4">
        <f>_xlfn.XLOOKUP(B258,[4]Sheet2!$B$2:$B$3154,[4]Sheet2!$F$2:$F$3154,0)</f>
        <v>0</v>
      </c>
      <c r="E258" s="4" t="e">
        <f>_xlfn.XLOOKUP(B258,[2]Sheet2!$E$2:$E$713,[2]Sheet2!$G$2:$G$713)</f>
        <v>#N/A</v>
      </c>
      <c r="F258" s="18">
        <v>46049</v>
      </c>
      <c r="G258" s="14">
        <v>0.69158564814814816</v>
      </c>
      <c r="H258" s="7" t="s">
        <v>16</v>
      </c>
      <c r="I258" s="2" t="str">
        <f t="shared" ref="I258:I321" si="23">IF(AND(R258=0,S258=0),IF(C258="","Origin",C258),
IF(AND(R258&gt;0,S258=0),"Q4",
IF(AND(R258&lt;0,S258=0),"Q3",
IF(AND(R258&gt;=0,S258&lt;0),"Q4",
IF(AND(R258&gt;=0,S258&gt;0),"Q1",
IF(AND(R258&lt;0,S258&lt;=0),"Q3",
IF(AND(R258&lt;0,S258&gt;0),"Q2",
"")))))))</f>
        <v>Q4</v>
      </c>
      <c r="J258" s="2" t="str">
        <f t="shared" si="19"/>
        <v>Not Match</v>
      </c>
      <c r="K258" s="2">
        <f t="shared" si="20"/>
        <v>0.2</v>
      </c>
      <c r="L258" s="2" t="e">
        <f t="shared" si="21"/>
        <v>#N/A</v>
      </c>
      <c r="M258" s="2" t="str">
        <f t="shared" si="22"/>
        <v>Below 0.8 not in assigned quadrant</v>
      </c>
      <c r="N258" s="7">
        <v>14.9</v>
      </c>
      <c r="O258" s="7">
        <v>-0.4</v>
      </c>
      <c r="P258" s="7">
        <v>-2.1</v>
      </c>
      <c r="Q258" s="7">
        <v>-0.6</v>
      </c>
      <c r="R258" s="7">
        <v>0</v>
      </c>
      <c r="S258" s="7">
        <v>-0.2</v>
      </c>
      <c r="T258" s="7">
        <v>0.3</v>
      </c>
      <c r="U258" s="7">
        <v>-0.05</v>
      </c>
      <c r="V258" s="7">
        <v>0.67</v>
      </c>
      <c r="W258" s="7" t="s">
        <v>8</v>
      </c>
      <c r="X258" s="7" t="s">
        <v>15</v>
      </c>
      <c r="Y258" s="2" t="s">
        <v>719</v>
      </c>
      <c r="Z258" s="2" t="s">
        <v>721</v>
      </c>
    </row>
    <row r="259" spans="1:26" x14ac:dyDescent="0.35">
      <c r="A259" s="7" t="s">
        <v>1554</v>
      </c>
      <c r="B259" s="7" t="s">
        <v>266</v>
      </c>
      <c r="C259" s="4" t="str">
        <f>_xlfn.XLOOKUP(A259,[2]Sheet2!$I$2:$I$1273,[2]Sheet2!$D$2:$D$1273,0)</f>
        <v>Q1</v>
      </c>
      <c r="D259" s="4">
        <f>_xlfn.XLOOKUP(B259,[4]Sheet2!$B$2:$B$3154,[4]Sheet2!$F$2:$F$3154,0)</f>
        <v>0</v>
      </c>
      <c r="E259" s="4" t="e">
        <f>_xlfn.XLOOKUP(B259,[2]Sheet2!$E$2:$E$713,[2]Sheet2!$G$2:$G$713)</f>
        <v>#N/A</v>
      </c>
      <c r="F259" s="18">
        <v>46049</v>
      </c>
      <c r="G259" s="14">
        <v>0.69458333333333333</v>
      </c>
      <c r="H259" s="7" t="s">
        <v>5</v>
      </c>
      <c r="I259" s="2" t="str">
        <f t="shared" si="23"/>
        <v>Q1</v>
      </c>
      <c r="J259" s="2" t="str">
        <f t="shared" ref="J259:J322" si="24">IF(I259=C259,"Match",IF(C259=0,"Not Found","Not Match"))</f>
        <v>Match</v>
      </c>
      <c r="K259" s="2">
        <f t="shared" si="20"/>
        <v>0.6403124237432849</v>
      </c>
      <c r="L259" s="2" t="e">
        <f t="shared" si="21"/>
        <v>#N/A</v>
      </c>
      <c r="M259" s="2" t="str">
        <f t="shared" si="22"/>
        <v>Failed but within quadrant</v>
      </c>
      <c r="N259" s="7">
        <v>16.3</v>
      </c>
      <c r="O259" s="7">
        <v>-0.4</v>
      </c>
      <c r="P259" s="7">
        <v>-2.2000000000000002</v>
      </c>
      <c r="Q259" s="7">
        <v>-0.75</v>
      </c>
      <c r="R259" s="7">
        <v>0.4</v>
      </c>
      <c r="S259" s="7">
        <v>0.5</v>
      </c>
      <c r="T259" s="7">
        <v>-0.74</v>
      </c>
      <c r="U259" s="7">
        <v>0.43</v>
      </c>
      <c r="V259" s="7">
        <v>1.1399999999999999</v>
      </c>
      <c r="W259" s="7" t="s">
        <v>6</v>
      </c>
      <c r="X259" s="7" t="s">
        <v>9</v>
      </c>
      <c r="Y259" s="2" t="s">
        <v>719</v>
      </c>
      <c r="Z259" s="2" t="s">
        <v>721</v>
      </c>
    </row>
    <row r="260" spans="1:26" x14ac:dyDescent="0.35">
      <c r="A260" s="7" t="s">
        <v>1610</v>
      </c>
      <c r="B260" s="7" t="s">
        <v>267</v>
      </c>
      <c r="C260" s="4">
        <f>_xlfn.XLOOKUP(A260,[2]Sheet2!$I$2:$I$1273,[2]Sheet2!$D$2:$D$1273,0)</f>
        <v>0</v>
      </c>
      <c r="D260" s="4">
        <f>_xlfn.XLOOKUP(B260,[4]Sheet2!$B$2:$B$3154,[4]Sheet2!$F$2:$F$3154,0)</f>
        <v>0</v>
      </c>
      <c r="E260" s="4" t="e">
        <f>_xlfn.XLOOKUP(B260,[2]Sheet2!$E$2:$E$713,[2]Sheet2!$G$2:$G$713)</f>
        <v>#N/A</v>
      </c>
      <c r="F260" s="18">
        <v>46049</v>
      </c>
      <c r="G260" s="14">
        <v>0.69668981481481485</v>
      </c>
      <c r="H260" s="7" t="s">
        <v>5</v>
      </c>
      <c r="I260" s="2" t="str">
        <f t="shared" si="23"/>
        <v>Q3</v>
      </c>
      <c r="J260" s="2" t="str">
        <f t="shared" si="24"/>
        <v>Not Found</v>
      </c>
      <c r="K260" s="2">
        <f t="shared" si="20"/>
        <v>0.22360679774997899</v>
      </c>
      <c r="L260" s="2" t="e">
        <f t="shared" si="21"/>
        <v>#N/A</v>
      </c>
      <c r="M260" s="2" t="str">
        <f t="shared" si="22"/>
        <v>Assign quadrant hit</v>
      </c>
      <c r="N260" s="7">
        <v>14.1</v>
      </c>
      <c r="O260" s="7">
        <v>-0.7</v>
      </c>
      <c r="P260" s="7">
        <v>-1.7</v>
      </c>
      <c r="Q260" s="7">
        <v>-0.34</v>
      </c>
      <c r="R260" s="7">
        <v>-0.1</v>
      </c>
      <c r="S260" s="7">
        <v>-0.2</v>
      </c>
      <c r="T260" s="7">
        <v>0.45</v>
      </c>
      <c r="U260" s="7">
        <v>-0.08</v>
      </c>
      <c r="V260" s="7">
        <v>0.56000000000000005</v>
      </c>
      <c r="W260" s="7" t="s">
        <v>8</v>
      </c>
      <c r="X260" s="7" t="s">
        <v>15</v>
      </c>
      <c r="Y260" s="2" t="s">
        <v>719</v>
      </c>
      <c r="Z260" s="2" t="s">
        <v>721</v>
      </c>
    </row>
    <row r="261" spans="1:26" x14ac:dyDescent="0.35">
      <c r="A261" s="7" t="s">
        <v>1500</v>
      </c>
      <c r="B261" s="7" t="s">
        <v>268</v>
      </c>
      <c r="C261" s="4" t="str">
        <f>_xlfn.XLOOKUP(A261,[2]Sheet2!$I$2:$I$1273,[2]Sheet2!$D$2:$D$1273,0)</f>
        <v>Q2</v>
      </c>
      <c r="D261" s="4">
        <f>_xlfn.XLOOKUP(B261,[4]Sheet2!$B$2:$B$3154,[4]Sheet2!$F$2:$F$3154,0)</f>
        <v>0</v>
      </c>
      <c r="E261" s="4" t="e">
        <f>_xlfn.XLOOKUP(B261,[2]Sheet2!$E$2:$E$713,[2]Sheet2!$G$2:$G$713)</f>
        <v>#N/A</v>
      </c>
      <c r="F261" s="18">
        <v>46049</v>
      </c>
      <c r="G261" s="14">
        <v>0.76712962962962961</v>
      </c>
      <c r="H261" s="7" t="s">
        <v>5</v>
      </c>
      <c r="I261" s="2" t="str">
        <f t="shared" si="23"/>
        <v>Q4</v>
      </c>
      <c r="J261" s="2" t="str">
        <f t="shared" si="24"/>
        <v>Not Match</v>
      </c>
      <c r="K261" s="2">
        <f t="shared" si="20"/>
        <v>0.31622776601683794</v>
      </c>
      <c r="L261" s="2" t="e">
        <f t="shared" si="21"/>
        <v>#N/A</v>
      </c>
      <c r="M261" s="2" t="str">
        <f t="shared" si="22"/>
        <v>Assign quadrant hit</v>
      </c>
      <c r="N261" s="7">
        <v>15.7</v>
      </c>
      <c r="O261" s="7">
        <v>-0.5</v>
      </c>
      <c r="P261" s="7">
        <v>-1.7</v>
      </c>
      <c r="Q261" s="7">
        <v>-0.86</v>
      </c>
      <c r="R261" s="7">
        <v>0.1</v>
      </c>
      <c r="S261" s="7">
        <v>-0.3</v>
      </c>
      <c r="T261" s="7">
        <v>0.35</v>
      </c>
      <c r="U261" s="7">
        <v>0.35</v>
      </c>
      <c r="V261" s="7">
        <v>0.99</v>
      </c>
      <c r="W261" s="7" t="s">
        <v>13</v>
      </c>
      <c r="X261" s="7" t="s">
        <v>9</v>
      </c>
      <c r="Y261" s="2" t="s">
        <v>719</v>
      </c>
      <c r="Z261" s="2" t="s">
        <v>721</v>
      </c>
    </row>
    <row r="262" spans="1:26" x14ac:dyDescent="0.35">
      <c r="A262" s="7" t="s">
        <v>1611</v>
      </c>
      <c r="B262" s="7" t="s">
        <v>269</v>
      </c>
      <c r="C262" s="4" t="str">
        <f>_xlfn.XLOOKUP(A262,[2]Sheet2!$I$2:$I$1273,[2]Sheet2!$D$2:$D$1273,0)</f>
        <v>Q2</v>
      </c>
      <c r="D262" s="4">
        <f>_xlfn.XLOOKUP(B262,[4]Sheet2!$B$2:$B$3154,[4]Sheet2!$F$2:$F$3154,0)</f>
        <v>0</v>
      </c>
      <c r="E262" s="4" t="e">
        <f>_xlfn.XLOOKUP(B262,[2]Sheet2!$E$2:$E$713,[2]Sheet2!$G$2:$G$713)</f>
        <v>#N/A</v>
      </c>
      <c r="F262" s="18">
        <v>46049</v>
      </c>
      <c r="G262" s="14">
        <v>0.76907407407407402</v>
      </c>
      <c r="H262" s="7" t="s">
        <v>5</v>
      </c>
      <c r="I262" s="2" t="str">
        <f t="shared" si="23"/>
        <v>Q4</v>
      </c>
      <c r="J262" s="2" t="str">
        <f t="shared" si="24"/>
        <v>Not Match</v>
      </c>
      <c r="K262" s="2">
        <f t="shared" si="20"/>
        <v>0.22360679774997899</v>
      </c>
      <c r="L262" s="2" t="e">
        <f t="shared" si="21"/>
        <v>#N/A</v>
      </c>
      <c r="M262" s="2" t="str">
        <f t="shared" si="22"/>
        <v>Below 0.8 not in assigned quadrant</v>
      </c>
      <c r="N262" s="7">
        <v>16.399999999999999</v>
      </c>
      <c r="O262" s="7">
        <v>-0.2</v>
      </c>
      <c r="P262" s="7">
        <v>-1.5</v>
      </c>
      <c r="Q262" s="7">
        <v>0.7</v>
      </c>
      <c r="R262" s="7">
        <v>0.1</v>
      </c>
      <c r="S262" s="7">
        <v>-0.2</v>
      </c>
      <c r="T262" s="7">
        <v>0.23</v>
      </c>
      <c r="U262" s="7">
        <v>0.28999999999999998</v>
      </c>
      <c r="V262" s="7">
        <v>0.79</v>
      </c>
      <c r="W262" s="7" t="s">
        <v>13</v>
      </c>
      <c r="X262" s="7" t="s">
        <v>9</v>
      </c>
      <c r="Y262" s="2" t="s">
        <v>719</v>
      </c>
      <c r="Z262" s="2" t="s">
        <v>721</v>
      </c>
    </row>
    <row r="263" spans="1:26" x14ac:dyDescent="0.35">
      <c r="A263" s="7" t="s">
        <v>1608</v>
      </c>
      <c r="B263" s="7" t="s">
        <v>270</v>
      </c>
      <c r="C263" s="4">
        <f>_xlfn.XLOOKUP(A263,[2]Sheet2!$I$2:$I$1273,[2]Sheet2!$D$2:$D$1273,0)</f>
        <v>0</v>
      </c>
      <c r="D263" s="4">
        <f>_xlfn.XLOOKUP(B263,[4]Sheet2!$B$2:$B$3154,[4]Sheet2!$F$2:$F$3154,0)</f>
        <v>0</v>
      </c>
      <c r="E263" s="4" t="e">
        <f>_xlfn.XLOOKUP(B263,[2]Sheet2!$E$2:$E$713,[2]Sheet2!$G$2:$G$713)</f>
        <v>#N/A</v>
      </c>
      <c r="F263" s="18">
        <v>46049</v>
      </c>
      <c r="G263" s="14">
        <v>0.77127314814814818</v>
      </c>
      <c r="H263" s="7" t="s">
        <v>5</v>
      </c>
      <c r="I263" s="2" t="str">
        <f t="shared" si="23"/>
        <v>Q1</v>
      </c>
      <c r="J263" s="2" t="str">
        <f t="shared" si="24"/>
        <v>Not Found</v>
      </c>
      <c r="K263" s="2">
        <f t="shared" si="20"/>
        <v>0.14142135623730953</v>
      </c>
      <c r="L263" s="2" t="e">
        <f t="shared" si="21"/>
        <v>#N/A</v>
      </c>
      <c r="M263" s="2" t="str">
        <f t="shared" si="22"/>
        <v>Assign quadrant hit</v>
      </c>
      <c r="N263" s="7">
        <v>16</v>
      </c>
      <c r="O263" s="7">
        <v>-0.3</v>
      </c>
      <c r="P263" s="7">
        <v>-1.4</v>
      </c>
      <c r="Q263" s="7">
        <v>-0.18</v>
      </c>
      <c r="R263" s="7">
        <v>0.1</v>
      </c>
      <c r="S263" s="7">
        <v>0.1</v>
      </c>
      <c r="T263" s="7">
        <v>-0.26</v>
      </c>
      <c r="U263" s="7">
        <v>0.12</v>
      </c>
      <c r="V263" s="7">
        <v>0.34</v>
      </c>
      <c r="W263" s="7" t="s">
        <v>8</v>
      </c>
      <c r="X263" s="7" t="s">
        <v>9</v>
      </c>
      <c r="Y263" s="2" t="s">
        <v>719</v>
      </c>
      <c r="Z263" s="2" t="s">
        <v>721</v>
      </c>
    </row>
    <row r="264" spans="1:26" x14ac:dyDescent="0.35">
      <c r="A264" s="7" t="s">
        <v>1563</v>
      </c>
      <c r="B264" s="7" t="s">
        <v>247</v>
      </c>
      <c r="C264" s="4" t="str">
        <f>_xlfn.XLOOKUP(A264,[2]Sheet2!$I$2:$I$1273,[2]Sheet2!$D$2:$D$1273,0)</f>
        <v>Q2</v>
      </c>
      <c r="D264" s="4">
        <f>_xlfn.XLOOKUP(B264,[4]Sheet2!$B$2:$B$3154,[4]Sheet2!$F$2:$F$3154,0)</f>
        <v>0</v>
      </c>
      <c r="E264" s="4" t="e">
        <f>_xlfn.XLOOKUP(B264,[2]Sheet2!$E$2:$E$713,[2]Sheet2!$G$2:$G$713)</f>
        <v>#N/A</v>
      </c>
      <c r="F264" s="18">
        <v>46049</v>
      </c>
      <c r="G264" s="14">
        <v>0.77384259259259258</v>
      </c>
      <c r="H264" s="7" t="s">
        <v>5</v>
      </c>
      <c r="I264" s="2" t="str">
        <f t="shared" si="23"/>
        <v>Q3</v>
      </c>
      <c r="J264" s="2" t="str">
        <f t="shared" si="24"/>
        <v>Not Match</v>
      </c>
      <c r="K264" s="2">
        <f t="shared" si="20"/>
        <v>1.3601470508735443</v>
      </c>
      <c r="L264" s="2" t="e">
        <f t="shared" si="21"/>
        <v>#N/A</v>
      </c>
      <c r="M264" s="2" t="str">
        <f t="shared" si="22"/>
        <v>Assign quadrant hit</v>
      </c>
      <c r="N264" s="7">
        <v>21.8</v>
      </c>
      <c r="O264" s="7">
        <v>-7</v>
      </c>
      <c r="P264" s="7">
        <v>-13.6</v>
      </c>
      <c r="Q264" s="7">
        <v>0.36</v>
      </c>
      <c r="R264" s="7">
        <v>-0.4</v>
      </c>
      <c r="S264" s="7">
        <v>-1.3</v>
      </c>
      <c r="T264" s="7">
        <v>0.99</v>
      </c>
      <c r="U264" s="7">
        <v>0.22</v>
      </c>
      <c r="V264" s="7">
        <v>1.08</v>
      </c>
      <c r="W264" s="7" t="s">
        <v>6</v>
      </c>
      <c r="X264" s="7" t="s">
        <v>9</v>
      </c>
      <c r="Y264" s="2" t="s">
        <v>719</v>
      </c>
      <c r="Z264" s="2" t="s">
        <v>721</v>
      </c>
    </row>
    <row r="265" spans="1:26" x14ac:dyDescent="0.35">
      <c r="A265" s="7" t="s">
        <v>1593</v>
      </c>
      <c r="B265" s="7" t="s">
        <v>271</v>
      </c>
      <c r="C265" s="4" t="str">
        <f>_xlfn.XLOOKUP(A265,[2]Sheet2!$I$2:$I$1273,[2]Sheet2!$D$2:$D$1273,0)</f>
        <v>Q3</v>
      </c>
      <c r="D265" s="4">
        <f>_xlfn.XLOOKUP(B265,[4]Sheet2!$B$2:$B$3154,[4]Sheet2!$F$2:$F$3154,0)</f>
        <v>0</v>
      </c>
      <c r="E265" s="4" t="e">
        <f>_xlfn.XLOOKUP(B265,[2]Sheet2!$E$2:$E$713,[2]Sheet2!$G$2:$G$713)</f>
        <v>#N/A</v>
      </c>
      <c r="F265" s="18">
        <v>46049</v>
      </c>
      <c r="G265" s="14">
        <v>0.77589120370370368</v>
      </c>
      <c r="H265" s="7" t="s">
        <v>5</v>
      </c>
      <c r="I265" s="2" t="str">
        <f t="shared" si="23"/>
        <v>Q2</v>
      </c>
      <c r="J265" s="2" t="str">
        <f t="shared" si="24"/>
        <v>Not Match</v>
      </c>
      <c r="K265" s="2">
        <f t="shared" si="20"/>
        <v>0.22360679774997899</v>
      </c>
      <c r="L265" s="2" t="e">
        <f t="shared" si="21"/>
        <v>#N/A</v>
      </c>
      <c r="M265" s="2" t="str">
        <f t="shared" si="22"/>
        <v>Below 0.8 not in assigned quadrant</v>
      </c>
      <c r="N265" s="7">
        <v>21.3</v>
      </c>
      <c r="O265" s="7">
        <v>2.9</v>
      </c>
      <c r="P265" s="7">
        <v>2.7</v>
      </c>
      <c r="Q265" s="7">
        <v>-0.63</v>
      </c>
      <c r="R265" s="7">
        <v>-0.2</v>
      </c>
      <c r="S265" s="7">
        <v>0.1</v>
      </c>
      <c r="T265" s="7">
        <v>-0.1</v>
      </c>
      <c r="U265" s="7">
        <v>0.28999999999999998</v>
      </c>
      <c r="V265" s="7">
        <v>0.7</v>
      </c>
      <c r="W265" s="7" t="s">
        <v>8</v>
      </c>
      <c r="X265" s="7" t="s">
        <v>12</v>
      </c>
      <c r="Y265" s="2" t="s">
        <v>719</v>
      </c>
      <c r="Z265" s="2" t="s">
        <v>721</v>
      </c>
    </row>
    <row r="266" spans="1:26" x14ac:dyDescent="0.35">
      <c r="A266" s="7" t="s">
        <v>1540</v>
      </c>
      <c r="B266" s="7" t="s">
        <v>272</v>
      </c>
      <c r="C266" s="4" t="str">
        <f>_xlfn.XLOOKUP(A266,[2]Sheet2!$I$2:$I$1273,[2]Sheet2!$D$2:$D$1273,0)</f>
        <v>Q3</v>
      </c>
      <c r="D266" s="4">
        <f>_xlfn.XLOOKUP(B266,[4]Sheet2!$B$2:$B$3154,[4]Sheet2!$F$2:$F$3154,0)</f>
        <v>0</v>
      </c>
      <c r="E266" s="4" t="e">
        <f>_xlfn.XLOOKUP(B266,[2]Sheet2!$E$2:$E$713,[2]Sheet2!$G$2:$G$713)</f>
        <v>#N/A</v>
      </c>
      <c r="F266" s="18">
        <v>46049</v>
      </c>
      <c r="G266" s="14">
        <v>0.78408564814814818</v>
      </c>
      <c r="H266" s="7" t="s">
        <v>11</v>
      </c>
      <c r="I266" s="2" t="str">
        <f t="shared" si="23"/>
        <v>Q1</v>
      </c>
      <c r="J266" s="2" t="str">
        <f t="shared" si="24"/>
        <v>Not Match</v>
      </c>
      <c r="K266" s="2">
        <f t="shared" si="20"/>
        <v>0.5</v>
      </c>
      <c r="L266" s="2" t="e">
        <f t="shared" si="21"/>
        <v>#N/A</v>
      </c>
      <c r="M266" s="2" t="str">
        <f t="shared" si="22"/>
        <v>Below 0.8 not in assigned quadrant</v>
      </c>
      <c r="N266" s="7">
        <v>14.2</v>
      </c>
      <c r="O266" s="7">
        <v>-0.4</v>
      </c>
      <c r="P266" s="7">
        <v>-1.6</v>
      </c>
      <c r="Q266" s="7">
        <v>0.12</v>
      </c>
      <c r="R266" s="7">
        <v>0.3</v>
      </c>
      <c r="S266" s="7">
        <v>0.4</v>
      </c>
      <c r="T266" s="7">
        <v>-0.65</v>
      </c>
      <c r="U266" s="7">
        <v>0.23</v>
      </c>
      <c r="V266" s="7">
        <v>0.7</v>
      </c>
      <c r="W266" s="7" t="s">
        <v>8</v>
      </c>
      <c r="X266" s="7" t="s">
        <v>9</v>
      </c>
      <c r="Y266" s="2" t="s">
        <v>719</v>
      </c>
      <c r="Z266" s="2" t="s">
        <v>721</v>
      </c>
    </row>
    <row r="267" spans="1:26" x14ac:dyDescent="0.35">
      <c r="A267" s="7" t="s">
        <v>1515</v>
      </c>
      <c r="B267" s="7" t="s">
        <v>273</v>
      </c>
      <c r="C267" s="4" t="str">
        <f>_xlfn.XLOOKUP(A267,[2]Sheet2!$I$2:$I$1273,[2]Sheet2!$D$2:$D$1273,0)</f>
        <v>Q3</v>
      </c>
      <c r="D267" s="4">
        <f>_xlfn.XLOOKUP(B267,[4]Sheet2!$B$2:$B$3154,[4]Sheet2!$F$2:$F$3154,0)</f>
        <v>0</v>
      </c>
      <c r="E267" s="4" t="e">
        <f>_xlfn.XLOOKUP(B267,[2]Sheet2!$E$2:$E$713,[2]Sheet2!$G$2:$G$713)</f>
        <v>#N/A</v>
      </c>
      <c r="F267" s="18">
        <v>46049</v>
      </c>
      <c r="G267" s="14">
        <v>0.93672453703703706</v>
      </c>
      <c r="H267" s="7" t="s">
        <v>11</v>
      </c>
      <c r="I267" s="2" t="str">
        <f t="shared" si="23"/>
        <v>Q4</v>
      </c>
      <c r="J267" s="2" t="str">
        <f t="shared" si="24"/>
        <v>Not Match</v>
      </c>
      <c r="K267" s="2">
        <f t="shared" si="20"/>
        <v>0.3</v>
      </c>
      <c r="L267" s="2" t="e">
        <f t="shared" si="21"/>
        <v>#N/A</v>
      </c>
      <c r="M267" s="2" t="str">
        <f t="shared" si="22"/>
        <v>Below 0.8 not in assigned quadrant</v>
      </c>
      <c r="N267" s="7">
        <v>14.1</v>
      </c>
      <c r="O267" s="7">
        <v>-0.4</v>
      </c>
      <c r="P267" s="7">
        <v>-2.4</v>
      </c>
      <c r="Q267" s="7">
        <v>0.15</v>
      </c>
      <c r="R267" s="7">
        <v>0</v>
      </c>
      <c r="S267" s="7">
        <v>-0.3</v>
      </c>
      <c r="T267" s="7">
        <v>0.43</v>
      </c>
      <c r="U267" s="7">
        <v>-0.02</v>
      </c>
      <c r="V267" s="7">
        <v>0.46</v>
      </c>
      <c r="W267" s="7" t="s">
        <v>8</v>
      </c>
      <c r="X267" s="7" t="s">
        <v>15</v>
      </c>
      <c r="Y267" s="2" t="s">
        <v>719</v>
      </c>
      <c r="Z267" s="2" t="s">
        <v>721</v>
      </c>
    </row>
    <row r="268" spans="1:26" x14ac:dyDescent="0.35">
      <c r="A268" s="7" t="s">
        <v>1515</v>
      </c>
      <c r="B268" s="7" t="s">
        <v>274</v>
      </c>
      <c r="C268" s="4" t="str">
        <f>_xlfn.XLOOKUP(A268,[2]Sheet2!$I$2:$I$1273,[2]Sheet2!$D$2:$D$1273,0)</f>
        <v>Q3</v>
      </c>
      <c r="D268" s="4">
        <f>_xlfn.XLOOKUP(B268,[4]Sheet2!$B$2:$B$3154,[4]Sheet2!$F$2:$F$3154,0)</f>
        <v>0</v>
      </c>
      <c r="E268" s="4" t="e">
        <f>_xlfn.XLOOKUP(B268,[2]Sheet2!$E$2:$E$713,[2]Sheet2!$G$2:$G$713)</f>
        <v>#N/A</v>
      </c>
      <c r="F268" s="18">
        <v>46049</v>
      </c>
      <c r="G268" s="14">
        <v>0.97186342592592589</v>
      </c>
      <c r="H268" s="7" t="s">
        <v>11</v>
      </c>
      <c r="I268" s="2" t="str">
        <f t="shared" si="23"/>
        <v>Q3</v>
      </c>
      <c r="J268" s="2" t="str">
        <f t="shared" si="24"/>
        <v>Match</v>
      </c>
      <c r="K268" s="2">
        <f t="shared" si="20"/>
        <v>0.31622776601683794</v>
      </c>
      <c r="L268" s="2" t="e">
        <f t="shared" si="21"/>
        <v>#N/A</v>
      </c>
      <c r="M268" s="2" t="str">
        <f t="shared" si="22"/>
        <v>Digital Approve Hit</v>
      </c>
      <c r="N268" s="7">
        <v>13.5</v>
      </c>
      <c r="O268" s="7">
        <v>-0.5</v>
      </c>
      <c r="P268" s="7">
        <v>-2.4</v>
      </c>
      <c r="Q268" s="7">
        <v>-0.45</v>
      </c>
      <c r="R268" s="7">
        <v>-0.1</v>
      </c>
      <c r="S268" s="7">
        <v>-0.3</v>
      </c>
      <c r="T268" s="7">
        <v>0.47</v>
      </c>
      <c r="U268" s="7">
        <v>-0.13</v>
      </c>
      <c r="V268" s="7">
        <v>0.67</v>
      </c>
      <c r="W268" s="7" t="s">
        <v>8</v>
      </c>
      <c r="X268" s="7" t="s">
        <v>15</v>
      </c>
      <c r="Y268" s="2" t="s">
        <v>719</v>
      </c>
      <c r="Z268" s="2" t="s">
        <v>721</v>
      </c>
    </row>
    <row r="269" spans="1:26" x14ac:dyDescent="0.35">
      <c r="A269" s="7" t="s">
        <v>1612</v>
      </c>
      <c r="B269" s="7" t="s">
        <v>275</v>
      </c>
      <c r="C269" s="4" t="str">
        <f>_xlfn.XLOOKUP(A269,[2]Sheet2!$I$2:$I$1273,[2]Sheet2!$D$2:$D$1273,0)</f>
        <v>Q1</v>
      </c>
      <c r="D269" s="4">
        <f>_xlfn.XLOOKUP(B269,[4]Sheet2!$B$2:$B$3154,[4]Sheet2!$F$2:$F$3154,0)</f>
        <v>0</v>
      </c>
      <c r="E269" s="4" t="e">
        <f>_xlfn.XLOOKUP(B269,[2]Sheet2!$E$2:$E$713,[2]Sheet2!$G$2:$G$713)</f>
        <v>#N/A</v>
      </c>
      <c r="F269" s="18">
        <v>46049</v>
      </c>
      <c r="G269" s="14">
        <v>0.97299768518518515</v>
      </c>
      <c r="H269" s="7" t="s">
        <v>5</v>
      </c>
      <c r="I269" s="2" t="str">
        <f t="shared" si="23"/>
        <v>Q3</v>
      </c>
      <c r="J269" s="2" t="str">
        <f t="shared" si="24"/>
        <v>Not Match</v>
      </c>
      <c r="K269" s="2">
        <f t="shared" si="20"/>
        <v>0.1</v>
      </c>
      <c r="L269" s="2" t="e">
        <f t="shared" si="21"/>
        <v>#N/A</v>
      </c>
      <c r="M269" s="2" t="str">
        <f t="shared" si="22"/>
        <v>Assign quadrant hit</v>
      </c>
      <c r="N269" s="7">
        <v>16.5</v>
      </c>
      <c r="O269" s="7">
        <v>-0.4</v>
      </c>
      <c r="P269" s="7">
        <v>-3.6</v>
      </c>
      <c r="Q269" s="7">
        <v>-0.99</v>
      </c>
      <c r="R269" s="7">
        <v>-0.1</v>
      </c>
      <c r="S269" s="7">
        <v>0</v>
      </c>
      <c r="T269" s="7">
        <v>0.11</v>
      </c>
      <c r="U269" s="7">
        <v>-0.18</v>
      </c>
      <c r="V269" s="7">
        <v>1.01</v>
      </c>
      <c r="W269" s="7" t="s">
        <v>6</v>
      </c>
      <c r="X269" s="7" t="s">
        <v>15</v>
      </c>
      <c r="Y269" s="2" t="s">
        <v>719</v>
      </c>
      <c r="Z269" s="2" t="s">
        <v>721</v>
      </c>
    </row>
    <row r="270" spans="1:26" x14ac:dyDescent="0.35">
      <c r="A270" s="7" t="s">
        <v>1613</v>
      </c>
      <c r="B270" s="7" t="s">
        <v>276</v>
      </c>
      <c r="C270" s="4" t="str">
        <f>_xlfn.XLOOKUP(A270,[2]Sheet2!$I$2:$I$1273,[2]Sheet2!$D$2:$D$1273,0)</f>
        <v>Q2</v>
      </c>
      <c r="D270" s="4">
        <f>_xlfn.XLOOKUP(B270,[4]Sheet2!$B$2:$B$3154,[4]Sheet2!$F$2:$F$3154,0)</f>
        <v>0</v>
      </c>
      <c r="E270" s="4" t="e">
        <f>_xlfn.XLOOKUP(B270,[2]Sheet2!$E$2:$E$713,[2]Sheet2!$G$2:$G$713)</f>
        <v>#N/A</v>
      </c>
      <c r="F270" s="18">
        <v>46050</v>
      </c>
      <c r="G270" s="14">
        <v>6.1631944444444448E-2</v>
      </c>
      <c r="H270" s="7" t="s">
        <v>5</v>
      </c>
      <c r="I270" s="2" t="str">
        <f t="shared" si="23"/>
        <v>Q1</v>
      </c>
      <c r="J270" s="2" t="str">
        <f t="shared" si="24"/>
        <v>Not Match</v>
      </c>
      <c r="K270" s="2">
        <f t="shared" si="20"/>
        <v>0.1</v>
      </c>
      <c r="L270" s="2" t="e">
        <f t="shared" si="21"/>
        <v>#N/A</v>
      </c>
      <c r="M270" s="2" t="str">
        <f t="shared" si="22"/>
        <v>Below 0.8 not in assigned quadrant</v>
      </c>
      <c r="N270" s="7">
        <v>17.899999999999999</v>
      </c>
      <c r="O270" s="7">
        <v>-0.3</v>
      </c>
      <c r="P270" s="7">
        <v>-1.8</v>
      </c>
      <c r="Q270" s="7">
        <v>0.18</v>
      </c>
      <c r="R270" s="7">
        <v>0</v>
      </c>
      <c r="S270" s="7">
        <v>0.1</v>
      </c>
      <c r="T270" s="7">
        <v>-0.24</v>
      </c>
      <c r="U270" s="7">
        <v>0.05</v>
      </c>
      <c r="V270" s="7">
        <v>0.3</v>
      </c>
      <c r="W270" s="7" t="s">
        <v>8</v>
      </c>
      <c r="X270" s="7" t="s">
        <v>9</v>
      </c>
      <c r="Y270" s="2" t="s">
        <v>719</v>
      </c>
      <c r="Z270" s="2" t="s">
        <v>721</v>
      </c>
    </row>
    <row r="271" spans="1:26" x14ac:dyDescent="0.35">
      <c r="A271" s="7" t="s">
        <v>1614</v>
      </c>
      <c r="B271" s="7" t="s">
        <v>277</v>
      </c>
      <c r="C271" s="4" t="str">
        <f>_xlfn.XLOOKUP(A271,[2]Sheet2!$I$2:$I$1273,[2]Sheet2!$D$2:$D$1273,0)</f>
        <v>Q3</v>
      </c>
      <c r="D271" s="4">
        <f>_xlfn.XLOOKUP(B271,[4]Sheet2!$B$2:$B$3154,[4]Sheet2!$F$2:$F$3154,0)</f>
        <v>0</v>
      </c>
      <c r="E271" s="4" t="e">
        <f>_xlfn.XLOOKUP(B271,[2]Sheet2!$E$2:$E$713,[2]Sheet2!$G$2:$G$713)</f>
        <v>#N/A</v>
      </c>
      <c r="F271" s="18">
        <v>46050</v>
      </c>
      <c r="G271" s="14">
        <v>7.649305555555555E-2</v>
      </c>
      <c r="H271" s="7" t="s">
        <v>16</v>
      </c>
      <c r="I271" s="2" t="str">
        <f t="shared" si="23"/>
        <v>Q2</v>
      </c>
      <c r="J271" s="2" t="str">
        <f t="shared" si="24"/>
        <v>Not Match</v>
      </c>
      <c r="K271" s="2">
        <f t="shared" si="20"/>
        <v>1.0440306508910551</v>
      </c>
      <c r="L271" s="2" t="e">
        <f t="shared" si="21"/>
        <v>#N/A</v>
      </c>
      <c r="M271" s="2" t="str">
        <f t="shared" si="22"/>
        <v>Assign quadrant hit</v>
      </c>
      <c r="N271" s="7">
        <v>24.2</v>
      </c>
      <c r="O271" s="7">
        <v>-5.4</v>
      </c>
      <c r="P271" s="7">
        <v>-7.1</v>
      </c>
      <c r="Q271" s="7">
        <v>-0.54</v>
      </c>
      <c r="R271" s="7">
        <v>-0.3</v>
      </c>
      <c r="S271" s="7">
        <v>1</v>
      </c>
      <c r="T271" s="7">
        <v>-0.56000000000000005</v>
      </c>
      <c r="U271" s="7">
        <v>-0.96</v>
      </c>
      <c r="V271" s="7">
        <v>1.23</v>
      </c>
      <c r="W271" s="7" t="s">
        <v>6</v>
      </c>
      <c r="X271" s="7" t="s">
        <v>15</v>
      </c>
      <c r="Y271" s="2" t="s">
        <v>719</v>
      </c>
      <c r="Z271" s="2" t="s">
        <v>721</v>
      </c>
    </row>
    <row r="272" spans="1:26" x14ac:dyDescent="0.35">
      <c r="A272" s="7" t="s">
        <v>1500</v>
      </c>
      <c r="B272" s="7" t="s">
        <v>278</v>
      </c>
      <c r="C272" s="4" t="str">
        <f>_xlfn.XLOOKUP(A272,[2]Sheet2!$I$2:$I$1273,[2]Sheet2!$D$2:$D$1273,0)</f>
        <v>Q2</v>
      </c>
      <c r="D272" s="4">
        <f>_xlfn.XLOOKUP(B272,[4]Sheet2!$B$2:$B$3154,[4]Sheet2!$F$2:$F$3154,0)</f>
        <v>0</v>
      </c>
      <c r="E272" s="4" t="e">
        <f>_xlfn.XLOOKUP(B272,[2]Sheet2!$E$2:$E$713,[2]Sheet2!$G$2:$G$713)</f>
        <v>#N/A</v>
      </c>
      <c r="F272" s="18">
        <v>46050</v>
      </c>
      <c r="G272" s="14">
        <v>0.12049768518518518</v>
      </c>
      <c r="H272" s="7" t="s">
        <v>5</v>
      </c>
      <c r="I272" s="2" t="str">
        <f t="shared" si="23"/>
        <v>Q4</v>
      </c>
      <c r="J272" s="2" t="str">
        <f t="shared" si="24"/>
        <v>Not Match</v>
      </c>
      <c r="K272" s="2">
        <f t="shared" si="20"/>
        <v>0.22360679774997899</v>
      </c>
      <c r="L272" s="2" t="e">
        <f t="shared" si="21"/>
        <v>#N/A</v>
      </c>
      <c r="M272" s="2" t="str">
        <f t="shared" si="22"/>
        <v>Below 0.8 not in assigned quadrant</v>
      </c>
      <c r="N272" s="7">
        <v>16.8</v>
      </c>
      <c r="O272" s="7">
        <v>-0.4</v>
      </c>
      <c r="P272" s="7">
        <v>-1.5</v>
      </c>
      <c r="Q272" s="7">
        <v>0.13</v>
      </c>
      <c r="R272" s="7">
        <v>0.2</v>
      </c>
      <c r="S272" s="7">
        <v>-0.1</v>
      </c>
      <c r="T272" s="7">
        <v>0.09</v>
      </c>
      <c r="U272" s="7">
        <v>0.39</v>
      </c>
      <c r="V272" s="7">
        <v>0.42</v>
      </c>
      <c r="W272" s="7" t="s">
        <v>8</v>
      </c>
      <c r="X272" s="7" t="s">
        <v>9</v>
      </c>
      <c r="Y272" s="2" t="s">
        <v>719</v>
      </c>
      <c r="Z272" s="2" t="s">
        <v>721</v>
      </c>
    </row>
    <row r="273" spans="1:26" x14ac:dyDescent="0.35">
      <c r="A273" s="7" t="s">
        <v>1536</v>
      </c>
      <c r="B273" s="7" t="s">
        <v>279</v>
      </c>
      <c r="C273" s="4" t="str">
        <f>_xlfn.XLOOKUP(A273,[2]Sheet2!$I$2:$I$1273,[2]Sheet2!$D$2:$D$1273,0)</f>
        <v>Q2</v>
      </c>
      <c r="D273" s="4">
        <f>_xlfn.XLOOKUP(B273,[4]Sheet2!$B$2:$B$3154,[4]Sheet2!$F$2:$F$3154,0)</f>
        <v>0</v>
      </c>
      <c r="E273" s="4" t="e">
        <f>_xlfn.XLOOKUP(B273,[2]Sheet2!$E$2:$E$713,[2]Sheet2!$G$2:$G$713)</f>
        <v>#N/A</v>
      </c>
      <c r="F273" s="18">
        <v>46050</v>
      </c>
      <c r="G273" s="14">
        <v>0.16457175925925926</v>
      </c>
      <c r="H273" s="7" t="s">
        <v>5</v>
      </c>
      <c r="I273" s="2" t="str">
        <f t="shared" si="23"/>
        <v>Q4</v>
      </c>
      <c r="J273" s="2" t="str">
        <f t="shared" si="24"/>
        <v>Not Match</v>
      </c>
      <c r="K273" s="2">
        <f t="shared" si="20"/>
        <v>0.2</v>
      </c>
      <c r="L273" s="2" t="e">
        <f t="shared" si="21"/>
        <v>#N/A</v>
      </c>
      <c r="M273" s="2" t="str">
        <f t="shared" si="22"/>
        <v>Below 0.8 not in assigned quadrant</v>
      </c>
      <c r="N273" s="7">
        <v>14.8</v>
      </c>
      <c r="O273" s="7">
        <v>-0.5</v>
      </c>
      <c r="P273" s="7">
        <v>-2.8</v>
      </c>
      <c r="Q273" s="7">
        <v>-0.39</v>
      </c>
      <c r="R273" s="7">
        <v>0</v>
      </c>
      <c r="S273" s="7">
        <v>-0.2</v>
      </c>
      <c r="T273" s="7">
        <v>0.25</v>
      </c>
      <c r="U273" s="7">
        <v>0.17</v>
      </c>
      <c r="V273" s="7">
        <v>0.5</v>
      </c>
      <c r="W273" s="7" t="s">
        <v>8</v>
      </c>
      <c r="X273" s="7" t="s">
        <v>9</v>
      </c>
      <c r="Y273" s="2" t="s">
        <v>719</v>
      </c>
      <c r="Z273" s="2" t="s">
        <v>721</v>
      </c>
    </row>
    <row r="274" spans="1:26" x14ac:dyDescent="0.35">
      <c r="A274" s="7" t="s">
        <v>1595</v>
      </c>
      <c r="B274" s="7" t="s">
        <v>280</v>
      </c>
      <c r="C274" s="4" t="str">
        <f>_xlfn.XLOOKUP(A274,[2]Sheet2!$I$2:$I$1273,[2]Sheet2!$D$2:$D$1273,0)</f>
        <v>Q4</v>
      </c>
      <c r="D274" s="4">
        <f>_xlfn.XLOOKUP(B274,[4]Sheet2!$B$2:$B$3154,[4]Sheet2!$F$2:$F$3154,0)</f>
        <v>0</v>
      </c>
      <c r="E274" s="4" t="e">
        <f>_xlfn.XLOOKUP(B274,[2]Sheet2!$E$2:$E$713,[2]Sheet2!$G$2:$G$713)</f>
        <v>#N/A</v>
      </c>
      <c r="F274" s="18">
        <v>46050</v>
      </c>
      <c r="G274" s="14">
        <v>0.27300925925925928</v>
      </c>
      <c r="H274" s="7" t="s">
        <v>16</v>
      </c>
      <c r="I274" s="2" t="str">
        <f t="shared" si="23"/>
        <v>Q1</v>
      </c>
      <c r="J274" s="2" t="str">
        <f t="shared" si="24"/>
        <v>Not Match</v>
      </c>
      <c r="K274" s="2">
        <f t="shared" si="20"/>
        <v>0.31622776601683794</v>
      </c>
      <c r="L274" s="2" t="e">
        <f t="shared" si="21"/>
        <v>#N/A</v>
      </c>
      <c r="M274" s="2" t="str">
        <f t="shared" si="22"/>
        <v>Below 0.8 not in assigned quadrant</v>
      </c>
      <c r="N274" s="7">
        <v>29.3</v>
      </c>
      <c r="O274" s="7">
        <v>-1.6</v>
      </c>
      <c r="P274" s="7">
        <v>-2.6</v>
      </c>
      <c r="Q274" s="7">
        <v>0.32</v>
      </c>
      <c r="R274" s="7">
        <v>0.1</v>
      </c>
      <c r="S274" s="7">
        <v>0.3</v>
      </c>
      <c r="T274" s="7">
        <v>-0.4</v>
      </c>
      <c r="U274" s="7">
        <v>-0.09</v>
      </c>
      <c r="V274" s="7">
        <v>0.52</v>
      </c>
      <c r="W274" s="7" t="s">
        <v>8</v>
      </c>
      <c r="X274" s="7" t="s">
        <v>15</v>
      </c>
      <c r="Y274" s="2" t="s">
        <v>719</v>
      </c>
      <c r="Z274" s="2" t="s">
        <v>721</v>
      </c>
    </row>
    <row r="275" spans="1:26" x14ac:dyDescent="0.35">
      <c r="A275" s="7" t="s">
        <v>1518</v>
      </c>
      <c r="B275" s="7" t="s">
        <v>281</v>
      </c>
      <c r="C275" s="4" t="str">
        <f>_xlfn.XLOOKUP(A275,[2]Sheet2!$I$2:$I$1273,[2]Sheet2!$D$2:$D$1273,0)</f>
        <v>Q1</v>
      </c>
      <c r="D275" s="4">
        <f>_xlfn.XLOOKUP(B275,[4]Sheet2!$B$2:$B$3154,[4]Sheet2!$F$2:$F$3154,0)</f>
        <v>0</v>
      </c>
      <c r="E275" s="4" t="e">
        <f>_xlfn.XLOOKUP(B275,[2]Sheet2!$E$2:$E$713,[2]Sheet2!$G$2:$G$713)</f>
        <v>#N/A</v>
      </c>
      <c r="F275" s="18">
        <v>46050</v>
      </c>
      <c r="G275" s="14">
        <v>0.27675925925925926</v>
      </c>
      <c r="H275" s="7" t="s">
        <v>11</v>
      </c>
      <c r="I275" s="2" t="str">
        <f t="shared" si="23"/>
        <v>Q1</v>
      </c>
      <c r="J275" s="2" t="str">
        <f t="shared" si="24"/>
        <v>Match</v>
      </c>
      <c r="K275" s="2">
        <f t="shared" si="20"/>
        <v>1.5524174696260025</v>
      </c>
      <c r="L275" s="2" t="e">
        <f t="shared" si="21"/>
        <v>#N/A</v>
      </c>
      <c r="M275" s="2" t="str">
        <f t="shared" si="22"/>
        <v>Failed but within quadrant</v>
      </c>
      <c r="N275" s="7">
        <v>26.3</v>
      </c>
      <c r="O275" s="7">
        <v>6.7</v>
      </c>
      <c r="P275" s="7">
        <v>9.4</v>
      </c>
      <c r="Q275" s="7">
        <v>-0.12</v>
      </c>
      <c r="R275" s="7">
        <v>0.4</v>
      </c>
      <c r="S275" s="7">
        <v>1.5</v>
      </c>
      <c r="T275" s="7">
        <v>1.24</v>
      </c>
      <c r="U275" s="7">
        <v>1.2</v>
      </c>
      <c r="V275" s="7">
        <v>1.73</v>
      </c>
      <c r="W275" s="7" t="s">
        <v>6</v>
      </c>
      <c r="X275" s="7" t="s">
        <v>12</v>
      </c>
      <c r="Y275" s="2" t="s">
        <v>719</v>
      </c>
      <c r="Z275" s="2" t="s">
        <v>721</v>
      </c>
    </row>
    <row r="276" spans="1:26" x14ac:dyDescent="0.35">
      <c r="A276" s="7" t="s">
        <v>1515</v>
      </c>
      <c r="B276" s="7" t="s">
        <v>282</v>
      </c>
      <c r="C276" s="4" t="str">
        <f>_xlfn.XLOOKUP(A276,[2]Sheet2!$I$2:$I$1273,[2]Sheet2!$D$2:$D$1273,0)</f>
        <v>Q3</v>
      </c>
      <c r="D276" s="4">
        <f>_xlfn.XLOOKUP(B276,[4]Sheet2!$B$2:$B$3154,[4]Sheet2!$F$2:$F$3154,0)</f>
        <v>0</v>
      </c>
      <c r="E276" s="4" t="e">
        <f>_xlfn.XLOOKUP(B276,[2]Sheet2!$E$2:$E$713,[2]Sheet2!$G$2:$G$713)</f>
        <v>#N/A</v>
      </c>
      <c r="F276" s="18">
        <v>46050</v>
      </c>
      <c r="G276" s="14">
        <v>0.27881944444444445</v>
      </c>
      <c r="H276" s="7" t="s">
        <v>11</v>
      </c>
      <c r="I276" s="2" t="str">
        <f t="shared" si="23"/>
        <v>Q4</v>
      </c>
      <c r="J276" s="2" t="str">
        <f t="shared" si="24"/>
        <v>Not Match</v>
      </c>
      <c r="K276" s="2">
        <f t="shared" si="20"/>
        <v>0.4</v>
      </c>
      <c r="L276" s="2" t="e">
        <f t="shared" si="21"/>
        <v>#N/A</v>
      </c>
      <c r="M276" s="2" t="str">
        <f t="shared" si="22"/>
        <v>Below 0.8 not in assigned quadrant</v>
      </c>
      <c r="N276" s="7">
        <v>13.9</v>
      </c>
      <c r="O276" s="7">
        <v>-0.4</v>
      </c>
      <c r="P276" s="7">
        <v>-2.5</v>
      </c>
      <c r="Q276" s="7">
        <v>-0.11</v>
      </c>
      <c r="R276" s="7">
        <v>0</v>
      </c>
      <c r="S276" s="7">
        <v>-0.4</v>
      </c>
      <c r="T276" s="7">
        <v>0.63</v>
      </c>
      <c r="U276" s="7">
        <v>0.02</v>
      </c>
      <c r="V276" s="7">
        <v>0.64</v>
      </c>
      <c r="W276" s="7" t="s">
        <v>8</v>
      </c>
      <c r="X276" s="7" t="s">
        <v>9</v>
      </c>
      <c r="Y276" s="2" t="s">
        <v>719</v>
      </c>
      <c r="Z276" s="2" t="s">
        <v>721</v>
      </c>
    </row>
    <row r="277" spans="1:26" x14ac:dyDescent="0.35">
      <c r="A277" s="7" t="s">
        <v>1500</v>
      </c>
      <c r="B277" s="7" t="s">
        <v>283</v>
      </c>
      <c r="C277" s="4" t="str">
        <f>_xlfn.XLOOKUP(A277,[2]Sheet2!$I$2:$I$1273,[2]Sheet2!$D$2:$D$1273,0)</f>
        <v>Q2</v>
      </c>
      <c r="D277" s="4">
        <f>_xlfn.XLOOKUP(B277,[4]Sheet2!$B$2:$B$3154,[4]Sheet2!$F$2:$F$3154,0)</f>
        <v>0</v>
      </c>
      <c r="E277" s="4" t="e">
        <f>_xlfn.XLOOKUP(B277,[2]Sheet2!$E$2:$E$713,[2]Sheet2!$G$2:$G$713)</f>
        <v>#N/A</v>
      </c>
      <c r="F277" s="18">
        <v>46050</v>
      </c>
      <c r="G277" s="14">
        <v>0.28084490740740742</v>
      </c>
      <c r="H277" s="7" t="s">
        <v>5</v>
      </c>
      <c r="I277" s="2" t="str">
        <f t="shared" si="23"/>
        <v>Q4</v>
      </c>
      <c r="J277" s="2" t="str">
        <f t="shared" si="24"/>
        <v>Not Match</v>
      </c>
      <c r="K277" s="2">
        <f t="shared" si="20"/>
        <v>0.14142135623730953</v>
      </c>
      <c r="L277" s="2" t="e">
        <f t="shared" si="21"/>
        <v>#N/A</v>
      </c>
      <c r="M277" s="2" t="str">
        <f t="shared" si="22"/>
        <v>Below 0.8 not in assigned quadrant</v>
      </c>
      <c r="N277" s="7">
        <v>16.899999999999999</v>
      </c>
      <c r="O277" s="7">
        <v>-0.5</v>
      </c>
      <c r="P277" s="7">
        <v>-1.5</v>
      </c>
      <c r="Q277" s="7">
        <v>0.32</v>
      </c>
      <c r="R277" s="7">
        <v>0.1</v>
      </c>
      <c r="S277" s="7">
        <v>-0.1</v>
      </c>
      <c r="T277" s="7">
        <v>0.13</v>
      </c>
      <c r="U277" s="7">
        <v>0.22</v>
      </c>
      <c r="V277" s="7">
        <v>0.41</v>
      </c>
      <c r="W277" s="7" t="s">
        <v>8</v>
      </c>
      <c r="X277" s="7" t="s">
        <v>9</v>
      </c>
      <c r="Y277" s="2" t="s">
        <v>719</v>
      </c>
      <c r="Z277" s="2" t="s">
        <v>721</v>
      </c>
    </row>
    <row r="278" spans="1:26" x14ac:dyDescent="0.35">
      <c r="A278" s="7" t="s">
        <v>1500</v>
      </c>
      <c r="B278" s="7" t="s">
        <v>284</v>
      </c>
      <c r="C278" s="4" t="str">
        <f>_xlfn.XLOOKUP(A278,[2]Sheet2!$I$2:$I$1273,[2]Sheet2!$D$2:$D$1273,0)</f>
        <v>Q2</v>
      </c>
      <c r="D278" s="4">
        <f>_xlfn.XLOOKUP(B278,[4]Sheet2!$B$2:$B$3154,[4]Sheet2!$F$2:$F$3154,0)</f>
        <v>0</v>
      </c>
      <c r="E278" s="4" t="e">
        <f>_xlfn.XLOOKUP(B278,[2]Sheet2!$E$2:$E$713,[2]Sheet2!$G$2:$G$713)</f>
        <v>#N/A</v>
      </c>
      <c r="F278" s="18">
        <v>46050</v>
      </c>
      <c r="G278" s="14">
        <v>0.2823148148148148</v>
      </c>
      <c r="H278" s="7" t="s">
        <v>5</v>
      </c>
      <c r="I278" s="2" t="str">
        <f t="shared" si="23"/>
        <v>Q4</v>
      </c>
      <c r="J278" s="2" t="str">
        <f t="shared" si="24"/>
        <v>Not Match</v>
      </c>
      <c r="K278" s="2">
        <f t="shared" si="20"/>
        <v>0.42426406871192851</v>
      </c>
      <c r="L278" s="2" t="e">
        <f t="shared" si="21"/>
        <v>#N/A</v>
      </c>
      <c r="M278" s="2" t="str">
        <f t="shared" si="22"/>
        <v>Assign quadrant hit</v>
      </c>
      <c r="N278" s="7">
        <v>17.100000000000001</v>
      </c>
      <c r="O278" s="7">
        <v>-0.3</v>
      </c>
      <c r="P278" s="7">
        <v>-1.7</v>
      </c>
      <c r="Q278" s="7">
        <v>0.44</v>
      </c>
      <c r="R278" s="7">
        <v>0.3</v>
      </c>
      <c r="S278" s="7">
        <v>-0.3</v>
      </c>
      <c r="T278" s="7">
        <v>0.28000000000000003</v>
      </c>
      <c r="U278" s="7">
        <v>0.65</v>
      </c>
      <c r="V278" s="7">
        <v>0.83</v>
      </c>
      <c r="W278" s="7" t="s">
        <v>13</v>
      </c>
      <c r="X278" s="7" t="s">
        <v>9</v>
      </c>
      <c r="Y278" s="2" t="s">
        <v>719</v>
      </c>
      <c r="Z278" s="2" t="s">
        <v>721</v>
      </c>
    </row>
    <row r="279" spans="1:26" x14ac:dyDescent="0.35">
      <c r="A279" s="7" t="s">
        <v>1615</v>
      </c>
      <c r="B279" s="7" t="s">
        <v>285</v>
      </c>
      <c r="C279" s="4">
        <f>_xlfn.XLOOKUP(A279,[2]Sheet2!$I$2:$I$1273,[2]Sheet2!$D$2:$D$1273,0)</f>
        <v>0</v>
      </c>
      <c r="D279" s="4">
        <f>_xlfn.XLOOKUP(B279,[4]Sheet2!$B$2:$B$3154,[4]Sheet2!$F$2:$F$3154,0)</f>
        <v>0</v>
      </c>
      <c r="E279" s="4" t="e">
        <f>_xlfn.XLOOKUP(B279,[2]Sheet2!$E$2:$E$713,[2]Sheet2!$G$2:$G$713)</f>
        <v>#N/A</v>
      </c>
      <c r="F279" s="18">
        <v>46050</v>
      </c>
      <c r="G279" s="14">
        <v>0.28415509259259258</v>
      </c>
      <c r="H279" s="7" t="s">
        <v>5</v>
      </c>
      <c r="I279" s="2" t="str">
        <f t="shared" si="23"/>
        <v>Q3</v>
      </c>
      <c r="J279" s="2" t="str">
        <f t="shared" si="24"/>
        <v>Not Found</v>
      </c>
      <c r="K279" s="2">
        <f t="shared" si="20"/>
        <v>0.36055512754639896</v>
      </c>
      <c r="L279" s="2" t="e">
        <f t="shared" si="21"/>
        <v>#N/A</v>
      </c>
      <c r="M279" s="2" t="str">
        <f t="shared" si="22"/>
        <v>Assign quadrant hit</v>
      </c>
      <c r="N279" s="7">
        <v>13.6</v>
      </c>
      <c r="O279" s="7">
        <v>-0.5</v>
      </c>
      <c r="P279" s="7">
        <v>-2.1</v>
      </c>
      <c r="Q279" s="7">
        <v>-0.53</v>
      </c>
      <c r="R279" s="7">
        <v>-0.3</v>
      </c>
      <c r="S279" s="7">
        <v>-0.2</v>
      </c>
      <c r="T279" s="7">
        <v>0.35</v>
      </c>
      <c r="U279" s="7">
        <v>-0.35</v>
      </c>
      <c r="V279" s="7">
        <v>0.73</v>
      </c>
      <c r="W279" s="7" t="s">
        <v>8</v>
      </c>
      <c r="X279" s="7" t="s">
        <v>15</v>
      </c>
      <c r="Y279" s="2" t="s">
        <v>719</v>
      </c>
      <c r="Z279" s="2" t="s">
        <v>721</v>
      </c>
    </row>
    <row r="280" spans="1:26" x14ac:dyDescent="0.35">
      <c r="A280" s="7" t="s">
        <v>1584</v>
      </c>
      <c r="B280" s="7" t="s">
        <v>286</v>
      </c>
      <c r="C280" s="4">
        <f>_xlfn.XLOOKUP(A280,[2]Sheet2!$I$2:$I$1273,[2]Sheet2!$D$2:$D$1273,0)</f>
        <v>0</v>
      </c>
      <c r="D280" s="4">
        <f>_xlfn.XLOOKUP(B280,[4]Sheet2!$B$2:$B$3154,[4]Sheet2!$F$2:$F$3154,0)</f>
        <v>0</v>
      </c>
      <c r="E280" s="4" t="e">
        <f>_xlfn.XLOOKUP(B280,[2]Sheet2!$E$2:$E$713,[2]Sheet2!$G$2:$G$713)</f>
        <v>#N/A</v>
      </c>
      <c r="F280" s="18">
        <v>46050</v>
      </c>
      <c r="G280" s="14">
        <v>0.50805555555555559</v>
      </c>
      <c r="H280" s="7" t="s">
        <v>5</v>
      </c>
      <c r="I280" s="2" t="str">
        <f t="shared" si="23"/>
        <v>Q3</v>
      </c>
      <c r="J280" s="2" t="str">
        <f t="shared" si="24"/>
        <v>Not Found</v>
      </c>
      <c r="K280" s="2">
        <f t="shared" si="20"/>
        <v>0.6</v>
      </c>
      <c r="L280" s="2" t="e">
        <f t="shared" si="21"/>
        <v>#N/A</v>
      </c>
      <c r="M280" s="2" t="str">
        <f t="shared" si="22"/>
        <v>Assign quadrant hit</v>
      </c>
      <c r="N280" s="7">
        <v>34.299999999999997</v>
      </c>
      <c r="O280" s="7">
        <v>9.1999999999999993</v>
      </c>
      <c r="P280" s="7">
        <v>9.8000000000000007</v>
      </c>
      <c r="Q280" s="7">
        <v>-0.97</v>
      </c>
      <c r="R280" s="7">
        <v>-0.6</v>
      </c>
      <c r="S280" s="7">
        <v>0</v>
      </c>
      <c r="T280" s="7">
        <v>-0.34</v>
      </c>
      <c r="U280" s="7">
        <v>0.78</v>
      </c>
      <c r="V280" s="7">
        <v>1.3</v>
      </c>
      <c r="W280" s="7" t="s">
        <v>6</v>
      </c>
      <c r="X280" s="7" t="s">
        <v>12</v>
      </c>
      <c r="Y280" s="2" t="s">
        <v>719</v>
      </c>
      <c r="Z280" s="2" t="s">
        <v>721</v>
      </c>
    </row>
    <row r="281" spans="1:26" x14ac:dyDescent="0.35">
      <c r="A281" s="7" t="s">
        <v>1518</v>
      </c>
      <c r="B281" s="7" t="s">
        <v>287</v>
      </c>
      <c r="C281" s="4" t="str">
        <f>_xlfn.XLOOKUP(A281,[2]Sheet2!$I$2:$I$1273,[2]Sheet2!$D$2:$D$1273,0)</f>
        <v>Q1</v>
      </c>
      <c r="D281" s="4">
        <f>_xlfn.XLOOKUP(B281,[4]Sheet2!$B$2:$B$3154,[4]Sheet2!$F$2:$F$3154,0)</f>
        <v>0</v>
      </c>
      <c r="E281" s="4" t="e">
        <f>_xlfn.XLOOKUP(B281,[2]Sheet2!$E$2:$E$713,[2]Sheet2!$G$2:$G$713)</f>
        <v>#N/A</v>
      </c>
      <c r="F281" s="18">
        <v>46050</v>
      </c>
      <c r="G281" s="14">
        <v>0.7386342592592593</v>
      </c>
      <c r="H281" s="7" t="s">
        <v>11</v>
      </c>
      <c r="I281" s="2" t="str">
        <f t="shared" si="23"/>
        <v>Q2</v>
      </c>
      <c r="J281" s="2" t="str">
        <f t="shared" si="24"/>
        <v>Not Match</v>
      </c>
      <c r="K281" s="2">
        <f t="shared" si="20"/>
        <v>0.14142135623730953</v>
      </c>
      <c r="L281" s="2" t="e">
        <f t="shared" si="21"/>
        <v>#N/A</v>
      </c>
      <c r="M281" s="2" t="str">
        <f t="shared" si="22"/>
        <v>Below 0.8 not in assigned quadrant</v>
      </c>
      <c r="N281" s="7">
        <v>26.8</v>
      </c>
      <c r="O281" s="7">
        <v>6.2</v>
      </c>
      <c r="P281" s="7">
        <v>8</v>
      </c>
      <c r="Q281" s="7">
        <v>0.22</v>
      </c>
      <c r="R281" s="7">
        <v>-0.1</v>
      </c>
      <c r="S281" s="7">
        <v>0.1</v>
      </c>
      <c r="T281" s="7">
        <v>0.03</v>
      </c>
      <c r="U281" s="7">
        <v>0.37</v>
      </c>
      <c r="V281" s="7">
        <v>0.43</v>
      </c>
      <c r="W281" s="7" t="s">
        <v>8</v>
      </c>
      <c r="X281" s="7" t="s">
        <v>12</v>
      </c>
      <c r="Y281" s="2" t="s">
        <v>719</v>
      </c>
      <c r="Z281" s="2" t="s">
        <v>721</v>
      </c>
    </row>
    <row r="282" spans="1:26" x14ac:dyDescent="0.35">
      <c r="A282" s="7" t="s">
        <v>1593</v>
      </c>
      <c r="B282" s="7" t="s">
        <v>288</v>
      </c>
      <c r="C282" s="4" t="str">
        <f>_xlfn.XLOOKUP(A282,[2]Sheet2!$I$2:$I$1273,[2]Sheet2!$D$2:$D$1273,0)</f>
        <v>Q3</v>
      </c>
      <c r="D282" s="4">
        <f>_xlfn.XLOOKUP(B282,[4]Sheet2!$B$2:$B$3154,[4]Sheet2!$F$2:$F$3154,0)</f>
        <v>0</v>
      </c>
      <c r="E282" s="4" t="e">
        <f>_xlfn.XLOOKUP(B282,[2]Sheet2!$E$2:$E$713,[2]Sheet2!$G$2:$G$713)</f>
        <v>#N/A</v>
      </c>
      <c r="F282" s="18">
        <v>46050</v>
      </c>
      <c r="G282" s="14">
        <v>0.7424074074074074</v>
      </c>
      <c r="H282" s="7" t="s">
        <v>5</v>
      </c>
      <c r="I282" s="2" t="str">
        <f t="shared" si="23"/>
        <v>Q3</v>
      </c>
      <c r="J282" s="2" t="str">
        <f t="shared" si="24"/>
        <v>Match</v>
      </c>
      <c r="K282" s="2">
        <f t="shared" si="20"/>
        <v>0</v>
      </c>
      <c r="L282" s="2" t="e">
        <f t="shared" si="21"/>
        <v>#N/A</v>
      </c>
      <c r="M282" s="2" t="str">
        <f t="shared" si="22"/>
        <v>Failed but within quadrant</v>
      </c>
      <c r="N282" s="7">
        <v>21</v>
      </c>
      <c r="O282" s="7">
        <v>3.1</v>
      </c>
      <c r="P282" s="7">
        <v>2.5</v>
      </c>
      <c r="Q282" s="7">
        <v>-0.82</v>
      </c>
      <c r="R282" s="7">
        <v>0</v>
      </c>
      <c r="S282" s="7">
        <v>0</v>
      </c>
      <c r="T282" s="7">
        <v>-0.13</v>
      </c>
      <c r="U282" s="7">
        <v>0</v>
      </c>
      <c r="V282" s="7">
        <v>0.83</v>
      </c>
      <c r="W282" s="7" t="s">
        <v>13</v>
      </c>
      <c r="X282" s="7" t="s">
        <v>12</v>
      </c>
      <c r="Y282" s="2" t="s">
        <v>719</v>
      </c>
      <c r="Z282" s="2" t="s">
        <v>721</v>
      </c>
    </row>
    <row r="283" spans="1:26" x14ac:dyDescent="0.35">
      <c r="A283" s="7" t="s">
        <v>1593</v>
      </c>
      <c r="B283" s="7" t="s">
        <v>289</v>
      </c>
      <c r="C283" s="4" t="str">
        <f>_xlfn.XLOOKUP(A283,[2]Sheet2!$I$2:$I$1273,[2]Sheet2!$D$2:$D$1273,0)</f>
        <v>Q3</v>
      </c>
      <c r="D283" s="4">
        <f>_xlfn.XLOOKUP(B283,[4]Sheet2!$B$2:$B$3154,[4]Sheet2!$F$2:$F$3154,0)</f>
        <v>0</v>
      </c>
      <c r="E283" s="4" t="e">
        <f>_xlfn.XLOOKUP(B283,[2]Sheet2!$E$2:$E$713,[2]Sheet2!$G$2:$G$713)</f>
        <v>#N/A</v>
      </c>
      <c r="F283" s="18">
        <v>46050</v>
      </c>
      <c r="G283" s="14">
        <v>0.74406249999999996</v>
      </c>
      <c r="H283" s="7" t="s">
        <v>5</v>
      </c>
      <c r="I283" s="2" t="str">
        <f t="shared" si="23"/>
        <v>Q3</v>
      </c>
      <c r="J283" s="2" t="str">
        <f t="shared" si="24"/>
        <v>Match</v>
      </c>
      <c r="K283" s="2">
        <f t="shared" si="20"/>
        <v>0.14142135623730953</v>
      </c>
      <c r="L283" s="2" t="e">
        <f t="shared" si="21"/>
        <v>#N/A</v>
      </c>
      <c r="M283" s="2" t="str">
        <f t="shared" si="22"/>
        <v>Digital Approve Hit</v>
      </c>
      <c r="N283" s="7">
        <v>21.1</v>
      </c>
      <c r="O283" s="7">
        <v>3</v>
      </c>
      <c r="P283" s="7">
        <v>2.4</v>
      </c>
      <c r="Q283" s="7">
        <v>-0.76</v>
      </c>
      <c r="R283" s="7">
        <v>-0.1</v>
      </c>
      <c r="S283" s="7">
        <v>-0.1</v>
      </c>
      <c r="T283" s="7">
        <v>-0.23</v>
      </c>
      <c r="U283" s="7">
        <v>-0.03</v>
      </c>
      <c r="V283" s="7">
        <v>0.8</v>
      </c>
      <c r="W283" s="7" t="s">
        <v>13</v>
      </c>
      <c r="X283" s="7" t="s">
        <v>7</v>
      </c>
      <c r="Y283" s="2" t="s">
        <v>719</v>
      </c>
      <c r="Z283" s="2" t="s">
        <v>721</v>
      </c>
    </row>
    <row r="284" spans="1:26" x14ac:dyDescent="0.35">
      <c r="A284" s="7" t="s">
        <v>1500</v>
      </c>
      <c r="B284" s="7" t="s">
        <v>290</v>
      </c>
      <c r="C284" s="4" t="str">
        <f>_xlfn.XLOOKUP(A284,[2]Sheet2!$I$2:$I$1273,[2]Sheet2!$D$2:$D$1273,0)</f>
        <v>Q2</v>
      </c>
      <c r="D284" s="4">
        <f>_xlfn.XLOOKUP(B284,[4]Sheet2!$B$2:$B$3154,[4]Sheet2!$F$2:$F$3154,0)</f>
        <v>0</v>
      </c>
      <c r="E284" s="4" t="e">
        <f>_xlfn.XLOOKUP(B284,[2]Sheet2!$E$2:$E$713,[2]Sheet2!$G$2:$G$713)</f>
        <v>#N/A</v>
      </c>
      <c r="F284" s="18">
        <v>46050</v>
      </c>
      <c r="G284" s="14">
        <v>0.74594907407407407</v>
      </c>
      <c r="H284" s="7" t="s">
        <v>5</v>
      </c>
      <c r="I284" s="2" t="str">
        <f t="shared" si="23"/>
        <v>Q4</v>
      </c>
      <c r="J284" s="2" t="str">
        <f t="shared" si="24"/>
        <v>Not Match</v>
      </c>
      <c r="K284" s="2">
        <f t="shared" si="20"/>
        <v>0.2</v>
      </c>
      <c r="L284" s="2" t="e">
        <f t="shared" si="21"/>
        <v>#N/A</v>
      </c>
      <c r="M284" s="2" t="str">
        <f t="shared" si="22"/>
        <v>Below 0.8 not in assigned quadrant</v>
      </c>
      <c r="N284" s="7">
        <v>16.100000000000001</v>
      </c>
      <c r="O284" s="7">
        <v>-0.6</v>
      </c>
      <c r="P284" s="7">
        <v>-1.6</v>
      </c>
      <c r="Q284" s="7">
        <v>-0.48</v>
      </c>
      <c r="R284" s="7">
        <v>0</v>
      </c>
      <c r="S284" s="7">
        <v>-0.2</v>
      </c>
      <c r="T284" s="7">
        <v>0.24</v>
      </c>
      <c r="U284" s="7">
        <v>0.16</v>
      </c>
      <c r="V284" s="7">
        <v>0.56000000000000005</v>
      </c>
      <c r="W284" s="7" t="s">
        <v>8</v>
      </c>
      <c r="X284" s="7" t="s">
        <v>9</v>
      </c>
      <c r="Y284" s="2" t="s">
        <v>719</v>
      </c>
      <c r="Z284" s="2" t="s">
        <v>721</v>
      </c>
    </row>
    <row r="285" spans="1:26" x14ac:dyDescent="0.35">
      <c r="A285" s="7" t="s">
        <v>1614</v>
      </c>
      <c r="B285" s="7" t="s">
        <v>291</v>
      </c>
      <c r="C285" s="4" t="str">
        <f>_xlfn.XLOOKUP(A285,[2]Sheet2!$I$2:$I$1273,[2]Sheet2!$D$2:$D$1273,0)</f>
        <v>Q3</v>
      </c>
      <c r="D285" s="4">
        <f>_xlfn.XLOOKUP(B285,[4]Sheet2!$B$2:$B$3154,[4]Sheet2!$F$2:$F$3154,0)</f>
        <v>0</v>
      </c>
      <c r="E285" s="4" t="e">
        <f>_xlfn.XLOOKUP(B285,[2]Sheet2!$E$2:$E$713,[2]Sheet2!$G$2:$G$713)</f>
        <v>#N/A</v>
      </c>
      <c r="F285" s="18">
        <v>46050</v>
      </c>
      <c r="G285" s="14">
        <v>0.77200231481481485</v>
      </c>
      <c r="H285" s="7" t="s">
        <v>16</v>
      </c>
      <c r="I285" s="2" t="str">
        <f t="shared" si="23"/>
        <v>Q3</v>
      </c>
      <c r="J285" s="2" t="str">
        <f t="shared" si="24"/>
        <v>Match</v>
      </c>
      <c r="K285" s="2">
        <f t="shared" si="20"/>
        <v>0.3</v>
      </c>
      <c r="L285" s="2" t="e">
        <f t="shared" si="21"/>
        <v>#N/A</v>
      </c>
      <c r="M285" s="2" t="str">
        <f t="shared" si="22"/>
        <v>Digital Approve Hit</v>
      </c>
      <c r="N285" s="7">
        <v>24.7</v>
      </c>
      <c r="O285" s="7">
        <v>-5.5</v>
      </c>
      <c r="P285" s="7">
        <v>-8.1</v>
      </c>
      <c r="Q285" s="7">
        <v>-0.19</v>
      </c>
      <c r="R285" s="7">
        <v>-0.3</v>
      </c>
      <c r="S285" s="7">
        <v>0</v>
      </c>
      <c r="T285" s="7">
        <v>0.14000000000000001</v>
      </c>
      <c r="U285" s="7">
        <v>-0.35</v>
      </c>
      <c r="V285" s="7">
        <v>0.42</v>
      </c>
      <c r="W285" s="7" t="s">
        <v>8</v>
      </c>
      <c r="X285" s="7" t="s">
        <v>15</v>
      </c>
      <c r="Y285" s="2" t="s">
        <v>719</v>
      </c>
      <c r="Z285" s="2" t="s">
        <v>721</v>
      </c>
    </row>
    <row r="286" spans="1:26" x14ac:dyDescent="0.35">
      <c r="A286" s="7" t="s">
        <v>1518</v>
      </c>
      <c r="B286" s="7" t="s">
        <v>292</v>
      </c>
      <c r="C286" s="4" t="str">
        <f>_xlfn.XLOOKUP(A286,[2]Sheet2!$I$2:$I$1273,[2]Sheet2!$D$2:$D$1273,0)</f>
        <v>Q1</v>
      </c>
      <c r="D286" s="4">
        <f>_xlfn.XLOOKUP(B286,[4]Sheet2!$B$2:$B$3154,[4]Sheet2!$F$2:$F$3154,0)</f>
        <v>0</v>
      </c>
      <c r="E286" s="4" t="e">
        <f>_xlfn.XLOOKUP(B286,[2]Sheet2!$E$2:$E$713,[2]Sheet2!$G$2:$G$713)</f>
        <v>#N/A</v>
      </c>
      <c r="F286" s="18">
        <v>46050</v>
      </c>
      <c r="G286" s="14">
        <v>0.77510416666666671</v>
      </c>
      <c r="H286" s="7" t="s">
        <v>11</v>
      </c>
      <c r="I286" s="2" t="str">
        <f t="shared" si="23"/>
        <v>Q4</v>
      </c>
      <c r="J286" s="2" t="str">
        <f t="shared" si="24"/>
        <v>Not Match</v>
      </c>
      <c r="K286" s="2">
        <f t="shared" si="20"/>
        <v>0.7</v>
      </c>
      <c r="L286" s="2" t="e">
        <f t="shared" si="21"/>
        <v>#N/A</v>
      </c>
      <c r="M286" s="2" t="str">
        <f t="shared" si="22"/>
        <v>Assign quadrant hit</v>
      </c>
      <c r="N286" s="7">
        <v>26.5</v>
      </c>
      <c r="O286" s="7">
        <v>6.3</v>
      </c>
      <c r="P286" s="7">
        <v>7.1</v>
      </c>
      <c r="Q286" s="7">
        <v>0.03</v>
      </c>
      <c r="R286" s="7">
        <v>0</v>
      </c>
      <c r="S286" s="7">
        <v>-0.7</v>
      </c>
      <c r="T286" s="7">
        <v>-0.48</v>
      </c>
      <c r="U286" s="7">
        <v>-0.93</v>
      </c>
      <c r="V286" s="7">
        <v>1.04</v>
      </c>
      <c r="W286" s="7" t="s">
        <v>6</v>
      </c>
      <c r="X286" s="7" t="s">
        <v>9</v>
      </c>
      <c r="Y286" s="2" t="s">
        <v>719</v>
      </c>
      <c r="Z286" s="2" t="s">
        <v>721</v>
      </c>
    </row>
    <row r="287" spans="1:26" x14ac:dyDescent="0.35">
      <c r="A287" s="7" t="s">
        <v>1616</v>
      </c>
      <c r="B287" s="7" t="s">
        <v>293</v>
      </c>
      <c r="C287" s="4">
        <f>_xlfn.XLOOKUP(A287,[2]Sheet2!$I$2:$I$1273,[2]Sheet2!$D$2:$D$1273,0)</f>
        <v>0</v>
      </c>
      <c r="D287" s="4">
        <f>_xlfn.XLOOKUP(B287,[4]Sheet2!$B$2:$B$3154,[4]Sheet2!$F$2:$F$3154,0)</f>
        <v>0</v>
      </c>
      <c r="E287" s="4" t="e">
        <f>_xlfn.XLOOKUP(B287,[2]Sheet2!$E$2:$E$713,[2]Sheet2!$G$2:$G$713)</f>
        <v>#N/A</v>
      </c>
      <c r="F287" s="18">
        <v>46050</v>
      </c>
      <c r="G287" s="14">
        <v>0.77803240740740742</v>
      </c>
      <c r="H287" s="7" t="s">
        <v>4</v>
      </c>
      <c r="I287" s="2" t="str">
        <f t="shared" si="23"/>
        <v>Q2</v>
      </c>
      <c r="J287" s="2" t="str">
        <f t="shared" si="24"/>
        <v>Not Found</v>
      </c>
      <c r="K287" s="2">
        <f t="shared" si="20"/>
        <v>0.56568542494923812</v>
      </c>
      <c r="L287" s="2" t="e">
        <f t="shared" si="21"/>
        <v>#N/A</v>
      </c>
      <c r="M287" s="2" t="str">
        <f t="shared" si="22"/>
        <v>Assign quadrant hit</v>
      </c>
      <c r="N287" s="7">
        <v>26</v>
      </c>
      <c r="O287" s="7">
        <v>4.9000000000000004</v>
      </c>
      <c r="P287" s="7">
        <v>5.5</v>
      </c>
      <c r="Q287" s="7">
        <v>-0.3</v>
      </c>
      <c r="R287" s="7">
        <v>-0.4</v>
      </c>
      <c r="S287" s="7">
        <v>0.4</v>
      </c>
      <c r="T287" s="7">
        <v>0.01</v>
      </c>
      <c r="U287" s="7">
        <v>0.99</v>
      </c>
      <c r="V287" s="7">
        <v>1.03</v>
      </c>
      <c r="W287" s="7" t="s">
        <v>6</v>
      </c>
      <c r="X287" s="7" t="s">
        <v>12</v>
      </c>
      <c r="Y287" s="2" t="s">
        <v>719</v>
      </c>
      <c r="Z287" s="2" t="s">
        <v>721</v>
      </c>
    </row>
    <row r="288" spans="1:26" x14ac:dyDescent="0.35">
      <c r="A288" s="7" t="s">
        <v>1518</v>
      </c>
      <c r="B288" s="7" t="s">
        <v>294</v>
      </c>
      <c r="C288" s="4" t="str">
        <f>_xlfn.XLOOKUP(A288,[2]Sheet2!$I$2:$I$1273,[2]Sheet2!$D$2:$D$1273,0)</f>
        <v>Q1</v>
      </c>
      <c r="D288" s="4">
        <f>_xlfn.XLOOKUP(B288,[4]Sheet2!$B$2:$B$3154,[4]Sheet2!$F$2:$F$3154,0)</f>
        <v>0</v>
      </c>
      <c r="E288" s="4" t="e">
        <f>_xlfn.XLOOKUP(B288,[2]Sheet2!$E$2:$E$713,[2]Sheet2!$G$2:$G$713)</f>
        <v>#N/A</v>
      </c>
      <c r="F288" s="18">
        <v>46051</v>
      </c>
      <c r="G288" s="14">
        <v>8.1331018518518525E-2</v>
      </c>
      <c r="H288" s="7" t="s">
        <v>11</v>
      </c>
      <c r="I288" s="2" t="str">
        <f t="shared" si="23"/>
        <v>Q1</v>
      </c>
      <c r="J288" s="2" t="str">
        <f t="shared" si="24"/>
        <v>Match</v>
      </c>
      <c r="K288" s="2">
        <f t="shared" si="20"/>
        <v>0.98488578017961048</v>
      </c>
      <c r="L288" s="2" t="e">
        <f t="shared" si="21"/>
        <v>#N/A</v>
      </c>
      <c r="M288" s="2" t="str">
        <f t="shared" si="22"/>
        <v>Failed but within quadrant</v>
      </c>
      <c r="N288" s="7">
        <v>26</v>
      </c>
      <c r="O288" s="7">
        <v>6.7</v>
      </c>
      <c r="P288" s="7">
        <v>8.6999999999999993</v>
      </c>
      <c r="Q288" s="7">
        <v>-0.3</v>
      </c>
      <c r="R288" s="7">
        <v>0.4</v>
      </c>
      <c r="S288" s="7">
        <v>0.9</v>
      </c>
      <c r="T288" s="7">
        <v>0.81</v>
      </c>
      <c r="U288" s="7">
        <v>0.46</v>
      </c>
      <c r="V288" s="7">
        <v>0.98</v>
      </c>
      <c r="W288" s="7" t="s">
        <v>13</v>
      </c>
      <c r="X288" s="7" t="s">
        <v>12</v>
      </c>
      <c r="Y288" s="2" t="s">
        <v>719</v>
      </c>
      <c r="Z288" s="2" t="s">
        <v>721</v>
      </c>
    </row>
    <row r="289" spans="1:26" x14ac:dyDescent="0.35">
      <c r="A289" s="7" t="s">
        <v>1586</v>
      </c>
      <c r="B289" s="7" t="s">
        <v>295</v>
      </c>
      <c r="C289" s="4" t="str">
        <f>_xlfn.XLOOKUP(A289,[2]Sheet2!$I$2:$I$1273,[2]Sheet2!$D$2:$D$1273,0)</f>
        <v>Q2</v>
      </c>
      <c r="D289" s="4">
        <f>_xlfn.XLOOKUP(B289,[4]Sheet2!$B$2:$B$3154,[4]Sheet2!$F$2:$F$3154,0)</f>
        <v>0</v>
      </c>
      <c r="E289" s="4" t="e">
        <f>_xlfn.XLOOKUP(B289,[2]Sheet2!$E$2:$E$713,[2]Sheet2!$G$2:$G$713)</f>
        <v>#N/A</v>
      </c>
      <c r="F289" s="18">
        <v>46051</v>
      </c>
      <c r="G289" s="14">
        <v>8.5520833333333338E-2</v>
      </c>
      <c r="H289" s="7" t="s">
        <v>4</v>
      </c>
      <c r="I289" s="2" t="str">
        <f t="shared" si="23"/>
        <v>Q3</v>
      </c>
      <c r="J289" s="2" t="str">
        <f t="shared" si="24"/>
        <v>Not Match</v>
      </c>
      <c r="K289" s="2">
        <f t="shared" si="20"/>
        <v>0.31622776601683794</v>
      </c>
      <c r="L289" s="2" t="e">
        <f t="shared" si="21"/>
        <v>#N/A</v>
      </c>
      <c r="M289" s="2" t="str">
        <f t="shared" si="22"/>
        <v>Below 0.8 not in assigned quadrant</v>
      </c>
      <c r="N289" s="7">
        <v>17.399999999999999</v>
      </c>
      <c r="O289" s="7">
        <v>0</v>
      </c>
      <c r="P289" s="7">
        <v>-1.4</v>
      </c>
      <c r="Q289" s="7">
        <v>-0.49</v>
      </c>
      <c r="R289" s="7">
        <v>-0.1</v>
      </c>
      <c r="S289" s="7">
        <v>-0.3</v>
      </c>
      <c r="T289" s="7">
        <v>0.48</v>
      </c>
      <c r="U289" s="7">
        <v>-0.27</v>
      </c>
      <c r="V289" s="7">
        <v>0.74</v>
      </c>
      <c r="W289" s="7" t="s">
        <v>8</v>
      </c>
      <c r="X289" s="7" t="s">
        <v>15</v>
      </c>
      <c r="Y289" s="2" t="s">
        <v>719</v>
      </c>
      <c r="Z289" s="2" t="s">
        <v>721</v>
      </c>
    </row>
    <row r="290" spans="1:26" x14ac:dyDescent="0.35">
      <c r="A290" s="7" t="s">
        <v>1562</v>
      </c>
      <c r="B290" s="7" t="s">
        <v>296</v>
      </c>
      <c r="C290" s="4">
        <f>_xlfn.XLOOKUP(A290,[2]Sheet2!$I$2:$I$1273,[2]Sheet2!$D$2:$D$1273,0)</f>
        <v>0</v>
      </c>
      <c r="D290" s="4">
        <f>_xlfn.XLOOKUP(B290,[4]Sheet2!$B$2:$B$3154,[4]Sheet2!$F$2:$F$3154,0)</f>
        <v>0</v>
      </c>
      <c r="E290" s="4" t="e">
        <f>_xlfn.XLOOKUP(B290,[2]Sheet2!$E$2:$E$713,[2]Sheet2!$G$2:$G$713)</f>
        <v>#N/A</v>
      </c>
      <c r="F290" s="18">
        <v>46051</v>
      </c>
      <c r="G290" s="14">
        <v>8.6851851851851847E-2</v>
      </c>
      <c r="H290" s="7" t="s">
        <v>4</v>
      </c>
      <c r="I290" s="2" t="str">
        <f t="shared" si="23"/>
        <v>Q1</v>
      </c>
      <c r="J290" s="2" t="str">
        <f t="shared" si="24"/>
        <v>Not Found</v>
      </c>
      <c r="K290" s="2">
        <f t="shared" si="20"/>
        <v>0.36055512754639896</v>
      </c>
      <c r="L290" s="2" t="e">
        <f t="shared" si="21"/>
        <v>#N/A</v>
      </c>
      <c r="M290" s="2" t="str">
        <f t="shared" si="22"/>
        <v>Assign quadrant hit</v>
      </c>
      <c r="N290" s="7">
        <v>19.100000000000001</v>
      </c>
      <c r="O290" s="7">
        <v>0.1</v>
      </c>
      <c r="P290" s="7">
        <v>-0.9</v>
      </c>
      <c r="Q290" s="7">
        <v>0.23</v>
      </c>
      <c r="R290" s="7">
        <v>0.2</v>
      </c>
      <c r="S290" s="7">
        <v>0.3</v>
      </c>
      <c r="T290" s="7">
        <v>-0.5</v>
      </c>
      <c r="U290" s="7">
        <v>0.33</v>
      </c>
      <c r="V290" s="7">
        <v>0.64</v>
      </c>
      <c r="W290" s="7" t="s">
        <v>8</v>
      </c>
      <c r="X290" s="7" t="s">
        <v>9</v>
      </c>
      <c r="Y290" s="2" t="s">
        <v>719</v>
      </c>
      <c r="Z290" s="2" t="s">
        <v>721</v>
      </c>
    </row>
    <row r="291" spans="1:26" x14ac:dyDescent="0.35">
      <c r="A291" s="7" t="s">
        <v>1617</v>
      </c>
      <c r="B291" s="7" t="s">
        <v>297</v>
      </c>
      <c r="C291" s="4">
        <f>_xlfn.XLOOKUP(A291,[2]Sheet2!$I$2:$I$1273,[2]Sheet2!$D$2:$D$1273,0)</f>
        <v>0</v>
      </c>
      <c r="D291" s="4">
        <f>_xlfn.XLOOKUP(B291,[4]Sheet2!$B$2:$B$3154,[4]Sheet2!$F$2:$F$3154,0)</f>
        <v>0</v>
      </c>
      <c r="E291" s="4" t="e">
        <f>_xlfn.XLOOKUP(B291,[2]Sheet2!$E$2:$E$713,[2]Sheet2!$G$2:$G$713)</f>
        <v>#N/A</v>
      </c>
      <c r="F291" s="18">
        <v>46051</v>
      </c>
      <c r="G291" s="14">
        <v>8.8472222222222216E-2</v>
      </c>
      <c r="H291" s="7" t="s">
        <v>4</v>
      </c>
      <c r="I291" s="2" t="str">
        <f t="shared" si="23"/>
        <v>Q2</v>
      </c>
      <c r="J291" s="2" t="str">
        <f t="shared" si="24"/>
        <v>Not Found</v>
      </c>
      <c r="K291" s="2">
        <f t="shared" si="20"/>
        <v>0.14142135623730953</v>
      </c>
      <c r="L291" s="2" t="e">
        <f t="shared" si="21"/>
        <v>#N/A</v>
      </c>
      <c r="M291" s="2" t="str">
        <f t="shared" si="22"/>
        <v>Assign quadrant hit</v>
      </c>
      <c r="N291" s="7">
        <v>17</v>
      </c>
      <c r="O291" s="7">
        <v>0.2</v>
      </c>
      <c r="P291" s="7">
        <v>-0.9</v>
      </c>
      <c r="Q291" s="7">
        <v>0.61</v>
      </c>
      <c r="R291" s="7">
        <v>-0.1</v>
      </c>
      <c r="S291" s="7">
        <v>0.1</v>
      </c>
      <c r="T291" s="7">
        <v>-0.21</v>
      </c>
      <c r="U291" s="7">
        <v>-0.17</v>
      </c>
      <c r="V291" s="7">
        <v>0.67</v>
      </c>
      <c r="W291" s="7" t="s">
        <v>8</v>
      </c>
      <c r="X291" s="7" t="s">
        <v>15</v>
      </c>
      <c r="Y291" s="2" t="s">
        <v>719</v>
      </c>
      <c r="Z291" s="2" t="s">
        <v>721</v>
      </c>
    </row>
    <row r="292" spans="1:26" x14ac:dyDescent="0.35">
      <c r="A292" s="7" t="s">
        <v>1618</v>
      </c>
      <c r="B292" s="7" t="s">
        <v>299</v>
      </c>
      <c r="C292" s="4" t="str">
        <f>_xlfn.XLOOKUP(A292,[2]Sheet2!$I$2:$I$1273,[2]Sheet2!$D$2:$D$1273,0)</f>
        <v>Q2</v>
      </c>
      <c r="D292" s="4">
        <f>_xlfn.XLOOKUP(B292,[4]Sheet2!$B$2:$B$3154,[4]Sheet2!$F$2:$F$3154,0)</f>
        <v>0</v>
      </c>
      <c r="E292" s="4" t="e">
        <f>_xlfn.XLOOKUP(B292,[2]Sheet2!$E$2:$E$713,[2]Sheet2!$G$2:$G$713)</f>
        <v>#N/A</v>
      </c>
      <c r="F292" s="18">
        <v>46051</v>
      </c>
      <c r="G292" s="14">
        <v>0.11402777777777778</v>
      </c>
      <c r="H292" s="7" t="s">
        <v>5</v>
      </c>
      <c r="I292" s="2" t="str">
        <f t="shared" si="23"/>
        <v>Q4</v>
      </c>
      <c r="J292" s="2" t="str">
        <f t="shared" si="24"/>
        <v>Not Match</v>
      </c>
      <c r="K292" s="2">
        <f t="shared" si="20"/>
        <v>0.53851648071345048</v>
      </c>
      <c r="L292" s="2" t="e">
        <f t="shared" si="21"/>
        <v>#N/A</v>
      </c>
      <c r="M292" s="2" t="str">
        <f t="shared" si="22"/>
        <v>Assign quadrant hit</v>
      </c>
      <c r="N292" s="7">
        <v>47</v>
      </c>
      <c r="O292" s="7">
        <v>5.6</v>
      </c>
      <c r="P292" s="7">
        <v>7.9</v>
      </c>
      <c r="Q292" s="7">
        <v>-0.11</v>
      </c>
      <c r="R292" s="7">
        <v>0.5</v>
      </c>
      <c r="S292" s="7">
        <v>-0.2</v>
      </c>
      <c r="T292" s="7">
        <v>0.11</v>
      </c>
      <c r="U292" s="7">
        <v>-1.1100000000000001</v>
      </c>
      <c r="V292" s="7">
        <v>1.1200000000000001</v>
      </c>
      <c r="W292" s="7" t="s">
        <v>6</v>
      </c>
      <c r="X292" s="7" t="s">
        <v>9</v>
      </c>
      <c r="Y292" s="2" t="s">
        <v>719</v>
      </c>
      <c r="Z292" s="2" t="s">
        <v>721</v>
      </c>
    </row>
    <row r="293" spans="1:26" x14ac:dyDescent="0.35">
      <c r="A293" s="7" t="s">
        <v>1533</v>
      </c>
      <c r="B293" s="7" t="s">
        <v>301</v>
      </c>
      <c r="C293" s="4" t="str">
        <f>_xlfn.XLOOKUP(A293,[2]Sheet2!$I$2:$I$1273,[2]Sheet2!$D$2:$D$1273,0)</f>
        <v>Q2</v>
      </c>
      <c r="D293" s="4">
        <f>_xlfn.XLOOKUP(B293,[4]Sheet2!$B$2:$B$3154,[4]Sheet2!$F$2:$F$3154,0)</f>
        <v>0</v>
      </c>
      <c r="E293" s="4" t="e">
        <f>_xlfn.XLOOKUP(B293,[2]Sheet2!$E$2:$E$713,[2]Sheet2!$G$2:$G$713)</f>
        <v>#N/A</v>
      </c>
      <c r="F293" s="18">
        <v>46051</v>
      </c>
      <c r="G293" s="14">
        <v>0.26688657407407407</v>
      </c>
      <c r="H293" s="7" t="s">
        <v>4</v>
      </c>
      <c r="I293" s="2" t="str">
        <f t="shared" si="23"/>
        <v>Q2</v>
      </c>
      <c r="J293" s="2" t="str">
        <f t="shared" si="24"/>
        <v>Match</v>
      </c>
      <c r="K293" s="2">
        <f t="shared" si="20"/>
        <v>0.50990195135927852</v>
      </c>
      <c r="L293" s="2" t="e">
        <f t="shared" si="21"/>
        <v>#N/A</v>
      </c>
      <c r="M293" s="2" t="str">
        <f t="shared" si="22"/>
        <v>Failed but within quadrant</v>
      </c>
      <c r="N293" s="7">
        <v>25.4</v>
      </c>
      <c r="O293" s="7">
        <v>0.5</v>
      </c>
      <c r="P293" s="7">
        <v>8.1999999999999993</v>
      </c>
      <c r="Q293" s="7">
        <v>-0.92</v>
      </c>
      <c r="R293" s="7">
        <v>-0.1</v>
      </c>
      <c r="S293" s="7">
        <v>0.5</v>
      </c>
      <c r="T293" s="7">
        <v>0.45</v>
      </c>
      <c r="U293" s="7">
        <v>0.28999999999999998</v>
      </c>
      <c r="V293" s="7">
        <v>1.06</v>
      </c>
      <c r="W293" s="7" t="s">
        <v>6</v>
      </c>
      <c r="X293" s="7" t="s">
        <v>15</v>
      </c>
      <c r="Y293" s="2" t="s">
        <v>719</v>
      </c>
      <c r="Z293" s="2" t="s">
        <v>721</v>
      </c>
    </row>
    <row r="294" spans="1:26" x14ac:dyDescent="0.35">
      <c r="A294" s="7" t="s">
        <v>1515</v>
      </c>
      <c r="B294" s="7" t="s">
        <v>302</v>
      </c>
      <c r="C294" s="4" t="str">
        <f>_xlfn.XLOOKUP(A294,[2]Sheet2!$I$2:$I$1273,[2]Sheet2!$D$2:$D$1273,0)</f>
        <v>Q3</v>
      </c>
      <c r="D294" s="4">
        <f>_xlfn.XLOOKUP(B294,[4]Sheet2!$B$2:$B$3154,[4]Sheet2!$F$2:$F$3154,0)</f>
        <v>0</v>
      </c>
      <c r="E294" s="4" t="e">
        <f>_xlfn.XLOOKUP(B294,[2]Sheet2!$E$2:$E$713,[2]Sheet2!$G$2:$G$713)</f>
        <v>#N/A</v>
      </c>
      <c r="F294" s="18">
        <v>46055</v>
      </c>
      <c r="G294" s="14">
        <v>0.51935185185185184</v>
      </c>
      <c r="H294" s="7" t="s">
        <v>11</v>
      </c>
      <c r="I294" s="2" t="str">
        <f t="shared" si="23"/>
        <v>Q4</v>
      </c>
      <c r="J294" s="2" t="str">
        <f t="shared" si="24"/>
        <v>Not Match</v>
      </c>
      <c r="K294" s="2">
        <f t="shared" si="20"/>
        <v>0.2</v>
      </c>
      <c r="L294" s="2" t="e">
        <f t="shared" si="21"/>
        <v>#N/A</v>
      </c>
      <c r="M294" s="2" t="str">
        <f t="shared" si="22"/>
        <v>Below 0.8 not in assigned quadrant</v>
      </c>
      <c r="N294" s="7">
        <v>14.3</v>
      </c>
      <c r="O294" s="7">
        <v>-0.4</v>
      </c>
      <c r="P294" s="7">
        <v>-2.2999999999999998</v>
      </c>
      <c r="Q294" s="7">
        <v>0.28000000000000003</v>
      </c>
      <c r="R294" s="7">
        <v>0</v>
      </c>
      <c r="S294" s="7">
        <v>-0.2</v>
      </c>
      <c r="T294" s="7">
        <v>0.37</v>
      </c>
      <c r="U294" s="7">
        <v>-0.04</v>
      </c>
      <c r="V294" s="7">
        <v>0.47</v>
      </c>
      <c r="W294" s="7" t="s">
        <v>8</v>
      </c>
      <c r="X294" s="7" t="s">
        <v>15</v>
      </c>
      <c r="Y294" s="2" t="s">
        <v>719</v>
      </c>
      <c r="Z294" s="2" t="s">
        <v>721</v>
      </c>
    </row>
    <row r="295" spans="1:26" x14ac:dyDescent="0.35">
      <c r="A295" s="7" t="s">
        <v>1506</v>
      </c>
      <c r="B295" s="7" t="s">
        <v>303</v>
      </c>
      <c r="C295" s="4" t="str">
        <f>_xlfn.XLOOKUP(A295,[2]Sheet2!$I$2:$I$1273,[2]Sheet2!$D$2:$D$1273,0)</f>
        <v>Q1</v>
      </c>
      <c r="D295" s="4">
        <f>_xlfn.XLOOKUP(B295,[4]Sheet2!$B$2:$B$3154,[4]Sheet2!$F$2:$F$3154,0)</f>
        <v>0</v>
      </c>
      <c r="E295" s="4" t="e">
        <f>_xlfn.XLOOKUP(B295,[2]Sheet2!$E$2:$E$713,[2]Sheet2!$G$2:$G$713)</f>
        <v>#N/A</v>
      </c>
      <c r="F295" s="18">
        <v>46055</v>
      </c>
      <c r="G295" s="14">
        <v>0.59304398148148152</v>
      </c>
      <c r="H295" s="7" t="s">
        <v>4</v>
      </c>
      <c r="I295" s="2" t="str">
        <f t="shared" si="23"/>
        <v>Q1</v>
      </c>
      <c r="J295" s="2" t="str">
        <f t="shared" si="24"/>
        <v>Match</v>
      </c>
      <c r="K295" s="2">
        <f t="shared" si="20"/>
        <v>0</v>
      </c>
      <c r="L295" s="2" t="e">
        <f t="shared" si="21"/>
        <v>#N/A</v>
      </c>
      <c r="M295" s="2" t="str">
        <f t="shared" si="22"/>
        <v>Digital Approve Hit</v>
      </c>
      <c r="N295" s="7">
        <v>15.7</v>
      </c>
      <c r="O295" s="7">
        <v>-0.5</v>
      </c>
      <c r="P295" s="7">
        <v>-1.9</v>
      </c>
      <c r="Q295" s="7">
        <v>0.09</v>
      </c>
      <c r="R295" s="7">
        <v>0</v>
      </c>
      <c r="S295" s="7">
        <v>0</v>
      </c>
      <c r="T295" s="7">
        <v>0.1</v>
      </c>
      <c r="U295" s="7">
        <v>-0.02</v>
      </c>
      <c r="V295" s="7">
        <v>0.13</v>
      </c>
      <c r="W295" s="7" t="s">
        <v>8</v>
      </c>
      <c r="X295" s="7" t="s">
        <v>15</v>
      </c>
      <c r="Y295" s="2" t="s">
        <v>719</v>
      </c>
      <c r="Z295" s="2" t="s">
        <v>721</v>
      </c>
    </row>
    <row r="296" spans="1:26" x14ac:dyDescent="0.35">
      <c r="A296" s="7" t="s">
        <v>1516</v>
      </c>
      <c r="B296" s="7" t="s">
        <v>304</v>
      </c>
      <c r="C296" s="4" t="str">
        <f>_xlfn.XLOOKUP(A296,[2]Sheet2!$I$2:$I$1273,[2]Sheet2!$D$2:$D$1273,0)</f>
        <v>Q2</v>
      </c>
      <c r="D296" s="4">
        <f>_xlfn.XLOOKUP(B296,[4]Sheet2!$B$2:$B$3154,[4]Sheet2!$F$2:$F$3154,0)</f>
        <v>0</v>
      </c>
      <c r="E296" s="4" t="e">
        <f>_xlfn.XLOOKUP(B296,[2]Sheet2!$E$2:$E$713,[2]Sheet2!$G$2:$G$713)</f>
        <v>#N/A</v>
      </c>
      <c r="F296" s="18">
        <v>46055</v>
      </c>
      <c r="G296" s="14">
        <v>0.61689814814814814</v>
      </c>
      <c r="H296" s="7" t="s">
        <v>4</v>
      </c>
      <c r="I296" s="2" t="str">
        <f t="shared" si="23"/>
        <v>Q1</v>
      </c>
      <c r="J296" s="2" t="str">
        <f t="shared" si="24"/>
        <v>Not Match</v>
      </c>
      <c r="K296" s="2">
        <f t="shared" si="20"/>
        <v>0.22360679774997899</v>
      </c>
      <c r="L296" s="2" t="e">
        <f t="shared" si="21"/>
        <v>#N/A</v>
      </c>
      <c r="M296" s="2" t="str">
        <f t="shared" si="22"/>
        <v>Below 0.8 not in assigned quadrant</v>
      </c>
      <c r="N296" s="7">
        <v>18.8</v>
      </c>
      <c r="O296" s="7">
        <v>-1.2</v>
      </c>
      <c r="P296" s="7">
        <v>-1.5</v>
      </c>
      <c r="Q296" s="7">
        <v>0.36</v>
      </c>
      <c r="R296" s="7">
        <v>0.1</v>
      </c>
      <c r="S296" s="7">
        <v>0.2</v>
      </c>
      <c r="T296" s="7">
        <v>-0.36</v>
      </c>
      <c r="U296" s="7">
        <v>0.01</v>
      </c>
      <c r="V296" s="7">
        <v>0.51</v>
      </c>
      <c r="W296" s="7" t="s">
        <v>8</v>
      </c>
      <c r="X296" s="7" t="s">
        <v>7</v>
      </c>
      <c r="Y296" s="2" t="s">
        <v>719</v>
      </c>
      <c r="Z296" s="2" t="s">
        <v>721</v>
      </c>
    </row>
    <row r="297" spans="1:26" x14ac:dyDescent="0.35">
      <c r="A297" s="7" t="s">
        <v>1515</v>
      </c>
      <c r="B297" s="7" t="s">
        <v>305</v>
      </c>
      <c r="C297" s="4" t="str">
        <f>_xlfn.XLOOKUP(A297,[2]Sheet2!$I$2:$I$1273,[2]Sheet2!$D$2:$D$1273,0)</f>
        <v>Q3</v>
      </c>
      <c r="D297" s="4">
        <f>_xlfn.XLOOKUP(B297,[4]Sheet2!$B$2:$B$3154,[4]Sheet2!$F$2:$F$3154,0)</f>
        <v>0</v>
      </c>
      <c r="E297" s="4" t="e">
        <f>_xlfn.XLOOKUP(B297,[2]Sheet2!$E$2:$E$713,[2]Sheet2!$G$2:$G$713)</f>
        <v>#N/A</v>
      </c>
      <c r="F297" s="18">
        <v>46055</v>
      </c>
      <c r="G297" s="14">
        <v>0.62321759259259257</v>
      </c>
      <c r="H297" s="7" t="s">
        <v>11</v>
      </c>
      <c r="I297" s="2" t="str">
        <f t="shared" si="23"/>
        <v>Q4</v>
      </c>
      <c r="J297" s="2" t="str">
        <f t="shared" si="24"/>
        <v>Not Match</v>
      </c>
      <c r="K297" s="2">
        <f t="shared" si="20"/>
        <v>0.1</v>
      </c>
      <c r="L297" s="2" t="e">
        <f t="shared" si="21"/>
        <v>#N/A</v>
      </c>
      <c r="M297" s="2" t="str">
        <f t="shared" si="22"/>
        <v>Below 0.8 not in assigned quadrant</v>
      </c>
      <c r="N297" s="7">
        <v>13.7</v>
      </c>
      <c r="O297" s="7">
        <v>-0.4</v>
      </c>
      <c r="P297" s="7">
        <v>-2.2000000000000002</v>
      </c>
      <c r="Q297" s="7">
        <v>-0.26</v>
      </c>
      <c r="R297" s="7">
        <v>0</v>
      </c>
      <c r="S297" s="7">
        <v>-0.1</v>
      </c>
      <c r="T297" s="7">
        <v>0.25</v>
      </c>
      <c r="U297" s="7">
        <v>-0.06</v>
      </c>
      <c r="V297" s="7">
        <v>0.37</v>
      </c>
      <c r="W297" s="7" t="s">
        <v>8</v>
      </c>
      <c r="X297" s="7" t="s">
        <v>15</v>
      </c>
      <c r="Y297" s="2" t="s">
        <v>719</v>
      </c>
      <c r="Z297" s="2" t="s">
        <v>721</v>
      </c>
    </row>
    <row r="298" spans="1:26" x14ac:dyDescent="0.35">
      <c r="A298" s="7" t="s">
        <v>1515</v>
      </c>
      <c r="B298" s="7" t="s">
        <v>306</v>
      </c>
      <c r="C298" s="4" t="str">
        <f>_xlfn.XLOOKUP(A298,[2]Sheet2!$I$2:$I$1273,[2]Sheet2!$D$2:$D$1273,0)</f>
        <v>Q3</v>
      </c>
      <c r="D298" s="4">
        <f>_xlfn.XLOOKUP(B298,[4]Sheet2!$B$2:$B$3154,[4]Sheet2!$F$2:$F$3154,0)</f>
        <v>0</v>
      </c>
      <c r="E298" s="4" t="e">
        <f>_xlfn.XLOOKUP(B298,[2]Sheet2!$E$2:$E$713,[2]Sheet2!$G$2:$G$713)</f>
        <v>#N/A</v>
      </c>
      <c r="F298" s="18">
        <v>46055</v>
      </c>
      <c r="G298" s="14">
        <v>0.64344907407407403</v>
      </c>
      <c r="H298" s="7" t="s">
        <v>11</v>
      </c>
      <c r="I298" s="2" t="str">
        <f t="shared" si="23"/>
        <v>Q3</v>
      </c>
      <c r="J298" s="2" t="str">
        <f t="shared" si="24"/>
        <v>Match</v>
      </c>
      <c r="K298" s="2">
        <f t="shared" si="20"/>
        <v>0.60827625302982191</v>
      </c>
      <c r="L298" s="2" t="e">
        <f t="shared" si="21"/>
        <v>#N/A</v>
      </c>
      <c r="M298" s="2" t="str">
        <f t="shared" si="22"/>
        <v>Failed but within quadrant</v>
      </c>
      <c r="N298" s="7">
        <v>14</v>
      </c>
      <c r="O298" s="7">
        <v>-0.5</v>
      </c>
      <c r="P298" s="7">
        <v>-2.7</v>
      </c>
      <c r="Q298" s="7">
        <v>7.0000000000000007E-2</v>
      </c>
      <c r="R298" s="7">
        <v>-0.1</v>
      </c>
      <c r="S298" s="7">
        <v>-0.6</v>
      </c>
      <c r="T298" s="7">
        <v>0.87</v>
      </c>
      <c r="U298" s="7">
        <v>-0.08</v>
      </c>
      <c r="V298" s="7">
        <v>0.87</v>
      </c>
      <c r="W298" s="7" t="s">
        <v>13</v>
      </c>
      <c r="X298" s="7" t="s">
        <v>15</v>
      </c>
      <c r="Y298" s="2" t="s">
        <v>719</v>
      </c>
      <c r="Z298" s="2" t="s">
        <v>721</v>
      </c>
    </row>
    <row r="299" spans="1:26" x14ac:dyDescent="0.35">
      <c r="A299" s="7" t="s">
        <v>1574</v>
      </c>
      <c r="B299" s="7" t="s">
        <v>307</v>
      </c>
      <c r="C299" s="4" t="str">
        <f>_xlfn.XLOOKUP(A299,[2]Sheet2!$I$2:$I$1273,[2]Sheet2!$D$2:$D$1273,0)</f>
        <v>Q2</v>
      </c>
      <c r="D299" s="4">
        <f>_xlfn.XLOOKUP(B299,[4]Sheet2!$B$2:$B$3154,[4]Sheet2!$F$2:$F$3154,0)</f>
        <v>0</v>
      </c>
      <c r="E299" s="4" t="e">
        <f>_xlfn.XLOOKUP(B299,[2]Sheet2!$E$2:$E$713,[2]Sheet2!$G$2:$G$713)</f>
        <v>#N/A</v>
      </c>
      <c r="F299" s="18">
        <v>46055</v>
      </c>
      <c r="G299" s="14">
        <v>0.6817361111111111</v>
      </c>
      <c r="H299" s="7" t="s">
        <v>11</v>
      </c>
      <c r="I299" s="2" t="str">
        <f t="shared" si="23"/>
        <v>Q3</v>
      </c>
      <c r="J299" s="2" t="str">
        <f t="shared" si="24"/>
        <v>Not Match</v>
      </c>
      <c r="K299" s="2">
        <f t="shared" si="20"/>
        <v>0.50990195135927852</v>
      </c>
      <c r="L299" s="2" t="e">
        <f t="shared" si="21"/>
        <v>#N/A</v>
      </c>
      <c r="M299" s="2" t="str">
        <f t="shared" si="22"/>
        <v>Assign quadrant hit</v>
      </c>
      <c r="N299" s="7">
        <v>19.600000000000001</v>
      </c>
      <c r="O299" s="7">
        <v>-0.3</v>
      </c>
      <c r="P299" s="7">
        <v>-12.8</v>
      </c>
      <c r="Q299" s="7">
        <v>1.23</v>
      </c>
      <c r="R299" s="7">
        <v>-0.1</v>
      </c>
      <c r="S299" s="7">
        <v>-0.5</v>
      </c>
      <c r="T299" s="7">
        <v>0.39</v>
      </c>
      <c r="U299" s="7">
        <v>-0.14000000000000001</v>
      </c>
      <c r="V299" s="7">
        <v>1.3</v>
      </c>
      <c r="W299" s="7" t="s">
        <v>6</v>
      </c>
      <c r="X299" s="7" t="s">
        <v>15</v>
      </c>
      <c r="Y299" s="2" t="s">
        <v>719</v>
      </c>
      <c r="Z299" s="2" t="s">
        <v>721</v>
      </c>
    </row>
    <row r="300" spans="1:26" x14ac:dyDescent="0.35">
      <c r="A300" s="7" t="s">
        <v>1574</v>
      </c>
      <c r="B300" s="7" t="s">
        <v>308</v>
      </c>
      <c r="C300" s="4" t="str">
        <f>_xlfn.XLOOKUP(A300,[2]Sheet2!$I$2:$I$1273,[2]Sheet2!$D$2:$D$1273,0)</f>
        <v>Q2</v>
      </c>
      <c r="D300" s="4">
        <f>_xlfn.XLOOKUP(B300,[4]Sheet2!$B$2:$B$3154,[4]Sheet2!$F$2:$F$3154,0)</f>
        <v>0</v>
      </c>
      <c r="E300" s="4" t="e">
        <f>_xlfn.XLOOKUP(B300,[2]Sheet2!$E$2:$E$713,[2]Sheet2!$G$2:$G$713)</f>
        <v>#N/A</v>
      </c>
      <c r="F300" s="18">
        <v>46055</v>
      </c>
      <c r="G300" s="14">
        <v>0.68383101851851846</v>
      </c>
      <c r="H300" s="7" t="s">
        <v>11</v>
      </c>
      <c r="I300" s="2" t="str">
        <f t="shared" si="23"/>
        <v>Q4</v>
      </c>
      <c r="J300" s="2" t="str">
        <f t="shared" si="24"/>
        <v>Not Match</v>
      </c>
      <c r="K300" s="2">
        <f t="shared" si="20"/>
        <v>0.4</v>
      </c>
      <c r="L300" s="2" t="e">
        <f t="shared" si="21"/>
        <v>#N/A</v>
      </c>
      <c r="M300" s="2" t="str">
        <f t="shared" si="22"/>
        <v>Assign quadrant hit</v>
      </c>
      <c r="N300" s="7">
        <v>19.3</v>
      </c>
      <c r="O300" s="7">
        <v>-0.2</v>
      </c>
      <c r="P300" s="7">
        <v>-12.7</v>
      </c>
      <c r="Q300" s="7">
        <v>0.94</v>
      </c>
      <c r="R300" s="7">
        <v>0</v>
      </c>
      <c r="S300" s="7">
        <v>-0.4</v>
      </c>
      <c r="T300" s="7">
        <v>0.32</v>
      </c>
      <c r="U300" s="7">
        <v>-0.06</v>
      </c>
      <c r="V300" s="7">
        <v>1</v>
      </c>
      <c r="W300" s="7" t="s">
        <v>13</v>
      </c>
      <c r="X300" s="7" t="s">
        <v>15</v>
      </c>
      <c r="Y300" s="2" t="s">
        <v>719</v>
      </c>
      <c r="Z300" s="2" t="s">
        <v>721</v>
      </c>
    </row>
    <row r="301" spans="1:26" x14ac:dyDescent="0.35">
      <c r="A301" s="7" t="s">
        <v>1518</v>
      </c>
      <c r="B301" s="7" t="s">
        <v>309</v>
      </c>
      <c r="C301" s="4" t="str">
        <f>_xlfn.XLOOKUP(A301,[2]Sheet2!$I$2:$I$1273,[2]Sheet2!$D$2:$D$1273,0)</f>
        <v>Q1</v>
      </c>
      <c r="D301" s="4">
        <f>_xlfn.XLOOKUP(B301,[4]Sheet2!$B$2:$B$3154,[4]Sheet2!$F$2:$F$3154,0)</f>
        <v>0</v>
      </c>
      <c r="E301" s="4" t="e">
        <f>_xlfn.XLOOKUP(B301,[2]Sheet2!$E$2:$E$713,[2]Sheet2!$G$2:$G$713)</f>
        <v>#N/A</v>
      </c>
      <c r="F301" s="18">
        <v>46055</v>
      </c>
      <c r="G301" s="14">
        <v>0.75396990740740744</v>
      </c>
      <c r="H301" s="7" t="s">
        <v>11</v>
      </c>
      <c r="I301" s="2" t="str">
        <f t="shared" si="23"/>
        <v>Q1</v>
      </c>
      <c r="J301" s="2" t="str">
        <f t="shared" si="24"/>
        <v>Match</v>
      </c>
      <c r="K301" s="2">
        <f t="shared" si="20"/>
        <v>1.019803902718557</v>
      </c>
      <c r="L301" s="2" t="e">
        <f t="shared" si="21"/>
        <v>#N/A</v>
      </c>
      <c r="M301" s="2" t="str">
        <f t="shared" si="22"/>
        <v>Failed but within quadrant</v>
      </c>
      <c r="N301" s="7">
        <v>26.3</v>
      </c>
      <c r="O301" s="7">
        <v>6.6</v>
      </c>
      <c r="P301" s="7">
        <v>8.8000000000000007</v>
      </c>
      <c r="Q301" s="7">
        <v>-0.08</v>
      </c>
      <c r="R301" s="7">
        <v>0.2</v>
      </c>
      <c r="S301" s="7">
        <v>1</v>
      </c>
      <c r="T301" s="7">
        <v>0.8</v>
      </c>
      <c r="U301" s="7">
        <v>0.75</v>
      </c>
      <c r="V301" s="7">
        <v>1.1000000000000001</v>
      </c>
      <c r="W301" s="7" t="s">
        <v>6</v>
      </c>
      <c r="X301" s="7" t="s">
        <v>12</v>
      </c>
      <c r="Y301" s="2" t="s">
        <v>719</v>
      </c>
      <c r="Z301" s="2" t="s">
        <v>721</v>
      </c>
    </row>
    <row r="302" spans="1:26" x14ac:dyDescent="0.35">
      <c r="A302" s="7" t="s">
        <v>1516</v>
      </c>
      <c r="B302" s="7" t="s">
        <v>310</v>
      </c>
      <c r="C302" s="4" t="str">
        <f>_xlfn.XLOOKUP(A302,[2]Sheet2!$I$2:$I$1273,[2]Sheet2!$D$2:$D$1273,0)</f>
        <v>Q2</v>
      </c>
      <c r="D302" s="4">
        <f>_xlfn.XLOOKUP(B302,[4]Sheet2!$B$2:$B$3154,[4]Sheet2!$F$2:$F$3154,0)</f>
        <v>0</v>
      </c>
      <c r="E302" s="4" t="e">
        <f>_xlfn.XLOOKUP(B302,[2]Sheet2!$E$2:$E$713,[2]Sheet2!$G$2:$G$713)</f>
        <v>#N/A</v>
      </c>
      <c r="F302" s="18">
        <v>46055</v>
      </c>
      <c r="G302" s="14">
        <v>0.7722106481481481</v>
      </c>
      <c r="H302" s="7" t="s">
        <v>4</v>
      </c>
      <c r="I302" s="2" t="str">
        <f t="shared" si="23"/>
        <v>Q4</v>
      </c>
      <c r="J302" s="2" t="str">
        <f t="shared" si="24"/>
        <v>Not Match</v>
      </c>
      <c r="K302" s="2">
        <f t="shared" si="20"/>
        <v>0.42426406871192851</v>
      </c>
      <c r="L302" s="2" t="e">
        <f t="shared" si="21"/>
        <v>#N/A</v>
      </c>
      <c r="M302" s="2" t="str">
        <f t="shared" si="22"/>
        <v>Below 0.8 not in assigned quadrant</v>
      </c>
      <c r="N302" s="7">
        <v>18.2</v>
      </c>
      <c r="O302" s="7">
        <v>-1.1000000000000001</v>
      </c>
      <c r="P302" s="7">
        <v>-2</v>
      </c>
      <c r="Q302" s="7">
        <v>-0.17</v>
      </c>
      <c r="R302" s="7">
        <v>0.3</v>
      </c>
      <c r="S302" s="7">
        <v>-0.3</v>
      </c>
      <c r="T302" s="7">
        <v>0.15</v>
      </c>
      <c r="U302" s="7">
        <v>0.64</v>
      </c>
      <c r="V302" s="7">
        <v>0.68</v>
      </c>
      <c r="W302" s="7" t="s">
        <v>8</v>
      </c>
      <c r="X302" s="7" t="s">
        <v>7</v>
      </c>
      <c r="Y302" s="2" t="s">
        <v>719</v>
      </c>
      <c r="Z302" s="2" t="s">
        <v>721</v>
      </c>
    </row>
    <row r="303" spans="1:26" x14ac:dyDescent="0.35">
      <c r="A303" s="7" t="s">
        <v>1536</v>
      </c>
      <c r="B303" s="7" t="s">
        <v>311</v>
      </c>
      <c r="C303" s="4" t="str">
        <f>_xlfn.XLOOKUP(A303,[2]Sheet2!$I$2:$I$1273,[2]Sheet2!$D$2:$D$1273,0)</f>
        <v>Q2</v>
      </c>
      <c r="D303" s="4">
        <f>_xlfn.XLOOKUP(B303,[4]Sheet2!$B$2:$B$3154,[4]Sheet2!$F$2:$F$3154,0)</f>
        <v>0</v>
      </c>
      <c r="E303" s="4" t="e">
        <f>_xlfn.XLOOKUP(B303,[2]Sheet2!$E$2:$E$713,[2]Sheet2!$G$2:$G$713)</f>
        <v>#N/A</v>
      </c>
      <c r="F303" s="18">
        <v>46055</v>
      </c>
      <c r="G303" s="14">
        <v>0.95803240740740736</v>
      </c>
      <c r="H303" s="7" t="s">
        <v>5</v>
      </c>
      <c r="I303" s="2" t="str">
        <f t="shared" si="23"/>
        <v>Q4</v>
      </c>
      <c r="J303" s="2" t="str">
        <f t="shared" si="24"/>
        <v>Not Match</v>
      </c>
      <c r="K303" s="2">
        <f t="shared" si="20"/>
        <v>0.1</v>
      </c>
      <c r="L303" s="2" t="e">
        <f t="shared" si="21"/>
        <v>#N/A</v>
      </c>
      <c r="M303" s="2" t="str">
        <f t="shared" si="22"/>
        <v>Below 0.8 not in assigned quadrant</v>
      </c>
      <c r="N303" s="7">
        <v>14.7</v>
      </c>
      <c r="O303" s="7">
        <v>-0.5</v>
      </c>
      <c r="P303" s="7">
        <v>-2.7</v>
      </c>
      <c r="Q303" s="7">
        <v>-0.47</v>
      </c>
      <c r="R303" s="7">
        <v>0.1</v>
      </c>
      <c r="S303" s="7">
        <v>0</v>
      </c>
      <c r="T303" s="7">
        <v>0.03</v>
      </c>
      <c r="U303" s="7">
        <v>0.21</v>
      </c>
      <c r="V303" s="7">
        <v>0.52</v>
      </c>
      <c r="W303" s="7" t="s">
        <v>8</v>
      </c>
      <c r="X303" s="7" t="s">
        <v>9</v>
      </c>
      <c r="Y303" s="2" t="s">
        <v>719</v>
      </c>
      <c r="Z303" s="2" t="s">
        <v>721</v>
      </c>
    </row>
    <row r="304" spans="1:26" x14ac:dyDescent="0.35">
      <c r="A304" s="7" t="s">
        <v>1598</v>
      </c>
      <c r="B304" s="7" t="s">
        <v>312</v>
      </c>
      <c r="C304" s="4" t="str">
        <f>_xlfn.XLOOKUP(A304,[2]Sheet2!$I$2:$I$1273,[2]Sheet2!$D$2:$D$1273,0)</f>
        <v>Q3</v>
      </c>
      <c r="D304" s="4">
        <f>_xlfn.XLOOKUP(B304,[4]Sheet2!$B$2:$B$3154,[4]Sheet2!$F$2:$F$3154,0)</f>
        <v>0</v>
      </c>
      <c r="E304" s="4" t="e">
        <f>_xlfn.XLOOKUP(B304,[2]Sheet2!$E$2:$E$713,[2]Sheet2!$G$2:$G$713)</f>
        <v>#N/A</v>
      </c>
      <c r="F304" s="18">
        <v>46056</v>
      </c>
      <c r="G304" s="14">
        <v>1.087962962962963E-2</v>
      </c>
      <c r="H304" s="7" t="s">
        <v>5</v>
      </c>
      <c r="I304" s="2" t="str">
        <f t="shared" si="23"/>
        <v>Q3</v>
      </c>
      <c r="J304" s="2" t="str">
        <f t="shared" si="24"/>
        <v>Match</v>
      </c>
      <c r="K304" s="2">
        <f t="shared" si="20"/>
        <v>0.5</v>
      </c>
      <c r="L304" s="2" t="e">
        <f t="shared" si="21"/>
        <v>#N/A</v>
      </c>
      <c r="M304" s="2" t="str">
        <f t="shared" si="22"/>
        <v>Digital Approve Hit</v>
      </c>
      <c r="N304" s="7">
        <v>20.6</v>
      </c>
      <c r="O304" s="7">
        <v>-6.5</v>
      </c>
      <c r="P304" s="7">
        <v>-13.9</v>
      </c>
      <c r="Q304" s="7">
        <v>-0.18</v>
      </c>
      <c r="R304" s="7">
        <v>-0.3</v>
      </c>
      <c r="S304" s="7">
        <v>-0.4</v>
      </c>
      <c r="T304" s="7">
        <v>0.4</v>
      </c>
      <c r="U304" s="7">
        <v>-0.11</v>
      </c>
      <c r="V304" s="7">
        <v>0.45</v>
      </c>
      <c r="W304" s="7" t="s">
        <v>8</v>
      </c>
      <c r="X304" s="7" t="s">
        <v>15</v>
      </c>
      <c r="Y304" s="2" t="s">
        <v>719</v>
      </c>
      <c r="Z304" s="2" t="s">
        <v>721</v>
      </c>
    </row>
    <row r="305" spans="1:26" x14ac:dyDescent="0.35">
      <c r="A305" s="7" t="s">
        <v>1558</v>
      </c>
      <c r="B305" s="7" t="s">
        <v>313</v>
      </c>
      <c r="C305" s="4" t="str">
        <f>_xlfn.XLOOKUP(A305,[2]Sheet2!$I$2:$I$1273,[2]Sheet2!$D$2:$D$1273,0)</f>
        <v>Q3</v>
      </c>
      <c r="D305" s="4">
        <f>_xlfn.XLOOKUP(B305,[4]Sheet2!$B$2:$B$3154,[4]Sheet2!$F$2:$F$3154,0)</f>
        <v>0</v>
      </c>
      <c r="E305" s="4" t="e">
        <f>_xlfn.XLOOKUP(B305,[2]Sheet2!$E$2:$E$713,[2]Sheet2!$G$2:$G$713)</f>
        <v>#N/A</v>
      </c>
      <c r="F305" s="18">
        <v>46056</v>
      </c>
      <c r="G305" s="14">
        <v>1.2800925925925926E-2</v>
      </c>
      <c r="H305" s="7" t="s">
        <v>16</v>
      </c>
      <c r="I305" s="2" t="str">
        <f t="shared" si="23"/>
        <v>Q4</v>
      </c>
      <c r="J305" s="2" t="str">
        <f t="shared" si="24"/>
        <v>Not Match</v>
      </c>
      <c r="K305" s="2">
        <f t="shared" si="20"/>
        <v>0.2</v>
      </c>
      <c r="L305" s="2" t="e">
        <f t="shared" si="21"/>
        <v>#N/A</v>
      </c>
      <c r="M305" s="2" t="str">
        <f t="shared" si="22"/>
        <v>Below 0.8 not in assigned quadrant</v>
      </c>
      <c r="N305" s="7">
        <v>14.9</v>
      </c>
      <c r="O305" s="7">
        <v>-0.3</v>
      </c>
      <c r="P305" s="7">
        <v>-2.1</v>
      </c>
      <c r="Q305" s="7">
        <v>-0.61</v>
      </c>
      <c r="R305" s="7">
        <v>0</v>
      </c>
      <c r="S305" s="7">
        <v>-0.2</v>
      </c>
      <c r="T305" s="7">
        <v>0.32</v>
      </c>
      <c r="U305" s="7">
        <v>0.03</v>
      </c>
      <c r="V305" s="7">
        <v>0.69</v>
      </c>
      <c r="W305" s="7" t="s">
        <v>8</v>
      </c>
      <c r="X305" s="7" t="s">
        <v>9</v>
      </c>
      <c r="Y305" s="2" t="s">
        <v>719</v>
      </c>
      <c r="Z305" s="2" t="s">
        <v>721</v>
      </c>
    </row>
    <row r="306" spans="1:26" x14ac:dyDescent="0.35">
      <c r="A306" s="7" t="s">
        <v>1619</v>
      </c>
      <c r="B306" s="7" t="s">
        <v>314</v>
      </c>
      <c r="C306" s="4" t="str">
        <f>_xlfn.XLOOKUP(A306,[2]Sheet2!$I$2:$I$1273,[2]Sheet2!$D$2:$D$1273,0)</f>
        <v>Q4</v>
      </c>
      <c r="D306" s="4">
        <f>_xlfn.XLOOKUP(B306,[4]Sheet2!$B$2:$B$3154,[4]Sheet2!$F$2:$F$3154,0)</f>
        <v>0</v>
      </c>
      <c r="E306" s="4" t="e">
        <f>_xlfn.XLOOKUP(B306,[2]Sheet2!$E$2:$E$713,[2]Sheet2!$G$2:$G$713)</f>
        <v>#N/A</v>
      </c>
      <c r="F306" s="18">
        <v>46056</v>
      </c>
      <c r="G306" s="14">
        <v>1.5914351851851853E-2</v>
      </c>
      <c r="H306" s="7" t="s">
        <v>16</v>
      </c>
      <c r="I306" s="2" t="str">
        <f t="shared" si="23"/>
        <v>Q1</v>
      </c>
      <c r="J306" s="2" t="str">
        <f t="shared" si="24"/>
        <v>Not Match</v>
      </c>
      <c r="K306" s="2">
        <f t="shared" si="20"/>
        <v>0.50990195135927852</v>
      </c>
      <c r="L306" s="2" t="e">
        <f t="shared" si="21"/>
        <v>#N/A</v>
      </c>
      <c r="M306" s="2" t="str">
        <f t="shared" si="22"/>
        <v>Below 0.8 not in assigned quadrant</v>
      </c>
      <c r="N306" s="7">
        <v>28.7</v>
      </c>
      <c r="O306" s="7">
        <v>-1.5</v>
      </c>
      <c r="P306" s="7">
        <v>-2.4</v>
      </c>
      <c r="Q306" s="7">
        <v>-0.11</v>
      </c>
      <c r="R306" s="7">
        <v>0.1</v>
      </c>
      <c r="S306" s="7">
        <v>0.5</v>
      </c>
      <c r="T306" s="7">
        <v>-0.67</v>
      </c>
      <c r="U306" s="7">
        <v>-0.21</v>
      </c>
      <c r="V306" s="7">
        <v>0.71</v>
      </c>
      <c r="W306" s="7" t="s">
        <v>8</v>
      </c>
      <c r="X306" s="7" t="s">
        <v>15</v>
      </c>
      <c r="Y306" s="2" t="s">
        <v>719</v>
      </c>
      <c r="Z306" s="2" t="s">
        <v>721</v>
      </c>
    </row>
    <row r="307" spans="1:26" x14ac:dyDescent="0.35">
      <c r="A307" s="7" t="s">
        <v>1620</v>
      </c>
      <c r="B307" s="7" t="s">
        <v>315</v>
      </c>
      <c r="C307" s="4" t="str">
        <f>_xlfn.XLOOKUP(A307,[2]Sheet2!$I$2:$I$1273,[2]Sheet2!$D$2:$D$1273,0)</f>
        <v>Q2</v>
      </c>
      <c r="D307" s="4">
        <f>_xlfn.XLOOKUP(B307,[4]Sheet2!$B$2:$B$3154,[4]Sheet2!$F$2:$F$3154,0)</f>
        <v>0</v>
      </c>
      <c r="E307" s="4" t="e">
        <f>_xlfn.XLOOKUP(B307,[2]Sheet2!$E$2:$E$713,[2]Sheet2!$G$2:$G$713)</f>
        <v>#N/A</v>
      </c>
      <c r="F307" s="18">
        <v>46056</v>
      </c>
      <c r="G307" s="14">
        <v>6.8553240740740734E-2</v>
      </c>
      <c r="H307" s="7" t="s">
        <v>5</v>
      </c>
      <c r="I307" s="2" t="str">
        <f t="shared" si="23"/>
        <v>Q2</v>
      </c>
      <c r="J307" s="2" t="str">
        <f t="shared" si="24"/>
        <v>Match</v>
      </c>
      <c r="K307" s="2">
        <f t="shared" si="20"/>
        <v>0.41231056256176613</v>
      </c>
      <c r="L307" s="2" t="e">
        <f t="shared" si="21"/>
        <v>#N/A</v>
      </c>
      <c r="M307" s="2" t="str">
        <f t="shared" si="22"/>
        <v>Digital Approve Hit</v>
      </c>
      <c r="N307" s="7">
        <v>31.3</v>
      </c>
      <c r="O307" s="7">
        <v>33.4</v>
      </c>
      <c r="P307" s="7">
        <v>4.9000000000000004</v>
      </c>
      <c r="Q307" s="7">
        <v>-0.31</v>
      </c>
      <c r="R307" s="7">
        <v>-0.1</v>
      </c>
      <c r="S307" s="7">
        <v>0.4</v>
      </c>
      <c r="T307" s="7">
        <v>-0.06</v>
      </c>
      <c r="U307" s="7">
        <v>0.35</v>
      </c>
      <c r="V307" s="7">
        <v>0.47</v>
      </c>
      <c r="W307" s="7" t="s">
        <v>8</v>
      </c>
      <c r="X307" s="7" t="s">
        <v>9</v>
      </c>
      <c r="Y307" s="2" t="s">
        <v>719</v>
      </c>
      <c r="Z307" s="2" t="s">
        <v>721</v>
      </c>
    </row>
    <row r="308" spans="1:26" x14ac:dyDescent="0.35">
      <c r="A308" s="7" t="s">
        <v>1593</v>
      </c>
      <c r="B308" s="7" t="s">
        <v>316</v>
      </c>
      <c r="C308" s="4" t="str">
        <f>_xlfn.XLOOKUP(A308,[2]Sheet2!$I$2:$I$1273,[2]Sheet2!$D$2:$D$1273,0)</f>
        <v>Q3</v>
      </c>
      <c r="D308" s="4">
        <f>_xlfn.XLOOKUP(B308,[4]Sheet2!$B$2:$B$3154,[4]Sheet2!$F$2:$F$3154,0)</f>
        <v>0</v>
      </c>
      <c r="E308" s="4" t="e">
        <f>_xlfn.XLOOKUP(B308,[2]Sheet2!$E$2:$E$713,[2]Sheet2!$G$2:$G$713)</f>
        <v>#N/A</v>
      </c>
      <c r="F308" s="18">
        <v>46056</v>
      </c>
      <c r="G308" s="14">
        <v>7.5405092592592593E-2</v>
      </c>
      <c r="H308" s="7" t="s">
        <v>5</v>
      </c>
      <c r="I308" s="2" t="str">
        <f t="shared" si="23"/>
        <v>Q3</v>
      </c>
      <c r="J308" s="2" t="str">
        <f t="shared" si="24"/>
        <v>Match</v>
      </c>
      <c r="K308" s="2">
        <f t="shared" si="20"/>
        <v>0</v>
      </c>
      <c r="L308" s="2" t="e">
        <f t="shared" si="21"/>
        <v>#N/A</v>
      </c>
      <c r="M308" s="2" t="str">
        <f t="shared" si="22"/>
        <v>Digital Approve Hit</v>
      </c>
      <c r="N308" s="7">
        <v>21.6</v>
      </c>
      <c r="O308" s="7">
        <v>3.2</v>
      </c>
      <c r="P308" s="7">
        <v>2.5</v>
      </c>
      <c r="Q308" s="7">
        <v>-0.36</v>
      </c>
      <c r="R308" s="7">
        <v>0</v>
      </c>
      <c r="S308" s="7">
        <v>0</v>
      </c>
      <c r="T308" s="7">
        <v>0</v>
      </c>
      <c r="U308" s="7">
        <v>-7.0000000000000007E-2</v>
      </c>
      <c r="V308" s="7">
        <v>0.36</v>
      </c>
      <c r="W308" s="7" t="s">
        <v>8</v>
      </c>
      <c r="X308" s="7" t="s">
        <v>7</v>
      </c>
      <c r="Y308" s="2" t="s">
        <v>719</v>
      </c>
      <c r="Z308" s="2" t="s">
        <v>721</v>
      </c>
    </row>
    <row r="309" spans="1:26" x14ac:dyDescent="0.35">
      <c r="A309" s="7" t="s">
        <v>1507</v>
      </c>
      <c r="B309" s="7" t="s">
        <v>317</v>
      </c>
      <c r="C309" s="4" t="str">
        <f>_xlfn.XLOOKUP(A309,[2]Sheet2!$I$2:$I$1273,[2]Sheet2!$D$2:$D$1273,0)</f>
        <v>Q3</v>
      </c>
      <c r="D309" s="4">
        <f>_xlfn.XLOOKUP(B309,[4]Sheet2!$B$2:$B$3154,[4]Sheet2!$F$2:$F$3154,0)</f>
        <v>0</v>
      </c>
      <c r="E309" s="4" t="e">
        <f>_xlfn.XLOOKUP(B309,[2]Sheet2!$E$2:$E$713,[2]Sheet2!$G$2:$G$713)</f>
        <v>#N/A</v>
      </c>
      <c r="F309" s="18">
        <v>46056</v>
      </c>
      <c r="G309" s="14">
        <v>0.13887731481481483</v>
      </c>
      <c r="H309" s="7" t="s">
        <v>11</v>
      </c>
      <c r="I309" s="2" t="str">
        <f t="shared" si="23"/>
        <v>Q4</v>
      </c>
      <c r="J309" s="2" t="str">
        <f t="shared" si="24"/>
        <v>Not Match</v>
      </c>
      <c r="K309" s="2">
        <f t="shared" si="20"/>
        <v>0.41231056256176613</v>
      </c>
      <c r="L309" s="2" t="e">
        <f t="shared" si="21"/>
        <v>#N/A</v>
      </c>
      <c r="M309" s="2" t="str">
        <f t="shared" si="22"/>
        <v>Below 0.8 not in assigned quadrant</v>
      </c>
      <c r="N309" s="7">
        <v>15.6</v>
      </c>
      <c r="O309" s="7">
        <v>-0.9</v>
      </c>
      <c r="P309" s="7">
        <v>-1.3</v>
      </c>
      <c r="Q309" s="7">
        <v>-0.1</v>
      </c>
      <c r="R309" s="7">
        <v>0.1</v>
      </c>
      <c r="S309" s="7">
        <v>-0.4</v>
      </c>
      <c r="T309" s="7">
        <v>0.34</v>
      </c>
      <c r="U309" s="7">
        <v>0.6</v>
      </c>
      <c r="V309" s="7">
        <v>0.7</v>
      </c>
      <c r="W309" s="7" t="s">
        <v>8</v>
      </c>
      <c r="X309" s="7" t="s">
        <v>7</v>
      </c>
      <c r="Y309" s="2" t="s">
        <v>719</v>
      </c>
      <c r="Z309" s="2" t="s">
        <v>721</v>
      </c>
    </row>
    <row r="310" spans="1:26" x14ac:dyDescent="0.35">
      <c r="A310" s="7" t="s">
        <v>1603</v>
      </c>
      <c r="B310" s="7" t="s">
        <v>318</v>
      </c>
      <c r="C310" s="4" t="str">
        <f>_xlfn.XLOOKUP(A310,[2]Sheet2!$I$2:$I$1273,[2]Sheet2!$D$2:$D$1273,0)</f>
        <v>Q2</v>
      </c>
      <c r="D310" s="4">
        <f>_xlfn.XLOOKUP(B310,[4]Sheet2!$B$2:$B$3154,[4]Sheet2!$F$2:$F$3154,0)</f>
        <v>0</v>
      </c>
      <c r="E310" s="4" t="e">
        <f>_xlfn.XLOOKUP(B310,[2]Sheet2!$E$2:$E$713,[2]Sheet2!$G$2:$G$713)</f>
        <v>#N/A</v>
      </c>
      <c r="F310" s="18">
        <v>46056</v>
      </c>
      <c r="G310" s="14">
        <v>0.14090277777777777</v>
      </c>
      <c r="H310" s="7" t="s">
        <v>4</v>
      </c>
      <c r="I310" s="2" t="str">
        <f t="shared" si="23"/>
        <v>Q2</v>
      </c>
      <c r="J310" s="2" t="str">
        <f t="shared" si="24"/>
        <v>Match</v>
      </c>
      <c r="K310" s="2">
        <f t="shared" si="20"/>
        <v>0</v>
      </c>
      <c r="L310" s="2" t="e">
        <f t="shared" si="21"/>
        <v>#N/A</v>
      </c>
      <c r="M310" s="2" t="str">
        <f t="shared" si="22"/>
        <v>Digital Approve Hit</v>
      </c>
      <c r="N310" s="7">
        <v>14.8</v>
      </c>
      <c r="O310" s="7">
        <v>0</v>
      </c>
      <c r="P310" s="7">
        <v>-0.6</v>
      </c>
      <c r="Q310" s="7">
        <v>-0.36</v>
      </c>
      <c r="R310" s="7">
        <v>0</v>
      </c>
      <c r="S310" s="7">
        <v>0</v>
      </c>
      <c r="T310" s="7">
        <v>0.09</v>
      </c>
      <c r="U310" s="7">
        <v>0.08</v>
      </c>
      <c r="V310" s="7">
        <v>0.38</v>
      </c>
      <c r="W310" s="7" t="s">
        <v>8</v>
      </c>
      <c r="X310" s="7" t="s">
        <v>9</v>
      </c>
      <c r="Y310" s="2" t="s">
        <v>719</v>
      </c>
      <c r="Z310" s="2" t="s">
        <v>721</v>
      </c>
    </row>
    <row r="311" spans="1:26" x14ac:dyDescent="0.35">
      <c r="A311" s="7" t="s">
        <v>1536</v>
      </c>
      <c r="B311" s="7" t="s">
        <v>319</v>
      </c>
      <c r="C311" s="4" t="str">
        <f>_xlfn.XLOOKUP(A311,[2]Sheet2!$I$2:$I$1273,[2]Sheet2!$D$2:$D$1273,0)</f>
        <v>Q2</v>
      </c>
      <c r="D311" s="4">
        <f>_xlfn.XLOOKUP(B311,[4]Sheet2!$B$2:$B$3154,[4]Sheet2!$F$2:$F$3154,0)</f>
        <v>0</v>
      </c>
      <c r="E311" s="4" t="e">
        <f>_xlfn.XLOOKUP(B311,[2]Sheet2!$E$2:$E$713,[2]Sheet2!$G$2:$G$713)</f>
        <v>#N/A</v>
      </c>
      <c r="F311" s="18">
        <v>46056</v>
      </c>
      <c r="G311" s="14">
        <v>0.24629629629629629</v>
      </c>
      <c r="H311" s="7" t="s">
        <v>5</v>
      </c>
      <c r="I311" s="2" t="str">
        <f t="shared" si="23"/>
        <v>Q4</v>
      </c>
      <c r="J311" s="2" t="str">
        <f t="shared" si="24"/>
        <v>Not Match</v>
      </c>
      <c r="K311" s="2">
        <f t="shared" si="20"/>
        <v>0.50990195135927852</v>
      </c>
      <c r="L311" s="2" t="e">
        <f t="shared" si="21"/>
        <v>#N/A</v>
      </c>
      <c r="M311" s="2" t="str">
        <f t="shared" si="22"/>
        <v>Below 0.8 not in assigned quadrant</v>
      </c>
      <c r="N311" s="7">
        <v>14.9</v>
      </c>
      <c r="O311" s="7">
        <v>-0.5</v>
      </c>
      <c r="P311" s="7">
        <v>-3.2</v>
      </c>
      <c r="Q311" s="7">
        <v>-0.25</v>
      </c>
      <c r="R311" s="7">
        <v>0.1</v>
      </c>
      <c r="S311" s="7">
        <v>-0.5</v>
      </c>
      <c r="T311" s="7">
        <v>0.66</v>
      </c>
      <c r="U311" s="7">
        <v>0.3</v>
      </c>
      <c r="V311" s="7">
        <v>0.77</v>
      </c>
      <c r="W311" s="7" t="s">
        <v>13</v>
      </c>
      <c r="X311" s="7" t="s">
        <v>9</v>
      </c>
      <c r="Y311" s="2" t="s">
        <v>719</v>
      </c>
      <c r="Z311" s="2" t="s">
        <v>721</v>
      </c>
    </row>
    <row r="312" spans="1:26" x14ac:dyDescent="0.35">
      <c r="A312" s="7" t="s">
        <v>1532</v>
      </c>
      <c r="B312" s="7" t="s">
        <v>320</v>
      </c>
      <c r="C312" s="4" t="str">
        <f>_xlfn.XLOOKUP(A312,[2]Sheet2!$I$2:$I$1273,[2]Sheet2!$D$2:$D$1273,0)</f>
        <v>Q3</v>
      </c>
      <c r="D312" s="4">
        <f>_xlfn.XLOOKUP(B312,[4]Sheet2!$B$2:$B$3154,[4]Sheet2!$F$2:$F$3154,0)</f>
        <v>0</v>
      </c>
      <c r="E312" s="4" t="e">
        <f>_xlfn.XLOOKUP(B312,[2]Sheet2!$E$2:$E$713,[2]Sheet2!$G$2:$G$713)</f>
        <v>#N/A</v>
      </c>
      <c r="F312" s="18">
        <v>46056</v>
      </c>
      <c r="G312" s="14">
        <v>0.25090277777777775</v>
      </c>
      <c r="H312" s="7" t="s">
        <v>16</v>
      </c>
      <c r="I312" s="2" t="str">
        <f t="shared" si="23"/>
        <v>Q3</v>
      </c>
      <c r="J312" s="2" t="str">
        <f t="shared" si="24"/>
        <v>Match</v>
      </c>
      <c r="K312" s="2">
        <f t="shared" si="20"/>
        <v>0.44721359549995798</v>
      </c>
      <c r="L312" s="2" t="e">
        <f t="shared" si="21"/>
        <v>#N/A</v>
      </c>
      <c r="M312" s="2" t="str">
        <f t="shared" si="22"/>
        <v>Digital Approve Hit</v>
      </c>
      <c r="N312" s="7">
        <v>14.9</v>
      </c>
      <c r="O312" s="7">
        <v>-0.5</v>
      </c>
      <c r="P312" s="7">
        <v>-2.2999999999999998</v>
      </c>
      <c r="Q312" s="7">
        <v>-0.26</v>
      </c>
      <c r="R312" s="7">
        <v>-0.2</v>
      </c>
      <c r="S312" s="7">
        <v>-0.4</v>
      </c>
      <c r="T312" s="7">
        <v>0.65</v>
      </c>
      <c r="U312" s="7">
        <v>-0.13</v>
      </c>
      <c r="V312" s="7">
        <v>0.71</v>
      </c>
      <c r="W312" s="7" t="s">
        <v>8</v>
      </c>
      <c r="X312" s="7" t="s">
        <v>15</v>
      </c>
      <c r="Y312" s="2" t="s">
        <v>719</v>
      </c>
      <c r="Z312" s="2" t="s">
        <v>721</v>
      </c>
    </row>
    <row r="313" spans="1:26" x14ac:dyDescent="0.35">
      <c r="A313" s="7" t="s">
        <v>1507</v>
      </c>
      <c r="B313" s="7" t="s">
        <v>321</v>
      </c>
      <c r="C313" s="4" t="str">
        <f>_xlfn.XLOOKUP(A313,[2]Sheet2!$I$2:$I$1273,[2]Sheet2!$D$2:$D$1273,0)</f>
        <v>Q3</v>
      </c>
      <c r="D313" s="4">
        <f>_xlfn.XLOOKUP(B313,[4]Sheet2!$B$2:$B$3154,[4]Sheet2!$F$2:$F$3154,0)</f>
        <v>0</v>
      </c>
      <c r="E313" s="4" t="e">
        <f>_xlfn.XLOOKUP(B313,[2]Sheet2!$E$2:$E$713,[2]Sheet2!$G$2:$G$713)</f>
        <v>#N/A</v>
      </c>
      <c r="F313" s="18">
        <v>46056</v>
      </c>
      <c r="G313" s="14">
        <v>0.25248842592592591</v>
      </c>
      <c r="H313" s="7" t="s">
        <v>11</v>
      </c>
      <c r="I313" s="2" t="str">
        <f t="shared" si="23"/>
        <v>Q4</v>
      </c>
      <c r="J313" s="2" t="str">
        <f t="shared" si="24"/>
        <v>Not Match</v>
      </c>
      <c r="K313" s="2">
        <f t="shared" si="20"/>
        <v>0.3</v>
      </c>
      <c r="L313" s="2" t="e">
        <f t="shared" si="21"/>
        <v>#N/A</v>
      </c>
      <c r="M313" s="2" t="str">
        <f t="shared" si="22"/>
        <v>Assign quadrant hit</v>
      </c>
      <c r="N313" s="7">
        <v>15</v>
      </c>
      <c r="O313" s="7">
        <v>-1</v>
      </c>
      <c r="P313" s="7">
        <v>-1.1000000000000001</v>
      </c>
      <c r="Q313" s="7">
        <v>-0.72</v>
      </c>
      <c r="R313" s="7">
        <v>0</v>
      </c>
      <c r="S313" s="7">
        <v>-0.3</v>
      </c>
      <c r="T313" s="7">
        <v>0.3</v>
      </c>
      <c r="U313" s="7">
        <v>0.35</v>
      </c>
      <c r="V313" s="7">
        <v>0.86</v>
      </c>
      <c r="W313" s="7" t="s">
        <v>13</v>
      </c>
      <c r="X313" s="7" t="s">
        <v>7</v>
      </c>
      <c r="Y313" s="2" t="s">
        <v>719</v>
      </c>
      <c r="Z313" s="2" t="s">
        <v>721</v>
      </c>
    </row>
    <row r="314" spans="1:26" x14ac:dyDescent="0.35">
      <c r="A314" s="7" t="s">
        <v>1557</v>
      </c>
      <c r="B314" s="7" t="s">
        <v>322</v>
      </c>
      <c r="C314" s="4" t="str">
        <f>_xlfn.XLOOKUP(A314,[2]Sheet2!$I$2:$I$1273,[2]Sheet2!$D$2:$D$1273,0)</f>
        <v>Q3</v>
      </c>
      <c r="D314" s="4">
        <f>_xlfn.XLOOKUP(B314,[4]Sheet2!$B$2:$B$3154,[4]Sheet2!$F$2:$F$3154,0)</f>
        <v>0</v>
      </c>
      <c r="E314" s="4" t="e">
        <f>_xlfn.XLOOKUP(B314,[2]Sheet2!$E$2:$E$713,[2]Sheet2!$G$2:$G$713)</f>
        <v>#N/A</v>
      </c>
      <c r="F314" s="18">
        <v>46056</v>
      </c>
      <c r="G314" s="14">
        <v>0.27885416666666668</v>
      </c>
      <c r="H314" s="7" t="s">
        <v>16</v>
      </c>
      <c r="I314" s="2" t="str">
        <f t="shared" si="23"/>
        <v>Q3</v>
      </c>
      <c r="J314" s="2" t="str">
        <f t="shared" si="24"/>
        <v>Match</v>
      </c>
      <c r="K314" s="2">
        <f t="shared" si="20"/>
        <v>0.36055512754639896</v>
      </c>
      <c r="L314" s="2" t="e">
        <f t="shared" si="21"/>
        <v>#N/A</v>
      </c>
      <c r="M314" s="2" t="str">
        <f t="shared" si="22"/>
        <v>Digital Approve Hit</v>
      </c>
      <c r="N314" s="7">
        <v>15.1</v>
      </c>
      <c r="O314" s="7">
        <v>-0.4</v>
      </c>
      <c r="P314" s="7">
        <v>-2.1</v>
      </c>
      <c r="Q314" s="7">
        <v>-0.39</v>
      </c>
      <c r="R314" s="7">
        <v>-0.2</v>
      </c>
      <c r="S314" s="7">
        <v>-0.3</v>
      </c>
      <c r="T314" s="7">
        <v>0.53</v>
      </c>
      <c r="U314" s="7">
        <v>-0.28000000000000003</v>
      </c>
      <c r="V314" s="7">
        <v>0.71</v>
      </c>
      <c r="W314" s="7" t="s">
        <v>8</v>
      </c>
      <c r="X314" s="7" t="s">
        <v>15</v>
      </c>
      <c r="Y314" s="2" t="s">
        <v>719</v>
      </c>
      <c r="Z314" s="2" t="s">
        <v>721</v>
      </c>
    </row>
    <row r="315" spans="1:26" x14ac:dyDescent="0.35">
      <c r="A315" s="7" t="s">
        <v>1532</v>
      </c>
      <c r="B315" s="7" t="s">
        <v>323</v>
      </c>
      <c r="C315" s="4" t="str">
        <f>_xlfn.XLOOKUP(A315,[2]Sheet2!$I$2:$I$1273,[2]Sheet2!$D$2:$D$1273,0)</f>
        <v>Q3</v>
      </c>
      <c r="D315" s="4">
        <f>_xlfn.XLOOKUP(B315,[4]Sheet2!$B$2:$B$3154,[4]Sheet2!$F$2:$F$3154,0)</f>
        <v>0</v>
      </c>
      <c r="E315" s="4" t="e">
        <f>_xlfn.XLOOKUP(B315,[2]Sheet2!$E$2:$E$713,[2]Sheet2!$G$2:$G$713)</f>
        <v>#N/A</v>
      </c>
      <c r="F315" s="18">
        <v>46056</v>
      </c>
      <c r="G315" s="14">
        <v>0.28092592592592591</v>
      </c>
      <c r="H315" s="7" t="s">
        <v>16</v>
      </c>
      <c r="I315" s="2" t="str">
        <f t="shared" si="23"/>
        <v>Q4</v>
      </c>
      <c r="J315" s="2" t="str">
        <f t="shared" si="24"/>
        <v>Not Match</v>
      </c>
      <c r="K315" s="2">
        <f t="shared" si="20"/>
        <v>0.2</v>
      </c>
      <c r="L315" s="2" t="e">
        <f t="shared" si="21"/>
        <v>#N/A</v>
      </c>
      <c r="M315" s="2" t="str">
        <f t="shared" si="22"/>
        <v>Below 0.8 not in assigned quadrant</v>
      </c>
      <c r="N315" s="7">
        <v>14.5</v>
      </c>
      <c r="O315" s="7">
        <v>-0.4</v>
      </c>
      <c r="P315" s="7">
        <v>-2.1</v>
      </c>
      <c r="Q315" s="7">
        <v>-0.65</v>
      </c>
      <c r="R315" s="7">
        <v>0</v>
      </c>
      <c r="S315" s="7">
        <v>-0.2</v>
      </c>
      <c r="T315" s="7">
        <v>0.3</v>
      </c>
      <c r="U315" s="7">
        <v>-0.02</v>
      </c>
      <c r="V315" s="7">
        <v>0.72</v>
      </c>
      <c r="W315" s="7" t="s">
        <v>8</v>
      </c>
      <c r="X315" s="7" t="s">
        <v>15</v>
      </c>
      <c r="Y315" s="2" t="s">
        <v>719</v>
      </c>
      <c r="Z315" s="2" t="s">
        <v>721</v>
      </c>
    </row>
    <row r="316" spans="1:26" x14ac:dyDescent="0.35">
      <c r="A316" s="7" t="s">
        <v>1620</v>
      </c>
      <c r="B316" s="7" t="s">
        <v>324</v>
      </c>
      <c r="C316" s="4" t="str">
        <f>_xlfn.XLOOKUP(A316,[2]Sheet2!$I$2:$I$1273,[2]Sheet2!$D$2:$D$1273,0)</f>
        <v>Q2</v>
      </c>
      <c r="D316" s="4">
        <f>_xlfn.XLOOKUP(B316,[4]Sheet2!$B$2:$B$3154,[4]Sheet2!$F$2:$F$3154,0)</f>
        <v>0</v>
      </c>
      <c r="E316" s="4" t="e">
        <f>_xlfn.XLOOKUP(B316,[2]Sheet2!$E$2:$E$713,[2]Sheet2!$G$2:$G$713)</f>
        <v>#N/A</v>
      </c>
      <c r="F316" s="18">
        <v>46056</v>
      </c>
      <c r="G316" s="14">
        <v>0.34232638888888889</v>
      </c>
      <c r="H316" s="7" t="s">
        <v>5</v>
      </c>
      <c r="I316" s="2" t="str">
        <f t="shared" si="23"/>
        <v>Q1</v>
      </c>
      <c r="J316" s="2" t="str">
        <f t="shared" si="24"/>
        <v>Not Match</v>
      </c>
      <c r="K316" s="2">
        <f t="shared" si="20"/>
        <v>0.89442719099991597</v>
      </c>
      <c r="L316" s="2" t="e">
        <f t="shared" si="21"/>
        <v>#N/A</v>
      </c>
      <c r="M316" s="2" t="str">
        <f t="shared" si="22"/>
        <v>Below 0.8 not in assigned quadrant</v>
      </c>
      <c r="N316" s="7">
        <v>31.9</v>
      </c>
      <c r="O316" s="7">
        <v>34.1</v>
      </c>
      <c r="P316" s="7">
        <v>5.3</v>
      </c>
      <c r="Q316" s="7">
        <v>0.03</v>
      </c>
      <c r="R316" s="7">
        <v>0.4</v>
      </c>
      <c r="S316" s="7">
        <v>0.8</v>
      </c>
      <c r="T316" s="7">
        <v>0.28000000000000003</v>
      </c>
      <c r="U316" s="7">
        <v>0.55000000000000004</v>
      </c>
      <c r="V316" s="7">
        <v>0.62</v>
      </c>
      <c r="W316" s="7" t="s">
        <v>8</v>
      </c>
      <c r="X316" s="7" t="s">
        <v>9</v>
      </c>
      <c r="Y316" s="2" t="s">
        <v>719</v>
      </c>
      <c r="Z316" s="2" t="s">
        <v>721</v>
      </c>
    </row>
    <row r="317" spans="1:26" x14ac:dyDescent="0.35">
      <c r="A317" s="7" t="s">
        <v>1621</v>
      </c>
      <c r="B317" s="7" t="s">
        <v>325</v>
      </c>
      <c r="C317" s="4">
        <f>_xlfn.XLOOKUP(A317,[2]Sheet2!$I$2:$I$1273,[2]Sheet2!$D$2:$D$1273,0)</f>
        <v>0</v>
      </c>
      <c r="D317" s="4">
        <f>_xlfn.XLOOKUP(B317,[4]Sheet2!$B$2:$B$3154,[4]Sheet2!$F$2:$F$3154,0)</f>
        <v>0</v>
      </c>
      <c r="E317" s="4" t="e">
        <f>_xlfn.XLOOKUP(B317,[2]Sheet2!$E$2:$E$713,[2]Sheet2!$G$2:$G$713)</f>
        <v>#N/A</v>
      </c>
      <c r="F317" s="18">
        <v>46056</v>
      </c>
      <c r="G317" s="14">
        <v>0.44688657407407406</v>
      </c>
      <c r="H317" s="7" t="s">
        <v>5</v>
      </c>
      <c r="I317" s="2">
        <f t="shared" si="23"/>
        <v>0</v>
      </c>
      <c r="J317" s="2" t="str">
        <f t="shared" si="24"/>
        <v>Match</v>
      </c>
      <c r="K317" s="2">
        <f t="shared" si="20"/>
        <v>0</v>
      </c>
      <c r="L317" s="2" t="e">
        <f t="shared" si="21"/>
        <v>#N/A</v>
      </c>
      <c r="M317" s="2" t="str">
        <f t="shared" si="22"/>
        <v>Digital Approve Hit</v>
      </c>
      <c r="N317" s="7">
        <v>16.7</v>
      </c>
      <c r="O317" s="7">
        <v>-0.6</v>
      </c>
      <c r="P317" s="7">
        <v>-2.8</v>
      </c>
      <c r="Q317" s="7">
        <v>0.63</v>
      </c>
      <c r="R317" s="7">
        <v>0</v>
      </c>
      <c r="S317" s="7">
        <v>0</v>
      </c>
      <c r="T317" s="7">
        <v>0.01</v>
      </c>
      <c r="U317" s="7">
        <v>0.08</v>
      </c>
      <c r="V317" s="7">
        <v>0.64</v>
      </c>
      <c r="W317" s="7" t="s">
        <v>8</v>
      </c>
      <c r="X317" s="7" t="s">
        <v>9</v>
      </c>
      <c r="Y317" s="2" t="s">
        <v>719</v>
      </c>
      <c r="Z317" s="2" t="s">
        <v>721</v>
      </c>
    </row>
    <row r="318" spans="1:26" x14ac:dyDescent="0.35">
      <c r="A318" s="7" t="s">
        <v>1622</v>
      </c>
      <c r="B318" s="7" t="s">
        <v>326</v>
      </c>
      <c r="C318" s="4" t="str">
        <f>_xlfn.XLOOKUP(A318,[2]Sheet2!$I$2:$I$1273,[2]Sheet2!$D$2:$D$1273,0)</f>
        <v>Q1</v>
      </c>
      <c r="D318" s="4">
        <f>_xlfn.XLOOKUP(B318,[4]Sheet2!$B$2:$B$3154,[4]Sheet2!$F$2:$F$3154,0)</f>
        <v>0</v>
      </c>
      <c r="E318" s="4" t="e">
        <f>_xlfn.XLOOKUP(B318,[2]Sheet2!$E$2:$E$713,[2]Sheet2!$G$2:$G$713)</f>
        <v>#N/A</v>
      </c>
      <c r="F318" s="18">
        <v>46056</v>
      </c>
      <c r="G318" s="14">
        <v>0.44820601851851855</v>
      </c>
      <c r="H318" s="7" t="s">
        <v>5</v>
      </c>
      <c r="I318" s="2" t="str">
        <f t="shared" si="23"/>
        <v>Q1</v>
      </c>
      <c r="J318" s="2" t="str">
        <f t="shared" si="24"/>
        <v>Match</v>
      </c>
      <c r="K318" s="2">
        <f t="shared" si="20"/>
        <v>0.2</v>
      </c>
      <c r="L318" s="2" t="e">
        <f t="shared" si="21"/>
        <v>#N/A</v>
      </c>
      <c r="M318" s="2" t="str">
        <f t="shared" si="22"/>
        <v>Digital Approve Hit</v>
      </c>
      <c r="N318" s="7">
        <v>16.600000000000001</v>
      </c>
      <c r="O318" s="7">
        <v>-0.3</v>
      </c>
      <c r="P318" s="7">
        <v>-3</v>
      </c>
      <c r="Q318" s="7">
        <v>-0.34</v>
      </c>
      <c r="R318" s="7">
        <v>0</v>
      </c>
      <c r="S318" s="7">
        <v>0.2</v>
      </c>
      <c r="T318" s="7">
        <v>-0.26</v>
      </c>
      <c r="U318" s="7">
        <v>0.05</v>
      </c>
      <c r="V318" s="7">
        <v>0.43</v>
      </c>
      <c r="W318" s="7" t="s">
        <v>8</v>
      </c>
      <c r="X318" s="7" t="s">
        <v>9</v>
      </c>
      <c r="Y318" s="2" t="s">
        <v>719</v>
      </c>
      <c r="Z318" s="2" t="s">
        <v>721</v>
      </c>
    </row>
    <row r="319" spans="1:26" x14ac:dyDescent="0.35">
      <c r="A319" s="7" t="s">
        <v>1536</v>
      </c>
      <c r="B319" s="7" t="s">
        <v>327</v>
      </c>
      <c r="C319" s="4" t="str">
        <f>_xlfn.XLOOKUP(A319,[2]Sheet2!$I$2:$I$1273,[2]Sheet2!$D$2:$D$1273,0)</f>
        <v>Q2</v>
      </c>
      <c r="D319" s="4">
        <f>_xlfn.XLOOKUP(B319,[4]Sheet2!$B$2:$B$3154,[4]Sheet2!$F$2:$F$3154,0)</f>
        <v>0</v>
      </c>
      <c r="E319" s="4" t="e">
        <f>_xlfn.XLOOKUP(B319,[2]Sheet2!$E$2:$E$713,[2]Sheet2!$G$2:$G$713)</f>
        <v>#N/A</v>
      </c>
      <c r="F319" s="18">
        <v>46056</v>
      </c>
      <c r="G319" s="14">
        <v>0.47</v>
      </c>
      <c r="H319" s="7" t="s">
        <v>5</v>
      </c>
      <c r="I319" s="2" t="str">
        <f t="shared" si="23"/>
        <v>Q4</v>
      </c>
      <c r="J319" s="2" t="str">
        <f t="shared" si="24"/>
        <v>Not Match</v>
      </c>
      <c r="K319" s="2">
        <f t="shared" si="20"/>
        <v>0.1</v>
      </c>
      <c r="L319" s="2" t="e">
        <f t="shared" si="21"/>
        <v>#N/A</v>
      </c>
      <c r="M319" s="2" t="str">
        <f t="shared" si="22"/>
        <v>Below 0.8 not in assigned quadrant</v>
      </c>
      <c r="N319" s="7">
        <v>14.9</v>
      </c>
      <c r="O319" s="7">
        <v>-0.5</v>
      </c>
      <c r="P319" s="7">
        <v>-2.7</v>
      </c>
      <c r="Q319" s="7">
        <v>-0.3</v>
      </c>
      <c r="R319" s="7">
        <v>0</v>
      </c>
      <c r="S319" s="7">
        <v>-0.1</v>
      </c>
      <c r="T319" s="7">
        <v>0.15</v>
      </c>
      <c r="U319" s="7">
        <v>0.12</v>
      </c>
      <c r="V319" s="7">
        <v>0.36</v>
      </c>
      <c r="W319" s="7" t="s">
        <v>8</v>
      </c>
      <c r="X319" s="7" t="s">
        <v>9</v>
      </c>
      <c r="Y319" s="2" t="s">
        <v>719</v>
      </c>
      <c r="Z319" s="2" t="s">
        <v>721</v>
      </c>
    </row>
    <row r="320" spans="1:26" x14ac:dyDescent="0.35">
      <c r="A320" s="7" t="s">
        <v>1554</v>
      </c>
      <c r="B320" s="7" t="s">
        <v>968</v>
      </c>
      <c r="C320" s="4" t="str">
        <f>_xlfn.XLOOKUP(A320,[2]Sheet2!$I$2:$I$1273,[2]Sheet2!$D$2:$D$1273,0)</f>
        <v>Q1</v>
      </c>
      <c r="D320" s="4">
        <f>_xlfn.XLOOKUP(B320,[4]Sheet2!$B$2:$B$3154,[4]Sheet2!$F$2:$F$3154,0)</f>
        <v>0</v>
      </c>
      <c r="E320" s="4" t="e">
        <f>_xlfn.XLOOKUP(B320,[2]Sheet2!$E$2:$E$713,[2]Sheet2!$G$2:$G$713)</f>
        <v>#N/A</v>
      </c>
      <c r="F320" s="18">
        <v>46056</v>
      </c>
      <c r="G320" s="14">
        <v>0.68332175925925931</v>
      </c>
      <c r="H320" s="7" t="s">
        <v>5</v>
      </c>
      <c r="I320" s="2" t="str">
        <f t="shared" si="23"/>
        <v>Q1</v>
      </c>
      <c r="J320" s="2" t="str">
        <f t="shared" si="24"/>
        <v>Match</v>
      </c>
      <c r="K320" s="2">
        <f t="shared" si="20"/>
        <v>0.56568542494923812</v>
      </c>
      <c r="L320" s="2" t="e">
        <f t="shared" si="21"/>
        <v>#N/A</v>
      </c>
      <c r="M320" s="2" t="str">
        <f t="shared" si="22"/>
        <v>Failed but within quadrant</v>
      </c>
      <c r="N320" s="7">
        <v>17</v>
      </c>
      <c r="O320" s="7">
        <v>-0.4</v>
      </c>
      <c r="P320" s="7">
        <v>-2.2000000000000002</v>
      </c>
      <c r="Q320" s="7">
        <v>-0.09</v>
      </c>
      <c r="R320" s="7">
        <v>0.4</v>
      </c>
      <c r="S320" s="7">
        <v>0.4</v>
      </c>
      <c r="T320" s="7">
        <v>-0.71</v>
      </c>
      <c r="U320" s="7">
        <v>0.46</v>
      </c>
      <c r="V320" s="7">
        <v>0.85</v>
      </c>
      <c r="W320" s="7" t="s">
        <v>13</v>
      </c>
      <c r="X320" s="7" t="s">
        <v>9</v>
      </c>
      <c r="Y320" s="2" t="s">
        <v>719</v>
      </c>
      <c r="Z320" s="2" t="s">
        <v>721</v>
      </c>
    </row>
    <row r="321" spans="1:26" x14ac:dyDescent="0.35">
      <c r="A321" s="7" t="s">
        <v>1623</v>
      </c>
      <c r="B321" s="7" t="s">
        <v>969</v>
      </c>
      <c r="C321" s="4" t="str">
        <f>_xlfn.XLOOKUP(A321,[2]Sheet2!$I$2:$I$1273,[2]Sheet2!$D$2:$D$1273,0)</f>
        <v>Q3</v>
      </c>
      <c r="D321" s="4">
        <f>_xlfn.XLOOKUP(B321,[4]Sheet2!$B$2:$B$3154,[4]Sheet2!$F$2:$F$3154,0)</f>
        <v>0</v>
      </c>
      <c r="E321" s="4" t="e">
        <f>_xlfn.XLOOKUP(B321,[2]Sheet2!$E$2:$E$713,[2]Sheet2!$G$2:$G$713)</f>
        <v>#N/A</v>
      </c>
      <c r="F321" s="18">
        <v>46056</v>
      </c>
      <c r="G321" s="14">
        <v>0.68891203703703707</v>
      </c>
      <c r="H321" s="7" t="s">
        <v>16</v>
      </c>
      <c r="I321" s="2" t="str">
        <f t="shared" si="23"/>
        <v>Q3</v>
      </c>
      <c r="J321" s="2" t="str">
        <f t="shared" si="24"/>
        <v>Match</v>
      </c>
      <c r="K321" s="2">
        <f t="shared" ref="K321:K383" si="25">SQRT(R321^2+S321^2)</f>
        <v>0.14142135623730953</v>
      </c>
      <c r="L321" s="2" t="e">
        <f t="shared" ref="L321:L383" si="26">IF(K321&lt;=E321,"Within Range","Over Range")</f>
        <v>#N/A</v>
      </c>
      <c r="M321" s="2" t="str">
        <f t="shared" ref="M321:M383" si="27">IF(AND(J321="Match",V321&lt;=0.8),"Digital Approve Hit",
IF(AND(J321="Match",V321&gt;0.8),"Failed but within quadrant",
IF(AND(J321="Not Match",V321&lt;=0.8),"Below 0.8 not in assigned quadrant",
"Assign quadrant hit")))</f>
        <v>Digital Approve Hit</v>
      </c>
      <c r="N321" s="7">
        <v>14.6</v>
      </c>
      <c r="O321" s="7">
        <v>-0.5</v>
      </c>
      <c r="P321" s="7">
        <v>-2</v>
      </c>
      <c r="Q321" s="7">
        <v>-0.53</v>
      </c>
      <c r="R321" s="7">
        <v>-0.1</v>
      </c>
      <c r="S321" s="7">
        <v>-0.1</v>
      </c>
      <c r="T321" s="7">
        <v>0.2</v>
      </c>
      <c r="U321" s="7">
        <v>-0.21</v>
      </c>
      <c r="V321" s="7">
        <v>0.61</v>
      </c>
      <c r="W321" s="7" t="s">
        <v>8</v>
      </c>
      <c r="X321" s="7" t="s">
        <v>15</v>
      </c>
      <c r="Y321" s="2" t="s">
        <v>719</v>
      </c>
      <c r="Z321" s="2" t="s">
        <v>721</v>
      </c>
    </row>
    <row r="322" spans="1:26" x14ac:dyDescent="0.35">
      <c r="A322" s="7" t="s">
        <v>1547</v>
      </c>
      <c r="B322" s="7" t="s">
        <v>970</v>
      </c>
      <c r="C322" s="4" t="str">
        <f>_xlfn.XLOOKUP(A322,[2]Sheet2!$I$2:$I$1273,[2]Sheet2!$D$2:$D$1273,0)</f>
        <v>Q3</v>
      </c>
      <c r="D322" s="4">
        <f>_xlfn.XLOOKUP(B322,[4]Sheet2!$B$2:$B$3154,[4]Sheet2!$F$2:$F$3154,0)</f>
        <v>0</v>
      </c>
      <c r="E322" s="4" t="e">
        <f>_xlfn.XLOOKUP(B322,[2]Sheet2!$E$2:$E$713,[2]Sheet2!$G$2:$G$713)</f>
        <v>#N/A</v>
      </c>
      <c r="F322" s="18">
        <v>46056</v>
      </c>
      <c r="G322" s="14">
        <v>0.69207175925925923</v>
      </c>
      <c r="H322" s="7" t="s">
        <v>16</v>
      </c>
      <c r="I322" s="2" t="str">
        <f t="shared" ref="I322:I384" si="28">IF(AND(R322=0,S322=0),IF(C322="","Origin",C322),
IF(AND(R322&gt;0,S322=0),"Q4",
IF(AND(R322&lt;0,S322=0),"Q3",
IF(AND(R322&gt;=0,S322&lt;0),"Q4",
IF(AND(R322&gt;=0,S322&gt;0),"Q1",
IF(AND(R322&lt;0,S322&lt;=0),"Q3",
IF(AND(R322&lt;0,S322&gt;0),"Q2",
"")))))))</f>
        <v>Q4</v>
      </c>
      <c r="J322" s="2" t="str">
        <f t="shared" si="24"/>
        <v>Not Match</v>
      </c>
      <c r="K322" s="2">
        <f t="shared" si="25"/>
        <v>0.1</v>
      </c>
      <c r="L322" s="2" t="e">
        <f t="shared" si="26"/>
        <v>#N/A</v>
      </c>
      <c r="M322" s="2" t="str">
        <f t="shared" si="27"/>
        <v>Below 0.8 not in assigned quadrant</v>
      </c>
      <c r="N322" s="7">
        <v>14.8</v>
      </c>
      <c r="O322" s="7">
        <v>-0.3</v>
      </c>
      <c r="P322" s="7">
        <v>-2</v>
      </c>
      <c r="Q322" s="7">
        <v>-0.59</v>
      </c>
      <c r="R322" s="7">
        <v>0</v>
      </c>
      <c r="S322" s="7">
        <v>-0.1</v>
      </c>
      <c r="T322" s="7">
        <v>0.23</v>
      </c>
      <c r="U322" s="7">
        <v>-0.03</v>
      </c>
      <c r="V322" s="7">
        <v>0.64</v>
      </c>
      <c r="W322" s="7" t="s">
        <v>8</v>
      </c>
      <c r="X322" s="7" t="s">
        <v>15</v>
      </c>
      <c r="Y322" s="2" t="s">
        <v>719</v>
      </c>
      <c r="Z322" s="2" t="s">
        <v>721</v>
      </c>
    </row>
    <row r="323" spans="1:26" x14ac:dyDescent="0.35">
      <c r="A323" s="7" t="s">
        <v>1558</v>
      </c>
      <c r="B323" s="7" t="s">
        <v>328</v>
      </c>
      <c r="C323" s="4" t="str">
        <f>_xlfn.XLOOKUP(A323,[2]Sheet2!$I$2:$I$1273,[2]Sheet2!$D$2:$D$1273,0)</f>
        <v>Q3</v>
      </c>
      <c r="D323" s="4">
        <f>_xlfn.XLOOKUP(B323,[4]Sheet2!$B$2:$B$3154,[4]Sheet2!$F$2:$F$3154,0)</f>
        <v>0</v>
      </c>
      <c r="E323" s="4" t="e">
        <f>_xlfn.XLOOKUP(B323,[2]Sheet2!$E$2:$E$713,[2]Sheet2!$G$2:$G$713)</f>
        <v>#N/A</v>
      </c>
      <c r="F323" s="18">
        <v>46057</v>
      </c>
      <c r="G323" s="14">
        <v>6.7557870370370365E-2</v>
      </c>
      <c r="H323" s="7" t="s">
        <v>16</v>
      </c>
      <c r="I323" s="2" t="str">
        <f t="shared" si="28"/>
        <v>Q4</v>
      </c>
      <c r="J323" s="2" t="str">
        <f t="shared" ref="J323:J386" si="29">IF(I323=C323,"Match",IF(C323=0,"Not Found","Not Match"))</f>
        <v>Not Match</v>
      </c>
      <c r="K323" s="2">
        <f t="shared" si="25"/>
        <v>0.2</v>
      </c>
      <c r="L323" s="2" t="e">
        <f t="shared" si="26"/>
        <v>#N/A</v>
      </c>
      <c r="M323" s="2" t="str">
        <f t="shared" si="27"/>
        <v>Below 0.8 not in assigned quadrant</v>
      </c>
      <c r="N323" s="7">
        <v>14.8</v>
      </c>
      <c r="O323" s="7">
        <v>-0.3</v>
      </c>
      <c r="P323" s="7">
        <v>-2.1</v>
      </c>
      <c r="Q323" s="7">
        <v>-0.65</v>
      </c>
      <c r="R323" s="7">
        <v>0</v>
      </c>
      <c r="S323" s="7">
        <v>-0.2</v>
      </c>
      <c r="T323" s="7">
        <v>0.35</v>
      </c>
      <c r="U323" s="7">
        <v>0.01</v>
      </c>
      <c r="V323" s="7">
        <v>0.74</v>
      </c>
      <c r="W323" s="7" t="s">
        <v>8</v>
      </c>
      <c r="X323" s="7" t="s">
        <v>9</v>
      </c>
      <c r="Y323" s="2" t="s">
        <v>719</v>
      </c>
      <c r="Z323" s="2" t="s">
        <v>721</v>
      </c>
    </row>
    <row r="324" spans="1:26" x14ac:dyDescent="0.35">
      <c r="A324" s="7" t="s">
        <v>1547</v>
      </c>
      <c r="B324" s="7" t="s">
        <v>329</v>
      </c>
      <c r="C324" s="4" t="str">
        <f>_xlfn.XLOOKUP(A324,[2]Sheet2!$I$2:$I$1273,[2]Sheet2!$D$2:$D$1273,0)</f>
        <v>Q3</v>
      </c>
      <c r="D324" s="4">
        <f>_xlfn.XLOOKUP(B324,[4]Sheet2!$B$2:$B$3154,[4]Sheet2!$F$2:$F$3154,0)</f>
        <v>0</v>
      </c>
      <c r="E324" s="4" t="e">
        <f>_xlfn.XLOOKUP(B324,[2]Sheet2!$E$2:$E$713,[2]Sheet2!$G$2:$G$713)</f>
        <v>#N/A</v>
      </c>
      <c r="F324" s="18">
        <v>46057</v>
      </c>
      <c r="G324" s="14">
        <v>6.987268518518519E-2</v>
      </c>
      <c r="H324" s="7" t="s">
        <v>16</v>
      </c>
      <c r="I324" s="2" t="str">
        <f t="shared" si="28"/>
        <v>Q4</v>
      </c>
      <c r="J324" s="2" t="str">
        <f t="shared" si="29"/>
        <v>Not Match</v>
      </c>
      <c r="K324" s="2">
        <f t="shared" si="25"/>
        <v>0.4</v>
      </c>
      <c r="L324" s="2" t="e">
        <f t="shared" si="26"/>
        <v>#N/A</v>
      </c>
      <c r="M324" s="2" t="str">
        <f t="shared" si="27"/>
        <v>Assign quadrant hit</v>
      </c>
      <c r="N324" s="7">
        <v>14.5</v>
      </c>
      <c r="O324" s="7">
        <v>-0.3</v>
      </c>
      <c r="P324" s="7">
        <v>-2.2000000000000002</v>
      </c>
      <c r="Q324" s="7">
        <v>-0.95</v>
      </c>
      <c r="R324" s="7">
        <v>0</v>
      </c>
      <c r="S324" s="7">
        <v>-0.4</v>
      </c>
      <c r="T324" s="7">
        <v>0.54</v>
      </c>
      <c r="U324" s="7">
        <v>0.04</v>
      </c>
      <c r="V324" s="7">
        <v>1.0900000000000001</v>
      </c>
      <c r="W324" s="7" t="s">
        <v>6</v>
      </c>
      <c r="X324" s="7" t="s">
        <v>9</v>
      </c>
      <c r="Y324" s="2" t="s">
        <v>719</v>
      </c>
      <c r="Z324" s="2" t="s">
        <v>721</v>
      </c>
    </row>
    <row r="325" spans="1:26" x14ac:dyDescent="0.35">
      <c r="A325" s="7" t="s">
        <v>1509</v>
      </c>
      <c r="B325" s="7" t="s">
        <v>330</v>
      </c>
      <c r="C325" s="4" t="str">
        <f>_xlfn.XLOOKUP(A325,[2]Sheet2!$I$2:$I$1273,[2]Sheet2!$D$2:$D$1273,0)</f>
        <v>Q2</v>
      </c>
      <c r="D325" s="4">
        <f>_xlfn.XLOOKUP(B325,[4]Sheet2!$B$2:$B$3154,[4]Sheet2!$F$2:$F$3154,0)</f>
        <v>0</v>
      </c>
      <c r="E325" s="4" t="e">
        <f>_xlfn.XLOOKUP(B325,[2]Sheet2!$E$2:$E$713,[2]Sheet2!$G$2:$G$713)</f>
        <v>#N/A</v>
      </c>
      <c r="F325" s="18">
        <v>46057</v>
      </c>
      <c r="G325" s="14">
        <v>7.1956018518518516E-2</v>
      </c>
      <c r="H325" s="7" t="s">
        <v>14</v>
      </c>
      <c r="I325" s="2" t="str">
        <f t="shared" si="28"/>
        <v>Q4</v>
      </c>
      <c r="J325" s="2" t="str">
        <f t="shared" si="29"/>
        <v>Not Match</v>
      </c>
      <c r="K325" s="2">
        <f t="shared" si="25"/>
        <v>0.14142135623730953</v>
      </c>
      <c r="L325" s="2" t="e">
        <f t="shared" si="26"/>
        <v>#N/A</v>
      </c>
      <c r="M325" s="2" t="str">
        <f t="shared" si="27"/>
        <v>Below 0.8 not in assigned quadrant</v>
      </c>
      <c r="N325" s="7">
        <v>16.600000000000001</v>
      </c>
      <c r="O325" s="7">
        <v>-0.7</v>
      </c>
      <c r="P325" s="7">
        <v>-3.1</v>
      </c>
      <c r="Q325" s="7">
        <v>-0.1</v>
      </c>
      <c r="R325" s="7">
        <v>0.1</v>
      </c>
      <c r="S325" s="7">
        <v>-0.1</v>
      </c>
      <c r="T325" s="7">
        <v>0.09</v>
      </c>
      <c r="U325" s="7">
        <v>0.19</v>
      </c>
      <c r="V325" s="7">
        <v>0.23</v>
      </c>
      <c r="W325" s="7" t="s">
        <v>8</v>
      </c>
      <c r="X325" s="7" t="s">
        <v>9</v>
      </c>
      <c r="Y325" s="2" t="s">
        <v>719</v>
      </c>
      <c r="Z325" s="2" t="s">
        <v>721</v>
      </c>
    </row>
    <row r="326" spans="1:26" x14ac:dyDescent="0.35">
      <c r="A326" s="7" t="s">
        <v>1598</v>
      </c>
      <c r="B326" s="7" t="s">
        <v>331</v>
      </c>
      <c r="C326" s="4" t="str">
        <f>_xlfn.XLOOKUP(A326,[2]Sheet2!$I$2:$I$1273,[2]Sheet2!$D$2:$D$1273,0)</f>
        <v>Q3</v>
      </c>
      <c r="D326" s="4">
        <f>_xlfn.XLOOKUP(B326,[4]Sheet2!$B$2:$B$3154,[4]Sheet2!$F$2:$F$3154,0)</f>
        <v>0</v>
      </c>
      <c r="E326" s="4" t="e">
        <f>_xlfn.XLOOKUP(B326,[2]Sheet2!$E$2:$E$713,[2]Sheet2!$G$2:$G$713)</f>
        <v>#N/A</v>
      </c>
      <c r="F326" s="18">
        <v>46057</v>
      </c>
      <c r="G326" s="14">
        <v>0.26406249999999998</v>
      </c>
      <c r="H326" s="7" t="s">
        <v>5</v>
      </c>
      <c r="I326" s="2" t="str">
        <f t="shared" si="28"/>
        <v>Q3</v>
      </c>
      <c r="J326" s="2" t="str">
        <f t="shared" si="29"/>
        <v>Match</v>
      </c>
      <c r="K326" s="2">
        <f t="shared" si="25"/>
        <v>0.70710678118654757</v>
      </c>
      <c r="L326" s="2" t="e">
        <f t="shared" si="26"/>
        <v>#N/A</v>
      </c>
      <c r="M326" s="2" t="str">
        <f t="shared" si="27"/>
        <v>Digital Approve Hit</v>
      </c>
      <c r="N326" s="7">
        <v>20.8</v>
      </c>
      <c r="O326" s="7">
        <v>-6.7</v>
      </c>
      <c r="P326" s="7">
        <v>-14</v>
      </c>
      <c r="Q326" s="7">
        <v>-0.04</v>
      </c>
      <c r="R326" s="7">
        <v>-0.5</v>
      </c>
      <c r="S326" s="7">
        <v>-0.5</v>
      </c>
      <c r="T326" s="7">
        <v>0.49</v>
      </c>
      <c r="U326" s="7">
        <v>-0.3</v>
      </c>
      <c r="V326" s="7">
        <v>0.57999999999999996</v>
      </c>
      <c r="W326" s="7" t="s">
        <v>8</v>
      </c>
      <c r="X326" s="7" t="s">
        <v>15</v>
      </c>
      <c r="Y326" s="2" t="s">
        <v>719</v>
      </c>
      <c r="Z326" s="2" t="s">
        <v>721</v>
      </c>
    </row>
    <row r="327" spans="1:26" x14ac:dyDescent="0.35">
      <c r="A327" s="7" t="s">
        <v>1536</v>
      </c>
      <c r="B327" s="7" t="s">
        <v>333</v>
      </c>
      <c r="C327" s="4" t="str">
        <f>_xlfn.XLOOKUP(A327,[2]Sheet2!$I$2:$I$1273,[2]Sheet2!$D$2:$D$1273,0)</f>
        <v>Q2</v>
      </c>
      <c r="D327" s="4">
        <f>_xlfn.XLOOKUP(B327,[4]Sheet2!$B$2:$B$3154,[4]Sheet2!$F$2:$F$3154,0)</f>
        <v>0</v>
      </c>
      <c r="E327" s="4" t="e">
        <f>_xlfn.XLOOKUP(B327,[2]Sheet2!$E$2:$E$713,[2]Sheet2!$G$2:$G$713)</f>
        <v>#N/A</v>
      </c>
      <c r="F327" s="18">
        <v>46057</v>
      </c>
      <c r="G327" s="14">
        <v>0.27876157407407409</v>
      </c>
      <c r="H327" s="7" t="s">
        <v>5</v>
      </c>
      <c r="I327" s="2" t="str">
        <f t="shared" si="28"/>
        <v>Q4</v>
      </c>
      <c r="J327" s="2" t="str">
        <f t="shared" si="29"/>
        <v>Not Match</v>
      </c>
      <c r="K327" s="2">
        <f t="shared" si="25"/>
        <v>0.2</v>
      </c>
      <c r="L327" s="2" t="e">
        <f t="shared" si="26"/>
        <v>#N/A</v>
      </c>
      <c r="M327" s="2" t="str">
        <f t="shared" si="27"/>
        <v>Below 0.8 not in assigned quadrant</v>
      </c>
      <c r="N327" s="7">
        <v>15.1</v>
      </c>
      <c r="O327" s="7">
        <v>-0.4</v>
      </c>
      <c r="P327" s="7">
        <v>-2.6</v>
      </c>
      <c r="Q327" s="7">
        <v>-0.12</v>
      </c>
      <c r="R327" s="7">
        <v>0.2</v>
      </c>
      <c r="S327" s="7">
        <v>0</v>
      </c>
      <c r="T327" s="7">
        <v>-0.04</v>
      </c>
      <c r="U327" s="7">
        <v>0.28000000000000003</v>
      </c>
      <c r="V327" s="7">
        <v>0.31</v>
      </c>
      <c r="W327" s="7" t="s">
        <v>8</v>
      </c>
      <c r="X327" s="7" t="s">
        <v>9</v>
      </c>
      <c r="Y327" s="2" t="s">
        <v>719</v>
      </c>
      <c r="Z327" s="2" t="s">
        <v>721</v>
      </c>
    </row>
    <row r="328" spans="1:26" x14ac:dyDescent="0.35">
      <c r="A328" s="7" t="s">
        <v>1536</v>
      </c>
      <c r="B328" s="7" t="s">
        <v>334</v>
      </c>
      <c r="C328" s="4" t="str">
        <f>_xlfn.XLOOKUP(A328,[2]Sheet2!$I$2:$I$1273,[2]Sheet2!$D$2:$D$1273,0)</f>
        <v>Q2</v>
      </c>
      <c r="D328" s="4">
        <f>_xlfn.XLOOKUP(B328,[4]Sheet2!$B$2:$B$3154,[4]Sheet2!$F$2:$F$3154,0)</f>
        <v>0</v>
      </c>
      <c r="E328" s="4" t="e">
        <f>_xlfn.XLOOKUP(B328,[2]Sheet2!$E$2:$E$713,[2]Sheet2!$G$2:$G$713)</f>
        <v>#N/A</v>
      </c>
      <c r="F328" s="18">
        <v>46057</v>
      </c>
      <c r="G328" s="14">
        <v>0.2802546296296296</v>
      </c>
      <c r="H328" s="7" t="s">
        <v>5</v>
      </c>
      <c r="I328" s="2" t="str">
        <f t="shared" si="28"/>
        <v>Q4</v>
      </c>
      <c r="J328" s="2" t="str">
        <f t="shared" si="29"/>
        <v>Not Match</v>
      </c>
      <c r="K328" s="2">
        <f t="shared" si="25"/>
        <v>0.1</v>
      </c>
      <c r="L328" s="2" t="e">
        <f t="shared" si="26"/>
        <v>#N/A</v>
      </c>
      <c r="M328" s="2" t="str">
        <f t="shared" si="27"/>
        <v>Below 0.8 not in assigned quadrant</v>
      </c>
      <c r="N328" s="7">
        <v>14.9</v>
      </c>
      <c r="O328" s="7">
        <v>-0.5</v>
      </c>
      <c r="P328" s="7">
        <v>-2.5</v>
      </c>
      <c r="Q328" s="7">
        <v>-0.28000000000000003</v>
      </c>
      <c r="R328" s="7">
        <v>0.1</v>
      </c>
      <c r="S328" s="7">
        <v>0</v>
      </c>
      <c r="T328" s="7">
        <v>-0.13</v>
      </c>
      <c r="U328" s="7">
        <v>0.11</v>
      </c>
      <c r="V328" s="7">
        <v>0.33</v>
      </c>
      <c r="W328" s="7" t="s">
        <v>8</v>
      </c>
      <c r="X328" s="7" t="s">
        <v>9</v>
      </c>
      <c r="Y328" s="2" t="s">
        <v>719</v>
      </c>
      <c r="Z328" s="2" t="s">
        <v>721</v>
      </c>
    </row>
    <row r="329" spans="1:26" x14ac:dyDescent="0.35">
      <c r="A329" s="7" t="s">
        <v>1619</v>
      </c>
      <c r="B329" s="7" t="s">
        <v>335</v>
      </c>
      <c r="C329" s="4" t="str">
        <f>_xlfn.XLOOKUP(A329,[2]Sheet2!$I$2:$I$1273,[2]Sheet2!$D$2:$D$1273,0)</f>
        <v>Q4</v>
      </c>
      <c r="D329" s="4">
        <f>_xlfn.XLOOKUP(B329,[4]Sheet2!$B$2:$B$3154,[4]Sheet2!$F$2:$F$3154,0)</f>
        <v>0</v>
      </c>
      <c r="E329" s="4" t="e">
        <f>_xlfn.XLOOKUP(B329,[2]Sheet2!$E$2:$E$713,[2]Sheet2!$G$2:$G$713)</f>
        <v>#N/A</v>
      </c>
      <c r="F329" s="18">
        <v>46057</v>
      </c>
      <c r="G329" s="14">
        <v>0.28335648148148146</v>
      </c>
      <c r="H329" s="7" t="s">
        <v>16</v>
      </c>
      <c r="I329" s="2" t="str">
        <f t="shared" si="28"/>
        <v>Q2</v>
      </c>
      <c r="J329" s="2" t="str">
        <f t="shared" si="29"/>
        <v>Not Match</v>
      </c>
      <c r="K329" s="2">
        <f t="shared" si="25"/>
        <v>0.14142135623730953</v>
      </c>
      <c r="L329" s="2" t="e">
        <f t="shared" si="26"/>
        <v>#N/A</v>
      </c>
      <c r="M329" s="2" t="str">
        <f t="shared" si="27"/>
        <v>Below 0.8 not in assigned quadrant</v>
      </c>
      <c r="N329" s="7">
        <v>28.7</v>
      </c>
      <c r="O329" s="7">
        <v>-1.8</v>
      </c>
      <c r="P329" s="7">
        <v>-2.8</v>
      </c>
      <c r="Q329" s="7">
        <v>-0.11</v>
      </c>
      <c r="R329" s="7">
        <v>-0.1</v>
      </c>
      <c r="S329" s="7">
        <v>0.1</v>
      </c>
      <c r="T329" s="7">
        <v>-0.08</v>
      </c>
      <c r="U329" s="7">
        <v>-0.27</v>
      </c>
      <c r="V329" s="7">
        <v>0.3</v>
      </c>
      <c r="W329" s="7" t="s">
        <v>8</v>
      </c>
      <c r="X329" s="7" t="s">
        <v>15</v>
      </c>
      <c r="Y329" s="2" t="s">
        <v>719</v>
      </c>
      <c r="Z329" s="2" t="s">
        <v>721</v>
      </c>
    </row>
    <row r="330" spans="1:26" x14ac:dyDescent="0.35">
      <c r="A330" s="7" t="s">
        <v>1569</v>
      </c>
      <c r="B330" s="7" t="s">
        <v>336</v>
      </c>
      <c r="C330" s="4">
        <f>_xlfn.XLOOKUP(A330,[2]Sheet2!$I$2:$I$1273,[2]Sheet2!$D$2:$D$1273,0)</f>
        <v>0</v>
      </c>
      <c r="D330" s="4">
        <f>_xlfn.XLOOKUP(B330,[4]Sheet2!$B$2:$B$3154,[4]Sheet2!$F$2:$F$3154,0)</f>
        <v>0</v>
      </c>
      <c r="E330" s="4" t="e">
        <f>_xlfn.XLOOKUP(B330,[2]Sheet2!$E$2:$E$713,[2]Sheet2!$G$2:$G$713)</f>
        <v>#N/A</v>
      </c>
      <c r="F330" s="18">
        <v>46057</v>
      </c>
      <c r="G330" s="14">
        <v>0.28535879629629629</v>
      </c>
      <c r="H330" s="7" t="s">
        <v>16</v>
      </c>
      <c r="I330" s="2" t="str">
        <f t="shared" si="28"/>
        <v>Q3</v>
      </c>
      <c r="J330" s="2" t="str">
        <f t="shared" si="29"/>
        <v>Not Found</v>
      </c>
      <c r="K330" s="2">
        <f t="shared" si="25"/>
        <v>0.76157731058639078</v>
      </c>
      <c r="L330" s="2" t="e">
        <f t="shared" si="26"/>
        <v>#N/A</v>
      </c>
      <c r="M330" s="2" t="str">
        <f t="shared" si="27"/>
        <v>Assign quadrant hit</v>
      </c>
      <c r="N330" s="7">
        <v>16.2</v>
      </c>
      <c r="O330" s="7">
        <v>-2.5</v>
      </c>
      <c r="P330" s="7">
        <v>-9.6</v>
      </c>
      <c r="Q330" s="7">
        <v>-0.28000000000000003</v>
      </c>
      <c r="R330" s="7">
        <v>-0.3</v>
      </c>
      <c r="S330" s="7">
        <v>-0.7</v>
      </c>
      <c r="T330" s="7">
        <v>0.68</v>
      </c>
      <c r="U330" s="7">
        <v>-0.21</v>
      </c>
      <c r="V330" s="7">
        <v>0.77</v>
      </c>
      <c r="W330" s="7" t="s">
        <v>13</v>
      </c>
      <c r="X330" s="7" t="s">
        <v>15</v>
      </c>
      <c r="Y330" s="2" t="s">
        <v>719</v>
      </c>
      <c r="Z330" s="2" t="s">
        <v>721</v>
      </c>
    </row>
    <row r="331" spans="1:26" x14ac:dyDescent="0.35">
      <c r="A331" s="7" t="s">
        <v>1588</v>
      </c>
      <c r="B331" s="7" t="s">
        <v>337</v>
      </c>
      <c r="C331" s="4" t="str">
        <f>_xlfn.XLOOKUP(A331,[2]Sheet2!$I$2:$I$1273,[2]Sheet2!$D$2:$D$1273,0)</f>
        <v>Q2</v>
      </c>
      <c r="D331" s="4">
        <f>_xlfn.XLOOKUP(B331,[4]Sheet2!$B$2:$B$3154,[4]Sheet2!$F$2:$F$3154,0)</f>
        <v>0</v>
      </c>
      <c r="E331" s="4" t="e">
        <f>_xlfn.XLOOKUP(B331,[2]Sheet2!$E$2:$E$713,[2]Sheet2!$G$2:$G$713)</f>
        <v>#N/A</v>
      </c>
      <c r="F331" s="18">
        <v>46057</v>
      </c>
      <c r="G331" s="14">
        <v>0.28703703703703703</v>
      </c>
      <c r="H331" s="7" t="s">
        <v>5</v>
      </c>
      <c r="I331" s="2" t="str">
        <f t="shared" si="28"/>
        <v>Q2</v>
      </c>
      <c r="J331" s="2" t="str">
        <f t="shared" si="29"/>
        <v>Match</v>
      </c>
      <c r="K331" s="2">
        <f t="shared" si="25"/>
        <v>0.36055512754639896</v>
      </c>
      <c r="L331" s="2" t="e">
        <f t="shared" si="26"/>
        <v>#N/A</v>
      </c>
      <c r="M331" s="2" t="str">
        <f t="shared" si="27"/>
        <v>Digital Approve Hit</v>
      </c>
      <c r="N331" s="7">
        <v>26.6</v>
      </c>
      <c r="O331" s="7">
        <v>20.3</v>
      </c>
      <c r="P331" s="7">
        <v>5.2</v>
      </c>
      <c r="Q331" s="7">
        <v>-0.69</v>
      </c>
      <c r="R331" s="7">
        <v>-0.2</v>
      </c>
      <c r="S331" s="7">
        <v>0.3</v>
      </c>
      <c r="T331" s="7">
        <v>-7.0000000000000007E-2</v>
      </c>
      <c r="U331" s="7">
        <v>0.35</v>
      </c>
      <c r="V331" s="7">
        <v>0.78</v>
      </c>
      <c r="W331" s="7" t="s">
        <v>13</v>
      </c>
      <c r="X331" s="7" t="s">
        <v>12</v>
      </c>
      <c r="Y331" s="2" t="s">
        <v>719</v>
      </c>
      <c r="Z331" s="2" t="s">
        <v>721</v>
      </c>
    </row>
    <row r="332" spans="1:26" x14ac:dyDescent="0.35">
      <c r="A332" s="7" t="s">
        <v>1560</v>
      </c>
      <c r="B332" s="7" t="s">
        <v>338</v>
      </c>
      <c r="C332" s="4" t="str">
        <f>_xlfn.XLOOKUP(A332,[2]Sheet2!$I$2:$I$1273,[2]Sheet2!$D$2:$D$1273,0)</f>
        <v>Q2</v>
      </c>
      <c r="D332" s="4">
        <f>_xlfn.XLOOKUP(B332,[4]Sheet2!$B$2:$B$3154,[4]Sheet2!$F$2:$F$3154,0)</f>
        <v>0</v>
      </c>
      <c r="E332" s="4" t="e">
        <f>_xlfn.XLOOKUP(B332,[2]Sheet2!$E$2:$E$713,[2]Sheet2!$G$2:$G$713)</f>
        <v>#N/A</v>
      </c>
      <c r="F332" s="18">
        <v>46057</v>
      </c>
      <c r="G332" s="14">
        <v>0.28862268518518519</v>
      </c>
      <c r="H332" s="7" t="s">
        <v>14</v>
      </c>
      <c r="I332" s="2" t="str">
        <f t="shared" si="28"/>
        <v>Q3</v>
      </c>
      <c r="J332" s="2" t="str">
        <f t="shared" si="29"/>
        <v>Not Match</v>
      </c>
      <c r="K332" s="2">
        <f t="shared" si="25"/>
        <v>0.80622577482985502</v>
      </c>
      <c r="L332" s="2" t="e">
        <f t="shared" si="26"/>
        <v>#N/A</v>
      </c>
      <c r="M332" s="2" t="str">
        <f t="shared" si="27"/>
        <v>Assign quadrant hit</v>
      </c>
      <c r="N332" s="7">
        <v>16.600000000000001</v>
      </c>
      <c r="O332" s="7">
        <v>0</v>
      </c>
      <c r="P332" s="7">
        <v>-13.3</v>
      </c>
      <c r="Q332" s="7">
        <v>-1.1399999999999999</v>
      </c>
      <c r="R332" s="7">
        <v>-0.1</v>
      </c>
      <c r="S332" s="7">
        <v>-0.8</v>
      </c>
      <c r="T332" s="7">
        <v>0.66</v>
      </c>
      <c r="U332" s="7">
        <v>-0.14000000000000001</v>
      </c>
      <c r="V332" s="7">
        <v>1.32</v>
      </c>
      <c r="W332" s="7" t="s">
        <v>6</v>
      </c>
      <c r="X332" s="7" t="s">
        <v>15</v>
      </c>
      <c r="Y332" s="2" t="s">
        <v>719</v>
      </c>
      <c r="Z332" s="2" t="s">
        <v>721</v>
      </c>
    </row>
    <row r="333" spans="1:26" x14ac:dyDescent="0.35">
      <c r="A333" s="7" t="s">
        <v>1624</v>
      </c>
      <c r="B333" s="7" t="s">
        <v>339</v>
      </c>
      <c r="C333" s="4" t="str">
        <f>_xlfn.XLOOKUP(A333,[2]Sheet2!$I$2:$I$1273,[2]Sheet2!$D$2:$D$1273,0)</f>
        <v>Q4</v>
      </c>
      <c r="D333" s="4">
        <f>_xlfn.XLOOKUP(B333,[4]Sheet2!$B$2:$B$3154,[4]Sheet2!$F$2:$F$3154,0)</f>
        <v>0</v>
      </c>
      <c r="E333" s="4" t="e">
        <f>_xlfn.XLOOKUP(B333,[2]Sheet2!$E$2:$E$713,[2]Sheet2!$G$2:$G$713)</f>
        <v>#N/A</v>
      </c>
      <c r="F333" s="18">
        <v>46057</v>
      </c>
      <c r="G333" s="14">
        <v>0.29646990740740742</v>
      </c>
      <c r="H333" s="7" t="s">
        <v>5</v>
      </c>
      <c r="I333" s="2" t="str">
        <f t="shared" si="28"/>
        <v>Q4</v>
      </c>
      <c r="J333" s="2" t="str">
        <f t="shared" si="29"/>
        <v>Match</v>
      </c>
      <c r="K333" s="2">
        <f t="shared" si="25"/>
        <v>0.5</v>
      </c>
      <c r="L333" s="2" t="e">
        <f t="shared" si="26"/>
        <v>#N/A</v>
      </c>
      <c r="M333" s="2" t="str">
        <f t="shared" si="27"/>
        <v>Digital Approve Hit</v>
      </c>
      <c r="N333" s="7">
        <v>15.4</v>
      </c>
      <c r="O333" s="7">
        <v>-0.6</v>
      </c>
      <c r="P333" s="7">
        <v>-2.2000000000000002</v>
      </c>
      <c r="Q333" s="7">
        <v>-0.03</v>
      </c>
      <c r="R333" s="7">
        <v>0</v>
      </c>
      <c r="S333" s="7">
        <v>-0.5</v>
      </c>
      <c r="T333" s="7">
        <v>0.76</v>
      </c>
      <c r="U333" s="7">
        <v>0.24</v>
      </c>
      <c r="V333" s="7">
        <v>0.8</v>
      </c>
      <c r="W333" s="7" t="s">
        <v>13</v>
      </c>
      <c r="X333" s="7" t="s">
        <v>9</v>
      </c>
      <c r="Y333" s="2" t="s">
        <v>719</v>
      </c>
      <c r="Z333" s="2" t="s">
        <v>721</v>
      </c>
    </row>
    <row r="334" spans="1:26" x14ac:dyDescent="0.35">
      <c r="A334" s="7" t="s">
        <v>1554</v>
      </c>
      <c r="B334" s="7" t="s">
        <v>340</v>
      </c>
      <c r="C334" s="4" t="str">
        <f>_xlfn.XLOOKUP(A334,[2]Sheet2!$I$2:$I$1273,[2]Sheet2!$D$2:$D$1273,0)</f>
        <v>Q1</v>
      </c>
      <c r="D334" s="4">
        <f>_xlfn.XLOOKUP(B334,[4]Sheet2!$B$2:$B$3154,[4]Sheet2!$F$2:$F$3154,0)</f>
        <v>0</v>
      </c>
      <c r="E334" s="4" t="e">
        <f>_xlfn.XLOOKUP(B334,[2]Sheet2!$E$2:$E$713,[2]Sheet2!$G$2:$G$713)</f>
        <v>#N/A</v>
      </c>
      <c r="F334" s="18">
        <v>46057</v>
      </c>
      <c r="G334" s="14">
        <v>0.29964120370370373</v>
      </c>
      <c r="H334" s="7" t="s">
        <v>5</v>
      </c>
      <c r="I334" s="2" t="str">
        <f t="shared" si="28"/>
        <v>Q1</v>
      </c>
      <c r="J334" s="2" t="str">
        <f t="shared" si="29"/>
        <v>Match</v>
      </c>
      <c r="K334" s="2">
        <f t="shared" si="25"/>
        <v>0.6403124237432849</v>
      </c>
      <c r="L334" s="2" t="e">
        <f t="shared" si="26"/>
        <v>#N/A</v>
      </c>
      <c r="M334" s="2" t="str">
        <f t="shared" si="27"/>
        <v>Failed but within quadrant</v>
      </c>
      <c r="N334" s="7">
        <v>16.3</v>
      </c>
      <c r="O334" s="7">
        <v>-0.4</v>
      </c>
      <c r="P334" s="7">
        <v>-2.2000000000000002</v>
      </c>
      <c r="Q334" s="7">
        <v>-0.71</v>
      </c>
      <c r="R334" s="7">
        <v>0.5</v>
      </c>
      <c r="S334" s="7">
        <v>0.4</v>
      </c>
      <c r="T334" s="7">
        <v>-0.72</v>
      </c>
      <c r="U334" s="7">
        <v>0.48</v>
      </c>
      <c r="V334" s="7">
        <v>1.1200000000000001</v>
      </c>
      <c r="W334" s="7" t="s">
        <v>6</v>
      </c>
      <c r="X334" s="7" t="s">
        <v>9</v>
      </c>
      <c r="Y334" s="2" t="s">
        <v>719</v>
      </c>
      <c r="Z334" s="2" t="s">
        <v>721</v>
      </c>
    </row>
    <row r="335" spans="1:26" x14ac:dyDescent="0.35">
      <c r="A335" s="7" t="s">
        <v>1625</v>
      </c>
      <c r="B335" s="7" t="s">
        <v>341</v>
      </c>
      <c r="C335" s="4" t="str">
        <f>_xlfn.XLOOKUP(A335,[2]Sheet2!$I$2:$I$1273,[2]Sheet2!$D$2:$D$1273,0)</f>
        <v>Q1</v>
      </c>
      <c r="D335" s="4">
        <f>_xlfn.XLOOKUP(B335,[4]Sheet2!$B$2:$B$3154,[4]Sheet2!$F$2:$F$3154,0)</f>
        <v>0</v>
      </c>
      <c r="E335" s="4" t="e">
        <f>_xlfn.XLOOKUP(B335,[2]Sheet2!$E$2:$E$713,[2]Sheet2!$G$2:$G$713)</f>
        <v>#N/A</v>
      </c>
      <c r="F335" s="18">
        <v>46057</v>
      </c>
      <c r="G335" s="14">
        <v>0.30177083333333332</v>
      </c>
      <c r="H335" s="7" t="s">
        <v>4</v>
      </c>
      <c r="I335" s="2" t="str">
        <f t="shared" si="28"/>
        <v>Q1</v>
      </c>
      <c r="J335" s="2" t="str">
        <f t="shared" si="29"/>
        <v>Match</v>
      </c>
      <c r="K335" s="2">
        <f t="shared" si="25"/>
        <v>0</v>
      </c>
      <c r="L335" s="2" t="e">
        <f t="shared" si="26"/>
        <v>#N/A</v>
      </c>
      <c r="M335" s="2" t="str">
        <f t="shared" si="27"/>
        <v>Digital Approve Hit</v>
      </c>
      <c r="N335" s="7">
        <v>20.8</v>
      </c>
      <c r="O335" s="7">
        <v>0</v>
      </c>
      <c r="P335" s="7">
        <v>-2.6</v>
      </c>
      <c r="Q335" s="7">
        <v>0.54</v>
      </c>
      <c r="R335" s="7">
        <v>0</v>
      </c>
      <c r="S335" s="7">
        <v>0</v>
      </c>
      <c r="T335" s="7">
        <v>0.06</v>
      </c>
      <c r="U335" s="7">
        <v>-0.06</v>
      </c>
      <c r="V335" s="7">
        <v>0.54</v>
      </c>
      <c r="W335" s="7" t="s">
        <v>8</v>
      </c>
      <c r="X335" s="7" t="s">
        <v>15</v>
      </c>
      <c r="Y335" s="2" t="s">
        <v>719</v>
      </c>
      <c r="Z335" s="2" t="s">
        <v>721</v>
      </c>
    </row>
    <row r="336" spans="1:26" x14ac:dyDescent="0.35">
      <c r="A336" s="7" t="s">
        <v>1625</v>
      </c>
      <c r="B336" s="7" t="s">
        <v>342</v>
      </c>
      <c r="C336" s="4" t="str">
        <f>_xlfn.XLOOKUP(A336,[2]Sheet2!$I$2:$I$1273,[2]Sheet2!$D$2:$D$1273,0)</f>
        <v>Q1</v>
      </c>
      <c r="D336" s="4">
        <f>_xlfn.XLOOKUP(B336,[4]Sheet2!$B$2:$B$3154,[4]Sheet2!$F$2:$F$3154,0)</f>
        <v>0</v>
      </c>
      <c r="E336" s="4" t="e">
        <f>_xlfn.XLOOKUP(B336,[2]Sheet2!$E$2:$E$713,[2]Sheet2!$G$2:$G$713)</f>
        <v>#N/A</v>
      </c>
      <c r="F336" s="18">
        <v>46057</v>
      </c>
      <c r="G336" s="14">
        <v>0.47211805555555558</v>
      </c>
      <c r="H336" s="7" t="s">
        <v>4</v>
      </c>
      <c r="I336" s="2" t="str">
        <f t="shared" si="28"/>
        <v>Q4</v>
      </c>
      <c r="J336" s="2" t="str">
        <f t="shared" si="29"/>
        <v>Not Match</v>
      </c>
      <c r="K336" s="2">
        <f t="shared" si="25"/>
        <v>0.2</v>
      </c>
      <c r="L336" s="2" t="e">
        <f t="shared" si="26"/>
        <v>#N/A</v>
      </c>
      <c r="M336" s="2" t="str">
        <f t="shared" si="27"/>
        <v>Below 0.8 not in assigned quadrant</v>
      </c>
      <c r="N336" s="7">
        <v>21</v>
      </c>
      <c r="O336" s="7">
        <v>0.1</v>
      </c>
      <c r="P336" s="7">
        <v>-2.9</v>
      </c>
      <c r="Q336" s="7">
        <v>0.66</v>
      </c>
      <c r="R336" s="7">
        <v>0</v>
      </c>
      <c r="S336" s="7">
        <v>-0.2</v>
      </c>
      <c r="T336" s="7">
        <v>0.32</v>
      </c>
      <c r="U336" s="7">
        <v>0</v>
      </c>
      <c r="V336" s="7">
        <v>0.74</v>
      </c>
      <c r="W336" s="7" t="s">
        <v>8</v>
      </c>
      <c r="X336" s="7" t="s">
        <v>9</v>
      </c>
      <c r="Y336" s="2" t="s">
        <v>719</v>
      </c>
      <c r="Z336" s="2" t="s">
        <v>721</v>
      </c>
    </row>
    <row r="337" spans="1:26" x14ac:dyDescent="0.35">
      <c r="A337" s="7" t="s">
        <v>1536</v>
      </c>
      <c r="B337" s="7" t="s">
        <v>343</v>
      </c>
      <c r="C337" s="4" t="str">
        <f>_xlfn.XLOOKUP(A337,[2]Sheet2!$I$2:$I$1273,[2]Sheet2!$D$2:$D$1273,0)</f>
        <v>Q2</v>
      </c>
      <c r="D337" s="4">
        <f>_xlfn.XLOOKUP(B337,[4]Sheet2!$B$2:$B$3154,[4]Sheet2!$F$2:$F$3154,0)</f>
        <v>0</v>
      </c>
      <c r="E337" s="4" t="e">
        <f>_xlfn.XLOOKUP(B337,[2]Sheet2!$E$2:$E$713,[2]Sheet2!$G$2:$G$713)</f>
        <v>#N/A</v>
      </c>
      <c r="F337" s="18">
        <v>46057</v>
      </c>
      <c r="G337" s="14">
        <v>0.60880787037037032</v>
      </c>
      <c r="H337" s="7" t="s">
        <v>5</v>
      </c>
      <c r="I337" s="2" t="str">
        <f t="shared" si="28"/>
        <v>Q4</v>
      </c>
      <c r="J337" s="2" t="str">
        <f t="shared" si="29"/>
        <v>Not Match</v>
      </c>
      <c r="K337" s="2">
        <f t="shared" si="25"/>
        <v>0.1</v>
      </c>
      <c r="L337" s="2" t="e">
        <f t="shared" si="26"/>
        <v>#N/A</v>
      </c>
      <c r="M337" s="2" t="str">
        <f t="shared" si="27"/>
        <v>Below 0.8 not in assigned quadrant</v>
      </c>
      <c r="N337" s="7">
        <v>14.6</v>
      </c>
      <c r="O337" s="7">
        <v>-0.5</v>
      </c>
      <c r="P337" s="7">
        <v>-2.6</v>
      </c>
      <c r="Q337" s="7">
        <v>-0.6</v>
      </c>
      <c r="R337" s="7">
        <v>0.1</v>
      </c>
      <c r="S337" s="7">
        <v>0</v>
      </c>
      <c r="T337" s="7">
        <v>-0.01</v>
      </c>
      <c r="U337" s="7">
        <v>0.2</v>
      </c>
      <c r="V337" s="7">
        <v>0.63</v>
      </c>
      <c r="W337" s="7" t="s">
        <v>8</v>
      </c>
      <c r="X337" s="7" t="s">
        <v>9</v>
      </c>
      <c r="Y337" s="2" t="s">
        <v>719</v>
      </c>
      <c r="Z337" s="2" t="s">
        <v>721</v>
      </c>
    </row>
    <row r="338" spans="1:26" x14ac:dyDescent="0.35">
      <c r="A338" s="7" t="s">
        <v>1557</v>
      </c>
      <c r="B338" s="7" t="s">
        <v>344</v>
      </c>
      <c r="C338" s="4" t="str">
        <f>_xlfn.XLOOKUP(A338,[2]Sheet2!$I$2:$I$1273,[2]Sheet2!$D$2:$D$1273,0)</f>
        <v>Q3</v>
      </c>
      <c r="D338" s="4">
        <f>_xlfn.XLOOKUP(B338,[4]Sheet2!$B$2:$B$3154,[4]Sheet2!$F$2:$F$3154,0)</f>
        <v>0</v>
      </c>
      <c r="E338" s="4" t="e">
        <f>_xlfn.XLOOKUP(B338,[2]Sheet2!$E$2:$E$713,[2]Sheet2!$G$2:$G$713)</f>
        <v>#N/A</v>
      </c>
      <c r="F338" s="18">
        <v>46057</v>
      </c>
      <c r="G338" s="14">
        <v>0.61288194444444444</v>
      </c>
      <c r="H338" s="7" t="s">
        <v>16</v>
      </c>
      <c r="I338" s="2" t="str">
        <f t="shared" si="28"/>
        <v>Q3</v>
      </c>
      <c r="J338" s="2" t="str">
        <f t="shared" si="29"/>
        <v>Match</v>
      </c>
      <c r="K338" s="2">
        <f t="shared" si="25"/>
        <v>0.22360679774997899</v>
      </c>
      <c r="L338" s="2" t="e">
        <f t="shared" si="26"/>
        <v>#N/A</v>
      </c>
      <c r="M338" s="2" t="str">
        <f t="shared" si="27"/>
        <v>Digital Approve Hit</v>
      </c>
      <c r="N338" s="7">
        <v>15</v>
      </c>
      <c r="O338" s="7">
        <v>-0.3</v>
      </c>
      <c r="P338" s="7">
        <v>-1.9</v>
      </c>
      <c r="Q338" s="7">
        <v>-0.46</v>
      </c>
      <c r="R338" s="7">
        <v>-0.1</v>
      </c>
      <c r="S338" s="7">
        <v>-0.2</v>
      </c>
      <c r="T338" s="7">
        <v>0.3</v>
      </c>
      <c r="U338" s="7">
        <v>-0.21</v>
      </c>
      <c r="V338" s="7">
        <v>0.59</v>
      </c>
      <c r="W338" s="7" t="s">
        <v>8</v>
      </c>
      <c r="X338" s="7" t="s">
        <v>15</v>
      </c>
      <c r="Y338" s="2" t="s">
        <v>719</v>
      </c>
      <c r="Z338" s="2" t="s">
        <v>721</v>
      </c>
    </row>
    <row r="339" spans="1:26" x14ac:dyDescent="0.35">
      <c r="A339" s="7" t="s">
        <v>1619</v>
      </c>
      <c r="B339" s="7" t="s">
        <v>345</v>
      </c>
      <c r="C339" s="4" t="str">
        <f>_xlfn.XLOOKUP(A339,[2]Sheet2!$I$2:$I$1273,[2]Sheet2!$D$2:$D$1273,0)</f>
        <v>Q4</v>
      </c>
      <c r="D339" s="4">
        <f>_xlfn.XLOOKUP(B339,[4]Sheet2!$B$2:$B$3154,[4]Sheet2!$F$2:$F$3154,0)</f>
        <v>0</v>
      </c>
      <c r="E339" s="4" t="e">
        <f>_xlfn.XLOOKUP(B339,[2]Sheet2!$E$2:$E$713,[2]Sheet2!$G$2:$G$713)</f>
        <v>#N/A</v>
      </c>
      <c r="F339" s="18">
        <v>46057</v>
      </c>
      <c r="G339" s="14">
        <v>0.61552083333333329</v>
      </c>
      <c r="H339" s="7" t="s">
        <v>16</v>
      </c>
      <c r="I339" s="2" t="str">
        <f t="shared" si="28"/>
        <v>Q1</v>
      </c>
      <c r="J339" s="2" t="str">
        <f t="shared" si="29"/>
        <v>Not Match</v>
      </c>
      <c r="K339" s="2">
        <f t="shared" si="25"/>
        <v>0.70710678118654746</v>
      </c>
      <c r="L339" s="2" t="e">
        <f t="shared" si="26"/>
        <v>#N/A</v>
      </c>
      <c r="M339" s="2" t="str">
        <f t="shared" si="27"/>
        <v>Assign quadrant hit</v>
      </c>
      <c r="N339" s="7">
        <v>29.1</v>
      </c>
      <c r="O339" s="7">
        <v>-1.5</v>
      </c>
      <c r="P339" s="7">
        <v>-2.2000000000000002</v>
      </c>
      <c r="Q339" s="7">
        <v>0.16</v>
      </c>
      <c r="R339" s="7">
        <v>0.1</v>
      </c>
      <c r="S339" s="7">
        <v>0.7</v>
      </c>
      <c r="T339" s="7">
        <v>-0.8</v>
      </c>
      <c r="U339" s="7">
        <v>-0.36</v>
      </c>
      <c r="V339" s="7">
        <v>0.89</v>
      </c>
      <c r="W339" s="7" t="s">
        <v>13</v>
      </c>
      <c r="X339" s="7" t="s">
        <v>15</v>
      </c>
      <c r="Y339" s="2" t="s">
        <v>719</v>
      </c>
      <c r="Z339" s="2" t="s">
        <v>721</v>
      </c>
    </row>
    <row r="340" spans="1:26" x14ac:dyDescent="0.35">
      <c r="A340" s="7" t="s">
        <v>1615</v>
      </c>
      <c r="B340" s="7" t="s">
        <v>346</v>
      </c>
      <c r="C340" s="4">
        <f>_xlfn.XLOOKUP(A340,[2]Sheet2!$I$2:$I$1273,[2]Sheet2!$D$2:$D$1273,0)</f>
        <v>0</v>
      </c>
      <c r="D340" s="4">
        <f>_xlfn.XLOOKUP(B340,[4]Sheet2!$B$2:$B$3154,[4]Sheet2!$F$2:$F$3154,0)</f>
        <v>0</v>
      </c>
      <c r="E340" s="4" t="e">
        <f>_xlfn.XLOOKUP(B340,[2]Sheet2!$E$2:$E$713,[2]Sheet2!$G$2:$G$713)</f>
        <v>#N/A</v>
      </c>
      <c r="F340" s="18">
        <v>46057</v>
      </c>
      <c r="G340" s="14">
        <v>0.61805555555555558</v>
      </c>
      <c r="H340" s="7" t="s">
        <v>5</v>
      </c>
      <c r="I340" s="2" t="str">
        <f t="shared" si="28"/>
        <v>Q3</v>
      </c>
      <c r="J340" s="2" t="str">
        <f t="shared" si="29"/>
        <v>Not Found</v>
      </c>
      <c r="K340" s="2">
        <f t="shared" si="25"/>
        <v>0.22360679774997899</v>
      </c>
      <c r="L340" s="2" t="e">
        <f t="shared" si="26"/>
        <v>#N/A</v>
      </c>
      <c r="M340" s="2" t="str">
        <f t="shared" si="27"/>
        <v>Assign quadrant hit</v>
      </c>
      <c r="N340" s="7">
        <v>13</v>
      </c>
      <c r="O340" s="7">
        <v>-0.4</v>
      </c>
      <c r="P340" s="7">
        <v>-2</v>
      </c>
      <c r="Q340" s="7">
        <v>-1.05</v>
      </c>
      <c r="R340" s="7">
        <v>-0.2</v>
      </c>
      <c r="S340" s="7">
        <v>-0.1</v>
      </c>
      <c r="T340" s="7">
        <v>0.25</v>
      </c>
      <c r="U340" s="7">
        <v>-0.31</v>
      </c>
      <c r="V340" s="7">
        <v>1.1200000000000001</v>
      </c>
      <c r="W340" s="7" t="s">
        <v>6</v>
      </c>
      <c r="X340" s="7" t="s">
        <v>15</v>
      </c>
      <c r="Y340" s="2" t="s">
        <v>719</v>
      </c>
      <c r="Z340" s="2" t="s">
        <v>721</v>
      </c>
    </row>
    <row r="341" spans="1:26" x14ac:dyDescent="0.35">
      <c r="A341" s="7" t="s">
        <v>1626</v>
      </c>
      <c r="B341" s="7" t="s">
        <v>347</v>
      </c>
      <c r="C341" s="4" t="str">
        <f>_xlfn.XLOOKUP(A341,[2]Sheet2!$I$2:$I$1273,[2]Sheet2!$D$2:$D$1273,0)</f>
        <v>Q4</v>
      </c>
      <c r="D341" s="4">
        <f>_xlfn.XLOOKUP(B341,[4]Sheet2!$B$2:$B$3154,[4]Sheet2!$F$2:$F$3154,0)</f>
        <v>0</v>
      </c>
      <c r="E341" s="4" t="e">
        <f>_xlfn.XLOOKUP(B341,[2]Sheet2!$E$2:$E$713,[2]Sheet2!$G$2:$G$713)</f>
        <v>#N/A</v>
      </c>
      <c r="F341" s="18">
        <v>46057</v>
      </c>
      <c r="G341" s="14">
        <v>0.69170138888888888</v>
      </c>
      <c r="H341" s="7" t="s">
        <v>11</v>
      </c>
      <c r="I341" s="2" t="str">
        <f t="shared" si="28"/>
        <v>Q1</v>
      </c>
      <c r="J341" s="2" t="str">
        <f t="shared" si="29"/>
        <v>Not Match</v>
      </c>
      <c r="K341" s="2">
        <f t="shared" si="25"/>
        <v>0.3</v>
      </c>
      <c r="L341" s="2" t="e">
        <f t="shared" si="26"/>
        <v>#N/A</v>
      </c>
      <c r="M341" s="2" t="str">
        <f t="shared" si="27"/>
        <v>Below 0.8 not in assigned quadrant</v>
      </c>
      <c r="N341" s="7">
        <v>15.7</v>
      </c>
      <c r="O341" s="7">
        <v>-0.3</v>
      </c>
      <c r="P341" s="7">
        <v>-2.1</v>
      </c>
      <c r="Q341" s="7">
        <v>-0.09</v>
      </c>
      <c r="R341" s="7">
        <v>0</v>
      </c>
      <c r="S341" s="7">
        <v>0.3</v>
      </c>
      <c r="T341" s="7">
        <v>-0.41</v>
      </c>
      <c r="U341" s="7">
        <v>-0.02</v>
      </c>
      <c r="V341" s="7">
        <v>0.42</v>
      </c>
      <c r="W341" s="7" t="s">
        <v>8</v>
      </c>
      <c r="X341" s="7" t="s">
        <v>15</v>
      </c>
      <c r="Y341" s="2" t="s">
        <v>719</v>
      </c>
      <c r="Z341" s="2" t="s">
        <v>721</v>
      </c>
    </row>
    <row r="342" spans="1:26" x14ac:dyDescent="0.35">
      <c r="A342" s="7" t="s">
        <v>1627</v>
      </c>
      <c r="B342" s="7" t="s">
        <v>348</v>
      </c>
      <c r="C342" s="4" t="str">
        <f>_xlfn.XLOOKUP(A342,[2]Sheet2!$I$2:$I$1273,[2]Sheet2!$D$2:$D$1273,0)</f>
        <v>Q4</v>
      </c>
      <c r="D342" s="4">
        <f>_xlfn.XLOOKUP(B342,[4]Sheet2!$B$2:$B$3154,[4]Sheet2!$F$2:$F$3154,0)</f>
        <v>0</v>
      </c>
      <c r="E342" s="4" t="e">
        <f>_xlfn.XLOOKUP(B342,[2]Sheet2!$E$2:$E$713,[2]Sheet2!$G$2:$G$713)</f>
        <v>#N/A</v>
      </c>
      <c r="F342" s="18">
        <v>46057</v>
      </c>
      <c r="G342" s="14">
        <v>0.69371527777777775</v>
      </c>
      <c r="H342" s="7" t="s">
        <v>4</v>
      </c>
      <c r="I342" s="2" t="str">
        <f t="shared" si="28"/>
        <v>Q1</v>
      </c>
      <c r="J342" s="2" t="str">
        <f t="shared" si="29"/>
        <v>Not Match</v>
      </c>
      <c r="K342" s="2">
        <f t="shared" si="25"/>
        <v>0.3</v>
      </c>
      <c r="L342" s="2" t="e">
        <f t="shared" si="26"/>
        <v>#N/A</v>
      </c>
      <c r="M342" s="2" t="str">
        <f t="shared" si="27"/>
        <v>Below 0.8 not in assigned quadrant</v>
      </c>
      <c r="N342" s="7">
        <v>33.1</v>
      </c>
      <c r="O342" s="7">
        <v>28</v>
      </c>
      <c r="P342" s="7">
        <v>2.7</v>
      </c>
      <c r="Q342" s="7">
        <v>-0.71</v>
      </c>
      <c r="R342" s="7">
        <v>0</v>
      </c>
      <c r="S342" s="7">
        <v>0.3</v>
      </c>
      <c r="T342" s="7">
        <v>0.05</v>
      </c>
      <c r="U342" s="7">
        <v>0.25</v>
      </c>
      <c r="V342" s="7">
        <v>0.76</v>
      </c>
      <c r="W342" s="7" t="s">
        <v>13</v>
      </c>
      <c r="X342" s="7" t="s">
        <v>9</v>
      </c>
      <c r="Y342" s="2" t="s">
        <v>719</v>
      </c>
      <c r="Z342" s="2" t="s">
        <v>721</v>
      </c>
    </row>
    <row r="343" spans="1:26" x14ac:dyDescent="0.35">
      <c r="A343" s="7" t="s">
        <v>1536</v>
      </c>
      <c r="B343" s="7" t="s">
        <v>349</v>
      </c>
      <c r="C343" s="4" t="str">
        <f>_xlfn.XLOOKUP(A343,[2]Sheet2!$I$2:$I$1273,[2]Sheet2!$D$2:$D$1273,0)</f>
        <v>Q2</v>
      </c>
      <c r="D343" s="4">
        <f>_xlfn.XLOOKUP(B343,[4]Sheet2!$B$2:$B$3154,[4]Sheet2!$F$2:$F$3154,0)</f>
        <v>0</v>
      </c>
      <c r="E343" s="4" t="e">
        <f>_xlfn.XLOOKUP(B343,[2]Sheet2!$E$2:$E$713,[2]Sheet2!$G$2:$G$713)</f>
        <v>#N/A</v>
      </c>
      <c r="F343" s="18">
        <v>46057</v>
      </c>
      <c r="G343" s="14">
        <v>0.70075231481481481</v>
      </c>
      <c r="H343" s="7" t="s">
        <v>5</v>
      </c>
      <c r="I343" s="2" t="str">
        <f t="shared" si="28"/>
        <v>Q4</v>
      </c>
      <c r="J343" s="2" t="str">
        <f t="shared" si="29"/>
        <v>Not Match</v>
      </c>
      <c r="K343" s="2">
        <f t="shared" si="25"/>
        <v>0.22360679774997899</v>
      </c>
      <c r="L343" s="2" t="e">
        <f t="shared" si="26"/>
        <v>#N/A</v>
      </c>
      <c r="M343" s="2" t="str">
        <f t="shared" si="27"/>
        <v>Below 0.8 not in assigned quadrant</v>
      </c>
      <c r="N343" s="7">
        <v>15.8</v>
      </c>
      <c r="O343" s="7">
        <v>-0.5</v>
      </c>
      <c r="P343" s="7">
        <v>-2.8</v>
      </c>
      <c r="Q343" s="7">
        <v>0.56999999999999995</v>
      </c>
      <c r="R343" s="7">
        <v>0.1</v>
      </c>
      <c r="S343" s="7">
        <v>-0.2</v>
      </c>
      <c r="T343" s="7">
        <v>0.23</v>
      </c>
      <c r="U343" s="7">
        <v>0.22</v>
      </c>
      <c r="V343" s="7">
        <v>0.66</v>
      </c>
      <c r="W343" s="7" t="s">
        <v>8</v>
      </c>
      <c r="X343" s="7" t="s">
        <v>9</v>
      </c>
      <c r="Y343" s="2" t="s">
        <v>719</v>
      </c>
      <c r="Z343" s="2" t="s">
        <v>721</v>
      </c>
    </row>
    <row r="344" spans="1:26" x14ac:dyDescent="0.35">
      <c r="A344" s="7" t="s">
        <v>1619</v>
      </c>
      <c r="B344" s="7" t="s">
        <v>350</v>
      </c>
      <c r="C344" s="4" t="str">
        <f>_xlfn.XLOOKUP(A344,[2]Sheet2!$I$2:$I$1273,[2]Sheet2!$D$2:$D$1273,0)</f>
        <v>Q4</v>
      </c>
      <c r="D344" s="4">
        <f>_xlfn.XLOOKUP(B344,[4]Sheet2!$B$2:$B$3154,[4]Sheet2!$F$2:$F$3154,0)</f>
        <v>0</v>
      </c>
      <c r="E344" s="4" t="e">
        <f>_xlfn.XLOOKUP(B344,[2]Sheet2!$E$2:$E$713,[2]Sheet2!$G$2:$G$713)</f>
        <v>#N/A</v>
      </c>
      <c r="F344" s="18">
        <v>46057</v>
      </c>
      <c r="G344" s="14">
        <v>0.74799768518518517</v>
      </c>
      <c r="H344" s="7" t="s">
        <v>16</v>
      </c>
      <c r="I344" s="2" t="str">
        <f t="shared" si="28"/>
        <v>Q4</v>
      </c>
      <c r="J344" s="2" t="str">
        <f t="shared" si="29"/>
        <v>Match</v>
      </c>
      <c r="K344" s="2">
        <f t="shared" si="25"/>
        <v>0.14142135623730953</v>
      </c>
      <c r="L344" s="2" t="e">
        <f t="shared" si="26"/>
        <v>#N/A</v>
      </c>
      <c r="M344" s="2" t="str">
        <f t="shared" si="27"/>
        <v>Digital Approve Hit</v>
      </c>
      <c r="N344" s="7">
        <v>29.1</v>
      </c>
      <c r="O344" s="7">
        <v>-1.5</v>
      </c>
      <c r="P344" s="7">
        <v>-3.1</v>
      </c>
      <c r="Q344" s="7">
        <v>0.17</v>
      </c>
      <c r="R344" s="7">
        <v>0.1</v>
      </c>
      <c r="S344" s="7">
        <v>-0.1</v>
      </c>
      <c r="T344" s="7">
        <v>0.11</v>
      </c>
      <c r="U344" s="7">
        <v>0.25</v>
      </c>
      <c r="V344" s="7">
        <v>0.32</v>
      </c>
      <c r="W344" s="7" t="s">
        <v>8</v>
      </c>
      <c r="X344" s="7" t="s">
        <v>9</v>
      </c>
      <c r="Y344" s="2" t="s">
        <v>719</v>
      </c>
      <c r="Z344" s="2" t="s">
        <v>721</v>
      </c>
    </row>
    <row r="345" spans="1:26" x14ac:dyDescent="0.35">
      <c r="A345" s="7" t="s">
        <v>1591</v>
      </c>
      <c r="B345" s="7" t="s">
        <v>351</v>
      </c>
      <c r="C345" s="4">
        <f>_xlfn.XLOOKUP(A345,[2]Sheet2!$I$2:$I$1273,[2]Sheet2!$D$2:$D$1273,0)</f>
        <v>0</v>
      </c>
      <c r="D345" s="4">
        <f>_xlfn.XLOOKUP(B345,[4]Sheet2!$B$2:$B$3154,[4]Sheet2!$F$2:$F$3154,0)</f>
        <v>0</v>
      </c>
      <c r="E345" s="4" t="e">
        <f>_xlfn.XLOOKUP(B345,[2]Sheet2!$E$2:$E$713,[2]Sheet2!$G$2:$G$713)</f>
        <v>#N/A</v>
      </c>
      <c r="F345" s="18">
        <v>46057</v>
      </c>
      <c r="G345" s="14">
        <v>0.76989583333333333</v>
      </c>
      <c r="H345" s="7" t="s">
        <v>4</v>
      </c>
      <c r="I345" s="2" t="str">
        <f t="shared" si="28"/>
        <v>Q1</v>
      </c>
      <c r="J345" s="2" t="str">
        <f t="shared" si="29"/>
        <v>Not Found</v>
      </c>
      <c r="K345" s="2">
        <f t="shared" si="25"/>
        <v>0.2</v>
      </c>
      <c r="L345" s="2" t="e">
        <f t="shared" si="26"/>
        <v>#N/A</v>
      </c>
      <c r="M345" s="2" t="str">
        <f t="shared" si="27"/>
        <v>Assign quadrant hit</v>
      </c>
      <c r="N345" s="7">
        <v>20.3</v>
      </c>
      <c r="O345" s="7">
        <v>3.1</v>
      </c>
      <c r="P345" s="7">
        <v>-12.8</v>
      </c>
      <c r="Q345" s="7">
        <v>-0.67</v>
      </c>
      <c r="R345" s="7">
        <v>0</v>
      </c>
      <c r="S345" s="7">
        <v>0.2</v>
      </c>
      <c r="T345" s="7">
        <v>-0.19</v>
      </c>
      <c r="U345" s="7">
        <v>0.03</v>
      </c>
      <c r="V345" s="7">
        <v>0.7</v>
      </c>
      <c r="W345" s="7" t="s">
        <v>8</v>
      </c>
      <c r="X345" s="7" t="s">
        <v>9</v>
      </c>
      <c r="Y345" s="2" t="s">
        <v>719</v>
      </c>
      <c r="Z345" s="2" t="s">
        <v>721</v>
      </c>
    </row>
    <row r="346" spans="1:26" x14ac:dyDescent="0.35">
      <c r="A346" s="7" t="s">
        <v>1612</v>
      </c>
      <c r="B346" s="7" t="s">
        <v>332</v>
      </c>
      <c r="C346" s="4" t="str">
        <f>_xlfn.XLOOKUP(A346,[2]Sheet2!$I$2:$I$1273,[2]Sheet2!$D$2:$D$1273,0)</f>
        <v>Q1</v>
      </c>
      <c r="D346" s="4">
        <f>_xlfn.XLOOKUP(B346,[4]Sheet2!$B$2:$B$3154,[4]Sheet2!$F$2:$F$3154,0)</f>
        <v>0</v>
      </c>
      <c r="E346" s="4" t="e">
        <f>_xlfn.XLOOKUP(B346,[2]Sheet2!$E$2:$E$713,[2]Sheet2!$G$2:$G$713)</f>
        <v>#N/A</v>
      </c>
      <c r="F346" s="18">
        <v>46057</v>
      </c>
      <c r="G346" s="14">
        <v>0.7848032407407407</v>
      </c>
      <c r="H346" s="7" t="s">
        <v>5</v>
      </c>
      <c r="I346" s="2" t="str">
        <f t="shared" si="28"/>
        <v>Q4</v>
      </c>
      <c r="J346" s="2" t="str">
        <f t="shared" si="29"/>
        <v>Not Match</v>
      </c>
      <c r="K346" s="2">
        <f t="shared" si="25"/>
        <v>0.5</v>
      </c>
      <c r="L346" s="2" t="e">
        <f t="shared" si="26"/>
        <v>#N/A</v>
      </c>
      <c r="M346" s="2" t="str">
        <f t="shared" si="27"/>
        <v>Below 0.8 not in assigned quadrant</v>
      </c>
      <c r="N346" s="7">
        <v>17.2</v>
      </c>
      <c r="O346" s="7">
        <v>-0.2</v>
      </c>
      <c r="P346" s="7">
        <v>-4</v>
      </c>
      <c r="Q346" s="7">
        <v>-0.38</v>
      </c>
      <c r="R346" s="7">
        <v>0</v>
      </c>
      <c r="S346" s="7">
        <v>-0.5</v>
      </c>
      <c r="T346" s="7">
        <v>0.59</v>
      </c>
      <c r="U346" s="7">
        <v>0.1</v>
      </c>
      <c r="V346" s="7">
        <v>0.71</v>
      </c>
      <c r="W346" s="7" t="s">
        <v>8</v>
      </c>
      <c r="X346" s="7" t="s">
        <v>9</v>
      </c>
      <c r="Y346" s="2" t="s">
        <v>719</v>
      </c>
      <c r="Z346" s="2" t="s">
        <v>721</v>
      </c>
    </row>
    <row r="347" spans="1:26" x14ac:dyDescent="0.35">
      <c r="A347" s="7" t="s">
        <v>1536</v>
      </c>
      <c r="B347" s="7" t="s">
        <v>352</v>
      </c>
      <c r="C347" s="4" t="str">
        <f>_xlfn.XLOOKUP(A347,[2]Sheet2!$I$2:$I$1273,[2]Sheet2!$D$2:$D$1273,0)</f>
        <v>Q2</v>
      </c>
      <c r="D347" s="4">
        <f>_xlfn.XLOOKUP(B347,[4]Sheet2!$B$2:$B$3154,[4]Sheet2!$F$2:$F$3154,0)</f>
        <v>0</v>
      </c>
      <c r="E347" s="4" t="e">
        <f>_xlfn.XLOOKUP(B347,[2]Sheet2!$E$2:$E$713,[2]Sheet2!$G$2:$G$713)</f>
        <v>#N/A</v>
      </c>
      <c r="F347" s="18">
        <v>46058</v>
      </c>
      <c r="G347" s="14">
        <v>0.66556712962962961</v>
      </c>
      <c r="H347" s="7" t="s">
        <v>5</v>
      </c>
      <c r="I347" s="2" t="str">
        <f t="shared" si="28"/>
        <v>Q4</v>
      </c>
      <c r="J347" s="2" t="str">
        <f t="shared" si="29"/>
        <v>Not Match</v>
      </c>
      <c r="K347" s="2">
        <f t="shared" si="25"/>
        <v>0.1</v>
      </c>
      <c r="L347" s="2" t="e">
        <f t="shared" si="26"/>
        <v>#N/A</v>
      </c>
      <c r="M347" s="2" t="str">
        <f t="shared" si="27"/>
        <v>Below 0.8 not in assigned quadrant</v>
      </c>
      <c r="N347" s="7">
        <v>14.9</v>
      </c>
      <c r="O347" s="7">
        <v>-0.6</v>
      </c>
      <c r="P347" s="7">
        <v>-2.7</v>
      </c>
      <c r="Q347" s="7">
        <v>-0.28000000000000003</v>
      </c>
      <c r="R347" s="7">
        <v>0</v>
      </c>
      <c r="S347" s="7">
        <v>-0.1</v>
      </c>
      <c r="T347" s="7">
        <v>0.15</v>
      </c>
      <c r="U347" s="7">
        <v>0.09</v>
      </c>
      <c r="V347" s="7">
        <v>0.32</v>
      </c>
      <c r="W347" s="7" t="s">
        <v>8</v>
      </c>
      <c r="X347" s="7" t="s">
        <v>9</v>
      </c>
      <c r="Y347" s="2" t="s">
        <v>719</v>
      </c>
      <c r="Z347" s="2" t="s">
        <v>721</v>
      </c>
    </row>
    <row r="348" spans="1:26" x14ac:dyDescent="0.35">
      <c r="A348" s="7" t="s">
        <v>1554</v>
      </c>
      <c r="B348" s="7" t="s">
        <v>353</v>
      </c>
      <c r="C348" s="4" t="str">
        <f>_xlfn.XLOOKUP(A348,[2]Sheet2!$I$2:$I$1273,[2]Sheet2!$D$2:$D$1273,0)</f>
        <v>Q1</v>
      </c>
      <c r="D348" s="4">
        <f>_xlfn.XLOOKUP(B348,[4]Sheet2!$B$2:$B$3154,[4]Sheet2!$F$2:$F$3154,0)</f>
        <v>0</v>
      </c>
      <c r="E348" s="4" t="e">
        <f>_xlfn.XLOOKUP(B348,[2]Sheet2!$E$2:$E$713,[2]Sheet2!$G$2:$G$713)</f>
        <v>#N/A</v>
      </c>
      <c r="F348" s="18">
        <v>46058</v>
      </c>
      <c r="G348" s="14">
        <v>0.6683796296296296</v>
      </c>
      <c r="H348" s="7" t="s">
        <v>5</v>
      </c>
      <c r="I348" s="2" t="str">
        <f t="shared" si="28"/>
        <v>Q1</v>
      </c>
      <c r="J348" s="2" t="str">
        <f t="shared" si="29"/>
        <v>Match</v>
      </c>
      <c r="K348" s="2">
        <f t="shared" si="25"/>
        <v>0.56568542494923812</v>
      </c>
      <c r="L348" s="2" t="e">
        <f t="shared" si="26"/>
        <v>#N/A</v>
      </c>
      <c r="M348" s="2" t="str">
        <f t="shared" si="27"/>
        <v>Failed but within quadrant</v>
      </c>
      <c r="N348" s="7">
        <v>16.2</v>
      </c>
      <c r="O348" s="7">
        <v>-0.4</v>
      </c>
      <c r="P348" s="7">
        <v>-2.2000000000000002</v>
      </c>
      <c r="Q348" s="7">
        <v>-0.78</v>
      </c>
      <c r="R348" s="7">
        <v>0.4</v>
      </c>
      <c r="S348" s="7">
        <v>0.4</v>
      </c>
      <c r="T348" s="7">
        <v>-0.72</v>
      </c>
      <c r="U348" s="7">
        <v>0.43</v>
      </c>
      <c r="V348" s="7">
        <v>1.1399999999999999</v>
      </c>
      <c r="W348" s="7" t="s">
        <v>6</v>
      </c>
      <c r="X348" s="7" t="s">
        <v>9</v>
      </c>
      <c r="Y348" s="2" t="s">
        <v>719</v>
      </c>
      <c r="Z348" s="2" t="s">
        <v>721</v>
      </c>
    </row>
    <row r="349" spans="1:26" x14ac:dyDescent="0.35">
      <c r="A349" s="7" t="s">
        <v>1628</v>
      </c>
      <c r="B349" s="7" t="s">
        <v>354</v>
      </c>
      <c r="C349" s="4" t="str">
        <f>_xlfn.XLOOKUP(A349,[2]Sheet2!$I$2:$I$1273,[2]Sheet2!$D$2:$D$1273,0)</f>
        <v>Q4</v>
      </c>
      <c r="D349" s="4">
        <f>_xlfn.XLOOKUP(B349,[4]Sheet2!$B$2:$B$3154,[4]Sheet2!$F$2:$F$3154,0)</f>
        <v>0</v>
      </c>
      <c r="E349" s="4" t="e">
        <f>_xlfn.XLOOKUP(B349,[2]Sheet2!$E$2:$E$713,[2]Sheet2!$G$2:$G$713)</f>
        <v>#N/A</v>
      </c>
      <c r="F349" s="18">
        <v>46058</v>
      </c>
      <c r="G349" s="14">
        <v>0.73570601851851847</v>
      </c>
      <c r="H349" s="7" t="s">
        <v>5</v>
      </c>
      <c r="I349" s="2" t="str">
        <f t="shared" si="28"/>
        <v>Q3</v>
      </c>
      <c r="J349" s="2" t="str">
        <f t="shared" si="29"/>
        <v>Not Match</v>
      </c>
      <c r="K349" s="2">
        <f t="shared" si="25"/>
        <v>0.36055512754639896</v>
      </c>
      <c r="L349" s="2" t="e">
        <f t="shared" si="26"/>
        <v>#N/A</v>
      </c>
      <c r="M349" s="2" t="str">
        <f t="shared" si="27"/>
        <v>Assign quadrant hit</v>
      </c>
      <c r="N349" s="7">
        <v>17.8</v>
      </c>
      <c r="O349" s="7">
        <v>-0.4</v>
      </c>
      <c r="P349" s="7">
        <v>-2.8</v>
      </c>
      <c r="Q349" s="7">
        <v>1.35</v>
      </c>
      <c r="R349" s="7">
        <v>-0.3</v>
      </c>
      <c r="S349" s="7">
        <v>-0.2</v>
      </c>
      <c r="T349" s="7">
        <v>0.37</v>
      </c>
      <c r="U349" s="7">
        <v>-0.44</v>
      </c>
      <c r="V349" s="7">
        <v>1.47</v>
      </c>
      <c r="W349" s="7" t="s">
        <v>6</v>
      </c>
      <c r="X349" s="7" t="s">
        <v>15</v>
      </c>
      <c r="Y349" s="2" t="s">
        <v>719</v>
      </c>
      <c r="Z349" s="2" t="s">
        <v>721</v>
      </c>
    </row>
    <row r="350" spans="1:26" x14ac:dyDescent="0.35">
      <c r="A350" s="7" t="s">
        <v>1629</v>
      </c>
      <c r="B350" s="7" t="s">
        <v>355</v>
      </c>
      <c r="C350" s="4">
        <f>_xlfn.XLOOKUP(A350,[2]Sheet2!$I$2:$I$1273,[2]Sheet2!$D$2:$D$1273,0)</f>
        <v>0</v>
      </c>
      <c r="D350" s="4">
        <f>_xlfn.XLOOKUP(B350,[4]Sheet2!$B$2:$B$3154,[4]Sheet2!$F$2:$F$3154,0)</f>
        <v>0</v>
      </c>
      <c r="E350" s="4" t="e">
        <f>_xlfn.XLOOKUP(B350,[2]Sheet2!$E$2:$E$713,[2]Sheet2!$G$2:$G$713)</f>
        <v>#N/A</v>
      </c>
      <c r="F350" s="18">
        <v>46058</v>
      </c>
      <c r="G350" s="14">
        <v>0.73872685185185183</v>
      </c>
      <c r="H350" s="7" t="s">
        <v>5</v>
      </c>
      <c r="I350" s="2">
        <f t="shared" si="28"/>
        <v>0</v>
      </c>
      <c r="J350" s="2" t="str">
        <f t="shared" si="29"/>
        <v>Match</v>
      </c>
      <c r="K350" s="2">
        <f t="shared" si="25"/>
        <v>0</v>
      </c>
      <c r="L350" s="2" t="e">
        <f t="shared" si="26"/>
        <v>#N/A</v>
      </c>
      <c r="M350" s="2" t="str">
        <f t="shared" si="27"/>
        <v>Digital Approve Hit</v>
      </c>
      <c r="N350" s="7">
        <v>17.2</v>
      </c>
      <c r="O350" s="7">
        <v>-0.5</v>
      </c>
      <c r="P350" s="7">
        <v>-2.4</v>
      </c>
      <c r="Q350" s="7">
        <v>-0.32</v>
      </c>
      <c r="R350" s="7">
        <v>0</v>
      </c>
      <c r="S350" s="7">
        <v>0</v>
      </c>
      <c r="T350" s="7">
        <v>-0.04</v>
      </c>
      <c r="U350" s="7">
        <v>-0.01</v>
      </c>
      <c r="V350" s="7">
        <v>0.33</v>
      </c>
      <c r="W350" s="7" t="s">
        <v>8</v>
      </c>
      <c r="X350" s="7" t="s">
        <v>15</v>
      </c>
      <c r="Y350" s="2" t="s">
        <v>719</v>
      </c>
      <c r="Z350" s="2" t="s">
        <v>721</v>
      </c>
    </row>
    <row r="351" spans="1:26" x14ac:dyDescent="0.35">
      <c r="A351" s="7" t="s">
        <v>1626</v>
      </c>
      <c r="B351" s="7" t="s">
        <v>356</v>
      </c>
      <c r="C351" s="4" t="str">
        <f>_xlfn.XLOOKUP(A351,[2]Sheet2!$I$2:$I$1273,[2]Sheet2!$D$2:$D$1273,0)</f>
        <v>Q4</v>
      </c>
      <c r="D351" s="4">
        <f>_xlfn.XLOOKUP(B351,[4]Sheet2!$B$2:$B$3154,[4]Sheet2!$F$2:$F$3154,0)</f>
        <v>0</v>
      </c>
      <c r="E351" s="4" t="e">
        <f>_xlfn.XLOOKUP(B351,[2]Sheet2!$E$2:$E$713,[2]Sheet2!$G$2:$G$713)</f>
        <v>#N/A</v>
      </c>
      <c r="F351" s="18">
        <v>46058</v>
      </c>
      <c r="G351" s="14">
        <v>0.7415856481481482</v>
      </c>
      <c r="H351" s="7" t="s">
        <v>11</v>
      </c>
      <c r="I351" s="2" t="str">
        <f t="shared" si="28"/>
        <v>Q1</v>
      </c>
      <c r="J351" s="2" t="str">
        <f t="shared" si="29"/>
        <v>Not Match</v>
      </c>
      <c r="K351" s="2">
        <f t="shared" si="25"/>
        <v>0.3</v>
      </c>
      <c r="L351" s="2" t="e">
        <f t="shared" si="26"/>
        <v>#N/A</v>
      </c>
      <c r="M351" s="2" t="str">
        <f t="shared" si="27"/>
        <v>Below 0.8 not in assigned quadrant</v>
      </c>
      <c r="N351" s="7">
        <v>15.8</v>
      </c>
      <c r="O351" s="7">
        <v>-0.3</v>
      </c>
      <c r="P351" s="7">
        <v>-2.1</v>
      </c>
      <c r="Q351" s="7">
        <v>0</v>
      </c>
      <c r="R351" s="7">
        <v>0</v>
      </c>
      <c r="S351" s="7">
        <v>0.3</v>
      </c>
      <c r="T351" s="7">
        <v>-0.43</v>
      </c>
      <c r="U351" s="7">
        <v>-0.02</v>
      </c>
      <c r="V351" s="7">
        <v>0.43</v>
      </c>
      <c r="W351" s="7" t="s">
        <v>8</v>
      </c>
      <c r="X351" s="7" t="s">
        <v>15</v>
      </c>
      <c r="Y351" s="2" t="s">
        <v>719</v>
      </c>
      <c r="Z351" s="2" t="s">
        <v>721</v>
      </c>
    </row>
    <row r="352" spans="1:26" x14ac:dyDescent="0.35">
      <c r="A352" s="7" t="s">
        <v>1557</v>
      </c>
      <c r="B352" s="7" t="s">
        <v>357</v>
      </c>
      <c r="C352" s="4" t="str">
        <f>_xlfn.XLOOKUP(A352,[2]Sheet2!$I$2:$I$1273,[2]Sheet2!$D$2:$D$1273,0)</f>
        <v>Q3</v>
      </c>
      <c r="D352" s="4">
        <f>_xlfn.XLOOKUP(B352,[4]Sheet2!$B$2:$B$3154,[4]Sheet2!$F$2:$F$3154,0)</f>
        <v>0</v>
      </c>
      <c r="E352" s="4" t="e">
        <f>_xlfn.XLOOKUP(B352,[2]Sheet2!$E$2:$E$713,[2]Sheet2!$G$2:$G$713)</f>
        <v>#N/A</v>
      </c>
      <c r="F352" s="18">
        <v>46058</v>
      </c>
      <c r="G352" s="14">
        <v>0.74362268518518515</v>
      </c>
      <c r="H352" s="7" t="s">
        <v>16</v>
      </c>
      <c r="I352" s="2" t="str">
        <f t="shared" si="28"/>
        <v>Q3</v>
      </c>
      <c r="J352" s="2" t="str">
        <f t="shared" si="29"/>
        <v>Match</v>
      </c>
      <c r="K352" s="2">
        <f t="shared" si="25"/>
        <v>0.36055512754639896</v>
      </c>
      <c r="L352" s="2" t="e">
        <f t="shared" si="26"/>
        <v>#N/A</v>
      </c>
      <c r="M352" s="2" t="str">
        <f t="shared" si="27"/>
        <v>Failed but within quadrant</v>
      </c>
      <c r="N352" s="7">
        <v>14.4</v>
      </c>
      <c r="O352" s="7">
        <v>-0.4</v>
      </c>
      <c r="P352" s="7">
        <v>-2.1</v>
      </c>
      <c r="Q352" s="7">
        <v>-1.04</v>
      </c>
      <c r="R352" s="7">
        <v>-0.2</v>
      </c>
      <c r="S352" s="7">
        <v>-0.3</v>
      </c>
      <c r="T352" s="7">
        <v>0.53</v>
      </c>
      <c r="U352" s="7">
        <v>-0.27</v>
      </c>
      <c r="V352" s="7">
        <v>1.2</v>
      </c>
      <c r="W352" s="7" t="s">
        <v>6</v>
      </c>
      <c r="X352" s="7" t="s">
        <v>15</v>
      </c>
      <c r="Y352" s="2" t="s">
        <v>719</v>
      </c>
      <c r="Z352" s="2" t="s">
        <v>721</v>
      </c>
    </row>
    <row r="353" spans="1:26" x14ac:dyDescent="0.35">
      <c r="A353" s="7" t="s">
        <v>1605</v>
      </c>
      <c r="B353" s="7" t="s">
        <v>358</v>
      </c>
      <c r="C353" s="4">
        <f>_xlfn.XLOOKUP(A353,[2]Sheet2!$I$2:$I$1273,[2]Sheet2!$D$2:$D$1273,0)</f>
        <v>0</v>
      </c>
      <c r="D353" s="4">
        <f>_xlfn.XLOOKUP(B353,[4]Sheet2!$B$2:$B$3154,[4]Sheet2!$F$2:$F$3154,0)</f>
        <v>0</v>
      </c>
      <c r="E353" s="4" t="e">
        <f>_xlfn.XLOOKUP(B353,[2]Sheet2!$E$2:$E$713,[2]Sheet2!$G$2:$G$713)</f>
        <v>#N/A</v>
      </c>
      <c r="F353" s="18">
        <v>46058</v>
      </c>
      <c r="G353" s="14">
        <v>0.77050925925925928</v>
      </c>
      <c r="H353" s="7" t="s">
        <v>4</v>
      </c>
      <c r="I353" s="2" t="str">
        <f t="shared" si="28"/>
        <v>Q4</v>
      </c>
      <c r="J353" s="2" t="str">
        <f t="shared" si="29"/>
        <v>Not Found</v>
      </c>
      <c r="K353" s="2">
        <f t="shared" si="25"/>
        <v>0.1</v>
      </c>
      <c r="L353" s="2" t="e">
        <f t="shared" si="26"/>
        <v>#N/A</v>
      </c>
      <c r="M353" s="2" t="str">
        <f t="shared" si="27"/>
        <v>Assign quadrant hit</v>
      </c>
      <c r="N353" s="7">
        <v>18.100000000000001</v>
      </c>
      <c r="O353" s="7">
        <v>1.7</v>
      </c>
      <c r="P353" s="7">
        <v>-11.3</v>
      </c>
      <c r="Q353" s="7">
        <v>-0.92</v>
      </c>
      <c r="R353" s="7">
        <v>0</v>
      </c>
      <c r="S353" s="7">
        <v>-0.1</v>
      </c>
      <c r="T353" s="7">
        <v>0.09</v>
      </c>
      <c r="U353" s="7">
        <v>0</v>
      </c>
      <c r="V353" s="7">
        <v>0.93</v>
      </c>
      <c r="W353" s="7" t="s">
        <v>13</v>
      </c>
      <c r="X353" s="7" t="s">
        <v>15</v>
      </c>
      <c r="Y353" s="2" t="s">
        <v>719</v>
      </c>
      <c r="Z353" s="2" t="s">
        <v>721</v>
      </c>
    </row>
    <row r="354" spans="1:26" x14ac:dyDescent="0.35">
      <c r="A354" s="7" t="s">
        <v>1626</v>
      </c>
      <c r="B354" s="7" t="s">
        <v>359</v>
      </c>
      <c r="C354" s="4" t="str">
        <f>_xlfn.XLOOKUP(A354,[2]Sheet2!$I$2:$I$1273,[2]Sheet2!$D$2:$D$1273,0)</f>
        <v>Q4</v>
      </c>
      <c r="D354" s="4">
        <f>_xlfn.XLOOKUP(B354,[4]Sheet2!$B$2:$B$3154,[4]Sheet2!$F$2:$F$3154,0)</f>
        <v>0</v>
      </c>
      <c r="E354" s="4" t="e">
        <f>_xlfn.XLOOKUP(B354,[2]Sheet2!$E$2:$E$713,[2]Sheet2!$G$2:$G$713)</f>
        <v>#N/A</v>
      </c>
      <c r="F354" s="18">
        <v>46058</v>
      </c>
      <c r="G354" s="14">
        <v>0.77277777777777779</v>
      </c>
      <c r="H354" s="7" t="s">
        <v>11</v>
      </c>
      <c r="I354" s="2" t="str">
        <f t="shared" si="28"/>
        <v>Q1</v>
      </c>
      <c r="J354" s="2" t="str">
        <f t="shared" si="29"/>
        <v>Not Match</v>
      </c>
      <c r="K354" s="2">
        <f t="shared" si="25"/>
        <v>0.3</v>
      </c>
      <c r="L354" s="2" t="e">
        <f t="shared" si="26"/>
        <v>#N/A</v>
      </c>
      <c r="M354" s="2" t="str">
        <f t="shared" si="27"/>
        <v>Below 0.8 not in assigned quadrant</v>
      </c>
      <c r="N354" s="7">
        <v>15.7</v>
      </c>
      <c r="O354" s="7">
        <v>-0.3</v>
      </c>
      <c r="P354" s="7">
        <v>-2</v>
      </c>
      <c r="Q354" s="7">
        <v>-0.11</v>
      </c>
      <c r="R354" s="7">
        <v>0</v>
      </c>
      <c r="S354" s="7">
        <v>0.3</v>
      </c>
      <c r="T354" s="7">
        <v>-0.46</v>
      </c>
      <c r="U354" s="7">
        <v>-0.05</v>
      </c>
      <c r="V354" s="7">
        <v>0.48</v>
      </c>
      <c r="W354" s="7" t="s">
        <v>8</v>
      </c>
      <c r="X354" s="7" t="s">
        <v>15</v>
      </c>
      <c r="Y354" s="2" t="s">
        <v>719</v>
      </c>
      <c r="Z354" s="2" t="s">
        <v>721</v>
      </c>
    </row>
    <row r="355" spans="1:26" x14ac:dyDescent="0.35">
      <c r="A355" s="7" t="s">
        <v>1598</v>
      </c>
      <c r="B355" s="7" t="s">
        <v>360</v>
      </c>
      <c r="C355" s="4" t="str">
        <f>_xlfn.XLOOKUP(A355,[2]Sheet2!$I$2:$I$1273,[2]Sheet2!$D$2:$D$1273,0)</f>
        <v>Q3</v>
      </c>
      <c r="D355" s="4">
        <f>_xlfn.XLOOKUP(B355,[4]Sheet2!$B$2:$B$3154,[4]Sheet2!$F$2:$F$3154,0)</f>
        <v>0</v>
      </c>
      <c r="E355" s="4" t="e">
        <f>_xlfn.XLOOKUP(B355,[2]Sheet2!$E$2:$E$713,[2]Sheet2!$G$2:$G$713)</f>
        <v>#N/A</v>
      </c>
      <c r="F355" s="18">
        <v>46058</v>
      </c>
      <c r="G355" s="14">
        <v>0.77482638888888888</v>
      </c>
      <c r="H355" s="7" t="s">
        <v>5</v>
      </c>
      <c r="I355" s="2" t="str">
        <f t="shared" si="28"/>
        <v>Q3</v>
      </c>
      <c r="J355" s="2" t="str">
        <f t="shared" si="29"/>
        <v>Match</v>
      </c>
      <c r="K355" s="2">
        <f t="shared" si="25"/>
        <v>0.5</v>
      </c>
      <c r="L355" s="2" t="e">
        <f t="shared" si="26"/>
        <v>#N/A</v>
      </c>
      <c r="M355" s="2" t="str">
        <f t="shared" si="27"/>
        <v>Digital Approve Hit</v>
      </c>
      <c r="N355" s="7">
        <v>20.3</v>
      </c>
      <c r="O355" s="7">
        <v>-6.5</v>
      </c>
      <c r="P355" s="7">
        <v>-13.9</v>
      </c>
      <c r="Q355" s="7">
        <v>-0.43</v>
      </c>
      <c r="R355" s="7">
        <v>-0.3</v>
      </c>
      <c r="S355" s="7">
        <v>-0.4</v>
      </c>
      <c r="T355" s="7">
        <v>0.36</v>
      </c>
      <c r="U355" s="7">
        <v>-0.15</v>
      </c>
      <c r="V355" s="7">
        <v>0.57999999999999996</v>
      </c>
      <c r="W355" s="7" t="s">
        <v>8</v>
      </c>
      <c r="X355" s="7" t="s">
        <v>15</v>
      </c>
      <c r="Y355" s="2" t="s">
        <v>719</v>
      </c>
      <c r="Z355" s="2" t="s">
        <v>721</v>
      </c>
    </row>
    <row r="356" spans="1:26" x14ac:dyDescent="0.35">
      <c r="A356" s="7" t="s">
        <v>1619</v>
      </c>
      <c r="B356" s="7" t="s">
        <v>361</v>
      </c>
      <c r="C356" s="4" t="str">
        <f>_xlfn.XLOOKUP(A356,[2]Sheet2!$I$2:$I$1273,[2]Sheet2!$D$2:$D$1273,0)</f>
        <v>Q4</v>
      </c>
      <c r="D356" s="4">
        <f>_xlfn.XLOOKUP(B356,[4]Sheet2!$B$2:$B$3154,[4]Sheet2!$F$2:$F$3154,0)</f>
        <v>0</v>
      </c>
      <c r="E356" s="4" t="e">
        <f>_xlfn.XLOOKUP(B356,[2]Sheet2!$E$2:$E$713,[2]Sheet2!$G$2:$G$713)</f>
        <v>#N/A</v>
      </c>
      <c r="F356" s="18">
        <v>46058</v>
      </c>
      <c r="G356" s="14">
        <v>0.77712962962962961</v>
      </c>
      <c r="H356" s="7" t="s">
        <v>16</v>
      </c>
      <c r="I356" s="2" t="str">
        <f t="shared" si="28"/>
        <v>Q1</v>
      </c>
      <c r="J356" s="2" t="str">
        <f t="shared" si="29"/>
        <v>Not Match</v>
      </c>
      <c r="K356" s="2">
        <f t="shared" si="25"/>
        <v>0.7</v>
      </c>
      <c r="L356" s="2" t="e">
        <f t="shared" si="26"/>
        <v>#N/A</v>
      </c>
      <c r="M356" s="2" t="str">
        <f t="shared" si="27"/>
        <v>Assign quadrant hit</v>
      </c>
      <c r="N356" s="7">
        <v>28.5</v>
      </c>
      <c r="O356" s="7">
        <v>-1.7</v>
      </c>
      <c r="P356" s="7">
        <v>-2.1</v>
      </c>
      <c r="Q356" s="7">
        <v>-0.2</v>
      </c>
      <c r="R356" s="7">
        <v>0</v>
      </c>
      <c r="S356" s="7">
        <v>0.7</v>
      </c>
      <c r="T356" s="7">
        <v>-0.78</v>
      </c>
      <c r="U356" s="7">
        <v>-0.54</v>
      </c>
      <c r="V356" s="7">
        <v>0.98</v>
      </c>
      <c r="W356" s="7" t="s">
        <v>13</v>
      </c>
      <c r="X356" s="7" t="s">
        <v>15</v>
      </c>
      <c r="Y356" s="2" t="s">
        <v>719</v>
      </c>
      <c r="Z356" s="2" t="s">
        <v>721</v>
      </c>
    </row>
    <row r="357" spans="1:26" x14ac:dyDescent="0.35">
      <c r="A357" s="7" t="s">
        <v>1593</v>
      </c>
      <c r="B357" s="7" t="s">
        <v>362</v>
      </c>
      <c r="C357" s="4" t="str">
        <f>_xlfn.XLOOKUP(A357,[2]Sheet2!$I$2:$I$1273,[2]Sheet2!$D$2:$D$1273,0)</f>
        <v>Q3</v>
      </c>
      <c r="D357" s="4">
        <f>_xlfn.XLOOKUP(B357,[4]Sheet2!$B$2:$B$3154,[4]Sheet2!$F$2:$F$3154,0)</f>
        <v>0</v>
      </c>
      <c r="E357" s="4" t="e">
        <f>_xlfn.XLOOKUP(B357,[2]Sheet2!$E$2:$E$713,[2]Sheet2!$G$2:$G$713)</f>
        <v>#N/A</v>
      </c>
      <c r="F357" s="18">
        <v>46058</v>
      </c>
      <c r="G357" s="14">
        <v>0.77888888888888885</v>
      </c>
      <c r="H357" s="7" t="s">
        <v>5</v>
      </c>
      <c r="I357" s="2" t="str">
        <f t="shared" si="28"/>
        <v>Q1</v>
      </c>
      <c r="J357" s="2" t="str">
        <f t="shared" si="29"/>
        <v>Not Match</v>
      </c>
      <c r="K357" s="2">
        <f t="shared" si="25"/>
        <v>0.2</v>
      </c>
      <c r="L357" s="2" t="e">
        <f t="shared" si="26"/>
        <v>#N/A</v>
      </c>
      <c r="M357" s="2" t="str">
        <f t="shared" si="27"/>
        <v>Assign quadrant hit</v>
      </c>
      <c r="N357" s="7">
        <v>22.7</v>
      </c>
      <c r="O357" s="7">
        <v>3.2</v>
      </c>
      <c r="P357" s="7">
        <v>2.6</v>
      </c>
      <c r="Q357" s="7">
        <v>-1.01</v>
      </c>
      <c r="R357" s="7">
        <v>0</v>
      </c>
      <c r="S357" s="7">
        <v>0.2</v>
      </c>
      <c r="T357" s="7">
        <v>0.13</v>
      </c>
      <c r="U357" s="7">
        <v>0.31</v>
      </c>
      <c r="V357" s="7">
        <v>1.06</v>
      </c>
      <c r="W357" s="7" t="s">
        <v>6</v>
      </c>
      <c r="X357" s="7" t="s">
        <v>12</v>
      </c>
      <c r="Y357" s="2" t="s">
        <v>719</v>
      </c>
      <c r="Z357" s="2" t="s">
        <v>721</v>
      </c>
    </row>
    <row r="358" spans="1:26" x14ac:dyDescent="0.35">
      <c r="A358" s="7" t="s">
        <v>1630</v>
      </c>
      <c r="B358" s="7" t="s">
        <v>363</v>
      </c>
      <c r="C358" s="4">
        <f>_xlfn.XLOOKUP(A358,[2]Sheet2!$I$2:$I$1273,[2]Sheet2!$D$2:$D$1273,0)</f>
        <v>0</v>
      </c>
      <c r="D358" s="4">
        <f>_xlfn.XLOOKUP(B358,[4]Sheet2!$B$2:$B$3154,[4]Sheet2!$F$2:$F$3154,0)</f>
        <v>0</v>
      </c>
      <c r="E358" s="4" t="e">
        <f>_xlfn.XLOOKUP(B358,[2]Sheet2!$E$2:$E$713,[2]Sheet2!$G$2:$G$713)</f>
        <v>#N/A</v>
      </c>
      <c r="F358" s="18">
        <v>46058</v>
      </c>
      <c r="G358" s="14">
        <v>0.91853009259259255</v>
      </c>
      <c r="H358" s="7" t="s">
        <v>5</v>
      </c>
      <c r="I358" s="2" t="str">
        <f t="shared" si="28"/>
        <v>Q4</v>
      </c>
      <c r="J358" s="2" t="str">
        <f t="shared" si="29"/>
        <v>Not Found</v>
      </c>
      <c r="K358" s="2">
        <f t="shared" si="25"/>
        <v>0.2</v>
      </c>
      <c r="L358" s="2" t="e">
        <f t="shared" si="26"/>
        <v>#N/A</v>
      </c>
      <c r="M358" s="2" t="str">
        <f t="shared" si="27"/>
        <v>Assign quadrant hit</v>
      </c>
      <c r="N358" s="7">
        <v>18</v>
      </c>
      <c r="O358" s="7">
        <v>-0.6</v>
      </c>
      <c r="P358" s="7">
        <v>-2.7</v>
      </c>
      <c r="Q358" s="7">
        <v>0.53</v>
      </c>
      <c r="R358" s="7">
        <v>0</v>
      </c>
      <c r="S358" s="7">
        <v>-0.2</v>
      </c>
      <c r="T358" s="7">
        <v>0.31</v>
      </c>
      <c r="U358" s="7">
        <v>0.2</v>
      </c>
      <c r="V358" s="7">
        <v>0.65</v>
      </c>
      <c r="W358" s="7" t="s">
        <v>8</v>
      </c>
      <c r="X358" s="7" t="s">
        <v>9</v>
      </c>
      <c r="Y358" s="2" t="s">
        <v>719</v>
      </c>
      <c r="Z358" s="2" t="s">
        <v>721</v>
      </c>
    </row>
    <row r="359" spans="1:26" x14ac:dyDescent="0.35">
      <c r="A359" s="7" t="s">
        <v>1500</v>
      </c>
      <c r="B359" s="7" t="s">
        <v>364</v>
      </c>
      <c r="C359" s="4" t="str">
        <f>_xlfn.XLOOKUP(A359,[2]Sheet2!$I$2:$I$1273,[2]Sheet2!$D$2:$D$1273,0)</f>
        <v>Q2</v>
      </c>
      <c r="D359" s="4">
        <f>_xlfn.XLOOKUP(B359,[4]Sheet2!$B$2:$B$3154,[4]Sheet2!$F$2:$F$3154,0)</f>
        <v>0</v>
      </c>
      <c r="E359" s="4" t="e">
        <f>_xlfn.XLOOKUP(B359,[2]Sheet2!$E$2:$E$713,[2]Sheet2!$G$2:$G$713)</f>
        <v>#N/A</v>
      </c>
      <c r="F359" s="18">
        <v>46058</v>
      </c>
      <c r="G359" s="14">
        <v>0.95944444444444443</v>
      </c>
      <c r="H359" s="7" t="s">
        <v>5</v>
      </c>
      <c r="I359" s="2" t="str">
        <f t="shared" si="28"/>
        <v>Q4</v>
      </c>
      <c r="J359" s="2" t="str">
        <f t="shared" si="29"/>
        <v>Not Match</v>
      </c>
      <c r="K359" s="2">
        <f t="shared" si="25"/>
        <v>0.14142135623730953</v>
      </c>
      <c r="L359" s="2" t="e">
        <f t="shared" si="26"/>
        <v>#N/A</v>
      </c>
      <c r="M359" s="2" t="str">
        <f t="shared" si="27"/>
        <v>Below 0.8 not in assigned quadrant</v>
      </c>
      <c r="N359" s="7">
        <v>16.7</v>
      </c>
      <c r="O359" s="7">
        <v>-0.6</v>
      </c>
      <c r="P359" s="7">
        <v>-1.5</v>
      </c>
      <c r="Q359" s="7">
        <v>0.09</v>
      </c>
      <c r="R359" s="7">
        <v>0.1</v>
      </c>
      <c r="S359" s="7">
        <v>-0.1</v>
      </c>
      <c r="T359" s="7">
        <v>0.13</v>
      </c>
      <c r="U359" s="7">
        <v>0.2</v>
      </c>
      <c r="V359" s="7">
        <v>0.26</v>
      </c>
      <c r="W359" s="7" t="s">
        <v>8</v>
      </c>
      <c r="X359" s="7" t="s">
        <v>9</v>
      </c>
      <c r="Y359" s="2" t="s">
        <v>719</v>
      </c>
      <c r="Z359" s="2" t="s">
        <v>721</v>
      </c>
    </row>
    <row r="360" spans="1:26" x14ac:dyDescent="0.35">
      <c r="A360" s="7" t="s">
        <v>1629</v>
      </c>
      <c r="B360" s="7" t="s">
        <v>365</v>
      </c>
      <c r="C360" s="4">
        <f>_xlfn.XLOOKUP(A360,[2]Sheet2!$I$2:$I$1273,[2]Sheet2!$D$2:$D$1273,0)</f>
        <v>0</v>
      </c>
      <c r="D360" s="4">
        <f>_xlfn.XLOOKUP(B360,[4]Sheet2!$B$2:$B$3154,[4]Sheet2!$F$2:$F$3154,0)</f>
        <v>0</v>
      </c>
      <c r="E360" s="4" t="e">
        <f>_xlfn.XLOOKUP(B360,[2]Sheet2!$E$2:$E$713,[2]Sheet2!$G$2:$G$713)</f>
        <v>#N/A</v>
      </c>
      <c r="F360" s="18">
        <v>46059</v>
      </c>
      <c r="G360" s="14">
        <v>6.8333333333333329E-2</v>
      </c>
      <c r="H360" s="7" t="s">
        <v>5</v>
      </c>
      <c r="I360" s="2" t="str">
        <f t="shared" si="28"/>
        <v>Q1</v>
      </c>
      <c r="J360" s="2" t="str">
        <f t="shared" si="29"/>
        <v>Not Found</v>
      </c>
      <c r="K360" s="2">
        <f t="shared" si="25"/>
        <v>0.3</v>
      </c>
      <c r="L360" s="2" t="e">
        <f t="shared" si="26"/>
        <v>#N/A</v>
      </c>
      <c r="M360" s="2" t="str">
        <f t="shared" si="27"/>
        <v>Assign quadrant hit</v>
      </c>
      <c r="N360" s="7">
        <v>17.100000000000001</v>
      </c>
      <c r="O360" s="7">
        <v>-0.6</v>
      </c>
      <c r="P360" s="7">
        <v>-2.1</v>
      </c>
      <c r="Q360" s="7">
        <v>-0.39</v>
      </c>
      <c r="R360" s="7">
        <v>0</v>
      </c>
      <c r="S360" s="7">
        <v>0.3</v>
      </c>
      <c r="T360" s="7">
        <v>-0.43</v>
      </c>
      <c r="U360" s="7">
        <v>-0.15</v>
      </c>
      <c r="V360" s="7">
        <v>0.6</v>
      </c>
      <c r="W360" s="7" t="s">
        <v>8</v>
      </c>
      <c r="X360" s="7" t="s">
        <v>15</v>
      </c>
      <c r="Y360" s="2" t="s">
        <v>719</v>
      </c>
      <c r="Z360" s="2" t="s">
        <v>721</v>
      </c>
    </row>
    <row r="361" spans="1:26" x14ac:dyDescent="0.35">
      <c r="A361" s="7" t="s">
        <v>1566</v>
      </c>
      <c r="B361" s="7" t="s">
        <v>367</v>
      </c>
      <c r="C361" s="4" t="str">
        <f>_xlfn.XLOOKUP(A361,[2]Sheet2!$I$2:$I$1273,[2]Sheet2!$D$2:$D$1273,0)</f>
        <v>Q4</v>
      </c>
      <c r="D361" s="4">
        <f>_xlfn.XLOOKUP(B361,[4]Sheet2!$B$2:$B$3154,[4]Sheet2!$F$2:$F$3154,0)</f>
        <v>0</v>
      </c>
      <c r="E361" s="4" t="e">
        <f>_xlfn.XLOOKUP(B361,[2]Sheet2!$E$2:$E$713,[2]Sheet2!$G$2:$G$713)</f>
        <v>#N/A</v>
      </c>
      <c r="F361" s="18">
        <v>46059</v>
      </c>
      <c r="G361" s="14">
        <v>0.17178240740740741</v>
      </c>
      <c r="H361" s="7" t="s">
        <v>16</v>
      </c>
      <c r="I361" s="2" t="str">
        <f t="shared" si="28"/>
        <v>Q2</v>
      </c>
      <c r="J361" s="2" t="str">
        <f t="shared" si="29"/>
        <v>Not Match</v>
      </c>
      <c r="K361" s="2">
        <f t="shared" si="25"/>
        <v>0.5</v>
      </c>
      <c r="L361" s="2" t="e">
        <f t="shared" si="26"/>
        <v>#N/A</v>
      </c>
      <c r="M361" s="2" t="str">
        <f t="shared" si="27"/>
        <v>Below 0.8 not in assigned quadrant</v>
      </c>
      <c r="N361" s="7">
        <v>15.9</v>
      </c>
      <c r="O361" s="7">
        <v>-1.1000000000000001</v>
      </c>
      <c r="P361" s="7">
        <v>-5.8</v>
      </c>
      <c r="Q361" s="7">
        <v>0.26</v>
      </c>
      <c r="R361" s="7">
        <v>-0.3</v>
      </c>
      <c r="S361" s="7">
        <v>0.4</v>
      </c>
      <c r="T361" s="7">
        <v>-0.39</v>
      </c>
      <c r="U361" s="7">
        <v>-0.53</v>
      </c>
      <c r="V361" s="7">
        <v>0.71</v>
      </c>
      <c r="W361" s="7" t="s">
        <v>8</v>
      </c>
      <c r="X361" s="7" t="s">
        <v>15</v>
      </c>
      <c r="Y361" s="2" t="s">
        <v>719</v>
      </c>
      <c r="Z361" s="2" t="s">
        <v>721</v>
      </c>
    </row>
    <row r="362" spans="1:26" x14ac:dyDescent="0.35">
      <c r="A362" s="7" t="s">
        <v>1626</v>
      </c>
      <c r="B362" s="7" t="s">
        <v>368</v>
      </c>
      <c r="C362" s="4" t="str">
        <f>_xlfn.XLOOKUP(A362,[2]Sheet2!$I$2:$I$1273,[2]Sheet2!$D$2:$D$1273,0)</f>
        <v>Q4</v>
      </c>
      <c r="D362" s="4">
        <f>_xlfn.XLOOKUP(B362,[4]Sheet2!$B$2:$B$3154,[4]Sheet2!$F$2:$F$3154,0)</f>
        <v>0</v>
      </c>
      <c r="E362" s="4" t="e">
        <f>_xlfn.XLOOKUP(B362,[2]Sheet2!$E$2:$E$713,[2]Sheet2!$G$2:$G$713)</f>
        <v>#N/A</v>
      </c>
      <c r="F362" s="18">
        <v>46059</v>
      </c>
      <c r="G362" s="14">
        <v>0.17439814814814814</v>
      </c>
      <c r="H362" s="7" t="s">
        <v>11</v>
      </c>
      <c r="I362" s="2" t="str">
        <f t="shared" si="28"/>
        <v>Q1</v>
      </c>
      <c r="J362" s="2" t="str">
        <f t="shared" si="29"/>
        <v>Not Match</v>
      </c>
      <c r="K362" s="2">
        <f t="shared" si="25"/>
        <v>0.3</v>
      </c>
      <c r="L362" s="2" t="e">
        <f t="shared" si="26"/>
        <v>#N/A</v>
      </c>
      <c r="M362" s="2" t="str">
        <f t="shared" si="27"/>
        <v>Below 0.8 not in assigned quadrant</v>
      </c>
      <c r="N362" s="7">
        <v>15.4</v>
      </c>
      <c r="O362" s="7">
        <v>-0.3</v>
      </c>
      <c r="P362" s="7">
        <v>-2.1</v>
      </c>
      <c r="Q362" s="7">
        <v>-0.4</v>
      </c>
      <c r="R362" s="7">
        <v>0</v>
      </c>
      <c r="S362" s="7">
        <v>0.3</v>
      </c>
      <c r="T362" s="7">
        <v>-0.44</v>
      </c>
      <c r="U362" s="7">
        <v>-0.06</v>
      </c>
      <c r="V362" s="7">
        <v>0.59</v>
      </c>
      <c r="W362" s="7" t="s">
        <v>8</v>
      </c>
      <c r="X362" s="7" t="s">
        <v>15</v>
      </c>
      <c r="Y362" s="2" t="s">
        <v>719</v>
      </c>
      <c r="Z362" s="2" t="s">
        <v>721</v>
      </c>
    </row>
    <row r="363" spans="1:26" x14ac:dyDescent="0.35">
      <c r="A363" s="7" t="s">
        <v>1593</v>
      </c>
      <c r="B363" s="7" t="s">
        <v>300</v>
      </c>
      <c r="C363" s="4" t="str">
        <f>_xlfn.XLOOKUP(A363,[2]Sheet2!$I$2:$I$1273,[2]Sheet2!$D$2:$D$1273,0)</f>
        <v>Q3</v>
      </c>
      <c r="D363" s="4">
        <f>_xlfn.XLOOKUP(B363,[4]Sheet2!$B$2:$B$3154,[4]Sheet2!$F$2:$F$3154,0)</f>
        <v>0</v>
      </c>
      <c r="E363" s="4" t="e">
        <f>_xlfn.XLOOKUP(B363,[2]Sheet2!$E$2:$E$713,[2]Sheet2!$G$2:$G$713)</f>
        <v>#N/A</v>
      </c>
      <c r="F363" s="18">
        <v>46059</v>
      </c>
      <c r="G363" s="14">
        <v>0.20594907407407406</v>
      </c>
      <c r="H363" s="7" t="s">
        <v>5</v>
      </c>
      <c r="I363" s="2" t="str">
        <f t="shared" si="28"/>
        <v>Q4</v>
      </c>
      <c r="J363" s="2" t="str">
        <f t="shared" si="29"/>
        <v>Not Match</v>
      </c>
      <c r="K363" s="2">
        <f t="shared" si="25"/>
        <v>0.1</v>
      </c>
      <c r="L363" s="2" t="e">
        <f t="shared" si="26"/>
        <v>#N/A</v>
      </c>
      <c r="M363" s="2" t="str">
        <f t="shared" si="27"/>
        <v>Assign quadrant hit</v>
      </c>
      <c r="N363" s="7">
        <v>21.8</v>
      </c>
      <c r="O363" s="7">
        <v>3.4</v>
      </c>
      <c r="P363" s="7">
        <v>2.2999999999999998</v>
      </c>
      <c r="Q363" s="7">
        <v>-1.67</v>
      </c>
      <c r="R363" s="7">
        <v>0.1</v>
      </c>
      <c r="S363" s="7">
        <v>0</v>
      </c>
      <c r="T363" s="7">
        <v>0.15</v>
      </c>
      <c r="U363" s="7">
        <v>-0.18</v>
      </c>
      <c r="V363" s="7">
        <v>1.68</v>
      </c>
      <c r="W363" s="7" t="s">
        <v>6</v>
      </c>
      <c r="X363" s="7" t="s">
        <v>7</v>
      </c>
      <c r="Y363" s="2" t="s">
        <v>719</v>
      </c>
      <c r="Z363" s="2" t="s">
        <v>721</v>
      </c>
    </row>
    <row r="364" spans="1:26" x14ac:dyDescent="0.35">
      <c r="A364" s="7" t="s">
        <v>1626</v>
      </c>
      <c r="B364" s="7" t="s">
        <v>369</v>
      </c>
      <c r="C364" s="4" t="str">
        <f>_xlfn.XLOOKUP(A364,[2]Sheet2!$I$2:$I$1273,[2]Sheet2!$D$2:$D$1273,0)</f>
        <v>Q4</v>
      </c>
      <c r="D364" s="4">
        <f>_xlfn.XLOOKUP(B364,[4]Sheet2!$B$2:$B$3154,[4]Sheet2!$F$2:$F$3154,0)</f>
        <v>0</v>
      </c>
      <c r="E364" s="4" t="e">
        <f>_xlfn.XLOOKUP(B364,[2]Sheet2!$E$2:$E$713,[2]Sheet2!$G$2:$G$713)</f>
        <v>#N/A</v>
      </c>
      <c r="F364" s="18">
        <v>46059</v>
      </c>
      <c r="G364" s="14">
        <v>0.2528125</v>
      </c>
      <c r="H364" s="7" t="s">
        <v>11</v>
      </c>
      <c r="I364" s="2" t="str">
        <f t="shared" si="28"/>
        <v>Q1</v>
      </c>
      <c r="J364" s="2" t="str">
        <f t="shared" si="29"/>
        <v>Not Match</v>
      </c>
      <c r="K364" s="2">
        <f t="shared" si="25"/>
        <v>0.3</v>
      </c>
      <c r="L364" s="2" t="e">
        <f t="shared" si="26"/>
        <v>#N/A</v>
      </c>
      <c r="M364" s="2" t="str">
        <f t="shared" si="27"/>
        <v>Below 0.8 not in assigned quadrant</v>
      </c>
      <c r="N364" s="7">
        <v>15.1</v>
      </c>
      <c r="O364" s="7">
        <v>-0.3</v>
      </c>
      <c r="P364" s="7">
        <v>-2.1</v>
      </c>
      <c r="Q364" s="7">
        <v>-0.69</v>
      </c>
      <c r="R364" s="7">
        <v>0</v>
      </c>
      <c r="S364" s="7">
        <v>0.3</v>
      </c>
      <c r="T364" s="7">
        <v>-0.38</v>
      </c>
      <c r="U364" s="7">
        <v>-0.04</v>
      </c>
      <c r="V364" s="7">
        <v>0.79</v>
      </c>
      <c r="W364" s="7" t="s">
        <v>13</v>
      </c>
      <c r="X364" s="7" t="s">
        <v>15</v>
      </c>
      <c r="Y364" s="2" t="s">
        <v>719</v>
      </c>
      <c r="Z364" s="2" t="s">
        <v>721</v>
      </c>
    </row>
    <row r="365" spans="1:26" x14ac:dyDescent="0.35">
      <c r="A365" s="7" t="s">
        <v>1626</v>
      </c>
      <c r="B365" s="7" t="s">
        <v>370</v>
      </c>
      <c r="C365" s="4" t="str">
        <f>_xlfn.XLOOKUP(A365,[2]Sheet2!$I$2:$I$1273,[2]Sheet2!$D$2:$D$1273,0)</f>
        <v>Q4</v>
      </c>
      <c r="D365" s="4">
        <f>_xlfn.XLOOKUP(B365,[4]Sheet2!$B$2:$B$3154,[4]Sheet2!$F$2:$F$3154,0)</f>
        <v>0</v>
      </c>
      <c r="E365" s="4" t="e">
        <f>_xlfn.XLOOKUP(B365,[2]Sheet2!$E$2:$E$713,[2]Sheet2!$G$2:$G$713)</f>
        <v>#N/A</v>
      </c>
      <c r="F365" s="18">
        <v>46059</v>
      </c>
      <c r="G365" s="14">
        <v>0.26331018518518517</v>
      </c>
      <c r="H365" s="7" t="s">
        <v>11</v>
      </c>
      <c r="I365" s="2" t="str">
        <f t="shared" si="28"/>
        <v>Q1</v>
      </c>
      <c r="J365" s="2" t="str">
        <f t="shared" si="29"/>
        <v>Not Match</v>
      </c>
      <c r="K365" s="2">
        <f t="shared" si="25"/>
        <v>0.2</v>
      </c>
      <c r="L365" s="2" t="e">
        <f t="shared" si="26"/>
        <v>#N/A</v>
      </c>
      <c r="M365" s="2" t="str">
        <f t="shared" si="27"/>
        <v>Below 0.8 not in assigned quadrant</v>
      </c>
      <c r="N365" s="7">
        <v>15.5</v>
      </c>
      <c r="O365" s="7">
        <v>-0.3</v>
      </c>
      <c r="P365" s="7">
        <v>-2.2000000000000002</v>
      </c>
      <c r="Q365" s="7">
        <v>-0.28999999999999998</v>
      </c>
      <c r="R365" s="7">
        <v>0</v>
      </c>
      <c r="S365" s="7">
        <v>0.2</v>
      </c>
      <c r="T365" s="7">
        <v>-0.32</v>
      </c>
      <c r="U365" s="7">
        <v>0</v>
      </c>
      <c r="V365" s="7">
        <v>0.43</v>
      </c>
      <c r="W365" s="7" t="s">
        <v>8</v>
      </c>
      <c r="X365" s="7" t="s">
        <v>9</v>
      </c>
      <c r="Y365" s="2" t="s">
        <v>719</v>
      </c>
      <c r="Z365" s="2" t="s">
        <v>721</v>
      </c>
    </row>
    <row r="366" spans="1:26" x14ac:dyDescent="0.35">
      <c r="A366" s="7" t="s">
        <v>1500</v>
      </c>
      <c r="B366" s="7" t="s">
        <v>371</v>
      </c>
      <c r="C366" s="4" t="str">
        <f>_xlfn.XLOOKUP(A366,[2]Sheet2!$I$2:$I$1273,[2]Sheet2!$D$2:$D$1273,0)</f>
        <v>Q2</v>
      </c>
      <c r="D366" s="4">
        <f>_xlfn.XLOOKUP(B366,[4]Sheet2!$B$2:$B$3154,[4]Sheet2!$F$2:$F$3154,0)</f>
        <v>0</v>
      </c>
      <c r="E366" s="4" t="e">
        <f>_xlfn.XLOOKUP(B366,[2]Sheet2!$E$2:$E$713,[2]Sheet2!$G$2:$G$713)</f>
        <v>#N/A</v>
      </c>
      <c r="F366" s="18">
        <v>46059</v>
      </c>
      <c r="G366" s="14">
        <v>0.26807870370370368</v>
      </c>
      <c r="H366" s="7" t="s">
        <v>5</v>
      </c>
      <c r="I366" s="2" t="str">
        <f t="shared" si="28"/>
        <v>Q4</v>
      </c>
      <c r="J366" s="2" t="str">
        <f t="shared" si="29"/>
        <v>Not Match</v>
      </c>
      <c r="K366" s="2">
        <f t="shared" si="25"/>
        <v>0.31622776601683794</v>
      </c>
      <c r="L366" s="2" t="e">
        <f t="shared" si="26"/>
        <v>#N/A</v>
      </c>
      <c r="M366" s="2" t="str">
        <f t="shared" si="27"/>
        <v>Below 0.8 not in assigned quadrant</v>
      </c>
      <c r="N366" s="7">
        <v>16.600000000000001</v>
      </c>
      <c r="O366" s="7">
        <v>-0.5</v>
      </c>
      <c r="P366" s="7">
        <v>-1.7</v>
      </c>
      <c r="Q366" s="7">
        <v>0</v>
      </c>
      <c r="R366" s="7">
        <v>0.1</v>
      </c>
      <c r="S366" s="7">
        <v>-0.3</v>
      </c>
      <c r="T366" s="7">
        <v>0.35</v>
      </c>
      <c r="U366" s="7">
        <v>0.3</v>
      </c>
      <c r="V366" s="7">
        <v>0.46</v>
      </c>
      <c r="W366" s="7" t="s">
        <v>8</v>
      </c>
      <c r="X366" s="7" t="s">
        <v>9</v>
      </c>
      <c r="Y366" s="2" t="s">
        <v>719</v>
      </c>
      <c r="Z366" s="2" t="s">
        <v>721</v>
      </c>
    </row>
    <row r="367" spans="1:26" x14ac:dyDescent="0.35">
      <c r="A367" s="7" t="s">
        <v>1536</v>
      </c>
      <c r="B367" s="7" t="s">
        <v>372</v>
      </c>
      <c r="C367" s="4" t="str">
        <f>_xlfn.XLOOKUP(A367,[2]Sheet2!$I$2:$I$1273,[2]Sheet2!$D$2:$D$1273,0)</f>
        <v>Q2</v>
      </c>
      <c r="D367" s="4">
        <f>_xlfn.XLOOKUP(B367,[4]Sheet2!$B$2:$B$3154,[4]Sheet2!$F$2:$F$3154,0)</f>
        <v>0</v>
      </c>
      <c r="E367" s="4" t="e">
        <f>_xlfn.XLOOKUP(B367,[2]Sheet2!$E$2:$E$713,[2]Sheet2!$G$2:$G$713)</f>
        <v>#N/A</v>
      </c>
      <c r="F367" s="18">
        <v>46059</v>
      </c>
      <c r="G367" s="14">
        <v>0.2839814814814815</v>
      </c>
      <c r="H367" s="7" t="s">
        <v>5</v>
      </c>
      <c r="I367" s="2" t="str">
        <f t="shared" si="28"/>
        <v>Q4</v>
      </c>
      <c r="J367" s="2" t="str">
        <f t="shared" si="29"/>
        <v>Not Match</v>
      </c>
      <c r="K367" s="2">
        <f t="shared" si="25"/>
        <v>0.1</v>
      </c>
      <c r="L367" s="2" t="e">
        <f t="shared" si="26"/>
        <v>#N/A</v>
      </c>
      <c r="M367" s="2" t="str">
        <f t="shared" si="27"/>
        <v>Below 0.8 not in assigned quadrant</v>
      </c>
      <c r="N367" s="7">
        <v>15.4</v>
      </c>
      <c r="O367" s="7">
        <v>-0.5</v>
      </c>
      <c r="P367" s="7">
        <v>-2.6</v>
      </c>
      <c r="Q367" s="7">
        <v>0.18</v>
      </c>
      <c r="R367" s="7">
        <v>0.1</v>
      </c>
      <c r="S367" s="7">
        <v>0</v>
      </c>
      <c r="T367" s="7">
        <v>-0.04</v>
      </c>
      <c r="U367" s="7">
        <v>0.14000000000000001</v>
      </c>
      <c r="V367" s="7">
        <v>0.23</v>
      </c>
      <c r="W367" s="7" t="s">
        <v>8</v>
      </c>
      <c r="X367" s="7" t="s">
        <v>9</v>
      </c>
      <c r="Y367" s="2" t="s">
        <v>719</v>
      </c>
      <c r="Z367" s="2" t="s">
        <v>721</v>
      </c>
    </row>
    <row r="368" spans="1:26" x14ac:dyDescent="0.35">
      <c r="A368" s="7" t="s">
        <v>1561</v>
      </c>
      <c r="B368" s="7" t="s">
        <v>373</v>
      </c>
      <c r="C368" s="4">
        <f>_xlfn.XLOOKUP(A368,[2]Sheet2!$I$2:$I$1273,[2]Sheet2!$D$2:$D$1273,0)</f>
        <v>0</v>
      </c>
      <c r="D368" s="4">
        <f>_xlfn.XLOOKUP(B368,[4]Sheet2!$B$2:$B$3154,[4]Sheet2!$F$2:$F$3154,0)</f>
        <v>0</v>
      </c>
      <c r="E368" s="4" t="e">
        <f>_xlfn.XLOOKUP(B368,[2]Sheet2!$E$2:$E$713,[2]Sheet2!$G$2:$G$713)</f>
        <v>#N/A</v>
      </c>
      <c r="F368" s="18">
        <v>46059</v>
      </c>
      <c r="G368" s="14">
        <v>0.28671296296296295</v>
      </c>
      <c r="H368" s="7" t="s">
        <v>4</v>
      </c>
      <c r="I368" s="2" t="str">
        <f t="shared" si="28"/>
        <v>Q1</v>
      </c>
      <c r="J368" s="2" t="str">
        <f t="shared" si="29"/>
        <v>Not Found</v>
      </c>
      <c r="K368" s="2">
        <f t="shared" si="25"/>
        <v>0.5</v>
      </c>
      <c r="L368" s="2" t="e">
        <f t="shared" si="26"/>
        <v>#N/A</v>
      </c>
      <c r="M368" s="2" t="str">
        <f t="shared" si="27"/>
        <v>Assign quadrant hit</v>
      </c>
      <c r="N368" s="7">
        <v>15.3</v>
      </c>
      <c r="O368" s="7">
        <v>0</v>
      </c>
      <c r="P368" s="7">
        <v>-0.4</v>
      </c>
      <c r="Q368" s="7">
        <v>0.02</v>
      </c>
      <c r="R368" s="7">
        <v>0</v>
      </c>
      <c r="S368" s="7">
        <v>0.5</v>
      </c>
      <c r="T368" s="7">
        <v>-0.72</v>
      </c>
      <c r="U368" s="7">
        <v>0.1</v>
      </c>
      <c r="V368" s="7">
        <v>0.73</v>
      </c>
      <c r="W368" s="7" t="s">
        <v>8</v>
      </c>
      <c r="X368" s="7" t="s">
        <v>9</v>
      </c>
      <c r="Y368" s="2" t="s">
        <v>719</v>
      </c>
      <c r="Z368" s="2" t="s">
        <v>721</v>
      </c>
    </row>
    <row r="369" spans="1:26" x14ac:dyDescent="0.35">
      <c r="A369" s="7" t="s">
        <v>1543</v>
      </c>
      <c r="B369" s="7" t="s">
        <v>374</v>
      </c>
      <c r="C369" s="4" t="str">
        <f>_xlfn.XLOOKUP(A369,[2]Sheet2!$I$2:$I$1273,[2]Sheet2!$D$2:$D$1273,0)</f>
        <v>Q3</v>
      </c>
      <c r="D369" s="4">
        <f>_xlfn.XLOOKUP(B369,[4]Sheet2!$B$2:$B$3154,[4]Sheet2!$F$2:$F$3154,0)</f>
        <v>0</v>
      </c>
      <c r="E369" s="4" t="e">
        <f>_xlfn.XLOOKUP(B369,[2]Sheet2!$E$2:$E$713,[2]Sheet2!$G$2:$G$713)</f>
        <v>#N/A</v>
      </c>
      <c r="F369" s="18">
        <v>46059</v>
      </c>
      <c r="G369" s="14">
        <v>0.49915509259259261</v>
      </c>
      <c r="H369" s="7" t="s">
        <v>11</v>
      </c>
      <c r="I369" s="2" t="str">
        <f t="shared" si="28"/>
        <v>Q4</v>
      </c>
      <c r="J369" s="2" t="str">
        <f t="shared" si="29"/>
        <v>Not Match</v>
      </c>
      <c r="K369" s="2">
        <f t="shared" si="25"/>
        <v>0.41231056256176613</v>
      </c>
      <c r="L369" s="2" t="e">
        <f t="shared" si="26"/>
        <v>#N/A</v>
      </c>
      <c r="M369" s="2" t="str">
        <f t="shared" si="27"/>
        <v>Assign quadrant hit</v>
      </c>
      <c r="N369" s="7">
        <v>25.2</v>
      </c>
      <c r="O369" s="7">
        <v>6.8</v>
      </c>
      <c r="P369" s="7">
        <v>7.4</v>
      </c>
      <c r="Q369" s="7">
        <v>-0.61</v>
      </c>
      <c r="R369" s="7">
        <v>0.1</v>
      </c>
      <c r="S369" s="7">
        <v>-0.4</v>
      </c>
      <c r="T369" s="7">
        <v>-0.17</v>
      </c>
      <c r="U369" s="7">
        <v>-0.74</v>
      </c>
      <c r="V369" s="7">
        <v>0.97</v>
      </c>
      <c r="W369" s="7" t="s">
        <v>13</v>
      </c>
      <c r="X369" s="7" t="s">
        <v>9</v>
      </c>
      <c r="Y369" s="2" t="s">
        <v>719</v>
      </c>
      <c r="Z369" s="2" t="s">
        <v>721</v>
      </c>
    </row>
    <row r="370" spans="1:26" x14ac:dyDescent="0.35">
      <c r="A370" s="7" t="s">
        <v>1533</v>
      </c>
      <c r="B370" s="7" t="s">
        <v>375</v>
      </c>
      <c r="C370" s="4" t="str">
        <f>_xlfn.XLOOKUP(A370,[2]Sheet2!$I$2:$I$1273,[2]Sheet2!$D$2:$D$1273,0)</f>
        <v>Q2</v>
      </c>
      <c r="D370" s="4">
        <f>_xlfn.XLOOKUP(B370,[4]Sheet2!$B$2:$B$3154,[4]Sheet2!$F$2:$F$3154,0)</f>
        <v>0</v>
      </c>
      <c r="E370" s="4" t="e">
        <f>_xlfn.XLOOKUP(B370,[2]Sheet2!$E$2:$E$713,[2]Sheet2!$G$2:$G$713)</f>
        <v>#N/A</v>
      </c>
      <c r="F370" s="18">
        <v>46059</v>
      </c>
      <c r="G370" s="14">
        <v>0.50318287037037035</v>
      </c>
      <c r="H370" s="7" t="s">
        <v>4</v>
      </c>
      <c r="I370" s="2" t="str">
        <f t="shared" si="28"/>
        <v>Q2</v>
      </c>
      <c r="J370" s="2" t="str">
        <f t="shared" si="29"/>
        <v>Match</v>
      </c>
      <c r="K370" s="2">
        <f t="shared" si="25"/>
        <v>0.22360679774997899</v>
      </c>
      <c r="L370" s="2" t="e">
        <f t="shared" si="26"/>
        <v>#N/A</v>
      </c>
      <c r="M370" s="2" t="str">
        <f t="shared" si="27"/>
        <v>Failed but within quadrant</v>
      </c>
      <c r="N370" s="7">
        <v>25.2</v>
      </c>
      <c r="O370" s="7">
        <v>0.6</v>
      </c>
      <c r="P370" s="7">
        <v>7.9</v>
      </c>
      <c r="Q370" s="7">
        <v>-1.03</v>
      </c>
      <c r="R370" s="7">
        <v>-0.1</v>
      </c>
      <c r="S370" s="7">
        <v>0.2</v>
      </c>
      <c r="T370" s="7">
        <v>0.19</v>
      </c>
      <c r="U370" s="7">
        <v>0.22</v>
      </c>
      <c r="V370" s="7">
        <v>1.07</v>
      </c>
      <c r="W370" s="7" t="s">
        <v>6</v>
      </c>
      <c r="X370" s="7" t="s">
        <v>15</v>
      </c>
      <c r="Y370" s="2" t="s">
        <v>719</v>
      </c>
      <c r="Z370" s="2" t="s">
        <v>721</v>
      </c>
    </row>
    <row r="371" spans="1:26" x14ac:dyDescent="0.35">
      <c r="A371" s="7" t="s">
        <v>1536</v>
      </c>
      <c r="B371" s="7" t="s">
        <v>376</v>
      </c>
      <c r="C371" s="4" t="str">
        <f>_xlfn.XLOOKUP(A371,[2]Sheet2!$I$2:$I$1273,[2]Sheet2!$D$2:$D$1273,0)</f>
        <v>Q2</v>
      </c>
      <c r="D371" s="4">
        <f>_xlfn.XLOOKUP(B371,[4]Sheet2!$B$2:$B$3154,[4]Sheet2!$F$2:$F$3154,0)</f>
        <v>0</v>
      </c>
      <c r="E371" s="4" t="e">
        <f>_xlfn.XLOOKUP(B371,[2]Sheet2!$E$2:$E$713,[2]Sheet2!$G$2:$G$713)</f>
        <v>#N/A</v>
      </c>
      <c r="F371" s="18">
        <v>46059</v>
      </c>
      <c r="G371" s="14">
        <v>0.50761574074074078</v>
      </c>
      <c r="H371" s="7" t="s">
        <v>5</v>
      </c>
      <c r="I371" s="2" t="str">
        <f t="shared" si="28"/>
        <v>Q2</v>
      </c>
      <c r="J371" s="2" t="str">
        <f t="shared" si="29"/>
        <v>Match</v>
      </c>
      <c r="K371" s="2">
        <f t="shared" si="25"/>
        <v>0</v>
      </c>
      <c r="L371" s="2" t="e">
        <f t="shared" si="26"/>
        <v>#N/A</v>
      </c>
      <c r="M371" s="2" t="str">
        <f t="shared" si="27"/>
        <v>Digital Approve Hit</v>
      </c>
      <c r="N371" s="7">
        <v>14.7</v>
      </c>
      <c r="O371" s="7">
        <v>-0.6</v>
      </c>
      <c r="P371" s="7">
        <v>-2.6</v>
      </c>
      <c r="Q371" s="7">
        <v>-0.44</v>
      </c>
      <c r="R371" s="7">
        <v>0</v>
      </c>
      <c r="S371" s="7">
        <v>0</v>
      </c>
      <c r="T371" s="7">
        <v>-0.05</v>
      </c>
      <c r="U371" s="7">
        <v>0.02</v>
      </c>
      <c r="V371" s="7">
        <v>0.44</v>
      </c>
      <c r="W371" s="7" t="s">
        <v>8</v>
      </c>
      <c r="X371" s="7" t="s">
        <v>9</v>
      </c>
      <c r="Y371" s="2" t="s">
        <v>719</v>
      </c>
      <c r="Z371" s="2" t="s">
        <v>721</v>
      </c>
    </row>
    <row r="372" spans="1:26" x14ac:dyDescent="0.35">
      <c r="A372" s="7" t="s">
        <v>1574</v>
      </c>
      <c r="B372" s="7" t="s">
        <v>377</v>
      </c>
      <c r="C372" s="4" t="str">
        <f>_xlfn.XLOOKUP(A372,[2]Sheet2!$I$2:$I$1273,[2]Sheet2!$D$2:$D$1273,0)</f>
        <v>Q2</v>
      </c>
      <c r="D372" s="4">
        <f>_xlfn.XLOOKUP(B372,[4]Sheet2!$B$2:$B$3154,[4]Sheet2!$F$2:$F$3154,0)</f>
        <v>0</v>
      </c>
      <c r="E372" s="4" t="e">
        <f>_xlfn.XLOOKUP(B372,[2]Sheet2!$E$2:$E$713,[2]Sheet2!$G$2:$G$713)</f>
        <v>#N/A</v>
      </c>
      <c r="F372" s="18">
        <v>46059</v>
      </c>
      <c r="G372" s="14">
        <v>0.51041666666666663</v>
      </c>
      <c r="H372" s="7" t="s">
        <v>11</v>
      </c>
      <c r="I372" s="2" t="str">
        <f t="shared" si="28"/>
        <v>Q4</v>
      </c>
      <c r="J372" s="2" t="str">
        <f t="shared" si="29"/>
        <v>Not Match</v>
      </c>
      <c r="K372" s="2">
        <f t="shared" si="25"/>
        <v>0.3</v>
      </c>
      <c r="L372" s="2" t="e">
        <f t="shared" si="26"/>
        <v>#N/A</v>
      </c>
      <c r="M372" s="2" t="str">
        <f t="shared" si="27"/>
        <v>Below 0.8 not in assigned quadrant</v>
      </c>
      <c r="N372" s="7">
        <v>18.8</v>
      </c>
      <c r="O372" s="7">
        <v>-0.2</v>
      </c>
      <c r="P372" s="7">
        <v>-12.6</v>
      </c>
      <c r="Q372" s="7">
        <v>0.51</v>
      </c>
      <c r="R372" s="7">
        <v>0</v>
      </c>
      <c r="S372" s="7">
        <v>-0.3</v>
      </c>
      <c r="T372" s="7">
        <v>0.23</v>
      </c>
      <c r="U372" s="7">
        <v>0</v>
      </c>
      <c r="V372" s="7">
        <v>0.56000000000000005</v>
      </c>
      <c r="W372" s="7" t="s">
        <v>8</v>
      </c>
      <c r="X372" s="7" t="s">
        <v>9</v>
      </c>
      <c r="Y372" s="2" t="s">
        <v>719</v>
      </c>
      <c r="Z372" s="2" t="s">
        <v>721</v>
      </c>
    </row>
    <row r="373" spans="1:26" x14ac:dyDescent="0.35">
      <c r="A373" s="7" t="s">
        <v>1612</v>
      </c>
      <c r="B373" s="7" t="s">
        <v>378</v>
      </c>
      <c r="C373" s="4" t="str">
        <f>_xlfn.XLOOKUP(A373,[2]Sheet2!$I$2:$I$1273,[2]Sheet2!$D$2:$D$1273,0)</f>
        <v>Q1</v>
      </c>
      <c r="D373" s="4">
        <f>_xlfn.XLOOKUP(B373,[4]Sheet2!$B$2:$B$3154,[4]Sheet2!$F$2:$F$3154,0)</f>
        <v>0</v>
      </c>
      <c r="E373" s="4" t="e">
        <f>_xlfn.XLOOKUP(B373,[2]Sheet2!$E$2:$E$713,[2]Sheet2!$G$2:$G$713)</f>
        <v>#N/A</v>
      </c>
      <c r="F373" s="18">
        <v>46059</v>
      </c>
      <c r="G373" s="14">
        <v>0.64097222222222228</v>
      </c>
      <c r="H373" s="7" t="s">
        <v>5</v>
      </c>
      <c r="I373" s="2" t="str">
        <f t="shared" si="28"/>
        <v>Q3</v>
      </c>
      <c r="J373" s="2" t="str">
        <f t="shared" si="29"/>
        <v>Not Match</v>
      </c>
      <c r="K373" s="2">
        <f t="shared" si="25"/>
        <v>0.1</v>
      </c>
      <c r="L373" s="2" t="e">
        <f t="shared" si="26"/>
        <v>#N/A</v>
      </c>
      <c r="M373" s="2" t="str">
        <f t="shared" si="27"/>
        <v>Assign quadrant hit</v>
      </c>
      <c r="N373" s="7">
        <v>16.399999999999999</v>
      </c>
      <c r="O373" s="7">
        <v>-0.4</v>
      </c>
      <c r="P373" s="7">
        <v>-3.5</v>
      </c>
      <c r="Q373" s="7">
        <v>-1.1000000000000001</v>
      </c>
      <c r="R373" s="7">
        <v>-0.1</v>
      </c>
      <c r="S373" s="7">
        <v>0</v>
      </c>
      <c r="T373" s="7">
        <v>0.01</v>
      </c>
      <c r="U373" s="7">
        <v>-0.21</v>
      </c>
      <c r="V373" s="7">
        <v>1.1200000000000001</v>
      </c>
      <c r="W373" s="7" t="s">
        <v>6</v>
      </c>
      <c r="X373" s="7" t="s">
        <v>15</v>
      </c>
      <c r="Y373" s="2" t="s">
        <v>719</v>
      </c>
      <c r="Z373" s="2" t="s">
        <v>721</v>
      </c>
    </row>
    <row r="374" spans="1:26" x14ac:dyDescent="0.35">
      <c r="A374" s="7" t="s">
        <v>1500</v>
      </c>
      <c r="B374" s="7" t="s">
        <v>379</v>
      </c>
      <c r="C374" s="4" t="str">
        <f>_xlfn.XLOOKUP(A374,[2]Sheet2!$I$2:$I$1273,[2]Sheet2!$D$2:$D$1273,0)</f>
        <v>Q2</v>
      </c>
      <c r="D374" s="4">
        <f>_xlfn.XLOOKUP(B374,[4]Sheet2!$B$2:$B$3154,[4]Sheet2!$F$2:$F$3154,0)</f>
        <v>0</v>
      </c>
      <c r="E374" s="4" t="e">
        <f>_xlfn.XLOOKUP(B374,[2]Sheet2!$E$2:$E$713,[2]Sheet2!$G$2:$G$713)</f>
        <v>#N/A</v>
      </c>
      <c r="F374" s="18">
        <v>46059</v>
      </c>
      <c r="G374" s="14">
        <v>0.69755787037037043</v>
      </c>
      <c r="H374" s="7" t="s">
        <v>5</v>
      </c>
      <c r="I374" s="2" t="str">
        <f t="shared" si="28"/>
        <v>Q4</v>
      </c>
      <c r="J374" s="2" t="str">
        <f t="shared" si="29"/>
        <v>Not Match</v>
      </c>
      <c r="K374" s="2">
        <f t="shared" si="25"/>
        <v>0.4</v>
      </c>
      <c r="L374" s="2" t="e">
        <f t="shared" si="26"/>
        <v>#N/A</v>
      </c>
      <c r="M374" s="2" t="str">
        <f t="shared" si="27"/>
        <v>Below 0.8 not in assigned quadrant</v>
      </c>
      <c r="N374" s="7">
        <v>17</v>
      </c>
      <c r="O374" s="7">
        <v>-0.6</v>
      </c>
      <c r="P374" s="7">
        <v>-1.8</v>
      </c>
      <c r="Q374" s="7">
        <v>0.42</v>
      </c>
      <c r="R374" s="7">
        <v>0</v>
      </c>
      <c r="S374" s="7">
        <v>-0.4</v>
      </c>
      <c r="T374" s="7">
        <v>0.56000000000000005</v>
      </c>
      <c r="U374" s="7">
        <v>0.34</v>
      </c>
      <c r="V374" s="7">
        <v>0.78</v>
      </c>
      <c r="W374" s="7" t="s">
        <v>13</v>
      </c>
      <c r="X374" s="7" t="s">
        <v>9</v>
      </c>
      <c r="Y374" s="2" t="s">
        <v>719</v>
      </c>
      <c r="Z374" s="2" t="s">
        <v>721</v>
      </c>
    </row>
    <row r="375" spans="1:26" x14ac:dyDescent="0.35">
      <c r="A375" s="7" t="s">
        <v>1559</v>
      </c>
      <c r="B375" s="7" t="s">
        <v>380</v>
      </c>
      <c r="C375" s="4" t="str">
        <f>_xlfn.XLOOKUP(A375,[2]Sheet2!$I$2:$I$1273,[2]Sheet2!$D$2:$D$1273,0)</f>
        <v>Q3</v>
      </c>
      <c r="D375" s="4">
        <f>_xlfn.XLOOKUP(B375,[4]Sheet2!$B$2:$B$3154,[4]Sheet2!$F$2:$F$3154,0)</f>
        <v>0</v>
      </c>
      <c r="E375" s="4" t="e">
        <f>_xlfn.XLOOKUP(B375,[2]Sheet2!$E$2:$E$713,[2]Sheet2!$G$2:$G$713)</f>
        <v>#N/A</v>
      </c>
      <c r="F375" s="18">
        <v>46059</v>
      </c>
      <c r="G375" s="14">
        <v>0.70104166666666667</v>
      </c>
      <c r="H375" s="7" t="s">
        <v>11</v>
      </c>
      <c r="I375" s="2" t="str">
        <f t="shared" si="28"/>
        <v>Q4</v>
      </c>
      <c r="J375" s="2" t="str">
        <f t="shared" si="29"/>
        <v>Not Match</v>
      </c>
      <c r="K375" s="2">
        <f t="shared" si="25"/>
        <v>0.2</v>
      </c>
      <c r="L375" s="2" t="e">
        <f t="shared" si="26"/>
        <v>#N/A</v>
      </c>
      <c r="M375" s="2" t="str">
        <f t="shared" si="27"/>
        <v>Assign quadrant hit</v>
      </c>
      <c r="N375" s="7">
        <v>16.7</v>
      </c>
      <c r="O375" s="7">
        <v>-0.6</v>
      </c>
      <c r="P375" s="7">
        <v>-3</v>
      </c>
      <c r="Q375" s="7">
        <v>-0.96</v>
      </c>
      <c r="R375" s="7">
        <v>0</v>
      </c>
      <c r="S375" s="7">
        <v>-0.2</v>
      </c>
      <c r="T375" s="7">
        <v>0.26</v>
      </c>
      <c r="U375" s="7">
        <v>7.0000000000000007E-2</v>
      </c>
      <c r="V375" s="7">
        <v>0.99</v>
      </c>
      <c r="W375" s="7" t="s">
        <v>13</v>
      </c>
      <c r="X375" s="7" t="s">
        <v>9</v>
      </c>
      <c r="Y375" s="2" t="s">
        <v>719</v>
      </c>
      <c r="Z375" s="2" t="s">
        <v>721</v>
      </c>
    </row>
    <row r="376" spans="1:26" x14ac:dyDescent="0.35">
      <c r="A376" s="7" t="s">
        <v>1605</v>
      </c>
      <c r="B376" s="7" t="s">
        <v>381</v>
      </c>
      <c r="C376" s="4">
        <f>_xlfn.XLOOKUP(A376,[2]Sheet2!$I$2:$I$1273,[2]Sheet2!$D$2:$D$1273,0)</f>
        <v>0</v>
      </c>
      <c r="D376" s="4">
        <f>_xlfn.XLOOKUP(B376,[4]Sheet2!$B$2:$B$3154,[4]Sheet2!$F$2:$F$3154,0)</f>
        <v>0</v>
      </c>
      <c r="E376" s="4" t="e">
        <f>_xlfn.XLOOKUP(B376,[2]Sheet2!$E$2:$E$713,[2]Sheet2!$G$2:$G$713)</f>
        <v>#N/A</v>
      </c>
      <c r="F376" s="18">
        <v>46059</v>
      </c>
      <c r="G376" s="14">
        <v>0.71119212962962963</v>
      </c>
      <c r="H376" s="7" t="s">
        <v>4</v>
      </c>
      <c r="I376" s="2" t="str">
        <f t="shared" si="28"/>
        <v>Q4</v>
      </c>
      <c r="J376" s="2" t="str">
        <f t="shared" si="29"/>
        <v>Not Found</v>
      </c>
      <c r="K376" s="2">
        <f t="shared" si="25"/>
        <v>0.4</v>
      </c>
      <c r="L376" s="2" t="e">
        <f t="shared" si="26"/>
        <v>#N/A</v>
      </c>
      <c r="M376" s="2" t="str">
        <f t="shared" si="27"/>
        <v>Assign quadrant hit</v>
      </c>
      <c r="N376" s="7">
        <v>19</v>
      </c>
      <c r="O376" s="7">
        <v>1.8</v>
      </c>
      <c r="P376" s="7">
        <v>-11.6</v>
      </c>
      <c r="Q376" s="7">
        <v>-0.08</v>
      </c>
      <c r="R376" s="7">
        <v>0</v>
      </c>
      <c r="S376" s="7">
        <v>-0.4</v>
      </c>
      <c r="T376" s="7">
        <v>0.35</v>
      </c>
      <c r="U376" s="7">
        <v>-0.03</v>
      </c>
      <c r="V376" s="7">
        <v>0.36</v>
      </c>
      <c r="W376" s="7" t="s">
        <v>8</v>
      </c>
      <c r="X376" s="7" t="s">
        <v>15</v>
      </c>
      <c r="Y376" s="2" t="s">
        <v>719</v>
      </c>
      <c r="Z376" s="2" t="s">
        <v>721</v>
      </c>
    </row>
    <row r="377" spans="1:26" x14ac:dyDescent="0.35">
      <c r="A377" s="7" t="s">
        <v>1516</v>
      </c>
      <c r="B377" s="7" t="s">
        <v>382</v>
      </c>
      <c r="C377" s="4" t="str">
        <f>_xlfn.XLOOKUP(A377,[2]Sheet2!$I$2:$I$1273,[2]Sheet2!$D$2:$D$1273,0)</f>
        <v>Q2</v>
      </c>
      <c r="D377" s="4">
        <f>_xlfn.XLOOKUP(B377,[4]Sheet2!$B$2:$B$3154,[4]Sheet2!$F$2:$F$3154,0)</f>
        <v>0</v>
      </c>
      <c r="E377" s="4" t="e">
        <f>_xlfn.XLOOKUP(B377,[2]Sheet2!$E$2:$E$713,[2]Sheet2!$G$2:$G$713)</f>
        <v>#N/A</v>
      </c>
      <c r="F377" s="18">
        <v>46059</v>
      </c>
      <c r="G377" s="14">
        <v>0.71751157407407407</v>
      </c>
      <c r="H377" s="7" t="s">
        <v>14</v>
      </c>
      <c r="I377" s="2" t="str">
        <f t="shared" si="28"/>
        <v>Q1</v>
      </c>
      <c r="J377" s="2" t="str">
        <f t="shared" si="29"/>
        <v>Not Match</v>
      </c>
      <c r="K377" s="2">
        <f t="shared" si="25"/>
        <v>0.31622776601683794</v>
      </c>
      <c r="L377" s="2" t="e">
        <f t="shared" si="26"/>
        <v>#N/A</v>
      </c>
      <c r="M377" s="2" t="str">
        <f t="shared" si="27"/>
        <v>Assign quadrant hit</v>
      </c>
      <c r="N377" s="7">
        <v>16.5</v>
      </c>
      <c r="O377" s="7">
        <v>-1.3</v>
      </c>
      <c r="P377" s="7">
        <v>-2.2999999999999998</v>
      </c>
      <c r="Q377" s="7">
        <v>-1.18</v>
      </c>
      <c r="R377" s="7">
        <v>0.1</v>
      </c>
      <c r="S377" s="7">
        <v>0.3</v>
      </c>
      <c r="T377" s="7">
        <v>-0.48</v>
      </c>
      <c r="U377" s="7">
        <v>-0.06</v>
      </c>
      <c r="V377" s="7">
        <v>1.28</v>
      </c>
      <c r="W377" s="7" t="s">
        <v>6</v>
      </c>
      <c r="X377" s="7" t="s">
        <v>15</v>
      </c>
      <c r="Y377" s="2" t="s">
        <v>719</v>
      </c>
      <c r="Z377" s="2" t="s">
        <v>721</v>
      </c>
    </row>
    <row r="378" spans="1:26" x14ac:dyDescent="0.35">
      <c r="A378" s="7" t="s">
        <v>1557</v>
      </c>
      <c r="B378" s="7" t="s">
        <v>383</v>
      </c>
      <c r="C378" s="4" t="str">
        <f>_xlfn.XLOOKUP(A378,[2]Sheet2!$I$2:$I$1273,[2]Sheet2!$D$2:$D$1273,0)</f>
        <v>Q3</v>
      </c>
      <c r="D378" s="4">
        <f>_xlfn.XLOOKUP(B378,[4]Sheet2!$B$2:$B$3154,[4]Sheet2!$F$2:$F$3154,0)</f>
        <v>0</v>
      </c>
      <c r="E378" s="4" t="e">
        <f>_xlfn.XLOOKUP(B378,[2]Sheet2!$E$2:$E$713,[2]Sheet2!$G$2:$G$713)</f>
        <v>#N/A</v>
      </c>
      <c r="F378" s="18">
        <v>46059</v>
      </c>
      <c r="G378" s="14">
        <v>0.7193518518518518</v>
      </c>
      <c r="H378" s="7" t="s">
        <v>16</v>
      </c>
      <c r="I378" s="2" t="str">
        <f t="shared" si="28"/>
        <v>Q3</v>
      </c>
      <c r="J378" s="2" t="str">
        <f t="shared" si="29"/>
        <v>Match</v>
      </c>
      <c r="K378" s="2">
        <f t="shared" si="25"/>
        <v>0.36055512754639896</v>
      </c>
      <c r="L378" s="2" t="e">
        <f t="shared" si="26"/>
        <v>#N/A</v>
      </c>
      <c r="M378" s="2" t="str">
        <f t="shared" si="27"/>
        <v>Failed but within quadrant</v>
      </c>
      <c r="N378" s="7">
        <v>14.4</v>
      </c>
      <c r="O378" s="7">
        <v>-0.4</v>
      </c>
      <c r="P378" s="7">
        <v>-2.1</v>
      </c>
      <c r="Q378" s="7">
        <v>-1.0900000000000001</v>
      </c>
      <c r="R378" s="7">
        <v>-0.2</v>
      </c>
      <c r="S378" s="7">
        <v>-0.3</v>
      </c>
      <c r="T378" s="7">
        <v>0.56999999999999995</v>
      </c>
      <c r="U378" s="7">
        <v>-0.31</v>
      </c>
      <c r="V378" s="7">
        <v>1.27</v>
      </c>
      <c r="W378" s="7" t="s">
        <v>6</v>
      </c>
      <c r="X378" s="7" t="s">
        <v>15</v>
      </c>
      <c r="Y378" s="2" t="s">
        <v>719</v>
      </c>
      <c r="Z378" s="2" t="s">
        <v>721</v>
      </c>
    </row>
    <row r="379" spans="1:26" x14ac:dyDescent="0.35">
      <c r="A379" s="7" t="s">
        <v>1543</v>
      </c>
      <c r="B379" s="7" t="s">
        <v>384</v>
      </c>
      <c r="C379" s="4" t="str">
        <f>_xlfn.XLOOKUP(A379,[2]Sheet2!$I$2:$I$1273,[2]Sheet2!$D$2:$D$1273,0)</f>
        <v>Q3</v>
      </c>
      <c r="D379" s="4">
        <f>_xlfn.XLOOKUP(B379,[4]Sheet2!$B$2:$B$3154,[4]Sheet2!$F$2:$F$3154,0)</f>
        <v>0</v>
      </c>
      <c r="E379" s="4" t="e">
        <f>_xlfn.XLOOKUP(B379,[2]Sheet2!$E$2:$E$713,[2]Sheet2!$G$2:$G$713)</f>
        <v>#N/A</v>
      </c>
      <c r="F379" s="18">
        <v>46059</v>
      </c>
      <c r="G379" s="14">
        <v>0.87409722222222219</v>
      </c>
      <c r="H379" s="7" t="s">
        <v>11</v>
      </c>
      <c r="I379" s="2" t="str">
        <f t="shared" si="28"/>
        <v>Q1</v>
      </c>
      <c r="J379" s="2" t="str">
        <f t="shared" si="29"/>
        <v>Not Match</v>
      </c>
      <c r="K379" s="2">
        <f t="shared" si="25"/>
        <v>0.31622776601683794</v>
      </c>
      <c r="L379" s="2" t="e">
        <f t="shared" si="26"/>
        <v>#N/A</v>
      </c>
      <c r="M379" s="2" t="str">
        <f t="shared" si="27"/>
        <v>Below 0.8 not in assigned quadrant</v>
      </c>
      <c r="N379" s="7">
        <v>25.9</v>
      </c>
      <c r="O379" s="7">
        <v>6.9</v>
      </c>
      <c r="P379" s="7">
        <v>7.9</v>
      </c>
      <c r="Q379" s="7">
        <v>-7.0000000000000007E-2</v>
      </c>
      <c r="R379" s="7">
        <v>0.3</v>
      </c>
      <c r="S379" s="7">
        <v>0.1</v>
      </c>
      <c r="T379" s="7">
        <v>0.23</v>
      </c>
      <c r="U379" s="7">
        <v>-0.33</v>
      </c>
      <c r="V379" s="7">
        <v>0.41</v>
      </c>
      <c r="W379" s="7" t="s">
        <v>8</v>
      </c>
      <c r="X379" s="7" t="s">
        <v>9</v>
      </c>
      <c r="Y379" s="2" t="s">
        <v>719</v>
      </c>
      <c r="Z379" s="2" t="s">
        <v>721</v>
      </c>
    </row>
    <row r="380" spans="1:26" x14ac:dyDescent="0.35">
      <c r="A380" s="7" t="s">
        <v>1599</v>
      </c>
      <c r="B380" s="7" t="s">
        <v>385</v>
      </c>
      <c r="C380" s="4" t="e">
        <f>_xlfn.XLOOKUP(A380,[2]Sheet2!$I$2:$I$1273,[2]Sheet2!$D$2:$D$1273,0)</f>
        <v>#REF!</v>
      </c>
      <c r="D380" s="4">
        <f>_xlfn.XLOOKUP(B380,[4]Sheet2!$B$2:$B$3154,[4]Sheet2!$F$2:$F$3154,0)</f>
        <v>0</v>
      </c>
      <c r="E380" s="4" t="e">
        <f>_xlfn.XLOOKUP(B380,[2]Sheet2!$E$2:$E$713,[2]Sheet2!$G$2:$G$713)</f>
        <v>#N/A</v>
      </c>
      <c r="F380" s="18">
        <v>46059</v>
      </c>
      <c r="G380" s="14">
        <v>0.93114583333333334</v>
      </c>
      <c r="H380" s="7" t="s">
        <v>4</v>
      </c>
      <c r="I380" s="2" t="str">
        <f t="shared" si="28"/>
        <v>Q1</v>
      </c>
      <c r="J380" s="2" t="e">
        <f t="shared" si="29"/>
        <v>#REF!</v>
      </c>
      <c r="K380" s="2">
        <f t="shared" si="25"/>
        <v>1.2369316876852983</v>
      </c>
      <c r="L380" s="2" t="e">
        <f t="shared" si="26"/>
        <v>#N/A</v>
      </c>
      <c r="M380" s="2" t="e">
        <f t="shared" si="27"/>
        <v>#REF!</v>
      </c>
      <c r="N380" s="7">
        <v>26.4</v>
      </c>
      <c r="O380" s="7">
        <v>0.8</v>
      </c>
      <c r="P380" s="7">
        <v>8.5</v>
      </c>
      <c r="Q380" s="7">
        <v>0.77</v>
      </c>
      <c r="R380" s="7">
        <v>0.3</v>
      </c>
      <c r="S380" s="7">
        <v>1.2</v>
      </c>
      <c r="T380" s="7">
        <v>1.1499999999999999</v>
      </c>
      <c r="U380" s="7">
        <v>-0.39</v>
      </c>
      <c r="V380" s="7">
        <v>1.44</v>
      </c>
      <c r="W380" s="7" t="s">
        <v>6</v>
      </c>
      <c r="X380" s="7" t="s">
        <v>9</v>
      </c>
      <c r="Y380" s="2" t="s">
        <v>719</v>
      </c>
      <c r="Z380" s="2" t="s">
        <v>721</v>
      </c>
    </row>
    <row r="381" spans="1:26" x14ac:dyDescent="0.35">
      <c r="A381" s="7" t="s">
        <v>1626</v>
      </c>
      <c r="B381" s="7" t="s">
        <v>386</v>
      </c>
      <c r="C381" s="4" t="str">
        <f>_xlfn.XLOOKUP(A381,[2]Sheet2!$I$2:$I$1273,[2]Sheet2!$D$2:$D$1273,0)</f>
        <v>Q4</v>
      </c>
      <c r="D381" s="4">
        <f>_xlfn.XLOOKUP(B381,[4]Sheet2!$B$2:$B$3154,[4]Sheet2!$F$2:$F$3154,0)</f>
        <v>0</v>
      </c>
      <c r="E381" s="4" t="e">
        <f>_xlfn.XLOOKUP(B381,[2]Sheet2!$E$2:$E$713,[2]Sheet2!$G$2:$G$713)</f>
        <v>#N/A</v>
      </c>
      <c r="F381" s="18">
        <v>46059</v>
      </c>
      <c r="G381" s="14">
        <v>0.93449074074074079</v>
      </c>
      <c r="H381" s="7" t="s">
        <v>11</v>
      </c>
      <c r="I381" s="2" t="str">
        <f t="shared" si="28"/>
        <v>Q1</v>
      </c>
      <c r="J381" s="2" t="str">
        <f t="shared" si="29"/>
        <v>Not Match</v>
      </c>
      <c r="K381" s="2">
        <f t="shared" si="25"/>
        <v>0.2</v>
      </c>
      <c r="L381" s="2" t="e">
        <f t="shared" si="26"/>
        <v>#N/A</v>
      </c>
      <c r="M381" s="2" t="str">
        <f t="shared" si="27"/>
        <v>Below 0.8 not in assigned quadrant</v>
      </c>
      <c r="N381" s="7">
        <v>15.4</v>
      </c>
      <c r="O381" s="7">
        <v>-0.3</v>
      </c>
      <c r="P381" s="7">
        <v>-2.1</v>
      </c>
      <c r="Q381" s="7">
        <v>-0.38</v>
      </c>
      <c r="R381" s="7">
        <v>0</v>
      </c>
      <c r="S381" s="7">
        <v>0.2</v>
      </c>
      <c r="T381" s="7">
        <v>-0.34</v>
      </c>
      <c r="U381" s="7">
        <v>-0.04</v>
      </c>
      <c r="V381" s="7">
        <v>0.51</v>
      </c>
      <c r="W381" s="7" t="s">
        <v>8</v>
      </c>
      <c r="X381" s="7" t="s">
        <v>15</v>
      </c>
      <c r="Y381" s="2" t="s">
        <v>719</v>
      </c>
      <c r="Z381" s="2" t="s">
        <v>721</v>
      </c>
    </row>
    <row r="382" spans="1:26" x14ac:dyDescent="0.35">
      <c r="A382" s="7" t="s">
        <v>1558</v>
      </c>
      <c r="B382" s="7" t="s">
        <v>387</v>
      </c>
      <c r="C382" s="4" t="str">
        <f>_xlfn.XLOOKUP(A382,[2]Sheet2!$I$2:$I$1273,[2]Sheet2!$D$2:$D$1273,0)</f>
        <v>Q3</v>
      </c>
      <c r="D382" s="4">
        <f>_xlfn.XLOOKUP(B382,[4]Sheet2!$B$2:$B$3154,[4]Sheet2!$F$2:$F$3154,0)</f>
        <v>0</v>
      </c>
      <c r="E382" s="4" t="e">
        <f>_xlfn.XLOOKUP(B382,[2]Sheet2!$E$2:$E$713,[2]Sheet2!$G$2:$G$713)</f>
        <v>#N/A</v>
      </c>
      <c r="F382" s="18">
        <v>46059</v>
      </c>
      <c r="G382" s="14">
        <v>0.94620370370370366</v>
      </c>
      <c r="H382" s="7" t="s">
        <v>16</v>
      </c>
      <c r="I382" s="2" t="str">
        <f t="shared" si="28"/>
        <v>Q4</v>
      </c>
      <c r="J382" s="2" t="str">
        <f t="shared" si="29"/>
        <v>Not Match</v>
      </c>
      <c r="K382" s="2">
        <f t="shared" si="25"/>
        <v>0.1</v>
      </c>
      <c r="L382" s="2" t="e">
        <f t="shared" si="26"/>
        <v>#N/A</v>
      </c>
      <c r="M382" s="2" t="str">
        <f t="shared" si="27"/>
        <v>Assign quadrant hit</v>
      </c>
      <c r="N382" s="7">
        <v>14.4</v>
      </c>
      <c r="O382" s="7">
        <v>-0.4</v>
      </c>
      <c r="P382" s="7">
        <v>-2</v>
      </c>
      <c r="Q382" s="7">
        <v>-1.04</v>
      </c>
      <c r="R382" s="7">
        <v>0</v>
      </c>
      <c r="S382" s="7">
        <v>-0.1</v>
      </c>
      <c r="T382" s="7">
        <v>0.25</v>
      </c>
      <c r="U382" s="7">
        <v>-7.0000000000000007E-2</v>
      </c>
      <c r="V382" s="7">
        <v>1.07</v>
      </c>
      <c r="W382" s="7" t="s">
        <v>6</v>
      </c>
      <c r="X382" s="7" t="s">
        <v>15</v>
      </c>
      <c r="Y382" s="2" t="s">
        <v>719</v>
      </c>
      <c r="Z382" s="2" t="s">
        <v>721</v>
      </c>
    </row>
    <row r="383" spans="1:26" x14ac:dyDescent="0.35">
      <c r="A383" s="7" t="s">
        <v>1579</v>
      </c>
      <c r="B383" s="7" t="s">
        <v>388</v>
      </c>
      <c r="C383" s="4" t="str">
        <f>_xlfn.XLOOKUP(A383,[2]Sheet2!$I$2:$I$1273,[2]Sheet2!$D$2:$D$1273,0)</f>
        <v>Q4</v>
      </c>
      <c r="D383" s="4">
        <f>_xlfn.XLOOKUP(B383,[4]Sheet2!$B$2:$B$3154,[4]Sheet2!$F$2:$F$3154,0)</f>
        <v>0</v>
      </c>
      <c r="E383" s="4" t="e">
        <f>_xlfn.XLOOKUP(B383,[2]Sheet2!$E$2:$E$713,[2]Sheet2!$G$2:$G$713)</f>
        <v>#N/A</v>
      </c>
      <c r="F383" s="18">
        <v>46060</v>
      </c>
      <c r="G383" s="14">
        <v>3.8726851851851853E-2</v>
      </c>
      <c r="H383" s="7" t="s">
        <v>16</v>
      </c>
      <c r="I383" s="2" t="str">
        <f t="shared" si="28"/>
        <v>Q2</v>
      </c>
      <c r="J383" s="2" t="str">
        <f t="shared" si="29"/>
        <v>Not Match</v>
      </c>
      <c r="K383" s="2">
        <f t="shared" si="25"/>
        <v>0.42426406871192851</v>
      </c>
      <c r="L383" s="2" t="e">
        <f t="shared" si="26"/>
        <v>#N/A</v>
      </c>
      <c r="M383" s="2" t="str">
        <f t="shared" si="27"/>
        <v>Assign quadrant hit</v>
      </c>
      <c r="N383" s="7">
        <v>16.3</v>
      </c>
      <c r="O383" s="7">
        <v>-1.1000000000000001</v>
      </c>
      <c r="P383" s="7">
        <v>-6</v>
      </c>
      <c r="Q383" s="7">
        <v>0.68</v>
      </c>
      <c r="R383" s="7">
        <v>-0.3</v>
      </c>
      <c r="S383" s="7">
        <v>0.3</v>
      </c>
      <c r="T383" s="7">
        <v>-0.27</v>
      </c>
      <c r="U383" s="7">
        <v>-0.52</v>
      </c>
      <c r="V383" s="7">
        <v>0.9</v>
      </c>
      <c r="W383" s="7" t="s">
        <v>13</v>
      </c>
      <c r="X383" s="7" t="s">
        <v>15</v>
      </c>
      <c r="Y383" s="2" t="s">
        <v>719</v>
      </c>
      <c r="Z383" s="2" t="s">
        <v>721</v>
      </c>
    </row>
    <row r="384" spans="1:26" x14ac:dyDescent="0.35">
      <c r="A384" s="7" t="s">
        <v>1516</v>
      </c>
      <c r="B384" s="7" t="s">
        <v>389</v>
      </c>
      <c r="C384" s="4" t="str">
        <f>_xlfn.XLOOKUP(A384,[2]Sheet2!$I$2:$I$1273,[2]Sheet2!$D$2:$D$1273,0)</f>
        <v>Q2</v>
      </c>
      <c r="D384" s="4">
        <f>_xlfn.XLOOKUP(B384,[4]Sheet2!$B$2:$B$3154,[4]Sheet2!$F$2:$F$3154,0)</f>
        <v>0</v>
      </c>
      <c r="E384" s="4" t="e">
        <f>_xlfn.XLOOKUP(B384,[2]Sheet2!$E$2:$E$713,[2]Sheet2!$G$2:$G$713)</f>
        <v>#N/A</v>
      </c>
      <c r="F384" s="18">
        <v>46060</v>
      </c>
      <c r="G384" s="14">
        <v>5.9085648148148151E-2</v>
      </c>
      <c r="H384" s="7" t="s">
        <v>4</v>
      </c>
      <c r="I384" s="2" t="str">
        <f t="shared" si="28"/>
        <v>Q1</v>
      </c>
      <c r="J384" s="2" t="str">
        <f t="shared" si="29"/>
        <v>Not Match</v>
      </c>
      <c r="K384" s="2">
        <f t="shared" ref="K384:K447" si="30">SQRT(R384^2+S384^2)</f>
        <v>0.4</v>
      </c>
      <c r="L384" s="2" t="e">
        <f t="shared" ref="L384:L447" si="31">IF(K384&lt;=E384,"Within Range","Over Range")</f>
        <v>#N/A</v>
      </c>
      <c r="M384" s="2" t="str">
        <f t="shared" ref="M384:M447" si="32">IF(AND(J384="Match",V384&lt;=0.8),"Digital Approve Hit",
IF(AND(J384="Match",V384&gt;0.8),"Failed but within quadrant",
IF(AND(J384="Not Match",V384&lt;=0.8),"Below 0.8 not in assigned quadrant",
"Assign quadrant hit")))</f>
        <v>Below 0.8 not in assigned quadrant</v>
      </c>
      <c r="N384" s="7">
        <v>18.600000000000001</v>
      </c>
      <c r="O384" s="7">
        <v>-1.4</v>
      </c>
      <c r="P384" s="7">
        <v>-1.2</v>
      </c>
      <c r="Q384" s="7">
        <v>0.17</v>
      </c>
      <c r="R384" s="7">
        <v>0</v>
      </c>
      <c r="S384" s="7">
        <v>0.4</v>
      </c>
      <c r="T384" s="7">
        <v>-0.42</v>
      </c>
      <c r="U384" s="7">
        <v>-0.44</v>
      </c>
      <c r="V384" s="7">
        <v>0.63</v>
      </c>
      <c r="W384" s="7" t="s">
        <v>8</v>
      </c>
      <c r="X384" s="7" t="s">
        <v>12</v>
      </c>
      <c r="Y384" s="2" t="s">
        <v>719</v>
      </c>
      <c r="Z384" s="2" t="s">
        <v>721</v>
      </c>
    </row>
    <row r="385" spans="1:26" x14ac:dyDescent="0.35">
      <c r="A385" s="7" t="s">
        <v>1626</v>
      </c>
      <c r="B385" s="7" t="s">
        <v>390</v>
      </c>
      <c r="C385" s="4" t="str">
        <f>_xlfn.XLOOKUP(A385,[2]Sheet2!$I$2:$I$1273,[2]Sheet2!$D$2:$D$1273,0)</f>
        <v>Q4</v>
      </c>
      <c r="D385" s="4">
        <f>_xlfn.XLOOKUP(B385,[4]Sheet2!$B$2:$B$3154,[4]Sheet2!$F$2:$F$3154,0)</f>
        <v>0</v>
      </c>
      <c r="E385" s="4" t="e">
        <f>_xlfn.XLOOKUP(B385,[2]Sheet2!$E$2:$E$713,[2]Sheet2!$G$2:$G$713)</f>
        <v>#N/A</v>
      </c>
      <c r="F385" s="18">
        <v>46060</v>
      </c>
      <c r="G385" s="14">
        <v>7.4259259259259261E-2</v>
      </c>
      <c r="H385" s="7" t="s">
        <v>11</v>
      </c>
      <c r="I385" s="2" t="str">
        <f t="shared" ref="I385:I448" si="33">IF(AND(R385=0,S385=0),IF(C385="","Origin",C385),
IF(AND(R385&gt;0,S385=0),"Q4",
IF(AND(R385&lt;0,S385=0),"Q3",
IF(AND(R385&gt;=0,S385&lt;0),"Q4",
IF(AND(R385&gt;=0,S385&gt;0),"Q1",
IF(AND(R385&lt;0,S385&lt;=0),"Q3",
IF(AND(R385&lt;0,S385&gt;0),"Q2",
"")))))))</f>
        <v>Q1</v>
      </c>
      <c r="J385" s="2" t="str">
        <f t="shared" si="29"/>
        <v>Not Match</v>
      </c>
      <c r="K385" s="2">
        <f t="shared" si="30"/>
        <v>0.2</v>
      </c>
      <c r="L385" s="2" t="e">
        <f t="shared" si="31"/>
        <v>#N/A</v>
      </c>
      <c r="M385" s="2" t="str">
        <f t="shared" si="32"/>
        <v>Below 0.8 not in assigned quadrant</v>
      </c>
      <c r="N385" s="7">
        <v>15.5</v>
      </c>
      <c r="O385" s="7">
        <v>-0.3</v>
      </c>
      <c r="P385" s="7">
        <v>-2.1</v>
      </c>
      <c r="Q385" s="7">
        <v>-0.3</v>
      </c>
      <c r="R385" s="7">
        <v>0</v>
      </c>
      <c r="S385" s="7">
        <v>0.2</v>
      </c>
      <c r="T385" s="7">
        <v>-0.36</v>
      </c>
      <c r="U385" s="7">
        <v>-0.08</v>
      </c>
      <c r="V385" s="7">
        <v>0.47</v>
      </c>
      <c r="W385" s="7" t="s">
        <v>8</v>
      </c>
      <c r="X385" s="7" t="s">
        <v>15</v>
      </c>
      <c r="Y385" s="2" t="s">
        <v>719</v>
      </c>
      <c r="Z385" s="2" t="s">
        <v>721</v>
      </c>
    </row>
    <row r="386" spans="1:26" x14ac:dyDescent="0.35">
      <c r="A386" s="7" t="s">
        <v>1631</v>
      </c>
      <c r="B386" s="7" t="s">
        <v>391</v>
      </c>
      <c r="C386" s="4" t="str">
        <f>_xlfn.XLOOKUP(A386,[2]Sheet2!$I$2:$I$1273,[2]Sheet2!$D$2:$D$1273,0)</f>
        <v>Q4</v>
      </c>
      <c r="D386" s="4">
        <f>_xlfn.XLOOKUP(B386,[4]Sheet2!$B$2:$B$3154,[4]Sheet2!$F$2:$F$3154,0)</f>
        <v>0</v>
      </c>
      <c r="E386" s="4" t="e">
        <f>_xlfn.XLOOKUP(B386,[2]Sheet2!$E$2:$E$713,[2]Sheet2!$G$2:$G$713)</f>
        <v>#N/A</v>
      </c>
      <c r="F386" s="18">
        <v>46060</v>
      </c>
      <c r="G386" s="14">
        <v>9.1446759259259255E-2</v>
      </c>
      <c r="H386" s="7" t="s">
        <v>5</v>
      </c>
      <c r="I386" s="2" t="str">
        <f t="shared" si="33"/>
        <v>Q1</v>
      </c>
      <c r="J386" s="2" t="str">
        <f t="shared" si="29"/>
        <v>Not Match</v>
      </c>
      <c r="K386" s="2">
        <f t="shared" si="30"/>
        <v>0.67082039324993692</v>
      </c>
      <c r="L386" s="2" t="e">
        <f t="shared" si="31"/>
        <v>#N/A</v>
      </c>
      <c r="M386" s="2" t="str">
        <f t="shared" si="32"/>
        <v>Below 0.8 not in assigned quadrant</v>
      </c>
      <c r="N386" s="7">
        <v>22.9</v>
      </c>
      <c r="O386" s="7">
        <v>3.2</v>
      </c>
      <c r="P386" s="7">
        <v>3.8</v>
      </c>
      <c r="Q386" s="7">
        <v>0.08</v>
      </c>
      <c r="R386" s="7">
        <v>0.3</v>
      </c>
      <c r="S386" s="7">
        <v>0.6</v>
      </c>
      <c r="T386" s="7">
        <v>0.73</v>
      </c>
      <c r="U386" s="7">
        <v>0.27</v>
      </c>
      <c r="V386" s="7">
        <v>0.78</v>
      </c>
      <c r="W386" s="7" t="s">
        <v>13</v>
      </c>
      <c r="X386" s="7" t="s">
        <v>12</v>
      </c>
      <c r="Y386" s="2" t="s">
        <v>719</v>
      </c>
      <c r="Z386" s="2" t="s">
        <v>721</v>
      </c>
    </row>
    <row r="387" spans="1:26" x14ac:dyDescent="0.35">
      <c r="A387" s="7" t="s">
        <v>1528</v>
      </c>
      <c r="B387" s="7" t="s">
        <v>392</v>
      </c>
      <c r="C387" s="4" t="str">
        <f>_xlfn.XLOOKUP(A387,[2]Sheet2!$I$2:$I$1273,[2]Sheet2!$D$2:$D$1273,0)</f>
        <v>Q1</v>
      </c>
      <c r="D387" s="4">
        <f>_xlfn.XLOOKUP(B387,[4]Sheet2!$B$2:$B$3154,[4]Sheet2!$F$2:$F$3154,0)</f>
        <v>0</v>
      </c>
      <c r="E387" s="4" t="e">
        <f>_xlfn.XLOOKUP(B387,[2]Sheet2!$E$2:$E$713,[2]Sheet2!$G$2:$G$713)</f>
        <v>#N/A</v>
      </c>
      <c r="F387" s="18">
        <v>46060</v>
      </c>
      <c r="G387" s="14">
        <v>0.25344907407407408</v>
      </c>
      <c r="H387" s="7" t="s">
        <v>5</v>
      </c>
      <c r="I387" s="2" t="str">
        <f t="shared" si="33"/>
        <v>Q2</v>
      </c>
      <c r="J387" s="2" t="str">
        <f t="shared" ref="J387:J450" si="34">IF(I387=C387,"Match",IF(C387=0,"Not Found","Not Match"))</f>
        <v>Not Match</v>
      </c>
      <c r="K387" s="2">
        <f t="shared" si="30"/>
        <v>1.4035668847618199</v>
      </c>
      <c r="L387" s="2" t="e">
        <f t="shared" si="31"/>
        <v>#N/A</v>
      </c>
      <c r="M387" s="2" t="str">
        <f t="shared" si="32"/>
        <v>Assign quadrant hit</v>
      </c>
      <c r="N387" s="7">
        <v>42</v>
      </c>
      <c r="O387" s="7">
        <v>50.4</v>
      </c>
      <c r="P387" s="7">
        <v>-2.7</v>
      </c>
      <c r="Q387" s="7">
        <v>-0.81</v>
      </c>
      <c r="R387" s="7">
        <v>-0.1</v>
      </c>
      <c r="S387" s="7">
        <v>1.4</v>
      </c>
      <c r="T387" s="7">
        <v>-0.11</v>
      </c>
      <c r="U387" s="7">
        <v>0.77</v>
      </c>
      <c r="V387" s="7">
        <v>1.1200000000000001</v>
      </c>
      <c r="W387" s="7" t="s">
        <v>6</v>
      </c>
      <c r="X387" s="7" t="s">
        <v>9</v>
      </c>
      <c r="Y387" s="2" t="s">
        <v>719</v>
      </c>
      <c r="Z387" s="2" t="s">
        <v>721</v>
      </c>
    </row>
    <row r="388" spans="1:26" x14ac:dyDescent="0.35">
      <c r="A388" s="7" t="s">
        <v>1632</v>
      </c>
      <c r="B388" s="7" t="s">
        <v>393</v>
      </c>
      <c r="C388" s="4">
        <f>_xlfn.XLOOKUP(A388,[2]Sheet2!$I$2:$I$1273,[2]Sheet2!$D$2:$D$1273,0)</f>
        <v>0</v>
      </c>
      <c r="D388" s="4">
        <f>_xlfn.XLOOKUP(B388,[4]Sheet2!$B$2:$B$3154,[4]Sheet2!$F$2:$F$3154,0)</f>
        <v>0</v>
      </c>
      <c r="E388" s="4" t="e">
        <f>_xlfn.XLOOKUP(B388,[2]Sheet2!$E$2:$E$713,[2]Sheet2!$G$2:$G$713)</f>
        <v>#N/A</v>
      </c>
      <c r="F388" s="18">
        <v>46060</v>
      </c>
      <c r="G388" s="14">
        <v>0.26340277777777776</v>
      </c>
      <c r="H388" s="7" t="s">
        <v>4</v>
      </c>
      <c r="I388" s="2" t="str">
        <f t="shared" si="33"/>
        <v>Q1</v>
      </c>
      <c r="J388" s="2" t="str">
        <f t="shared" si="34"/>
        <v>Not Found</v>
      </c>
      <c r="K388" s="2">
        <f t="shared" si="30"/>
        <v>0.63245553203367588</v>
      </c>
      <c r="L388" s="2" t="e">
        <f t="shared" si="31"/>
        <v>#N/A</v>
      </c>
      <c r="M388" s="2" t="str">
        <f t="shared" si="32"/>
        <v>Assign quadrant hit</v>
      </c>
      <c r="N388" s="7">
        <v>22.2</v>
      </c>
      <c r="O388" s="7">
        <v>13.9</v>
      </c>
      <c r="P388" s="7">
        <v>-13.3</v>
      </c>
      <c r="Q388" s="7">
        <v>-0.14000000000000001</v>
      </c>
      <c r="R388" s="7">
        <v>0.6</v>
      </c>
      <c r="S388" s="7">
        <v>0.2</v>
      </c>
      <c r="T388" s="7">
        <v>0.16</v>
      </c>
      <c r="U388" s="7">
        <v>0.57999999999999996</v>
      </c>
      <c r="V388" s="7">
        <v>0.62</v>
      </c>
      <c r="W388" s="7" t="s">
        <v>8</v>
      </c>
      <c r="X388" s="7" t="s">
        <v>9</v>
      </c>
      <c r="Y388" s="2" t="s">
        <v>719</v>
      </c>
      <c r="Z388" s="2" t="s">
        <v>721</v>
      </c>
    </row>
    <row r="389" spans="1:26" x14ac:dyDescent="0.35">
      <c r="A389" s="7" t="s">
        <v>1622</v>
      </c>
      <c r="B389" s="7" t="s">
        <v>394</v>
      </c>
      <c r="C389" s="4" t="str">
        <f>_xlfn.XLOOKUP(A389,[2]Sheet2!$I$2:$I$1273,[2]Sheet2!$D$2:$D$1273,0)</f>
        <v>Q1</v>
      </c>
      <c r="D389" s="4">
        <f>_xlfn.XLOOKUP(B389,[4]Sheet2!$B$2:$B$3154,[4]Sheet2!$F$2:$F$3154,0)</f>
        <v>0</v>
      </c>
      <c r="E389" s="4" t="e">
        <f>_xlfn.XLOOKUP(B389,[2]Sheet2!$E$2:$E$713,[2]Sheet2!$G$2:$G$713)</f>
        <v>#N/A</v>
      </c>
      <c r="F389" s="18">
        <v>46060</v>
      </c>
      <c r="G389" s="14">
        <v>0.26655092592592594</v>
      </c>
      <c r="H389" s="7" t="s">
        <v>5</v>
      </c>
      <c r="I389" s="2" t="str">
        <f t="shared" si="33"/>
        <v>Q1</v>
      </c>
      <c r="J389" s="2" t="str">
        <f t="shared" si="34"/>
        <v>Match</v>
      </c>
      <c r="K389" s="2">
        <f t="shared" si="30"/>
        <v>0.3</v>
      </c>
      <c r="L389" s="2" t="e">
        <f t="shared" si="31"/>
        <v>#N/A</v>
      </c>
      <c r="M389" s="2" t="str">
        <f t="shared" si="32"/>
        <v>Digital Approve Hit</v>
      </c>
      <c r="N389" s="7">
        <v>16.8</v>
      </c>
      <c r="O389" s="7">
        <v>-0.3</v>
      </c>
      <c r="P389" s="7">
        <v>-2.8</v>
      </c>
      <c r="Q389" s="7">
        <v>-0.16</v>
      </c>
      <c r="R389" s="7">
        <v>0</v>
      </c>
      <c r="S389" s="7">
        <v>0.3</v>
      </c>
      <c r="T389" s="7">
        <v>-0.44</v>
      </c>
      <c r="U389" s="7">
        <v>0.01</v>
      </c>
      <c r="V389" s="7">
        <v>0.47</v>
      </c>
      <c r="W389" s="7" t="s">
        <v>8</v>
      </c>
      <c r="X389" s="7" t="s">
        <v>9</v>
      </c>
      <c r="Y389" s="2" t="s">
        <v>719</v>
      </c>
      <c r="Z389" s="2" t="s">
        <v>721</v>
      </c>
    </row>
    <row r="390" spans="1:26" x14ac:dyDescent="0.35">
      <c r="A390" s="7" t="s">
        <v>1520</v>
      </c>
      <c r="B390" s="7" t="s">
        <v>395</v>
      </c>
      <c r="C390" s="4" t="str">
        <f>_xlfn.XLOOKUP(A390,[2]Sheet2!$I$2:$I$1273,[2]Sheet2!$D$2:$D$1273,0)</f>
        <v>Q1</v>
      </c>
      <c r="D390" s="4">
        <f>_xlfn.XLOOKUP(B390,[4]Sheet2!$B$2:$B$3154,[4]Sheet2!$F$2:$F$3154,0)</f>
        <v>0</v>
      </c>
      <c r="E390" s="4" t="e">
        <f>_xlfn.XLOOKUP(B390,[2]Sheet2!$E$2:$E$713,[2]Sheet2!$G$2:$G$713)</f>
        <v>#N/A</v>
      </c>
      <c r="F390" s="18">
        <v>46062</v>
      </c>
      <c r="G390" s="14">
        <v>0.46525462962962966</v>
      </c>
      <c r="H390" s="7" t="s">
        <v>11</v>
      </c>
      <c r="I390" s="2" t="str">
        <f t="shared" si="33"/>
        <v>Q1</v>
      </c>
      <c r="J390" s="2" t="str">
        <f t="shared" si="34"/>
        <v>Match</v>
      </c>
      <c r="K390" s="2">
        <f t="shared" si="30"/>
        <v>0.22360679774997899</v>
      </c>
      <c r="L390" s="2" t="e">
        <f t="shared" si="31"/>
        <v>#N/A</v>
      </c>
      <c r="M390" s="2" t="str">
        <f t="shared" si="32"/>
        <v>Digital Approve Hit</v>
      </c>
      <c r="N390" s="7">
        <v>26.5</v>
      </c>
      <c r="O390" s="7">
        <v>6.7</v>
      </c>
      <c r="P390" s="7">
        <v>8.3000000000000007</v>
      </c>
      <c r="Q390" s="7">
        <v>-0.05</v>
      </c>
      <c r="R390" s="7">
        <v>0.2</v>
      </c>
      <c r="S390" s="7">
        <v>0.1</v>
      </c>
      <c r="T390" s="7">
        <v>0.25</v>
      </c>
      <c r="U390" s="7">
        <v>-0.16</v>
      </c>
      <c r="V390" s="7">
        <v>0.3</v>
      </c>
      <c r="W390" s="7" t="s">
        <v>8</v>
      </c>
      <c r="X390" s="7" t="s">
        <v>9</v>
      </c>
      <c r="Y390" s="2" t="s">
        <v>719</v>
      </c>
      <c r="Z390" s="2" t="s">
        <v>721</v>
      </c>
    </row>
    <row r="391" spans="1:26" x14ac:dyDescent="0.35">
      <c r="A391" s="7" t="s">
        <v>1516</v>
      </c>
      <c r="B391" s="7" t="s">
        <v>396</v>
      </c>
      <c r="C391" s="4" t="str">
        <f>_xlfn.XLOOKUP(A391,[2]Sheet2!$I$2:$I$1273,[2]Sheet2!$D$2:$D$1273,0)</f>
        <v>Q2</v>
      </c>
      <c r="D391" s="4">
        <f>_xlfn.XLOOKUP(B391,[4]Sheet2!$B$2:$B$3154,[4]Sheet2!$F$2:$F$3154,0)</f>
        <v>0</v>
      </c>
      <c r="E391" s="4" t="e">
        <f>_xlfn.XLOOKUP(B391,[2]Sheet2!$E$2:$E$713,[2]Sheet2!$G$2:$G$713)</f>
        <v>#N/A</v>
      </c>
      <c r="F391" s="18">
        <v>46063</v>
      </c>
      <c r="G391" s="14">
        <v>0.6731597222222222</v>
      </c>
      <c r="H391" s="7" t="s">
        <v>4</v>
      </c>
      <c r="I391" s="2" t="str">
        <f t="shared" si="33"/>
        <v>Q1</v>
      </c>
      <c r="J391" s="2" t="str">
        <f t="shared" si="34"/>
        <v>Not Match</v>
      </c>
      <c r="K391" s="2">
        <f t="shared" si="30"/>
        <v>0.2</v>
      </c>
      <c r="L391" s="2" t="e">
        <f t="shared" si="31"/>
        <v>#N/A</v>
      </c>
      <c r="M391" s="2" t="str">
        <f t="shared" si="32"/>
        <v>Below 0.8 not in assigned quadrant</v>
      </c>
      <c r="N391" s="7">
        <v>18.399999999999999</v>
      </c>
      <c r="O391" s="7">
        <v>-1.3</v>
      </c>
      <c r="P391" s="7">
        <v>-1.4</v>
      </c>
      <c r="Q391" s="7">
        <v>0</v>
      </c>
      <c r="R391" s="7">
        <v>0</v>
      </c>
      <c r="S391" s="7">
        <v>0.2</v>
      </c>
      <c r="T391" s="7">
        <v>-0.28999999999999998</v>
      </c>
      <c r="U391" s="7">
        <v>-0.13</v>
      </c>
      <c r="V391" s="7">
        <v>0.32</v>
      </c>
      <c r="W391" s="7" t="s">
        <v>8</v>
      </c>
      <c r="X391" s="7" t="s">
        <v>12</v>
      </c>
      <c r="Y391" s="2" t="s">
        <v>719</v>
      </c>
      <c r="Z391" s="2" t="s">
        <v>721</v>
      </c>
    </row>
    <row r="392" spans="1:26" x14ac:dyDescent="0.35">
      <c r="A392" s="7" t="s">
        <v>1587</v>
      </c>
      <c r="B392" s="7" t="s">
        <v>397</v>
      </c>
      <c r="C392" s="4" t="str">
        <f>_xlfn.XLOOKUP(A392,[2]Sheet2!$I$2:$I$1273,[2]Sheet2!$D$2:$D$1273,0)</f>
        <v>Q4</v>
      </c>
      <c r="D392" s="4">
        <f>_xlfn.XLOOKUP(B392,[4]Sheet2!$B$2:$B$3154,[4]Sheet2!$F$2:$F$3154,0)</f>
        <v>0</v>
      </c>
      <c r="E392" s="4" t="e">
        <f>_xlfn.XLOOKUP(B392,[2]Sheet2!$E$2:$E$713,[2]Sheet2!$G$2:$G$713)</f>
        <v>#N/A</v>
      </c>
      <c r="F392" s="18">
        <v>46063</v>
      </c>
      <c r="G392" s="14">
        <v>0.68346064814814811</v>
      </c>
      <c r="H392" s="7" t="s">
        <v>5</v>
      </c>
      <c r="I392" s="2" t="str">
        <f t="shared" si="33"/>
        <v>Q4</v>
      </c>
      <c r="J392" s="2" t="str">
        <f t="shared" si="34"/>
        <v>Match</v>
      </c>
      <c r="K392" s="2">
        <f t="shared" si="30"/>
        <v>0</v>
      </c>
      <c r="L392" s="2" t="e">
        <f t="shared" si="31"/>
        <v>#N/A</v>
      </c>
      <c r="M392" s="2" t="str">
        <f t="shared" si="32"/>
        <v>Digital Approve Hit</v>
      </c>
      <c r="N392" s="7">
        <v>17.2</v>
      </c>
      <c r="O392" s="7">
        <v>-0.8</v>
      </c>
      <c r="P392" s="7">
        <v>-3.4</v>
      </c>
      <c r="Q392" s="7">
        <v>-0.59</v>
      </c>
      <c r="R392" s="7">
        <v>0</v>
      </c>
      <c r="S392" s="7">
        <v>0</v>
      </c>
      <c r="T392" s="7">
        <v>0.03</v>
      </c>
      <c r="U392" s="7">
        <v>-0.05</v>
      </c>
      <c r="V392" s="7">
        <v>0.59</v>
      </c>
      <c r="W392" s="7" t="s">
        <v>8</v>
      </c>
      <c r="X392" s="7" t="s">
        <v>15</v>
      </c>
      <c r="Y392" s="2" t="s">
        <v>719</v>
      </c>
      <c r="Z392" s="2" t="s">
        <v>721</v>
      </c>
    </row>
    <row r="393" spans="1:26" x14ac:dyDescent="0.35">
      <c r="A393" s="7" t="s">
        <v>1626</v>
      </c>
      <c r="B393" s="7" t="s">
        <v>398</v>
      </c>
      <c r="C393" s="4" t="str">
        <f>_xlfn.XLOOKUP(A393,[2]Sheet2!$I$2:$I$1273,[2]Sheet2!$D$2:$D$1273,0)</f>
        <v>Q4</v>
      </c>
      <c r="D393" s="4">
        <f>_xlfn.XLOOKUP(B393,[4]Sheet2!$B$2:$B$3154,[4]Sheet2!$F$2:$F$3154,0)</f>
        <v>0</v>
      </c>
      <c r="E393" s="4" t="e">
        <f>_xlfn.XLOOKUP(B393,[2]Sheet2!$E$2:$E$713,[2]Sheet2!$G$2:$G$713)</f>
        <v>#N/A</v>
      </c>
      <c r="F393" s="18">
        <v>46063</v>
      </c>
      <c r="G393" s="14">
        <v>0.69087962962962968</v>
      </c>
      <c r="H393" s="7" t="s">
        <v>11</v>
      </c>
      <c r="I393" s="2" t="str">
        <f t="shared" si="33"/>
        <v>Q1</v>
      </c>
      <c r="J393" s="2" t="str">
        <f t="shared" si="34"/>
        <v>Not Match</v>
      </c>
      <c r="K393" s="2">
        <f t="shared" si="30"/>
        <v>0.3</v>
      </c>
      <c r="L393" s="2" t="e">
        <f t="shared" si="31"/>
        <v>#N/A</v>
      </c>
      <c r="M393" s="2" t="str">
        <f t="shared" si="32"/>
        <v>Below 0.8 not in assigned quadrant</v>
      </c>
      <c r="N393" s="7">
        <v>15.2</v>
      </c>
      <c r="O393" s="7">
        <v>-0.3</v>
      </c>
      <c r="P393" s="7">
        <v>-2.1</v>
      </c>
      <c r="Q393" s="7">
        <v>-0.59</v>
      </c>
      <c r="R393" s="7">
        <v>0</v>
      </c>
      <c r="S393" s="7">
        <v>0.3</v>
      </c>
      <c r="T393" s="7">
        <v>-0.43</v>
      </c>
      <c r="U393" s="7">
        <v>-7.0000000000000007E-2</v>
      </c>
      <c r="V393" s="7">
        <v>0.73</v>
      </c>
      <c r="W393" s="7" t="s">
        <v>8</v>
      </c>
      <c r="X393" s="7" t="s">
        <v>15</v>
      </c>
      <c r="Y393" s="2" t="s">
        <v>719</v>
      </c>
      <c r="Z393" s="2" t="s">
        <v>721</v>
      </c>
    </row>
    <row r="394" spans="1:26" x14ac:dyDescent="0.35">
      <c r="A394" s="7" t="s">
        <v>1506</v>
      </c>
      <c r="B394" s="7" t="s">
        <v>399</v>
      </c>
      <c r="C394" s="4" t="str">
        <f>_xlfn.XLOOKUP(A394,[2]Sheet2!$I$2:$I$1273,[2]Sheet2!$D$2:$D$1273,0)</f>
        <v>Q1</v>
      </c>
      <c r="D394" s="4">
        <f>_xlfn.XLOOKUP(B394,[4]Sheet2!$B$2:$B$3154,[4]Sheet2!$F$2:$F$3154,0)</f>
        <v>0</v>
      </c>
      <c r="E394" s="4" t="e">
        <f>_xlfn.XLOOKUP(B394,[2]Sheet2!$E$2:$E$713,[2]Sheet2!$G$2:$G$713)</f>
        <v>#N/A</v>
      </c>
      <c r="F394" s="18">
        <v>46063</v>
      </c>
      <c r="G394" s="14">
        <v>0.70354166666666662</v>
      </c>
      <c r="H394" s="7" t="s">
        <v>4</v>
      </c>
      <c r="I394" s="2" t="str">
        <f t="shared" si="33"/>
        <v>Q4</v>
      </c>
      <c r="J394" s="2" t="str">
        <f t="shared" si="34"/>
        <v>Not Match</v>
      </c>
      <c r="K394" s="2">
        <f t="shared" si="30"/>
        <v>0.3</v>
      </c>
      <c r="L394" s="2" t="e">
        <f t="shared" si="31"/>
        <v>#N/A</v>
      </c>
      <c r="M394" s="2" t="str">
        <f t="shared" si="32"/>
        <v>Below 0.8 not in assigned quadrant</v>
      </c>
      <c r="N394" s="7">
        <v>15.7</v>
      </c>
      <c r="O394" s="7">
        <v>-0.1</v>
      </c>
      <c r="P394" s="7">
        <v>-1.8</v>
      </c>
      <c r="Q394" s="7">
        <v>0.13</v>
      </c>
      <c r="R394" s="7">
        <v>0.3</v>
      </c>
      <c r="S394" s="7">
        <v>0</v>
      </c>
      <c r="T394" s="7">
        <v>-0.12</v>
      </c>
      <c r="U394" s="7">
        <v>0.47</v>
      </c>
      <c r="V394" s="7">
        <v>0.5</v>
      </c>
      <c r="W394" s="7" t="s">
        <v>8</v>
      </c>
      <c r="X394" s="7" t="s">
        <v>9</v>
      </c>
      <c r="Y394" s="2" t="s">
        <v>719</v>
      </c>
      <c r="Z394" s="2" t="s">
        <v>721</v>
      </c>
    </row>
    <row r="395" spans="1:26" x14ac:dyDescent="0.35">
      <c r="A395" s="7" t="s">
        <v>1515</v>
      </c>
      <c r="B395" s="7" t="s">
        <v>400</v>
      </c>
      <c r="C395" s="4" t="str">
        <f>_xlfn.XLOOKUP(A395,[2]Sheet2!$I$2:$I$1273,[2]Sheet2!$D$2:$D$1273,0)</f>
        <v>Q3</v>
      </c>
      <c r="D395" s="4">
        <f>_xlfn.XLOOKUP(B395,[4]Sheet2!$B$2:$B$3154,[4]Sheet2!$F$2:$F$3154,0)</f>
        <v>0</v>
      </c>
      <c r="E395" s="4" t="e">
        <f>_xlfn.XLOOKUP(B395,[2]Sheet2!$E$2:$E$713,[2]Sheet2!$G$2:$G$713)</f>
        <v>#N/A</v>
      </c>
      <c r="F395" s="18">
        <v>46063</v>
      </c>
      <c r="G395" s="14">
        <v>0.70622685185185186</v>
      </c>
      <c r="H395" s="7" t="s">
        <v>11</v>
      </c>
      <c r="I395" s="2" t="str">
        <f t="shared" si="33"/>
        <v>Q1</v>
      </c>
      <c r="J395" s="2" t="str">
        <f t="shared" si="34"/>
        <v>Not Match</v>
      </c>
      <c r="K395" s="2">
        <f t="shared" si="30"/>
        <v>0.2</v>
      </c>
      <c r="L395" s="2" t="e">
        <f t="shared" si="31"/>
        <v>#N/A</v>
      </c>
      <c r="M395" s="2" t="str">
        <f t="shared" si="32"/>
        <v>Below 0.8 not in assigned quadrant</v>
      </c>
      <c r="N395" s="7">
        <v>13.3</v>
      </c>
      <c r="O395" s="7">
        <v>-0.2</v>
      </c>
      <c r="P395" s="7">
        <v>-1.8</v>
      </c>
      <c r="Q395" s="7">
        <v>-0.64</v>
      </c>
      <c r="R395" s="7">
        <v>0</v>
      </c>
      <c r="S395" s="7">
        <v>0.2</v>
      </c>
      <c r="T395" s="7">
        <v>-0.31</v>
      </c>
      <c r="U395" s="7">
        <v>0.05</v>
      </c>
      <c r="V395" s="7">
        <v>0.71</v>
      </c>
      <c r="W395" s="7" t="s">
        <v>8</v>
      </c>
      <c r="X395" s="7" t="s">
        <v>9</v>
      </c>
      <c r="Y395" s="2" t="s">
        <v>719</v>
      </c>
      <c r="Z395" s="2" t="s">
        <v>721</v>
      </c>
    </row>
    <row r="396" spans="1:26" x14ac:dyDescent="0.35">
      <c r="A396" s="7" t="s">
        <v>1521</v>
      </c>
      <c r="B396" s="7" t="s">
        <v>401</v>
      </c>
      <c r="C396" s="4" t="str">
        <f>_xlfn.XLOOKUP(A396,[2]Sheet2!$I$2:$I$1273,[2]Sheet2!$D$2:$D$1273,0)</f>
        <v>Q3</v>
      </c>
      <c r="D396" s="4">
        <f>_xlfn.XLOOKUP(B396,[4]Sheet2!$B$2:$B$3154,[4]Sheet2!$F$2:$F$3154,0)</f>
        <v>0</v>
      </c>
      <c r="E396" s="4" t="e">
        <f>_xlfn.XLOOKUP(B396,[2]Sheet2!$E$2:$E$713,[2]Sheet2!$G$2:$G$713)</f>
        <v>#N/A</v>
      </c>
      <c r="F396" s="18">
        <v>46063</v>
      </c>
      <c r="G396" s="14">
        <v>0.70975694444444448</v>
      </c>
      <c r="H396" s="7" t="s">
        <v>11</v>
      </c>
      <c r="I396" s="2" t="str">
        <f t="shared" si="33"/>
        <v>Q3</v>
      </c>
      <c r="J396" s="2" t="str">
        <f t="shared" si="34"/>
        <v>Match</v>
      </c>
      <c r="K396" s="2">
        <f t="shared" si="30"/>
        <v>0.2</v>
      </c>
      <c r="L396" s="2" t="e">
        <f t="shared" si="31"/>
        <v>#N/A</v>
      </c>
      <c r="M396" s="2" t="str">
        <f t="shared" si="32"/>
        <v>Digital Approve Hit</v>
      </c>
      <c r="N396" s="7">
        <v>20.6</v>
      </c>
      <c r="O396" s="7">
        <v>0.8</v>
      </c>
      <c r="P396" s="7">
        <v>-8.5</v>
      </c>
      <c r="Q396" s="7">
        <v>-0.33</v>
      </c>
      <c r="R396" s="7">
        <v>-0.2</v>
      </c>
      <c r="S396" s="7">
        <v>0</v>
      </c>
      <c r="T396" s="7">
        <v>0.06</v>
      </c>
      <c r="U396" s="7">
        <v>-0.33</v>
      </c>
      <c r="V396" s="7">
        <v>0.47</v>
      </c>
      <c r="W396" s="7" t="s">
        <v>8</v>
      </c>
      <c r="X396" s="7" t="s">
        <v>15</v>
      </c>
      <c r="Y396" s="2" t="s">
        <v>719</v>
      </c>
      <c r="Z396" s="2" t="s">
        <v>721</v>
      </c>
    </row>
    <row r="397" spans="1:26" x14ac:dyDescent="0.35">
      <c r="A397" s="7" t="s">
        <v>1508</v>
      </c>
      <c r="B397" s="7" t="s">
        <v>402</v>
      </c>
      <c r="C397" s="4" t="str">
        <f>_xlfn.XLOOKUP(A397,[2]Sheet2!$I$2:$I$1273,[2]Sheet2!$D$2:$D$1273,0)</f>
        <v>Q2</v>
      </c>
      <c r="D397" s="4">
        <f>_xlfn.XLOOKUP(B397,[4]Sheet2!$B$2:$B$3154,[4]Sheet2!$F$2:$F$3154,0)</f>
        <v>0</v>
      </c>
      <c r="E397" s="4" t="e">
        <f>_xlfn.XLOOKUP(B397,[2]Sheet2!$E$2:$E$713,[2]Sheet2!$G$2:$G$713)</f>
        <v>#N/A</v>
      </c>
      <c r="F397" s="18">
        <v>46063</v>
      </c>
      <c r="G397" s="14">
        <v>0.73481481481481481</v>
      </c>
      <c r="H397" s="7" t="s">
        <v>5</v>
      </c>
      <c r="I397" s="2" t="str">
        <f t="shared" si="33"/>
        <v>Q3</v>
      </c>
      <c r="J397" s="2" t="str">
        <f t="shared" si="34"/>
        <v>Not Match</v>
      </c>
      <c r="K397" s="2">
        <f t="shared" si="30"/>
        <v>0.22360679774997899</v>
      </c>
      <c r="L397" s="2" t="e">
        <f t="shared" si="31"/>
        <v>#N/A</v>
      </c>
      <c r="M397" s="2" t="str">
        <f t="shared" si="32"/>
        <v>Below 0.8 not in assigned quadrant</v>
      </c>
      <c r="N397" s="7">
        <v>17.399999999999999</v>
      </c>
      <c r="O397" s="7">
        <v>-1</v>
      </c>
      <c r="P397" s="7">
        <v>-9.1</v>
      </c>
      <c r="Q397" s="7">
        <v>-0.63</v>
      </c>
      <c r="R397" s="7">
        <v>-0.2</v>
      </c>
      <c r="S397" s="7">
        <v>-0.1</v>
      </c>
      <c r="T397" s="7">
        <v>0.11</v>
      </c>
      <c r="U397" s="7">
        <v>-0.26</v>
      </c>
      <c r="V397" s="7">
        <v>0.7</v>
      </c>
      <c r="W397" s="7" t="s">
        <v>8</v>
      </c>
      <c r="X397" s="7" t="s">
        <v>15</v>
      </c>
      <c r="Y397" s="2" t="s">
        <v>719</v>
      </c>
      <c r="Z397" s="2" t="s">
        <v>721</v>
      </c>
    </row>
    <row r="398" spans="1:26" x14ac:dyDescent="0.35">
      <c r="A398" s="7" t="s">
        <v>1597</v>
      </c>
      <c r="B398" s="7" t="s">
        <v>404</v>
      </c>
      <c r="C398" s="4">
        <f>_xlfn.XLOOKUP(A398,[2]Sheet2!$I$2:$I$1273,[2]Sheet2!$D$2:$D$1273,0)</f>
        <v>0</v>
      </c>
      <c r="D398" s="4">
        <f>_xlfn.XLOOKUP(B398,[4]Sheet2!$B$2:$B$3154,[4]Sheet2!$F$2:$F$3154,0)</f>
        <v>0</v>
      </c>
      <c r="E398" s="4" t="e">
        <f>_xlfn.XLOOKUP(B398,[2]Sheet2!$E$2:$E$713,[2]Sheet2!$G$2:$G$713)</f>
        <v>#N/A</v>
      </c>
      <c r="F398" s="18">
        <v>46063</v>
      </c>
      <c r="G398" s="14">
        <v>0.94184027777777779</v>
      </c>
      <c r="H398" s="7" t="s">
        <v>5</v>
      </c>
      <c r="I398" s="2">
        <f t="shared" si="33"/>
        <v>0</v>
      </c>
      <c r="J398" s="2" t="str">
        <f t="shared" si="34"/>
        <v>Match</v>
      </c>
      <c r="K398" s="2">
        <f t="shared" si="30"/>
        <v>0</v>
      </c>
      <c r="L398" s="2" t="e">
        <f t="shared" si="31"/>
        <v>#N/A</v>
      </c>
      <c r="M398" s="2" t="str">
        <f t="shared" si="32"/>
        <v>Digital Approve Hit</v>
      </c>
      <c r="N398" s="7">
        <v>16.100000000000001</v>
      </c>
      <c r="O398" s="7">
        <v>-0.7</v>
      </c>
      <c r="P398" s="7">
        <v>-3</v>
      </c>
      <c r="Q398" s="7">
        <v>-0.24</v>
      </c>
      <c r="R398" s="7">
        <v>0</v>
      </c>
      <c r="S398" s="7">
        <v>0</v>
      </c>
      <c r="T398" s="7">
        <v>0.13</v>
      </c>
      <c r="U398" s="7">
        <v>-0.08</v>
      </c>
      <c r="V398" s="7">
        <v>0.28999999999999998</v>
      </c>
      <c r="W398" s="7" t="s">
        <v>8</v>
      </c>
      <c r="X398" s="7" t="s">
        <v>15</v>
      </c>
      <c r="Y398" s="2" t="s">
        <v>719</v>
      </c>
      <c r="Z398" s="2" t="s">
        <v>721</v>
      </c>
    </row>
    <row r="399" spans="1:26" x14ac:dyDescent="0.35">
      <c r="A399" s="7" t="s">
        <v>1516</v>
      </c>
      <c r="B399" s="7" t="s">
        <v>405</v>
      </c>
      <c r="C399" s="4" t="str">
        <f>_xlfn.XLOOKUP(A399,[2]Sheet2!$I$2:$I$1273,[2]Sheet2!$D$2:$D$1273,0)</f>
        <v>Q2</v>
      </c>
      <c r="D399" s="4">
        <f>_xlfn.XLOOKUP(B399,[4]Sheet2!$B$2:$B$3154,[4]Sheet2!$F$2:$F$3154,0)</f>
        <v>0</v>
      </c>
      <c r="E399" s="4" t="e">
        <f>_xlfn.XLOOKUP(B399,[2]Sheet2!$E$2:$E$713,[2]Sheet2!$G$2:$G$713)</f>
        <v>#N/A</v>
      </c>
      <c r="F399" s="18">
        <v>46063</v>
      </c>
      <c r="G399" s="14">
        <v>0.96181712962962962</v>
      </c>
      <c r="H399" s="7" t="s">
        <v>4</v>
      </c>
      <c r="I399" s="2" t="str">
        <f t="shared" si="33"/>
        <v>Q1</v>
      </c>
      <c r="J399" s="2" t="str">
        <f t="shared" si="34"/>
        <v>Not Match</v>
      </c>
      <c r="K399" s="2">
        <f t="shared" si="30"/>
        <v>0.41231056256176613</v>
      </c>
      <c r="L399" s="2" t="e">
        <f t="shared" si="31"/>
        <v>#N/A</v>
      </c>
      <c r="M399" s="2" t="str">
        <f t="shared" si="32"/>
        <v>Assign quadrant hit</v>
      </c>
      <c r="N399" s="7">
        <v>17.5</v>
      </c>
      <c r="O399" s="7">
        <v>-0.9</v>
      </c>
      <c r="P399" s="7">
        <v>-1.6</v>
      </c>
      <c r="Q399" s="7">
        <v>-0.82</v>
      </c>
      <c r="R399" s="7">
        <v>0.4</v>
      </c>
      <c r="S399" s="7">
        <v>0.1</v>
      </c>
      <c r="T399" s="7">
        <v>-0.46</v>
      </c>
      <c r="U399" s="7">
        <v>0.4</v>
      </c>
      <c r="V399" s="7">
        <v>1.02</v>
      </c>
      <c r="W399" s="7" t="s">
        <v>6</v>
      </c>
      <c r="X399" s="7" t="s">
        <v>7</v>
      </c>
      <c r="Y399" s="2" t="s">
        <v>719</v>
      </c>
      <c r="Z399" s="2" t="s">
        <v>721</v>
      </c>
    </row>
    <row r="400" spans="1:26" x14ac:dyDescent="0.35">
      <c r="A400" s="7" t="s">
        <v>1633</v>
      </c>
      <c r="B400" s="7" t="s">
        <v>406</v>
      </c>
      <c r="C400" s="4" t="str">
        <f>_xlfn.XLOOKUP(A400,[2]Sheet2!$I$2:$I$1273,[2]Sheet2!$D$2:$D$1273,0)</f>
        <v>Q3</v>
      </c>
      <c r="D400" s="4">
        <f>_xlfn.XLOOKUP(B400,[4]Sheet2!$B$2:$B$3154,[4]Sheet2!$F$2:$F$3154,0)</f>
        <v>0</v>
      </c>
      <c r="E400" s="4" t="e">
        <f>_xlfn.XLOOKUP(B400,[2]Sheet2!$E$2:$E$713,[2]Sheet2!$G$2:$G$713)</f>
        <v>#N/A</v>
      </c>
      <c r="F400" s="18">
        <v>46063</v>
      </c>
      <c r="G400" s="14">
        <v>0.96466435185185184</v>
      </c>
      <c r="H400" s="7" t="s">
        <v>4</v>
      </c>
      <c r="I400" s="2" t="str">
        <f t="shared" si="33"/>
        <v>Q2</v>
      </c>
      <c r="J400" s="2" t="str">
        <f t="shared" si="34"/>
        <v>Not Match</v>
      </c>
      <c r="K400" s="2">
        <f t="shared" si="30"/>
        <v>0.36055512754639896</v>
      </c>
      <c r="L400" s="2" t="e">
        <f t="shared" si="31"/>
        <v>#N/A</v>
      </c>
      <c r="M400" s="2" t="str">
        <f t="shared" si="32"/>
        <v>Below 0.8 not in assigned quadrant</v>
      </c>
      <c r="N400" s="7">
        <v>15</v>
      </c>
      <c r="O400" s="7">
        <v>-1.8</v>
      </c>
      <c r="P400" s="7">
        <v>-1.9</v>
      </c>
      <c r="Q400" s="7">
        <v>-0.39</v>
      </c>
      <c r="R400" s="7">
        <v>-0.3</v>
      </c>
      <c r="S400" s="7">
        <v>0.2</v>
      </c>
      <c r="T400" s="7">
        <v>0</v>
      </c>
      <c r="U400" s="7">
        <v>-0.54</v>
      </c>
      <c r="V400" s="7">
        <v>0.67</v>
      </c>
      <c r="W400" s="7" t="s">
        <v>8</v>
      </c>
      <c r="X400" s="7" t="s">
        <v>15</v>
      </c>
      <c r="Y400" s="2" t="s">
        <v>719</v>
      </c>
      <c r="Z400" s="2" t="s">
        <v>721</v>
      </c>
    </row>
    <row r="401" spans="1:26" x14ac:dyDescent="0.35">
      <c r="A401" s="7" t="s">
        <v>1509</v>
      </c>
      <c r="B401" s="7" t="s">
        <v>407</v>
      </c>
      <c r="C401" s="4" t="str">
        <f>_xlfn.XLOOKUP(A401,[2]Sheet2!$I$2:$I$1273,[2]Sheet2!$D$2:$D$1273,0)</f>
        <v>Q2</v>
      </c>
      <c r="D401" s="4">
        <f>_xlfn.XLOOKUP(B401,[4]Sheet2!$B$2:$B$3154,[4]Sheet2!$F$2:$F$3154,0)</f>
        <v>0</v>
      </c>
      <c r="E401" s="4" t="e">
        <f>_xlfn.XLOOKUP(B401,[2]Sheet2!$E$2:$E$713,[2]Sheet2!$G$2:$G$713)</f>
        <v>#N/A</v>
      </c>
      <c r="F401" s="18">
        <v>46063</v>
      </c>
      <c r="G401" s="14">
        <v>0.98987268518518523</v>
      </c>
      <c r="H401" s="7" t="s">
        <v>4</v>
      </c>
      <c r="I401" s="2" t="str">
        <f t="shared" si="33"/>
        <v>Q4</v>
      </c>
      <c r="J401" s="2" t="str">
        <f t="shared" si="34"/>
        <v>Not Match</v>
      </c>
      <c r="K401" s="2">
        <f t="shared" si="30"/>
        <v>0.2</v>
      </c>
      <c r="L401" s="2" t="e">
        <f t="shared" si="31"/>
        <v>#N/A</v>
      </c>
      <c r="M401" s="2" t="str">
        <f t="shared" si="32"/>
        <v>Below 0.8 not in assigned quadrant</v>
      </c>
      <c r="N401" s="7">
        <v>17.3</v>
      </c>
      <c r="O401" s="7">
        <v>-1.1000000000000001</v>
      </c>
      <c r="P401" s="7">
        <v>-2.1</v>
      </c>
      <c r="Q401" s="7">
        <v>-0.14000000000000001</v>
      </c>
      <c r="R401" s="7">
        <v>0</v>
      </c>
      <c r="S401" s="7">
        <v>-0.2</v>
      </c>
      <c r="T401" s="7">
        <v>0.2</v>
      </c>
      <c r="U401" s="7">
        <v>0.18</v>
      </c>
      <c r="V401" s="7">
        <v>0.3</v>
      </c>
      <c r="W401" s="7" t="s">
        <v>8</v>
      </c>
      <c r="X401" s="7" t="s">
        <v>9</v>
      </c>
      <c r="Y401" s="2" t="s">
        <v>719</v>
      </c>
      <c r="Z401" s="2" t="s">
        <v>721</v>
      </c>
    </row>
    <row r="402" spans="1:26" x14ac:dyDescent="0.35">
      <c r="A402" s="7" t="s">
        <v>1547</v>
      </c>
      <c r="B402" s="7" t="s">
        <v>408</v>
      </c>
      <c r="C402" s="4" t="str">
        <f>_xlfn.XLOOKUP(A402,[2]Sheet2!$I$2:$I$1273,[2]Sheet2!$D$2:$D$1273,0)</f>
        <v>Q3</v>
      </c>
      <c r="D402" s="4">
        <f>_xlfn.XLOOKUP(B402,[4]Sheet2!$B$2:$B$3154,[4]Sheet2!$F$2:$F$3154,0)</f>
        <v>0</v>
      </c>
      <c r="E402" s="4" t="e">
        <f>_xlfn.XLOOKUP(B402,[2]Sheet2!$E$2:$E$713,[2]Sheet2!$G$2:$G$713)</f>
        <v>#N/A</v>
      </c>
      <c r="F402" s="18">
        <v>46064</v>
      </c>
      <c r="G402" s="14">
        <v>4.2893518518518518E-2</v>
      </c>
      <c r="H402" s="7" t="s">
        <v>16</v>
      </c>
      <c r="I402" s="2" t="str">
        <f t="shared" si="33"/>
        <v>Q4</v>
      </c>
      <c r="J402" s="2" t="str">
        <f t="shared" si="34"/>
        <v>Not Match</v>
      </c>
      <c r="K402" s="2">
        <f t="shared" si="30"/>
        <v>0.2</v>
      </c>
      <c r="L402" s="2" t="e">
        <f t="shared" si="31"/>
        <v>#N/A</v>
      </c>
      <c r="M402" s="2" t="str">
        <f t="shared" si="32"/>
        <v>Below 0.8 not in assigned quadrant</v>
      </c>
      <c r="N402" s="7">
        <v>14.7</v>
      </c>
      <c r="O402" s="7">
        <v>-0.4</v>
      </c>
      <c r="P402" s="7">
        <v>-2.1</v>
      </c>
      <c r="Q402" s="7">
        <v>-0.71</v>
      </c>
      <c r="R402" s="7">
        <v>0</v>
      </c>
      <c r="S402" s="7">
        <v>-0.2</v>
      </c>
      <c r="T402" s="7">
        <v>0.37</v>
      </c>
      <c r="U402" s="7">
        <v>-0.02</v>
      </c>
      <c r="V402" s="7">
        <v>0.8</v>
      </c>
      <c r="W402" s="7" t="s">
        <v>13</v>
      </c>
      <c r="X402" s="7" t="s">
        <v>15</v>
      </c>
      <c r="Y402" s="2" t="s">
        <v>719</v>
      </c>
      <c r="Z402" s="2" t="s">
        <v>721</v>
      </c>
    </row>
    <row r="403" spans="1:26" x14ac:dyDescent="0.35">
      <c r="A403" s="7" t="s">
        <v>1626</v>
      </c>
      <c r="B403" s="7" t="s">
        <v>409</v>
      </c>
      <c r="C403" s="4" t="str">
        <f>_xlfn.XLOOKUP(A403,[2]Sheet2!$I$2:$I$1273,[2]Sheet2!$D$2:$D$1273,0)</f>
        <v>Q4</v>
      </c>
      <c r="D403" s="4">
        <f>_xlfn.XLOOKUP(B403,[4]Sheet2!$B$2:$B$3154,[4]Sheet2!$F$2:$F$3154,0)</f>
        <v>0</v>
      </c>
      <c r="E403" s="4" t="e">
        <f>_xlfn.XLOOKUP(B403,[2]Sheet2!$E$2:$E$713,[2]Sheet2!$G$2:$G$713)</f>
        <v>#N/A</v>
      </c>
      <c r="F403" s="18">
        <v>46064</v>
      </c>
      <c r="G403" s="14">
        <v>5.8055555555555555E-2</v>
      </c>
      <c r="H403" s="7" t="s">
        <v>11</v>
      </c>
      <c r="I403" s="2" t="str">
        <f t="shared" si="33"/>
        <v>Q1</v>
      </c>
      <c r="J403" s="2" t="str">
        <f t="shared" si="34"/>
        <v>Not Match</v>
      </c>
      <c r="K403" s="2">
        <f t="shared" si="30"/>
        <v>0.3</v>
      </c>
      <c r="L403" s="2" t="e">
        <f t="shared" si="31"/>
        <v>#N/A</v>
      </c>
      <c r="M403" s="2" t="str">
        <f t="shared" si="32"/>
        <v>Assign quadrant hit</v>
      </c>
      <c r="N403" s="7">
        <v>15.1</v>
      </c>
      <c r="O403" s="7">
        <v>-0.3</v>
      </c>
      <c r="P403" s="7">
        <v>-2.1</v>
      </c>
      <c r="Q403" s="7">
        <v>-0.72</v>
      </c>
      <c r="R403" s="7">
        <v>0</v>
      </c>
      <c r="S403" s="7">
        <v>0.3</v>
      </c>
      <c r="T403" s="7">
        <v>-0.45</v>
      </c>
      <c r="U403" s="7">
        <v>-0.03</v>
      </c>
      <c r="V403" s="7">
        <v>0.85</v>
      </c>
      <c r="W403" s="7" t="s">
        <v>13</v>
      </c>
      <c r="X403" s="7" t="s">
        <v>15</v>
      </c>
      <c r="Y403" s="2" t="s">
        <v>719</v>
      </c>
      <c r="Z403" s="2" t="s">
        <v>721</v>
      </c>
    </row>
    <row r="404" spans="1:26" x14ac:dyDescent="0.35">
      <c r="A404" s="7" t="s">
        <v>1532</v>
      </c>
      <c r="B404" s="7" t="s">
        <v>410</v>
      </c>
      <c r="C404" s="4" t="str">
        <f>_xlfn.XLOOKUP(A404,[2]Sheet2!$I$2:$I$1273,[2]Sheet2!$D$2:$D$1273,0)</f>
        <v>Q3</v>
      </c>
      <c r="D404" s="4">
        <f>_xlfn.XLOOKUP(B404,[4]Sheet2!$B$2:$B$3154,[4]Sheet2!$F$2:$F$3154,0)</f>
        <v>0</v>
      </c>
      <c r="E404" s="4" t="e">
        <f>_xlfn.XLOOKUP(B404,[2]Sheet2!$E$2:$E$713,[2]Sheet2!$G$2:$G$713)</f>
        <v>#N/A</v>
      </c>
      <c r="F404" s="18">
        <v>46064</v>
      </c>
      <c r="G404" s="14">
        <v>6.1041666666666668E-2</v>
      </c>
      <c r="H404" s="7" t="s">
        <v>16</v>
      </c>
      <c r="I404" s="2" t="str">
        <f t="shared" si="33"/>
        <v>Q4</v>
      </c>
      <c r="J404" s="2" t="str">
        <f t="shared" si="34"/>
        <v>Not Match</v>
      </c>
      <c r="K404" s="2">
        <f t="shared" si="30"/>
        <v>0.2</v>
      </c>
      <c r="L404" s="2" t="e">
        <f t="shared" si="31"/>
        <v>#N/A</v>
      </c>
      <c r="M404" s="2" t="str">
        <f t="shared" si="32"/>
        <v>Below 0.8 not in assigned quadrant</v>
      </c>
      <c r="N404" s="7">
        <v>15.1</v>
      </c>
      <c r="O404" s="7">
        <v>-0.4</v>
      </c>
      <c r="P404" s="7">
        <v>-2.1</v>
      </c>
      <c r="Q404" s="7">
        <v>-7.0000000000000007E-2</v>
      </c>
      <c r="R404" s="7">
        <v>0</v>
      </c>
      <c r="S404" s="7">
        <v>-0.2</v>
      </c>
      <c r="T404" s="7">
        <v>0.32</v>
      </c>
      <c r="U404" s="7">
        <v>0.02</v>
      </c>
      <c r="V404" s="7">
        <v>0.33</v>
      </c>
      <c r="W404" s="7" t="s">
        <v>8</v>
      </c>
      <c r="X404" s="7" t="s">
        <v>9</v>
      </c>
      <c r="Y404" s="2" t="s">
        <v>719</v>
      </c>
      <c r="Z404" s="2" t="s">
        <v>721</v>
      </c>
    </row>
    <row r="405" spans="1:26" x14ac:dyDescent="0.35">
      <c r="A405" s="7" t="s">
        <v>1634</v>
      </c>
      <c r="B405" s="7" t="s">
        <v>411</v>
      </c>
      <c r="C405" s="4">
        <f>_xlfn.XLOOKUP(A405,[2]Sheet2!$I$2:$I$1273,[2]Sheet2!$D$2:$D$1273,0)</f>
        <v>0</v>
      </c>
      <c r="D405" s="4">
        <f>_xlfn.XLOOKUP(B405,[4]Sheet2!$B$2:$B$3154,[4]Sheet2!$F$2:$F$3154,0)</f>
        <v>0</v>
      </c>
      <c r="E405" s="4" t="e">
        <f>_xlfn.XLOOKUP(B405,[2]Sheet2!$E$2:$E$713,[2]Sheet2!$G$2:$G$713)</f>
        <v>#N/A</v>
      </c>
      <c r="F405" s="18">
        <v>46064</v>
      </c>
      <c r="G405" s="14">
        <v>6.3773148148148148E-2</v>
      </c>
      <c r="H405" s="7" t="s">
        <v>11</v>
      </c>
      <c r="I405" s="2" t="str">
        <f t="shared" si="33"/>
        <v>Q2</v>
      </c>
      <c r="J405" s="2" t="str">
        <f t="shared" si="34"/>
        <v>Not Found</v>
      </c>
      <c r="K405" s="2">
        <f t="shared" si="30"/>
        <v>2.3323807579381199</v>
      </c>
      <c r="L405" s="2" t="e">
        <f t="shared" si="31"/>
        <v>#N/A</v>
      </c>
      <c r="M405" s="2" t="str">
        <f t="shared" si="32"/>
        <v>Assign quadrant hit</v>
      </c>
      <c r="N405" s="7">
        <v>54.7</v>
      </c>
      <c r="O405" s="7">
        <v>35.200000000000003</v>
      </c>
      <c r="P405" s="7">
        <v>-15.6</v>
      </c>
      <c r="Q405" s="7">
        <v>-0.35</v>
      </c>
      <c r="R405" s="7">
        <v>-2</v>
      </c>
      <c r="S405" s="7">
        <v>1.2</v>
      </c>
      <c r="T405" s="7">
        <v>-1.03</v>
      </c>
      <c r="U405" s="7">
        <v>0.17</v>
      </c>
      <c r="V405" s="7">
        <v>1.1000000000000001</v>
      </c>
      <c r="W405" s="7" t="s">
        <v>6</v>
      </c>
      <c r="X405" s="7" t="s">
        <v>9</v>
      </c>
      <c r="Y405" s="2" t="s">
        <v>719</v>
      </c>
      <c r="Z405" s="2" t="s">
        <v>721</v>
      </c>
    </row>
    <row r="406" spans="1:26" x14ac:dyDescent="0.35">
      <c r="A406" s="7" t="s">
        <v>1626</v>
      </c>
      <c r="B406" s="7" t="s">
        <v>414</v>
      </c>
      <c r="C406" s="4" t="str">
        <f>_xlfn.XLOOKUP(A406,[2]Sheet2!$I$2:$I$1273,[2]Sheet2!$D$2:$D$1273,0)</f>
        <v>Q4</v>
      </c>
      <c r="D406" s="4">
        <f>_xlfn.XLOOKUP(B406,[4]Sheet2!$B$2:$B$3154,[4]Sheet2!$F$2:$F$3154,0)</f>
        <v>0</v>
      </c>
      <c r="E406" s="4" t="e">
        <f>_xlfn.XLOOKUP(B406,[2]Sheet2!$E$2:$E$713,[2]Sheet2!$G$2:$G$713)</f>
        <v>#N/A</v>
      </c>
      <c r="F406" s="18">
        <v>46064</v>
      </c>
      <c r="G406" s="14">
        <v>0.20277777777777778</v>
      </c>
      <c r="H406" s="7" t="s">
        <v>11</v>
      </c>
      <c r="I406" s="2" t="str">
        <f t="shared" si="33"/>
        <v>Q1</v>
      </c>
      <c r="J406" s="2" t="str">
        <f t="shared" si="34"/>
        <v>Not Match</v>
      </c>
      <c r="K406" s="2">
        <f t="shared" si="30"/>
        <v>0.4</v>
      </c>
      <c r="L406" s="2" t="e">
        <f t="shared" si="31"/>
        <v>#N/A</v>
      </c>
      <c r="M406" s="2" t="str">
        <f t="shared" si="32"/>
        <v>Below 0.8 not in assigned quadrant</v>
      </c>
      <c r="N406" s="7">
        <v>15.7</v>
      </c>
      <c r="O406" s="7">
        <v>-0.3</v>
      </c>
      <c r="P406" s="7">
        <v>-2</v>
      </c>
      <c r="Q406" s="7">
        <v>-0.1</v>
      </c>
      <c r="R406" s="7">
        <v>0</v>
      </c>
      <c r="S406" s="7">
        <v>0.4</v>
      </c>
      <c r="T406" s="7">
        <v>-0.55000000000000004</v>
      </c>
      <c r="U406" s="7">
        <v>-7.0000000000000007E-2</v>
      </c>
      <c r="V406" s="7">
        <v>0.56000000000000005</v>
      </c>
      <c r="W406" s="7" t="s">
        <v>8</v>
      </c>
      <c r="X406" s="7" t="s">
        <v>15</v>
      </c>
      <c r="Y406" s="2" t="s">
        <v>719</v>
      </c>
      <c r="Z406" s="2" t="s">
        <v>721</v>
      </c>
    </row>
    <row r="407" spans="1:26" x14ac:dyDescent="0.35">
      <c r="A407" s="7" t="s">
        <v>1558</v>
      </c>
      <c r="B407" s="7" t="s">
        <v>415</v>
      </c>
      <c r="C407" s="4" t="str">
        <f>_xlfn.XLOOKUP(A407,[2]Sheet2!$I$2:$I$1273,[2]Sheet2!$D$2:$D$1273,0)</f>
        <v>Q3</v>
      </c>
      <c r="D407" s="4">
        <f>_xlfn.XLOOKUP(B407,[4]Sheet2!$B$2:$B$3154,[4]Sheet2!$F$2:$F$3154,0)</f>
        <v>0</v>
      </c>
      <c r="E407" s="4" t="e">
        <f>_xlfn.XLOOKUP(B407,[2]Sheet2!$E$2:$E$713,[2]Sheet2!$G$2:$G$713)</f>
        <v>#N/A</v>
      </c>
      <c r="F407" s="18">
        <v>46064</v>
      </c>
      <c r="G407" s="14">
        <v>0.24615740740740741</v>
      </c>
      <c r="H407" s="7" t="s">
        <v>16</v>
      </c>
      <c r="I407" s="2" t="str">
        <f t="shared" si="33"/>
        <v>Q3</v>
      </c>
      <c r="J407" s="2" t="str">
        <f t="shared" si="34"/>
        <v>Match</v>
      </c>
      <c r="K407" s="2">
        <f t="shared" si="30"/>
        <v>0.1</v>
      </c>
      <c r="L407" s="2" t="e">
        <f t="shared" si="31"/>
        <v>#N/A</v>
      </c>
      <c r="M407" s="2" t="str">
        <f t="shared" si="32"/>
        <v>Digital Approve Hit</v>
      </c>
      <c r="N407" s="7">
        <v>15.2</v>
      </c>
      <c r="O407" s="7">
        <v>-0.4</v>
      </c>
      <c r="P407" s="7">
        <v>-1.9</v>
      </c>
      <c r="Q407" s="7">
        <v>-0.25</v>
      </c>
      <c r="R407" s="7">
        <v>-0.1</v>
      </c>
      <c r="S407" s="7">
        <v>0</v>
      </c>
      <c r="T407" s="7">
        <v>0.05</v>
      </c>
      <c r="U407" s="7">
        <v>-0.16</v>
      </c>
      <c r="V407" s="7">
        <v>0.3</v>
      </c>
      <c r="W407" s="7" t="s">
        <v>8</v>
      </c>
      <c r="X407" s="7" t="s">
        <v>15</v>
      </c>
      <c r="Y407" s="2" t="s">
        <v>719</v>
      </c>
      <c r="Z407" s="2" t="s">
        <v>721</v>
      </c>
    </row>
    <row r="408" spans="1:26" x14ac:dyDescent="0.35">
      <c r="A408" s="7" t="s">
        <v>1593</v>
      </c>
      <c r="B408" s="7" t="s">
        <v>298</v>
      </c>
      <c r="C408" s="4" t="str">
        <f>_xlfn.XLOOKUP(A408,[2]Sheet2!$I$2:$I$1273,[2]Sheet2!$D$2:$D$1273,0)</f>
        <v>Q3</v>
      </c>
      <c r="D408" s="4">
        <f>_xlfn.XLOOKUP(B408,[4]Sheet2!$B$2:$B$3154,[4]Sheet2!$F$2:$F$3154,0)</f>
        <v>0</v>
      </c>
      <c r="E408" s="4" t="e">
        <f>_xlfn.XLOOKUP(B408,[2]Sheet2!$E$2:$E$713,[2]Sheet2!$G$2:$G$713)</f>
        <v>#N/A</v>
      </c>
      <c r="F408" s="18">
        <v>46064</v>
      </c>
      <c r="G408" s="14">
        <v>0.25047453703703704</v>
      </c>
      <c r="H408" s="7" t="s">
        <v>5</v>
      </c>
      <c r="I408" s="2" t="str">
        <f t="shared" si="33"/>
        <v>Q1</v>
      </c>
      <c r="J408" s="2" t="str">
        <f t="shared" si="34"/>
        <v>Not Match</v>
      </c>
      <c r="K408" s="2">
        <f t="shared" si="30"/>
        <v>0.6</v>
      </c>
      <c r="L408" s="2" t="e">
        <f t="shared" si="31"/>
        <v>#N/A</v>
      </c>
      <c r="M408" s="2" t="str">
        <f t="shared" si="32"/>
        <v>Assign quadrant hit</v>
      </c>
      <c r="N408" s="7">
        <v>22</v>
      </c>
      <c r="O408" s="7">
        <v>3.1</v>
      </c>
      <c r="P408" s="7">
        <v>2.9</v>
      </c>
      <c r="Q408" s="7">
        <v>-1.53</v>
      </c>
      <c r="R408" s="7">
        <v>0</v>
      </c>
      <c r="S408" s="7">
        <v>0.6</v>
      </c>
      <c r="T408" s="7">
        <v>0.36</v>
      </c>
      <c r="U408" s="7">
        <v>0.71</v>
      </c>
      <c r="V408" s="7">
        <v>1.72</v>
      </c>
      <c r="W408" s="7" t="s">
        <v>6</v>
      </c>
      <c r="X408" s="7" t="s">
        <v>12</v>
      </c>
      <c r="Y408" s="2" t="s">
        <v>719</v>
      </c>
      <c r="Z408" s="2" t="s">
        <v>721</v>
      </c>
    </row>
    <row r="409" spans="1:26" x14ac:dyDescent="0.35">
      <c r="A409" s="7" t="s">
        <v>1550</v>
      </c>
      <c r="B409" s="7" t="s">
        <v>416</v>
      </c>
      <c r="C409" s="4">
        <f>_xlfn.XLOOKUP(A409,[2]Sheet2!$I$2:$I$1273,[2]Sheet2!$D$2:$D$1273,0)</f>
        <v>0</v>
      </c>
      <c r="D409" s="4">
        <f>_xlfn.XLOOKUP(B409,[4]Sheet2!$B$2:$B$3154,[4]Sheet2!$F$2:$F$3154,0)</f>
        <v>0</v>
      </c>
      <c r="E409" s="4" t="e">
        <f>_xlfn.XLOOKUP(B409,[2]Sheet2!$E$2:$E$713,[2]Sheet2!$G$2:$G$713)</f>
        <v>#N/A</v>
      </c>
      <c r="F409" s="18">
        <v>46064</v>
      </c>
      <c r="G409" s="14">
        <v>0.26744212962962965</v>
      </c>
      <c r="H409" s="7" t="s">
        <v>11</v>
      </c>
      <c r="I409" s="2" t="str">
        <f t="shared" si="33"/>
        <v>Q3</v>
      </c>
      <c r="J409" s="2" t="str">
        <f t="shared" si="34"/>
        <v>Not Found</v>
      </c>
      <c r="K409" s="2">
        <f t="shared" si="30"/>
        <v>0.22360679774997899</v>
      </c>
      <c r="L409" s="2" t="e">
        <f t="shared" si="31"/>
        <v>#N/A</v>
      </c>
      <c r="M409" s="2" t="str">
        <f t="shared" si="32"/>
        <v>Assign quadrant hit</v>
      </c>
      <c r="N409" s="7">
        <v>17.3</v>
      </c>
      <c r="O409" s="7">
        <v>-1.2</v>
      </c>
      <c r="P409" s="7">
        <v>-3.1</v>
      </c>
      <c r="Q409" s="7">
        <v>0</v>
      </c>
      <c r="R409" s="7">
        <v>-0.2</v>
      </c>
      <c r="S409" s="7">
        <v>-0.1</v>
      </c>
      <c r="T409" s="7">
        <v>0.28999999999999998</v>
      </c>
      <c r="U409" s="7">
        <v>-0.2</v>
      </c>
      <c r="V409" s="7">
        <v>0.35</v>
      </c>
      <c r="W409" s="7" t="s">
        <v>8</v>
      </c>
      <c r="X409" s="7" t="s">
        <v>15</v>
      </c>
      <c r="Y409" s="2" t="s">
        <v>719</v>
      </c>
      <c r="Z409" s="2" t="s">
        <v>721</v>
      </c>
    </row>
    <row r="410" spans="1:26" x14ac:dyDescent="0.35">
      <c r="A410" s="7" t="s">
        <v>1635</v>
      </c>
      <c r="B410" s="7" t="s">
        <v>417</v>
      </c>
      <c r="C410" s="4">
        <f>_xlfn.XLOOKUP(A410,[2]Sheet2!$I$2:$I$1273,[2]Sheet2!$D$2:$D$1273,0)</f>
        <v>0</v>
      </c>
      <c r="D410" s="4">
        <f>_xlfn.XLOOKUP(B410,[4]Sheet2!$B$2:$B$3154,[4]Sheet2!$F$2:$F$3154,0)</f>
        <v>0</v>
      </c>
      <c r="E410" s="4" t="e">
        <f>_xlfn.XLOOKUP(B410,[2]Sheet2!$E$2:$E$713,[2]Sheet2!$G$2:$G$713)</f>
        <v>#N/A</v>
      </c>
      <c r="F410" s="18">
        <v>46064</v>
      </c>
      <c r="G410" s="14">
        <v>0.27471064814814816</v>
      </c>
      <c r="H410" s="7" t="s">
        <v>5</v>
      </c>
      <c r="I410" s="2">
        <f t="shared" si="33"/>
        <v>0</v>
      </c>
      <c r="J410" s="2" t="str">
        <f t="shared" si="34"/>
        <v>Match</v>
      </c>
      <c r="K410" s="2">
        <f t="shared" si="30"/>
        <v>0</v>
      </c>
      <c r="L410" s="2" t="e">
        <f t="shared" si="31"/>
        <v>#N/A</v>
      </c>
      <c r="M410" s="2" t="str">
        <f t="shared" si="32"/>
        <v>Digital Approve Hit</v>
      </c>
      <c r="N410" s="7">
        <v>18.2</v>
      </c>
      <c r="O410" s="7">
        <v>-0.9</v>
      </c>
      <c r="P410" s="7">
        <v>-10.4</v>
      </c>
      <c r="Q410" s="7">
        <v>-0.48</v>
      </c>
      <c r="R410" s="7">
        <v>0</v>
      </c>
      <c r="S410" s="7">
        <v>0</v>
      </c>
      <c r="T410" s="7">
        <v>7.0000000000000007E-2</v>
      </c>
      <c r="U410" s="7">
        <v>0.12</v>
      </c>
      <c r="V410" s="7">
        <v>0.5</v>
      </c>
      <c r="W410" s="7" t="s">
        <v>8</v>
      </c>
      <c r="X410" s="7" t="s">
        <v>9</v>
      </c>
      <c r="Y410" s="2" t="s">
        <v>719</v>
      </c>
      <c r="Z410" s="2" t="s">
        <v>721</v>
      </c>
    </row>
    <row r="411" spans="1:26" x14ac:dyDescent="0.35">
      <c r="A411" s="7" t="s">
        <v>1558</v>
      </c>
      <c r="B411" s="7" t="s">
        <v>418</v>
      </c>
      <c r="C411" s="4" t="str">
        <f>_xlfn.XLOOKUP(A411,[2]Sheet2!$I$2:$I$1273,[2]Sheet2!$D$2:$D$1273,0)</f>
        <v>Q3</v>
      </c>
      <c r="D411" s="4">
        <f>_xlfn.XLOOKUP(B411,[4]Sheet2!$B$2:$B$3154,[4]Sheet2!$F$2:$F$3154,0)</f>
        <v>0</v>
      </c>
      <c r="E411" s="4" t="e">
        <f>_xlfn.XLOOKUP(B411,[2]Sheet2!$E$2:$E$713,[2]Sheet2!$G$2:$G$713)</f>
        <v>#N/A</v>
      </c>
      <c r="F411" s="18">
        <v>46064</v>
      </c>
      <c r="G411" s="14">
        <v>0.27769675925925924</v>
      </c>
      <c r="H411" s="7" t="s">
        <v>16</v>
      </c>
      <c r="I411" s="2" t="str">
        <f t="shared" si="33"/>
        <v>Q3</v>
      </c>
      <c r="J411" s="2" t="str">
        <f t="shared" si="34"/>
        <v>Match</v>
      </c>
      <c r="K411" s="2">
        <f t="shared" si="30"/>
        <v>0.14142135623730953</v>
      </c>
      <c r="L411" s="2" t="e">
        <f t="shared" si="31"/>
        <v>#N/A</v>
      </c>
      <c r="M411" s="2" t="str">
        <f t="shared" si="32"/>
        <v>Failed but within quadrant</v>
      </c>
      <c r="N411" s="7">
        <v>14.6</v>
      </c>
      <c r="O411" s="7">
        <v>-0.4</v>
      </c>
      <c r="P411" s="7">
        <v>-2</v>
      </c>
      <c r="Q411" s="7">
        <v>-0.91</v>
      </c>
      <c r="R411" s="7">
        <v>-0.1</v>
      </c>
      <c r="S411" s="7">
        <v>-0.1</v>
      </c>
      <c r="T411" s="7">
        <v>0.17</v>
      </c>
      <c r="U411" s="7">
        <v>-0.16</v>
      </c>
      <c r="V411" s="7">
        <v>0.94</v>
      </c>
      <c r="W411" s="7" t="s">
        <v>13</v>
      </c>
      <c r="X411" s="7" t="s">
        <v>15</v>
      </c>
      <c r="Y411" s="2" t="s">
        <v>719</v>
      </c>
      <c r="Z411" s="2" t="s">
        <v>721</v>
      </c>
    </row>
    <row r="412" spans="1:26" x14ac:dyDescent="0.35">
      <c r="A412" s="7" t="s">
        <v>1636</v>
      </c>
      <c r="B412" s="7" t="s">
        <v>419</v>
      </c>
      <c r="C412" s="4" t="str">
        <f>_xlfn.XLOOKUP(A412,[2]Sheet2!$I$2:$I$1273,[2]Sheet2!$D$2:$D$1273,0)</f>
        <v>Q2</v>
      </c>
      <c r="D412" s="4">
        <f>_xlfn.XLOOKUP(B412,[4]Sheet2!$B$2:$B$3154,[4]Sheet2!$F$2:$F$3154,0)</f>
        <v>0</v>
      </c>
      <c r="E412" s="4" t="e">
        <f>_xlfn.XLOOKUP(B412,[2]Sheet2!$E$2:$E$713,[2]Sheet2!$G$2:$G$713)</f>
        <v>#N/A</v>
      </c>
      <c r="F412" s="18">
        <v>46064</v>
      </c>
      <c r="G412" s="14">
        <v>0.28030092592592593</v>
      </c>
      <c r="H412" s="7" t="s">
        <v>11</v>
      </c>
      <c r="I412" s="2" t="str">
        <f t="shared" si="33"/>
        <v>Q2</v>
      </c>
      <c r="J412" s="2" t="str">
        <f t="shared" si="34"/>
        <v>Match</v>
      </c>
      <c r="K412" s="2">
        <f t="shared" si="30"/>
        <v>0.14142135623730953</v>
      </c>
      <c r="L412" s="2" t="e">
        <f t="shared" si="31"/>
        <v>#N/A</v>
      </c>
      <c r="M412" s="2" t="str">
        <f t="shared" si="32"/>
        <v>Failed but within quadrant</v>
      </c>
      <c r="N412" s="7">
        <v>17.7</v>
      </c>
      <c r="O412" s="7">
        <v>-1.5</v>
      </c>
      <c r="P412" s="7">
        <v>-3.6</v>
      </c>
      <c r="Q412" s="7">
        <v>-1.02</v>
      </c>
      <c r="R412" s="7">
        <v>-0.1</v>
      </c>
      <c r="S412" s="7">
        <v>0.1</v>
      </c>
      <c r="T412" s="7">
        <v>-0.09</v>
      </c>
      <c r="U412" s="7">
        <v>-0.28000000000000003</v>
      </c>
      <c r="V412" s="7">
        <v>1.06</v>
      </c>
      <c r="W412" s="7" t="s">
        <v>6</v>
      </c>
      <c r="X412" s="7" t="s">
        <v>15</v>
      </c>
      <c r="Y412" s="2" t="s">
        <v>719</v>
      </c>
      <c r="Z412" s="2" t="s">
        <v>721</v>
      </c>
    </row>
    <row r="413" spans="1:26" x14ac:dyDescent="0.35">
      <c r="A413" s="7" t="s">
        <v>1637</v>
      </c>
      <c r="B413" s="7" t="s">
        <v>420</v>
      </c>
      <c r="C413" s="4">
        <f>_xlfn.XLOOKUP(A413,[2]Sheet2!$I$2:$I$1273,[2]Sheet2!$D$2:$D$1273,0)</f>
        <v>0</v>
      </c>
      <c r="D413" s="4">
        <f>_xlfn.XLOOKUP(B413,[4]Sheet2!$B$2:$B$3154,[4]Sheet2!$F$2:$F$3154,0)</f>
        <v>0</v>
      </c>
      <c r="E413" s="4" t="e">
        <f>_xlfn.XLOOKUP(B413,[2]Sheet2!$E$2:$E$713,[2]Sheet2!$G$2:$G$713)</f>
        <v>#N/A</v>
      </c>
      <c r="F413" s="18">
        <v>46064</v>
      </c>
      <c r="G413" s="14">
        <v>0.60881944444444447</v>
      </c>
      <c r="H413" s="7" t="s">
        <v>11</v>
      </c>
      <c r="I413" s="2" t="str">
        <f t="shared" si="33"/>
        <v>Q1</v>
      </c>
      <c r="J413" s="2" t="str">
        <f t="shared" si="34"/>
        <v>Not Found</v>
      </c>
      <c r="K413" s="2">
        <f t="shared" si="30"/>
        <v>0.28284271247461906</v>
      </c>
      <c r="L413" s="2" t="e">
        <f t="shared" si="31"/>
        <v>#N/A</v>
      </c>
      <c r="M413" s="2" t="str">
        <f t="shared" si="32"/>
        <v>Assign quadrant hit</v>
      </c>
      <c r="N413" s="7">
        <v>32.299999999999997</v>
      </c>
      <c r="O413" s="7">
        <v>6.5</v>
      </c>
      <c r="P413" s="7">
        <v>11.6</v>
      </c>
      <c r="Q413" s="7">
        <v>-0.08</v>
      </c>
      <c r="R413" s="7">
        <v>0.2</v>
      </c>
      <c r="S413" s="7">
        <v>0.2</v>
      </c>
      <c r="T413" s="7">
        <v>0.28000000000000003</v>
      </c>
      <c r="U413" s="7">
        <v>-0.16</v>
      </c>
      <c r="V413" s="7">
        <v>0.33</v>
      </c>
      <c r="W413" s="7" t="s">
        <v>8</v>
      </c>
      <c r="X413" s="7" t="s">
        <v>9</v>
      </c>
      <c r="Y413" s="2" t="s">
        <v>719</v>
      </c>
      <c r="Z413" s="2" t="s">
        <v>721</v>
      </c>
    </row>
    <row r="414" spans="1:26" x14ac:dyDescent="0.35">
      <c r="A414" s="7" t="s">
        <v>1506</v>
      </c>
      <c r="B414" s="7" t="s">
        <v>421</v>
      </c>
      <c r="C414" s="4" t="str">
        <f>_xlfn.XLOOKUP(A414,[2]Sheet2!$I$2:$I$1273,[2]Sheet2!$D$2:$D$1273,0)</f>
        <v>Q1</v>
      </c>
      <c r="D414" s="4">
        <f>_xlfn.XLOOKUP(B414,[4]Sheet2!$B$2:$B$3154,[4]Sheet2!$F$2:$F$3154,0)</f>
        <v>0</v>
      </c>
      <c r="E414" s="4" t="e">
        <f>_xlfn.XLOOKUP(B414,[2]Sheet2!$E$2:$E$713,[2]Sheet2!$G$2:$G$713)</f>
        <v>#N/A</v>
      </c>
      <c r="F414" s="18">
        <v>46064</v>
      </c>
      <c r="G414" s="14">
        <v>0.72100694444444446</v>
      </c>
      <c r="H414" s="7" t="s">
        <v>5</v>
      </c>
      <c r="I414" s="2" t="str">
        <f t="shared" si="33"/>
        <v>Q4</v>
      </c>
      <c r="J414" s="2" t="str">
        <f t="shared" si="34"/>
        <v>Not Match</v>
      </c>
      <c r="K414" s="2">
        <f t="shared" si="30"/>
        <v>0.1</v>
      </c>
      <c r="L414" s="2" t="e">
        <f t="shared" si="31"/>
        <v>#N/A</v>
      </c>
      <c r="M414" s="2" t="str">
        <f t="shared" si="32"/>
        <v>Below 0.8 not in assigned quadrant</v>
      </c>
      <c r="N414" s="7">
        <v>15.5</v>
      </c>
      <c r="O414" s="7">
        <v>-0.6</v>
      </c>
      <c r="P414" s="7">
        <v>-2.6</v>
      </c>
      <c r="Q414" s="7">
        <v>0.32</v>
      </c>
      <c r="R414" s="7">
        <v>0</v>
      </c>
      <c r="S414" s="7">
        <v>-0.1</v>
      </c>
      <c r="T414" s="7">
        <v>0.21</v>
      </c>
      <c r="U414" s="7">
        <v>0.01</v>
      </c>
      <c r="V414" s="7">
        <v>0.39</v>
      </c>
      <c r="W414" s="7" t="s">
        <v>8</v>
      </c>
      <c r="X414" s="7" t="s">
        <v>9</v>
      </c>
      <c r="Y414" s="2" t="s">
        <v>719</v>
      </c>
      <c r="Z414" s="2" t="s">
        <v>721</v>
      </c>
    </row>
    <row r="415" spans="1:26" x14ac:dyDescent="0.35">
      <c r="A415" s="7" t="s">
        <v>1506</v>
      </c>
      <c r="B415" s="7" t="s">
        <v>422</v>
      </c>
      <c r="C415" s="4" t="str">
        <f>_xlfn.XLOOKUP(A415,[2]Sheet2!$I$2:$I$1273,[2]Sheet2!$D$2:$D$1273,0)</f>
        <v>Q1</v>
      </c>
      <c r="D415" s="4">
        <f>_xlfn.XLOOKUP(B415,[4]Sheet2!$B$2:$B$3154,[4]Sheet2!$F$2:$F$3154,0)</f>
        <v>0</v>
      </c>
      <c r="E415" s="4" t="e">
        <f>_xlfn.XLOOKUP(B415,[2]Sheet2!$E$2:$E$713,[2]Sheet2!$G$2:$G$713)</f>
        <v>#N/A</v>
      </c>
      <c r="F415" s="18">
        <v>46064</v>
      </c>
      <c r="G415" s="14">
        <v>0.72671296296296295</v>
      </c>
      <c r="H415" s="7" t="s">
        <v>5</v>
      </c>
      <c r="I415" s="2" t="str">
        <f t="shared" si="33"/>
        <v>Q4</v>
      </c>
      <c r="J415" s="2" t="str">
        <f t="shared" si="34"/>
        <v>Not Match</v>
      </c>
      <c r="K415" s="2">
        <f t="shared" si="30"/>
        <v>0.1</v>
      </c>
      <c r="L415" s="2" t="e">
        <f t="shared" si="31"/>
        <v>#N/A</v>
      </c>
      <c r="M415" s="2" t="str">
        <f t="shared" si="32"/>
        <v>Below 0.8 not in assigned quadrant</v>
      </c>
      <c r="N415" s="7">
        <v>15.9</v>
      </c>
      <c r="O415" s="7">
        <v>-0.6</v>
      </c>
      <c r="P415" s="7">
        <v>-2.7</v>
      </c>
      <c r="Q415" s="7">
        <v>0.69</v>
      </c>
      <c r="R415" s="7">
        <v>0</v>
      </c>
      <c r="S415" s="7">
        <v>-0.1</v>
      </c>
      <c r="T415" s="7">
        <v>0.25</v>
      </c>
      <c r="U415" s="7">
        <v>-0.02</v>
      </c>
      <c r="V415" s="7">
        <v>0.73</v>
      </c>
      <c r="W415" s="7" t="s">
        <v>8</v>
      </c>
      <c r="X415" s="7" t="s">
        <v>15</v>
      </c>
      <c r="Y415" s="2" t="s">
        <v>719</v>
      </c>
      <c r="Z415" s="2" t="s">
        <v>721</v>
      </c>
    </row>
    <row r="416" spans="1:26" x14ac:dyDescent="0.35">
      <c r="A416" s="7" t="s">
        <v>1638</v>
      </c>
      <c r="B416" s="7" t="s">
        <v>423</v>
      </c>
      <c r="C416" s="4" t="str">
        <f>_xlfn.XLOOKUP(A416,[2]Sheet2!$I$2:$I$1273,[2]Sheet2!$D$2:$D$1273,0)</f>
        <v>Q1</v>
      </c>
      <c r="D416" s="4">
        <f>_xlfn.XLOOKUP(B416,[4]Sheet2!$B$2:$B$3154,[4]Sheet2!$F$2:$F$3154,0)</f>
        <v>0</v>
      </c>
      <c r="E416" s="4" t="e">
        <f>_xlfn.XLOOKUP(B416,[2]Sheet2!$E$2:$E$713,[2]Sheet2!$G$2:$G$713)</f>
        <v>#N/A</v>
      </c>
      <c r="F416" s="18">
        <v>46064</v>
      </c>
      <c r="G416" s="14">
        <v>0.72978009259259258</v>
      </c>
      <c r="H416" s="7" t="s">
        <v>5</v>
      </c>
      <c r="I416" s="2" t="str">
        <f t="shared" si="33"/>
        <v>Q3</v>
      </c>
      <c r="J416" s="2" t="str">
        <f t="shared" si="34"/>
        <v>Not Match</v>
      </c>
      <c r="K416" s="2">
        <f t="shared" si="30"/>
        <v>0.22360679774997899</v>
      </c>
      <c r="L416" s="2" t="e">
        <f t="shared" si="31"/>
        <v>#N/A</v>
      </c>
      <c r="M416" s="2" t="str">
        <f t="shared" si="32"/>
        <v>Below 0.8 not in assigned quadrant</v>
      </c>
      <c r="N416" s="7">
        <v>14</v>
      </c>
      <c r="O416" s="7">
        <v>-1.2</v>
      </c>
      <c r="P416" s="7">
        <v>-2.9</v>
      </c>
      <c r="Q416" s="7">
        <v>-0.03</v>
      </c>
      <c r="R416" s="7">
        <v>-0.1</v>
      </c>
      <c r="S416" s="7">
        <v>-0.2</v>
      </c>
      <c r="T416" s="7">
        <v>0.37</v>
      </c>
      <c r="U416" s="7">
        <v>-0.03</v>
      </c>
      <c r="V416" s="7">
        <v>0.37</v>
      </c>
      <c r="W416" s="7" t="s">
        <v>8</v>
      </c>
      <c r="X416" s="7" t="s">
        <v>15</v>
      </c>
      <c r="Y416" s="2" t="s">
        <v>719</v>
      </c>
      <c r="Z416" s="2" t="s">
        <v>721</v>
      </c>
    </row>
    <row r="417" spans="1:26" x14ac:dyDescent="0.35">
      <c r="A417" s="7" t="s">
        <v>1639</v>
      </c>
      <c r="B417" s="7" t="s">
        <v>424</v>
      </c>
      <c r="C417" s="4">
        <f>_xlfn.XLOOKUP(A417,[2]Sheet2!$I$2:$I$1273,[2]Sheet2!$D$2:$D$1273,0)</f>
        <v>0</v>
      </c>
      <c r="D417" s="4">
        <f>_xlfn.XLOOKUP(B417,[4]Sheet2!$B$2:$B$3154,[4]Sheet2!$F$2:$F$3154,0)</f>
        <v>0</v>
      </c>
      <c r="E417" s="4" t="e">
        <f>_xlfn.XLOOKUP(B417,[2]Sheet2!$E$2:$E$713,[2]Sheet2!$G$2:$G$713)</f>
        <v>#N/A</v>
      </c>
      <c r="F417" s="18">
        <v>46064</v>
      </c>
      <c r="G417" s="14">
        <v>0.73157407407407404</v>
      </c>
      <c r="H417" s="7" t="s">
        <v>11</v>
      </c>
      <c r="I417" s="2" t="str">
        <f t="shared" si="33"/>
        <v>Q3</v>
      </c>
      <c r="J417" s="2" t="str">
        <f t="shared" si="34"/>
        <v>Not Found</v>
      </c>
      <c r="K417" s="2">
        <f t="shared" si="30"/>
        <v>0.14142135623730953</v>
      </c>
      <c r="L417" s="2" t="e">
        <f t="shared" si="31"/>
        <v>#N/A</v>
      </c>
      <c r="M417" s="2" t="str">
        <f t="shared" si="32"/>
        <v>Assign quadrant hit</v>
      </c>
      <c r="N417" s="7">
        <v>14.6</v>
      </c>
      <c r="O417" s="7">
        <v>-0.9</v>
      </c>
      <c r="P417" s="7">
        <v>-1.8</v>
      </c>
      <c r="Q417" s="7">
        <v>-0.31</v>
      </c>
      <c r="R417" s="7">
        <v>-0.1</v>
      </c>
      <c r="S417" s="7">
        <v>-0.1</v>
      </c>
      <c r="T417" s="7">
        <v>0.21</v>
      </c>
      <c r="U417" s="7">
        <v>-0.17</v>
      </c>
      <c r="V417" s="7">
        <v>0.41</v>
      </c>
      <c r="W417" s="7" t="s">
        <v>8</v>
      </c>
      <c r="X417" s="7" t="s">
        <v>15</v>
      </c>
      <c r="Y417" s="2" t="s">
        <v>719</v>
      </c>
      <c r="Z417" s="2" t="s">
        <v>721</v>
      </c>
    </row>
    <row r="418" spans="1:26" x14ac:dyDescent="0.35">
      <c r="A418" s="7" t="s">
        <v>1533</v>
      </c>
      <c r="B418" s="7" t="s">
        <v>425</v>
      </c>
      <c r="C418" s="4" t="str">
        <f>_xlfn.XLOOKUP(A418,[2]Sheet2!$I$2:$I$1273,[2]Sheet2!$D$2:$D$1273,0)</f>
        <v>Q2</v>
      </c>
      <c r="D418" s="4">
        <f>_xlfn.XLOOKUP(B418,[4]Sheet2!$B$2:$B$3154,[4]Sheet2!$F$2:$F$3154,0)</f>
        <v>0</v>
      </c>
      <c r="E418" s="4" t="e">
        <f>_xlfn.XLOOKUP(B418,[2]Sheet2!$E$2:$E$713,[2]Sheet2!$G$2:$G$713)</f>
        <v>#N/A</v>
      </c>
      <c r="F418" s="18">
        <v>46064</v>
      </c>
      <c r="G418" s="14">
        <v>0.73471064814814813</v>
      </c>
      <c r="H418" s="7" t="s">
        <v>4</v>
      </c>
      <c r="I418" s="2" t="str">
        <f t="shared" si="33"/>
        <v>Q4</v>
      </c>
      <c r="J418" s="2" t="str">
        <f t="shared" si="34"/>
        <v>Not Match</v>
      </c>
      <c r="K418" s="2">
        <f t="shared" si="30"/>
        <v>0.3</v>
      </c>
      <c r="L418" s="2" t="e">
        <f t="shared" si="31"/>
        <v>#N/A</v>
      </c>
      <c r="M418" s="2" t="str">
        <f t="shared" si="32"/>
        <v>Assign quadrant hit</v>
      </c>
      <c r="N418" s="7">
        <v>24.8</v>
      </c>
      <c r="O418" s="7">
        <v>0.7</v>
      </c>
      <c r="P418" s="7">
        <v>7.4</v>
      </c>
      <c r="Q418" s="7">
        <v>-1.32</v>
      </c>
      <c r="R418" s="7">
        <v>0</v>
      </c>
      <c r="S418" s="7">
        <v>-0.3</v>
      </c>
      <c r="T418" s="7">
        <v>-0.34</v>
      </c>
      <c r="U418" s="7">
        <v>0</v>
      </c>
      <c r="V418" s="7">
        <v>1.37</v>
      </c>
      <c r="W418" s="7" t="s">
        <v>6</v>
      </c>
      <c r="X418" s="7" t="s">
        <v>15</v>
      </c>
      <c r="Y418" s="2" t="s">
        <v>719</v>
      </c>
      <c r="Z418" s="2" t="s">
        <v>721</v>
      </c>
    </row>
    <row r="419" spans="1:26" x14ac:dyDescent="0.35">
      <c r="A419" s="7" t="s">
        <v>1640</v>
      </c>
      <c r="B419" s="7" t="s">
        <v>403</v>
      </c>
      <c r="C419" s="4">
        <f>_xlfn.XLOOKUP(A419,[2]Sheet2!$I$2:$I$1273,[2]Sheet2!$D$2:$D$1273,0)</f>
        <v>0</v>
      </c>
      <c r="D419" s="4">
        <f>_xlfn.XLOOKUP(B419,[4]Sheet2!$B$2:$B$3154,[4]Sheet2!$F$2:$F$3154,0)</f>
        <v>0</v>
      </c>
      <c r="E419" s="4" t="e">
        <f>_xlfn.XLOOKUP(B419,[2]Sheet2!$E$2:$E$713,[2]Sheet2!$G$2:$G$713)</f>
        <v>#N/A</v>
      </c>
      <c r="F419" s="18">
        <v>46064</v>
      </c>
      <c r="G419" s="14">
        <v>0.75675925925925924</v>
      </c>
      <c r="H419" s="7" t="s">
        <v>4</v>
      </c>
      <c r="I419" s="2" t="str">
        <f t="shared" si="33"/>
        <v>Q3</v>
      </c>
      <c r="J419" s="2" t="str">
        <f t="shared" si="34"/>
        <v>Not Found</v>
      </c>
      <c r="K419" s="2">
        <f t="shared" si="30"/>
        <v>0.36055512754639896</v>
      </c>
      <c r="L419" s="2" t="e">
        <f t="shared" si="31"/>
        <v>#N/A</v>
      </c>
      <c r="M419" s="2" t="str">
        <f t="shared" si="32"/>
        <v>Assign quadrant hit</v>
      </c>
      <c r="N419" s="7">
        <v>27.5</v>
      </c>
      <c r="O419" s="7">
        <v>-1</v>
      </c>
      <c r="P419" s="7">
        <v>11.7</v>
      </c>
      <c r="Q419" s="7">
        <v>0.63</v>
      </c>
      <c r="R419" s="7">
        <v>-0.3</v>
      </c>
      <c r="S419" s="7">
        <v>-0.2</v>
      </c>
      <c r="T419" s="7">
        <v>-0.13</v>
      </c>
      <c r="U419" s="7">
        <v>0.49</v>
      </c>
      <c r="V419" s="7">
        <v>0.81</v>
      </c>
      <c r="W419" s="7" t="s">
        <v>13</v>
      </c>
      <c r="X419" s="7" t="s">
        <v>15</v>
      </c>
      <c r="Y419" s="2" t="s">
        <v>719</v>
      </c>
      <c r="Z419" s="2" t="s">
        <v>721</v>
      </c>
    </row>
    <row r="420" spans="1:26" x14ac:dyDescent="0.35">
      <c r="A420" s="7" t="s">
        <v>1641</v>
      </c>
      <c r="B420" s="7" t="s">
        <v>427</v>
      </c>
      <c r="C420" s="4">
        <f>_xlfn.XLOOKUP(A420,[2]Sheet2!$I$2:$I$1273,[2]Sheet2!$D$2:$D$1273,0)</f>
        <v>0</v>
      </c>
      <c r="D420" s="4">
        <f>_xlfn.XLOOKUP(B420,[4]Sheet2!$B$2:$B$3154,[4]Sheet2!$F$2:$F$3154,0)</f>
        <v>0</v>
      </c>
      <c r="E420" s="4" t="e">
        <f>_xlfn.XLOOKUP(B420,[2]Sheet2!$E$2:$E$713,[2]Sheet2!$G$2:$G$713)</f>
        <v>#N/A</v>
      </c>
      <c r="F420" s="18">
        <v>46064</v>
      </c>
      <c r="G420" s="14">
        <v>0.76137731481481485</v>
      </c>
      <c r="H420" s="7" t="s">
        <v>5</v>
      </c>
      <c r="I420" s="2" t="str">
        <f t="shared" si="33"/>
        <v>Q4</v>
      </c>
      <c r="J420" s="2" t="str">
        <f t="shared" si="34"/>
        <v>Not Found</v>
      </c>
      <c r="K420" s="2">
        <f t="shared" si="30"/>
        <v>0.2</v>
      </c>
      <c r="L420" s="2" t="e">
        <f t="shared" si="31"/>
        <v>#N/A</v>
      </c>
      <c r="M420" s="2" t="str">
        <f t="shared" si="32"/>
        <v>Assign quadrant hit</v>
      </c>
      <c r="N420" s="7">
        <v>18.3</v>
      </c>
      <c r="O420" s="7">
        <v>1.8</v>
      </c>
      <c r="P420" s="7">
        <v>-17.899999999999999</v>
      </c>
      <c r="Q420" s="7">
        <v>-0.86</v>
      </c>
      <c r="R420" s="7">
        <v>0</v>
      </c>
      <c r="S420" s="7">
        <v>-0.2</v>
      </c>
      <c r="T420" s="7">
        <v>0.18</v>
      </c>
      <c r="U420" s="7">
        <v>-0.02</v>
      </c>
      <c r="V420" s="7">
        <v>0.87</v>
      </c>
      <c r="W420" s="7" t="s">
        <v>13</v>
      </c>
      <c r="X420" s="7" t="s">
        <v>15</v>
      </c>
      <c r="Y420" s="2" t="s">
        <v>719</v>
      </c>
      <c r="Z420" s="2" t="s">
        <v>721</v>
      </c>
    </row>
    <row r="421" spans="1:26" x14ac:dyDescent="0.35">
      <c r="A421" s="7" t="s">
        <v>1642</v>
      </c>
      <c r="B421" s="7" t="s">
        <v>428</v>
      </c>
      <c r="C421" s="4" t="str">
        <f>_xlfn.XLOOKUP(A421,[2]Sheet2!$I$2:$I$1273,[2]Sheet2!$D$2:$D$1273,0)</f>
        <v>Q3</v>
      </c>
      <c r="D421" s="4">
        <f>_xlfn.XLOOKUP(B421,[4]Sheet2!$B$2:$B$3154,[4]Sheet2!$F$2:$F$3154,0)</f>
        <v>0</v>
      </c>
      <c r="E421" s="4" t="e">
        <f>_xlfn.XLOOKUP(B421,[2]Sheet2!$E$2:$E$713,[2]Sheet2!$G$2:$G$713)</f>
        <v>#N/A</v>
      </c>
      <c r="F421" s="18">
        <v>46064</v>
      </c>
      <c r="G421" s="14">
        <v>0.76300925925925922</v>
      </c>
      <c r="H421" s="7" t="s">
        <v>11</v>
      </c>
      <c r="I421" s="2" t="str">
        <f t="shared" si="33"/>
        <v>Q1</v>
      </c>
      <c r="J421" s="2" t="str">
        <f t="shared" si="34"/>
        <v>Not Match</v>
      </c>
      <c r="K421" s="2">
        <f t="shared" si="30"/>
        <v>0.42426406871192851</v>
      </c>
      <c r="L421" s="2" t="e">
        <f t="shared" si="31"/>
        <v>#N/A</v>
      </c>
      <c r="M421" s="2" t="str">
        <f t="shared" si="32"/>
        <v>Below 0.8 not in assigned quadrant</v>
      </c>
      <c r="N421" s="7">
        <v>19.600000000000001</v>
      </c>
      <c r="O421" s="7">
        <v>12.1</v>
      </c>
      <c r="P421" s="7">
        <v>-2.2999999999999998</v>
      </c>
      <c r="Q421" s="7">
        <v>-0.28999999999999998</v>
      </c>
      <c r="R421" s="7">
        <v>0.3</v>
      </c>
      <c r="S421" s="7">
        <v>0.3</v>
      </c>
      <c r="T421" s="7">
        <v>0.19</v>
      </c>
      <c r="U421" s="7">
        <v>0.4</v>
      </c>
      <c r="V421" s="7">
        <v>0.53</v>
      </c>
      <c r="W421" s="7" t="s">
        <v>8</v>
      </c>
      <c r="X421" s="7" t="s">
        <v>9</v>
      </c>
      <c r="Y421" s="2" t="s">
        <v>719</v>
      </c>
      <c r="Z421" s="2" t="s">
        <v>721</v>
      </c>
    </row>
    <row r="422" spans="1:26" x14ac:dyDescent="0.35">
      <c r="A422" s="7" t="s">
        <v>1618</v>
      </c>
      <c r="B422" s="7" t="s">
        <v>429</v>
      </c>
      <c r="C422" s="4" t="str">
        <f>_xlfn.XLOOKUP(A422,[2]Sheet2!$I$2:$I$1273,[2]Sheet2!$D$2:$D$1273,0)</f>
        <v>Q2</v>
      </c>
      <c r="D422" s="4">
        <f>_xlfn.XLOOKUP(B422,[4]Sheet2!$B$2:$B$3154,[4]Sheet2!$F$2:$F$3154,0)</f>
        <v>0</v>
      </c>
      <c r="E422" s="4" t="e">
        <f>_xlfn.XLOOKUP(B422,[2]Sheet2!$E$2:$E$713,[2]Sheet2!$G$2:$G$713)</f>
        <v>#N/A</v>
      </c>
      <c r="F422" s="18">
        <v>46065</v>
      </c>
      <c r="G422" s="14">
        <v>0.66938657407407409</v>
      </c>
      <c r="H422" s="7" t="s">
        <v>5</v>
      </c>
      <c r="I422" s="2" t="str">
        <f t="shared" si="33"/>
        <v>Q1</v>
      </c>
      <c r="J422" s="2" t="str">
        <f t="shared" si="34"/>
        <v>Not Match</v>
      </c>
      <c r="K422" s="2">
        <f t="shared" si="30"/>
        <v>0.86023252670426265</v>
      </c>
      <c r="L422" s="2" t="e">
        <f t="shared" si="31"/>
        <v>#N/A</v>
      </c>
      <c r="M422" s="2" t="str">
        <f t="shared" si="32"/>
        <v>Assign quadrant hit</v>
      </c>
      <c r="N422" s="7">
        <v>45.5</v>
      </c>
      <c r="O422" s="7">
        <v>5.5</v>
      </c>
      <c r="P422" s="7">
        <v>8.8000000000000007</v>
      </c>
      <c r="Q422" s="7">
        <v>-0.83</v>
      </c>
      <c r="R422" s="7">
        <v>0.5</v>
      </c>
      <c r="S422" s="7">
        <v>0.7</v>
      </c>
      <c r="T422" s="7">
        <v>0.74</v>
      </c>
      <c r="U422" s="7">
        <v>-0.15</v>
      </c>
      <c r="V422" s="7">
        <v>1.1299999999999999</v>
      </c>
      <c r="W422" s="7" t="s">
        <v>6</v>
      </c>
      <c r="X422" s="7" t="s">
        <v>9</v>
      </c>
      <c r="Y422" s="2" t="s">
        <v>719</v>
      </c>
      <c r="Z422" s="2" t="s">
        <v>721</v>
      </c>
    </row>
    <row r="423" spans="1:26" x14ac:dyDescent="0.35">
      <c r="A423" s="7" t="s">
        <v>1597</v>
      </c>
      <c r="B423" s="7" t="s">
        <v>430</v>
      </c>
      <c r="C423" s="4">
        <f>_xlfn.XLOOKUP(A423,[2]Sheet2!$I$2:$I$1273,[2]Sheet2!$D$2:$D$1273,0)</f>
        <v>0</v>
      </c>
      <c r="D423" s="4">
        <f>_xlfn.XLOOKUP(B423,[4]Sheet2!$B$2:$B$3154,[4]Sheet2!$F$2:$F$3154,0)</f>
        <v>0</v>
      </c>
      <c r="E423" s="4" t="e">
        <f>_xlfn.XLOOKUP(B423,[2]Sheet2!$E$2:$E$713,[2]Sheet2!$G$2:$G$713)</f>
        <v>#N/A</v>
      </c>
      <c r="F423" s="18">
        <v>46065</v>
      </c>
      <c r="G423" s="14">
        <v>0.67679398148148151</v>
      </c>
      <c r="H423" s="7" t="s">
        <v>5</v>
      </c>
      <c r="I423" s="2" t="str">
        <f t="shared" si="33"/>
        <v>Q3</v>
      </c>
      <c r="J423" s="2" t="str">
        <f t="shared" si="34"/>
        <v>Not Found</v>
      </c>
      <c r="K423" s="2">
        <f t="shared" si="30"/>
        <v>0.1</v>
      </c>
      <c r="L423" s="2" t="e">
        <f t="shared" si="31"/>
        <v>#N/A</v>
      </c>
      <c r="M423" s="2" t="str">
        <f t="shared" si="32"/>
        <v>Assign quadrant hit</v>
      </c>
      <c r="N423" s="7">
        <v>15.6</v>
      </c>
      <c r="O423" s="7">
        <v>-0.7</v>
      </c>
      <c r="P423" s="7">
        <v>-2.9</v>
      </c>
      <c r="Q423" s="7">
        <v>-0.75</v>
      </c>
      <c r="R423" s="7">
        <v>-0.1</v>
      </c>
      <c r="S423" s="7">
        <v>0</v>
      </c>
      <c r="T423" s="7">
        <v>0.05</v>
      </c>
      <c r="U423" s="7">
        <v>-0.12</v>
      </c>
      <c r="V423" s="7">
        <v>0.76</v>
      </c>
      <c r="W423" s="7" t="s">
        <v>13</v>
      </c>
      <c r="X423" s="7" t="s">
        <v>15</v>
      </c>
      <c r="Y423" s="2" t="s">
        <v>719</v>
      </c>
      <c r="Z423" s="2" t="s">
        <v>721</v>
      </c>
    </row>
    <row r="424" spans="1:26" x14ac:dyDescent="0.35">
      <c r="A424" s="7" t="s">
        <v>1643</v>
      </c>
      <c r="B424" s="7" t="s">
        <v>431</v>
      </c>
      <c r="C424" s="4" t="str">
        <f>_xlfn.XLOOKUP(A424,[2]Sheet2!$I$2:$I$1273,[2]Sheet2!$D$2:$D$1273,0)</f>
        <v>Q3</v>
      </c>
      <c r="D424" s="4">
        <f>_xlfn.XLOOKUP(B424,[4]Sheet2!$B$2:$B$3154,[4]Sheet2!$F$2:$F$3154,0)</f>
        <v>0</v>
      </c>
      <c r="E424" s="4">
        <f>_xlfn.XLOOKUP(B424,[2]Sheet2!$E$2:$E$713,[2]Sheet2!$G$2:$G$713)</f>
        <v>0.8</v>
      </c>
      <c r="F424" s="18">
        <v>46065</v>
      </c>
      <c r="G424" s="14">
        <v>0.68386574074074069</v>
      </c>
      <c r="H424" s="7" t="s">
        <v>11</v>
      </c>
      <c r="I424" s="2" t="str">
        <f t="shared" si="33"/>
        <v>Q3</v>
      </c>
      <c r="J424" s="2" t="str">
        <f t="shared" si="34"/>
        <v>Match</v>
      </c>
      <c r="K424" s="2">
        <f t="shared" si="30"/>
        <v>0.2</v>
      </c>
      <c r="L424" s="2" t="str">
        <f t="shared" si="31"/>
        <v>Within Range</v>
      </c>
      <c r="M424" s="2" t="str">
        <f t="shared" si="32"/>
        <v>Digital Approve Hit</v>
      </c>
      <c r="N424" s="7">
        <v>13.8</v>
      </c>
      <c r="O424" s="7">
        <v>-0.7</v>
      </c>
      <c r="P424" s="7">
        <v>-2.1</v>
      </c>
      <c r="Q424" s="7">
        <v>-0.51</v>
      </c>
      <c r="R424" s="7">
        <v>-0.2</v>
      </c>
      <c r="S424" s="7">
        <v>0</v>
      </c>
      <c r="T424" s="7">
        <v>0.19</v>
      </c>
      <c r="U424" s="7">
        <v>-0.32</v>
      </c>
      <c r="V424" s="7">
        <v>0.63</v>
      </c>
      <c r="W424" s="7" t="s">
        <v>8</v>
      </c>
      <c r="X424" s="7" t="s">
        <v>15</v>
      </c>
      <c r="Y424" s="2" t="s">
        <v>719</v>
      </c>
      <c r="Z424" s="2" t="s">
        <v>721</v>
      </c>
    </row>
    <row r="425" spans="1:26" x14ac:dyDescent="0.35">
      <c r="A425" s="7" t="s">
        <v>1543</v>
      </c>
      <c r="B425" s="7" t="s">
        <v>432</v>
      </c>
      <c r="C425" s="4" t="str">
        <f>_xlfn.XLOOKUP(A425,[2]Sheet2!$I$2:$I$1273,[2]Sheet2!$D$2:$D$1273,0)</f>
        <v>Q3</v>
      </c>
      <c r="D425" s="4">
        <f>_xlfn.XLOOKUP(B425,[4]Sheet2!$B$2:$B$3154,[4]Sheet2!$F$2:$F$3154,0)</f>
        <v>0</v>
      </c>
      <c r="E425" s="4" t="e">
        <f>_xlfn.XLOOKUP(B425,[2]Sheet2!$E$2:$E$713,[2]Sheet2!$G$2:$G$713)</f>
        <v>#N/A</v>
      </c>
      <c r="F425" s="18">
        <v>46065</v>
      </c>
      <c r="G425" s="14">
        <v>0.67835648148148153</v>
      </c>
      <c r="H425" s="7" t="s">
        <v>11</v>
      </c>
      <c r="I425" s="2" t="str">
        <f t="shared" si="33"/>
        <v>Q1</v>
      </c>
      <c r="J425" s="2" t="str">
        <f t="shared" si="34"/>
        <v>Not Match</v>
      </c>
      <c r="K425" s="2">
        <f t="shared" si="30"/>
        <v>0.28284271247461906</v>
      </c>
      <c r="L425" s="2" t="e">
        <f t="shared" si="31"/>
        <v>#N/A</v>
      </c>
      <c r="M425" s="2" t="str">
        <f t="shared" si="32"/>
        <v>Below 0.8 not in assigned quadrant</v>
      </c>
      <c r="N425" s="7">
        <v>25.4</v>
      </c>
      <c r="O425" s="7">
        <v>6.9</v>
      </c>
      <c r="P425" s="7">
        <v>8.1</v>
      </c>
      <c r="Q425" s="7">
        <v>-0.47</v>
      </c>
      <c r="R425" s="7">
        <v>0.2</v>
      </c>
      <c r="S425" s="7">
        <v>0.2</v>
      </c>
      <c r="T425" s="7">
        <v>0.31</v>
      </c>
      <c r="U425" s="7">
        <v>-0.1</v>
      </c>
      <c r="V425" s="7">
        <v>0.56999999999999995</v>
      </c>
      <c r="W425" s="7" t="s">
        <v>8</v>
      </c>
      <c r="X425" s="7" t="s">
        <v>9</v>
      </c>
      <c r="Y425" s="2" t="s">
        <v>719</v>
      </c>
      <c r="Z425" s="2" t="s">
        <v>721</v>
      </c>
    </row>
    <row r="426" spans="1:26" x14ac:dyDescent="0.35">
      <c r="A426" s="7" t="s">
        <v>1520</v>
      </c>
      <c r="B426" s="7" t="s">
        <v>433</v>
      </c>
      <c r="C426" s="4" t="str">
        <f>_xlfn.XLOOKUP(A426,[2]Sheet2!$I$2:$I$1273,[2]Sheet2!$D$2:$D$1273,0)</f>
        <v>Q1</v>
      </c>
      <c r="D426" s="4">
        <f>_xlfn.XLOOKUP(B426,[4]Sheet2!$B$2:$B$3154,[4]Sheet2!$F$2:$F$3154,0)</f>
        <v>0</v>
      </c>
      <c r="E426" s="4" t="e">
        <f>_xlfn.XLOOKUP(B426,[2]Sheet2!$E$2:$E$713,[2]Sheet2!$G$2:$G$713)</f>
        <v>#N/A</v>
      </c>
      <c r="F426" s="18">
        <v>46065</v>
      </c>
      <c r="G426" s="14">
        <v>0.71468750000000003</v>
      </c>
      <c r="H426" s="7" t="s">
        <v>11</v>
      </c>
      <c r="I426" s="2" t="str">
        <f t="shared" si="33"/>
        <v>Q4</v>
      </c>
      <c r="J426" s="2" t="str">
        <f t="shared" si="34"/>
        <v>Not Match</v>
      </c>
      <c r="K426" s="2">
        <f t="shared" si="30"/>
        <v>0.1</v>
      </c>
      <c r="L426" s="2" t="e">
        <f t="shared" si="31"/>
        <v>#N/A</v>
      </c>
      <c r="M426" s="2" t="str">
        <f t="shared" si="32"/>
        <v>Below 0.8 not in assigned quadrant</v>
      </c>
      <c r="N426" s="7">
        <v>26.1</v>
      </c>
      <c r="O426" s="7">
        <v>6.6</v>
      </c>
      <c r="P426" s="7">
        <v>8.1</v>
      </c>
      <c r="Q426" s="7">
        <v>-0.31</v>
      </c>
      <c r="R426" s="7">
        <v>0.1</v>
      </c>
      <c r="S426" s="7">
        <v>0</v>
      </c>
      <c r="T426" s="7">
        <v>0.08</v>
      </c>
      <c r="U426" s="7">
        <v>-0.25</v>
      </c>
      <c r="V426" s="7">
        <v>0.41</v>
      </c>
      <c r="W426" s="7" t="s">
        <v>8</v>
      </c>
      <c r="X426" s="7" t="s">
        <v>9</v>
      </c>
      <c r="Y426" s="2" t="s">
        <v>719</v>
      </c>
      <c r="Z426" s="2" t="s">
        <v>721</v>
      </c>
    </row>
    <row r="427" spans="1:26" x14ac:dyDescent="0.35">
      <c r="A427" s="7" t="s">
        <v>1520</v>
      </c>
      <c r="B427" s="7" t="s">
        <v>366</v>
      </c>
      <c r="C427" s="4" t="str">
        <f>_xlfn.XLOOKUP(A427,[2]Sheet2!$I$2:$I$1273,[2]Sheet2!$D$2:$D$1273,0)</f>
        <v>Q1</v>
      </c>
      <c r="D427" s="4">
        <f>_xlfn.XLOOKUP(B427,[4]Sheet2!$B$2:$B$3154,[4]Sheet2!$F$2:$F$3154,0)</f>
        <v>0</v>
      </c>
      <c r="E427" s="4" t="e">
        <f>_xlfn.XLOOKUP(B427,[2]Sheet2!$E$2:$E$713,[2]Sheet2!$G$2:$G$713)</f>
        <v>#N/A</v>
      </c>
      <c r="F427" s="18">
        <v>46065</v>
      </c>
      <c r="G427" s="14">
        <v>0.76844907407407403</v>
      </c>
      <c r="H427" s="7" t="s">
        <v>5</v>
      </c>
      <c r="I427" s="2" t="str">
        <f t="shared" si="33"/>
        <v>Q1</v>
      </c>
      <c r="J427" s="2" t="str">
        <f t="shared" si="34"/>
        <v>Match</v>
      </c>
      <c r="K427" s="2">
        <f t="shared" si="30"/>
        <v>0.84852813742385702</v>
      </c>
      <c r="L427" s="2" t="e">
        <f t="shared" si="31"/>
        <v>#N/A</v>
      </c>
      <c r="M427" s="2" t="str">
        <f t="shared" si="32"/>
        <v>Failed but within quadrant</v>
      </c>
      <c r="N427" s="7">
        <v>25.4</v>
      </c>
      <c r="O427" s="7">
        <v>10</v>
      </c>
      <c r="P427" s="7">
        <v>9.6999999999999993</v>
      </c>
      <c r="Q427" s="7">
        <v>-1.1200000000000001</v>
      </c>
      <c r="R427" s="7">
        <v>0.6</v>
      </c>
      <c r="S427" s="7">
        <v>0.6</v>
      </c>
      <c r="T427" s="7">
        <v>0.67</v>
      </c>
      <c r="U427" s="7">
        <v>-0.05</v>
      </c>
      <c r="V427" s="7">
        <v>1.31</v>
      </c>
      <c r="W427" s="7" t="s">
        <v>6</v>
      </c>
      <c r="X427" s="7" t="s">
        <v>9</v>
      </c>
      <c r="Y427" s="2" t="s">
        <v>719</v>
      </c>
      <c r="Z427" s="2" t="s">
        <v>721</v>
      </c>
    </row>
    <row r="428" spans="1:26" x14ac:dyDescent="0.35">
      <c r="A428" s="7" t="s">
        <v>1642</v>
      </c>
      <c r="B428" s="7" t="s">
        <v>412</v>
      </c>
      <c r="C428" s="4" t="str">
        <f>_xlfn.XLOOKUP(A428,[2]Sheet2!$I$2:$I$1273,[2]Sheet2!$D$2:$D$1273,0)</f>
        <v>Q3</v>
      </c>
      <c r="D428" s="4">
        <f>_xlfn.XLOOKUP(B428,[4]Sheet2!$B$2:$B$3154,[4]Sheet2!$F$2:$F$3154,0)</f>
        <v>0</v>
      </c>
      <c r="E428" s="4" t="e">
        <f>_xlfn.XLOOKUP(B428,[2]Sheet2!$E$2:$E$713,[2]Sheet2!$G$2:$G$713)</f>
        <v>#N/A</v>
      </c>
      <c r="F428" s="18">
        <v>46065</v>
      </c>
      <c r="G428" s="14">
        <v>0.77370370370370367</v>
      </c>
      <c r="H428" s="7" t="s">
        <v>11</v>
      </c>
      <c r="I428" s="2" t="str">
        <f t="shared" si="33"/>
        <v>Q1</v>
      </c>
      <c r="J428" s="2" t="str">
        <f t="shared" si="34"/>
        <v>Not Match</v>
      </c>
      <c r="K428" s="2">
        <f t="shared" si="30"/>
        <v>0.70710678118654746</v>
      </c>
      <c r="L428" s="2" t="e">
        <f t="shared" si="31"/>
        <v>#N/A</v>
      </c>
      <c r="M428" s="2" t="str">
        <f t="shared" si="32"/>
        <v>Below 0.8 not in assigned quadrant</v>
      </c>
      <c r="N428" s="7">
        <v>20.100000000000001</v>
      </c>
      <c r="O428" s="7">
        <v>11.9</v>
      </c>
      <c r="P428" s="7">
        <v>-1.9</v>
      </c>
      <c r="Q428" s="7">
        <v>0.09</v>
      </c>
      <c r="R428" s="7">
        <v>0.1</v>
      </c>
      <c r="S428" s="7">
        <v>0.7</v>
      </c>
      <c r="T428" s="7">
        <v>-0.01</v>
      </c>
      <c r="U428" s="7">
        <v>0.79</v>
      </c>
      <c r="V428" s="7">
        <v>0.8</v>
      </c>
      <c r="W428" s="7" t="s">
        <v>13</v>
      </c>
      <c r="X428" s="7" t="s">
        <v>9</v>
      </c>
      <c r="Y428" s="2" t="s">
        <v>719</v>
      </c>
      <c r="Z428" s="2" t="s">
        <v>721</v>
      </c>
    </row>
    <row r="429" spans="1:26" x14ac:dyDescent="0.35">
      <c r="A429" s="7" t="s">
        <v>1562</v>
      </c>
      <c r="B429" s="7" t="s">
        <v>434</v>
      </c>
      <c r="C429" s="4">
        <f>_xlfn.XLOOKUP(A429,[2]Sheet2!$I$2:$I$1273,[2]Sheet2!$D$2:$D$1273,0)</f>
        <v>0</v>
      </c>
      <c r="D429" s="4">
        <f>_xlfn.XLOOKUP(B429,[4]Sheet2!$B$2:$B$3154,[4]Sheet2!$F$2:$F$3154,0)</f>
        <v>0</v>
      </c>
      <c r="E429" s="4" t="e">
        <f>_xlfn.XLOOKUP(B429,[2]Sheet2!$E$2:$E$713,[2]Sheet2!$G$2:$G$713)</f>
        <v>#N/A</v>
      </c>
      <c r="F429" s="18">
        <v>46065</v>
      </c>
      <c r="G429" s="14">
        <v>0.95094907407407403</v>
      </c>
      <c r="H429" s="7" t="s">
        <v>4</v>
      </c>
      <c r="I429" s="2" t="str">
        <f t="shared" si="33"/>
        <v>Q4</v>
      </c>
      <c r="J429" s="2" t="str">
        <f t="shared" si="34"/>
        <v>Not Found</v>
      </c>
      <c r="K429" s="2">
        <f t="shared" si="30"/>
        <v>0.2</v>
      </c>
      <c r="L429" s="2" t="e">
        <f t="shared" si="31"/>
        <v>#N/A</v>
      </c>
      <c r="M429" s="2" t="str">
        <f t="shared" si="32"/>
        <v>Assign quadrant hit</v>
      </c>
      <c r="N429" s="7">
        <v>18.899999999999999</v>
      </c>
      <c r="O429" s="7">
        <v>0.1</v>
      </c>
      <c r="P429" s="7">
        <v>-1.1000000000000001</v>
      </c>
      <c r="Q429" s="7">
        <v>0.03</v>
      </c>
      <c r="R429" s="7">
        <v>0.2</v>
      </c>
      <c r="S429" s="7">
        <v>0</v>
      </c>
      <c r="T429" s="7">
        <v>-0.11</v>
      </c>
      <c r="U429" s="7">
        <v>0.39</v>
      </c>
      <c r="V429" s="7">
        <v>0.41</v>
      </c>
      <c r="W429" s="7" t="s">
        <v>8</v>
      </c>
      <c r="X429" s="7" t="s">
        <v>9</v>
      </c>
      <c r="Y429" s="2" t="s">
        <v>719</v>
      </c>
      <c r="Z429" s="2" t="s">
        <v>721</v>
      </c>
    </row>
    <row r="430" spans="1:26" x14ac:dyDescent="0.35">
      <c r="A430" s="7" t="s">
        <v>1515</v>
      </c>
      <c r="B430" s="7" t="s">
        <v>435</v>
      </c>
      <c r="C430" s="4" t="str">
        <f>_xlfn.XLOOKUP(A430,[2]Sheet2!$I$2:$I$1273,[2]Sheet2!$D$2:$D$1273,0)</f>
        <v>Q3</v>
      </c>
      <c r="D430" s="4">
        <f>_xlfn.XLOOKUP(B430,[4]Sheet2!$B$2:$B$3154,[4]Sheet2!$F$2:$F$3154,0)</f>
        <v>0</v>
      </c>
      <c r="E430" s="4" t="e">
        <f>_xlfn.XLOOKUP(B430,[2]Sheet2!$E$2:$E$713,[2]Sheet2!$G$2:$G$713)</f>
        <v>#N/A</v>
      </c>
      <c r="F430" s="18">
        <v>46065</v>
      </c>
      <c r="G430" s="14">
        <v>0.95344907407407409</v>
      </c>
      <c r="H430" s="7" t="s">
        <v>11</v>
      </c>
      <c r="I430" s="2" t="str">
        <f t="shared" si="33"/>
        <v>Q4</v>
      </c>
      <c r="J430" s="2" t="str">
        <f t="shared" si="34"/>
        <v>Not Match</v>
      </c>
      <c r="K430" s="2">
        <f t="shared" si="30"/>
        <v>0.2</v>
      </c>
      <c r="L430" s="2" t="e">
        <f t="shared" si="31"/>
        <v>#N/A</v>
      </c>
      <c r="M430" s="2" t="str">
        <f t="shared" si="32"/>
        <v>Below 0.8 not in assigned quadrant</v>
      </c>
      <c r="N430" s="7">
        <v>13.8</v>
      </c>
      <c r="O430" s="7">
        <v>-0.3</v>
      </c>
      <c r="P430" s="7">
        <v>-2.2999999999999998</v>
      </c>
      <c r="Q430" s="7">
        <v>-0.18</v>
      </c>
      <c r="R430" s="7">
        <v>0</v>
      </c>
      <c r="S430" s="7">
        <v>-0.2</v>
      </c>
      <c r="T430" s="7">
        <v>0.38</v>
      </c>
      <c r="U430" s="7">
        <v>0.03</v>
      </c>
      <c r="V430" s="7">
        <v>0.42</v>
      </c>
      <c r="W430" s="7" t="s">
        <v>8</v>
      </c>
      <c r="X430" s="7" t="s">
        <v>9</v>
      </c>
      <c r="Y430" s="2" t="s">
        <v>719</v>
      </c>
      <c r="Z430" s="2" t="s">
        <v>721</v>
      </c>
    </row>
    <row r="431" spans="1:26" x14ac:dyDescent="0.35">
      <c r="A431" s="7" t="s">
        <v>1515</v>
      </c>
      <c r="B431" s="7" t="s">
        <v>436</v>
      </c>
      <c r="C431" s="4" t="str">
        <f>_xlfn.XLOOKUP(A431,[2]Sheet2!$I$2:$I$1273,[2]Sheet2!$D$2:$D$1273,0)</f>
        <v>Q3</v>
      </c>
      <c r="D431" s="4">
        <f>_xlfn.XLOOKUP(B431,[4]Sheet2!$B$2:$B$3154,[4]Sheet2!$F$2:$F$3154,0)</f>
        <v>0</v>
      </c>
      <c r="E431" s="4" t="e">
        <f>_xlfn.XLOOKUP(B431,[2]Sheet2!$E$2:$E$713,[2]Sheet2!$G$2:$G$713)</f>
        <v>#N/A</v>
      </c>
      <c r="F431" s="18">
        <v>46065</v>
      </c>
      <c r="G431" s="14">
        <v>0.95527777777777778</v>
      </c>
      <c r="H431" s="7" t="s">
        <v>11</v>
      </c>
      <c r="I431" s="2" t="str">
        <f t="shared" si="33"/>
        <v>Q4</v>
      </c>
      <c r="J431" s="2" t="str">
        <f t="shared" si="34"/>
        <v>Not Match</v>
      </c>
      <c r="K431" s="2">
        <f t="shared" si="30"/>
        <v>0.2</v>
      </c>
      <c r="L431" s="2" t="e">
        <f t="shared" si="31"/>
        <v>#N/A</v>
      </c>
      <c r="M431" s="2" t="str">
        <f t="shared" si="32"/>
        <v>Below 0.8 not in assigned quadrant</v>
      </c>
      <c r="N431" s="7">
        <v>13.4</v>
      </c>
      <c r="O431" s="7">
        <v>-0.3</v>
      </c>
      <c r="P431" s="7">
        <v>-2.2999999999999998</v>
      </c>
      <c r="Q431" s="7">
        <v>-0.57999999999999996</v>
      </c>
      <c r="R431" s="7">
        <v>0</v>
      </c>
      <c r="S431" s="7">
        <v>-0.2</v>
      </c>
      <c r="T431" s="7">
        <v>0.31</v>
      </c>
      <c r="U431" s="7">
        <v>0.01</v>
      </c>
      <c r="V431" s="7">
        <v>0.66</v>
      </c>
      <c r="W431" s="7" t="s">
        <v>8</v>
      </c>
      <c r="X431" s="7" t="s">
        <v>9</v>
      </c>
      <c r="Y431" s="2" t="s">
        <v>719</v>
      </c>
      <c r="Z431" s="2" t="s">
        <v>721</v>
      </c>
    </row>
    <row r="432" spans="1:26" x14ac:dyDescent="0.35">
      <c r="A432" s="7" t="s">
        <v>1555</v>
      </c>
      <c r="B432" s="7" t="s">
        <v>437</v>
      </c>
      <c r="C432" s="4">
        <f>_xlfn.XLOOKUP(A432,[2]Sheet2!$I$2:$I$1273,[2]Sheet2!$D$2:$D$1273,0)</f>
        <v>0</v>
      </c>
      <c r="D432" s="4">
        <f>_xlfn.XLOOKUP(B432,[4]Sheet2!$B$2:$B$3154,[4]Sheet2!$F$2:$F$3154,0)</f>
        <v>0</v>
      </c>
      <c r="E432" s="4" t="e">
        <f>_xlfn.XLOOKUP(B432,[2]Sheet2!$E$2:$E$713,[2]Sheet2!$G$2:$G$713)</f>
        <v>#N/A</v>
      </c>
      <c r="F432" s="18">
        <v>46065</v>
      </c>
      <c r="G432" s="14">
        <v>0.95737268518518515</v>
      </c>
      <c r="H432" s="7" t="s">
        <v>5</v>
      </c>
      <c r="I432" s="2" t="str">
        <f t="shared" si="33"/>
        <v>Q4</v>
      </c>
      <c r="J432" s="2" t="str">
        <f t="shared" si="34"/>
        <v>Not Found</v>
      </c>
      <c r="K432" s="2">
        <f t="shared" si="30"/>
        <v>0.1</v>
      </c>
      <c r="L432" s="2" t="e">
        <f t="shared" si="31"/>
        <v>#N/A</v>
      </c>
      <c r="M432" s="2" t="str">
        <f t="shared" si="32"/>
        <v>Assign quadrant hit</v>
      </c>
      <c r="N432" s="7">
        <v>16.7</v>
      </c>
      <c r="O432" s="7">
        <v>-0.2</v>
      </c>
      <c r="P432" s="7">
        <v>-1.2</v>
      </c>
      <c r="Q432" s="7">
        <v>0.15</v>
      </c>
      <c r="R432" s="7">
        <v>0</v>
      </c>
      <c r="S432" s="7">
        <v>-0.1</v>
      </c>
      <c r="T432" s="7">
        <v>0.22</v>
      </c>
      <c r="U432" s="7">
        <v>0.05</v>
      </c>
      <c r="V432" s="7">
        <v>0.27</v>
      </c>
      <c r="W432" s="7" t="s">
        <v>8</v>
      </c>
      <c r="X432" s="7" t="s">
        <v>9</v>
      </c>
      <c r="Y432" s="2" t="s">
        <v>719</v>
      </c>
      <c r="Z432" s="2" t="s">
        <v>721</v>
      </c>
    </row>
    <row r="433" spans="1:26" x14ac:dyDescent="0.35">
      <c r="A433" s="7" t="s">
        <v>1545</v>
      </c>
      <c r="B433" s="7" t="s">
        <v>438</v>
      </c>
      <c r="C433" s="4" t="str">
        <f>_xlfn.XLOOKUP(A433,[2]Sheet2!$I$2:$I$1273,[2]Sheet2!$D$2:$D$1273,0)</f>
        <v>Q2</v>
      </c>
      <c r="D433" s="4">
        <f>_xlfn.XLOOKUP(B433,[4]Sheet2!$B$2:$B$3154,[4]Sheet2!$F$2:$F$3154,0)</f>
        <v>0</v>
      </c>
      <c r="E433" s="4" t="e">
        <f>_xlfn.XLOOKUP(B433,[2]Sheet2!$E$2:$E$713,[2]Sheet2!$G$2:$G$713)</f>
        <v>#N/A</v>
      </c>
      <c r="F433" s="18">
        <v>46065</v>
      </c>
      <c r="G433" s="14">
        <v>0.95928240740740744</v>
      </c>
      <c r="H433" s="7" t="s">
        <v>5</v>
      </c>
      <c r="I433" s="2" t="str">
        <f t="shared" si="33"/>
        <v>Q4</v>
      </c>
      <c r="J433" s="2" t="str">
        <f t="shared" si="34"/>
        <v>Not Match</v>
      </c>
      <c r="K433" s="2">
        <f t="shared" si="30"/>
        <v>0.3</v>
      </c>
      <c r="L433" s="2" t="e">
        <f t="shared" si="31"/>
        <v>#N/A</v>
      </c>
      <c r="M433" s="2" t="str">
        <f t="shared" si="32"/>
        <v>Assign quadrant hit</v>
      </c>
      <c r="N433" s="7">
        <v>16.899999999999999</v>
      </c>
      <c r="O433" s="7">
        <v>-0.6</v>
      </c>
      <c r="P433" s="7">
        <v>-2.6</v>
      </c>
      <c r="Q433" s="7">
        <v>-0.9</v>
      </c>
      <c r="R433" s="7">
        <v>0</v>
      </c>
      <c r="S433" s="7">
        <v>-0.3</v>
      </c>
      <c r="T433" s="7">
        <v>0.37</v>
      </c>
      <c r="U433" s="7">
        <v>0.21</v>
      </c>
      <c r="V433" s="7">
        <v>0.99</v>
      </c>
      <c r="W433" s="7" t="s">
        <v>13</v>
      </c>
      <c r="X433" s="7" t="s">
        <v>9</v>
      </c>
      <c r="Y433" s="2" t="s">
        <v>719</v>
      </c>
      <c r="Z433" s="2" t="s">
        <v>721</v>
      </c>
    </row>
    <row r="434" spans="1:26" x14ac:dyDescent="0.35">
      <c r="A434" s="7" t="s">
        <v>1644</v>
      </c>
      <c r="B434" s="7" t="s">
        <v>440</v>
      </c>
      <c r="C434" s="4" t="str">
        <f>_xlfn.XLOOKUP(A434,[2]Sheet2!$I$2:$I$1273,[2]Sheet2!$D$2:$D$1273,0)</f>
        <v>Q3</v>
      </c>
      <c r="D434" s="4">
        <f>_xlfn.XLOOKUP(B434,[4]Sheet2!$B$2:$B$3154,[4]Sheet2!$F$2:$F$3154,0)</f>
        <v>0</v>
      </c>
      <c r="E434" s="4" t="e">
        <f>_xlfn.XLOOKUP(B434,[2]Sheet2!$E$2:$E$713,[2]Sheet2!$G$2:$G$713)</f>
        <v>#N/A</v>
      </c>
      <c r="F434" s="18">
        <v>46066</v>
      </c>
      <c r="G434" s="14">
        <v>0.27344907407407409</v>
      </c>
      <c r="H434" s="7" t="s">
        <v>5</v>
      </c>
      <c r="I434" s="2" t="str">
        <f t="shared" si="33"/>
        <v>Q3</v>
      </c>
      <c r="J434" s="2" t="str">
        <f t="shared" si="34"/>
        <v>Match</v>
      </c>
      <c r="K434" s="2">
        <f t="shared" si="30"/>
        <v>0</v>
      </c>
      <c r="L434" s="2" t="e">
        <f t="shared" si="31"/>
        <v>#N/A</v>
      </c>
      <c r="M434" s="2" t="str">
        <f t="shared" si="32"/>
        <v>Digital Approve Hit</v>
      </c>
      <c r="N434" s="7">
        <v>31.2</v>
      </c>
      <c r="O434" s="7">
        <v>8.3000000000000007</v>
      </c>
      <c r="P434" s="7">
        <v>6.5</v>
      </c>
      <c r="Q434" s="7">
        <v>-0.43</v>
      </c>
      <c r="R434" s="7">
        <v>0</v>
      </c>
      <c r="S434" s="7">
        <v>0</v>
      </c>
      <c r="T434" s="7">
        <v>-0.03</v>
      </c>
      <c r="U434" s="7">
        <v>0.06</v>
      </c>
      <c r="V434" s="7">
        <v>0.44</v>
      </c>
      <c r="W434" s="7" t="s">
        <v>8</v>
      </c>
      <c r="X434" s="7" t="s">
        <v>12</v>
      </c>
      <c r="Y434" s="2" t="s">
        <v>719</v>
      </c>
      <c r="Z434" s="2" t="s">
        <v>721</v>
      </c>
    </row>
    <row r="435" spans="1:26" x14ac:dyDescent="0.35">
      <c r="A435" s="7" t="s">
        <v>1558</v>
      </c>
      <c r="B435" s="7" t="s">
        <v>441</v>
      </c>
      <c r="C435" s="4" t="str">
        <f>_xlfn.XLOOKUP(A435,[2]Sheet2!$I$2:$I$1273,[2]Sheet2!$D$2:$D$1273,0)</f>
        <v>Q3</v>
      </c>
      <c r="D435" s="4">
        <f>_xlfn.XLOOKUP(B435,[4]Sheet2!$B$2:$B$3154,[4]Sheet2!$F$2:$F$3154,0)</f>
        <v>0</v>
      </c>
      <c r="E435" s="4" t="e">
        <f>_xlfn.XLOOKUP(B435,[2]Sheet2!$E$2:$E$713,[2]Sheet2!$G$2:$G$713)</f>
        <v>#N/A</v>
      </c>
      <c r="F435" s="18">
        <v>46066</v>
      </c>
      <c r="G435" s="14">
        <v>0.27569444444444446</v>
      </c>
      <c r="H435" s="7" t="s">
        <v>5</v>
      </c>
      <c r="I435" s="2" t="str">
        <f t="shared" si="33"/>
        <v>Q4</v>
      </c>
      <c r="J435" s="2" t="str">
        <f t="shared" si="34"/>
        <v>Not Match</v>
      </c>
      <c r="K435" s="2">
        <f t="shared" si="30"/>
        <v>0.1</v>
      </c>
      <c r="L435" s="2" t="e">
        <f t="shared" si="31"/>
        <v>#N/A</v>
      </c>
      <c r="M435" s="2" t="str">
        <f t="shared" si="32"/>
        <v>Below 0.8 not in assigned quadrant</v>
      </c>
      <c r="N435" s="7">
        <v>14.9</v>
      </c>
      <c r="O435" s="7">
        <v>-0.5</v>
      </c>
      <c r="P435" s="7">
        <v>-2</v>
      </c>
      <c r="Q435" s="7">
        <v>-0.65</v>
      </c>
      <c r="R435" s="7">
        <v>0</v>
      </c>
      <c r="S435" s="7">
        <v>-0.1</v>
      </c>
      <c r="T435" s="7">
        <v>0.17</v>
      </c>
      <c r="U435" s="7">
        <v>0.01</v>
      </c>
      <c r="V435" s="7">
        <v>0.67</v>
      </c>
      <c r="W435" s="7" t="s">
        <v>8</v>
      </c>
      <c r="X435" s="7" t="s">
        <v>9</v>
      </c>
      <c r="Y435" s="2" t="s">
        <v>719</v>
      </c>
      <c r="Z435" s="2" t="s">
        <v>721</v>
      </c>
    </row>
    <row r="436" spans="1:26" x14ac:dyDescent="0.35">
      <c r="A436" s="7" t="s">
        <v>1645</v>
      </c>
      <c r="B436" s="7" t="s">
        <v>442</v>
      </c>
      <c r="C436" s="4" t="str">
        <f>_xlfn.XLOOKUP(A436,[2]Sheet2!$I$2:$I$1273,[2]Sheet2!$D$2:$D$1273,0)</f>
        <v>Q2</v>
      </c>
      <c r="D436" s="4">
        <f>_xlfn.XLOOKUP(B436,[4]Sheet2!$B$2:$B$3154,[4]Sheet2!$F$2:$F$3154,0)</f>
        <v>0</v>
      </c>
      <c r="E436" s="4" t="e">
        <f>_xlfn.XLOOKUP(B436,[2]Sheet2!$E$2:$E$713,[2]Sheet2!$G$2:$G$713)</f>
        <v>#N/A</v>
      </c>
      <c r="F436" s="18">
        <v>46066</v>
      </c>
      <c r="G436" s="14">
        <v>0.27685185185185185</v>
      </c>
      <c r="H436" s="7" t="s">
        <v>5</v>
      </c>
      <c r="I436" s="2" t="str">
        <f t="shared" si="33"/>
        <v>Q3</v>
      </c>
      <c r="J436" s="2" t="str">
        <f t="shared" si="34"/>
        <v>Not Match</v>
      </c>
      <c r="K436" s="2">
        <f t="shared" si="30"/>
        <v>0.14142135623730953</v>
      </c>
      <c r="L436" s="2" t="e">
        <f t="shared" si="31"/>
        <v>#N/A</v>
      </c>
      <c r="M436" s="2" t="str">
        <f t="shared" si="32"/>
        <v>Below 0.8 not in assigned quadrant</v>
      </c>
      <c r="N436" s="7">
        <v>16.5</v>
      </c>
      <c r="O436" s="7">
        <v>-1</v>
      </c>
      <c r="P436" s="7">
        <v>-2.2000000000000002</v>
      </c>
      <c r="Q436" s="7">
        <v>0.19</v>
      </c>
      <c r="R436" s="7">
        <v>-0.1</v>
      </c>
      <c r="S436" s="7">
        <v>-0.1</v>
      </c>
      <c r="T436" s="7">
        <v>0.26</v>
      </c>
      <c r="U436" s="7">
        <v>-0.04</v>
      </c>
      <c r="V436" s="7">
        <v>0.32</v>
      </c>
      <c r="W436" s="7" t="s">
        <v>8</v>
      </c>
      <c r="X436" s="7" t="s">
        <v>15</v>
      </c>
      <c r="Y436" s="2" t="s">
        <v>719</v>
      </c>
      <c r="Z436" s="2" t="s">
        <v>721</v>
      </c>
    </row>
    <row r="437" spans="1:26" x14ac:dyDescent="0.35">
      <c r="A437" s="7" t="s">
        <v>1646</v>
      </c>
      <c r="B437" s="7" t="s">
        <v>1060</v>
      </c>
      <c r="C437" s="4" t="str">
        <f>_xlfn.XLOOKUP(A437,[2]Sheet2!$I$2:$I$1273,[2]Sheet2!$D$2:$D$1273,0)</f>
        <v>Q1</v>
      </c>
      <c r="D437" s="4">
        <f>_xlfn.XLOOKUP(B437,[4]Sheet2!$B$2:$B$3154,[4]Sheet2!$F$2:$F$3154,0)</f>
        <v>0</v>
      </c>
      <c r="E437" s="4" t="e">
        <f>_xlfn.XLOOKUP(B437,[2]Sheet2!$E$2:$E$713,[2]Sheet2!$G$2:$G$713)</f>
        <v>#N/A</v>
      </c>
      <c r="F437" s="18">
        <v>46066</v>
      </c>
      <c r="G437" s="14">
        <v>0.27956018518518516</v>
      </c>
      <c r="H437" s="7" t="s">
        <v>5</v>
      </c>
      <c r="I437" s="2" t="str">
        <f t="shared" si="33"/>
        <v>Q3</v>
      </c>
      <c r="J437" s="2" t="str">
        <f t="shared" si="34"/>
        <v>Not Match</v>
      </c>
      <c r="K437" s="2">
        <f t="shared" si="30"/>
        <v>0.41231056256176613</v>
      </c>
      <c r="L437" s="2" t="e">
        <f t="shared" si="31"/>
        <v>#N/A</v>
      </c>
      <c r="M437" s="2" t="str">
        <f t="shared" si="32"/>
        <v>Below 0.8 not in assigned quadrant</v>
      </c>
      <c r="N437" s="7">
        <v>14.7</v>
      </c>
      <c r="O437" s="7">
        <v>-0.7</v>
      </c>
      <c r="P437" s="7">
        <v>-2.5</v>
      </c>
      <c r="Q437" s="7">
        <v>-0.22</v>
      </c>
      <c r="R437" s="7">
        <v>-0.1</v>
      </c>
      <c r="S437" s="7">
        <v>-0.4</v>
      </c>
      <c r="T437" s="7">
        <v>0.62</v>
      </c>
      <c r="U437" s="7">
        <v>-0.06</v>
      </c>
      <c r="V437" s="7">
        <v>0.66</v>
      </c>
      <c r="W437" s="7" t="s">
        <v>8</v>
      </c>
      <c r="X437" s="7" t="s">
        <v>15</v>
      </c>
      <c r="Y437" s="2" t="s">
        <v>719</v>
      </c>
      <c r="Z437" s="2" t="s">
        <v>721</v>
      </c>
    </row>
    <row r="438" spans="1:26" x14ac:dyDescent="0.35">
      <c r="A438" s="7" t="s">
        <v>1533</v>
      </c>
      <c r="B438" s="7" t="s">
        <v>443</v>
      </c>
      <c r="C438" s="4" t="str">
        <f>_xlfn.XLOOKUP(A438,[2]Sheet2!$I$2:$I$1273,[2]Sheet2!$D$2:$D$1273,0)</f>
        <v>Q2</v>
      </c>
      <c r="D438" s="4">
        <f>_xlfn.XLOOKUP(B438,[4]Sheet2!$B$2:$B$3154,[4]Sheet2!$F$2:$F$3154,0)</f>
        <v>0</v>
      </c>
      <c r="E438" s="4" t="e">
        <f>_xlfn.XLOOKUP(B438,[2]Sheet2!$E$2:$E$713,[2]Sheet2!$G$2:$G$713)</f>
        <v>#N/A</v>
      </c>
      <c r="F438" s="18">
        <v>46066</v>
      </c>
      <c r="G438" s="14">
        <v>0.28070601851851851</v>
      </c>
      <c r="H438" s="7" t="s">
        <v>5</v>
      </c>
      <c r="I438" s="2" t="str">
        <f t="shared" si="33"/>
        <v>Q3</v>
      </c>
      <c r="J438" s="2" t="str">
        <f t="shared" si="34"/>
        <v>Not Match</v>
      </c>
      <c r="K438" s="2">
        <f t="shared" si="30"/>
        <v>0.1</v>
      </c>
      <c r="L438" s="2" t="e">
        <f t="shared" si="31"/>
        <v>#N/A</v>
      </c>
      <c r="M438" s="2" t="str">
        <f t="shared" si="32"/>
        <v>Assign quadrant hit</v>
      </c>
      <c r="N438" s="7">
        <v>25.7</v>
      </c>
      <c r="O438" s="7">
        <v>0.5</v>
      </c>
      <c r="P438" s="7">
        <v>8.4</v>
      </c>
      <c r="Q438" s="7">
        <v>-0.91</v>
      </c>
      <c r="R438" s="7">
        <v>-0.1</v>
      </c>
      <c r="S438" s="7">
        <v>0</v>
      </c>
      <c r="T438" s="7">
        <v>0</v>
      </c>
      <c r="U438" s="7">
        <v>0.17</v>
      </c>
      <c r="V438" s="7">
        <v>0.93</v>
      </c>
      <c r="W438" s="7" t="s">
        <v>13</v>
      </c>
      <c r="X438" s="7" t="s">
        <v>15</v>
      </c>
      <c r="Y438" s="2" t="s">
        <v>719</v>
      </c>
      <c r="Z438" s="2" t="s">
        <v>721</v>
      </c>
    </row>
    <row r="439" spans="1:26" x14ac:dyDescent="0.35">
      <c r="A439" s="7" t="s">
        <v>1545</v>
      </c>
      <c r="B439" s="7" t="s">
        <v>444</v>
      </c>
      <c r="C439" s="4" t="str">
        <f>_xlfn.XLOOKUP(A439,[2]Sheet2!$I$2:$I$1273,[2]Sheet2!$D$2:$D$1273,0)</f>
        <v>Q2</v>
      </c>
      <c r="D439" s="4">
        <f>_xlfn.XLOOKUP(B439,[4]Sheet2!$B$2:$B$3154,[4]Sheet2!$F$2:$F$3154,0)</f>
        <v>0</v>
      </c>
      <c r="E439" s="4" t="e">
        <f>_xlfn.XLOOKUP(B439,[2]Sheet2!$E$2:$E$713,[2]Sheet2!$G$2:$G$713)</f>
        <v>#N/A</v>
      </c>
      <c r="F439" s="18">
        <v>46066</v>
      </c>
      <c r="G439" s="14">
        <v>0.28240740740740738</v>
      </c>
      <c r="H439" s="7" t="s">
        <v>5</v>
      </c>
      <c r="I439" s="2" t="str">
        <f t="shared" si="33"/>
        <v>Q4</v>
      </c>
      <c r="J439" s="2" t="str">
        <f t="shared" si="34"/>
        <v>Not Match</v>
      </c>
      <c r="K439" s="2">
        <f t="shared" si="30"/>
        <v>0.14142135623730953</v>
      </c>
      <c r="L439" s="2" t="e">
        <f t="shared" si="31"/>
        <v>#N/A</v>
      </c>
      <c r="M439" s="2" t="str">
        <f t="shared" si="32"/>
        <v>Below 0.8 not in assigned quadrant</v>
      </c>
      <c r="N439" s="7">
        <v>17.899999999999999</v>
      </c>
      <c r="O439" s="7">
        <v>-0.6</v>
      </c>
      <c r="P439" s="7">
        <v>-2.5</v>
      </c>
      <c r="Q439" s="7">
        <v>-0.04</v>
      </c>
      <c r="R439" s="7">
        <v>0.1</v>
      </c>
      <c r="S439" s="7">
        <v>-0.1</v>
      </c>
      <c r="T439" s="7">
        <v>0.17</v>
      </c>
      <c r="U439" s="7">
        <v>0.19</v>
      </c>
      <c r="V439" s="7">
        <v>0.25</v>
      </c>
      <c r="W439" s="7" t="s">
        <v>8</v>
      </c>
      <c r="X439" s="7" t="s">
        <v>9</v>
      </c>
      <c r="Y439" s="2" t="s">
        <v>719</v>
      </c>
      <c r="Z439" s="2" t="s">
        <v>721</v>
      </c>
    </row>
    <row r="440" spans="1:26" x14ac:dyDescent="0.35">
      <c r="A440" s="7" t="s">
        <v>1647</v>
      </c>
      <c r="B440" s="7" t="s">
        <v>445</v>
      </c>
      <c r="C440" s="4">
        <f>_xlfn.XLOOKUP(A440,[2]Sheet2!$I$2:$I$1273,[2]Sheet2!$D$2:$D$1273,0)</f>
        <v>0</v>
      </c>
      <c r="D440" s="4">
        <f>_xlfn.XLOOKUP(B440,[4]Sheet2!$B$2:$B$3154,[4]Sheet2!$F$2:$F$3154,0)</f>
        <v>0</v>
      </c>
      <c r="E440" s="4" t="e">
        <f>_xlfn.XLOOKUP(B440,[2]Sheet2!$E$2:$E$713,[2]Sheet2!$G$2:$G$713)</f>
        <v>#N/A</v>
      </c>
      <c r="F440" s="18">
        <v>46066</v>
      </c>
      <c r="G440" s="14">
        <v>0.28378472222222223</v>
      </c>
      <c r="H440" s="7" t="s">
        <v>11</v>
      </c>
      <c r="I440" s="2">
        <f t="shared" si="33"/>
        <v>0</v>
      </c>
      <c r="J440" s="2" t="str">
        <f t="shared" si="34"/>
        <v>Match</v>
      </c>
      <c r="K440" s="2">
        <f t="shared" si="30"/>
        <v>0</v>
      </c>
      <c r="L440" s="2" t="e">
        <f t="shared" si="31"/>
        <v>#N/A</v>
      </c>
      <c r="M440" s="2" t="str">
        <f t="shared" si="32"/>
        <v>Digital Approve Hit</v>
      </c>
      <c r="N440" s="7">
        <v>16.100000000000001</v>
      </c>
      <c r="O440" s="7">
        <v>-1.3</v>
      </c>
      <c r="P440" s="7">
        <v>-2.7</v>
      </c>
      <c r="Q440" s="7">
        <v>0.64</v>
      </c>
      <c r="R440" s="7">
        <v>0</v>
      </c>
      <c r="S440" s="7">
        <v>0</v>
      </c>
      <c r="T440" s="7">
        <v>-0.08</v>
      </c>
      <c r="U440" s="7">
        <v>-0.11</v>
      </c>
      <c r="V440" s="7">
        <v>0.65</v>
      </c>
      <c r="W440" s="7" t="s">
        <v>8</v>
      </c>
      <c r="X440" s="7" t="s">
        <v>15</v>
      </c>
      <c r="Y440" s="2" t="s">
        <v>719</v>
      </c>
      <c r="Z440" s="2" t="s">
        <v>721</v>
      </c>
    </row>
    <row r="441" spans="1:26" x14ac:dyDescent="0.35">
      <c r="A441" s="7" t="s">
        <v>1608</v>
      </c>
      <c r="B441" s="7" t="s">
        <v>446</v>
      </c>
      <c r="C441" s="4">
        <f>_xlfn.XLOOKUP(A441,[2]Sheet2!$I$2:$I$1273,[2]Sheet2!$D$2:$D$1273,0)</f>
        <v>0</v>
      </c>
      <c r="D441" s="4">
        <f>_xlfn.XLOOKUP(B441,[4]Sheet2!$B$2:$B$3154,[4]Sheet2!$F$2:$F$3154,0)</f>
        <v>0</v>
      </c>
      <c r="E441" s="4" t="e">
        <f>_xlfn.XLOOKUP(B441,[2]Sheet2!$E$2:$E$713,[2]Sheet2!$G$2:$G$713)</f>
        <v>#N/A</v>
      </c>
      <c r="F441" s="18">
        <v>46066</v>
      </c>
      <c r="G441" s="14">
        <v>0.28505787037037039</v>
      </c>
      <c r="H441" s="7" t="s">
        <v>5</v>
      </c>
      <c r="I441" s="2" t="str">
        <f t="shared" si="33"/>
        <v>Q1</v>
      </c>
      <c r="J441" s="2" t="str">
        <f t="shared" si="34"/>
        <v>Not Found</v>
      </c>
      <c r="K441" s="2">
        <f t="shared" si="30"/>
        <v>0.1</v>
      </c>
      <c r="L441" s="2" t="e">
        <f t="shared" si="31"/>
        <v>#N/A</v>
      </c>
      <c r="M441" s="2" t="str">
        <f t="shared" si="32"/>
        <v>Assign quadrant hit</v>
      </c>
      <c r="N441" s="7">
        <v>15.7</v>
      </c>
      <c r="O441" s="7">
        <v>-0.4</v>
      </c>
      <c r="P441" s="7">
        <v>-1.2</v>
      </c>
      <c r="Q441" s="7">
        <v>-0.04</v>
      </c>
      <c r="R441" s="7">
        <v>0</v>
      </c>
      <c r="S441" s="7">
        <v>0.1</v>
      </c>
      <c r="T441" s="7">
        <v>-0.2</v>
      </c>
      <c r="U441" s="7">
        <v>-0.05</v>
      </c>
      <c r="V441" s="7">
        <v>0.21</v>
      </c>
      <c r="W441" s="7" t="s">
        <v>8</v>
      </c>
      <c r="X441" s="7" t="s">
        <v>15</v>
      </c>
      <c r="Y441" s="2" t="s">
        <v>719</v>
      </c>
      <c r="Z441" s="2" t="s">
        <v>721</v>
      </c>
    </row>
    <row r="442" spans="1:26" x14ac:dyDescent="0.35">
      <c r="A442" s="7" t="s">
        <v>1515</v>
      </c>
      <c r="B442" s="7" t="s">
        <v>447</v>
      </c>
      <c r="C442" s="4" t="str">
        <f>_xlfn.XLOOKUP(A442,[2]Sheet2!$I$2:$I$1273,[2]Sheet2!$D$2:$D$1273,0)</f>
        <v>Q3</v>
      </c>
      <c r="D442" s="4">
        <f>_xlfn.XLOOKUP(B442,[4]Sheet2!$B$2:$B$3154,[4]Sheet2!$F$2:$F$3154,0)</f>
        <v>0</v>
      </c>
      <c r="E442" s="4" t="e">
        <f>_xlfn.XLOOKUP(B442,[2]Sheet2!$E$2:$E$713,[2]Sheet2!$G$2:$G$713)</f>
        <v>#N/A</v>
      </c>
      <c r="F442" s="18">
        <v>46066</v>
      </c>
      <c r="G442" s="14">
        <v>0.28657407407407409</v>
      </c>
      <c r="H442" s="7" t="s">
        <v>11</v>
      </c>
      <c r="I442" s="2" t="str">
        <f t="shared" si="33"/>
        <v>Q3</v>
      </c>
      <c r="J442" s="2" t="str">
        <f t="shared" si="34"/>
        <v>Match</v>
      </c>
      <c r="K442" s="2">
        <f t="shared" si="30"/>
        <v>0.50990195135927852</v>
      </c>
      <c r="L442" s="2" t="e">
        <f t="shared" si="31"/>
        <v>#N/A</v>
      </c>
      <c r="M442" s="2" t="str">
        <f t="shared" si="32"/>
        <v>Failed but within quadrant</v>
      </c>
      <c r="N442" s="7">
        <v>13.5</v>
      </c>
      <c r="O442" s="7">
        <v>-0.4</v>
      </c>
      <c r="P442" s="7">
        <v>-2.6</v>
      </c>
      <c r="Q442" s="7">
        <v>-0.44</v>
      </c>
      <c r="R442" s="7">
        <v>-0.1</v>
      </c>
      <c r="S442" s="7">
        <v>-0.5</v>
      </c>
      <c r="T442" s="7">
        <v>0.72</v>
      </c>
      <c r="U442" s="7">
        <v>-0.05</v>
      </c>
      <c r="V442" s="7">
        <v>0.85</v>
      </c>
      <c r="W442" s="7" t="s">
        <v>13</v>
      </c>
      <c r="X442" s="7" t="s">
        <v>15</v>
      </c>
      <c r="Y442" s="2" t="s">
        <v>719</v>
      </c>
      <c r="Z442" s="2" t="s">
        <v>721</v>
      </c>
    </row>
    <row r="443" spans="1:26" x14ac:dyDescent="0.35">
      <c r="A443" s="7" t="s">
        <v>1648</v>
      </c>
      <c r="B443" s="7" t="s">
        <v>448</v>
      </c>
      <c r="C443" s="4">
        <f>_xlfn.XLOOKUP(A443,[2]Sheet2!$I$2:$I$1273,[2]Sheet2!$D$2:$D$1273,0)</f>
        <v>0</v>
      </c>
      <c r="D443" s="4">
        <f>_xlfn.XLOOKUP(B443,[4]Sheet2!$B$2:$B$3154,[4]Sheet2!$F$2:$F$3154,0)</f>
        <v>0</v>
      </c>
      <c r="E443" s="4" t="e">
        <f>_xlfn.XLOOKUP(B443,[2]Sheet2!$E$2:$E$713,[2]Sheet2!$G$2:$G$713)</f>
        <v>#N/A</v>
      </c>
      <c r="F443" s="18">
        <v>46066</v>
      </c>
      <c r="G443" s="14">
        <v>0.28782407407407407</v>
      </c>
      <c r="H443" s="7" t="s">
        <v>5</v>
      </c>
      <c r="I443" s="2" t="str">
        <f t="shared" si="33"/>
        <v>Q1</v>
      </c>
      <c r="J443" s="2" t="str">
        <f t="shared" si="34"/>
        <v>Not Found</v>
      </c>
      <c r="K443" s="2">
        <f t="shared" si="30"/>
        <v>1.019803902718557</v>
      </c>
      <c r="L443" s="2" t="e">
        <f t="shared" si="31"/>
        <v>#N/A</v>
      </c>
      <c r="M443" s="2" t="str">
        <f t="shared" si="32"/>
        <v>Assign quadrant hit</v>
      </c>
      <c r="N443" s="7">
        <v>26.6</v>
      </c>
      <c r="O443" s="7">
        <v>21.2</v>
      </c>
      <c r="P443" s="7">
        <v>5.8</v>
      </c>
      <c r="Q443" s="7">
        <v>-0.43</v>
      </c>
      <c r="R443" s="7">
        <v>0.2</v>
      </c>
      <c r="S443" s="7">
        <v>1</v>
      </c>
      <c r="T443" s="7">
        <v>0.27</v>
      </c>
      <c r="U443" s="7">
        <v>0.89</v>
      </c>
      <c r="V443" s="7">
        <v>1.02</v>
      </c>
      <c r="W443" s="7" t="s">
        <v>6</v>
      </c>
      <c r="X443" s="7" t="s">
        <v>12</v>
      </c>
      <c r="Y443" s="2" t="s">
        <v>719</v>
      </c>
      <c r="Z443" s="2" t="s">
        <v>721</v>
      </c>
    </row>
    <row r="444" spans="1:26" x14ac:dyDescent="0.35">
      <c r="A444" s="7" t="s">
        <v>1520</v>
      </c>
      <c r="B444" s="7" t="s">
        <v>449</v>
      </c>
      <c r="C444" s="4" t="str">
        <f>_xlfn.XLOOKUP(A444,[2]Sheet2!$I$2:$I$1273,[2]Sheet2!$D$2:$D$1273,0)</f>
        <v>Q1</v>
      </c>
      <c r="D444" s="4">
        <f>_xlfn.XLOOKUP(B444,[4]Sheet2!$B$2:$B$3154,[4]Sheet2!$F$2:$F$3154,0)</f>
        <v>0</v>
      </c>
      <c r="E444" s="4">
        <f>_xlfn.XLOOKUP(B444,[2]Sheet2!$E$2:$E$713,[2]Sheet2!$G$2:$G$713)</f>
        <v>0.8</v>
      </c>
      <c r="F444" s="18">
        <v>46066</v>
      </c>
      <c r="G444" s="14">
        <v>0.28908564814814813</v>
      </c>
      <c r="H444" s="7" t="s">
        <v>11</v>
      </c>
      <c r="I444" s="2" t="str">
        <f t="shared" si="33"/>
        <v>Q1</v>
      </c>
      <c r="J444" s="2" t="str">
        <f t="shared" si="34"/>
        <v>Match</v>
      </c>
      <c r="K444" s="2">
        <f t="shared" si="30"/>
        <v>0.36055512754639896</v>
      </c>
      <c r="L444" s="2" t="str">
        <f t="shared" si="31"/>
        <v>Within Range</v>
      </c>
      <c r="M444" s="2" t="str">
        <f t="shared" si="32"/>
        <v>Digital Approve Hit</v>
      </c>
      <c r="N444" s="7">
        <v>25.7</v>
      </c>
      <c r="O444" s="7">
        <v>6.7</v>
      </c>
      <c r="P444" s="7">
        <v>8.4</v>
      </c>
      <c r="Q444" s="7">
        <v>-0.57999999999999996</v>
      </c>
      <c r="R444" s="7">
        <v>0.3</v>
      </c>
      <c r="S444" s="7">
        <v>0.2</v>
      </c>
      <c r="T444" s="7">
        <v>0.34</v>
      </c>
      <c r="U444" s="7">
        <v>-0.18</v>
      </c>
      <c r="V444" s="7">
        <v>0.69</v>
      </c>
      <c r="W444" s="7" t="s">
        <v>8</v>
      </c>
      <c r="X444" s="7" t="s">
        <v>9</v>
      </c>
      <c r="Y444" s="2" t="s">
        <v>719</v>
      </c>
      <c r="Z444" s="2" t="s">
        <v>721</v>
      </c>
    </row>
    <row r="445" spans="1:26" x14ac:dyDescent="0.35">
      <c r="A445" s="7" t="s">
        <v>1639</v>
      </c>
      <c r="B445" s="7" t="s">
        <v>450</v>
      </c>
      <c r="C445" s="4">
        <f>_xlfn.XLOOKUP(A445,[2]Sheet2!$I$2:$I$1273,[2]Sheet2!$D$2:$D$1273,0)</f>
        <v>0</v>
      </c>
      <c r="D445" s="4">
        <f>_xlfn.XLOOKUP(B445,[4]Sheet2!$B$2:$B$3154,[4]Sheet2!$F$2:$F$3154,0)</f>
        <v>0</v>
      </c>
      <c r="E445" s="4" t="e">
        <f>_xlfn.XLOOKUP(B445,[2]Sheet2!$E$2:$E$713,[2]Sheet2!$G$2:$G$713)</f>
        <v>#N/A</v>
      </c>
      <c r="F445" s="18">
        <v>46066</v>
      </c>
      <c r="G445" s="14">
        <v>0.42712962962962964</v>
      </c>
      <c r="H445" s="7" t="s">
        <v>11</v>
      </c>
      <c r="I445" s="2" t="str">
        <f t="shared" si="33"/>
        <v>Q2</v>
      </c>
      <c r="J445" s="2" t="str">
        <f t="shared" si="34"/>
        <v>Not Found</v>
      </c>
      <c r="K445" s="2">
        <f t="shared" si="30"/>
        <v>0.14142135623730953</v>
      </c>
      <c r="L445" s="2" t="e">
        <f t="shared" si="31"/>
        <v>#N/A</v>
      </c>
      <c r="M445" s="2" t="str">
        <f t="shared" si="32"/>
        <v>Assign quadrant hit</v>
      </c>
      <c r="N445" s="7">
        <v>14.2</v>
      </c>
      <c r="O445" s="7">
        <v>-0.9</v>
      </c>
      <c r="P445" s="7">
        <v>-1.5</v>
      </c>
      <c r="Q445" s="7">
        <v>-0.68</v>
      </c>
      <c r="R445" s="7">
        <v>-0.1</v>
      </c>
      <c r="S445" s="7">
        <v>0.1</v>
      </c>
      <c r="T445" s="7">
        <v>-0.11</v>
      </c>
      <c r="U445" s="7">
        <v>-0.31</v>
      </c>
      <c r="V445" s="7">
        <v>0.76</v>
      </c>
      <c r="W445" s="7" t="s">
        <v>13</v>
      </c>
      <c r="X445" s="7" t="s">
        <v>15</v>
      </c>
      <c r="Y445" s="2" t="s">
        <v>719</v>
      </c>
      <c r="Z445" s="2" t="s">
        <v>721</v>
      </c>
    </row>
    <row r="446" spans="1:26" x14ac:dyDescent="0.35">
      <c r="A446" s="7" t="s">
        <v>1540</v>
      </c>
      <c r="B446" s="7" t="s">
        <v>451</v>
      </c>
      <c r="C446" s="4" t="str">
        <f>_xlfn.XLOOKUP(A446,[2]Sheet2!$I$2:$I$1273,[2]Sheet2!$D$2:$D$1273,0)</f>
        <v>Q3</v>
      </c>
      <c r="D446" s="4">
        <f>_xlfn.XLOOKUP(B446,[4]Sheet2!$B$2:$B$3154,[4]Sheet2!$F$2:$F$3154,0)</f>
        <v>0</v>
      </c>
      <c r="E446" s="4">
        <f>_xlfn.XLOOKUP(B446,[2]Sheet2!$E$2:$E$713,[2]Sheet2!$G$2:$G$713)</f>
        <v>0.8</v>
      </c>
      <c r="F446" s="18">
        <v>46066</v>
      </c>
      <c r="G446" s="14">
        <v>0.56211805555555561</v>
      </c>
      <c r="H446" s="7" t="s">
        <v>11</v>
      </c>
      <c r="I446" s="2" t="str">
        <f t="shared" si="33"/>
        <v>Q1</v>
      </c>
      <c r="J446" s="2" t="str">
        <f t="shared" si="34"/>
        <v>Not Match</v>
      </c>
      <c r="K446" s="2">
        <f t="shared" si="30"/>
        <v>0.28284271247461906</v>
      </c>
      <c r="L446" s="2" t="str">
        <f t="shared" si="31"/>
        <v>Within Range</v>
      </c>
      <c r="M446" s="2" t="str">
        <f t="shared" si="32"/>
        <v>Below 0.8 not in assigned quadrant</v>
      </c>
      <c r="N446" s="7">
        <v>14.1</v>
      </c>
      <c r="O446" s="7">
        <v>-0.4</v>
      </c>
      <c r="P446" s="7">
        <v>-1.7</v>
      </c>
      <c r="Q446" s="7">
        <v>0.11</v>
      </c>
      <c r="R446" s="7">
        <v>0.2</v>
      </c>
      <c r="S446" s="7">
        <v>0.2</v>
      </c>
      <c r="T446" s="7">
        <v>-0.46</v>
      </c>
      <c r="U446" s="7">
        <v>0.2</v>
      </c>
      <c r="V446" s="7">
        <v>0.51</v>
      </c>
      <c r="W446" s="7" t="s">
        <v>8</v>
      </c>
      <c r="X446" s="7" t="s">
        <v>9</v>
      </c>
      <c r="Y446" s="2" t="s">
        <v>719</v>
      </c>
      <c r="Z446" s="2" t="s">
        <v>721</v>
      </c>
    </row>
    <row r="447" spans="1:26" x14ac:dyDescent="0.35">
      <c r="A447" s="7" t="s">
        <v>1545</v>
      </c>
      <c r="B447" s="7" t="s">
        <v>452</v>
      </c>
      <c r="C447" s="4" t="str">
        <f>_xlfn.XLOOKUP(A447,[2]Sheet2!$I$2:$I$1273,[2]Sheet2!$D$2:$D$1273,0)</f>
        <v>Q2</v>
      </c>
      <c r="D447" s="4">
        <f>_xlfn.XLOOKUP(B447,[4]Sheet2!$B$2:$B$3154,[4]Sheet2!$F$2:$F$3154,0)</f>
        <v>0</v>
      </c>
      <c r="E447" s="4" t="e">
        <f>_xlfn.XLOOKUP(B447,[2]Sheet2!$E$2:$E$713,[2]Sheet2!$G$2:$G$713)</f>
        <v>#N/A</v>
      </c>
      <c r="F447" s="18">
        <v>46066</v>
      </c>
      <c r="G447" s="14">
        <v>0.57118055555555558</v>
      </c>
      <c r="H447" s="7" t="s">
        <v>5</v>
      </c>
      <c r="I447" s="2" t="str">
        <f t="shared" si="33"/>
        <v>Q4</v>
      </c>
      <c r="J447" s="2" t="str">
        <f t="shared" si="34"/>
        <v>Not Match</v>
      </c>
      <c r="K447" s="2">
        <f t="shared" si="30"/>
        <v>0.2</v>
      </c>
      <c r="L447" s="2" t="e">
        <f t="shared" si="31"/>
        <v>#N/A</v>
      </c>
      <c r="M447" s="2" t="str">
        <f t="shared" si="32"/>
        <v>Below 0.8 not in assigned quadrant</v>
      </c>
      <c r="N447" s="7">
        <v>17.8</v>
      </c>
      <c r="O447" s="7">
        <v>-0.6</v>
      </c>
      <c r="P447" s="7">
        <v>-2.6</v>
      </c>
      <c r="Q447" s="7">
        <v>-0.15</v>
      </c>
      <c r="R447" s="7">
        <v>0</v>
      </c>
      <c r="S447" s="7">
        <v>-0.2</v>
      </c>
      <c r="T447" s="7">
        <v>0.28000000000000003</v>
      </c>
      <c r="U447" s="7">
        <v>0.13</v>
      </c>
      <c r="V447" s="7">
        <v>0.35</v>
      </c>
      <c r="W447" s="7" t="s">
        <v>8</v>
      </c>
      <c r="X447" s="7" t="s">
        <v>9</v>
      </c>
      <c r="Y447" s="2" t="s">
        <v>719</v>
      </c>
      <c r="Z447" s="2" t="s">
        <v>721</v>
      </c>
    </row>
    <row r="448" spans="1:26" x14ac:dyDescent="0.35">
      <c r="A448" s="7" t="s">
        <v>1634</v>
      </c>
      <c r="B448" s="7" t="s">
        <v>453</v>
      </c>
      <c r="C448" s="4">
        <f>_xlfn.XLOOKUP(A448,[2]Sheet2!$I$2:$I$1273,[2]Sheet2!$D$2:$D$1273,0)</f>
        <v>0</v>
      </c>
      <c r="D448" s="4">
        <f>_xlfn.XLOOKUP(B448,[4]Sheet2!$B$2:$B$3154,[4]Sheet2!$F$2:$F$3154,0)</f>
        <v>0</v>
      </c>
      <c r="E448" s="4" t="e">
        <f>_xlfn.XLOOKUP(B448,[2]Sheet2!$E$2:$E$713,[2]Sheet2!$G$2:$G$713)</f>
        <v>#N/A</v>
      </c>
      <c r="F448" s="18">
        <v>46066</v>
      </c>
      <c r="G448" s="14">
        <v>0.67377314814814815</v>
      </c>
      <c r="H448" s="7" t="s">
        <v>11</v>
      </c>
      <c r="I448" s="2" t="str">
        <f t="shared" si="33"/>
        <v>Q3</v>
      </c>
      <c r="J448" s="2" t="str">
        <f t="shared" si="34"/>
        <v>Not Found</v>
      </c>
      <c r="K448" s="2">
        <f t="shared" ref="K448:K510" si="35">SQRT(R448^2+S448^2)</f>
        <v>0.22360679774997899</v>
      </c>
      <c r="L448" s="2" t="e">
        <f t="shared" ref="L448:L510" si="36">IF(K448&lt;=E448,"Within Range","Over Range")</f>
        <v>#N/A</v>
      </c>
      <c r="M448" s="2" t="str">
        <f t="shared" ref="M448:M510" si="37">IF(AND(J448="Match",V448&lt;=0.8),"Digital Approve Hit",
IF(AND(J448="Match",V448&gt;0.8),"Failed but within quadrant",
IF(AND(J448="Not Match",V448&lt;=0.8),"Below 0.8 not in assigned quadrant",
"Assign quadrant hit")))</f>
        <v>Assign quadrant hit</v>
      </c>
      <c r="N448" s="7">
        <v>55.6</v>
      </c>
      <c r="O448" s="7">
        <v>37.200000000000003</v>
      </c>
      <c r="P448" s="7">
        <v>-17.100000000000001</v>
      </c>
      <c r="Q448" s="7">
        <v>0.03</v>
      </c>
      <c r="R448" s="7">
        <v>-0.1</v>
      </c>
      <c r="S448" s="7">
        <v>-0.2</v>
      </c>
      <c r="T448" s="7">
        <v>0</v>
      </c>
      <c r="U448" s="7">
        <v>-0.19</v>
      </c>
      <c r="V448" s="7">
        <v>0.19</v>
      </c>
      <c r="W448" s="7" t="s">
        <v>8</v>
      </c>
      <c r="X448" s="7" t="s">
        <v>7</v>
      </c>
      <c r="Y448" s="2" t="s">
        <v>719</v>
      </c>
      <c r="Z448" s="2" t="s">
        <v>721</v>
      </c>
    </row>
    <row r="449" spans="1:26" x14ac:dyDescent="0.35">
      <c r="A449" s="7" t="s">
        <v>1649</v>
      </c>
      <c r="B449" s="7" t="s">
        <v>454</v>
      </c>
      <c r="C449" s="4" t="str">
        <f>_xlfn.XLOOKUP(A449,[2]Sheet2!$I$2:$I$1273,[2]Sheet2!$D$2:$D$1273,0)</f>
        <v>Q4</v>
      </c>
      <c r="D449" s="4">
        <f>_xlfn.XLOOKUP(B449,[4]Sheet2!$B$2:$B$3154,[4]Sheet2!$F$2:$F$3154,0)</f>
        <v>0</v>
      </c>
      <c r="E449" s="4" t="e">
        <f>_xlfn.XLOOKUP(B449,[2]Sheet2!$E$2:$E$713,[2]Sheet2!$G$2:$G$713)</f>
        <v>#N/A</v>
      </c>
      <c r="F449" s="18">
        <v>46066</v>
      </c>
      <c r="G449" s="14">
        <v>0.68380787037037039</v>
      </c>
      <c r="H449" s="7" t="s">
        <v>4</v>
      </c>
      <c r="I449" s="2" t="str">
        <f t="shared" ref="I449:I511" si="38">IF(AND(R449=0,S449=0),IF(C449="","Origin",C449),
IF(AND(R449&gt;0,S449=0),"Q4",
IF(AND(R449&lt;0,S449=0),"Q3",
IF(AND(R449&gt;=0,S449&lt;0),"Q4",
IF(AND(R449&gt;=0,S449&gt;0),"Q1",
IF(AND(R449&lt;0,S449&lt;=0),"Q3",
IF(AND(R449&lt;0,S449&gt;0),"Q2",
"")))))))</f>
        <v>Q3</v>
      </c>
      <c r="J449" s="2" t="str">
        <f t="shared" si="34"/>
        <v>Not Match</v>
      </c>
      <c r="K449" s="2">
        <f t="shared" si="35"/>
        <v>0.4</v>
      </c>
      <c r="L449" s="2" t="e">
        <f t="shared" si="36"/>
        <v>#N/A</v>
      </c>
      <c r="M449" s="2" t="str">
        <f t="shared" si="37"/>
        <v>Below 0.8 not in assigned quadrant</v>
      </c>
      <c r="N449" s="7">
        <v>32.700000000000003</v>
      </c>
      <c r="O449" s="7">
        <v>-4.0999999999999996</v>
      </c>
      <c r="P449" s="7">
        <v>-12.9</v>
      </c>
      <c r="Q449" s="7">
        <v>0.45</v>
      </c>
      <c r="R449" s="7">
        <v>-0.4</v>
      </c>
      <c r="S449" s="7">
        <v>0</v>
      </c>
      <c r="T449" s="7">
        <v>0.12</v>
      </c>
      <c r="U449" s="7">
        <v>-0.48</v>
      </c>
      <c r="V449" s="7">
        <v>0.67</v>
      </c>
      <c r="W449" s="7" t="s">
        <v>8</v>
      </c>
      <c r="X449" s="7" t="s">
        <v>15</v>
      </c>
      <c r="Y449" s="2" t="s">
        <v>719</v>
      </c>
      <c r="Z449" s="2" t="s">
        <v>721</v>
      </c>
    </row>
    <row r="450" spans="1:26" x14ac:dyDescent="0.35">
      <c r="A450" s="7" t="s">
        <v>1515</v>
      </c>
      <c r="B450" s="7" t="s">
        <v>455</v>
      </c>
      <c r="C450" s="4" t="str">
        <f>_xlfn.XLOOKUP(A450,[2]Sheet2!$I$2:$I$1273,[2]Sheet2!$D$2:$D$1273,0)</f>
        <v>Q3</v>
      </c>
      <c r="D450" s="4">
        <f>_xlfn.XLOOKUP(B450,[4]Sheet2!$B$2:$B$3154,[4]Sheet2!$F$2:$F$3154,0)</f>
        <v>0</v>
      </c>
      <c r="E450" s="4" t="e">
        <f>_xlfn.XLOOKUP(B450,[2]Sheet2!$E$2:$E$713,[2]Sheet2!$G$2:$G$713)</f>
        <v>#N/A</v>
      </c>
      <c r="F450" s="18">
        <v>46066</v>
      </c>
      <c r="G450" s="14">
        <v>0.68668981481481484</v>
      </c>
      <c r="H450" s="7" t="s">
        <v>11</v>
      </c>
      <c r="I450" s="2" t="str">
        <f t="shared" si="38"/>
        <v>Q3</v>
      </c>
      <c r="J450" s="2" t="str">
        <f t="shared" si="34"/>
        <v>Match</v>
      </c>
      <c r="K450" s="2">
        <f t="shared" si="35"/>
        <v>0.22360679774997899</v>
      </c>
      <c r="L450" s="2" t="e">
        <f t="shared" si="36"/>
        <v>#N/A</v>
      </c>
      <c r="M450" s="2" t="str">
        <f t="shared" si="37"/>
        <v>Digital Approve Hit</v>
      </c>
      <c r="N450" s="7">
        <v>13.8</v>
      </c>
      <c r="O450" s="7">
        <v>-0.4</v>
      </c>
      <c r="P450" s="7">
        <v>-2.2000000000000002</v>
      </c>
      <c r="Q450" s="7">
        <v>-0.17</v>
      </c>
      <c r="R450" s="7">
        <v>-0.1</v>
      </c>
      <c r="S450" s="7">
        <v>-0.2</v>
      </c>
      <c r="T450" s="7">
        <v>0.31</v>
      </c>
      <c r="U450" s="7">
        <v>-0.1</v>
      </c>
      <c r="V450" s="7">
        <v>0.37</v>
      </c>
      <c r="W450" s="7" t="s">
        <v>8</v>
      </c>
      <c r="X450" s="7" t="s">
        <v>15</v>
      </c>
      <c r="Y450" s="2" t="s">
        <v>719</v>
      </c>
      <c r="Z450" s="2" t="s">
        <v>721</v>
      </c>
    </row>
    <row r="451" spans="1:26" x14ac:dyDescent="0.35">
      <c r="A451" s="7" t="s">
        <v>1650</v>
      </c>
      <c r="B451" s="7" t="s">
        <v>456</v>
      </c>
      <c r="C451" s="4">
        <f>_xlfn.XLOOKUP(A451,[2]Sheet2!$I$2:$I$1273,[2]Sheet2!$D$2:$D$1273,0)</f>
        <v>0</v>
      </c>
      <c r="D451" s="4">
        <f>_xlfn.XLOOKUP(B451,[4]Sheet2!$B$2:$B$3154,[4]Sheet2!$F$2:$F$3154,0)</f>
        <v>0</v>
      </c>
      <c r="E451" s="4" t="e">
        <f>_xlfn.XLOOKUP(B451,[2]Sheet2!$E$2:$E$713,[2]Sheet2!$G$2:$G$713)</f>
        <v>#N/A</v>
      </c>
      <c r="F451" s="18">
        <v>46066</v>
      </c>
      <c r="G451" s="14">
        <v>0.689849537037037</v>
      </c>
      <c r="H451" s="7" t="s">
        <v>5</v>
      </c>
      <c r="I451" s="2" t="str">
        <f t="shared" si="38"/>
        <v>Q4</v>
      </c>
      <c r="J451" s="2" t="str">
        <f t="shared" ref="J451:J514" si="39">IF(I451=C451,"Match",IF(C451=0,"Not Found","Not Match"))</f>
        <v>Not Found</v>
      </c>
      <c r="K451" s="2">
        <f t="shared" si="35"/>
        <v>0.3</v>
      </c>
      <c r="L451" s="2" t="e">
        <f t="shared" si="36"/>
        <v>#N/A</v>
      </c>
      <c r="M451" s="2" t="str">
        <f t="shared" si="37"/>
        <v>Assign quadrant hit</v>
      </c>
      <c r="N451" s="7">
        <v>16.100000000000001</v>
      </c>
      <c r="O451" s="7">
        <v>-0.6</v>
      </c>
      <c r="P451" s="7">
        <v>-3</v>
      </c>
      <c r="Q451" s="7">
        <v>0.18</v>
      </c>
      <c r="R451" s="7">
        <v>0</v>
      </c>
      <c r="S451" s="7">
        <v>-0.3</v>
      </c>
      <c r="T451" s="7">
        <v>0.37</v>
      </c>
      <c r="U451" s="7">
        <v>0.17</v>
      </c>
      <c r="V451" s="7">
        <v>0.45</v>
      </c>
      <c r="W451" s="7" t="s">
        <v>8</v>
      </c>
      <c r="X451" s="7" t="s">
        <v>9</v>
      </c>
      <c r="Y451" s="2" t="s">
        <v>719</v>
      </c>
      <c r="Z451" s="2" t="s">
        <v>721</v>
      </c>
    </row>
    <row r="452" spans="1:26" x14ac:dyDescent="0.35">
      <c r="A452" s="7" t="s">
        <v>1572</v>
      </c>
      <c r="B452" s="7" t="s">
        <v>458</v>
      </c>
      <c r="C452" s="4" t="str">
        <f>_xlfn.XLOOKUP(A452,[2]Sheet2!$I$2:$I$1273,[2]Sheet2!$D$2:$D$1273,0)</f>
        <v>Q3</v>
      </c>
      <c r="D452" s="4">
        <f>_xlfn.XLOOKUP(B452,[4]Sheet2!$B$2:$B$3154,[4]Sheet2!$F$2:$F$3154,0)</f>
        <v>0</v>
      </c>
      <c r="E452" s="4" t="e">
        <f>_xlfn.XLOOKUP(B452,[2]Sheet2!$E$2:$E$713,[2]Sheet2!$G$2:$G$713)</f>
        <v>#N/A</v>
      </c>
      <c r="F452" s="18">
        <v>46066</v>
      </c>
      <c r="G452" s="14">
        <v>0.77402777777777776</v>
      </c>
      <c r="H452" s="7" t="s">
        <v>5</v>
      </c>
      <c r="I452" s="2" t="str">
        <f t="shared" si="38"/>
        <v>Q4</v>
      </c>
      <c r="J452" s="2" t="str">
        <f t="shared" si="39"/>
        <v>Not Match</v>
      </c>
      <c r="K452" s="2">
        <f t="shared" si="35"/>
        <v>0.28284271247461906</v>
      </c>
      <c r="L452" s="2" t="e">
        <f t="shared" si="36"/>
        <v>#N/A</v>
      </c>
      <c r="M452" s="2" t="str">
        <f t="shared" si="37"/>
        <v>Assign quadrant hit</v>
      </c>
      <c r="N452" s="7">
        <v>15.6</v>
      </c>
      <c r="O452" s="7">
        <v>-0.5</v>
      </c>
      <c r="P452" s="7">
        <v>-2.5</v>
      </c>
      <c r="Q452" s="7">
        <v>-0.83</v>
      </c>
      <c r="R452" s="7">
        <v>0.2</v>
      </c>
      <c r="S452" s="7">
        <v>-0.2</v>
      </c>
      <c r="T452" s="7">
        <v>0.28999999999999998</v>
      </c>
      <c r="U452" s="7">
        <v>0.35</v>
      </c>
      <c r="V452" s="7">
        <v>0.95</v>
      </c>
      <c r="W452" s="7" t="s">
        <v>13</v>
      </c>
      <c r="X452" s="7" t="s">
        <v>9</v>
      </c>
      <c r="Y452" s="2" t="s">
        <v>719</v>
      </c>
      <c r="Z452" s="2" t="s">
        <v>721</v>
      </c>
    </row>
    <row r="453" spans="1:26" x14ac:dyDescent="0.35">
      <c r="A453" s="7" t="s">
        <v>1515</v>
      </c>
      <c r="B453" s="7" t="s">
        <v>459</v>
      </c>
      <c r="C453" s="4" t="str">
        <f>_xlfn.XLOOKUP(A453,[2]Sheet2!$I$2:$I$1273,[2]Sheet2!$D$2:$D$1273,0)</f>
        <v>Q3</v>
      </c>
      <c r="D453" s="4">
        <f>_xlfn.XLOOKUP(B453,[4]Sheet2!$B$2:$B$3154,[4]Sheet2!$F$2:$F$3154,0)</f>
        <v>0</v>
      </c>
      <c r="E453" s="4" t="e">
        <f>_xlfn.XLOOKUP(B453,[2]Sheet2!$E$2:$E$713,[2]Sheet2!$G$2:$G$713)</f>
        <v>#N/A</v>
      </c>
      <c r="F453" s="18">
        <v>46066</v>
      </c>
      <c r="G453" s="14">
        <v>0.77650462962962963</v>
      </c>
      <c r="H453" s="7" t="s">
        <v>11</v>
      </c>
      <c r="I453" s="2" t="str">
        <f t="shared" si="38"/>
        <v>Q1</v>
      </c>
      <c r="J453" s="2" t="str">
        <f t="shared" si="39"/>
        <v>Not Match</v>
      </c>
      <c r="K453" s="2">
        <f t="shared" si="35"/>
        <v>0.2</v>
      </c>
      <c r="L453" s="2" t="e">
        <f t="shared" si="36"/>
        <v>#N/A</v>
      </c>
      <c r="M453" s="2" t="str">
        <f t="shared" si="37"/>
        <v>Below 0.8 not in assigned quadrant</v>
      </c>
      <c r="N453" s="7">
        <v>13.5</v>
      </c>
      <c r="O453" s="7">
        <v>-0.3</v>
      </c>
      <c r="P453" s="7">
        <v>-1.8</v>
      </c>
      <c r="Q453" s="7">
        <v>-0.45</v>
      </c>
      <c r="R453" s="7">
        <v>0</v>
      </c>
      <c r="S453" s="7">
        <v>0.2</v>
      </c>
      <c r="T453" s="7">
        <v>-0.27</v>
      </c>
      <c r="U453" s="7">
        <v>-0.02</v>
      </c>
      <c r="V453" s="7">
        <v>0.52</v>
      </c>
      <c r="W453" s="7" t="s">
        <v>8</v>
      </c>
      <c r="X453" s="7" t="s">
        <v>15</v>
      </c>
      <c r="Y453" s="2" t="s">
        <v>719</v>
      </c>
      <c r="Z453" s="2" t="s">
        <v>721</v>
      </c>
    </row>
    <row r="454" spans="1:26" x14ac:dyDescent="0.35">
      <c r="A454" s="7" t="s">
        <v>1651</v>
      </c>
      <c r="B454" s="7" t="s">
        <v>460</v>
      </c>
      <c r="C454" s="4">
        <f>_xlfn.XLOOKUP(A454,[2]Sheet2!$I$2:$I$1273,[2]Sheet2!$D$2:$D$1273,0)</f>
        <v>0</v>
      </c>
      <c r="D454" s="4">
        <f>_xlfn.XLOOKUP(B454,[4]Sheet2!$B$2:$B$3154,[4]Sheet2!$F$2:$F$3154,0)</f>
        <v>0</v>
      </c>
      <c r="E454" s="4" t="e">
        <f>_xlfn.XLOOKUP(B454,[2]Sheet2!$E$2:$E$713,[2]Sheet2!$G$2:$G$713)</f>
        <v>#N/A</v>
      </c>
      <c r="F454" s="18">
        <v>46066</v>
      </c>
      <c r="G454" s="14">
        <v>0.7787384259259259</v>
      </c>
      <c r="H454" s="7" t="s">
        <v>5</v>
      </c>
      <c r="I454" s="2" t="str">
        <f t="shared" si="38"/>
        <v>Q2</v>
      </c>
      <c r="J454" s="2" t="str">
        <f t="shared" si="39"/>
        <v>Not Found</v>
      </c>
      <c r="K454" s="2">
        <f t="shared" si="35"/>
        <v>0.22360679774997899</v>
      </c>
      <c r="L454" s="2" t="e">
        <f t="shared" si="36"/>
        <v>#N/A</v>
      </c>
      <c r="M454" s="2" t="str">
        <f t="shared" si="37"/>
        <v>Assign quadrant hit</v>
      </c>
      <c r="N454" s="7">
        <v>18.399999999999999</v>
      </c>
      <c r="O454" s="7">
        <v>0</v>
      </c>
      <c r="P454" s="7">
        <v>-1.9</v>
      </c>
      <c r="Q454" s="7">
        <v>0.54</v>
      </c>
      <c r="R454" s="7">
        <v>-0.1</v>
      </c>
      <c r="S454" s="7">
        <v>0.2</v>
      </c>
      <c r="T454" s="7">
        <v>-0.28000000000000003</v>
      </c>
      <c r="U454" s="7">
        <v>-0.25</v>
      </c>
      <c r="V454" s="7">
        <v>0.66</v>
      </c>
      <c r="W454" s="7" t="s">
        <v>8</v>
      </c>
      <c r="X454" s="7" t="s">
        <v>15</v>
      </c>
      <c r="Y454" s="2" t="s">
        <v>719</v>
      </c>
      <c r="Z454" s="2" t="s">
        <v>721</v>
      </c>
    </row>
    <row r="455" spans="1:26" x14ac:dyDescent="0.35">
      <c r="A455" s="7" t="s">
        <v>1505</v>
      </c>
      <c r="B455" s="7" t="s">
        <v>461</v>
      </c>
      <c r="C455" s="4" t="str">
        <f>_xlfn.XLOOKUP(A455,[2]Sheet2!$I$2:$I$1273,[2]Sheet2!$D$2:$D$1273,0)</f>
        <v>Q4</v>
      </c>
      <c r="D455" s="4">
        <f>_xlfn.XLOOKUP(B455,[4]Sheet2!$B$2:$B$3154,[4]Sheet2!$F$2:$F$3154,0)</f>
        <v>0</v>
      </c>
      <c r="E455" s="4" t="e">
        <f>_xlfn.XLOOKUP(B455,[2]Sheet2!$E$2:$E$713,[2]Sheet2!$G$2:$G$713)</f>
        <v>#N/A</v>
      </c>
      <c r="F455" s="18">
        <v>46066</v>
      </c>
      <c r="G455" s="14">
        <v>0.77998842592592588</v>
      </c>
      <c r="H455" s="7" t="s">
        <v>4</v>
      </c>
      <c r="I455" s="2" t="str">
        <f t="shared" si="38"/>
        <v>Q2</v>
      </c>
      <c r="J455" s="2" t="str">
        <f t="shared" si="39"/>
        <v>Not Match</v>
      </c>
      <c r="K455" s="2">
        <f t="shared" si="35"/>
        <v>0.28284271247461906</v>
      </c>
      <c r="L455" s="2" t="e">
        <f t="shared" si="36"/>
        <v>#N/A</v>
      </c>
      <c r="M455" s="2" t="str">
        <f t="shared" si="37"/>
        <v>Below 0.8 not in assigned quadrant</v>
      </c>
      <c r="N455" s="7">
        <v>18.100000000000001</v>
      </c>
      <c r="O455" s="7">
        <v>-1.6</v>
      </c>
      <c r="P455" s="7">
        <v>-1.9</v>
      </c>
      <c r="Q455" s="7">
        <v>-0.37</v>
      </c>
      <c r="R455" s="7">
        <v>-0.2</v>
      </c>
      <c r="S455" s="7">
        <v>0.2</v>
      </c>
      <c r="T455" s="7">
        <v>-0.14000000000000001</v>
      </c>
      <c r="U455" s="7">
        <v>-0.45</v>
      </c>
      <c r="V455" s="7">
        <v>0.6</v>
      </c>
      <c r="W455" s="7" t="s">
        <v>8</v>
      </c>
      <c r="X455" s="7" t="s">
        <v>15</v>
      </c>
      <c r="Y455" s="2" t="s">
        <v>719</v>
      </c>
      <c r="Z455" s="2" t="s">
        <v>721</v>
      </c>
    </row>
    <row r="456" spans="1:26" x14ac:dyDescent="0.35">
      <c r="A456" s="7" t="s">
        <v>1545</v>
      </c>
      <c r="B456" s="7" t="s">
        <v>462</v>
      </c>
      <c r="C456" s="4" t="str">
        <f>_xlfn.XLOOKUP(A456,[2]Sheet2!$I$2:$I$1273,[2]Sheet2!$D$2:$D$1273,0)</f>
        <v>Q2</v>
      </c>
      <c r="D456" s="4">
        <f>_xlfn.XLOOKUP(B456,[4]Sheet2!$B$2:$B$3154,[4]Sheet2!$F$2:$F$3154,0)</f>
        <v>0</v>
      </c>
      <c r="E456" s="4" t="e">
        <f>_xlfn.XLOOKUP(B456,[2]Sheet2!$E$2:$E$713,[2]Sheet2!$G$2:$G$713)</f>
        <v>#N/A</v>
      </c>
      <c r="F456" s="18">
        <v>46067</v>
      </c>
      <c r="G456" s="14">
        <v>2.1550925925925925E-2</v>
      </c>
      <c r="H456" s="7" t="s">
        <v>5</v>
      </c>
      <c r="I456" s="2" t="str">
        <f t="shared" si="38"/>
        <v>Q4</v>
      </c>
      <c r="J456" s="2" t="str">
        <f t="shared" si="39"/>
        <v>Not Match</v>
      </c>
      <c r="K456" s="2">
        <f t="shared" si="35"/>
        <v>0.2</v>
      </c>
      <c r="L456" s="2" t="e">
        <f t="shared" si="36"/>
        <v>#N/A</v>
      </c>
      <c r="M456" s="2" t="str">
        <f t="shared" si="37"/>
        <v>Below 0.8 not in assigned quadrant</v>
      </c>
      <c r="N456" s="7">
        <v>17.7</v>
      </c>
      <c r="O456" s="7">
        <v>-0.6</v>
      </c>
      <c r="P456" s="7">
        <v>-2.6</v>
      </c>
      <c r="Q456" s="7">
        <v>-0.24</v>
      </c>
      <c r="R456" s="7">
        <v>0</v>
      </c>
      <c r="S456" s="7">
        <v>-0.2</v>
      </c>
      <c r="T456" s="7">
        <v>0.31</v>
      </c>
      <c r="U456" s="7">
        <v>0.18</v>
      </c>
      <c r="V456" s="7">
        <v>0.43</v>
      </c>
      <c r="W456" s="7" t="s">
        <v>8</v>
      </c>
      <c r="X456" s="7" t="s">
        <v>9</v>
      </c>
      <c r="Y456" s="2" t="s">
        <v>719</v>
      </c>
      <c r="Z456" s="2" t="s">
        <v>721</v>
      </c>
    </row>
    <row r="457" spans="1:26" x14ac:dyDescent="0.35">
      <c r="A457" s="7" t="s">
        <v>1652</v>
      </c>
      <c r="B457" s="7" t="s">
        <v>463</v>
      </c>
      <c r="C457" s="4" t="str">
        <f>_xlfn.XLOOKUP(A457,[2]Sheet2!$I$2:$I$1273,[2]Sheet2!$D$2:$D$1273,0)</f>
        <v>Q2</v>
      </c>
      <c r="D457" s="4">
        <f>_xlfn.XLOOKUP(B457,[4]Sheet2!$B$2:$B$3154,[4]Sheet2!$F$2:$F$3154,0)</f>
        <v>0</v>
      </c>
      <c r="E457" s="4" t="e">
        <f>_xlfn.XLOOKUP(B457,[2]Sheet2!$E$2:$E$713,[2]Sheet2!$G$2:$G$713)</f>
        <v>#N/A</v>
      </c>
      <c r="F457" s="18">
        <v>46067</v>
      </c>
      <c r="G457" s="14">
        <v>2.388888888888889E-2</v>
      </c>
      <c r="H457" s="7" t="s">
        <v>5</v>
      </c>
      <c r="I457" s="2" t="str">
        <f t="shared" si="38"/>
        <v>Q3</v>
      </c>
      <c r="J457" s="2" t="str">
        <f t="shared" si="39"/>
        <v>Not Match</v>
      </c>
      <c r="K457" s="2">
        <f t="shared" si="35"/>
        <v>0.36055512754639896</v>
      </c>
      <c r="L457" s="2" t="e">
        <f t="shared" si="36"/>
        <v>#N/A</v>
      </c>
      <c r="M457" s="2" t="str">
        <f t="shared" si="37"/>
        <v>Below 0.8 not in assigned quadrant</v>
      </c>
      <c r="N457" s="7">
        <v>15.7</v>
      </c>
      <c r="O457" s="7">
        <v>-1</v>
      </c>
      <c r="P457" s="7">
        <v>-3</v>
      </c>
      <c r="Q457" s="7">
        <v>-0.31</v>
      </c>
      <c r="R457" s="7">
        <v>-0.2</v>
      </c>
      <c r="S457" s="7">
        <v>-0.3</v>
      </c>
      <c r="T457" s="7">
        <v>0.45</v>
      </c>
      <c r="U457" s="7">
        <v>-0.18</v>
      </c>
      <c r="V457" s="7">
        <v>0.57999999999999996</v>
      </c>
      <c r="W457" s="7" t="s">
        <v>8</v>
      </c>
      <c r="X457" s="7" t="s">
        <v>15</v>
      </c>
      <c r="Y457" s="2" t="s">
        <v>719</v>
      </c>
      <c r="Z457" s="2" t="s">
        <v>721</v>
      </c>
    </row>
    <row r="458" spans="1:26" x14ac:dyDescent="0.35">
      <c r="A458" s="7" t="s">
        <v>1653</v>
      </c>
      <c r="B458" s="7" t="s">
        <v>464</v>
      </c>
      <c r="C458" s="4">
        <f>_xlfn.XLOOKUP(A458,[2]Sheet2!$I$2:$I$1273,[2]Sheet2!$D$2:$D$1273,0)</f>
        <v>0</v>
      </c>
      <c r="D458" s="4">
        <f>_xlfn.XLOOKUP(B458,[4]Sheet2!$B$2:$B$3154,[4]Sheet2!$F$2:$F$3154,0)</f>
        <v>0</v>
      </c>
      <c r="E458" s="4" t="e">
        <f>_xlfn.XLOOKUP(B458,[2]Sheet2!$E$2:$E$713,[2]Sheet2!$G$2:$G$713)</f>
        <v>#N/A</v>
      </c>
      <c r="F458" s="18">
        <v>46067</v>
      </c>
      <c r="G458" s="14">
        <v>2.5555555555555557E-2</v>
      </c>
      <c r="H458" s="7" t="s">
        <v>5</v>
      </c>
      <c r="I458" s="2" t="str">
        <f t="shared" si="38"/>
        <v>Q2</v>
      </c>
      <c r="J458" s="2" t="str">
        <f t="shared" si="39"/>
        <v>Not Found</v>
      </c>
      <c r="K458" s="2">
        <f t="shared" si="35"/>
        <v>0.14142135623730953</v>
      </c>
      <c r="L458" s="2" t="e">
        <f t="shared" si="36"/>
        <v>#N/A</v>
      </c>
      <c r="M458" s="2" t="str">
        <f t="shared" si="37"/>
        <v>Assign quadrant hit</v>
      </c>
      <c r="N458" s="7">
        <v>23.1</v>
      </c>
      <c r="O458" s="7">
        <v>4.8</v>
      </c>
      <c r="P458" s="7">
        <v>5.6</v>
      </c>
      <c r="Q458" s="7">
        <v>0.27</v>
      </c>
      <c r="R458" s="7">
        <v>-0.1</v>
      </c>
      <c r="S458" s="7">
        <v>0.1</v>
      </c>
      <c r="T458" s="7">
        <v>-0.05</v>
      </c>
      <c r="U458" s="7">
        <v>0.36</v>
      </c>
      <c r="V458" s="7">
        <v>0.45</v>
      </c>
      <c r="W458" s="7" t="s">
        <v>8</v>
      </c>
      <c r="X458" s="7" t="s">
        <v>12</v>
      </c>
      <c r="Y458" s="2" t="s">
        <v>719</v>
      </c>
      <c r="Z458" s="2" t="s">
        <v>721</v>
      </c>
    </row>
    <row r="459" spans="1:26" x14ac:dyDescent="0.35">
      <c r="A459" s="7" t="s">
        <v>1515</v>
      </c>
      <c r="B459" s="7" t="s">
        <v>465</v>
      </c>
      <c r="C459" s="4" t="str">
        <f>_xlfn.XLOOKUP(A459,[2]Sheet2!$I$2:$I$1273,[2]Sheet2!$D$2:$D$1273,0)</f>
        <v>Q3</v>
      </c>
      <c r="D459" s="4">
        <f>_xlfn.XLOOKUP(B459,[4]Sheet2!$B$2:$B$3154,[4]Sheet2!$F$2:$F$3154,0)</f>
        <v>0</v>
      </c>
      <c r="E459" s="4" t="e">
        <f>_xlfn.XLOOKUP(B459,[2]Sheet2!$E$2:$E$713,[2]Sheet2!$G$2:$G$713)</f>
        <v>#N/A</v>
      </c>
      <c r="F459" s="18">
        <v>46067</v>
      </c>
      <c r="G459" s="14">
        <v>2.8506944444444446E-2</v>
      </c>
      <c r="H459" s="7" t="s">
        <v>11</v>
      </c>
      <c r="I459" s="2" t="str">
        <f t="shared" si="38"/>
        <v>Q3</v>
      </c>
      <c r="J459" s="2" t="str">
        <f t="shared" si="39"/>
        <v>Match</v>
      </c>
      <c r="K459" s="2">
        <f t="shared" si="35"/>
        <v>0.41231056256176613</v>
      </c>
      <c r="L459" s="2" t="e">
        <f t="shared" si="36"/>
        <v>#N/A</v>
      </c>
      <c r="M459" s="2" t="str">
        <f t="shared" si="37"/>
        <v>Failed but within quadrant</v>
      </c>
      <c r="N459" s="7">
        <v>13.4</v>
      </c>
      <c r="O459" s="7">
        <v>-0.5</v>
      </c>
      <c r="P459" s="7">
        <v>-2.5</v>
      </c>
      <c r="Q459" s="7">
        <v>-0.57999999999999996</v>
      </c>
      <c r="R459" s="7">
        <v>-0.1</v>
      </c>
      <c r="S459" s="7">
        <v>-0.4</v>
      </c>
      <c r="T459" s="7">
        <v>0.59</v>
      </c>
      <c r="U459" s="7">
        <v>-0.11</v>
      </c>
      <c r="V459" s="7">
        <v>0.84</v>
      </c>
      <c r="W459" s="7" t="s">
        <v>13</v>
      </c>
      <c r="X459" s="7" t="s">
        <v>15</v>
      </c>
      <c r="Y459" s="2" t="s">
        <v>719</v>
      </c>
      <c r="Z459" s="2" t="s">
        <v>721</v>
      </c>
    </row>
    <row r="460" spans="1:26" x14ac:dyDescent="0.35">
      <c r="A460" s="7" t="s">
        <v>1574</v>
      </c>
      <c r="B460" s="7" t="s">
        <v>466</v>
      </c>
      <c r="C460" s="4" t="str">
        <f>_xlfn.XLOOKUP(A460,[2]Sheet2!$I$2:$I$1273,[2]Sheet2!$D$2:$D$1273,0)</f>
        <v>Q2</v>
      </c>
      <c r="D460" s="4">
        <f>_xlfn.XLOOKUP(B460,[4]Sheet2!$B$2:$B$3154,[4]Sheet2!$F$2:$F$3154,0)</f>
        <v>0</v>
      </c>
      <c r="E460" s="4" t="e">
        <f>_xlfn.XLOOKUP(B460,[2]Sheet2!$E$2:$E$713,[2]Sheet2!$G$2:$G$713)</f>
        <v>#N/A</v>
      </c>
      <c r="F460" s="18">
        <v>46067</v>
      </c>
      <c r="G460" s="14">
        <v>3.5393518518518519E-2</v>
      </c>
      <c r="H460" s="7" t="s">
        <v>11</v>
      </c>
      <c r="I460" s="2" t="str">
        <f t="shared" si="38"/>
        <v>Q2</v>
      </c>
      <c r="J460" s="2" t="str">
        <f t="shared" si="39"/>
        <v>Match</v>
      </c>
      <c r="K460" s="2">
        <f t="shared" si="35"/>
        <v>0.31622776601683794</v>
      </c>
      <c r="L460" s="2" t="e">
        <f t="shared" si="36"/>
        <v>#N/A</v>
      </c>
      <c r="M460" s="2" t="str">
        <f t="shared" si="37"/>
        <v>Digital Approve Hit</v>
      </c>
      <c r="N460" s="7">
        <v>18.5</v>
      </c>
      <c r="O460" s="7">
        <v>-0.3</v>
      </c>
      <c r="P460" s="7">
        <v>-12</v>
      </c>
      <c r="Q460" s="7">
        <v>0.23</v>
      </c>
      <c r="R460" s="7">
        <v>-0.1</v>
      </c>
      <c r="S460" s="7">
        <v>0.3</v>
      </c>
      <c r="T460" s="7">
        <v>-0.27</v>
      </c>
      <c r="U460" s="7">
        <v>-0.14000000000000001</v>
      </c>
      <c r="V460" s="7">
        <v>0.38</v>
      </c>
      <c r="W460" s="7" t="s">
        <v>8</v>
      </c>
      <c r="X460" s="7" t="s">
        <v>15</v>
      </c>
      <c r="Y460" s="2" t="s">
        <v>719</v>
      </c>
      <c r="Z460" s="2" t="s">
        <v>721</v>
      </c>
    </row>
    <row r="461" spans="1:26" x14ac:dyDescent="0.35">
      <c r="A461" s="7" t="s">
        <v>1634</v>
      </c>
      <c r="B461" s="7" t="s">
        <v>467</v>
      </c>
      <c r="C461" s="4">
        <f>_xlfn.XLOOKUP(A461,[2]Sheet2!$I$2:$I$1273,[2]Sheet2!$D$2:$D$1273,0)</f>
        <v>0</v>
      </c>
      <c r="D461" s="4">
        <f>_xlfn.XLOOKUP(B461,[4]Sheet2!$B$2:$B$3154,[4]Sheet2!$F$2:$F$3154,0)</f>
        <v>0</v>
      </c>
      <c r="E461" s="4" t="e">
        <f>_xlfn.XLOOKUP(B461,[2]Sheet2!$E$2:$E$713,[2]Sheet2!$G$2:$G$713)</f>
        <v>#N/A</v>
      </c>
      <c r="F461" s="18">
        <v>46067</v>
      </c>
      <c r="G461" s="14">
        <v>3.8032407407407411E-2</v>
      </c>
      <c r="H461" s="7" t="s">
        <v>11</v>
      </c>
      <c r="I461" s="2" t="str">
        <f t="shared" si="38"/>
        <v>Q3</v>
      </c>
      <c r="J461" s="2" t="str">
        <f t="shared" si="39"/>
        <v>Not Found</v>
      </c>
      <c r="K461" s="2">
        <f t="shared" si="35"/>
        <v>0.31622776601683794</v>
      </c>
      <c r="L461" s="2" t="e">
        <f t="shared" si="36"/>
        <v>#N/A</v>
      </c>
      <c r="M461" s="2" t="str">
        <f t="shared" si="37"/>
        <v>Assign quadrant hit</v>
      </c>
      <c r="N461" s="7">
        <v>54.9</v>
      </c>
      <c r="O461" s="7">
        <v>37</v>
      </c>
      <c r="P461" s="7">
        <v>-17</v>
      </c>
      <c r="Q461" s="7">
        <v>-0.24</v>
      </c>
      <c r="R461" s="7">
        <v>-0.3</v>
      </c>
      <c r="S461" s="7">
        <v>-0.1</v>
      </c>
      <c r="T461" s="7">
        <v>-0.1</v>
      </c>
      <c r="U461" s="7">
        <v>-0.14000000000000001</v>
      </c>
      <c r="V461" s="7">
        <v>0.28999999999999998</v>
      </c>
      <c r="W461" s="7" t="s">
        <v>8</v>
      </c>
      <c r="X461" s="7" t="s">
        <v>7</v>
      </c>
      <c r="Y461" s="2" t="s">
        <v>719</v>
      </c>
      <c r="Z461" s="2" t="s">
        <v>721</v>
      </c>
    </row>
    <row r="462" spans="1:26" x14ac:dyDescent="0.35">
      <c r="A462" s="7" t="s">
        <v>1545</v>
      </c>
      <c r="B462" s="7" t="s">
        <v>469</v>
      </c>
      <c r="C462" s="4" t="str">
        <f>_xlfn.XLOOKUP(A462,[2]Sheet2!$I$2:$I$1273,[2]Sheet2!$D$2:$D$1273,0)</f>
        <v>Q2</v>
      </c>
      <c r="D462" s="4">
        <f>_xlfn.XLOOKUP(B462,[4]Sheet2!$B$2:$B$3154,[4]Sheet2!$F$2:$F$3154,0)</f>
        <v>0</v>
      </c>
      <c r="E462" s="4" t="e">
        <f>_xlfn.XLOOKUP(B462,[2]Sheet2!$E$2:$E$713,[2]Sheet2!$G$2:$G$713)</f>
        <v>#N/A</v>
      </c>
      <c r="F462" s="18">
        <v>46067</v>
      </c>
      <c r="G462" s="14">
        <v>0.18119212962962963</v>
      </c>
      <c r="H462" s="7" t="s">
        <v>5</v>
      </c>
      <c r="I462" s="2" t="str">
        <f t="shared" si="38"/>
        <v>Q4</v>
      </c>
      <c r="J462" s="2" t="str">
        <f t="shared" si="39"/>
        <v>Not Match</v>
      </c>
      <c r="K462" s="2">
        <f t="shared" si="35"/>
        <v>0.5</v>
      </c>
      <c r="L462" s="2" t="e">
        <f t="shared" si="36"/>
        <v>#N/A</v>
      </c>
      <c r="M462" s="2" t="str">
        <f t="shared" si="37"/>
        <v>Assign quadrant hit</v>
      </c>
      <c r="N462" s="7">
        <v>18.5</v>
      </c>
      <c r="O462" s="7">
        <v>-0.6</v>
      </c>
      <c r="P462" s="7">
        <v>-2.8</v>
      </c>
      <c r="Q462" s="7">
        <v>0.53</v>
      </c>
      <c r="R462" s="7">
        <v>0</v>
      </c>
      <c r="S462" s="7">
        <v>-0.5</v>
      </c>
      <c r="T462" s="7">
        <v>0.64</v>
      </c>
      <c r="U462" s="7">
        <v>0.22</v>
      </c>
      <c r="V462" s="7">
        <v>0.86</v>
      </c>
      <c r="W462" s="7" t="s">
        <v>13</v>
      </c>
      <c r="X462" s="7" t="s">
        <v>9</v>
      </c>
      <c r="Y462" s="2" t="s">
        <v>719</v>
      </c>
      <c r="Z462" s="2" t="s">
        <v>721</v>
      </c>
    </row>
    <row r="463" spans="1:26" x14ac:dyDescent="0.35">
      <c r="A463" s="7" t="s">
        <v>1654</v>
      </c>
      <c r="B463" s="7" t="s">
        <v>470</v>
      </c>
      <c r="C463" s="4">
        <f>_xlfn.XLOOKUP(A463,[2]Sheet2!$I$2:$I$1273,[2]Sheet2!$D$2:$D$1273,0)</f>
        <v>0</v>
      </c>
      <c r="D463" s="4">
        <f>_xlfn.XLOOKUP(B463,[4]Sheet2!$B$2:$B$3154,[4]Sheet2!$F$2:$F$3154,0)</f>
        <v>0</v>
      </c>
      <c r="E463" s="4" t="e">
        <f>_xlfn.XLOOKUP(B463,[2]Sheet2!$E$2:$E$713,[2]Sheet2!$G$2:$G$713)</f>
        <v>#N/A</v>
      </c>
      <c r="F463" s="18">
        <v>46067</v>
      </c>
      <c r="G463" s="14">
        <v>0.18322916666666667</v>
      </c>
      <c r="H463" s="7" t="s">
        <v>11</v>
      </c>
      <c r="I463" s="2" t="str">
        <f t="shared" si="38"/>
        <v>Q1</v>
      </c>
      <c r="J463" s="2" t="str">
        <f t="shared" si="39"/>
        <v>Not Found</v>
      </c>
      <c r="K463" s="2">
        <f t="shared" si="35"/>
        <v>2.340939982143925</v>
      </c>
      <c r="L463" s="2" t="e">
        <f t="shared" si="36"/>
        <v>#N/A</v>
      </c>
      <c r="M463" s="2" t="str">
        <f t="shared" si="37"/>
        <v>Assign quadrant hit</v>
      </c>
      <c r="N463" s="7">
        <v>28.8</v>
      </c>
      <c r="O463" s="7">
        <v>35.1</v>
      </c>
      <c r="P463" s="7">
        <v>18.2</v>
      </c>
      <c r="Q463" s="7">
        <v>0.5</v>
      </c>
      <c r="R463" s="7">
        <v>2.2000000000000002</v>
      </c>
      <c r="S463" s="7">
        <v>0.8</v>
      </c>
      <c r="T463" s="7">
        <v>1.05</v>
      </c>
      <c r="U463" s="7">
        <v>-0.25</v>
      </c>
      <c r="V463" s="7">
        <v>1.18</v>
      </c>
      <c r="W463" s="7" t="s">
        <v>6</v>
      </c>
      <c r="X463" s="7" t="s">
        <v>7</v>
      </c>
      <c r="Y463" s="2" t="s">
        <v>719</v>
      </c>
      <c r="Z463" s="2" t="s">
        <v>721</v>
      </c>
    </row>
    <row r="464" spans="1:26" x14ac:dyDescent="0.35">
      <c r="A464" s="7" t="s">
        <v>1515</v>
      </c>
      <c r="B464" s="7" t="s">
        <v>471</v>
      </c>
      <c r="C464" s="4" t="str">
        <f>_xlfn.XLOOKUP(A464,[2]Sheet2!$I$2:$I$1273,[2]Sheet2!$D$2:$D$1273,0)</f>
        <v>Q3</v>
      </c>
      <c r="D464" s="4">
        <f>_xlfn.XLOOKUP(B464,[4]Sheet2!$B$2:$B$3154,[4]Sheet2!$F$2:$F$3154,0)</f>
        <v>0</v>
      </c>
      <c r="E464" s="4" t="e">
        <f>_xlfn.XLOOKUP(B464,[2]Sheet2!$E$2:$E$713,[2]Sheet2!$G$2:$G$713)</f>
        <v>#N/A</v>
      </c>
      <c r="F464" s="18">
        <v>46067</v>
      </c>
      <c r="G464" s="14">
        <v>0.18501157407407406</v>
      </c>
      <c r="H464" s="7" t="s">
        <v>10</v>
      </c>
      <c r="I464" s="2" t="str">
        <f t="shared" si="38"/>
        <v>Q3</v>
      </c>
      <c r="J464" s="2" t="str">
        <f t="shared" si="39"/>
        <v>Match</v>
      </c>
      <c r="K464" s="2">
        <f t="shared" si="35"/>
        <v>0</v>
      </c>
      <c r="L464" s="2" t="e">
        <f t="shared" si="36"/>
        <v>#N/A</v>
      </c>
      <c r="M464" s="2" t="str">
        <f t="shared" si="37"/>
        <v>Digital Approve Hit</v>
      </c>
      <c r="N464" s="7">
        <v>13.6</v>
      </c>
      <c r="O464" s="7">
        <v>0.1</v>
      </c>
      <c r="P464" s="7">
        <v>-1.7</v>
      </c>
      <c r="Q464" s="7">
        <v>-0.54</v>
      </c>
      <c r="R464" s="7">
        <v>0</v>
      </c>
      <c r="S464" s="7">
        <v>0</v>
      </c>
      <c r="T464" s="7">
        <v>7.0000000000000007E-2</v>
      </c>
      <c r="U464" s="7">
        <v>7.0000000000000007E-2</v>
      </c>
      <c r="V464" s="7">
        <v>0.54</v>
      </c>
      <c r="W464" s="7" t="s">
        <v>8</v>
      </c>
      <c r="X464" s="7" t="s">
        <v>9</v>
      </c>
      <c r="Y464" s="2" t="s">
        <v>719</v>
      </c>
      <c r="Z464" s="2" t="s">
        <v>721</v>
      </c>
    </row>
    <row r="465" spans="1:26" x14ac:dyDescent="0.35">
      <c r="A465" s="7" t="s">
        <v>1573</v>
      </c>
      <c r="B465" s="7" t="s">
        <v>472</v>
      </c>
      <c r="C465" s="4" t="str">
        <f>_xlfn.XLOOKUP(A465,[2]Sheet2!$I$2:$I$1273,[2]Sheet2!$D$2:$D$1273,0)</f>
        <v>Q1</v>
      </c>
      <c r="D465" s="4">
        <f>_xlfn.XLOOKUP(B465,[4]Sheet2!$B$2:$B$3154,[4]Sheet2!$F$2:$F$3154,0)</f>
        <v>0</v>
      </c>
      <c r="E465" s="4" t="e">
        <f>_xlfn.XLOOKUP(B465,[2]Sheet2!$E$2:$E$713,[2]Sheet2!$G$2:$G$713)</f>
        <v>#N/A</v>
      </c>
      <c r="F465" s="18">
        <v>46067</v>
      </c>
      <c r="G465" s="14">
        <v>0.20077546296296298</v>
      </c>
      <c r="H465" s="7" t="s">
        <v>5</v>
      </c>
      <c r="I465" s="2" t="str">
        <f t="shared" si="38"/>
        <v>Q4</v>
      </c>
      <c r="J465" s="2" t="str">
        <f t="shared" si="39"/>
        <v>Not Match</v>
      </c>
      <c r="K465" s="2">
        <f t="shared" si="35"/>
        <v>0.1</v>
      </c>
      <c r="L465" s="2" t="e">
        <f t="shared" si="36"/>
        <v>#N/A</v>
      </c>
      <c r="M465" s="2" t="str">
        <f t="shared" si="37"/>
        <v>Below 0.8 not in assigned quadrant</v>
      </c>
      <c r="N465" s="7">
        <v>17.899999999999999</v>
      </c>
      <c r="O465" s="7">
        <v>-0.3</v>
      </c>
      <c r="P465" s="7">
        <v>-1.8</v>
      </c>
      <c r="Q465" s="7">
        <v>-0.08</v>
      </c>
      <c r="R465" s="7">
        <v>0</v>
      </c>
      <c r="S465" s="7">
        <v>-0.1</v>
      </c>
      <c r="T465" s="7">
        <v>0.23</v>
      </c>
      <c r="U465" s="7">
        <v>-0.01</v>
      </c>
      <c r="V465" s="7">
        <v>0.25</v>
      </c>
      <c r="W465" s="7" t="s">
        <v>8</v>
      </c>
      <c r="X465" s="7" t="s">
        <v>15</v>
      </c>
      <c r="Y465" s="2" t="s">
        <v>719</v>
      </c>
      <c r="Z465" s="2" t="s">
        <v>721</v>
      </c>
    </row>
    <row r="466" spans="1:26" x14ac:dyDescent="0.35">
      <c r="A466" s="7" t="s">
        <v>1504</v>
      </c>
      <c r="B466" s="7" t="s">
        <v>473</v>
      </c>
      <c r="C466" s="4">
        <f>_xlfn.XLOOKUP(A466,[2]Sheet2!$I$2:$I$1273,[2]Sheet2!$D$2:$D$1273,0)</f>
        <v>0</v>
      </c>
      <c r="D466" s="4">
        <f>_xlfn.XLOOKUP(B466,[4]Sheet2!$B$2:$B$3154,[4]Sheet2!$F$2:$F$3154,0)</f>
        <v>0</v>
      </c>
      <c r="E466" s="4" t="e">
        <f>_xlfn.XLOOKUP(B466,[2]Sheet2!$E$2:$E$713,[2]Sheet2!$G$2:$G$713)</f>
        <v>#N/A</v>
      </c>
      <c r="F466" s="18">
        <v>46067</v>
      </c>
      <c r="G466" s="14">
        <v>0.20309027777777777</v>
      </c>
      <c r="H466" s="7" t="s">
        <v>5</v>
      </c>
      <c r="I466" s="2" t="str">
        <f t="shared" si="38"/>
        <v>Q3</v>
      </c>
      <c r="J466" s="2" t="str">
        <f t="shared" si="39"/>
        <v>Not Found</v>
      </c>
      <c r="K466" s="2">
        <f t="shared" si="35"/>
        <v>0.14142135623730953</v>
      </c>
      <c r="L466" s="2" t="e">
        <f t="shared" si="36"/>
        <v>#N/A</v>
      </c>
      <c r="M466" s="2" t="str">
        <f t="shared" si="37"/>
        <v>Assign quadrant hit</v>
      </c>
      <c r="N466" s="7">
        <v>15</v>
      </c>
      <c r="O466" s="7">
        <v>-0.6</v>
      </c>
      <c r="P466" s="7">
        <v>-3.2</v>
      </c>
      <c r="Q466" s="7">
        <v>-1.21</v>
      </c>
      <c r="R466" s="7">
        <v>-0.1</v>
      </c>
      <c r="S466" s="7">
        <v>-0.1</v>
      </c>
      <c r="T466" s="7">
        <v>0.24</v>
      </c>
      <c r="U466" s="7">
        <v>-0.15</v>
      </c>
      <c r="V466" s="7">
        <v>1.24</v>
      </c>
      <c r="W466" s="7" t="s">
        <v>6</v>
      </c>
      <c r="X466" s="7" t="s">
        <v>15</v>
      </c>
      <c r="Y466" s="2" t="s">
        <v>719</v>
      </c>
      <c r="Z466" s="2" t="s">
        <v>721</v>
      </c>
    </row>
    <row r="467" spans="1:26" x14ac:dyDescent="0.35">
      <c r="A467" s="7" t="s">
        <v>1515</v>
      </c>
      <c r="B467" s="7" t="s">
        <v>474</v>
      </c>
      <c r="C467" s="4" t="str">
        <f>_xlfn.XLOOKUP(A467,[2]Sheet2!$I$2:$I$1273,[2]Sheet2!$D$2:$D$1273,0)</f>
        <v>Q3</v>
      </c>
      <c r="D467" s="4">
        <f>_xlfn.XLOOKUP(B467,[4]Sheet2!$B$2:$B$3154,[4]Sheet2!$F$2:$F$3154,0)</f>
        <v>0</v>
      </c>
      <c r="E467" s="4">
        <f>_xlfn.XLOOKUP(B467,[2]Sheet2!$E$2:$E$713,[2]Sheet2!$G$2:$G$713)</f>
        <v>0.8</v>
      </c>
      <c r="F467" s="18">
        <v>46067</v>
      </c>
      <c r="G467" s="14">
        <v>0.21891203703703704</v>
      </c>
      <c r="H467" s="7" t="s">
        <v>11</v>
      </c>
      <c r="I467" s="2" t="str">
        <f t="shared" si="38"/>
        <v>Q4</v>
      </c>
      <c r="J467" s="2" t="str">
        <f t="shared" si="39"/>
        <v>Not Match</v>
      </c>
      <c r="K467" s="2">
        <f t="shared" si="35"/>
        <v>0.1</v>
      </c>
      <c r="L467" s="2" t="str">
        <f t="shared" si="36"/>
        <v>Within Range</v>
      </c>
      <c r="M467" s="2" t="str">
        <f t="shared" si="37"/>
        <v>Below 0.8 not in assigned quadrant</v>
      </c>
      <c r="N467" s="7">
        <v>13.7</v>
      </c>
      <c r="O467" s="7">
        <v>-0.3</v>
      </c>
      <c r="P467" s="7">
        <v>-2.1</v>
      </c>
      <c r="Q467" s="7">
        <v>-0.31</v>
      </c>
      <c r="R467" s="7">
        <v>0</v>
      </c>
      <c r="S467" s="7">
        <v>-0.1</v>
      </c>
      <c r="T467" s="7">
        <v>0.15</v>
      </c>
      <c r="U467" s="7">
        <v>0</v>
      </c>
      <c r="V467" s="7">
        <v>0.35</v>
      </c>
      <c r="W467" s="7" t="s">
        <v>8</v>
      </c>
      <c r="X467" s="7" t="s">
        <v>9</v>
      </c>
      <c r="Y467" s="2" t="s">
        <v>719</v>
      </c>
      <c r="Z467" s="2" t="s">
        <v>721</v>
      </c>
    </row>
    <row r="468" spans="1:26" x14ac:dyDescent="0.35">
      <c r="A468" s="7" t="s">
        <v>1516</v>
      </c>
      <c r="B468" s="7" t="s">
        <v>475</v>
      </c>
      <c r="C468" s="4" t="str">
        <f>_xlfn.XLOOKUP(A468,[2]Sheet2!$I$2:$I$1273,[2]Sheet2!$D$2:$D$1273,0)</f>
        <v>Q2</v>
      </c>
      <c r="D468" s="4">
        <f>_xlfn.XLOOKUP(B468,[4]Sheet2!$B$2:$B$3154,[4]Sheet2!$F$2:$F$3154,0)</f>
        <v>0</v>
      </c>
      <c r="E468" s="4" t="e">
        <f>_xlfn.XLOOKUP(B468,[2]Sheet2!$E$2:$E$713,[2]Sheet2!$G$2:$G$713)</f>
        <v>#N/A</v>
      </c>
      <c r="F468" s="18">
        <v>46067</v>
      </c>
      <c r="G468" s="14">
        <v>0.26974537037037039</v>
      </c>
      <c r="H468" s="7" t="s">
        <v>14</v>
      </c>
      <c r="I468" s="2" t="str">
        <f t="shared" si="38"/>
        <v>Q1</v>
      </c>
      <c r="J468" s="2" t="str">
        <f t="shared" si="39"/>
        <v>Not Match</v>
      </c>
      <c r="K468" s="2">
        <f t="shared" si="35"/>
        <v>0.63245553203367588</v>
      </c>
      <c r="L468" s="2" t="e">
        <f t="shared" si="36"/>
        <v>#N/A</v>
      </c>
      <c r="M468" s="2" t="str">
        <f t="shared" si="37"/>
        <v>Assign quadrant hit</v>
      </c>
      <c r="N468" s="7">
        <v>16.899999999999999</v>
      </c>
      <c r="O468" s="7">
        <v>-1.3</v>
      </c>
      <c r="P468" s="7">
        <v>-2</v>
      </c>
      <c r="Q468" s="7">
        <v>-0.89</v>
      </c>
      <c r="R468" s="7">
        <v>0.2</v>
      </c>
      <c r="S468" s="7">
        <v>0.6</v>
      </c>
      <c r="T468" s="7">
        <v>-0.83</v>
      </c>
      <c r="U468" s="7">
        <v>-0.23</v>
      </c>
      <c r="V468" s="7">
        <v>1.24</v>
      </c>
      <c r="W468" s="7" t="s">
        <v>6</v>
      </c>
      <c r="X468" s="7" t="s">
        <v>15</v>
      </c>
      <c r="Y468" s="2" t="s">
        <v>719</v>
      </c>
      <c r="Z468" s="2" t="s">
        <v>721</v>
      </c>
    </row>
    <row r="469" spans="1:26" x14ac:dyDescent="0.35">
      <c r="A469" s="7" t="s">
        <v>1634</v>
      </c>
      <c r="B469" s="7" t="s">
        <v>476</v>
      </c>
      <c r="C469" s="4">
        <f>_xlfn.XLOOKUP(A469,[2]Sheet2!$I$2:$I$1273,[2]Sheet2!$D$2:$D$1273,0)</f>
        <v>0</v>
      </c>
      <c r="D469" s="4">
        <f>_xlfn.XLOOKUP(B469,[4]Sheet2!$B$2:$B$3154,[4]Sheet2!$F$2:$F$3154,0)</f>
        <v>0</v>
      </c>
      <c r="E469" s="4" t="e">
        <f>_xlfn.XLOOKUP(B469,[2]Sheet2!$E$2:$E$713,[2]Sheet2!$G$2:$G$713)</f>
        <v>#N/A</v>
      </c>
      <c r="F469" s="18">
        <v>46067</v>
      </c>
      <c r="G469" s="14">
        <v>0.27187499999999998</v>
      </c>
      <c r="H469" s="7" t="s">
        <v>11</v>
      </c>
      <c r="I469" s="2" t="str">
        <f t="shared" si="38"/>
        <v>Q3</v>
      </c>
      <c r="J469" s="2" t="str">
        <f t="shared" si="39"/>
        <v>Not Found</v>
      </c>
      <c r="K469" s="2">
        <f t="shared" si="35"/>
        <v>0.72111025509279791</v>
      </c>
      <c r="L469" s="2" t="e">
        <f t="shared" si="36"/>
        <v>#N/A</v>
      </c>
      <c r="M469" s="2" t="str">
        <f t="shared" si="37"/>
        <v>Assign quadrant hit</v>
      </c>
      <c r="N469" s="7">
        <v>55.6</v>
      </c>
      <c r="O469" s="7">
        <v>36.6</v>
      </c>
      <c r="P469" s="7">
        <v>-17.3</v>
      </c>
      <c r="Q469" s="7">
        <v>0.04</v>
      </c>
      <c r="R469" s="7">
        <v>-0.6</v>
      </c>
      <c r="S469" s="7">
        <v>-0.4</v>
      </c>
      <c r="T469" s="7">
        <v>-0.17</v>
      </c>
      <c r="U469" s="7">
        <v>-0.43</v>
      </c>
      <c r="V469" s="7">
        <v>0.46</v>
      </c>
      <c r="W469" s="7" t="s">
        <v>8</v>
      </c>
      <c r="X469" s="7" t="s">
        <v>7</v>
      </c>
      <c r="Y469" s="2" t="s">
        <v>719</v>
      </c>
      <c r="Z469" s="2" t="s">
        <v>721</v>
      </c>
    </row>
    <row r="470" spans="1:26" x14ac:dyDescent="0.35">
      <c r="A470" s="7" t="s">
        <v>1545</v>
      </c>
      <c r="B470" s="7" t="s">
        <v>478</v>
      </c>
      <c r="C470" s="4" t="str">
        <f>_xlfn.XLOOKUP(A470,[2]Sheet2!$I$2:$I$1273,[2]Sheet2!$D$2:$D$1273,0)</f>
        <v>Q2</v>
      </c>
      <c r="D470" s="4">
        <f>_xlfn.XLOOKUP(B470,[4]Sheet2!$B$2:$B$3154,[4]Sheet2!$F$2:$F$3154,0)</f>
        <v>0</v>
      </c>
      <c r="E470" s="4" t="e">
        <f>_xlfn.XLOOKUP(B470,[2]Sheet2!$E$2:$E$713,[2]Sheet2!$G$2:$G$713)</f>
        <v>#N/A</v>
      </c>
      <c r="F470" s="18">
        <v>46067</v>
      </c>
      <c r="G470" s="14">
        <v>0.42645833333333333</v>
      </c>
      <c r="H470" s="7" t="s">
        <v>5</v>
      </c>
      <c r="I470" s="2" t="str">
        <f t="shared" si="38"/>
        <v>Q4</v>
      </c>
      <c r="J470" s="2" t="str">
        <f t="shared" si="39"/>
        <v>Not Match</v>
      </c>
      <c r="K470" s="2">
        <f t="shared" si="35"/>
        <v>0.3</v>
      </c>
      <c r="L470" s="2" t="e">
        <f t="shared" si="36"/>
        <v>#N/A</v>
      </c>
      <c r="M470" s="2" t="str">
        <f t="shared" si="37"/>
        <v>Below 0.8 not in assigned quadrant</v>
      </c>
      <c r="N470" s="7">
        <v>17.8</v>
      </c>
      <c r="O470" s="7">
        <v>-0.6</v>
      </c>
      <c r="P470" s="7">
        <v>-2.6</v>
      </c>
      <c r="Q470" s="7">
        <v>-0.08</v>
      </c>
      <c r="R470" s="7">
        <v>0</v>
      </c>
      <c r="S470" s="7">
        <v>-0.3</v>
      </c>
      <c r="T470" s="7">
        <v>0.36</v>
      </c>
      <c r="U470" s="7">
        <v>0.15</v>
      </c>
      <c r="V470" s="7">
        <v>0.4</v>
      </c>
      <c r="W470" s="7" t="s">
        <v>8</v>
      </c>
      <c r="X470" s="7" t="s">
        <v>9</v>
      </c>
      <c r="Y470" s="2" t="s">
        <v>719</v>
      </c>
      <c r="Z470" s="2" t="s">
        <v>721</v>
      </c>
    </row>
    <row r="471" spans="1:26" x14ac:dyDescent="0.35">
      <c r="A471" s="7" t="s">
        <v>1631</v>
      </c>
      <c r="B471" s="7" t="s">
        <v>457</v>
      </c>
      <c r="C471" s="4" t="str">
        <f>_xlfn.XLOOKUP(A471,[2]Sheet2!$I$2:$I$1273,[2]Sheet2!$D$2:$D$1273,0)</f>
        <v>Q4</v>
      </c>
      <c r="D471" s="4">
        <f>_xlfn.XLOOKUP(B471,[4]Sheet2!$B$2:$B$3154,[4]Sheet2!$F$2:$F$3154,0)</f>
        <v>0</v>
      </c>
      <c r="E471" s="4" t="e">
        <f>_xlfn.XLOOKUP(B471,[2]Sheet2!$E$2:$E$713,[2]Sheet2!$G$2:$G$713)</f>
        <v>#N/A</v>
      </c>
      <c r="F471" s="18">
        <v>46067</v>
      </c>
      <c r="G471" s="14">
        <v>0.49276620370370372</v>
      </c>
      <c r="H471" s="7" t="s">
        <v>5</v>
      </c>
      <c r="I471" s="2" t="str">
        <f t="shared" si="38"/>
        <v>Q1</v>
      </c>
      <c r="J471" s="2" t="str">
        <f t="shared" si="39"/>
        <v>Not Match</v>
      </c>
      <c r="K471" s="2">
        <f t="shared" si="35"/>
        <v>0.58309518948452999</v>
      </c>
      <c r="L471" s="2" t="e">
        <f t="shared" si="36"/>
        <v>#N/A</v>
      </c>
      <c r="M471" s="2" t="str">
        <f t="shared" si="37"/>
        <v>Assign quadrant hit</v>
      </c>
      <c r="N471" s="7">
        <v>22.1</v>
      </c>
      <c r="O471" s="7">
        <v>3.3</v>
      </c>
      <c r="P471" s="7">
        <v>3.7</v>
      </c>
      <c r="Q471" s="7">
        <v>-0.46</v>
      </c>
      <c r="R471" s="7">
        <v>0.3</v>
      </c>
      <c r="S471" s="7">
        <v>0.5</v>
      </c>
      <c r="T471" s="7">
        <v>0.7</v>
      </c>
      <c r="U471" s="7">
        <v>7.0000000000000007E-2</v>
      </c>
      <c r="V471" s="7">
        <v>0.84</v>
      </c>
      <c r="W471" s="7" t="s">
        <v>13</v>
      </c>
      <c r="X471" s="7" t="s">
        <v>12</v>
      </c>
      <c r="Y471" s="2" t="s">
        <v>719</v>
      </c>
      <c r="Z471" s="2" t="s">
        <v>721</v>
      </c>
    </row>
    <row r="472" spans="1:26" x14ac:dyDescent="0.35">
      <c r="A472" s="7" t="s">
        <v>1506</v>
      </c>
      <c r="B472" s="7" t="s">
        <v>479</v>
      </c>
      <c r="C472" s="4" t="str">
        <f>_xlfn.XLOOKUP(A472,[2]Sheet2!$I$2:$I$1273,[2]Sheet2!$D$2:$D$1273,0)</f>
        <v>Q1</v>
      </c>
      <c r="D472" s="4">
        <f>_xlfn.XLOOKUP(B472,[4]Sheet2!$B$2:$B$3154,[4]Sheet2!$F$2:$F$3154,0)</f>
        <v>0</v>
      </c>
      <c r="E472" s="4" t="e">
        <f>_xlfn.XLOOKUP(B472,[2]Sheet2!$E$2:$E$713,[2]Sheet2!$G$2:$G$713)</f>
        <v>#N/A</v>
      </c>
      <c r="F472" s="18">
        <v>46067</v>
      </c>
      <c r="G472" s="14">
        <v>0.51559027777777777</v>
      </c>
      <c r="H472" s="7" t="s">
        <v>4</v>
      </c>
      <c r="I472" s="2" t="str">
        <f t="shared" si="38"/>
        <v>Q4</v>
      </c>
      <c r="J472" s="2" t="str">
        <f t="shared" si="39"/>
        <v>Not Match</v>
      </c>
      <c r="K472" s="2">
        <f t="shared" si="35"/>
        <v>0.1</v>
      </c>
      <c r="L472" s="2" t="e">
        <f t="shared" si="36"/>
        <v>#N/A</v>
      </c>
      <c r="M472" s="2" t="str">
        <f t="shared" si="37"/>
        <v>Below 0.8 not in assigned quadrant</v>
      </c>
      <c r="N472" s="7">
        <v>15.1</v>
      </c>
      <c r="O472" s="7">
        <v>-0.3</v>
      </c>
      <c r="P472" s="7">
        <v>-1.9</v>
      </c>
      <c r="Q472" s="7">
        <v>-0.46</v>
      </c>
      <c r="R472" s="7">
        <v>0.1</v>
      </c>
      <c r="S472" s="7">
        <v>0</v>
      </c>
      <c r="T472" s="7">
        <v>0.05</v>
      </c>
      <c r="U472" s="7">
        <v>0.16</v>
      </c>
      <c r="V472" s="7">
        <v>0.49</v>
      </c>
      <c r="W472" s="7" t="s">
        <v>8</v>
      </c>
      <c r="X472" s="7" t="s">
        <v>9</v>
      </c>
      <c r="Y472" s="2" t="s">
        <v>719</v>
      </c>
      <c r="Z472" s="2" t="s">
        <v>721</v>
      </c>
    </row>
    <row r="473" spans="1:26" x14ac:dyDescent="0.35">
      <c r="A473" s="7" t="s">
        <v>1634</v>
      </c>
      <c r="B473" s="7" t="s">
        <v>480</v>
      </c>
      <c r="C473" s="4">
        <f>_xlfn.XLOOKUP(A473,[2]Sheet2!$I$2:$I$1273,[2]Sheet2!$D$2:$D$1273,0)</f>
        <v>0</v>
      </c>
      <c r="D473" s="4">
        <f>_xlfn.XLOOKUP(B473,[4]Sheet2!$B$2:$B$3154,[4]Sheet2!$F$2:$F$3154,0)</f>
        <v>0</v>
      </c>
      <c r="E473" s="4" t="e">
        <f>_xlfn.XLOOKUP(B473,[2]Sheet2!$E$2:$E$713,[2]Sheet2!$G$2:$G$713)</f>
        <v>#N/A</v>
      </c>
      <c r="F473" s="18">
        <v>46067</v>
      </c>
      <c r="G473" s="14">
        <v>0.5210069444444444</v>
      </c>
      <c r="H473" s="7" t="s">
        <v>11</v>
      </c>
      <c r="I473" s="2" t="str">
        <f t="shared" si="38"/>
        <v>Q3</v>
      </c>
      <c r="J473" s="2" t="str">
        <f t="shared" si="39"/>
        <v>Not Found</v>
      </c>
      <c r="K473" s="2">
        <f t="shared" si="35"/>
        <v>0.72111025509279791</v>
      </c>
      <c r="L473" s="2" t="e">
        <f t="shared" si="36"/>
        <v>#N/A</v>
      </c>
      <c r="M473" s="2" t="str">
        <f t="shared" si="37"/>
        <v>Assign quadrant hit</v>
      </c>
      <c r="N473" s="7">
        <v>55.6</v>
      </c>
      <c r="O473" s="7">
        <v>36.700000000000003</v>
      </c>
      <c r="P473" s="7">
        <v>-17.3</v>
      </c>
      <c r="Q473" s="7">
        <v>0.04</v>
      </c>
      <c r="R473" s="7">
        <v>-0.6</v>
      </c>
      <c r="S473" s="7">
        <v>-0.4</v>
      </c>
      <c r="T473" s="7">
        <v>-0.17</v>
      </c>
      <c r="U473" s="7">
        <v>-0.39</v>
      </c>
      <c r="V473" s="7">
        <v>0.43</v>
      </c>
      <c r="W473" s="7" t="s">
        <v>8</v>
      </c>
      <c r="X473" s="7" t="s">
        <v>7</v>
      </c>
      <c r="Y473" s="2" t="s">
        <v>719</v>
      </c>
      <c r="Z473" s="2" t="s">
        <v>721</v>
      </c>
    </row>
    <row r="474" spans="1:26" x14ac:dyDescent="0.35">
      <c r="A474" s="7" t="s">
        <v>1655</v>
      </c>
      <c r="B474" s="7" t="s">
        <v>481</v>
      </c>
      <c r="C474" s="4" t="str">
        <f>_xlfn.XLOOKUP(A474,[2]Sheet2!$I$2:$I$1273,[2]Sheet2!$D$2:$D$1273,0)</f>
        <v>Q3</v>
      </c>
      <c r="D474" s="4">
        <f>_xlfn.XLOOKUP(B474,[4]Sheet2!$B$2:$B$3154,[4]Sheet2!$F$2:$F$3154,0)</f>
        <v>0</v>
      </c>
      <c r="E474" s="4">
        <f>_xlfn.XLOOKUP(B474,[2]Sheet2!$E$2:$E$713,[2]Sheet2!$G$2:$G$713)</f>
        <v>0.8</v>
      </c>
      <c r="F474" s="18">
        <v>46067</v>
      </c>
      <c r="G474" s="14">
        <v>0.59739583333333335</v>
      </c>
      <c r="H474" s="7" t="s">
        <v>11</v>
      </c>
      <c r="I474" s="2" t="str">
        <f t="shared" si="38"/>
        <v>Q3</v>
      </c>
      <c r="J474" s="2" t="str">
        <f t="shared" si="39"/>
        <v>Match</v>
      </c>
      <c r="K474" s="2">
        <f t="shared" si="35"/>
        <v>0.28284271247461906</v>
      </c>
      <c r="L474" s="2" t="str">
        <f t="shared" si="36"/>
        <v>Within Range</v>
      </c>
      <c r="M474" s="2" t="str">
        <f t="shared" si="37"/>
        <v>Failed but within quadrant</v>
      </c>
      <c r="N474" s="7">
        <v>13.2</v>
      </c>
      <c r="O474" s="7">
        <v>-0.8</v>
      </c>
      <c r="P474" s="7">
        <v>-1.5</v>
      </c>
      <c r="Q474" s="7">
        <v>-0.57999999999999996</v>
      </c>
      <c r="R474" s="7">
        <v>-0.2</v>
      </c>
      <c r="S474" s="7">
        <v>-0.2</v>
      </c>
      <c r="T474" s="7">
        <v>0.54</v>
      </c>
      <c r="U474" s="7">
        <v>-0.17</v>
      </c>
      <c r="V474" s="7">
        <v>0.81</v>
      </c>
      <c r="W474" s="7" t="s">
        <v>13</v>
      </c>
      <c r="X474" s="7" t="s">
        <v>15</v>
      </c>
      <c r="Y474" s="2" t="s">
        <v>719</v>
      </c>
      <c r="Z474" s="2" t="s">
        <v>721</v>
      </c>
    </row>
    <row r="475" spans="1:26" x14ac:dyDescent="0.35">
      <c r="A475" s="7" t="s">
        <v>1516</v>
      </c>
      <c r="B475" s="7" t="s">
        <v>482</v>
      </c>
      <c r="C475" s="4" t="str">
        <f>_xlfn.XLOOKUP(A475,[2]Sheet2!$I$2:$I$1273,[2]Sheet2!$D$2:$D$1273,0)</f>
        <v>Q2</v>
      </c>
      <c r="D475" s="4">
        <f>_xlfn.XLOOKUP(B475,[4]Sheet2!$B$2:$B$3154,[4]Sheet2!$F$2:$F$3154,0)</f>
        <v>0</v>
      </c>
      <c r="E475" s="4" t="e">
        <f>_xlfn.XLOOKUP(B475,[2]Sheet2!$E$2:$E$713,[2]Sheet2!$G$2:$G$713)</f>
        <v>#N/A</v>
      </c>
      <c r="F475" s="18">
        <v>46067</v>
      </c>
      <c r="G475" s="14">
        <v>0.60138888888888886</v>
      </c>
      <c r="H475" s="7" t="s">
        <v>4</v>
      </c>
      <c r="I475" s="2" t="str">
        <f t="shared" si="38"/>
        <v>Q4</v>
      </c>
      <c r="J475" s="2" t="str">
        <f t="shared" si="39"/>
        <v>Not Match</v>
      </c>
      <c r="K475" s="2">
        <f t="shared" si="35"/>
        <v>0.3</v>
      </c>
      <c r="L475" s="2" t="e">
        <f t="shared" si="36"/>
        <v>#N/A</v>
      </c>
      <c r="M475" s="2" t="str">
        <f t="shared" si="37"/>
        <v>Below 0.8 not in assigned quadrant</v>
      </c>
      <c r="N475" s="7">
        <v>17.7</v>
      </c>
      <c r="O475" s="7">
        <v>-1.1000000000000001</v>
      </c>
      <c r="P475" s="7">
        <v>-1.6</v>
      </c>
      <c r="Q475" s="7">
        <v>-0.57999999999999996</v>
      </c>
      <c r="R475" s="7">
        <v>0.3</v>
      </c>
      <c r="S475" s="7">
        <v>0</v>
      </c>
      <c r="T475" s="7">
        <v>-0.36</v>
      </c>
      <c r="U475" s="7">
        <v>0.28000000000000003</v>
      </c>
      <c r="V475" s="7">
        <v>0.74</v>
      </c>
      <c r="W475" s="7" t="s">
        <v>8</v>
      </c>
      <c r="X475" s="7" t="s">
        <v>7</v>
      </c>
      <c r="Y475" s="2" t="s">
        <v>719</v>
      </c>
      <c r="Z475" s="2" t="s">
        <v>721</v>
      </c>
    </row>
    <row r="476" spans="1:26" x14ac:dyDescent="0.35">
      <c r="A476" s="7" t="s">
        <v>1558</v>
      </c>
      <c r="B476" s="7" t="s">
        <v>484</v>
      </c>
      <c r="C476" s="4" t="str">
        <f>_xlfn.XLOOKUP(A476,[2]Sheet2!$I$2:$I$1273,[2]Sheet2!$D$2:$D$1273,0)</f>
        <v>Q3</v>
      </c>
      <c r="D476" s="4">
        <f>_xlfn.XLOOKUP(B476,[4]Sheet2!$B$2:$B$3154,[4]Sheet2!$F$2:$F$3154,0)</f>
        <v>0</v>
      </c>
      <c r="E476" s="4" t="e">
        <f>_xlfn.XLOOKUP(B476,[2]Sheet2!$E$2:$E$713,[2]Sheet2!$G$2:$G$713)</f>
        <v>#N/A</v>
      </c>
      <c r="F476" s="18">
        <v>46067</v>
      </c>
      <c r="G476" s="14">
        <v>0.66234953703703703</v>
      </c>
      <c r="H476" s="7" t="s">
        <v>16</v>
      </c>
      <c r="I476" s="2" t="str">
        <f t="shared" si="38"/>
        <v>Q3</v>
      </c>
      <c r="J476" s="2" t="str">
        <f t="shared" si="39"/>
        <v>Match</v>
      </c>
      <c r="K476" s="2">
        <f t="shared" si="35"/>
        <v>0</v>
      </c>
      <c r="L476" s="2" t="e">
        <f t="shared" si="36"/>
        <v>#N/A</v>
      </c>
      <c r="M476" s="2" t="str">
        <f t="shared" si="37"/>
        <v>Failed but within quadrant</v>
      </c>
      <c r="N476" s="7">
        <v>14.5</v>
      </c>
      <c r="O476" s="7">
        <v>-0.4</v>
      </c>
      <c r="P476" s="7">
        <v>-1.9</v>
      </c>
      <c r="Q476" s="7">
        <v>-0.97</v>
      </c>
      <c r="R476" s="7">
        <v>0</v>
      </c>
      <c r="S476" s="7">
        <v>0</v>
      </c>
      <c r="T476" s="7">
        <v>7.0000000000000007E-2</v>
      </c>
      <c r="U476" s="7">
        <v>-0.11</v>
      </c>
      <c r="V476" s="7">
        <v>0.98</v>
      </c>
      <c r="W476" s="7" t="s">
        <v>13</v>
      </c>
      <c r="X476" s="7" t="s">
        <v>15</v>
      </c>
      <c r="Y476" s="2" t="s">
        <v>719</v>
      </c>
      <c r="Z476" s="2" t="s">
        <v>721</v>
      </c>
    </row>
    <row r="477" spans="1:26" x14ac:dyDescent="0.35">
      <c r="A477" s="7" t="s">
        <v>1596</v>
      </c>
      <c r="B477" s="7" t="s">
        <v>486</v>
      </c>
      <c r="C477" s="4" t="str">
        <f>_xlfn.XLOOKUP(A477,[2]Sheet2!$I$2:$I$1273,[2]Sheet2!$D$2:$D$1273,0)</f>
        <v>Q4</v>
      </c>
      <c r="D477" s="4">
        <f>_xlfn.XLOOKUP(B477,[4]Sheet2!$B$2:$B$3154,[4]Sheet2!$F$2:$F$3154,0)</f>
        <v>0</v>
      </c>
      <c r="E477" s="4">
        <f>_xlfn.XLOOKUP(B477,[2]Sheet2!$E$2:$E$713,[2]Sheet2!$G$2:$G$713)</f>
        <v>0.8</v>
      </c>
      <c r="F477" s="18">
        <v>46067</v>
      </c>
      <c r="G477" s="14">
        <v>0.67579861111111106</v>
      </c>
      <c r="H477" s="7" t="s">
        <v>11</v>
      </c>
      <c r="I477" s="2" t="str">
        <f t="shared" si="38"/>
        <v>Q2</v>
      </c>
      <c r="J477" s="2" t="str">
        <f t="shared" si="39"/>
        <v>Not Match</v>
      </c>
      <c r="K477" s="2">
        <f t="shared" si="35"/>
        <v>1.004987562112089</v>
      </c>
      <c r="L477" s="2" t="str">
        <f t="shared" si="36"/>
        <v>Over Range</v>
      </c>
      <c r="M477" s="2" t="str">
        <f t="shared" si="37"/>
        <v>Assign quadrant hit</v>
      </c>
      <c r="N477" s="7">
        <v>21.4</v>
      </c>
      <c r="O477" s="7">
        <v>-0.2</v>
      </c>
      <c r="P477" s="7">
        <v>-11.3</v>
      </c>
      <c r="Q477" s="7">
        <v>1.44</v>
      </c>
      <c r="R477" s="7">
        <v>-0.1</v>
      </c>
      <c r="S477" s="7">
        <v>1</v>
      </c>
      <c r="T477" s="7">
        <v>-0.76</v>
      </c>
      <c r="U477" s="7">
        <v>-0.19</v>
      </c>
      <c r="V477" s="7">
        <v>1.64</v>
      </c>
      <c r="W477" s="7" t="s">
        <v>6</v>
      </c>
      <c r="X477" s="7" t="s">
        <v>15</v>
      </c>
      <c r="Y477" s="2" t="s">
        <v>719</v>
      </c>
      <c r="Z477" s="2" t="s">
        <v>721</v>
      </c>
    </row>
    <row r="478" spans="1:26" x14ac:dyDescent="0.35">
      <c r="A478" s="7" t="s">
        <v>1656</v>
      </c>
      <c r="B478" s="7" t="s">
        <v>483</v>
      </c>
      <c r="C478" s="4" t="str">
        <f>_xlfn.XLOOKUP(A478,[2]Sheet2!$I$2:$I$1273,[2]Sheet2!$D$2:$D$1273,0)</f>
        <v>Q1</v>
      </c>
      <c r="D478" s="4">
        <f>_xlfn.XLOOKUP(B478,[4]Sheet2!$B$2:$B$3154,[4]Sheet2!$F$2:$F$3154,0)</f>
        <v>0</v>
      </c>
      <c r="E478" s="4" t="e">
        <f>_xlfn.XLOOKUP(B478,[2]Sheet2!$E$2:$E$713,[2]Sheet2!$G$2:$G$713)</f>
        <v>#N/A</v>
      </c>
      <c r="F478" s="18">
        <v>46067</v>
      </c>
      <c r="G478" s="14">
        <v>0.65953703703703703</v>
      </c>
      <c r="H478" s="7" t="s">
        <v>11</v>
      </c>
      <c r="I478" s="2" t="str">
        <f t="shared" si="38"/>
        <v>Q1</v>
      </c>
      <c r="J478" s="2" t="str">
        <f t="shared" si="39"/>
        <v>Match</v>
      </c>
      <c r="K478" s="2">
        <f t="shared" si="35"/>
        <v>1.4764823060233401</v>
      </c>
      <c r="L478" s="2" t="e">
        <f t="shared" si="36"/>
        <v>#N/A</v>
      </c>
      <c r="M478" s="2" t="str">
        <f t="shared" si="37"/>
        <v>Failed but within quadrant</v>
      </c>
      <c r="N478" s="7">
        <v>22.6</v>
      </c>
      <c r="O478" s="7">
        <v>13.3</v>
      </c>
      <c r="P478" s="7">
        <v>11.3</v>
      </c>
      <c r="Q478" s="7">
        <v>0.62</v>
      </c>
      <c r="R478" s="7">
        <v>0.7</v>
      </c>
      <c r="S478" s="7">
        <v>1.3</v>
      </c>
      <c r="T478" s="7">
        <v>0.98</v>
      </c>
      <c r="U478" s="7">
        <v>0.76</v>
      </c>
      <c r="V478" s="7">
        <v>1.38</v>
      </c>
      <c r="W478" s="7" t="s">
        <v>6</v>
      </c>
      <c r="X478" s="7" t="s">
        <v>12</v>
      </c>
      <c r="Y478" s="2" t="s">
        <v>719</v>
      </c>
      <c r="Z478" s="2" t="s">
        <v>721</v>
      </c>
    </row>
    <row r="479" spans="1:26" x14ac:dyDescent="0.35">
      <c r="A479" s="7" t="s">
        <v>1561</v>
      </c>
      <c r="B479" s="7" t="s">
        <v>487</v>
      </c>
      <c r="C479" s="4">
        <f>_xlfn.XLOOKUP(A479,[2]Sheet2!$I$2:$I$1273,[2]Sheet2!$D$2:$D$1273,0)</f>
        <v>0</v>
      </c>
      <c r="D479" s="4">
        <f>_xlfn.XLOOKUP(B479,[4]Sheet2!$B$2:$B$3154,[4]Sheet2!$F$2:$F$3154,0)</f>
        <v>0</v>
      </c>
      <c r="E479" s="4" t="e">
        <f>_xlfn.XLOOKUP(B479,[2]Sheet2!$E$2:$E$713,[2]Sheet2!$G$2:$G$713)</f>
        <v>#N/A</v>
      </c>
      <c r="F479" s="18">
        <v>46070</v>
      </c>
      <c r="G479" s="14">
        <v>0.68483796296296295</v>
      </c>
      <c r="H479" s="7" t="s">
        <v>4</v>
      </c>
      <c r="I479" s="2" t="str">
        <f t="shared" si="38"/>
        <v>Q1</v>
      </c>
      <c r="J479" s="2" t="str">
        <f t="shared" si="39"/>
        <v>Not Found</v>
      </c>
      <c r="K479" s="2">
        <f t="shared" si="35"/>
        <v>0.4</v>
      </c>
      <c r="L479" s="2" t="e">
        <f t="shared" si="36"/>
        <v>#N/A</v>
      </c>
      <c r="M479" s="2" t="str">
        <f t="shared" si="37"/>
        <v>Assign quadrant hit</v>
      </c>
      <c r="N479" s="7">
        <v>15.3</v>
      </c>
      <c r="O479" s="7">
        <v>0</v>
      </c>
      <c r="P479" s="7">
        <v>-0.5</v>
      </c>
      <c r="Q479" s="7">
        <v>0.09</v>
      </c>
      <c r="R479" s="7">
        <v>0</v>
      </c>
      <c r="S479" s="7">
        <v>0.4</v>
      </c>
      <c r="T479" s="7">
        <v>-0.59</v>
      </c>
      <c r="U479" s="7">
        <v>0.11</v>
      </c>
      <c r="V479" s="7">
        <v>0.61</v>
      </c>
      <c r="W479" s="7" t="s">
        <v>8</v>
      </c>
      <c r="X479" s="7" t="s">
        <v>9</v>
      </c>
      <c r="Y479" s="2" t="s">
        <v>719</v>
      </c>
      <c r="Z479" s="2" t="s">
        <v>721</v>
      </c>
    </row>
    <row r="480" spans="1:26" x14ac:dyDescent="0.35">
      <c r="A480" s="7" t="s">
        <v>1650</v>
      </c>
      <c r="B480" s="7" t="s">
        <v>488</v>
      </c>
      <c r="C480" s="4">
        <f>_xlfn.XLOOKUP(A480,[2]Sheet2!$I$2:$I$1273,[2]Sheet2!$D$2:$D$1273,0)</f>
        <v>0</v>
      </c>
      <c r="D480" s="4">
        <f>_xlfn.XLOOKUP(B480,[4]Sheet2!$B$2:$B$3154,[4]Sheet2!$F$2:$F$3154,0)</f>
        <v>0</v>
      </c>
      <c r="E480" s="4" t="e">
        <f>_xlfn.XLOOKUP(B480,[2]Sheet2!$E$2:$E$713,[2]Sheet2!$G$2:$G$713)</f>
        <v>#N/A</v>
      </c>
      <c r="F480" s="18">
        <v>46070</v>
      </c>
      <c r="G480" s="14">
        <v>0.69167824074074069</v>
      </c>
      <c r="H480" s="7" t="s">
        <v>5</v>
      </c>
      <c r="I480" s="2" t="str">
        <f t="shared" si="38"/>
        <v>Q4</v>
      </c>
      <c r="J480" s="2" t="str">
        <f t="shared" si="39"/>
        <v>Not Found</v>
      </c>
      <c r="K480" s="2">
        <f t="shared" si="35"/>
        <v>0.2</v>
      </c>
      <c r="L480" s="2" t="e">
        <f t="shared" si="36"/>
        <v>#N/A</v>
      </c>
      <c r="M480" s="2" t="str">
        <f t="shared" si="37"/>
        <v>Assign quadrant hit</v>
      </c>
      <c r="N480" s="7">
        <v>16.3</v>
      </c>
      <c r="O480" s="7">
        <v>-0.7</v>
      </c>
      <c r="P480" s="7">
        <v>-2.9</v>
      </c>
      <c r="Q480" s="7">
        <v>0.44</v>
      </c>
      <c r="R480" s="7">
        <v>0</v>
      </c>
      <c r="S480" s="7">
        <v>-0.2</v>
      </c>
      <c r="T480" s="7">
        <v>0.31</v>
      </c>
      <c r="U480" s="7">
        <v>0</v>
      </c>
      <c r="V480" s="7">
        <v>0.53</v>
      </c>
      <c r="W480" s="7" t="s">
        <v>8</v>
      </c>
      <c r="X480" s="7" t="s">
        <v>9</v>
      </c>
      <c r="Y480" s="2" t="s">
        <v>719</v>
      </c>
      <c r="Z480" s="2" t="s">
        <v>721</v>
      </c>
    </row>
    <row r="481" spans="1:26" x14ac:dyDescent="0.35">
      <c r="A481" s="7" t="s">
        <v>1616</v>
      </c>
      <c r="B481" s="7" t="s">
        <v>489</v>
      </c>
      <c r="C481" s="4">
        <f>_xlfn.XLOOKUP(A481,[2]Sheet2!$I$2:$I$1273,[2]Sheet2!$D$2:$D$1273,0)</f>
        <v>0</v>
      </c>
      <c r="D481" s="4">
        <f>_xlfn.XLOOKUP(B481,[4]Sheet2!$B$2:$B$3154,[4]Sheet2!$F$2:$F$3154,0)</f>
        <v>0</v>
      </c>
      <c r="E481" s="4" t="e">
        <f>_xlfn.XLOOKUP(B481,[2]Sheet2!$E$2:$E$713,[2]Sheet2!$G$2:$G$713)</f>
        <v>#N/A</v>
      </c>
      <c r="F481" s="18">
        <v>46070</v>
      </c>
      <c r="G481" s="14">
        <v>0.69954861111111111</v>
      </c>
      <c r="H481" s="7" t="s">
        <v>4</v>
      </c>
      <c r="I481" s="2" t="str">
        <f t="shared" si="38"/>
        <v>Q1</v>
      </c>
      <c r="J481" s="2" t="str">
        <f t="shared" si="39"/>
        <v>Not Found</v>
      </c>
      <c r="K481" s="2">
        <f t="shared" si="35"/>
        <v>0.4</v>
      </c>
      <c r="L481" s="2" t="e">
        <f t="shared" si="36"/>
        <v>#N/A</v>
      </c>
      <c r="M481" s="2" t="str">
        <f t="shared" si="37"/>
        <v>Assign quadrant hit</v>
      </c>
      <c r="N481" s="7">
        <v>26.6</v>
      </c>
      <c r="O481" s="7">
        <v>5.4</v>
      </c>
      <c r="P481" s="7">
        <v>5.5</v>
      </c>
      <c r="Q481" s="7">
        <v>0.16</v>
      </c>
      <c r="R481" s="7">
        <v>0</v>
      </c>
      <c r="S481" s="7">
        <v>0.4</v>
      </c>
      <c r="T481" s="7">
        <v>0.34</v>
      </c>
      <c r="U481" s="7">
        <v>0.41</v>
      </c>
      <c r="V481" s="7">
        <v>0.56000000000000005</v>
      </c>
      <c r="W481" s="7" t="s">
        <v>8</v>
      </c>
      <c r="X481" s="7" t="s">
        <v>12</v>
      </c>
      <c r="Y481" s="2" t="s">
        <v>719</v>
      </c>
      <c r="Z481" s="2" t="s">
        <v>721</v>
      </c>
    </row>
    <row r="482" spans="1:26" x14ac:dyDescent="0.35">
      <c r="A482" s="7" t="s">
        <v>1571</v>
      </c>
      <c r="B482" s="7" t="s">
        <v>490</v>
      </c>
      <c r="C482" s="4" t="str">
        <f>_xlfn.XLOOKUP(A482,[2]Sheet2!$I$2:$I$1273,[2]Sheet2!$D$2:$D$1273,0)</f>
        <v>Q1</v>
      </c>
      <c r="D482" s="4">
        <f>_xlfn.XLOOKUP(B482,[4]Sheet2!$B$2:$B$3154,[4]Sheet2!$F$2:$F$3154,0)</f>
        <v>0</v>
      </c>
      <c r="E482" s="4" t="e">
        <f>_xlfn.XLOOKUP(B482,[2]Sheet2!$E$2:$E$713,[2]Sheet2!$G$2:$G$713)</f>
        <v>#N/A</v>
      </c>
      <c r="F482" s="18">
        <v>46070</v>
      </c>
      <c r="G482" s="14">
        <v>0.70269675925925923</v>
      </c>
      <c r="H482" s="7" t="s">
        <v>5</v>
      </c>
      <c r="I482" s="2" t="str">
        <f t="shared" si="38"/>
        <v>Q1</v>
      </c>
      <c r="J482" s="2" t="str">
        <f t="shared" si="39"/>
        <v>Match</v>
      </c>
      <c r="K482" s="2">
        <f t="shared" si="35"/>
        <v>0</v>
      </c>
      <c r="L482" s="2" t="e">
        <f t="shared" si="36"/>
        <v>#N/A</v>
      </c>
      <c r="M482" s="2" t="str">
        <f t="shared" si="37"/>
        <v>Digital Approve Hit</v>
      </c>
      <c r="N482" s="7">
        <v>18.3</v>
      </c>
      <c r="O482" s="7">
        <v>-0.2</v>
      </c>
      <c r="P482" s="7">
        <v>-1.8</v>
      </c>
      <c r="Q482" s="7">
        <v>0.22</v>
      </c>
      <c r="R482" s="7">
        <v>0</v>
      </c>
      <c r="S482" s="7">
        <v>0</v>
      </c>
      <c r="T482" s="7">
        <v>-0.04</v>
      </c>
      <c r="U482" s="7">
        <v>0</v>
      </c>
      <c r="V482" s="7">
        <v>0.23</v>
      </c>
      <c r="W482" s="7" t="s">
        <v>8</v>
      </c>
      <c r="X482" s="7" t="s">
        <v>15</v>
      </c>
      <c r="Y482" s="2" t="s">
        <v>719</v>
      </c>
      <c r="Z482" s="2" t="s">
        <v>721</v>
      </c>
    </row>
    <row r="483" spans="1:26" x14ac:dyDescent="0.35">
      <c r="A483" s="7" t="s">
        <v>1613</v>
      </c>
      <c r="B483" s="7" t="s">
        <v>491</v>
      </c>
      <c r="C483" s="4" t="str">
        <f>_xlfn.XLOOKUP(A483,[2]Sheet2!$I$2:$I$1273,[2]Sheet2!$D$2:$D$1273,0)</f>
        <v>Q2</v>
      </c>
      <c r="D483" s="4">
        <f>_xlfn.XLOOKUP(B483,[4]Sheet2!$B$2:$B$3154,[4]Sheet2!$F$2:$F$3154,0)</f>
        <v>0</v>
      </c>
      <c r="E483" s="4" t="e">
        <f>_xlfn.XLOOKUP(B483,[2]Sheet2!$E$2:$E$713,[2]Sheet2!$G$2:$G$713)</f>
        <v>#N/A</v>
      </c>
      <c r="F483" s="18">
        <v>46070</v>
      </c>
      <c r="G483" s="14">
        <v>0.70728009259259261</v>
      </c>
      <c r="H483" s="7" t="s">
        <v>5</v>
      </c>
      <c r="I483" s="2" t="str">
        <f t="shared" si="38"/>
        <v>Q1</v>
      </c>
      <c r="J483" s="2" t="str">
        <f t="shared" si="39"/>
        <v>Not Match</v>
      </c>
      <c r="K483" s="2">
        <f t="shared" si="35"/>
        <v>0.1</v>
      </c>
      <c r="L483" s="2" t="e">
        <f t="shared" si="36"/>
        <v>#N/A</v>
      </c>
      <c r="M483" s="2" t="str">
        <f t="shared" si="37"/>
        <v>Below 0.8 not in assigned quadrant</v>
      </c>
      <c r="N483" s="7">
        <v>17.7</v>
      </c>
      <c r="O483" s="7">
        <v>-0.3</v>
      </c>
      <c r="P483" s="7">
        <v>-1.8</v>
      </c>
      <c r="Q483" s="7">
        <v>0.02</v>
      </c>
      <c r="R483" s="7">
        <v>0</v>
      </c>
      <c r="S483" s="7">
        <v>0.1</v>
      </c>
      <c r="T483" s="7">
        <v>-0.18</v>
      </c>
      <c r="U483" s="7">
        <v>7.0000000000000007E-2</v>
      </c>
      <c r="V483" s="7">
        <v>0.19</v>
      </c>
      <c r="W483" s="7" t="s">
        <v>8</v>
      </c>
      <c r="X483" s="7" t="s">
        <v>9</v>
      </c>
      <c r="Y483" s="2" t="s">
        <v>719</v>
      </c>
      <c r="Z483" s="2" t="s">
        <v>721</v>
      </c>
    </row>
    <row r="484" spans="1:26" x14ac:dyDescent="0.35">
      <c r="A484" s="7" t="s">
        <v>1657</v>
      </c>
      <c r="B484" s="7" t="s">
        <v>492</v>
      </c>
      <c r="C484" s="4">
        <f>_xlfn.XLOOKUP(A484,[2]Sheet2!$I$2:$I$1273,[2]Sheet2!$D$2:$D$1273,0)</f>
        <v>0</v>
      </c>
      <c r="D484" s="4">
        <f>_xlfn.XLOOKUP(B484,[4]Sheet2!$B$2:$B$3154,[4]Sheet2!$F$2:$F$3154,0)</f>
        <v>0</v>
      </c>
      <c r="E484" s="4" t="e">
        <f>_xlfn.XLOOKUP(B484,[2]Sheet2!$E$2:$E$713,[2]Sheet2!$G$2:$G$713)</f>
        <v>#N/A</v>
      </c>
      <c r="F484" s="18">
        <v>46070</v>
      </c>
      <c r="G484" s="14">
        <v>0.75763888888888886</v>
      </c>
      <c r="H484" s="7" t="s">
        <v>4</v>
      </c>
      <c r="I484" s="2" t="str">
        <f t="shared" si="38"/>
        <v>Q4</v>
      </c>
      <c r="J484" s="2" t="str">
        <f t="shared" si="39"/>
        <v>Not Found</v>
      </c>
      <c r="K484" s="2">
        <f t="shared" si="35"/>
        <v>0.22360679774997899</v>
      </c>
      <c r="L484" s="2" t="e">
        <f t="shared" si="36"/>
        <v>#N/A</v>
      </c>
      <c r="M484" s="2" t="str">
        <f t="shared" si="37"/>
        <v>Assign quadrant hit</v>
      </c>
      <c r="N484" s="7">
        <v>23.6</v>
      </c>
      <c r="O484" s="7">
        <v>4.5999999999999996</v>
      </c>
      <c r="P484" s="7">
        <v>4.3</v>
      </c>
      <c r="Q484" s="7">
        <v>0.56000000000000005</v>
      </c>
      <c r="R484" s="7">
        <v>0.1</v>
      </c>
      <c r="S484" s="7">
        <v>-0.2</v>
      </c>
      <c r="T484" s="7">
        <v>-0.04</v>
      </c>
      <c r="U484" s="7">
        <v>-0.48</v>
      </c>
      <c r="V484" s="7">
        <v>0.74</v>
      </c>
      <c r="W484" s="7" t="s">
        <v>8</v>
      </c>
      <c r="X484" s="7" t="s">
        <v>9</v>
      </c>
      <c r="Y484" s="2" t="s">
        <v>719</v>
      </c>
      <c r="Z484" s="2" t="s">
        <v>721</v>
      </c>
    </row>
    <row r="485" spans="1:26" x14ac:dyDescent="0.35">
      <c r="A485" s="7" t="s">
        <v>1574</v>
      </c>
      <c r="B485" s="7" t="s">
        <v>493</v>
      </c>
      <c r="C485" s="4" t="str">
        <f>_xlfn.XLOOKUP(A485,[2]Sheet2!$I$2:$I$1273,[2]Sheet2!$D$2:$D$1273,0)</f>
        <v>Q2</v>
      </c>
      <c r="D485" s="4">
        <f>_xlfn.XLOOKUP(B485,[4]Sheet2!$B$2:$B$3154,[4]Sheet2!$F$2:$F$3154,0)</f>
        <v>0</v>
      </c>
      <c r="E485" s="4" t="e">
        <f>_xlfn.XLOOKUP(B485,[2]Sheet2!$E$2:$E$713,[2]Sheet2!$G$2:$G$713)</f>
        <v>#N/A</v>
      </c>
      <c r="F485" s="18">
        <v>46070</v>
      </c>
      <c r="G485" s="14">
        <v>0.76076388888888891</v>
      </c>
      <c r="H485" s="7" t="s">
        <v>11</v>
      </c>
      <c r="I485" s="2" t="str">
        <f t="shared" si="38"/>
        <v>Q3</v>
      </c>
      <c r="J485" s="2" t="str">
        <f t="shared" si="39"/>
        <v>Not Match</v>
      </c>
      <c r="K485" s="2">
        <f t="shared" si="35"/>
        <v>0.1</v>
      </c>
      <c r="L485" s="2" t="e">
        <f t="shared" si="36"/>
        <v>#N/A</v>
      </c>
      <c r="M485" s="2" t="str">
        <f t="shared" si="37"/>
        <v>Assign quadrant hit</v>
      </c>
      <c r="N485" s="7">
        <v>19.2</v>
      </c>
      <c r="O485" s="7">
        <v>-0.3</v>
      </c>
      <c r="P485" s="7">
        <v>-12.4</v>
      </c>
      <c r="Q485" s="7">
        <v>0.84</v>
      </c>
      <c r="R485" s="7">
        <v>-0.1</v>
      </c>
      <c r="S485" s="7">
        <v>0</v>
      </c>
      <c r="T485" s="7">
        <v>7.0000000000000007E-2</v>
      </c>
      <c r="U485" s="7">
        <v>-0.18</v>
      </c>
      <c r="V485" s="7">
        <v>0.86</v>
      </c>
      <c r="W485" s="7" t="s">
        <v>13</v>
      </c>
      <c r="X485" s="7" t="s">
        <v>15</v>
      </c>
      <c r="Y485" s="2" t="s">
        <v>719</v>
      </c>
      <c r="Z485" s="2" t="s">
        <v>721</v>
      </c>
    </row>
    <row r="486" spans="1:26" x14ac:dyDescent="0.35">
      <c r="A486" s="7" t="s">
        <v>1635</v>
      </c>
      <c r="B486" s="7" t="s">
        <v>494</v>
      </c>
      <c r="C486" s="4">
        <f>_xlfn.XLOOKUP(A486,[2]Sheet2!$I$2:$I$1273,[2]Sheet2!$D$2:$D$1273,0)</f>
        <v>0</v>
      </c>
      <c r="D486" s="4">
        <f>_xlfn.XLOOKUP(B486,[4]Sheet2!$B$2:$B$3154,[4]Sheet2!$F$2:$F$3154,0)</f>
        <v>0</v>
      </c>
      <c r="E486" s="4" t="e">
        <f>_xlfn.XLOOKUP(B486,[2]Sheet2!$E$2:$E$713,[2]Sheet2!$G$2:$G$713)</f>
        <v>#N/A</v>
      </c>
      <c r="F486" s="18">
        <v>46070</v>
      </c>
      <c r="G486" s="14">
        <v>0.77158564814814812</v>
      </c>
      <c r="H486" s="7" t="s">
        <v>5</v>
      </c>
      <c r="I486" s="2" t="str">
        <f t="shared" si="38"/>
        <v>Q4</v>
      </c>
      <c r="J486" s="2" t="str">
        <f t="shared" si="39"/>
        <v>Not Found</v>
      </c>
      <c r="K486" s="2">
        <f t="shared" si="35"/>
        <v>0.4</v>
      </c>
      <c r="L486" s="2" t="e">
        <f t="shared" si="36"/>
        <v>#N/A</v>
      </c>
      <c r="M486" s="2" t="str">
        <f t="shared" si="37"/>
        <v>Assign quadrant hit</v>
      </c>
      <c r="N486" s="7">
        <v>19.399999999999999</v>
      </c>
      <c r="O486" s="7">
        <v>-1.1000000000000001</v>
      </c>
      <c r="P486" s="7">
        <v>-10.7</v>
      </c>
      <c r="Q486" s="7">
        <v>0.59</v>
      </c>
      <c r="R486" s="7">
        <v>0</v>
      </c>
      <c r="S486" s="7">
        <v>-0.4</v>
      </c>
      <c r="T486" s="7">
        <v>0.33</v>
      </c>
      <c r="U486" s="7">
        <v>-0.05</v>
      </c>
      <c r="V486" s="7">
        <v>0.68</v>
      </c>
      <c r="W486" s="7" t="s">
        <v>8</v>
      </c>
      <c r="X486" s="7" t="s">
        <v>15</v>
      </c>
      <c r="Y486" s="2" t="s">
        <v>719</v>
      </c>
      <c r="Z486" s="2" t="s">
        <v>721</v>
      </c>
    </row>
    <row r="487" spans="1:26" x14ac:dyDescent="0.35">
      <c r="A487" s="7" t="s">
        <v>1658</v>
      </c>
      <c r="B487" s="7" t="s">
        <v>495</v>
      </c>
      <c r="C487" s="4" t="str">
        <f>_xlfn.XLOOKUP(A487,[2]Sheet2!$I$2:$I$1273,[2]Sheet2!$D$2:$D$1273,0)</f>
        <v>Q4</v>
      </c>
      <c r="D487" s="4">
        <f>_xlfn.XLOOKUP(B487,[4]Sheet2!$B$2:$B$3154,[4]Sheet2!$F$2:$F$3154,0)</f>
        <v>0</v>
      </c>
      <c r="E487" s="4" t="e">
        <f>_xlfn.XLOOKUP(B487,[2]Sheet2!$E$2:$E$713,[2]Sheet2!$G$2:$G$713)</f>
        <v>#N/A</v>
      </c>
      <c r="F487" s="18">
        <v>46070</v>
      </c>
      <c r="G487" s="14">
        <v>0.78951388888888885</v>
      </c>
      <c r="H487" s="7" t="s">
        <v>4</v>
      </c>
      <c r="I487" s="2" t="str">
        <f t="shared" si="38"/>
        <v>Q3</v>
      </c>
      <c r="J487" s="2" t="str">
        <f t="shared" si="39"/>
        <v>Not Match</v>
      </c>
      <c r="K487" s="2">
        <f t="shared" si="35"/>
        <v>0.31622776601683794</v>
      </c>
      <c r="L487" s="2" t="e">
        <f t="shared" si="36"/>
        <v>#N/A</v>
      </c>
      <c r="M487" s="2" t="str">
        <f t="shared" si="37"/>
        <v>Below 0.8 not in assigned quadrant</v>
      </c>
      <c r="N487" s="7">
        <v>42</v>
      </c>
      <c r="O487" s="7">
        <v>7</v>
      </c>
      <c r="P487" s="7">
        <v>8.3000000000000007</v>
      </c>
      <c r="Q487" s="7">
        <v>-0.28999999999999998</v>
      </c>
      <c r="R487" s="7">
        <v>-0.1</v>
      </c>
      <c r="S487" s="7">
        <v>-0.3</v>
      </c>
      <c r="T487" s="7">
        <v>-0.26</v>
      </c>
      <c r="U487" s="7">
        <v>-0.28000000000000003</v>
      </c>
      <c r="V487" s="7">
        <v>0.48</v>
      </c>
      <c r="W487" s="7" t="s">
        <v>8</v>
      </c>
      <c r="X487" s="7" t="s">
        <v>9</v>
      </c>
      <c r="Y487" s="2" t="s">
        <v>719</v>
      </c>
      <c r="Z487" s="2" t="s">
        <v>721</v>
      </c>
    </row>
    <row r="488" spans="1:26" x14ac:dyDescent="0.35">
      <c r="A488" s="7" t="s">
        <v>1656</v>
      </c>
      <c r="B488" s="7" t="s">
        <v>468</v>
      </c>
      <c r="C488" s="4" t="str">
        <f>_xlfn.XLOOKUP(A488,[2]Sheet2!$I$2:$I$1273,[2]Sheet2!$D$2:$D$1273,0)</f>
        <v>Q1</v>
      </c>
      <c r="D488" s="4">
        <f>_xlfn.XLOOKUP(B488,[4]Sheet2!$B$2:$B$3154,[4]Sheet2!$F$2:$F$3154,0)</f>
        <v>0</v>
      </c>
      <c r="E488" s="4">
        <f>_xlfn.XLOOKUP(B488,[2]Sheet2!$E$2:$E$713,[2]Sheet2!$G$2:$G$713)</f>
        <v>0.8</v>
      </c>
      <c r="F488" s="18">
        <v>46071</v>
      </c>
      <c r="G488" s="14">
        <v>0.87912037037037039</v>
      </c>
      <c r="H488" s="7" t="s">
        <v>11</v>
      </c>
      <c r="I488" s="2" t="str">
        <f t="shared" si="38"/>
        <v>Q4</v>
      </c>
      <c r="J488" s="2" t="str">
        <f t="shared" si="39"/>
        <v>Not Match</v>
      </c>
      <c r="K488" s="2">
        <f t="shared" si="35"/>
        <v>0.41231056256176613</v>
      </c>
      <c r="L488" s="2" t="str">
        <f t="shared" si="36"/>
        <v>Within Range</v>
      </c>
      <c r="M488" s="2" t="str">
        <f t="shared" si="37"/>
        <v>Below 0.8 not in assigned quadrant</v>
      </c>
      <c r="N488" s="7">
        <v>21.5</v>
      </c>
      <c r="O488" s="7">
        <v>13</v>
      </c>
      <c r="P488" s="7">
        <v>9.9</v>
      </c>
      <c r="Q488" s="7">
        <v>-0.21</v>
      </c>
      <c r="R488" s="7">
        <v>0.4</v>
      </c>
      <c r="S488" s="7">
        <v>-0.1</v>
      </c>
      <c r="T488" s="7">
        <v>0.19</v>
      </c>
      <c r="U488" s="7">
        <v>-0.52</v>
      </c>
      <c r="V488" s="7">
        <v>0.59</v>
      </c>
      <c r="W488" s="7" t="s">
        <v>8</v>
      </c>
      <c r="X488" s="7" t="s">
        <v>7</v>
      </c>
      <c r="Y488" s="2" t="s">
        <v>719</v>
      </c>
      <c r="Z488" s="2" t="s">
        <v>721</v>
      </c>
    </row>
    <row r="489" spans="1:26" x14ac:dyDescent="0.35">
      <c r="A489" s="7" t="s">
        <v>1516</v>
      </c>
      <c r="B489" s="7" t="s">
        <v>497</v>
      </c>
      <c r="C489" s="4" t="str">
        <f>_xlfn.XLOOKUP(A489,[2]Sheet2!$I$2:$I$1273,[2]Sheet2!$D$2:$D$1273,0)</f>
        <v>Q2</v>
      </c>
      <c r="D489" s="4">
        <f>_xlfn.XLOOKUP(B489,[4]Sheet2!$B$2:$B$3154,[4]Sheet2!$F$2:$F$3154,0)</f>
        <v>0</v>
      </c>
      <c r="E489" s="4" t="e">
        <f>_xlfn.XLOOKUP(B489,[2]Sheet2!$E$2:$E$713,[2]Sheet2!$G$2:$G$713)</f>
        <v>#N/A</v>
      </c>
      <c r="F489" s="18">
        <v>46071</v>
      </c>
      <c r="G489" s="14">
        <v>8.9641203703703709E-2</v>
      </c>
      <c r="H489" s="7" t="s">
        <v>4</v>
      </c>
      <c r="I489" s="2" t="str">
        <f t="shared" si="38"/>
        <v>Q2</v>
      </c>
      <c r="J489" s="2" t="str">
        <f t="shared" si="39"/>
        <v>Match</v>
      </c>
      <c r="K489" s="2">
        <f t="shared" si="35"/>
        <v>0</v>
      </c>
      <c r="L489" s="2" t="e">
        <f t="shared" si="36"/>
        <v>#N/A</v>
      </c>
      <c r="M489" s="2" t="str">
        <f t="shared" si="37"/>
        <v>Digital Approve Hit</v>
      </c>
      <c r="N489" s="7">
        <v>18.399999999999999</v>
      </c>
      <c r="O489" s="7">
        <v>-1.5</v>
      </c>
      <c r="P489" s="7">
        <v>-1.6</v>
      </c>
      <c r="Q489" s="7">
        <v>-0.02</v>
      </c>
      <c r="R489" s="7">
        <v>0</v>
      </c>
      <c r="S489" s="7">
        <v>0</v>
      </c>
      <c r="T489" s="7">
        <v>0.02</v>
      </c>
      <c r="U489" s="7">
        <v>-0.11</v>
      </c>
      <c r="V489" s="7">
        <v>0.12</v>
      </c>
      <c r="W489" s="7" t="s">
        <v>8</v>
      </c>
      <c r="X489" s="7" t="s">
        <v>12</v>
      </c>
      <c r="Y489" s="2" t="s">
        <v>719</v>
      </c>
      <c r="Z489" s="2" t="s">
        <v>721</v>
      </c>
    </row>
    <row r="490" spans="1:26" x14ac:dyDescent="0.35">
      <c r="A490" s="7" t="s">
        <v>1545</v>
      </c>
      <c r="B490" s="7" t="s">
        <v>498</v>
      </c>
      <c r="C490" s="4" t="str">
        <f>_xlfn.XLOOKUP(A490,[2]Sheet2!$I$2:$I$1273,[2]Sheet2!$D$2:$D$1273,0)</f>
        <v>Q2</v>
      </c>
      <c r="D490" s="4">
        <f>_xlfn.XLOOKUP(B490,[4]Sheet2!$B$2:$B$3154,[4]Sheet2!$F$2:$F$3154,0)</f>
        <v>0</v>
      </c>
      <c r="E490" s="4" t="e">
        <f>_xlfn.XLOOKUP(B490,[2]Sheet2!$E$2:$E$713,[2]Sheet2!$G$2:$G$713)</f>
        <v>#N/A</v>
      </c>
      <c r="F490" s="18">
        <v>46071</v>
      </c>
      <c r="G490" s="14">
        <v>9.1354166666666667E-2</v>
      </c>
      <c r="H490" s="7" t="s">
        <v>5</v>
      </c>
      <c r="I490" s="2" t="str">
        <f t="shared" si="38"/>
        <v>Q4</v>
      </c>
      <c r="J490" s="2" t="str">
        <f t="shared" si="39"/>
        <v>Not Match</v>
      </c>
      <c r="K490" s="2">
        <f t="shared" si="35"/>
        <v>0.2</v>
      </c>
      <c r="L490" s="2" t="e">
        <f t="shared" si="36"/>
        <v>#N/A</v>
      </c>
      <c r="M490" s="2" t="str">
        <f t="shared" si="37"/>
        <v>Below 0.8 not in assigned quadrant</v>
      </c>
      <c r="N490" s="7">
        <v>17.2</v>
      </c>
      <c r="O490" s="7">
        <v>-0.6</v>
      </c>
      <c r="P490" s="7">
        <v>-2.6</v>
      </c>
      <c r="Q490" s="7">
        <v>-0.7</v>
      </c>
      <c r="R490" s="7">
        <v>0</v>
      </c>
      <c r="S490" s="7">
        <v>-0.2</v>
      </c>
      <c r="T490" s="7">
        <v>0.32</v>
      </c>
      <c r="U490" s="7">
        <v>0.16</v>
      </c>
      <c r="V490" s="7">
        <v>0.78</v>
      </c>
      <c r="W490" s="7" t="s">
        <v>13</v>
      </c>
      <c r="X490" s="7" t="s">
        <v>9</v>
      </c>
      <c r="Y490" s="2" t="s">
        <v>719</v>
      </c>
      <c r="Z490" s="2" t="s">
        <v>721</v>
      </c>
    </row>
    <row r="491" spans="1:26" x14ac:dyDescent="0.35">
      <c r="A491" s="7" t="s">
        <v>1613</v>
      </c>
      <c r="B491" s="7" t="s">
        <v>499</v>
      </c>
      <c r="C491" s="4" t="str">
        <f>_xlfn.XLOOKUP(A491,[2]Sheet2!$I$2:$I$1273,[2]Sheet2!$D$2:$D$1273,0)</f>
        <v>Q2</v>
      </c>
      <c r="D491" s="4">
        <f>_xlfn.XLOOKUP(B491,[4]Sheet2!$B$2:$B$3154,[4]Sheet2!$F$2:$F$3154,0)</f>
        <v>0</v>
      </c>
      <c r="E491" s="4" t="e">
        <f>_xlfn.XLOOKUP(B491,[2]Sheet2!$E$2:$E$713,[2]Sheet2!$G$2:$G$713)</f>
        <v>#N/A</v>
      </c>
      <c r="F491" s="18">
        <v>46071</v>
      </c>
      <c r="G491" s="14">
        <v>9.357638888888889E-2</v>
      </c>
      <c r="H491" s="7" t="s">
        <v>5</v>
      </c>
      <c r="I491" s="2" t="str">
        <f t="shared" si="38"/>
        <v>Q1</v>
      </c>
      <c r="J491" s="2" t="str">
        <f t="shared" si="39"/>
        <v>Not Match</v>
      </c>
      <c r="K491" s="2">
        <f t="shared" si="35"/>
        <v>0.2</v>
      </c>
      <c r="L491" s="2" t="e">
        <f t="shared" si="36"/>
        <v>#N/A</v>
      </c>
      <c r="M491" s="2" t="str">
        <f t="shared" si="37"/>
        <v>Below 0.8 not in assigned quadrant</v>
      </c>
      <c r="N491" s="7">
        <v>17.399999999999999</v>
      </c>
      <c r="O491" s="7">
        <v>-0.3</v>
      </c>
      <c r="P491" s="7">
        <v>-1.7</v>
      </c>
      <c r="Q491" s="7">
        <v>-0.22</v>
      </c>
      <c r="R491" s="7">
        <v>0</v>
      </c>
      <c r="S491" s="7">
        <v>0.2</v>
      </c>
      <c r="T491" s="7">
        <v>-0.3</v>
      </c>
      <c r="U491" s="7">
        <v>-0.01</v>
      </c>
      <c r="V491" s="7">
        <v>0.37</v>
      </c>
      <c r="W491" s="7" t="s">
        <v>8</v>
      </c>
      <c r="X491" s="7" t="s">
        <v>15</v>
      </c>
      <c r="Y491" s="2" t="s">
        <v>719</v>
      </c>
      <c r="Z491" s="2" t="s">
        <v>721</v>
      </c>
    </row>
    <row r="492" spans="1:26" x14ac:dyDescent="0.35">
      <c r="A492" s="7" t="s">
        <v>1642</v>
      </c>
      <c r="B492" s="7" t="s">
        <v>500</v>
      </c>
      <c r="C492" s="4" t="str">
        <f>_xlfn.XLOOKUP(A492,[2]Sheet2!$I$2:$I$1273,[2]Sheet2!$D$2:$D$1273,0)</f>
        <v>Q3</v>
      </c>
      <c r="D492" s="4">
        <f>_xlfn.XLOOKUP(B492,[4]Sheet2!$B$2:$B$3154,[4]Sheet2!$F$2:$F$3154,0)</f>
        <v>0</v>
      </c>
      <c r="E492" s="4">
        <f>_xlfn.XLOOKUP(B492,[2]Sheet2!$E$2:$E$713,[2]Sheet2!$G$2:$G$713)</f>
        <v>0.8</v>
      </c>
      <c r="F492" s="18">
        <v>46071</v>
      </c>
      <c r="G492" s="14">
        <v>0.10740740740740741</v>
      </c>
      <c r="H492" s="7" t="s">
        <v>11</v>
      </c>
      <c r="I492" s="2" t="str">
        <f t="shared" si="38"/>
        <v>Q4</v>
      </c>
      <c r="J492" s="2" t="str">
        <f t="shared" si="39"/>
        <v>Not Match</v>
      </c>
      <c r="K492" s="2">
        <f t="shared" si="35"/>
        <v>0.2</v>
      </c>
      <c r="L492" s="2" t="str">
        <f t="shared" si="36"/>
        <v>Within Range</v>
      </c>
      <c r="M492" s="2" t="str">
        <f t="shared" si="37"/>
        <v>Below 0.8 not in assigned quadrant</v>
      </c>
      <c r="N492" s="7">
        <v>20.5</v>
      </c>
      <c r="O492" s="7">
        <v>12</v>
      </c>
      <c r="P492" s="7">
        <v>-2.6</v>
      </c>
      <c r="Q492" s="7">
        <v>0.39</v>
      </c>
      <c r="R492" s="7">
        <v>0.2</v>
      </c>
      <c r="S492" s="7">
        <v>0</v>
      </c>
      <c r="T492" s="7">
        <v>0.18</v>
      </c>
      <c r="U492" s="7">
        <v>0.12</v>
      </c>
      <c r="V492" s="7">
        <v>0.44</v>
      </c>
      <c r="W492" s="7" t="s">
        <v>8</v>
      </c>
      <c r="X492" s="7" t="s">
        <v>9</v>
      </c>
      <c r="Y492" s="2" t="s">
        <v>719</v>
      </c>
      <c r="Z492" s="2" t="s">
        <v>721</v>
      </c>
    </row>
    <row r="493" spans="1:26" x14ac:dyDescent="0.35">
      <c r="A493" s="7" t="s">
        <v>1612</v>
      </c>
      <c r="B493" s="7" t="s">
        <v>496</v>
      </c>
      <c r="C493" s="4" t="str">
        <f>_xlfn.XLOOKUP(A493,[2]Sheet2!$I$2:$I$1273,[2]Sheet2!$D$2:$D$1273,0)</f>
        <v>Q1</v>
      </c>
      <c r="D493" s="4">
        <f>_xlfn.XLOOKUP(B493,[4]Sheet2!$B$2:$B$3154,[4]Sheet2!$F$2:$F$3154,0)</f>
        <v>0</v>
      </c>
      <c r="E493" s="4" t="e">
        <f>_xlfn.XLOOKUP(B493,[2]Sheet2!$E$2:$E$713,[2]Sheet2!$G$2:$G$713)</f>
        <v>#N/A</v>
      </c>
      <c r="F493" s="18">
        <v>46071</v>
      </c>
      <c r="G493" s="14">
        <v>0.17288194444444444</v>
      </c>
      <c r="H493" s="7" t="s">
        <v>5</v>
      </c>
      <c r="I493" s="2" t="str">
        <f t="shared" si="38"/>
        <v>Q1</v>
      </c>
      <c r="J493" s="2" t="str">
        <f t="shared" si="39"/>
        <v>Match</v>
      </c>
      <c r="K493" s="2">
        <f t="shared" si="35"/>
        <v>0</v>
      </c>
      <c r="L493" s="2" t="e">
        <f t="shared" si="36"/>
        <v>#N/A</v>
      </c>
      <c r="M493" s="2" t="str">
        <f t="shared" si="37"/>
        <v>Failed but within quadrant</v>
      </c>
      <c r="N493" s="7">
        <v>16.5</v>
      </c>
      <c r="O493" s="7">
        <v>-0.3</v>
      </c>
      <c r="P493" s="7">
        <v>-3.5</v>
      </c>
      <c r="Q493" s="7">
        <v>-1.02</v>
      </c>
      <c r="R493" s="7">
        <v>0</v>
      </c>
      <c r="S493" s="7">
        <v>0</v>
      </c>
      <c r="T493" s="7">
        <v>-0.01</v>
      </c>
      <c r="U493" s="7">
        <v>-0.1</v>
      </c>
      <c r="V493" s="7">
        <v>1.03</v>
      </c>
      <c r="W493" s="7" t="s">
        <v>6</v>
      </c>
      <c r="X493" s="7" t="s">
        <v>15</v>
      </c>
      <c r="Y493" s="2" t="s">
        <v>719</v>
      </c>
      <c r="Z493" s="2" t="s">
        <v>721</v>
      </c>
    </row>
    <row r="494" spans="1:26" x14ac:dyDescent="0.35">
      <c r="A494" s="7" t="s">
        <v>1520</v>
      </c>
      <c r="B494" s="7" t="s">
        <v>501</v>
      </c>
      <c r="C494" s="4" t="str">
        <f>_xlfn.XLOOKUP(A494,[2]Sheet2!$I$2:$I$1273,[2]Sheet2!$D$2:$D$1273,0)</f>
        <v>Q1</v>
      </c>
      <c r="D494" s="4">
        <f>_xlfn.XLOOKUP(B494,[4]Sheet2!$B$2:$B$3154,[4]Sheet2!$F$2:$F$3154,0)</f>
        <v>0</v>
      </c>
      <c r="E494" s="4" t="e">
        <f>_xlfn.XLOOKUP(B494,[2]Sheet2!$E$2:$E$713,[2]Sheet2!$G$2:$G$713)</f>
        <v>#N/A</v>
      </c>
      <c r="F494" s="18">
        <v>46071</v>
      </c>
      <c r="G494" s="14">
        <v>0.17660879629629631</v>
      </c>
      <c r="H494" s="7" t="s">
        <v>11</v>
      </c>
      <c r="I494" s="2" t="str">
        <f t="shared" si="38"/>
        <v>Q1</v>
      </c>
      <c r="J494" s="2" t="str">
        <f t="shared" si="39"/>
        <v>Match</v>
      </c>
      <c r="K494" s="2">
        <f t="shared" si="35"/>
        <v>0.58309518948452999</v>
      </c>
      <c r="L494" s="2" t="e">
        <f t="shared" si="36"/>
        <v>#N/A</v>
      </c>
      <c r="M494" s="2" t="str">
        <f t="shared" si="37"/>
        <v>Failed but within quadrant</v>
      </c>
      <c r="N494" s="7">
        <v>25</v>
      </c>
      <c r="O494" s="7">
        <v>6.8</v>
      </c>
      <c r="P494" s="7">
        <v>8.6999999999999993</v>
      </c>
      <c r="Q494" s="7">
        <v>-1.1000000000000001</v>
      </c>
      <c r="R494" s="7">
        <v>0.3</v>
      </c>
      <c r="S494" s="7">
        <v>0.5</v>
      </c>
      <c r="T494" s="7">
        <v>0.56000000000000005</v>
      </c>
      <c r="U494" s="7">
        <v>7.0000000000000007E-2</v>
      </c>
      <c r="V494" s="7">
        <v>1.23</v>
      </c>
      <c r="W494" s="7" t="s">
        <v>6</v>
      </c>
      <c r="X494" s="7" t="s">
        <v>12</v>
      </c>
      <c r="Y494" s="2" t="s">
        <v>719</v>
      </c>
      <c r="Z494" s="2" t="s">
        <v>721</v>
      </c>
    </row>
    <row r="495" spans="1:26" x14ac:dyDescent="0.35">
      <c r="A495" s="7" t="s">
        <v>1562</v>
      </c>
      <c r="B495" s="7" t="s">
        <v>502</v>
      </c>
      <c r="C495" s="4">
        <f>_xlfn.XLOOKUP(A495,[2]Sheet2!$I$2:$I$1273,[2]Sheet2!$D$2:$D$1273,0)</f>
        <v>0</v>
      </c>
      <c r="D495" s="4">
        <f>_xlfn.XLOOKUP(B495,[4]Sheet2!$B$2:$B$3154,[4]Sheet2!$F$2:$F$3154,0)</f>
        <v>0</v>
      </c>
      <c r="E495" s="4" t="e">
        <f>_xlfn.XLOOKUP(B495,[2]Sheet2!$E$2:$E$713,[2]Sheet2!$G$2:$G$713)</f>
        <v>#N/A</v>
      </c>
      <c r="F495" s="18">
        <v>46071</v>
      </c>
      <c r="G495" s="14">
        <v>0.30292824074074076</v>
      </c>
      <c r="H495" s="7" t="s">
        <v>4</v>
      </c>
      <c r="I495" s="2" t="str">
        <f t="shared" si="38"/>
        <v>Q4</v>
      </c>
      <c r="J495" s="2" t="str">
        <f t="shared" si="39"/>
        <v>Not Found</v>
      </c>
      <c r="K495" s="2">
        <f t="shared" si="35"/>
        <v>0.1</v>
      </c>
      <c r="L495" s="2" t="e">
        <f t="shared" si="36"/>
        <v>#N/A</v>
      </c>
      <c r="M495" s="2" t="str">
        <f t="shared" si="37"/>
        <v>Assign quadrant hit</v>
      </c>
      <c r="N495" s="7">
        <v>18.5</v>
      </c>
      <c r="O495" s="7">
        <v>0</v>
      </c>
      <c r="P495" s="7">
        <v>-1.3</v>
      </c>
      <c r="Q495" s="7">
        <v>-0.25</v>
      </c>
      <c r="R495" s="7">
        <v>0.1</v>
      </c>
      <c r="S495" s="7">
        <v>0</v>
      </c>
      <c r="T495" s="7">
        <v>0.04</v>
      </c>
      <c r="U495" s="7">
        <v>0.14000000000000001</v>
      </c>
      <c r="V495" s="7">
        <v>0.28999999999999998</v>
      </c>
      <c r="W495" s="7" t="s">
        <v>8</v>
      </c>
      <c r="X495" s="7" t="s">
        <v>9</v>
      </c>
      <c r="Y495" s="2" t="s">
        <v>719</v>
      </c>
      <c r="Z495" s="2" t="s">
        <v>721</v>
      </c>
    </row>
    <row r="496" spans="1:26" x14ac:dyDescent="0.35">
      <c r="A496" s="7" t="s">
        <v>1574</v>
      </c>
      <c r="B496" s="7" t="s">
        <v>503</v>
      </c>
      <c r="C496" s="4" t="str">
        <f>_xlfn.XLOOKUP(A496,[2]Sheet2!$I$2:$I$1273,[2]Sheet2!$D$2:$D$1273,0)</f>
        <v>Q2</v>
      </c>
      <c r="D496" s="4">
        <f>_xlfn.XLOOKUP(B496,[4]Sheet2!$B$2:$B$3154,[4]Sheet2!$F$2:$F$3154,0)</f>
        <v>0</v>
      </c>
      <c r="E496" s="4" t="e">
        <f>_xlfn.XLOOKUP(B496,[2]Sheet2!$E$2:$E$713,[2]Sheet2!$G$2:$G$713)</f>
        <v>#N/A</v>
      </c>
      <c r="F496" s="18">
        <v>46071</v>
      </c>
      <c r="G496" s="14">
        <v>0.30474537037037036</v>
      </c>
      <c r="H496" s="7" t="s">
        <v>11</v>
      </c>
      <c r="I496" s="2" t="str">
        <f t="shared" si="38"/>
        <v>Q2</v>
      </c>
      <c r="J496" s="2" t="str">
        <f t="shared" si="39"/>
        <v>Match</v>
      </c>
      <c r="K496" s="2">
        <f t="shared" si="35"/>
        <v>0</v>
      </c>
      <c r="L496" s="2" t="e">
        <f t="shared" si="36"/>
        <v>#N/A</v>
      </c>
      <c r="M496" s="2" t="str">
        <f t="shared" si="37"/>
        <v>Digital Approve Hit</v>
      </c>
      <c r="N496" s="7">
        <v>19.2</v>
      </c>
      <c r="O496" s="7">
        <v>-0.2</v>
      </c>
      <c r="P496" s="7">
        <v>-12.4</v>
      </c>
      <c r="Q496" s="7">
        <v>0.8</v>
      </c>
      <c r="R496" s="7">
        <v>0</v>
      </c>
      <c r="S496" s="7">
        <v>0</v>
      </c>
      <c r="T496" s="7">
        <v>7.0000000000000007E-2</v>
      </c>
      <c r="U496" s="7">
        <v>-0.08</v>
      </c>
      <c r="V496" s="7">
        <v>0.8</v>
      </c>
      <c r="W496" s="7" t="s">
        <v>13</v>
      </c>
      <c r="X496" s="7" t="s">
        <v>15</v>
      </c>
      <c r="Y496" s="2" t="s">
        <v>719</v>
      </c>
      <c r="Z496" s="2" t="s">
        <v>721</v>
      </c>
    </row>
    <row r="497" spans="1:26" x14ac:dyDescent="0.35">
      <c r="A497" s="7" t="s">
        <v>1659</v>
      </c>
      <c r="B497" s="7" t="s">
        <v>504</v>
      </c>
      <c r="C497" s="4">
        <f>_xlfn.XLOOKUP(A497,[2]Sheet2!$I$2:$I$1273,[2]Sheet2!$D$2:$D$1273,0)</f>
        <v>0</v>
      </c>
      <c r="D497" s="4">
        <f>_xlfn.XLOOKUP(B497,[4]Sheet2!$B$2:$B$3154,[4]Sheet2!$F$2:$F$3154,0)</f>
        <v>0</v>
      </c>
      <c r="E497" s="4" t="e">
        <f>_xlfn.XLOOKUP(B497,[2]Sheet2!$E$2:$E$713,[2]Sheet2!$G$2:$G$713)</f>
        <v>#N/A</v>
      </c>
      <c r="F497" s="18">
        <v>46071</v>
      </c>
      <c r="G497" s="14">
        <v>0.30800925925925926</v>
      </c>
      <c r="H497" s="7" t="s">
        <v>4</v>
      </c>
      <c r="I497" s="2" t="str">
        <f t="shared" si="38"/>
        <v>Q4</v>
      </c>
      <c r="J497" s="2" t="str">
        <f t="shared" si="39"/>
        <v>Not Found</v>
      </c>
      <c r="K497" s="2">
        <f t="shared" si="35"/>
        <v>0.5</v>
      </c>
      <c r="L497" s="2" t="e">
        <f t="shared" si="36"/>
        <v>#N/A</v>
      </c>
      <c r="M497" s="2" t="str">
        <f t="shared" si="37"/>
        <v>Assign quadrant hit</v>
      </c>
      <c r="N497" s="7">
        <v>18.100000000000001</v>
      </c>
      <c r="O497" s="7">
        <v>-1.4</v>
      </c>
      <c r="P497" s="7">
        <v>-1.9</v>
      </c>
      <c r="Q497" s="7">
        <v>-1.25</v>
      </c>
      <c r="R497" s="7">
        <v>0</v>
      </c>
      <c r="S497" s="7">
        <v>-0.5</v>
      </c>
      <c r="T497" s="7">
        <v>0.57999999999999996</v>
      </c>
      <c r="U497" s="7">
        <v>0.35</v>
      </c>
      <c r="V497" s="7">
        <v>1.42</v>
      </c>
      <c r="W497" s="7" t="s">
        <v>6</v>
      </c>
      <c r="X497" s="7" t="s">
        <v>7</v>
      </c>
      <c r="Y497" s="2" t="s">
        <v>719</v>
      </c>
      <c r="Z497" s="2" t="s">
        <v>721</v>
      </c>
    </row>
    <row r="498" spans="1:26" x14ac:dyDescent="0.35">
      <c r="A498" s="7" t="s">
        <v>1660</v>
      </c>
      <c r="B498" s="7" t="s">
        <v>505</v>
      </c>
      <c r="C498" s="4">
        <f>_xlfn.XLOOKUP(A498,[2]Sheet2!$I$2:$I$1273,[2]Sheet2!$D$2:$D$1273,0)</f>
        <v>0</v>
      </c>
      <c r="D498" s="4" t="str">
        <f>_xlfn.XLOOKUP(B498,[4]Sheet2!$B$2:$B$3154,[4]Sheet2!$F$2:$F$3154,0)</f>
        <v>C/APP</v>
      </c>
      <c r="E498" s="4" t="e">
        <f>_xlfn.XLOOKUP(B498,[2]Sheet2!$E$2:$E$713,[2]Sheet2!$G$2:$G$713)</f>
        <v>#N/A</v>
      </c>
      <c r="F498" s="18">
        <v>46071</v>
      </c>
      <c r="G498" s="14">
        <v>0.33947916666666667</v>
      </c>
      <c r="H498" s="7" t="s">
        <v>10</v>
      </c>
      <c r="I498" s="2" t="str">
        <f t="shared" si="38"/>
        <v>Q2</v>
      </c>
      <c r="J498" s="2" t="str">
        <f t="shared" si="39"/>
        <v>Not Found</v>
      </c>
      <c r="K498" s="2">
        <f t="shared" si="35"/>
        <v>0.58309518948452999</v>
      </c>
      <c r="L498" s="2" t="e">
        <f t="shared" si="36"/>
        <v>#N/A</v>
      </c>
      <c r="M498" s="2" t="str">
        <f t="shared" si="37"/>
        <v>Assign quadrant hit</v>
      </c>
      <c r="N498" s="7">
        <v>16.3</v>
      </c>
      <c r="O498" s="7">
        <v>2.2000000000000002</v>
      </c>
      <c r="P498" s="7">
        <v>-0.4</v>
      </c>
      <c r="Q498" s="7">
        <v>-0.9</v>
      </c>
      <c r="R498" s="7">
        <v>-0.5</v>
      </c>
      <c r="S498" s="7">
        <v>0.3</v>
      </c>
      <c r="T498" s="7">
        <v>-0.74</v>
      </c>
      <c r="U498" s="7">
        <v>0.32</v>
      </c>
      <c r="V498" s="7">
        <v>1.2</v>
      </c>
      <c r="W498" s="7" t="s">
        <v>6</v>
      </c>
      <c r="X498" s="7" t="s">
        <v>9</v>
      </c>
      <c r="Y498" s="2" t="s">
        <v>719</v>
      </c>
      <c r="Z498" s="2" t="s">
        <v>721</v>
      </c>
    </row>
    <row r="499" spans="1:26" x14ac:dyDescent="0.35">
      <c r="A499" s="7" t="s">
        <v>1661</v>
      </c>
      <c r="B499" s="7" t="s">
        <v>426</v>
      </c>
      <c r="C499" s="4" t="str">
        <f>_xlfn.XLOOKUP(A499,[2]Sheet2!$I$2:$I$1273,[2]Sheet2!$D$2:$D$1273,0)</f>
        <v>Q3</v>
      </c>
      <c r="D499" s="4">
        <f>_xlfn.XLOOKUP(B499,[4]Sheet2!$B$2:$B$3154,[4]Sheet2!$F$2:$F$3154,0)</f>
        <v>0</v>
      </c>
      <c r="E499" s="4">
        <f>_xlfn.XLOOKUP(B499,[2]Sheet2!$E$2:$E$713,[2]Sheet2!$G$2:$G$713)</f>
        <v>0.8</v>
      </c>
      <c r="F499" s="18">
        <v>46071</v>
      </c>
      <c r="G499" s="14">
        <v>0.46592592592592591</v>
      </c>
      <c r="H499" s="7" t="s">
        <v>5</v>
      </c>
      <c r="I499" s="2" t="str">
        <f t="shared" si="38"/>
        <v>Q1</v>
      </c>
      <c r="J499" s="2" t="str">
        <f t="shared" si="39"/>
        <v>Not Match</v>
      </c>
      <c r="K499" s="2">
        <f t="shared" si="35"/>
        <v>1.019803902718557</v>
      </c>
      <c r="L499" s="2" t="str">
        <f t="shared" si="36"/>
        <v>Over Range</v>
      </c>
      <c r="M499" s="2" t="str">
        <f t="shared" si="37"/>
        <v>Below 0.8 not in assigned quadrant</v>
      </c>
      <c r="N499" s="7">
        <v>31.3</v>
      </c>
      <c r="O499" s="7">
        <v>34.6</v>
      </c>
      <c r="P499" s="7">
        <v>4.2</v>
      </c>
      <c r="Q499" s="7">
        <v>-7.0000000000000007E-2</v>
      </c>
      <c r="R499" s="7">
        <v>1</v>
      </c>
      <c r="S499" s="7">
        <v>0.2</v>
      </c>
      <c r="T499" s="7">
        <v>0.51</v>
      </c>
      <c r="U499" s="7">
        <v>0.09</v>
      </c>
      <c r="V499" s="7">
        <v>0.52</v>
      </c>
      <c r="W499" s="7" t="s">
        <v>8</v>
      </c>
      <c r="X499" s="7" t="s">
        <v>9</v>
      </c>
      <c r="Y499" s="2" t="s">
        <v>719</v>
      </c>
      <c r="Z499" s="2" t="s">
        <v>721</v>
      </c>
    </row>
    <row r="500" spans="1:26" x14ac:dyDescent="0.35">
      <c r="A500" s="7" t="s">
        <v>1662</v>
      </c>
      <c r="B500" s="7" t="s">
        <v>506</v>
      </c>
      <c r="C500" s="4" t="str">
        <f>_xlfn.XLOOKUP(A500,[2]Sheet2!$I$2:$I$1273,[2]Sheet2!$D$2:$D$1273,0)</f>
        <v>Q1</v>
      </c>
      <c r="D500" s="4">
        <f>_xlfn.XLOOKUP(B500,[4]Sheet2!$B$2:$B$3154,[4]Sheet2!$F$2:$F$3154,0)</f>
        <v>0</v>
      </c>
      <c r="E500" s="4" t="e">
        <f>_xlfn.XLOOKUP(B500,[2]Sheet2!$E$2:$E$713,[2]Sheet2!$G$2:$G$713)</f>
        <v>#N/A</v>
      </c>
      <c r="F500" s="18">
        <v>46071</v>
      </c>
      <c r="G500" s="14">
        <v>0.58585648148148151</v>
      </c>
      <c r="H500" s="7" t="s">
        <v>10</v>
      </c>
      <c r="I500" s="2" t="str">
        <f t="shared" si="38"/>
        <v>Q1</v>
      </c>
      <c r="J500" s="2" t="str">
        <f t="shared" si="39"/>
        <v>Match</v>
      </c>
      <c r="K500" s="2">
        <f t="shared" si="35"/>
        <v>0.36055512754639896</v>
      </c>
      <c r="L500" s="2" t="e">
        <f t="shared" si="36"/>
        <v>#N/A</v>
      </c>
      <c r="M500" s="2" t="str">
        <f t="shared" si="37"/>
        <v>Digital Approve Hit</v>
      </c>
      <c r="N500" s="7">
        <v>17.399999999999999</v>
      </c>
      <c r="O500" s="7">
        <v>1.1000000000000001</v>
      </c>
      <c r="P500" s="7">
        <v>-1.5</v>
      </c>
      <c r="Q500" s="7">
        <v>0.12</v>
      </c>
      <c r="R500" s="7">
        <v>0.3</v>
      </c>
      <c r="S500" s="7">
        <v>0.2</v>
      </c>
      <c r="T500" s="7">
        <v>-0.04</v>
      </c>
      <c r="U500" s="7">
        <v>0.6</v>
      </c>
      <c r="V500" s="7">
        <v>0.61</v>
      </c>
      <c r="W500" s="7" t="s">
        <v>8</v>
      </c>
      <c r="X500" s="7" t="s">
        <v>9</v>
      </c>
      <c r="Y500" s="2" t="s">
        <v>719</v>
      </c>
      <c r="Z500" s="2" t="s">
        <v>721</v>
      </c>
    </row>
    <row r="501" spans="1:26" x14ac:dyDescent="0.35">
      <c r="A501" s="7" t="s">
        <v>1656</v>
      </c>
      <c r="B501" s="7" t="s">
        <v>413</v>
      </c>
      <c r="C501" s="4" t="str">
        <f>_xlfn.XLOOKUP(A501,[2]Sheet2!$I$2:$I$1273,[2]Sheet2!$D$2:$D$1273,0)</f>
        <v>Q1</v>
      </c>
      <c r="D501" s="4">
        <f>_xlfn.XLOOKUP(B501,[4]Sheet2!$B$2:$B$3154,[4]Sheet2!$F$2:$F$3154,0)</f>
        <v>0</v>
      </c>
      <c r="E501" s="4" t="e">
        <f>_xlfn.XLOOKUP(B501,[2]Sheet2!$E$2:$E$713,[2]Sheet2!$G$2:$G$713)</f>
        <v>#N/A</v>
      </c>
      <c r="F501" s="18">
        <v>46071</v>
      </c>
      <c r="G501" s="14">
        <v>0.60991898148148149</v>
      </c>
      <c r="H501" s="7" t="s">
        <v>11</v>
      </c>
      <c r="I501" s="2" t="str">
        <f t="shared" si="38"/>
        <v>Q1</v>
      </c>
      <c r="J501" s="2" t="str">
        <f t="shared" si="39"/>
        <v>Match</v>
      </c>
      <c r="K501" s="2">
        <f t="shared" si="35"/>
        <v>0</v>
      </c>
      <c r="L501" s="2" t="e">
        <f t="shared" si="36"/>
        <v>#N/A</v>
      </c>
      <c r="M501" s="2" t="str">
        <f t="shared" si="37"/>
        <v>Digital Approve Hit</v>
      </c>
      <c r="N501" s="7">
        <v>22.3</v>
      </c>
      <c r="O501" s="7">
        <v>12.5</v>
      </c>
      <c r="P501" s="7">
        <v>9.9</v>
      </c>
      <c r="Q501" s="7">
        <v>0.42</v>
      </c>
      <c r="R501" s="7">
        <v>0</v>
      </c>
      <c r="S501" s="7">
        <v>0</v>
      </c>
      <c r="T501" s="7">
        <v>-0.06</v>
      </c>
      <c r="U501" s="7">
        <v>0.05</v>
      </c>
      <c r="V501" s="7">
        <v>0.42</v>
      </c>
      <c r="W501" s="7" t="s">
        <v>8</v>
      </c>
      <c r="X501" s="7" t="s">
        <v>12</v>
      </c>
      <c r="Y501" s="2" t="s">
        <v>719</v>
      </c>
      <c r="Z501" s="2" t="s">
        <v>721</v>
      </c>
    </row>
    <row r="502" spans="1:26" x14ac:dyDescent="0.35">
      <c r="A502" s="7" t="s">
        <v>1639</v>
      </c>
      <c r="B502" s="7" t="s">
        <v>507</v>
      </c>
      <c r="C502" s="4">
        <f>_xlfn.XLOOKUP(A502,[2]Sheet2!$I$2:$I$1273,[2]Sheet2!$D$2:$D$1273,0)</f>
        <v>0</v>
      </c>
      <c r="D502" s="4">
        <f>_xlfn.XLOOKUP(B502,[4]Sheet2!$B$2:$B$3154,[4]Sheet2!$F$2:$F$3154,0)</f>
        <v>0</v>
      </c>
      <c r="E502" s="4" t="e">
        <f>_xlfn.XLOOKUP(B502,[2]Sheet2!$E$2:$E$713,[2]Sheet2!$G$2:$G$713)</f>
        <v>#N/A</v>
      </c>
      <c r="F502" s="18">
        <v>46071</v>
      </c>
      <c r="G502" s="14">
        <v>0.62596064814814811</v>
      </c>
      <c r="H502" s="7" t="s">
        <v>11</v>
      </c>
      <c r="I502" s="2" t="str">
        <f t="shared" si="38"/>
        <v>Q2</v>
      </c>
      <c r="J502" s="2" t="str">
        <f t="shared" si="39"/>
        <v>Not Found</v>
      </c>
      <c r="K502" s="2">
        <f t="shared" si="35"/>
        <v>0.22360679774997899</v>
      </c>
      <c r="L502" s="2" t="e">
        <f t="shared" si="36"/>
        <v>#N/A</v>
      </c>
      <c r="M502" s="2" t="str">
        <f t="shared" si="37"/>
        <v>Assign quadrant hit</v>
      </c>
      <c r="N502" s="7">
        <v>14.1</v>
      </c>
      <c r="O502" s="7">
        <v>-0.9</v>
      </c>
      <c r="P502" s="7">
        <v>-1.6</v>
      </c>
      <c r="Q502" s="7">
        <v>-0.81</v>
      </c>
      <c r="R502" s="7">
        <v>-0.2</v>
      </c>
      <c r="S502" s="7">
        <v>0.1</v>
      </c>
      <c r="T502" s="7">
        <v>-0.01</v>
      </c>
      <c r="U502" s="7">
        <v>-0.36</v>
      </c>
      <c r="V502" s="7">
        <v>0.89</v>
      </c>
      <c r="W502" s="7" t="s">
        <v>13</v>
      </c>
      <c r="X502" s="7" t="s">
        <v>15</v>
      </c>
      <c r="Y502" s="2" t="s">
        <v>719</v>
      </c>
      <c r="Z502" s="2" t="s">
        <v>721</v>
      </c>
    </row>
    <row r="503" spans="1:26" x14ac:dyDescent="0.35">
      <c r="A503" s="7" t="s">
        <v>1606</v>
      </c>
      <c r="B503" s="7" t="s">
        <v>1061</v>
      </c>
      <c r="C503" s="4" t="str">
        <f>_xlfn.XLOOKUP(A503,[2]Sheet2!$I$2:$I$1273,[2]Sheet2!$D$2:$D$1273,0)</f>
        <v>Q1</v>
      </c>
      <c r="D503" s="4">
        <f>_xlfn.XLOOKUP(B503,[4]Sheet2!$B$2:$B$3154,[4]Sheet2!$F$2:$F$3154,0)</f>
        <v>0</v>
      </c>
      <c r="E503" s="4" t="e">
        <f>_xlfn.XLOOKUP(B503,[2]Sheet2!$E$2:$E$713,[2]Sheet2!$G$2:$G$713)</f>
        <v>#N/A</v>
      </c>
      <c r="F503" s="18">
        <v>46071</v>
      </c>
      <c r="G503" s="14">
        <v>0.63048611111111108</v>
      </c>
      <c r="H503" s="7" t="s">
        <v>4</v>
      </c>
      <c r="I503" s="2" t="str">
        <f t="shared" si="38"/>
        <v>Q1</v>
      </c>
      <c r="J503" s="2" t="str">
        <f t="shared" si="39"/>
        <v>Match</v>
      </c>
      <c r="K503" s="2">
        <f t="shared" si="35"/>
        <v>0.5</v>
      </c>
      <c r="L503" s="2" t="e">
        <f t="shared" si="36"/>
        <v>#N/A</v>
      </c>
      <c r="M503" s="2" t="str">
        <f t="shared" si="37"/>
        <v>Digital Approve Hit</v>
      </c>
      <c r="N503" s="7">
        <v>18.2</v>
      </c>
      <c r="O503" s="7">
        <v>0.2</v>
      </c>
      <c r="P503" s="7">
        <v>-8.6999999999999993</v>
      </c>
      <c r="Q503" s="7">
        <v>-0.17</v>
      </c>
      <c r="R503" s="7">
        <v>0</v>
      </c>
      <c r="S503" s="7">
        <v>0.5</v>
      </c>
      <c r="T503" s="7">
        <v>-0.45</v>
      </c>
      <c r="U503" s="7">
        <v>0.04</v>
      </c>
      <c r="V503" s="7">
        <v>0.49</v>
      </c>
      <c r="W503" s="7" t="s">
        <v>8</v>
      </c>
      <c r="X503" s="7" t="s">
        <v>9</v>
      </c>
      <c r="Y503" s="2" t="s">
        <v>719</v>
      </c>
      <c r="Z503" s="2" t="s">
        <v>721</v>
      </c>
    </row>
    <row r="504" spans="1:26" x14ac:dyDescent="0.35">
      <c r="A504" s="7" t="s">
        <v>1510</v>
      </c>
      <c r="B504" s="7" t="s">
        <v>508</v>
      </c>
      <c r="C504" s="4">
        <f>_xlfn.XLOOKUP(A504,[2]Sheet2!$I$2:$I$1273,[2]Sheet2!$D$2:$D$1273,0)</f>
        <v>0</v>
      </c>
      <c r="D504" s="4">
        <f>_xlfn.XLOOKUP(B504,[4]Sheet2!$B$2:$B$3154,[4]Sheet2!$F$2:$F$3154,0)</f>
        <v>0</v>
      </c>
      <c r="E504" s="4" t="e">
        <f>_xlfn.XLOOKUP(B504,[2]Sheet2!$E$2:$E$713,[2]Sheet2!$G$2:$G$713)</f>
        <v>#N/A</v>
      </c>
      <c r="F504" s="18">
        <v>46071</v>
      </c>
      <c r="G504" s="14">
        <v>0.63668981481481479</v>
      </c>
      <c r="H504" s="7" t="s">
        <v>11</v>
      </c>
      <c r="I504" s="2" t="str">
        <f t="shared" si="38"/>
        <v>Q4</v>
      </c>
      <c r="J504" s="2" t="str">
        <f t="shared" si="39"/>
        <v>Not Found</v>
      </c>
      <c r="K504" s="2">
        <f t="shared" si="35"/>
        <v>0.1</v>
      </c>
      <c r="L504" s="2" t="e">
        <f t="shared" si="36"/>
        <v>#N/A</v>
      </c>
      <c r="M504" s="2" t="str">
        <f t="shared" si="37"/>
        <v>Assign quadrant hit</v>
      </c>
      <c r="N504" s="7">
        <v>16.3</v>
      </c>
      <c r="O504" s="7">
        <v>-0.1</v>
      </c>
      <c r="P504" s="7">
        <v>-1.2</v>
      </c>
      <c r="Q504" s="7">
        <v>-0.22</v>
      </c>
      <c r="R504" s="7">
        <v>0</v>
      </c>
      <c r="S504" s="7">
        <v>-0.1</v>
      </c>
      <c r="T504" s="7">
        <v>0.24</v>
      </c>
      <c r="U504" s="7">
        <v>0.05</v>
      </c>
      <c r="V504" s="7">
        <v>0.33</v>
      </c>
      <c r="W504" s="7" t="s">
        <v>8</v>
      </c>
      <c r="X504" s="7" t="s">
        <v>9</v>
      </c>
      <c r="Y504" s="2" t="s">
        <v>719</v>
      </c>
      <c r="Z504" s="2" t="s">
        <v>721</v>
      </c>
    </row>
    <row r="505" spans="1:26" x14ac:dyDescent="0.35">
      <c r="A505" s="7" t="s">
        <v>1549</v>
      </c>
      <c r="B505" s="7" t="s">
        <v>509</v>
      </c>
      <c r="C505" s="4" t="str">
        <f>_xlfn.XLOOKUP(A505,[2]Sheet2!$I$2:$I$1273,[2]Sheet2!$D$2:$D$1273,0)</f>
        <v>Q1</v>
      </c>
      <c r="D505" s="4">
        <f>_xlfn.XLOOKUP(B505,[4]Sheet2!$B$2:$B$3154,[4]Sheet2!$F$2:$F$3154,0)</f>
        <v>0</v>
      </c>
      <c r="E505" s="4" t="e">
        <f>_xlfn.XLOOKUP(B505,[2]Sheet2!$E$2:$E$713,[2]Sheet2!$G$2:$G$713)</f>
        <v>#N/A</v>
      </c>
      <c r="F505" s="18">
        <v>46071</v>
      </c>
      <c r="G505" s="14">
        <v>0.63940972222222225</v>
      </c>
      <c r="H505" s="7" t="s">
        <v>4</v>
      </c>
      <c r="I505" s="2" t="str">
        <f t="shared" si="38"/>
        <v>Q4</v>
      </c>
      <c r="J505" s="2" t="str">
        <f t="shared" si="39"/>
        <v>Not Match</v>
      </c>
      <c r="K505" s="2">
        <f t="shared" si="35"/>
        <v>0.1</v>
      </c>
      <c r="L505" s="2" t="e">
        <f t="shared" si="36"/>
        <v>#N/A</v>
      </c>
      <c r="M505" s="2" t="str">
        <f t="shared" si="37"/>
        <v>Assign quadrant hit</v>
      </c>
      <c r="N505" s="7">
        <v>17</v>
      </c>
      <c r="O505" s="7">
        <v>-0.2</v>
      </c>
      <c r="P505" s="7">
        <v>-1.2</v>
      </c>
      <c r="Q505" s="7">
        <v>-1.47</v>
      </c>
      <c r="R505" s="7">
        <v>0.1</v>
      </c>
      <c r="S505" s="7">
        <v>0</v>
      </c>
      <c r="T505" s="7">
        <v>0.1</v>
      </c>
      <c r="U505" s="7">
        <v>0.16</v>
      </c>
      <c r="V505" s="7">
        <v>1.48</v>
      </c>
      <c r="W505" s="7" t="s">
        <v>6</v>
      </c>
      <c r="X505" s="7" t="s">
        <v>9</v>
      </c>
      <c r="Y505" s="2" t="s">
        <v>719</v>
      </c>
      <c r="Z505" s="2" t="s">
        <v>721</v>
      </c>
    </row>
    <row r="506" spans="1:26" x14ac:dyDescent="0.35">
      <c r="A506" s="7" t="s">
        <v>1574</v>
      </c>
      <c r="B506" s="7" t="s">
        <v>510</v>
      </c>
      <c r="C506" s="4" t="str">
        <f>_xlfn.XLOOKUP(A506,[2]Sheet2!$I$2:$I$1273,[2]Sheet2!$D$2:$D$1273,0)</f>
        <v>Q2</v>
      </c>
      <c r="D506" s="4">
        <f>_xlfn.XLOOKUP(B506,[4]Sheet2!$B$2:$B$3154,[4]Sheet2!$F$2:$F$3154,0)</f>
        <v>0</v>
      </c>
      <c r="E506" s="4" t="e">
        <f>_xlfn.XLOOKUP(B506,[2]Sheet2!$E$2:$E$713,[2]Sheet2!$G$2:$G$713)</f>
        <v>#N/A</v>
      </c>
      <c r="F506" s="18">
        <v>46071</v>
      </c>
      <c r="G506" s="14">
        <v>0.64263888888888887</v>
      </c>
      <c r="H506" s="7" t="s">
        <v>11</v>
      </c>
      <c r="I506" s="2" t="str">
        <f t="shared" si="38"/>
        <v>Q3</v>
      </c>
      <c r="J506" s="2" t="str">
        <f t="shared" si="39"/>
        <v>Not Match</v>
      </c>
      <c r="K506" s="2">
        <f t="shared" si="35"/>
        <v>0.22360679774997899</v>
      </c>
      <c r="L506" s="2" t="e">
        <f t="shared" si="36"/>
        <v>#N/A</v>
      </c>
      <c r="M506" s="2" t="str">
        <f t="shared" si="37"/>
        <v>Below 0.8 not in assigned quadrant</v>
      </c>
      <c r="N506" s="7">
        <v>19</v>
      </c>
      <c r="O506" s="7">
        <v>-0.3</v>
      </c>
      <c r="P506" s="7">
        <v>-12.6</v>
      </c>
      <c r="Q506" s="7">
        <v>0.7</v>
      </c>
      <c r="R506" s="7">
        <v>-0.1</v>
      </c>
      <c r="S506" s="7">
        <v>-0.2</v>
      </c>
      <c r="T506" s="7">
        <v>0.21</v>
      </c>
      <c r="U506" s="7">
        <v>-0.18</v>
      </c>
      <c r="V506" s="7">
        <v>0.75</v>
      </c>
      <c r="W506" s="7" t="s">
        <v>13</v>
      </c>
      <c r="X506" s="7" t="s">
        <v>15</v>
      </c>
      <c r="Y506" s="2" t="s">
        <v>719</v>
      </c>
      <c r="Z506" s="2" t="s">
        <v>721</v>
      </c>
    </row>
    <row r="507" spans="1:26" x14ac:dyDescent="0.35">
      <c r="A507" s="7" t="s">
        <v>1616</v>
      </c>
      <c r="B507" s="7" t="s">
        <v>485</v>
      </c>
      <c r="C507" s="4">
        <f>_xlfn.XLOOKUP(A507,[2]Sheet2!$I$2:$I$1273,[2]Sheet2!$D$2:$D$1273,0)</f>
        <v>0</v>
      </c>
      <c r="D507" s="4">
        <f>_xlfn.XLOOKUP(B507,[4]Sheet2!$B$2:$B$3154,[4]Sheet2!$F$2:$F$3154,0)</f>
        <v>0</v>
      </c>
      <c r="E507" s="4" t="e">
        <f>_xlfn.XLOOKUP(B507,[2]Sheet2!$E$2:$E$713,[2]Sheet2!$G$2:$G$713)</f>
        <v>#N/A</v>
      </c>
      <c r="F507" s="18">
        <v>46071</v>
      </c>
      <c r="G507" s="14">
        <v>0.68415509259259255</v>
      </c>
      <c r="H507" s="7" t="s">
        <v>4</v>
      </c>
      <c r="I507" s="2" t="str">
        <f t="shared" si="38"/>
        <v>Q4</v>
      </c>
      <c r="J507" s="2" t="str">
        <f t="shared" si="39"/>
        <v>Not Found</v>
      </c>
      <c r="K507" s="2">
        <f t="shared" si="35"/>
        <v>0.2</v>
      </c>
      <c r="L507" s="2" t="e">
        <f t="shared" si="36"/>
        <v>#N/A</v>
      </c>
      <c r="M507" s="2" t="str">
        <f t="shared" si="37"/>
        <v>Assign quadrant hit</v>
      </c>
      <c r="N507" s="7">
        <v>25.8</v>
      </c>
      <c r="O507" s="7">
        <v>5.3</v>
      </c>
      <c r="P507" s="7">
        <v>4.8</v>
      </c>
      <c r="Q507" s="7">
        <v>-0.38</v>
      </c>
      <c r="R507" s="7">
        <v>0</v>
      </c>
      <c r="S507" s="7">
        <v>-0.2</v>
      </c>
      <c r="T507" s="7">
        <v>-0.18</v>
      </c>
      <c r="U507" s="7">
        <v>-0.25</v>
      </c>
      <c r="V507" s="7">
        <v>0.49</v>
      </c>
      <c r="W507" s="7" t="s">
        <v>8</v>
      </c>
      <c r="X507" s="7" t="s">
        <v>9</v>
      </c>
      <c r="Y507" s="2" t="s">
        <v>719</v>
      </c>
      <c r="Z507" s="2" t="s">
        <v>721</v>
      </c>
    </row>
    <row r="508" spans="1:26" x14ac:dyDescent="0.35">
      <c r="A508" s="7" t="s">
        <v>1509</v>
      </c>
      <c r="B508" s="7" t="s">
        <v>511</v>
      </c>
      <c r="C508" s="4" t="str">
        <f>_xlfn.XLOOKUP(A508,[2]Sheet2!$I$2:$I$1273,[2]Sheet2!$D$2:$D$1273,0)</f>
        <v>Q2</v>
      </c>
      <c r="D508" s="4">
        <f>_xlfn.XLOOKUP(B508,[4]Sheet2!$B$2:$B$3154,[4]Sheet2!$F$2:$F$3154,0)</f>
        <v>0</v>
      </c>
      <c r="E508" s="4">
        <f>_xlfn.XLOOKUP(B508,[2]Sheet2!$E$2:$E$713,[2]Sheet2!$G$2:$G$713)</f>
        <v>0.8</v>
      </c>
      <c r="F508" s="18">
        <v>46071</v>
      </c>
      <c r="G508" s="14">
        <v>0.68844907407407407</v>
      </c>
      <c r="H508" s="7" t="s">
        <v>4</v>
      </c>
      <c r="I508" s="2" t="str">
        <f t="shared" si="38"/>
        <v>Q2</v>
      </c>
      <c r="J508" s="2" t="str">
        <f t="shared" si="39"/>
        <v>Match</v>
      </c>
      <c r="K508" s="2">
        <f t="shared" si="35"/>
        <v>0</v>
      </c>
      <c r="L508" s="2" t="str">
        <f t="shared" si="36"/>
        <v>Within Range</v>
      </c>
      <c r="M508" s="2" t="str">
        <f t="shared" si="37"/>
        <v>Digital Approve Hit</v>
      </c>
      <c r="N508" s="7">
        <v>17</v>
      </c>
      <c r="O508" s="7">
        <v>-1</v>
      </c>
      <c r="P508" s="7">
        <v>-2</v>
      </c>
      <c r="Q508" s="7">
        <v>-0.34</v>
      </c>
      <c r="R508" s="7">
        <v>0</v>
      </c>
      <c r="S508" s="7">
        <v>0</v>
      </c>
      <c r="T508" s="7">
        <v>0.04</v>
      </c>
      <c r="U508" s="7">
        <v>0.17</v>
      </c>
      <c r="V508" s="7">
        <v>0.38</v>
      </c>
      <c r="W508" s="7" t="s">
        <v>8</v>
      </c>
      <c r="X508" s="7" t="s">
        <v>9</v>
      </c>
      <c r="Y508" s="2" t="s">
        <v>719</v>
      </c>
      <c r="Z508" s="2" t="s">
        <v>721</v>
      </c>
    </row>
    <row r="509" spans="1:26" x14ac:dyDescent="0.35">
      <c r="A509" s="7" t="s">
        <v>1632</v>
      </c>
      <c r="B509" s="7" t="s">
        <v>512</v>
      </c>
      <c r="C509" s="4">
        <f>_xlfn.XLOOKUP(A509,[2]Sheet2!$I$2:$I$1273,[2]Sheet2!$D$2:$D$1273,0)</f>
        <v>0</v>
      </c>
      <c r="D509" s="4">
        <f>_xlfn.XLOOKUP(B509,[4]Sheet2!$B$2:$B$3154,[4]Sheet2!$F$2:$F$3154,0)</f>
        <v>0</v>
      </c>
      <c r="E509" s="4" t="e">
        <f>_xlfn.XLOOKUP(B509,[2]Sheet2!$E$2:$E$713,[2]Sheet2!$G$2:$G$713)</f>
        <v>#N/A</v>
      </c>
      <c r="F509" s="18">
        <v>46071</v>
      </c>
      <c r="G509" s="14">
        <v>0.77016203703703701</v>
      </c>
      <c r="H509" s="7" t="s">
        <v>4</v>
      </c>
      <c r="I509" s="2" t="str">
        <f t="shared" si="38"/>
        <v>Q1</v>
      </c>
      <c r="J509" s="2" t="str">
        <f t="shared" si="39"/>
        <v>Not Found</v>
      </c>
      <c r="K509" s="2">
        <f t="shared" si="35"/>
        <v>0.6403124237432849</v>
      </c>
      <c r="L509" s="2" t="e">
        <f t="shared" si="36"/>
        <v>#N/A</v>
      </c>
      <c r="M509" s="2" t="str">
        <f t="shared" si="37"/>
        <v>Assign quadrant hit</v>
      </c>
      <c r="N509" s="7">
        <v>22.4</v>
      </c>
      <c r="O509" s="7">
        <v>13.8</v>
      </c>
      <c r="P509" s="7">
        <v>-13.1</v>
      </c>
      <c r="Q509" s="7">
        <v>0.03</v>
      </c>
      <c r="R509" s="7">
        <v>0.5</v>
      </c>
      <c r="S509" s="7">
        <v>0.4</v>
      </c>
      <c r="T509" s="7">
        <v>0.04</v>
      </c>
      <c r="U509" s="7">
        <v>0.66</v>
      </c>
      <c r="V509" s="7">
        <v>0.67</v>
      </c>
      <c r="W509" s="7" t="s">
        <v>8</v>
      </c>
      <c r="X509" s="7" t="s">
        <v>9</v>
      </c>
      <c r="Y509" s="2" t="s">
        <v>719</v>
      </c>
      <c r="Z509" s="2" t="s">
        <v>721</v>
      </c>
    </row>
    <row r="510" spans="1:26" x14ac:dyDescent="0.35">
      <c r="A510" s="7" t="s">
        <v>1585</v>
      </c>
      <c r="B510" s="7" t="s">
        <v>514</v>
      </c>
      <c r="C510" s="4" t="str">
        <f>_xlfn.XLOOKUP(A510,[2]Sheet2!$I$2:$I$1273,[2]Sheet2!$D$2:$D$1273,0)</f>
        <v>Q2</v>
      </c>
      <c r="D510" s="4">
        <f>_xlfn.XLOOKUP(B510,[4]Sheet2!$B$2:$B$3154,[4]Sheet2!$F$2:$F$3154,0)</f>
        <v>0</v>
      </c>
      <c r="E510" s="4">
        <f>_xlfn.XLOOKUP(B510,[2]Sheet2!$E$2:$E$713,[2]Sheet2!$G$2:$G$713)</f>
        <v>0.8</v>
      </c>
      <c r="F510" s="18">
        <v>46071</v>
      </c>
      <c r="G510" s="14">
        <v>0.77956018518518522</v>
      </c>
      <c r="H510" s="7" t="s">
        <v>5</v>
      </c>
      <c r="I510" s="2" t="str">
        <f t="shared" si="38"/>
        <v>Q4</v>
      </c>
      <c r="J510" s="2" t="str">
        <f t="shared" si="39"/>
        <v>Not Match</v>
      </c>
      <c r="K510" s="2">
        <f t="shared" si="35"/>
        <v>0.41231056256176613</v>
      </c>
      <c r="L510" s="2" t="str">
        <f t="shared" si="36"/>
        <v>Within Range</v>
      </c>
      <c r="M510" s="2" t="str">
        <f t="shared" si="37"/>
        <v>Below 0.8 not in assigned quadrant</v>
      </c>
      <c r="N510" s="7">
        <v>16.100000000000001</v>
      </c>
      <c r="O510" s="7">
        <v>-0.4</v>
      </c>
      <c r="P510" s="7">
        <v>-2.7</v>
      </c>
      <c r="Q510" s="7">
        <v>0.46</v>
      </c>
      <c r="R510" s="7">
        <v>0.1</v>
      </c>
      <c r="S510" s="7">
        <v>-0.4</v>
      </c>
      <c r="T510" s="7">
        <v>0.55000000000000004</v>
      </c>
      <c r="U510" s="7">
        <v>0.25</v>
      </c>
      <c r="V510" s="7">
        <v>0.76</v>
      </c>
      <c r="W510" s="7" t="s">
        <v>13</v>
      </c>
      <c r="X510" s="7" t="s">
        <v>9</v>
      </c>
      <c r="Y510" s="2" t="s">
        <v>719</v>
      </c>
      <c r="Z510" s="2" t="s">
        <v>721</v>
      </c>
    </row>
    <row r="511" spans="1:26" x14ac:dyDescent="0.35">
      <c r="A511" s="7" t="s">
        <v>1543</v>
      </c>
      <c r="B511" s="7" t="s">
        <v>515</v>
      </c>
      <c r="C511" s="4" t="str">
        <f>_xlfn.XLOOKUP(A511,[2]Sheet2!$I$2:$I$1273,[2]Sheet2!$D$2:$D$1273,0)</f>
        <v>Q3</v>
      </c>
      <c r="D511" s="4">
        <f>_xlfn.XLOOKUP(B511,[4]Sheet2!$B$2:$B$3154,[4]Sheet2!$F$2:$F$3154,0)</f>
        <v>0</v>
      </c>
      <c r="E511" s="4" t="e">
        <f>_xlfn.XLOOKUP(B511,[2]Sheet2!$E$2:$E$713,[2]Sheet2!$G$2:$G$713)</f>
        <v>#N/A</v>
      </c>
      <c r="F511" s="18">
        <v>46072</v>
      </c>
      <c r="G511" s="14">
        <v>0.44142361111111111</v>
      </c>
      <c r="H511" s="7" t="s">
        <v>11</v>
      </c>
      <c r="I511" s="2" t="str">
        <f t="shared" si="38"/>
        <v>Q1</v>
      </c>
      <c r="J511" s="2" t="str">
        <f t="shared" si="39"/>
        <v>Not Match</v>
      </c>
      <c r="K511" s="2">
        <f t="shared" ref="K511:K571" si="40">SQRT(R511^2+S511^2)</f>
        <v>0.78102496759066542</v>
      </c>
      <c r="L511" s="2" t="e">
        <f t="shared" ref="L511:L571" si="41">IF(K511&lt;=E511,"Within Range","Over Range")</f>
        <v>#N/A</v>
      </c>
      <c r="M511" s="2" t="str">
        <f t="shared" ref="M511:M571" si="42">IF(AND(J511="Match",V511&lt;=0.8),"Digital Approve Hit",
IF(AND(J511="Match",V511&gt;0.8),"Failed but within quadrant",
IF(AND(J511="Not Match",V511&lt;=0.8),"Below 0.8 not in assigned quadrant",
"Assign quadrant hit")))</f>
        <v>Below 0.8 not in assigned quadrant</v>
      </c>
      <c r="N511" s="7">
        <v>25.8</v>
      </c>
      <c r="O511" s="7">
        <v>7.2</v>
      </c>
      <c r="P511" s="7">
        <v>8.4</v>
      </c>
      <c r="Q511" s="7">
        <v>-0.14000000000000001</v>
      </c>
      <c r="R511" s="7">
        <v>0.5</v>
      </c>
      <c r="S511" s="7">
        <v>0.6</v>
      </c>
      <c r="T511" s="7">
        <v>0.7</v>
      </c>
      <c r="U511" s="7">
        <v>-0.09</v>
      </c>
      <c r="V511" s="7">
        <v>0.72</v>
      </c>
      <c r="W511" s="7" t="s">
        <v>8</v>
      </c>
      <c r="X511" s="7" t="s">
        <v>9</v>
      </c>
      <c r="Y511" s="2" t="s">
        <v>719</v>
      </c>
      <c r="Z511" s="2" t="s">
        <v>721</v>
      </c>
    </row>
    <row r="512" spans="1:26" x14ac:dyDescent="0.35">
      <c r="A512" s="7" t="s">
        <v>1574</v>
      </c>
      <c r="B512" s="7" t="s">
        <v>516</v>
      </c>
      <c r="C512" s="4" t="str">
        <f>_xlfn.XLOOKUP(A512,[2]Sheet2!$I$2:$I$1273,[2]Sheet2!$D$2:$D$1273,0)</f>
        <v>Q2</v>
      </c>
      <c r="D512" s="4">
        <f>_xlfn.XLOOKUP(B512,[4]Sheet2!$B$2:$B$3154,[4]Sheet2!$F$2:$F$3154,0)</f>
        <v>0</v>
      </c>
      <c r="E512" s="4" t="e">
        <f>_xlfn.XLOOKUP(B512,[2]Sheet2!$E$2:$E$713,[2]Sheet2!$G$2:$G$713)</f>
        <v>#N/A</v>
      </c>
      <c r="F512" s="18">
        <v>46072</v>
      </c>
      <c r="G512" s="14">
        <v>0.70200231481481479</v>
      </c>
      <c r="H512" s="7" t="s">
        <v>11</v>
      </c>
      <c r="I512" s="2" t="str">
        <f t="shared" ref="I512:I572" si="43">IF(AND(R512=0,S512=0),IF(C512="","Origin",C512),
IF(AND(R512&gt;0,S512=0),"Q4",
IF(AND(R512&lt;0,S512=0),"Q3",
IF(AND(R512&gt;=0,S512&lt;0),"Q4",
IF(AND(R512&gt;=0,S512&gt;0),"Q1",
IF(AND(R512&lt;0,S512&lt;=0),"Q3",
IF(AND(R512&lt;0,S512&gt;0),"Q2",
"")))))))</f>
        <v>Q3</v>
      </c>
      <c r="J512" s="2" t="str">
        <f t="shared" si="39"/>
        <v>Not Match</v>
      </c>
      <c r="K512" s="2">
        <f t="shared" si="40"/>
        <v>0.31622776601683794</v>
      </c>
      <c r="L512" s="2" t="e">
        <f t="shared" si="41"/>
        <v>#N/A</v>
      </c>
      <c r="M512" s="2" t="str">
        <f t="shared" si="42"/>
        <v>Below 0.8 not in assigned quadrant</v>
      </c>
      <c r="N512" s="7">
        <v>18.899999999999999</v>
      </c>
      <c r="O512" s="7">
        <v>-0.3</v>
      </c>
      <c r="P512" s="7">
        <v>-12.7</v>
      </c>
      <c r="Q512" s="7">
        <v>0.53</v>
      </c>
      <c r="R512" s="7">
        <v>-0.1</v>
      </c>
      <c r="S512" s="7">
        <v>-0.3</v>
      </c>
      <c r="T512" s="7">
        <v>0.25</v>
      </c>
      <c r="U512" s="7">
        <v>-0.11</v>
      </c>
      <c r="V512" s="7">
        <v>0.6</v>
      </c>
      <c r="W512" s="7" t="s">
        <v>8</v>
      </c>
      <c r="X512" s="7" t="s">
        <v>15</v>
      </c>
      <c r="Y512" s="2" t="s">
        <v>719</v>
      </c>
      <c r="Z512" s="2" t="s">
        <v>721</v>
      </c>
    </row>
    <row r="513" spans="1:26" x14ac:dyDescent="0.35">
      <c r="A513" s="7" t="s">
        <v>1561</v>
      </c>
      <c r="B513" s="7" t="s">
        <v>517</v>
      </c>
      <c r="C513" s="4">
        <f>_xlfn.XLOOKUP(A513,[2]Sheet2!$I$2:$I$1273,[2]Sheet2!$D$2:$D$1273,0)</f>
        <v>0</v>
      </c>
      <c r="D513" s="4">
        <f>_xlfn.XLOOKUP(B513,[4]Sheet2!$B$2:$B$3154,[4]Sheet2!$F$2:$F$3154,0)</f>
        <v>0</v>
      </c>
      <c r="E513" s="4" t="e">
        <f>_xlfn.XLOOKUP(B513,[2]Sheet2!$E$2:$E$713,[2]Sheet2!$G$2:$G$713)</f>
        <v>#N/A</v>
      </c>
      <c r="F513" s="18">
        <v>46072</v>
      </c>
      <c r="G513" s="14">
        <v>0.73181712962962964</v>
      </c>
      <c r="H513" s="7" t="s">
        <v>5</v>
      </c>
      <c r="I513" s="2" t="str">
        <f t="shared" si="43"/>
        <v>Q1</v>
      </c>
      <c r="J513" s="2" t="str">
        <f t="shared" si="39"/>
        <v>Not Found</v>
      </c>
      <c r="K513" s="2">
        <f t="shared" si="40"/>
        <v>0.36055512754639896</v>
      </c>
      <c r="L513" s="2" t="e">
        <f t="shared" si="41"/>
        <v>#N/A</v>
      </c>
      <c r="M513" s="2" t="str">
        <f t="shared" si="42"/>
        <v>Assign quadrant hit</v>
      </c>
      <c r="N513" s="7">
        <v>16.5</v>
      </c>
      <c r="O513" s="7">
        <v>-0.1</v>
      </c>
      <c r="P513" s="7">
        <v>-0.6</v>
      </c>
      <c r="Q513" s="7">
        <v>1.25</v>
      </c>
      <c r="R513" s="7">
        <v>0.2</v>
      </c>
      <c r="S513" s="7">
        <v>0.3</v>
      </c>
      <c r="T513" s="7">
        <v>-0.56999999999999995</v>
      </c>
      <c r="U513" s="7">
        <v>0.16</v>
      </c>
      <c r="V513" s="7">
        <v>1.38</v>
      </c>
      <c r="W513" s="7" t="s">
        <v>6</v>
      </c>
      <c r="X513" s="7" t="s">
        <v>9</v>
      </c>
      <c r="Y513" s="2" t="s">
        <v>719</v>
      </c>
      <c r="Z513" s="2" t="s">
        <v>721</v>
      </c>
    </row>
    <row r="514" spans="1:26" x14ac:dyDescent="0.35">
      <c r="A514" s="7" t="s">
        <v>1656</v>
      </c>
      <c r="B514" s="7" t="s">
        <v>518</v>
      </c>
      <c r="C514" s="4" t="str">
        <f>_xlfn.XLOOKUP(A514,[2]Sheet2!$I$2:$I$1273,[2]Sheet2!$D$2:$D$1273,0)</f>
        <v>Q1</v>
      </c>
      <c r="D514" s="4">
        <f>_xlfn.XLOOKUP(B514,[4]Sheet2!$B$2:$B$3154,[4]Sheet2!$F$2:$F$3154,0)</f>
        <v>0</v>
      </c>
      <c r="E514" s="4" t="e">
        <f>_xlfn.XLOOKUP(B514,[2]Sheet2!$E$2:$E$713,[2]Sheet2!$G$2:$G$713)</f>
        <v>#N/A</v>
      </c>
      <c r="F514" s="18">
        <v>46072</v>
      </c>
      <c r="G514" s="14">
        <v>0.72017361111111111</v>
      </c>
      <c r="H514" s="7" t="s">
        <v>11</v>
      </c>
      <c r="I514" s="2" t="str">
        <f t="shared" si="43"/>
        <v>Q3</v>
      </c>
      <c r="J514" s="2" t="str">
        <f t="shared" si="39"/>
        <v>Not Match</v>
      </c>
      <c r="K514" s="2">
        <f t="shared" si="40"/>
        <v>0.41231056256176613</v>
      </c>
      <c r="L514" s="2" t="e">
        <f t="shared" si="41"/>
        <v>#N/A</v>
      </c>
      <c r="M514" s="2" t="str">
        <f t="shared" si="42"/>
        <v>Assign quadrant hit</v>
      </c>
      <c r="N514" s="7">
        <v>22.8</v>
      </c>
      <c r="O514" s="7">
        <v>12.4</v>
      </c>
      <c r="P514" s="7">
        <v>9.5</v>
      </c>
      <c r="Q514" s="7">
        <v>0.75</v>
      </c>
      <c r="R514" s="7">
        <v>-0.1</v>
      </c>
      <c r="S514" s="7">
        <v>-0.4</v>
      </c>
      <c r="T514" s="7">
        <v>-0.26</v>
      </c>
      <c r="U514" s="7">
        <v>-0.43</v>
      </c>
      <c r="V514" s="7">
        <v>0.9</v>
      </c>
      <c r="W514" s="7" t="s">
        <v>13</v>
      </c>
      <c r="X514" s="7" t="s">
        <v>7</v>
      </c>
      <c r="Y514" s="2" t="s">
        <v>719</v>
      </c>
      <c r="Z514" s="2" t="s">
        <v>721</v>
      </c>
    </row>
    <row r="515" spans="1:26" x14ac:dyDescent="0.35">
      <c r="A515" s="7" t="s">
        <v>1603</v>
      </c>
      <c r="B515" s="7" t="s">
        <v>519</v>
      </c>
      <c r="C515" s="4" t="str">
        <f>_xlfn.XLOOKUP(A515,[2]Sheet2!$I$2:$I$1273,[2]Sheet2!$D$2:$D$1273,0)</f>
        <v>Q2</v>
      </c>
      <c r="D515" s="4">
        <f>_xlfn.XLOOKUP(B515,[4]Sheet2!$B$2:$B$3154,[4]Sheet2!$F$2:$F$3154,0)</f>
        <v>0</v>
      </c>
      <c r="E515" s="4" t="e">
        <f>_xlfn.XLOOKUP(B515,[2]Sheet2!$E$2:$E$713,[2]Sheet2!$G$2:$G$713)</f>
        <v>#N/A</v>
      </c>
      <c r="F515" s="18">
        <v>46072</v>
      </c>
      <c r="G515" s="14">
        <v>0.73692129629629632</v>
      </c>
      <c r="H515" s="7" t="s">
        <v>4</v>
      </c>
      <c r="I515" s="2" t="str">
        <f t="shared" si="43"/>
        <v>Q4</v>
      </c>
      <c r="J515" s="2" t="str">
        <f t="shared" ref="J515:J578" si="44">IF(I515=C515,"Match",IF(C515=0,"Not Found","Not Match"))</f>
        <v>Not Match</v>
      </c>
      <c r="K515" s="2">
        <f t="shared" si="40"/>
        <v>0.1</v>
      </c>
      <c r="L515" s="2" t="e">
        <f t="shared" si="41"/>
        <v>#N/A</v>
      </c>
      <c r="M515" s="2" t="str">
        <f t="shared" si="42"/>
        <v>Below 0.8 not in assigned quadrant</v>
      </c>
      <c r="N515" s="7">
        <v>14.8</v>
      </c>
      <c r="O515" s="7">
        <v>0</v>
      </c>
      <c r="P515" s="7">
        <v>-0.6</v>
      </c>
      <c r="Q515" s="7">
        <v>-0.37</v>
      </c>
      <c r="R515" s="7">
        <v>0</v>
      </c>
      <c r="S515" s="7">
        <v>-0.1</v>
      </c>
      <c r="T515" s="7">
        <v>0.18</v>
      </c>
      <c r="U515" s="7">
        <v>-0.11</v>
      </c>
      <c r="V515" s="7">
        <v>0.42</v>
      </c>
      <c r="W515" s="7" t="s">
        <v>8</v>
      </c>
      <c r="X515" s="7" t="s">
        <v>15</v>
      </c>
      <c r="Y515" s="2" t="s">
        <v>719</v>
      </c>
      <c r="Z515" s="2" t="s">
        <v>721</v>
      </c>
    </row>
    <row r="516" spans="1:26" x14ac:dyDescent="0.35">
      <c r="A516" s="7" t="s">
        <v>1645</v>
      </c>
      <c r="B516" s="7" t="s">
        <v>520</v>
      </c>
      <c r="C516" s="4" t="str">
        <f>_xlfn.XLOOKUP(A516,[2]Sheet2!$I$2:$I$1273,[2]Sheet2!$D$2:$D$1273,0)</f>
        <v>Q2</v>
      </c>
      <c r="D516" s="4">
        <f>_xlfn.XLOOKUP(B516,[4]Sheet2!$B$2:$B$3154,[4]Sheet2!$F$2:$F$3154,0)</f>
        <v>0</v>
      </c>
      <c r="E516" s="4" t="e">
        <f>_xlfn.XLOOKUP(B516,[2]Sheet2!$E$2:$E$713,[2]Sheet2!$G$2:$G$713)</f>
        <v>#N/A</v>
      </c>
      <c r="F516" s="18">
        <v>46072</v>
      </c>
      <c r="G516" s="14">
        <v>0.74348379629629635</v>
      </c>
      <c r="H516" s="7" t="s">
        <v>4</v>
      </c>
      <c r="I516" s="2" t="str">
        <f t="shared" si="43"/>
        <v>Q3</v>
      </c>
      <c r="J516" s="2" t="str">
        <f t="shared" si="44"/>
        <v>Not Match</v>
      </c>
      <c r="K516" s="2">
        <f t="shared" si="40"/>
        <v>0.22360679774997899</v>
      </c>
      <c r="L516" s="2" t="e">
        <f t="shared" si="41"/>
        <v>#N/A</v>
      </c>
      <c r="M516" s="2" t="str">
        <f t="shared" si="42"/>
        <v>Below 0.8 not in assigned quadrant</v>
      </c>
      <c r="N516" s="7">
        <v>16.5</v>
      </c>
      <c r="O516" s="7">
        <v>-1.3</v>
      </c>
      <c r="P516" s="7">
        <v>-1.5</v>
      </c>
      <c r="Q516" s="7">
        <v>-0.27</v>
      </c>
      <c r="R516" s="7">
        <v>-0.1</v>
      </c>
      <c r="S516" s="7">
        <v>-0.2</v>
      </c>
      <c r="T516" s="7">
        <v>0.31</v>
      </c>
      <c r="U516" s="7">
        <v>0.08</v>
      </c>
      <c r="V516" s="7">
        <v>0.41</v>
      </c>
      <c r="W516" s="7" t="s">
        <v>8</v>
      </c>
      <c r="X516" s="7" t="s">
        <v>7</v>
      </c>
      <c r="Y516" s="2" t="s">
        <v>719</v>
      </c>
      <c r="Z516" s="2" t="s">
        <v>721</v>
      </c>
    </row>
    <row r="517" spans="1:26" x14ac:dyDescent="0.35">
      <c r="A517" s="7" t="s">
        <v>1624</v>
      </c>
      <c r="B517" s="7" t="s">
        <v>521</v>
      </c>
      <c r="C517" s="4" t="str">
        <f>_xlfn.XLOOKUP(A517,[2]Sheet2!$I$2:$I$1273,[2]Sheet2!$D$2:$D$1273,0)</f>
        <v>Q4</v>
      </c>
      <c r="D517" s="4">
        <f>_xlfn.XLOOKUP(B517,[4]Sheet2!$B$2:$B$3154,[4]Sheet2!$F$2:$F$3154,0)</f>
        <v>0</v>
      </c>
      <c r="E517" s="4" t="e">
        <f>_xlfn.XLOOKUP(B517,[2]Sheet2!$E$2:$E$713,[2]Sheet2!$G$2:$G$713)</f>
        <v>#N/A</v>
      </c>
      <c r="F517" s="18">
        <v>46072</v>
      </c>
      <c r="G517" s="14">
        <v>0.75512731481481477</v>
      </c>
      <c r="H517" s="7" t="s">
        <v>4</v>
      </c>
      <c r="I517" s="2" t="str">
        <f t="shared" si="43"/>
        <v>Q4</v>
      </c>
      <c r="J517" s="2" t="str">
        <f t="shared" si="44"/>
        <v>Match</v>
      </c>
      <c r="K517" s="2">
        <f t="shared" si="40"/>
        <v>0.14142135623730953</v>
      </c>
      <c r="L517" s="2" t="e">
        <f t="shared" si="41"/>
        <v>#N/A</v>
      </c>
      <c r="M517" s="2" t="str">
        <f t="shared" si="42"/>
        <v>Digital Approve Hit</v>
      </c>
      <c r="N517" s="7">
        <v>16.100000000000001</v>
      </c>
      <c r="O517" s="7">
        <v>-0.5</v>
      </c>
      <c r="P517" s="7">
        <v>-1.2</v>
      </c>
      <c r="Q517" s="7">
        <v>0.32</v>
      </c>
      <c r="R517" s="7">
        <v>0.1</v>
      </c>
      <c r="S517" s="7">
        <v>-0.1</v>
      </c>
      <c r="T517" s="7">
        <v>0.12</v>
      </c>
      <c r="U517" s="7">
        <v>0.23</v>
      </c>
      <c r="V517" s="7">
        <v>0.42</v>
      </c>
      <c r="W517" s="7" t="s">
        <v>8</v>
      </c>
      <c r="X517" s="7" t="s">
        <v>9</v>
      </c>
      <c r="Y517" s="2" t="s">
        <v>719</v>
      </c>
      <c r="Z517" s="2" t="s">
        <v>721</v>
      </c>
    </row>
    <row r="518" spans="1:26" x14ac:dyDescent="0.35">
      <c r="A518" s="7" t="s">
        <v>1565</v>
      </c>
      <c r="B518" s="7" t="s">
        <v>523</v>
      </c>
      <c r="C518" s="4">
        <f>_xlfn.XLOOKUP(A518,[2]Sheet2!$I$2:$I$1273,[2]Sheet2!$D$2:$D$1273,0)</f>
        <v>0</v>
      </c>
      <c r="D518" s="4">
        <f>_xlfn.XLOOKUP(B518,[4]Sheet2!$B$2:$B$3154,[4]Sheet2!$F$2:$F$3154,0)</f>
        <v>0</v>
      </c>
      <c r="E518" s="4" t="e">
        <f>_xlfn.XLOOKUP(B518,[2]Sheet2!$E$2:$E$713,[2]Sheet2!$G$2:$G$713)</f>
        <v>#N/A</v>
      </c>
      <c r="F518" s="18">
        <v>46072</v>
      </c>
      <c r="G518" s="14">
        <v>0.77354166666666668</v>
      </c>
      <c r="H518" s="7" t="s">
        <v>5</v>
      </c>
      <c r="I518" s="2" t="str">
        <f t="shared" si="43"/>
        <v>Q4</v>
      </c>
      <c r="J518" s="2" t="str">
        <f t="shared" si="44"/>
        <v>Not Found</v>
      </c>
      <c r="K518" s="2">
        <f t="shared" si="40"/>
        <v>0.4</v>
      </c>
      <c r="L518" s="2" t="e">
        <f t="shared" si="41"/>
        <v>#N/A</v>
      </c>
      <c r="M518" s="2" t="str">
        <f t="shared" si="42"/>
        <v>Assign quadrant hit</v>
      </c>
      <c r="N518" s="7">
        <v>16.100000000000001</v>
      </c>
      <c r="O518" s="7">
        <v>-0.8</v>
      </c>
      <c r="P518" s="7">
        <v>-1.8</v>
      </c>
      <c r="Q518" s="7">
        <v>-0.42</v>
      </c>
      <c r="R518" s="7">
        <v>0</v>
      </c>
      <c r="S518" s="7">
        <v>-0.4</v>
      </c>
      <c r="T518" s="7">
        <v>0.54</v>
      </c>
      <c r="U518" s="7">
        <v>0.28000000000000003</v>
      </c>
      <c r="V518" s="7">
        <v>0.74</v>
      </c>
      <c r="W518" s="7" t="s">
        <v>8</v>
      </c>
      <c r="X518" s="7" t="s">
        <v>9</v>
      </c>
      <c r="Y518" s="2" t="s">
        <v>719</v>
      </c>
      <c r="Z518" s="2" t="s">
        <v>721</v>
      </c>
    </row>
    <row r="519" spans="1:26" x14ac:dyDescent="0.35">
      <c r="A519" s="7" t="s">
        <v>1663</v>
      </c>
      <c r="B519" s="7" t="s">
        <v>524</v>
      </c>
      <c r="C519" s="4">
        <f>_xlfn.XLOOKUP(A519,[2]Sheet2!$I$2:$I$1273,[2]Sheet2!$D$2:$D$1273,0)</f>
        <v>0</v>
      </c>
      <c r="D519" s="4">
        <f>_xlfn.XLOOKUP(B519,[4]Sheet2!$B$2:$B$3154,[4]Sheet2!$F$2:$F$3154,0)</f>
        <v>0</v>
      </c>
      <c r="E519" s="4" t="e">
        <f>_xlfn.XLOOKUP(B519,[2]Sheet2!$E$2:$E$713,[2]Sheet2!$G$2:$G$713)</f>
        <v>#N/A</v>
      </c>
      <c r="F519" s="18">
        <v>46072</v>
      </c>
      <c r="G519" s="14">
        <v>0.77603009259259259</v>
      </c>
      <c r="H519" s="7" t="s">
        <v>5</v>
      </c>
      <c r="I519" s="2" t="str">
        <f t="shared" si="43"/>
        <v>Q1</v>
      </c>
      <c r="J519" s="2" t="str">
        <f t="shared" si="44"/>
        <v>Not Found</v>
      </c>
      <c r="K519" s="2">
        <f t="shared" si="40"/>
        <v>0.42426406871192851</v>
      </c>
      <c r="L519" s="2" t="e">
        <f t="shared" si="41"/>
        <v>#N/A</v>
      </c>
      <c r="M519" s="2" t="str">
        <f t="shared" si="42"/>
        <v>Assign quadrant hit</v>
      </c>
      <c r="N519" s="7">
        <v>16.5</v>
      </c>
      <c r="O519" s="7">
        <v>-1.3</v>
      </c>
      <c r="P519" s="7">
        <v>-8.1</v>
      </c>
      <c r="Q519" s="7">
        <v>-0.01</v>
      </c>
      <c r="R519" s="7">
        <v>0.3</v>
      </c>
      <c r="S519" s="7">
        <v>0.3</v>
      </c>
      <c r="T519" s="7">
        <v>-0.32</v>
      </c>
      <c r="U519" s="7">
        <v>0.36</v>
      </c>
      <c r="V519" s="7">
        <v>0.49</v>
      </c>
      <c r="W519" s="7" t="s">
        <v>8</v>
      </c>
      <c r="X519" s="7" t="s">
        <v>9</v>
      </c>
      <c r="Y519" s="2" t="s">
        <v>719</v>
      </c>
      <c r="Z519" s="2" t="s">
        <v>721</v>
      </c>
    </row>
    <row r="520" spans="1:26" x14ac:dyDescent="0.35">
      <c r="A520" s="7" t="s">
        <v>1663</v>
      </c>
      <c r="B520" s="7" t="s">
        <v>525</v>
      </c>
      <c r="C520" s="4">
        <f>_xlfn.XLOOKUP(A520,[2]Sheet2!$I$2:$I$1273,[2]Sheet2!$D$2:$D$1273,0)</f>
        <v>0</v>
      </c>
      <c r="D520" s="4">
        <f>_xlfn.XLOOKUP(B520,[4]Sheet2!$B$2:$B$3154,[4]Sheet2!$F$2:$F$3154,0)</f>
        <v>0</v>
      </c>
      <c r="E520" s="4" t="e">
        <f>_xlfn.XLOOKUP(B520,[2]Sheet2!$E$2:$E$713,[2]Sheet2!$G$2:$G$713)</f>
        <v>#N/A</v>
      </c>
      <c r="F520" s="18">
        <v>46072</v>
      </c>
      <c r="G520" s="14">
        <v>0.77822916666666664</v>
      </c>
      <c r="H520" s="7" t="s">
        <v>5</v>
      </c>
      <c r="I520" s="2" t="str">
        <f t="shared" si="43"/>
        <v>Q1</v>
      </c>
      <c r="J520" s="2" t="str">
        <f t="shared" si="44"/>
        <v>Not Found</v>
      </c>
      <c r="K520" s="2">
        <f t="shared" si="40"/>
        <v>0.14142135623730953</v>
      </c>
      <c r="L520" s="2" t="e">
        <f t="shared" si="41"/>
        <v>#N/A</v>
      </c>
      <c r="M520" s="2" t="str">
        <f t="shared" si="42"/>
        <v>Assign quadrant hit</v>
      </c>
      <c r="N520" s="7">
        <v>16.7</v>
      </c>
      <c r="O520" s="7">
        <v>-1.5</v>
      </c>
      <c r="P520" s="7">
        <v>-8.1999999999999993</v>
      </c>
      <c r="Q520" s="7">
        <v>0.22</v>
      </c>
      <c r="R520" s="7">
        <v>0.1</v>
      </c>
      <c r="S520" s="7">
        <v>0.1</v>
      </c>
      <c r="T520" s="7">
        <v>-0.14000000000000001</v>
      </c>
      <c r="U520" s="7">
        <v>0.12</v>
      </c>
      <c r="V520" s="7">
        <v>0.28000000000000003</v>
      </c>
      <c r="W520" s="7" t="s">
        <v>8</v>
      </c>
      <c r="X520" s="7" t="s">
        <v>9</v>
      </c>
      <c r="Y520" s="2" t="s">
        <v>719</v>
      </c>
      <c r="Z520" s="2" t="s">
        <v>721</v>
      </c>
    </row>
    <row r="521" spans="1:26" x14ac:dyDescent="0.35">
      <c r="A521" s="7" t="s">
        <v>1545</v>
      </c>
      <c r="B521" s="7" t="s">
        <v>527</v>
      </c>
      <c r="C521" s="4" t="str">
        <f>_xlfn.XLOOKUP(A521,[2]Sheet2!$I$2:$I$1273,[2]Sheet2!$D$2:$D$1273,0)</f>
        <v>Q2</v>
      </c>
      <c r="D521" s="4">
        <f>_xlfn.XLOOKUP(B521,[4]Sheet2!$B$2:$B$3154,[4]Sheet2!$F$2:$F$3154,0)</f>
        <v>0</v>
      </c>
      <c r="E521" s="4" t="e">
        <f>_xlfn.XLOOKUP(B521,[2]Sheet2!$E$2:$E$713,[2]Sheet2!$G$2:$G$713)</f>
        <v>#N/A</v>
      </c>
      <c r="F521" s="18">
        <v>46073</v>
      </c>
      <c r="G521" s="14">
        <v>0.13171296296296298</v>
      </c>
      <c r="H521" s="7" t="s">
        <v>5</v>
      </c>
      <c r="I521" s="2" t="str">
        <f t="shared" si="43"/>
        <v>Q4</v>
      </c>
      <c r="J521" s="2" t="str">
        <f t="shared" si="44"/>
        <v>Not Match</v>
      </c>
      <c r="K521" s="2">
        <f t="shared" si="40"/>
        <v>0.2</v>
      </c>
      <c r="L521" s="2" t="e">
        <f t="shared" si="41"/>
        <v>#N/A</v>
      </c>
      <c r="M521" s="2" t="str">
        <f t="shared" si="42"/>
        <v>Below 0.8 not in assigned quadrant</v>
      </c>
      <c r="N521" s="7">
        <v>17.2</v>
      </c>
      <c r="O521" s="7">
        <v>-0.6</v>
      </c>
      <c r="P521" s="7">
        <v>-2.5</v>
      </c>
      <c r="Q521" s="7">
        <v>-0.66</v>
      </c>
      <c r="R521" s="7">
        <v>0</v>
      </c>
      <c r="S521" s="7">
        <v>-0.2</v>
      </c>
      <c r="T521" s="7">
        <v>0.27</v>
      </c>
      <c r="U521" s="7">
        <v>0.13</v>
      </c>
      <c r="V521" s="7">
        <v>0.72</v>
      </c>
      <c r="W521" s="7" t="s">
        <v>8</v>
      </c>
      <c r="X521" s="7" t="s">
        <v>9</v>
      </c>
      <c r="Y521" s="2" t="s">
        <v>719</v>
      </c>
      <c r="Z521" s="2" t="s">
        <v>721</v>
      </c>
    </row>
    <row r="522" spans="1:26" x14ac:dyDescent="0.35">
      <c r="A522" s="7" t="s">
        <v>1559</v>
      </c>
      <c r="B522" s="7" t="s">
        <v>528</v>
      </c>
      <c r="C522" s="4" t="str">
        <f>_xlfn.XLOOKUP(A522,[2]Sheet2!$I$2:$I$1273,[2]Sheet2!$D$2:$D$1273,0)</f>
        <v>Q3</v>
      </c>
      <c r="D522" s="4">
        <f>_xlfn.XLOOKUP(B522,[4]Sheet2!$B$2:$B$3154,[4]Sheet2!$F$2:$F$3154,0)</f>
        <v>0</v>
      </c>
      <c r="E522" s="4" t="e">
        <f>_xlfn.XLOOKUP(B522,[2]Sheet2!$E$2:$E$713,[2]Sheet2!$G$2:$G$713)</f>
        <v>#N/A</v>
      </c>
      <c r="F522" s="18">
        <v>46073</v>
      </c>
      <c r="G522" s="14">
        <v>0.18607638888888889</v>
      </c>
      <c r="H522" s="7" t="s">
        <v>11</v>
      </c>
      <c r="I522" s="2" t="str">
        <f t="shared" si="43"/>
        <v>Q1</v>
      </c>
      <c r="J522" s="2" t="str">
        <f t="shared" si="44"/>
        <v>Not Match</v>
      </c>
      <c r="K522" s="2">
        <f t="shared" si="40"/>
        <v>0.14142135623730953</v>
      </c>
      <c r="L522" s="2" t="e">
        <f t="shared" si="41"/>
        <v>#N/A</v>
      </c>
      <c r="M522" s="2" t="str">
        <f t="shared" si="42"/>
        <v>Below 0.8 not in assigned quadrant</v>
      </c>
      <c r="N522" s="7">
        <v>16.899999999999999</v>
      </c>
      <c r="O522" s="7">
        <v>-0.4</v>
      </c>
      <c r="P522" s="7">
        <v>-2.7</v>
      </c>
      <c r="Q522" s="7">
        <v>-0.74</v>
      </c>
      <c r="R522" s="7">
        <v>0.1</v>
      </c>
      <c r="S522" s="7">
        <v>0.1</v>
      </c>
      <c r="T522" s="7">
        <v>-0.22</v>
      </c>
      <c r="U522" s="7">
        <v>0.17</v>
      </c>
      <c r="V522" s="7">
        <v>0.79</v>
      </c>
      <c r="W522" s="7" t="s">
        <v>13</v>
      </c>
      <c r="X522" s="7" t="s">
        <v>9</v>
      </c>
      <c r="Y522" s="2" t="s">
        <v>719</v>
      </c>
      <c r="Z522" s="2" t="s">
        <v>721</v>
      </c>
    </row>
    <row r="523" spans="1:26" x14ac:dyDescent="0.35">
      <c r="A523" s="7" t="s">
        <v>1559</v>
      </c>
      <c r="B523" s="7" t="s">
        <v>529</v>
      </c>
      <c r="C523" s="4" t="str">
        <f>_xlfn.XLOOKUP(A523,[2]Sheet2!$I$2:$I$1273,[2]Sheet2!$D$2:$D$1273,0)</f>
        <v>Q3</v>
      </c>
      <c r="D523" s="4">
        <f>_xlfn.XLOOKUP(B523,[4]Sheet2!$B$2:$B$3154,[4]Sheet2!$F$2:$F$3154,0)</f>
        <v>0</v>
      </c>
      <c r="E523" s="4" t="e">
        <f>_xlfn.XLOOKUP(B523,[2]Sheet2!$E$2:$E$713,[2]Sheet2!$G$2:$G$713)</f>
        <v>#N/A</v>
      </c>
      <c r="F523" s="18">
        <v>46073</v>
      </c>
      <c r="G523" s="14">
        <v>0.18890046296296295</v>
      </c>
      <c r="H523" s="7" t="s">
        <v>11</v>
      </c>
      <c r="I523" s="2" t="str">
        <f t="shared" si="43"/>
        <v>Q4</v>
      </c>
      <c r="J523" s="2" t="str">
        <f t="shared" si="44"/>
        <v>Not Match</v>
      </c>
      <c r="K523" s="2">
        <f t="shared" si="40"/>
        <v>0.1</v>
      </c>
      <c r="L523" s="2" t="e">
        <f t="shared" si="41"/>
        <v>#N/A</v>
      </c>
      <c r="M523" s="2" t="str">
        <f t="shared" si="42"/>
        <v>Below 0.8 not in assigned quadrant</v>
      </c>
      <c r="N523" s="7">
        <v>17.100000000000001</v>
      </c>
      <c r="O523" s="7">
        <v>-0.6</v>
      </c>
      <c r="P523" s="7">
        <v>-3</v>
      </c>
      <c r="Q523" s="7">
        <v>-0.56000000000000005</v>
      </c>
      <c r="R523" s="7">
        <v>0</v>
      </c>
      <c r="S523" s="7">
        <v>-0.1</v>
      </c>
      <c r="T523" s="7">
        <v>0.24</v>
      </c>
      <c r="U523" s="7">
        <v>0.04</v>
      </c>
      <c r="V523" s="7">
        <v>0.61</v>
      </c>
      <c r="W523" s="7" t="s">
        <v>8</v>
      </c>
      <c r="X523" s="7" t="s">
        <v>9</v>
      </c>
      <c r="Y523" s="2" t="s">
        <v>719</v>
      </c>
      <c r="Z523" s="2" t="s">
        <v>721</v>
      </c>
    </row>
    <row r="524" spans="1:26" x14ac:dyDescent="0.35">
      <c r="A524" s="7" t="s">
        <v>1663</v>
      </c>
      <c r="B524" s="7" t="s">
        <v>530</v>
      </c>
      <c r="C524" s="4">
        <f>_xlfn.XLOOKUP(A524,[2]Sheet2!$I$2:$I$1273,[2]Sheet2!$D$2:$D$1273,0)</f>
        <v>0</v>
      </c>
      <c r="D524" s="4">
        <f>_xlfn.XLOOKUP(B524,[4]Sheet2!$B$2:$B$3154,[4]Sheet2!$F$2:$F$3154,0)</f>
        <v>0</v>
      </c>
      <c r="E524" s="4" t="e">
        <f>_xlfn.XLOOKUP(B524,[2]Sheet2!$E$2:$E$713,[2]Sheet2!$G$2:$G$713)</f>
        <v>#N/A</v>
      </c>
      <c r="F524" s="18">
        <v>46073</v>
      </c>
      <c r="G524" s="14">
        <v>0.19192129629629628</v>
      </c>
      <c r="H524" s="7" t="s">
        <v>11</v>
      </c>
      <c r="I524" s="2" t="str">
        <f t="shared" si="43"/>
        <v>Q4</v>
      </c>
      <c r="J524" s="2" t="str">
        <f t="shared" si="44"/>
        <v>Not Found</v>
      </c>
      <c r="K524" s="2">
        <f t="shared" si="40"/>
        <v>0.1</v>
      </c>
      <c r="L524" s="2" t="e">
        <f t="shared" si="41"/>
        <v>#N/A</v>
      </c>
      <c r="M524" s="2" t="str">
        <f t="shared" si="42"/>
        <v>Assign quadrant hit</v>
      </c>
      <c r="N524" s="7">
        <v>16.100000000000001</v>
      </c>
      <c r="O524" s="7">
        <v>-1.3</v>
      </c>
      <c r="P524" s="7">
        <v>-8.8000000000000007</v>
      </c>
      <c r="Q524" s="7">
        <v>-0.25</v>
      </c>
      <c r="R524" s="7">
        <v>0</v>
      </c>
      <c r="S524" s="7">
        <v>-0.1</v>
      </c>
      <c r="T524" s="7">
        <v>0.17</v>
      </c>
      <c r="U524" s="7">
        <v>-0.02</v>
      </c>
      <c r="V524" s="7">
        <v>0.3</v>
      </c>
      <c r="W524" s="7" t="s">
        <v>8</v>
      </c>
      <c r="X524" s="7" t="s">
        <v>15</v>
      </c>
      <c r="Y524" s="2" t="s">
        <v>719</v>
      </c>
      <c r="Z524" s="2" t="s">
        <v>721</v>
      </c>
    </row>
    <row r="525" spans="1:26" x14ac:dyDescent="0.35">
      <c r="A525" s="7" t="s">
        <v>1664</v>
      </c>
      <c r="B525" s="7" t="s">
        <v>531</v>
      </c>
      <c r="C525" s="4" t="str">
        <f>_xlfn.XLOOKUP(A525,[2]Sheet2!$I$2:$I$1273,[2]Sheet2!$D$2:$D$1273,0)</f>
        <v>Q1</v>
      </c>
      <c r="D525" s="4">
        <f>_xlfn.XLOOKUP(B525,[4]Sheet2!$B$2:$B$3154,[4]Sheet2!$F$2:$F$3154,0)</f>
        <v>0</v>
      </c>
      <c r="E525" s="4">
        <f>_xlfn.XLOOKUP(B525,[2]Sheet2!$E$2:$E$713,[2]Sheet2!$G$2:$G$713)</f>
        <v>0.8</v>
      </c>
      <c r="F525" s="18">
        <v>46073</v>
      </c>
      <c r="G525" s="14">
        <v>0.20172453703703705</v>
      </c>
      <c r="H525" s="7" t="s">
        <v>4</v>
      </c>
      <c r="I525" s="2" t="str">
        <f t="shared" si="43"/>
        <v>Q3</v>
      </c>
      <c r="J525" s="2" t="str">
        <f t="shared" si="44"/>
        <v>Not Match</v>
      </c>
      <c r="K525" s="2">
        <f t="shared" si="40"/>
        <v>0.1</v>
      </c>
      <c r="L525" s="2" t="str">
        <f t="shared" si="41"/>
        <v>Within Range</v>
      </c>
      <c r="M525" s="2" t="str">
        <f t="shared" si="42"/>
        <v>Below 0.8 not in assigned quadrant</v>
      </c>
      <c r="N525" s="7">
        <v>24.2</v>
      </c>
      <c r="O525" s="7">
        <v>1.7</v>
      </c>
      <c r="P525" s="7">
        <v>-18</v>
      </c>
      <c r="Q525" s="7">
        <v>-0.35</v>
      </c>
      <c r="R525" s="7">
        <v>-0.1</v>
      </c>
      <c r="S525" s="7">
        <v>0</v>
      </c>
      <c r="T525" s="7">
        <v>-7.0000000000000007E-2</v>
      </c>
      <c r="U525" s="7">
        <v>-0.18</v>
      </c>
      <c r="V525" s="7">
        <v>0.4</v>
      </c>
      <c r="W525" s="7" t="s">
        <v>8</v>
      </c>
      <c r="X525" s="7" t="s">
        <v>15</v>
      </c>
      <c r="Y525" s="2" t="s">
        <v>719</v>
      </c>
      <c r="Z525" s="2" t="s">
        <v>721</v>
      </c>
    </row>
    <row r="526" spans="1:26" x14ac:dyDescent="0.35">
      <c r="A526" s="7" t="s">
        <v>1558</v>
      </c>
      <c r="B526" s="7" t="s">
        <v>532</v>
      </c>
      <c r="C526" s="4" t="str">
        <f>_xlfn.XLOOKUP(A526,[2]Sheet2!$I$2:$I$1273,[2]Sheet2!$D$2:$D$1273,0)</f>
        <v>Q3</v>
      </c>
      <c r="D526" s="4">
        <f>_xlfn.XLOOKUP(B526,[4]Sheet2!$B$2:$B$3154,[4]Sheet2!$F$2:$F$3154,0)</f>
        <v>0</v>
      </c>
      <c r="E526" s="4" t="e">
        <f>_xlfn.XLOOKUP(B526,[2]Sheet2!$E$2:$E$713,[2]Sheet2!$G$2:$G$713)</f>
        <v>#N/A</v>
      </c>
      <c r="F526" s="18">
        <v>46073</v>
      </c>
      <c r="G526" s="14">
        <v>0.25386574074074075</v>
      </c>
      <c r="H526" s="7" t="s">
        <v>16</v>
      </c>
      <c r="I526" s="2" t="str">
        <f t="shared" si="43"/>
        <v>Q4</v>
      </c>
      <c r="J526" s="2" t="str">
        <f t="shared" si="44"/>
        <v>Not Match</v>
      </c>
      <c r="K526" s="2">
        <f t="shared" si="40"/>
        <v>0.2</v>
      </c>
      <c r="L526" s="2" t="e">
        <f t="shared" si="41"/>
        <v>#N/A</v>
      </c>
      <c r="M526" s="2" t="str">
        <f t="shared" si="42"/>
        <v>Below 0.8 not in assigned quadrant</v>
      </c>
      <c r="N526" s="7">
        <v>14.9</v>
      </c>
      <c r="O526" s="7">
        <v>-0.4</v>
      </c>
      <c r="P526" s="7">
        <v>-2.1</v>
      </c>
      <c r="Q526" s="7">
        <v>-0.61</v>
      </c>
      <c r="R526" s="7">
        <v>0</v>
      </c>
      <c r="S526" s="7">
        <v>-0.2</v>
      </c>
      <c r="T526" s="7">
        <v>0.28999999999999998</v>
      </c>
      <c r="U526" s="7">
        <v>-0.06</v>
      </c>
      <c r="V526" s="7">
        <v>0.68</v>
      </c>
      <c r="W526" s="7" t="s">
        <v>8</v>
      </c>
      <c r="X526" s="7" t="s">
        <v>15</v>
      </c>
      <c r="Y526" s="2" t="s">
        <v>719</v>
      </c>
      <c r="Z526" s="2" t="s">
        <v>721</v>
      </c>
    </row>
    <row r="527" spans="1:26" x14ac:dyDescent="0.35">
      <c r="A527" s="7" t="s">
        <v>1559</v>
      </c>
      <c r="B527" s="7" t="s">
        <v>533</v>
      </c>
      <c r="C527" s="4" t="str">
        <f>_xlfn.XLOOKUP(A527,[2]Sheet2!$I$2:$I$1273,[2]Sheet2!$D$2:$D$1273,0)</f>
        <v>Q3</v>
      </c>
      <c r="D527" s="4">
        <f>_xlfn.XLOOKUP(B527,[4]Sheet2!$B$2:$B$3154,[4]Sheet2!$F$2:$F$3154,0)</f>
        <v>0</v>
      </c>
      <c r="E527" s="4" t="e">
        <f>_xlfn.XLOOKUP(B527,[2]Sheet2!$E$2:$E$713,[2]Sheet2!$G$2:$G$713)</f>
        <v>#N/A</v>
      </c>
      <c r="F527" s="18">
        <v>46073</v>
      </c>
      <c r="G527" s="14">
        <v>0.25790509259259259</v>
      </c>
      <c r="H527" s="7" t="s">
        <v>11</v>
      </c>
      <c r="I527" s="2" t="str">
        <f t="shared" si="43"/>
        <v>Q4</v>
      </c>
      <c r="J527" s="2" t="str">
        <f t="shared" si="44"/>
        <v>Not Match</v>
      </c>
      <c r="K527" s="2">
        <f t="shared" si="40"/>
        <v>0.3</v>
      </c>
      <c r="L527" s="2" t="e">
        <f t="shared" si="41"/>
        <v>#N/A</v>
      </c>
      <c r="M527" s="2" t="str">
        <f t="shared" si="42"/>
        <v>Below 0.8 not in assigned quadrant</v>
      </c>
      <c r="N527" s="7">
        <v>17.8</v>
      </c>
      <c r="O527" s="7">
        <v>-0.6</v>
      </c>
      <c r="P527" s="7">
        <v>-3.1</v>
      </c>
      <c r="Q527" s="7">
        <v>0.11</v>
      </c>
      <c r="R527" s="7">
        <v>0</v>
      </c>
      <c r="S527" s="7">
        <v>-0.3</v>
      </c>
      <c r="T527" s="7">
        <v>0.39</v>
      </c>
      <c r="U527" s="7">
        <v>0.05</v>
      </c>
      <c r="V527" s="7">
        <v>0.41</v>
      </c>
      <c r="W527" s="7" t="s">
        <v>8</v>
      </c>
      <c r="X527" s="7" t="s">
        <v>9</v>
      </c>
      <c r="Y527" s="2" t="s">
        <v>719</v>
      </c>
      <c r="Z527" s="2" t="s">
        <v>721</v>
      </c>
    </row>
    <row r="528" spans="1:26" x14ac:dyDescent="0.35">
      <c r="A528" s="7" t="s">
        <v>1590</v>
      </c>
      <c r="B528" s="7" t="s">
        <v>534</v>
      </c>
      <c r="C528" s="4" t="str">
        <f>_xlfn.XLOOKUP(A528,[2]Sheet2!$I$2:$I$1273,[2]Sheet2!$D$2:$D$1273,0)</f>
        <v>Q2</v>
      </c>
      <c r="D528" s="4">
        <f>_xlfn.XLOOKUP(B528,[4]Sheet2!$B$2:$B$3154,[4]Sheet2!$F$2:$F$3154,0)</f>
        <v>0</v>
      </c>
      <c r="E528" s="4" t="e">
        <f>_xlfn.XLOOKUP(B528,[2]Sheet2!$E$2:$E$713,[2]Sheet2!$G$2:$G$713)</f>
        <v>#N/A</v>
      </c>
      <c r="F528" s="18">
        <v>46073</v>
      </c>
      <c r="G528" s="14">
        <v>0.25952546296296297</v>
      </c>
      <c r="H528" s="7" t="s">
        <v>11</v>
      </c>
      <c r="I528" s="2" t="str">
        <f t="shared" si="43"/>
        <v>Q4</v>
      </c>
      <c r="J528" s="2" t="str">
        <f t="shared" si="44"/>
        <v>Not Match</v>
      </c>
      <c r="K528" s="2">
        <f t="shared" si="40"/>
        <v>0.1</v>
      </c>
      <c r="L528" s="2" t="e">
        <f t="shared" si="41"/>
        <v>#N/A</v>
      </c>
      <c r="M528" s="2" t="str">
        <f t="shared" si="42"/>
        <v>Assign quadrant hit</v>
      </c>
      <c r="N528" s="7">
        <v>16</v>
      </c>
      <c r="O528" s="7">
        <v>-0.7</v>
      </c>
      <c r="P528" s="7">
        <v>-2.4</v>
      </c>
      <c r="Q528" s="7">
        <v>-0.83</v>
      </c>
      <c r="R528" s="7">
        <v>0</v>
      </c>
      <c r="S528" s="7">
        <v>-0.1</v>
      </c>
      <c r="T528" s="7">
        <v>0.19</v>
      </c>
      <c r="U528" s="7">
        <v>0.13</v>
      </c>
      <c r="V528" s="7">
        <v>0.86</v>
      </c>
      <c r="W528" s="7" t="s">
        <v>13</v>
      </c>
      <c r="X528" s="7" t="s">
        <v>9</v>
      </c>
      <c r="Y528" s="2" t="s">
        <v>719</v>
      </c>
      <c r="Z528" s="2" t="s">
        <v>721</v>
      </c>
    </row>
    <row r="529" spans="1:26" x14ac:dyDescent="0.35">
      <c r="A529" s="7" t="s">
        <v>1665</v>
      </c>
      <c r="B529" s="7" t="s">
        <v>522</v>
      </c>
      <c r="C529" s="4">
        <f>_xlfn.XLOOKUP(A529,[2]Sheet2!$I$2:$I$1273,[2]Sheet2!$D$2:$D$1273,0)</f>
        <v>0</v>
      </c>
      <c r="D529" s="4">
        <f>_xlfn.XLOOKUP(B529,[4]Sheet2!$B$2:$B$3154,[4]Sheet2!$F$2:$F$3154,0)</f>
        <v>0</v>
      </c>
      <c r="E529" s="4" t="e">
        <f>_xlfn.XLOOKUP(B529,[2]Sheet2!$E$2:$E$713,[2]Sheet2!$G$2:$G$713)</f>
        <v>#N/A</v>
      </c>
      <c r="F529" s="18">
        <v>46073</v>
      </c>
      <c r="G529" s="14">
        <v>0.26209490740740743</v>
      </c>
      <c r="H529" s="7" t="s">
        <v>4</v>
      </c>
      <c r="I529" s="2" t="str">
        <f t="shared" si="43"/>
        <v>Q3</v>
      </c>
      <c r="J529" s="2" t="str">
        <f t="shared" si="44"/>
        <v>Not Found</v>
      </c>
      <c r="K529" s="2">
        <f t="shared" si="40"/>
        <v>0.1</v>
      </c>
      <c r="L529" s="2" t="e">
        <f t="shared" si="41"/>
        <v>#N/A</v>
      </c>
      <c r="M529" s="2" t="str">
        <f t="shared" si="42"/>
        <v>Assign quadrant hit</v>
      </c>
      <c r="N529" s="7">
        <v>23.7</v>
      </c>
      <c r="O529" s="7">
        <v>5.6</v>
      </c>
      <c r="P529" s="7">
        <v>4.7</v>
      </c>
      <c r="Q529" s="7">
        <v>-0.95</v>
      </c>
      <c r="R529" s="7">
        <v>-0.1</v>
      </c>
      <c r="S529" s="7">
        <v>0</v>
      </c>
      <c r="T529" s="7">
        <v>-0.13</v>
      </c>
      <c r="U529" s="7">
        <v>-0.01</v>
      </c>
      <c r="V529" s="7">
        <v>0.96</v>
      </c>
      <c r="W529" s="7" t="s">
        <v>13</v>
      </c>
      <c r="X529" s="7" t="s">
        <v>7</v>
      </c>
      <c r="Y529" s="2" t="s">
        <v>719</v>
      </c>
      <c r="Z529" s="2" t="s">
        <v>721</v>
      </c>
    </row>
    <row r="530" spans="1:26" x14ac:dyDescent="0.35">
      <c r="A530" s="7" t="s">
        <v>1666</v>
      </c>
      <c r="B530" s="7" t="s">
        <v>535</v>
      </c>
      <c r="C530" s="4" t="str">
        <f>_xlfn.XLOOKUP(A530,[2]Sheet2!$I$2:$I$1273,[2]Sheet2!$D$2:$D$1273,0)</f>
        <v>Q3</v>
      </c>
      <c r="D530" s="4">
        <f>_xlfn.XLOOKUP(B530,[4]Sheet2!$B$2:$B$3154,[4]Sheet2!$F$2:$F$3154,0)</f>
        <v>0</v>
      </c>
      <c r="E530" s="4">
        <f>_xlfn.XLOOKUP(B530,[2]Sheet2!$E$2:$E$713,[2]Sheet2!$G$2:$G$713)</f>
        <v>0.8</v>
      </c>
      <c r="F530" s="18">
        <v>46073</v>
      </c>
      <c r="G530" s="14">
        <v>0.27605324074074072</v>
      </c>
      <c r="H530" s="7" t="s">
        <v>5</v>
      </c>
      <c r="I530" s="2" t="str">
        <f t="shared" si="43"/>
        <v>Q3</v>
      </c>
      <c r="J530" s="2" t="str">
        <f t="shared" si="44"/>
        <v>Match</v>
      </c>
      <c r="K530" s="2">
        <f t="shared" si="40"/>
        <v>0.14142135623730953</v>
      </c>
      <c r="L530" s="2" t="str">
        <f t="shared" si="41"/>
        <v>Within Range</v>
      </c>
      <c r="M530" s="2" t="str">
        <f t="shared" si="42"/>
        <v>Digital Approve Hit</v>
      </c>
      <c r="N530" s="7">
        <v>16.7</v>
      </c>
      <c r="O530" s="7">
        <v>-0.1</v>
      </c>
      <c r="P530" s="7">
        <v>-1</v>
      </c>
      <c r="Q530" s="7">
        <v>-0.24</v>
      </c>
      <c r="R530" s="7">
        <v>-0.1</v>
      </c>
      <c r="S530" s="7">
        <v>-0.1</v>
      </c>
      <c r="T530" s="7">
        <v>0.23</v>
      </c>
      <c r="U530" s="7">
        <v>-0.14000000000000001</v>
      </c>
      <c r="V530" s="7">
        <v>0.36</v>
      </c>
      <c r="W530" s="7" t="s">
        <v>8</v>
      </c>
      <c r="X530" s="7" t="s">
        <v>15</v>
      </c>
      <c r="Y530" s="2" t="s">
        <v>719</v>
      </c>
      <c r="Z530" s="2" t="s">
        <v>721</v>
      </c>
    </row>
    <row r="531" spans="1:26" x14ac:dyDescent="0.35">
      <c r="A531" s="7" t="s">
        <v>1628</v>
      </c>
      <c r="B531" s="7" t="s">
        <v>536</v>
      </c>
      <c r="C531" s="4" t="str">
        <f>_xlfn.XLOOKUP(A531,[2]Sheet2!$I$2:$I$1273,[2]Sheet2!$D$2:$D$1273,0)</f>
        <v>Q4</v>
      </c>
      <c r="D531" s="4">
        <f>_xlfn.XLOOKUP(B531,[4]Sheet2!$B$2:$B$3154,[4]Sheet2!$F$2:$F$3154,0)</f>
        <v>0</v>
      </c>
      <c r="E531" s="4">
        <f>_xlfn.XLOOKUP(B531,[2]Sheet2!$E$2:$E$713,[2]Sheet2!$G$2:$G$713)</f>
        <v>0.8</v>
      </c>
      <c r="F531" s="18">
        <v>46073</v>
      </c>
      <c r="G531" s="14">
        <v>0.27800925925925923</v>
      </c>
      <c r="H531" s="7" t="s">
        <v>5</v>
      </c>
      <c r="I531" s="2" t="str">
        <f t="shared" si="43"/>
        <v>Q3</v>
      </c>
      <c r="J531" s="2" t="str">
        <f t="shared" si="44"/>
        <v>Not Match</v>
      </c>
      <c r="K531" s="2">
        <f t="shared" si="40"/>
        <v>0.3</v>
      </c>
      <c r="L531" s="2" t="str">
        <f t="shared" si="41"/>
        <v>Within Range</v>
      </c>
      <c r="M531" s="2" t="str">
        <f t="shared" si="42"/>
        <v>Assign quadrant hit</v>
      </c>
      <c r="N531" s="7">
        <v>17.7</v>
      </c>
      <c r="O531" s="7">
        <v>-0.3</v>
      </c>
      <c r="P531" s="7">
        <v>-2.6</v>
      </c>
      <c r="Q531" s="7">
        <v>1.24</v>
      </c>
      <c r="R531" s="7">
        <v>-0.3</v>
      </c>
      <c r="S531" s="7">
        <v>0</v>
      </c>
      <c r="T531" s="7">
        <v>0.15</v>
      </c>
      <c r="U531" s="7">
        <v>-0.42</v>
      </c>
      <c r="V531" s="7">
        <v>1.32</v>
      </c>
      <c r="W531" s="7" t="s">
        <v>6</v>
      </c>
      <c r="X531" s="7" t="s">
        <v>15</v>
      </c>
      <c r="Y531" s="2" t="s">
        <v>719</v>
      </c>
      <c r="Z531" s="2" t="s">
        <v>721</v>
      </c>
    </row>
    <row r="532" spans="1:26" x14ac:dyDescent="0.35">
      <c r="A532" s="7" t="s">
        <v>1656</v>
      </c>
      <c r="B532" s="7" t="s">
        <v>538</v>
      </c>
      <c r="C532" s="4" t="str">
        <f>_xlfn.XLOOKUP(A532,[2]Sheet2!$I$2:$I$1273,[2]Sheet2!$D$2:$D$1273,0)</f>
        <v>Q1</v>
      </c>
      <c r="D532" s="4" t="str">
        <f>_xlfn.XLOOKUP(B532,[4]Sheet2!$B$2:$B$3154,[4]Sheet2!$F$2:$F$3154,0)</f>
        <v>N/ App</v>
      </c>
      <c r="E532" s="4" t="e">
        <f>_xlfn.XLOOKUP(B532,[2]Sheet2!$E$2:$E$713,[2]Sheet2!$G$2:$G$713)</f>
        <v>#N/A</v>
      </c>
      <c r="F532" s="18">
        <v>46073</v>
      </c>
      <c r="G532" s="14">
        <v>0.4463078703703704</v>
      </c>
      <c r="H532" s="7" t="s">
        <v>11</v>
      </c>
      <c r="I532" s="2" t="str">
        <f t="shared" si="43"/>
        <v>Q4</v>
      </c>
      <c r="J532" s="2" t="str">
        <f t="shared" si="44"/>
        <v>Not Match</v>
      </c>
      <c r="K532" s="2">
        <f t="shared" si="40"/>
        <v>2.1470910553583886</v>
      </c>
      <c r="L532" s="2" t="e">
        <f t="shared" si="41"/>
        <v>#N/A</v>
      </c>
      <c r="M532" s="2" t="str">
        <f t="shared" si="42"/>
        <v>Assign quadrant hit</v>
      </c>
      <c r="N532" s="7">
        <v>22.8</v>
      </c>
      <c r="O532" s="7">
        <v>13.6</v>
      </c>
      <c r="P532" s="7">
        <v>8</v>
      </c>
      <c r="Q532" s="7">
        <v>0.78</v>
      </c>
      <c r="R532" s="7">
        <v>1</v>
      </c>
      <c r="S532" s="7">
        <v>-1.9</v>
      </c>
      <c r="T532" s="7">
        <v>-0.16</v>
      </c>
      <c r="U532" s="7">
        <v>-3.06</v>
      </c>
      <c r="V532" s="7">
        <v>3.16</v>
      </c>
      <c r="W532" s="7" t="s">
        <v>6</v>
      </c>
      <c r="X532" s="7" t="s">
        <v>7</v>
      </c>
      <c r="Y532" s="2" t="s">
        <v>719</v>
      </c>
      <c r="Z532" s="2" t="s">
        <v>721</v>
      </c>
    </row>
    <row r="533" spans="1:26" x14ac:dyDescent="0.35">
      <c r="A533" s="7" t="s">
        <v>1559</v>
      </c>
      <c r="B533" s="7" t="s">
        <v>539</v>
      </c>
      <c r="C533" s="4" t="str">
        <f>_xlfn.XLOOKUP(A533,[2]Sheet2!$I$2:$I$1273,[2]Sheet2!$D$2:$D$1273,0)</f>
        <v>Q3</v>
      </c>
      <c r="D533" s="4">
        <f>_xlfn.XLOOKUP(B533,[4]Sheet2!$B$2:$B$3154,[4]Sheet2!$F$2:$F$3154,0)</f>
        <v>0</v>
      </c>
      <c r="E533" s="4" t="e">
        <f>_xlfn.XLOOKUP(B533,[2]Sheet2!$E$2:$E$713,[2]Sheet2!$G$2:$G$713)</f>
        <v>#N/A</v>
      </c>
      <c r="F533" s="18">
        <v>46073</v>
      </c>
      <c r="G533" s="14">
        <v>0.56150462962962966</v>
      </c>
      <c r="H533" s="7" t="s">
        <v>11</v>
      </c>
      <c r="I533" s="2" t="str">
        <f t="shared" si="43"/>
        <v>Q4</v>
      </c>
      <c r="J533" s="2" t="str">
        <f t="shared" si="44"/>
        <v>Not Match</v>
      </c>
      <c r="K533" s="2">
        <f t="shared" si="40"/>
        <v>0.1</v>
      </c>
      <c r="L533" s="2" t="e">
        <f t="shared" si="41"/>
        <v>#N/A</v>
      </c>
      <c r="M533" s="2" t="str">
        <f t="shared" si="42"/>
        <v>Assign quadrant hit</v>
      </c>
      <c r="N533" s="7">
        <v>16.7</v>
      </c>
      <c r="O533" s="7">
        <v>-0.5</v>
      </c>
      <c r="P533" s="7">
        <v>-2.9</v>
      </c>
      <c r="Q533" s="7">
        <v>-0.95</v>
      </c>
      <c r="R533" s="7">
        <v>0.1</v>
      </c>
      <c r="S533" s="7">
        <v>0</v>
      </c>
      <c r="T533" s="7">
        <v>0.06</v>
      </c>
      <c r="U533" s="7">
        <v>0.16</v>
      </c>
      <c r="V533" s="7">
        <v>0.97</v>
      </c>
      <c r="W533" s="7" t="s">
        <v>13</v>
      </c>
      <c r="X533" s="7" t="s">
        <v>9</v>
      </c>
      <c r="Y533" s="2" t="s">
        <v>719</v>
      </c>
      <c r="Z533" s="2" t="s">
        <v>721</v>
      </c>
    </row>
    <row r="534" spans="1:26" x14ac:dyDescent="0.35">
      <c r="A534" s="7" t="s">
        <v>1559</v>
      </c>
      <c r="B534" s="7" t="s">
        <v>540</v>
      </c>
      <c r="C534" s="4" t="str">
        <f>_xlfn.XLOOKUP(A534,[2]Sheet2!$I$2:$I$1273,[2]Sheet2!$D$2:$D$1273,0)</f>
        <v>Q3</v>
      </c>
      <c r="D534" s="4">
        <f>_xlfn.XLOOKUP(B534,[4]Sheet2!$B$2:$B$3154,[4]Sheet2!$F$2:$F$3154,0)</f>
        <v>0</v>
      </c>
      <c r="E534" s="4" t="e">
        <f>_xlfn.XLOOKUP(B534,[2]Sheet2!$E$2:$E$713,[2]Sheet2!$G$2:$G$713)</f>
        <v>#N/A</v>
      </c>
      <c r="F534" s="18">
        <v>46073</v>
      </c>
      <c r="G534" s="14">
        <v>0.56459490740740736</v>
      </c>
      <c r="H534" s="7" t="s">
        <v>11</v>
      </c>
      <c r="I534" s="2" t="str">
        <f t="shared" si="43"/>
        <v>Q4</v>
      </c>
      <c r="J534" s="2" t="str">
        <f t="shared" si="44"/>
        <v>Not Match</v>
      </c>
      <c r="K534" s="2">
        <f t="shared" si="40"/>
        <v>0.1</v>
      </c>
      <c r="L534" s="2" t="e">
        <f t="shared" si="41"/>
        <v>#N/A</v>
      </c>
      <c r="M534" s="2" t="str">
        <f t="shared" si="42"/>
        <v>Below 0.8 not in assigned quadrant</v>
      </c>
      <c r="N534" s="7">
        <v>17.100000000000001</v>
      </c>
      <c r="O534" s="7">
        <v>-0.6</v>
      </c>
      <c r="P534" s="7">
        <v>-2.9</v>
      </c>
      <c r="Q534" s="7">
        <v>-0.56999999999999995</v>
      </c>
      <c r="R534" s="7">
        <v>0</v>
      </c>
      <c r="S534" s="7">
        <v>-0.1</v>
      </c>
      <c r="T534" s="7">
        <v>0.17</v>
      </c>
      <c r="U534" s="7">
        <v>0.05</v>
      </c>
      <c r="V534" s="7">
        <v>0.6</v>
      </c>
      <c r="W534" s="7" t="s">
        <v>8</v>
      </c>
      <c r="X534" s="7" t="s">
        <v>9</v>
      </c>
      <c r="Y534" s="2" t="s">
        <v>719</v>
      </c>
      <c r="Z534" s="2" t="s">
        <v>721</v>
      </c>
    </row>
    <row r="535" spans="1:26" x14ac:dyDescent="0.35">
      <c r="A535" s="7" t="s">
        <v>1667</v>
      </c>
      <c r="B535" s="7" t="s">
        <v>541</v>
      </c>
      <c r="C535" s="4" t="str">
        <f>_xlfn.XLOOKUP(A535,[2]Sheet2!$I$2:$I$1273,[2]Sheet2!$D$2:$D$1273,0)</f>
        <v>Q3</v>
      </c>
      <c r="D535" s="4">
        <f>_xlfn.XLOOKUP(B535,[4]Sheet2!$B$2:$B$3154,[4]Sheet2!$F$2:$F$3154,0)</f>
        <v>0</v>
      </c>
      <c r="E535" s="4" t="e">
        <f>_xlfn.XLOOKUP(B535,[2]Sheet2!$E$2:$E$713,[2]Sheet2!$G$2:$G$713)</f>
        <v>#N/A</v>
      </c>
      <c r="F535" s="18">
        <v>46073</v>
      </c>
      <c r="G535" s="14">
        <v>0.65137731481481487</v>
      </c>
      <c r="H535" s="7" t="s">
        <v>10</v>
      </c>
      <c r="I535" s="2" t="str">
        <f t="shared" si="43"/>
        <v>Q3</v>
      </c>
      <c r="J535" s="2" t="str">
        <f t="shared" si="44"/>
        <v>Match</v>
      </c>
      <c r="K535" s="2">
        <f t="shared" si="40"/>
        <v>0.58309518948452999</v>
      </c>
      <c r="L535" s="2" t="e">
        <f t="shared" si="41"/>
        <v>#N/A</v>
      </c>
      <c r="M535" s="2" t="str">
        <f t="shared" si="42"/>
        <v>Digital Approve Hit</v>
      </c>
      <c r="N535" s="7">
        <v>17</v>
      </c>
      <c r="O535" s="7">
        <v>-2.8</v>
      </c>
      <c r="P535" s="7">
        <v>-12.8</v>
      </c>
      <c r="Q535" s="7">
        <v>-0.33</v>
      </c>
      <c r="R535" s="7">
        <v>-0.5</v>
      </c>
      <c r="S535" s="7">
        <v>-0.3</v>
      </c>
      <c r="T535" s="7">
        <v>0.36</v>
      </c>
      <c r="U535" s="7">
        <v>-0.54</v>
      </c>
      <c r="V535" s="7">
        <v>0.73</v>
      </c>
      <c r="W535" s="7" t="s">
        <v>8</v>
      </c>
      <c r="X535" s="7" t="s">
        <v>15</v>
      </c>
      <c r="Y535" s="2" t="s">
        <v>719</v>
      </c>
      <c r="Z535" s="2" t="s">
        <v>721</v>
      </c>
    </row>
    <row r="536" spans="1:26" x14ac:dyDescent="0.35">
      <c r="A536" s="7" t="s">
        <v>1668</v>
      </c>
      <c r="B536" s="7" t="s">
        <v>542</v>
      </c>
      <c r="C536" s="4" t="str">
        <f>_xlfn.XLOOKUP(A536,[2]Sheet2!$I$2:$I$1273,[2]Sheet2!$D$2:$D$1273,0)</f>
        <v>Q4</v>
      </c>
      <c r="D536" s="4">
        <f>_xlfn.XLOOKUP(B536,[4]Sheet2!$B$2:$B$3154,[4]Sheet2!$F$2:$F$3154,0)</f>
        <v>0</v>
      </c>
      <c r="E536" s="4" t="e">
        <f>_xlfn.XLOOKUP(B536,[2]Sheet2!$E$2:$E$713,[2]Sheet2!$G$2:$G$713)</f>
        <v>#N/A</v>
      </c>
      <c r="F536" s="18">
        <v>46073</v>
      </c>
      <c r="G536" s="14">
        <v>0.68167824074074079</v>
      </c>
      <c r="H536" s="7" t="s">
        <v>11</v>
      </c>
      <c r="I536" s="2" t="str">
        <f t="shared" si="43"/>
        <v>Q4</v>
      </c>
      <c r="J536" s="2" t="str">
        <f t="shared" si="44"/>
        <v>Match</v>
      </c>
      <c r="K536" s="2">
        <f t="shared" si="40"/>
        <v>1.1704699910719625</v>
      </c>
      <c r="L536" s="2" t="e">
        <f t="shared" si="41"/>
        <v>#N/A</v>
      </c>
      <c r="M536" s="2" t="str">
        <f t="shared" si="42"/>
        <v>Digital Approve Hit</v>
      </c>
      <c r="N536" s="7">
        <v>43.9</v>
      </c>
      <c r="O536" s="7">
        <v>39</v>
      </c>
      <c r="P536" s="7">
        <v>-17.3</v>
      </c>
      <c r="Q536" s="7">
        <v>-0.23</v>
      </c>
      <c r="R536" s="7">
        <v>1.1000000000000001</v>
      </c>
      <c r="S536" s="7">
        <v>-0.4</v>
      </c>
      <c r="T536" s="7">
        <v>0.54</v>
      </c>
      <c r="U536" s="7">
        <v>0.05</v>
      </c>
      <c r="V536" s="7">
        <v>0.57999999999999996</v>
      </c>
      <c r="W536" s="7" t="s">
        <v>8</v>
      </c>
      <c r="X536" s="7" t="s">
        <v>9</v>
      </c>
      <c r="Y536" s="2" t="s">
        <v>719</v>
      </c>
      <c r="Z536" s="2" t="s">
        <v>721</v>
      </c>
    </row>
    <row r="537" spans="1:26" x14ac:dyDescent="0.35">
      <c r="A537" s="7" t="s">
        <v>1650</v>
      </c>
      <c r="B537" s="7" t="s">
        <v>543</v>
      </c>
      <c r="C537" s="4">
        <f>_xlfn.XLOOKUP(A537,[2]Sheet2!$I$2:$I$1273,[2]Sheet2!$D$2:$D$1273,0)</f>
        <v>0</v>
      </c>
      <c r="D537" s="4" t="str">
        <f>_xlfn.XLOOKUP(B537,[4]Sheet2!$B$2:$B$3154,[4]Sheet2!$F$2:$F$3154,0)</f>
        <v>N/ App</v>
      </c>
      <c r="E537" s="4" t="e">
        <f>_xlfn.XLOOKUP(B537,[2]Sheet2!$E$2:$E$713,[2]Sheet2!$G$2:$G$713)</f>
        <v>#N/A</v>
      </c>
      <c r="F537" s="18">
        <v>46073</v>
      </c>
      <c r="G537" s="14">
        <v>0.69236111111111109</v>
      </c>
      <c r="H537" s="7" t="s">
        <v>5</v>
      </c>
      <c r="I537" s="2" t="str">
        <f t="shared" si="43"/>
        <v>Q4</v>
      </c>
      <c r="J537" s="2" t="str">
        <f t="shared" si="44"/>
        <v>Not Found</v>
      </c>
      <c r="K537" s="2">
        <f t="shared" si="40"/>
        <v>0.1</v>
      </c>
      <c r="L537" s="2" t="e">
        <f t="shared" si="41"/>
        <v>#N/A</v>
      </c>
      <c r="M537" s="2" t="str">
        <f t="shared" si="42"/>
        <v>Assign quadrant hit</v>
      </c>
      <c r="N537" s="7">
        <v>15.7</v>
      </c>
      <c r="O537" s="7">
        <v>-0.6</v>
      </c>
      <c r="P537" s="7">
        <v>-2.8</v>
      </c>
      <c r="Q537" s="7">
        <v>-0.18</v>
      </c>
      <c r="R537" s="7">
        <v>0</v>
      </c>
      <c r="S537" s="7">
        <v>-0.1</v>
      </c>
      <c r="T537" s="7">
        <v>0.15</v>
      </c>
      <c r="U537" s="7">
        <v>0.08</v>
      </c>
      <c r="V537" s="7">
        <v>0.25</v>
      </c>
      <c r="W537" s="7" t="s">
        <v>8</v>
      </c>
      <c r="X537" s="7" t="s">
        <v>9</v>
      </c>
      <c r="Y537" s="2" t="s">
        <v>719</v>
      </c>
      <c r="Z537" s="2" t="s">
        <v>721</v>
      </c>
    </row>
    <row r="538" spans="1:26" x14ac:dyDescent="0.35">
      <c r="A538" s="7" t="s">
        <v>1603</v>
      </c>
      <c r="B538" s="7" t="s">
        <v>544</v>
      </c>
      <c r="C538" s="4" t="str">
        <f>_xlfn.XLOOKUP(A538,[2]Sheet2!$I$2:$I$1273,[2]Sheet2!$D$2:$D$1273,0)</f>
        <v>Q2</v>
      </c>
      <c r="D538" s="4">
        <f>_xlfn.XLOOKUP(B538,[4]Sheet2!$B$2:$B$3154,[4]Sheet2!$F$2:$F$3154,0)</f>
        <v>0</v>
      </c>
      <c r="E538" s="4" t="e">
        <f>_xlfn.XLOOKUP(B538,[2]Sheet2!$E$2:$E$713,[2]Sheet2!$G$2:$G$713)</f>
        <v>#N/A</v>
      </c>
      <c r="F538" s="18">
        <v>46073</v>
      </c>
      <c r="G538" s="14">
        <v>0.75118055555555552</v>
      </c>
      <c r="H538" s="7" t="s">
        <v>4</v>
      </c>
      <c r="I538" s="2" t="str">
        <f t="shared" si="43"/>
        <v>Q4</v>
      </c>
      <c r="J538" s="2" t="str">
        <f t="shared" si="44"/>
        <v>Not Match</v>
      </c>
      <c r="K538" s="2">
        <f t="shared" si="40"/>
        <v>0.2</v>
      </c>
      <c r="L538" s="2" t="e">
        <f t="shared" si="41"/>
        <v>#N/A</v>
      </c>
      <c r="M538" s="2" t="str">
        <f t="shared" si="42"/>
        <v>Below 0.8 not in assigned quadrant</v>
      </c>
      <c r="N538" s="7">
        <v>15</v>
      </c>
      <c r="O538" s="7">
        <v>0</v>
      </c>
      <c r="P538" s="7">
        <v>-0.8</v>
      </c>
      <c r="Q538" s="7">
        <v>-0.1</v>
      </c>
      <c r="R538" s="7">
        <v>0</v>
      </c>
      <c r="S538" s="7">
        <v>-0.2</v>
      </c>
      <c r="T538" s="7">
        <v>0.42</v>
      </c>
      <c r="U538" s="7">
        <v>0.04</v>
      </c>
      <c r="V538" s="7">
        <v>0.44</v>
      </c>
      <c r="W538" s="7" t="s">
        <v>8</v>
      </c>
      <c r="X538" s="7" t="s">
        <v>9</v>
      </c>
      <c r="Y538" s="2" t="s">
        <v>719</v>
      </c>
      <c r="Z538" s="2" t="s">
        <v>721</v>
      </c>
    </row>
    <row r="539" spans="1:26" x14ac:dyDescent="0.35">
      <c r="A539" s="7" t="s">
        <v>1658</v>
      </c>
      <c r="B539" s="7" t="s">
        <v>545</v>
      </c>
      <c r="C539" s="4" t="str">
        <f>_xlfn.XLOOKUP(A539,[2]Sheet2!$I$2:$I$1273,[2]Sheet2!$D$2:$D$1273,0)</f>
        <v>Q4</v>
      </c>
      <c r="D539" s="4">
        <f>_xlfn.XLOOKUP(B539,[4]Sheet2!$B$2:$B$3154,[4]Sheet2!$F$2:$F$3154,0)</f>
        <v>0</v>
      </c>
      <c r="E539" s="4" t="e">
        <f>_xlfn.XLOOKUP(B539,[2]Sheet2!$E$2:$E$713,[2]Sheet2!$G$2:$G$713)</f>
        <v>#N/A</v>
      </c>
      <c r="F539" s="18">
        <v>46073</v>
      </c>
      <c r="G539" s="14">
        <v>0.75502314814814819</v>
      </c>
      <c r="H539" s="7" t="s">
        <v>14</v>
      </c>
      <c r="I539" s="2" t="str">
        <f t="shared" si="43"/>
        <v>Q1</v>
      </c>
      <c r="J539" s="2" t="str">
        <f t="shared" si="44"/>
        <v>Not Match</v>
      </c>
      <c r="K539" s="2">
        <f t="shared" si="40"/>
        <v>0.50990195135927852</v>
      </c>
      <c r="L539" s="2" t="e">
        <f t="shared" si="41"/>
        <v>#N/A</v>
      </c>
      <c r="M539" s="2" t="str">
        <f t="shared" si="42"/>
        <v>Assign quadrant hit</v>
      </c>
      <c r="N539" s="7">
        <v>40.700000000000003</v>
      </c>
      <c r="O539" s="7">
        <v>7.4</v>
      </c>
      <c r="P539" s="7">
        <v>10.6</v>
      </c>
      <c r="Q539" s="7">
        <v>-1.51</v>
      </c>
      <c r="R539" s="7">
        <v>0.1</v>
      </c>
      <c r="S539" s="7">
        <v>0.5</v>
      </c>
      <c r="T539" s="7">
        <v>0.42</v>
      </c>
      <c r="U539" s="7">
        <v>0.34</v>
      </c>
      <c r="V539" s="7">
        <v>1.61</v>
      </c>
      <c r="W539" s="7" t="s">
        <v>6</v>
      </c>
      <c r="X539" s="7" t="s">
        <v>12</v>
      </c>
      <c r="Y539" s="2" t="s">
        <v>719</v>
      </c>
      <c r="Z539" s="2" t="s">
        <v>721</v>
      </c>
    </row>
    <row r="540" spans="1:26" x14ac:dyDescent="0.35">
      <c r="A540" s="7" t="s">
        <v>1657</v>
      </c>
      <c r="B540" s="7" t="s">
        <v>546</v>
      </c>
      <c r="C540" s="4">
        <f>_xlfn.XLOOKUP(A540,[2]Sheet2!$I$2:$I$1273,[2]Sheet2!$D$2:$D$1273,0)</f>
        <v>0</v>
      </c>
      <c r="D540" s="4">
        <f>_xlfn.XLOOKUP(B540,[4]Sheet2!$B$2:$B$3154,[4]Sheet2!$F$2:$F$3154,0)</f>
        <v>0</v>
      </c>
      <c r="E540" s="4" t="e">
        <f>_xlfn.XLOOKUP(B540,[2]Sheet2!$E$2:$E$713,[2]Sheet2!$G$2:$G$713)</f>
        <v>#N/A</v>
      </c>
      <c r="F540" s="18">
        <v>46073</v>
      </c>
      <c r="G540" s="14">
        <v>0.70967592592592588</v>
      </c>
      <c r="H540" s="7" t="s">
        <v>14</v>
      </c>
      <c r="I540" s="2" t="str">
        <f t="shared" si="43"/>
        <v>Q4</v>
      </c>
      <c r="J540" s="2" t="str">
        <f t="shared" si="44"/>
        <v>Not Found</v>
      </c>
      <c r="K540" s="2">
        <f t="shared" si="40"/>
        <v>0.2</v>
      </c>
      <c r="L540" s="2" t="e">
        <f t="shared" si="41"/>
        <v>#N/A</v>
      </c>
      <c r="M540" s="2" t="str">
        <f t="shared" si="42"/>
        <v>Assign quadrant hit</v>
      </c>
      <c r="N540" s="7">
        <v>23.7</v>
      </c>
      <c r="O540" s="7">
        <v>4.2</v>
      </c>
      <c r="P540" s="7">
        <v>5.2</v>
      </c>
      <c r="Q540" s="7">
        <v>0.11</v>
      </c>
      <c r="R540" s="7">
        <v>0</v>
      </c>
      <c r="S540" s="7">
        <v>-0.2</v>
      </c>
      <c r="T540" s="7">
        <v>-0.2</v>
      </c>
      <c r="U540" s="7">
        <v>-0.25</v>
      </c>
      <c r="V540" s="7">
        <v>0.34</v>
      </c>
      <c r="W540" s="7" t="s">
        <v>8</v>
      </c>
      <c r="X540" s="7" t="s">
        <v>9</v>
      </c>
      <c r="Y540" s="2" t="s">
        <v>719</v>
      </c>
      <c r="Z540" s="2" t="s">
        <v>721</v>
      </c>
    </row>
    <row r="541" spans="1:26" x14ac:dyDescent="0.35">
      <c r="A541" s="7" t="s">
        <v>1669</v>
      </c>
      <c r="B541" s="7" t="s">
        <v>547</v>
      </c>
      <c r="C541" s="4">
        <f>_xlfn.XLOOKUP(A541,[2]Sheet2!$I$2:$I$1273,[2]Sheet2!$D$2:$D$1273,0)</f>
        <v>0</v>
      </c>
      <c r="D541" s="4" t="str">
        <f>_xlfn.XLOOKUP(B541,[4]Sheet2!$B$2:$B$3154,[4]Sheet2!$F$2:$F$3154,0)</f>
        <v>C/APP</v>
      </c>
      <c r="E541" s="4" t="e">
        <f>_xlfn.XLOOKUP(B541,[2]Sheet2!$E$2:$E$713,[2]Sheet2!$G$2:$G$713)</f>
        <v>#N/A</v>
      </c>
      <c r="F541" s="18">
        <v>46073</v>
      </c>
      <c r="G541" s="14">
        <v>0.76993055555555556</v>
      </c>
      <c r="H541" s="7" t="s">
        <v>5</v>
      </c>
      <c r="I541" s="2" t="str">
        <f t="shared" si="43"/>
        <v>Q4</v>
      </c>
      <c r="J541" s="2" t="str">
        <f t="shared" si="44"/>
        <v>Not Found</v>
      </c>
      <c r="K541" s="2">
        <f t="shared" si="40"/>
        <v>0.31622776601683794</v>
      </c>
      <c r="L541" s="2" t="e">
        <f t="shared" si="41"/>
        <v>#N/A</v>
      </c>
      <c r="M541" s="2" t="str">
        <f t="shared" si="42"/>
        <v>Assign quadrant hit</v>
      </c>
      <c r="N541" s="7">
        <v>33.299999999999997</v>
      </c>
      <c r="O541" s="7">
        <v>14.7</v>
      </c>
      <c r="P541" s="7">
        <v>-0.6</v>
      </c>
      <c r="Q541" s="7">
        <v>-0.15</v>
      </c>
      <c r="R541" s="7">
        <v>0.1</v>
      </c>
      <c r="S541" s="7">
        <v>-0.3</v>
      </c>
      <c r="T541" s="7">
        <v>0.1</v>
      </c>
      <c r="U541" s="7">
        <v>-0.33</v>
      </c>
      <c r="V541" s="7">
        <v>0.37</v>
      </c>
      <c r="W541" s="7" t="s">
        <v>8</v>
      </c>
      <c r="X541" s="7" t="s">
        <v>7</v>
      </c>
      <c r="Y541" s="2" t="s">
        <v>719</v>
      </c>
      <c r="Z541" s="2" t="s">
        <v>721</v>
      </c>
    </row>
    <row r="542" spans="1:26" x14ac:dyDescent="0.35">
      <c r="A542" s="7" t="s">
        <v>1559</v>
      </c>
      <c r="B542" s="7" t="s">
        <v>548</v>
      </c>
      <c r="C542" s="4" t="str">
        <f>_xlfn.XLOOKUP(A542,[2]Sheet2!$I$2:$I$1273,[2]Sheet2!$D$2:$D$1273,0)</f>
        <v>Q3</v>
      </c>
      <c r="D542" s="4">
        <f>_xlfn.XLOOKUP(B542,[4]Sheet2!$B$2:$B$3154,[4]Sheet2!$F$2:$F$3154,0)</f>
        <v>0</v>
      </c>
      <c r="E542" s="4" t="e">
        <f>_xlfn.XLOOKUP(B542,[2]Sheet2!$E$2:$E$713,[2]Sheet2!$G$2:$G$713)</f>
        <v>#N/A</v>
      </c>
      <c r="F542" s="18">
        <v>46073</v>
      </c>
      <c r="G542" s="14">
        <v>0.77304398148148146</v>
      </c>
      <c r="H542" s="7" t="s">
        <v>11</v>
      </c>
      <c r="I542" s="2" t="str">
        <f t="shared" si="43"/>
        <v>Q4</v>
      </c>
      <c r="J542" s="2" t="str">
        <f t="shared" si="44"/>
        <v>Not Match</v>
      </c>
      <c r="K542" s="2">
        <f t="shared" si="40"/>
        <v>0.2</v>
      </c>
      <c r="L542" s="2" t="e">
        <f t="shared" si="41"/>
        <v>#N/A</v>
      </c>
      <c r="M542" s="2" t="str">
        <f t="shared" si="42"/>
        <v>Below 0.8 not in assigned quadrant</v>
      </c>
      <c r="N542" s="7">
        <v>17.399999999999999</v>
      </c>
      <c r="O542" s="7">
        <v>-0.6</v>
      </c>
      <c r="P542" s="7">
        <v>-3.1</v>
      </c>
      <c r="Q542" s="7">
        <v>-0.33</v>
      </c>
      <c r="R542" s="7">
        <v>0</v>
      </c>
      <c r="S542" s="7">
        <v>-0.2</v>
      </c>
      <c r="T542" s="7">
        <v>0.32</v>
      </c>
      <c r="U542" s="7">
        <v>0.04</v>
      </c>
      <c r="V542" s="7">
        <v>0.46</v>
      </c>
      <c r="W542" s="7" t="s">
        <v>8</v>
      </c>
      <c r="X542" s="7" t="s">
        <v>9</v>
      </c>
      <c r="Y542" s="2" t="s">
        <v>719</v>
      </c>
      <c r="Z542" s="2" t="s">
        <v>721</v>
      </c>
    </row>
    <row r="543" spans="1:26" x14ac:dyDescent="0.35">
      <c r="A543" s="7" t="s">
        <v>1654</v>
      </c>
      <c r="B543" s="7" t="s">
        <v>549</v>
      </c>
      <c r="C543" s="4">
        <f>_xlfn.XLOOKUP(A543,[2]Sheet2!$I$2:$I$1273,[2]Sheet2!$D$2:$D$1273,0)</f>
        <v>0</v>
      </c>
      <c r="D543" s="4">
        <f>_xlfn.XLOOKUP(B543,[4]Sheet2!$B$2:$B$3154,[4]Sheet2!$F$2:$F$3154,0)</f>
        <v>0</v>
      </c>
      <c r="E543" s="4" t="e">
        <f>_xlfn.XLOOKUP(B543,[2]Sheet2!$E$2:$E$713,[2]Sheet2!$G$2:$G$713)</f>
        <v>#N/A</v>
      </c>
      <c r="F543" s="18">
        <v>46073</v>
      </c>
      <c r="G543" s="14">
        <v>0.77608796296296301</v>
      </c>
      <c r="H543" s="7" t="s">
        <v>4</v>
      </c>
      <c r="I543" s="2" t="str">
        <f t="shared" si="43"/>
        <v>Q1</v>
      </c>
      <c r="J543" s="2" t="str">
        <f t="shared" si="44"/>
        <v>Not Found</v>
      </c>
      <c r="K543" s="2">
        <f t="shared" si="40"/>
        <v>1.9313207915827966</v>
      </c>
      <c r="L543" s="2" t="e">
        <f t="shared" si="41"/>
        <v>#N/A</v>
      </c>
      <c r="M543" s="2" t="str">
        <f t="shared" si="42"/>
        <v>Assign quadrant hit</v>
      </c>
      <c r="N543" s="7">
        <v>30.5</v>
      </c>
      <c r="O543" s="7">
        <v>47.3</v>
      </c>
      <c r="P543" s="7">
        <v>21.1</v>
      </c>
      <c r="Q543" s="7">
        <v>0.57999999999999996</v>
      </c>
      <c r="R543" s="7">
        <v>1.8</v>
      </c>
      <c r="S543" s="7">
        <v>0.7</v>
      </c>
      <c r="T543" s="7">
        <v>0.78</v>
      </c>
      <c r="U543" s="7">
        <v>-0.06</v>
      </c>
      <c r="V543" s="7">
        <v>0.98</v>
      </c>
      <c r="W543" s="7" t="s">
        <v>13</v>
      </c>
      <c r="X543" s="7" t="s">
        <v>7</v>
      </c>
      <c r="Y543" s="2" t="s">
        <v>719</v>
      </c>
      <c r="Z543" s="2" t="s">
        <v>721</v>
      </c>
    </row>
    <row r="544" spans="1:26" x14ac:dyDescent="0.35">
      <c r="A544" s="7" t="s">
        <v>1670</v>
      </c>
      <c r="B544" s="7" t="s">
        <v>513</v>
      </c>
      <c r="C544" s="4" t="str">
        <f>_xlfn.XLOOKUP(A544,[2]Sheet2!$I$2:$I$1273,[2]Sheet2!$D$2:$D$1273,0)</f>
        <v>Q3</v>
      </c>
      <c r="D544" s="4">
        <f>_xlfn.XLOOKUP(B544,[4]Sheet2!$B$2:$B$3154,[4]Sheet2!$F$2:$F$3154,0)</f>
        <v>0</v>
      </c>
      <c r="E544" s="4">
        <f>_xlfn.XLOOKUP(B544,[2]Sheet2!$E$2:$E$713,[2]Sheet2!$G$2:$G$713)</f>
        <v>0.8</v>
      </c>
      <c r="F544" s="18">
        <v>46073</v>
      </c>
      <c r="G544" s="14">
        <v>0.85744212962962962</v>
      </c>
      <c r="H544" s="7" t="s">
        <v>5</v>
      </c>
      <c r="I544" s="2" t="str">
        <f t="shared" si="43"/>
        <v>Q4</v>
      </c>
      <c r="J544" s="2" t="str">
        <f t="shared" si="44"/>
        <v>Not Match</v>
      </c>
      <c r="K544" s="2">
        <f t="shared" si="40"/>
        <v>0.98488578017961048</v>
      </c>
      <c r="L544" s="2" t="str">
        <f t="shared" si="41"/>
        <v>Over Range</v>
      </c>
      <c r="M544" s="2" t="str">
        <f t="shared" si="42"/>
        <v>Below 0.8 not in assigned quadrant</v>
      </c>
      <c r="N544" s="7">
        <v>21.3</v>
      </c>
      <c r="O544" s="7">
        <v>5.8</v>
      </c>
      <c r="P544" s="7">
        <v>-20.3</v>
      </c>
      <c r="Q544" s="7">
        <v>0</v>
      </c>
      <c r="R544" s="7">
        <v>0.4</v>
      </c>
      <c r="S544" s="7">
        <v>-0.9</v>
      </c>
      <c r="T544" s="7">
        <v>0.62</v>
      </c>
      <c r="U544" s="7">
        <v>0.2</v>
      </c>
      <c r="V544" s="7">
        <v>0.65</v>
      </c>
      <c r="W544" s="7" t="s">
        <v>8</v>
      </c>
      <c r="X544" s="7" t="s">
        <v>9</v>
      </c>
      <c r="Y544" s="2" t="s">
        <v>719</v>
      </c>
      <c r="Z544" s="2" t="s">
        <v>721</v>
      </c>
    </row>
    <row r="545" spans="1:26" x14ac:dyDescent="0.35">
      <c r="A545" s="7" t="s">
        <v>1656</v>
      </c>
      <c r="B545" s="7" t="s">
        <v>537</v>
      </c>
      <c r="C545" s="4" t="str">
        <f>_xlfn.XLOOKUP(A545,[2]Sheet2!$I$2:$I$1273,[2]Sheet2!$D$2:$D$1273,0)</f>
        <v>Q1</v>
      </c>
      <c r="D545" s="4" t="str">
        <f>_xlfn.XLOOKUP(B545,[4]Sheet2!$B$2:$B$3154,[4]Sheet2!$F$2:$F$3154,0)</f>
        <v>N/ App</v>
      </c>
      <c r="E545" s="4" t="e">
        <f>_xlfn.XLOOKUP(B545,[2]Sheet2!$E$2:$E$713,[2]Sheet2!$G$2:$G$713)</f>
        <v>#N/A</v>
      </c>
      <c r="F545" s="18">
        <v>46074</v>
      </c>
      <c r="G545" s="14">
        <v>0.13243055555555555</v>
      </c>
      <c r="H545" s="7" t="s">
        <v>11</v>
      </c>
      <c r="I545" s="2" t="str">
        <f t="shared" si="43"/>
        <v>Q1</v>
      </c>
      <c r="J545" s="2" t="str">
        <f t="shared" si="44"/>
        <v>Match</v>
      </c>
      <c r="K545" s="2">
        <f t="shared" si="40"/>
        <v>1.4866068747318506</v>
      </c>
      <c r="L545" s="2" t="e">
        <f t="shared" si="41"/>
        <v>#N/A</v>
      </c>
      <c r="M545" s="2" t="str">
        <f t="shared" si="42"/>
        <v>Failed but within quadrant</v>
      </c>
      <c r="N545" s="7">
        <v>22.2</v>
      </c>
      <c r="O545" s="7">
        <v>13.7</v>
      </c>
      <c r="P545" s="7">
        <v>11</v>
      </c>
      <c r="Q545" s="7">
        <v>0.32</v>
      </c>
      <c r="R545" s="7">
        <v>1.1000000000000001</v>
      </c>
      <c r="S545" s="7">
        <v>1</v>
      </c>
      <c r="T545" s="7">
        <v>1.07</v>
      </c>
      <c r="U545" s="7">
        <v>0.12</v>
      </c>
      <c r="V545" s="7">
        <v>1.1200000000000001</v>
      </c>
      <c r="W545" s="7" t="s">
        <v>6</v>
      </c>
      <c r="X545" s="7" t="s">
        <v>12</v>
      </c>
      <c r="Y545" s="2" t="s">
        <v>719</v>
      </c>
      <c r="Z545" s="2" t="s">
        <v>721</v>
      </c>
    </row>
    <row r="546" spans="1:26" x14ac:dyDescent="0.35">
      <c r="A546" s="7" t="s">
        <v>1507</v>
      </c>
      <c r="B546" s="7" t="s">
        <v>550</v>
      </c>
      <c r="C546" s="4" t="str">
        <f>_xlfn.XLOOKUP(A546,[2]Sheet2!$I$2:$I$1273,[2]Sheet2!$D$2:$D$1273,0)</f>
        <v>Q3</v>
      </c>
      <c r="D546" s="4">
        <f>_xlfn.XLOOKUP(B546,[4]Sheet2!$B$2:$B$3154,[4]Sheet2!$F$2:$F$3154,0)</f>
        <v>0</v>
      </c>
      <c r="E546" s="4" t="e">
        <f>_xlfn.XLOOKUP(B546,[2]Sheet2!$E$2:$E$713,[2]Sheet2!$G$2:$G$713)</f>
        <v>#N/A</v>
      </c>
      <c r="F546" s="18">
        <v>46074</v>
      </c>
      <c r="G546" s="14">
        <v>0.14622685185185186</v>
      </c>
      <c r="H546" s="7" t="s">
        <v>11</v>
      </c>
      <c r="I546" s="2" t="str">
        <f t="shared" si="43"/>
        <v>Q1</v>
      </c>
      <c r="J546" s="2" t="str">
        <f t="shared" si="44"/>
        <v>Not Match</v>
      </c>
      <c r="K546" s="2">
        <f t="shared" si="40"/>
        <v>0.14142135623730953</v>
      </c>
      <c r="L546" s="2" t="e">
        <f t="shared" si="41"/>
        <v>#N/A</v>
      </c>
      <c r="M546" s="2" t="str">
        <f t="shared" si="42"/>
        <v>Assign quadrant hit</v>
      </c>
      <c r="N546" s="7">
        <v>14.7</v>
      </c>
      <c r="O546" s="7">
        <v>-0.9</v>
      </c>
      <c r="P546" s="7">
        <v>-0.6</v>
      </c>
      <c r="Q546" s="7">
        <v>-1</v>
      </c>
      <c r="R546" s="7">
        <v>0.1</v>
      </c>
      <c r="S546" s="7">
        <v>0.1</v>
      </c>
      <c r="T546" s="7">
        <v>-0.31</v>
      </c>
      <c r="U546" s="7">
        <v>-0.03</v>
      </c>
      <c r="V546" s="7">
        <v>1.04</v>
      </c>
      <c r="W546" s="7" t="s">
        <v>6</v>
      </c>
      <c r="X546" s="7" t="s">
        <v>12</v>
      </c>
      <c r="Y546" s="2" t="s">
        <v>719</v>
      </c>
      <c r="Z546" s="2" t="s">
        <v>721</v>
      </c>
    </row>
    <row r="547" spans="1:26" x14ac:dyDescent="0.35">
      <c r="A547" s="7" t="s">
        <v>1671</v>
      </c>
      <c r="B547" s="7" t="s">
        <v>551</v>
      </c>
      <c r="C547" s="4" t="str">
        <f>_xlfn.XLOOKUP(A547,[2]Sheet2!$I$2:$I$1273,[2]Sheet2!$D$2:$D$1273,0)</f>
        <v>Q1</v>
      </c>
      <c r="D547" s="4">
        <f>_xlfn.XLOOKUP(B547,[4]Sheet2!$B$2:$B$3154,[4]Sheet2!$F$2:$F$3154,0)</f>
        <v>0</v>
      </c>
      <c r="E547" s="4">
        <f>_xlfn.XLOOKUP(B547,[2]Sheet2!$E$2:$E$713,[2]Sheet2!$G$2:$G$713)</f>
        <v>0.8</v>
      </c>
      <c r="F547" s="18">
        <v>46074</v>
      </c>
      <c r="G547" s="14">
        <v>0.14828703703703705</v>
      </c>
      <c r="H547" s="7" t="s">
        <v>11</v>
      </c>
      <c r="I547" s="2" t="str">
        <f t="shared" si="43"/>
        <v>Q4</v>
      </c>
      <c r="J547" s="2" t="str">
        <f t="shared" si="44"/>
        <v>Not Match</v>
      </c>
      <c r="K547" s="2">
        <f t="shared" si="40"/>
        <v>0.4</v>
      </c>
      <c r="L547" s="2" t="str">
        <f t="shared" si="41"/>
        <v>Within Range</v>
      </c>
      <c r="M547" s="2" t="str">
        <f t="shared" si="42"/>
        <v>Below 0.8 not in assigned quadrant</v>
      </c>
      <c r="N547" s="7">
        <v>31.7</v>
      </c>
      <c r="O547" s="7">
        <v>41.7</v>
      </c>
      <c r="P547" s="7">
        <v>22.1</v>
      </c>
      <c r="Q547" s="7">
        <v>-0.56000000000000005</v>
      </c>
      <c r="R547" s="7">
        <v>0</v>
      </c>
      <c r="S547" s="7">
        <v>-0.4</v>
      </c>
      <c r="T547" s="7">
        <v>-0.06</v>
      </c>
      <c r="U547" s="7">
        <v>-0.28999999999999998</v>
      </c>
      <c r="V547" s="7">
        <v>0.63</v>
      </c>
      <c r="W547" s="7" t="s">
        <v>8</v>
      </c>
      <c r="X547" s="7" t="s">
        <v>7</v>
      </c>
      <c r="Y547" s="2" t="s">
        <v>719</v>
      </c>
      <c r="Z547" s="2" t="s">
        <v>721</v>
      </c>
    </row>
    <row r="548" spans="1:26" x14ac:dyDescent="0.35">
      <c r="A548" s="7" t="s">
        <v>1672</v>
      </c>
      <c r="B548" s="7" t="s">
        <v>552</v>
      </c>
      <c r="C548" s="4" t="str">
        <f>_xlfn.XLOOKUP(A548,[2]Sheet2!$I$2:$I$1273,[2]Sheet2!$D$2:$D$1273,0)</f>
        <v>Q2</v>
      </c>
      <c r="D548" s="4">
        <f>_xlfn.XLOOKUP(B548,[4]Sheet2!$B$2:$B$3154,[4]Sheet2!$F$2:$F$3154,0)</f>
        <v>0</v>
      </c>
      <c r="E548" s="4" t="e">
        <f>_xlfn.XLOOKUP(B548,[2]Sheet2!$E$2:$E$713,[2]Sheet2!$G$2:$G$713)</f>
        <v>#N/A</v>
      </c>
      <c r="F548" s="18">
        <v>46074</v>
      </c>
      <c r="G548" s="14">
        <v>0.18464120370370371</v>
      </c>
      <c r="H548" s="7" t="s">
        <v>11</v>
      </c>
      <c r="I548" s="2" t="str">
        <f t="shared" si="43"/>
        <v>Q3</v>
      </c>
      <c r="J548" s="2" t="str">
        <f t="shared" si="44"/>
        <v>Not Match</v>
      </c>
      <c r="K548" s="2">
        <f t="shared" si="40"/>
        <v>0.31622776601683794</v>
      </c>
      <c r="L548" s="2" t="e">
        <f t="shared" si="41"/>
        <v>#N/A</v>
      </c>
      <c r="M548" s="2" t="str">
        <f t="shared" si="42"/>
        <v>Below 0.8 not in assigned quadrant</v>
      </c>
      <c r="N548" s="7">
        <v>15.1</v>
      </c>
      <c r="O548" s="7">
        <v>-1.5</v>
      </c>
      <c r="P548" s="7">
        <v>-2.8</v>
      </c>
      <c r="Q548" s="7">
        <v>-0.53</v>
      </c>
      <c r="R548" s="7">
        <v>-0.3</v>
      </c>
      <c r="S548" s="7">
        <v>-0.1</v>
      </c>
      <c r="T548" s="7">
        <v>0.35</v>
      </c>
      <c r="U548" s="7">
        <v>-0.33</v>
      </c>
      <c r="V548" s="7">
        <v>0.71</v>
      </c>
      <c r="W548" s="7" t="s">
        <v>8</v>
      </c>
      <c r="X548" s="7" t="s">
        <v>15</v>
      </c>
      <c r="Y548" s="2" t="s">
        <v>719</v>
      </c>
      <c r="Z548" s="2" t="s">
        <v>721</v>
      </c>
    </row>
    <row r="549" spans="1:26" x14ac:dyDescent="0.35">
      <c r="A549" s="7" t="s">
        <v>1673</v>
      </c>
      <c r="B549" s="7" t="s">
        <v>553</v>
      </c>
      <c r="C549" s="4" t="str">
        <f>_xlfn.XLOOKUP(A549,[2]Sheet2!$I$2:$I$1273,[2]Sheet2!$D$2:$D$1273,0)</f>
        <v>Q1</v>
      </c>
      <c r="D549" s="4">
        <f>_xlfn.XLOOKUP(B549,[4]Sheet2!$B$2:$B$3154,[4]Sheet2!$F$2:$F$3154,0)</f>
        <v>0</v>
      </c>
      <c r="E549" s="4" t="e">
        <f>_xlfn.XLOOKUP(B549,[2]Sheet2!$E$2:$E$713,[2]Sheet2!$G$2:$G$713)</f>
        <v>#N/A</v>
      </c>
      <c r="F549" s="18">
        <v>46074</v>
      </c>
      <c r="G549" s="14">
        <v>0.18916666666666668</v>
      </c>
      <c r="H549" s="7" t="s">
        <v>4</v>
      </c>
      <c r="I549" s="2" t="str">
        <f t="shared" si="43"/>
        <v>Q4</v>
      </c>
      <c r="J549" s="2" t="str">
        <f t="shared" si="44"/>
        <v>Not Match</v>
      </c>
      <c r="K549" s="2">
        <f t="shared" si="40"/>
        <v>0.1</v>
      </c>
      <c r="L549" s="2" t="e">
        <f t="shared" si="41"/>
        <v>#N/A</v>
      </c>
      <c r="M549" s="2" t="str">
        <f t="shared" si="42"/>
        <v>Below 0.8 not in assigned quadrant</v>
      </c>
      <c r="N549" s="7">
        <v>15.3</v>
      </c>
      <c r="O549" s="7">
        <v>-0.5</v>
      </c>
      <c r="P549" s="7">
        <v>-1.7</v>
      </c>
      <c r="Q549" s="7">
        <v>-0.13</v>
      </c>
      <c r="R549" s="7">
        <v>0</v>
      </c>
      <c r="S549" s="7">
        <v>-0.1</v>
      </c>
      <c r="T549" s="7">
        <v>0.13</v>
      </c>
      <c r="U549" s="7">
        <v>0.14000000000000001</v>
      </c>
      <c r="V549" s="7">
        <v>0.23</v>
      </c>
      <c r="W549" s="7" t="s">
        <v>8</v>
      </c>
      <c r="X549" s="7" t="s">
        <v>9</v>
      </c>
      <c r="Y549" s="2" t="s">
        <v>719</v>
      </c>
      <c r="Z549" s="2" t="s">
        <v>721</v>
      </c>
    </row>
    <row r="550" spans="1:26" x14ac:dyDescent="0.35">
      <c r="A550" s="7" t="s">
        <v>1649</v>
      </c>
      <c r="B550" s="7" t="s">
        <v>554</v>
      </c>
      <c r="C550" s="4" t="str">
        <f>_xlfn.XLOOKUP(A550,[2]Sheet2!$I$2:$I$1273,[2]Sheet2!$D$2:$D$1273,0)</f>
        <v>Q4</v>
      </c>
      <c r="D550" s="4">
        <f>_xlfn.XLOOKUP(B550,[4]Sheet2!$B$2:$B$3154,[4]Sheet2!$F$2:$F$3154,0)</f>
        <v>0</v>
      </c>
      <c r="E550" s="4" t="e">
        <f>_xlfn.XLOOKUP(B550,[2]Sheet2!$E$2:$E$713,[2]Sheet2!$G$2:$G$713)</f>
        <v>#N/A</v>
      </c>
      <c r="F550" s="18">
        <v>46074</v>
      </c>
      <c r="G550" s="14">
        <v>0.20912037037037037</v>
      </c>
      <c r="H550" s="7" t="s">
        <v>4</v>
      </c>
      <c r="I550" s="2" t="str">
        <f t="shared" si="43"/>
        <v>Q2</v>
      </c>
      <c r="J550" s="2" t="str">
        <f t="shared" si="44"/>
        <v>Not Match</v>
      </c>
      <c r="K550" s="2">
        <f t="shared" si="40"/>
        <v>0.5</v>
      </c>
      <c r="L550" s="2" t="e">
        <f t="shared" si="41"/>
        <v>#N/A</v>
      </c>
      <c r="M550" s="2" t="str">
        <f t="shared" si="42"/>
        <v>Below 0.8 not in assigned quadrant</v>
      </c>
      <c r="N550" s="7">
        <v>31.6</v>
      </c>
      <c r="O550" s="7">
        <v>-4</v>
      </c>
      <c r="P550" s="7">
        <v>-12.5</v>
      </c>
      <c r="Q550" s="7">
        <v>-0.25</v>
      </c>
      <c r="R550" s="7">
        <v>-0.4</v>
      </c>
      <c r="S550" s="7">
        <v>0.3</v>
      </c>
      <c r="T550" s="7">
        <v>-0.16</v>
      </c>
      <c r="U550" s="7">
        <v>-0.57999999999999996</v>
      </c>
      <c r="V550" s="7">
        <v>0.65</v>
      </c>
      <c r="W550" s="7" t="s">
        <v>8</v>
      </c>
      <c r="X550" s="7" t="s">
        <v>15</v>
      </c>
      <c r="Y550" s="2" t="s">
        <v>719</v>
      </c>
      <c r="Z550" s="2" t="s">
        <v>721</v>
      </c>
    </row>
    <row r="551" spans="1:26" x14ac:dyDescent="0.35">
      <c r="A551" s="7" t="s">
        <v>1500</v>
      </c>
      <c r="B551" s="7" t="s">
        <v>555</v>
      </c>
      <c r="C551" s="4" t="str">
        <f>_xlfn.XLOOKUP(A551,[2]Sheet2!$I$2:$I$1273,[2]Sheet2!$D$2:$D$1273,0)</f>
        <v>Q2</v>
      </c>
      <c r="D551" s="4">
        <f>_xlfn.XLOOKUP(B551,[4]Sheet2!$B$2:$B$3154,[4]Sheet2!$F$2:$F$3154,0)</f>
        <v>0</v>
      </c>
      <c r="E551" s="4">
        <f>_xlfn.XLOOKUP(B551,[2]Sheet2!$E$2:$E$713,[2]Sheet2!$G$2:$G$713)</f>
        <v>0.8</v>
      </c>
      <c r="F551" s="18">
        <v>46074</v>
      </c>
      <c r="G551" s="14">
        <v>0.21180555555555555</v>
      </c>
      <c r="H551" s="7" t="s">
        <v>5</v>
      </c>
      <c r="I551" s="2" t="str">
        <f t="shared" si="43"/>
        <v>Q4</v>
      </c>
      <c r="J551" s="2" t="str">
        <f t="shared" si="44"/>
        <v>Not Match</v>
      </c>
      <c r="K551" s="2">
        <f t="shared" si="40"/>
        <v>0.1</v>
      </c>
      <c r="L551" s="2" t="str">
        <f t="shared" si="41"/>
        <v>Within Range</v>
      </c>
      <c r="M551" s="2" t="str">
        <f t="shared" si="42"/>
        <v>Below 0.8 not in assigned quadrant</v>
      </c>
      <c r="N551" s="7">
        <v>16.2</v>
      </c>
      <c r="O551" s="7">
        <v>-0.6</v>
      </c>
      <c r="P551" s="7">
        <v>-1.5</v>
      </c>
      <c r="Q551" s="7">
        <v>-0.38</v>
      </c>
      <c r="R551" s="7">
        <v>0</v>
      </c>
      <c r="S551" s="7">
        <v>-0.1</v>
      </c>
      <c r="T551" s="7">
        <v>0.14000000000000001</v>
      </c>
      <c r="U551" s="7">
        <v>0.17</v>
      </c>
      <c r="V551" s="7">
        <v>0.44</v>
      </c>
      <c r="W551" s="7" t="s">
        <v>8</v>
      </c>
      <c r="X551" s="7" t="s">
        <v>9</v>
      </c>
      <c r="Y551" s="2" t="s">
        <v>719</v>
      </c>
      <c r="Z551" s="2" t="s">
        <v>721</v>
      </c>
    </row>
    <row r="552" spans="1:26" x14ac:dyDescent="0.35">
      <c r="A552" s="7" t="s">
        <v>1674</v>
      </c>
      <c r="B552" s="7" t="s">
        <v>556</v>
      </c>
      <c r="C552" s="4" t="str">
        <f>_xlfn.XLOOKUP(A552,[2]Sheet2!$I$2:$I$1273,[2]Sheet2!$D$2:$D$1273,0)</f>
        <v>Q1</v>
      </c>
      <c r="D552" s="4">
        <f>_xlfn.XLOOKUP(B552,[4]Sheet2!$B$2:$B$3154,[4]Sheet2!$F$2:$F$3154,0)</f>
        <v>0</v>
      </c>
      <c r="E552" s="4">
        <f>_xlfn.XLOOKUP(B552,[2]Sheet2!$E$2:$E$713,[2]Sheet2!$G$2:$G$713)</f>
        <v>0.8</v>
      </c>
      <c r="F552" s="18">
        <v>46074</v>
      </c>
      <c r="G552" s="14">
        <v>0.24888888888888888</v>
      </c>
      <c r="H552" s="7" t="s">
        <v>5</v>
      </c>
      <c r="I552" s="2" t="str">
        <f t="shared" si="43"/>
        <v>Q1</v>
      </c>
      <c r="J552" s="2" t="str">
        <f t="shared" si="44"/>
        <v>Match</v>
      </c>
      <c r="K552" s="2">
        <f t="shared" si="40"/>
        <v>2.4207436873820409</v>
      </c>
      <c r="L552" s="2" t="str">
        <f t="shared" si="41"/>
        <v>Over Range</v>
      </c>
      <c r="M552" s="2" t="str">
        <f t="shared" si="42"/>
        <v>Failed but within quadrant</v>
      </c>
      <c r="N552" s="7">
        <v>43.3</v>
      </c>
      <c r="O552" s="7">
        <v>54.8</v>
      </c>
      <c r="P552" s="7">
        <v>23.1</v>
      </c>
      <c r="Q552" s="7">
        <v>0.31</v>
      </c>
      <c r="R552" s="7">
        <v>1.5</v>
      </c>
      <c r="S552" s="7">
        <v>1.9</v>
      </c>
      <c r="T552" s="7">
        <v>0.78</v>
      </c>
      <c r="U552" s="7">
        <v>0.78</v>
      </c>
      <c r="V552" s="7">
        <v>1.1499999999999999</v>
      </c>
      <c r="W552" s="7" t="s">
        <v>6</v>
      </c>
      <c r="X552" s="7" t="s">
        <v>12</v>
      </c>
      <c r="Y552" s="2" t="s">
        <v>719</v>
      </c>
      <c r="Z552" s="2" t="s">
        <v>721</v>
      </c>
    </row>
    <row r="553" spans="1:26" x14ac:dyDescent="0.35">
      <c r="A553" s="7" t="s">
        <v>1543</v>
      </c>
      <c r="B553" s="7" t="s">
        <v>477</v>
      </c>
      <c r="C553" s="4" t="str">
        <f>_xlfn.XLOOKUP(A553,[2]Sheet2!$I$2:$I$1273,[2]Sheet2!$D$2:$D$1273,0)</f>
        <v>Q3</v>
      </c>
      <c r="D553" s="4">
        <f>_xlfn.XLOOKUP(B553,[4]Sheet2!$B$2:$B$3154,[4]Sheet2!$F$2:$F$3154,0)</f>
        <v>0</v>
      </c>
      <c r="E553" s="4" t="e">
        <f>_xlfn.XLOOKUP(B553,[2]Sheet2!$E$2:$E$713,[2]Sheet2!$G$2:$G$713)</f>
        <v>#N/A</v>
      </c>
      <c r="F553" s="18">
        <v>46074</v>
      </c>
      <c r="G553" s="14">
        <v>0.27136574074074077</v>
      </c>
      <c r="H553" s="7" t="s">
        <v>11</v>
      </c>
      <c r="I553" s="2" t="str">
        <f t="shared" si="43"/>
        <v>Q4</v>
      </c>
      <c r="J553" s="2" t="str">
        <f t="shared" si="44"/>
        <v>Not Match</v>
      </c>
      <c r="K553" s="2">
        <f t="shared" si="40"/>
        <v>0.31622776601683794</v>
      </c>
      <c r="L553" s="2" t="e">
        <f t="shared" si="41"/>
        <v>#N/A</v>
      </c>
      <c r="M553" s="2" t="str">
        <f t="shared" si="42"/>
        <v>Assign quadrant hit</v>
      </c>
      <c r="N553" s="7">
        <v>25.2</v>
      </c>
      <c r="O553" s="7">
        <v>6.7</v>
      </c>
      <c r="P553" s="7">
        <v>7.5</v>
      </c>
      <c r="Q553" s="7">
        <v>-0.6</v>
      </c>
      <c r="R553" s="7">
        <v>0.1</v>
      </c>
      <c r="S553" s="7">
        <v>-0.3</v>
      </c>
      <c r="T553" s="7">
        <v>-0.14000000000000001</v>
      </c>
      <c r="U553" s="7">
        <v>-0.64</v>
      </c>
      <c r="V553" s="7">
        <v>0.89</v>
      </c>
      <c r="W553" s="7" t="s">
        <v>13</v>
      </c>
      <c r="X553" s="7" t="s">
        <v>9</v>
      </c>
      <c r="Y553" s="2" t="s">
        <v>719</v>
      </c>
      <c r="Z553" s="2" t="s">
        <v>721</v>
      </c>
    </row>
    <row r="554" spans="1:26" x14ac:dyDescent="0.35">
      <c r="A554" s="7" t="s">
        <v>1671</v>
      </c>
      <c r="B554" s="7" t="s">
        <v>557</v>
      </c>
      <c r="C554" s="4" t="str">
        <f>_xlfn.XLOOKUP(A554,[2]Sheet2!$I$2:$I$1273,[2]Sheet2!$D$2:$D$1273,0)</f>
        <v>Q1</v>
      </c>
      <c r="D554" s="4">
        <f>_xlfn.XLOOKUP(B554,[4]Sheet2!$B$2:$B$3154,[4]Sheet2!$F$2:$F$3154,0)</f>
        <v>0</v>
      </c>
      <c r="E554" s="4" t="e">
        <f>_xlfn.XLOOKUP(B554,[2]Sheet2!$E$2:$E$713,[2]Sheet2!$G$2:$G$713)</f>
        <v>#N/A</v>
      </c>
      <c r="F554" s="18">
        <v>46074</v>
      </c>
      <c r="G554" s="14">
        <v>0.46296296296296297</v>
      </c>
      <c r="H554" s="7" t="s">
        <v>10</v>
      </c>
      <c r="I554" s="2" t="str">
        <f t="shared" si="43"/>
        <v>Q3</v>
      </c>
      <c r="J554" s="2" t="str">
        <f t="shared" si="44"/>
        <v>Not Match</v>
      </c>
      <c r="K554" s="2">
        <f t="shared" si="40"/>
        <v>0.28284271247461906</v>
      </c>
      <c r="L554" s="2" t="e">
        <f t="shared" si="41"/>
        <v>#N/A</v>
      </c>
      <c r="M554" s="2" t="str">
        <f t="shared" si="42"/>
        <v>Below 0.8 not in assigned quadrant</v>
      </c>
      <c r="N554" s="7">
        <v>42.5</v>
      </c>
      <c r="O554" s="7">
        <v>57</v>
      </c>
      <c r="P554" s="7">
        <v>40.299999999999997</v>
      </c>
      <c r="Q554" s="7">
        <v>-0.28999999999999998</v>
      </c>
      <c r="R554" s="7">
        <v>-0.2</v>
      </c>
      <c r="S554" s="7">
        <v>-0.2</v>
      </c>
      <c r="T554" s="7">
        <v>-0.11</v>
      </c>
      <c r="U554" s="7">
        <v>-7.0000000000000007E-2</v>
      </c>
      <c r="V554" s="7">
        <v>0.32</v>
      </c>
      <c r="W554" s="7" t="s">
        <v>8</v>
      </c>
      <c r="X554" s="7" t="s">
        <v>7</v>
      </c>
      <c r="Y554" s="2" t="s">
        <v>719</v>
      </c>
      <c r="Z554" s="2" t="s">
        <v>721</v>
      </c>
    </row>
    <row r="555" spans="1:26" x14ac:dyDescent="0.35">
      <c r="A555" s="7" t="s">
        <v>1654</v>
      </c>
      <c r="B555" s="7" t="s">
        <v>558</v>
      </c>
      <c r="C555" s="4">
        <f>_xlfn.XLOOKUP(A555,[2]Sheet2!$I$2:$I$1273,[2]Sheet2!$D$2:$D$1273,0)</f>
        <v>0</v>
      </c>
      <c r="D555" s="4">
        <f>_xlfn.XLOOKUP(B555,[4]Sheet2!$B$2:$B$3154,[4]Sheet2!$F$2:$F$3154,0)</f>
        <v>0</v>
      </c>
      <c r="E555" s="4" t="e">
        <f>_xlfn.XLOOKUP(B555,[2]Sheet2!$E$2:$E$713,[2]Sheet2!$G$2:$G$713)</f>
        <v>#N/A</v>
      </c>
      <c r="F555" s="18">
        <v>46074</v>
      </c>
      <c r="G555" s="14">
        <v>0.60951388888888891</v>
      </c>
      <c r="H555" s="7" t="s">
        <v>4</v>
      </c>
      <c r="I555" s="2" t="str">
        <f t="shared" si="43"/>
        <v>Q4</v>
      </c>
      <c r="J555" s="2" t="str">
        <f t="shared" si="44"/>
        <v>Not Found</v>
      </c>
      <c r="K555" s="2">
        <f t="shared" si="40"/>
        <v>0.82462112512353225</v>
      </c>
      <c r="L555" s="2" t="e">
        <f t="shared" si="41"/>
        <v>#N/A</v>
      </c>
      <c r="M555" s="2" t="str">
        <f t="shared" si="42"/>
        <v>Assign quadrant hit</v>
      </c>
      <c r="N555" s="7">
        <v>30.3</v>
      </c>
      <c r="O555" s="7">
        <v>46.3</v>
      </c>
      <c r="P555" s="7">
        <v>20.100000000000001</v>
      </c>
      <c r="Q555" s="7">
        <v>0.46</v>
      </c>
      <c r="R555" s="7">
        <v>0.8</v>
      </c>
      <c r="S555" s="7">
        <v>-0.2</v>
      </c>
      <c r="T555" s="7">
        <v>0.26</v>
      </c>
      <c r="U555" s="7">
        <v>-0.39</v>
      </c>
      <c r="V555" s="7">
        <v>0.66</v>
      </c>
      <c r="W555" s="7" t="s">
        <v>8</v>
      </c>
      <c r="X555" s="7" t="s">
        <v>7</v>
      </c>
      <c r="Y555" s="2" t="s">
        <v>719</v>
      </c>
      <c r="Z555" s="2" t="s">
        <v>721</v>
      </c>
    </row>
    <row r="556" spans="1:26" x14ac:dyDescent="0.35">
      <c r="A556" s="7" t="s">
        <v>1643</v>
      </c>
      <c r="B556" s="7" t="s">
        <v>560</v>
      </c>
      <c r="C556" s="4" t="str">
        <f>_xlfn.XLOOKUP(A556,[2]Sheet2!$I$2:$I$1273,[2]Sheet2!$D$2:$D$1273,0)</f>
        <v>Q3</v>
      </c>
      <c r="D556" s="4">
        <f>_xlfn.XLOOKUP(B556,[4]Sheet2!$B$2:$B$3154,[4]Sheet2!$F$2:$F$3154,0)</f>
        <v>0</v>
      </c>
      <c r="E556" s="4" t="e">
        <f>_xlfn.XLOOKUP(B556,[2]Sheet2!$E$2:$E$713,[2]Sheet2!$G$2:$G$713)</f>
        <v>#N/A</v>
      </c>
      <c r="F556" s="18">
        <v>46074</v>
      </c>
      <c r="G556" s="14">
        <v>0.6428356481481482</v>
      </c>
      <c r="H556" s="7" t="s">
        <v>11</v>
      </c>
      <c r="I556" s="2" t="str">
        <f t="shared" si="43"/>
        <v>Q4</v>
      </c>
      <c r="J556" s="2" t="str">
        <f t="shared" si="44"/>
        <v>Not Match</v>
      </c>
      <c r="K556" s="2">
        <f t="shared" si="40"/>
        <v>0.3</v>
      </c>
      <c r="L556" s="2" t="e">
        <f t="shared" si="41"/>
        <v>#N/A</v>
      </c>
      <c r="M556" s="2" t="str">
        <f t="shared" si="42"/>
        <v>Below 0.8 not in assigned quadrant</v>
      </c>
      <c r="N556" s="7">
        <v>14</v>
      </c>
      <c r="O556" s="7">
        <v>-0.7</v>
      </c>
      <c r="P556" s="7">
        <v>-2.4</v>
      </c>
      <c r="Q556" s="7">
        <v>-0.54</v>
      </c>
      <c r="R556" s="7">
        <v>0</v>
      </c>
      <c r="S556" s="7">
        <v>-0.3</v>
      </c>
      <c r="T556" s="7">
        <v>0.46</v>
      </c>
      <c r="U556" s="7">
        <v>0.21</v>
      </c>
      <c r="V556" s="7">
        <v>0.74</v>
      </c>
      <c r="W556" s="7" t="s">
        <v>8</v>
      </c>
      <c r="X556" s="7" t="s">
        <v>9</v>
      </c>
      <c r="Y556" s="2" t="s">
        <v>719</v>
      </c>
      <c r="Z556" s="2" t="s">
        <v>721</v>
      </c>
    </row>
    <row r="557" spans="1:26" x14ac:dyDescent="0.35">
      <c r="A557" s="7" t="s">
        <v>1558</v>
      </c>
      <c r="B557" s="7" t="s">
        <v>561</v>
      </c>
      <c r="C557" s="4" t="str">
        <f>_xlfn.XLOOKUP(A557,[2]Sheet2!$I$2:$I$1273,[2]Sheet2!$D$2:$D$1273,0)</f>
        <v>Q3</v>
      </c>
      <c r="D557" s="4">
        <f>_xlfn.XLOOKUP(B557,[4]Sheet2!$B$2:$B$3154,[4]Sheet2!$F$2:$F$3154,0)</f>
        <v>0</v>
      </c>
      <c r="E557" s="4" t="e">
        <f>_xlfn.XLOOKUP(B557,[2]Sheet2!$E$2:$E$713,[2]Sheet2!$G$2:$G$713)</f>
        <v>#N/A</v>
      </c>
      <c r="F557" s="18">
        <v>46074</v>
      </c>
      <c r="G557" s="14">
        <v>0.6481365740740741</v>
      </c>
      <c r="H557" s="7" t="s">
        <v>16</v>
      </c>
      <c r="I557" s="2" t="str">
        <f t="shared" si="43"/>
        <v>Q3</v>
      </c>
      <c r="J557" s="2" t="str">
        <f t="shared" si="44"/>
        <v>Match</v>
      </c>
      <c r="K557" s="2">
        <f t="shared" si="40"/>
        <v>0.22360679774997899</v>
      </c>
      <c r="L557" s="2" t="e">
        <f t="shared" si="41"/>
        <v>#N/A</v>
      </c>
      <c r="M557" s="2" t="str">
        <f t="shared" si="42"/>
        <v>Digital Approve Hit</v>
      </c>
      <c r="N557" s="7">
        <v>15.1</v>
      </c>
      <c r="O557" s="7">
        <v>-0.4</v>
      </c>
      <c r="P557" s="7">
        <v>-2.1</v>
      </c>
      <c r="Q557" s="7">
        <v>-0.42</v>
      </c>
      <c r="R557" s="7">
        <v>-0.1</v>
      </c>
      <c r="S557" s="7">
        <v>-0.2</v>
      </c>
      <c r="T557" s="7">
        <v>0.36</v>
      </c>
      <c r="U557" s="7">
        <v>-7.0000000000000007E-2</v>
      </c>
      <c r="V557" s="7">
        <v>0.56000000000000005</v>
      </c>
      <c r="W557" s="7" t="s">
        <v>8</v>
      </c>
      <c r="X557" s="7" t="s">
        <v>15</v>
      </c>
      <c r="Y557" s="2" t="s">
        <v>719</v>
      </c>
      <c r="Z557" s="2" t="s">
        <v>721</v>
      </c>
    </row>
    <row r="558" spans="1:26" x14ac:dyDescent="0.35">
      <c r="A558" s="7" t="s">
        <v>1675</v>
      </c>
      <c r="B558" s="7" t="s">
        <v>439</v>
      </c>
      <c r="C558" s="4">
        <f>_xlfn.XLOOKUP(A558,[2]Sheet2!$I$2:$I$1273,[2]Sheet2!$D$2:$D$1273,0)</f>
        <v>0</v>
      </c>
      <c r="D558" s="4">
        <f>_xlfn.XLOOKUP(B558,[4]Sheet2!$B$2:$B$3154,[4]Sheet2!$F$2:$F$3154,0)</f>
        <v>0</v>
      </c>
      <c r="E558" s="4" t="e">
        <f>_xlfn.XLOOKUP(B558,[2]Sheet2!$E$2:$E$713,[2]Sheet2!$G$2:$G$713)</f>
        <v>#N/A</v>
      </c>
      <c r="F558" s="18">
        <v>46074</v>
      </c>
      <c r="G558" s="14">
        <v>0.66060185185185183</v>
      </c>
      <c r="H558" s="7" t="s">
        <v>5</v>
      </c>
      <c r="I558" s="2" t="str">
        <f t="shared" si="43"/>
        <v>Q4</v>
      </c>
      <c r="J558" s="2" t="str">
        <f t="shared" si="44"/>
        <v>Not Found</v>
      </c>
      <c r="K558" s="2">
        <f t="shared" si="40"/>
        <v>2.4698178070456938</v>
      </c>
      <c r="L558" s="2" t="e">
        <f t="shared" si="41"/>
        <v>#N/A</v>
      </c>
      <c r="M558" s="2" t="str">
        <f t="shared" si="42"/>
        <v>Assign quadrant hit</v>
      </c>
      <c r="N558" s="7">
        <v>61.4</v>
      </c>
      <c r="O558" s="7">
        <v>-40.6</v>
      </c>
      <c r="P558" s="7">
        <v>20.8</v>
      </c>
      <c r="Q558" s="7">
        <v>0.06</v>
      </c>
      <c r="R558" s="7">
        <v>0.9</v>
      </c>
      <c r="S558" s="7">
        <v>-2.2999999999999998</v>
      </c>
      <c r="T558" s="7">
        <v>-0.77</v>
      </c>
      <c r="U558" s="7">
        <v>0.83</v>
      </c>
      <c r="V558" s="7">
        <v>1.1299999999999999</v>
      </c>
      <c r="W558" s="7" t="s">
        <v>6</v>
      </c>
      <c r="X558" s="7" t="s">
        <v>7</v>
      </c>
      <c r="Y558" s="2" t="s">
        <v>719</v>
      </c>
      <c r="Z558" s="2" t="s">
        <v>721</v>
      </c>
    </row>
    <row r="559" spans="1:26" x14ac:dyDescent="0.35">
      <c r="A559" s="7" t="s">
        <v>1512</v>
      </c>
      <c r="B559" s="7" t="s">
        <v>562</v>
      </c>
      <c r="C559" s="4" t="str">
        <f>_xlfn.XLOOKUP(A559,[2]Sheet2!$I$2:$I$1273,[2]Sheet2!$D$2:$D$1273,0)</f>
        <v>Q1</v>
      </c>
      <c r="D559" s="4">
        <f>_xlfn.XLOOKUP(B559,[4]Sheet2!$B$2:$B$3154,[4]Sheet2!$F$2:$F$3154,0)</f>
        <v>0</v>
      </c>
      <c r="E559" s="4" t="e">
        <f>_xlfn.XLOOKUP(B559,[2]Sheet2!$E$2:$E$713,[2]Sheet2!$G$2:$G$713)</f>
        <v>#N/A</v>
      </c>
      <c r="F559" s="18">
        <v>46074</v>
      </c>
      <c r="G559" s="14">
        <v>0.72947916666666668</v>
      </c>
      <c r="H559" s="7" t="s">
        <v>14</v>
      </c>
      <c r="I559" s="2" t="str">
        <f t="shared" si="43"/>
        <v>Q3</v>
      </c>
      <c r="J559" s="2" t="str">
        <f t="shared" si="44"/>
        <v>Not Match</v>
      </c>
      <c r="K559" s="2">
        <f t="shared" si="40"/>
        <v>0.53851648071345048</v>
      </c>
      <c r="L559" s="2" t="e">
        <f t="shared" si="41"/>
        <v>#N/A</v>
      </c>
      <c r="M559" s="2" t="str">
        <f t="shared" si="42"/>
        <v>Below 0.8 not in assigned quadrant</v>
      </c>
      <c r="N559" s="7">
        <v>20.6</v>
      </c>
      <c r="O559" s="7">
        <v>6.1</v>
      </c>
      <c r="P559" s="7">
        <v>1.9</v>
      </c>
      <c r="Q559" s="7">
        <v>-0.09</v>
      </c>
      <c r="R559" s="7">
        <v>-0.5</v>
      </c>
      <c r="S559" s="7">
        <v>-0.2</v>
      </c>
      <c r="T559" s="7">
        <v>-0.59</v>
      </c>
      <c r="U559" s="7">
        <v>-0.03</v>
      </c>
      <c r="V559" s="7">
        <v>0.6</v>
      </c>
      <c r="W559" s="7" t="s">
        <v>8</v>
      </c>
      <c r="X559" s="7" t="s">
        <v>7</v>
      </c>
      <c r="Y559" s="2" t="s">
        <v>719</v>
      </c>
      <c r="Z559" s="2" t="s">
        <v>721</v>
      </c>
    </row>
    <row r="560" spans="1:26" x14ac:dyDescent="0.35">
      <c r="A560" s="7" t="s">
        <v>1656</v>
      </c>
      <c r="B560" s="7" t="s">
        <v>563</v>
      </c>
      <c r="C560" s="4" t="str">
        <f>_xlfn.XLOOKUP(A560,[2]Sheet2!$I$2:$I$1273,[2]Sheet2!$D$2:$D$1273,0)</f>
        <v>Q1</v>
      </c>
      <c r="D560" s="4">
        <f>_xlfn.XLOOKUP(B560,[4]Sheet2!$B$2:$B$3154,[4]Sheet2!$F$2:$F$3154,0)</f>
        <v>0</v>
      </c>
      <c r="E560" s="4" t="e">
        <f>_xlfn.XLOOKUP(B560,[2]Sheet2!$E$2:$E$713,[2]Sheet2!$G$2:$G$713)</f>
        <v>#N/A</v>
      </c>
      <c r="F560" s="18">
        <v>46074</v>
      </c>
      <c r="G560" s="14">
        <v>0.73228009259259264</v>
      </c>
      <c r="H560" s="7" t="s">
        <v>11</v>
      </c>
      <c r="I560" s="2" t="str">
        <f t="shared" si="43"/>
        <v>Q1</v>
      </c>
      <c r="J560" s="2" t="str">
        <f t="shared" si="44"/>
        <v>Match</v>
      </c>
      <c r="K560" s="2">
        <f t="shared" si="40"/>
        <v>0.5</v>
      </c>
      <c r="L560" s="2" t="e">
        <f t="shared" si="41"/>
        <v>#N/A</v>
      </c>
      <c r="M560" s="2" t="str">
        <f t="shared" si="42"/>
        <v>Digital Approve Hit</v>
      </c>
      <c r="N560" s="7">
        <v>21.6</v>
      </c>
      <c r="O560" s="7">
        <v>12.9</v>
      </c>
      <c r="P560" s="7">
        <v>10.4</v>
      </c>
      <c r="Q560" s="7">
        <v>-0.17</v>
      </c>
      <c r="R560" s="7">
        <v>0.3</v>
      </c>
      <c r="S560" s="7">
        <v>0.4</v>
      </c>
      <c r="T560" s="7">
        <v>0.37</v>
      </c>
      <c r="U560" s="7">
        <v>0.14000000000000001</v>
      </c>
      <c r="V560" s="7">
        <v>0.43</v>
      </c>
      <c r="W560" s="7" t="s">
        <v>8</v>
      </c>
      <c r="X560" s="7" t="s">
        <v>12</v>
      </c>
      <c r="Y560" s="2" t="s">
        <v>719</v>
      </c>
      <c r="Z560" s="2" t="s">
        <v>721</v>
      </c>
    </row>
    <row r="561" spans="1:26" x14ac:dyDescent="0.35">
      <c r="A561" s="7" t="s">
        <v>1662</v>
      </c>
      <c r="B561" s="7" t="s">
        <v>565</v>
      </c>
      <c r="C561" s="4" t="str">
        <f>_xlfn.XLOOKUP(A561,[2]Sheet2!$I$2:$I$1273,[2]Sheet2!$D$2:$D$1273,0)</f>
        <v>Q1</v>
      </c>
      <c r="D561" s="4">
        <f>_xlfn.XLOOKUP(B561,[4]Sheet2!$B$2:$B$3154,[4]Sheet2!$F$2:$F$3154,0)</f>
        <v>0</v>
      </c>
      <c r="E561" s="4" t="e">
        <f>_xlfn.XLOOKUP(B561,[2]Sheet2!$E$2:$E$713,[2]Sheet2!$G$2:$G$713)</f>
        <v>#N/A</v>
      </c>
      <c r="F561" s="18">
        <v>46074</v>
      </c>
      <c r="G561" s="14">
        <v>0.76857638888888891</v>
      </c>
      <c r="H561" s="7" t="s">
        <v>10</v>
      </c>
      <c r="I561" s="2" t="str">
        <f t="shared" si="43"/>
        <v>Q1</v>
      </c>
      <c r="J561" s="2" t="str">
        <f t="shared" si="44"/>
        <v>Match</v>
      </c>
      <c r="K561" s="2">
        <f t="shared" si="40"/>
        <v>0.31622776601683794</v>
      </c>
      <c r="L561" s="2" t="e">
        <f t="shared" si="41"/>
        <v>#N/A</v>
      </c>
      <c r="M561" s="2" t="str">
        <f t="shared" si="42"/>
        <v>Failed but within quadrant</v>
      </c>
      <c r="N561" s="7">
        <v>16.5</v>
      </c>
      <c r="O561" s="7">
        <v>1.1000000000000001</v>
      </c>
      <c r="P561" s="7">
        <v>-1.6</v>
      </c>
      <c r="Q561" s="7">
        <v>-0.72</v>
      </c>
      <c r="R561" s="7">
        <v>0.3</v>
      </c>
      <c r="S561" s="7">
        <v>0.1</v>
      </c>
      <c r="T561" s="7">
        <v>0.01</v>
      </c>
      <c r="U561" s="7">
        <v>0.5</v>
      </c>
      <c r="V561" s="7">
        <v>0.88</v>
      </c>
      <c r="W561" s="7" t="s">
        <v>13</v>
      </c>
      <c r="X561" s="7" t="s">
        <v>9</v>
      </c>
      <c r="Y561" s="2" t="s">
        <v>719</v>
      </c>
      <c r="Z561" s="2" t="s">
        <v>721</v>
      </c>
    </row>
    <row r="562" spans="1:26" x14ac:dyDescent="0.35">
      <c r="A562" s="7" t="s">
        <v>1628</v>
      </c>
      <c r="B562" s="7" t="s">
        <v>566</v>
      </c>
      <c r="C562" s="4" t="str">
        <f>_xlfn.XLOOKUP(A562,[2]Sheet2!$I$2:$I$1273,[2]Sheet2!$D$2:$D$1273,0)</f>
        <v>Q4</v>
      </c>
      <c r="D562" s="4">
        <f>_xlfn.XLOOKUP(B562,[4]Sheet2!$B$2:$B$3154,[4]Sheet2!$F$2:$F$3154,0)</f>
        <v>0</v>
      </c>
      <c r="E562" s="4" t="e">
        <f>_xlfn.XLOOKUP(B562,[2]Sheet2!$E$2:$E$713,[2]Sheet2!$G$2:$G$713)</f>
        <v>#N/A</v>
      </c>
      <c r="F562" s="18">
        <v>46074</v>
      </c>
      <c r="G562" s="14">
        <v>0.77925925925925921</v>
      </c>
      <c r="H562" s="7" t="s">
        <v>5</v>
      </c>
      <c r="I562" s="2" t="str">
        <f t="shared" si="43"/>
        <v>Q3</v>
      </c>
      <c r="J562" s="2" t="str">
        <f t="shared" si="44"/>
        <v>Not Match</v>
      </c>
      <c r="K562" s="2">
        <f t="shared" si="40"/>
        <v>0.56568542494923812</v>
      </c>
      <c r="L562" s="2" t="e">
        <f t="shared" si="41"/>
        <v>#N/A</v>
      </c>
      <c r="M562" s="2" t="str">
        <f t="shared" si="42"/>
        <v>Assign quadrant hit</v>
      </c>
      <c r="N562" s="7">
        <v>16.899999999999999</v>
      </c>
      <c r="O562" s="7">
        <v>-0.4</v>
      </c>
      <c r="P562" s="7">
        <v>-3</v>
      </c>
      <c r="Q562" s="7">
        <v>0.4</v>
      </c>
      <c r="R562" s="7">
        <v>-0.4</v>
      </c>
      <c r="S562" s="7">
        <v>-0.4</v>
      </c>
      <c r="T562" s="7">
        <v>0.6</v>
      </c>
      <c r="U562" s="7">
        <v>-0.48</v>
      </c>
      <c r="V562" s="7">
        <v>0.86</v>
      </c>
      <c r="W562" s="7" t="s">
        <v>13</v>
      </c>
      <c r="X562" s="7" t="s">
        <v>15</v>
      </c>
      <c r="Y562" s="2" t="s">
        <v>719</v>
      </c>
      <c r="Z562" s="2" t="s">
        <v>721</v>
      </c>
    </row>
    <row r="563" spans="1:26" x14ac:dyDescent="0.35">
      <c r="A563" s="7" t="s">
        <v>1676</v>
      </c>
      <c r="B563" s="7" t="s">
        <v>567</v>
      </c>
      <c r="C563" s="4" t="str">
        <f>_xlfn.XLOOKUP(A563,[2]Sheet2!$I$2:$I$1273,[2]Sheet2!$D$2:$D$1273,0)</f>
        <v>Q2</v>
      </c>
      <c r="D563" s="4">
        <f>_xlfn.XLOOKUP(B563,[4]Sheet2!$B$2:$B$3154,[4]Sheet2!$F$2:$F$3154,0)</f>
        <v>0</v>
      </c>
      <c r="E563" s="4">
        <f>_xlfn.XLOOKUP(B563,[2]Sheet2!$E$2:$E$713,[2]Sheet2!$G$2:$G$713)</f>
        <v>1.2</v>
      </c>
      <c r="F563" s="18">
        <v>46074</v>
      </c>
      <c r="G563" s="14">
        <v>0.78249999999999997</v>
      </c>
      <c r="H563" s="7" t="s">
        <v>11</v>
      </c>
      <c r="I563" s="2" t="str">
        <f t="shared" si="43"/>
        <v>Q1</v>
      </c>
      <c r="J563" s="2" t="str">
        <f t="shared" si="44"/>
        <v>Not Match</v>
      </c>
      <c r="K563" s="2">
        <f t="shared" si="40"/>
        <v>0.85440037453175322</v>
      </c>
      <c r="L563" s="2" t="str">
        <f t="shared" si="41"/>
        <v>Within Range</v>
      </c>
      <c r="M563" s="2" t="str">
        <f t="shared" si="42"/>
        <v>Assign quadrant hit</v>
      </c>
      <c r="N563" s="7">
        <v>24.5</v>
      </c>
      <c r="O563" s="7">
        <v>11.6</v>
      </c>
      <c r="P563" s="7">
        <v>-1.4</v>
      </c>
      <c r="Q563" s="7">
        <v>0.85</v>
      </c>
      <c r="R563" s="7">
        <v>0.3</v>
      </c>
      <c r="S563" s="7">
        <v>0.8</v>
      </c>
      <c r="T563" s="7">
        <v>0.2</v>
      </c>
      <c r="U563" s="7">
        <v>0.94</v>
      </c>
      <c r="V563" s="7">
        <v>1.28</v>
      </c>
      <c r="W563" s="7" t="s">
        <v>6</v>
      </c>
      <c r="X563" s="7" t="s">
        <v>9</v>
      </c>
      <c r="Y563" s="2" t="s">
        <v>719</v>
      </c>
      <c r="Z563" s="2" t="s">
        <v>721</v>
      </c>
    </row>
    <row r="564" spans="1:26" x14ac:dyDescent="0.35">
      <c r="A564" s="7" t="s">
        <v>1677</v>
      </c>
      <c r="B564" s="7" t="s">
        <v>564</v>
      </c>
      <c r="C564" s="4">
        <f>_xlfn.XLOOKUP(A564,[2]Sheet2!$I$2:$I$1273,[2]Sheet2!$D$2:$D$1273,0)</f>
        <v>0</v>
      </c>
      <c r="D564" s="4" t="str">
        <f>_xlfn.XLOOKUP(B564,[4]Sheet2!$B$2:$B$3154,[4]Sheet2!$F$2:$F$3154,0)</f>
        <v>N/ App</v>
      </c>
      <c r="E564" s="4" t="e">
        <f>_xlfn.XLOOKUP(B564,[2]Sheet2!$E$2:$E$713,[2]Sheet2!$G$2:$G$713)</f>
        <v>#N/A</v>
      </c>
      <c r="F564" s="18">
        <v>46077</v>
      </c>
      <c r="G564" s="14">
        <v>0.61624999999999996</v>
      </c>
      <c r="H564" s="7" t="s">
        <v>5</v>
      </c>
      <c r="I564" s="2" t="str">
        <f t="shared" si="43"/>
        <v>Q1</v>
      </c>
      <c r="J564" s="2" t="str">
        <f t="shared" si="44"/>
        <v>Not Found</v>
      </c>
      <c r="K564" s="2">
        <f t="shared" si="40"/>
        <v>0.60827625302982191</v>
      </c>
      <c r="L564" s="2" t="e">
        <f t="shared" si="41"/>
        <v>#N/A</v>
      </c>
      <c r="M564" s="2" t="str">
        <f t="shared" si="42"/>
        <v>Assign quadrant hit</v>
      </c>
      <c r="N564" s="7">
        <v>44</v>
      </c>
      <c r="O564" s="7">
        <v>52.9</v>
      </c>
      <c r="P564" s="7">
        <v>33.9</v>
      </c>
      <c r="Q564" s="7">
        <v>-0.23</v>
      </c>
      <c r="R564" s="7">
        <v>0.1</v>
      </c>
      <c r="S564" s="7">
        <v>0.6</v>
      </c>
      <c r="T564" s="7">
        <v>0.16</v>
      </c>
      <c r="U564" s="7">
        <v>0.34</v>
      </c>
      <c r="V564" s="7">
        <v>0.44</v>
      </c>
      <c r="W564" s="7" t="s">
        <v>8</v>
      </c>
      <c r="X564" s="7" t="s">
        <v>12</v>
      </c>
      <c r="Y564" s="2" t="s">
        <v>719</v>
      </c>
      <c r="Z564" s="2" t="s">
        <v>721</v>
      </c>
    </row>
    <row r="565" spans="1:26" x14ac:dyDescent="0.35">
      <c r="A565" s="7" t="s">
        <v>1506</v>
      </c>
      <c r="B565" s="7" t="s">
        <v>568</v>
      </c>
      <c r="C565" s="4" t="str">
        <f>_xlfn.XLOOKUP(A565,[2]Sheet2!$I$2:$I$1273,[2]Sheet2!$D$2:$D$1273,0)</f>
        <v>Q1</v>
      </c>
      <c r="D565" s="4" t="str">
        <f>_xlfn.XLOOKUP(B565,[4]Sheet2!$B$2:$B$3154,[4]Sheet2!$F$2:$F$3154,0)</f>
        <v>N/ App</v>
      </c>
      <c r="E565" s="4" t="e">
        <f>_xlfn.XLOOKUP(B565,[2]Sheet2!$E$2:$E$713,[2]Sheet2!$G$2:$G$713)</f>
        <v>#N/A</v>
      </c>
      <c r="F565" s="18">
        <v>46077</v>
      </c>
      <c r="G565" s="14">
        <v>0.66328703703703706</v>
      </c>
      <c r="H565" s="7" t="s">
        <v>5</v>
      </c>
      <c r="I565" s="2" t="str">
        <f t="shared" si="43"/>
        <v>Q1</v>
      </c>
      <c r="J565" s="2" t="str">
        <f t="shared" si="44"/>
        <v>Match</v>
      </c>
      <c r="K565" s="2">
        <f t="shared" si="40"/>
        <v>0</v>
      </c>
      <c r="L565" s="2" t="e">
        <f t="shared" si="41"/>
        <v>#N/A</v>
      </c>
      <c r="M565" s="2" t="str">
        <f t="shared" si="42"/>
        <v>Digital Approve Hit</v>
      </c>
      <c r="N565" s="7">
        <v>14.7</v>
      </c>
      <c r="O565" s="7">
        <v>-0.5</v>
      </c>
      <c r="P565" s="7">
        <v>-2.5</v>
      </c>
      <c r="Q565" s="7">
        <v>-0.47</v>
      </c>
      <c r="R565" s="7">
        <v>0</v>
      </c>
      <c r="S565" s="7">
        <v>0</v>
      </c>
      <c r="T565" s="7">
        <v>0.03</v>
      </c>
      <c r="U565" s="7">
        <v>0.06</v>
      </c>
      <c r="V565" s="7">
        <v>0.48</v>
      </c>
      <c r="W565" s="7" t="s">
        <v>8</v>
      </c>
      <c r="X565" s="7" t="s">
        <v>9</v>
      </c>
      <c r="Y565" s="2" t="s">
        <v>719</v>
      </c>
      <c r="Z565" s="2" t="s">
        <v>721</v>
      </c>
    </row>
    <row r="566" spans="1:26" x14ac:dyDescent="0.35">
      <c r="A566" s="7" t="s">
        <v>1587</v>
      </c>
      <c r="B566" s="7" t="s">
        <v>569</v>
      </c>
      <c r="C566" s="4" t="str">
        <f>_xlfn.XLOOKUP(A566,[2]Sheet2!$I$2:$I$1273,[2]Sheet2!$D$2:$D$1273,0)</f>
        <v>Q4</v>
      </c>
      <c r="D566" s="4" t="str">
        <f>_xlfn.XLOOKUP(B566,[4]Sheet2!$B$2:$B$3154,[4]Sheet2!$F$2:$F$3154,0)</f>
        <v>N/ App</v>
      </c>
      <c r="E566" s="4" t="e">
        <f>_xlfn.XLOOKUP(B566,[2]Sheet2!$E$2:$E$713,[2]Sheet2!$G$2:$G$713)</f>
        <v>#N/A</v>
      </c>
      <c r="F566" s="18">
        <v>46077</v>
      </c>
      <c r="G566" s="14">
        <v>0.66543981481481485</v>
      </c>
      <c r="H566" s="7" t="s">
        <v>5</v>
      </c>
      <c r="I566" s="2" t="str">
        <f t="shared" si="43"/>
        <v>Q3</v>
      </c>
      <c r="J566" s="2" t="str">
        <f t="shared" si="44"/>
        <v>Not Match</v>
      </c>
      <c r="K566" s="2">
        <f t="shared" si="40"/>
        <v>0.1</v>
      </c>
      <c r="L566" s="2" t="e">
        <f t="shared" si="41"/>
        <v>#N/A</v>
      </c>
      <c r="M566" s="2" t="str">
        <f t="shared" si="42"/>
        <v>Below 0.8 not in assigned quadrant</v>
      </c>
      <c r="N566" s="7">
        <v>17.100000000000001</v>
      </c>
      <c r="O566" s="7">
        <v>-0.9</v>
      </c>
      <c r="P566" s="7">
        <v>-3.4</v>
      </c>
      <c r="Q566" s="7">
        <v>-0.67</v>
      </c>
      <c r="R566" s="7">
        <v>-0.1</v>
      </c>
      <c r="S566" s="7">
        <v>0</v>
      </c>
      <c r="T566" s="7">
        <v>-0.03</v>
      </c>
      <c r="U566" s="7">
        <v>-0.21</v>
      </c>
      <c r="V566" s="7">
        <v>0.7</v>
      </c>
      <c r="W566" s="7" t="s">
        <v>8</v>
      </c>
      <c r="X566" s="7" t="s">
        <v>15</v>
      </c>
      <c r="Y566" s="2" t="s">
        <v>719</v>
      </c>
      <c r="Z566" s="2" t="s">
        <v>721</v>
      </c>
    </row>
    <row r="567" spans="1:26" x14ac:dyDescent="0.35">
      <c r="A567" s="7" t="s">
        <v>1550</v>
      </c>
      <c r="B567" s="7" t="s">
        <v>570</v>
      </c>
      <c r="C567" s="4">
        <f>_xlfn.XLOOKUP(A567,[2]Sheet2!$I$2:$I$1273,[2]Sheet2!$D$2:$D$1273,0)</f>
        <v>0</v>
      </c>
      <c r="D567" s="4" t="str">
        <f>_xlfn.XLOOKUP(B567,[4]Sheet2!$B$2:$B$3154,[4]Sheet2!$F$2:$F$3154,0)</f>
        <v>C/APP</v>
      </c>
      <c r="E567" s="4" t="e">
        <f>_xlfn.XLOOKUP(B567,[2]Sheet2!$E$2:$E$713,[2]Sheet2!$G$2:$G$713)</f>
        <v>#N/A</v>
      </c>
      <c r="F567" s="18">
        <v>46077</v>
      </c>
      <c r="G567" s="14">
        <v>0.66743055555555553</v>
      </c>
      <c r="H567" s="7" t="s">
        <v>11</v>
      </c>
      <c r="I567" s="2" t="str">
        <f t="shared" si="43"/>
        <v>Q2</v>
      </c>
      <c r="J567" s="2" t="str">
        <f t="shared" si="44"/>
        <v>Not Found</v>
      </c>
      <c r="K567" s="2">
        <f t="shared" si="40"/>
        <v>0.22360679774997899</v>
      </c>
      <c r="L567" s="2" t="e">
        <f t="shared" si="41"/>
        <v>#N/A</v>
      </c>
      <c r="M567" s="2" t="str">
        <f t="shared" si="42"/>
        <v>Assign quadrant hit</v>
      </c>
      <c r="N567" s="7">
        <v>16.600000000000001</v>
      </c>
      <c r="O567" s="7">
        <v>-1.2</v>
      </c>
      <c r="P567" s="7">
        <v>-2.7</v>
      </c>
      <c r="Q567" s="7">
        <v>-0.61</v>
      </c>
      <c r="R567" s="7">
        <v>-0.2</v>
      </c>
      <c r="S567" s="7">
        <v>0.1</v>
      </c>
      <c r="T567" s="7">
        <v>-0.1</v>
      </c>
      <c r="U567" s="7">
        <v>-0.32</v>
      </c>
      <c r="V567" s="7">
        <v>0.7</v>
      </c>
      <c r="W567" s="7" t="s">
        <v>8</v>
      </c>
      <c r="X567" s="7" t="s">
        <v>15</v>
      </c>
      <c r="Y567" s="2" t="s">
        <v>719</v>
      </c>
      <c r="Z567" s="2" t="s">
        <v>721</v>
      </c>
    </row>
    <row r="568" spans="1:26" x14ac:dyDescent="0.35">
      <c r="A568" s="7" t="s">
        <v>1625</v>
      </c>
      <c r="B568" s="7" t="s">
        <v>571</v>
      </c>
      <c r="C568" s="4" t="str">
        <f>_xlfn.XLOOKUP(A568,[2]Sheet2!$I$2:$I$1273,[2]Sheet2!$D$2:$D$1273,0)</f>
        <v>Q1</v>
      </c>
      <c r="D568" s="4" t="str">
        <f>_xlfn.XLOOKUP(B568,[4]Sheet2!$B$2:$B$3154,[4]Sheet2!$F$2:$F$3154,0)</f>
        <v>N/ App</v>
      </c>
      <c r="E568" s="4">
        <f>_xlfn.XLOOKUP(B568,[2]Sheet2!$E$2:$E$713,[2]Sheet2!$G$2:$G$713)</f>
        <v>0.8</v>
      </c>
      <c r="F568" s="18">
        <v>46077</v>
      </c>
      <c r="G568" s="14">
        <v>0.66942129629629632</v>
      </c>
      <c r="H568" s="7" t="s">
        <v>4</v>
      </c>
      <c r="I568" s="2" t="str">
        <f t="shared" si="43"/>
        <v>Q4</v>
      </c>
      <c r="J568" s="2" t="str">
        <f t="shared" si="44"/>
        <v>Not Match</v>
      </c>
      <c r="K568" s="2">
        <f t="shared" si="40"/>
        <v>0.1</v>
      </c>
      <c r="L568" s="2" t="str">
        <f t="shared" si="41"/>
        <v>Within Range</v>
      </c>
      <c r="M568" s="2" t="str">
        <f t="shared" si="42"/>
        <v>Below 0.8 not in assigned quadrant</v>
      </c>
      <c r="N568" s="7">
        <v>20.5</v>
      </c>
      <c r="O568" s="7">
        <v>0</v>
      </c>
      <c r="P568" s="7">
        <v>-2.8</v>
      </c>
      <c r="Q568" s="7">
        <v>0.28000000000000003</v>
      </c>
      <c r="R568" s="7">
        <v>0</v>
      </c>
      <c r="S568" s="7">
        <v>-0.1</v>
      </c>
      <c r="T568" s="7">
        <v>0.19</v>
      </c>
      <c r="U568" s="7">
        <v>-0.02</v>
      </c>
      <c r="V568" s="7">
        <v>0.34</v>
      </c>
      <c r="W568" s="7" t="s">
        <v>8</v>
      </c>
      <c r="X568" s="7" t="s">
        <v>15</v>
      </c>
      <c r="Y568" s="2" t="s">
        <v>719</v>
      </c>
      <c r="Z568" s="2" t="s">
        <v>721</v>
      </c>
    </row>
    <row r="569" spans="1:26" x14ac:dyDescent="0.35">
      <c r="A569" s="7" t="s">
        <v>1561</v>
      </c>
      <c r="B569" s="7" t="s">
        <v>572</v>
      </c>
      <c r="C569" s="4">
        <f>_xlfn.XLOOKUP(A569,[2]Sheet2!$I$2:$I$1273,[2]Sheet2!$D$2:$D$1273,0)</f>
        <v>0</v>
      </c>
      <c r="D569" s="4" t="str">
        <f>_xlfn.XLOOKUP(B569,[4]Sheet2!$B$2:$B$3154,[4]Sheet2!$F$2:$F$3154,0)</f>
        <v>C/APP</v>
      </c>
      <c r="E569" s="4" t="e">
        <f>_xlfn.XLOOKUP(B569,[2]Sheet2!$E$2:$E$713,[2]Sheet2!$G$2:$G$713)</f>
        <v>#N/A</v>
      </c>
      <c r="F569" s="18">
        <v>46077</v>
      </c>
      <c r="G569" s="14">
        <v>0.76267361111111109</v>
      </c>
      <c r="H569" s="7" t="s">
        <v>4</v>
      </c>
      <c r="I569" s="2" t="str">
        <f t="shared" si="43"/>
        <v>Q1</v>
      </c>
      <c r="J569" s="2" t="str">
        <f t="shared" si="44"/>
        <v>Not Found</v>
      </c>
      <c r="K569" s="2">
        <f t="shared" si="40"/>
        <v>0.31622776601683794</v>
      </c>
      <c r="L569" s="2" t="e">
        <f t="shared" si="41"/>
        <v>#N/A</v>
      </c>
      <c r="M569" s="2" t="str">
        <f t="shared" si="42"/>
        <v>Assign quadrant hit</v>
      </c>
      <c r="N569" s="7">
        <v>14.8</v>
      </c>
      <c r="O569" s="7">
        <v>0</v>
      </c>
      <c r="P569" s="7">
        <v>-0.5</v>
      </c>
      <c r="Q569" s="7">
        <v>-0.42</v>
      </c>
      <c r="R569" s="7">
        <v>0.1</v>
      </c>
      <c r="S569" s="7">
        <v>0.3</v>
      </c>
      <c r="T569" s="7">
        <v>-0.53</v>
      </c>
      <c r="U569" s="7">
        <v>0.21</v>
      </c>
      <c r="V569" s="7">
        <v>0.71</v>
      </c>
      <c r="W569" s="7" t="s">
        <v>8</v>
      </c>
      <c r="X569" s="7" t="s">
        <v>9</v>
      </c>
      <c r="Y569" s="2" t="s">
        <v>719</v>
      </c>
      <c r="Z569" s="2" t="s">
        <v>721</v>
      </c>
    </row>
    <row r="570" spans="1:26" x14ac:dyDescent="0.35">
      <c r="A570" s="7" t="s">
        <v>1518</v>
      </c>
      <c r="B570" s="7" t="s">
        <v>573</v>
      </c>
      <c r="C570" s="4" t="str">
        <f>_xlfn.XLOOKUP(A570,[2]Sheet2!$I$2:$I$1273,[2]Sheet2!$D$2:$D$1273,0)</f>
        <v>Q1</v>
      </c>
      <c r="D570" s="4" t="str">
        <f>_xlfn.XLOOKUP(B570,[4]Sheet2!$B$2:$B$3154,[4]Sheet2!$F$2:$F$3154,0)</f>
        <v>C/APP</v>
      </c>
      <c r="E570" s="4" t="e">
        <f>_xlfn.XLOOKUP(B570,[2]Sheet2!$E$2:$E$713,[2]Sheet2!$G$2:$G$713)</f>
        <v>#N/A</v>
      </c>
      <c r="F570" s="18">
        <v>46077</v>
      </c>
      <c r="G570" s="14">
        <v>0.7669097222222222</v>
      </c>
      <c r="H570" s="7" t="s">
        <v>11</v>
      </c>
      <c r="I570" s="2" t="str">
        <f t="shared" si="43"/>
        <v>Q1</v>
      </c>
      <c r="J570" s="2" t="str">
        <f t="shared" si="44"/>
        <v>Match</v>
      </c>
      <c r="K570" s="2">
        <f t="shared" si="40"/>
        <v>1.1000000000000001</v>
      </c>
      <c r="L570" s="2" t="e">
        <f t="shared" si="41"/>
        <v>#N/A</v>
      </c>
      <c r="M570" s="2" t="str">
        <f t="shared" si="42"/>
        <v>Failed but within quadrant</v>
      </c>
      <c r="N570" s="7">
        <v>26.5</v>
      </c>
      <c r="O570" s="7">
        <v>6.4</v>
      </c>
      <c r="P570" s="7">
        <v>9</v>
      </c>
      <c r="Q570" s="7">
        <v>0.06</v>
      </c>
      <c r="R570" s="7">
        <v>0</v>
      </c>
      <c r="S570" s="7">
        <v>1.1000000000000001</v>
      </c>
      <c r="T570" s="7">
        <v>0.82</v>
      </c>
      <c r="U570" s="7">
        <v>1.24</v>
      </c>
      <c r="V570" s="7">
        <v>1.49</v>
      </c>
      <c r="W570" s="7" t="s">
        <v>6</v>
      </c>
      <c r="X570" s="7" t="s">
        <v>12</v>
      </c>
      <c r="Y570" s="2" t="s">
        <v>719</v>
      </c>
      <c r="Z570" s="2" t="s">
        <v>721</v>
      </c>
    </row>
    <row r="571" spans="1:26" x14ac:dyDescent="0.35">
      <c r="A571" s="7" t="s">
        <v>1553</v>
      </c>
      <c r="B571" s="7" t="s">
        <v>574</v>
      </c>
      <c r="C571" s="4" t="str">
        <f>_xlfn.XLOOKUP(A571,[2]Sheet2!$I$2:$I$1273,[2]Sheet2!$D$2:$D$1273,0)</f>
        <v>Q4</v>
      </c>
      <c r="D571" s="4" t="str">
        <f>_xlfn.XLOOKUP(B571,[4]Sheet2!$B$2:$B$3154,[4]Sheet2!$F$2:$F$3154,0)</f>
        <v>N/ App</v>
      </c>
      <c r="E571" s="4" t="e">
        <f>_xlfn.XLOOKUP(B571,[2]Sheet2!$E$2:$E$713,[2]Sheet2!$G$2:$G$713)</f>
        <v>#N/A</v>
      </c>
      <c r="F571" s="18">
        <v>46077</v>
      </c>
      <c r="G571" s="14">
        <v>0.84802083333333333</v>
      </c>
      <c r="H571" s="7" t="s">
        <v>4</v>
      </c>
      <c r="I571" s="2" t="str">
        <f t="shared" si="43"/>
        <v>Q3</v>
      </c>
      <c r="J571" s="2" t="str">
        <f t="shared" si="44"/>
        <v>Not Match</v>
      </c>
      <c r="K571" s="2">
        <f t="shared" si="40"/>
        <v>0.3</v>
      </c>
      <c r="L571" s="2" t="e">
        <f t="shared" si="41"/>
        <v>#N/A</v>
      </c>
      <c r="M571" s="2" t="str">
        <f t="shared" si="42"/>
        <v>Below 0.8 not in assigned quadrant</v>
      </c>
      <c r="N571" s="7">
        <v>15.6</v>
      </c>
      <c r="O571" s="7">
        <v>-0.1</v>
      </c>
      <c r="P571" s="7">
        <v>-2.7</v>
      </c>
      <c r="Q571" s="7">
        <v>-0.33</v>
      </c>
      <c r="R571" s="7">
        <v>-0.3</v>
      </c>
      <c r="S571" s="7">
        <v>0</v>
      </c>
      <c r="T571" s="7">
        <v>0.11</v>
      </c>
      <c r="U571" s="7">
        <v>-0.42</v>
      </c>
      <c r="V571" s="7">
        <v>0.55000000000000004</v>
      </c>
      <c r="W571" s="7" t="s">
        <v>8</v>
      </c>
      <c r="X571" s="7" t="s">
        <v>15</v>
      </c>
      <c r="Y571" s="2" t="s">
        <v>719</v>
      </c>
      <c r="Z571" s="2" t="s">
        <v>721</v>
      </c>
    </row>
    <row r="572" spans="1:26" x14ac:dyDescent="0.35">
      <c r="A572" s="7" t="s">
        <v>1656</v>
      </c>
      <c r="B572" s="7" t="s">
        <v>575</v>
      </c>
      <c r="C572" s="4" t="str">
        <f>_xlfn.XLOOKUP(A572,[2]Sheet2!$I$2:$I$1273,[2]Sheet2!$D$2:$D$1273,0)</f>
        <v>Q1</v>
      </c>
      <c r="D572" s="4" t="str">
        <f>_xlfn.XLOOKUP(B572,[4]Sheet2!$B$2:$B$3154,[4]Sheet2!$F$2:$F$3154,0)</f>
        <v>N/ App</v>
      </c>
      <c r="E572" s="4" t="e">
        <f>_xlfn.XLOOKUP(B572,[2]Sheet2!$E$2:$E$713,[2]Sheet2!$G$2:$G$713)</f>
        <v>#N/A</v>
      </c>
      <c r="F572" s="18">
        <v>46077</v>
      </c>
      <c r="G572" s="14">
        <v>0.91217592592592589</v>
      </c>
      <c r="H572" s="7" t="s">
        <v>11</v>
      </c>
      <c r="I572" s="2" t="str">
        <f t="shared" si="43"/>
        <v>Q1</v>
      </c>
      <c r="J572" s="2" t="str">
        <f t="shared" si="44"/>
        <v>Match</v>
      </c>
      <c r="K572" s="2">
        <f t="shared" ref="K572:K634" si="45">SQRT(R572^2+S572^2)</f>
        <v>0.92195444572928864</v>
      </c>
      <c r="L572" s="2" t="e">
        <f t="shared" ref="L572:L634" si="46">IF(K572&lt;=E572,"Within Range","Over Range")</f>
        <v>#N/A</v>
      </c>
      <c r="M572" s="2" t="str">
        <f t="shared" ref="M572:M634" si="47">IF(AND(J572="Match",V572&lt;=0.8),"Digital Approve Hit",
IF(AND(J572="Match",V572&gt;0.8),"Failed but within quadrant",
IF(AND(J572="Not Match",V572&lt;=0.8),"Below 0.8 not in assigned quadrant",
"Assign quadrant hit")))</f>
        <v>Digital Approve Hit</v>
      </c>
      <c r="N572" s="7">
        <v>23</v>
      </c>
      <c r="O572" s="7">
        <v>13.4</v>
      </c>
      <c r="P572" s="7">
        <v>9.8000000000000007</v>
      </c>
      <c r="Q572" s="7">
        <v>0.27</v>
      </c>
      <c r="R572" s="7">
        <v>0.6</v>
      </c>
      <c r="S572" s="7">
        <v>0.7</v>
      </c>
      <c r="T572" s="7">
        <v>0.64</v>
      </c>
      <c r="U572" s="7">
        <v>0.25</v>
      </c>
      <c r="V572" s="7">
        <v>0.74</v>
      </c>
      <c r="W572" s="7" t="s">
        <v>8</v>
      </c>
      <c r="X572" s="7" t="s">
        <v>12</v>
      </c>
      <c r="Y572" s="2" t="s">
        <v>719</v>
      </c>
      <c r="Z572" s="2" t="s">
        <v>721</v>
      </c>
    </row>
    <row r="573" spans="1:26" x14ac:dyDescent="0.35">
      <c r="A573" s="7" t="s">
        <v>1656</v>
      </c>
      <c r="B573" s="7" t="s">
        <v>576</v>
      </c>
      <c r="C573" s="4" t="str">
        <f>_xlfn.XLOOKUP(A573,[2]Sheet2!$I$2:$I$1273,[2]Sheet2!$D$2:$D$1273,0)</f>
        <v>Q1</v>
      </c>
      <c r="D573" s="4" t="str">
        <f>_xlfn.XLOOKUP(B573,[4]Sheet2!$B$2:$B$3154,[4]Sheet2!$F$2:$F$3154,0)</f>
        <v>N/ App</v>
      </c>
      <c r="E573" s="4" t="e">
        <f>_xlfn.XLOOKUP(B573,[2]Sheet2!$E$2:$E$713,[2]Sheet2!$G$2:$G$713)</f>
        <v>#N/A</v>
      </c>
      <c r="F573" s="18">
        <v>46077</v>
      </c>
      <c r="G573" s="14">
        <v>0.95162037037037039</v>
      </c>
      <c r="H573" s="7" t="s">
        <v>11</v>
      </c>
      <c r="I573" s="2" t="str">
        <f t="shared" ref="I573:I635" si="48">IF(AND(R573=0,S573=0),IF(C573="","Origin",C573),
IF(AND(R573&gt;0,S573=0),"Q4",
IF(AND(R573&lt;0,S573=0),"Q3",
IF(AND(R573&gt;=0,S573&lt;0),"Q4",
IF(AND(R573&gt;=0,S573&gt;0),"Q1",
IF(AND(R573&lt;0,S573&lt;=0),"Q3",
IF(AND(R573&lt;0,S573&gt;0),"Q2",
"")))))))</f>
        <v>Q1</v>
      </c>
      <c r="J573" s="2" t="str">
        <f t="shared" si="44"/>
        <v>Match</v>
      </c>
      <c r="K573" s="2">
        <f t="shared" si="45"/>
        <v>0.41231056256176613</v>
      </c>
      <c r="L573" s="2" t="e">
        <f t="shared" si="46"/>
        <v>#N/A</v>
      </c>
      <c r="M573" s="2" t="str">
        <f t="shared" si="47"/>
        <v>Digital Approve Hit</v>
      </c>
      <c r="N573" s="7">
        <v>21.7</v>
      </c>
      <c r="O573" s="7">
        <v>13.1</v>
      </c>
      <c r="P573" s="7">
        <v>9.3000000000000007</v>
      </c>
      <c r="Q573" s="7">
        <v>-0.71</v>
      </c>
      <c r="R573" s="7">
        <v>0.4</v>
      </c>
      <c r="S573" s="7">
        <v>0.1</v>
      </c>
      <c r="T573" s="7">
        <v>0.3</v>
      </c>
      <c r="U573" s="7">
        <v>-0.14000000000000001</v>
      </c>
      <c r="V573" s="7">
        <v>0.79</v>
      </c>
      <c r="W573" s="7" t="s">
        <v>13</v>
      </c>
      <c r="X573" s="7" t="s">
        <v>7</v>
      </c>
      <c r="Y573" s="2" t="s">
        <v>719</v>
      </c>
      <c r="Z573" s="2" t="s">
        <v>721</v>
      </c>
    </row>
    <row r="574" spans="1:26" x14ac:dyDescent="0.35">
      <c r="A574" s="7" t="s">
        <v>1518</v>
      </c>
      <c r="B574" s="7" t="s">
        <v>577</v>
      </c>
      <c r="C574" s="4" t="str">
        <f>_xlfn.XLOOKUP(A574,[2]Sheet2!$I$2:$I$1273,[2]Sheet2!$D$2:$D$1273,0)</f>
        <v>Q1</v>
      </c>
      <c r="D574" s="4" t="str">
        <f>_xlfn.XLOOKUP(B574,[4]Sheet2!$B$2:$B$3154,[4]Sheet2!$F$2:$F$3154,0)</f>
        <v>N/ App</v>
      </c>
      <c r="E574" s="4" t="e">
        <f>_xlfn.XLOOKUP(B574,[2]Sheet2!$E$2:$E$713,[2]Sheet2!$G$2:$G$713)</f>
        <v>#N/A</v>
      </c>
      <c r="F574" s="18">
        <v>46078</v>
      </c>
      <c r="G574" s="14">
        <v>4.9074074074074072E-3</v>
      </c>
      <c r="H574" s="7" t="s">
        <v>11</v>
      </c>
      <c r="I574" s="2" t="str">
        <f t="shared" si="48"/>
        <v>Q1</v>
      </c>
      <c r="J574" s="2" t="str">
        <f t="shared" si="44"/>
        <v>Match</v>
      </c>
      <c r="K574" s="2">
        <f t="shared" si="45"/>
        <v>0.2</v>
      </c>
      <c r="L574" s="2" t="e">
        <f t="shared" si="46"/>
        <v>#N/A</v>
      </c>
      <c r="M574" s="2" t="str">
        <f t="shared" si="47"/>
        <v>Digital Approve Hit</v>
      </c>
      <c r="N574" s="7">
        <v>26.7</v>
      </c>
      <c r="O574" s="7">
        <v>6.3</v>
      </c>
      <c r="P574" s="7">
        <v>8.1</v>
      </c>
      <c r="Q574" s="7">
        <v>0.14000000000000001</v>
      </c>
      <c r="R574" s="7">
        <v>0</v>
      </c>
      <c r="S574" s="7">
        <v>0.2</v>
      </c>
      <c r="T574" s="7">
        <v>0.15</v>
      </c>
      <c r="U574" s="7">
        <v>0.34</v>
      </c>
      <c r="V574" s="7">
        <v>0.4</v>
      </c>
      <c r="W574" s="7" t="s">
        <v>8</v>
      </c>
      <c r="X574" s="7" t="s">
        <v>12</v>
      </c>
      <c r="Y574" s="2" t="s">
        <v>719</v>
      </c>
      <c r="Z574" s="2" t="s">
        <v>721</v>
      </c>
    </row>
    <row r="575" spans="1:26" x14ac:dyDescent="0.35">
      <c r="A575" s="7" t="s">
        <v>1669</v>
      </c>
      <c r="B575" s="7" t="s">
        <v>578</v>
      </c>
      <c r="C575" s="4">
        <f>_xlfn.XLOOKUP(A575,[2]Sheet2!$I$2:$I$1273,[2]Sheet2!$D$2:$D$1273,0)</f>
        <v>0</v>
      </c>
      <c r="D575" s="4" t="str">
        <f>_xlfn.XLOOKUP(B575,[4]Sheet2!$B$2:$B$3154,[4]Sheet2!$F$2:$F$3154,0)</f>
        <v>N/ App</v>
      </c>
      <c r="E575" s="4" t="e">
        <f>_xlfn.XLOOKUP(B575,[2]Sheet2!$E$2:$E$713,[2]Sheet2!$G$2:$G$713)</f>
        <v>#N/A</v>
      </c>
      <c r="F575" s="18">
        <v>46078</v>
      </c>
      <c r="G575" s="14">
        <v>5.4212962962962963E-2</v>
      </c>
      <c r="H575" s="7" t="s">
        <v>4</v>
      </c>
      <c r="I575" s="2" t="str">
        <f t="shared" si="48"/>
        <v>Q2</v>
      </c>
      <c r="J575" s="2" t="str">
        <f t="shared" si="44"/>
        <v>Not Found</v>
      </c>
      <c r="K575" s="2">
        <f t="shared" si="45"/>
        <v>0.53851648071345048</v>
      </c>
      <c r="L575" s="2" t="e">
        <f t="shared" si="46"/>
        <v>#N/A</v>
      </c>
      <c r="M575" s="2" t="str">
        <f t="shared" si="47"/>
        <v>Assign quadrant hit</v>
      </c>
      <c r="N575" s="7">
        <v>33.700000000000003</v>
      </c>
      <c r="O575" s="7">
        <v>15.3</v>
      </c>
      <c r="P575" s="7">
        <v>-0.1</v>
      </c>
      <c r="Q575" s="7">
        <v>0.47</v>
      </c>
      <c r="R575" s="7">
        <v>-0.2</v>
      </c>
      <c r="S575" s="7">
        <v>0.5</v>
      </c>
      <c r="T575" s="7">
        <v>-0.15</v>
      </c>
      <c r="U575" s="7">
        <v>0.54</v>
      </c>
      <c r="V575" s="7">
        <v>0.73</v>
      </c>
      <c r="W575" s="7" t="s">
        <v>8</v>
      </c>
      <c r="X575" s="7" t="s">
        <v>9</v>
      </c>
      <c r="Y575" s="2" t="s">
        <v>719</v>
      </c>
      <c r="Z575" s="2" t="s">
        <v>721</v>
      </c>
    </row>
    <row r="576" spans="1:26" x14ac:dyDescent="0.35">
      <c r="A576" s="7" t="s">
        <v>1558</v>
      </c>
      <c r="B576" s="7" t="s">
        <v>579</v>
      </c>
      <c r="C576" s="4" t="str">
        <f>_xlfn.XLOOKUP(A576,[2]Sheet2!$I$2:$I$1273,[2]Sheet2!$D$2:$D$1273,0)</f>
        <v>Q3</v>
      </c>
      <c r="D576" s="4" t="str">
        <f>_xlfn.XLOOKUP(B576,[4]Sheet2!$B$2:$B$3154,[4]Sheet2!$F$2:$F$3154,0)</f>
        <v>N/ App</v>
      </c>
      <c r="E576" s="4" t="e">
        <f>_xlfn.XLOOKUP(B576,[2]Sheet2!$E$2:$E$713,[2]Sheet2!$G$2:$G$713)</f>
        <v>#N/A</v>
      </c>
      <c r="F576" s="18">
        <v>46078</v>
      </c>
      <c r="G576" s="14">
        <v>0.21016203703703704</v>
      </c>
      <c r="H576" s="7" t="s">
        <v>16</v>
      </c>
      <c r="I576" s="2" t="str">
        <f t="shared" si="48"/>
        <v>Q4</v>
      </c>
      <c r="J576" s="2" t="str">
        <f t="shared" si="44"/>
        <v>Not Match</v>
      </c>
      <c r="K576" s="2">
        <f t="shared" si="45"/>
        <v>0.2</v>
      </c>
      <c r="L576" s="2" t="e">
        <f t="shared" si="46"/>
        <v>#N/A</v>
      </c>
      <c r="M576" s="2" t="str">
        <f t="shared" si="47"/>
        <v>Assign quadrant hit</v>
      </c>
      <c r="N576" s="7">
        <v>14.4</v>
      </c>
      <c r="O576" s="7">
        <v>-0.3</v>
      </c>
      <c r="P576" s="7">
        <v>-2.1</v>
      </c>
      <c r="Q576" s="7">
        <v>-1.03</v>
      </c>
      <c r="R576" s="7">
        <v>0</v>
      </c>
      <c r="S576" s="7">
        <v>-0.2</v>
      </c>
      <c r="T576" s="7">
        <v>0.33</v>
      </c>
      <c r="U576" s="7">
        <v>0.02</v>
      </c>
      <c r="V576" s="7">
        <v>1.08</v>
      </c>
      <c r="W576" s="7" t="s">
        <v>6</v>
      </c>
      <c r="X576" s="7" t="s">
        <v>9</v>
      </c>
      <c r="Y576" s="2" t="s">
        <v>719</v>
      </c>
      <c r="Z576" s="2" t="s">
        <v>721</v>
      </c>
    </row>
    <row r="577" spans="1:26" x14ac:dyDescent="0.35">
      <c r="A577" s="7" t="s">
        <v>1678</v>
      </c>
      <c r="B577" s="7" t="s">
        <v>580</v>
      </c>
      <c r="C577" s="4" t="str">
        <f>_xlfn.XLOOKUP(A577,[2]Sheet2!$I$2:$I$1273,[2]Sheet2!$D$2:$D$1273,0)</f>
        <v>Q1</v>
      </c>
      <c r="D577" s="4" t="str">
        <f>_xlfn.XLOOKUP(B577,[4]Sheet2!$B$2:$B$3154,[4]Sheet2!$F$2:$F$3154,0)</f>
        <v>N/ App</v>
      </c>
      <c r="E577" s="4" t="e">
        <f>_xlfn.XLOOKUP(B577,[2]Sheet2!$E$2:$E$713,[2]Sheet2!$G$2:$G$713)</f>
        <v>#N/A</v>
      </c>
      <c r="F577" s="18">
        <v>46078</v>
      </c>
      <c r="G577" s="14">
        <v>0.22921296296296295</v>
      </c>
      <c r="H577" s="7" t="s">
        <v>5</v>
      </c>
      <c r="I577" s="2" t="str">
        <f t="shared" si="48"/>
        <v>Q4</v>
      </c>
      <c r="J577" s="2" t="str">
        <f t="shared" si="44"/>
        <v>Not Match</v>
      </c>
      <c r="K577" s="2">
        <f t="shared" si="45"/>
        <v>0.1</v>
      </c>
      <c r="L577" s="2" t="e">
        <f t="shared" si="46"/>
        <v>#N/A</v>
      </c>
      <c r="M577" s="2" t="str">
        <f t="shared" si="47"/>
        <v>Below 0.8 not in assigned quadrant</v>
      </c>
      <c r="N577" s="7">
        <v>17.3</v>
      </c>
      <c r="O577" s="7">
        <v>-0.3</v>
      </c>
      <c r="P577" s="7">
        <v>-2.5</v>
      </c>
      <c r="Q577" s="7">
        <v>0.05</v>
      </c>
      <c r="R577" s="7">
        <v>0</v>
      </c>
      <c r="S577" s="7">
        <v>-0.1</v>
      </c>
      <c r="T577" s="7">
        <v>0.21</v>
      </c>
      <c r="U577" s="7">
        <v>-0.08</v>
      </c>
      <c r="V577" s="7">
        <v>0.23</v>
      </c>
      <c r="W577" s="7" t="s">
        <v>8</v>
      </c>
      <c r="X577" s="7" t="s">
        <v>15</v>
      </c>
      <c r="Y577" s="2" t="s">
        <v>719</v>
      </c>
      <c r="Z577" s="2" t="s">
        <v>721</v>
      </c>
    </row>
    <row r="578" spans="1:26" x14ac:dyDescent="0.35">
      <c r="A578" s="7" t="s">
        <v>1593</v>
      </c>
      <c r="B578" s="7" t="s">
        <v>559</v>
      </c>
      <c r="C578" s="4" t="str">
        <f>_xlfn.XLOOKUP(A578,[2]Sheet2!$I$2:$I$1273,[2]Sheet2!$D$2:$D$1273,0)</f>
        <v>Q3</v>
      </c>
      <c r="D578" s="4" t="str">
        <f>_xlfn.XLOOKUP(B578,[4]Sheet2!$B$2:$B$3154,[4]Sheet2!$F$2:$F$3154,0)</f>
        <v>N/ App</v>
      </c>
      <c r="E578" s="4" t="e">
        <f>_xlfn.XLOOKUP(B578,[2]Sheet2!$E$2:$E$713,[2]Sheet2!$G$2:$G$713)</f>
        <v>#N/A</v>
      </c>
      <c r="F578" s="18">
        <v>46078</v>
      </c>
      <c r="G578" s="14">
        <v>0.26439814814814816</v>
      </c>
      <c r="H578" s="7" t="s">
        <v>5</v>
      </c>
      <c r="I578" s="2" t="str">
        <f t="shared" si="48"/>
        <v>Q1</v>
      </c>
      <c r="J578" s="2" t="str">
        <f t="shared" si="44"/>
        <v>Not Match</v>
      </c>
      <c r="K578" s="2">
        <f t="shared" si="45"/>
        <v>0.60827625302982191</v>
      </c>
      <c r="L578" s="2" t="e">
        <f t="shared" si="46"/>
        <v>#N/A</v>
      </c>
      <c r="M578" s="2" t="str">
        <f t="shared" si="47"/>
        <v>Assign quadrant hit</v>
      </c>
      <c r="N578" s="7">
        <v>23.1</v>
      </c>
      <c r="O578" s="7">
        <v>3.3</v>
      </c>
      <c r="P578" s="7">
        <v>3</v>
      </c>
      <c r="Q578" s="7">
        <v>-0.71</v>
      </c>
      <c r="R578" s="7">
        <v>0.1</v>
      </c>
      <c r="S578" s="7">
        <v>0.6</v>
      </c>
      <c r="T578" s="7">
        <v>0.62</v>
      </c>
      <c r="U578" s="7">
        <v>0.61</v>
      </c>
      <c r="V578" s="7">
        <v>1.1299999999999999</v>
      </c>
      <c r="W578" s="7" t="s">
        <v>6</v>
      </c>
      <c r="X578" s="7" t="s">
        <v>12</v>
      </c>
      <c r="Y578" s="2" t="s">
        <v>719</v>
      </c>
      <c r="Z578" s="2" t="s">
        <v>721</v>
      </c>
    </row>
    <row r="579" spans="1:26" x14ac:dyDescent="0.35">
      <c r="A579" s="7" t="s">
        <v>1672</v>
      </c>
      <c r="B579" s="7" t="s">
        <v>581</v>
      </c>
      <c r="C579" s="4" t="str">
        <f>_xlfn.XLOOKUP(A579,[2]Sheet2!$I$2:$I$1273,[2]Sheet2!$D$2:$D$1273,0)</f>
        <v>Q2</v>
      </c>
      <c r="D579" s="4" t="str">
        <f>_xlfn.XLOOKUP(B579,[4]Sheet2!$B$2:$B$3154,[4]Sheet2!$F$2:$F$3154,0)</f>
        <v>N/ App</v>
      </c>
      <c r="E579" s="4" t="e">
        <f>_xlfn.XLOOKUP(B579,[2]Sheet2!$E$2:$E$713,[2]Sheet2!$G$2:$G$713)</f>
        <v>#N/A</v>
      </c>
      <c r="F579" s="18">
        <v>46078</v>
      </c>
      <c r="G579" s="14">
        <v>0.27437499999999998</v>
      </c>
      <c r="H579" s="7" t="s">
        <v>11</v>
      </c>
      <c r="I579" s="2" t="str">
        <f t="shared" si="48"/>
        <v>Q1</v>
      </c>
      <c r="J579" s="2" t="str">
        <f t="shared" ref="J579:J642" si="49">IF(I579=C579,"Match",IF(C579=0,"Not Found","Not Match"))</f>
        <v>Not Match</v>
      </c>
      <c r="K579" s="2">
        <f t="shared" si="45"/>
        <v>0.31622776601683794</v>
      </c>
      <c r="L579" s="2" t="e">
        <f t="shared" si="46"/>
        <v>#N/A</v>
      </c>
      <c r="M579" s="2" t="str">
        <f t="shared" si="47"/>
        <v>Assign quadrant hit</v>
      </c>
      <c r="N579" s="7">
        <v>14.2</v>
      </c>
      <c r="O579" s="7">
        <v>-1</v>
      </c>
      <c r="P579" s="7">
        <v>-2.2999999999999998</v>
      </c>
      <c r="Q579" s="7">
        <v>-1.38</v>
      </c>
      <c r="R579" s="7">
        <v>0.1</v>
      </c>
      <c r="S579" s="7">
        <v>0.3</v>
      </c>
      <c r="T579" s="7">
        <v>-0.44</v>
      </c>
      <c r="U579" s="7">
        <v>0.04</v>
      </c>
      <c r="V579" s="7">
        <v>1.45</v>
      </c>
      <c r="W579" s="7" t="s">
        <v>6</v>
      </c>
      <c r="X579" s="7" t="s">
        <v>9</v>
      </c>
      <c r="Y579" s="2" t="s">
        <v>719</v>
      </c>
      <c r="Z579" s="2" t="s">
        <v>721</v>
      </c>
    </row>
    <row r="580" spans="1:26" x14ac:dyDescent="0.35">
      <c r="A580" s="7" t="s">
        <v>1679</v>
      </c>
      <c r="B580" s="7" t="s">
        <v>582</v>
      </c>
      <c r="C580" s="4">
        <f>_xlfn.XLOOKUP(A580,[2]Sheet2!$I$2:$I$1273,[2]Sheet2!$D$2:$D$1273,0)</f>
        <v>0</v>
      </c>
      <c r="D580" s="4" t="str">
        <f>_xlfn.XLOOKUP(B580,[4]Sheet2!$B$2:$B$3154,[4]Sheet2!$F$2:$F$3154,0)</f>
        <v>N/ App</v>
      </c>
      <c r="E580" s="4" t="e">
        <f>_xlfn.XLOOKUP(B580,[2]Sheet2!$E$2:$E$713,[2]Sheet2!$G$2:$G$713)</f>
        <v>#N/A</v>
      </c>
      <c r="F580" s="18">
        <v>46078</v>
      </c>
      <c r="G580" s="14">
        <v>0.27659722222222222</v>
      </c>
      <c r="H580" s="7" t="s">
        <v>11</v>
      </c>
      <c r="I580" s="2" t="str">
        <f t="shared" si="48"/>
        <v>Q3</v>
      </c>
      <c r="J580" s="2" t="str">
        <f t="shared" si="49"/>
        <v>Not Found</v>
      </c>
      <c r="K580" s="2">
        <f t="shared" si="45"/>
        <v>0.72111025509279791</v>
      </c>
      <c r="L580" s="2" t="e">
        <f t="shared" si="46"/>
        <v>#N/A</v>
      </c>
      <c r="M580" s="2" t="str">
        <f t="shared" si="47"/>
        <v>Assign quadrant hit</v>
      </c>
      <c r="N580" s="7">
        <v>16.100000000000001</v>
      </c>
      <c r="O580" s="7">
        <v>-1</v>
      </c>
      <c r="P580" s="7">
        <v>-2.2999999999999998</v>
      </c>
      <c r="Q580" s="7">
        <v>0.02</v>
      </c>
      <c r="R580" s="7">
        <v>-0.4</v>
      </c>
      <c r="S580" s="7">
        <v>-0.6</v>
      </c>
      <c r="T580" s="7">
        <v>1.05</v>
      </c>
      <c r="U580" s="7">
        <v>-0.22</v>
      </c>
      <c r="V580" s="7">
        <v>1.08</v>
      </c>
      <c r="W580" s="7" t="s">
        <v>6</v>
      </c>
      <c r="X580" s="7" t="s">
        <v>15</v>
      </c>
      <c r="Y580" s="2" t="s">
        <v>719</v>
      </c>
      <c r="Z580" s="2" t="s">
        <v>721</v>
      </c>
    </row>
    <row r="581" spans="1:26" x14ac:dyDescent="0.35">
      <c r="A581" s="7" t="s">
        <v>1656</v>
      </c>
      <c r="B581" s="7" t="s">
        <v>583</v>
      </c>
      <c r="C581" s="4" t="str">
        <f>_xlfn.XLOOKUP(A581,[2]Sheet2!$I$2:$I$1273,[2]Sheet2!$D$2:$D$1273,0)</f>
        <v>Q1</v>
      </c>
      <c r="D581" s="4" t="str">
        <f>_xlfn.XLOOKUP(B581,[4]Sheet2!$B$2:$B$3154,[4]Sheet2!$F$2:$F$3154,0)</f>
        <v>N/ App</v>
      </c>
      <c r="E581" s="4" t="e">
        <f>_xlfn.XLOOKUP(B581,[2]Sheet2!$E$2:$E$713,[2]Sheet2!$G$2:$G$713)</f>
        <v>#N/A</v>
      </c>
      <c r="F581" s="18">
        <v>46078</v>
      </c>
      <c r="G581" s="14">
        <v>0.28839120370370369</v>
      </c>
      <c r="H581" s="7" t="s">
        <v>11</v>
      </c>
      <c r="I581" s="2" t="str">
        <f t="shared" si="48"/>
        <v>Q1</v>
      </c>
      <c r="J581" s="2" t="str">
        <f t="shared" si="49"/>
        <v>Match</v>
      </c>
      <c r="K581" s="2">
        <f t="shared" si="45"/>
        <v>0.56568542494923812</v>
      </c>
      <c r="L581" s="2" t="e">
        <f t="shared" si="46"/>
        <v>#N/A</v>
      </c>
      <c r="M581" s="2" t="str">
        <f t="shared" si="47"/>
        <v>Digital Approve Hit</v>
      </c>
      <c r="N581" s="7">
        <v>23.3</v>
      </c>
      <c r="O581" s="7">
        <v>13.2</v>
      </c>
      <c r="P581" s="7">
        <v>9.5</v>
      </c>
      <c r="Q581" s="7">
        <v>0.52</v>
      </c>
      <c r="R581" s="7">
        <v>0.4</v>
      </c>
      <c r="S581" s="7">
        <v>0.4</v>
      </c>
      <c r="T581" s="7">
        <v>0.43</v>
      </c>
      <c r="U581" s="7">
        <v>7.0000000000000007E-2</v>
      </c>
      <c r="V581" s="7">
        <v>0.68</v>
      </c>
      <c r="W581" s="7" t="s">
        <v>8</v>
      </c>
      <c r="X581" s="7" t="s">
        <v>12</v>
      </c>
      <c r="Y581" s="2" t="s">
        <v>719</v>
      </c>
      <c r="Z581" s="2" t="s">
        <v>721</v>
      </c>
    </row>
    <row r="582" spans="1:26" x14ac:dyDescent="0.35">
      <c r="A582" s="7" t="s">
        <v>1533</v>
      </c>
      <c r="B582" s="7" t="s">
        <v>584</v>
      </c>
      <c r="C582" s="4" t="str">
        <f>_xlfn.XLOOKUP(A582,[2]Sheet2!$I$2:$I$1273,[2]Sheet2!$D$2:$D$1273,0)</f>
        <v>Q2</v>
      </c>
      <c r="D582" s="4" t="str">
        <f>_xlfn.XLOOKUP(B582,[4]Sheet2!$B$2:$B$3154,[4]Sheet2!$F$2:$F$3154,0)</f>
        <v>N/ App</v>
      </c>
      <c r="E582" s="4" t="e">
        <f>_xlfn.XLOOKUP(B582,[2]Sheet2!$E$2:$E$713,[2]Sheet2!$G$2:$G$713)</f>
        <v>#N/A</v>
      </c>
      <c r="F582" s="18">
        <v>46078</v>
      </c>
      <c r="G582" s="14">
        <v>0.52222222222222225</v>
      </c>
      <c r="H582" s="7" t="s">
        <v>5</v>
      </c>
      <c r="I582" s="2" t="str">
        <f t="shared" si="48"/>
        <v>Q3</v>
      </c>
      <c r="J582" s="2" t="str">
        <f t="shared" si="49"/>
        <v>Not Match</v>
      </c>
      <c r="K582" s="2">
        <f t="shared" si="45"/>
        <v>0.41231056256176613</v>
      </c>
      <c r="L582" s="2" t="e">
        <f t="shared" si="46"/>
        <v>#N/A</v>
      </c>
      <c r="M582" s="2" t="str">
        <f t="shared" si="47"/>
        <v>Assign quadrant hit</v>
      </c>
      <c r="N582" s="7">
        <v>25.8</v>
      </c>
      <c r="O582" s="7">
        <v>0.4</v>
      </c>
      <c r="P582" s="7">
        <v>7.9</v>
      </c>
      <c r="Q582" s="7">
        <v>-0.86</v>
      </c>
      <c r="R582" s="7">
        <v>-0.1</v>
      </c>
      <c r="S582" s="7">
        <v>-0.4</v>
      </c>
      <c r="T582" s="7">
        <v>-0.37</v>
      </c>
      <c r="U582" s="7">
        <v>0.19</v>
      </c>
      <c r="V582" s="7">
        <v>0.96</v>
      </c>
      <c r="W582" s="7" t="s">
        <v>13</v>
      </c>
      <c r="X582" s="7" t="s">
        <v>15</v>
      </c>
      <c r="Y582" s="2" t="s">
        <v>719</v>
      </c>
      <c r="Z582" s="2" t="s">
        <v>721</v>
      </c>
    </row>
    <row r="583" spans="1:26" x14ac:dyDescent="0.35">
      <c r="A583" s="7" t="s">
        <v>1518</v>
      </c>
      <c r="B583" s="7" t="s">
        <v>585</v>
      </c>
      <c r="C583" s="4" t="str">
        <f>_xlfn.XLOOKUP(A583,[2]Sheet2!$I$2:$I$1273,[2]Sheet2!$D$2:$D$1273,0)</f>
        <v>Q1</v>
      </c>
      <c r="D583" s="4">
        <f>_xlfn.XLOOKUP(B583,[4]Sheet2!$B$2:$B$3154,[4]Sheet2!$F$2:$F$3154,0)</f>
        <v>0</v>
      </c>
      <c r="E583" s="4" t="e">
        <f>_xlfn.XLOOKUP(B583,[2]Sheet2!$E$2:$E$713,[2]Sheet2!$G$2:$G$713)</f>
        <v>#N/A</v>
      </c>
      <c r="F583" s="18">
        <v>46078</v>
      </c>
      <c r="G583" s="14">
        <v>0.52688657407407402</v>
      </c>
      <c r="H583" s="7" t="s">
        <v>11</v>
      </c>
      <c r="I583" s="2" t="str">
        <f t="shared" si="48"/>
        <v>Q1</v>
      </c>
      <c r="J583" s="2" t="str">
        <f t="shared" si="49"/>
        <v>Match</v>
      </c>
      <c r="K583" s="2">
        <f t="shared" si="45"/>
        <v>0.94868329805051377</v>
      </c>
      <c r="L583" s="2" t="e">
        <f t="shared" si="46"/>
        <v>#N/A</v>
      </c>
      <c r="M583" s="2" t="str">
        <f t="shared" si="47"/>
        <v>Failed but within quadrant</v>
      </c>
      <c r="N583" s="7">
        <v>27</v>
      </c>
      <c r="O583" s="7">
        <v>6.6</v>
      </c>
      <c r="P583" s="7">
        <v>8.6999999999999993</v>
      </c>
      <c r="Q583" s="7">
        <v>0.38</v>
      </c>
      <c r="R583" s="7">
        <v>0.3</v>
      </c>
      <c r="S583" s="7">
        <v>0.9</v>
      </c>
      <c r="T583" s="7">
        <v>0.77</v>
      </c>
      <c r="U583" s="7">
        <v>0.54</v>
      </c>
      <c r="V583" s="7">
        <v>1.01</v>
      </c>
      <c r="W583" s="7" t="s">
        <v>6</v>
      </c>
      <c r="X583" s="7" t="s">
        <v>12</v>
      </c>
      <c r="Y583" s="2" t="s">
        <v>719</v>
      </c>
      <c r="Z583" s="2" t="s">
        <v>721</v>
      </c>
    </row>
    <row r="584" spans="1:26" x14ac:dyDescent="0.35">
      <c r="A584" s="7" t="s">
        <v>1643</v>
      </c>
      <c r="B584" s="7" t="s">
        <v>586</v>
      </c>
      <c r="C584" s="4" t="str">
        <f>_xlfn.XLOOKUP(A584,[2]Sheet2!$I$2:$I$1273,[2]Sheet2!$D$2:$D$1273,0)</f>
        <v>Q3</v>
      </c>
      <c r="D584" s="4" t="str">
        <f>_xlfn.XLOOKUP(B584,[4]Sheet2!$B$2:$B$3154,[4]Sheet2!$F$2:$F$3154,0)</f>
        <v>N/ App</v>
      </c>
      <c r="E584" s="4" t="e">
        <f>_xlfn.XLOOKUP(B584,[2]Sheet2!$E$2:$E$713,[2]Sheet2!$G$2:$G$713)</f>
        <v>#N/A</v>
      </c>
      <c r="F584" s="18">
        <v>46078</v>
      </c>
      <c r="G584" s="14">
        <v>0.65937500000000004</v>
      </c>
      <c r="H584" s="7" t="s">
        <v>11</v>
      </c>
      <c r="I584" s="2" t="str">
        <f t="shared" si="48"/>
        <v>Q4</v>
      </c>
      <c r="J584" s="2" t="str">
        <f t="shared" si="49"/>
        <v>Not Match</v>
      </c>
      <c r="K584" s="2">
        <f t="shared" si="45"/>
        <v>0.3</v>
      </c>
      <c r="L584" s="2" t="e">
        <f t="shared" si="46"/>
        <v>#N/A</v>
      </c>
      <c r="M584" s="2" t="str">
        <f t="shared" si="47"/>
        <v>Below 0.8 not in assigned quadrant</v>
      </c>
      <c r="N584" s="7">
        <v>14.5</v>
      </c>
      <c r="O584" s="7">
        <v>-0.7</v>
      </c>
      <c r="P584" s="7">
        <v>-2.2999999999999998</v>
      </c>
      <c r="Q584" s="7">
        <v>-0.06</v>
      </c>
      <c r="R584" s="7">
        <v>0</v>
      </c>
      <c r="S584" s="7">
        <v>-0.3</v>
      </c>
      <c r="T584" s="7">
        <v>0.41</v>
      </c>
      <c r="U584" s="7">
        <v>0.11</v>
      </c>
      <c r="V584" s="7">
        <v>0.43</v>
      </c>
      <c r="W584" s="7" t="s">
        <v>8</v>
      </c>
      <c r="X584" s="7" t="s">
        <v>9</v>
      </c>
      <c r="Y584" s="2" t="s">
        <v>719</v>
      </c>
      <c r="Z584" s="2" t="s">
        <v>721</v>
      </c>
    </row>
    <row r="585" spans="1:26" x14ac:dyDescent="0.35">
      <c r="A585" s="7" t="s">
        <v>1558</v>
      </c>
      <c r="B585" s="7" t="s">
        <v>587</v>
      </c>
      <c r="C585" s="4" t="str">
        <f>_xlfn.XLOOKUP(A585,[2]Sheet2!$I$2:$I$1273,[2]Sheet2!$D$2:$D$1273,0)</f>
        <v>Q3</v>
      </c>
      <c r="D585" s="4" t="str">
        <f>_xlfn.XLOOKUP(B585,[4]Sheet2!$B$2:$B$3154,[4]Sheet2!$F$2:$F$3154,0)</f>
        <v>N/ App</v>
      </c>
      <c r="E585" s="4" t="e">
        <f>_xlfn.XLOOKUP(B585,[2]Sheet2!$E$2:$E$713,[2]Sheet2!$G$2:$G$713)</f>
        <v>#N/A</v>
      </c>
      <c r="F585" s="18">
        <v>46078</v>
      </c>
      <c r="G585" s="14">
        <v>0.66374999999999995</v>
      </c>
      <c r="H585" s="7" t="s">
        <v>4</v>
      </c>
      <c r="I585" s="2" t="str">
        <f t="shared" si="48"/>
        <v>Q3</v>
      </c>
      <c r="J585" s="2" t="str">
        <f t="shared" si="49"/>
        <v>Match</v>
      </c>
      <c r="K585" s="2">
        <f t="shared" si="45"/>
        <v>0</v>
      </c>
      <c r="L585" s="2" t="e">
        <f t="shared" si="46"/>
        <v>#N/A</v>
      </c>
      <c r="M585" s="2" t="str">
        <f t="shared" si="47"/>
        <v>Digital Approve Hit</v>
      </c>
      <c r="N585" s="7">
        <v>15.5</v>
      </c>
      <c r="O585" s="7">
        <v>-0.3</v>
      </c>
      <c r="P585" s="7">
        <v>-1.5</v>
      </c>
      <c r="Q585" s="7">
        <v>-0.31</v>
      </c>
      <c r="R585" s="7">
        <v>0</v>
      </c>
      <c r="S585" s="7">
        <v>0</v>
      </c>
      <c r="T585" s="7">
        <v>0.1</v>
      </c>
      <c r="U585" s="7">
        <v>-0.01</v>
      </c>
      <c r="V585" s="7">
        <v>0.33</v>
      </c>
      <c r="W585" s="7" t="s">
        <v>8</v>
      </c>
      <c r="X585" s="7" t="s">
        <v>15</v>
      </c>
      <c r="Y585" s="2" t="s">
        <v>719</v>
      </c>
      <c r="Z585" s="2" t="s">
        <v>721</v>
      </c>
    </row>
    <row r="586" spans="1:26" x14ac:dyDescent="0.35">
      <c r="A586" s="7" t="s">
        <v>1652</v>
      </c>
      <c r="B586" s="7" t="s">
        <v>588</v>
      </c>
      <c r="C586" s="4" t="str">
        <f>_xlfn.XLOOKUP(A586,[2]Sheet2!$I$2:$I$1273,[2]Sheet2!$D$2:$D$1273,0)</f>
        <v>Q2</v>
      </c>
      <c r="D586" s="4" t="str">
        <f>_xlfn.XLOOKUP(B586,[4]Sheet2!$B$2:$B$3154,[4]Sheet2!$F$2:$F$3154,0)</f>
        <v>N/ App</v>
      </c>
      <c r="E586" s="4" t="e">
        <f>_xlfn.XLOOKUP(B586,[2]Sheet2!$E$2:$E$713,[2]Sheet2!$G$2:$G$713)</f>
        <v>#N/A</v>
      </c>
      <c r="F586" s="18">
        <v>46078</v>
      </c>
      <c r="G586" s="14">
        <v>0.6664930555555556</v>
      </c>
      <c r="H586" s="7" t="s">
        <v>5</v>
      </c>
      <c r="I586" s="2" t="str">
        <f t="shared" si="48"/>
        <v>Q3</v>
      </c>
      <c r="J586" s="2" t="str">
        <f t="shared" si="49"/>
        <v>Not Match</v>
      </c>
      <c r="K586" s="2">
        <f t="shared" si="45"/>
        <v>0.36055512754639896</v>
      </c>
      <c r="L586" s="2" t="e">
        <f t="shared" si="46"/>
        <v>#N/A</v>
      </c>
      <c r="M586" s="2" t="str">
        <f t="shared" si="47"/>
        <v>Below 0.8 not in assigned quadrant</v>
      </c>
      <c r="N586" s="7">
        <v>15.7</v>
      </c>
      <c r="O586" s="7">
        <v>-1</v>
      </c>
      <c r="P586" s="7">
        <v>-3</v>
      </c>
      <c r="Q586" s="7">
        <v>-0.32</v>
      </c>
      <c r="R586" s="7">
        <v>-0.2</v>
      </c>
      <c r="S586" s="7">
        <v>-0.3</v>
      </c>
      <c r="T586" s="7">
        <v>0.45</v>
      </c>
      <c r="U586" s="7">
        <v>-0.2</v>
      </c>
      <c r="V586" s="7">
        <v>0.57999999999999996</v>
      </c>
      <c r="W586" s="7" t="s">
        <v>8</v>
      </c>
      <c r="X586" s="7" t="s">
        <v>15</v>
      </c>
      <c r="Y586" s="2" t="s">
        <v>719</v>
      </c>
      <c r="Z586" s="2" t="s">
        <v>721</v>
      </c>
    </row>
    <row r="587" spans="1:26" x14ac:dyDescent="0.35">
      <c r="A587" s="7" t="s">
        <v>1649</v>
      </c>
      <c r="B587" s="7" t="s">
        <v>589</v>
      </c>
      <c r="C587" s="4" t="str">
        <f>_xlfn.XLOOKUP(A587,[2]Sheet2!$I$2:$I$1273,[2]Sheet2!$D$2:$D$1273,0)</f>
        <v>Q4</v>
      </c>
      <c r="D587" s="4" t="str">
        <f>_xlfn.XLOOKUP(B587,[4]Sheet2!$B$2:$B$3154,[4]Sheet2!$F$2:$F$3154,0)</f>
        <v>N/ App</v>
      </c>
      <c r="E587" s="4" t="e">
        <f>_xlfn.XLOOKUP(B587,[2]Sheet2!$E$2:$E$713,[2]Sheet2!$G$2:$G$713)</f>
        <v>#N/A</v>
      </c>
      <c r="F587" s="18">
        <v>46078</v>
      </c>
      <c r="G587" s="14">
        <v>0.73907407407407411</v>
      </c>
      <c r="H587" s="7" t="s">
        <v>4</v>
      </c>
      <c r="I587" s="2" t="str">
        <f t="shared" si="48"/>
        <v>Q1</v>
      </c>
      <c r="J587" s="2" t="str">
        <f t="shared" si="49"/>
        <v>Not Match</v>
      </c>
      <c r="K587" s="2">
        <f t="shared" si="45"/>
        <v>0.8</v>
      </c>
      <c r="L587" s="2" t="e">
        <f t="shared" si="46"/>
        <v>#N/A</v>
      </c>
      <c r="M587" s="2" t="str">
        <f t="shared" si="47"/>
        <v>Assign quadrant hit</v>
      </c>
      <c r="N587" s="7">
        <v>30.7</v>
      </c>
      <c r="O587" s="7">
        <v>-3.7</v>
      </c>
      <c r="P587" s="7">
        <v>-12</v>
      </c>
      <c r="Q587" s="7">
        <v>-0.73</v>
      </c>
      <c r="R587" s="7">
        <v>0</v>
      </c>
      <c r="S587" s="7">
        <v>0.8</v>
      </c>
      <c r="T587" s="7">
        <v>-0.56999999999999995</v>
      </c>
      <c r="U587" s="7">
        <v>-0.32</v>
      </c>
      <c r="V587" s="7">
        <v>0.98</v>
      </c>
      <c r="W587" s="7" t="s">
        <v>13</v>
      </c>
      <c r="X587" s="7" t="s">
        <v>15</v>
      </c>
      <c r="Y587" s="2" t="s">
        <v>719</v>
      </c>
      <c r="Z587" s="2" t="s">
        <v>721</v>
      </c>
    </row>
    <row r="588" spans="1:26" x14ac:dyDescent="0.35">
      <c r="A588" s="7" t="s">
        <v>1507</v>
      </c>
      <c r="B588" s="7" t="s">
        <v>590</v>
      </c>
      <c r="C588" s="4" t="str">
        <f>_xlfn.XLOOKUP(A588,[2]Sheet2!$I$2:$I$1273,[2]Sheet2!$D$2:$D$1273,0)</f>
        <v>Q3</v>
      </c>
      <c r="D588" s="4" t="str">
        <f>_xlfn.XLOOKUP(B588,[4]Sheet2!$B$2:$B$3154,[4]Sheet2!$F$2:$F$3154,0)</f>
        <v>N/ App</v>
      </c>
      <c r="E588" s="4" t="e">
        <f>_xlfn.XLOOKUP(B588,[2]Sheet2!$E$2:$E$713,[2]Sheet2!$G$2:$G$713)</f>
        <v>#N/A</v>
      </c>
      <c r="F588" s="18">
        <v>46078</v>
      </c>
      <c r="G588" s="14">
        <v>0.74107638888888894</v>
      </c>
      <c r="H588" s="7" t="s">
        <v>10</v>
      </c>
      <c r="I588" s="2" t="str">
        <f t="shared" si="48"/>
        <v>Q1</v>
      </c>
      <c r="J588" s="2" t="str">
        <f t="shared" si="49"/>
        <v>Not Match</v>
      </c>
      <c r="K588" s="2">
        <f t="shared" si="45"/>
        <v>0.1</v>
      </c>
      <c r="L588" s="2" t="e">
        <f t="shared" si="46"/>
        <v>#N/A</v>
      </c>
      <c r="M588" s="2" t="str">
        <f t="shared" si="47"/>
        <v>Assign quadrant hit</v>
      </c>
      <c r="N588" s="7">
        <v>15.1</v>
      </c>
      <c r="O588" s="7">
        <v>0.9</v>
      </c>
      <c r="P588" s="7">
        <v>0</v>
      </c>
      <c r="Q588" s="7">
        <v>-1.1399999999999999</v>
      </c>
      <c r="R588" s="7">
        <v>0</v>
      </c>
      <c r="S588" s="7">
        <v>0.1</v>
      </c>
      <c r="T588" s="7">
        <v>0.12</v>
      </c>
      <c r="U588" s="7">
        <v>0.27</v>
      </c>
      <c r="V588" s="7">
        <v>1.18</v>
      </c>
      <c r="W588" s="7" t="s">
        <v>6</v>
      </c>
      <c r="X588" s="7" t="s">
        <v>9</v>
      </c>
      <c r="Y588" s="2" t="s">
        <v>719</v>
      </c>
      <c r="Z588" s="2" t="s">
        <v>721</v>
      </c>
    </row>
    <row r="589" spans="1:26" x14ac:dyDescent="0.35">
      <c r="A589" s="7" t="s">
        <v>1627</v>
      </c>
      <c r="B589" s="7" t="s">
        <v>591</v>
      </c>
      <c r="C589" s="4" t="str">
        <f>_xlfn.XLOOKUP(A589,[2]Sheet2!$I$2:$I$1273,[2]Sheet2!$D$2:$D$1273,0)</f>
        <v>Q4</v>
      </c>
      <c r="D589" s="4" t="str">
        <f>_xlfn.XLOOKUP(B589,[4]Sheet2!$B$2:$B$3154,[4]Sheet2!$F$2:$F$3154,0)</f>
        <v>C/APP</v>
      </c>
      <c r="E589" s="4" t="e">
        <f>_xlfn.XLOOKUP(B589,[2]Sheet2!$E$2:$E$713,[2]Sheet2!$G$2:$G$713)</f>
        <v>#N/A</v>
      </c>
      <c r="F589" s="18">
        <v>46078</v>
      </c>
      <c r="G589" s="14">
        <v>0.74313657407407407</v>
      </c>
      <c r="H589" s="7" t="s">
        <v>4</v>
      </c>
      <c r="I589" s="2" t="str">
        <f t="shared" si="48"/>
        <v>Q2</v>
      </c>
      <c r="J589" s="2" t="str">
        <f t="shared" si="49"/>
        <v>Not Match</v>
      </c>
      <c r="K589" s="2">
        <f t="shared" si="45"/>
        <v>0.41231056256176613</v>
      </c>
      <c r="L589" s="2" t="e">
        <f t="shared" si="46"/>
        <v>#N/A</v>
      </c>
      <c r="M589" s="2" t="str">
        <f t="shared" si="47"/>
        <v>Assign quadrant hit</v>
      </c>
      <c r="N589" s="7">
        <v>32.9</v>
      </c>
      <c r="O589" s="7">
        <v>27.8</v>
      </c>
      <c r="P589" s="7">
        <v>2.9</v>
      </c>
      <c r="Q589" s="7">
        <v>-0.8</v>
      </c>
      <c r="R589" s="7">
        <v>-0.1</v>
      </c>
      <c r="S589" s="7">
        <v>0.4</v>
      </c>
      <c r="T589" s="7">
        <v>-0.05</v>
      </c>
      <c r="U589" s="7">
        <v>0.37</v>
      </c>
      <c r="V589" s="7">
        <v>0.89</v>
      </c>
      <c r="W589" s="7" t="s">
        <v>13</v>
      </c>
      <c r="X589" s="7" t="s">
        <v>9</v>
      </c>
      <c r="Y589" s="2" t="s">
        <v>719</v>
      </c>
      <c r="Z589" s="2" t="s">
        <v>721</v>
      </c>
    </row>
    <row r="590" spans="1:26" x14ac:dyDescent="0.35">
      <c r="A590" s="7" t="s">
        <v>1558</v>
      </c>
      <c r="B590" s="7" t="s">
        <v>592</v>
      </c>
      <c r="C590" s="4" t="str">
        <f>_xlfn.XLOOKUP(A590,[2]Sheet2!$I$2:$I$1273,[2]Sheet2!$D$2:$D$1273,0)</f>
        <v>Q3</v>
      </c>
      <c r="D590" s="4" t="str">
        <f>_xlfn.XLOOKUP(B590,[4]Sheet2!$B$2:$B$3154,[4]Sheet2!$F$2:$F$3154,0)</f>
        <v>N/ App</v>
      </c>
      <c r="E590" s="4" t="e">
        <f>_xlfn.XLOOKUP(B590,[2]Sheet2!$E$2:$E$713,[2]Sheet2!$G$2:$G$713)</f>
        <v>#N/A</v>
      </c>
      <c r="F590" s="18">
        <v>46078</v>
      </c>
      <c r="G590" s="14">
        <v>0.74496527777777777</v>
      </c>
      <c r="H590" s="7" t="s">
        <v>16</v>
      </c>
      <c r="I590" s="2" t="str">
        <f t="shared" si="48"/>
        <v>Q4</v>
      </c>
      <c r="J590" s="2" t="str">
        <f t="shared" si="49"/>
        <v>Not Match</v>
      </c>
      <c r="K590" s="2">
        <f t="shared" si="45"/>
        <v>0.1</v>
      </c>
      <c r="L590" s="2" t="e">
        <f t="shared" si="46"/>
        <v>#N/A</v>
      </c>
      <c r="M590" s="2" t="str">
        <f t="shared" si="47"/>
        <v>Below 0.8 not in assigned quadrant</v>
      </c>
      <c r="N590" s="7">
        <v>14.9</v>
      </c>
      <c r="O590" s="7">
        <v>-0.3</v>
      </c>
      <c r="P590" s="7">
        <v>-2</v>
      </c>
      <c r="Q590" s="7">
        <v>-0.57999999999999996</v>
      </c>
      <c r="R590" s="7">
        <v>0</v>
      </c>
      <c r="S590" s="7">
        <v>-0.1</v>
      </c>
      <c r="T590" s="7">
        <v>0.16</v>
      </c>
      <c r="U590" s="7">
        <v>-0.03</v>
      </c>
      <c r="V590" s="7">
        <v>0.6</v>
      </c>
      <c r="W590" s="7" t="s">
        <v>8</v>
      </c>
      <c r="X590" s="7" t="s">
        <v>15</v>
      </c>
      <c r="Y590" s="2" t="s">
        <v>719</v>
      </c>
      <c r="Z590" s="2" t="s">
        <v>721</v>
      </c>
    </row>
    <row r="591" spans="1:26" x14ac:dyDescent="0.35">
      <c r="A591" s="7" t="s">
        <v>1680</v>
      </c>
      <c r="B591" s="7" t="s">
        <v>593</v>
      </c>
      <c r="C591" s="4">
        <f>_xlfn.XLOOKUP(A591,[2]Sheet2!$I$2:$I$1273,[2]Sheet2!$D$2:$D$1273,0)</f>
        <v>0</v>
      </c>
      <c r="D591" s="4" t="str">
        <f>_xlfn.XLOOKUP(B591,[4]Sheet2!$B$2:$B$3154,[4]Sheet2!$F$2:$F$3154,0)</f>
        <v>N/ App</v>
      </c>
      <c r="E591" s="4" t="e">
        <f>_xlfn.XLOOKUP(B591,[2]Sheet2!$E$2:$E$713,[2]Sheet2!$G$2:$G$713)</f>
        <v>#N/A</v>
      </c>
      <c r="F591" s="18">
        <v>46078</v>
      </c>
      <c r="G591" s="14">
        <v>0.74715277777777778</v>
      </c>
      <c r="H591" s="7" t="s">
        <v>5</v>
      </c>
      <c r="I591" s="2" t="str">
        <f t="shared" si="48"/>
        <v>Q1</v>
      </c>
      <c r="J591" s="2" t="str">
        <f t="shared" si="49"/>
        <v>Not Found</v>
      </c>
      <c r="K591" s="2">
        <f t="shared" si="45"/>
        <v>1.1180339887498949</v>
      </c>
      <c r="L591" s="2" t="e">
        <f t="shared" si="46"/>
        <v>#N/A</v>
      </c>
      <c r="M591" s="2" t="str">
        <f t="shared" si="47"/>
        <v>Assign quadrant hit</v>
      </c>
      <c r="N591" s="7">
        <v>28.1</v>
      </c>
      <c r="O591" s="7">
        <v>31</v>
      </c>
      <c r="P591" s="7">
        <v>14.2</v>
      </c>
      <c r="Q591" s="7">
        <v>-0.16</v>
      </c>
      <c r="R591" s="7">
        <v>0.2</v>
      </c>
      <c r="S591" s="7">
        <v>1.1000000000000001</v>
      </c>
      <c r="T591" s="7">
        <v>0.33</v>
      </c>
      <c r="U591" s="7">
        <v>0.79</v>
      </c>
      <c r="V591" s="7">
        <v>0.87</v>
      </c>
      <c r="W591" s="7" t="s">
        <v>13</v>
      </c>
      <c r="X591" s="7" t="s">
        <v>12</v>
      </c>
      <c r="Y591" s="2" t="s">
        <v>719</v>
      </c>
      <c r="Z591" s="2" t="s">
        <v>721</v>
      </c>
    </row>
    <row r="592" spans="1:26" x14ac:dyDescent="0.35">
      <c r="A592" s="7" t="s">
        <v>1561</v>
      </c>
      <c r="B592" s="7" t="s">
        <v>594</v>
      </c>
      <c r="C592" s="4">
        <f>_xlfn.XLOOKUP(A592,[2]Sheet2!$I$2:$I$1273,[2]Sheet2!$D$2:$D$1273,0)</f>
        <v>0</v>
      </c>
      <c r="D592" s="4" t="str">
        <f>_xlfn.XLOOKUP(B592,[4]Sheet2!$B$2:$B$3154,[4]Sheet2!$F$2:$F$3154,0)</f>
        <v>C/APP</v>
      </c>
      <c r="E592" s="4" t="e">
        <f>_xlfn.XLOOKUP(B592,[2]Sheet2!$E$2:$E$713,[2]Sheet2!$G$2:$G$713)</f>
        <v>#N/A</v>
      </c>
      <c r="F592" s="18">
        <v>46078</v>
      </c>
      <c r="G592" s="14">
        <v>0.75057870370370372</v>
      </c>
      <c r="H592" s="7" t="s">
        <v>5</v>
      </c>
      <c r="I592" s="2" t="str">
        <f t="shared" si="48"/>
        <v>Q1</v>
      </c>
      <c r="J592" s="2" t="str">
        <f t="shared" si="49"/>
        <v>Not Found</v>
      </c>
      <c r="K592" s="2">
        <f t="shared" si="45"/>
        <v>0.44721359549995798</v>
      </c>
      <c r="L592" s="2" t="e">
        <f t="shared" si="46"/>
        <v>#N/A</v>
      </c>
      <c r="M592" s="2" t="str">
        <f t="shared" si="47"/>
        <v>Assign quadrant hit</v>
      </c>
      <c r="N592" s="7">
        <v>15.4</v>
      </c>
      <c r="O592" s="7">
        <v>-0.1</v>
      </c>
      <c r="P592" s="7">
        <v>-0.5</v>
      </c>
      <c r="Q592" s="7">
        <v>0.15</v>
      </c>
      <c r="R592" s="7">
        <v>0.2</v>
      </c>
      <c r="S592" s="7">
        <v>0.4</v>
      </c>
      <c r="T592" s="7">
        <v>-0.68</v>
      </c>
      <c r="U592" s="7">
        <v>0.13</v>
      </c>
      <c r="V592" s="7">
        <v>0.71</v>
      </c>
      <c r="W592" s="7" t="s">
        <v>8</v>
      </c>
      <c r="X592" s="7" t="s">
        <v>9</v>
      </c>
      <c r="Y592" s="2" t="s">
        <v>719</v>
      </c>
      <c r="Z592" s="2" t="s">
        <v>721</v>
      </c>
    </row>
    <row r="593" spans="1:26" x14ac:dyDescent="0.35">
      <c r="A593" s="7" t="s">
        <v>1658</v>
      </c>
      <c r="B593" s="7" t="s">
        <v>595</v>
      </c>
      <c r="C593" s="4" t="str">
        <f>_xlfn.XLOOKUP(A593,[2]Sheet2!$I$2:$I$1273,[2]Sheet2!$D$2:$D$1273,0)</f>
        <v>Q4</v>
      </c>
      <c r="D593" s="4">
        <f>_xlfn.XLOOKUP(B593,[4]Sheet2!$B$2:$B$3154,[4]Sheet2!$F$2:$F$3154,0)</f>
        <v>0</v>
      </c>
      <c r="E593" s="4" t="e">
        <f>_xlfn.XLOOKUP(B593,[2]Sheet2!$E$2:$E$713,[2]Sheet2!$G$2:$G$713)</f>
        <v>#N/A</v>
      </c>
      <c r="F593" s="18">
        <v>46078</v>
      </c>
      <c r="G593" s="14">
        <v>0.77673611111111107</v>
      </c>
      <c r="H593" s="7" t="s">
        <v>14</v>
      </c>
      <c r="I593" s="2" t="str">
        <f t="shared" si="48"/>
        <v>Q1</v>
      </c>
      <c r="J593" s="2" t="str">
        <f t="shared" si="49"/>
        <v>Not Match</v>
      </c>
      <c r="K593" s="2">
        <f t="shared" si="45"/>
        <v>0.5</v>
      </c>
      <c r="L593" s="2" t="e">
        <f t="shared" si="46"/>
        <v>#N/A</v>
      </c>
      <c r="M593" s="2" t="str">
        <f t="shared" si="47"/>
        <v>Assign quadrant hit</v>
      </c>
      <c r="N593" s="7">
        <v>42.9</v>
      </c>
      <c r="O593" s="7">
        <v>7.2</v>
      </c>
      <c r="P593" s="7">
        <v>10.6</v>
      </c>
      <c r="Q593" s="7">
        <v>-0.43</v>
      </c>
      <c r="R593" s="7">
        <v>0</v>
      </c>
      <c r="S593" s="7">
        <v>0.5</v>
      </c>
      <c r="T593" s="7">
        <v>0.28000000000000003</v>
      </c>
      <c r="U593" s="7">
        <v>0.7</v>
      </c>
      <c r="V593" s="7">
        <v>0.87</v>
      </c>
      <c r="W593" s="7" t="s">
        <v>13</v>
      </c>
      <c r="X593" s="7" t="s">
        <v>12</v>
      </c>
      <c r="Y593" s="2" t="s">
        <v>719</v>
      </c>
      <c r="Z593" s="2" t="s">
        <v>721</v>
      </c>
    </row>
    <row r="594" spans="1:26" x14ac:dyDescent="0.35">
      <c r="A594" s="7" t="s">
        <v>1666</v>
      </c>
      <c r="B594" s="7" t="s">
        <v>597</v>
      </c>
      <c r="C594" s="4" t="str">
        <f>_xlfn.XLOOKUP(A594,[2]Sheet2!$I$2:$I$1273,[2]Sheet2!$D$2:$D$1273,0)</f>
        <v>Q3</v>
      </c>
      <c r="D594" s="4" t="str">
        <f>_xlfn.XLOOKUP(B594,[4]Sheet2!$B$2:$B$3154,[4]Sheet2!$F$2:$F$3154,0)</f>
        <v>N/ App</v>
      </c>
      <c r="E594" s="4" t="e">
        <f>_xlfn.XLOOKUP(B594,[2]Sheet2!$E$2:$E$713,[2]Sheet2!$G$2:$G$713)</f>
        <v>#N/A</v>
      </c>
      <c r="F594" s="18">
        <v>46079</v>
      </c>
      <c r="G594" s="14">
        <v>0.55550925925925931</v>
      </c>
      <c r="H594" s="7" t="s">
        <v>5</v>
      </c>
      <c r="I594" s="2" t="str">
        <f t="shared" si="48"/>
        <v>Q3</v>
      </c>
      <c r="J594" s="2" t="str">
        <f t="shared" si="49"/>
        <v>Match</v>
      </c>
      <c r="K594" s="2">
        <f t="shared" si="45"/>
        <v>0</v>
      </c>
      <c r="L594" s="2" t="e">
        <f t="shared" si="46"/>
        <v>#N/A</v>
      </c>
      <c r="M594" s="2" t="str">
        <f t="shared" si="47"/>
        <v>Digital Approve Hit</v>
      </c>
      <c r="N594" s="7">
        <v>17.100000000000001</v>
      </c>
      <c r="O594" s="7">
        <v>-0.1</v>
      </c>
      <c r="P594" s="7">
        <v>-0.9</v>
      </c>
      <c r="Q594" s="7">
        <v>0.14000000000000001</v>
      </c>
      <c r="R594" s="7">
        <v>0</v>
      </c>
      <c r="S594" s="7">
        <v>0</v>
      </c>
      <c r="T594" s="7">
        <v>0.02</v>
      </c>
      <c r="U594" s="7">
        <v>-0.12</v>
      </c>
      <c r="V594" s="7">
        <v>0.18</v>
      </c>
      <c r="W594" s="7" t="s">
        <v>8</v>
      </c>
      <c r="X594" s="7" t="s">
        <v>15</v>
      </c>
      <c r="Y594" s="2" t="s">
        <v>719</v>
      </c>
      <c r="Z594" s="2" t="s">
        <v>721</v>
      </c>
    </row>
    <row r="595" spans="1:26" x14ac:dyDescent="0.35">
      <c r="A595" s="7" t="s">
        <v>1554</v>
      </c>
      <c r="B595" s="7" t="s">
        <v>598</v>
      </c>
      <c r="C595" s="4" t="str">
        <f>_xlfn.XLOOKUP(A595,[2]Sheet2!$I$2:$I$1273,[2]Sheet2!$D$2:$D$1273,0)</f>
        <v>Q1</v>
      </c>
      <c r="D595" s="4" t="str">
        <f>_xlfn.XLOOKUP(B595,[4]Sheet2!$B$2:$B$3154,[4]Sheet2!$F$2:$F$3154,0)</f>
        <v>N/ App</v>
      </c>
      <c r="E595" s="4" t="e">
        <f>_xlfn.XLOOKUP(B595,[2]Sheet2!$E$2:$E$713,[2]Sheet2!$G$2:$G$713)</f>
        <v>#N/A</v>
      </c>
      <c r="F595" s="18">
        <v>46079</v>
      </c>
      <c r="G595" s="14">
        <v>0.58601851851851849</v>
      </c>
      <c r="H595" s="7" t="s">
        <v>5</v>
      </c>
      <c r="I595" s="2" t="str">
        <f t="shared" si="48"/>
        <v>Q1</v>
      </c>
      <c r="J595" s="2" t="str">
        <f t="shared" si="49"/>
        <v>Match</v>
      </c>
      <c r="K595" s="2">
        <f t="shared" si="45"/>
        <v>0.5</v>
      </c>
      <c r="L595" s="2" t="e">
        <f t="shared" si="46"/>
        <v>#N/A</v>
      </c>
      <c r="M595" s="2" t="str">
        <f t="shared" si="47"/>
        <v>Digital Approve Hit</v>
      </c>
      <c r="N595" s="7">
        <v>17.3</v>
      </c>
      <c r="O595" s="7">
        <v>-0.5</v>
      </c>
      <c r="P595" s="7">
        <v>-2.2000000000000002</v>
      </c>
      <c r="Q595" s="7">
        <v>0.18</v>
      </c>
      <c r="R595" s="7">
        <v>0.3</v>
      </c>
      <c r="S595" s="7">
        <v>0.4</v>
      </c>
      <c r="T595" s="7">
        <v>-0.7</v>
      </c>
      <c r="U595" s="7">
        <v>0.25</v>
      </c>
      <c r="V595" s="7">
        <v>0.77</v>
      </c>
      <c r="W595" s="7" t="s">
        <v>13</v>
      </c>
      <c r="X595" s="7" t="s">
        <v>9</v>
      </c>
      <c r="Y595" s="2" t="s">
        <v>719</v>
      </c>
      <c r="Z595" s="2" t="s">
        <v>721</v>
      </c>
    </row>
    <row r="596" spans="1:26" x14ac:dyDescent="0.35">
      <c r="A596" s="7" t="s">
        <v>1672</v>
      </c>
      <c r="B596" s="7" t="s">
        <v>599</v>
      </c>
      <c r="C596" s="4" t="str">
        <f>_xlfn.XLOOKUP(A596,[2]Sheet2!$I$2:$I$1273,[2]Sheet2!$D$2:$D$1273,0)</f>
        <v>Q2</v>
      </c>
      <c r="D596" s="4" t="str">
        <f>_xlfn.XLOOKUP(B596,[4]Sheet2!$B$2:$B$3154,[4]Sheet2!$F$2:$F$3154,0)</f>
        <v>N/ App</v>
      </c>
      <c r="E596" s="4" t="e">
        <f>_xlfn.XLOOKUP(B596,[2]Sheet2!$E$2:$E$713,[2]Sheet2!$G$2:$G$713)</f>
        <v>#N/A</v>
      </c>
      <c r="F596" s="18">
        <v>46079</v>
      </c>
      <c r="G596" s="14">
        <v>0.62479166666666663</v>
      </c>
      <c r="H596" s="7" t="s">
        <v>11</v>
      </c>
      <c r="I596" s="2" t="str">
        <f t="shared" si="48"/>
        <v>Q4</v>
      </c>
      <c r="J596" s="2" t="str">
        <f t="shared" si="49"/>
        <v>Not Match</v>
      </c>
      <c r="K596" s="2">
        <f t="shared" si="45"/>
        <v>0.2</v>
      </c>
      <c r="L596" s="2" t="e">
        <f t="shared" si="46"/>
        <v>#N/A</v>
      </c>
      <c r="M596" s="2" t="str">
        <f t="shared" si="47"/>
        <v>Assign quadrant hit</v>
      </c>
      <c r="N596" s="7">
        <v>14.6</v>
      </c>
      <c r="O596" s="7">
        <v>-0.9</v>
      </c>
      <c r="P596" s="7">
        <v>-2.7</v>
      </c>
      <c r="Q596" s="7">
        <v>-0.96</v>
      </c>
      <c r="R596" s="7">
        <v>0.2</v>
      </c>
      <c r="S596" s="7">
        <v>0</v>
      </c>
      <c r="T596" s="7">
        <v>-0.08</v>
      </c>
      <c r="U596" s="7">
        <v>0.34</v>
      </c>
      <c r="V596" s="7">
        <v>1.02</v>
      </c>
      <c r="W596" s="7" t="s">
        <v>6</v>
      </c>
      <c r="X596" s="7" t="s">
        <v>9</v>
      </c>
      <c r="Y596" s="2" t="s">
        <v>719</v>
      </c>
      <c r="Z596" s="2" t="s">
        <v>721</v>
      </c>
    </row>
    <row r="597" spans="1:26" x14ac:dyDescent="0.35">
      <c r="A597" s="7" t="s">
        <v>1681</v>
      </c>
      <c r="B597" s="7" t="s">
        <v>600</v>
      </c>
      <c r="C597" s="4" t="str">
        <f>_xlfn.XLOOKUP(A597,[2]Sheet2!$I$2:$I$1273,[2]Sheet2!$D$2:$D$1273,0)</f>
        <v>Q4</v>
      </c>
      <c r="D597" s="4" t="str">
        <f>_xlfn.XLOOKUP(B597,[4]Sheet2!$B$2:$B$3154,[4]Sheet2!$F$2:$F$3154,0)</f>
        <v>C/APP</v>
      </c>
      <c r="E597" s="4" t="e">
        <f>_xlfn.XLOOKUP(B597,[2]Sheet2!$E$2:$E$713,[2]Sheet2!$G$2:$G$713)</f>
        <v>#N/A</v>
      </c>
      <c r="F597" s="18">
        <v>46079</v>
      </c>
      <c r="G597" s="14">
        <v>0.63383101851851853</v>
      </c>
      <c r="H597" s="7" t="s">
        <v>4</v>
      </c>
      <c r="I597" s="2" t="str">
        <f t="shared" si="48"/>
        <v>Q3</v>
      </c>
      <c r="J597" s="2" t="str">
        <f t="shared" si="49"/>
        <v>Not Match</v>
      </c>
      <c r="K597" s="2">
        <f t="shared" si="45"/>
        <v>0.36055512754639896</v>
      </c>
      <c r="L597" s="2" t="e">
        <f t="shared" si="46"/>
        <v>#N/A</v>
      </c>
      <c r="M597" s="2" t="str">
        <f t="shared" si="47"/>
        <v>Assign quadrant hit</v>
      </c>
      <c r="N597" s="7">
        <v>21.5</v>
      </c>
      <c r="O597" s="7">
        <v>-1</v>
      </c>
      <c r="P597" s="7">
        <v>-7.5</v>
      </c>
      <c r="Q597" s="7">
        <v>1.04</v>
      </c>
      <c r="R597" s="7">
        <v>-0.2</v>
      </c>
      <c r="S597" s="7">
        <v>-0.3</v>
      </c>
      <c r="T597" s="7">
        <v>0.38</v>
      </c>
      <c r="U597" s="7">
        <v>-0.25</v>
      </c>
      <c r="V597" s="7">
        <v>1.1399999999999999</v>
      </c>
      <c r="W597" s="7" t="s">
        <v>6</v>
      </c>
      <c r="X597" s="7" t="s">
        <v>15</v>
      </c>
      <c r="Y597" s="2" t="s">
        <v>719</v>
      </c>
      <c r="Z597" s="2" t="s">
        <v>721</v>
      </c>
    </row>
    <row r="598" spans="1:26" x14ac:dyDescent="0.35">
      <c r="A598" s="7" t="s">
        <v>1649</v>
      </c>
      <c r="B598" s="7" t="s">
        <v>601</v>
      </c>
      <c r="C598" s="4" t="str">
        <f>_xlfn.XLOOKUP(A598,[2]Sheet2!$I$2:$I$1273,[2]Sheet2!$D$2:$D$1273,0)</f>
        <v>Q4</v>
      </c>
      <c r="D598" s="4" t="str">
        <f>_xlfn.XLOOKUP(B598,[4]Sheet2!$B$2:$B$3154,[4]Sheet2!$F$2:$F$3154,0)</f>
        <v>N/ App</v>
      </c>
      <c r="E598" s="4" t="e">
        <f>_xlfn.XLOOKUP(B598,[2]Sheet2!$E$2:$E$713,[2]Sheet2!$G$2:$G$713)</f>
        <v>#N/A</v>
      </c>
      <c r="F598" s="18">
        <v>46079</v>
      </c>
      <c r="G598" s="14">
        <v>0.63846064814814818</v>
      </c>
      <c r="H598" s="7" t="s">
        <v>4</v>
      </c>
      <c r="I598" s="2" t="str">
        <f t="shared" si="48"/>
        <v>Q2</v>
      </c>
      <c r="J598" s="2" t="str">
        <f t="shared" si="49"/>
        <v>Not Match</v>
      </c>
      <c r="K598" s="2">
        <f t="shared" si="45"/>
        <v>0.41231056256176613</v>
      </c>
      <c r="L598" s="2" t="e">
        <f t="shared" si="46"/>
        <v>#N/A</v>
      </c>
      <c r="M598" s="2" t="str">
        <f t="shared" si="47"/>
        <v>Below 0.8 not in assigned quadrant</v>
      </c>
      <c r="N598" s="7">
        <v>31.3</v>
      </c>
      <c r="O598" s="7">
        <v>-3.7</v>
      </c>
      <c r="P598" s="7">
        <v>-12.4</v>
      </c>
      <c r="Q598" s="7">
        <v>-0.41</v>
      </c>
      <c r="R598" s="7">
        <v>-0.1</v>
      </c>
      <c r="S598" s="7">
        <v>0.4</v>
      </c>
      <c r="T598" s="7">
        <v>-0.28000000000000003</v>
      </c>
      <c r="U598" s="7">
        <v>-0.26</v>
      </c>
      <c r="V598" s="7">
        <v>0.56000000000000005</v>
      </c>
      <c r="W598" s="7" t="s">
        <v>8</v>
      </c>
      <c r="X598" s="7" t="s">
        <v>15</v>
      </c>
      <c r="Y598" s="2" t="s">
        <v>719</v>
      </c>
      <c r="Z598" s="2" t="s">
        <v>721</v>
      </c>
    </row>
    <row r="599" spans="1:26" x14ac:dyDescent="0.35">
      <c r="A599" s="7" t="s">
        <v>1518</v>
      </c>
      <c r="B599" s="7" t="s">
        <v>526</v>
      </c>
      <c r="C599" s="4" t="str">
        <f>_xlfn.XLOOKUP(A599,[2]Sheet2!$I$2:$I$1273,[2]Sheet2!$D$2:$D$1273,0)</f>
        <v>Q1</v>
      </c>
      <c r="D599" s="4">
        <f>_xlfn.XLOOKUP(B599,[4]Sheet2!$B$2:$B$3154,[4]Sheet2!$F$2:$F$3154,0)</f>
        <v>0</v>
      </c>
      <c r="E599" s="4" t="e">
        <f>_xlfn.XLOOKUP(B599,[2]Sheet2!$E$2:$E$713,[2]Sheet2!$G$2:$G$713)</f>
        <v>#N/A</v>
      </c>
      <c r="F599" s="18">
        <v>46079</v>
      </c>
      <c r="G599" s="14">
        <v>0.67799768518518522</v>
      </c>
      <c r="H599" s="7" t="s">
        <v>11</v>
      </c>
      <c r="I599" s="2" t="str">
        <f t="shared" si="48"/>
        <v>Q1</v>
      </c>
      <c r="J599" s="2" t="str">
        <f t="shared" si="49"/>
        <v>Match</v>
      </c>
      <c r="K599" s="2">
        <f t="shared" si="45"/>
        <v>0.82462112512353225</v>
      </c>
      <c r="L599" s="2" t="e">
        <f t="shared" si="46"/>
        <v>#N/A</v>
      </c>
      <c r="M599" s="2" t="str">
        <f t="shared" si="47"/>
        <v>Failed but within quadrant</v>
      </c>
      <c r="N599" s="7">
        <v>27</v>
      </c>
      <c r="O599" s="7">
        <v>6.5</v>
      </c>
      <c r="P599" s="7">
        <v>8.6999999999999993</v>
      </c>
      <c r="Q599" s="7">
        <v>0.39</v>
      </c>
      <c r="R599" s="7">
        <v>0.2</v>
      </c>
      <c r="S599" s="7">
        <v>0.8</v>
      </c>
      <c r="T599" s="7">
        <v>0.65</v>
      </c>
      <c r="U599" s="7">
        <v>0.64</v>
      </c>
      <c r="V599" s="7">
        <v>1</v>
      </c>
      <c r="W599" s="7" t="s">
        <v>13</v>
      </c>
      <c r="X599" s="7" t="s">
        <v>12</v>
      </c>
      <c r="Y599" s="2" t="s">
        <v>719</v>
      </c>
      <c r="Z599" s="2" t="s">
        <v>721</v>
      </c>
    </row>
    <row r="600" spans="1:26" x14ac:dyDescent="0.35">
      <c r="A600" s="7" t="s">
        <v>1515</v>
      </c>
      <c r="B600" s="7" t="s">
        <v>602</v>
      </c>
      <c r="C600" s="4" t="str">
        <f>_xlfn.XLOOKUP(A600,[2]Sheet2!$I$2:$I$1273,[2]Sheet2!$D$2:$D$1273,0)</f>
        <v>Q3</v>
      </c>
      <c r="D600" s="4" t="str">
        <f>_xlfn.XLOOKUP(B600,[4]Sheet2!$B$2:$B$3154,[4]Sheet2!$F$2:$F$3154,0)</f>
        <v>N/ App</v>
      </c>
      <c r="E600" s="4" t="e">
        <f>_xlfn.XLOOKUP(B600,[2]Sheet2!$E$2:$E$713,[2]Sheet2!$G$2:$G$713)</f>
        <v>#N/A</v>
      </c>
      <c r="F600" s="18">
        <v>46079</v>
      </c>
      <c r="G600" s="14">
        <v>0.77278935185185182</v>
      </c>
      <c r="H600" s="7" t="s">
        <v>11</v>
      </c>
      <c r="I600" s="2" t="str">
        <f t="shared" si="48"/>
        <v>Q1</v>
      </c>
      <c r="J600" s="2" t="str">
        <f t="shared" si="49"/>
        <v>Not Match</v>
      </c>
      <c r="K600" s="2">
        <f t="shared" si="45"/>
        <v>0.1</v>
      </c>
      <c r="L600" s="2" t="e">
        <f t="shared" si="46"/>
        <v>#N/A</v>
      </c>
      <c r="M600" s="2" t="str">
        <f t="shared" si="47"/>
        <v>Assign quadrant hit</v>
      </c>
      <c r="N600" s="7">
        <v>13.5</v>
      </c>
      <c r="O600" s="7">
        <v>-0.4</v>
      </c>
      <c r="P600" s="7">
        <v>-2.1</v>
      </c>
      <c r="Q600" s="7">
        <v>-1.06</v>
      </c>
      <c r="R600" s="7">
        <v>0</v>
      </c>
      <c r="S600" s="7">
        <v>0.1</v>
      </c>
      <c r="T600" s="7">
        <v>-0.24</v>
      </c>
      <c r="U600" s="7">
        <v>-0.05</v>
      </c>
      <c r="V600" s="7">
        <v>1.08</v>
      </c>
      <c r="W600" s="7" t="s">
        <v>6</v>
      </c>
      <c r="X600" s="7" t="s">
        <v>15</v>
      </c>
      <c r="Y600" s="2" t="s">
        <v>719</v>
      </c>
      <c r="Z600" s="2" t="s">
        <v>721</v>
      </c>
    </row>
    <row r="601" spans="1:26" x14ac:dyDescent="0.35">
      <c r="A601" s="7" t="s">
        <v>1676</v>
      </c>
      <c r="B601" s="7" t="s">
        <v>603</v>
      </c>
      <c r="C601" s="4" t="str">
        <f>_xlfn.XLOOKUP(A601,[2]Sheet2!$I$2:$I$1273,[2]Sheet2!$D$2:$D$1273,0)</f>
        <v>Q2</v>
      </c>
      <c r="D601" s="4" t="str">
        <f>_xlfn.XLOOKUP(B601,[4]Sheet2!$B$2:$B$3154,[4]Sheet2!$F$2:$F$3154,0)</f>
        <v>N/ App</v>
      </c>
      <c r="E601" s="4" t="e">
        <f>_xlfn.XLOOKUP(B601,[2]Sheet2!$E$2:$E$713,[2]Sheet2!$G$2:$G$713)</f>
        <v>#N/A</v>
      </c>
      <c r="F601" s="18">
        <v>46079</v>
      </c>
      <c r="G601" s="14">
        <v>0.77622685185185181</v>
      </c>
      <c r="H601" s="7" t="s">
        <v>11</v>
      </c>
      <c r="I601" s="2" t="str">
        <f t="shared" si="48"/>
        <v>Q1</v>
      </c>
      <c r="J601" s="2" t="str">
        <f t="shared" si="49"/>
        <v>Not Match</v>
      </c>
      <c r="K601" s="2">
        <f t="shared" si="45"/>
        <v>1.2529964086141669</v>
      </c>
      <c r="L601" s="2" t="e">
        <f t="shared" si="46"/>
        <v>#N/A</v>
      </c>
      <c r="M601" s="2" t="str">
        <f t="shared" si="47"/>
        <v>Assign quadrant hit</v>
      </c>
      <c r="N601" s="7">
        <v>24.9</v>
      </c>
      <c r="O601" s="7">
        <v>12.3</v>
      </c>
      <c r="P601" s="7">
        <v>-0.5</v>
      </c>
      <c r="Q601" s="7">
        <v>0.39</v>
      </c>
      <c r="R601" s="7">
        <v>1.1000000000000001</v>
      </c>
      <c r="S601" s="7">
        <v>0.6</v>
      </c>
      <c r="T601" s="7">
        <v>0.87</v>
      </c>
      <c r="U601" s="7">
        <v>0.83</v>
      </c>
      <c r="V601" s="7">
        <v>1.26</v>
      </c>
      <c r="W601" s="7" t="s">
        <v>6</v>
      </c>
      <c r="X601" s="7" t="s">
        <v>9</v>
      </c>
      <c r="Y601" s="2" t="s">
        <v>719</v>
      </c>
      <c r="Z601" s="2" t="s">
        <v>721</v>
      </c>
    </row>
    <row r="602" spans="1:26" x14ac:dyDescent="0.35">
      <c r="A602" s="7" t="s">
        <v>1676</v>
      </c>
      <c r="B602" s="7" t="s">
        <v>604</v>
      </c>
      <c r="C602" s="4" t="str">
        <f>_xlfn.XLOOKUP(A602,[2]Sheet2!$I$2:$I$1273,[2]Sheet2!$D$2:$D$1273,0)</f>
        <v>Q2</v>
      </c>
      <c r="D602" s="4" t="str">
        <f>_xlfn.XLOOKUP(B602,[4]Sheet2!$B$2:$B$3154,[4]Sheet2!$F$2:$F$3154,0)</f>
        <v>N/ App</v>
      </c>
      <c r="E602" s="4" t="e">
        <f>_xlfn.XLOOKUP(B602,[2]Sheet2!$E$2:$E$713,[2]Sheet2!$G$2:$G$713)</f>
        <v>#N/A</v>
      </c>
      <c r="F602" s="18">
        <v>46079</v>
      </c>
      <c r="G602" s="14">
        <v>0.77895833333333331</v>
      </c>
      <c r="H602" s="7" t="s">
        <v>11</v>
      </c>
      <c r="I602" s="2" t="str">
        <f t="shared" si="48"/>
        <v>Q1</v>
      </c>
      <c r="J602" s="2" t="str">
        <f t="shared" si="49"/>
        <v>Not Match</v>
      </c>
      <c r="K602" s="2">
        <f t="shared" si="45"/>
        <v>1.5264337522473748</v>
      </c>
      <c r="L602" s="2" t="e">
        <f t="shared" si="46"/>
        <v>#N/A</v>
      </c>
      <c r="M602" s="2" t="str">
        <f t="shared" si="47"/>
        <v>Assign quadrant hit</v>
      </c>
      <c r="N602" s="7">
        <v>24</v>
      </c>
      <c r="O602" s="7">
        <v>12</v>
      </c>
      <c r="P602" s="7">
        <v>0.1</v>
      </c>
      <c r="Q602" s="7">
        <v>-0.21</v>
      </c>
      <c r="R602" s="7">
        <v>0.8</v>
      </c>
      <c r="S602" s="7">
        <v>1.3</v>
      </c>
      <c r="T602" s="7">
        <v>0.62</v>
      </c>
      <c r="U602" s="7">
        <v>1.53</v>
      </c>
      <c r="V602" s="7">
        <v>1.66</v>
      </c>
      <c r="W602" s="7" t="s">
        <v>6</v>
      </c>
      <c r="X602" s="7" t="s">
        <v>9</v>
      </c>
      <c r="Y602" s="2" t="s">
        <v>719</v>
      </c>
      <c r="Z602" s="2" t="s">
        <v>721</v>
      </c>
    </row>
    <row r="603" spans="1:26" x14ac:dyDescent="0.35">
      <c r="A603" s="7" t="s">
        <v>1672</v>
      </c>
      <c r="B603" s="7" t="s">
        <v>605</v>
      </c>
      <c r="C603" s="4" t="str">
        <f>_xlfn.XLOOKUP(A603,[2]Sheet2!$I$2:$I$1273,[2]Sheet2!$D$2:$D$1273,0)</f>
        <v>Q2</v>
      </c>
      <c r="D603" s="4" t="str">
        <f>_xlfn.XLOOKUP(B603,[4]Sheet2!$B$2:$B$3154,[4]Sheet2!$F$2:$F$3154,0)</f>
        <v>C/APP</v>
      </c>
      <c r="E603" s="4" t="e">
        <f>_xlfn.XLOOKUP(B603,[2]Sheet2!$E$2:$E$713,[2]Sheet2!$G$2:$G$713)</f>
        <v>#N/A</v>
      </c>
      <c r="F603" s="18">
        <v>46079</v>
      </c>
      <c r="G603" s="14">
        <v>0.97456018518518517</v>
      </c>
      <c r="H603" s="7" t="s">
        <v>11</v>
      </c>
      <c r="I603" s="2" t="str">
        <f t="shared" si="48"/>
        <v>Q4</v>
      </c>
      <c r="J603" s="2" t="str">
        <f t="shared" si="49"/>
        <v>Not Match</v>
      </c>
      <c r="K603" s="2">
        <f t="shared" si="45"/>
        <v>0.3</v>
      </c>
      <c r="L603" s="2" t="e">
        <f t="shared" si="46"/>
        <v>#N/A</v>
      </c>
      <c r="M603" s="2" t="str">
        <f t="shared" si="47"/>
        <v>Assign quadrant hit</v>
      </c>
      <c r="N603" s="7">
        <v>14.4</v>
      </c>
      <c r="O603" s="7">
        <v>-1.2</v>
      </c>
      <c r="P603" s="7">
        <v>-3</v>
      </c>
      <c r="Q603" s="7">
        <v>-1.1499999999999999</v>
      </c>
      <c r="R603" s="7">
        <v>0</v>
      </c>
      <c r="S603" s="7">
        <v>-0.3</v>
      </c>
      <c r="T603" s="7">
        <v>0.41</v>
      </c>
      <c r="U603" s="7">
        <v>0.13</v>
      </c>
      <c r="V603" s="7">
        <v>1.23</v>
      </c>
      <c r="W603" s="7" t="s">
        <v>6</v>
      </c>
      <c r="X603" s="7" t="s">
        <v>9</v>
      </c>
      <c r="Y603" s="2" t="s">
        <v>719</v>
      </c>
      <c r="Z603" s="2" t="s">
        <v>721</v>
      </c>
    </row>
    <row r="604" spans="1:26" x14ac:dyDescent="0.35">
      <c r="A604" s="7" t="s">
        <v>1540</v>
      </c>
      <c r="B604" s="7" t="s">
        <v>606</v>
      </c>
      <c r="C604" s="4" t="str">
        <f>_xlfn.XLOOKUP(A604,[2]Sheet2!$I$2:$I$1273,[2]Sheet2!$D$2:$D$1273,0)</f>
        <v>Q3</v>
      </c>
      <c r="D604" s="4" t="str">
        <f>_xlfn.XLOOKUP(B604,[4]Sheet2!$B$2:$B$3154,[4]Sheet2!$F$2:$F$3154,0)</f>
        <v>N/ App</v>
      </c>
      <c r="E604" s="4" t="e">
        <f>_xlfn.XLOOKUP(B604,[2]Sheet2!$E$2:$E$713,[2]Sheet2!$G$2:$G$713)</f>
        <v>#N/A</v>
      </c>
      <c r="F604" s="18">
        <v>46079</v>
      </c>
      <c r="G604" s="14">
        <v>0.97687500000000005</v>
      </c>
      <c r="H604" s="7" t="s">
        <v>11</v>
      </c>
      <c r="I604" s="2" t="str">
        <f t="shared" si="48"/>
        <v>Q4</v>
      </c>
      <c r="J604" s="2" t="str">
        <f t="shared" si="49"/>
        <v>Not Match</v>
      </c>
      <c r="K604" s="2">
        <f t="shared" si="45"/>
        <v>0.1</v>
      </c>
      <c r="L604" s="2" t="e">
        <f t="shared" si="46"/>
        <v>#N/A</v>
      </c>
      <c r="M604" s="2" t="str">
        <f t="shared" si="47"/>
        <v>Below 0.8 not in assigned quadrant</v>
      </c>
      <c r="N604" s="7">
        <v>13.9</v>
      </c>
      <c r="O604" s="7">
        <v>-0.5</v>
      </c>
      <c r="P604" s="7">
        <v>-1.7</v>
      </c>
      <c r="Q604" s="7">
        <v>-0.05</v>
      </c>
      <c r="R604" s="7">
        <v>0</v>
      </c>
      <c r="S604" s="7">
        <v>-0.1</v>
      </c>
      <c r="T604" s="7">
        <v>0.17</v>
      </c>
      <c r="U604" s="7">
        <v>0.09</v>
      </c>
      <c r="V604" s="7">
        <v>0.2</v>
      </c>
      <c r="W604" s="7" t="s">
        <v>8</v>
      </c>
      <c r="X604" s="7" t="s">
        <v>9</v>
      </c>
      <c r="Y604" s="2" t="s">
        <v>719</v>
      </c>
      <c r="Z604" s="2" t="s">
        <v>721</v>
      </c>
    </row>
    <row r="605" spans="1:26" x14ac:dyDescent="0.35">
      <c r="A605" s="7" t="s">
        <v>1682</v>
      </c>
      <c r="B605" s="7" t="s">
        <v>607</v>
      </c>
      <c r="C605" s="4" t="str">
        <f>_xlfn.XLOOKUP(A605,[2]Sheet2!$I$2:$I$1273,[2]Sheet2!$D$2:$D$1273,0)</f>
        <v>Q3</v>
      </c>
      <c r="D605" s="4" t="str">
        <f>_xlfn.XLOOKUP(B605,[4]Sheet2!$B$2:$B$3154,[4]Sheet2!$F$2:$F$3154,0)</f>
        <v>C/APP</v>
      </c>
      <c r="E605" s="4" t="e">
        <f>_xlfn.XLOOKUP(B605,[2]Sheet2!$E$2:$E$713,[2]Sheet2!$G$2:$G$713)</f>
        <v>#N/A</v>
      </c>
      <c r="F605" s="18">
        <v>46080</v>
      </c>
      <c r="G605" s="14">
        <v>0.17844907407407407</v>
      </c>
      <c r="H605" s="7" t="s">
        <v>4</v>
      </c>
      <c r="I605" s="2" t="str">
        <f t="shared" si="48"/>
        <v>Q2</v>
      </c>
      <c r="J605" s="2" t="str">
        <f t="shared" si="49"/>
        <v>Not Match</v>
      </c>
      <c r="K605" s="2">
        <f t="shared" si="45"/>
        <v>0.31622776601683794</v>
      </c>
      <c r="L605" s="2" t="e">
        <f t="shared" si="46"/>
        <v>#N/A</v>
      </c>
      <c r="M605" s="2" t="str">
        <f t="shared" si="47"/>
        <v>Below 0.8 not in assigned quadrant</v>
      </c>
      <c r="N605" s="7">
        <v>26.6</v>
      </c>
      <c r="O605" s="7">
        <v>10.4</v>
      </c>
      <c r="P605" s="7">
        <v>5.9</v>
      </c>
      <c r="Q605" s="7">
        <v>0.46</v>
      </c>
      <c r="R605" s="7">
        <v>-0.3</v>
      </c>
      <c r="S605" s="7">
        <v>0.1</v>
      </c>
      <c r="T605" s="7">
        <v>-0.2</v>
      </c>
      <c r="U605" s="7">
        <v>0.45</v>
      </c>
      <c r="V605" s="7">
        <v>0.67</v>
      </c>
      <c r="W605" s="7" t="s">
        <v>8</v>
      </c>
      <c r="X605" s="7" t="s">
        <v>12</v>
      </c>
      <c r="Y605" s="2" t="s">
        <v>719</v>
      </c>
      <c r="Z605" s="2" t="s">
        <v>721</v>
      </c>
    </row>
    <row r="606" spans="1:26" x14ac:dyDescent="0.35">
      <c r="A606" s="7" t="s">
        <v>1515</v>
      </c>
      <c r="B606" s="7" t="s">
        <v>608</v>
      </c>
      <c r="C606" s="4" t="str">
        <f>_xlfn.XLOOKUP(A606,[2]Sheet2!$I$2:$I$1273,[2]Sheet2!$D$2:$D$1273,0)</f>
        <v>Q3</v>
      </c>
      <c r="D606" s="4" t="str">
        <f>_xlfn.XLOOKUP(B606,[4]Sheet2!$B$2:$B$3154,[4]Sheet2!$F$2:$F$3154,0)</f>
        <v>N/ App</v>
      </c>
      <c r="E606" s="4" t="e">
        <f>_xlfn.XLOOKUP(B606,[2]Sheet2!$E$2:$E$713,[2]Sheet2!$G$2:$G$713)</f>
        <v>#N/A</v>
      </c>
      <c r="F606" s="18">
        <v>46080</v>
      </c>
      <c r="G606" s="14">
        <v>0.18660879629629629</v>
      </c>
      <c r="H606" s="7" t="s">
        <v>11</v>
      </c>
      <c r="I606" s="2" t="str">
        <f t="shared" si="48"/>
        <v>Q3</v>
      </c>
      <c r="J606" s="2" t="str">
        <f t="shared" si="49"/>
        <v>Match</v>
      </c>
      <c r="K606" s="2">
        <f t="shared" si="45"/>
        <v>0.22360679774997899</v>
      </c>
      <c r="L606" s="2" t="e">
        <f t="shared" si="46"/>
        <v>#N/A</v>
      </c>
      <c r="M606" s="2" t="str">
        <f t="shared" si="47"/>
        <v>Digital Approve Hit</v>
      </c>
      <c r="N606" s="7">
        <v>13.6</v>
      </c>
      <c r="O606" s="7">
        <v>-0.4</v>
      </c>
      <c r="P606" s="7">
        <v>-2.2000000000000002</v>
      </c>
      <c r="Q606" s="7">
        <v>-0.35</v>
      </c>
      <c r="R606" s="7">
        <v>-0.1</v>
      </c>
      <c r="S606" s="7">
        <v>-0.2</v>
      </c>
      <c r="T606" s="7">
        <v>0.28000000000000003</v>
      </c>
      <c r="U606" s="7">
        <v>-0.09</v>
      </c>
      <c r="V606" s="7">
        <v>0.46</v>
      </c>
      <c r="W606" s="7" t="s">
        <v>8</v>
      </c>
      <c r="X606" s="7" t="s">
        <v>15</v>
      </c>
      <c r="Y606" s="2" t="s">
        <v>719</v>
      </c>
      <c r="Z606" s="2" t="s">
        <v>721</v>
      </c>
    </row>
    <row r="607" spans="1:26" x14ac:dyDescent="0.35">
      <c r="A607" s="7" t="s">
        <v>1625</v>
      </c>
      <c r="B607" s="7" t="s">
        <v>609</v>
      </c>
      <c r="C607" s="4" t="str">
        <f>_xlfn.XLOOKUP(A607,[2]Sheet2!$I$2:$I$1273,[2]Sheet2!$D$2:$D$1273,0)</f>
        <v>Q1</v>
      </c>
      <c r="D607" s="4" t="str">
        <f>_xlfn.XLOOKUP(B607,[4]Sheet2!$B$2:$B$3154,[4]Sheet2!$F$2:$F$3154,0)</f>
        <v>N/ App</v>
      </c>
      <c r="E607" s="4" t="e">
        <f>_xlfn.XLOOKUP(B607,[2]Sheet2!$E$2:$E$713,[2]Sheet2!$G$2:$G$713)</f>
        <v>#N/A</v>
      </c>
      <c r="F607" s="18">
        <v>46080</v>
      </c>
      <c r="G607" s="14">
        <v>0.18942129629629631</v>
      </c>
      <c r="H607" s="7" t="s">
        <v>4</v>
      </c>
      <c r="I607" s="2" t="str">
        <f t="shared" si="48"/>
        <v>Q4</v>
      </c>
      <c r="J607" s="2" t="str">
        <f t="shared" si="49"/>
        <v>Not Match</v>
      </c>
      <c r="K607" s="2">
        <f t="shared" si="45"/>
        <v>0.1</v>
      </c>
      <c r="L607" s="2" t="e">
        <f t="shared" si="46"/>
        <v>#N/A</v>
      </c>
      <c r="M607" s="2" t="str">
        <f t="shared" si="47"/>
        <v>Assign quadrant hit</v>
      </c>
      <c r="N607" s="7">
        <v>21.4</v>
      </c>
      <c r="O607" s="7">
        <v>0.1</v>
      </c>
      <c r="P607" s="7">
        <v>-2.7</v>
      </c>
      <c r="Q607" s="7">
        <v>1.01</v>
      </c>
      <c r="R607" s="7">
        <v>0.1</v>
      </c>
      <c r="S607" s="7">
        <v>0</v>
      </c>
      <c r="T607" s="7">
        <v>0.09</v>
      </c>
      <c r="U607" s="7">
        <v>0.13</v>
      </c>
      <c r="V607" s="7">
        <v>1.02</v>
      </c>
      <c r="W607" s="7" t="s">
        <v>6</v>
      </c>
      <c r="X607" s="7" t="s">
        <v>9</v>
      </c>
      <c r="Y607" s="2" t="s">
        <v>719</v>
      </c>
      <c r="Z607" s="2" t="s">
        <v>721</v>
      </c>
    </row>
    <row r="608" spans="1:26" x14ac:dyDescent="0.35">
      <c r="A608" s="7" t="s">
        <v>1603</v>
      </c>
      <c r="B608" s="7" t="s">
        <v>610</v>
      </c>
      <c r="C608" s="4" t="str">
        <f>_xlfn.XLOOKUP(A608,[2]Sheet2!$I$2:$I$1273,[2]Sheet2!$D$2:$D$1273,0)</f>
        <v>Q2</v>
      </c>
      <c r="D608" s="4" t="str">
        <f>_xlfn.XLOOKUP(B608,[4]Sheet2!$B$2:$B$3154,[4]Sheet2!$F$2:$F$3154,0)</f>
        <v>N/ App</v>
      </c>
      <c r="E608" s="4" t="e">
        <f>_xlfn.XLOOKUP(B608,[2]Sheet2!$E$2:$E$713,[2]Sheet2!$G$2:$G$713)</f>
        <v>#N/A</v>
      </c>
      <c r="F608" s="18">
        <v>46080</v>
      </c>
      <c r="G608" s="14">
        <v>0.20216435185185186</v>
      </c>
      <c r="H608" s="7" t="s">
        <v>5</v>
      </c>
      <c r="I608" s="2" t="str">
        <f t="shared" si="48"/>
        <v>Q4</v>
      </c>
      <c r="J608" s="2" t="str">
        <f t="shared" si="49"/>
        <v>Not Match</v>
      </c>
      <c r="K608" s="2">
        <f t="shared" si="45"/>
        <v>0.2</v>
      </c>
      <c r="L608" s="2" t="e">
        <f t="shared" si="46"/>
        <v>#N/A</v>
      </c>
      <c r="M608" s="2" t="str">
        <f t="shared" si="47"/>
        <v>Assign quadrant hit</v>
      </c>
      <c r="N608" s="7">
        <v>14</v>
      </c>
      <c r="O608" s="7">
        <v>-0.1</v>
      </c>
      <c r="P608" s="7">
        <v>-0.8</v>
      </c>
      <c r="Q608" s="7">
        <v>-1.08</v>
      </c>
      <c r="R608" s="7">
        <v>0</v>
      </c>
      <c r="S608" s="7">
        <v>-0.2</v>
      </c>
      <c r="T608" s="7">
        <v>0.34</v>
      </c>
      <c r="U608" s="7">
        <v>0.05</v>
      </c>
      <c r="V608" s="7">
        <v>1.1299999999999999</v>
      </c>
      <c r="W608" s="7" t="s">
        <v>6</v>
      </c>
      <c r="X608" s="7" t="s">
        <v>9</v>
      </c>
      <c r="Y608" s="2" t="s">
        <v>719</v>
      </c>
      <c r="Z608" s="2" t="s">
        <v>721</v>
      </c>
    </row>
    <row r="609" spans="1:26" x14ac:dyDescent="0.35">
      <c r="A609" s="7" t="s">
        <v>1559</v>
      </c>
      <c r="B609" s="7" t="s">
        <v>611</v>
      </c>
      <c r="C609" s="4" t="str">
        <f>_xlfn.XLOOKUP(A609,[2]Sheet2!$I$2:$I$1273,[2]Sheet2!$D$2:$D$1273,0)</f>
        <v>Q3</v>
      </c>
      <c r="D609" s="4" t="str">
        <f>_xlfn.XLOOKUP(B609,[4]Sheet2!$B$2:$B$3154,[4]Sheet2!$F$2:$F$3154,0)</f>
        <v>N/ App</v>
      </c>
      <c r="E609" s="4" t="e">
        <f>_xlfn.XLOOKUP(B609,[2]Sheet2!$E$2:$E$713,[2]Sheet2!$G$2:$G$713)</f>
        <v>#N/A</v>
      </c>
      <c r="F609" s="18">
        <v>46080</v>
      </c>
      <c r="G609" s="14">
        <v>0.27957175925925926</v>
      </c>
      <c r="H609" s="7" t="s">
        <v>11</v>
      </c>
      <c r="I609" s="2" t="str">
        <f t="shared" si="48"/>
        <v>Q4</v>
      </c>
      <c r="J609" s="2" t="str">
        <f t="shared" si="49"/>
        <v>Not Match</v>
      </c>
      <c r="K609" s="2">
        <f t="shared" si="45"/>
        <v>0.2</v>
      </c>
      <c r="L609" s="2" t="e">
        <f t="shared" si="46"/>
        <v>#N/A</v>
      </c>
      <c r="M609" s="2" t="str">
        <f t="shared" si="47"/>
        <v>Below 0.8 not in assigned quadrant</v>
      </c>
      <c r="N609" s="7">
        <v>17.3</v>
      </c>
      <c r="O609" s="7">
        <v>-0.6</v>
      </c>
      <c r="P609" s="7">
        <v>-3</v>
      </c>
      <c r="Q609" s="7">
        <v>-0.36</v>
      </c>
      <c r="R609" s="7">
        <v>0</v>
      </c>
      <c r="S609" s="7">
        <v>-0.2</v>
      </c>
      <c r="T609" s="7">
        <v>0.28000000000000003</v>
      </c>
      <c r="U609" s="7">
        <v>0.05</v>
      </c>
      <c r="V609" s="7">
        <v>0.46</v>
      </c>
      <c r="W609" s="7" t="s">
        <v>8</v>
      </c>
      <c r="X609" s="7" t="s">
        <v>9</v>
      </c>
      <c r="Y609" s="2" t="s">
        <v>719</v>
      </c>
      <c r="Z609" s="2" t="s">
        <v>721</v>
      </c>
    </row>
    <row r="610" spans="1:26" x14ac:dyDescent="0.35">
      <c r="A610" s="7" t="s">
        <v>1683</v>
      </c>
      <c r="B610" s="7" t="s">
        <v>612</v>
      </c>
      <c r="C610" s="4">
        <f>_xlfn.XLOOKUP(A610,[2]Sheet2!$I$2:$I$1273,[2]Sheet2!$D$2:$D$1273,0)</f>
        <v>0</v>
      </c>
      <c r="D610" s="4" t="str">
        <f>_xlfn.XLOOKUP(B610,[4]Sheet2!$B$2:$B$3154,[4]Sheet2!$F$2:$F$3154,0)</f>
        <v>N/ App</v>
      </c>
      <c r="E610" s="4" t="e">
        <f>_xlfn.XLOOKUP(B610,[2]Sheet2!$E$2:$E$713,[2]Sheet2!$G$2:$G$713)</f>
        <v>#N/A</v>
      </c>
      <c r="F610" s="18">
        <v>46080</v>
      </c>
      <c r="G610" s="14">
        <v>0.28234953703703702</v>
      </c>
      <c r="H610" s="7" t="s">
        <v>4</v>
      </c>
      <c r="I610" s="2" t="str">
        <f t="shared" si="48"/>
        <v>Q2</v>
      </c>
      <c r="J610" s="2" t="str">
        <f t="shared" si="49"/>
        <v>Not Found</v>
      </c>
      <c r="K610" s="2">
        <f t="shared" si="45"/>
        <v>0.22360679774997899</v>
      </c>
      <c r="L610" s="2" t="e">
        <f t="shared" si="46"/>
        <v>#N/A</v>
      </c>
      <c r="M610" s="2" t="str">
        <f t="shared" si="47"/>
        <v>Assign quadrant hit</v>
      </c>
      <c r="N610" s="7">
        <v>21.4</v>
      </c>
      <c r="O610" s="7">
        <v>6</v>
      </c>
      <c r="P610" s="7">
        <v>4.3</v>
      </c>
      <c r="Q610" s="7">
        <v>-0.87</v>
      </c>
      <c r="R610" s="7">
        <v>-0.2</v>
      </c>
      <c r="S610" s="7">
        <v>0.1</v>
      </c>
      <c r="T610" s="7">
        <v>-0.08</v>
      </c>
      <c r="U610" s="7">
        <v>0.42</v>
      </c>
      <c r="V610" s="7">
        <v>0.97</v>
      </c>
      <c r="W610" s="7" t="s">
        <v>13</v>
      </c>
      <c r="X610" s="7" t="s">
        <v>12</v>
      </c>
      <c r="Y610" s="2" t="s">
        <v>719</v>
      </c>
      <c r="Z610" s="2" t="s">
        <v>721</v>
      </c>
    </row>
    <row r="611" spans="1:26" x14ac:dyDescent="0.35">
      <c r="A611" s="7" t="s">
        <v>1540</v>
      </c>
      <c r="B611" s="7" t="s">
        <v>613</v>
      </c>
      <c r="C611" s="4" t="str">
        <f>_xlfn.XLOOKUP(A611,[2]Sheet2!$I$2:$I$1273,[2]Sheet2!$D$2:$D$1273,0)</f>
        <v>Q3</v>
      </c>
      <c r="D611" s="4" t="str">
        <f>_xlfn.XLOOKUP(B611,[4]Sheet2!$B$2:$B$3154,[4]Sheet2!$F$2:$F$3154,0)</f>
        <v>N/ App</v>
      </c>
      <c r="E611" s="4" t="e">
        <f>_xlfn.XLOOKUP(B611,[2]Sheet2!$E$2:$E$713,[2]Sheet2!$G$2:$G$713)</f>
        <v>#N/A</v>
      </c>
      <c r="F611" s="18">
        <v>46080</v>
      </c>
      <c r="G611" s="14">
        <v>0.28423611111111113</v>
      </c>
      <c r="H611" s="7" t="s">
        <v>11</v>
      </c>
      <c r="I611" s="2" t="str">
        <f t="shared" si="48"/>
        <v>Q1</v>
      </c>
      <c r="J611" s="2" t="str">
        <f t="shared" si="49"/>
        <v>Not Match</v>
      </c>
      <c r="K611" s="2">
        <f t="shared" si="45"/>
        <v>0.31622776601683794</v>
      </c>
      <c r="L611" s="2" t="e">
        <f t="shared" si="46"/>
        <v>#N/A</v>
      </c>
      <c r="M611" s="2" t="str">
        <f t="shared" si="47"/>
        <v>Below 0.8 not in assigned quadrant</v>
      </c>
      <c r="N611" s="7">
        <v>13.5</v>
      </c>
      <c r="O611" s="7">
        <v>-0.4</v>
      </c>
      <c r="P611" s="7">
        <v>-1.3</v>
      </c>
      <c r="Q611" s="7">
        <v>-0.48</v>
      </c>
      <c r="R611" s="7">
        <v>0.1</v>
      </c>
      <c r="S611" s="7">
        <v>0.3</v>
      </c>
      <c r="T611" s="7">
        <v>-0.46</v>
      </c>
      <c r="U611" s="7">
        <v>0.05</v>
      </c>
      <c r="V611" s="7">
        <v>0.67</v>
      </c>
      <c r="W611" s="7" t="s">
        <v>8</v>
      </c>
      <c r="X611" s="7" t="s">
        <v>9</v>
      </c>
      <c r="Y611" s="2" t="s">
        <v>719</v>
      </c>
      <c r="Z611" s="2" t="s">
        <v>721</v>
      </c>
    </row>
    <row r="612" spans="1:26" x14ac:dyDescent="0.35">
      <c r="A612" s="7" t="s">
        <v>1668</v>
      </c>
      <c r="B612" s="7" t="s">
        <v>614</v>
      </c>
      <c r="C612" s="4" t="str">
        <f>_xlfn.XLOOKUP(A612,[2]Sheet2!$I$2:$I$1273,[2]Sheet2!$D$2:$D$1273,0)</f>
        <v>Q4</v>
      </c>
      <c r="D612" s="4" t="str">
        <f>_xlfn.XLOOKUP(B612,[4]Sheet2!$B$2:$B$3154,[4]Sheet2!$F$2:$F$3154,0)</f>
        <v>N/ App</v>
      </c>
      <c r="E612" s="4" t="e">
        <f>_xlfn.XLOOKUP(B612,[2]Sheet2!$E$2:$E$713,[2]Sheet2!$G$2:$G$713)</f>
        <v>#N/A</v>
      </c>
      <c r="F612" s="18">
        <v>46080</v>
      </c>
      <c r="G612" s="14">
        <v>0.28582175925925923</v>
      </c>
      <c r="H612" s="7" t="s">
        <v>11</v>
      </c>
      <c r="I612" s="2" t="str">
        <f t="shared" si="48"/>
        <v>Q4</v>
      </c>
      <c r="J612" s="2" t="str">
        <f t="shared" si="49"/>
        <v>Match</v>
      </c>
      <c r="K612" s="2">
        <f t="shared" si="45"/>
        <v>0.4</v>
      </c>
      <c r="L612" s="2" t="e">
        <f t="shared" si="46"/>
        <v>#N/A</v>
      </c>
      <c r="M612" s="2" t="str">
        <f t="shared" si="47"/>
        <v>Digital Approve Hit</v>
      </c>
      <c r="N612" s="7">
        <v>44.6</v>
      </c>
      <c r="O612" s="7">
        <v>37.9</v>
      </c>
      <c r="P612" s="7">
        <v>-17.3</v>
      </c>
      <c r="Q612" s="7">
        <v>0.1</v>
      </c>
      <c r="R612" s="7">
        <v>0</v>
      </c>
      <c r="S612" s="7">
        <v>-0.4</v>
      </c>
      <c r="T612" s="7">
        <v>0.09</v>
      </c>
      <c r="U612" s="7">
        <v>-0.2</v>
      </c>
      <c r="V612" s="7">
        <v>0.24</v>
      </c>
      <c r="W612" s="7" t="s">
        <v>8</v>
      </c>
      <c r="X612" s="7" t="s">
        <v>7</v>
      </c>
      <c r="Y612" s="2" t="s">
        <v>719</v>
      </c>
      <c r="Z612" s="2" t="s">
        <v>721</v>
      </c>
    </row>
    <row r="613" spans="1:26" x14ac:dyDescent="0.35">
      <c r="A613" s="7" t="s">
        <v>1676</v>
      </c>
      <c r="B613" s="7" t="s">
        <v>615</v>
      </c>
      <c r="C613" s="4" t="str">
        <f>_xlfn.XLOOKUP(A613,[2]Sheet2!$I$2:$I$1273,[2]Sheet2!$D$2:$D$1273,0)</f>
        <v>Q2</v>
      </c>
      <c r="D613" s="4" t="str">
        <f>_xlfn.XLOOKUP(B613,[4]Sheet2!$B$2:$B$3154,[4]Sheet2!$F$2:$F$3154,0)</f>
        <v>N/ App</v>
      </c>
      <c r="E613" s="4" t="e">
        <f>_xlfn.XLOOKUP(B613,[2]Sheet2!$E$2:$E$713,[2]Sheet2!$G$2:$G$713)</f>
        <v>#N/A</v>
      </c>
      <c r="F613" s="18">
        <v>46080</v>
      </c>
      <c r="G613" s="14">
        <v>0.28775462962962961</v>
      </c>
      <c r="H613" s="7" t="s">
        <v>11</v>
      </c>
      <c r="I613" s="2" t="str">
        <f t="shared" si="48"/>
        <v>Q4</v>
      </c>
      <c r="J613" s="2" t="str">
        <f t="shared" si="49"/>
        <v>Not Match</v>
      </c>
      <c r="K613" s="2">
        <f t="shared" si="45"/>
        <v>0.1</v>
      </c>
      <c r="L613" s="2" t="e">
        <f t="shared" si="46"/>
        <v>#N/A</v>
      </c>
      <c r="M613" s="2" t="str">
        <f t="shared" si="47"/>
        <v>Below 0.8 not in assigned quadrant</v>
      </c>
      <c r="N613" s="7">
        <v>24.3</v>
      </c>
      <c r="O613" s="7">
        <v>11.3</v>
      </c>
      <c r="P613" s="7">
        <v>-1.3</v>
      </c>
      <c r="Q613" s="7">
        <v>-0.01</v>
      </c>
      <c r="R613" s="7">
        <v>0.1</v>
      </c>
      <c r="S613" s="7">
        <v>0</v>
      </c>
      <c r="T613" s="7">
        <v>0.13</v>
      </c>
      <c r="U613" s="7">
        <v>-0.05</v>
      </c>
      <c r="V613" s="7">
        <v>0.14000000000000001</v>
      </c>
      <c r="W613" s="7" t="s">
        <v>8</v>
      </c>
      <c r="X613" s="7" t="s">
        <v>7</v>
      </c>
      <c r="Y613" s="2" t="s">
        <v>719</v>
      </c>
      <c r="Z613" s="2" t="s">
        <v>721</v>
      </c>
    </row>
    <row r="614" spans="1:26" x14ac:dyDescent="0.35">
      <c r="A614" s="7" t="s">
        <v>1684</v>
      </c>
      <c r="B614" s="7" t="s">
        <v>617</v>
      </c>
      <c r="C614" s="4">
        <f>_xlfn.XLOOKUP(A614,[2]Sheet2!$I$2:$I$1273,[2]Sheet2!$D$2:$D$1273,0)</f>
        <v>0</v>
      </c>
      <c r="D614" s="4" t="str">
        <f>_xlfn.XLOOKUP(B614,[4]Sheet2!$B$2:$B$3154,[4]Sheet2!$F$2:$F$3154,0)</f>
        <v>N/ App</v>
      </c>
      <c r="E614" s="4" t="e">
        <f>_xlfn.XLOOKUP(B614,[2]Sheet2!$E$2:$E$713,[2]Sheet2!$G$2:$G$713)</f>
        <v>#N/A</v>
      </c>
      <c r="F614" s="18">
        <v>46080</v>
      </c>
      <c r="G614" s="14">
        <v>0.56005787037037036</v>
      </c>
      <c r="H614" s="7" t="s">
        <v>4</v>
      </c>
      <c r="I614" s="2" t="str">
        <f t="shared" si="48"/>
        <v>Q2</v>
      </c>
      <c r="J614" s="2" t="str">
        <f t="shared" si="49"/>
        <v>Not Found</v>
      </c>
      <c r="K614" s="2">
        <f t="shared" si="45"/>
        <v>0.5</v>
      </c>
      <c r="L614" s="2" t="e">
        <f t="shared" si="46"/>
        <v>#N/A</v>
      </c>
      <c r="M614" s="2" t="str">
        <f t="shared" si="47"/>
        <v>Assign quadrant hit</v>
      </c>
      <c r="N614" s="7">
        <v>16.3</v>
      </c>
      <c r="O614" s="7">
        <v>-1.3</v>
      </c>
      <c r="P614" s="7">
        <v>0.1</v>
      </c>
      <c r="Q614" s="7">
        <v>-0.23</v>
      </c>
      <c r="R614" s="7">
        <v>-0.3</v>
      </c>
      <c r="S614" s="7">
        <v>0.4</v>
      </c>
      <c r="T614" s="7">
        <v>0.4</v>
      </c>
      <c r="U614" s="7">
        <v>-0.74</v>
      </c>
      <c r="V614" s="7">
        <v>0.87</v>
      </c>
      <c r="W614" s="7" t="s">
        <v>13</v>
      </c>
      <c r="X614" s="7" t="s">
        <v>12</v>
      </c>
      <c r="Y614" s="2" t="s">
        <v>719</v>
      </c>
      <c r="Z614" s="2" t="s">
        <v>721</v>
      </c>
    </row>
    <row r="615" spans="1:26" x14ac:dyDescent="0.35">
      <c r="A615" s="7" t="s">
        <v>1611</v>
      </c>
      <c r="B615" s="7" t="s">
        <v>618</v>
      </c>
      <c r="C615" s="4" t="str">
        <f>_xlfn.XLOOKUP(A615,[2]Sheet2!$I$2:$I$1273,[2]Sheet2!$D$2:$D$1273,0)</f>
        <v>Q2</v>
      </c>
      <c r="D615" s="4" t="str">
        <f>_xlfn.XLOOKUP(B615,[4]Sheet2!$B$2:$B$3154,[4]Sheet2!$F$2:$F$3154,0)</f>
        <v>C/APP</v>
      </c>
      <c r="E615" s="4" t="e">
        <f>_xlfn.XLOOKUP(B615,[2]Sheet2!$E$2:$E$713,[2]Sheet2!$G$2:$G$713)</f>
        <v>#N/A</v>
      </c>
      <c r="F615" s="18">
        <v>46080</v>
      </c>
      <c r="G615" s="14">
        <v>0.57275462962962964</v>
      </c>
      <c r="H615" s="7" t="s">
        <v>5</v>
      </c>
      <c r="I615" s="2" t="str">
        <f t="shared" si="48"/>
        <v>Q4</v>
      </c>
      <c r="J615" s="2" t="str">
        <f t="shared" si="49"/>
        <v>Not Match</v>
      </c>
      <c r="K615" s="2">
        <f t="shared" si="45"/>
        <v>0.4</v>
      </c>
      <c r="L615" s="2" t="e">
        <f t="shared" si="46"/>
        <v>#N/A</v>
      </c>
      <c r="M615" s="2" t="str">
        <f t="shared" si="47"/>
        <v>Below 0.8 not in assigned quadrant</v>
      </c>
      <c r="N615" s="7">
        <v>15.4</v>
      </c>
      <c r="O615" s="7">
        <v>-0.4</v>
      </c>
      <c r="P615" s="7">
        <v>-1.7</v>
      </c>
      <c r="Q615" s="7">
        <v>-0.32</v>
      </c>
      <c r="R615" s="7">
        <v>0</v>
      </c>
      <c r="S615" s="7">
        <v>-0.4</v>
      </c>
      <c r="T615" s="7">
        <v>0.55000000000000004</v>
      </c>
      <c r="U615" s="7">
        <v>0.05</v>
      </c>
      <c r="V615" s="7">
        <v>0.64</v>
      </c>
      <c r="W615" s="7" t="s">
        <v>8</v>
      </c>
      <c r="X615" s="7" t="s">
        <v>9</v>
      </c>
      <c r="Y615" s="2" t="s">
        <v>719</v>
      </c>
      <c r="Z615" s="2" t="s">
        <v>721</v>
      </c>
    </row>
    <row r="616" spans="1:26" x14ac:dyDescent="0.35">
      <c r="A616" s="7" t="s">
        <v>1681</v>
      </c>
      <c r="B616" s="7" t="s">
        <v>619</v>
      </c>
      <c r="C616" s="4" t="str">
        <f>_xlfn.XLOOKUP(A616,[2]Sheet2!$I$2:$I$1273,[2]Sheet2!$D$2:$D$1273,0)</f>
        <v>Q4</v>
      </c>
      <c r="D616" s="4" t="str">
        <f>_xlfn.XLOOKUP(B616,[4]Sheet2!$B$2:$B$3154,[4]Sheet2!$F$2:$F$3154,0)</f>
        <v>C/APP</v>
      </c>
      <c r="E616" s="4" t="e">
        <f>_xlfn.XLOOKUP(B616,[2]Sheet2!$E$2:$E$713,[2]Sheet2!$G$2:$G$713)</f>
        <v>#N/A</v>
      </c>
      <c r="F616" s="18">
        <v>46080</v>
      </c>
      <c r="G616" s="14">
        <v>0.59429398148148149</v>
      </c>
      <c r="H616" s="7" t="s">
        <v>4</v>
      </c>
      <c r="I616" s="2" t="str">
        <f t="shared" si="48"/>
        <v>Q3</v>
      </c>
      <c r="J616" s="2" t="str">
        <f t="shared" si="49"/>
        <v>Not Match</v>
      </c>
      <c r="K616" s="2">
        <f t="shared" si="45"/>
        <v>0.67082039324993692</v>
      </c>
      <c r="L616" s="2" t="e">
        <f t="shared" si="46"/>
        <v>#N/A</v>
      </c>
      <c r="M616" s="2" t="str">
        <f t="shared" si="47"/>
        <v>Assign quadrant hit</v>
      </c>
      <c r="N616" s="7">
        <v>21.3</v>
      </c>
      <c r="O616" s="7">
        <v>-1.1000000000000001</v>
      </c>
      <c r="P616" s="7">
        <v>-7.7</v>
      </c>
      <c r="Q616" s="7">
        <v>0.9</v>
      </c>
      <c r="R616" s="7">
        <v>-0.3</v>
      </c>
      <c r="S616" s="7">
        <v>-0.6</v>
      </c>
      <c r="T616" s="7">
        <v>0.6</v>
      </c>
      <c r="U616" s="7">
        <v>-0.39</v>
      </c>
      <c r="V616" s="7">
        <v>1.1599999999999999</v>
      </c>
      <c r="W616" s="7" t="s">
        <v>6</v>
      </c>
      <c r="X616" s="7" t="s">
        <v>15</v>
      </c>
      <c r="Y616" s="2" t="s">
        <v>719</v>
      </c>
      <c r="Z616" s="2" t="s">
        <v>721</v>
      </c>
    </row>
    <row r="617" spans="1:26" x14ac:dyDescent="0.35">
      <c r="A617" s="7" t="s">
        <v>1685</v>
      </c>
      <c r="B617" s="7" t="s">
        <v>620</v>
      </c>
      <c r="C617" s="4" t="str">
        <f>_xlfn.XLOOKUP(A617,[2]Sheet2!$I$2:$I$1273,[2]Sheet2!$D$2:$D$1273,0)</f>
        <v>Q1</v>
      </c>
      <c r="D617" s="4" t="str">
        <f>_xlfn.XLOOKUP(B617,[4]Sheet2!$B$2:$B$3154,[4]Sheet2!$F$2:$F$3154,0)</f>
        <v>C/APP</v>
      </c>
      <c r="E617" s="4" t="e">
        <f>_xlfn.XLOOKUP(B617,[2]Sheet2!$E$2:$E$713,[2]Sheet2!$G$2:$G$713)</f>
        <v>#N/A</v>
      </c>
      <c r="F617" s="18">
        <v>46080</v>
      </c>
      <c r="G617" s="14">
        <v>0.70687500000000003</v>
      </c>
      <c r="H617" s="7" t="s">
        <v>11</v>
      </c>
      <c r="I617" s="2" t="str">
        <f t="shared" si="48"/>
        <v>Q1</v>
      </c>
      <c r="J617" s="2" t="str">
        <f t="shared" si="49"/>
        <v>Match</v>
      </c>
      <c r="K617" s="2">
        <f t="shared" si="45"/>
        <v>0.14142135623730953</v>
      </c>
      <c r="L617" s="2" t="e">
        <f t="shared" si="46"/>
        <v>#N/A</v>
      </c>
      <c r="M617" s="2" t="str">
        <f t="shared" si="47"/>
        <v>Failed but within quadrant</v>
      </c>
      <c r="N617" s="7">
        <v>14.2</v>
      </c>
      <c r="O617" s="7">
        <v>-0.7</v>
      </c>
      <c r="P617" s="7">
        <v>-4.5999999999999996</v>
      </c>
      <c r="Q617" s="7">
        <v>-1.2</v>
      </c>
      <c r="R617" s="7">
        <v>0.1</v>
      </c>
      <c r="S617" s="7">
        <v>0.1</v>
      </c>
      <c r="T617" s="7">
        <v>-0.23</v>
      </c>
      <c r="U617" s="7">
        <v>0.09</v>
      </c>
      <c r="V617" s="7">
        <v>1.23</v>
      </c>
      <c r="W617" s="7" t="s">
        <v>6</v>
      </c>
      <c r="X617" s="7" t="s">
        <v>9</v>
      </c>
      <c r="Y617" s="2" t="s">
        <v>719</v>
      </c>
      <c r="Z617" s="2" t="s">
        <v>721</v>
      </c>
    </row>
    <row r="618" spans="1:26" x14ac:dyDescent="0.35">
      <c r="A618" s="7" t="s">
        <v>1658</v>
      </c>
      <c r="B618" s="7" t="s">
        <v>616</v>
      </c>
      <c r="C618" s="4" t="str">
        <f>_xlfn.XLOOKUP(A618,[2]Sheet2!$I$2:$I$1273,[2]Sheet2!$D$2:$D$1273,0)</f>
        <v>Q4</v>
      </c>
      <c r="D618" s="4">
        <f>_xlfn.XLOOKUP(B618,[4]Sheet2!$B$2:$B$3154,[4]Sheet2!$F$2:$F$3154,0)</f>
        <v>0</v>
      </c>
      <c r="E618" s="4" t="e">
        <f>_xlfn.XLOOKUP(B618,[2]Sheet2!$E$2:$E$713,[2]Sheet2!$G$2:$G$713)</f>
        <v>#N/A</v>
      </c>
      <c r="F618" s="18">
        <v>46080</v>
      </c>
      <c r="G618" s="14">
        <v>0.74472222222222217</v>
      </c>
      <c r="H618" s="7" t="s">
        <v>4</v>
      </c>
      <c r="I618" s="2" t="str">
        <f t="shared" si="48"/>
        <v>Q2</v>
      </c>
      <c r="J618" s="2" t="str">
        <f t="shared" si="49"/>
        <v>Not Match</v>
      </c>
      <c r="K618" s="2">
        <f t="shared" si="45"/>
        <v>0.31622776601683794</v>
      </c>
      <c r="L618" s="2" t="e">
        <f t="shared" si="46"/>
        <v>#N/A</v>
      </c>
      <c r="M618" s="2" t="str">
        <f t="shared" si="47"/>
        <v>Assign quadrant hit</v>
      </c>
      <c r="N618" s="7">
        <v>40.9</v>
      </c>
      <c r="O618" s="7">
        <v>6.9</v>
      </c>
      <c r="P618" s="7">
        <v>9</v>
      </c>
      <c r="Q618" s="7">
        <v>-0.8</v>
      </c>
      <c r="R618" s="7">
        <v>-0.1</v>
      </c>
      <c r="S618" s="7">
        <v>0.3</v>
      </c>
      <c r="T618" s="7">
        <v>0.16</v>
      </c>
      <c r="U618" s="7">
        <v>0.59</v>
      </c>
      <c r="V618" s="7">
        <v>1.01</v>
      </c>
      <c r="W618" s="7" t="s">
        <v>6</v>
      </c>
      <c r="X618" s="7" t="s">
        <v>12</v>
      </c>
      <c r="Y618" s="2" t="s">
        <v>719</v>
      </c>
      <c r="Z618" s="2" t="s">
        <v>721</v>
      </c>
    </row>
    <row r="619" spans="1:26" x14ac:dyDescent="0.35">
      <c r="A619" s="7" t="s">
        <v>1559</v>
      </c>
      <c r="B619" s="7" t="s">
        <v>621</v>
      </c>
      <c r="C619" s="4" t="str">
        <f>_xlfn.XLOOKUP(A619,[2]Sheet2!$I$2:$I$1273,[2]Sheet2!$D$2:$D$1273,0)</f>
        <v>Q3</v>
      </c>
      <c r="D619" s="4" t="str">
        <f>_xlfn.XLOOKUP(B619,[4]Sheet2!$B$2:$B$3154,[4]Sheet2!$F$2:$F$3154,0)</f>
        <v>N/ App</v>
      </c>
      <c r="E619" s="4" t="e">
        <f>_xlfn.XLOOKUP(B619,[2]Sheet2!$E$2:$E$713,[2]Sheet2!$G$2:$G$713)</f>
        <v>#N/A</v>
      </c>
      <c r="F619" s="18">
        <v>46080</v>
      </c>
      <c r="G619" s="14">
        <v>0.75767361111111109</v>
      </c>
      <c r="H619" s="7" t="s">
        <v>11</v>
      </c>
      <c r="I619" s="2" t="str">
        <f t="shared" si="48"/>
        <v>Q4</v>
      </c>
      <c r="J619" s="2" t="str">
        <f t="shared" si="49"/>
        <v>Not Match</v>
      </c>
      <c r="K619" s="2">
        <f t="shared" si="45"/>
        <v>0.2</v>
      </c>
      <c r="L619" s="2" t="e">
        <f t="shared" si="46"/>
        <v>#N/A</v>
      </c>
      <c r="M619" s="2" t="str">
        <f t="shared" si="47"/>
        <v>Assign quadrant hit</v>
      </c>
      <c r="N619" s="7">
        <v>16.600000000000001</v>
      </c>
      <c r="O619" s="7">
        <v>-0.6</v>
      </c>
      <c r="P619" s="7">
        <v>-3.1</v>
      </c>
      <c r="Q619" s="7">
        <v>-1</v>
      </c>
      <c r="R619" s="7">
        <v>0</v>
      </c>
      <c r="S619" s="7">
        <v>-0.2</v>
      </c>
      <c r="T619" s="7">
        <v>0.35</v>
      </c>
      <c r="U619" s="7">
        <v>0.03</v>
      </c>
      <c r="V619" s="7">
        <v>1.06</v>
      </c>
      <c r="W619" s="7" t="s">
        <v>6</v>
      </c>
      <c r="X619" s="7" t="s">
        <v>9</v>
      </c>
      <c r="Y619" s="2" t="s">
        <v>719</v>
      </c>
      <c r="Z619" s="2" t="s">
        <v>721</v>
      </c>
    </row>
    <row r="620" spans="1:26" x14ac:dyDescent="0.35">
      <c r="A620" s="7" t="s">
        <v>1676</v>
      </c>
      <c r="B620" s="7" t="s">
        <v>622</v>
      </c>
      <c r="C620" s="4" t="str">
        <f>_xlfn.XLOOKUP(A620,[2]Sheet2!$I$2:$I$1273,[2]Sheet2!$D$2:$D$1273,0)</f>
        <v>Q2</v>
      </c>
      <c r="D620" s="4" t="str">
        <f>_xlfn.XLOOKUP(B620,[4]Sheet2!$B$2:$B$3154,[4]Sheet2!$F$2:$F$3154,0)</f>
        <v>C/APP</v>
      </c>
      <c r="E620" s="4" t="e">
        <f>_xlfn.XLOOKUP(B620,[2]Sheet2!$E$2:$E$713,[2]Sheet2!$G$2:$G$713)</f>
        <v>#N/A</v>
      </c>
      <c r="F620" s="18">
        <v>46080</v>
      </c>
      <c r="G620" s="14">
        <v>0.7716319444444445</v>
      </c>
      <c r="H620" s="7" t="s">
        <v>11</v>
      </c>
      <c r="I620" s="2" t="str">
        <f t="shared" si="48"/>
        <v>Q1</v>
      </c>
      <c r="J620" s="2" t="str">
        <f t="shared" si="49"/>
        <v>Not Match</v>
      </c>
      <c r="K620" s="2">
        <f t="shared" si="45"/>
        <v>0.86023252670426265</v>
      </c>
      <c r="L620" s="2" t="e">
        <f t="shared" si="46"/>
        <v>#N/A</v>
      </c>
      <c r="M620" s="2" t="str">
        <f t="shared" si="47"/>
        <v>Assign quadrant hit</v>
      </c>
      <c r="N620" s="7">
        <v>24.5</v>
      </c>
      <c r="O620" s="7">
        <v>11.7</v>
      </c>
      <c r="P620" s="7">
        <v>-0.5</v>
      </c>
      <c r="Q620" s="7">
        <v>0.15</v>
      </c>
      <c r="R620" s="7">
        <v>0.5</v>
      </c>
      <c r="S620" s="7">
        <v>0.7</v>
      </c>
      <c r="T620" s="7">
        <v>0.39</v>
      </c>
      <c r="U620" s="7">
        <v>0.86</v>
      </c>
      <c r="V620" s="7">
        <v>0.96</v>
      </c>
      <c r="W620" s="7" t="s">
        <v>13</v>
      </c>
      <c r="X620" s="7" t="s">
        <v>9</v>
      </c>
      <c r="Y620" s="2" t="s">
        <v>719</v>
      </c>
      <c r="Z620" s="2" t="s">
        <v>721</v>
      </c>
    </row>
    <row r="621" spans="1:26" x14ac:dyDescent="0.35">
      <c r="A621" s="7" t="s">
        <v>1686</v>
      </c>
      <c r="B621" s="7" t="s">
        <v>623</v>
      </c>
      <c r="C621" s="4" t="str">
        <f>_xlfn.XLOOKUP(A621,[2]Sheet2!$I$2:$I$1273,[2]Sheet2!$D$2:$D$1273,0)</f>
        <v>Q4</v>
      </c>
      <c r="D621" s="4">
        <f>_xlfn.XLOOKUP(B621,[4]Sheet2!$B$2:$B$3154,[4]Sheet2!$F$2:$F$3154,0)</f>
        <v>0</v>
      </c>
      <c r="E621" s="4" t="e">
        <f>_xlfn.XLOOKUP(B621,[2]Sheet2!$E$2:$E$713,[2]Sheet2!$G$2:$G$713)</f>
        <v>#N/A</v>
      </c>
      <c r="F621" s="18">
        <v>46080</v>
      </c>
      <c r="G621" s="14">
        <v>0.78422453703703698</v>
      </c>
      <c r="H621" s="7" t="s">
        <v>17</v>
      </c>
      <c r="I621" s="2" t="str">
        <f t="shared" si="48"/>
        <v>Q1</v>
      </c>
      <c r="J621" s="2" t="str">
        <f t="shared" si="49"/>
        <v>Not Match</v>
      </c>
      <c r="K621" s="2">
        <f t="shared" si="45"/>
        <v>0.76157731058639078</v>
      </c>
      <c r="L621" s="2" t="e">
        <f t="shared" si="46"/>
        <v>#N/A</v>
      </c>
      <c r="M621" s="2" t="str">
        <f t="shared" si="47"/>
        <v>Below 0.8 not in assigned quadrant</v>
      </c>
      <c r="N621" s="7">
        <v>24.9</v>
      </c>
      <c r="O621" s="7">
        <v>26.2</v>
      </c>
      <c r="P621" s="7">
        <v>10.4</v>
      </c>
      <c r="Q621" s="7">
        <v>0.22</v>
      </c>
      <c r="R621" s="7">
        <v>0.7</v>
      </c>
      <c r="S621" s="7">
        <v>0.3</v>
      </c>
      <c r="T621" s="7">
        <v>0.43</v>
      </c>
      <c r="U621" s="7">
        <v>0.08</v>
      </c>
      <c r="V621" s="7">
        <v>0.49</v>
      </c>
      <c r="W621" s="7" t="s">
        <v>8</v>
      </c>
      <c r="X621" s="7" t="s">
        <v>12</v>
      </c>
      <c r="Y621" s="2" t="s">
        <v>719</v>
      </c>
      <c r="Z621" s="2" t="s">
        <v>721</v>
      </c>
    </row>
    <row r="622" spans="1:26" x14ac:dyDescent="0.35">
      <c r="A622" s="7" t="s">
        <v>1552</v>
      </c>
      <c r="B622" s="7" t="s">
        <v>624</v>
      </c>
      <c r="C622" s="4" t="str">
        <f>_xlfn.XLOOKUP(A622,[2]Sheet2!$I$2:$I$1273,[2]Sheet2!$D$2:$D$1273,0)</f>
        <v>Q1</v>
      </c>
      <c r="D622" s="4" t="str">
        <f>_xlfn.XLOOKUP(B622,[4]Sheet2!$B$2:$B$3154,[4]Sheet2!$F$2:$F$3154,0)</f>
        <v>N/ App</v>
      </c>
      <c r="E622" s="4">
        <f>_xlfn.XLOOKUP(B622,[2]Sheet2!$E$2:$E$713,[2]Sheet2!$G$2:$G$713)</f>
        <v>0.8</v>
      </c>
      <c r="F622" s="18">
        <v>46080</v>
      </c>
      <c r="G622" s="14">
        <v>0.78721064814814812</v>
      </c>
      <c r="H622" s="7" t="s">
        <v>11</v>
      </c>
      <c r="I622" s="2" t="str">
        <f t="shared" si="48"/>
        <v>Q3</v>
      </c>
      <c r="J622" s="2" t="str">
        <f t="shared" si="49"/>
        <v>Not Match</v>
      </c>
      <c r="K622" s="2">
        <f t="shared" si="45"/>
        <v>0.28284271247461906</v>
      </c>
      <c r="L622" s="2" t="str">
        <f t="shared" si="46"/>
        <v>Within Range</v>
      </c>
      <c r="M622" s="2" t="str">
        <f t="shared" si="47"/>
        <v>Below 0.8 not in assigned quadrant</v>
      </c>
      <c r="N622" s="7">
        <v>14.4</v>
      </c>
      <c r="O622" s="7">
        <v>-1.3</v>
      </c>
      <c r="P622" s="7">
        <v>-2.5</v>
      </c>
      <c r="Q622" s="7">
        <v>0.18</v>
      </c>
      <c r="R622" s="7">
        <v>-0.2</v>
      </c>
      <c r="S622" s="7">
        <v>-0.2</v>
      </c>
      <c r="T622" s="7">
        <v>0.43</v>
      </c>
      <c r="U622" s="7">
        <v>-0.19</v>
      </c>
      <c r="V622" s="7">
        <v>0.5</v>
      </c>
      <c r="W622" s="7" t="s">
        <v>8</v>
      </c>
      <c r="X622" s="7" t="s">
        <v>15</v>
      </c>
      <c r="Y622" s="2" t="s">
        <v>719</v>
      </c>
      <c r="Z622" s="2" t="s">
        <v>721</v>
      </c>
    </row>
    <row r="623" spans="1:26" x14ac:dyDescent="0.35">
      <c r="A623" s="7" t="s">
        <v>1552</v>
      </c>
      <c r="B623" s="7" t="s">
        <v>625</v>
      </c>
      <c r="C623" s="4" t="str">
        <f>_xlfn.XLOOKUP(A623,[2]Sheet2!$I$2:$I$1273,[2]Sheet2!$D$2:$D$1273,0)</f>
        <v>Q1</v>
      </c>
      <c r="D623" s="4" t="str">
        <f>_xlfn.XLOOKUP(B623,[4]Sheet2!$B$2:$B$3154,[4]Sheet2!$F$2:$F$3154,0)</f>
        <v>N/ App</v>
      </c>
      <c r="E623" s="4" t="e">
        <f>_xlfn.XLOOKUP(B623,[2]Sheet2!$E$2:$E$713,[2]Sheet2!$G$2:$G$713)</f>
        <v>#N/A</v>
      </c>
      <c r="F623" s="18">
        <v>46080</v>
      </c>
      <c r="G623" s="14">
        <v>0.94341435185185185</v>
      </c>
      <c r="H623" s="7" t="s">
        <v>5</v>
      </c>
      <c r="I623" s="2" t="str">
        <f t="shared" si="48"/>
        <v>Q4</v>
      </c>
      <c r="J623" s="2" t="str">
        <f t="shared" si="49"/>
        <v>Not Match</v>
      </c>
      <c r="K623" s="2">
        <f t="shared" si="45"/>
        <v>0.2</v>
      </c>
      <c r="L623" s="2" t="e">
        <f t="shared" si="46"/>
        <v>#N/A</v>
      </c>
      <c r="M623" s="2" t="str">
        <f t="shared" si="47"/>
        <v>Below 0.8 not in assigned quadrant</v>
      </c>
      <c r="N623" s="7">
        <v>14.1</v>
      </c>
      <c r="O623" s="7">
        <v>-1</v>
      </c>
      <c r="P623" s="7">
        <v>-2.1</v>
      </c>
      <c r="Q623" s="7">
        <v>-0.25</v>
      </c>
      <c r="R623" s="7">
        <v>0</v>
      </c>
      <c r="S623" s="7">
        <v>-0.2</v>
      </c>
      <c r="T623" s="7">
        <v>0.38</v>
      </c>
      <c r="U623" s="7">
        <v>0.05</v>
      </c>
      <c r="V623" s="7">
        <v>0.46</v>
      </c>
      <c r="W623" s="7" t="s">
        <v>8</v>
      </c>
      <c r="X623" s="7" t="s">
        <v>9</v>
      </c>
      <c r="Y623" s="2" t="s">
        <v>719</v>
      </c>
      <c r="Z623" s="2" t="s">
        <v>721</v>
      </c>
    </row>
    <row r="624" spans="1:26" x14ac:dyDescent="0.35">
      <c r="A624" s="7" t="s">
        <v>1552</v>
      </c>
      <c r="B624" s="7" t="s">
        <v>626</v>
      </c>
      <c r="C624" s="4" t="str">
        <f>_xlfn.XLOOKUP(A624,[2]Sheet2!$I$2:$I$1273,[2]Sheet2!$D$2:$D$1273,0)</f>
        <v>Q1</v>
      </c>
      <c r="D624" s="4" t="str">
        <f>_xlfn.XLOOKUP(B624,[4]Sheet2!$B$2:$B$3154,[4]Sheet2!$F$2:$F$3154,0)</f>
        <v>N/ App</v>
      </c>
      <c r="E624" s="4" t="e">
        <f>_xlfn.XLOOKUP(B624,[2]Sheet2!$E$2:$E$713,[2]Sheet2!$G$2:$G$713)</f>
        <v>#N/A</v>
      </c>
      <c r="F624" s="18">
        <v>46080</v>
      </c>
      <c r="G624" s="14">
        <v>0.94581018518518523</v>
      </c>
      <c r="H624" s="7" t="s">
        <v>5</v>
      </c>
      <c r="I624" s="2" t="str">
        <f t="shared" si="48"/>
        <v>Q4</v>
      </c>
      <c r="J624" s="2" t="str">
        <f t="shared" si="49"/>
        <v>Not Match</v>
      </c>
      <c r="K624" s="2">
        <f t="shared" si="45"/>
        <v>0.1</v>
      </c>
      <c r="L624" s="2" t="e">
        <f t="shared" si="46"/>
        <v>#N/A</v>
      </c>
      <c r="M624" s="2" t="str">
        <f t="shared" si="47"/>
        <v>Below 0.8 not in assigned quadrant</v>
      </c>
      <c r="N624" s="7">
        <v>14.4</v>
      </c>
      <c r="O624" s="7">
        <v>-0.9</v>
      </c>
      <c r="P624" s="7">
        <v>-2</v>
      </c>
      <c r="Q624" s="7">
        <v>0.02</v>
      </c>
      <c r="R624" s="7">
        <v>0</v>
      </c>
      <c r="S624" s="7">
        <v>-0.1</v>
      </c>
      <c r="T624" s="7">
        <v>0.23</v>
      </c>
      <c r="U624" s="7">
        <v>0.09</v>
      </c>
      <c r="V624" s="7">
        <v>0.25</v>
      </c>
      <c r="W624" s="7" t="s">
        <v>8</v>
      </c>
      <c r="X624" s="7" t="s">
        <v>9</v>
      </c>
      <c r="Y624" s="2" t="s">
        <v>719</v>
      </c>
      <c r="Z624" s="2" t="s">
        <v>721</v>
      </c>
    </row>
    <row r="625" spans="1:26" x14ac:dyDescent="0.35">
      <c r="A625" s="7" t="s">
        <v>1536</v>
      </c>
      <c r="B625" s="7" t="s">
        <v>627</v>
      </c>
      <c r="C625" s="4" t="str">
        <f>_xlfn.XLOOKUP(A625,[2]Sheet2!$I$2:$I$1273,[2]Sheet2!$D$2:$D$1273,0)</f>
        <v>Q2</v>
      </c>
      <c r="D625" s="4" t="str">
        <f>_xlfn.XLOOKUP(B625,[4]Sheet2!$B$2:$B$3154,[4]Sheet2!$F$2:$F$3154,0)</f>
        <v>N/ App</v>
      </c>
      <c r="E625" s="4" t="e">
        <f>_xlfn.XLOOKUP(B625,[2]Sheet2!$E$2:$E$713,[2]Sheet2!$G$2:$G$713)</f>
        <v>#N/A</v>
      </c>
      <c r="F625" s="18">
        <v>46080</v>
      </c>
      <c r="G625" s="14">
        <v>0.95178240740740738</v>
      </c>
      <c r="H625" s="7" t="s">
        <v>5</v>
      </c>
      <c r="I625" s="2" t="str">
        <f t="shared" si="48"/>
        <v>Q4</v>
      </c>
      <c r="J625" s="2" t="str">
        <f t="shared" si="49"/>
        <v>Not Match</v>
      </c>
      <c r="K625" s="2">
        <f t="shared" si="45"/>
        <v>0.2</v>
      </c>
      <c r="L625" s="2" t="e">
        <f t="shared" si="46"/>
        <v>#N/A</v>
      </c>
      <c r="M625" s="2" t="str">
        <f t="shared" si="47"/>
        <v>Below 0.8 not in assigned quadrant</v>
      </c>
      <c r="N625" s="7">
        <v>14.9</v>
      </c>
      <c r="O625" s="7">
        <v>-0.6</v>
      </c>
      <c r="P625" s="7">
        <v>-2.8</v>
      </c>
      <c r="Q625" s="7">
        <v>-0.25</v>
      </c>
      <c r="R625" s="7">
        <v>0</v>
      </c>
      <c r="S625" s="7">
        <v>-0.2</v>
      </c>
      <c r="T625" s="7">
        <v>0.27</v>
      </c>
      <c r="U625" s="7">
        <v>0.12</v>
      </c>
      <c r="V625" s="7">
        <v>0.39</v>
      </c>
      <c r="W625" s="7" t="s">
        <v>8</v>
      </c>
      <c r="X625" s="7" t="s">
        <v>9</v>
      </c>
      <c r="Y625" s="2" t="s">
        <v>719</v>
      </c>
      <c r="Z625" s="2" t="s">
        <v>721</v>
      </c>
    </row>
    <row r="626" spans="1:26" x14ac:dyDescent="0.35">
      <c r="A626" s="7" t="s">
        <v>1687</v>
      </c>
      <c r="B626" s="7" t="s">
        <v>629</v>
      </c>
      <c r="C626" s="4" t="str">
        <f>_xlfn.XLOOKUP(A626,[2]Sheet2!$I$2:$I$1273,[2]Sheet2!$D$2:$D$1273,0)</f>
        <v>Q3</v>
      </c>
      <c r="D626" s="4" t="str">
        <f>_xlfn.XLOOKUP(B626,[4]Sheet2!$B$2:$B$3154,[4]Sheet2!$F$2:$F$3154,0)</f>
        <v>N/ App</v>
      </c>
      <c r="E626" s="4" t="e">
        <f>_xlfn.XLOOKUP(B626,[2]Sheet2!$E$2:$E$713,[2]Sheet2!$G$2:$G$713)</f>
        <v>#N/A</v>
      </c>
      <c r="F626" s="18">
        <v>46081</v>
      </c>
      <c r="G626" s="14">
        <v>4.027777777777778E-2</v>
      </c>
      <c r="H626" s="7" t="s">
        <v>5</v>
      </c>
      <c r="I626" s="2" t="str">
        <f t="shared" si="48"/>
        <v>Q3</v>
      </c>
      <c r="J626" s="2" t="str">
        <f t="shared" si="49"/>
        <v>Match</v>
      </c>
      <c r="K626" s="2">
        <f t="shared" si="45"/>
        <v>0.6</v>
      </c>
      <c r="L626" s="2" t="e">
        <f t="shared" si="46"/>
        <v>#N/A</v>
      </c>
      <c r="M626" s="2" t="str">
        <f t="shared" si="47"/>
        <v>Failed but within quadrant</v>
      </c>
      <c r="N626" s="7">
        <v>34</v>
      </c>
      <c r="O626" s="7">
        <v>11.1</v>
      </c>
      <c r="P626" s="7">
        <v>12.7</v>
      </c>
      <c r="Q626" s="7">
        <v>-0.38</v>
      </c>
      <c r="R626" s="7">
        <v>-0.6</v>
      </c>
      <c r="S626" s="7">
        <v>0</v>
      </c>
      <c r="T626" s="7">
        <v>-0.28000000000000003</v>
      </c>
      <c r="U626" s="7">
        <v>0.72</v>
      </c>
      <c r="V626" s="7">
        <v>0.86</v>
      </c>
      <c r="W626" s="7" t="s">
        <v>13</v>
      </c>
      <c r="X626" s="7" t="s">
        <v>12</v>
      </c>
      <c r="Y626" s="2" t="s">
        <v>719</v>
      </c>
      <c r="Z626" s="2" t="s">
        <v>721</v>
      </c>
    </row>
    <row r="627" spans="1:26" x14ac:dyDescent="0.35">
      <c r="A627" s="7" t="s">
        <v>1515</v>
      </c>
      <c r="B627" s="7" t="s">
        <v>630</v>
      </c>
      <c r="C627" s="4" t="str">
        <f>_xlfn.XLOOKUP(A627,[2]Sheet2!$I$2:$I$1273,[2]Sheet2!$D$2:$D$1273,0)</f>
        <v>Q3</v>
      </c>
      <c r="D627" s="4" t="str">
        <f>_xlfn.XLOOKUP(B627,[4]Sheet2!$B$2:$B$3154,[4]Sheet2!$F$2:$F$3154,0)</f>
        <v>N/ App</v>
      </c>
      <c r="E627" s="4" t="e">
        <f>_xlfn.XLOOKUP(B627,[2]Sheet2!$E$2:$E$713,[2]Sheet2!$G$2:$G$713)</f>
        <v>#N/A</v>
      </c>
      <c r="F627" s="18">
        <v>46081</v>
      </c>
      <c r="G627" s="14">
        <v>0.18959490740740742</v>
      </c>
      <c r="H627" s="7" t="s">
        <v>11</v>
      </c>
      <c r="I627" s="2" t="str">
        <f t="shared" si="48"/>
        <v>Q4</v>
      </c>
      <c r="J627" s="2" t="str">
        <f t="shared" si="49"/>
        <v>Not Match</v>
      </c>
      <c r="K627" s="2">
        <f t="shared" si="45"/>
        <v>0.1</v>
      </c>
      <c r="L627" s="2" t="e">
        <f t="shared" si="46"/>
        <v>#N/A</v>
      </c>
      <c r="M627" s="2" t="str">
        <f t="shared" si="47"/>
        <v>Below 0.8 not in assigned quadrant</v>
      </c>
      <c r="N627" s="7">
        <v>13.2</v>
      </c>
      <c r="O627" s="7">
        <v>-0.3</v>
      </c>
      <c r="P627" s="7">
        <v>-2.1</v>
      </c>
      <c r="Q627" s="7">
        <v>-0.77</v>
      </c>
      <c r="R627" s="7">
        <v>0</v>
      </c>
      <c r="S627" s="7">
        <v>-0.1</v>
      </c>
      <c r="T627" s="7">
        <v>0.14000000000000001</v>
      </c>
      <c r="U627" s="7">
        <v>-0.04</v>
      </c>
      <c r="V627" s="7">
        <v>0.78</v>
      </c>
      <c r="W627" s="7" t="s">
        <v>13</v>
      </c>
      <c r="X627" s="7" t="s">
        <v>15</v>
      </c>
      <c r="Y627" s="2" t="s">
        <v>719</v>
      </c>
      <c r="Z627" s="2" t="s">
        <v>721</v>
      </c>
    </row>
    <row r="628" spans="1:26" x14ac:dyDescent="0.35">
      <c r="A628" s="7" t="s">
        <v>1559</v>
      </c>
      <c r="B628" s="7" t="s">
        <v>631</v>
      </c>
      <c r="C628" s="4" t="str">
        <f>_xlfn.XLOOKUP(A628,[2]Sheet2!$I$2:$I$1273,[2]Sheet2!$D$2:$D$1273,0)</f>
        <v>Q3</v>
      </c>
      <c r="D628" s="4" t="str">
        <f>_xlfn.XLOOKUP(B628,[4]Sheet2!$B$2:$B$3154,[4]Sheet2!$F$2:$F$3154,0)</f>
        <v>N/ App</v>
      </c>
      <c r="E628" s="4" t="e">
        <f>_xlfn.XLOOKUP(B628,[2]Sheet2!$E$2:$E$713,[2]Sheet2!$G$2:$G$713)</f>
        <v>#N/A</v>
      </c>
      <c r="F628" s="18">
        <v>46081</v>
      </c>
      <c r="G628" s="14">
        <v>0.19268518518518518</v>
      </c>
      <c r="H628" s="7" t="s">
        <v>11</v>
      </c>
      <c r="I628" s="2" t="str">
        <f t="shared" si="48"/>
        <v>Q4</v>
      </c>
      <c r="J628" s="2" t="str">
        <f t="shared" si="49"/>
        <v>Not Match</v>
      </c>
      <c r="K628" s="2">
        <f t="shared" si="45"/>
        <v>0.3</v>
      </c>
      <c r="L628" s="2" t="e">
        <f t="shared" si="46"/>
        <v>#N/A</v>
      </c>
      <c r="M628" s="2" t="str">
        <f t="shared" si="47"/>
        <v>Assign quadrant hit</v>
      </c>
      <c r="N628" s="7">
        <v>16.8</v>
      </c>
      <c r="O628" s="7">
        <v>-0.7</v>
      </c>
      <c r="P628" s="7">
        <v>-3.1</v>
      </c>
      <c r="Q628" s="7">
        <v>-0.81</v>
      </c>
      <c r="R628" s="7">
        <v>0</v>
      </c>
      <c r="S628" s="7">
        <v>-0.3</v>
      </c>
      <c r="T628" s="7">
        <v>0.42</v>
      </c>
      <c r="U628" s="7">
        <v>0.03</v>
      </c>
      <c r="V628" s="7">
        <v>0.91</v>
      </c>
      <c r="W628" s="7" t="s">
        <v>13</v>
      </c>
      <c r="X628" s="7" t="s">
        <v>9</v>
      </c>
      <c r="Y628" s="2" t="s">
        <v>719</v>
      </c>
      <c r="Z628" s="2" t="s">
        <v>721</v>
      </c>
    </row>
    <row r="629" spans="1:26" x14ac:dyDescent="0.35">
      <c r="A629" s="7" t="s">
        <v>1533</v>
      </c>
      <c r="B629" s="7" t="s">
        <v>632</v>
      </c>
      <c r="C629" s="4" t="str">
        <f>_xlfn.XLOOKUP(A629,[2]Sheet2!$I$2:$I$1273,[2]Sheet2!$D$2:$D$1273,0)</f>
        <v>Q2</v>
      </c>
      <c r="D629" s="4" t="str">
        <f>_xlfn.XLOOKUP(B629,[4]Sheet2!$B$2:$B$3154,[4]Sheet2!$F$2:$F$3154,0)</f>
        <v>C/APP</v>
      </c>
      <c r="E629" s="4">
        <f>_xlfn.XLOOKUP(B629,[2]Sheet2!$E$2:$E$713,[2]Sheet2!$G$2:$G$713)</f>
        <v>0.8</v>
      </c>
      <c r="F629" s="18">
        <v>46081</v>
      </c>
      <c r="G629" s="14">
        <v>0.19850694444444444</v>
      </c>
      <c r="H629" s="7" t="s">
        <v>4</v>
      </c>
      <c r="I629" s="2" t="str">
        <f t="shared" si="48"/>
        <v>Q1</v>
      </c>
      <c r="J629" s="2" t="str">
        <f t="shared" si="49"/>
        <v>Not Match</v>
      </c>
      <c r="K629" s="2">
        <f t="shared" si="45"/>
        <v>0.1</v>
      </c>
      <c r="L629" s="2" t="str">
        <f t="shared" si="46"/>
        <v>Within Range</v>
      </c>
      <c r="M629" s="2" t="str">
        <f t="shared" si="47"/>
        <v>Assign quadrant hit</v>
      </c>
      <c r="N629" s="7">
        <v>24.4</v>
      </c>
      <c r="O629" s="7">
        <v>0.6</v>
      </c>
      <c r="P629" s="7">
        <v>7.9</v>
      </c>
      <c r="Q629" s="7">
        <v>-1.6</v>
      </c>
      <c r="R629" s="7">
        <v>0</v>
      </c>
      <c r="S629" s="7">
        <v>0.1</v>
      </c>
      <c r="T629" s="7">
        <v>0.13</v>
      </c>
      <c r="U629" s="7">
        <v>0.15</v>
      </c>
      <c r="V629" s="7">
        <v>1.61</v>
      </c>
      <c r="W629" s="7" t="s">
        <v>6</v>
      </c>
      <c r="X629" s="7" t="s">
        <v>15</v>
      </c>
      <c r="Y629" s="2" t="s">
        <v>719</v>
      </c>
      <c r="Z629" s="2" t="s">
        <v>721</v>
      </c>
    </row>
    <row r="630" spans="1:26" x14ac:dyDescent="0.35">
      <c r="A630" s="7" t="s">
        <v>1561</v>
      </c>
      <c r="B630" s="7" t="s">
        <v>633</v>
      </c>
      <c r="C630" s="4">
        <f>_xlfn.XLOOKUP(A630,[2]Sheet2!$I$2:$I$1273,[2]Sheet2!$D$2:$D$1273,0)</f>
        <v>0</v>
      </c>
      <c r="D630" s="4" t="str">
        <f>_xlfn.XLOOKUP(B630,[4]Sheet2!$B$2:$B$3154,[4]Sheet2!$F$2:$F$3154,0)</f>
        <v>N/ App</v>
      </c>
      <c r="E630" s="4" t="e">
        <f>_xlfn.XLOOKUP(B630,[2]Sheet2!$E$2:$E$713,[2]Sheet2!$G$2:$G$713)</f>
        <v>#N/A</v>
      </c>
      <c r="F630" s="18">
        <v>46081</v>
      </c>
      <c r="G630" s="14">
        <v>0.27417824074074076</v>
      </c>
      <c r="H630" s="7" t="s">
        <v>5</v>
      </c>
      <c r="I630" s="2" t="str">
        <f t="shared" si="48"/>
        <v>Q1</v>
      </c>
      <c r="J630" s="2" t="str">
        <f t="shared" si="49"/>
        <v>Not Found</v>
      </c>
      <c r="K630" s="2">
        <f t="shared" si="45"/>
        <v>0.36055512754639896</v>
      </c>
      <c r="L630" s="2" t="e">
        <f t="shared" si="46"/>
        <v>#N/A</v>
      </c>
      <c r="M630" s="2" t="str">
        <f t="shared" si="47"/>
        <v>Assign quadrant hit</v>
      </c>
      <c r="N630" s="7">
        <v>15.5</v>
      </c>
      <c r="O630" s="7">
        <v>0</v>
      </c>
      <c r="P630" s="7">
        <v>-0.6</v>
      </c>
      <c r="Q630" s="7">
        <v>0.3</v>
      </c>
      <c r="R630" s="7">
        <v>0.2</v>
      </c>
      <c r="S630" s="7">
        <v>0.3</v>
      </c>
      <c r="T630" s="7">
        <v>-0.56000000000000005</v>
      </c>
      <c r="U630" s="7">
        <v>0.18</v>
      </c>
      <c r="V630" s="7">
        <v>0.66</v>
      </c>
      <c r="W630" s="7" t="s">
        <v>8</v>
      </c>
      <c r="X630" s="7" t="s">
        <v>9</v>
      </c>
      <c r="Y630" s="2" t="s">
        <v>719</v>
      </c>
      <c r="Z630" s="2" t="s">
        <v>721</v>
      </c>
    </row>
    <row r="631" spans="1:26" x14ac:dyDescent="0.35">
      <c r="A631" s="7" t="s">
        <v>1668</v>
      </c>
      <c r="B631" s="7" t="s">
        <v>971</v>
      </c>
      <c r="C631" s="4" t="str">
        <f>_xlfn.XLOOKUP(A631,[2]Sheet2!$I$2:$I$1273,[2]Sheet2!$D$2:$D$1273,0)</f>
        <v>Q4</v>
      </c>
      <c r="D631" s="4" t="str">
        <f>_xlfn.XLOOKUP(B631,[4]Sheet2!$B$2:$B$3154,[4]Sheet2!$F$2:$F$3154,0)</f>
        <v>N/ App</v>
      </c>
      <c r="E631" s="4" t="e">
        <f>_xlfn.XLOOKUP(B631,[2]Sheet2!$E$2:$E$713,[2]Sheet2!$G$2:$G$713)</f>
        <v>#N/A</v>
      </c>
      <c r="F631" s="18">
        <v>46081</v>
      </c>
      <c r="G631" s="14">
        <v>0.40809027777777779</v>
      </c>
      <c r="H631" s="7" t="s">
        <v>11</v>
      </c>
      <c r="I631" s="2" t="str">
        <f t="shared" si="48"/>
        <v>Q4</v>
      </c>
      <c r="J631" s="2" t="str">
        <f t="shared" si="49"/>
        <v>Match</v>
      </c>
      <c r="K631" s="2">
        <f t="shared" si="45"/>
        <v>0.44721359549995798</v>
      </c>
      <c r="L631" s="2" t="e">
        <f t="shared" si="46"/>
        <v>#N/A</v>
      </c>
      <c r="M631" s="2" t="str">
        <f t="shared" si="47"/>
        <v>Digital Approve Hit</v>
      </c>
      <c r="N631" s="7">
        <v>44.3</v>
      </c>
      <c r="O631" s="7">
        <v>38.299999999999997</v>
      </c>
      <c r="P631" s="7">
        <v>-17.2</v>
      </c>
      <c r="Q631" s="7">
        <v>-0.04</v>
      </c>
      <c r="R631" s="7">
        <v>0.4</v>
      </c>
      <c r="S631" s="7">
        <v>-0.2</v>
      </c>
      <c r="T631" s="7">
        <v>0.22</v>
      </c>
      <c r="U631" s="7">
        <v>-0.05</v>
      </c>
      <c r="V631" s="7">
        <v>0.23</v>
      </c>
      <c r="W631" s="7" t="s">
        <v>8</v>
      </c>
      <c r="X631" s="7" t="s">
        <v>7</v>
      </c>
      <c r="Y631" s="2" t="s">
        <v>719</v>
      </c>
      <c r="Z631" s="2" t="s">
        <v>721</v>
      </c>
    </row>
    <row r="632" spans="1:26" x14ac:dyDescent="0.35">
      <c r="A632" s="7" t="s">
        <v>1620</v>
      </c>
      <c r="B632" s="7" t="s">
        <v>972</v>
      </c>
      <c r="C632" s="4" t="str">
        <f>_xlfn.XLOOKUP(A632,[2]Sheet2!$I$2:$I$1273,[2]Sheet2!$D$2:$D$1273,0)</f>
        <v>Q2</v>
      </c>
      <c r="D632" s="4" t="str">
        <f>_xlfn.XLOOKUP(B632,[4]Sheet2!$B$2:$B$3154,[4]Sheet2!$F$2:$F$3154,0)</f>
        <v>N/ App</v>
      </c>
      <c r="E632" s="4" t="e">
        <f>_xlfn.XLOOKUP(B632,[2]Sheet2!$E$2:$E$713,[2]Sheet2!$G$2:$G$713)</f>
        <v>#N/A</v>
      </c>
      <c r="F632" s="18">
        <v>46081</v>
      </c>
      <c r="G632" s="14">
        <v>0.41136574074074073</v>
      </c>
      <c r="H632" s="7" t="s">
        <v>5</v>
      </c>
      <c r="I632" s="2" t="str">
        <f t="shared" si="48"/>
        <v>Q1</v>
      </c>
      <c r="J632" s="2" t="str">
        <f t="shared" si="49"/>
        <v>Not Match</v>
      </c>
      <c r="K632" s="2">
        <f t="shared" si="45"/>
        <v>0.5</v>
      </c>
      <c r="L632" s="2" t="e">
        <f t="shared" si="46"/>
        <v>#N/A</v>
      </c>
      <c r="M632" s="2" t="str">
        <f t="shared" si="47"/>
        <v>Below 0.8 not in assigned quadrant</v>
      </c>
      <c r="N632" s="7">
        <v>30.9</v>
      </c>
      <c r="O632" s="7">
        <v>33.4</v>
      </c>
      <c r="P632" s="7">
        <v>5.2</v>
      </c>
      <c r="Q632" s="7">
        <v>-0.12</v>
      </c>
      <c r="R632" s="7">
        <v>0.4</v>
      </c>
      <c r="S632" s="7">
        <v>0.3</v>
      </c>
      <c r="T632" s="7">
        <v>0.23</v>
      </c>
      <c r="U632" s="7">
        <v>0.21</v>
      </c>
      <c r="V632" s="7">
        <v>0.33</v>
      </c>
      <c r="W632" s="7" t="s">
        <v>8</v>
      </c>
      <c r="X632" s="7" t="s">
        <v>9</v>
      </c>
      <c r="Y632" s="2" t="s">
        <v>719</v>
      </c>
      <c r="Z632" s="2" t="s">
        <v>721</v>
      </c>
    </row>
    <row r="633" spans="1:26" x14ac:dyDescent="0.35">
      <c r="A633" s="7" t="s">
        <v>1656</v>
      </c>
      <c r="B633" s="7" t="s">
        <v>1062</v>
      </c>
      <c r="C633" s="4" t="str">
        <f>_xlfn.XLOOKUP(A633,[2]Sheet2!$I$2:$I$1273,[2]Sheet2!$D$2:$D$1273,0)</f>
        <v>Q1</v>
      </c>
      <c r="D633" s="4">
        <f>_xlfn.XLOOKUP(B633,[4]Sheet2!$B$2:$B$3154,[4]Sheet2!$F$2:$F$3154,0)</f>
        <v>0</v>
      </c>
      <c r="E633" s="4" t="e">
        <f>_xlfn.XLOOKUP(B633,[2]Sheet2!$E$2:$E$713,[2]Sheet2!$G$2:$G$713)</f>
        <v>#N/A</v>
      </c>
      <c r="F633" s="18">
        <v>46081</v>
      </c>
      <c r="G633" s="14">
        <v>0.49497685185185186</v>
      </c>
      <c r="H633" s="7" t="s">
        <v>11</v>
      </c>
      <c r="I633" s="2" t="str">
        <f t="shared" si="48"/>
        <v>Q1</v>
      </c>
      <c r="J633" s="2" t="str">
        <f t="shared" si="49"/>
        <v>Match</v>
      </c>
      <c r="K633" s="2">
        <f t="shared" si="45"/>
        <v>0.63245553203367588</v>
      </c>
      <c r="L633" s="2" t="e">
        <f t="shared" si="46"/>
        <v>#N/A</v>
      </c>
      <c r="M633" s="2" t="str">
        <f t="shared" si="47"/>
        <v>Digital Approve Hit</v>
      </c>
      <c r="N633" s="7">
        <v>22</v>
      </c>
      <c r="O633" s="7">
        <v>13</v>
      </c>
      <c r="P633" s="7">
        <v>9.6999999999999993</v>
      </c>
      <c r="Q633" s="7">
        <v>-0.48</v>
      </c>
      <c r="R633" s="7">
        <v>0.2</v>
      </c>
      <c r="S633" s="7">
        <v>0.6</v>
      </c>
      <c r="T633" s="7">
        <v>0.4</v>
      </c>
      <c r="U633" s="7">
        <v>0.46</v>
      </c>
      <c r="V633" s="7">
        <v>0.77</v>
      </c>
      <c r="W633" s="7" t="s">
        <v>13</v>
      </c>
      <c r="X633" s="7" t="s">
        <v>12</v>
      </c>
      <c r="Y633" s="2" t="s">
        <v>719</v>
      </c>
      <c r="Z633" s="2" t="s">
        <v>721</v>
      </c>
    </row>
    <row r="634" spans="1:26" x14ac:dyDescent="0.35">
      <c r="A634" s="7" t="s">
        <v>1574</v>
      </c>
      <c r="B634" s="7" t="s">
        <v>1063</v>
      </c>
      <c r="C634" s="4" t="str">
        <f>_xlfn.XLOOKUP(A634,[2]Sheet2!$I$2:$I$1273,[2]Sheet2!$D$2:$D$1273,0)</f>
        <v>Q2</v>
      </c>
      <c r="D634" s="4" t="str">
        <f>_xlfn.XLOOKUP(B634,[4]Sheet2!$B$2:$B$3154,[4]Sheet2!$F$2:$F$3154,0)</f>
        <v>N/ App</v>
      </c>
      <c r="E634" s="4" t="e">
        <f>_xlfn.XLOOKUP(B634,[2]Sheet2!$E$2:$E$713,[2]Sheet2!$G$2:$G$713)</f>
        <v>#N/A</v>
      </c>
      <c r="F634" s="18">
        <v>46081</v>
      </c>
      <c r="G634" s="14">
        <v>0.63285879629629627</v>
      </c>
      <c r="H634" s="7" t="s">
        <v>11</v>
      </c>
      <c r="I634" s="2" t="str">
        <f t="shared" si="48"/>
        <v>Q4</v>
      </c>
      <c r="J634" s="2" t="str">
        <f t="shared" si="49"/>
        <v>Not Match</v>
      </c>
      <c r="K634" s="2">
        <f t="shared" si="45"/>
        <v>0.90553851381374173</v>
      </c>
      <c r="L634" s="2" t="e">
        <f t="shared" si="46"/>
        <v>#N/A</v>
      </c>
      <c r="M634" s="2" t="str">
        <f t="shared" si="47"/>
        <v>Below 0.8 not in assigned quadrant</v>
      </c>
      <c r="N634" s="7">
        <v>19.399999999999999</v>
      </c>
      <c r="O634" s="7">
        <v>-0.1</v>
      </c>
      <c r="P634" s="7">
        <v>-13</v>
      </c>
      <c r="Q634" s="7">
        <v>0.16</v>
      </c>
      <c r="R634" s="7">
        <v>0.1</v>
      </c>
      <c r="S634" s="7">
        <v>-0.9</v>
      </c>
      <c r="T634" s="7">
        <v>0.74</v>
      </c>
      <c r="U634" s="7">
        <v>0.16</v>
      </c>
      <c r="V634" s="7">
        <v>0.78</v>
      </c>
      <c r="W634" s="7" t="s">
        <v>13</v>
      </c>
      <c r="X634" s="7" t="s">
        <v>9</v>
      </c>
      <c r="Y634" s="2" t="s">
        <v>719</v>
      </c>
      <c r="Z634" s="2" t="s">
        <v>721</v>
      </c>
    </row>
    <row r="635" spans="1:26" x14ac:dyDescent="0.35">
      <c r="A635" s="7" t="s">
        <v>1688</v>
      </c>
      <c r="B635" s="7" t="s">
        <v>973</v>
      </c>
      <c r="C635" s="4" t="str">
        <f>_xlfn.XLOOKUP(A635,[2]Sheet2!$I$2:$I$1273,[2]Sheet2!$D$2:$D$1273,0)</f>
        <v>Q4</v>
      </c>
      <c r="D635" s="4" t="str">
        <f>_xlfn.XLOOKUP(B635,[4]Sheet2!$B$2:$B$3154,[4]Sheet2!$F$2:$F$3154,0)</f>
        <v>C/APP</v>
      </c>
      <c r="E635" s="4" t="e">
        <f>_xlfn.XLOOKUP(B635,[2]Sheet2!$E$2:$E$713,[2]Sheet2!$G$2:$G$713)</f>
        <v>#N/A</v>
      </c>
      <c r="F635" s="18">
        <v>46081</v>
      </c>
      <c r="G635" s="14">
        <v>0.63765046296296302</v>
      </c>
      <c r="H635" s="7" t="s">
        <v>4</v>
      </c>
      <c r="I635" s="2" t="str">
        <f t="shared" si="48"/>
        <v>Q3</v>
      </c>
      <c r="J635" s="2" t="str">
        <f t="shared" si="49"/>
        <v>Not Match</v>
      </c>
      <c r="K635" s="2">
        <f t="shared" ref="K635:K697" si="50">SQRT(R635^2+S635^2)</f>
        <v>0.22360679774997899</v>
      </c>
      <c r="L635" s="2" t="e">
        <f t="shared" ref="L635:L697" si="51">IF(K635&lt;=E635,"Within Range","Over Range")</f>
        <v>#N/A</v>
      </c>
      <c r="M635" s="2" t="str">
        <f t="shared" ref="M635:M697" si="52">IF(AND(J635="Match",V635&lt;=0.8),"Digital Approve Hit",
IF(AND(J635="Match",V635&gt;0.8),"Failed but within quadrant",
IF(AND(J635="Not Match",V635&lt;=0.8),"Below 0.8 not in assigned quadrant",
"Assign quadrant hit")))</f>
        <v>Below 0.8 not in assigned quadrant</v>
      </c>
      <c r="N635" s="7">
        <v>13.4</v>
      </c>
      <c r="O635" s="7">
        <v>-0.2</v>
      </c>
      <c r="P635" s="7">
        <v>-1.3</v>
      </c>
      <c r="Q635" s="7">
        <v>-0.06</v>
      </c>
      <c r="R635" s="7">
        <v>-0.2</v>
      </c>
      <c r="S635" s="7">
        <v>-0.1</v>
      </c>
      <c r="T635" s="7">
        <v>0.24</v>
      </c>
      <c r="U635" s="7">
        <v>-0.3</v>
      </c>
      <c r="V635" s="7">
        <v>0.39</v>
      </c>
      <c r="W635" s="7" t="s">
        <v>8</v>
      </c>
      <c r="X635" s="7" t="s">
        <v>15</v>
      </c>
      <c r="Y635" s="2" t="s">
        <v>719</v>
      </c>
      <c r="Z635" s="2" t="s">
        <v>721</v>
      </c>
    </row>
    <row r="636" spans="1:26" x14ac:dyDescent="0.35">
      <c r="A636" s="7" t="s">
        <v>1521</v>
      </c>
      <c r="B636" s="7" t="s">
        <v>628</v>
      </c>
      <c r="C636" s="4" t="str">
        <f>_xlfn.XLOOKUP(A636,[2]Sheet2!$I$2:$I$1273,[2]Sheet2!$D$2:$D$1273,0)</f>
        <v>Q3</v>
      </c>
      <c r="D636" s="4" t="str">
        <f>_xlfn.XLOOKUP(B636,[4]Sheet2!$B$2:$B$3154,[4]Sheet2!$F$2:$F$3154,0)</f>
        <v>N/ App</v>
      </c>
      <c r="E636" s="4" t="e">
        <f>_xlfn.XLOOKUP(B636,[2]Sheet2!$E$2:$E$713,[2]Sheet2!$G$2:$G$713)</f>
        <v>#N/A</v>
      </c>
      <c r="F636" s="18">
        <v>46081</v>
      </c>
      <c r="G636" s="14">
        <v>0.72078703703703706</v>
      </c>
      <c r="H636" s="7" t="s">
        <v>11</v>
      </c>
      <c r="I636" s="2" t="str">
        <f t="shared" ref="I636:I698" si="53">IF(AND(R636=0,S636=0),IF(C636="","Origin",C636),
IF(AND(R636&gt;0,S636=0),"Q4",
IF(AND(R636&lt;0,S636=0),"Q3",
IF(AND(R636&gt;=0,S636&lt;0),"Q4",
IF(AND(R636&gt;=0,S636&gt;0),"Q1",
IF(AND(R636&lt;0,S636&lt;=0),"Q3",
IF(AND(R636&lt;0,S636&gt;0),"Q2",
"")))))))</f>
        <v>Q1</v>
      </c>
      <c r="J636" s="2" t="str">
        <f t="shared" si="49"/>
        <v>Not Match</v>
      </c>
      <c r="K636" s="2">
        <f t="shared" si="50"/>
        <v>0.60827625302982191</v>
      </c>
      <c r="L636" s="2" t="e">
        <f t="shared" si="51"/>
        <v>#N/A</v>
      </c>
      <c r="M636" s="2" t="str">
        <f t="shared" si="52"/>
        <v>Below 0.8 not in assigned quadrant</v>
      </c>
      <c r="N636" s="7">
        <v>20.6</v>
      </c>
      <c r="O636" s="7">
        <v>1.1000000000000001</v>
      </c>
      <c r="P636" s="7">
        <v>-7.8</v>
      </c>
      <c r="Q636" s="7">
        <v>-0.35</v>
      </c>
      <c r="R636" s="7">
        <v>0.1</v>
      </c>
      <c r="S636" s="7">
        <v>0.6</v>
      </c>
      <c r="T636" s="7">
        <v>-0.59</v>
      </c>
      <c r="U636" s="7">
        <v>0.28999999999999998</v>
      </c>
      <c r="V636" s="7">
        <v>0.75</v>
      </c>
      <c r="W636" s="7" t="s">
        <v>8</v>
      </c>
      <c r="X636" s="7" t="s">
        <v>9</v>
      </c>
      <c r="Y636" s="2" t="s">
        <v>719</v>
      </c>
      <c r="Z636" s="2" t="s">
        <v>721</v>
      </c>
    </row>
    <row r="637" spans="1:26" x14ac:dyDescent="0.35">
      <c r="A637" s="7" t="s">
        <v>1689</v>
      </c>
      <c r="B637" s="7" t="s">
        <v>634</v>
      </c>
      <c r="C637" s="4" t="str">
        <f>_xlfn.XLOOKUP(A637,[2]Sheet2!$I$2:$I$1273,[2]Sheet2!$D$2:$D$1273,0)</f>
        <v>Q1</v>
      </c>
      <c r="D637" s="4" t="str">
        <f>_xlfn.XLOOKUP(B637,[4]Sheet2!$B$2:$B$3154,[4]Sheet2!$F$2:$F$3154,0)</f>
        <v>C/APP</v>
      </c>
      <c r="E637" s="4" t="e">
        <f>_xlfn.XLOOKUP(B637,[2]Sheet2!$E$2:$E$713,[2]Sheet2!$G$2:$G$713)</f>
        <v>#N/A</v>
      </c>
      <c r="F637" s="18">
        <v>46084</v>
      </c>
      <c r="G637" s="14">
        <v>0.46854166666666669</v>
      </c>
      <c r="H637" s="7" t="s">
        <v>16</v>
      </c>
      <c r="I637" s="2" t="str">
        <f t="shared" si="53"/>
        <v>Q1</v>
      </c>
      <c r="J637" s="2" t="str">
        <f t="shared" si="49"/>
        <v>Match</v>
      </c>
      <c r="K637" s="2">
        <f t="shared" si="50"/>
        <v>0.63245553203367588</v>
      </c>
      <c r="L637" s="2" t="e">
        <f t="shared" si="51"/>
        <v>#N/A</v>
      </c>
      <c r="M637" s="2" t="str">
        <f t="shared" si="52"/>
        <v>Failed but within quadrant</v>
      </c>
      <c r="N637" s="7">
        <v>23</v>
      </c>
      <c r="O637" s="7">
        <v>7.7</v>
      </c>
      <c r="P637" s="7">
        <v>3.7</v>
      </c>
      <c r="Q637" s="7">
        <v>-1.21</v>
      </c>
      <c r="R637" s="7">
        <v>0.2</v>
      </c>
      <c r="S637" s="7">
        <v>0.6</v>
      </c>
      <c r="T637" s="7">
        <v>0.46</v>
      </c>
      <c r="U637" s="7">
        <v>0.7</v>
      </c>
      <c r="V637" s="7">
        <v>1.47</v>
      </c>
      <c r="W637" s="7" t="s">
        <v>6</v>
      </c>
      <c r="X637" s="7" t="s">
        <v>12</v>
      </c>
      <c r="Y637" s="2" t="s">
        <v>719</v>
      </c>
      <c r="Z637" s="2" t="s">
        <v>721</v>
      </c>
    </row>
    <row r="638" spans="1:26" x14ac:dyDescent="0.35">
      <c r="A638" s="7" t="s">
        <v>1676</v>
      </c>
      <c r="B638" s="7" t="s">
        <v>635</v>
      </c>
      <c r="C638" s="4" t="str">
        <f>_xlfn.XLOOKUP(A638,[2]Sheet2!$I$2:$I$1273,[2]Sheet2!$D$2:$D$1273,0)</f>
        <v>Q2</v>
      </c>
      <c r="D638" s="4" t="str">
        <f>_xlfn.XLOOKUP(B638,[4]Sheet2!$B$2:$B$3154,[4]Sheet2!$F$2:$F$3154,0)</f>
        <v>C/APP</v>
      </c>
      <c r="E638" s="4" t="e">
        <f>_xlfn.XLOOKUP(B638,[2]Sheet2!$E$2:$E$713,[2]Sheet2!$G$2:$G$713)</f>
        <v>#N/A</v>
      </c>
      <c r="F638" s="18">
        <v>46084</v>
      </c>
      <c r="G638" s="14">
        <v>0.64075231481481476</v>
      </c>
      <c r="H638" s="7" t="s">
        <v>11</v>
      </c>
      <c r="I638" s="2" t="str">
        <f t="shared" si="53"/>
        <v>Q4</v>
      </c>
      <c r="J638" s="2" t="str">
        <f t="shared" si="49"/>
        <v>Not Match</v>
      </c>
      <c r="K638" s="2">
        <f t="shared" si="50"/>
        <v>0.6403124237432849</v>
      </c>
      <c r="L638" s="2" t="e">
        <f t="shared" si="51"/>
        <v>#N/A</v>
      </c>
      <c r="M638" s="2" t="str">
        <f t="shared" si="52"/>
        <v>Below 0.8 not in assigned quadrant</v>
      </c>
      <c r="N638" s="7">
        <v>24</v>
      </c>
      <c r="O638" s="7">
        <v>11.7</v>
      </c>
      <c r="P638" s="7">
        <v>-1.6</v>
      </c>
      <c r="Q638" s="7">
        <v>-0.27</v>
      </c>
      <c r="R638" s="7">
        <v>0.5</v>
      </c>
      <c r="S638" s="7">
        <v>-0.4</v>
      </c>
      <c r="T638" s="7">
        <v>0.5</v>
      </c>
      <c r="U638" s="7">
        <v>-0.35</v>
      </c>
      <c r="V638" s="7">
        <v>0.67</v>
      </c>
      <c r="W638" s="7" t="s">
        <v>8</v>
      </c>
      <c r="X638" s="7" t="s">
        <v>7</v>
      </c>
      <c r="Y638" s="2" t="s">
        <v>719</v>
      </c>
      <c r="Z638" s="2" t="s">
        <v>721</v>
      </c>
    </row>
    <row r="639" spans="1:26" x14ac:dyDescent="0.35">
      <c r="A639" s="7" t="s">
        <v>1574</v>
      </c>
      <c r="B639" s="7" t="s">
        <v>636</v>
      </c>
      <c r="C639" s="4" t="str">
        <f>_xlfn.XLOOKUP(A639,[2]Sheet2!$I$2:$I$1273,[2]Sheet2!$D$2:$D$1273,0)</f>
        <v>Q2</v>
      </c>
      <c r="D639" s="4" t="str">
        <f>_xlfn.XLOOKUP(B639,[4]Sheet2!$B$2:$B$3154,[4]Sheet2!$F$2:$F$3154,0)</f>
        <v>N/ App</v>
      </c>
      <c r="E639" s="4" t="e">
        <f>_xlfn.XLOOKUP(B639,[2]Sheet2!$E$2:$E$713,[2]Sheet2!$G$2:$G$713)</f>
        <v>#N/A</v>
      </c>
      <c r="F639" s="18">
        <v>46084</v>
      </c>
      <c r="G639" s="14">
        <v>0.67498842592592589</v>
      </c>
      <c r="H639" s="7" t="s">
        <v>11</v>
      </c>
      <c r="I639" s="2" t="str">
        <f t="shared" si="53"/>
        <v>Q4</v>
      </c>
      <c r="J639" s="2" t="str">
        <f t="shared" si="49"/>
        <v>Not Match</v>
      </c>
      <c r="K639" s="2">
        <f t="shared" si="50"/>
        <v>0.3</v>
      </c>
      <c r="L639" s="2" t="e">
        <f t="shared" si="51"/>
        <v>#N/A</v>
      </c>
      <c r="M639" s="2" t="str">
        <f t="shared" si="52"/>
        <v>Below 0.8 not in assigned quadrant</v>
      </c>
      <c r="N639" s="7">
        <v>19</v>
      </c>
      <c r="O639" s="7">
        <v>-0.2</v>
      </c>
      <c r="P639" s="7">
        <v>-12.3</v>
      </c>
      <c r="Q639" s="7">
        <v>-0.18</v>
      </c>
      <c r="R639" s="7">
        <v>0</v>
      </c>
      <c r="S639" s="7">
        <v>-0.3</v>
      </c>
      <c r="T639" s="7">
        <v>0.23</v>
      </c>
      <c r="U639" s="7">
        <v>0.04</v>
      </c>
      <c r="V639" s="7">
        <v>0.3</v>
      </c>
      <c r="W639" s="7" t="s">
        <v>8</v>
      </c>
      <c r="X639" s="7" t="s">
        <v>9</v>
      </c>
      <c r="Y639" s="2" t="s">
        <v>719</v>
      </c>
      <c r="Z639" s="2" t="s">
        <v>721</v>
      </c>
    </row>
    <row r="640" spans="1:26" x14ac:dyDescent="0.35">
      <c r="A640" s="7" t="s">
        <v>1540</v>
      </c>
      <c r="B640" s="7" t="s">
        <v>637</v>
      </c>
      <c r="C640" s="4" t="str">
        <f>_xlfn.XLOOKUP(A640,[2]Sheet2!$I$2:$I$1273,[2]Sheet2!$D$2:$D$1273,0)</f>
        <v>Q3</v>
      </c>
      <c r="D640" s="4" t="str">
        <f>_xlfn.XLOOKUP(B640,[4]Sheet2!$B$2:$B$3154,[4]Sheet2!$F$2:$F$3154,0)</f>
        <v>N/ App</v>
      </c>
      <c r="E640" s="4" t="e">
        <f>_xlfn.XLOOKUP(B640,[2]Sheet2!$E$2:$E$713,[2]Sheet2!$G$2:$G$713)</f>
        <v>#N/A</v>
      </c>
      <c r="F640" s="18">
        <v>46084</v>
      </c>
      <c r="G640" s="14">
        <v>0.67918981481481477</v>
      </c>
      <c r="H640" s="7" t="s">
        <v>11</v>
      </c>
      <c r="I640" s="2" t="str">
        <f t="shared" si="53"/>
        <v>Q1</v>
      </c>
      <c r="J640" s="2" t="str">
        <f t="shared" si="49"/>
        <v>Not Match</v>
      </c>
      <c r="K640" s="2">
        <f t="shared" si="50"/>
        <v>0.3</v>
      </c>
      <c r="L640" s="2" t="e">
        <f t="shared" si="51"/>
        <v>#N/A</v>
      </c>
      <c r="M640" s="2" t="str">
        <f t="shared" si="52"/>
        <v>Assign quadrant hit</v>
      </c>
      <c r="N640" s="7">
        <v>13.1</v>
      </c>
      <c r="O640" s="7">
        <v>-0.4</v>
      </c>
      <c r="P640" s="7">
        <v>-1.4</v>
      </c>
      <c r="Q640" s="7">
        <v>-1.1100000000000001</v>
      </c>
      <c r="R640" s="7">
        <v>0</v>
      </c>
      <c r="S640" s="7">
        <v>0.3</v>
      </c>
      <c r="T640" s="7">
        <v>-0.42</v>
      </c>
      <c r="U640" s="7">
        <v>-0.03</v>
      </c>
      <c r="V640" s="7">
        <v>1.19</v>
      </c>
      <c r="W640" s="7" t="s">
        <v>6</v>
      </c>
      <c r="X640" s="7" t="s">
        <v>15</v>
      </c>
      <c r="Y640" s="2" t="s">
        <v>719</v>
      </c>
      <c r="Z640" s="2" t="s">
        <v>721</v>
      </c>
    </row>
    <row r="641" spans="1:26" x14ac:dyDescent="0.35">
      <c r="A641" s="7" t="s">
        <v>1543</v>
      </c>
      <c r="B641" s="7" t="s">
        <v>638</v>
      </c>
      <c r="C641" s="4" t="str">
        <f>_xlfn.XLOOKUP(A641,[2]Sheet2!$I$2:$I$1273,[2]Sheet2!$D$2:$D$1273,0)</f>
        <v>Q3</v>
      </c>
      <c r="D641" s="4" t="str">
        <f>_xlfn.XLOOKUP(B641,[4]Sheet2!$B$2:$B$3154,[4]Sheet2!$F$2:$F$3154,0)</f>
        <v>N/ App</v>
      </c>
      <c r="E641" s="4" t="e">
        <f>_xlfn.XLOOKUP(B641,[2]Sheet2!$E$2:$E$713,[2]Sheet2!$G$2:$G$713)</f>
        <v>#N/A</v>
      </c>
      <c r="F641" s="18">
        <v>46084</v>
      </c>
      <c r="G641" s="14">
        <v>0.68670138888888888</v>
      </c>
      <c r="H641" s="7" t="s">
        <v>11</v>
      </c>
      <c r="I641" s="2" t="str">
        <f t="shared" si="53"/>
        <v>Q4</v>
      </c>
      <c r="J641" s="2" t="str">
        <f t="shared" si="49"/>
        <v>Not Match</v>
      </c>
      <c r="K641" s="2">
        <f t="shared" si="50"/>
        <v>0.3</v>
      </c>
      <c r="L641" s="2" t="e">
        <f t="shared" si="51"/>
        <v>#N/A</v>
      </c>
      <c r="M641" s="2" t="str">
        <f t="shared" si="52"/>
        <v>Below 0.8 not in assigned quadrant</v>
      </c>
      <c r="N641" s="7">
        <v>25.5</v>
      </c>
      <c r="O641" s="7">
        <v>6.6</v>
      </c>
      <c r="P641" s="7">
        <v>7.5</v>
      </c>
      <c r="Q641" s="7">
        <v>-0.34</v>
      </c>
      <c r="R641" s="7">
        <v>0</v>
      </c>
      <c r="S641" s="7">
        <v>-0.3</v>
      </c>
      <c r="T641" s="7">
        <v>-0.23</v>
      </c>
      <c r="U641" s="7">
        <v>-0.32</v>
      </c>
      <c r="V641" s="7">
        <v>0.52</v>
      </c>
      <c r="W641" s="7" t="s">
        <v>8</v>
      </c>
      <c r="X641" s="7" t="s">
        <v>9</v>
      </c>
      <c r="Y641" s="2" t="s">
        <v>719</v>
      </c>
      <c r="Z641" s="2" t="s">
        <v>721</v>
      </c>
    </row>
    <row r="642" spans="1:26" x14ac:dyDescent="0.35">
      <c r="A642" s="7" t="s">
        <v>1690</v>
      </c>
      <c r="B642" s="7" t="s">
        <v>639</v>
      </c>
      <c r="C642" s="4">
        <f>_xlfn.XLOOKUP(A642,[2]Sheet2!$I$2:$I$1273,[2]Sheet2!$D$2:$D$1273,0)</f>
        <v>0</v>
      </c>
      <c r="D642" s="4" t="str">
        <f>_xlfn.XLOOKUP(B642,[4]Sheet2!$B$2:$B$3154,[4]Sheet2!$F$2:$F$3154,0)</f>
        <v>N/ App</v>
      </c>
      <c r="E642" s="4" t="e">
        <f>_xlfn.XLOOKUP(B642,[2]Sheet2!$E$2:$E$713,[2]Sheet2!$G$2:$G$713)</f>
        <v>#N/A</v>
      </c>
      <c r="F642" s="18">
        <v>46084</v>
      </c>
      <c r="G642" s="14">
        <v>0.73072916666666665</v>
      </c>
      <c r="H642" s="7" t="s">
        <v>5</v>
      </c>
      <c r="I642" s="2" t="str">
        <f t="shared" si="53"/>
        <v>Q1</v>
      </c>
      <c r="J642" s="2" t="str">
        <f t="shared" si="49"/>
        <v>Not Found</v>
      </c>
      <c r="K642" s="2">
        <f t="shared" si="50"/>
        <v>0.85440037453175322</v>
      </c>
      <c r="L642" s="2" t="e">
        <f t="shared" si="51"/>
        <v>#N/A</v>
      </c>
      <c r="M642" s="2" t="str">
        <f t="shared" si="52"/>
        <v>Assign quadrant hit</v>
      </c>
      <c r="N642" s="7">
        <v>43.8</v>
      </c>
      <c r="O642" s="7">
        <v>52.5</v>
      </c>
      <c r="P642" s="7">
        <v>33</v>
      </c>
      <c r="Q642" s="7">
        <v>-0.21</v>
      </c>
      <c r="R642" s="7">
        <v>0.3</v>
      </c>
      <c r="S642" s="7">
        <v>0.8</v>
      </c>
      <c r="T642" s="7">
        <v>0.26</v>
      </c>
      <c r="U642" s="7">
        <v>0.36</v>
      </c>
      <c r="V642" s="7">
        <v>0.49</v>
      </c>
      <c r="W642" s="7" t="s">
        <v>8</v>
      </c>
      <c r="X642" s="7" t="s">
        <v>12</v>
      </c>
      <c r="Y642" s="2" t="s">
        <v>719</v>
      </c>
      <c r="Z642" s="2" t="s">
        <v>721</v>
      </c>
    </row>
    <row r="643" spans="1:26" x14ac:dyDescent="0.35">
      <c r="A643" s="7" t="s">
        <v>1691</v>
      </c>
      <c r="B643" s="7" t="s">
        <v>640</v>
      </c>
      <c r="C643" s="4" t="str">
        <f>_xlfn.XLOOKUP(A643,[2]Sheet2!$I$2:$I$1273,[2]Sheet2!$D$2:$D$1273,0)</f>
        <v>Q1</v>
      </c>
      <c r="D643" s="4" t="str">
        <f>_xlfn.XLOOKUP(B643,[4]Sheet2!$B$2:$B$3154,[4]Sheet2!$F$2:$F$3154,0)</f>
        <v>N/ App</v>
      </c>
      <c r="E643" s="4" t="e">
        <f>_xlfn.XLOOKUP(B643,[2]Sheet2!$E$2:$E$713,[2]Sheet2!$G$2:$G$713)</f>
        <v>#N/A</v>
      </c>
      <c r="F643" s="18">
        <v>46084</v>
      </c>
      <c r="G643" s="14">
        <v>0.7752430555555555</v>
      </c>
      <c r="H643" s="7" t="s">
        <v>11</v>
      </c>
      <c r="I643" s="2" t="str">
        <f t="shared" si="53"/>
        <v>Q3</v>
      </c>
      <c r="J643" s="2" t="str">
        <f t="shared" ref="J643:J706" si="54">IF(I643=C643,"Match",IF(C643=0,"Not Found","Not Match"))</f>
        <v>Not Match</v>
      </c>
      <c r="K643" s="2">
        <f t="shared" si="50"/>
        <v>0.82462112512353225</v>
      </c>
      <c r="L643" s="2" t="e">
        <f t="shared" si="51"/>
        <v>#N/A</v>
      </c>
      <c r="M643" s="2" t="str">
        <f t="shared" si="52"/>
        <v>Assign quadrant hit</v>
      </c>
      <c r="N643" s="7">
        <v>13.8</v>
      </c>
      <c r="O643" s="7">
        <v>-0.7</v>
      </c>
      <c r="P643" s="7">
        <v>-2</v>
      </c>
      <c r="Q643" s="7">
        <v>-0.49</v>
      </c>
      <c r="R643" s="7">
        <v>-0.2</v>
      </c>
      <c r="S643" s="7">
        <v>-0.8</v>
      </c>
      <c r="T643" s="7">
        <v>1.19</v>
      </c>
      <c r="U643" s="7">
        <v>0.22</v>
      </c>
      <c r="V643" s="7">
        <v>1.31</v>
      </c>
      <c r="W643" s="7" t="s">
        <v>6</v>
      </c>
      <c r="X643" s="7" t="s">
        <v>9</v>
      </c>
      <c r="Y643" s="2" t="s">
        <v>719</v>
      </c>
      <c r="Z643" s="2" t="s">
        <v>721</v>
      </c>
    </row>
    <row r="644" spans="1:26" x14ac:dyDescent="0.35">
      <c r="A644" s="7" t="s">
        <v>1692</v>
      </c>
      <c r="B644" s="7" t="s">
        <v>596</v>
      </c>
      <c r="C644" s="4">
        <f>_xlfn.XLOOKUP(A644,[2]Sheet2!$I$2:$I$1273,[2]Sheet2!$D$2:$D$1273,0)</f>
        <v>0</v>
      </c>
      <c r="D644" s="4" t="str">
        <f>_xlfn.XLOOKUP(B644,[4]Sheet2!$B$2:$B$3154,[4]Sheet2!$F$2:$F$3154,0)</f>
        <v>N/ App</v>
      </c>
      <c r="E644" s="4" t="e">
        <f>_xlfn.XLOOKUP(B644,[2]Sheet2!$E$2:$E$713,[2]Sheet2!$G$2:$G$713)</f>
        <v>#N/A</v>
      </c>
      <c r="F644" s="18">
        <v>46084</v>
      </c>
      <c r="G644" s="14">
        <v>0.84666666666666668</v>
      </c>
      <c r="H644" s="7" t="s">
        <v>5</v>
      </c>
      <c r="I644" s="2" t="str">
        <f t="shared" si="53"/>
        <v>Q1</v>
      </c>
      <c r="J644" s="2" t="str">
        <f t="shared" si="54"/>
        <v>Not Found</v>
      </c>
      <c r="K644" s="2">
        <f t="shared" si="50"/>
        <v>0.3</v>
      </c>
      <c r="L644" s="2" t="e">
        <f t="shared" si="51"/>
        <v>#N/A</v>
      </c>
      <c r="M644" s="2" t="str">
        <f t="shared" si="52"/>
        <v>Assign quadrant hit</v>
      </c>
      <c r="N644" s="7">
        <v>29.4</v>
      </c>
      <c r="O644" s="7">
        <v>7.2</v>
      </c>
      <c r="P644" s="7">
        <v>5.0999999999999996</v>
      </c>
      <c r="Q644" s="7">
        <v>-0.12</v>
      </c>
      <c r="R644" s="7">
        <v>0</v>
      </c>
      <c r="S644" s="7">
        <v>0.3</v>
      </c>
      <c r="T644" s="7">
        <v>0.19</v>
      </c>
      <c r="U644" s="7">
        <v>0.39</v>
      </c>
      <c r="V644" s="7">
        <v>0.45</v>
      </c>
      <c r="W644" s="7" t="s">
        <v>8</v>
      </c>
      <c r="X644" s="7" t="s">
        <v>12</v>
      </c>
      <c r="Y644" s="2" t="s">
        <v>719</v>
      </c>
      <c r="Z644" s="2" t="s">
        <v>721</v>
      </c>
    </row>
    <row r="645" spans="1:26" x14ac:dyDescent="0.35">
      <c r="A645" s="7" t="s">
        <v>1545</v>
      </c>
      <c r="B645" s="7" t="s">
        <v>641</v>
      </c>
      <c r="C645" s="4" t="str">
        <f>_xlfn.XLOOKUP(A645,[2]Sheet2!$I$2:$I$1273,[2]Sheet2!$D$2:$D$1273,0)</f>
        <v>Q2</v>
      </c>
      <c r="D645" s="4" t="str">
        <f>_xlfn.XLOOKUP(B645,[4]Sheet2!$B$2:$B$3154,[4]Sheet2!$F$2:$F$3154,0)</f>
        <v>N/ App</v>
      </c>
      <c r="E645" s="4" t="e">
        <f>_xlfn.XLOOKUP(B645,[2]Sheet2!$E$2:$E$713,[2]Sheet2!$G$2:$G$713)</f>
        <v>#N/A</v>
      </c>
      <c r="F645" s="18">
        <v>46085</v>
      </c>
      <c r="G645" s="14">
        <v>5.2546296296296299E-2</v>
      </c>
      <c r="H645" s="7" t="s">
        <v>5</v>
      </c>
      <c r="I645" s="2" t="str">
        <f t="shared" si="53"/>
        <v>Q4</v>
      </c>
      <c r="J645" s="2" t="str">
        <f t="shared" si="54"/>
        <v>Not Match</v>
      </c>
      <c r="K645" s="2">
        <f t="shared" si="50"/>
        <v>0.4</v>
      </c>
      <c r="L645" s="2" t="e">
        <f t="shared" si="51"/>
        <v>#N/A</v>
      </c>
      <c r="M645" s="2" t="str">
        <f t="shared" si="52"/>
        <v>Below 0.8 not in assigned quadrant</v>
      </c>
      <c r="N645" s="7">
        <v>18</v>
      </c>
      <c r="O645" s="7">
        <v>-0.6</v>
      </c>
      <c r="P645" s="7">
        <v>-2.8</v>
      </c>
      <c r="Q645" s="7">
        <v>0.09</v>
      </c>
      <c r="R645" s="7">
        <v>0</v>
      </c>
      <c r="S645" s="7">
        <v>-0.4</v>
      </c>
      <c r="T645" s="7">
        <v>0.52</v>
      </c>
      <c r="U645" s="7">
        <v>0.24</v>
      </c>
      <c r="V645" s="7">
        <v>0.57999999999999996</v>
      </c>
      <c r="W645" s="7" t="s">
        <v>8</v>
      </c>
      <c r="X645" s="7" t="s">
        <v>9</v>
      </c>
      <c r="Y645" s="2" t="s">
        <v>719</v>
      </c>
      <c r="Z645" s="2" t="s">
        <v>721</v>
      </c>
    </row>
    <row r="646" spans="1:26" x14ac:dyDescent="0.35">
      <c r="A646" s="7" t="s">
        <v>1574</v>
      </c>
      <c r="B646" s="7" t="s">
        <v>642</v>
      </c>
      <c r="C646" s="4" t="str">
        <f>_xlfn.XLOOKUP(A646,[2]Sheet2!$I$2:$I$1273,[2]Sheet2!$D$2:$D$1273,0)</f>
        <v>Q2</v>
      </c>
      <c r="D646" s="4" t="str">
        <f>_xlfn.XLOOKUP(B646,[4]Sheet2!$B$2:$B$3154,[4]Sheet2!$F$2:$F$3154,0)</f>
        <v>N/ App</v>
      </c>
      <c r="E646" s="4" t="e">
        <f>_xlfn.XLOOKUP(B646,[2]Sheet2!$E$2:$E$713,[2]Sheet2!$G$2:$G$713)</f>
        <v>#N/A</v>
      </c>
      <c r="F646" s="18">
        <v>46085</v>
      </c>
      <c r="G646" s="14">
        <v>5.4722222222222221E-2</v>
      </c>
      <c r="H646" s="7" t="s">
        <v>11</v>
      </c>
      <c r="I646" s="2" t="str">
        <f t="shared" si="53"/>
        <v>Q4</v>
      </c>
      <c r="J646" s="2" t="str">
        <f t="shared" si="54"/>
        <v>Not Match</v>
      </c>
      <c r="K646" s="2">
        <f t="shared" si="50"/>
        <v>0.4</v>
      </c>
      <c r="L646" s="2" t="e">
        <f t="shared" si="51"/>
        <v>#N/A</v>
      </c>
      <c r="M646" s="2" t="str">
        <f t="shared" si="52"/>
        <v>Below 0.8 not in assigned quadrant</v>
      </c>
      <c r="N646" s="7">
        <v>18.5</v>
      </c>
      <c r="O646" s="7">
        <v>-0.2</v>
      </c>
      <c r="P646" s="7">
        <v>-12.4</v>
      </c>
      <c r="Q646" s="7">
        <v>-0.61</v>
      </c>
      <c r="R646" s="7">
        <v>0</v>
      </c>
      <c r="S646" s="7">
        <v>-0.4</v>
      </c>
      <c r="T646" s="7">
        <v>0.3</v>
      </c>
      <c r="U646" s="7">
        <v>0.04</v>
      </c>
      <c r="V646" s="7">
        <v>0.68</v>
      </c>
      <c r="W646" s="7" t="s">
        <v>8</v>
      </c>
      <c r="X646" s="7" t="s">
        <v>9</v>
      </c>
      <c r="Y646" s="2" t="s">
        <v>719</v>
      </c>
      <c r="Z646" s="2" t="s">
        <v>721</v>
      </c>
    </row>
    <row r="647" spans="1:26" x14ac:dyDescent="0.35">
      <c r="A647" s="7" t="s">
        <v>1552</v>
      </c>
      <c r="B647" s="7" t="s">
        <v>643</v>
      </c>
      <c r="C647" s="4" t="str">
        <f>_xlfn.XLOOKUP(A647,[2]Sheet2!$I$2:$I$1273,[2]Sheet2!$D$2:$D$1273,0)</f>
        <v>Q1</v>
      </c>
      <c r="D647" s="4" t="str">
        <f>_xlfn.XLOOKUP(B647,[4]Sheet2!$B$2:$B$3154,[4]Sheet2!$F$2:$F$3154,0)</f>
        <v>N/ App</v>
      </c>
      <c r="E647" s="4" t="e">
        <f>_xlfn.XLOOKUP(B647,[2]Sheet2!$E$2:$E$713,[2]Sheet2!$G$2:$G$713)</f>
        <v>#N/A</v>
      </c>
      <c r="F647" s="18">
        <v>46085</v>
      </c>
      <c r="G647" s="14">
        <v>5.9432870370370372E-2</v>
      </c>
      <c r="H647" s="7" t="s">
        <v>11</v>
      </c>
      <c r="I647" s="2" t="str">
        <f t="shared" si="53"/>
        <v>Q3</v>
      </c>
      <c r="J647" s="2" t="str">
        <f t="shared" si="54"/>
        <v>Not Match</v>
      </c>
      <c r="K647" s="2">
        <f t="shared" si="50"/>
        <v>0.2</v>
      </c>
      <c r="L647" s="2" t="e">
        <f t="shared" si="51"/>
        <v>#N/A</v>
      </c>
      <c r="M647" s="2" t="str">
        <f t="shared" si="52"/>
        <v>Below 0.8 not in assigned quadrant</v>
      </c>
      <c r="N647" s="7">
        <v>13.6</v>
      </c>
      <c r="O647" s="7">
        <v>-1.3</v>
      </c>
      <c r="P647" s="7">
        <v>-2.2000000000000002</v>
      </c>
      <c r="Q647" s="7">
        <v>-0.56999999999999995</v>
      </c>
      <c r="R647" s="7">
        <v>-0.2</v>
      </c>
      <c r="S647" s="7">
        <v>0</v>
      </c>
      <c r="T647" s="7">
        <v>0.16</v>
      </c>
      <c r="U647" s="7">
        <v>-0.28999999999999998</v>
      </c>
      <c r="V647" s="7">
        <v>0.66</v>
      </c>
      <c r="W647" s="7" t="s">
        <v>8</v>
      </c>
      <c r="X647" s="7" t="s">
        <v>15</v>
      </c>
      <c r="Y647" s="2" t="s">
        <v>719</v>
      </c>
      <c r="Z647" s="2" t="s">
        <v>721</v>
      </c>
    </row>
    <row r="648" spans="1:26" x14ac:dyDescent="0.35">
      <c r="A648" s="7" t="s">
        <v>1693</v>
      </c>
      <c r="B648" s="7" t="s">
        <v>644</v>
      </c>
      <c r="C648" s="4" t="str">
        <f>_xlfn.XLOOKUP(A648,[2]Sheet2!$I$2:$I$1273,[2]Sheet2!$D$2:$D$1273,0)</f>
        <v>Q4</v>
      </c>
      <c r="D648" s="4" t="str">
        <f>_xlfn.XLOOKUP(B648,[4]Sheet2!$B$2:$B$3154,[4]Sheet2!$F$2:$F$3154,0)</f>
        <v>N/ App</v>
      </c>
      <c r="E648" s="4" t="e">
        <f>_xlfn.XLOOKUP(B648,[2]Sheet2!$E$2:$E$713,[2]Sheet2!$G$2:$G$713)</f>
        <v>#N/A</v>
      </c>
      <c r="F648" s="18">
        <v>46085</v>
      </c>
      <c r="G648" s="14">
        <v>7.2372685185185179E-2</v>
      </c>
      <c r="H648" s="7" t="s">
        <v>10</v>
      </c>
      <c r="I648" s="2" t="str">
        <f t="shared" si="53"/>
        <v>Q1</v>
      </c>
      <c r="J648" s="2" t="str">
        <f t="shared" si="54"/>
        <v>Not Match</v>
      </c>
      <c r="K648" s="2">
        <f t="shared" si="50"/>
        <v>0.67082039324993692</v>
      </c>
      <c r="L648" s="2" t="e">
        <f t="shared" si="51"/>
        <v>#N/A</v>
      </c>
      <c r="M648" s="2" t="str">
        <f t="shared" si="52"/>
        <v>Below 0.8 not in assigned quadrant</v>
      </c>
      <c r="N648" s="7">
        <v>38.1</v>
      </c>
      <c r="O648" s="7">
        <v>3.2</v>
      </c>
      <c r="P648" s="7">
        <v>20.5</v>
      </c>
      <c r="Q648" s="7">
        <v>-0.08</v>
      </c>
      <c r="R648" s="7">
        <v>0.3</v>
      </c>
      <c r="S648" s="7">
        <v>0.6</v>
      </c>
      <c r="T648" s="7">
        <v>0.41</v>
      </c>
      <c r="U648" s="7">
        <v>-0.22</v>
      </c>
      <c r="V648" s="7">
        <v>0.47</v>
      </c>
      <c r="W648" s="7" t="s">
        <v>8</v>
      </c>
      <c r="X648" s="7" t="s">
        <v>9</v>
      </c>
      <c r="Y648" s="2" t="s">
        <v>719</v>
      </c>
      <c r="Z648" s="2" t="s">
        <v>721</v>
      </c>
    </row>
    <row r="649" spans="1:26" x14ac:dyDescent="0.35">
      <c r="A649" s="7" t="s">
        <v>1540</v>
      </c>
      <c r="B649" s="7" t="s">
        <v>645</v>
      </c>
      <c r="C649" s="4" t="str">
        <f>_xlfn.XLOOKUP(A649,[2]Sheet2!$I$2:$I$1273,[2]Sheet2!$D$2:$D$1273,0)</f>
        <v>Q3</v>
      </c>
      <c r="D649" s="4" t="str">
        <f>_xlfn.XLOOKUP(B649,[4]Sheet2!$B$2:$B$3154,[4]Sheet2!$F$2:$F$3154,0)</f>
        <v>N/ App</v>
      </c>
      <c r="E649" s="4" t="e">
        <f>_xlfn.XLOOKUP(B649,[2]Sheet2!$E$2:$E$713,[2]Sheet2!$G$2:$G$713)</f>
        <v>#N/A</v>
      </c>
      <c r="F649" s="18">
        <v>46085</v>
      </c>
      <c r="G649" s="14">
        <v>8.8935185185185187E-2</v>
      </c>
      <c r="H649" s="7" t="s">
        <v>10</v>
      </c>
      <c r="I649" s="2" t="str">
        <f t="shared" si="53"/>
        <v>Q4</v>
      </c>
      <c r="J649" s="2" t="str">
        <f t="shared" si="54"/>
        <v>Not Match</v>
      </c>
      <c r="K649" s="2">
        <f t="shared" si="50"/>
        <v>0.1</v>
      </c>
      <c r="L649" s="2" t="e">
        <f t="shared" si="51"/>
        <v>#N/A</v>
      </c>
      <c r="M649" s="2" t="str">
        <f t="shared" si="52"/>
        <v>Assign quadrant hit</v>
      </c>
      <c r="N649" s="7">
        <v>13.3</v>
      </c>
      <c r="O649" s="7">
        <v>0.6</v>
      </c>
      <c r="P649" s="7">
        <v>-1.1000000000000001</v>
      </c>
      <c r="Q649" s="7">
        <v>-1.19</v>
      </c>
      <c r="R649" s="7">
        <v>0.1</v>
      </c>
      <c r="S649" s="7">
        <v>0</v>
      </c>
      <c r="T649" s="7">
        <v>-0.04</v>
      </c>
      <c r="U649" s="7">
        <v>0.2</v>
      </c>
      <c r="V649" s="7">
        <v>1.2</v>
      </c>
      <c r="W649" s="7" t="s">
        <v>6</v>
      </c>
      <c r="X649" s="7" t="s">
        <v>9</v>
      </c>
      <c r="Y649" s="2" t="s">
        <v>719</v>
      </c>
      <c r="Z649" s="2" t="s">
        <v>721</v>
      </c>
    </row>
    <row r="650" spans="1:26" x14ac:dyDescent="0.35">
      <c r="A650" s="7" t="s">
        <v>1507</v>
      </c>
      <c r="B650" s="7" t="s">
        <v>646</v>
      </c>
      <c r="C650" s="4" t="str">
        <f>_xlfn.XLOOKUP(A650,[2]Sheet2!$I$2:$I$1273,[2]Sheet2!$D$2:$D$1273,0)</f>
        <v>Q3</v>
      </c>
      <c r="D650" s="4" t="str">
        <f>_xlfn.XLOOKUP(B650,[4]Sheet2!$B$2:$B$3154,[4]Sheet2!$F$2:$F$3154,0)</f>
        <v>C/APP</v>
      </c>
      <c r="E650" s="4" t="e">
        <f>_xlfn.XLOOKUP(B650,[2]Sheet2!$E$2:$E$713,[2]Sheet2!$G$2:$G$713)</f>
        <v>#N/A</v>
      </c>
      <c r="F650" s="18">
        <v>46085</v>
      </c>
      <c r="G650" s="14">
        <v>0.10971064814814815</v>
      </c>
      <c r="H650" s="7" t="s">
        <v>10</v>
      </c>
      <c r="I650" s="2" t="str">
        <f t="shared" si="53"/>
        <v>Q1</v>
      </c>
      <c r="J650" s="2" t="str">
        <f t="shared" si="54"/>
        <v>Not Match</v>
      </c>
      <c r="K650" s="2">
        <f t="shared" si="50"/>
        <v>0.3</v>
      </c>
      <c r="L650" s="2" t="e">
        <f t="shared" si="51"/>
        <v>#N/A</v>
      </c>
      <c r="M650" s="2" t="str">
        <f t="shared" si="52"/>
        <v>Assign quadrant hit</v>
      </c>
      <c r="N650" s="7">
        <v>15.3</v>
      </c>
      <c r="O650" s="7">
        <v>0.9</v>
      </c>
      <c r="P650" s="7">
        <v>0.2</v>
      </c>
      <c r="Q650" s="7">
        <v>-0.93</v>
      </c>
      <c r="R650" s="7">
        <v>0</v>
      </c>
      <c r="S650" s="7">
        <v>0.3</v>
      </c>
      <c r="T650" s="7">
        <v>0.16</v>
      </c>
      <c r="U650" s="7">
        <v>0.53</v>
      </c>
      <c r="V650" s="7">
        <v>1.08</v>
      </c>
      <c r="W650" s="7" t="s">
        <v>6</v>
      </c>
      <c r="X650" s="7" t="s">
        <v>9</v>
      </c>
      <c r="Y650" s="2" t="s">
        <v>719</v>
      </c>
      <c r="Z650" s="2" t="s">
        <v>721</v>
      </c>
    </row>
    <row r="651" spans="1:26" x14ac:dyDescent="0.35">
      <c r="A651" s="7" t="s">
        <v>1612</v>
      </c>
      <c r="B651" s="7" t="s">
        <v>647</v>
      </c>
      <c r="C651" s="4" t="str">
        <f>_xlfn.XLOOKUP(A651,[2]Sheet2!$I$2:$I$1273,[2]Sheet2!$D$2:$D$1273,0)</f>
        <v>Q1</v>
      </c>
      <c r="D651" s="4" t="str">
        <f>_xlfn.XLOOKUP(B651,[4]Sheet2!$B$2:$B$3154,[4]Sheet2!$F$2:$F$3154,0)</f>
        <v>N/ App</v>
      </c>
      <c r="E651" s="4" t="e">
        <f>_xlfn.XLOOKUP(B651,[2]Sheet2!$E$2:$E$713,[2]Sheet2!$G$2:$G$713)</f>
        <v>#N/A</v>
      </c>
      <c r="F651" s="18">
        <v>46085</v>
      </c>
      <c r="G651" s="14">
        <v>0.2726736111111111</v>
      </c>
      <c r="H651" s="7" t="s">
        <v>5</v>
      </c>
      <c r="I651" s="2" t="str">
        <f t="shared" si="53"/>
        <v>Q1</v>
      </c>
      <c r="J651" s="2" t="str">
        <f t="shared" si="54"/>
        <v>Match</v>
      </c>
      <c r="K651" s="2">
        <f t="shared" si="50"/>
        <v>0</v>
      </c>
      <c r="L651" s="2" t="e">
        <f t="shared" si="51"/>
        <v>#N/A</v>
      </c>
      <c r="M651" s="2" t="str">
        <f t="shared" si="52"/>
        <v>Failed but within quadrant</v>
      </c>
      <c r="N651" s="7">
        <v>15.7</v>
      </c>
      <c r="O651" s="7">
        <v>-0.3</v>
      </c>
      <c r="P651" s="7">
        <v>-3.5</v>
      </c>
      <c r="Q651" s="7">
        <v>-1.71</v>
      </c>
      <c r="R651" s="7">
        <v>0</v>
      </c>
      <c r="S651" s="7">
        <v>0</v>
      </c>
      <c r="T651" s="7">
        <v>-0.08</v>
      </c>
      <c r="U651" s="7">
        <v>-0.09</v>
      </c>
      <c r="V651" s="7">
        <v>1.71</v>
      </c>
      <c r="W651" s="7" t="s">
        <v>6</v>
      </c>
      <c r="X651" s="7" t="s">
        <v>15</v>
      </c>
      <c r="Y651" s="2" t="s">
        <v>719</v>
      </c>
      <c r="Z651" s="2" t="s">
        <v>721</v>
      </c>
    </row>
    <row r="652" spans="1:26" x14ac:dyDescent="0.35">
      <c r="A652" s="7" t="s">
        <v>1687</v>
      </c>
      <c r="B652" s="7" t="s">
        <v>648</v>
      </c>
      <c r="C652" s="4" t="str">
        <f>_xlfn.XLOOKUP(A652,[2]Sheet2!$I$2:$I$1273,[2]Sheet2!$D$2:$D$1273,0)</f>
        <v>Q3</v>
      </c>
      <c r="D652" s="4" t="str">
        <f>_xlfn.XLOOKUP(B652,[4]Sheet2!$B$2:$B$3154,[4]Sheet2!$F$2:$F$3154,0)</f>
        <v>C/APP</v>
      </c>
      <c r="E652" s="4" t="e">
        <f>_xlfn.XLOOKUP(B652,[2]Sheet2!$E$2:$E$713,[2]Sheet2!$G$2:$G$713)</f>
        <v>#N/A</v>
      </c>
      <c r="F652" s="18">
        <v>46085</v>
      </c>
      <c r="G652" s="14">
        <v>0.27620370370370373</v>
      </c>
      <c r="H652" s="7" t="s">
        <v>5</v>
      </c>
      <c r="I652" s="2" t="str">
        <f t="shared" si="53"/>
        <v>Q2</v>
      </c>
      <c r="J652" s="2" t="str">
        <f t="shared" si="54"/>
        <v>Not Match</v>
      </c>
      <c r="K652" s="2">
        <f t="shared" si="50"/>
        <v>0.60827625302982191</v>
      </c>
      <c r="L652" s="2" t="e">
        <f t="shared" si="51"/>
        <v>#N/A</v>
      </c>
      <c r="M652" s="2" t="str">
        <f t="shared" si="52"/>
        <v>Assign quadrant hit</v>
      </c>
      <c r="N652" s="7">
        <v>34.200000000000003</v>
      </c>
      <c r="O652" s="7">
        <v>11.2</v>
      </c>
      <c r="P652" s="7">
        <v>12.9</v>
      </c>
      <c r="Q652" s="7">
        <v>-0.27</v>
      </c>
      <c r="R652" s="7">
        <v>-0.6</v>
      </c>
      <c r="S652" s="7">
        <v>0.1</v>
      </c>
      <c r="T652" s="7">
        <v>-0.2</v>
      </c>
      <c r="U652" s="7">
        <v>0.83</v>
      </c>
      <c r="V652" s="7">
        <v>0.89</v>
      </c>
      <c r="W652" s="7" t="s">
        <v>13</v>
      </c>
      <c r="X652" s="7" t="s">
        <v>12</v>
      </c>
      <c r="Y652" s="2" t="s">
        <v>719</v>
      </c>
      <c r="Z652" s="2" t="s">
        <v>721</v>
      </c>
    </row>
    <row r="653" spans="1:26" x14ac:dyDescent="0.35">
      <c r="A653" s="7" t="s">
        <v>1543</v>
      </c>
      <c r="B653" s="7" t="s">
        <v>650</v>
      </c>
      <c r="C653" s="4" t="str">
        <f>_xlfn.XLOOKUP(A653,[2]Sheet2!$I$2:$I$1273,[2]Sheet2!$D$2:$D$1273,0)</f>
        <v>Q3</v>
      </c>
      <c r="D653" s="4" t="str">
        <f>_xlfn.XLOOKUP(B653,[4]Sheet2!$B$2:$B$3154,[4]Sheet2!$F$2:$F$3154,0)</f>
        <v>N/ App</v>
      </c>
      <c r="E653" s="4" t="e">
        <f>_xlfn.XLOOKUP(B653,[2]Sheet2!$E$2:$E$713,[2]Sheet2!$G$2:$G$713)</f>
        <v>#N/A</v>
      </c>
      <c r="F653" s="18">
        <v>46085</v>
      </c>
      <c r="G653" s="14">
        <v>0.40987268518518516</v>
      </c>
      <c r="H653" s="7" t="s">
        <v>11</v>
      </c>
      <c r="I653" s="2" t="str">
        <f t="shared" si="53"/>
        <v>Q2</v>
      </c>
      <c r="J653" s="2" t="str">
        <f t="shared" si="54"/>
        <v>Not Match</v>
      </c>
      <c r="K653" s="2">
        <f t="shared" si="50"/>
        <v>0.31622776601683794</v>
      </c>
      <c r="L653" s="2" t="e">
        <f t="shared" si="51"/>
        <v>#N/A</v>
      </c>
      <c r="M653" s="2" t="str">
        <f t="shared" si="52"/>
        <v>Below 0.8 not in assigned quadrant</v>
      </c>
      <c r="N653" s="7">
        <v>25.9</v>
      </c>
      <c r="O653" s="7">
        <v>6.5</v>
      </c>
      <c r="P653" s="7">
        <v>8.1</v>
      </c>
      <c r="Q653" s="7">
        <v>-0.11</v>
      </c>
      <c r="R653" s="7">
        <v>-0.1</v>
      </c>
      <c r="S653" s="7">
        <v>0.3</v>
      </c>
      <c r="T653" s="7">
        <v>0.13</v>
      </c>
      <c r="U653" s="7">
        <v>0.56999999999999995</v>
      </c>
      <c r="V653" s="7">
        <v>0.6</v>
      </c>
      <c r="W653" s="7" t="s">
        <v>8</v>
      </c>
      <c r="X653" s="7" t="s">
        <v>12</v>
      </c>
      <c r="Y653" s="2" t="s">
        <v>719</v>
      </c>
      <c r="Z653" s="2" t="s">
        <v>721</v>
      </c>
    </row>
    <row r="654" spans="1:26" x14ac:dyDescent="0.35">
      <c r="A654" s="7" t="s">
        <v>1515</v>
      </c>
      <c r="B654" s="7" t="s">
        <v>651</v>
      </c>
      <c r="C654" s="4" t="str">
        <f>_xlfn.XLOOKUP(A654,[2]Sheet2!$I$2:$I$1273,[2]Sheet2!$D$2:$D$1273,0)</f>
        <v>Q3</v>
      </c>
      <c r="D654" s="4" t="str">
        <f>_xlfn.XLOOKUP(B654,[4]Sheet2!$B$2:$B$3154,[4]Sheet2!$F$2:$F$3154,0)</f>
        <v>N/ App</v>
      </c>
      <c r="E654" s="4" t="e">
        <f>_xlfn.XLOOKUP(B654,[2]Sheet2!$E$2:$E$713,[2]Sheet2!$G$2:$G$713)</f>
        <v>#N/A</v>
      </c>
      <c r="F654" s="18">
        <v>46085</v>
      </c>
      <c r="G654" s="14">
        <v>0.560150462962963</v>
      </c>
      <c r="H654" s="7" t="s">
        <v>11</v>
      </c>
      <c r="I654" s="2" t="str">
        <f t="shared" si="53"/>
        <v>Q3</v>
      </c>
      <c r="J654" s="2" t="str">
        <f t="shared" si="54"/>
        <v>Match</v>
      </c>
      <c r="K654" s="2">
        <f t="shared" si="50"/>
        <v>0.1</v>
      </c>
      <c r="L654" s="2" t="e">
        <f t="shared" si="51"/>
        <v>#N/A</v>
      </c>
      <c r="M654" s="2" t="str">
        <f t="shared" si="52"/>
        <v>Failed but within quadrant</v>
      </c>
      <c r="N654" s="7">
        <v>13.2</v>
      </c>
      <c r="O654" s="7">
        <v>-0.4</v>
      </c>
      <c r="P654" s="7">
        <v>-2.2000000000000002</v>
      </c>
      <c r="Q654" s="7">
        <v>-1.54</v>
      </c>
      <c r="R654" s="7">
        <v>-0.1</v>
      </c>
      <c r="S654" s="7">
        <v>0</v>
      </c>
      <c r="T654" s="7">
        <v>0.1</v>
      </c>
      <c r="U654" s="7">
        <v>-0.15</v>
      </c>
      <c r="V654" s="7">
        <v>1.55</v>
      </c>
      <c r="W654" s="7" t="s">
        <v>6</v>
      </c>
      <c r="X654" s="7" t="s">
        <v>15</v>
      </c>
      <c r="Y654" s="2" t="s">
        <v>719</v>
      </c>
      <c r="Z654" s="2" t="s">
        <v>721</v>
      </c>
    </row>
    <row r="655" spans="1:26" x14ac:dyDescent="0.35">
      <c r="A655" s="7" t="s">
        <v>1540</v>
      </c>
      <c r="B655" s="7" t="s">
        <v>652</v>
      </c>
      <c r="C655" s="4" t="str">
        <f>_xlfn.XLOOKUP(A655,[2]Sheet2!$I$2:$I$1273,[2]Sheet2!$D$2:$D$1273,0)</f>
        <v>Q3</v>
      </c>
      <c r="D655" s="4" t="str">
        <f>_xlfn.XLOOKUP(B655,[4]Sheet2!$B$2:$B$3154,[4]Sheet2!$F$2:$F$3154,0)</f>
        <v>N/ App</v>
      </c>
      <c r="E655" s="4" t="e">
        <f>_xlfn.XLOOKUP(B655,[2]Sheet2!$E$2:$E$713,[2]Sheet2!$G$2:$G$713)</f>
        <v>#N/A</v>
      </c>
      <c r="F655" s="18">
        <v>46085</v>
      </c>
      <c r="G655" s="14">
        <v>0.57844907407407409</v>
      </c>
      <c r="H655" s="7" t="s">
        <v>11</v>
      </c>
      <c r="I655" s="2" t="str">
        <f t="shared" si="53"/>
        <v>Q1</v>
      </c>
      <c r="J655" s="2" t="str">
        <f t="shared" si="54"/>
        <v>Not Match</v>
      </c>
      <c r="K655" s="2">
        <f t="shared" si="50"/>
        <v>0.1</v>
      </c>
      <c r="L655" s="2" t="e">
        <f t="shared" si="51"/>
        <v>#N/A</v>
      </c>
      <c r="M655" s="2" t="str">
        <f t="shared" si="52"/>
        <v>Below 0.8 not in assigned quadrant</v>
      </c>
      <c r="N655" s="7">
        <v>13.5</v>
      </c>
      <c r="O655" s="7">
        <v>-0.4</v>
      </c>
      <c r="P655" s="7">
        <v>-1.6</v>
      </c>
      <c r="Q655" s="7">
        <v>-0.65</v>
      </c>
      <c r="R655" s="7">
        <v>0</v>
      </c>
      <c r="S655" s="7">
        <v>0.1</v>
      </c>
      <c r="T655" s="7">
        <v>-0.15</v>
      </c>
      <c r="U655" s="7">
        <v>0.03</v>
      </c>
      <c r="V655" s="7">
        <v>0.67</v>
      </c>
      <c r="W655" s="7" t="s">
        <v>8</v>
      </c>
      <c r="X655" s="7" t="s">
        <v>9</v>
      </c>
      <c r="Y655" s="2" t="s">
        <v>719</v>
      </c>
      <c r="Z655" s="2" t="s">
        <v>721</v>
      </c>
    </row>
    <row r="656" spans="1:26" x14ac:dyDescent="0.35">
      <c r="A656" s="7" t="s">
        <v>1548</v>
      </c>
      <c r="B656" s="7" t="s">
        <v>653</v>
      </c>
      <c r="C656" s="4" t="str">
        <f>_xlfn.XLOOKUP(A656,[2]Sheet2!$I$2:$I$1273,[2]Sheet2!$D$2:$D$1273,0)</f>
        <v>Q4</v>
      </c>
      <c r="D656" s="4" t="str">
        <f>_xlfn.XLOOKUP(B656,[4]Sheet2!$B$2:$B$3154,[4]Sheet2!$F$2:$F$3154,0)</f>
        <v>N/ App</v>
      </c>
      <c r="E656" s="4" t="e">
        <f>_xlfn.XLOOKUP(B656,[2]Sheet2!$E$2:$E$713,[2]Sheet2!$G$2:$G$713)</f>
        <v>#N/A</v>
      </c>
      <c r="F656" s="18">
        <v>46085</v>
      </c>
      <c r="G656" s="14">
        <v>0.59780092592592593</v>
      </c>
      <c r="H656" s="7" t="s">
        <v>5</v>
      </c>
      <c r="I656" s="2" t="str">
        <f t="shared" si="53"/>
        <v>Q1</v>
      </c>
      <c r="J656" s="2" t="str">
        <f t="shared" si="54"/>
        <v>Not Match</v>
      </c>
      <c r="K656" s="2">
        <f t="shared" si="50"/>
        <v>0.41231056256176613</v>
      </c>
      <c r="L656" s="2" t="e">
        <f t="shared" si="51"/>
        <v>#N/A</v>
      </c>
      <c r="M656" s="2" t="str">
        <f t="shared" si="52"/>
        <v>Below 0.8 not in assigned quadrant</v>
      </c>
      <c r="N656" s="7">
        <v>26</v>
      </c>
      <c r="O656" s="7">
        <v>3.4</v>
      </c>
      <c r="P656" s="7">
        <v>8.1999999999999993</v>
      </c>
      <c r="Q656" s="7">
        <v>0.08</v>
      </c>
      <c r="R656" s="7">
        <v>0.1</v>
      </c>
      <c r="S656" s="7">
        <v>0.4</v>
      </c>
      <c r="T656" s="7">
        <v>0.47</v>
      </c>
      <c r="U656" s="7">
        <v>0.03</v>
      </c>
      <c r="V656" s="7">
        <v>0.48</v>
      </c>
      <c r="W656" s="7" t="s">
        <v>8</v>
      </c>
      <c r="X656" s="7" t="s">
        <v>12</v>
      </c>
      <c r="Y656" s="2" t="s">
        <v>719</v>
      </c>
      <c r="Z656" s="2" t="s">
        <v>721</v>
      </c>
    </row>
    <row r="657" spans="1:26" x14ac:dyDescent="0.35">
      <c r="A657" s="7" t="s">
        <v>1676</v>
      </c>
      <c r="B657" s="7" t="s">
        <v>654</v>
      </c>
      <c r="C657" s="4" t="str">
        <f>_xlfn.XLOOKUP(A657,[2]Sheet2!$I$2:$I$1273,[2]Sheet2!$D$2:$D$1273,0)</f>
        <v>Q2</v>
      </c>
      <c r="D657" s="4" t="str">
        <f>_xlfn.XLOOKUP(B657,[4]Sheet2!$B$2:$B$3154,[4]Sheet2!$F$2:$F$3154,0)</f>
        <v>N/ App</v>
      </c>
      <c r="E657" s="4" t="e">
        <f>_xlfn.XLOOKUP(B657,[2]Sheet2!$E$2:$E$713,[2]Sheet2!$G$2:$G$713)</f>
        <v>#N/A</v>
      </c>
      <c r="F657" s="18">
        <v>46085</v>
      </c>
      <c r="G657" s="14">
        <v>0.61421296296296302</v>
      </c>
      <c r="H657" s="7" t="s">
        <v>11</v>
      </c>
      <c r="I657" s="2" t="str">
        <f t="shared" si="53"/>
        <v>Q1</v>
      </c>
      <c r="J657" s="2" t="str">
        <f t="shared" si="54"/>
        <v>Not Match</v>
      </c>
      <c r="K657" s="2">
        <f t="shared" si="50"/>
        <v>0.53851648071345048</v>
      </c>
      <c r="L657" s="2" t="e">
        <f t="shared" si="51"/>
        <v>#N/A</v>
      </c>
      <c r="M657" s="2" t="str">
        <f t="shared" si="52"/>
        <v>Below 0.8 not in assigned quadrant</v>
      </c>
      <c r="N657" s="7">
        <v>23.8</v>
      </c>
      <c r="O657" s="7">
        <v>11.7</v>
      </c>
      <c r="P657" s="7">
        <v>-0.9</v>
      </c>
      <c r="Q657" s="7">
        <v>-0.41</v>
      </c>
      <c r="R657" s="7">
        <v>0.5</v>
      </c>
      <c r="S657" s="7">
        <v>0.2</v>
      </c>
      <c r="T657" s="7">
        <v>0.4</v>
      </c>
      <c r="U657" s="7">
        <v>0.36</v>
      </c>
      <c r="V657" s="7">
        <v>0.68</v>
      </c>
      <c r="W657" s="7" t="s">
        <v>8</v>
      </c>
      <c r="X657" s="7" t="s">
        <v>9</v>
      </c>
      <c r="Y657" s="2" t="s">
        <v>719</v>
      </c>
      <c r="Z657" s="2" t="s">
        <v>721</v>
      </c>
    </row>
    <row r="658" spans="1:26" x14ac:dyDescent="0.35">
      <c r="A658" s="7" t="s">
        <v>1540</v>
      </c>
      <c r="B658" s="7" t="s">
        <v>655</v>
      </c>
      <c r="C658" s="4" t="str">
        <f>_xlfn.XLOOKUP(A658,[2]Sheet2!$I$2:$I$1273,[2]Sheet2!$D$2:$D$1273,0)</f>
        <v>Q3</v>
      </c>
      <c r="D658" s="4" t="str">
        <f>_xlfn.XLOOKUP(B658,[4]Sheet2!$B$2:$B$3154,[4]Sheet2!$F$2:$F$3154,0)</f>
        <v>N/ App</v>
      </c>
      <c r="E658" s="4" t="e">
        <f>_xlfn.XLOOKUP(B658,[2]Sheet2!$E$2:$E$713,[2]Sheet2!$G$2:$G$713)</f>
        <v>#N/A</v>
      </c>
      <c r="F658" s="18">
        <v>46085</v>
      </c>
      <c r="G658" s="14">
        <v>0.63248842592592591</v>
      </c>
      <c r="H658" s="7" t="s">
        <v>11</v>
      </c>
      <c r="I658" s="2" t="str">
        <f t="shared" si="53"/>
        <v>Q1</v>
      </c>
      <c r="J658" s="2" t="str">
        <f t="shared" si="54"/>
        <v>Not Match</v>
      </c>
      <c r="K658" s="2">
        <f t="shared" si="50"/>
        <v>0.2</v>
      </c>
      <c r="L658" s="2" t="e">
        <f t="shared" si="51"/>
        <v>#N/A</v>
      </c>
      <c r="M658" s="2" t="str">
        <f t="shared" si="52"/>
        <v>Below 0.8 not in assigned quadrant</v>
      </c>
      <c r="N658" s="7">
        <v>13.6</v>
      </c>
      <c r="O658" s="7">
        <v>-0.4</v>
      </c>
      <c r="P658" s="7">
        <v>-1.4</v>
      </c>
      <c r="Q658" s="7">
        <v>-0.54</v>
      </c>
      <c r="R658" s="7">
        <v>0</v>
      </c>
      <c r="S658" s="7">
        <v>0.2</v>
      </c>
      <c r="T658" s="7">
        <v>-0.36</v>
      </c>
      <c r="U658" s="7">
        <v>-0.03</v>
      </c>
      <c r="V658" s="7">
        <v>0.65</v>
      </c>
      <c r="W658" s="7" t="s">
        <v>8</v>
      </c>
      <c r="X658" s="7" t="s">
        <v>15</v>
      </c>
      <c r="Y658" s="2" t="s">
        <v>719</v>
      </c>
      <c r="Z658" s="2" t="s">
        <v>721</v>
      </c>
    </row>
    <row r="659" spans="1:26" x14ac:dyDescent="0.35">
      <c r="A659" s="7" t="s">
        <v>1612</v>
      </c>
      <c r="B659" s="7" t="s">
        <v>656</v>
      </c>
      <c r="C659" s="4" t="str">
        <f>_xlfn.XLOOKUP(A659,[2]Sheet2!$I$2:$I$1273,[2]Sheet2!$D$2:$D$1273,0)</f>
        <v>Q1</v>
      </c>
      <c r="D659" s="4" t="str">
        <f>_xlfn.XLOOKUP(B659,[4]Sheet2!$B$2:$B$3154,[4]Sheet2!$F$2:$F$3154,0)</f>
        <v>C/APP</v>
      </c>
      <c r="E659" s="4" t="e">
        <f>_xlfn.XLOOKUP(B659,[2]Sheet2!$E$2:$E$713,[2]Sheet2!$G$2:$G$713)</f>
        <v>#N/A</v>
      </c>
      <c r="F659" s="18">
        <v>46085</v>
      </c>
      <c r="G659" s="14">
        <v>0.66451388888888885</v>
      </c>
      <c r="H659" s="7" t="s">
        <v>5</v>
      </c>
      <c r="I659" s="2" t="str">
        <f t="shared" si="53"/>
        <v>Q1</v>
      </c>
      <c r="J659" s="2" t="str">
        <f t="shared" si="54"/>
        <v>Match</v>
      </c>
      <c r="K659" s="2">
        <f t="shared" si="50"/>
        <v>0.4</v>
      </c>
      <c r="L659" s="2" t="e">
        <f t="shared" si="51"/>
        <v>#N/A</v>
      </c>
      <c r="M659" s="2" t="str">
        <f t="shared" si="52"/>
        <v>Failed but within quadrant</v>
      </c>
      <c r="N659" s="7">
        <v>15.7</v>
      </c>
      <c r="O659" s="7">
        <v>-0.2</v>
      </c>
      <c r="P659" s="7">
        <v>-3.1</v>
      </c>
      <c r="Q659" s="7">
        <v>-1.75</v>
      </c>
      <c r="R659" s="7">
        <v>0</v>
      </c>
      <c r="S659" s="7">
        <v>0.4</v>
      </c>
      <c r="T659" s="7">
        <v>-0.49</v>
      </c>
      <c r="U659" s="7">
        <v>0.03</v>
      </c>
      <c r="V659" s="7">
        <v>1.81</v>
      </c>
      <c r="W659" s="7" t="s">
        <v>6</v>
      </c>
      <c r="X659" s="7" t="s">
        <v>9</v>
      </c>
      <c r="Y659" s="2" t="s">
        <v>719</v>
      </c>
      <c r="Z659" s="2" t="s">
        <v>721</v>
      </c>
    </row>
    <row r="660" spans="1:26" x14ac:dyDescent="0.35">
      <c r="A660" s="7" t="s">
        <v>1612</v>
      </c>
      <c r="B660" s="7" t="s">
        <v>657</v>
      </c>
      <c r="C660" s="4" t="str">
        <f>_xlfn.XLOOKUP(A660,[2]Sheet2!$I$2:$I$1273,[2]Sheet2!$D$2:$D$1273,0)</f>
        <v>Q1</v>
      </c>
      <c r="D660" s="4" t="str">
        <f>_xlfn.XLOOKUP(B660,[4]Sheet2!$B$2:$B$3154,[4]Sheet2!$F$2:$F$3154,0)</f>
        <v>N/ App</v>
      </c>
      <c r="E660" s="4" t="e">
        <f>_xlfn.XLOOKUP(B660,[2]Sheet2!$E$2:$E$713,[2]Sheet2!$G$2:$G$713)</f>
        <v>#N/A</v>
      </c>
      <c r="F660" s="18">
        <v>46085</v>
      </c>
      <c r="G660" s="14">
        <v>0.66574074074074074</v>
      </c>
      <c r="H660" s="7" t="s">
        <v>5</v>
      </c>
      <c r="I660" s="2" t="str">
        <f t="shared" si="53"/>
        <v>Q1</v>
      </c>
      <c r="J660" s="2" t="str">
        <f t="shared" si="54"/>
        <v>Match</v>
      </c>
      <c r="K660" s="2">
        <f t="shared" si="50"/>
        <v>0</v>
      </c>
      <c r="L660" s="2" t="e">
        <f t="shared" si="51"/>
        <v>#N/A</v>
      </c>
      <c r="M660" s="2" t="str">
        <f t="shared" si="52"/>
        <v>Digital Approve Hit</v>
      </c>
      <c r="N660" s="7">
        <v>16.7</v>
      </c>
      <c r="O660" s="7">
        <v>-0.3</v>
      </c>
      <c r="P660" s="7">
        <v>-3.5</v>
      </c>
      <c r="Q660" s="7">
        <v>-0.8</v>
      </c>
      <c r="R660" s="7">
        <v>0</v>
      </c>
      <c r="S660" s="7">
        <v>0</v>
      </c>
      <c r="T660" s="7">
        <v>-0.06</v>
      </c>
      <c r="U660" s="7">
        <v>-0.05</v>
      </c>
      <c r="V660" s="7">
        <v>0.8</v>
      </c>
      <c r="W660" s="7" t="s">
        <v>13</v>
      </c>
      <c r="X660" s="7" t="s">
        <v>15</v>
      </c>
      <c r="Y660" s="2" t="s">
        <v>719</v>
      </c>
      <c r="Z660" s="2" t="s">
        <v>721</v>
      </c>
    </row>
    <row r="661" spans="1:26" x14ac:dyDescent="0.35">
      <c r="A661" s="7" t="s">
        <v>1574</v>
      </c>
      <c r="B661" s="7" t="s">
        <v>659</v>
      </c>
      <c r="C661" s="4" t="str">
        <f>_xlfn.XLOOKUP(A661,[2]Sheet2!$I$2:$I$1273,[2]Sheet2!$D$2:$D$1273,0)</f>
        <v>Q2</v>
      </c>
      <c r="D661" s="4" t="str">
        <f>_xlfn.XLOOKUP(B661,[4]Sheet2!$B$2:$B$3154,[4]Sheet2!$F$2:$F$3154,0)</f>
        <v>N/ App</v>
      </c>
      <c r="E661" s="4" t="e">
        <f>_xlfn.XLOOKUP(B661,[2]Sheet2!$E$2:$E$713,[2]Sheet2!$G$2:$G$713)</f>
        <v>#N/A</v>
      </c>
      <c r="F661" s="18">
        <v>46085</v>
      </c>
      <c r="G661" s="14">
        <v>0.69412037037037033</v>
      </c>
      <c r="H661" s="7" t="s">
        <v>11</v>
      </c>
      <c r="I661" s="2" t="str">
        <f t="shared" si="53"/>
        <v>Q4</v>
      </c>
      <c r="J661" s="2" t="str">
        <f t="shared" si="54"/>
        <v>Not Match</v>
      </c>
      <c r="K661" s="2">
        <f t="shared" si="50"/>
        <v>0.3</v>
      </c>
      <c r="L661" s="2" t="e">
        <f t="shared" si="51"/>
        <v>#N/A</v>
      </c>
      <c r="M661" s="2" t="str">
        <f t="shared" si="52"/>
        <v>Below 0.8 not in assigned quadrant</v>
      </c>
      <c r="N661" s="7">
        <v>18.7</v>
      </c>
      <c r="O661" s="7">
        <v>-0.2</v>
      </c>
      <c r="P661" s="7">
        <v>-12.4</v>
      </c>
      <c r="Q661" s="7">
        <v>-0.49</v>
      </c>
      <c r="R661" s="7">
        <v>0</v>
      </c>
      <c r="S661" s="7">
        <v>-0.3</v>
      </c>
      <c r="T661" s="7">
        <v>0.26</v>
      </c>
      <c r="U661" s="7">
        <v>0.09</v>
      </c>
      <c r="V661" s="7">
        <v>0.56000000000000005</v>
      </c>
      <c r="W661" s="7" t="s">
        <v>8</v>
      </c>
      <c r="X661" s="7" t="s">
        <v>9</v>
      </c>
      <c r="Y661" s="2" t="s">
        <v>719</v>
      </c>
      <c r="Z661" s="2" t="s">
        <v>721</v>
      </c>
    </row>
    <row r="662" spans="1:26" x14ac:dyDescent="0.35">
      <c r="A662" s="7" t="s">
        <v>1676</v>
      </c>
      <c r="B662" s="7" t="s">
        <v>660</v>
      </c>
      <c r="C662" s="4" t="str">
        <f>_xlfn.XLOOKUP(A662,[2]Sheet2!$I$2:$I$1273,[2]Sheet2!$D$2:$D$1273,0)</f>
        <v>Q2</v>
      </c>
      <c r="D662" s="4" t="str">
        <f>_xlfn.XLOOKUP(B662,[4]Sheet2!$B$2:$B$3154,[4]Sheet2!$F$2:$F$3154,0)</f>
        <v>N/ App</v>
      </c>
      <c r="E662" s="4" t="e">
        <f>_xlfn.XLOOKUP(B662,[2]Sheet2!$E$2:$E$713,[2]Sheet2!$G$2:$G$713)</f>
        <v>#N/A</v>
      </c>
      <c r="F662" s="18">
        <v>46085</v>
      </c>
      <c r="G662" s="14">
        <v>0.75320601851851854</v>
      </c>
      <c r="H662" s="7" t="s">
        <v>11</v>
      </c>
      <c r="I662" s="2" t="str">
        <f t="shared" si="53"/>
        <v>Q4</v>
      </c>
      <c r="J662" s="2" t="str">
        <f t="shared" si="54"/>
        <v>Not Match</v>
      </c>
      <c r="K662" s="2">
        <f t="shared" si="50"/>
        <v>0.1</v>
      </c>
      <c r="L662" s="2" t="e">
        <f t="shared" si="51"/>
        <v>#N/A</v>
      </c>
      <c r="M662" s="2" t="str">
        <f t="shared" si="52"/>
        <v>Below 0.8 not in assigned quadrant</v>
      </c>
      <c r="N662" s="7">
        <v>24.1</v>
      </c>
      <c r="O662" s="7">
        <v>11.2</v>
      </c>
      <c r="P662" s="7">
        <v>-1.3</v>
      </c>
      <c r="Q662" s="7">
        <v>-0.21</v>
      </c>
      <c r="R662" s="7">
        <v>0.1</v>
      </c>
      <c r="S662" s="7">
        <v>0</v>
      </c>
      <c r="T662" s="7">
        <v>0.12</v>
      </c>
      <c r="U662" s="7">
        <v>0.04</v>
      </c>
      <c r="V662" s="7">
        <v>0.25</v>
      </c>
      <c r="W662" s="7" t="s">
        <v>8</v>
      </c>
      <c r="X662" s="7" t="s">
        <v>9</v>
      </c>
      <c r="Y662" s="2" t="s">
        <v>719</v>
      </c>
      <c r="Z662" s="2" t="s">
        <v>721</v>
      </c>
    </row>
    <row r="663" spans="1:26" x14ac:dyDescent="0.35">
      <c r="A663" s="7" t="s">
        <v>1558</v>
      </c>
      <c r="B663" s="7" t="s">
        <v>661</v>
      </c>
      <c r="C663" s="4" t="str">
        <f>_xlfn.XLOOKUP(A663,[2]Sheet2!$I$2:$I$1273,[2]Sheet2!$D$2:$D$1273,0)</f>
        <v>Q3</v>
      </c>
      <c r="D663" s="4" t="str">
        <f>_xlfn.XLOOKUP(B663,[4]Sheet2!$B$2:$B$3154,[4]Sheet2!$F$2:$F$3154,0)</f>
        <v>N/ App</v>
      </c>
      <c r="E663" s="4" t="e">
        <f>_xlfn.XLOOKUP(B663,[2]Sheet2!$E$2:$E$713,[2]Sheet2!$G$2:$G$713)</f>
        <v>#N/A</v>
      </c>
      <c r="F663" s="18">
        <v>46086</v>
      </c>
      <c r="G663" s="14">
        <v>0.73390046296296296</v>
      </c>
      <c r="H663" s="7" t="s">
        <v>16</v>
      </c>
      <c r="I663" s="2" t="str">
        <f t="shared" si="53"/>
        <v>Q4</v>
      </c>
      <c r="J663" s="2" t="str">
        <f t="shared" si="54"/>
        <v>Not Match</v>
      </c>
      <c r="K663" s="2">
        <f t="shared" si="50"/>
        <v>0.1</v>
      </c>
      <c r="L663" s="2" t="e">
        <f t="shared" si="51"/>
        <v>#N/A</v>
      </c>
      <c r="M663" s="2" t="str">
        <f t="shared" si="52"/>
        <v>Below 0.8 not in assigned quadrant</v>
      </c>
      <c r="N663" s="7">
        <v>15.5</v>
      </c>
      <c r="O663" s="7">
        <v>-0.3</v>
      </c>
      <c r="P663" s="7">
        <v>-2</v>
      </c>
      <c r="Q663" s="7">
        <v>0</v>
      </c>
      <c r="R663" s="7">
        <v>0</v>
      </c>
      <c r="S663" s="7">
        <v>-0.1</v>
      </c>
      <c r="T663" s="7">
        <v>0.13</v>
      </c>
      <c r="U663" s="7">
        <v>-0.02</v>
      </c>
      <c r="V663" s="7">
        <v>0.14000000000000001</v>
      </c>
      <c r="W663" s="7" t="s">
        <v>8</v>
      </c>
      <c r="X663" s="7" t="s">
        <v>15</v>
      </c>
      <c r="Y663" s="2" t="s">
        <v>719</v>
      </c>
      <c r="Z663" s="2" t="s">
        <v>721</v>
      </c>
    </row>
    <row r="664" spans="1:26" x14ac:dyDescent="0.35">
      <c r="A664" s="7" t="s">
        <v>1694</v>
      </c>
      <c r="B664" s="7" t="s">
        <v>662</v>
      </c>
      <c r="C664" s="4" t="str">
        <f>_xlfn.XLOOKUP(A664,[2]Sheet2!$I$2:$I$1273,[2]Sheet2!$D$2:$D$1273,0)</f>
        <v>Q3</v>
      </c>
      <c r="D664" s="4" t="str">
        <f>_xlfn.XLOOKUP(B664,[4]Sheet2!$B$2:$B$3154,[4]Sheet2!$F$2:$F$3154,0)</f>
        <v>N/ App</v>
      </c>
      <c r="E664" s="4" t="e">
        <f>_xlfn.XLOOKUP(B664,[2]Sheet2!$E$2:$E$713,[2]Sheet2!$G$2:$G$713)</f>
        <v>#N/A</v>
      </c>
      <c r="F664" s="18">
        <v>46086</v>
      </c>
      <c r="G664" s="14">
        <v>0.73637731481481483</v>
      </c>
      <c r="H664" s="7" t="s">
        <v>11</v>
      </c>
      <c r="I664" s="2" t="str">
        <f t="shared" si="53"/>
        <v>Q1</v>
      </c>
      <c r="J664" s="2" t="str">
        <f t="shared" si="54"/>
        <v>Not Match</v>
      </c>
      <c r="K664" s="2">
        <f t="shared" si="50"/>
        <v>0.3</v>
      </c>
      <c r="L664" s="2" t="e">
        <f t="shared" si="51"/>
        <v>#N/A</v>
      </c>
      <c r="M664" s="2" t="str">
        <f t="shared" si="52"/>
        <v>Below 0.8 not in assigned quadrant</v>
      </c>
      <c r="N664" s="7">
        <v>17.2</v>
      </c>
      <c r="O664" s="7">
        <v>-0.5</v>
      </c>
      <c r="P664" s="7">
        <v>-2.7</v>
      </c>
      <c r="Q664" s="7">
        <v>0.23</v>
      </c>
      <c r="R664" s="7">
        <v>0</v>
      </c>
      <c r="S664" s="7">
        <v>0.3</v>
      </c>
      <c r="T664" s="7">
        <v>-0.45</v>
      </c>
      <c r="U664" s="7">
        <v>-0.05</v>
      </c>
      <c r="V664" s="7">
        <v>0.51</v>
      </c>
      <c r="W664" s="7" t="s">
        <v>8</v>
      </c>
      <c r="X664" s="7" t="s">
        <v>15</v>
      </c>
      <c r="Y664" s="2" t="s">
        <v>719</v>
      </c>
      <c r="Z664" s="2" t="s">
        <v>721</v>
      </c>
    </row>
    <row r="665" spans="1:26" x14ac:dyDescent="0.35">
      <c r="A665" s="7" t="s">
        <v>1574</v>
      </c>
      <c r="B665" s="7" t="s">
        <v>664</v>
      </c>
      <c r="C665" s="4" t="str">
        <f>_xlfn.XLOOKUP(A665,[2]Sheet2!$I$2:$I$1273,[2]Sheet2!$D$2:$D$1273,0)</f>
        <v>Q2</v>
      </c>
      <c r="D665" s="4" t="str">
        <f>_xlfn.XLOOKUP(B665,[4]Sheet2!$B$2:$B$3154,[4]Sheet2!$F$2:$F$3154,0)</f>
        <v>N/ App</v>
      </c>
      <c r="E665" s="4" t="e">
        <f>_xlfn.XLOOKUP(B665,[2]Sheet2!$E$2:$E$713,[2]Sheet2!$G$2:$G$713)</f>
        <v>#N/A</v>
      </c>
      <c r="F665" s="18">
        <v>46086</v>
      </c>
      <c r="G665" s="14">
        <v>0.74260416666666662</v>
      </c>
      <c r="H665" s="7" t="s">
        <v>11</v>
      </c>
      <c r="I665" s="2" t="str">
        <f t="shared" si="53"/>
        <v>Q4</v>
      </c>
      <c r="J665" s="2" t="str">
        <f t="shared" si="54"/>
        <v>Not Match</v>
      </c>
      <c r="K665" s="2">
        <f t="shared" si="50"/>
        <v>0.2</v>
      </c>
      <c r="L665" s="2" t="e">
        <f t="shared" si="51"/>
        <v>#N/A</v>
      </c>
      <c r="M665" s="2" t="str">
        <f t="shared" si="52"/>
        <v>Below 0.8 not in assigned quadrant</v>
      </c>
      <c r="N665" s="7">
        <v>18.8</v>
      </c>
      <c r="O665" s="7">
        <v>-0.2</v>
      </c>
      <c r="P665" s="7">
        <v>-12.3</v>
      </c>
      <c r="Q665" s="7">
        <v>-0.37</v>
      </c>
      <c r="R665" s="7">
        <v>0</v>
      </c>
      <c r="S665" s="7">
        <v>-0.2</v>
      </c>
      <c r="T665" s="7">
        <v>0.19</v>
      </c>
      <c r="U665" s="7">
        <v>0.1</v>
      </c>
      <c r="V665" s="7">
        <v>0.43</v>
      </c>
      <c r="W665" s="7" t="s">
        <v>8</v>
      </c>
      <c r="X665" s="7" t="s">
        <v>9</v>
      </c>
      <c r="Y665" s="2" t="s">
        <v>719</v>
      </c>
      <c r="Z665" s="2" t="s">
        <v>721</v>
      </c>
    </row>
    <row r="666" spans="1:26" x14ac:dyDescent="0.35">
      <c r="A666" s="7" t="s">
        <v>1515</v>
      </c>
      <c r="B666" s="7" t="s">
        <v>665</v>
      </c>
      <c r="C666" s="4" t="str">
        <f>_xlfn.XLOOKUP(A666,[2]Sheet2!$I$2:$I$1273,[2]Sheet2!$D$2:$D$1273,0)</f>
        <v>Q3</v>
      </c>
      <c r="D666" s="4" t="str">
        <f>_xlfn.XLOOKUP(B666,[4]Sheet2!$B$2:$B$3154,[4]Sheet2!$F$2:$F$3154,0)</f>
        <v>C/APP</v>
      </c>
      <c r="E666" s="4" t="e">
        <f>_xlfn.XLOOKUP(B666,[2]Sheet2!$E$2:$E$713,[2]Sheet2!$G$2:$G$713)</f>
        <v>#N/A</v>
      </c>
      <c r="F666" s="18">
        <v>46086</v>
      </c>
      <c r="G666" s="14">
        <v>0.74581018518518516</v>
      </c>
      <c r="H666" s="7" t="s">
        <v>11</v>
      </c>
      <c r="I666" s="2" t="str">
        <f t="shared" si="53"/>
        <v>Q1</v>
      </c>
      <c r="J666" s="2" t="str">
        <f t="shared" si="54"/>
        <v>Not Match</v>
      </c>
      <c r="K666" s="2">
        <f t="shared" si="50"/>
        <v>0.2</v>
      </c>
      <c r="L666" s="2" t="e">
        <f t="shared" si="51"/>
        <v>#N/A</v>
      </c>
      <c r="M666" s="2" t="str">
        <f t="shared" si="52"/>
        <v>Assign quadrant hit</v>
      </c>
      <c r="N666" s="7">
        <v>13.4</v>
      </c>
      <c r="O666" s="7">
        <v>-0.3</v>
      </c>
      <c r="P666" s="7">
        <v>-1.9</v>
      </c>
      <c r="Q666" s="7">
        <v>-1.41</v>
      </c>
      <c r="R666" s="7">
        <v>0</v>
      </c>
      <c r="S666" s="7">
        <v>0.2</v>
      </c>
      <c r="T666" s="7">
        <v>-0.28999999999999998</v>
      </c>
      <c r="U666" s="7">
        <v>-0.09</v>
      </c>
      <c r="V666" s="7">
        <v>1.44</v>
      </c>
      <c r="W666" s="7" t="s">
        <v>6</v>
      </c>
      <c r="X666" s="7" t="s">
        <v>15</v>
      </c>
      <c r="Y666" s="2" t="s">
        <v>719</v>
      </c>
      <c r="Z666" s="2" t="s">
        <v>721</v>
      </c>
    </row>
    <row r="667" spans="1:26" x14ac:dyDescent="0.35">
      <c r="A667" s="7" t="s">
        <v>1515</v>
      </c>
      <c r="B667" s="7" t="s">
        <v>666</v>
      </c>
      <c r="C667" s="4" t="str">
        <f>_xlfn.XLOOKUP(A667,[2]Sheet2!$I$2:$I$1273,[2]Sheet2!$D$2:$D$1273,0)</f>
        <v>Q3</v>
      </c>
      <c r="D667" s="4" t="str">
        <f>_xlfn.XLOOKUP(B667,[4]Sheet2!$B$2:$B$3154,[4]Sheet2!$F$2:$F$3154,0)</f>
        <v>N/ App</v>
      </c>
      <c r="E667" s="4" t="e">
        <f>_xlfn.XLOOKUP(B667,[2]Sheet2!$E$2:$E$713,[2]Sheet2!$G$2:$G$713)</f>
        <v>#N/A</v>
      </c>
      <c r="F667" s="18">
        <v>46086</v>
      </c>
      <c r="G667" s="14">
        <v>0.74875000000000003</v>
      </c>
      <c r="H667" s="7" t="s">
        <v>11</v>
      </c>
      <c r="I667" s="2" t="str">
        <f t="shared" si="53"/>
        <v>Q3</v>
      </c>
      <c r="J667" s="2" t="str">
        <f t="shared" si="54"/>
        <v>Match</v>
      </c>
      <c r="K667" s="2">
        <f t="shared" si="50"/>
        <v>0.50990195135927852</v>
      </c>
      <c r="L667" s="2" t="e">
        <f t="shared" si="51"/>
        <v>#N/A</v>
      </c>
      <c r="M667" s="2" t="str">
        <f t="shared" si="52"/>
        <v>Failed but within quadrant</v>
      </c>
      <c r="N667" s="7">
        <v>13.4</v>
      </c>
      <c r="O667" s="7">
        <v>-0.4</v>
      </c>
      <c r="P667" s="7">
        <v>-2.6</v>
      </c>
      <c r="Q667" s="7">
        <v>-1.38</v>
      </c>
      <c r="R667" s="7">
        <v>-0.1</v>
      </c>
      <c r="S667" s="7">
        <v>-0.5</v>
      </c>
      <c r="T667" s="7">
        <v>0.7</v>
      </c>
      <c r="U667" s="7">
        <v>-0.12</v>
      </c>
      <c r="V667" s="7">
        <v>1.55</v>
      </c>
      <c r="W667" s="7" t="s">
        <v>6</v>
      </c>
      <c r="X667" s="7" t="s">
        <v>15</v>
      </c>
      <c r="Y667" s="2" t="s">
        <v>719</v>
      </c>
      <c r="Z667" s="2" t="s">
        <v>721</v>
      </c>
    </row>
    <row r="668" spans="1:26" x14ac:dyDescent="0.35">
      <c r="A668" s="7" t="s">
        <v>1540</v>
      </c>
      <c r="B668" s="7" t="s">
        <v>667</v>
      </c>
      <c r="C668" s="4" t="str">
        <f>_xlfn.XLOOKUP(A668,[2]Sheet2!$I$2:$I$1273,[2]Sheet2!$D$2:$D$1273,0)</f>
        <v>Q3</v>
      </c>
      <c r="D668" s="4" t="str">
        <f>_xlfn.XLOOKUP(B668,[4]Sheet2!$B$2:$B$3154,[4]Sheet2!$F$2:$F$3154,0)</f>
        <v>N/ App</v>
      </c>
      <c r="E668" s="4" t="e">
        <f>_xlfn.XLOOKUP(B668,[2]Sheet2!$E$2:$E$713,[2]Sheet2!$G$2:$G$713)</f>
        <v>#N/A</v>
      </c>
      <c r="F668" s="18">
        <v>46086</v>
      </c>
      <c r="G668" s="14">
        <v>0.75064814814814818</v>
      </c>
      <c r="H668" s="7" t="s">
        <v>11</v>
      </c>
      <c r="I668" s="2" t="str">
        <f t="shared" si="53"/>
        <v>Q1</v>
      </c>
      <c r="J668" s="2" t="str">
        <f t="shared" si="54"/>
        <v>Not Match</v>
      </c>
      <c r="K668" s="2">
        <f t="shared" si="50"/>
        <v>0.22360679774997899</v>
      </c>
      <c r="L668" s="2" t="e">
        <f t="shared" si="51"/>
        <v>#N/A</v>
      </c>
      <c r="M668" s="2" t="str">
        <f t="shared" si="52"/>
        <v>Below 0.8 not in assigned quadrant</v>
      </c>
      <c r="N668" s="7">
        <v>13.8</v>
      </c>
      <c r="O668" s="7">
        <v>-0.3</v>
      </c>
      <c r="P668" s="7">
        <v>-1.5</v>
      </c>
      <c r="Q668" s="7">
        <v>-0.37</v>
      </c>
      <c r="R668" s="7">
        <v>0.1</v>
      </c>
      <c r="S668" s="7">
        <v>0.2</v>
      </c>
      <c r="T668" s="7">
        <v>-0.4</v>
      </c>
      <c r="U668" s="7">
        <v>0.15</v>
      </c>
      <c r="V668" s="7">
        <v>0.56000000000000005</v>
      </c>
      <c r="W668" s="7" t="s">
        <v>8</v>
      </c>
      <c r="X668" s="7" t="s">
        <v>9</v>
      </c>
      <c r="Y668" s="2" t="s">
        <v>719</v>
      </c>
      <c r="Z668" s="2" t="s">
        <v>721</v>
      </c>
    </row>
    <row r="669" spans="1:26" x14ac:dyDescent="0.35">
      <c r="A669" s="7" t="s">
        <v>1689</v>
      </c>
      <c r="B669" s="7" t="s">
        <v>668</v>
      </c>
      <c r="C669" s="4" t="str">
        <f>_xlfn.XLOOKUP(A669,[2]Sheet2!$I$2:$I$1273,[2]Sheet2!$D$2:$D$1273,0)</f>
        <v>Q1</v>
      </c>
      <c r="D669" s="4" t="str">
        <f>_xlfn.XLOOKUP(B669,[4]Sheet2!$B$2:$B$3154,[4]Sheet2!$F$2:$F$3154,0)</f>
        <v>N/ App</v>
      </c>
      <c r="E669" s="4" t="e">
        <f>_xlfn.XLOOKUP(B669,[2]Sheet2!$E$2:$E$713,[2]Sheet2!$G$2:$G$713)</f>
        <v>#N/A</v>
      </c>
      <c r="F669" s="18">
        <v>46086</v>
      </c>
      <c r="G669" s="14">
        <v>0.78210648148148143</v>
      </c>
      <c r="H669" s="7" t="s">
        <v>16</v>
      </c>
      <c r="I669" s="2" t="str">
        <f t="shared" si="53"/>
        <v>Q2</v>
      </c>
      <c r="J669" s="2" t="str">
        <f t="shared" si="54"/>
        <v>Not Match</v>
      </c>
      <c r="K669" s="2">
        <f t="shared" si="50"/>
        <v>0.28284271247461906</v>
      </c>
      <c r="L669" s="2" t="e">
        <f t="shared" si="51"/>
        <v>#N/A</v>
      </c>
      <c r="M669" s="2" t="str">
        <f t="shared" si="52"/>
        <v>Assign quadrant hit</v>
      </c>
      <c r="N669" s="7">
        <v>23.7</v>
      </c>
      <c r="O669" s="7">
        <v>7.2</v>
      </c>
      <c r="P669" s="7">
        <v>3.3</v>
      </c>
      <c r="Q669" s="7">
        <v>-0.66</v>
      </c>
      <c r="R669" s="7">
        <v>-0.2</v>
      </c>
      <c r="S669" s="7">
        <v>0.2</v>
      </c>
      <c r="T669" s="7">
        <v>-0.06</v>
      </c>
      <c r="U669" s="7">
        <v>0.49</v>
      </c>
      <c r="V669" s="7">
        <v>0.82</v>
      </c>
      <c r="W669" s="7" t="s">
        <v>13</v>
      </c>
      <c r="X669" s="7" t="s">
        <v>12</v>
      </c>
      <c r="Y669" s="2" t="s">
        <v>719</v>
      </c>
      <c r="Z669" s="2" t="s">
        <v>721</v>
      </c>
    </row>
    <row r="670" spans="1:26" x14ac:dyDescent="0.35">
      <c r="A670" s="7" t="s">
        <v>1509</v>
      </c>
      <c r="B670" s="7" t="s">
        <v>670</v>
      </c>
      <c r="C670" s="4" t="str">
        <f>_xlfn.XLOOKUP(A670,[2]Sheet2!$I$2:$I$1273,[2]Sheet2!$D$2:$D$1273,0)</f>
        <v>Q2</v>
      </c>
      <c r="D670" s="4" t="str">
        <f>_xlfn.XLOOKUP(B670,[4]Sheet2!$B$2:$B$3154,[4]Sheet2!$F$2:$F$3154,0)</f>
        <v>N/ App</v>
      </c>
      <c r="E670" s="4" t="e">
        <f>_xlfn.XLOOKUP(B670,[2]Sheet2!$E$2:$E$713,[2]Sheet2!$G$2:$G$713)</f>
        <v>#N/A</v>
      </c>
      <c r="F670" s="18">
        <v>46086</v>
      </c>
      <c r="G670" s="14">
        <v>0.9249074074074074</v>
      </c>
      <c r="H670" s="7" t="s">
        <v>4</v>
      </c>
      <c r="I670" s="2" t="str">
        <f t="shared" si="53"/>
        <v>Q4</v>
      </c>
      <c r="J670" s="2" t="str">
        <f t="shared" si="54"/>
        <v>Not Match</v>
      </c>
      <c r="K670" s="2">
        <f t="shared" si="50"/>
        <v>0.2</v>
      </c>
      <c r="L670" s="2" t="e">
        <f t="shared" si="51"/>
        <v>#N/A</v>
      </c>
      <c r="M670" s="2" t="str">
        <f t="shared" si="52"/>
        <v>Below 0.8 not in assigned quadrant</v>
      </c>
      <c r="N670" s="7">
        <v>16.5</v>
      </c>
      <c r="O670" s="7">
        <v>-1</v>
      </c>
      <c r="P670" s="7">
        <v>-1.9</v>
      </c>
      <c r="Q670" s="7">
        <v>-0.5</v>
      </c>
      <c r="R670" s="7">
        <v>0.2</v>
      </c>
      <c r="S670" s="7">
        <v>0</v>
      </c>
      <c r="T670" s="7">
        <v>-0.21</v>
      </c>
      <c r="U670" s="7">
        <v>0.19</v>
      </c>
      <c r="V670" s="7">
        <v>0.56999999999999995</v>
      </c>
      <c r="W670" s="7" t="s">
        <v>8</v>
      </c>
      <c r="X670" s="7" t="s">
        <v>9</v>
      </c>
      <c r="Y670" s="2" t="s">
        <v>719</v>
      </c>
      <c r="Z670" s="2" t="s">
        <v>721</v>
      </c>
    </row>
    <row r="671" spans="1:26" x14ac:dyDescent="0.35">
      <c r="A671" s="7" t="s">
        <v>1507</v>
      </c>
      <c r="B671" s="7" t="s">
        <v>671</v>
      </c>
      <c r="C671" s="4" t="str">
        <f>_xlfn.XLOOKUP(A671,[2]Sheet2!$I$2:$I$1273,[2]Sheet2!$D$2:$D$1273,0)</f>
        <v>Q3</v>
      </c>
      <c r="D671" s="4" t="str">
        <f>_xlfn.XLOOKUP(B671,[4]Sheet2!$B$2:$B$3154,[4]Sheet2!$F$2:$F$3154,0)</f>
        <v>N/ App</v>
      </c>
      <c r="E671" s="4" t="e">
        <f>_xlfn.XLOOKUP(B671,[2]Sheet2!$E$2:$E$713,[2]Sheet2!$G$2:$G$713)</f>
        <v>#N/A</v>
      </c>
      <c r="F671" s="18">
        <v>46086</v>
      </c>
      <c r="G671" s="14">
        <v>0.95712962962962966</v>
      </c>
      <c r="H671" s="7" t="s">
        <v>11</v>
      </c>
      <c r="I671" s="2" t="str">
        <f t="shared" si="53"/>
        <v>Q1</v>
      </c>
      <c r="J671" s="2" t="str">
        <f t="shared" si="54"/>
        <v>Not Match</v>
      </c>
      <c r="K671" s="2">
        <f t="shared" si="50"/>
        <v>0.22360679774997899</v>
      </c>
      <c r="L671" s="2" t="e">
        <f t="shared" si="51"/>
        <v>#N/A</v>
      </c>
      <c r="M671" s="2" t="str">
        <f t="shared" si="52"/>
        <v>Below 0.8 not in assigned quadrant</v>
      </c>
      <c r="N671" s="7">
        <v>15.2</v>
      </c>
      <c r="O671" s="7">
        <v>-0.9</v>
      </c>
      <c r="P671" s="7">
        <v>-0.6</v>
      </c>
      <c r="Q671" s="7">
        <v>-0.55000000000000004</v>
      </c>
      <c r="R671" s="7">
        <v>0.1</v>
      </c>
      <c r="S671" s="7">
        <v>0.2</v>
      </c>
      <c r="T671" s="7">
        <v>-0.35</v>
      </c>
      <c r="U671" s="7">
        <v>-0.09</v>
      </c>
      <c r="V671" s="7">
        <v>0.66</v>
      </c>
      <c r="W671" s="7" t="s">
        <v>8</v>
      </c>
      <c r="X671" s="7" t="s">
        <v>12</v>
      </c>
      <c r="Y671" s="2" t="s">
        <v>719</v>
      </c>
      <c r="Z671" s="2" t="s">
        <v>721</v>
      </c>
    </row>
    <row r="672" spans="1:26" x14ac:dyDescent="0.35">
      <c r="A672" s="7" t="s">
        <v>1540</v>
      </c>
      <c r="B672" s="7" t="s">
        <v>672</v>
      </c>
      <c r="C672" s="4" t="str">
        <f>_xlfn.XLOOKUP(A672,[2]Sheet2!$I$2:$I$1273,[2]Sheet2!$D$2:$D$1273,0)</f>
        <v>Q3</v>
      </c>
      <c r="D672" s="4" t="str">
        <f>_xlfn.XLOOKUP(B672,[4]Sheet2!$B$2:$B$3154,[4]Sheet2!$F$2:$F$3154,0)</f>
        <v>N/ App</v>
      </c>
      <c r="E672" s="4" t="e">
        <f>_xlfn.XLOOKUP(B672,[2]Sheet2!$E$2:$E$713,[2]Sheet2!$G$2:$G$713)</f>
        <v>#N/A</v>
      </c>
      <c r="F672" s="18">
        <v>46087</v>
      </c>
      <c r="G672" s="14">
        <v>6.4351851851851853E-3</v>
      </c>
      <c r="H672" s="7" t="s">
        <v>11</v>
      </c>
      <c r="I672" s="2" t="str">
        <f t="shared" si="53"/>
        <v>Q1</v>
      </c>
      <c r="J672" s="2" t="str">
        <f t="shared" si="54"/>
        <v>Not Match</v>
      </c>
      <c r="K672" s="2">
        <f t="shared" si="50"/>
        <v>0.3</v>
      </c>
      <c r="L672" s="2" t="e">
        <f t="shared" si="51"/>
        <v>#N/A</v>
      </c>
      <c r="M672" s="2" t="str">
        <f t="shared" si="52"/>
        <v>Below 0.8 not in assigned quadrant</v>
      </c>
      <c r="N672" s="7">
        <v>13.6</v>
      </c>
      <c r="O672" s="7">
        <v>-0.4</v>
      </c>
      <c r="P672" s="7">
        <v>-1.4</v>
      </c>
      <c r="Q672" s="7">
        <v>-0.55000000000000004</v>
      </c>
      <c r="R672" s="7">
        <v>0</v>
      </c>
      <c r="S672" s="7">
        <v>0.3</v>
      </c>
      <c r="T672" s="7">
        <v>-0.43</v>
      </c>
      <c r="U672" s="7">
        <v>0</v>
      </c>
      <c r="V672" s="7">
        <v>0.7</v>
      </c>
      <c r="W672" s="7" t="s">
        <v>8</v>
      </c>
      <c r="X672" s="7" t="s">
        <v>15</v>
      </c>
      <c r="Y672" s="2" t="s">
        <v>719</v>
      </c>
      <c r="Z672" s="2" t="s">
        <v>721</v>
      </c>
    </row>
    <row r="673" spans="1:26" x14ac:dyDescent="0.35">
      <c r="A673" s="7" t="s">
        <v>1695</v>
      </c>
      <c r="B673" s="7" t="s">
        <v>673</v>
      </c>
      <c r="C673" s="4" t="str">
        <f>_xlfn.XLOOKUP(A673,[2]Sheet2!$I$2:$I$1273,[2]Sheet2!$D$2:$D$1273,0)</f>
        <v>Q3</v>
      </c>
      <c r="D673" s="4">
        <f>_xlfn.XLOOKUP(B673,[4]Sheet2!$B$2:$B$3154,[4]Sheet2!$F$2:$F$3154,0)</f>
        <v>0</v>
      </c>
      <c r="E673" s="4" t="e">
        <f>_xlfn.XLOOKUP(B673,[2]Sheet2!$E$2:$E$713,[2]Sheet2!$G$2:$G$713)</f>
        <v>#N/A</v>
      </c>
      <c r="F673" s="18">
        <v>46087</v>
      </c>
      <c r="G673" s="14">
        <v>7.1122685185185192E-2</v>
      </c>
      <c r="H673" s="7" t="s">
        <v>5</v>
      </c>
      <c r="I673" s="2" t="str">
        <f t="shared" si="53"/>
        <v>Q1</v>
      </c>
      <c r="J673" s="2" t="str">
        <f t="shared" si="54"/>
        <v>Not Match</v>
      </c>
      <c r="K673" s="2">
        <f t="shared" si="50"/>
        <v>0.70710678118654746</v>
      </c>
      <c r="L673" s="2" t="e">
        <f t="shared" si="51"/>
        <v>#N/A</v>
      </c>
      <c r="M673" s="2" t="str">
        <f t="shared" si="52"/>
        <v>Assign quadrant hit</v>
      </c>
      <c r="N673" s="7">
        <v>17.2</v>
      </c>
      <c r="O673" s="7">
        <v>-0.6</v>
      </c>
      <c r="P673" s="7">
        <v>-1.8</v>
      </c>
      <c r="Q673" s="7">
        <v>-0.92</v>
      </c>
      <c r="R673" s="7">
        <v>0.1</v>
      </c>
      <c r="S673" s="7">
        <v>0.7</v>
      </c>
      <c r="T673" s="7">
        <v>-0.93</v>
      </c>
      <c r="U673" s="7">
        <v>-0.15</v>
      </c>
      <c r="V673" s="7">
        <v>1.32</v>
      </c>
      <c r="W673" s="7" t="s">
        <v>6</v>
      </c>
      <c r="X673" s="7" t="s">
        <v>15</v>
      </c>
      <c r="Y673" s="2" t="s">
        <v>719</v>
      </c>
      <c r="Z673" s="2" t="s">
        <v>721</v>
      </c>
    </row>
    <row r="674" spans="1:26" x14ac:dyDescent="0.35">
      <c r="A674" s="7" t="s">
        <v>1676</v>
      </c>
      <c r="B674" s="7" t="s">
        <v>674</v>
      </c>
      <c r="C674" s="4" t="str">
        <f>_xlfn.XLOOKUP(A674,[2]Sheet2!$I$2:$I$1273,[2]Sheet2!$D$2:$D$1273,0)</f>
        <v>Q2</v>
      </c>
      <c r="D674" s="4" t="str">
        <f>_xlfn.XLOOKUP(B674,[4]Sheet2!$B$2:$B$3154,[4]Sheet2!$F$2:$F$3154,0)</f>
        <v>N/ App</v>
      </c>
      <c r="E674" s="4" t="e">
        <f>_xlfn.XLOOKUP(B674,[2]Sheet2!$E$2:$E$713,[2]Sheet2!$G$2:$G$713)</f>
        <v>#N/A</v>
      </c>
      <c r="F674" s="18">
        <v>46087</v>
      </c>
      <c r="G674" s="14">
        <v>7.4270833333333328E-2</v>
      </c>
      <c r="H674" s="7" t="s">
        <v>11</v>
      </c>
      <c r="I674" s="2" t="str">
        <f t="shared" si="53"/>
        <v>Q4</v>
      </c>
      <c r="J674" s="2" t="str">
        <f t="shared" si="54"/>
        <v>Not Match</v>
      </c>
      <c r="K674" s="2">
        <f t="shared" si="50"/>
        <v>0.2</v>
      </c>
      <c r="L674" s="2" t="e">
        <f t="shared" si="51"/>
        <v>#N/A</v>
      </c>
      <c r="M674" s="2" t="str">
        <f t="shared" si="52"/>
        <v>Below 0.8 not in assigned quadrant</v>
      </c>
      <c r="N674" s="7">
        <v>24</v>
      </c>
      <c r="O674" s="7">
        <v>11.1</v>
      </c>
      <c r="P674" s="7">
        <v>-1.5</v>
      </c>
      <c r="Q674" s="7">
        <v>-0.25</v>
      </c>
      <c r="R674" s="7">
        <v>0</v>
      </c>
      <c r="S674" s="7">
        <v>-0.2</v>
      </c>
      <c r="T674" s="7">
        <v>-0.03</v>
      </c>
      <c r="U674" s="7">
        <v>-0.27</v>
      </c>
      <c r="V674" s="7">
        <v>0.37</v>
      </c>
      <c r="W674" s="7" t="s">
        <v>8</v>
      </c>
      <c r="X674" s="7" t="s">
        <v>7</v>
      </c>
      <c r="Y674" s="2" t="s">
        <v>719</v>
      </c>
      <c r="Z674" s="2" t="s">
        <v>721</v>
      </c>
    </row>
    <row r="675" spans="1:26" x14ac:dyDescent="0.35">
      <c r="A675" s="7" t="s">
        <v>1688</v>
      </c>
      <c r="B675" s="7" t="s">
        <v>675</v>
      </c>
      <c r="C675" s="4" t="str">
        <f>_xlfn.XLOOKUP(A675,[2]Sheet2!$I$2:$I$1273,[2]Sheet2!$D$2:$D$1273,0)</f>
        <v>Q4</v>
      </c>
      <c r="D675" s="4" t="str">
        <f>_xlfn.XLOOKUP(B675,[4]Sheet2!$B$2:$B$3154,[4]Sheet2!$F$2:$F$3154,0)</f>
        <v>C/APP</v>
      </c>
      <c r="E675" s="4" t="e">
        <f>_xlfn.XLOOKUP(B675,[2]Sheet2!$E$2:$E$713,[2]Sheet2!$G$2:$G$713)</f>
        <v>#N/A</v>
      </c>
      <c r="F675" s="18">
        <v>46087</v>
      </c>
      <c r="G675" s="14">
        <v>8.0254629629629634E-2</v>
      </c>
      <c r="H675" s="7" t="s">
        <v>4</v>
      </c>
      <c r="I675" s="2" t="str">
        <f t="shared" si="53"/>
        <v>Q3</v>
      </c>
      <c r="J675" s="2" t="str">
        <f t="shared" si="54"/>
        <v>Not Match</v>
      </c>
      <c r="K675" s="2">
        <f t="shared" si="50"/>
        <v>0.42426406871192851</v>
      </c>
      <c r="L675" s="2" t="e">
        <f t="shared" si="51"/>
        <v>#N/A</v>
      </c>
      <c r="M675" s="2" t="str">
        <f t="shared" si="52"/>
        <v>Below 0.8 not in assigned quadrant</v>
      </c>
      <c r="N675" s="7">
        <v>13.7</v>
      </c>
      <c r="O675" s="7">
        <v>-0.4</v>
      </c>
      <c r="P675" s="7">
        <v>-1.5</v>
      </c>
      <c r="Q675" s="7">
        <v>0.24</v>
      </c>
      <c r="R675" s="7">
        <v>-0.3</v>
      </c>
      <c r="S675" s="7">
        <v>-0.3</v>
      </c>
      <c r="T675" s="7">
        <v>0.56999999999999995</v>
      </c>
      <c r="U675" s="7">
        <v>-0.43</v>
      </c>
      <c r="V675" s="7">
        <v>0.75</v>
      </c>
      <c r="W675" s="7" t="s">
        <v>13</v>
      </c>
      <c r="X675" s="7" t="s">
        <v>15</v>
      </c>
      <c r="Y675" s="2" t="s">
        <v>719</v>
      </c>
      <c r="Z675" s="2" t="s">
        <v>721</v>
      </c>
    </row>
    <row r="676" spans="1:26" x14ac:dyDescent="0.35">
      <c r="A676" s="7" t="s">
        <v>1574</v>
      </c>
      <c r="B676" s="7" t="s">
        <v>676</v>
      </c>
      <c r="C676" s="4" t="str">
        <f>_xlfn.XLOOKUP(A676,[2]Sheet2!$I$2:$I$1273,[2]Sheet2!$D$2:$D$1273,0)</f>
        <v>Q2</v>
      </c>
      <c r="D676" s="4" t="str">
        <f>_xlfn.XLOOKUP(B676,[4]Sheet2!$B$2:$B$3154,[4]Sheet2!$F$2:$F$3154,0)</f>
        <v>N/ App</v>
      </c>
      <c r="E676" s="4" t="e">
        <f>_xlfn.XLOOKUP(B676,[2]Sheet2!$E$2:$E$713,[2]Sheet2!$G$2:$G$713)</f>
        <v>#N/A</v>
      </c>
      <c r="F676" s="18">
        <v>46087</v>
      </c>
      <c r="G676" s="14">
        <v>8.4108796296296293E-2</v>
      </c>
      <c r="H676" s="7" t="s">
        <v>11</v>
      </c>
      <c r="I676" s="2" t="str">
        <f t="shared" si="53"/>
        <v>Q4</v>
      </c>
      <c r="J676" s="2" t="str">
        <f t="shared" si="54"/>
        <v>Not Match</v>
      </c>
      <c r="K676" s="2">
        <f t="shared" si="50"/>
        <v>0.60827625302982191</v>
      </c>
      <c r="L676" s="2" t="e">
        <f t="shared" si="51"/>
        <v>#N/A</v>
      </c>
      <c r="M676" s="2" t="str">
        <f t="shared" si="52"/>
        <v>Below 0.8 not in assigned quadrant</v>
      </c>
      <c r="N676" s="7">
        <v>18.899999999999999</v>
      </c>
      <c r="O676" s="7">
        <v>-0.1</v>
      </c>
      <c r="P676" s="7">
        <v>-12.6</v>
      </c>
      <c r="Q676" s="7">
        <v>-0.27</v>
      </c>
      <c r="R676" s="7">
        <v>0.1</v>
      </c>
      <c r="S676" s="7">
        <v>-0.6</v>
      </c>
      <c r="T676" s="7">
        <v>0.46</v>
      </c>
      <c r="U676" s="7">
        <v>0.21</v>
      </c>
      <c r="V676" s="7">
        <v>0.57999999999999996</v>
      </c>
      <c r="W676" s="7" t="s">
        <v>8</v>
      </c>
      <c r="X676" s="7" t="s">
        <v>9</v>
      </c>
      <c r="Y676" s="2" t="s">
        <v>719</v>
      </c>
      <c r="Z676" s="2" t="s">
        <v>721</v>
      </c>
    </row>
    <row r="677" spans="1:26" x14ac:dyDescent="0.35">
      <c r="A677" s="7" t="s">
        <v>1596</v>
      </c>
      <c r="B677" s="7" t="s">
        <v>677</v>
      </c>
      <c r="C677" s="4" t="str">
        <f>_xlfn.XLOOKUP(A677,[2]Sheet2!$I$2:$I$1273,[2]Sheet2!$D$2:$D$1273,0)</f>
        <v>Q4</v>
      </c>
      <c r="D677" s="4" t="str">
        <f>_xlfn.XLOOKUP(B677,[4]Sheet2!$B$2:$B$3154,[4]Sheet2!$F$2:$F$3154,0)</f>
        <v>N/ App</v>
      </c>
      <c r="E677" s="4" t="e">
        <f>_xlfn.XLOOKUP(B677,[2]Sheet2!$E$2:$E$713,[2]Sheet2!$G$2:$G$713)</f>
        <v>#N/A</v>
      </c>
      <c r="F677" s="18">
        <v>46087</v>
      </c>
      <c r="G677" s="14">
        <v>8.7557870370370369E-2</v>
      </c>
      <c r="H677" s="7" t="s">
        <v>5</v>
      </c>
      <c r="I677" s="2" t="str">
        <f t="shared" si="53"/>
        <v>Q4</v>
      </c>
      <c r="J677" s="2" t="str">
        <f t="shared" si="54"/>
        <v>Match</v>
      </c>
      <c r="K677" s="2">
        <f t="shared" si="50"/>
        <v>0.1</v>
      </c>
      <c r="L677" s="2" t="e">
        <f t="shared" si="51"/>
        <v>#N/A</v>
      </c>
      <c r="M677" s="2" t="str">
        <f t="shared" si="52"/>
        <v>Failed but within quadrant</v>
      </c>
      <c r="N677" s="7">
        <v>20.8</v>
      </c>
      <c r="O677" s="7">
        <v>-0.4</v>
      </c>
      <c r="P677" s="7">
        <v>-11.2</v>
      </c>
      <c r="Q677" s="7">
        <v>-0.96</v>
      </c>
      <c r="R677" s="7">
        <v>0</v>
      </c>
      <c r="S677" s="7">
        <v>-0.1</v>
      </c>
      <c r="T677" s="7">
        <v>0.15</v>
      </c>
      <c r="U677" s="7">
        <v>-0.1</v>
      </c>
      <c r="V677" s="7">
        <v>0.98</v>
      </c>
      <c r="W677" s="7" t="s">
        <v>13</v>
      </c>
      <c r="X677" s="7" t="s">
        <v>15</v>
      </c>
      <c r="Y677" s="2" t="s">
        <v>719</v>
      </c>
      <c r="Z677" s="2" t="s">
        <v>721</v>
      </c>
    </row>
    <row r="678" spans="1:26" x14ac:dyDescent="0.35">
      <c r="A678" s="7" t="s">
        <v>1574</v>
      </c>
      <c r="B678" s="7" t="s">
        <v>678</v>
      </c>
      <c r="C678" s="4" t="str">
        <f>_xlfn.XLOOKUP(A678,[2]Sheet2!$I$2:$I$1273,[2]Sheet2!$D$2:$D$1273,0)</f>
        <v>Q2</v>
      </c>
      <c r="D678" s="4" t="str">
        <f>_xlfn.XLOOKUP(B678,[4]Sheet2!$B$2:$B$3154,[4]Sheet2!$F$2:$F$3154,0)</f>
        <v>N/ App</v>
      </c>
      <c r="E678" s="4" t="e">
        <f>_xlfn.XLOOKUP(B678,[2]Sheet2!$E$2:$E$713,[2]Sheet2!$G$2:$G$713)</f>
        <v>#N/A</v>
      </c>
      <c r="F678" s="18">
        <v>46087</v>
      </c>
      <c r="G678" s="14">
        <v>0.15841435185185185</v>
      </c>
      <c r="H678" s="7" t="s">
        <v>11</v>
      </c>
      <c r="I678" s="2" t="str">
        <f t="shared" si="53"/>
        <v>Q4</v>
      </c>
      <c r="J678" s="2" t="str">
        <f t="shared" si="54"/>
        <v>Not Match</v>
      </c>
      <c r="K678" s="2">
        <f t="shared" si="50"/>
        <v>0.63245553203367588</v>
      </c>
      <c r="L678" s="2" t="e">
        <f t="shared" si="51"/>
        <v>#N/A</v>
      </c>
      <c r="M678" s="2" t="str">
        <f t="shared" si="52"/>
        <v>Assign quadrant hit</v>
      </c>
      <c r="N678" s="7">
        <v>18.5</v>
      </c>
      <c r="O678" s="7">
        <v>-0.1</v>
      </c>
      <c r="P678" s="7">
        <v>-12.7</v>
      </c>
      <c r="Q678" s="7">
        <v>-0.6</v>
      </c>
      <c r="R678" s="7">
        <v>0.2</v>
      </c>
      <c r="S678" s="7">
        <v>-0.6</v>
      </c>
      <c r="T678" s="7">
        <v>0.5</v>
      </c>
      <c r="U678" s="7">
        <v>0.26</v>
      </c>
      <c r="V678" s="7">
        <v>0.83</v>
      </c>
      <c r="W678" s="7" t="s">
        <v>13</v>
      </c>
      <c r="X678" s="7" t="s">
        <v>9</v>
      </c>
      <c r="Y678" s="2" t="s">
        <v>719</v>
      </c>
      <c r="Z678" s="2" t="s">
        <v>721</v>
      </c>
    </row>
    <row r="679" spans="1:26" x14ac:dyDescent="0.35">
      <c r="A679" s="7" t="s">
        <v>1516</v>
      </c>
      <c r="B679" s="7" t="s">
        <v>679</v>
      </c>
      <c r="C679" s="4" t="str">
        <f>_xlfn.XLOOKUP(A679,[2]Sheet2!$I$2:$I$1273,[2]Sheet2!$D$2:$D$1273,0)</f>
        <v>Q2</v>
      </c>
      <c r="D679" s="4" t="str">
        <f>_xlfn.XLOOKUP(B679,[4]Sheet2!$B$2:$B$3154,[4]Sheet2!$F$2:$F$3154,0)</f>
        <v>N/ App</v>
      </c>
      <c r="E679" s="4" t="e">
        <f>_xlfn.XLOOKUP(B679,[2]Sheet2!$E$2:$E$713,[2]Sheet2!$G$2:$G$713)</f>
        <v>#N/A</v>
      </c>
      <c r="F679" s="18">
        <v>46087</v>
      </c>
      <c r="G679" s="14">
        <v>0.26620370370370372</v>
      </c>
      <c r="H679" s="7" t="s">
        <v>4</v>
      </c>
      <c r="I679" s="2" t="str">
        <f t="shared" si="53"/>
        <v>Q1</v>
      </c>
      <c r="J679" s="2" t="str">
        <f t="shared" si="54"/>
        <v>Not Match</v>
      </c>
      <c r="K679" s="2">
        <f t="shared" si="50"/>
        <v>0.2</v>
      </c>
      <c r="L679" s="2" t="e">
        <f t="shared" si="51"/>
        <v>#N/A</v>
      </c>
      <c r="M679" s="2" t="str">
        <f t="shared" si="52"/>
        <v>Assign quadrant hit</v>
      </c>
      <c r="N679" s="7">
        <v>16.600000000000001</v>
      </c>
      <c r="O679" s="7">
        <v>-1.3</v>
      </c>
      <c r="P679" s="7">
        <v>-1.3</v>
      </c>
      <c r="Q679" s="7">
        <v>-1.58</v>
      </c>
      <c r="R679" s="7">
        <v>0</v>
      </c>
      <c r="S679" s="7">
        <v>0.2</v>
      </c>
      <c r="T679" s="7">
        <v>-0.31</v>
      </c>
      <c r="U679" s="7">
        <v>-0.21</v>
      </c>
      <c r="V679" s="7">
        <v>1.62</v>
      </c>
      <c r="W679" s="7" t="s">
        <v>6</v>
      </c>
      <c r="X679" s="7" t="s">
        <v>12</v>
      </c>
      <c r="Y679" s="2" t="s">
        <v>719</v>
      </c>
      <c r="Z679" s="2" t="s">
        <v>721</v>
      </c>
    </row>
    <row r="680" spans="1:26" x14ac:dyDescent="0.35">
      <c r="A680" s="7" t="s">
        <v>1516</v>
      </c>
      <c r="B680" s="7" t="s">
        <v>680</v>
      </c>
      <c r="C680" s="4" t="str">
        <f>_xlfn.XLOOKUP(A680,[2]Sheet2!$I$2:$I$1273,[2]Sheet2!$D$2:$D$1273,0)</f>
        <v>Q2</v>
      </c>
      <c r="D680" s="4" t="str">
        <f>_xlfn.XLOOKUP(B680,[4]Sheet2!$B$2:$B$3154,[4]Sheet2!$F$2:$F$3154,0)</f>
        <v>N/ App</v>
      </c>
      <c r="E680" s="4" t="e">
        <f>_xlfn.XLOOKUP(B680,[2]Sheet2!$E$2:$E$713,[2]Sheet2!$G$2:$G$713)</f>
        <v>#N/A</v>
      </c>
      <c r="F680" s="18">
        <v>46087</v>
      </c>
      <c r="G680" s="14">
        <v>0.26745370370370369</v>
      </c>
      <c r="H680" s="7" t="s">
        <v>4</v>
      </c>
      <c r="I680" s="2" t="str">
        <f t="shared" si="53"/>
        <v>Q2</v>
      </c>
      <c r="J680" s="2" t="str">
        <f t="shared" si="54"/>
        <v>Match</v>
      </c>
      <c r="K680" s="2">
        <f t="shared" si="50"/>
        <v>0.22360679774997899</v>
      </c>
      <c r="L680" s="2" t="e">
        <f t="shared" si="51"/>
        <v>#N/A</v>
      </c>
      <c r="M680" s="2" t="str">
        <f t="shared" si="52"/>
        <v>Digital Approve Hit</v>
      </c>
      <c r="N680" s="7">
        <v>17.899999999999999</v>
      </c>
      <c r="O680" s="7">
        <v>-1.5</v>
      </c>
      <c r="P680" s="7">
        <v>-1.3</v>
      </c>
      <c r="Q680" s="7">
        <v>-0.45</v>
      </c>
      <c r="R680" s="7">
        <v>-0.1</v>
      </c>
      <c r="S680" s="7">
        <v>0.2</v>
      </c>
      <c r="T680" s="7">
        <v>-0.14000000000000001</v>
      </c>
      <c r="U680" s="7">
        <v>-0.34</v>
      </c>
      <c r="V680" s="7">
        <v>0.57999999999999996</v>
      </c>
      <c r="W680" s="7" t="s">
        <v>8</v>
      </c>
      <c r="X680" s="7" t="s">
        <v>12</v>
      </c>
      <c r="Y680" s="2" t="s">
        <v>719</v>
      </c>
      <c r="Z680" s="2" t="s">
        <v>721</v>
      </c>
    </row>
    <row r="681" spans="1:26" x14ac:dyDescent="0.35">
      <c r="A681" s="7" t="s">
        <v>1681</v>
      </c>
      <c r="B681" s="7" t="s">
        <v>681</v>
      </c>
      <c r="C681" s="4" t="str">
        <f>_xlfn.XLOOKUP(A681,[2]Sheet2!$I$2:$I$1273,[2]Sheet2!$D$2:$D$1273,0)</f>
        <v>Q4</v>
      </c>
      <c r="D681" s="4" t="str">
        <f>_xlfn.XLOOKUP(B681,[4]Sheet2!$B$2:$B$3154,[4]Sheet2!$F$2:$F$3154,0)</f>
        <v>N/ App</v>
      </c>
      <c r="E681" s="4" t="e">
        <f>_xlfn.XLOOKUP(B681,[2]Sheet2!$E$2:$E$713,[2]Sheet2!$G$2:$G$713)</f>
        <v>#N/A</v>
      </c>
      <c r="F681" s="18">
        <v>46087</v>
      </c>
      <c r="G681" s="14">
        <v>0.27009259259259261</v>
      </c>
      <c r="H681" s="7" t="s">
        <v>4</v>
      </c>
      <c r="I681" s="2" t="str">
        <f t="shared" si="53"/>
        <v>Q3</v>
      </c>
      <c r="J681" s="2" t="str">
        <f t="shared" si="54"/>
        <v>Not Match</v>
      </c>
      <c r="K681" s="2">
        <f t="shared" si="50"/>
        <v>0.5</v>
      </c>
      <c r="L681" s="2" t="e">
        <f t="shared" si="51"/>
        <v>#N/A</v>
      </c>
      <c r="M681" s="2" t="str">
        <f t="shared" si="52"/>
        <v>Assign quadrant hit</v>
      </c>
      <c r="N681" s="7">
        <v>21.2</v>
      </c>
      <c r="O681" s="7">
        <v>-1.1000000000000001</v>
      </c>
      <c r="P681" s="7">
        <v>-7.6</v>
      </c>
      <c r="Q681" s="7">
        <v>0.8</v>
      </c>
      <c r="R681" s="7">
        <v>-0.3</v>
      </c>
      <c r="S681" s="7">
        <v>-0.4</v>
      </c>
      <c r="T681" s="7">
        <v>0.48</v>
      </c>
      <c r="U681" s="7">
        <v>-0.37</v>
      </c>
      <c r="V681" s="7">
        <v>1.01</v>
      </c>
      <c r="W681" s="7" t="s">
        <v>6</v>
      </c>
      <c r="X681" s="7" t="s">
        <v>15</v>
      </c>
      <c r="Y681" s="2" t="s">
        <v>719</v>
      </c>
      <c r="Z681" s="2" t="s">
        <v>721</v>
      </c>
    </row>
    <row r="682" spans="1:26" x14ac:dyDescent="0.35">
      <c r="A682" s="7" t="s">
        <v>1516</v>
      </c>
      <c r="B682" s="7" t="s">
        <v>682</v>
      </c>
      <c r="C682" s="4" t="str">
        <f>_xlfn.XLOOKUP(A682,[2]Sheet2!$I$2:$I$1273,[2]Sheet2!$D$2:$D$1273,0)</f>
        <v>Q2</v>
      </c>
      <c r="D682" s="4" t="str">
        <f>_xlfn.XLOOKUP(B682,[4]Sheet2!$B$2:$B$3154,[4]Sheet2!$F$2:$F$3154,0)</f>
        <v>N/ App</v>
      </c>
      <c r="E682" s="4" t="e">
        <f>_xlfn.XLOOKUP(B682,[2]Sheet2!$E$2:$E$713,[2]Sheet2!$G$2:$G$713)</f>
        <v>#N/A</v>
      </c>
      <c r="F682" s="18">
        <v>46087</v>
      </c>
      <c r="G682" s="14">
        <v>0.2799537037037037</v>
      </c>
      <c r="H682" s="7" t="s">
        <v>4</v>
      </c>
      <c r="I682" s="2" t="str">
        <f t="shared" si="53"/>
        <v>Q2</v>
      </c>
      <c r="J682" s="2" t="str">
        <f t="shared" si="54"/>
        <v>Match</v>
      </c>
      <c r="K682" s="2">
        <f t="shared" si="50"/>
        <v>0</v>
      </c>
      <c r="L682" s="2" t="e">
        <f t="shared" si="51"/>
        <v>#N/A</v>
      </c>
      <c r="M682" s="2" t="str">
        <f t="shared" si="52"/>
        <v>Failed but within quadrant</v>
      </c>
      <c r="N682" s="7">
        <v>17.3</v>
      </c>
      <c r="O682" s="7">
        <v>-1.4</v>
      </c>
      <c r="P682" s="7">
        <v>-1.5</v>
      </c>
      <c r="Q682" s="7">
        <v>-0.98</v>
      </c>
      <c r="R682" s="7">
        <v>0</v>
      </c>
      <c r="S682" s="7">
        <v>0</v>
      </c>
      <c r="T682" s="7">
        <v>-0.04</v>
      </c>
      <c r="U682" s="7">
        <v>-0.06</v>
      </c>
      <c r="V682" s="7">
        <v>0.99</v>
      </c>
      <c r="W682" s="7" t="s">
        <v>13</v>
      </c>
      <c r="X682" s="7" t="s">
        <v>12</v>
      </c>
      <c r="Y682" s="2" t="s">
        <v>719</v>
      </c>
      <c r="Z682" s="2" t="s">
        <v>721</v>
      </c>
    </row>
    <row r="683" spans="1:26" x14ac:dyDescent="0.35">
      <c r="A683" s="7" t="s">
        <v>1574</v>
      </c>
      <c r="B683" s="7" t="s">
        <v>683</v>
      </c>
      <c r="C683" s="4" t="str">
        <f>_xlfn.XLOOKUP(A683,[2]Sheet2!$I$2:$I$1273,[2]Sheet2!$D$2:$D$1273,0)</f>
        <v>Q2</v>
      </c>
      <c r="D683" s="4" t="str">
        <f>_xlfn.XLOOKUP(B683,[4]Sheet2!$B$2:$B$3154,[4]Sheet2!$F$2:$F$3154,0)</f>
        <v>N/ App</v>
      </c>
      <c r="E683" s="4" t="e">
        <f>_xlfn.XLOOKUP(B683,[2]Sheet2!$E$2:$E$713,[2]Sheet2!$G$2:$G$713)</f>
        <v>#N/A</v>
      </c>
      <c r="F683" s="18">
        <v>46087</v>
      </c>
      <c r="G683" s="14">
        <v>0.40630787037037036</v>
      </c>
      <c r="H683" s="7" t="s">
        <v>11</v>
      </c>
      <c r="I683" s="2" t="str">
        <f t="shared" si="53"/>
        <v>Q4</v>
      </c>
      <c r="J683" s="2" t="str">
        <f t="shared" si="54"/>
        <v>Not Match</v>
      </c>
      <c r="K683" s="2">
        <f t="shared" si="50"/>
        <v>0.60827625302982191</v>
      </c>
      <c r="L683" s="2" t="e">
        <f t="shared" si="51"/>
        <v>#N/A</v>
      </c>
      <c r="M683" s="2" t="str">
        <f t="shared" si="52"/>
        <v>Below 0.8 not in assigned quadrant</v>
      </c>
      <c r="N683" s="7">
        <v>18.7</v>
      </c>
      <c r="O683" s="7">
        <v>-0.1</v>
      </c>
      <c r="P683" s="7">
        <v>-12.7</v>
      </c>
      <c r="Q683" s="7">
        <v>-0.42</v>
      </c>
      <c r="R683" s="7">
        <v>0.1</v>
      </c>
      <c r="S683" s="7">
        <v>-0.6</v>
      </c>
      <c r="T683" s="7">
        <v>0.51</v>
      </c>
      <c r="U683" s="7">
        <v>0.2</v>
      </c>
      <c r="V683" s="7">
        <v>0.69</v>
      </c>
      <c r="W683" s="7" t="s">
        <v>8</v>
      </c>
      <c r="X683" s="7" t="s">
        <v>9</v>
      </c>
      <c r="Y683" s="2" t="s">
        <v>719</v>
      </c>
      <c r="Z683" s="2" t="s">
        <v>721</v>
      </c>
    </row>
    <row r="684" spans="1:26" s="12" customFormat="1" x14ac:dyDescent="0.35">
      <c r="A684" s="7" t="s">
        <v>1545</v>
      </c>
      <c r="B684" s="7" t="s">
        <v>684</v>
      </c>
      <c r="C684" s="4" t="str">
        <f>_xlfn.XLOOKUP(A684,[2]Sheet2!$I$2:$I$1273,[2]Sheet2!$D$2:$D$1273,0)</f>
        <v>Q2</v>
      </c>
      <c r="D684" s="4" t="str">
        <f>_xlfn.XLOOKUP(B684,[4]Sheet2!$B$2:$B$3154,[4]Sheet2!$F$2:$F$3154,0)</f>
        <v>N/ App</v>
      </c>
      <c r="E684" s="4" t="e">
        <f>_xlfn.XLOOKUP(B684,[2]Sheet2!$E$2:$E$713,[2]Sheet2!$G$2:$G$713)</f>
        <v>#N/A</v>
      </c>
      <c r="F684" s="18">
        <v>46087</v>
      </c>
      <c r="G684" s="14">
        <v>0.55181712962962959</v>
      </c>
      <c r="H684" s="7" t="s">
        <v>5</v>
      </c>
      <c r="I684" s="2" t="str">
        <f t="shared" si="53"/>
        <v>Q4</v>
      </c>
      <c r="J684" s="2" t="str">
        <f t="shared" si="54"/>
        <v>Not Match</v>
      </c>
      <c r="K684" s="2">
        <f t="shared" si="50"/>
        <v>0.3</v>
      </c>
      <c r="L684" s="2" t="e">
        <f t="shared" si="51"/>
        <v>#N/A</v>
      </c>
      <c r="M684" s="2" t="str">
        <f t="shared" si="52"/>
        <v>Assign quadrant hit</v>
      </c>
      <c r="N684" s="7">
        <v>16.8</v>
      </c>
      <c r="O684" s="7">
        <v>-0.6</v>
      </c>
      <c r="P684" s="7">
        <v>-2.7</v>
      </c>
      <c r="Q684" s="7">
        <v>-1</v>
      </c>
      <c r="R684" s="7">
        <v>0</v>
      </c>
      <c r="S684" s="7">
        <v>-0.3</v>
      </c>
      <c r="T684" s="7">
        <v>0.45</v>
      </c>
      <c r="U684" s="7">
        <v>0.18</v>
      </c>
      <c r="V684" s="7">
        <v>1.1100000000000001</v>
      </c>
      <c r="W684" s="7" t="s">
        <v>6</v>
      </c>
      <c r="X684" s="7" t="s">
        <v>9</v>
      </c>
      <c r="Y684" s="2" t="s">
        <v>719</v>
      </c>
      <c r="Z684" s="2" t="s">
        <v>721</v>
      </c>
    </row>
    <row r="685" spans="1:26" x14ac:dyDescent="0.35">
      <c r="A685" s="7" t="s">
        <v>1687</v>
      </c>
      <c r="B685" s="7" t="s">
        <v>685</v>
      </c>
      <c r="C685" s="4" t="str">
        <f>_xlfn.XLOOKUP(A685,[2]Sheet2!$I$2:$I$1273,[2]Sheet2!$D$2:$D$1273,0)</f>
        <v>Q3</v>
      </c>
      <c r="D685" s="4" t="str">
        <f>_xlfn.XLOOKUP(B685,[4]Sheet2!$B$2:$B$3154,[4]Sheet2!$F$2:$F$3154,0)</f>
        <v>N/ App</v>
      </c>
      <c r="E685" s="4" t="e">
        <f>_xlfn.XLOOKUP(B685,[2]Sheet2!$E$2:$E$713,[2]Sheet2!$G$2:$G$713)</f>
        <v>#N/A</v>
      </c>
      <c r="F685" s="18">
        <v>46087</v>
      </c>
      <c r="G685" s="14">
        <v>0.5540046296296296</v>
      </c>
      <c r="H685" s="7" t="s">
        <v>5</v>
      </c>
      <c r="I685" s="2" t="str">
        <f t="shared" si="53"/>
        <v>Q1</v>
      </c>
      <c r="J685" s="2" t="str">
        <f t="shared" si="54"/>
        <v>Not Match</v>
      </c>
      <c r="K685" s="2">
        <f t="shared" si="50"/>
        <v>0.8</v>
      </c>
      <c r="L685" s="2" t="e">
        <f t="shared" si="51"/>
        <v>#N/A</v>
      </c>
      <c r="M685" s="2" t="str">
        <f t="shared" si="52"/>
        <v>Assign quadrant hit</v>
      </c>
      <c r="N685" s="7">
        <v>34.4</v>
      </c>
      <c r="O685" s="7">
        <v>11.6</v>
      </c>
      <c r="P685" s="7">
        <v>13.8</v>
      </c>
      <c r="Q685" s="7">
        <v>-0.46</v>
      </c>
      <c r="R685" s="7">
        <v>0</v>
      </c>
      <c r="S685" s="7">
        <v>0.8</v>
      </c>
      <c r="T685" s="7">
        <v>0.37</v>
      </c>
      <c r="U685" s="7">
        <v>0.92</v>
      </c>
      <c r="V685" s="7">
        <v>1.0900000000000001</v>
      </c>
      <c r="W685" s="7" t="s">
        <v>6</v>
      </c>
      <c r="X685" s="7" t="s">
        <v>12</v>
      </c>
      <c r="Y685" s="2" t="s">
        <v>719</v>
      </c>
      <c r="Z685" s="2" t="s">
        <v>721</v>
      </c>
    </row>
    <row r="686" spans="1:26" x14ac:dyDescent="0.35">
      <c r="A686" s="7" t="s">
        <v>1507</v>
      </c>
      <c r="B686" s="7" t="s">
        <v>687</v>
      </c>
      <c r="C686" s="4" t="str">
        <f>_xlfn.XLOOKUP(A686,[2]Sheet2!$I$2:$I$1273,[2]Sheet2!$D$2:$D$1273,0)</f>
        <v>Q3</v>
      </c>
      <c r="D686" s="4" t="str">
        <f>_xlfn.XLOOKUP(B686,[4]Sheet2!$B$2:$B$3154,[4]Sheet2!$F$2:$F$3154,0)</f>
        <v>C/APP</v>
      </c>
      <c r="E686" s="4" t="e">
        <f>_xlfn.XLOOKUP(B686,[2]Sheet2!$E$2:$E$713,[2]Sheet2!$G$2:$G$713)</f>
        <v>#N/A</v>
      </c>
      <c r="F686" s="18">
        <v>46087</v>
      </c>
      <c r="G686" s="14">
        <v>0.61719907407407404</v>
      </c>
      <c r="H686" s="7" t="s">
        <v>11</v>
      </c>
      <c r="I686" s="2" t="str">
        <f t="shared" si="53"/>
        <v>Q4</v>
      </c>
      <c r="J686" s="2" t="str">
        <f t="shared" si="54"/>
        <v>Not Match</v>
      </c>
      <c r="K686" s="2">
        <f t="shared" si="50"/>
        <v>0.44721359549995798</v>
      </c>
      <c r="L686" s="2" t="e">
        <f t="shared" si="51"/>
        <v>#N/A</v>
      </c>
      <c r="M686" s="2" t="str">
        <f t="shared" si="52"/>
        <v>Assign quadrant hit</v>
      </c>
      <c r="N686" s="7">
        <v>14.9</v>
      </c>
      <c r="O686" s="7">
        <v>-0.8</v>
      </c>
      <c r="P686" s="7">
        <v>-1.2</v>
      </c>
      <c r="Q686" s="7">
        <v>-0.81</v>
      </c>
      <c r="R686" s="7">
        <v>0.2</v>
      </c>
      <c r="S686" s="7">
        <v>-0.4</v>
      </c>
      <c r="T686" s="7">
        <v>0.18</v>
      </c>
      <c r="U686" s="7">
        <v>0.67</v>
      </c>
      <c r="V686" s="7">
        <v>1.07</v>
      </c>
      <c r="W686" s="7" t="s">
        <v>6</v>
      </c>
      <c r="X686" s="7" t="s">
        <v>7</v>
      </c>
      <c r="Y686" s="2" t="s">
        <v>719</v>
      </c>
      <c r="Z686" s="2" t="s">
        <v>721</v>
      </c>
    </row>
    <row r="687" spans="1:26" x14ac:dyDescent="0.35">
      <c r="A687" s="7" t="s">
        <v>1559</v>
      </c>
      <c r="B687" s="7" t="s">
        <v>688</v>
      </c>
      <c r="C687" s="4" t="str">
        <f>_xlfn.XLOOKUP(A687,[2]Sheet2!$I$2:$I$1273,[2]Sheet2!$D$2:$D$1273,0)</f>
        <v>Q3</v>
      </c>
      <c r="D687" s="4" t="str">
        <f>_xlfn.XLOOKUP(B687,[4]Sheet2!$B$2:$B$3154,[4]Sheet2!$F$2:$F$3154,0)</f>
        <v>N/ App</v>
      </c>
      <c r="E687" s="4" t="e">
        <f>_xlfn.XLOOKUP(B687,[2]Sheet2!$E$2:$E$713,[2]Sheet2!$G$2:$G$713)</f>
        <v>#N/A</v>
      </c>
      <c r="F687" s="18">
        <v>46087</v>
      </c>
      <c r="G687" s="14">
        <v>0.74280092592592595</v>
      </c>
      <c r="H687" s="7" t="s">
        <v>11</v>
      </c>
      <c r="I687" s="2" t="str">
        <f t="shared" si="53"/>
        <v>Q4</v>
      </c>
      <c r="J687" s="2" t="str">
        <f t="shared" si="54"/>
        <v>Not Match</v>
      </c>
      <c r="K687" s="2">
        <f t="shared" si="50"/>
        <v>0.1</v>
      </c>
      <c r="L687" s="2" t="e">
        <f t="shared" si="51"/>
        <v>#N/A</v>
      </c>
      <c r="M687" s="2" t="str">
        <f t="shared" si="52"/>
        <v>Below 0.8 not in assigned quadrant</v>
      </c>
      <c r="N687" s="7">
        <v>17.2</v>
      </c>
      <c r="O687" s="7">
        <v>-0.5</v>
      </c>
      <c r="P687" s="7">
        <v>-2.9</v>
      </c>
      <c r="Q687" s="7">
        <v>-0.49</v>
      </c>
      <c r="R687" s="7">
        <v>0.1</v>
      </c>
      <c r="S687" s="7">
        <v>0</v>
      </c>
      <c r="T687" s="7">
        <v>0.03</v>
      </c>
      <c r="U687" s="7">
        <v>0.15</v>
      </c>
      <c r="V687" s="7">
        <v>0.51</v>
      </c>
      <c r="W687" s="7" t="s">
        <v>8</v>
      </c>
      <c r="X687" s="7" t="s">
        <v>9</v>
      </c>
      <c r="Y687" s="2" t="s">
        <v>719</v>
      </c>
      <c r="Z687" s="2" t="s">
        <v>721</v>
      </c>
    </row>
    <row r="688" spans="1:26" x14ac:dyDescent="0.35">
      <c r="A688" s="7" t="s">
        <v>1509</v>
      </c>
      <c r="B688" s="7" t="s">
        <v>689</v>
      </c>
      <c r="C688" s="4" t="str">
        <f>_xlfn.XLOOKUP(A688,[2]Sheet2!$I$2:$I$1273,[2]Sheet2!$D$2:$D$1273,0)</f>
        <v>Q2</v>
      </c>
      <c r="D688" s="4" t="str">
        <f>_xlfn.XLOOKUP(B688,[4]Sheet2!$B$2:$B$3154,[4]Sheet2!$F$2:$F$3154,0)</f>
        <v>N/ App</v>
      </c>
      <c r="E688" s="4" t="e">
        <f>_xlfn.XLOOKUP(B688,[2]Sheet2!$E$2:$E$713,[2]Sheet2!$G$2:$G$713)</f>
        <v>#N/A</v>
      </c>
      <c r="F688" s="18">
        <v>46087</v>
      </c>
      <c r="G688" s="14">
        <v>0.74471064814814814</v>
      </c>
      <c r="H688" s="7" t="s">
        <v>4</v>
      </c>
      <c r="I688" s="2" t="str">
        <f t="shared" si="53"/>
        <v>Q4</v>
      </c>
      <c r="J688" s="2" t="str">
        <f t="shared" si="54"/>
        <v>Not Match</v>
      </c>
      <c r="K688" s="2">
        <f t="shared" si="50"/>
        <v>0.4</v>
      </c>
      <c r="L688" s="2" t="e">
        <f t="shared" si="51"/>
        <v>#N/A</v>
      </c>
      <c r="M688" s="2" t="str">
        <f t="shared" si="52"/>
        <v>Assign quadrant hit</v>
      </c>
      <c r="N688" s="7">
        <v>15.9</v>
      </c>
      <c r="O688" s="7">
        <v>-0.8</v>
      </c>
      <c r="P688" s="7">
        <v>-2</v>
      </c>
      <c r="Q688" s="7">
        <v>-1.08</v>
      </c>
      <c r="R688" s="7">
        <v>0.4</v>
      </c>
      <c r="S688" s="7">
        <v>0</v>
      </c>
      <c r="T688" s="7">
        <v>-0.19</v>
      </c>
      <c r="U688" s="7">
        <v>0.49</v>
      </c>
      <c r="V688" s="7">
        <v>1.2</v>
      </c>
      <c r="W688" s="7" t="s">
        <v>6</v>
      </c>
      <c r="X688" s="7" t="s">
        <v>9</v>
      </c>
      <c r="Y688" s="2" t="s">
        <v>719</v>
      </c>
      <c r="Z688" s="2" t="s">
        <v>721</v>
      </c>
    </row>
    <row r="689" spans="1:26" x14ac:dyDescent="0.35">
      <c r="A689" s="7" t="s">
        <v>1509</v>
      </c>
      <c r="B689" s="7" t="s">
        <v>690</v>
      </c>
      <c r="C689" s="4" t="str">
        <f>_xlfn.XLOOKUP(A689,[2]Sheet2!$I$2:$I$1273,[2]Sheet2!$D$2:$D$1273,0)</f>
        <v>Q2</v>
      </c>
      <c r="D689" s="4" t="str">
        <f>_xlfn.XLOOKUP(B689,[4]Sheet2!$B$2:$B$3154,[4]Sheet2!$F$2:$F$3154,0)</f>
        <v>N/ App</v>
      </c>
      <c r="E689" s="4" t="e">
        <f>_xlfn.XLOOKUP(B689,[2]Sheet2!$E$2:$E$713,[2]Sheet2!$G$2:$G$713)</f>
        <v>#N/A</v>
      </c>
      <c r="F689" s="18">
        <v>46087</v>
      </c>
      <c r="G689" s="14">
        <v>0.74850694444444443</v>
      </c>
      <c r="H689" s="7" t="s">
        <v>4</v>
      </c>
      <c r="I689" s="2" t="str">
        <f t="shared" si="53"/>
        <v>Q4</v>
      </c>
      <c r="J689" s="2" t="str">
        <f t="shared" si="54"/>
        <v>Not Match</v>
      </c>
      <c r="K689" s="2">
        <f t="shared" si="50"/>
        <v>0.22360679774997899</v>
      </c>
      <c r="L689" s="2" t="e">
        <f t="shared" si="51"/>
        <v>#N/A</v>
      </c>
      <c r="M689" s="2" t="str">
        <f t="shared" si="52"/>
        <v>Below 0.8 not in assigned quadrant</v>
      </c>
      <c r="N689" s="7">
        <v>16.7</v>
      </c>
      <c r="O689" s="7">
        <v>-1</v>
      </c>
      <c r="P689" s="7">
        <v>-2.1</v>
      </c>
      <c r="Q689" s="7">
        <v>-0.34</v>
      </c>
      <c r="R689" s="7">
        <v>0.2</v>
      </c>
      <c r="S689" s="7">
        <v>-0.1</v>
      </c>
      <c r="T689" s="7">
        <v>-0.03</v>
      </c>
      <c r="U689" s="7">
        <v>0.32</v>
      </c>
      <c r="V689" s="7">
        <v>0.47</v>
      </c>
      <c r="W689" s="7" t="s">
        <v>8</v>
      </c>
      <c r="X689" s="7" t="s">
        <v>9</v>
      </c>
      <c r="Y689" s="2" t="s">
        <v>719</v>
      </c>
      <c r="Z689" s="2" t="s">
        <v>721</v>
      </c>
    </row>
    <row r="690" spans="1:26" x14ac:dyDescent="0.35">
      <c r="A690" s="7" t="s">
        <v>1658</v>
      </c>
      <c r="B690" s="7" t="s">
        <v>691</v>
      </c>
      <c r="C690" s="4" t="str">
        <f>_xlfn.XLOOKUP(A690,[2]Sheet2!$I$2:$I$1273,[2]Sheet2!$D$2:$D$1273,0)</f>
        <v>Q4</v>
      </c>
      <c r="D690" s="4" t="str">
        <f>_xlfn.XLOOKUP(B690,[4]Sheet2!$B$2:$B$3154,[4]Sheet2!$F$2:$F$3154,0)</f>
        <v>C/APP</v>
      </c>
      <c r="E690" s="4" t="e">
        <f>_xlfn.XLOOKUP(B690,[2]Sheet2!$E$2:$E$713,[2]Sheet2!$G$2:$G$713)</f>
        <v>#N/A</v>
      </c>
      <c r="F690" s="18">
        <v>46087</v>
      </c>
      <c r="G690" s="14">
        <v>0.75107638888888884</v>
      </c>
      <c r="H690" s="7" t="s">
        <v>4</v>
      </c>
      <c r="I690" s="2" t="str">
        <f t="shared" si="53"/>
        <v>Q3</v>
      </c>
      <c r="J690" s="2" t="str">
        <f t="shared" si="54"/>
        <v>Not Match</v>
      </c>
      <c r="K690" s="2">
        <f t="shared" si="50"/>
        <v>0.3</v>
      </c>
      <c r="L690" s="2" t="e">
        <f t="shared" si="51"/>
        <v>#N/A</v>
      </c>
      <c r="M690" s="2" t="str">
        <f t="shared" si="52"/>
        <v>Assign quadrant hit</v>
      </c>
      <c r="N690" s="7">
        <v>40.299999999999997</v>
      </c>
      <c r="O690" s="7">
        <v>6.6</v>
      </c>
      <c r="P690" s="7">
        <v>8.1999999999999993</v>
      </c>
      <c r="Q690" s="7">
        <v>-1.1299999999999999</v>
      </c>
      <c r="R690" s="7">
        <v>-0.3</v>
      </c>
      <c r="S690" s="7">
        <v>0</v>
      </c>
      <c r="T690" s="7">
        <v>-0.26</v>
      </c>
      <c r="U690" s="7">
        <v>0.45</v>
      </c>
      <c r="V690" s="7">
        <v>1.24</v>
      </c>
      <c r="W690" s="7" t="s">
        <v>6</v>
      </c>
      <c r="X690" s="7" t="s">
        <v>12</v>
      </c>
      <c r="Y690" s="2" t="s">
        <v>719</v>
      </c>
      <c r="Z690" s="2" t="s">
        <v>721</v>
      </c>
    </row>
    <row r="691" spans="1:26" x14ac:dyDescent="0.35">
      <c r="A691" s="7" t="s">
        <v>1574</v>
      </c>
      <c r="B691" s="7" t="s">
        <v>692</v>
      </c>
      <c r="C691" s="4" t="str">
        <f>_xlfn.XLOOKUP(A691,[2]Sheet2!$I$2:$I$1273,[2]Sheet2!$D$2:$D$1273,0)</f>
        <v>Q2</v>
      </c>
      <c r="D691" s="4" t="str">
        <f>_xlfn.XLOOKUP(B691,[4]Sheet2!$B$2:$B$3154,[4]Sheet2!$F$2:$F$3154,0)</f>
        <v>N/ App</v>
      </c>
      <c r="E691" s="4" t="e">
        <f>_xlfn.XLOOKUP(B691,[2]Sheet2!$E$2:$E$713,[2]Sheet2!$G$2:$G$713)</f>
        <v>#N/A</v>
      </c>
      <c r="F691" s="18">
        <v>46087</v>
      </c>
      <c r="G691" s="14">
        <v>0.75307870370370367</v>
      </c>
      <c r="H691" s="7" t="s">
        <v>11</v>
      </c>
      <c r="I691" s="2" t="str">
        <f t="shared" si="53"/>
        <v>Q4</v>
      </c>
      <c r="J691" s="2" t="str">
        <f t="shared" si="54"/>
        <v>Not Match</v>
      </c>
      <c r="K691" s="2">
        <f t="shared" si="50"/>
        <v>0.22360679774997899</v>
      </c>
      <c r="L691" s="2" t="e">
        <f t="shared" si="51"/>
        <v>#N/A</v>
      </c>
      <c r="M691" s="2" t="str">
        <f t="shared" si="52"/>
        <v>Below 0.8 not in assigned quadrant</v>
      </c>
      <c r="N691" s="7">
        <v>18.8</v>
      </c>
      <c r="O691" s="7">
        <v>0</v>
      </c>
      <c r="P691" s="7">
        <v>-12.2</v>
      </c>
      <c r="Q691" s="7">
        <v>-0.33</v>
      </c>
      <c r="R691" s="7">
        <v>0.2</v>
      </c>
      <c r="S691" s="7">
        <v>-0.1</v>
      </c>
      <c r="T691" s="7">
        <v>0.14000000000000001</v>
      </c>
      <c r="U691" s="7">
        <v>0.33</v>
      </c>
      <c r="V691" s="7">
        <v>0.49</v>
      </c>
      <c r="W691" s="7" t="s">
        <v>8</v>
      </c>
      <c r="X691" s="7" t="s">
        <v>9</v>
      </c>
      <c r="Y691" s="2" t="s">
        <v>719</v>
      </c>
      <c r="Z691" s="2" t="s">
        <v>721</v>
      </c>
    </row>
    <row r="692" spans="1:26" x14ac:dyDescent="0.35">
      <c r="A692" s="7" t="s">
        <v>1574</v>
      </c>
      <c r="B692" s="7" t="s">
        <v>694</v>
      </c>
      <c r="C692" s="4" t="str">
        <f>_xlfn.XLOOKUP(A692,[2]Sheet2!$I$2:$I$1273,[2]Sheet2!$D$2:$D$1273,0)</f>
        <v>Q2</v>
      </c>
      <c r="D692" s="4" t="str">
        <f>_xlfn.XLOOKUP(B692,[4]Sheet2!$B$2:$B$3154,[4]Sheet2!$F$2:$F$3154,0)</f>
        <v>N/ App</v>
      </c>
      <c r="E692" s="4" t="e">
        <f>_xlfn.XLOOKUP(B692,[2]Sheet2!$E$2:$E$713,[2]Sheet2!$G$2:$G$713)</f>
        <v>#N/A</v>
      </c>
      <c r="F692" s="18">
        <v>46087</v>
      </c>
      <c r="G692" s="14">
        <v>0.76415509259259262</v>
      </c>
      <c r="H692" s="7" t="s">
        <v>11</v>
      </c>
      <c r="I692" s="2" t="str">
        <f t="shared" si="53"/>
        <v>Q4</v>
      </c>
      <c r="J692" s="2" t="str">
        <f t="shared" si="54"/>
        <v>Not Match</v>
      </c>
      <c r="K692" s="2">
        <f t="shared" si="50"/>
        <v>0.72801098892805172</v>
      </c>
      <c r="L692" s="2" t="e">
        <f t="shared" si="51"/>
        <v>#N/A</v>
      </c>
      <c r="M692" s="2" t="str">
        <f t="shared" si="52"/>
        <v>Assign quadrant hit</v>
      </c>
      <c r="N692" s="7">
        <v>18.399999999999999</v>
      </c>
      <c r="O692" s="7">
        <v>0</v>
      </c>
      <c r="P692" s="7">
        <v>-12.8</v>
      </c>
      <c r="Q692" s="7">
        <v>-0.71</v>
      </c>
      <c r="R692" s="7">
        <v>0.2</v>
      </c>
      <c r="S692" s="7">
        <v>-0.7</v>
      </c>
      <c r="T692" s="7">
        <v>0.56999999999999995</v>
      </c>
      <c r="U692" s="7">
        <v>0.34</v>
      </c>
      <c r="V692" s="7">
        <v>0.97</v>
      </c>
      <c r="W692" s="7" t="s">
        <v>13</v>
      </c>
      <c r="X692" s="7" t="s">
        <v>9</v>
      </c>
      <c r="Y692" s="2" t="s">
        <v>719</v>
      </c>
      <c r="Z692" s="2" t="s">
        <v>721</v>
      </c>
    </row>
    <row r="693" spans="1:26" x14ac:dyDescent="0.35">
      <c r="A693" s="7" t="s">
        <v>1673</v>
      </c>
      <c r="B693" s="7" t="s">
        <v>695</v>
      </c>
      <c r="C693" s="4" t="str">
        <f>_xlfn.XLOOKUP(A693,[2]Sheet2!$I$2:$I$1273,[2]Sheet2!$D$2:$D$1273,0)</f>
        <v>Q1</v>
      </c>
      <c r="D693" s="4" t="str">
        <f>_xlfn.XLOOKUP(B693,[4]Sheet2!$B$2:$B$3154,[4]Sheet2!$F$2:$F$3154,0)</f>
        <v>N/ App</v>
      </c>
      <c r="E693" s="4" t="e">
        <f>_xlfn.XLOOKUP(B693,[2]Sheet2!$E$2:$E$713,[2]Sheet2!$G$2:$G$713)</f>
        <v>#N/A</v>
      </c>
      <c r="F693" s="18">
        <v>46087</v>
      </c>
      <c r="G693" s="14">
        <v>0.93607638888888889</v>
      </c>
      <c r="H693" s="7" t="s">
        <v>4</v>
      </c>
      <c r="I693" s="2" t="str">
        <f t="shared" si="53"/>
        <v>Q1</v>
      </c>
      <c r="J693" s="2" t="str">
        <f t="shared" si="54"/>
        <v>Match</v>
      </c>
      <c r="K693" s="2">
        <f t="shared" si="50"/>
        <v>0</v>
      </c>
      <c r="L693" s="2" t="e">
        <f t="shared" si="51"/>
        <v>#N/A</v>
      </c>
      <c r="M693" s="2" t="str">
        <f t="shared" si="52"/>
        <v>Digital Approve Hit</v>
      </c>
      <c r="N693" s="7">
        <v>15.1</v>
      </c>
      <c r="O693" s="7">
        <v>-0.7</v>
      </c>
      <c r="P693" s="7">
        <v>-1.6</v>
      </c>
      <c r="Q693" s="7">
        <v>-0.36</v>
      </c>
      <c r="R693" s="7">
        <v>0</v>
      </c>
      <c r="S693" s="7">
        <v>0</v>
      </c>
      <c r="T693" s="7">
        <v>0.13</v>
      </c>
      <c r="U693" s="7">
        <v>-0.06</v>
      </c>
      <c r="V693" s="7">
        <v>0.39</v>
      </c>
      <c r="W693" s="7" t="s">
        <v>8</v>
      </c>
      <c r="X693" s="7" t="s">
        <v>15</v>
      </c>
      <c r="Y693" s="2" t="s">
        <v>719</v>
      </c>
      <c r="Z693" s="2" t="s">
        <v>721</v>
      </c>
    </row>
    <row r="694" spans="1:26" x14ac:dyDescent="0.35">
      <c r="A694" s="7" t="s">
        <v>1507</v>
      </c>
      <c r="B694" s="7" t="s">
        <v>696</v>
      </c>
      <c r="C694" s="4" t="str">
        <f>_xlfn.XLOOKUP(A694,[2]Sheet2!$I$2:$I$1273,[2]Sheet2!$D$2:$D$1273,0)</f>
        <v>Q3</v>
      </c>
      <c r="D694" s="4" t="str">
        <f>_xlfn.XLOOKUP(B694,[4]Sheet2!$B$2:$B$3154,[4]Sheet2!$F$2:$F$3154,0)</f>
        <v>N/ App</v>
      </c>
      <c r="E694" s="4" t="e">
        <f>_xlfn.XLOOKUP(B694,[2]Sheet2!$E$2:$E$713,[2]Sheet2!$G$2:$G$713)</f>
        <v>#N/A</v>
      </c>
      <c r="F694" s="18">
        <v>46087</v>
      </c>
      <c r="G694" s="14">
        <v>0.97424768518518523</v>
      </c>
      <c r="H694" s="7" t="s">
        <v>11</v>
      </c>
      <c r="I694" s="2" t="str">
        <f t="shared" si="53"/>
        <v>Q4</v>
      </c>
      <c r="J694" s="2" t="str">
        <f t="shared" si="54"/>
        <v>Not Match</v>
      </c>
      <c r="K694" s="2">
        <f t="shared" si="50"/>
        <v>0.22360679774997899</v>
      </c>
      <c r="L694" s="2" t="e">
        <f t="shared" si="51"/>
        <v>#N/A</v>
      </c>
      <c r="M694" s="2" t="str">
        <f t="shared" si="52"/>
        <v>Assign quadrant hit</v>
      </c>
      <c r="N694" s="7">
        <v>14.4</v>
      </c>
      <c r="O694" s="7">
        <v>-0.9</v>
      </c>
      <c r="P694" s="7">
        <v>-1</v>
      </c>
      <c r="Q694" s="7">
        <v>-1.29</v>
      </c>
      <c r="R694" s="7">
        <v>0.1</v>
      </c>
      <c r="S694" s="7">
        <v>-0.2</v>
      </c>
      <c r="T694" s="7">
        <v>0.1</v>
      </c>
      <c r="U694" s="7">
        <v>0.34</v>
      </c>
      <c r="V694" s="7">
        <v>1.33</v>
      </c>
      <c r="W694" s="7" t="s">
        <v>6</v>
      </c>
      <c r="X694" s="7" t="s">
        <v>7</v>
      </c>
      <c r="Y694" s="2" t="s">
        <v>719</v>
      </c>
      <c r="Z694" s="2" t="s">
        <v>721</v>
      </c>
    </row>
    <row r="695" spans="1:26" x14ac:dyDescent="0.35">
      <c r="A695" s="7" t="s">
        <v>1536</v>
      </c>
      <c r="B695" s="7" t="s">
        <v>697</v>
      </c>
      <c r="C695" s="4" t="str">
        <f>_xlfn.XLOOKUP(A695,[2]Sheet2!$I$2:$I$1273,[2]Sheet2!$D$2:$D$1273,0)</f>
        <v>Q2</v>
      </c>
      <c r="D695" s="4" t="str">
        <f>_xlfn.XLOOKUP(B695,[4]Sheet2!$B$2:$B$3154,[4]Sheet2!$F$2:$F$3154,0)</f>
        <v>N/ App</v>
      </c>
      <c r="E695" s="4" t="e">
        <f>_xlfn.XLOOKUP(B695,[2]Sheet2!$E$2:$E$713,[2]Sheet2!$G$2:$G$713)</f>
        <v>#N/A</v>
      </c>
      <c r="F695" s="18">
        <v>46087</v>
      </c>
      <c r="G695" s="14">
        <v>0.97752314814814811</v>
      </c>
      <c r="H695" s="7" t="s">
        <v>5</v>
      </c>
      <c r="I695" s="2" t="str">
        <f t="shared" si="53"/>
        <v>Q2</v>
      </c>
      <c r="J695" s="2" t="str">
        <f t="shared" si="54"/>
        <v>Match</v>
      </c>
      <c r="K695" s="2">
        <f t="shared" si="50"/>
        <v>0</v>
      </c>
      <c r="L695" s="2" t="e">
        <f t="shared" si="51"/>
        <v>#N/A</v>
      </c>
      <c r="M695" s="2" t="str">
        <f t="shared" si="52"/>
        <v>Digital Approve Hit</v>
      </c>
      <c r="N695" s="7">
        <v>15.7</v>
      </c>
      <c r="O695" s="7">
        <v>-0.6</v>
      </c>
      <c r="P695" s="7">
        <v>-2.7</v>
      </c>
      <c r="Q695" s="7">
        <v>0.49</v>
      </c>
      <c r="R695" s="7">
        <v>0</v>
      </c>
      <c r="S695" s="7">
        <v>0</v>
      </c>
      <c r="T695" s="7">
        <v>0.08</v>
      </c>
      <c r="U695" s="7">
        <v>0.01</v>
      </c>
      <c r="V695" s="7">
        <v>0.5</v>
      </c>
      <c r="W695" s="7" t="s">
        <v>8</v>
      </c>
      <c r="X695" s="7" t="s">
        <v>9</v>
      </c>
      <c r="Y695" s="2" t="s">
        <v>719</v>
      </c>
      <c r="Z695" s="2" t="s">
        <v>721</v>
      </c>
    </row>
    <row r="696" spans="1:26" x14ac:dyDescent="0.35">
      <c r="A696" s="7" t="s">
        <v>1676</v>
      </c>
      <c r="B696" s="7" t="s">
        <v>698</v>
      </c>
      <c r="C696" s="4" t="str">
        <f>_xlfn.XLOOKUP(A696,[2]Sheet2!$I$2:$I$1273,[2]Sheet2!$D$2:$D$1273,0)</f>
        <v>Q2</v>
      </c>
      <c r="D696" s="4" t="str">
        <f>_xlfn.XLOOKUP(B696,[4]Sheet2!$B$2:$B$3154,[4]Sheet2!$F$2:$F$3154,0)</f>
        <v>N/ App</v>
      </c>
      <c r="E696" s="4" t="e">
        <f>_xlfn.XLOOKUP(B696,[2]Sheet2!$E$2:$E$713,[2]Sheet2!$G$2:$G$713)</f>
        <v>#N/A</v>
      </c>
      <c r="F696" s="18">
        <v>46088</v>
      </c>
      <c r="G696" s="14">
        <v>6.7118055555555556E-2</v>
      </c>
      <c r="H696" s="7" t="s">
        <v>11</v>
      </c>
      <c r="I696" s="2" t="str">
        <f t="shared" si="53"/>
        <v>Q4</v>
      </c>
      <c r="J696" s="2" t="str">
        <f t="shared" si="54"/>
        <v>Not Match</v>
      </c>
      <c r="K696" s="2">
        <f t="shared" si="50"/>
        <v>0.72801098892805172</v>
      </c>
      <c r="L696" s="2" t="e">
        <f t="shared" si="51"/>
        <v>#N/A</v>
      </c>
      <c r="M696" s="2" t="str">
        <f t="shared" si="52"/>
        <v>Assign quadrant hit</v>
      </c>
      <c r="N696" s="7">
        <v>24.7</v>
      </c>
      <c r="O696" s="7">
        <v>11.3</v>
      </c>
      <c r="P696" s="7">
        <v>-2</v>
      </c>
      <c r="Q696" s="7">
        <v>0.28999999999999998</v>
      </c>
      <c r="R696" s="7">
        <v>0.2</v>
      </c>
      <c r="S696" s="7">
        <v>-0.7</v>
      </c>
      <c r="T696" s="7">
        <v>0.25</v>
      </c>
      <c r="U696" s="7">
        <v>-0.78</v>
      </c>
      <c r="V696" s="7">
        <v>0.86</v>
      </c>
      <c r="W696" s="7" t="s">
        <v>13</v>
      </c>
      <c r="X696" s="7" t="s">
        <v>7</v>
      </c>
      <c r="Y696" s="2" t="s">
        <v>719</v>
      </c>
      <c r="Z696" s="2" t="s">
        <v>721</v>
      </c>
    </row>
    <row r="697" spans="1:26" x14ac:dyDescent="0.35">
      <c r="A697" s="7" t="s">
        <v>1506</v>
      </c>
      <c r="B697" s="7" t="s">
        <v>699</v>
      </c>
      <c r="C697" s="4" t="str">
        <f>_xlfn.XLOOKUP(A697,[2]Sheet2!$I$2:$I$1273,[2]Sheet2!$D$2:$D$1273,0)</f>
        <v>Q1</v>
      </c>
      <c r="D697" s="4" t="str">
        <f>_xlfn.XLOOKUP(B697,[4]Sheet2!$B$2:$B$3154,[4]Sheet2!$F$2:$F$3154,0)</f>
        <v>C/APP</v>
      </c>
      <c r="E697" s="4" t="e">
        <f>_xlfn.XLOOKUP(B697,[2]Sheet2!$E$2:$E$713,[2]Sheet2!$G$2:$G$713)</f>
        <v>#N/A</v>
      </c>
      <c r="F697" s="18">
        <v>46088</v>
      </c>
      <c r="G697" s="14">
        <v>8.4861111111111109E-2</v>
      </c>
      <c r="H697" s="7" t="s">
        <v>4</v>
      </c>
      <c r="I697" s="2" t="str">
        <f t="shared" si="53"/>
        <v>Q1</v>
      </c>
      <c r="J697" s="2" t="str">
        <f t="shared" si="54"/>
        <v>Match</v>
      </c>
      <c r="K697" s="2">
        <f t="shared" si="50"/>
        <v>0.28284271247461906</v>
      </c>
      <c r="L697" s="2" t="e">
        <f t="shared" si="51"/>
        <v>#N/A</v>
      </c>
      <c r="M697" s="2" t="str">
        <f t="shared" si="52"/>
        <v>Digital Approve Hit</v>
      </c>
      <c r="N697" s="7">
        <v>14.9</v>
      </c>
      <c r="O697" s="7">
        <v>-0.2</v>
      </c>
      <c r="P697" s="7">
        <v>-1.7</v>
      </c>
      <c r="Q697" s="7">
        <v>-0.6</v>
      </c>
      <c r="R697" s="7">
        <v>0.2</v>
      </c>
      <c r="S697" s="7">
        <v>0.2</v>
      </c>
      <c r="T697" s="7">
        <v>-0.36</v>
      </c>
      <c r="U697" s="7">
        <v>0.28000000000000003</v>
      </c>
      <c r="V697" s="7">
        <v>0.75</v>
      </c>
      <c r="W697" s="7" t="s">
        <v>13</v>
      </c>
      <c r="X697" s="7" t="s">
        <v>9</v>
      </c>
      <c r="Y697" s="2" t="s">
        <v>719</v>
      </c>
      <c r="Z697" s="2" t="s">
        <v>721</v>
      </c>
    </row>
    <row r="698" spans="1:26" x14ac:dyDescent="0.35">
      <c r="A698" s="7" t="s">
        <v>1619</v>
      </c>
      <c r="B698" s="7" t="s">
        <v>700</v>
      </c>
      <c r="C698" s="4" t="str">
        <f>_xlfn.XLOOKUP(A698,[2]Sheet2!$I$2:$I$1273,[2]Sheet2!$D$2:$D$1273,0)</f>
        <v>Q4</v>
      </c>
      <c r="D698" s="4" t="str">
        <f>_xlfn.XLOOKUP(B698,[4]Sheet2!$B$2:$B$3154,[4]Sheet2!$F$2:$F$3154,0)</f>
        <v>C/APP</v>
      </c>
      <c r="E698" s="4" t="e">
        <f>_xlfn.XLOOKUP(B698,[2]Sheet2!$E$2:$E$713,[2]Sheet2!$G$2:$G$713)</f>
        <v>#N/A</v>
      </c>
      <c r="F698" s="18">
        <v>46088</v>
      </c>
      <c r="G698" s="14">
        <v>0.19640046296296296</v>
      </c>
      <c r="H698" s="7" t="s">
        <v>16</v>
      </c>
      <c r="I698" s="2" t="str">
        <f t="shared" si="53"/>
        <v>Q1</v>
      </c>
      <c r="J698" s="2" t="str">
        <f t="shared" si="54"/>
        <v>Not Match</v>
      </c>
      <c r="K698" s="2">
        <f t="shared" ref="K698:K760" si="55">SQRT(R698^2+S698^2)</f>
        <v>0.50990195135927852</v>
      </c>
      <c r="L698" s="2" t="e">
        <f t="shared" ref="L698:L760" si="56">IF(K698&lt;=E698,"Within Range","Over Range")</f>
        <v>#N/A</v>
      </c>
      <c r="M698" s="2" t="str">
        <f t="shared" ref="M698:M760" si="57">IF(AND(J698="Match",V698&lt;=0.8),"Digital Approve Hit",
IF(AND(J698="Match",V698&gt;0.8),"Failed but within quadrant",
IF(AND(J698="Not Match",V698&lt;=0.8),"Below 0.8 not in assigned quadrant",
"Assign quadrant hit")))</f>
        <v>Assign quadrant hit</v>
      </c>
      <c r="N698" s="7">
        <v>27.6</v>
      </c>
      <c r="O698" s="7">
        <v>-1.5</v>
      </c>
      <c r="P698" s="7">
        <v>-2.4</v>
      </c>
      <c r="Q698" s="7">
        <v>-0.81</v>
      </c>
      <c r="R698" s="7">
        <v>0.1</v>
      </c>
      <c r="S698" s="7">
        <v>0.5</v>
      </c>
      <c r="T698" s="7">
        <v>-0.65</v>
      </c>
      <c r="U698" s="7">
        <v>-0.25</v>
      </c>
      <c r="V698" s="7">
        <v>1.07</v>
      </c>
      <c r="W698" s="7" t="s">
        <v>6</v>
      </c>
      <c r="X698" s="7" t="s">
        <v>15</v>
      </c>
      <c r="Y698" s="2" t="s">
        <v>719</v>
      </c>
      <c r="Z698" s="2" t="s">
        <v>721</v>
      </c>
    </row>
    <row r="699" spans="1:26" x14ac:dyDescent="0.35">
      <c r="A699" s="7" t="s">
        <v>1687</v>
      </c>
      <c r="B699" s="7" t="s">
        <v>701</v>
      </c>
      <c r="C699" s="4" t="str">
        <f>_xlfn.XLOOKUP(A699,[2]Sheet2!$I$2:$I$1273,[2]Sheet2!$D$2:$D$1273,0)</f>
        <v>Q3</v>
      </c>
      <c r="D699" s="4" t="str">
        <f>_xlfn.XLOOKUP(B699,[4]Sheet2!$B$2:$B$3154,[4]Sheet2!$F$2:$F$3154,0)</f>
        <v>N/ App</v>
      </c>
      <c r="E699" s="4" t="e">
        <f>_xlfn.XLOOKUP(B699,[2]Sheet2!$E$2:$E$713,[2]Sheet2!$G$2:$G$713)</f>
        <v>#N/A</v>
      </c>
      <c r="F699" s="18">
        <v>46088</v>
      </c>
      <c r="G699" s="14">
        <v>0.19819444444444445</v>
      </c>
      <c r="H699" s="7" t="s">
        <v>5</v>
      </c>
      <c r="I699" s="2" t="str">
        <f t="shared" ref="I699:I761" si="58">IF(AND(R699=0,S699=0),IF(C699="","Origin",C699),
IF(AND(R699&gt;0,S699=0),"Q4",
IF(AND(R699&lt;0,S699=0),"Q3",
IF(AND(R699&gt;=0,S699&lt;0),"Q4",
IF(AND(R699&gt;=0,S699&gt;0),"Q1",
IF(AND(R699&lt;0,S699&lt;=0),"Q3",
IF(AND(R699&lt;0,S699&gt;0),"Q2",
"")))))))</f>
        <v>Q2</v>
      </c>
      <c r="J699" s="2" t="str">
        <f t="shared" si="54"/>
        <v>Not Match</v>
      </c>
      <c r="K699" s="2">
        <f t="shared" si="55"/>
        <v>0.53851648071345048</v>
      </c>
      <c r="L699" s="2" t="e">
        <f t="shared" si="56"/>
        <v>#N/A</v>
      </c>
      <c r="M699" s="2" t="str">
        <f t="shared" si="57"/>
        <v>Assign quadrant hit</v>
      </c>
      <c r="N699" s="7">
        <v>35</v>
      </c>
      <c r="O699" s="7">
        <v>11.1</v>
      </c>
      <c r="P699" s="7">
        <v>13.1</v>
      </c>
      <c r="Q699" s="7">
        <v>-0.12</v>
      </c>
      <c r="R699" s="7">
        <v>-0.5</v>
      </c>
      <c r="S699" s="7">
        <v>0.2</v>
      </c>
      <c r="T699" s="7">
        <v>-0.13</v>
      </c>
      <c r="U699" s="7">
        <v>0.86</v>
      </c>
      <c r="V699" s="7">
        <v>0.87</v>
      </c>
      <c r="W699" s="7" t="s">
        <v>13</v>
      </c>
      <c r="X699" s="7" t="s">
        <v>12</v>
      </c>
      <c r="Y699" s="2" t="s">
        <v>719</v>
      </c>
      <c r="Z699" s="2" t="s">
        <v>721</v>
      </c>
    </row>
    <row r="700" spans="1:26" x14ac:dyDescent="0.35">
      <c r="A700" s="7" t="s">
        <v>1540</v>
      </c>
      <c r="B700" s="7" t="s">
        <v>702</v>
      </c>
      <c r="C700" s="4" t="str">
        <f>_xlfn.XLOOKUP(A700,[2]Sheet2!$I$2:$I$1273,[2]Sheet2!$D$2:$D$1273,0)</f>
        <v>Q3</v>
      </c>
      <c r="D700" s="4" t="str">
        <f>_xlfn.XLOOKUP(B700,[4]Sheet2!$B$2:$B$3154,[4]Sheet2!$F$2:$F$3154,0)</f>
        <v>N/ App</v>
      </c>
      <c r="E700" s="4" t="e">
        <f>_xlfn.XLOOKUP(B700,[2]Sheet2!$E$2:$E$713,[2]Sheet2!$G$2:$G$713)</f>
        <v>#N/A</v>
      </c>
      <c r="F700" s="18">
        <v>46088</v>
      </c>
      <c r="G700" s="14">
        <v>0.26873842592592595</v>
      </c>
      <c r="H700" s="7" t="s">
        <v>11</v>
      </c>
      <c r="I700" s="2" t="str">
        <f t="shared" si="58"/>
        <v>Q1</v>
      </c>
      <c r="J700" s="2" t="str">
        <f t="shared" si="54"/>
        <v>Not Match</v>
      </c>
      <c r="K700" s="2">
        <f t="shared" si="55"/>
        <v>0.22360679774997899</v>
      </c>
      <c r="L700" s="2" t="e">
        <f t="shared" si="56"/>
        <v>#N/A</v>
      </c>
      <c r="M700" s="2" t="str">
        <f t="shared" si="57"/>
        <v>Below 0.8 not in assigned quadrant</v>
      </c>
      <c r="N700" s="7">
        <v>13.6</v>
      </c>
      <c r="O700" s="7">
        <v>-0.4</v>
      </c>
      <c r="P700" s="7">
        <v>-1.5</v>
      </c>
      <c r="Q700" s="7">
        <v>-0.61</v>
      </c>
      <c r="R700" s="7">
        <v>0.1</v>
      </c>
      <c r="S700" s="7">
        <v>0.2</v>
      </c>
      <c r="T700" s="7">
        <v>-0.35</v>
      </c>
      <c r="U700" s="7">
        <v>0.04</v>
      </c>
      <c r="V700" s="7">
        <v>0.71</v>
      </c>
      <c r="W700" s="7" t="s">
        <v>8</v>
      </c>
      <c r="X700" s="7" t="s">
        <v>9</v>
      </c>
      <c r="Y700" s="2" t="s">
        <v>719</v>
      </c>
      <c r="Z700" s="2" t="s">
        <v>721</v>
      </c>
    </row>
    <row r="701" spans="1:26" x14ac:dyDescent="0.35">
      <c r="A701" s="7" t="s">
        <v>1515</v>
      </c>
      <c r="B701" s="7" t="s">
        <v>703</v>
      </c>
      <c r="C701" s="4" t="str">
        <f>_xlfn.XLOOKUP(A701,[2]Sheet2!$I$2:$I$1273,[2]Sheet2!$D$2:$D$1273,0)</f>
        <v>Q3</v>
      </c>
      <c r="D701" s="4" t="str">
        <f>_xlfn.XLOOKUP(B701,[4]Sheet2!$B$2:$B$3154,[4]Sheet2!$F$2:$F$3154,0)</f>
        <v>N/ App</v>
      </c>
      <c r="E701" s="4" t="e">
        <f>_xlfn.XLOOKUP(B701,[2]Sheet2!$E$2:$E$713,[2]Sheet2!$G$2:$G$713)</f>
        <v>#N/A</v>
      </c>
      <c r="F701" s="18">
        <v>46088</v>
      </c>
      <c r="G701" s="14">
        <v>0.27108796296296295</v>
      </c>
      <c r="H701" s="7" t="s">
        <v>11</v>
      </c>
      <c r="I701" s="2" t="str">
        <f t="shared" si="58"/>
        <v>Q3</v>
      </c>
      <c r="J701" s="2" t="str">
        <f t="shared" si="54"/>
        <v>Match</v>
      </c>
      <c r="K701" s="2">
        <f t="shared" si="55"/>
        <v>0.31622776601683794</v>
      </c>
      <c r="L701" s="2" t="e">
        <f t="shared" si="56"/>
        <v>#N/A</v>
      </c>
      <c r="M701" s="2" t="str">
        <f t="shared" si="57"/>
        <v>Failed but within quadrant</v>
      </c>
      <c r="N701" s="7">
        <v>13.3</v>
      </c>
      <c r="O701" s="7">
        <v>-0.4</v>
      </c>
      <c r="P701" s="7">
        <v>-2.4</v>
      </c>
      <c r="Q701" s="7">
        <v>-1.48</v>
      </c>
      <c r="R701" s="7">
        <v>-0.1</v>
      </c>
      <c r="S701" s="7">
        <v>-0.3</v>
      </c>
      <c r="T701" s="7">
        <v>0.46</v>
      </c>
      <c r="U701" s="7">
        <v>-0.15</v>
      </c>
      <c r="V701" s="7">
        <v>1.56</v>
      </c>
      <c r="W701" s="7" t="s">
        <v>6</v>
      </c>
      <c r="X701" s="7" t="s">
        <v>15</v>
      </c>
      <c r="Y701" s="2" t="s">
        <v>719</v>
      </c>
      <c r="Z701" s="2" t="s">
        <v>721</v>
      </c>
    </row>
    <row r="702" spans="1:26" x14ac:dyDescent="0.35">
      <c r="A702" s="7" t="s">
        <v>1574</v>
      </c>
      <c r="B702" s="7" t="s">
        <v>704</v>
      </c>
      <c r="C702" s="4" t="str">
        <f>_xlfn.XLOOKUP(A702,[2]Sheet2!$I$2:$I$1273,[2]Sheet2!$D$2:$D$1273,0)</f>
        <v>Q2</v>
      </c>
      <c r="D702" s="4" t="str">
        <f>_xlfn.XLOOKUP(B702,[4]Sheet2!$B$2:$B$3154,[4]Sheet2!$F$2:$F$3154,0)</f>
        <v>N/ App</v>
      </c>
      <c r="E702" s="4" t="e">
        <f>_xlfn.XLOOKUP(B702,[2]Sheet2!$E$2:$E$713,[2]Sheet2!$G$2:$G$713)</f>
        <v>#N/A</v>
      </c>
      <c r="F702" s="18">
        <v>46088</v>
      </c>
      <c r="G702" s="14">
        <v>0.27280092592592592</v>
      </c>
      <c r="H702" s="7" t="s">
        <v>11</v>
      </c>
      <c r="I702" s="2" t="str">
        <f t="shared" si="58"/>
        <v>Q4</v>
      </c>
      <c r="J702" s="2" t="str">
        <f t="shared" si="54"/>
        <v>Not Match</v>
      </c>
      <c r="K702" s="2">
        <f t="shared" si="55"/>
        <v>0.50990195135927852</v>
      </c>
      <c r="L702" s="2" t="e">
        <f t="shared" si="56"/>
        <v>#N/A</v>
      </c>
      <c r="M702" s="2" t="str">
        <f t="shared" si="57"/>
        <v>Below 0.8 not in assigned quadrant</v>
      </c>
      <c r="N702" s="7">
        <v>19</v>
      </c>
      <c r="O702" s="7">
        <v>-0.1</v>
      </c>
      <c r="P702" s="7">
        <v>-12.6</v>
      </c>
      <c r="Q702" s="7">
        <v>-0.22</v>
      </c>
      <c r="R702" s="7">
        <v>0.1</v>
      </c>
      <c r="S702" s="7">
        <v>-0.5</v>
      </c>
      <c r="T702" s="7">
        <v>0.4</v>
      </c>
      <c r="U702" s="7">
        <v>0.2</v>
      </c>
      <c r="V702" s="7">
        <v>0.5</v>
      </c>
      <c r="W702" s="7" t="s">
        <v>8</v>
      </c>
      <c r="X702" s="7" t="s">
        <v>9</v>
      </c>
      <c r="Y702" s="2" t="s">
        <v>719</v>
      </c>
      <c r="Z702" s="2" t="s">
        <v>721</v>
      </c>
    </row>
    <row r="703" spans="1:26" x14ac:dyDescent="0.35">
      <c r="A703" s="7" t="s">
        <v>1507</v>
      </c>
      <c r="B703" s="7" t="s">
        <v>705</v>
      </c>
      <c r="C703" s="4" t="str">
        <f>_xlfn.XLOOKUP(A703,[2]Sheet2!$I$2:$I$1273,[2]Sheet2!$D$2:$D$1273,0)</f>
        <v>Q3</v>
      </c>
      <c r="D703" s="4" t="str">
        <f>_xlfn.XLOOKUP(B703,[4]Sheet2!$B$2:$B$3154,[4]Sheet2!$F$2:$F$3154,0)</f>
        <v>N/ App</v>
      </c>
      <c r="E703" s="4" t="e">
        <f>_xlfn.XLOOKUP(B703,[2]Sheet2!$E$2:$E$713,[2]Sheet2!$G$2:$G$713)</f>
        <v>#N/A</v>
      </c>
      <c r="F703" s="18">
        <v>46088</v>
      </c>
      <c r="G703" s="14">
        <v>0.27459490740740738</v>
      </c>
      <c r="H703" s="7" t="s">
        <v>11</v>
      </c>
      <c r="I703" s="2" t="str">
        <f t="shared" si="58"/>
        <v>Q1</v>
      </c>
      <c r="J703" s="2" t="str">
        <f t="shared" si="54"/>
        <v>Not Match</v>
      </c>
      <c r="K703" s="2">
        <f t="shared" si="55"/>
        <v>0.50990195135927852</v>
      </c>
      <c r="L703" s="2" t="e">
        <f t="shared" si="56"/>
        <v>#N/A</v>
      </c>
      <c r="M703" s="2" t="str">
        <f t="shared" si="57"/>
        <v>Assign quadrant hit</v>
      </c>
      <c r="N703" s="7">
        <v>14.6</v>
      </c>
      <c r="O703" s="7">
        <v>-0.9</v>
      </c>
      <c r="P703" s="7">
        <v>-0.3</v>
      </c>
      <c r="Q703" s="7">
        <v>-1.07</v>
      </c>
      <c r="R703" s="7">
        <v>0.1</v>
      </c>
      <c r="S703" s="7">
        <v>0.5</v>
      </c>
      <c r="T703" s="7">
        <v>-0.49</v>
      </c>
      <c r="U703" s="7">
        <v>-0.57999999999999996</v>
      </c>
      <c r="V703" s="7">
        <v>1.31</v>
      </c>
      <c r="W703" s="7" t="s">
        <v>6</v>
      </c>
      <c r="X703" s="7" t="s">
        <v>12</v>
      </c>
      <c r="Y703" s="2" t="s">
        <v>719</v>
      </c>
      <c r="Z703" s="2" t="s">
        <v>721</v>
      </c>
    </row>
    <row r="704" spans="1:26" x14ac:dyDescent="0.35">
      <c r="A704" s="7" t="s">
        <v>1676</v>
      </c>
      <c r="B704" s="7" t="s">
        <v>706</v>
      </c>
      <c r="C704" s="4" t="str">
        <f>_xlfn.XLOOKUP(A704,[2]Sheet2!$I$2:$I$1273,[2]Sheet2!$D$2:$D$1273,0)</f>
        <v>Q2</v>
      </c>
      <c r="D704" s="4" t="str">
        <f>_xlfn.XLOOKUP(B704,[4]Sheet2!$B$2:$B$3154,[4]Sheet2!$F$2:$F$3154,0)</f>
        <v>N/ App</v>
      </c>
      <c r="E704" s="4" t="e">
        <f>_xlfn.XLOOKUP(B704,[2]Sheet2!$E$2:$E$713,[2]Sheet2!$G$2:$G$713)</f>
        <v>#N/A</v>
      </c>
      <c r="F704" s="18">
        <v>46088</v>
      </c>
      <c r="G704" s="14">
        <v>0.37797453703703704</v>
      </c>
      <c r="H704" s="7" t="s">
        <v>11</v>
      </c>
      <c r="I704" s="2" t="str">
        <f t="shared" si="58"/>
        <v>Q4</v>
      </c>
      <c r="J704" s="2" t="str">
        <f t="shared" si="54"/>
        <v>Not Match</v>
      </c>
      <c r="K704" s="2">
        <f t="shared" si="55"/>
        <v>0.85440037453175322</v>
      </c>
      <c r="L704" s="2" t="e">
        <f t="shared" si="56"/>
        <v>#N/A</v>
      </c>
      <c r="M704" s="2" t="str">
        <f t="shared" si="57"/>
        <v>Assign quadrant hit</v>
      </c>
      <c r="N704" s="7">
        <v>24.3</v>
      </c>
      <c r="O704" s="7">
        <v>11.5</v>
      </c>
      <c r="P704" s="7">
        <v>-2.1</v>
      </c>
      <c r="Q704" s="7">
        <v>-0.04</v>
      </c>
      <c r="R704" s="7">
        <v>0.3</v>
      </c>
      <c r="S704" s="7">
        <v>-0.8</v>
      </c>
      <c r="T704" s="7">
        <v>0.36</v>
      </c>
      <c r="U704" s="7">
        <v>-0.86</v>
      </c>
      <c r="V704" s="7">
        <v>0.93</v>
      </c>
      <c r="W704" s="7" t="s">
        <v>13</v>
      </c>
      <c r="X704" s="7" t="s">
        <v>7</v>
      </c>
      <c r="Y704" s="2" t="s">
        <v>719</v>
      </c>
      <c r="Z704" s="2" t="s">
        <v>721</v>
      </c>
    </row>
    <row r="705" spans="1:26" x14ac:dyDescent="0.35">
      <c r="A705" s="7" t="s">
        <v>1676</v>
      </c>
      <c r="B705" s="7" t="s">
        <v>707</v>
      </c>
      <c r="C705" s="4" t="str">
        <f>_xlfn.XLOOKUP(A705,[2]Sheet2!$I$2:$I$1273,[2]Sheet2!$D$2:$D$1273,0)</f>
        <v>Q2</v>
      </c>
      <c r="D705" s="4" t="str">
        <f>_xlfn.XLOOKUP(B705,[4]Sheet2!$B$2:$B$3154,[4]Sheet2!$F$2:$F$3154,0)</f>
        <v>N/ App</v>
      </c>
      <c r="E705" s="4" t="e">
        <f>_xlfn.XLOOKUP(B705,[2]Sheet2!$E$2:$E$713,[2]Sheet2!$G$2:$G$713)</f>
        <v>#N/A</v>
      </c>
      <c r="F705" s="18">
        <v>46088</v>
      </c>
      <c r="G705" s="14">
        <v>0.54546296296296293</v>
      </c>
      <c r="H705" s="7" t="s">
        <v>10</v>
      </c>
      <c r="I705" s="2" t="str">
        <f t="shared" si="58"/>
        <v>Q4</v>
      </c>
      <c r="J705" s="2" t="str">
        <f t="shared" si="54"/>
        <v>Not Match</v>
      </c>
      <c r="K705" s="2">
        <f t="shared" si="55"/>
        <v>0.63245553203367588</v>
      </c>
      <c r="L705" s="2" t="e">
        <f t="shared" si="56"/>
        <v>#N/A</v>
      </c>
      <c r="M705" s="2" t="str">
        <f t="shared" si="57"/>
        <v>Below 0.8 not in assigned quadrant</v>
      </c>
      <c r="N705" s="7">
        <v>27</v>
      </c>
      <c r="O705" s="7">
        <v>17.899999999999999</v>
      </c>
      <c r="P705" s="7">
        <v>2.8</v>
      </c>
      <c r="Q705" s="7">
        <v>0.2</v>
      </c>
      <c r="R705" s="7">
        <v>0.2</v>
      </c>
      <c r="S705" s="7">
        <v>-0.6</v>
      </c>
      <c r="T705" s="7">
        <v>0.09</v>
      </c>
      <c r="U705" s="7">
        <v>-0.71</v>
      </c>
      <c r="V705" s="7">
        <v>0.75</v>
      </c>
      <c r="W705" s="7" t="s">
        <v>8</v>
      </c>
      <c r="X705" s="7" t="s">
        <v>7</v>
      </c>
      <c r="Y705" s="2" t="s">
        <v>719</v>
      </c>
      <c r="Z705" s="2" t="s">
        <v>721</v>
      </c>
    </row>
    <row r="706" spans="1:26" x14ac:dyDescent="0.35">
      <c r="A706" s="7" t="s">
        <v>1693</v>
      </c>
      <c r="B706" s="7" t="s">
        <v>708</v>
      </c>
      <c r="C706" s="4" t="str">
        <f>_xlfn.XLOOKUP(A706,[2]Sheet2!$I$2:$I$1273,[2]Sheet2!$D$2:$D$1273,0)</f>
        <v>Q4</v>
      </c>
      <c r="D706" s="4" t="str">
        <f>_xlfn.XLOOKUP(B706,[4]Sheet2!$B$2:$B$3154,[4]Sheet2!$F$2:$F$3154,0)</f>
        <v>C/APP</v>
      </c>
      <c r="E706" s="4" t="e">
        <f>_xlfn.XLOOKUP(B706,[2]Sheet2!$E$2:$E$713,[2]Sheet2!$G$2:$G$713)</f>
        <v>#N/A</v>
      </c>
      <c r="F706" s="18">
        <v>46088</v>
      </c>
      <c r="G706" s="14">
        <v>0.54753472222222221</v>
      </c>
      <c r="H706" s="7" t="s">
        <v>10</v>
      </c>
      <c r="I706" s="2" t="str">
        <f t="shared" si="58"/>
        <v>Q4</v>
      </c>
      <c r="J706" s="2" t="str">
        <f t="shared" si="54"/>
        <v>Match</v>
      </c>
      <c r="K706" s="2">
        <f t="shared" si="55"/>
        <v>0.3</v>
      </c>
      <c r="L706" s="2" t="e">
        <f t="shared" si="56"/>
        <v>#N/A</v>
      </c>
      <c r="M706" s="2" t="str">
        <f t="shared" si="57"/>
        <v>Digital Approve Hit</v>
      </c>
      <c r="N706" s="7">
        <v>38.299999999999997</v>
      </c>
      <c r="O706" s="7">
        <v>3</v>
      </c>
      <c r="P706" s="7">
        <v>19.5</v>
      </c>
      <c r="Q706" s="7">
        <v>0.03</v>
      </c>
      <c r="R706" s="7">
        <v>0</v>
      </c>
      <c r="S706" s="7">
        <v>-0.3</v>
      </c>
      <c r="T706" s="7">
        <v>-0.2</v>
      </c>
      <c r="U706" s="7">
        <v>-0.14000000000000001</v>
      </c>
      <c r="V706" s="7">
        <v>0.25</v>
      </c>
      <c r="W706" s="7" t="s">
        <v>8</v>
      </c>
      <c r="X706" s="7" t="s">
        <v>9</v>
      </c>
      <c r="Y706" s="2" t="s">
        <v>719</v>
      </c>
      <c r="Z706" s="2" t="s">
        <v>721</v>
      </c>
    </row>
    <row r="707" spans="1:26" x14ac:dyDescent="0.35">
      <c r="A707" s="7" t="s">
        <v>1676</v>
      </c>
      <c r="B707" s="7" t="s">
        <v>709</v>
      </c>
      <c r="C707" s="4" t="str">
        <f>_xlfn.XLOOKUP(A707,[2]Sheet2!$I$2:$I$1273,[2]Sheet2!$D$2:$D$1273,0)</f>
        <v>Q2</v>
      </c>
      <c r="D707" s="4" t="str">
        <f>_xlfn.XLOOKUP(B707,[4]Sheet2!$B$2:$B$3154,[4]Sheet2!$F$2:$F$3154,0)</f>
        <v>N/ App</v>
      </c>
      <c r="E707" s="4" t="e">
        <f>_xlfn.XLOOKUP(B707,[2]Sheet2!$E$2:$E$713,[2]Sheet2!$G$2:$G$713)</f>
        <v>#N/A</v>
      </c>
      <c r="F707" s="18">
        <v>46088</v>
      </c>
      <c r="G707" s="14">
        <v>0.62796296296296295</v>
      </c>
      <c r="H707" s="7" t="s">
        <v>10</v>
      </c>
      <c r="I707" s="2" t="str">
        <f t="shared" si="58"/>
        <v>Q3</v>
      </c>
      <c r="J707" s="2" t="str">
        <f t="shared" ref="J707:J770" si="59">IF(I707=C707,"Match",IF(C707=0,"Not Found","Not Match"))</f>
        <v>Not Match</v>
      </c>
      <c r="K707" s="2">
        <f t="shared" si="55"/>
        <v>0.53851648071345048</v>
      </c>
      <c r="L707" s="2" t="e">
        <f t="shared" si="56"/>
        <v>#N/A</v>
      </c>
      <c r="M707" s="2" t="str">
        <f t="shared" si="57"/>
        <v>Below 0.8 not in assigned quadrant</v>
      </c>
      <c r="N707" s="7">
        <v>25.9</v>
      </c>
      <c r="O707" s="7">
        <v>17.399999999999999</v>
      </c>
      <c r="P707" s="7">
        <v>3</v>
      </c>
      <c r="Q707" s="7">
        <v>-0.5</v>
      </c>
      <c r="R707" s="7">
        <v>-0.2</v>
      </c>
      <c r="S707" s="7">
        <v>-0.5</v>
      </c>
      <c r="T707" s="7">
        <v>-0.19</v>
      </c>
      <c r="U707" s="7">
        <v>-0.46</v>
      </c>
      <c r="V707" s="7">
        <v>0.7</v>
      </c>
      <c r="W707" s="7" t="s">
        <v>8</v>
      </c>
      <c r="X707" s="7" t="s">
        <v>7</v>
      </c>
      <c r="Y707" s="2" t="s">
        <v>719</v>
      </c>
      <c r="Z707" s="2" t="s">
        <v>721</v>
      </c>
    </row>
    <row r="708" spans="1:26" x14ac:dyDescent="0.35">
      <c r="A708" s="7" t="s">
        <v>1619</v>
      </c>
      <c r="B708" s="7" t="s">
        <v>710</v>
      </c>
      <c r="C708" s="4" t="str">
        <f>_xlfn.XLOOKUP(A708,[2]Sheet2!$I$2:$I$1273,[2]Sheet2!$D$2:$D$1273,0)</f>
        <v>Q4</v>
      </c>
      <c r="D708" s="4" t="str">
        <f>_xlfn.XLOOKUP(B708,[4]Sheet2!$B$2:$B$3154,[4]Sheet2!$F$2:$F$3154,0)</f>
        <v>C/APP</v>
      </c>
      <c r="E708" s="4" t="e">
        <f>_xlfn.XLOOKUP(B708,[2]Sheet2!$E$2:$E$713,[2]Sheet2!$G$2:$G$713)</f>
        <v>#N/A</v>
      </c>
      <c r="F708" s="18">
        <v>46088</v>
      </c>
      <c r="G708" s="14">
        <v>0.65534722222222219</v>
      </c>
      <c r="H708" s="7" t="s">
        <v>16</v>
      </c>
      <c r="I708" s="2" t="str">
        <f t="shared" si="58"/>
        <v>Q1</v>
      </c>
      <c r="J708" s="2" t="str">
        <f t="shared" si="59"/>
        <v>Not Match</v>
      </c>
      <c r="K708" s="2">
        <f t="shared" si="55"/>
        <v>0.9</v>
      </c>
      <c r="L708" s="2" t="e">
        <f t="shared" si="56"/>
        <v>#N/A</v>
      </c>
      <c r="M708" s="2" t="str">
        <f t="shared" si="57"/>
        <v>Assign quadrant hit</v>
      </c>
      <c r="N708" s="7">
        <v>27.5</v>
      </c>
      <c r="O708" s="7">
        <v>-1.6</v>
      </c>
      <c r="P708" s="7">
        <v>-1.9</v>
      </c>
      <c r="Q708" s="7">
        <v>-0.83</v>
      </c>
      <c r="R708" s="7">
        <v>0</v>
      </c>
      <c r="S708" s="7">
        <v>0.9</v>
      </c>
      <c r="T708" s="7">
        <v>-1.02</v>
      </c>
      <c r="U708" s="7">
        <v>-0.63</v>
      </c>
      <c r="V708" s="7">
        <v>1.46</v>
      </c>
      <c r="W708" s="7" t="s">
        <v>6</v>
      </c>
      <c r="X708" s="7" t="s">
        <v>15</v>
      </c>
      <c r="Y708" s="2" t="s">
        <v>719</v>
      </c>
      <c r="Z708" s="2" t="s">
        <v>721</v>
      </c>
    </row>
    <row r="709" spans="1:26" x14ac:dyDescent="0.35">
      <c r="A709" s="7" t="s">
        <v>1662</v>
      </c>
      <c r="B709" s="7" t="s">
        <v>711</v>
      </c>
      <c r="C709" s="4" t="str">
        <f>_xlfn.XLOOKUP(A709,[2]Sheet2!$I$2:$I$1273,[2]Sheet2!$D$2:$D$1273,0)</f>
        <v>Q1</v>
      </c>
      <c r="D709" s="4" t="str">
        <f>_xlfn.XLOOKUP(B709,[4]Sheet2!$B$2:$B$3154,[4]Sheet2!$F$2:$F$3154,0)</f>
        <v>C/APP</v>
      </c>
      <c r="E709" s="4" t="e">
        <f>_xlfn.XLOOKUP(B709,[2]Sheet2!$E$2:$E$713,[2]Sheet2!$G$2:$G$713)</f>
        <v>#N/A</v>
      </c>
      <c r="F709" s="18">
        <v>46088</v>
      </c>
      <c r="G709" s="14">
        <v>0.65787037037037033</v>
      </c>
      <c r="H709" s="7" t="s">
        <v>4</v>
      </c>
      <c r="I709" s="2" t="str">
        <f t="shared" si="58"/>
        <v>Q4</v>
      </c>
      <c r="J709" s="2" t="str">
        <f t="shared" si="59"/>
        <v>Not Match</v>
      </c>
      <c r="K709" s="2">
        <f t="shared" si="55"/>
        <v>0.3</v>
      </c>
      <c r="L709" s="2" t="e">
        <f t="shared" si="56"/>
        <v>#N/A</v>
      </c>
      <c r="M709" s="2" t="str">
        <f t="shared" si="57"/>
        <v>Assign quadrant hit</v>
      </c>
      <c r="N709" s="7">
        <v>16.7</v>
      </c>
      <c r="O709" s="7">
        <v>-0.9</v>
      </c>
      <c r="P709" s="7">
        <v>-1.2</v>
      </c>
      <c r="Q709" s="7">
        <v>-0.96</v>
      </c>
      <c r="R709" s="7">
        <v>0.3</v>
      </c>
      <c r="S709" s="7">
        <v>0</v>
      </c>
      <c r="T709" s="7">
        <v>-0.41</v>
      </c>
      <c r="U709" s="7">
        <v>0.3</v>
      </c>
      <c r="V709" s="7">
        <v>1.0900000000000001</v>
      </c>
      <c r="W709" s="7" t="s">
        <v>6</v>
      </c>
      <c r="X709" s="7" t="s">
        <v>7</v>
      </c>
      <c r="Y709" s="2" t="s">
        <v>719</v>
      </c>
      <c r="Z709" s="2" t="s">
        <v>721</v>
      </c>
    </row>
    <row r="710" spans="1:26" x14ac:dyDescent="0.35">
      <c r="A710" s="7" t="s">
        <v>1518</v>
      </c>
      <c r="B710" s="7" t="s">
        <v>713</v>
      </c>
      <c r="C710" s="4" t="str">
        <f>_xlfn.XLOOKUP(A710,[2]Sheet2!$I$2:$I$1273,[2]Sheet2!$D$2:$D$1273,0)</f>
        <v>Q1</v>
      </c>
      <c r="D710" s="4" t="str">
        <f>_xlfn.XLOOKUP(B710,[4]Sheet2!$B$2:$B$3154,[4]Sheet2!$F$2:$F$3154,0)</f>
        <v>C/APP</v>
      </c>
      <c r="E710" s="4" t="e">
        <f>_xlfn.XLOOKUP(B710,[2]Sheet2!$E$2:$E$713,[2]Sheet2!$G$2:$G$713)</f>
        <v>#N/A</v>
      </c>
      <c r="F710" s="18">
        <v>46088</v>
      </c>
      <c r="G710" s="14">
        <v>0.71474537037037034</v>
      </c>
      <c r="H710" s="7" t="s">
        <v>11</v>
      </c>
      <c r="I710" s="2" t="str">
        <f t="shared" si="58"/>
        <v>Q2</v>
      </c>
      <c r="J710" s="2" t="str">
        <f t="shared" si="59"/>
        <v>Not Match</v>
      </c>
      <c r="K710" s="2">
        <f t="shared" si="55"/>
        <v>1.1180339887498949</v>
      </c>
      <c r="L710" s="2" t="e">
        <f t="shared" si="56"/>
        <v>#N/A</v>
      </c>
      <c r="M710" s="2" t="str">
        <f t="shared" si="57"/>
        <v>Assign quadrant hit</v>
      </c>
      <c r="N710" s="7">
        <v>25.2</v>
      </c>
      <c r="O710" s="7">
        <v>6</v>
      </c>
      <c r="P710" s="7">
        <v>9</v>
      </c>
      <c r="Q710" s="7">
        <v>-0.87</v>
      </c>
      <c r="R710" s="7">
        <v>-0.2</v>
      </c>
      <c r="S710" s="7">
        <v>1.1000000000000001</v>
      </c>
      <c r="T710" s="7">
        <v>0.63</v>
      </c>
      <c r="U710" s="7">
        <v>1.67</v>
      </c>
      <c r="V710" s="7">
        <v>1.98</v>
      </c>
      <c r="W710" s="7" t="s">
        <v>6</v>
      </c>
      <c r="X710" s="7" t="s">
        <v>12</v>
      </c>
      <c r="Y710" s="2" t="s">
        <v>719</v>
      </c>
      <c r="Z710" s="2" t="s">
        <v>721</v>
      </c>
    </row>
    <row r="711" spans="1:26" x14ac:dyDescent="0.35">
      <c r="A711" s="7" t="s">
        <v>1540</v>
      </c>
      <c r="B711" s="7" t="s">
        <v>714</v>
      </c>
      <c r="C711" s="4" t="str">
        <f>_xlfn.XLOOKUP(A711,[2]Sheet2!$I$2:$I$1273,[2]Sheet2!$D$2:$D$1273,0)</f>
        <v>Q3</v>
      </c>
      <c r="D711" s="4" t="str">
        <f>_xlfn.XLOOKUP(B711,[4]Sheet2!$B$2:$B$3154,[4]Sheet2!$F$2:$F$3154,0)</f>
        <v>N/ App</v>
      </c>
      <c r="E711" s="4" t="e">
        <f>_xlfn.XLOOKUP(B711,[2]Sheet2!$E$2:$E$713,[2]Sheet2!$G$2:$G$713)</f>
        <v>#N/A</v>
      </c>
      <c r="F711" s="18">
        <v>46088</v>
      </c>
      <c r="G711" s="14">
        <v>0.71850694444444441</v>
      </c>
      <c r="H711" s="7" t="s">
        <v>11</v>
      </c>
      <c r="I711" s="2" t="str">
        <f t="shared" si="58"/>
        <v>Q1</v>
      </c>
      <c r="J711" s="2" t="str">
        <f t="shared" si="59"/>
        <v>Not Match</v>
      </c>
      <c r="K711" s="2">
        <f t="shared" si="55"/>
        <v>0.14142135623730953</v>
      </c>
      <c r="L711" s="2" t="e">
        <f t="shared" si="56"/>
        <v>#N/A</v>
      </c>
      <c r="M711" s="2" t="str">
        <f t="shared" si="57"/>
        <v>Below 0.8 not in assigned quadrant</v>
      </c>
      <c r="N711" s="7">
        <v>14</v>
      </c>
      <c r="O711" s="7">
        <v>-0.3</v>
      </c>
      <c r="P711" s="7">
        <v>-1.6</v>
      </c>
      <c r="Q711" s="7">
        <v>-0.16</v>
      </c>
      <c r="R711" s="7">
        <v>0.1</v>
      </c>
      <c r="S711" s="7">
        <v>0.1</v>
      </c>
      <c r="T711" s="7">
        <v>-0.22</v>
      </c>
      <c r="U711" s="7">
        <v>0.22</v>
      </c>
      <c r="V711" s="7">
        <v>0.35</v>
      </c>
      <c r="W711" s="7" t="s">
        <v>8</v>
      </c>
      <c r="X711" s="7" t="s">
        <v>9</v>
      </c>
      <c r="Y711" s="2" t="s">
        <v>719</v>
      </c>
      <c r="Z711" s="2" t="s">
        <v>721</v>
      </c>
    </row>
    <row r="712" spans="1:26" x14ac:dyDescent="0.35">
      <c r="A712" s="7" t="s">
        <v>1687</v>
      </c>
      <c r="B712" s="7" t="s">
        <v>693</v>
      </c>
      <c r="C712" s="4" t="str">
        <f>_xlfn.XLOOKUP(A712,[2]Sheet2!$I$2:$I$1273,[2]Sheet2!$D$2:$D$1273,0)</f>
        <v>Q3</v>
      </c>
      <c r="D712" s="4" t="str">
        <f>_xlfn.XLOOKUP(B712,[4]Sheet2!$B$2:$B$3154,[4]Sheet2!$F$2:$F$3154,0)</f>
        <v>N/ App</v>
      </c>
      <c r="E712" s="4" t="e">
        <f>_xlfn.XLOOKUP(B712,[2]Sheet2!$E$2:$E$713,[2]Sheet2!$G$2:$G$713)</f>
        <v>#N/A</v>
      </c>
      <c r="F712" s="18">
        <v>46088</v>
      </c>
      <c r="G712" s="14">
        <v>0.77837962962962959</v>
      </c>
      <c r="H712" s="7" t="s">
        <v>5</v>
      </c>
      <c r="I712" s="2" t="str">
        <f t="shared" si="58"/>
        <v>Q2</v>
      </c>
      <c r="J712" s="2" t="str">
        <f t="shared" si="59"/>
        <v>Not Match</v>
      </c>
      <c r="K712" s="2">
        <f t="shared" si="55"/>
        <v>0.82462112512353225</v>
      </c>
      <c r="L712" s="2" t="e">
        <f t="shared" si="56"/>
        <v>#N/A</v>
      </c>
      <c r="M712" s="2" t="str">
        <f t="shared" si="57"/>
        <v>Assign quadrant hit</v>
      </c>
      <c r="N712" s="7">
        <v>34.1</v>
      </c>
      <c r="O712" s="7">
        <v>11.4</v>
      </c>
      <c r="P712" s="7">
        <v>13.8</v>
      </c>
      <c r="Q712" s="7">
        <v>-0.62</v>
      </c>
      <c r="R712" s="7">
        <v>-0.2</v>
      </c>
      <c r="S712" s="7">
        <v>0.8</v>
      </c>
      <c r="T712" s="7">
        <v>0.3</v>
      </c>
      <c r="U712" s="7">
        <v>1.1200000000000001</v>
      </c>
      <c r="V712" s="7">
        <v>1.31</v>
      </c>
      <c r="W712" s="7" t="s">
        <v>6</v>
      </c>
      <c r="X712" s="7" t="s">
        <v>12</v>
      </c>
      <c r="Y712" s="2" t="s">
        <v>719</v>
      </c>
      <c r="Z712" s="2" t="s">
        <v>721</v>
      </c>
    </row>
    <row r="713" spans="1:26" x14ac:dyDescent="0.35">
      <c r="A713" s="7" t="s">
        <v>1696</v>
      </c>
      <c r="B713" s="7" t="s">
        <v>715</v>
      </c>
      <c r="C713" s="4" t="str">
        <f>_xlfn.XLOOKUP(A713,[2]Sheet2!$I$2:$I$1273,[2]Sheet2!$D$2:$D$1273,0)</f>
        <v>Q2</v>
      </c>
      <c r="D713" s="4" t="str">
        <f>_xlfn.XLOOKUP(B713,[4]Sheet2!$B$2:$B$3154,[4]Sheet2!$F$2:$F$3154,0)</f>
        <v>N/ App</v>
      </c>
      <c r="E713" s="4" t="e">
        <f>_xlfn.XLOOKUP(B713,[2]Sheet2!$E$2:$E$713,[2]Sheet2!$G$2:$G$713)</f>
        <v>#N/A</v>
      </c>
      <c r="F713" s="18">
        <v>46088</v>
      </c>
      <c r="G713" s="14">
        <v>0.78122685185185181</v>
      </c>
      <c r="H713" s="7" t="s">
        <v>14</v>
      </c>
      <c r="I713" s="2" t="str">
        <f t="shared" si="58"/>
        <v>Q4</v>
      </c>
      <c r="J713" s="2" t="str">
        <f t="shared" si="59"/>
        <v>Not Match</v>
      </c>
      <c r="K713" s="2">
        <f t="shared" si="55"/>
        <v>0.1</v>
      </c>
      <c r="L713" s="2" t="e">
        <f t="shared" si="56"/>
        <v>#N/A</v>
      </c>
      <c r="M713" s="2" t="str">
        <f t="shared" si="57"/>
        <v>Assign quadrant hit</v>
      </c>
      <c r="N713" s="7">
        <v>18</v>
      </c>
      <c r="O713" s="7">
        <v>-0.2</v>
      </c>
      <c r="P713" s="7">
        <v>-1.3</v>
      </c>
      <c r="Q713" s="7">
        <v>1.36</v>
      </c>
      <c r="R713" s="7">
        <v>0</v>
      </c>
      <c r="S713" s="7">
        <v>-0.1</v>
      </c>
      <c r="T713" s="7">
        <v>0.19</v>
      </c>
      <c r="U713" s="7">
        <v>-0.08</v>
      </c>
      <c r="V713" s="7">
        <v>1.38</v>
      </c>
      <c r="W713" s="7" t="s">
        <v>6</v>
      </c>
      <c r="X713" s="7" t="s">
        <v>15</v>
      </c>
      <c r="Y713" s="2" t="s">
        <v>719</v>
      </c>
      <c r="Z713" s="2" t="s">
        <v>721</v>
      </c>
    </row>
    <row r="714" spans="1:26" x14ac:dyDescent="0.35">
      <c r="A714" s="7" t="s">
        <v>1697</v>
      </c>
      <c r="B714" s="7" t="s">
        <v>669</v>
      </c>
      <c r="C714" s="4">
        <f>_xlfn.XLOOKUP(A714,[2]Sheet2!$I$2:$I$1273,[2]Sheet2!$D$2:$D$1273,0)</f>
        <v>0</v>
      </c>
      <c r="D714" s="4" t="str">
        <f>_xlfn.XLOOKUP(B714,[4]Sheet2!$B$2:$B$3154,[4]Sheet2!$F$2:$F$3154,0)</f>
        <v>C/APP</v>
      </c>
      <c r="E714" s="4" t="e">
        <f>_xlfn.XLOOKUP(B714,[2]Sheet2!$E$2:$E$713,[2]Sheet2!$G$2:$G$713)</f>
        <v>#N/A</v>
      </c>
      <c r="F714" s="18">
        <v>46088</v>
      </c>
      <c r="G714" s="14">
        <v>0.78413194444444445</v>
      </c>
      <c r="H714" s="7" t="s">
        <v>11</v>
      </c>
      <c r="I714" s="2" t="str">
        <f t="shared" si="58"/>
        <v>Q3</v>
      </c>
      <c r="J714" s="2" t="str">
        <f t="shared" si="59"/>
        <v>Not Found</v>
      </c>
      <c r="K714" s="2">
        <f t="shared" si="55"/>
        <v>0.76157731058639078</v>
      </c>
      <c r="L714" s="2" t="e">
        <f t="shared" si="56"/>
        <v>#N/A</v>
      </c>
      <c r="M714" s="2" t="str">
        <f t="shared" si="57"/>
        <v>Assign quadrant hit</v>
      </c>
      <c r="N714" s="7">
        <v>38.4</v>
      </c>
      <c r="O714" s="7">
        <v>42</v>
      </c>
      <c r="P714" s="7">
        <v>28.5</v>
      </c>
      <c r="Q714" s="7">
        <v>-1.1200000000000001</v>
      </c>
      <c r="R714" s="7">
        <v>-0.7</v>
      </c>
      <c r="S714" s="7">
        <v>-0.3</v>
      </c>
      <c r="T714" s="7">
        <v>-0.3</v>
      </c>
      <c r="U714" s="7">
        <v>0.12</v>
      </c>
      <c r="V714" s="7">
        <v>1.17</v>
      </c>
      <c r="W714" s="7" t="s">
        <v>6</v>
      </c>
      <c r="X714" s="7" t="s">
        <v>12</v>
      </c>
      <c r="Y714" s="2" t="s">
        <v>719</v>
      </c>
      <c r="Z714" s="2" t="s">
        <v>721</v>
      </c>
    </row>
    <row r="715" spans="1:26" x14ac:dyDescent="0.35">
      <c r="A715" s="7" t="s">
        <v>1676</v>
      </c>
      <c r="B715" s="7" t="s">
        <v>716</v>
      </c>
      <c r="C715" s="4" t="str">
        <f>_xlfn.XLOOKUP(A715,[2]Sheet2!$I$2:$I$1273,[2]Sheet2!$D$2:$D$1273,0)</f>
        <v>Q2</v>
      </c>
      <c r="D715" s="4" t="str">
        <f>_xlfn.XLOOKUP(B715,[4]Sheet2!$B$2:$B$3154,[4]Sheet2!$F$2:$F$3154,0)</f>
        <v>N/ App</v>
      </c>
      <c r="E715" s="4" t="e">
        <f>_xlfn.XLOOKUP(B715,[2]Sheet2!$E$2:$E$713,[2]Sheet2!$G$2:$G$713)</f>
        <v>#N/A</v>
      </c>
      <c r="F715" s="18">
        <v>46088</v>
      </c>
      <c r="G715" s="14">
        <v>0.78658564814814813</v>
      </c>
      <c r="H715" s="7" t="s">
        <v>10</v>
      </c>
      <c r="I715" s="2" t="str">
        <f t="shared" si="58"/>
        <v>Q4</v>
      </c>
      <c r="J715" s="2" t="str">
        <f t="shared" si="59"/>
        <v>Not Match</v>
      </c>
      <c r="K715" s="2">
        <f t="shared" si="55"/>
        <v>0.82462112512353225</v>
      </c>
      <c r="L715" s="2" t="e">
        <f t="shared" si="56"/>
        <v>#N/A</v>
      </c>
      <c r="M715" s="2" t="str">
        <f t="shared" si="57"/>
        <v>Assign quadrant hit</v>
      </c>
      <c r="N715" s="7">
        <v>26.9</v>
      </c>
      <c r="O715" s="7">
        <v>17.899999999999999</v>
      </c>
      <c r="P715" s="7">
        <v>2.7</v>
      </c>
      <c r="Q715" s="7">
        <v>0.12</v>
      </c>
      <c r="R715" s="7">
        <v>0.2</v>
      </c>
      <c r="S715" s="7">
        <v>-0.8</v>
      </c>
      <c r="T715" s="7">
        <v>0.06</v>
      </c>
      <c r="U715" s="7">
        <v>-0.83</v>
      </c>
      <c r="V715" s="7">
        <v>0.84</v>
      </c>
      <c r="W715" s="7" t="s">
        <v>13</v>
      </c>
      <c r="X715" s="7" t="s">
        <v>7</v>
      </c>
      <c r="Y715" s="2" t="s">
        <v>719</v>
      </c>
      <c r="Z715" s="2" t="s">
        <v>721</v>
      </c>
    </row>
    <row r="716" spans="1:26" x14ac:dyDescent="0.35">
      <c r="A716" s="7" t="s">
        <v>1676</v>
      </c>
      <c r="B716" s="7" t="s">
        <v>734</v>
      </c>
      <c r="C716" s="4" t="str">
        <f>_xlfn.XLOOKUP(A716,[2]Sheet2!$I$2:$I$1273,[2]Sheet2!$D$2:$D$1273,0)</f>
        <v>Q2</v>
      </c>
      <c r="D716" s="4" t="str">
        <f>_xlfn.XLOOKUP(B716,[4]Sheet2!$B$2:$B$3154,[4]Sheet2!$F$2:$F$3154,0)</f>
        <v>C/APP</v>
      </c>
      <c r="E716" s="4" t="e">
        <f>_xlfn.XLOOKUP(B716,[2]Sheet2!$E$2:$E$713,[2]Sheet2!$G$2:$G$713)</f>
        <v>#N/A</v>
      </c>
      <c r="F716" s="18">
        <v>46090</v>
      </c>
      <c r="G716" s="14">
        <v>0.48381944444444447</v>
      </c>
      <c r="H716" s="7" t="s">
        <v>11</v>
      </c>
      <c r="I716" s="2" t="str">
        <f t="shared" si="58"/>
        <v>Q1</v>
      </c>
      <c r="J716" s="2" t="str">
        <f t="shared" si="59"/>
        <v>Not Match</v>
      </c>
      <c r="K716" s="2">
        <f t="shared" si="55"/>
        <v>0.2</v>
      </c>
      <c r="L716" s="2" t="e">
        <f t="shared" si="56"/>
        <v>#N/A</v>
      </c>
      <c r="M716" s="2" t="str">
        <f t="shared" si="57"/>
        <v>Below 0.8 not in assigned quadrant</v>
      </c>
      <c r="N716" s="7">
        <v>24.5</v>
      </c>
      <c r="O716" s="7">
        <v>11.1</v>
      </c>
      <c r="P716" s="7">
        <v>-1</v>
      </c>
      <c r="Q716" s="7">
        <v>0.12</v>
      </c>
      <c r="R716" s="7">
        <v>0</v>
      </c>
      <c r="S716" s="7">
        <v>0.2</v>
      </c>
      <c r="T716" s="7">
        <v>-0.05</v>
      </c>
      <c r="U716" s="7">
        <v>0.25</v>
      </c>
      <c r="V716" s="7">
        <v>0.28000000000000003</v>
      </c>
      <c r="W716" s="7" t="s">
        <v>8</v>
      </c>
      <c r="X716" s="7" t="s">
        <v>9</v>
      </c>
      <c r="Y716" s="2" t="s">
        <v>719</v>
      </c>
      <c r="Z716" s="2" t="s">
        <v>721</v>
      </c>
    </row>
    <row r="717" spans="1:26" x14ac:dyDescent="0.35">
      <c r="A717" s="7" t="s">
        <v>1698</v>
      </c>
      <c r="B717" s="7" t="s">
        <v>801</v>
      </c>
      <c r="C717" s="4" t="str">
        <f>_xlfn.XLOOKUP(A717,[2]Sheet2!$I$2:$I$1273,[2]Sheet2!$D$2:$D$1273,0)</f>
        <v>Q2</v>
      </c>
      <c r="D717" s="4" t="str">
        <f>_xlfn.XLOOKUP(B717,[4]Sheet2!$B$2:$B$3154,[4]Sheet2!$F$2:$F$3154,0)</f>
        <v>C/APP</v>
      </c>
      <c r="E717" s="4" t="e">
        <f>_xlfn.XLOOKUP(B717,[2]Sheet2!$E$2:$E$713,[2]Sheet2!$G$2:$G$713)</f>
        <v>#N/A</v>
      </c>
      <c r="F717" s="18">
        <v>46090</v>
      </c>
      <c r="G717" s="14">
        <v>0.5435416666666667</v>
      </c>
      <c r="H717" s="7" t="s">
        <v>5</v>
      </c>
      <c r="I717" s="2" t="str">
        <f t="shared" si="58"/>
        <v>Q4</v>
      </c>
      <c r="J717" s="2" t="str">
        <f t="shared" si="59"/>
        <v>Not Match</v>
      </c>
      <c r="K717" s="2">
        <f t="shared" si="55"/>
        <v>0.4</v>
      </c>
      <c r="L717" s="2" t="e">
        <f t="shared" si="56"/>
        <v>#N/A</v>
      </c>
      <c r="M717" s="2" t="str">
        <f t="shared" si="57"/>
        <v>Assign quadrant hit</v>
      </c>
      <c r="N717" s="7">
        <v>20.9</v>
      </c>
      <c r="O717" s="7">
        <v>-1.1000000000000001</v>
      </c>
      <c r="P717" s="7">
        <v>-9.6</v>
      </c>
      <c r="Q717" s="7">
        <v>-0.89</v>
      </c>
      <c r="R717" s="7">
        <v>0</v>
      </c>
      <c r="S717" s="7">
        <v>-0.4</v>
      </c>
      <c r="T717" s="7">
        <v>0.39</v>
      </c>
      <c r="U717" s="7">
        <v>-0.02</v>
      </c>
      <c r="V717" s="7">
        <v>0.97</v>
      </c>
      <c r="W717" s="7" t="s">
        <v>13</v>
      </c>
      <c r="X717" s="7" t="s">
        <v>15</v>
      </c>
      <c r="Y717" s="2" t="s">
        <v>719</v>
      </c>
      <c r="Z717" s="2" t="s">
        <v>721</v>
      </c>
    </row>
    <row r="718" spans="1:26" x14ac:dyDescent="0.35">
      <c r="A718" s="7" t="s">
        <v>1676</v>
      </c>
      <c r="B718" s="7" t="s">
        <v>802</v>
      </c>
      <c r="C718" s="4" t="str">
        <f>_xlfn.XLOOKUP(A718,[2]Sheet2!$I$2:$I$1273,[2]Sheet2!$D$2:$D$1273,0)</f>
        <v>Q2</v>
      </c>
      <c r="D718" s="4" t="str">
        <f>_xlfn.XLOOKUP(B718,[4]Sheet2!$B$2:$B$3154,[4]Sheet2!$F$2:$F$3154,0)</f>
        <v>C/APP</v>
      </c>
      <c r="E718" s="4" t="e">
        <f>_xlfn.XLOOKUP(B718,[2]Sheet2!$E$2:$E$713,[2]Sheet2!$G$2:$G$713)</f>
        <v>#N/A</v>
      </c>
      <c r="F718" s="18">
        <v>46090</v>
      </c>
      <c r="G718" s="14">
        <v>0.54939814814814814</v>
      </c>
      <c r="H718" s="7" t="s">
        <v>11</v>
      </c>
      <c r="I718" s="2" t="str">
        <f t="shared" si="58"/>
        <v>Q4</v>
      </c>
      <c r="J718" s="2" t="str">
        <f t="shared" si="59"/>
        <v>Not Match</v>
      </c>
      <c r="K718" s="2">
        <f t="shared" si="55"/>
        <v>1.9235384061671343</v>
      </c>
      <c r="L718" s="2" t="e">
        <f t="shared" si="56"/>
        <v>#N/A</v>
      </c>
      <c r="M718" s="2" t="str">
        <f t="shared" si="57"/>
        <v>Assign quadrant hit</v>
      </c>
      <c r="N718" s="7">
        <v>24.7</v>
      </c>
      <c r="O718" s="7">
        <v>11.4</v>
      </c>
      <c r="P718" s="7">
        <v>-3.2</v>
      </c>
      <c r="Q718" s="7">
        <v>0.25</v>
      </c>
      <c r="R718" s="7">
        <v>0.3</v>
      </c>
      <c r="S718" s="7">
        <v>-1.9</v>
      </c>
      <c r="T718" s="7">
        <v>0.54</v>
      </c>
      <c r="U718" s="7">
        <v>-2.0499999999999998</v>
      </c>
      <c r="V718" s="7">
        <v>2.14</v>
      </c>
      <c r="W718" s="7" t="s">
        <v>6</v>
      </c>
      <c r="X718" s="7" t="s">
        <v>7</v>
      </c>
      <c r="Y718" s="2" t="s">
        <v>719</v>
      </c>
      <c r="Z718" s="2" t="s">
        <v>721</v>
      </c>
    </row>
    <row r="719" spans="1:26" x14ac:dyDescent="0.35">
      <c r="A719" s="7" t="s">
        <v>1545</v>
      </c>
      <c r="B719" s="7" t="s">
        <v>803</v>
      </c>
      <c r="C719" s="4" t="str">
        <f>_xlfn.XLOOKUP(A719,[2]Sheet2!$I$2:$I$1273,[2]Sheet2!$D$2:$D$1273,0)</f>
        <v>Q2</v>
      </c>
      <c r="D719" s="4" t="str">
        <f>_xlfn.XLOOKUP(B719,[4]Sheet2!$B$2:$B$3154,[4]Sheet2!$F$2:$F$3154,0)</f>
        <v>N/ App</v>
      </c>
      <c r="E719" s="4" t="e">
        <f>_xlfn.XLOOKUP(B719,[2]Sheet2!$E$2:$E$713,[2]Sheet2!$G$2:$G$713)</f>
        <v>#N/A</v>
      </c>
      <c r="F719" s="18">
        <v>46090</v>
      </c>
      <c r="G719" s="14">
        <v>0.67172453703703705</v>
      </c>
      <c r="H719" s="7" t="s">
        <v>5</v>
      </c>
      <c r="I719" s="2" t="str">
        <f t="shared" si="58"/>
        <v>Q4</v>
      </c>
      <c r="J719" s="2" t="str">
        <f t="shared" si="59"/>
        <v>Not Match</v>
      </c>
      <c r="K719" s="2">
        <f t="shared" si="55"/>
        <v>0.3</v>
      </c>
      <c r="L719" s="2" t="e">
        <f t="shared" si="56"/>
        <v>#N/A</v>
      </c>
      <c r="M719" s="2" t="str">
        <f t="shared" si="57"/>
        <v>Assign quadrant hit</v>
      </c>
      <c r="N719" s="7">
        <v>17</v>
      </c>
      <c r="O719" s="7">
        <v>-0.7</v>
      </c>
      <c r="P719" s="7">
        <v>-2.6</v>
      </c>
      <c r="Q719" s="7">
        <v>-0.87</v>
      </c>
      <c r="R719" s="7">
        <v>0</v>
      </c>
      <c r="S719" s="7">
        <v>-0.3</v>
      </c>
      <c r="T719" s="7">
        <v>0.39</v>
      </c>
      <c r="U719" s="7">
        <v>0.06</v>
      </c>
      <c r="V719" s="7">
        <v>0.96</v>
      </c>
      <c r="W719" s="7" t="s">
        <v>13</v>
      </c>
      <c r="X719" s="7" t="s">
        <v>9</v>
      </c>
      <c r="Y719" s="2" t="s">
        <v>719</v>
      </c>
      <c r="Z719" s="2" t="s">
        <v>721</v>
      </c>
    </row>
    <row r="720" spans="1:26" x14ac:dyDescent="0.35">
      <c r="A720" s="7" t="s">
        <v>1699</v>
      </c>
      <c r="B720" s="7" t="s">
        <v>804</v>
      </c>
      <c r="C720" s="4">
        <f>_xlfn.XLOOKUP(A720,[2]Sheet2!$I$2:$I$1273,[2]Sheet2!$D$2:$D$1273,0)</f>
        <v>0</v>
      </c>
      <c r="D720" s="4" t="str">
        <f>_xlfn.XLOOKUP(B720,[4]Sheet2!$B$2:$B$3154,[4]Sheet2!$F$2:$F$3154,0)</f>
        <v>N/ App</v>
      </c>
      <c r="E720" s="4" t="e">
        <f>_xlfn.XLOOKUP(B720,[2]Sheet2!$E$2:$E$713,[2]Sheet2!$G$2:$G$713)</f>
        <v>#N/A</v>
      </c>
      <c r="F720" s="18">
        <v>46090</v>
      </c>
      <c r="G720" s="14">
        <v>0.67504629629629631</v>
      </c>
      <c r="H720" s="7" t="s">
        <v>11</v>
      </c>
      <c r="I720" s="2" t="str">
        <f t="shared" si="58"/>
        <v>Q2</v>
      </c>
      <c r="J720" s="2" t="str">
        <f t="shared" si="59"/>
        <v>Not Found</v>
      </c>
      <c r="K720" s="2">
        <f t="shared" si="55"/>
        <v>0.22360679774997899</v>
      </c>
      <c r="L720" s="2" t="e">
        <f t="shared" si="56"/>
        <v>#N/A</v>
      </c>
      <c r="M720" s="2" t="str">
        <f t="shared" si="57"/>
        <v>Assign quadrant hit</v>
      </c>
      <c r="N720" s="7">
        <v>18.899999999999999</v>
      </c>
      <c r="O720" s="7">
        <v>-1.7</v>
      </c>
      <c r="P720" s="7">
        <v>-2</v>
      </c>
      <c r="Q720" s="7">
        <v>0.28999999999999998</v>
      </c>
      <c r="R720" s="7">
        <v>-0.1</v>
      </c>
      <c r="S720" s="7">
        <v>0.2</v>
      </c>
      <c r="T720" s="7">
        <v>-0.09</v>
      </c>
      <c r="U720" s="7">
        <v>-0.36</v>
      </c>
      <c r="V720" s="7">
        <v>0.47</v>
      </c>
      <c r="W720" s="7" t="s">
        <v>8</v>
      </c>
      <c r="X720" s="7" t="s">
        <v>15</v>
      </c>
      <c r="Y720" s="2" t="s">
        <v>719</v>
      </c>
      <c r="Z720" s="2" t="s">
        <v>721</v>
      </c>
    </row>
    <row r="721" spans="1:26" x14ac:dyDescent="0.35">
      <c r="A721" s="7" t="s">
        <v>1676</v>
      </c>
      <c r="B721" s="7" t="s">
        <v>712</v>
      </c>
      <c r="C721" s="4" t="str">
        <f>_xlfn.XLOOKUP(A721,[2]Sheet2!$I$2:$I$1273,[2]Sheet2!$D$2:$D$1273,0)</f>
        <v>Q2</v>
      </c>
      <c r="D721" s="4" t="str">
        <f>_xlfn.XLOOKUP(B721,[4]Sheet2!$B$2:$B$3154,[4]Sheet2!$F$2:$F$3154,0)</f>
        <v>C/APP</v>
      </c>
      <c r="E721" s="4" t="e">
        <f>_xlfn.XLOOKUP(B721,[2]Sheet2!$E$2:$E$713,[2]Sheet2!$G$2:$G$713)</f>
        <v>#N/A</v>
      </c>
      <c r="F721" s="18">
        <v>46090</v>
      </c>
      <c r="G721" s="14">
        <v>0.74385416666666671</v>
      </c>
      <c r="H721" s="7" t="s">
        <v>11</v>
      </c>
      <c r="I721" s="2" t="str">
        <f t="shared" si="58"/>
        <v>Q4</v>
      </c>
      <c r="J721" s="2" t="str">
        <f t="shared" si="59"/>
        <v>Not Match</v>
      </c>
      <c r="K721" s="2">
        <f t="shared" si="55"/>
        <v>0.90553851381374173</v>
      </c>
      <c r="L721" s="2" t="e">
        <f t="shared" si="56"/>
        <v>#N/A</v>
      </c>
      <c r="M721" s="2" t="str">
        <f t="shared" si="57"/>
        <v>Below 0.8 not in assigned quadrant</v>
      </c>
      <c r="N721" s="7">
        <v>24</v>
      </c>
      <c r="O721" s="7">
        <v>12</v>
      </c>
      <c r="P721" s="7">
        <v>-1.4</v>
      </c>
      <c r="Q721" s="7">
        <v>-0.26</v>
      </c>
      <c r="R721" s="7">
        <v>0.9</v>
      </c>
      <c r="S721" s="7">
        <v>-0.1</v>
      </c>
      <c r="T721" s="7">
        <v>0.73</v>
      </c>
      <c r="U721" s="7">
        <v>-0.09</v>
      </c>
      <c r="V721" s="7">
        <v>0.78</v>
      </c>
      <c r="W721" s="7" t="s">
        <v>13</v>
      </c>
      <c r="X721" s="7" t="s">
        <v>7</v>
      </c>
      <c r="Y721" s="2" t="s">
        <v>719</v>
      </c>
      <c r="Z721" s="2" t="s">
        <v>721</v>
      </c>
    </row>
    <row r="722" spans="1:26" x14ac:dyDescent="0.35">
      <c r="A722" s="7" t="s">
        <v>1676</v>
      </c>
      <c r="B722" s="7" t="s">
        <v>805</v>
      </c>
      <c r="C722" s="4" t="str">
        <f>_xlfn.XLOOKUP(A722,[2]Sheet2!$I$2:$I$1273,[2]Sheet2!$D$2:$D$1273,0)</f>
        <v>Q2</v>
      </c>
      <c r="D722" s="4" t="str">
        <f>_xlfn.XLOOKUP(B722,[4]Sheet2!$B$2:$B$3154,[4]Sheet2!$F$2:$F$3154,0)</f>
        <v>N/ App</v>
      </c>
      <c r="E722" s="4" t="e">
        <f>_xlfn.XLOOKUP(B722,[2]Sheet2!$E$2:$E$713,[2]Sheet2!$G$2:$G$713)</f>
        <v>#N/A</v>
      </c>
      <c r="F722" s="18">
        <v>46090</v>
      </c>
      <c r="G722" s="14">
        <v>0.75010416666666668</v>
      </c>
      <c r="H722" s="7" t="s">
        <v>11</v>
      </c>
      <c r="I722" s="2" t="str">
        <f t="shared" si="58"/>
        <v>Q4</v>
      </c>
      <c r="J722" s="2" t="str">
        <f t="shared" si="59"/>
        <v>Not Match</v>
      </c>
      <c r="K722" s="2">
        <f t="shared" si="55"/>
        <v>0.94339811320566047</v>
      </c>
      <c r="L722" s="2" t="e">
        <f t="shared" si="56"/>
        <v>#N/A</v>
      </c>
      <c r="M722" s="2" t="str">
        <f t="shared" si="57"/>
        <v>Assign quadrant hit</v>
      </c>
      <c r="N722" s="7">
        <v>24.2</v>
      </c>
      <c r="O722" s="7">
        <v>12</v>
      </c>
      <c r="P722" s="7">
        <v>-1.8</v>
      </c>
      <c r="Q722" s="7">
        <v>-0.06</v>
      </c>
      <c r="R722" s="7">
        <v>0.8</v>
      </c>
      <c r="S722" s="7">
        <v>-0.5</v>
      </c>
      <c r="T722" s="7">
        <v>0.74</v>
      </c>
      <c r="U722" s="7">
        <v>-0.48</v>
      </c>
      <c r="V722" s="7">
        <v>0.88</v>
      </c>
      <c r="W722" s="7" t="s">
        <v>13</v>
      </c>
      <c r="X722" s="7" t="s">
        <v>7</v>
      </c>
      <c r="Y722" s="2" t="s">
        <v>719</v>
      </c>
      <c r="Z722" s="2" t="s">
        <v>721</v>
      </c>
    </row>
    <row r="723" spans="1:26" x14ac:dyDescent="0.35">
      <c r="A723" s="7" t="s">
        <v>1515</v>
      </c>
      <c r="B723" s="7" t="s">
        <v>806</v>
      </c>
      <c r="C723" s="4" t="str">
        <f>_xlfn.XLOOKUP(A723,[2]Sheet2!$I$2:$I$1273,[2]Sheet2!$D$2:$D$1273,0)</f>
        <v>Q3</v>
      </c>
      <c r="D723" s="4" t="str">
        <f>_xlfn.XLOOKUP(B723,[4]Sheet2!$B$2:$B$3154,[4]Sheet2!$F$2:$F$3154,0)</f>
        <v>N/ App</v>
      </c>
      <c r="E723" s="4" t="e">
        <f>_xlfn.XLOOKUP(B723,[2]Sheet2!$E$2:$E$713,[2]Sheet2!$G$2:$G$713)</f>
        <v>#N/A</v>
      </c>
      <c r="F723" s="18">
        <v>46090</v>
      </c>
      <c r="G723" s="14">
        <v>0.75278935185185181</v>
      </c>
      <c r="H723" s="7" t="s">
        <v>11</v>
      </c>
      <c r="I723" s="2" t="str">
        <f t="shared" si="58"/>
        <v>Q3</v>
      </c>
      <c r="J723" s="2" t="str">
        <f t="shared" si="59"/>
        <v>Match</v>
      </c>
      <c r="K723" s="2">
        <f t="shared" si="55"/>
        <v>0.22360679774997899</v>
      </c>
      <c r="L723" s="2" t="e">
        <f t="shared" si="56"/>
        <v>#N/A</v>
      </c>
      <c r="M723" s="2" t="str">
        <f t="shared" si="57"/>
        <v>Failed but within quadrant</v>
      </c>
      <c r="N723" s="7">
        <v>13.2</v>
      </c>
      <c r="O723" s="7">
        <v>-0.4</v>
      </c>
      <c r="P723" s="7">
        <v>-2.4</v>
      </c>
      <c r="Q723" s="7">
        <v>-1.57</v>
      </c>
      <c r="R723" s="7">
        <v>-0.1</v>
      </c>
      <c r="S723" s="7">
        <v>-0.2</v>
      </c>
      <c r="T723" s="7">
        <v>0.38</v>
      </c>
      <c r="U723" s="7">
        <v>-0.13</v>
      </c>
      <c r="V723" s="7">
        <v>1.63</v>
      </c>
      <c r="W723" s="7" t="s">
        <v>6</v>
      </c>
      <c r="X723" s="7" t="s">
        <v>15</v>
      </c>
      <c r="Y723" s="2" t="s">
        <v>719</v>
      </c>
      <c r="Z723" s="2" t="s">
        <v>721</v>
      </c>
    </row>
    <row r="724" spans="1:26" x14ac:dyDescent="0.35">
      <c r="A724" s="7" t="s">
        <v>1606</v>
      </c>
      <c r="B724" s="7" t="s">
        <v>1064</v>
      </c>
      <c r="C724" s="4" t="str">
        <f>_xlfn.XLOOKUP(A724,[2]Sheet2!$I$2:$I$1273,[2]Sheet2!$D$2:$D$1273,0)</f>
        <v>Q1</v>
      </c>
      <c r="D724" s="4" t="str">
        <f>_xlfn.XLOOKUP(B724,[4]Sheet2!$B$2:$B$3154,[4]Sheet2!$F$2:$F$3154,0)</f>
        <v>N/ App</v>
      </c>
      <c r="E724" s="4" t="e">
        <f>_xlfn.XLOOKUP(B724,[2]Sheet2!$E$2:$E$713,[2]Sheet2!$G$2:$G$713)</f>
        <v>#N/A</v>
      </c>
      <c r="F724" s="18">
        <v>46090</v>
      </c>
      <c r="G724" s="14">
        <v>0.75526620370370368</v>
      </c>
      <c r="H724" s="7" t="s">
        <v>4</v>
      </c>
      <c r="I724" s="2" t="str">
        <f t="shared" si="58"/>
        <v>Q1</v>
      </c>
      <c r="J724" s="2" t="str">
        <f t="shared" si="59"/>
        <v>Match</v>
      </c>
      <c r="K724" s="2">
        <f t="shared" si="55"/>
        <v>1.1045361017187261</v>
      </c>
      <c r="L724" s="2" t="e">
        <f t="shared" si="56"/>
        <v>#N/A</v>
      </c>
      <c r="M724" s="2" t="str">
        <f t="shared" si="57"/>
        <v>Failed but within quadrant</v>
      </c>
      <c r="N724" s="7">
        <v>17.5</v>
      </c>
      <c r="O724" s="7">
        <v>0.3</v>
      </c>
      <c r="P724" s="7">
        <v>-8.1</v>
      </c>
      <c r="Q724" s="7">
        <v>-0.81</v>
      </c>
      <c r="R724" s="7">
        <v>0.1</v>
      </c>
      <c r="S724" s="7">
        <v>1.1000000000000001</v>
      </c>
      <c r="T724" s="7">
        <v>-0.95</v>
      </c>
      <c r="U724" s="7">
        <v>0.19</v>
      </c>
      <c r="V724" s="7">
        <v>1.26</v>
      </c>
      <c r="W724" s="7" t="s">
        <v>6</v>
      </c>
      <c r="X724" s="7" t="s">
        <v>9</v>
      </c>
      <c r="Y724" s="2" t="s">
        <v>719</v>
      </c>
      <c r="Z724" s="2" t="s">
        <v>721</v>
      </c>
    </row>
    <row r="725" spans="1:26" x14ac:dyDescent="0.35">
      <c r="A725" s="7" t="s">
        <v>1605</v>
      </c>
      <c r="B725" s="7" t="s">
        <v>807</v>
      </c>
      <c r="C725" s="4">
        <f>_xlfn.XLOOKUP(A725,[2]Sheet2!$I$2:$I$1273,[2]Sheet2!$D$2:$D$1273,0)</f>
        <v>0</v>
      </c>
      <c r="D725" s="4" t="str">
        <f>_xlfn.XLOOKUP(B725,[4]Sheet2!$B$2:$B$3154,[4]Sheet2!$F$2:$F$3154,0)</f>
        <v>N/ App</v>
      </c>
      <c r="E725" s="4" t="e">
        <f>_xlfn.XLOOKUP(B725,[2]Sheet2!$E$2:$E$713,[2]Sheet2!$G$2:$G$713)</f>
        <v>#N/A</v>
      </c>
      <c r="F725" s="18">
        <v>46090</v>
      </c>
      <c r="G725" s="14">
        <v>0.770625</v>
      </c>
      <c r="H725" s="7" t="s">
        <v>14</v>
      </c>
      <c r="I725" s="2" t="str">
        <f t="shared" si="58"/>
        <v>Q4</v>
      </c>
      <c r="J725" s="2" t="str">
        <f t="shared" si="59"/>
        <v>Not Found</v>
      </c>
      <c r="K725" s="2">
        <f t="shared" si="55"/>
        <v>0.4</v>
      </c>
      <c r="L725" s="2" t="e">
        <f t="shared" si="56"/>
        <v>#N/A</v>
      </c>
      <c r="M725" s="2" t="str">
        <f t="shared" si="57"/>
        <v>Assign quadrant hit</v>
      </c>
      <c r="N725" s="7">
        <v>17.3</v>
      </c>
      <c r="O725" s="7">
        <v>-0.3</v>
      </c>
      <c r="P725" s="7">
        <v>-13.9</v>
      </c>
      <c r="Q725" s="7">
        <v>-0.64</v>
      </c>
      <c r="R725" s="7">
        <v>0</v>
      </c>
      <c r="S725" s="7">
        <v>-0.4</v>
      </c>
      <c r="T725" s="7">
        <v>0.3</v>
      </c>
      <c r="U725" s="7">
        <v>-0.05</v>
      </c>
      <c r="V725" s="7">
        <v>0.71</v>
      </c>
      <c r="W725" s="7" t="s">
        <v>8</v>
      </c>
      <c r="X725" s="7" t="s">
        <v>15</v>
      </c>
      <c r="Y725" s="2" t="s">
        <v>719</v>
      </c>
      <c r="Z725" s="2" t="s">
        <v>721</v>
      </c>
    </row>
    <row r="726" spans="1:26" x14ac:dyDescent="0.35">
      <c r="A726" s="7" t="s">
        <v>1700</v>
      </c>
      <c r="B726" s="7" t="s">
        <v>735</v>
      </c>
      <c r="C726" s="4">
        <f>_xlfn.XLOOKUP(A726,[2]Sheet2!$I$2:$I$1273,[2]Sheet2!$D$2:$D$1273,0)</f>
        <v>0</v>
      </c>
      <c r="D726" s="4" t="str">
        <f>_xlfn.XLOOKUP(B726,[4]Sheet2!$B$2:$B$3154,[4]Sheet2!$F$2:$F$3154,0)</f>
        <v>N/ App</v>
      </c>
      <c r="E726" s="4" t="e">
        <f>_xlfn.XLOOKUP(B726,[2]Sheet2!$E$2:$E$713,[2]Sheet2!$G$2:$G$713)</f>
        <v>#N/A</v>
      </c>
      <c r="F726" s="18">
        <v>46090</v>
      </c>
      <c r="G726" s="14">
        <v>0.91883101851851856</v>
      </c>
      <c r="H726" s="7" t="s">
        <v>5</v>
      </c>
      <c r="I726" s="2" t="str">
        <f t="shared" si="58"/>
        <v>Q4</v>
      </c>
      <c r="J726" s="2" t="str">
        <f t="shared" si="59"/>
        <v>Not Found</v>
      </c>
      <c r="K726" s="2">
        <f t="shared" si="55"/>
        <v>0.28284271247461906</v>
      </c>
      <c r="L726" s="2" t="e">
        <f t="shared" si="56"/>
        <v>#N/A</v>
      </c>
      <c r="M726" s="2" t="str">
        <f t="shared" si="57"/>
        <v>Assign quadrant hit</v>
      </c>
      <c r="N726" s="7">
        <v>23.6</v>
      </c>
      <c r="O726" s="7">
        <v>2.8</v>
      </c>
      <c r="P726" s="7">
        <v>2.9</v>
      </c>
      <c r="Q726" s="7">
        <v>-0.09</v>
      </c>
      <c r="R726" s="7">
        <v>0.2</v>
      </c>
      <c r="S726" s="7">
        <v>-0.2</v>
      </c>
      <c r="T726" s="7">
        <v>0.03</v>
      </c>
      <c r="U726" s="7">
        <v>-0.51</v>
      </c>
      <c r="V726" s="7">
        <v>0.52</v>
      </c>
      <c r="W726" s="7" t="s">
        <v>8</v>
      </c>
      <c r="X726" s="7" t="s">
        <v>9</v>
      </c>
      <c r="Y726" s="2" t="s">
        <v>719</v>
      </c>
      <c r="Z726" s="2" t="s">
        <v>721</v>
      </c>
    </row>
    <row r="727" spans="1:26" x14ac:dyDescent="0.35">
      <c r="A727" s="7" t="s">
        <v>1676</v>
      </c>
      <c r="B727" s="7" t="s">
        <v>737</v>
      </c>
      <c r="C727" s="4" t="str">
        <f>_xlfn.XLOOKUP(A727,[2]Sheet2!$I$2:$I$1273,[2]Sheet2!$D$2:$D$1273,0)</f>
        <v>Q2</v>
      </c>
      <c r="D727" s="4" t="str">
        <f>_xlfn.XLOOKUP(B727,[4]Sheet2!$B$2:$B$3154,[4]Sheet2!$F$2:$F$3154,0)</f>
        <v>N/ App</v>
      </c>
      <c r="E727" s="4" t="e">
        <f>_xlfn.XLOOKUP(B727,[2]Sheet2!$E$2:$E$713,[2]Sheet2!$G$2:$G$713)</f>
        <v>#N/A</v>
      </c>
      <c r="F727" s="18">
        <v>46090</v>
      </c>
      <c r="G727" s="14">
        <v>0.96091435185185181</v>
      </c>
      <c r="H727" s="7" t="s">
        <v>11</v>
      </c>
      <c r="I727" s="2" t="str">
        <f t="shared" si="58"/>
        <v>Q4</v>
      </c>
      <c r="J727" s="2" t="str">
        <f t="shared" si="59"/>
        <v>Not Match</v>
      </c>
      <c r="K727" s="2">
        <f t="shared" si="55"/>
        <v>0.76157731058639078</v>
      </c>
      <c r="L727" s="2" t="e">
        <f t="shared" si="56"/>
        <v>#N/A</v>
      </c>
      <c r="M727" s="2" t="str">
        <f t="shared" si="57"/>
        <v>Below 0.8 not in assigned quadrant</v>
      </c>
      <c r="N727" s="7">
        <v>25</v>
      </c>
      <c r="O727" s="7">
        <v>11.8</v>
      </c>
      <c r="P727" s="7">
        <v>-1.6</v>
      </c>
      <c r="Q727" s="7">
        <v>0.47</v>
      </c>
      <c r="R727" s="7">
        <v>0.7</v>
      </c>
      <c r="S727" s="7">
        <v>-0.3</v>
      </c>
      <c r="T727" s="7">
        <v>0.57999999999999996</v>
      </c>
      <c r="U727" s="7">
        <v>-0.28000000000000003</v>
      </c>
      <c r="V727" s="7">
        <v>0.8</v>
      </c>
      <c r="W727" s="7" t="s">
        <v>13</v>
      </c>
      <c r="X727" s="7" t="s">
        <v>7</v>
      </c>
      <c r="Y727" s="2" t="s">
        <v>719</v>
      </c>
      <c r="Z727" s="2" t="s">
        <v>721</v>
      </c>
    </row>
    <row r="728" spans="1:26" x14ac:dyDescent="0.35">
      <c r="A728" s="7" t="s">
        <v>1540</v>
      </c>
      <c r="B728" s="7" t="s">
        <v>738</v>
      </c>
      <c r="C728" s="4" t="str">
        <f>_xlfn.XLOOKUP(A728,[2]Sheet2!$I$2:$I$1273,[2]Sheet2!$D$2:$D$1273,0)</f>
        <v>Q3</v>
      </c>
      <c r="D728" s="4" t="str">
        <f>_xlfn.XLOOKUP(B728,[4]Sheet2!$B$2:$B$3154,[4]Sheet2!$F$2:$F$3154,0)</f>
        <v>N/ App</v>
      </c>
      <c r="E728" s="4" t="e">
        <f>_xlfn.XLOOKUP(B728,[2]Sheet2!$E$2:$E$713,[2]Sheet2!$G$2:$G$713)</f>
        <v>#N/A</v>
      </c>
      <c r="F728" s="18">
        <v>46090</v>
      </c>
      <c r="G728" s="14">
        <v>0.96339120370370368</v>
      </c>
      <c r="H728" s="7" t="s">
        <v>11</v>
      </c>
      <c r="I728" s="2" t="str">
        <f t="shared" si="58"/>
        <v>Q3</v>
      </c>
      <c r="J728" s="2" t="str">
        <f t="shared" si="59"/>
        <v>Match</v>
      </c>
      <c r="K728" s="2">
        <f t="shared" si="55"/>
        <v>0</v>
      </c>
      <c r="L728" s="2" t="e">
        <f t="shared" si="56"/>
        <v>#N/A</v>
      </c>
      <c r="M728" s="2" t="str">
        <f t="shared" si="57"/>
        <v>Digital Approve Hit</v>
      </c>
      <c r="N728" s="7">
        <v>14.2</v>
      </c>
      <c r="O728" s="7">
        <v>-0.4</v>
      </c>
      <c r="P728" s="7">
        <v>-1.8</v>
      </c>
      <c r="Q728" s="7">
        <v>0.01</v>
      </c>
      <c r="R728" s="7">
        <v>0</v>
      </c>
      <c r="S728" s="7">
        <v>0</v>
      </c>
      <c r="T728" s="7">
        <v>0.09</v>
      </c>
      <c r="U728" s="7">
        <v>0.09</v>
      </c>
      <c r="V728" s="7">
        <v>0.13</v>
      </c>
      <c r="W728" s="7" t="s">
        <v>8</v>
      </c>
      <c r="X728" s="7" t="s">
        <v>9</v>
      </c>
      <c r="Y728" s="2" t="s">
        <v>719</v>
      </c>
      <c r="Z728" s="2" t="s">
        <v>721</v>
      </c>
    </row>
    <row r="729" spans="1:26" x14ac:dyDescent="0.35">
      <c r="A729" s="7" t="s">
        <v>1694</v>
      </c>
      <c r="B729" s="7" t="s">
        <v>739</v>
      </c>
      <c r="C729" s="4" t="str">
        <f>_xlfn.XLOOKUP(A729,[2]Sheet2!$I$2:$I$1273,[2]Sheet2!$D$2:$D$1273,0)</f>
        <v>Q3</v>
      </c>
      <c r="D729" s="4" t="str">
        <f>_xlfn.XLOOKUP(B729,[4]Sheet2!$B$2:$B$3154,[4]Sheet2!$F$2:$F$3154,0)</f>
        <v>N/ App</v>
      </c>
      <c r="E729" s="4" t="e">
        <f>_xlfn.XLOOKUP(B729,[2]Sheet2!$E$2:$E$713,[2]Sheet2!$G$2:$G$713)</f>
        <v>#N/A</v>
      </c>
      <c r="F729" s="18">
        <v>46090</v>
      </c>
      <c r="G729" s="14">
        <v>0.99025462962962962</v>
      </c>
      <c r="H729" s="7" t="s">
        <v>11</v>
      </c>
      <c r="I729" s="2" t="str">
        <f t="shared" si="58"/>
        <v>Q1</v>
      </c>
      <c r="J729" s="2" t="str">
        <f t="shared" si="59"/>
        <v>Not Match</v>
      </c>
      <c r="K729" s="2">
        <f t="shared" si="55"/>
        <v>0.4</v>
      </c>
      <c r="L729" s="2" t="e">
        <f t="shared" si="56"/>
        <v>#N/A</v>
      </c>
      <c r="M729" s="2" t="str">
        <f t="shared" si="57"/>
        <v>Below 0.8 not in assigned quadrant</v>
      </c>
      <c r="N729" s="7">
        <v>17.2</v>
      </c>
      <c r="O729" s="7">
        <v>-0.5</v>
      </c>
      <c r="P729" s="7">
        <v>-2.7</v>
      </c>
      <c r="Q729" s="7">
        <v>0.26</v>
      </c>
      <c r="R729" s="7">
        <v>0</v>
      </c>
      <c r="S729" s="7">
        <v>0.4</v>
      </c>
      <c r="T729" s="7">
        <v>-0.5</v>
      </c>
      <c r="U729" s="7">
        <v>-0.05</v>
      </c>
      <c r="V729" s="7">
        <v>0.56000000000000005</v>
      </c>
      <c r="W729" s="7" t="s">
        <v>8</v>
      </c>
      <c r="X729" s="7" t="s">
        <v>15</v>
      </c>
      <c r="Y729" s="2" t="s">
        <v>719</v>
      </c>
      <c r="Z729" s="2" t="s">
        <v>721</v>
      </c>
    </row>
    <row r="730" spans="1:26" x14ac:dyDescent="0.35">
      <c r="A730" s="7" t="s">
        <v>1701</v>
      </c>
      <c r="B730" s="7" t="s">
        <v>740</v>
      </c>
      <c r="C730" s="4" t="str">
        <f>_xlfn.XLOOKUP(A730,[2]Sheet2!$I$2:$I$1273,[2]Sheet2!$D$2:$D$1273,0)</f>
        <v>Q3</v>
      </c>
      <c r="D730" s="4" t="str">
        <f>_xlfn.XLOOKUP(B730,[4]Sheet2!$B$2:$B$3154,[4]Sheet2!$F$2:$F$3154,0)</f>
        <v>N/ App</v>
      </c>
      <c r="E730" s="4" t="e">
        <f>_xlfn.XLOOKUP(B730,[2]Sheet2!$E$2:$E$713,[2]Sheet2!$G$2:$G$713)</f>
        <v>#N/A</v>
      </c>
      <c r="F730" s="18">
        <v>46090</v>
      </c>
      <c r="G730" s="14">
        <v>0.99346064814814816</v>
      </c>
      <c r="H730" s="7" t="s">
        <v>4</v>
      </c>
      <c r="I730" s="2" t="str">
        <f t="shared" si="58"/>
        <v>Q2</v>
      </c>
      <c r="J730" s="2" t="str">
        <f t="shared" si="59"/>
        <v>Not Match</v>
      </c>
      <c r="K730" s="2">
        <f t="shared" si="55"/>
        <v>1.1401754250991381</v>
      </c>
      <c r="L730" s="2" t="e">
        <f t="shared" si="56"/>
        <v>#N/A</v>
      </c>
      <c r="M730" s="2" t="str">
        <f t="shared" si="57"/>
        <v>Assign quadrant hit</v>
      </c>
      <c r="N730" s="7">
        <v>27.6</v>
      </c>
      <c r="O730" s="7">
        <v>27.7</v>
      </c>
      <c r="P730" s="7">
        <v>5.0999999999999996</v>
      </c>
      <c r="Q730" s="7">
        <v>-0.53</v>
      </c>
      <c r="R730" s="7">
        <v>-1.1000000000000001</v>
      </c>
      <c r="S730" s="7">
        <v>0.3</v>
      </c>
      <c r="T730" s="7">
        <v>-0.52</v>
      </c>
      <c r="U730" s="7">
        <v>0.4</v>
      </c>
      <c r="V730" s="7">
        <v>0.84</v>
      </c>
      <c r="W730" s="7" t="s">
        <v>13</v>
      </c>
      <c r="X730" s="7" t="s">
        <v>9</v>
      </c>
      <c r="Y730" s="2" t="s">
        <v>719</v>
      </c>
      <c r="Z730" s="2" t="s">
        <v>721</v>
      </c>
    </row>
    <row r="731" spans="1:26" x14ac:dyDescent="0.35">
      <c r="A731" s="7" t="s">
        <v>1687</v>
      </c>
      <c r="B731" s="7" t="s">
        <v>742</v>
      </c>
      <c r="C731" s="4" t="str">
        <f>_xlfn.XLOOKUP(A731,[2]Sheet2!$I$2:$I$1273,[2]Sheet2!$D$2:$D$1273,0)</f>
        <v>Q3</v>
      </c>
      <c r="D731" s="4" t="str">
        <f>_xlfn.XLOOKUP(B731,[4]Sheet2!$B$2:$B$3154,[4]Sheet2!$F$2:$F$3154,0)</f>
        <v>N/ App</v>
      </c>
      <c r="E731" s="4" t="e">
        <f>_xlfn.XLOOKUP(B731,[2]Sheet2!$E$2:$E$713,[2]Sheet2!$G$2:$G$713)</f>
        <v>#N/A</v>
      </c>
      <c r="F731" s="18">
        <v>46091</v>
      </c>
      <c r="G731" s="14">
        <v>8.082175925925926E-2</v>
      </c>
      <c r="H731" s="7" t="s">
        <v>5</v>
      </c>
      <c r="I731" s="2" t="str">
        <f t="shared" si="58"/>
        <v>Q3</v>
      </c>
      <c r="J731" s="2" t="str">
        <f t="shared" si="59"/>
        <v>Match</v>
      </c>
      <c r="K731" s="2">
        <f t="shared" si="55"/>
        <v>0.60827625302982191</v>
      </c>
      <c r="L731" s="2" t="e">
        <f t="shared" si="56"/>
        <v>#N/A</v>
      </c>
      <c r="M731" s="2" t="str">
        <f t="shared" si="57"/>
        <v>Failed but within quadrant</v>
      </c>
      <c r="N731" s="7">
        <v>34.5</v>
      </c>
      <c r="O731" s="7">
        <v>11</v>
      </c>
      <c r="P731" s="7">
        <v>12.8</v>
      </c>
      <c r="Q731" s="7">
        <v>-0.37</v>
      </c>
      <c r="R731" s="7">
        <v>-0.6</v>
      </c>
      <c r="S731" s="7">
        <v>-0.1</v>
      </c>
      <c r="T731" s="7">
        <v>-0.34</v>
      </c>
      <c r="U731" s="7">
        <v>0.68</v>
      </c>
      <c r="V731" s="7">
        <v>0.84</v>
      </c>
      <c r="W731" s="7" t="s">
        <v>13</v>
      </c>
      <c r="X731" s="7" t="s">
        <v>12</v>
      </c>
      <c r="Y731" s="2" t="s">
        <v>719</v>
      </c>
      <c r="Z731" s="2" t="s">
        <v>721</v>
      </c>
    </row>
    <row r="732" spans="1:26" x14ac:dyDescent="0.35">
      <c r="A732" s="7" t="s">
        <v>1676</v>
      </c>
      <c r="B732" s="7" t="s">
        <v>808</v>
      </c>
      <c r="C732" s="4" t="str">
        <f>_xlfn.XLOOKUP(A732,[2]Sheet2!$I$2:$I$1273,[2]Sheet2!$D$2:$D$1273,0)</f>
        <v>Q2</v>
      </c>
      <c r="D732" s="4" t="str">
        <f>_xlfn.XLOOKUP(B732,[4]Sheet2!$B$2:$B$3154,[4]Sheet2!$F$2:$F$3154,0)</f>
        <v>N/ App</v>
      </c>
      <c r="E732" s="4" t="e">
        <f>_xlfn.XLOOKUP(B732,[2]Sheet2!$E$2:$E$713,[2]Sheet2!$G$2:$G$713)</f>
        <v>#N/A</v>
      </c>
      <c r="F732" s="18">
        <v>46091</v>
      </c>
      <c r="G732" s="14">
        <v>0.13564814814814816</v>
      </c>
      <c r="H732" s="7" t="s">
        <v>11</v>
      </c>
      <c r="I732" s="2" t="str">
        <f t="shared" si="58"/>
        <v>Q4</v>
      </c>
      <c r="J732" s="2" t="str">
        <f t="shared" si="59"/>
        <v>Not Match</v>
      </c>
      <c r="K732" s="2">
        <f t="shared" si="55"/>
        <v>0.6</v>
      </c>
      <c r="L732" s="2" t="e">
        <f t="shared" si="56"/>
        <v>#N/A</v>
      </c>
      <c r="M732" s="2" t="str">
        <f t="shared" si="57"/>
        <v>Below 0.8 not in assigned quadrant</v>
      </c>
      <c r="N732" s="7">
        <v>24.5</v>
      </c>
      <c r="O732" s="7">
        <v>11.7</v>
      </c>
      <c r="P732" s="7">
        <v>-1.2</v>
      </c>
      <c r="Q732" s="7">
        <v>0.14000000000000001</v>
      </c>
      <c r="R732" s="7">
        <v>0.6</v>
      </c>
      <c r="S732" s="7">
        <v>0</v>
      </c>
      <c r="T732" s="7">
        <v>0.47</v>
      </c>
      <c r="U732" s="7">
        <v>0.05</v>
      </c>
      <c r="V732" s="7">
        <v>0.5</v>
      </c>
      <c r="W732" s="7" t="s">
        <v>8</v>
      </c>
      <c r="X732" s="7" t="s">
        <v>9</v>
      </c>
      <c r="Y732" s="2" t="s">
        <v>719</v>
      </c>
      <c r="Z732" s="2" t="s">
        <v>721</v>
      </c>
    </row>
    <row r="733" spans="1:26" x14ac:dyDescent="0.35">
      <c r="A733" s="7" t="s">
        <v>1676</v>
      </c>
      <c r="B733" s="7" t="s">
        <v>663</v>
      </c>
      <c r="C733" s="4" t="str">
        <f>_xlfn.XLOOKUP(A733,[2]Sheet2!$I$2:$I$1273,[2]Sheet2!$D$2:$D$1273,0)</f>
        <v>Q2</v>
      </c>
      <c r="D733" s="4" t="str">
        <f>_xlfn.XLOOKUP(B733,[4]Sheet2!$B$2:$B$3154,[4]Sheet2!$F$2:$F$3154,0)</f>
        <v>C/APP</v>
      </c>
      <c r="E733" s="4" t="e">
        <f>_xlfn.XLOOKUP(B733,[2]Sheet2!$E$2:$E$713,[2]Sheet2!$G$2:$G$713)</f>
        <v>#N/A</v>
      </c>
      <c r="F733" s="18">
        <v>46091</v>
      </c>
      <c r="G733" s="14">
        <v>0.19237268518518519</v>
      </c>
      <c r="H733" s="7" t="s">
        <v>11</v>
      </c>
      <c r="I733" s="2" t="str">
        <f t="shared" si="58"/>
        <v>Q3</v>
      </c>
      <c r="J733" s="2" t="str">
        <f t="shared" si="59"/>
        <v>Not Match</v>
      </c>
      <c r="K733" s="2">
        <f t="shared" si="55"/>
        <v>0.60827625302982191</v>
      </c>
      <c r="L733" s="2" t="e">
        <f t="shared" si="56"/>
        <v>#N/A</v>
      </c>
      <c r="M733" s="2" t="str">
        <f t="shared" si="57"/>
        <v>Assign quadrant hit</v>
      </c>
      <c r="N733" s="7">
        <v>23.2</v>
      </c>
      <c r="O733" s="7">
        <v>10.9</v>
      </c>
      <c r="P733" s="7">
        <v>-1.9</v>
      </c>
      <c r="Q733" s="7">
        <v>-0.8</v>
      </c>
      <c r="R733" s="7">
        <v>-0.1</v>
      </c>
      <c r="S733" s="7">
        <v>-0.6</v>
      </c>
      <c r="T733" s="7">
        <v>-7.0000000000000007E-2</v>
      </c>
      <c r="U733" s="7">
        <v>-0.74</v>
      </c>
      <c r="V733" s="7">
        <v>1.0900000000000001</v>
      </c>
      <c r="W733" s="7" t="s">
        <v>6</v>
      </c>
      <c r="X733" s="7" t="s">
        <v>7</v>
      </c>
      <c r="Y733" s="2" t="s">
        <v>719</v>
      </c>
      <c r="Z733" s="2" t="s">
        <v>721</v>
      </c>
    </row>
    <row r="734" spans="1:26" x14ac:dyDescent="0.35">
      <c r="A734" s="7" t="s">
        <v>1702</v>
      </c>
      <c r="B734" s="7" t="s">
        <v>658</v>
      </c>
      <c r="C734" s="4" t="str">
        <f>_xlfn.XLOOKUP(A734,[2]Sheet2!$I$2:$I$1273,[2]Sheet2!$D$2:$D$1273,0)</f>
        <v>Q2</v>
      </c>
      <c r="D734" s="4" t="str">
        <f>_xlfn.XLOOKUP(B734,[4]Sheet2!$B$2:$B$3154,[4]Sheet2!$F$2:$F$3154,0)</f>
        <v>C/APP</v>
      </c>
      <c r="E734" s="4" t="e">
        <f>_xlfn.XLOOKUP(B734,[2]Sheet2!$E$2:$E$713,[2]Sheet2!$G$2:$G$713)</f>
        <v>#N/A</v>
      </c>
      <c r="F734" s="18">
        <v>46091</v>
      </c>
      <c r="G734" s="14">
        <v>0.24577546296296296</v>
      </c>
      <c r="H734" s="7" t="s">
        <v>5</v>
      </c>
      <c r="I734" s="2" t="str">
        <f t="shared" si="58"/>
        <v>Q4</v>
      </c>
      <c r="J734" s="2" t="str">
        <f t="shared" si="59"/>
        <v>Not Match</v>
      </c>
      <c r="K734" s="2">
        <f t="shared" si="55"/>
        <v>2.5709920264364881</v>
      </c>
      <c r="L734" s="2" t="e">
        <f t="shared" si="56"/>
        <v>#N/A</v>
      </c>
      <c r="M734" s="2" t="str">
        <f t="shared" si="57"/>
        <v>Assign quadrant hit</v>
      </c>
      <c r="N734" s="7">
        <v>20.9</v>
      </c>
      <c r="O734" s="7">
        <v>5.5</v>
      </c>
      <c r="P734" s="7">
        <v>-34.6</v>
      </c>
      <c r="Q734" s="7">
        <v>0.71</v>
      </c>
      <c r="R734" s="7">
        <v>0.6</v>
      </c>
      <c r="S734" s="7">
        <v>-2.5</v>
      </c>
      <c r="T734" s="7">
        <v>1.25</v>
      </c>
      <c r="U734" s="7">
        <v>0.18</v>
      </c>
      <c r="V734" s="7">
        <v>1.45</v>
      </c>
      <c r="W734" s="7" t="s">
        <v>6</v>
      </c>
      <c r="X734" s="7" t="s">
        <v>9</v>
      </c>
      <c r="Y734" s="2" t="s">
        <v>719</v>
      </c>
      <c r="Z734" s="2" t="s">
        <v>721</v>
      </c>
    </row>
    <row r="735" spans="1:26" x14ac:dyDescent="0.35">
      <c r="A735" s="7" t="s">
        <v>1540</v>
      </c>
      <c r="B735" s="7" t="s">
        <v>743</v>
      </c>
      <c r="C735" s="4" t="str">
        <f>_xlfn.XLOOKUP(A735,[2]Sheet2!$I$2:$I$1273,[2]Sheet2!$D$2:$D$1273,0)</f>
        <v>Q3</v>
      </c>
      <c r="D735" s="4" t="str">
        <f>_xlfn.XLOOKUP(B735,[4]Sheet2!$B$2:$B$3154,[4]Sheet2!$F$2:$F$3154,0)</f>
        <v>N/ App</v>
      </c>
      <c r="E735" s="4" t="e">
        <f>_xlfn.XLOOKUP(B735,[2]Sheet2!$E$2:$E$713,[2]Sheet2!$G$2:$G$713)</f>
        <v>#N/A</v>
      </c>
      <c r="F735" s="18">
        <v>46091</v>
      </c>
      <c r="G735" s="14">
        <v>0.25101851851851853</v>
      </c>
      <c r="H735" s="7" t="s">
        <v>11</v>
      </c>
      <c r="I735" s="2" t="str">
        <f t="shared" si="58"/>
        <v>Q1</v>
      </c>
      <c r="J735" s="2" t="str">
        <f t="shared" si="59"/>
        <v>Not Match</v>
      </c>
      <c r="K735" s="2">
        <f t="shared" si="55"/>
        <v>0.41231056256176613</v>
      </c>
      <c r="L735" s="2" t="e">
        <f t="shared" si="56"/>
        <v>#N/A</v>
      </c>
      <c r="M735" s="2" t="str">
        <f t="shared" si="57"/>
        <v>Below 0.8 not in assigned quadrant</v>
      </c>
      <c r="N735" s="7">
        <v>13.8</v>
      </c>
      <c r="O735" s="7">
        <v>-0.4</v>
      </c>
      <c r="P735" s="7">
        <v>-1.3</v>
      </c>
      <c r="Q735" s="7">
        <v>-0.37</v>
      </c>
      <c r="R735" s="7">
        <v>0.1</v>
      </c>
      <c r="S735" s="7">
        <v>0.4</v>
      </c>
      <c r="T735" s="7">
        <v>-0.59</v>
      </c>
      <c r="U735" s="7">
        <v>0.01</v>
      </c>
      <c r="V735" s="7">
        <v>0.7</v>
      </c>
      <c r="W735" s="7" t="s">
        <v>8</v>
      </c>
      <c r="X735" s="7" t="s">
        <v>9</v>
      </c>
      <c r="Y735" s="2" t="s">
        <v>719</v>
      </c>
      <c r="Z735" s="2" t="s">
        <v>721</v>
      </c>
    </row>
    <row r="736" spans="1:26" x14ac:dyDescent="0.35">
      <c r="A736" s="7" t="s">
        <v>1559</v>
      </c>
      <c r="B736" s="7" t="s">
        <v>744</v>
      </c>
      <c r="C736" s="4" t="str">
        <f>_xlfn.XLOOKUP(A736,[2]Sheet2!$I$2:$I$1273,[2]Sheet2!$D$2:$D$1273,0)</f>
        <v>Q3</v>
      </c>
      <c r="D736" s="4" t="str">
        <f>_xlfn.XLOOKUP(B736,[4]Sheet2!$B$2:$B$3154,[4]Sheet2!$F$2:$F$3154,0)</f>
        <v>N/ App</v>
      </c>
      <c r="E736" s="4" t="e">
        <f>_xlfn.XLOOKUP(B736,[2]Sheet2!$E$2:$E$713,[2]Sheet2!$G$2:$G$713)</f>
        <v>#N/A</v>
      </c>
      <c r="F736" s="18">
        <v>46091</v>
      </c>
      <c r="G736" s="14">
        <v>0.26528935185185187</v>
      </c>
      <c r="H736" s="7" t="s">
        <v>11</v>
      </c>
      <c r="I736" s="2" t="str">
        <f t="shared" si="58"/>
        <v>Q1</v>
      </c>
      <c r="J736" s="2" t="str">
        <f t="shared" si="59"/>
        <v>Not Match</v>
      </c>
      <c r="K736" s="2">
        <f t="shared" si="55"/>
        <v>0.1</v>
      </c>
      <c r="L736" s="2" t="e">
        <f t="shared" si="56"/>
        <v>#N/A</v>
      </c>
      <c r="M736" s="2" t="str">
        <f t="shared" si="57"/>
        <v>Below 0.8 not in assigned quadrant</v>
      </c>
      <c r="N736" s="7">
        <v>17</v>
      </c>
      <c r="O736" s="7">
        <v>-0.5</v>
      </c>
      <c r="P736" s="7">
        <v>-2.7</v>
      </c>
      <c r="Q736" s="7">
        <v>-0.65</v>
      </c>
      <c r="R736" s="7">
        <v>0</v>
      </c>
      <c r="S736" s="7">
        <v>0.1</v>
      </c>
      <c r="T736" s="7">
        <v>-0.16</v>
      </c>
      <c r="U736" s="7">
        <v>0.06</v>
      </c>
      <c r="V736" s="7">
        <v>0.67</v>
      </c>
      <c r="W736" s="7" t="s">
        <v>8</v>
      </c>
      <c r="X736" s="7" t="s">
        <v>9</v>
      </c>
      <c r="Y736" s="2" t="s">
        <v>719</v>
      </c>
      <c r="Z736" s="2" t="s">
        <v>721</v>
      </c>
    </row>
    <row r="737" spans="1:26" x14ac:dyDescent="0.35">
      <c r="A737" s="7" t="s">
        <v>1676</v>
      </c>
      <c r="B737" s="7" t="s">
        <v>745</v>
      </c>
      <c r="C737" s="4" t="str">
        <f>_xlfn.XLOOKUP(A737,[2]Sheet2!$I$2:$I$1273,[2]Sheet2!$D$2:$D$1273,0)</f>
        <v>Q2</v>
      </c>
      <c r="D737" s="4" t="str">
        <f>_xlfn.XLOOKUP(B737,[4]Sheet2!$B$2:$B$3154,[4]Sheet2!$F$2:$F$3154,0)</f>
        <v>N/ App</v>
      </c>
      <c r="E737" s="4" t="e">
        <f>_xlfn.XLOOKUP(B737,[2]Sheet2!$E$2:$E$713,[2]Sheet2!$G$2:$G$713)</f>
        <v>#N/A</v>
      </c>
      <c r="F737" s="18">
        <v>46091</v>
      </c>
      <c r="G737" s="14">
        <v>0.27135416666666667</v>
      </c>
      <c r="H737" s="7" t="s">
        <v>11</v>
      </c>
      <c r="I737" s="2" t="str">
        <f t="shared" si="58"/>
        <v>Q1</v>
      </c>
      <c r="J737" s="2" t="str">
        <f t="shared" si="59"/>
        <v>Not Match</v>
      </c>
      <c r="K737" s="2">
        <f t="shared" si="55"/>
        <v>1.2206555615733703</v>
      </c>
      <c r="L737" s="2" t="e">
        <f t="shared" si="56"/>
        <v>#N/A</v>
      </c>
      <c r="M737" s="2" t="str">
        <f t="shared" si="57"/>
        <v>Assign quadrant hit</v>
      </c>
      <c r="N737" s="7">
        <v>24.6</v>
      </c>
      <c r="O737" s="7">
        <v>11.9</v>
      </c>
      <c r="P737" s="7">
        <v>-0.2</v>
      </c>
      <c r="Q737" s="7">
        <v>0.17</v>
      </c>
      <c r="R737" s="7">
        <v>0.7</v>
      </c>
      <c r="S737" s="7">
        <v>1</v>
      </c>
      <c r="T737" s="7">
        <v>0.56000000000000005</v>
      </c>
      <c r="U737" s="7">
        <v>1.1399999999999999</v>
      </c>
      <c r="V737" s="7">
        <v>1.28</v>
      </c>
      <c r="W737" s="7" t="s">
        <v>6</v>
      </c>
      <c r="X737" s="7" t="s">
        <v>9</v>
      </c>
      <c r="Y737" s="2" t="s">
        <v>719</v>
      </c>
      <c r="Z737" s="2" t="s">
        <v>721</v>
      </c>
    </row>
    <row r="738" spans="1:26" x14ac:dyDescent="0.35">
      <c r="A738" s="7" t="s">
        <v>1703</v>
      </c>
      <c r="B738" s="7" t="s">
        <v>746</v>
      </c>
      <c r="C738" s="4" t="str">
        <f>_xlfn.XLOOKUP(A738,[2]Sheet2!$I$2:$I$1273,[2]Sheet2!$D$2:$D$1273,0)</f>
        <v>Q1</v>
      </c>
      <c r="D738" s="4" t="str">
        <f>_xlfn.XLOOKUP(B738,[4]Sheet2!$B$2:$B$3154,[4]Sheet2!$F$2:$F$3154,0)</f>
        <v>N/ App</v>
      </c>
      <c r="E738" s="4">
        <f>_xlfn.XLOOKUP(B738,[2]Sheet2!$E$2:$E$713,[2]Sheet2!$G$2:$G$713)</f>
        <v>0.8</v>
      </c>
      <c r="F738" s="18">
        <v>46091</v>
      </c>
      <c r="G738" s="14">
        <v>0.27431712962962962</v>
      </c>
      <c r="H738" s="7" t="s">
        <v>5</v>
      </c>
      <c r="I738" s="2" t="str">
        <f t="shared" si="58"/>
        <v>Q1</v>
      </c>
      <c r="J738" s="2" t="str">
        <f t="shared" si="59"/>
        <v>Match</v>
      </c>
      <c r="K738" s="2">
        <f t="shared" si="55"/>
        <v>0</v>
      </c>
      <c r="L738" s="2" t="str">
        <f t="shared" si="56"/>
        <v>Within Range</v>
      </c>
      <c r="M738" s="2" t="str">
        <f t="shared" si="57"/>
        <v>Digital Approve Hit</v>
      </c>
      <c r="N738" s="7">
        <v>18.8</v>
      </c>
      <c r="O738" s="7">
        <v>0</v>
      </c>
      <c r="P738" s="7">
        <v>-0.9</v>
      </c>
      <c r="Q738" s="7">
        <v>-0.21</v>
      </c>
      <c r="R738" s="7">
        <v>0</v>
      </c>
      <c r="S738" s="7">
        <v>0</v>
      </c>
      <c r="T738" s="7">
        <v>0.01</v>
      </c>
      <c r="U738" s="7">
        <v>0.1</v>
      </c>
      <c r="V738" s="7">
        <v>0.23</v>
      </c>
      <c r="W738" s="7" t="s">
        <v>8</v>
      </c>
      <c r="X738" s="7" t="s">
        <v>9</v>
      </c>
      <c r="Y738" s="2" t="s">
        <v>719</v>
      </c>
      <c r="Z738" s="2" t="s">
        <v>721</v>
      </c>
    </row>
    <row r="739" spans="1:26" x14ac:dyDescent="0.35">
      <c r="A739" s="7" t="s">
        <v>1676</v>
      </c>
      <c r="B739" s="7" t="s">
        <v>741</v>
      </c>
      <c r="C739" s="4" t="str">
        <f>_xlfn.XLOOKUP(A739,[2]Sheet2!$I$2:$I$1273,[2]Sheet2!$D$2:$D$1273,0)</f>
        <v>Q2</v>
      </c>
      <c r="D739" s="4" t="str">
        <f>_xlfn.XLOOKUP(B739,[4]Sheet2!$B$2:$B$3154,[4]Sheet2!$F$2:$F$3154,0)</f>
        <v>N/ App</v>
      </c>
      <c r="E739" s="4" t="e">
        <f>_xlfn.XLOOKUP(B739,[2]Sheet2!$E$2:$E$713,[2]Sheet2!$G$2:$G$713)</f>
        <v>#N/A</v>
      </c>
      <c r="F739" s="18">
        <v>46091</v>
      </c>
      <c r="G739" s="14">
        <v>0.46574074074074073</v>
      </c>
      <c r="H739" s="7" t="s">
        <v>11</v>
      </c>
      <c r="I739" s="2" t="str">
        <f t="shared" si="58"/>
        <v>Q1</v>
      </c>
      <c r="J739" s="2" t="str">
        <f t="shared" si="59"/>
        <v>Not Match</v>
      </c>
      <c r="K739" s="2">
        <f t="shared" si="55"/>
        <v>0.80622577482985502</v>
      </c>
      <c r="L739" s="2" t="e">
        <f t="shared" si="56"/>
        <v>#N/A</v>
      </c>
      <c r="M739" s="2" t="str">
        <f t="shared" si="57"/>
        <v>Below 0.8 not in assigned quadrant</v>
      </c>
      <c r="N739" s="7">
        <v>24.5</v>
      </c>
      <c r="O739" s="7">
        <v>12</v>
      </c>
      <c r="P739" s="7">
        <v>-1</v>
      </c>
      <c r="Q739" s="7">
        <v>0.14000000000000001</v>
      </c>
      <c r="R739" s="7">
        <v>0.8</v>
      </c>
      <c r="S739" s="7">
        <v>0.1</v>
      </c>
      <c r="T739" s="7">
        <v>0.66</v>
      </c>
      <c r="U739" s="7">
        <v>0.28000000000000003</v>
      </c>
      <c r="V739" s="7">
        <v>0.73</v>
      </c>
      <c r="W739" s="7" t="s">
        <v>8</v>
      </c>
      <c r="X739" s="7" t="s">
        <v>9</v>
      </c>
      <c r="Y739" s="2" t="s">
        <v>719</v>
      </c>
      <c r="Z739" s="2" t="s">
        <v>721</v>
      </c>
    </row>
    <row r="740" spans="1:26" x14ac:dyDescent="0.35">
      <c r="A740" s="7" t="s">
        <v>1634</v>
      </c>
      <c r="B740" s="7" t="s">
        <v>809</v>
      </c>
      <c r="C740" s="4">
        <f>_xlfn.XLOOKUP(A740,[2]Sheet2!$I$2:$I$1273,[2]Sheet2!$D$2:$D$1273,0)</f>
        <v>0</v>
      </c>
      <c r="D740" s="4" t="str">
        <f>_xlfn.XLOOKUP(B740,[4]Sheet2!$B$2:$B$3154,[4]Sheet2!$F$2:$F$3154,0)</f>
        <v>C/APP</v>
      </c>
      <c r="E740" s="4" t="e">
        <f>_xlfn.XLOOKUP(B740,[2]Sheet2!$E$2:$E$713,[2]Sheet2!$G$2:$G$713)</f>
        <v>#N/A</v>
      </c>
      <c r="F740" s="18">
        <v>46091</v>
      </c>
      <c r="G740" s="14">
        <v>0.46917824074074072</v>
      </c>
      <c r="H740" s="7" t="s">
        <v>11</v>
      </c>
      <c r="I740" s="2" t="str">
        <f t="shared" si="58"/>
        <v>Q4</v>
      </c>
      <c r="J740" s="2" t="str">
        <f t="shared" si="59"/>
        <v>Not Found</v>
      </c>
      <c r="K740" s="2">
        <f t="shared" si="55"/>
        <v>2</v>
      </c>
      <c r="L740" s="2" t="e">
        <f t="shared" si="56"/>
        <v>#N/A</v>
      </c>
      <c r="M740" s="2" t="str">
        <f t="shared" si="57"/>
        <v>Assign quadrant hit</v>
      </c>
      <c r="N740" s="7">
        <v>55</v>
      </c>
      <c r="O740" s="7">
        <v>37.1</v>
      </c>
      <c r="P740" s="7">
        <v>-16.7</v>
      </c>
      <c r="Q740" s="7">
        <v>-0.94</v>
      </c>
      <c r="R740" s="7">
        <v>2</v>
      </c>
      <c r="S740" s="7">
        <v>0</v>
      </c>
      <c r="T740" s="7">
        <v>0.78</v>
      </c>
      <c r="U740" s="7">
        <v>0.56000000000000005</v>
      </c>
      <c r="V740" s="7">
        <v>1.35</v>
      </c>
      <c r="W740" s="7" t="s">
        <v>6</v>
      </c>
      <c r="X740" s="7" t="s">
        <v>9</v>
      </c>
      <c r="Y740" s="2" t="s">
        <v>719</v>
      </c>
      <c r="Z740" s="2" t="s">
        <v>721</v>
      </c>
    </row>
    <row r="741" spans="1:26" x14ac:dyDescent="0.35">
      <c r="A741" s="7" t="s">
        <v>1554</v>
      </c>
      <c r="B741" s="7" t="s">
        <v>810</v>
      </c>
      <c r="C741" s="4" t="str">
        <f>_xlfn.XLOOKUP(A741,[2]Sheet2!$I$2:$I$1273,[2]Sheet2!$D$2:$D$1273,0)</f>
        <v>Q1</v>
      </c>
      <c r="D741" s="4" t="str">
        <f>_xlfn.XLOOKUP(B741,[4]Sheet2!$B$2:$B$3154,[4]Sheet2!$F$2:$F$3154,0)</f>
        <v>N/ App</v>
      </c>
      <c r="E741" s="4" t="e">
        <f>_xlfn.XLOOKUP(B741,[2]Sheet2!$E$2:$E$713,[2]Sheet2!$G$2:$G$713)</f>
        <v>#N/A</v>
      </c>
      <c r="F741" s="18">
        <v>46091</v>
      </c>
      <c r="G741" s="14">
        <v>0.61540509259259257</v>
      </c>
      <c r="H741" s="7" t="s">
        <v>5</v>
      </c>
      <c r="I741" s="2" t="str">
        <f t="shared" si="58"/>
        <v>Q1</v>
      </c>
      <c r="J741" s="2" t="str">
        <f t="shared" si="59"/>
        <v>Match</v>
      </c>
      <c r="K741" s="2">
        <f t="shared" si="55"/>
        <v>0.6403124237432849</v>
      </c>
      <c r="L741" s="2" t="e">
        <f t="shared" si="56"/>
        <v>#N/A</v>
      </c>
      <c r="M741" s="2" t="str">
        <f t="shared" si="57"/>
        <v>Failed but within quadrant</v>
      </c>
      <c r="N741" s="7">
        <v>16.5</v>
      </c>
      <c r="O741" s="7">
        <v>-0.5</v>
      </c>
      <c r="P741" s="7">
        <v>-2.1</v>
      </c>
      <c r="Q741" s="7">
        <v>-0.55000000000000004</v>
      </c>
      <c r="R741" s="7">
        <v>0.4</v>
      </c>
      <c r="S741" s="7">
        <v>0.5</v>
      </c>
      <c r="T741" s="7">
        <v>-0.83</v>
      </c>
      <c r="U741" s="7">
        <v>0.28999999999999998</v>
      </c>
      <c r="V741" s="7">
        <v>1.04</v>
      </c>
      <c r="W741" s="7" t="s">
        <v>6</v>
      </c>
      <c r="X741" s="7" t="s">
        <v>9</v>
      </c>
      <c r="Y741" s="2" t="s">
        <v>719</v>
      </c>
      <c r="Z741" s="2" t="s">
        <v>721</v>
      </c>
    </row>
    <row r="742" spans="1:26" x14ac:dyDescent="0.35">
      <c r="A742" s="7" t="s">
        <v>1704</v>
      </c>
      <c r="B742" s="7" t="s">
        <v>811</v>
      </c>
      <c r="C742" s="4" t="str">
        <f>_xlfn.XLOOKUP(A742,[2]Sheet2!$I$2:$I$1273,[2]Sheet2!$D$2:$D$1273,0)</f>
        <v>Q1</v>
      </c>
      <c r="D742" s="4" t="str">
        <f>_xlfn.XLOOKUP(B742,[4]Sheet2!$B$2:$B$3154,[4]Sheet2!$F$2:$F$3154,0)</f>
        <v>C/APP</v>
      </c>
      <c r="E742" s="4" t="e">
        <f>_xlfn.XLOOKUP(B742,[2]Sheet2!$E$2:$E$713,[2]Sheet2!$G$2:$G$713)</f>
        <v>#N/A</v>
      </c>
      <c r="F742" s="18">
        <v>46091</v>
      </c>
      <c r="G742" s="14">
        <v>0.64223379629629629</v>
      </c>
      <c r="H742" s="7" t="s">
        <v>11</v>
      </c>
      <c r="I742" s="2" t="str">
        <f t="shared" si="58"/>
        <v>Q3</v>
      </c>
      <c r="J742" s="2" t="str">
        <f t="shared" si="59"/>
        <v>Not Match</v>
      </c>
      <c r="K742" s="2">
        <f t="shared" si="55"/>
        <v>0.5</v>
      </c>
      <c r="L742" s="2" t="e">
        <f t="shared" si="56"/>
        <v>#N/A</v>
      </c>
      <c r="M742" s="2" t="str">
        <f t="shared" si="57"/>
        <v>Below 0.8 not in assigned quadrant</v>
      </c>
      <c r="N742" s="7">
        <v>41.5</v>
      </c>
      <c r="O742" s="7">
        <v>-17.399999999999999</v>
      </c>
      <c r="P742" s="7">
        <v>-17.3</v>
      </c>
      <c r="Q742" s="7">
        <v>-0.36</v>
      </c>
      <c r="R742" s="7">
        <v>-0.3</v>
      </c>
      <c r="S742" s="7">
        <v>-0.4</v>
      </c>
      <c r="T742" s="7">
        <v>0.3</v>
      </c>
      <c r="U742" s="7">
        <v>0.09</v>
      </c>
      <c r="V742" s="7">
        <v>0.48</v>
      </c>
      <c r="W742" s="7" t="s">
        <v>8</v>
      </c>
      <c r="X742" s="7" t="s">
        <v>7</v>
      </c>
      <c r="Y742" s="2" t="s">
        <v>719</v>
      </c>
      <c r="Z742" s="2" t="s">
        <v>721</v>
      </c>
    </row>
    <row r="743" spans="1:26" x14ac:dyDescent="0.35">
      <c r="A743" s="7" t="s">
        <v>1593</v>
      </c>
      <c r="B743" s="7" t="s">
        <v>812</v>
      </c>
      <c r="C743" s="4" t="str">
        <f>_xlfn.XLOOKUP(A743,[2]Sheet2!$I$2:$I$1273,[2]Sheet2!$D$2:$D$1273,0)</f>
        <v>Q3</v>
      </c>
      <c r="D743" s="4" t="str">
        <f>_xlfn.XLOOKUP(B743,[4]Sheet2!$B$2:$B$3154,[4]Sheet2!$F$2:$F$3154,0)</f>
        <v>N/ App</v>
      </c>
      <c r="E743" s="4" t="e">
        <f>_xlfn.XLOOKUP(B743,[2]Sheet2!$E$2:$E$713,[2]Sheet2!$G$2:$G$713)</f>
        <v>#N/A</v>
      </c>
      <c r="F743" s="18">
        <v>46091</v>
      </c>
      <c r="G743" s="14">
        <v>0.64768518518518514</v>
      </c>
      <c r="H743" s="7" t="s">
        <v>5</v>
      </c>
      <c r="I743" s="2" t="str">
        <f t="shared" si="58"/>
        <v>Q4</v>
      </c>
      <c r="J743" s="2" t="str">
        <f t="shared" si="59"/>
        <v>Not Match</v>
      </c>
      <c r="K743" s="2">
        <f t="shared" si="55"/>
        <v>0.3</v>
      </c>
      <c r="L743" s="2" t="e">
        <f t="shared" si="56"/>
        <v>#N/A</v>
      </c>
      <c r="M743" s="2" t="str">
        <f t="shared" si="57"/>
        <v>Assign quadrant hit</v>
      </c>
      <c r="N743" s="7">
        <v>22.4</v>
      </c>
      <c r="O743" s="7">
        <v>3.1</v>
      </c>
      <c r="P743" s="7">
        <v>2</v>
      </c>
      <c r="Q743" s="7">
        <v>-1.26</v>
      </c>
      <c r="R743" s="7">
        <v>0</v>
      </c>
      <c r="S743" s="7">
        <v>-0.3</v>
      </c>
      <c r="T743" s="7">
        <v>-0.32</v>
      </c>
      <c r="U743" s="7">
        <v>-0.37</v>
      </c>
      <c r="V743" s="7">
        <v>1.35</v>
      </c>
      <c r="W743" s="7" t="s">
        <v>6</v>
      </c>
      <c r="X743" s="7" t="s">
        <v>7</v>
      </c>
      <c r="Y743" s="2" t="s">
        <v>719</v>
      </c>
      <c r="Z743" s="2" t="s">
        <v>721</v>
      </c>
    </row>
    <row r="744" spans="1:26" x14ac:dyDescent="0.35">
      <c r="A744" s="7" t="s">
        <v>1705</v>
      </c>
      <c r="B744" s="7" t="s">
        <v>813</v>
      </c>
      <c r="C744" s="4" t="str">
        <f>_xlfn.XLOOKUP(A744,[2]Sheet2!$I$2:$I$1273,[2]Sheet2!$D$2:$D$1273,0)</f>
        <v>Q4</v>
      </c>
      <c r="D744" s="4" t="str">
        <f>_xlfn.XLOOKUP(B744,[4]Sheet2!$B$2:$B$3154,[4]Sheet2!$F$2:$F$3154,0)</f>
        <v>N/ App</v>
      </c>
      <c r="E744" s="4" t="e">
        <f>_xlfn.XLOOKUP(B744,[2]Sheet2!$E$2:$E$713,[2]Sheet2!$G$2:$G$713)</f>
        <v>#N/A</v>
      </c>
      <c r="F744" s="18">
        <v>46091</v>
      </c>
      <c r="G744" s="14">
        <v>0.65837962962962959</v>
      </c>
      <c r="H744" s="7" t="s">
        <v>5</v>
      </c>
      <c r="I744" s="2" t="str">
        <f t="shared" si="58"/>
        <v>Q1</v>
      </c>
      <c r="J744" s="2" t="str">
        <f t="shared" si="59"/>
        <v>Not Match</v>
      </c>
      <c r="K744" s="2">
        <f t="shared" si="55"/>
        <v>0.89442719099991597</v>
      </c>
      <c r="L744" s="2" t="e">
        <f t="shared" si="56"/>
        <v>#N/A</v>
      </c>
      <c r="M744" s="2" t="str">
        <f t="shared" si="57"/>
        <v>Below 0.8 not in assigned quadrant</v>
      </c>
      <c r="N744" s="7">
        <v>43.3</v>
      </c>
      <c r="O744" s="7">
        <v>53.5</v>
      </c>
      <c r="P744" s="7">
        <v>36.6</v>
      </c>
      <c r="Q744" s="7">
        <v>-0.21</v>
      </c>
      <c r="R744" s="7">
        <v>0.8</v>
      </c>
      <c r="S744" s="7">
        <v>0.4</v>
      </c>
      <c r="T744" s="7">
        <v>0.33</v>
      </c>
      <c r="U744" s="7">
        <v>-0.1</v>
      </c>
      <c r="V744" s="7">
        <v>0.4</v>
      </c>
      <c r="W744" s="7" t="s">
        <v>8</v>
      </c>
      <c r="X744" s="7" t="s">
        <v>7</v>
      </c>
      <c r="Y744" s="2" t="s">
        <v>719</v>
      </c>
      <c r="Z744" s="2" t="s">
        <v>721</v>
      </c>
    </row>
    <row r="745" spans="1:26" x14ac:dyDescent="0.35">
      <c r="A745" s="7" t="s">
        <v>1545</v>
      </c>
      <c r="B745" s="7" t="s">
        <v>814</v>
      </c>
      <c r="C745" s="4" t="str">
        <f>_xlfn.XLOOKUP(A745,[2]Sheet2!$I$2:$I$1273,[2]Sheet2!$D$2:$D$1273,0)</f>
        <v>Q2</v>
      </c>
      <c r="D745" s="4" t="str">
        <f>_xlfn.XLOOKUP(B745,[4]Sheet2!$B$2:$B$3154,[4]Sheet2!$F$2:$F$3154,0)</f>
        <v>N/ App</v>
      </c>
      <c r="E745" s="4" t="e">
        <f>_xlfn.XLOOKUP(B745,[2]Sheet2!$E$2:$E$713,[2]Sheet2!$G$2:$G$713)</f>
        <v>#N/A</v>
      </c>
      <c r="F745" s="18">
        <v>46091</v>
      </c>
      <c r="G745" s="14">
        <v>0.67623842592592598</v>
      </c>
      <c r="H745" s="7" t="s">
        <v>5</v>
      </c>
      <c r="I745" s="2" t="str">
        <f t="shared" si="58"/>
        <v>Q4</v>
      </c>
      <c r="J745" s="2" t="str">
        <f t="shared" si="59"/>
        <v>Not Match</v>
      </c>
      <c r="K745" s="2">
        <f t="shared" si="55"/>
        <v>0.3</v>
      </c>
      <c r="L745" s="2" t="e">
        <f t="shared" si="56"/>
        <v>#N/A</v>
      </c>
      <c r="M745" s="2" t="str">
        <f t="shared" si="57"/>
        <v>Below 0.8 not in assigned quadrant</v>
      </c>
      <c r="N745" s="7">
        <v>17.399999999999999</v>
      </c>
      <c r="O745" s="7">
        <v>-0.7</v>
      </c>
      <c r="P745" s="7">
        <v>-2.7</v>
      </c>
      <c r="Q745" s="7">
        <v>-0.45</v>
      </c>
      <c r="R745" s="7">
        <v>0</v>
      </c>
      <c r="S745" s="7">
        <v>-0.3</v>
      </c>
      <c r="T745" s="7">
        <v>0.47</v>
      </c>
      <c r="U745" s="7">
        <v>0.12</v>
      </c>
      <c r="V745" s="7">
        <v>0.66</v>
      </c>
      <c r="W745" s="7" t="s">
        <v>8</v>
      </c>
      <c r="X745" s="7" t="s">
        <v>9</v>
      </c>
      <c r="Y745" s="2" t="s">
        <v>719</v>
      </c>
      <c r="Z745" s="2" t="s">
        <v>721</v>
      </c>
    </row>
    <row r="746" spans="1:26" x14ac:dyDescent="0.35">
      <c r="A746" s="7" t="s">
        <v>1634</v>
      </c>
      <c r="B746" s="7" t="s">
        <v>815</v>
      </c>
      <c r="C746" s="4">
        <f>_xlfn.XLOOKUP(A746,[2]Sheet2!$I$2:$I$1273,[2]Sheet2!$D$2:$D$1273,0)</f>
        <v>0</v>
      </c>
      <c r="D746" s="4" t="str">
        <f>_xlfn.XLOOKUP(B746,[4]Sheet2!$B$2:$B$3154,[4]Sheet2!$F$2:$F$3154,0)</f>
        <v>C/APP</v>
      </c>
      <c r="E746" s="4" t="e">
        <f>_xlfn.XLOOKUP(B746,[2]Sheet2!$E$2:$E$713,[2]Sheet2!$G$2:$G$713)</f>
        <v>#N/A</v>
      </c>
      <c r="F746" s="18">
        <v>46091</v>
      </c>
      <c r="G746" s="14">
        <v>0.76168981481481479</v>
      </c>
      <c r="H746" s="7" t="s">
        <v>11</v>
      </c>
      <c r="I746" s="2" t="str">
        <f t="shared" si="58"/>
        <v>Q4</v>
      </c>
      <c r="J746" s="2" t="str">
        <f t="shared" si="59"/>
        <v>Not Found</v>
      </c>
      <c r="K746" s="2">
        <f t="shared" si="55"/>
        <v>2.1</v>
      </c>
      <c r="L746" s="2" t="e">
        <f t="shared" si="56"/>
        <v>#N/A</v>
      </c>
      <c r="M746" s="2" t="str">
        <f t="shared" si="57"/>
        <v>Assign quadrant hit</v>
      </c>
      <c r="N746" s="7">
        <v>55.1</v>
      </c>
      <c r="O746" s="7">
        <v>37.299999999999997</v>
      </c>
      <c r="P746" s="7">
        <v>-16.7</v>
      </c>
      <c r="Q746" s="7">
        <v>-0.88</v>
      </c>
      <c r="R746" s="7">
        <v>2.1</v>
      </c>
      <c r="S746" s="7">
        <v>0</v>
      </c>
      <c r="T746" s="7">
        <v>0.86</v>
      </c>
      <c r="U746" s="7">
        <v>0.57999999999999996</v>
      </c>
      <c r="V746" s="7">
        <v>1.36</v>
      </c>
      <c r="W746" s="7" t="s">
        <v>6</v>
      </c>
      <c r="X746" s="7" t="s">
        <v>9</v>
      </c>
      <c r="Y746" s="2" t="s">
        <v>719</v>
      </c>
      <c r="Z746" s="2" t="s">
        <v>721</v>
      </c>
    </row>
    <row r="747" spans="1:26" x14ac:dyDescent="0.35">
      <c r="A747" s="7" t="s">
        <v>1634</v>
      </c>
      <c r="B747" s="7" t="s">
        <v>816</v>
      </c>
      <c r="C747" s="4">
        <f>_xlfn.XLOOKUP(A747,[2]Sheet2!$I$2:$I$1273,[2]Sheet2!$D$2:$D$1273,0)</f>
        <v>0</v>
      </c>
      <c r="D747" s="4" t="str">
        <f>_xlfn.XLOOKUP(B747,[4]Sheet2!$B$2:$B$3154,[4]Sheet2!$F$2:$F$3154,0)</f>
        <v>N/ App</v>
      </c>
      <c r="E747" s="4" t="e">
        <f>_xlfn.XLOOKUP(B747,[2]Sheet2!$E$2:$E$713,[2]Sheet2!$G$2:$G$713)</f>
        <v>#N/A</v>
      </c>
      <c r="F747" s="18">
        <v>46091</v>
      </c>
      <c r="G747" s="14">
        <v>0.76451388888888894</v>
      </c>
      <c r="H747" s="7" t="s">
        <v>11</v>
      </c>
      <c r="I747" s="2" t="str">
        <f t="shared" si="58"/>
        <v>Q1</v>
      </c>
      <c r="J747" s="2" t="str">
        <f t="shared" si="59"/>
        <v>Not Found</v>
      </c>
      <c r="K747" s="2">
        <f t="shared" si="55"/>
        <v>2.0223748416156684</v>
      </c>
      <c r="L747" s="2" t="e">
        <f t="shared" si="56"/>
        <v>#N/A</v>
      </c>
      <c r="M747" s="2" t="str">
        <f t="shared" si="57"/>
        <v>Assign quadrant hit</v>
      </c>
      <c r="N747" s="7">
        <v>55.2</v>
      </c>
      <c r="O747" s="7">
        <v>37.200000000000003</v>
      </c>
      <c r="P747" s="7">
        <v>-16.5</v>
      </c>
      <c r="Q747" s="7">
        <v>-0.83</v>
      </c>
      <c r="R747" s="7">
        <v>2</v>
      </c>
      <c r="S747" s="7">
        <v>0.3</v>
      </c>
      <c r="T747" s="7">
        <v>0.78</v>
      </c>
      <c r="U747" s="7">
        <v>0.7</v>
      </c>
      <c r="V747" s="7">
        <v>1.34</v>
      </c>
      <c r="W747" s="7" t="s">
        <v>6</v>
      </c>
      <c r="X747" s="7" t="s">
        <v>9</v>
      </c>
      <c r="Y747" s="2" t="s">
        <v>719</v>
      </c>
      <c r="Z747" s="2" t="s">
        <v>721</v>
      </c>
    </row>
    <row r="748" spans="1:26" x14ac:dyDescent="0.35">
      <c r="A748" s="7" t="s">
        <v>1656</v>
      </c>
      <c r="B748" s="7" t="s">
        <v>817</v>
      </c>
      <c r="C748" s="4" t="str">
        <f>_xlfn.XLOOKUP(A748,[2]Sheet2!$I$2:$I$1273,[2]Sheet2!$D$2:$D$1273,0)</f>
        <v>Q1</v>
      </c>
      <c r="D748" s="4" t="str">
        <f>_xlfn.XLOOKUP(B748,[4]Sheet2!$B$2:$B$3154,[4]Sheet2!$F$2:$F$3154,0)</f>
        <v>N/ App</v>
      </c>
      <c r="E748" s="4" t="e">
        <f>_xlfn.XLOOKUP(B748,[2]Sheet2!$E$2:$E$713,[2]Sheet2!$G$2:$G$713)</f>
        <v>#N/A</v>
      </c>
      <c r="F748" s="18">
        <v>46091</v>
      </c>
      <c r="G748" s="14">
        <v>0.77496527777777779</v>
      </c>
      <c r="H748" s="7" t="s">
        <v>11</v>
      </c>
      <c r="I748" s="2" t="str">
        <f t="shared" si="58"/>
        <v>Q1</v>
      </c>
      <c r="J748" s="2" t="str">
        <f t="shared" si="59"/>
        <v>Match</v>
      </c>
      <c r="K748" s="2">
        <f t="shared" si="55"/>
        <v>0.85440037453175322</v>
      </c>
      <c r="L748" s="2" t="e">
        <f t="shared" si="56"/>
        <v>#N/A</v>
      </c>
      <c r="M748" s="2" t="str">
        <f t="shared" si="57"/>
        <v>Digital Approve Hit</v>
      </c>
      <c r="N748" s="7">
        <v>23.3</v>
      </c>
      <c r="O748" s="7">
        <v>13.5</v>
      </c>
      <c r="P748" s="7">
        <v>9.5</v>
      </c>
      <c r="Q748" s="7">
        <v>0.46</v>
      </c>
      <c r="R748" s="7">
        <v>0.8</v>
      </c>
      <c r="S748" s="7">
        <v>0.3</v>
      </c>
      <c r="T748" s="7">
        <v>0.61</v>
      </c>
      <c r="U748" s="7">
        <v>-0.2</v>
      </c>
      <c r="V748" s="7">
        <v>0.79</v>
      </c>
      <c r="W748" s="7" t="s">
        <v>13</v>
      </c>
      <c r="X748" s="7" t="s">
        <v>7</v>
      </c>
      <c r="Y748" s="2" t="s">
        <v>719</v>
      </c>
      <c r="Z748" s="2" t="s">
        <v>721</v>
      </c>
    </row>
    <row r="749" spans="1:26" x14ac:dyDescent="0.35">
      <c r="A749" s="7" t="s">
        <v>1653</v>
      </c>
      <c r="B749" s="7" t="s">
        <v>818</v>
      </c>
      <c r="C749" s="4">
        <f>_xlfn.XLOOKUP(A749,[2]Sheet2!$I$2:$I$1273,[2]Sheet2!$D$2:$D$1273,0)</f>
        <v>0</v>
      </c>
      <c r="D749" s="4" t="str">
        <f>_xlfn.XLOOKUP(B749,[4]Sheet2!$B$2:$B$3154,[4]Sheet2!$F$2:$F$3154,0)</f>
        <v>N/ App</v>
      </c>
      <c r="E749" s="4" t="e">
        <f>_xlfn.XLOOKUP(B749,[2]Sheet2!$E$2:$E$713,[2]Sheet2!$G$2:$G$713)</f>
        <v>#N/A</v>
      </c>
      <c r="F749" s="18">
        <v>46091</v>
      </c>
      <c r="G749" s="14">
        <v>0.77774305555555556</v>
      </c>
      <c r="H749" s="7" t="s">
        <v>5</v>
      </c>
      <c r="I749" s="2" t="str">
        <f t="shared" si="58"/>
        <v>Q3</v>
      </c>
      <c r="J749" s="2" t="str">
        <f t="shared" si="59"/>
        <v>Not Found</v>
      </c>
      <c r="K749" s="2">
        <f t="shared" si="55"/>
        <v>0.36055512754639896</v>
      </c>
      <c r="L749" s="2" t="e">
        <f t="shared" si="56"/>
        <v>#N/A</v>
      </c>
      <c r="M749" s="2" t="str">
        <f t="shared" si="57"/>
        <v>Assign quadrant hit</v>
      </c>
      <c r="N749" s="7">
        <v>22.9</v>
      </c>
      <c r="O749" s="7">
        <v>4.7</v>
      </c>
      <c r="P749" s="7">
        <v>5.0999999999999996</v>
      </c>
      <c r="Q749" s="7">
        <v>0.12</v>
      </c>
      <c r="R749" s="7">
        <v>-0.2</v>
      </c>
      <c r="S749" s="7">
        <v>-0.3</v>
      </c>
      <c r="T749" s="7">
        <v>-0.41</v>
      </c>
      <c r="U749" s="7">
        <v>-0.06</v>
      </c>
      <c r="V749" s="7">
        <v>0.43</v>
      </c>
      <c r="W749" s="7" t="s">
        <v>8</v>
      </c>
      <c r="X749" s="7" t="s">
        <v>9</v>
      </c>
      <c r="Y749" s="2" t="s">
        <v>719</v>
      </c>
      <c r="Z749" s="2" t="s">
        <v>721</v>
      </c>
    </row>
    <row r="750" spans="1:26" x14ac:dyDescent="0.35">
      <c r="A750" s="7" t="s">
        <v>1686</v>
      </c>
      <c r="B750" s="7" t="s">
        <v>747</v>
      </c>
      <c r="C750" s="4" t="str">
        <f>_xlfn.XLOOKUP(A750,[2]Sheet2!$I$2:$I$1273,[2]Sheet2!$D$2:$D$1273,0)</f>
        <v>Q4</v>
      </c>
      <c r="D750" s="4" t="str">
        <f>_xlfn.XLOOKUP(B750,[4]Sheet2!$B$2:$B$3154,[4]Sheet2!$F$2:$F$3154,0)</f>
        <v>C/APP</v>
      </c>
      <c r="E750" s="4" t="e">
        <f>_xlfn.XLOOKUP(B750,[2]Sheet2!$E$2:$E$713,[2]Sheet2!$G$2:$G$713)</f>
        <v>#N/A</v>
      </c>
      <c r="F750" s="18">
        <v>46091</v>
      </c>
      <c r="G750" s="14">
        <v>0.83846064814814814</v>
      </c>
      <c r="H750" s="7" t="s">
        <v>16</v>
      </c>
      <c r="I750" s="2" t="str">
        <f t="shared" si="58"/>
        <v>Q3</v>
      </c>
      <c r="J750" s="2" t="str">
        <f t="shared" si="59"/>
        <v>Not Match</v>
      </c>
      <c r="K750" s="2">
        <f t="shared" si="55"/>
        <v>0.98488578017961048</v>
      </c>
      <c r="L750" s="2" t="e">
        <f t="shared" si="56"/>
        <v>#N/A</v>
      </c>
      <c r="M750" s="2" t="str">
        <f t="shared" si="57"/>
        <v>Assign quadrant hit</v>
      </c>
      <c r="N750" s="7">
        <v>25.2</v>
      </c>
      <c r="O750" s="7">
        <v>24.6</v>
      </c>
      <c r="P750" s="7">
        <v>12.8</v>
      </c>
      <c r="Q750" s="7">
        <v>-0.78</v>
      </c>
      <c r="R750" s="7">
        <v>-0.9</v>
      </c>
      <c r="S750" s="7">
        <v>-0.4</v>
      </c>
      <c r="T750" s="7">
        <v>-0.54</v>
      </c>
      <c r="U750" s="7">
        <v>0.06</v>
      </c>
      <c r="V750" s="7">
        <v>0.95</v>
      </c>
      <c r="W750" s="7" t="s">
        <v>13</v>
      </c>
      <c r="X750" s="7" t="s">
        <v>12</v>
      </c>
      <c r="Y750" s="2" t="s">
        <v>719</v>
      </c>
      <c r="Z750" s="2" t="s">
        <v>721</v>
      </c>
    </row>
    <row r="751" spans="1:26" x14ac:dyDescent="0.35">
      <c r="A751" s="7" t="s">
        <v>1612</v>
      </c>
      <c r="B751" s="7" t="s">
        <v>748</v>
      </c>
      <c r="C751" s="4" t="str">
        <f>_xlfn.XLOOKUP(A751,[2]Sheet2!$I$2:$I$1273,[2]Sheet2!$D$2:$D$1273,0)</f>
        <v>Q1</v>
      </c>
      <c r="D751" s="4" t="str">
        <f>_xlfn.XLOOKUP(B751,[4]Sheet2!$B$2:$B$3154,[4]Sheet2!$F$2:$F$3154,0)</f>
        <v>C/APP</v>
      </c>
      <c r="E751" s="4" t="e">
        <f>_xlfn.XLOOKUP(B751,[2]Sheet2!$E$2:$E$713,[2]Sheet2!$G$2:$G$713)</f>
        <v>#N/A</v>
      </c>
      <c r="F751" s="18">
        <v>46091</v>
      </c>
      <c r="G751" s="14">
        <v>0.94180555555555556</v>
      </c>
      <c r="H751" s="7" t="s">
        <v>5</v>
      </c>
      <c r="I751" s="2" t="str">
        <f t="shared" si="58"/>
        <v>Q3</v>
      </c>
      <c r="J751" s="2" t="str">
        <f t="shared" si="59"/>
        <v>Not Match</v>
      </c>
      <c r="K751" s="2">
        <f t="shared" si="55"/>
        <v>0.1</v>
      </c>
      <c r="L751" s="2" t="e">
        <f t="shared" si="56"/>
        <v>#N/A</v>
      </c>
      <c r="M751" s="2" t="str">
        <f t="shared" si="57"/>
        <v>Below 0.8 not in assigned quadrant</v>
      </c>
      <c r="N751" s="7">
        <v>16.8</v>
      </c>
      <c r="O751" s="7">
        <v>-0.4</v>
      </c>
      <c r="P751" s="7">
        <v>-3.5</v>
      </c>
      <c r="Q751" s="7">
        <v>-0.7</v>
      </c>
      <c r="R751" s="7">
        <v>-0.1</v>
      </c>
      <c r="S751" s="7">
        <v>0</v>
      </c>
      <c r="T751" s="7">
        <v>-0.04</v>
      </c>
      <c r="U751" s="7">
        <v>-0.21</v>
      </c>
      <c r="V751" s="7">
        <v>0.73</v>
      </c>
      <c r="W751" s="7" t="s">
        <v>8</v>
      </c>
      <c r="X751" s="7" t="s">
        <v>15</v>
      </c>
      <c r="Y751" s="2" t="s">
        <v>719</v>
      </c>
      <c r="Z751" s="2" t="s">
        <v>721</v>
      </c>
    </row>
    <row r="752" spans="1:26" x14ac:dyDescent="0.35">
      <c r="A752" s="7" t="s">
        <v>1593</v>
      </c>
      <c r="B752" s="7" t="s">
        <v>749</v>
      </c>
      <c r="C752" s="4" t="str">
        <f>_xlfn.XLOOKUP(A752,[2]Sheet2!$I$2:$I$1273,[2]Sheet2!$D$2:$D$1273,0)</f>
        <v>Q3</v>
      </c>
      <c r="D752" s="4" t="str">
        <f>_xlfn.XLOOKUP(B752,[4]Sheet2!$B$2:$B$3154,[4]Sheet2!$F$2:$F$3154,0)</f>
        <v>N/ App</v>
      </c>
      <c r="E752" s="4" t="e">
        <f>_xlfn.XLOOKUP(B752,[2]Sheet2!$E$2:$E$713,[2]Sheet2!$G$2:$G$713)</f>
        <v>#N/A</v>
      </c>
      <c r="F752" s="18">
        <v>46091</v>
      </c>
      <c r="G752" s="14">
        <v>0.98526620370370366</v>
      </c>
      <c r="H752" s="7" t="s">
        <v>5</v>
      </c>
      <c r="I752" s="2" t="str">
        <f t="shared" si="58"/>
        <v>Q1</v>
      </c>
      <c r="J752" s="2" t="str">
        <f t="shared" si="59"/>
        <v>Not Match</v>
      </c>
      <c r="K752" s="2">
        <f t="shared" si="55"/>
        <v>0.3</v>
      </c>
      <c r="L752" s="2" t="e">
        <f t="shared" si="56"/>
        <v>#N/A</v>
      </c>
      <c r="M752" s="2" t="str">
        <f t="shared" si="57"/>
        <v>Assign quadrant hit</v>
      </c>
      <c r="N752" s="7">
        <v>21.6</v>
      </c>
      <c r="O752" s="7">
        <v>3.2</v>
      </c>
      <c r="P752" s="7">
        <v>2.7</v>
      </c>
      <c r="Q752" s="7">
        <v>-1.78</v>
      </c>
      <c r="R752" s="7">
        <v>0</v>
      </c>
      <c r="S752" s="7">
        <v>0.3</v>
      </c>
      <c r="T752" s="7">
        <v>0.18</v>
      </c>
      <c r="U752" s="7">
        <v>0.41</v>
      </c>
      <c r="V752" s="7">
        <v>1.84</v>
      </c>
      <c r="W752" s="7" t="s">
        <v>6</v>
      </c>
      <c r="X752" s="7" t="s">
        <v>12</v>
      </c>
      <c r="Y752" s="2" t="s">
        <v>719</v>
      </c>
      <c r="Z752" s="2" t="s">
        <v>721</v>
      </c>
    </row>
    <row r="753" spans="1:26" x14ac:dyDescent="0.35">
      <c r="A753" s="7" t="s">
        <v>1559</v>
      </c>
      <c r="B753" s="7" t="s">
        <v>750</v>
      </c>
      <c r="C753" s="4" t="str">
        <f>_xlfn.XLOOKUP(A753,[2]Sheet2!$I$2:$I$1273,[2]Sheet2!$D$2:$D$1273,0)</f>
        <v>Q3</v>
      </c>
      <c r="D753" s="4" t="str">
        <f>_xlfn.XLOOKUP(B753,[4]Sheet2!$B$2:$B$3154,[4]Sheet2!$F$2:$F$3154,0)</f>
        <v>N/ App</v>
      </c>
      <c r="E753" s="4" t="e">
        <f>_xlfn.XLOOKUP(B753,[2]Sheet2!$E$2:$E$713,[2]Sheet2!$G$2:$G$713)</f>
        <v>#N/A</v>
      </c>
      <c r="F753" s="18">
        <v>46092</v>
      </c>
      <c r="G753" s="14">
        <v>9.2002314814814815E-2</v>
      </c>
      <c r="H753" s="7" t="s">
        <v>11</v>
      </c>
      <c r="I753" s="2" t="str">
        <f t="shared" si="58"/>
        <v>Q4</v>
      </c>
      <c r="J753" s="2" t="str">
        <f t="shared" si="59"/>
        <v>Not Match</v>
      </c>
      <c r="K753" s="2">
        <f t="shared" si="55"/>
        <v>0.2</v>
      </c>
      <c r="L753" s="2" t="e">
        <f t="shared" si="56"/>
        <v>#N/A</v>
      </c>
      <c r="M753" s="2" t="str">
        <f t="shared" si="57"/>
        <v>Below 0.8 not in assigned quadrant</v>
      </c>
      <c r="N753" s="7">
        <v>17.3</v>
      </c>
      <c r="O753" s="7">
        <v>-0.5</v>
      </c>
      <c r="P753" s="7">
        <v>-3</v>
      </c>
      <c r="Q753" s="7">
        <v>-0.38</v>
      </c>
      <c r="R753" s="7">
        <v>0</v>
      </c>
      <c r="S753" s="7">
        <v>-0.2</v>
      </c>
      <c r="T753" s="7">
        <v>0.26</v>
      </c>
      <c r="U753" s="7">
        <v>0.14000000000000001</v>
      </c>
      <c r="V753" s="7">
        <v>0.48</v>
      </c>
      <c r="W753" s="7" t="s">
        <v>8</v>
      </c>
      <c r="X753" s="7" t="s">
        <v>9</v>
      </c>
      <c r="Y753" s="2" t="s">
        <v>719</v>
      </c>
      <c r="Z753" s="2" t="s">
        <v>721</v>
      </c>
    </row>
    <row r="754" spans="1:26" x14ac:dyDescent="0.35">
      <c r="A754" s="7" t="s">
        <v>1595</v>
      </c>
      <c r="B754" s="7" t="s">
        <v>751</v>
      </c>
      <c r="C754" s="4" t="str">
        <f>_xlfn.XLOOKUP(A754,[2]Sheet2!$I$2:$I$1273,[2]Sheet2!$D$2:$D$1273,0)</f>
        <v>Q4</v>
      </c>
      <c r="D754" s="4">
        <f>_xlfn.XLOOKUP(B754,[4]Sheet2!$B$2:$B$3154,[4]Sheet2!$F$2:$F$3154,0)</f>
        <v>0</v>
      </c>
      <c r="E754" s="4" t="e">
        <f>_xlfn.XLOOKUP(B754,[2]Sheet2!$E$2:$E$713,[2]Sheet2!$G$2:$G$713)</f>
        <v>#N/A</v>
      </c>
      <c r="F754" s="18">
        <v>46092</v>
      </c>
      <c r="G754" s="14">
        <v>9.8622685185185188E-2</v>
      </c>
      <c r="H754" s="7" t="s">
        <v>16</v>
      </c>
      <c r="I754" s="2" t="str">
        <f t="shared" si="58"/>
        <v>Q1</v>
      </c>
      <c r="J754" s="2" t="str">
        <f t="shared" si="59"/>
        <v>Not Match</v>
      </c>
      <c r="K754" s="2">
        <f t="shared" si="55"/>
        <v>0.6</v>
      </c>
      <c r="L754" s="2" t="e">
        <f t="shared" si="56"/>
        <v>#N/A</v>
      </c>
      <c r="M754" s="2" t="str">
        <f t="shared" si="57"/>
        <v>Assign quadrant hit</v>
      </c>
      <c r="N754" s="7">
        <v>28.4</v>
      </c>
      <c r="O754" s="7">
        <v>-1.6</v>
      </c>
      <c r="P754" s="7">
        <v>-2.2999999999999998</v>
      </c>
      <c r="Q754" s="7">
        <v>-0.24</v>
      </c>
      <c r="R754" s="7">
        <v>0</v>
      </c>
      <c r="S754" s="7">
        <v>0.6</v>
      </c>
      <c r="T754" s="7">
        <v>-0.69</v>
      </c>
      <c r="U754" s="7">
        <v>-0.4</v>
      </c>
      <c r="V754" s="7">
        <v>0.83</v>
      </c>
      <c r="W754" s="7" t="s">
        <v>13</v>
      </c>
      <c r="X754" s="7" t="s">
        <v>15</v>
      </c>
      <c r="Y754" s="2" t="s">
        <v>719</v>
      </c>
      <c r="Z754" s="2" t="s">
        <v>721</v>
      </c>
    </row>
    <row r="755" spans="1:26" x14ac:dyDescent="0.35">
      <c r="A755" s="7" t="s">
        <v>1593</v>
      </c>
      <c r="B755" s="7" t="s">
        <v>819</v>
      </c>
      <c r="C755" s="4" t="str">
        <f>_xlfn.XLOOKUP(A755,[2]Sheet2!$I$2:$I$1273,[2]Sheet2!$D$2:$D$1273,0)</f>
        <v>Q3</v>
      </c>
      <c r="D755" s="4" t="str">
        <f>_xlfn.XLOOKUP(B755,[4]Sheet2!$B$2:$B$3154,[4]Sheet2!$F$2:$F$3154,0)</f>
        <v>C/APP</v>
      </c>
      <c r="E755" s="4" t="e">
        <f>_xlfn.XLOOKUP(B755,[2]Sheet2!$E$2:$E$713,[2]Sheet2!$G$2:$G$713)</f>
        <v>#N/A</v>
      </c>
      <c r="F755" s="18">
        <v>46092</v>
      </c>
      <c r="G755" s="14">
        <v>0.15607638888888889</v>
      </c>
      <c r="H755" s="7" t="s">
        <v>5</v>
      </c>
      <c r="I755" s="2" t="str">
        <f t="shared" si="58"/>
        <v>Q3</v>
      </c>
      <c r="J755" s="2" t="str">
        <f t="shared" si="59"/>
        <v>Match</v>
      </c>
      <c r="K755" s="2">
        <f t="shared" si="55"/>
        <v>0.28284271247461906</v>
      </c>
      <c r="L755" s="2" t="e">
        <f t="shared" si="56"/>
        <v>#N/A</v>
      </c>
      <c r="M755" s="2" t="str">
        <f t="shared" si="57"/>
        <v>Failed but within quadrant</v>
      </c>
      <c r="N755" s="7">
        <v>22.2</v>
      </c>
      <c r="O755" s="7">
        <v>2.9</v>
      </c>
      <c r="P755" s="7">
        <v>2.1</v>
      </c>
      <c r="Q755" s="7">
        <v>-1.42</v>
      </c>
      <c r="R755" s="7">
        <v>-0.2</v>
      </c>
      <c r="S755" s="7">
        <v>-0.2</v>
      </c>
      <c r="T755" s="7">
        <v>-0.45</v>
      </c>
      <c r="U755" s="7">
        <v>-0.06</v>
      </c>
      <c r="V755" s="7">
        <v>1.49</v>
      </c>
      <c r="W755" s="7" t="s">
        <v>6</v>
      </c>
      <c r="X755" s="7" t="s">
        <v>7</v>
      </c>
      <c r="Y755" s="2" t="s">
        <v>719</v>
      </c>
      <c r="Z755" s="2" t="s">
        <v>721</v>
      </c>
    </row>
    <row r="756" spans="1:26" x14ac:dyDescent="0.35">
      <c r="A756" s="7" t="s">
        <v>1543</v>
      </c>
      <c r="B756" s="7" t="s">
        <v>752</v>
      </c>
      <c r="C756" s="4" t="str">
        <f>_xlfn.XLOOKUP(A756,[2]Sheet2!$I$2:$I$1273,[2]Sheet2!$D$2:$D$1273,0)</f>
        <v>Q3</v>
      </c>
      <c r="D756" s="4" t="str">
        <f>_xlfn.XLOOKUP(B756,[4]Sheet2!$B$2:$B$3154,[4]Sheet2!$F$2:$F$3154,0)</f>
        <v>C/APP</v>
      </c>
      <c r="E756" s="4" t="e">
        <f>_xlfn.XLOOKUP(B756,[2]Sheet2!$E$2:$E$713,[2]Sheet2!$G$2:$G$713)</f>
        <v>#N/A</v>
      </c>
      <c r="F756" s="18">
        <v>46092</v>
      </c>
      <c r="G756" s="14">
        <v>0.26950231481481479</v>
      </c>
      <c r="H756" s="7" t="s">
        <v>11</v>
      </c>
      <c r="I756" s="2" t="str">
        <f t="shared" si="58"/>
        <v>Q4</v>
      </c>
      <c r="J756" s="2" t="str">
        <f t="shared" si="59"/>
        <v>Not Match</v>
      </c>
      <c r="K756" s="2">
        <f t="shared" si="55"/>
        <v>0.72801098892805172</v>
      </c>
      <c r="L756" s="2" t="e">
        <f t="shared" si="56"/>
        <v>#N/A</v>
      </c>
      <c r="M756" s="2" t="str">
        <f t="shared" si="57"/>
        <v>Assign quadrant hit</v>
      </c>
      <c r="N756" s="7">
        <v>25.7</v>
      </c>
      <c r="O756" s="7">
        <v>6.8</v>
      </c>
      <c r="P756" s="7">
        <v>7.1</v>
      </c>
      <c r="Q756" s="7">
        <v>-0.22</v>
      </c>
      <c r="R756" s="7">
        <v>0.2</v>
      </c>
      <c r="S756" s="7">
        <v>-0.7</v>
      </c>
      <c r="T756" s="7">
        <v>-0.32</v>
      </c>
      <c r="U756" s="7">
        <v>-1.18</v>
      </c>
      <c r="V756" s="7">
        <v>1.24</v>
      </c>
      <c r="W756" s="7" t="s">
        <v>6</v>
      </c>
      <c r="X756" s="7" t="s">
        <v>9</v>
      </c>
      <c r="Y756" s="2" t="s">
        <v>719</v>
      </c>
      <c r="Z756" s="2" t="s">
        <v>721</v>
      </c>
    </row>
    <row r="757" spans="1:26" x14ac:dyDescent="0.35">
      <c r="A757" s="7" t="s">
        <v>1676</v>
      </c>
      <c r="B757" s="7" t="s">
        <v>686</v>
      </c>
      <c r="C757" s="4" t="str">
        <f>_xlfn.XLOOKUP(A757,[2]Sheet2!$I$2:$I$1273,[2]Sheet2!$D$2:$D$1273,0)</f>
        <v>Q2</v>
      </c>
      <c r="D757" s="4" t="str">
        <f>_xlfn.XLOOKUP(B757,[4]Sheet2!$B$2:$B$3154,[4]Sheet2!$F$2:$F$3154,0)</f>
        <v>N/ App</v>
      </c>
      <c r="E757" s="4" t="e">
        <f>_xlfn.XLOOKUP(B757,[2]Sheet2!$E$2:$E$713,[2]Sheet2!$G$2:$G$713)</f>
        <v>#N/A</v>
      </c>
      <c r="F757" s="18">
        <v>46092</v>
      </c>
      <c r="G757" s="14">
        <v>0.2751851851851852</v>
      </c>
      <c r="H757" s="7" t="s">
        <v>11</v>
      </c>
      <c r="I757" s="2" t="str">
        <f t="shared" si="58"/>
        <v>Q4</v>
      </c>
      <c r="J757" s="2" t="str">
        <f t="shared" si="59"/>
        <v>Not Match</v>
      </c>
      <c r="K757" s="2">
        <f t="shared" si="55"/>
        <v>1.019803902718557</v>
      </c>
      <c r="L757" s="2" t="e">
        <f t="shared" si="56"/>
        <v>#N/A</v>
      </c>
      <c r="M757" s="2" t="str">
        <f t="shared" si="57"/>
        <v>Assign quadrant hit</v>
      </c>
      <c r="N757" s="7">
        <v>23.9</v>
      </c>
      <c r="O757" s="7">
        <v>11.4</v>
      </c>
      <c r="P757" s="7">
        <v>-2.2000000000000002</v>
      </c>
      <c r="Q757" s="7">
        <v>-0.28000000000000003</v>
      </c>
      <c r="R757" s="7">
        <v>0.2</v>
      </c>
      <c r="S757" s="7">
        <v>-1</v>
      </c>
      <c r="T757" s="7">
        <v>0.33</v>
      </c>
      <c r="U757" s="7">
        <v>-1.06</v>
      </c>
      <c r="V757" s="7">
        <v>1.1499999999999999</v>
      </c>
      <c r="W757" s="7" t="s">
        <v>6</v>
      </c>
      <c r="X757" s="7" t="s">
        <v>7</v>
      </c>
      <c r="Y757" s="2" t="s">
        <v>719</v>
      </c>
      <c r="Z757" s="2" t="s">
        <v>721</v>
      </c>
    </row>
    <row r="758" spans="1:26" x14ac:dyDescent="0.35">
      <c r="A758" s="7" t="s">
        <v>1676</v>
      </c>
      <c r="B758" s="7" t="s">
        <v>753</v>
      </c>
      <c r="C758" s="4" t="str">
        <f>_xlfn.XLOOKUP(A758,[2]Sheet2!$I$2:$I$1273,[2]Sheet2!$D$2:$D$1273,0)</f>
        <v>Q2</v>
      </c>
      <c r="D758" s="4" t="str">
        <f>_xlfn.XLOOKUP(B758,[4]Sheet2!$B$2:$B$3154,[4]Sheet2!$F$2:$F$3154,0)</f>
        <v>N/ App</v>
      </c>
      <c r="E758" s="4" t="e">
        <f>_xlfn.XLOOKUP(B758,[2]Sheet2!$E$2:$E$713,[2]Sheet2!$G$2:$G$713)</f>
        <v>#N/A</v>
      </c>
      <c r="F758" s="18">
        <v>46092</v>
      </c>
      <c r="G758" s="14">
        <v>0.27858796296296295</v>
      </c>
      <c r="H758" s="7" t="s">
        <v>11</v>
      </c>
      <c r="I758" s="2" t="str">
        <f t="shared" si="58"/>
        <v>Q1</v>
      </c>
      <c r="J758" s="2" t="str">
        <f t="shared" si="59"/>
        <v>Not Match</v>
      </c>
      <c r="K758" s="2">
        <f t="shared" si="55"/>
        <v>0.8</v>
      </c>
      <c r="L758" s="2" t="e">
        <f t="shared" si="56"/>
        <v>#N/A</v>
      </c>
      <c r="M758" s="2" t="str">
        <f t="shared" si="57"/>
        <v>Assign quadrant hit</v>
      </c>
      <c r="N758" s="7">
        <v>25</v>
      </c>
      <c r="O758" s="7">
        <v>11.2</v>
      </c>
      <c r="P758" s="7">
        <v>-0.3</v>
      </c>
      <c r="Q758" s="7">
        <v>0.47</v>
      </c>
      <c r="R758" s="7">
        <v>0</v>
      </c>
      <c r="S758" s="7">
        <v>0.8</v>
      </c>
      <c r="T758" s="7">
        <v>-0.02</v>
      </c>
      <c r="U758" s="7">
        <v>0.97</v>
      </c>
      <c r="V758" s="7">
        <v>1.08</v>
      </c>
      <c r="W758" s="7" t="s">
        <v>6</v>
      </c>
      <c r="X758" s="7" t="s">
        <v>9</v>
      </c>
      <c r="Y758" s="2" t="s">
        <v>719</v>
      </c>
      <c r="Z758" s="2" t="s">
        <v>721</v>
      </c>
    </row>
    <row r="759" spans="1:26" x14ac:dyDescent="0.35">
      <c r="A759" s="7" t="s">
        <v>1676</v>
      </c>
      <c r="B759" s="7" t="s">
        <v>736</v>
      </c>
      <c r="C759" s="4" t="str">
        <f>_xlfn.XLOOKUP(A759,[2]Sheet2!$I$2:$I$1273,[2]Sheet2!$D$2:$D$1273,0)</f>
        <v>Q2</v>
      </c>
      <c r="D759" s="4" t="str">
        <f>_xlfn.XLOOKUP(B759,[4]Sheet2!$B$2:$B$3154,[4]Sheet2!$F$2:$F$3154,0)</f>
        <v>N/ App</v>
      </c>
      <c r="E759" s="4" t="e">
        <f>_xlfn.XLOOKUP(B759,[2]Sheet2!$E$2:$E$713,[2]Sheet2!$G$2:$G$713)</f>
        <v>#N/A</v>
      </c>
      <c r="F759" s="18">
        <v>46092</v>
      </c>
      <c r="G759" s="14">
        <v>0.28126157407407409</v>
      </c>
      <c r="H759" s="7" t="s">
        <v>11</v>
      </c>
      <c r="I759" s="2" t="str">
        <f t="shared" si="58"/>
        <v>Q4</v>
      </c>
      <c r="J759" s="2" t="str">
        <f t="shared" si="59"/>
        <v>Not Match</v>
      </c>
      <c r="K759" s="2">
        <f t="shared" si="55"/>
        <v>0.8</v>
      </c>
      <c r="L759" s="2" t="e">
        <f t="shared" si="56"/>
        <v>#N/A</v>
      </c>
      <c r="M759" s="2" t="str">
        <f t="shared" si="57"/>
        <v>Assign quadrant hit</v>
      </c>
      <c r="N759" s="7">
        <v>25.6</v>
      </c>
      <c r="O759" s="7">
        <v>11.1</v>
      </c>
      <c r="P759" s="7">
        <v>-2</v>
      </c>
      <c r="Q759" s="7">
        <v>0.88</v>
      </c>
      <c r="R759" s="7">
        <v>0</v>
      </c>
      <c r="S759" s="7">
        <v>-0.8</v>
      </c>
      <c r="T759" s="7">
        <v>0.04</v>
      </c>
      <c r="U759" s="7">
        <v>-0.89</v>
      </c>
      <c r="V759" s="7">
        <v>1.25</v>
      </c>
      <c r="W759" s="7" t="s">
        <v>6</v>
      </c>
      <c r="X759" s="7" t="s">
        <v>7</v>
      </c>
      <c r="Y759" s="2" t="s">
        <v>719</v>
      </c>
      <c r="Z759" s="2" t="s">
        <v>721</v>
      </c>
    </row>
    <row r="760" spans="1:26" x14ac:dyDescent="0.35">
      <c r="A760" s="7" t="s">
        <v>1509</v>
      </c>
      <c r="B760" s="7" t="s">
        <v>754</v>
      </c>
      <c r="C760" s="4" t="str">
        <f>_xlfn.XLOOKUP(A760,[2]Sheet2!$I$2:$I$1273,[2]Sheet2!$D$2:$D$1273,0)</f>
        <v>Q2</v>
      </c>
      <c r="D760" s="4" t="str">
        <f>_xlfn.XLOOKUP(B760,[4]Sheet2!$B$2:$B$3154,[4]Sheet2!$F$2:$F$3154,0)</f>
        <v>N/ App</v>
      </c>
      <c r="E760" s="4" t="e">
        <f>_xlfn.XLOOKUP(B760,[2]Sheet2!$E$2:$E$713,[2]Sheet2!$G$2:$G$713)</f>
        <v>#N/A</v>
      </c>
      <c r="F760" s="18">
        <v>46092</v>
      </c>
      <c r="G760" s="14">
        <v>0.28399305555555554</v>
      </c>
      <c r="H760" s="7" t="s">
        <v>4</v>
      </c>
      <c r="I760" s="2" t="str">
        <f t="shared" si="58"/>
        <v>Q1</v>
      </c>
      <c r="J760" s="2" t="str">
        <f t="shared" si="59"/>
        <v>Not Match</v>
      </c>
      <c r="K760" s="2">
        <f t="shared" si="55"/>
        <v>0.22360679774997899</v>
      </c>
      <c r="L760" s="2" t="e">
        <f t="shared" si="56"/>
        <v>#N/A</v>
      </c>
      <c r="M760" s="2" t="str">
        <f t="shared" si="57"/>
        <v>Below 0.8 not in assigned quadrant</v>
      </c>
      <c r="N760" s="7">
        <v>16.8</v>
      </c>
      <c r="O760" s="7">
        <v>-0.9</v>
      </c>
      <c r="P760" s="7">
        <v>-1.8</v>
      </c>
      <c r="Q760" s="7">
        <v>-0.24</v>
      </c>
      <c r="R760" s="7">
        <v>0.2</v>
      </c>
      <c r="S760" s="7">
        <v>0.1</v>
      </c>
      <c r="T760" s="7">
        <v>-0.33</v>
      </c>
      <c r="U760" s="7">
        <v>0.24</v>
      </c>
      <c r="V760" s="7">
        <v>0.47</v>
      </c>
      <c r="W760" s="7" t="s">
        <v>8</v>
      </c>
      <c r="X760" s="7" t="s">
        <v>9</v>
      </c>
      <c r="Y760" s="2" t="s">
        <v>719</v>
      </c>
      <c r="Z760" s="2" t="s">
        <v>721</v>
      </c>
    </row>
    <row r="761" spans="1:26" x14ac:dyDescent="0.35">
      <c r="A761" s="7" t="s">
        <v>1634</v>
      </c>
      <c r="B761" s="7" t="s">
        <v>820</v>
      </c>
      <c r="C761" s="4">
        <f>_xlfn.XLOOKUP(A761,[2]Sheet2!$I$2:$I$1273,[2]Sheet2!$D$2:$D$1273,0)</f>
        <v>0</v>
      </c>
      <c r="D761" s="4" t="str">
        <f>_xlfn.XLOOKUP(B761,[4]Sheet2!$B$2:$B$3154,[4]Sheet2!$F$2:$F$3154,0)</f>
        <v>N/ App</v>
      </c>
      <c r="E761" s="4" t="e">
        <f>_xlfn.XLOOKUP(B761,[2]Sheet2!$E$2:$E$713,[2]Sheet2!$G$2:$G$713)</f>
        <v>#N/A</v>
      </c>
      <c r="F761" s="18">
        <v>46092</v>
      </c>
      <c r="G761" s="14">
        <v>0.28725694444444444</v>
      </c>
      <c r="H761" s="7" t="s">
        <v>11</v>
      </c>
      <c r="I761" s="2" t="str">
        <f t="shared" si="58"/>
        <v>Q4</v>
      </c>
      <c r="J761" s="2" t="str">
        <f t="shared" si="59"/>
        <v>Not Found</v>
      </c>
      <c r="K761" s="2">
        <f t="shared" ref="K761:K824" si="60">SQRT(R761^2+S761^2)</f>
        <v>1.96468827043885</v>
      </c>
      <c r="L761" s="2" t="e">
        <f t="shared" ref="L761:L824" si="61">IF(K761&lt;=E761,"Within Range","Over Range")</f>
        <v>#N/A</v>
      </c>
      <c r="M761" s="2" t="str">
        <f t="shared" ref="M761:M824" si="62">IF(AND(J761="Match",V761&lt;=0.8),"Digital Approve Hit",
IF(AND(J761="Match",V761&gt;0.8),"Failed but within quadrant",
IF(AND(J761="Not Match",V761&lt;=0.8),"Below 0.8 not in assigned quadrant",
"Assign quadrant hit")))</f>
        <v>Assign quadrant hit</v>
      </c>
      <c r="N761" s="7">
        <v>55.4</v>
      </c>
      <c r="O761" s="7">
        <v>37</v>
      </c>
      <c r="P761" s="7">
        <v>-17.3</v>
      </c>
      <c r="Q761" s="7">
        <v>-0.76</v>
      </c>
      <c r="R761" s="7">
        <v>1.9</v>
      </c>
      <c r="S761" s="7">
        <v>-0.5</v>
      </c>
      <c r="T761" s="7">
        <v>0.86</v>
      </c>
      <c r="U761" s="7">
        <v>0.22</v>
      </c>
      <c r="V761" s="7">
        <v>1.17</v>
      </c>
      <c r="W761" s="7" t="s">
        <v>6</v>
      </c>
      <c r="X761" s="7" t="s">
        <v>9</v>
      </c>
      <c r="Y761" s="2" t="s">
        <v>719</v>
      </c>
      <c r="Z761" s="2" t="s">
        <v>721</v>
      </c>
    </row>
    <row r="762" spans="1:26" x14ac:dyDescent="0.35">
      <c r="A762" s="7" t="s">
        <v>1681</v>
      </c>
      <c r="B762" s="7" t="s">
        <v>755</v>
      </c>
      <c r="C762" s="4" t="str">
        <f>_xlfn.XLOOKUP(A762,[2]Sheet2!$I$2:$I$1273,[2]Sheet2!$D$2:$D$1273,0)</f>
        <v>Q4</v>
      </c>
      <c r="D762" s="4" t="str">
        <f>_xlfn.XLOOKUP(B762,[4]Sheet2!$B$2:$B$3154,[4]Sheet2!$F$2:$F$3154,0)</f>
        <v>C/APP</v>
      </c>
      <c r="E762" s="4" t="e">
        <f>_xlfn.XLOOKUP(B762,[2]Sheet2!$E$2:$E$713,[2]Sheet2!$G$2:$G$713)</f>
        <v>#N/A</v>
      </c>
      <c r="F762" s="18">
        <v>46092</v>
      </c>
      <c r="G762" s="14">
        <v>0.26172453703703702</v>
      </c>
      <c r="H762" s="7" t="s">
        <v>10</v>
      </c>
      <c r="I762" s="2" t="str">
        <f t="shared" ref="I762:I825" si="63">IF(AND(R762=0,S762=0),IF(C762="","Origin",C762),
IF(AND(R762&gt;0,S762=0),"Q4",
IF(AND(R762&lt;0,S762=0),"Q3",
IF(AND(R762&gt;=0,S762&lt;0),"Q4",
IF(AND(R762&gt;=0,S762&gt;0),"Q1",
IF(AND(R762&lt;0,S762&lt;=0),"Q3",
IF(AND(R762&lt;0,S762&gt;0),"Q2",
"")))))))</f>
        <v>Q3</v>
      </c>
      <c r="J762" s="2" t="str">
        <f t="shared" si="59"/>
        <v>Not Match</v>
      </c>
      <c r="K762" s="2">
        <f t="shared" si="60"/>
        <v>0.72801098892805172</v>
      </c>
      <c r="L762" s="2" t="e">
        <f t="shared" si="61"/>
        <v>#N/A</v>
      </c>
      <c r="M762" s="2" t="str">
        <f t="shared" si="62"/>
        <v>Assign quadrant hit</v>
      </c>
      <c r="N762" s="7">
        <v>21.2</v>
      </c>
      <c r="O762" s="7">
        <v>-1.7</v>
      </c>
      <c r="P762" s="7">
        <v>-8.6999999999999993</v>
      </c>
      <c r="Q762" s="7">
        <v>1.35</v>
      </c>
      <c r="R762" s="7">
        <v>-0.2</v>
      </c>
      <c r="S762" s="7">
        <v>-0.7</v>
      </c>
      <c r="T762" s="7">
        <v>0.67</v>
      </c>
      <c r="U762" s="7">
        <v>-0.14000000000000001</v>
      </c>
      <c r="V762" s="7">
        <v>1.51</v>
      </c>
      <c r="W762" s="7" t="s">
        <v>6</v>
      </c>
      <c r="X762" s="7" t="s">
        <v>15</v>
      </c>
      <c r="Y762" s="2" t="s">
        <v>719</v>
      </c>
      <c r="Z762" s="2" t="s">
        <v>721</v>
      </c>
    </row>
    <row r="763" spans="1:26" x14ac:dyDescent="0.35">
      <c r="A763" s="7" t="s">
        <v>1554</v>
      </c>
      <c r="B763" s="7" t="s">
        <v>821</v>
      </c>
      <c r="C763" s="4" t="str">
        <f>_xlfn.XLOOKUP(A763,[2]Sheet2!$I$2:$I$1273,[2]Sheet2!$D$2:$D$1273,0)</f>
        <v>Q1</v>
      </c>
      <c r="D763" s="4" t="str">
        <f>_xlfn.XLOOKUP(B763,[4]Sheet2!$B$2:$B$3154,[4]Sheet2!$F$2:$F$3154,0)</f>
        <v>N/ App</v>
      </c>
      <c r="E763" s="4" t="e">
        <f>_xlfn.XLOOKUP(B763,[2]Sheet2!$E$2:$E$713,[2]Sheet2!$G$2:$G$713)</f>
        <v>#N/A</v>
      </c>
      <c r="F763" s="18">
        <v>46092</v>
      </c>
      <c r="G763" s="14">
        <v>0.67486111111111113</v>
      </c>
      <c r="H763" s="7" t="s">
        <v>5</v>
      </c>
      <c r="I763" s="2" t="str">
        <f t="shared" si="63"/>
        <v>Q1</v>
      </c>
      <c r="J763" s="2" t="str">
        <f t="shared" si="59"/>
        <v>Match</v>
      </c>
      <c r="K763" s="2">
        <f t="shared" si="60"/>
        <v>0.6403124237432849</v>
      </c>
      <c r="L763" s="2" t="e">
        <f t="shared" si="61"/>
        <v>#N/A</v>
      </c>
      <c r="M763" s="2" t="str">
        <f t="shared" si="62"/>
        <v>Failed but within quadrant</v>
      </c>
      <c r="N763" s="7">
        <v>16.2</v>
      </c>
      <c r="O763" s="7">
        <v>-0.3</v>
      </c>
      <c r="P763" s="7">
        <v>-2.2999999999999998</v>
      </c>
      <c r="Q763" s="7">
        <v>-0.78</v>
      </c>
      <c r="R763" s="7">
        <v>0.5</v>
      </c>
      <c r="S763" s="7">
        <v>0.4</v>
      </c>
      <c r="T763" s="7">
        <v>-0.7</v>
      </c>
      <c r="U763" s="7">
        <v>0.59</v>
      </c>
      <c r="V763" s="7">
        <v>1.2</v>
      </c>
      <c r="W763" s="7" t="s">
        <v>6</v>
      </c>
      <c r="X763" s="7" t="s">
        <v>9</v>
      </c>
      <c r="Y763" s="2" t="s">
        <v>719</v>
      </c>
      <c r="Z763" s="2" t="s">
        <v>721</v>
      </c>
    </row>
    <row r="764" spans="1:26" x14ac:dyDescent="0.35">
      <c r="A764" s="7" t="s">
        <v>1540</v>
      </c>
      <c r="B764" s="7" t="s">
        <v>822</v>
      </c>
      <c r="C764" s="4" t="str">
        <f>_xlfn.XLOOKUP(A764,[2]Sheet2!$I$2:$I$1273,[2]Sheet2!$D$2:$D$1273,0)</f>
        <v>Q3</v>
      </c>
      <c r="D764" s="4" t="str">
        <f>_xlfn.XLOOKUP(B764,[4]Sheet2!$B$2:$B$3154,[4]Sheet2!$F$2:$F$3154,0)</f>
        <v>N/ App</v>
      </c>
      <c r="E764" s="4" t="e">
        <f>_xlfn.XLOOKUP(B764,[2]Sheet2!$E$2:$E$713,[2]Sheet2!$G$2:$G$713)</f>
        <v>#N/A</v>
      </c>
      <c r="F764" s="18">
        <v>46092</v>
      </c>
      <c r="G764" s="14">
        <v>0.72432870370370372</v>
      </c>
      <c r="H764" s="7" t="s">
        <v>10</v>
      </c>
      <c r="I764" s="2" t="str">
        <f t="shared" si="63"/>
        <v>Q3</v>
      </c>
      <c r="J764" s="2" t="str">
        <f t="shared" si="59"/>
        <v>Match</v>
      </c>
      <c r="K764" s="2">
        <f t="shared" si="60"/>
        <v>0</v>
      </c>
      <c r="L764" s="2" t="e">
        <f t="shared" si="61"/>
        <v>#N/A</v>
      </c>
      <c r="M764" s="2" t="str">
        <f t="shared" si="62"/>
        <v>Digital Approve Hit</v>
      </c>
      <c r="N764" s="7">
        <v>14.7</v>
      </c>
      <c r="O764" s="7">
        <v>0.5</v>
      </c>
      <c r="P764" s="7">
        <v>-1.3</v>
      </c>
      <c r="Q764" s="7">
        <v>0.19</v>
      </c>
      <c r="R764" s="7">
        <v>0</v>
      </c>
      <c r="S764" s="7">
        <v>0</v>
      </c>
      <c r="T764" s="7">
        <v>0.1</v>
      </c>
      <c r="U764" s="7">
        <v>-0.02</v>
      </c>
      <c r="V764" s="7">
        <v>0.21</v>
      </c>
      <c r="W764" s="7" t="s">
        <v>8</v>
      </c>
      <c r="X764" s="7" t="s">
        <v>15</v>
      </c>
      <c r="Y764" s="2" t="s">
        <v>719</v>
      </c>
      <c r="Z764" s="2" t="s">
        <v>721</v>
      </c>
    </row>
    <row r="765" spans="1:26" x14ac:dyDescent="0.35">
      <c r="A765" s="7" t="s">
        <v>1643</v>
      </c>
      <c r="B765" s="7" t="s">
        <v>823</v>
      </c>
      <c r="C765" s="4" t="str">
        <f>_xlfn.XLOOKUP(A765,[2]Sheet2!$I$2:$I$1273,[2]Sheet2!$D$2:$D$1273,0)</f>
        <v>Q3</v>
      </c>
      <c r="D765" s="4" t="str">
        <f>_xlfn.XLOOKUP(B765,[4]Sheet2!$B$2:$B$3154,[4]Sheet2!$F$2:$F$3154,0)</f>
        <v>N/ App</v>
      </c>
      <c r="E765" s="4" t="e">
        <f>_xlfn.XLOOKUP(B765,[2]Sheet2!$E$2:$E$713,[2]Sheet2!$G$2:$G$713)</f>
        <v>#N/A</v>
      </c>
      <c r="F765" s="18">
        <v>46092</v>
      </c>
      <c r="G765" s="14">
        <v>0.72659722222222223</v>
      </c>
      <c r="H765" s="7" t="s">
        <v>10</v>
      </c>
      <c r="I765" s="2" t="str">
        <f t="shared" si="63"/>
        <v>Q1</v>
      </c>
      <c r="J765" s="2" t="str">
        <f t="shared" si="59"/>
        <v>Not Match</v>
      </c>
      <c r="K765" s="2">
        <f t="shared" si="60"/>
        <v>0.58309518948452999</v>
      </c>
      <c r="L765" s="2" t="e">
        <f t="shared" si="61"/>
        <v>#N/A</v>
      </c>
      <c r="M765" s="2" t="str">
        <f t="shared" si="62"/>
        <v>Assign quadrant hit</v>
      </c>
      <c r="N765" s="7">
        <v>13.9</v>
      </c>
      <c r="O765" s="7">
        <v>0.4</v>
      </c>
      <c r="P765" s="7">
        <v>-1.4</v>
      </c>
      <c r="Q765" s="7">
        <v>-0.92</v>
      </c>
      <c r="R765" s="7">
        <v>0.5</v>
      </c>
      <c r="S765" s="7">
        <v>0.3</v>
      </c>
      <c r="T765" s="7">
        <v>-0.31</v>
      </c>
      <c r="U765" s="7">
        <v>0.8</v>
      </c>
      <c r="V765" s="7">
        <v>1.26</v>
      </c>
      <c r="W765" s="7" t="s">
        <v>6</v>
      </c>
      <c r="X765" s="7" t="s">
        <v>9</v>
      </c>
      <c r="Y765" s="2" t="s">
        <v>719</v>
      </c>
      <c r="Z765" s="2" t="s">
        <v>721</v>
      </c>
    </row>
    <row r="766" spans="1:26" x14ac:dyDescent="0.35">
      <c r="A766" s="7" t="s">
        <v>1518</v>
      </c>
      <c r="B766" s="7" t="s">
        <v>824</v>
      </c>
      <c r="C766" s="4" t="str">
        <f>_xlfn.XLOOKUP(A766,[2]Sheet2!$I$2:$I$1273,[2]Sheet2!$D$2:$D$1273,0)</f>
        <v>Q1</v>
      </c>
      <c r="D766" s="4" t="str">
        <f>_xlfn.XLOOKUP(B766,[4]Sheet2!$B$2:$B$3154,[4]Sheet2!$F$2:$F$3154,0)</f>
        <v>N/ App</v>
      </c>
      <c r="E766" s="4" t="e">
        <f>_xlfn.XLOOKUP(B766,[2]Sheet2!$E$2:$E$713,[2]Sheet2!$G$2:$G$713)</f>
        <v>#N/A</v>
      </c>
      <c r="F766" s="18">
        <v>46092</v>
      </c>
      <c r="G766" s="14">
        <v>0.72849537037037038</v>
      </c>
      <c r="H766" s="7" t="s">
        <v>10</v>
      </c>
      <c r="I766" s="2" t="str">
        <f t="shared" si="63"/>
        <v>Q3</v>
      </c>
      <c r="J766" s="2" t="str">
        <f t="shared" si="59"/>
        <v>Not Match</v>
      </c>
      <c r="K766" s="2">
        <f t="shared" si="60"/>
        <v>0.53851648071345048</v>
      </c>
      <c r="L766" s="2" t="e">
        <f t="shared" si="61"/>
        <v>#N/A</v>
      </c>
      <c r="M766" s="2" t="str">
        <f t="shared" si="62"/>
        <v>Below 0.8 not in assigned quadrant</v>
      </c>
      <c r="N766" s="7">
        <v>27.9</v>
      </c>
      <c r="O766" s="7">
        <v>10.7</v>
      </c>
      <c r="P766" s="7">
        <v>9.4</v>
      </c>
      <c r="Q766" s="7">
        <v>0.09</v>
      </c>
      <c r="R766" s="7">
        <v>-0.2</v>
      </c>
      <c r="S766" s="7">
        <v>-0.5</v>
      </c>
      <c r="T766" s="7">
        <v>-0.37</v>
      </c>
      <c r="U766" s="7">
        <v>-0.31</v>
      </c>
      <c r="V766" s="7">
        <v>0.49</v>
      </c>
      <c r="W766" s="7" t="s">
        <v>8</v>
      </c>
      <c r="X766" s="7" t="s">
        <v>9</v>
      </c>
      <c r="Y766" s="2" t="s">
        <v>719</v>
      </c>
      <c r="Z766" s="2" t="s">
        <v>721</v>
      </c>
    </row>
    <row r="767" spans="1:26" x14ac:dyDescent="0.35">
      <c r="A767" s="7" t="s">
        <v>1634</v>
      </c>
      <c r="B767" s="7" t="s">
        <v>825</v>
      </c>
      <c r="C767" s="4">
        <f>_xlfn.XLOOKUP(A767,[2]Sheet2!$I$2:$I$1273,[2]Sheet2!$D$2:$D$1273,0)</f>
        <v>0</v>
      </c>
      <c r="D767" s="4" t="str">
        <f>_xlfn.XLOOKUP(B767,[4]Sheet2!$B$2:$B$3154,[4]Sheet2!$F$2:$F$3154,0)</f>
        <v>N/ App</v>
      </c>
      <c r="E767" s="4" t="e">
        <f>_xlfn.XLOOKUP(B767,[2]Sheet2!$E$2:$E$713,[2]Sheet2!$G$2:$G$713)</f>
        <v>#N/A</v>
      </c>
      <c r="F767" s="18">
        <v>46092</v>
      </c>
      <c r="G767" s="14">
        <v>0.73091435185185183</v>
      </c>
      <c r="H767" s="7" t="s">
        <v>10</v>
      </c>
      <c r="I767" s="2" t="str">
        <f t="shared" si="63"/>
        <v>Q1</v>
      </c>
      <c r="J767" s="2" t="str">
        <f t="shared" si="59"/>
        <v>Not Found</v>
      </c>
      <c r="K767" s="2">
        <f t="shared" si="60"/>
        <v>2.745906043549196</v>
      </c>
      <c r="L767" s="2" t="e">
        <f t="shared" si="61"/>
        <v>#N/A</v>
      </c>
      <c r="M767" s="2" t="str">
        <f t="shared" si="62"/>
        <v>Assign quadrant hit</v>
      </c>
      <c r="N767" s="7">
        <v>60.8</v>
      </c>
      <c r="O767" s="7">
        <v>47</v>
      </c>
      <c r="P767" s="7">
        <v>-2.5</v>
      </c>
      <c r="Q767" s="7">
        <v>-0.88</v>
      </c>
      <c r="R767" s="7">
        <v>2.2999999999999998</v>
      </c>
      <c r="S767" s="7">
        <v>1.5</v>
      </c>
      <c r="T767" s="7">
        <v>0.9</v>
      </c>
      <c r="U767" s="7">
        <v>1.01</v>
      </c>
      <c r="V767" s="7">
        <v>1.61</v>
      </c>
      <c r="W767" s="7" t="s">
        <v>6</v>
      </c>
      <c r="X767" s="7" t="s">
        <v>9</v>
      </c>
      <c r="Y767" s="2" t="s">
        <v>719</v>
      </c>
      <c r="Z767" s="2" t="s">
        <v>721</v>
      </c>
    </row>
    <row r="768" spans="1:26" x14ac:dyDescent="0.35">
      <c r="A768" s="7" t="s">
        <v>1543</v>
      </c>
      <c r="B768" s="7" t="s">
        <v>826</v>
      </c>
      <c r="C768" s="4" t="str">
        <f>_xlfn.XLOOKUP(A768,[2]Sheet2!$I$2:$I$1273,[2]Sheet2!$D$2:$D$1273,0)</f>
        <v>Q3</v>
      </c>
      <c r="D768" s="4" t="str">
        <f>_xlfn.XLOOKUP(B768,[4]Sheet2!$B$2:$B$3154,[4]Sheet2!$F$2:$F$3154,0)</f>
        <v>C/APP</v>
      </c>
      <c r="E768" s="4" t="e">
        <f>_xlfn.XLOOKUP(B768,[2]Sheet2!$E$2:$E$713,[2]Sheet2!$G$2:$G$713)</f>
        <v>#N/A</v>
      </c>
      <c r="F768" s="18">
        <v>46092</v>
      </c>
      <c r="G768" s="14">
        <v>0.7333101851851852</v>
      </c>
      <c r="H768" s="7" t="s">
        <v>10</v>
      </c>
      <c r="I768" s="2" t="str">
        <f t="shared" si="63"/>
        <v>Q3</v>
      </c>
      <c r="J768" s="2" t="str">
        <f t="shared" si="59"/>
        <v>Match</v>
      </c>
      <c r="K768" s="2">
        <f t="shared" si="60"/>
        <v>0.42426406871192851</v>
      </c>
      <c r="L768" s="2" t="e">
        <f t="shared" si="61"/>
        <v>#N/A</v>
      </c>
      <c r="M768" s="2" t="str">
        <f t="shared" si="62"/>
        <v>Digital Approve Hit</v>
      </c>
      <c r="N768" s="7">
        <v>26.7</v>
      </c>
      <c r="O768" s="7">
        <v>11</v>
      </c>
      <c r="P768" s="7">
        <v>9.6999999999999993</v>
      </c>
      <c r="Q768" s="7">
        <v>-0.39</v>
      </c>
      <c r="R768" s="7">
        <v>-0.3</v>
      </c>
      <c r="S768" s="7">
        <v>-0.3</v>
      </c>
      <c r="T768" s="7">
        <v>-0.32</v>
      </c>
      <c r="U768" s="7">
        <v>-0.04</v>
      </c>
      <c r="V768" s="7">
        <v>0.51</v>
      </c>
      <c r="W768" s="7" t="s">
        <v>8</v>
      </c>
      <c r="X768" s="7" t="s">
        <v>9</v>
      </c>
      <c r="Y768" s="2" t="s">
        <v>719</v>
      </c>
      <c r="Z768" s="2" t="s">
        <v>721</v>
      </c>
    </row>
    <row r="769" spans="1:26" x14ac:dyDescent="0.35">
      <c r="A769" s="7" t="s">
        <v>1518</v>
      </c>
      <c r="B769" s="7" t="s">
        <v>827</v>
      </c>
      <c r="C769" s="4" t="str">
        <f>_xlfn.XLOOKUP(A769,[2]Sheet2!$I$2:$I$1273,[2]Sheet2!$D$2:$D$1273,0)</f>
        <v>Q1</v>
      </c>
      <c r="D769" s="4" t="str">
        <f>_xlfn.XLOOKUP(B769,[4]Sheet2!$B$2:$B$3154,[4]Sheet2!$F$2:$F$3154,0)</f>
        <v>N/ App</v>
      </c>
      <c r="E769" s="4" t="e">
        <f>_xlfn.XLOOKUP(B769,[2]Sheet2!$E$2:$E$713,[2]Sheet2!$G$2:$G$713)</f>
        <v>#N/A</v>
      </c>
      <c r="F769" s="18">
        <v>46092</v>
      </c>
      <c r="G769" s="14">
        <v>0.73539351851851853</v>
      </c>
      <c r="H769" s="7" t="s">
        <v>10</v>
      </c>
      <c r="I769" s="2" t="str">
        <f t="shared" si="63"/>
        <v>Q1</v>
      </c>
      <c r="J769" s="2" t="str">
        <f t="shared" si="59"/>
        <v>Match</v>
      </c>
      <c r="K769" s="2">
        <f t="shared" si="60"/>
        <v>0.36055512754639896</v>
      </c>
      <c r="L769" s="2" t="e">
        <f t="shared" si="61"/>
        <v>#N/A</v>
      </c>
      <c r="M769" s="2" t="str">
        <f t="shared" si="62"/>
        <v>Digital Approve Hit</v>
      </c>
      <c r="N769" s="7">
        <v>28.4</v>
      </c>
      <c r="O769" s="7">
        <v>11.3</v>
      </c>
      <c r="P769" s="7">
        <v>10.1</v>
      </c>
      <c r="Q769" s="7">
        <v>0.41</v>
      </c>
      <c r="R769" s="7">
        <v>0.3</v>
      </c>
      <c r="S769" s="7">
        <v>0.2</v>
      </c>
      <c r="T769" s="7">
        <v>0.28999999999999998</v>
      </c>
      <c r="U769" s="7">
        <v>-0.15</v>
      </c>
      <c r="V769" s="7">
        <v>0.53</v>
      </c>
      <c r="W769" s="7" t="s">
        <v>8</v>
      </c>
      <c r="X769" s="7" t="s">
        <v>9</v>
      </c>
      <c r="Y769" s="2" t="s">
        <v>719</v>
      </c>
      <c r="Z769" s="2" t="s">
        <v>721</v>
      </c>
    </row>
    <row r="770" spans="1:26" x14ac:dyDescent="0.35">
      <c r="A770" s="7" t="s">
        <v>1706</v>
      </c>
      <c r="B770" s="7" t="s">
        <v>828</v>
      </c>
      <c r="C770" s="4" t="str">
        <f>_xlfn.XLOOKUP(A770,[2]Sheet2!$I$2:$I$1273,[2]Sheet2!$D$2:$D$1273,0)</f>
        <v>Q3</v>
      </c>
      <c r="D770" s="4" t="str">
        <f>_xlfn.XLOOKUP(B770,[4]Sheet2!$B$2:$B$3154,[4]Sheet2!$F$2:$F$3154,0)</f>
        <v>N/ App</v>
      </c>
      <c r="E770" s="4" t="e">
        <f>_xlfn.XLOOKUP(B770,[2]Sheet2!$E$2:$E$713,[2]Sheet2!$G$2:$G$713)</f>
        <v>#N/A</v>
      </c>
      <c r="F770" s="18">
        <v>46092</v>
      </c>
      <c r="G770" s="14">
        <v>0.73782407407407402</v>
      </c>
      <c r="H770" s="7" t="s">
        <v>5</v>
      </c>
      <c r="I770" s="2" t="str">
        <f t="shared" si="63"/>
        <v>Q3</v>
      </c>
      <c r="J770" s="2" t="str">
        <f t="shared" si="59"/>
        <v>Match</v>
      </c>
      <c r="K770" s="2">
        <f t="shared" si="60"/>
        <v>0.31622776601683794</v>
      </c>
      <c r="L770" s="2" t="e">
        <f t="shared" si="61"/>
        <v>#N/A</v>
      </c>
      <c r="M770" s="2" t="str">
        <f t="shared" si="62"/>
        <v>Digital Approve Hit</v>
      </c>
      <c r="N770" s="7">
        <v>19.2</v>
      </c>
      <c r="O770" s="7">
        <v>-0.9</v>
      </c>
      <c r="P770" s="7">
        <v>-9.6999999999999993</v>
      </c>
      <c r="Q770" s="7">
        <v>-0.56999999999999995</v>
      </c>
      <c r="R770" s="7">
        <v>-0.1</v>
      </c>
      <c r="S770" s="7">
        <v>-0.3</v>
      </c>
      <c r="T770" s="7">
        <v>0.32</v>
      </c>
      <c r="U770" s="7">
        <v>-0.15</v>
      </c>
      <c r="V770" s="7">
        <v>0.67</v>
      </c>
      <c r="W770" s="7" t="s">
        <v>8</v>
      </c>
      <c r="X770" s="7" t="s">
        <v>15</v>
      </c>
      <c r="Y770" s="2" t="s">
        <v>719</v>
      </c>
      <c r="Z770" s="2" t="s">
        <v>721</v>
      </c>
    </row>
    <row r="771" spans="1:26" x14ac:dyDescent="0.35">
      <c r="A771" s="7" t="s">
        <v>1558</v>
      </c>
      <c r="B771" s="7" t="s">
        <v>829</v>
      </c>
      <c r="C771" s="4" t="str">
        <f>_xlfn.XLOOKUP(A771,[2]Sheet2!$I$2:$I$1273,[2]Sheet2!$D$2:$D$1273,0)</f>
        <v>Q3</v>
      </c>
      <c r="D771" s="4" t="str">
        <f>_xlfn.XLOOKUP(B771,[4]Sheet2!$B$2:$B$3154,[4]Sheet2!$F$2:$F$3154,0)</f>
        <v>C/APP</v>
      </c>
      <c r="E771" s="4" t="e">
        <f>_xlfn.XLOOKUP(B771,[2]Sheet2!$E$2:$E$713,[2]Sheet2!$G$2:$G$713)</f>
        <v>#N/A</v>
      </c>
      <c r="F771" s="18">
        <v>46092</v>
      </c>
      <c r="G771" s="14">
        <v>0.74151620370370375</v>
      </c>
      <c r="H771" s="7" t="s">
        <v>16</v>
      </c>
      <c r="I771" s="2" t="str">
        <f t="shared" si="63"/>
        <v>Q4</v>
      </c>
      <c r="J771" s="2" t="str">
        <f t="shared" ref="J771:J834" si="64">IF(I771=C771,"Match",IF(C771=0,"Not Found","Not Match"))</f>
        <v>Not Match</v>
      </c>
      <c r="K771" s="2">
        <f t="shared" si="60"/>
        <v>0.1</v>
      </c>
      <c r="L771" s="2" t="e">
        <f t="shared" si="61"/>
        <v>#N/A</v>
      </c>
      <c r="M771" s="2" t="str">
        <f t="shared" si="62"/>
        <v>Below 0.8 not in assigned quadrant</v>
      </c>
      <c r="N771" s="7">
        <v>14.9</v>
      </c>
      <c r="O771" s="7">
        <v>-0.4</v>
      </c>
      <c r="P771" s="7">
        <v>-2</v>
      </c>
      <c r="Q771" s="7">
        <v>-0.55000000000000004</v>
      </c>
      <c r="R771" s="7">
        <v>0</v>
      </c>
      <c r="S771" s="7">
        <v>-0.1</v>
      </c>
      <c r="T771" s="7">
        <v>0.2</v>
      </c>
      <c r="U771" s="7">
        <v>-0.09</v>
      </c>
      <c r="V771" s="7">
        <v>0.6</v>
      </c>
      <c r="W771" s="7" t="s">
        <v>8</v>
      </c>
      <c r="X771" s="7" t="s">
        <v>15</v>
      </c>
      <c r="Y771" s="2" t="s">
        <v>719</v>
      </c>
      <c r="Z771" s="2" t="s">
        <v>721</v>
      </c>
    </row>
    <row r="772" spans="1:26" x14ac:dyDescent="0.35">
      <c r="A772" s="7" t="s">
        <v>1684</v>
      </c>
      <c r="B772" s="7" t="s">
        <v>830</v>
      </c>
      <c r="C772" s="4">
        <f>_xlfn.XLOOKUP(A772,[2]Sheet2!$I$2:$I$1273,[2]Sheet2!$D$2:$D$1273,0)</f>
        <v>0</v>
      </c>
      <c r="D772" s="4" t="str">
        <f>_xlfn.XLOOKUP(B772,[4]Sheet2!$B$2:$B$3154,[4]Sheet2!$F$2:$F$3154,0)</f>
        <v>N/ App</v>
      </c>
      <c r="E772" s="4" t="e">
        <f>_xlfn.XLOOKUP(B772,[2]Sheet2!$E$2:$E$713,[2]Sheet2!$G$2:$G$713)</f>
        <v>#N/A</v>
      </c>
      <c r="F772" s="18">
        <v>46092</v>
      </c>
      <c r="G772" s="14">
        <v>0.7447569444444444</v>
      </c>
      <c r="H772" s="7" t="s">
        <v>4</v>
      </c>
      <c r="I772" s="2" t="str">
        <f t="shared" si="63"/>
        <v>Q1</v>
      </c>
      <c r="J772" s="2" t="str">
        <f t="shared" si="64"/>
        <v>Not Found</v>
      </c>
      <c r="K772" s="2">
        <f t="shared" si="60"/>
        <v>0.28284271247461906</v>
      </c>
      <c r="L772" s="2" t="e">
        <f t="shared" si="61"/>
        <v>#N/A</v>
      </c>
      <c r="M772" s="2" t="str">
        <f t="shared" si="62"/>
        <v>Assign quadrant hit</v>
      </c>
      <c r="N772" s="7">
        <v>16</v>
      </c>
      <c r="O772" s="7">
        <v>-0.8</v>
      </c>
      <c r="P772" s="7">
        <v>0</v>
      </c>
      <c r="Q772" s="7">
        <v>-0.56999999999999995</v>
      </c>
      <c r="R772" s="7">
        <v>0.2</v>
      </c>
      <c r="S772" s="7">
        <v>0.2</v>
      </c>
      <c r="T772" s="7">
        <v>-0.35</v>
      </c>
      <c r="U772" s="7">
        <v>-0.28999999999999998</v>
      </c>
      <c r="V772" s="7">
        <v>0.73</v>
      </c>
      <c r="W772" s="7" t="s">
        <v>8</v>
      </c>
      <c r="X772" s="7" t="s">
        <v>12</v>
      </c>
      <c r="Y772" s="2" t="s">
        <v>719</v>
      </c>
      <c r="Z772" s="2" t="s">
        <v>721</v>
      </c>
    </row>
    <row r="773" spans="1:26" x14ac:dyDescent="0.35">
      <c r="A773" s="7" t="s">
        <v>1676</v>
      </c>
      <c r="B773" s="7" t="s">
        <v>649</v>
      </c>
      <c r="C773" s="4" t="str">
        <f>_xlfn.XLOOKUP(A773,[2]Sheet2!$I$2:$I$1273,[2]Sheet2!$D$2:$D$1273,0)</f>
        <v>Q2</v>
      </c>
      <c r="D773" s="4" t="str">
        <f>_xlfn.XLOOKUP(B773,[4]Sheet2!$B$2:$B$3154,[4]Sheet2!$F$2:$F$3154,0)</f>
        <v>C/APP</v>
      </c>
      <c r="E773" s="4" t="e">
        <f>_xlfn.XLOOKUP(B773,[2]Sheet2!$E$2:$E$713,[2]Sheet2!$G$2:$G$713)</f>
        <v>#N/A</v>
      </c>
      <c r="F773" s="18">
        <v>46092</v>
      </c>
      <c r="G773" s="14">
        <v>0.77084490740740741</v>
      </c>
      <c r="H773" s="7" t="s">
        <v>10</v>
      </c>
      <c r="I773" s="2" t="str">
        <f t="shared" si="63"/>
        <v>Q3</v>
      </c>
      <c r="J773" s="2" t="str">
        <f t="shared" si="64"/>
        <v>Not Match</v>
      </c>
      <c r="K773" s="2">
        <f t="shared" si="60"/>
        <v>1.1045361017187261</v>
      </c>
      <c r="L773" s="2" t="e">
        <f t="shared" si="61"/>
        <v>#N/A</v>
      </c>
      <c r="M773" s="2" t="str">
        <f t="shared" si="62"/>
        <v>Assign quadrant hit</v>
      </c>
      <c r="N773" s="7">
        <v>26.4</v>
      </c>
      <c r="O773" s="7">
        <v>17.5</v>
      </c>
      <c r="P773" s="7">
        <v>2.2999999999999998</v>
      </c>
      <c r="Q773" s="7">
        <v>-0.18</v>
      </c>
      <c r="R773" s="7">
        <v>-0.1</v>
      </c>
      <c r="S773" s="7">
        <v>-1.1000000000000001</v>
      </c>
      <c r="T773" s="7">
        <v>-0.2</v>
      </c>
      <c r="U773" s="7">
        <v>-1.1499999999999999</v>
      </c>
      <c r="V773" s="7">
        <v>1.18</v>
      </c>
      <c r="W773" s="7" t="s">
        <v>6</v>
      </c>
      <c r="X773" s="7" t="s">
        <v>7</v>
      </c>
      <c r="Y773" s="2" t="s">
        <v>719</v>
      </c>
      <c r="Z773" s="2" t="s">
        <v>721</v>
      </c>
    </row>
    <row r="774" spans="1:26" x14ac:dyDescent="0.35">
      <c r="A774" s="7" t="s">
        <v>1707</v>
      </c>
      <c r="B774" s="7" t="s">
        <v>831</v>
      </c>
      <c r="C774" s="4" t="str">
        <f>_xlfn.XLOOKUP(A774,[2]Sheet2!$I$2:$I$1273,[2]Sheet2!$D$2:$D$1273,0)</f>
        <v>Q1</v>
      </c>
      <c r="D774" s="4" t="str">
        <f>_xlfn.XLOOKUP(B774,[4]Sheet2!$B$2:$B$3154,[4]Sheet2!$F$2:$F$3154,0)</f>
        <v>C/APP</v>
      </c>
      <c r="E774" s="4" t="e">
        <f>_xlfn.XLOOKUP(B774,[2]Sheet2!$E$2:$E$713,[2]Sheet2!$G$2:$G$713)</f>
        <v>#N/A</v>
      </c>
      <c r="F774" s="18">
        <v>46092</v>
      </c>
      <c r="G774" s="14">
        <v>0.77976851851851847</v>
      </c>
      <c r="H774" s="7" t="s">
        <v>5</v>
      </c>
      <c r="I774" s="2" t="str">
        <f t="shared" si="63"/>
        <v>Q1</v>
      </c>
      <c r="J774" s="2" t="str">
        <f t="shared" si="64"/>
        <v>Match</v>
      </c>
      <c r="K774" s="2">
        <f t="shared" si="60"/>
        <v>0</v>
      </c>
      <c r="L774" s="2" t="e">
        <f t="shared" si="61"/>
        <v>#N/A</v>
      </c>
      <c r="M774" s="2" t="str">
        <f t="shared" si="62"/>
        <v>Digital Approve Hit</v>
      </c>
      <c r="N774" s="7">
        <v>17.3</v>
      </c>
      <c r="O774" s="7">
        <v>-1.3</v>
      </c>
      <c r="P774" s="7">
        <v>-9.8000000000000007</v>
      </c>
      <c r="Q774" s="7">
        <v>-0.74</v>
      </c>
      <c r="R774" s="7">
        <v>0</v>
      </c>
      <c r="S774" s="7">
        <v>0</v>
      </c>
      <c r="T774" s="7">
        <v>-0.02</v>
      </c>
      <c r="U774" s="7">
        <v>0.01</v>
      </c>
      <c r="V774" s="7">
        <v>0.74</v>
      </c>
      <c r="W774" s="7" t="s">
        <v>8</v>
      </c>
      <c r="X774" s="7" t="s">
        <v>9</v>
      </c>
      <c r="Y774" s="2" t="s">
        <v>719</v>
      </c>
      <c r="Z774" s="2" t="s">
        <v>721</v>
      </c>
    </row>
    <row r="775" spans="1:26" x14ac:dyDescent="0.35">
      <c r="A775" s="7" t="s">
        <v>1708</v>
      </c>
      <c r="B775" s="7" t="s">
        <v>832</v>
      </c>
      <c r="C775" s="4" t="str">
        <f>_xlfn.XLOOKUP(A775,[2]Sheet2!$I$2:$I$1273,[2]Sheet2!$D$2:$D$1273,0)</f>
        <v>Q1</v>
      </c>
      <c r="D775" s="4" t="str">
        <f>_xlfn.XLOOKUP(B775,[4]Sheet2!$B$2:$B$3154,[4]Sheet2!$F$2:$F$3154,0)</f>
        <v>C/APP</v>
      </c>
      <c r="E775" s="4" t="e">
        <f>_xlfn.XLOOKUP(B775,[2]Sheet2!$E$2:$E$713,[2]Sheet2!$G$2:$G$713)</f>
        <v>#N/A</v>
      </c>
      <c r="F775" s="18">
        <v>46093</v>
      </c>
      <c r="G775" s="14">
        <v>0.39648148148148149</v>
      </c>
      <c r="H775" s="7" t="s">
        <v>4</v>
      </c>
      <c r="I775" s="2" t="str">
        <f t="shared" si="63"/>
        <v>Q1</v>
      </c>
      <c r="J775" s="2" t="str">
        <f t="shared" si="64"/>
        <v>Match</v>
      </c>
      <c r="K775" s="2">
        <f t="shared" si="60"/>
        <v>1.6492422502470645</v>
      </c>
      <c r="L775" s="2" t="e">
        <f t="shared" si="61"/>
        <v>#N/A</v>
      </c>
      <c r="M775" s="2" t="str">
        <f t="shared" si="62"/>
        <v>Digital Approve Hit</v>
      </c>
      <c r="N775" s="7">
        <v>34.299999999999997</v>
      </c>
      <c r="O775" s="7">
        <v>54</v>
      </c>
      <c r="P775" s="7">
        <v>24.7</v>
      </c>
      <c r="Q775" s="7">
        <v>0.04</v>
      </c>
      <c r="R775" s="7">
        <v>1.6</v>
      </c>
      <c r="S775" s="7">
        <v>0.4</v>
      </c>
      <c r="T775" s="7">
        <v>0.61</v>
      </c>
      <c r="U775" s="7">
        <v>-0.16</v>
      </c>
      <c r="V775" s="7">
        <v>0.63</v>
      </c>
      <c r="W775" s="7" t="s">
        <v>8</v>
      </c>
      <c r="X775" s="7" t="s">
        <v>7</v>
      </c>
      <c r="Y775" s="2" t="s">
        <v>719</v>
      </c>
      <c r="Z775" s="2" t="s">
        <v>721</v>
      </c>
    </row>
    <row r="776" spans="1:26" x14ac:dyDescent="0.35">
      <c r="A776" s="7" t="s">
        <v>1666</v>
      </c>
      <c r="B776" s="7" t="s">
        <v>833</v>
      </c>
      <c r="C776" s="4" t="str">
        <f>_xlfn.XLOOKUP(A776,[2]Sheet2!$I$2:$I$1273,[2]Sheet2!$D$2:$D$1273,0)</f>
        <v>Q3</v>
      </c>
      <c r="D776" s="4" t="str">
        <f>_xlfn.XLOOKUP(B776,[4]Sheet2!$B$2:$B$3154,[4]Sheet2!$F$2:$F$3154,0)</f>
        <v>C/APP</v>
      </c>
      <c r="E776" s="4" t="e">
        <f>_xlfn.XLOOKUP(B776,[2]Sheet2!$E$2:$E$713,[2]Sheet2!$G$2:$G$713)</f>
        <v>#N/A</v>
      </c>
      <c r="F776" s="18">
        <v>46093</v>
      </c>
      <c r="G776" s="14">
        <v>0.60368055555555555</v>
      </c>
      <c r="H776" s="7" t="s">
        <v>5</v>
      </c>
      <c r="I776" s="2" t="str">
        <f t="shared" si="63"/>
        <v>Q3</v>
      </c>
      <c r="J776" s="2" t="str">
        <f t="shared" si="64"/>
        <v>Match</v>
      </c>
      <c r="K776" s="2">
        <f t="shared" si="60"/>
        <v>0.31622776601683794</v>
      </c>
      <c r="L776" s="2" t="e">
        <f t="shared" si="61"/>
        <v>#N/A</v>
      </c>
      <c r="M776" s="2" t="str">
        <f t="shared" si="62"/>
        <v>Digital Approve Hit</v>
      </c>
      <c r="N776" s="7">
        <v>16.600000000000001</v>
      </c>
      <c r="O776" s="7">
        <v>-0.1</v>
      </c>
      <c r="P776" s="7">
        <v>-1.3</v>
      </c>
      <c r="Q776" s="7">
        <v>-0.09</v>
      </c>
      <c r="R776" s="7">
        <v>-0.1</v>
      </c>
      <c r="S776" s="7">
        <v>-0.3</v>
      </c>
      <c r="T776" s="7">
        <v>0.46</v>
      </c>
      <c r="U776" s="7">
        <v>-0.2</v>
      </c>
      <c r="V776" s="7">
        <v>0.51</v>
      </c>
      <c r="W776" s="7" t="s">
        <v>8</v>
      </c>
      <c r="X776" s="7" t="s">
        <v>15</v>
      </c>
      <c r="Y776" s="2" t="s">
        <v>719</v>
      </c>
      <c r="Z776" s="2" t="s">
        <v>721</v>
      </c>
    </row>
    <row r="777" spans="1:26" x14ac:dyDescent="0.35">
      <c r="A777" s="7" t="s">
        <v>1709</v>
      </c>
      <c r="B777" s="7" t="s">
        <v>834</v>
      </c>
      <c r="C777" s="4" t="str">
        <f>_xlfn.XLOOKUP(A777,[2]Sheet2!$I$2:$I$1273,[2]Sheet2!$D$2:$D$1273,0)</f>
        <v>Q2</v>
      </c>
      <c r="D777" s="4" t="str">
        <f>_xlfn.XLOOKUP(B777,[4]Sheet2!$B$2:$B$3154,[4]Sheet2!$F$2:$F$3154,0)</f>
        <v>N/ App</v>
      </c>
      <c r="E777" s="4" t="e">
        <f>_xlfn.XLOOKUP(B777,[2]Sheet2!$E$2:$E$713,[2]Sheet2!$G$2:$G$713)</f>
        <v>#N/A</v>
      </c>
      <c r="F777" s="18">
        <v>46093</v>
      </c>
      <c r="G777" s="14">
        <v>0.60516203703703708</v>
      </c>
      <c r="H777" s="7" t="s">
        <v>4</v>
      </c>
      <c r="I777" s="2" t="str">
        <f t="shared" si="63"/>
        <v>Q3</v>
      </c>
      <c r="J777" s="2" t="str">
        <f t="shared" si="64"/>
        <v>Not Match</v>
      </c>
      <c r="K777" s="2">
        <f t="shared" si="60"/>
        <v>0.44721359549995798</v>
      </c>
      <c r="L777" s="2" t="e">
        <f t="shared" si="61"/>
        <v>#N/A</v>
      </c>
      <c r="M777" s="2" t="str">
        <f t="shared" si="62"/>
        <v>Below 0.8 not in assigned quadrant</v>
      </c>
      <c r="N777" s="7">
        <v>13.9</v>
      </c>
      <c r="O777" s="7">
        <v>-0.4</v>
      </c>
      <c r="P777" s="7">
        <v>-2.2999999999999998</v>
      </c>
      <c r="Q777" s="7">
        <v>0.22</v>
      </c>
      <c r="R777" s="7">
        <v>-0.4</v>
      </c>
      <c r="S777" s="7">
        <v>-0.2</v>
      </c>
      <c r="T777" s="7">
        <v>0.36</v>
      </c>
      <c r="U777" s="7">
        <v>-0.59</v>
      </c>
      <c r="V777" s="7">
        <v>0.72</v>
      </c>
      <c r="W777" s="7" t="s">
        <v>8</v>
      </c>
      <c r="X777" s="7" t="s">
        <v>15</v>
      </c>
      <c r="Y777" s="2" t="s">
        <v>719</v>
      </c>
      <c r="Z777" s="2" t="s">
        <v>721</v>
      </c>
    </row>
    <row r="778" spans="1:26" x14ac:dyDescent="0.35">
      <c r="A778" s="7" t="s">
        <v>1642</v>
      </c>
      <c r="B778" s="7" t="s">
        <v>758</v>
      </c>
      <c r="C778" s="4" t="str">
        <f>_xlfn.XLOOKUP(A778,[2]Sheet2!$I$2:$I$1273,[2]Sheet2!$D$2:$D$1273,0)</f>
        <v>Q3</v>
      </c>
      <c r="D778" s="4" t="str">
        <f>_xlfn.XLOOKUP(B778,[4]Sheet2!$B$2:$B$3154,[4]Sheet2!$F$2:$F$3154,0)</f>
        <v>N/ App</v>
      </c>
      <c r="E778" s="4" t="e">
        <f>_xlfn.XLOOKUP(B778,[2]Sheet2!$E$2:$E$713,[2]Sheet2!$G$2:$G$713)</f>
        <v>#N/A</v>
      </c>
      <c r="F778" s="18">
        <v>46093</v>
      </c>
      <c r="G778" s="14">
        <v>0.72143518518518523</v>
      </c>
      <c r="H778" s="7" t="s">
        <v>11</v>
      </c>
      <c r="I778" s="2" t="str">
        <f t="shared" si="63"/>
        <v>Q1</v>
      </c>
      <c r="J778" s="2" t="str">
        <f t="shared" si="64"/>
        <v>Not Match</v>
      </c>
      <c r="K778" s="2">
        <f t="shared" si="60"/>
        <v>1.1180339887498949</v>
      </c>
      <c r="L778" s="2" t="e">
        <f t="shared" si="61"/>
        <v>#N/A</v>
      </c>
      <c r="M778" s="2" t="str">
        <f t="shared" si="62"/>
        <v>Assign quadrant hit</v>
      </c>
      <c r="N778" s="7">
        <v>20</v>
      </c>
      <c r="O778" s="7">
        <v>12.8</v>
      </c>
      <c r="P778" s="7">
        <v>-2.2000000000000002</v>
      </c>
      <c r="Q778" s="7">
        <v>0</v>
      </c>
      <c r="R778" s="7">
        <v>1</v>
      </c>
      <c r="S778" s="7">
        <v>0.5</v>
      </c>
      <c r="T778" s="7">
        <v>0.71</v>
      </c>
      <c r="U778" s="7">
        <v>0.73</v>
      </c>
      <c r="V778" s="7">
        <v>1.02</v>
      </c>
      <c r="W778" s="7" t="s">
        <v>6</v>
      </c>
      <c r="X778" s="7" t="s">
        <v>9</v>
      </c>
      <c r="Y778" s="2" t="s">
        <v>719</v>
      </c>
      <c r="Z778" s="2" t="s">
        <v>721</v>
      </c>
    </row>
    <row r="779" spans="1:26" x14ac:dyDescent="0.35">
      <c r="A779" s="7" t="s">
        <v>1710</v>
      </c>
      <c r="B779" s="7" t="s">
        <v>759</v>
      </c>
      <c r="C779" s="4" t="str">
        <f>_xlfn.XLOOKUP(A779,[2]Sheet2!$I$2:$I$1273,[2]Sheet2!$D$2:$D$1273,0)</f>
        <v>Q2</v>
      </c>
      <c r="D779" s="4" t="str">
        <f>_xlfn.XLOOKUP(B779,[4]Sheet2!$B$2:$B$3154,[4]Sheet2!$F$2:$F$3154,0)</f>
        <v>C/APP</v>
      </c>
      <c r="E779" s="4" t="e">
        <f>_xlfn.XLOOKUP(B779,[2]Sheet2!$E$2:$E$713,[2]Sheet2!$G$2:$G$713)</f>
        <v>#N/A</v>
      </c>
      <c r="F779" s="18">
        <v>46093</v>
      </c>
      <c r="G779" s="14">
        <v>0.72905092592592591</v>
      </c>
      <c r="H779" s="7" t="s">
        <v>5</v>
      </c>
      <c r="I779" s="2" t="str">
        <f t="shared" si="63"/>
        <v>Q3</v>
      </c>
      <c r="J779" s="2" t="str">
        <f t="shared" si="64"/>
        <v>Not Match</v>
      </c>
      <c r="K779" s="2">
        <f t="shared" si="60"/>
        <v>0.4</v>
      </c>
      <c r="L779" s="2" t="e">
        <f t="shared" si="61"/>
        <v>#N/A</v>
      </c>
      <c r="M779" s="2" t="str">
        <f t="shared" si="62"/>
        <v>Below 0.8 not in assigned quadrant</v>
      </c>
      <c r="N779" s="7">
        <v>26.7</v>
      </c>
      <c r="O779" s="7">
        <v>8</v>
      </c>
      <c r="P779" s="7">
        <v>-50</v>
      </c>
      <c r="Q779" s="7">
        <v>0.11</v>
      </c>
      <c r="R779" s="7">
        <v>-0.4</v>
      </c>
      <c r="S779" s="7">
        <v>0</v>
      </c>
      <c r="T779" s="7">
        <v>-0.03</v>
      </c>
      <c r="U779" s="7">
        <v>-0.31</v>
      </c>
      <c r="V779" s="7">
        <v>0.33</v>
      </c>
      <c r="W779" s="7" t="s">
        <v>8</v>
      </c>
      <c r="X779" s="7" t="s">
        <v>15</v>
      </c>
      <c r="Y779" s="2" t="s">
        <v>719</v>
      </c>
      <c r="Z779" s="2" t="s">
        <v>721</v>
      </c>
    </row>
    <row r="780" spans="1:26" x14ac:dyDescent="0.35">
      <c r="A780" s="7" t="s">
        <v>1668</v>
      </c>
      <c r="B780" s="7" t="s">
        <v>760</v>
      </c>
      <c r="C780" s="4" t="str">
        <f>_xlfn.XLOOKUP(A780,[2]Sheet2!$I$2:$I$1273,[2]Sheet2!$D$2:$D$1273,0)</f>
        <v>Q4</v>
      </c>
      <c r="D780" s="4" t="str">
        <f>_xlfn.XLOOKUP(B780,[4]Sheet2!$B$2:$B$3154,[4]Sheet2!$F$2:$F$3154,0)</f>
        <v>N/ App</v>
      </c>
      <c r="E780" s="4" t="e">
        <f>_xlfn.XLOOKUP(B780,[2]Sheet2!$E$2:$E$713,[2]Sheet2!$G$2:$G$713)</f>
        <v>#N/A</v>
      </c>
      <c r="F780" s="18">
        <v>46093</v>
      </c>
      <c r="G780" s="14">
        <v>0.73228009259259264</v>
      </c>
      <c r="H780" s="7" t="s">
        <v>11</v>
      </c>
      <c r="I780" s="2" t="str">
        <f t="shared" si="63"/>
        <v>Q1</v>
      </c>
      <c r="J780" s="2" t="str">
        <f t="shared" si="64"/>
        <v>Not Match</v>
      </c>
      <c r="K780" s="2">
        <f t="shared" si="60"/>
        <v>0.98488578017961048</v>
      </c>
      <c r="L780" s="2" t="e">
        <f t="shared" si="61"/>
        <v>#N/A</v>
      </c>
      <c r="M780" s="2" t="str">
        <f t="shared" si="62"/>
        <v>Below 0.8 not in assigned quadrant</v>
      </c>
      <c r="N780" s="7">
        <v>44.1</v>
      </c>
      <c r="O780" s="7">
        <v>38.299999999999997</v>
      </c>
      <c r="P780" s="7">
        <v>-16.3</v>
      </c>
      <c r="Q780" s="7">
        <v>-0.38</v>
      </c>
      <c r="R780" s="7">
        <v>0.4</v>
      </c>
      <c r="S780" s="7">
        <v>0.9</v>
      </c>
      <c r="T780" s="7">
        <v>0</v>
      </c>
      <c r="U780" s="7">
        <v>0.59</v>
      </c>
      <c r="V780" s="7">
        <v>0.7</v>
      </c>
      <c r="W780" s="7" t="s">
        <v>8</v>
      </c>
      <c r="X780" s="7" t="s">
        <v>9</v>
      </c>
      <c r="Y780" s="2" t="s">
        <v>719</v>
      </c>
      <c r="Z780" s="2" t="s">
        <v>721</v>
      </c>
    </row>
    <row r="781" spans="1:26" x14ac:dyDescent="0.35">
      <c r="A781" s="7" t="s">
        <v>1662</v>
      </c>
      <c r="B781" s="7" t="s">
        <v>762</v>
      </c>
      <c r="C781" s="4" t="str">
        <f>_xlfn.XLOOKUP(A781,[2]Sheet2!$I$2:$I$1273,[2]Sheet2!$D$2:$D$1273,0)</f>
        <v>Q1</v>
      </c>
      <c r="D781" s="4" t="str">
        <f>_xlfn.XLOOKUP(B781,[4]Sheet2!$B$2:$B$3154,[4]Sheet2!$F$2:$F$3154,0)</f>
        <v>N/ App</v>
      </c>
      <c r="E781" s="4" t="e">
        <f>_xlfn.XLOOKUP(B781,[2]Sheet2!$E$2:$E$713,[2]Sheet2!$G$2:$G$713)</f>
        <v>#N/A</v>
      </c>
      <c r="F781" s="18">
        <v>46093</v>
      </c>
      <c r="G781" s="14">
        <v>0.76747685185185188</v>
      </c>
      <c r="H781" s="7" t="s">
        <v>4</v>
      </c>
      <c r="I781" s="2" t="str">
        <f t="shared" si="63"/>
        <v>Q1</v>
      </c>
      <c r="J781" s="2" t="str">
        <f t="shared" si="64"/>
        <v>Match</v>
      </c>
      <c r="K781" s="2">
        <f t="shared" si="60"/>
        <v>0.28284271247461906</v>
      </c>
      <c r="L781" s="2" t="e">
        <f t="shared" si="61"/>
        <v>#N/A</v>
      </c>
      <c r="M781" s="2" t="str">
        <f t="shared" si="62"/>
        <v>Digital Approve Hit</v>
      </c>
      <c r="N781" s="7">
        <v>17.899999999999999</v>
      </c>
      <c r="O781" s="7">
        <v>-1.1000000000000001</v>
      </c>
      <c r="P781" s="7">
        <v>-1</v>
      </c>
      <c r="Q781" s="7">
        <v>0.05</v>
      </c>
      <c r="R781" s="7">
        <v>0.2</v>
      </c>
      <c r="S781" s="7">
        <v>0.2</v>
      </c>
      <c r="T781" s="7">
        <v>-0.44</v>
      </c>
      <c r="U781" s="7">
        <v>-0.05</v>
      </c>
      <c r="V781" s="7">
        <v>0.44</v>
      </c>
      <c r="W781" s="7" t="s">
        <v>8</v>
      </c>
      <c r="X781" s="7" t="s">
        <v>12</v>
      </c>
      <c r="Y781" s="2" t="s">
        <v>719</v>
      </c>
      <c r="Z781" s="2" t="s">
        <v>721</v>
      </c>
    </row>
    <row r="782" spans="1:26" x14ac:dyDescent="0.35">
      <c r="A782" s="7" t="s">
        <v>1666</v>
      </c>
      <c r="B782" s="7" t="s">
        <v>763</v>
      </c>
      <c r="C782" s="4" t="str">
        <f>_xlfn.XLOOKUP(A782,[2]Sheet2!$I$2:$I$1273,[2]Sheet2!$D$2:$D$1273,0)</f>
        <v>Q3</v>
      </c>
      <c r="D782" s="4" t="str">
        <f>_xlfn.XLOOKUP(B782,[4]Sheet2!$B$2:$B$3154,[4]Sheet2!$F$2:$F$3154,0)</f>
        <v>C/APP</v>
      </c>
      <c r="E782" s="4" t="e">
        <f>_xlfn.XLOOKUP(B782,[2]Sheet2!$E$2:$E$713,[2]Sheet2!$G$2:$G$713)</f>
        <v>#N/A</v>
      </c>
      <c r="F782" s="18">
        <v>46093</v>
      </c>
      <c r="G782" s="14">
        <v>0.77012731481481478</v>
      </c>
      <c r="H782" s="7" t="s">
        <v>5</v>
      </c>
      <c r="I782" s="2" t="str">
        <f t="shared" si="63"/>
        <v>Q1</v>
      </c>
      <c r="J782" s="2" t="str">
        <f t="shared" si="64"/>
        <v>Not Match</v>
      </c>
      <c r="K782" s="2">
        <f t="shared" si="60"/>
        <v>0.4</v>
      </c>
      <c r="L782" s="2" t="e">
        <f t="shared" si="61"/>
        <v>#N/A</v>
      </c>
      <c r="M782" s="2" t="str">
        <f t="shared" si="62"/>
        <v>Below 0.8 not in assigned quadrant</v>
      </c>
      <c r="N782" s="7">
        <v>16.899999999999999</v>
      </c>
      <c r="O782" s="7">
        <v>0</v>
      </c>
      <c r="P782" s="7">
        <v>-0.5</v>
      </c>
      <c r="Q782" s="7">
        <v>0.2</v>
      </c>
      <c r="R782" s="7">
        <v>0</v>
      </c>
      <c r="S782" s="7">
        <v>0.4</v>
      </c>
      <c r="T782" s="7">
        <v>-0.59</v>
      </c>
      <c r="U782" s="7">
        <v>-0.11</v>
      </c>
      <c r="V782" s="7">
        <v>0.63</v>
      </c>
      <c r="W782" s="7" t="s">
        <v>8</v>
      </c>
      <c r="X782" s="7" t="s">
        <v>15</v>
      </c>
      <c r="Y782" s="2" t="s">
        <v>719</v>
      </c>
      <c r="Z782" s="2" t="s">
        <v>721</v>
      </c>
    </row>
    <row r="783" spans="1:26" x14ac:dyDescent="0.35">
      <c r="A783" s="7" t="s">
        <v>1520</v>
      </c>
      <c r="B783" s="7" t="s">
        <v>835</v>
      </c>
      <c r="C783" s="4" t="str">
        <f>_xlfn.XLOOKUP(A783,[2]Sheet2!$I$2:$I$1273,[2]Sheet2!$D$2:$D$1273,0)</f>
        <v>Q1</v>
      </c>
      <c r="D783" s="4" t="str">
        <f>_xlfn.XLOOKUP(B783,[4]Sheet2!$B$2:$B$3154,[4]Sheet2!$F$2:$F$3154,0)</f>
        <v>N/ App</v>
      </c>
      <c r="E783" s="4" t="e">
        <f>_xlfn.XLOOKUP(B783,[2]Sheet2!$E$2:$E$713,[2]Sheet2!$G$2:$G$713)</f>
        <v>#N/A</v>
      </c>
      <c r="F783" s="18">
        <v>46093</v>
      </c>
      <c r="G783" s="14">
        <v>0.85842592592592593</v>
      </c>
      <c r="H783" s="7" t="s">
        <v>11</v>
      </c>
      <c r="I783" s="2" t="str">
        <f t="shared" si="63"/>
        <v>Q1</v>
      </c>
      <c r="J783" s="2" t="str">
        <f t="shared" si="64"/>
        <v>Match</v>
      </c>
      <c r="K783" s="2">
        <f t="shared" si="60"/>
        <v>0.5</v>
      </c>
      <c r="L783" s="2" t="e">
        <f t="shared" si="61"/>
        <v>#N/A</v>
      </c>
      <c r="M783" s="2" t="str">
        <f t="shared" si="62"/>
        <v>Failed but within quadrant</v>
      </c>
      <c r="N783" s="7">
        <v>25.2</v>
      </c>
      <c r="O783" s="7">
        <v>6.6</v>
      </c>
      <c r="P783" s="7">
        <v>8.5</v>
      </c>
      <c r="Q783" s="7">
        <v>-0.67</v>
      </c>
      <c r="R783" s="7">
        <v>0</v>
      </c>
      <c r="S783" s="7">
        <v>0.5</v>
      </c>
      <c r="T783" s="7">
        <v>0.3</v>
      </c>
      <c r="U783" s="7">
        <v>0.68</v>
      </c>
      <c r="V783" s="7">
        <v>1</v>
      </c>
      <c r="W783" s="7" t="s">
        <v>6</v>
      </c>
      <c r="X783" s="7" t="s">
        <v>12</v>
      </c>
      <c r="Y783" s="2" t="s">
        <v>719</v>
      </c>
      <c r="Z783" s="2" t="s">
        <v>721</v>
      </c>
    </row>
    <row r="784" spans="1:26" x14ac:dyDescent="0.35">
      <c r="A784" s="7" t="s">
        <v>1559</v>
      </c>
      <c r="B784" s="7" t="s">
        <v>836</v>
      </c>
      <c r="C784" s="4" t="str">
        <f>_xlfn.XLOOKUP(A784,[2]Sheet2!$I$2:$I$1273,[2]Sheet2!$D$2:$D$1273,0)</f>
        <v>Q3</v>
      </c>
      <c r="D784" s="4" t="str">
        <f>_xlfn.XLOOKUP(B784,[4]Sheet2!$B$2:$B$3154,[4]Sheet2!$F$2:$F$3154,0)</f>
        <v>N/ App</v>
      </c>
      <c r="E784" s="4" t="e">
        <f>_xlfn.XLOOKUP(B784,[2]Sheet2!$E$2:$E$713,[2]Sheet2!$G$2:$G$713)</f>
        <v>#N/A</v>
      </c>
      <c r="F784" s="18">
        <v>46094</v>
      </c>
      <c r="G784" s="14">
        <v>3.6782407407407409E-2</v>
      </c>
      <c r="H784" s="7" t="s">
        <v>11</v>
      </c>
      <c r="I784" s="2" t="str">
        <f t="shared" si="63"/>
        <v>Q4</v>
      </c>
      <c r="J784" s="2" t="str">
        <f t="shared" si="64"/>
        <v>Not Match</v>
      </c>
      <c r="K784" s="2">
        <f t="shared" si="60"/>
        <v>0.1</v>
      </c>
      <c r="L784" s="2" t="e">
        <f t="shared" si="61"/>
        <v>#N/A</v>
      </c>
      <c r="M784" s="2" t="str">
        <f t="shared" si="62"/>
        <v>Below 0.8 not in assigned quadrant</v>
      </c>
      <c r="N784" s="7">
        <v>17.399999999999999</v>
      </c>
      <c r="O784" s="7">
        <v>-0.6</v>
      </c>
      <c r="P784" s="7">
        <v>-3</v>
      </c>
      <c r="Q784" s="7">
        <v>-0.3</v>
      </c>
      <c r="R784" s="7">
        <v>0</v>
      </c>
      <c r="S784" s="7">
        <v>-0.1</v>
      </c>
      <c r="T784" s="7">
        <v>0.19</v>
      </c>
      <c r="U784" s="7">
        <v>0.09</v>
      </c>
      <c r="V784" s="7">
        <v>0.37</v>
      </c>
      <c r="W784" s="7" t="s">
        <v>8</v>
      </c>
      <c r="X784" s="7" t="s">
        <v>9</v>
      </c>
      <c r="Y784" s="2" t="s">
        <v>719</v>
      </c>
      <c r="Z784" s="2" t="s">
        <v>721</v>
      </c>
    </row>
    <row r="785" spans="1:26" x14ac:dyDescent="0.35">
      <c r="A785" s="7" t="s">
        <v>1505</v>
      </c>
      <c r="B785" s="7" t="s">
        <v>837</v>
      </c>
      <c r="C785" s="4" t="str">
        <f>_xlfn.XLOOKUP(A785,[2]Sheet2!$I$2:$I$1273,[2]Sheet2!$D$2:$D$1273,0)</f>
        <v>Q4</v>
      </c>
      <c r="D785" s="4" t="str">
        <f>_xlfn.XLOOKUP(B785,[4]Sheet2!$B$2:$B$3154,[4]Sheet2!$F$2:$F$3154,0)</f>
        <v>N/ App</v>
      </c>
      <c r="E785" s="4" t="e">
        <f>_xlfn.XLOOKUP(B785,[2]Sheet2!$E$2:$E$713,[2]Sheet2!$G$2:$G$713)</f>
        <v>#N/A</v>
      </c>
      <c r="F785" s="18">
        <v>46094</v>
      </c>
      <c r="G785" s="14">
        <v>3.9733796296296295E-2</v>
      </c>
      <c r="H785" s="7" t="s">
        <v>4</v>
      </c>
      <c r="I785" s="2" t="str">
        <f t="shared" si="63"/>
        <v>Q1</v>
      </c>
      <c r="J785" s="2" t="str">
        <f t="shared" si="64"/>
        <v>Not Match</v>
      </c>
      <c r="K785" s="2">
        <f t="shared" si="60"/>
        <v>0.1</v>
      </c>
      <c r="L785" s="2" t="e">
        <f t="shared" si="61"/>
        <v>#N/A</v>
      </c>
      <c r="M785" s="2" t="str">
        <f t="shared" si="62"/>
        <v>Below 0.8 not in assigned quadrant</v>
      </c>
      <c r="N785" s="7">
        <v>17.7</v>
      </c>
      <c r="O785" s="7">
        <v>-1.4</v>
      </c>
      <c r="P785" s="7">
        <v>-2</v>
      </c>
      <c r="Q785" s="7">
        <v>-0.73</v>
      </c>
      <c r="R785" s="7">
        <v>0</v>
      </c>
      <c r="S785" s="7">
        <v>0.1</v>
      </c>
      <c r="T785" s="7">
        <v>-0.16</v>
      </c>
      <c r="U785" s="7">
        <v>-0.18</v>
      </c>
      <c r="V785" s="7">
        <v>0.77</v>
      </c>
      <c r="W785" s="7" t="s">
        <v>13</v>
      </c>
      <c r="X785" s="7" t="s">
        <v>15</v>
      </c>
      <c r="Y785" s="2" t="s">
        <v>719</v>
      </c>
      <c r="Z785" s="2" t="s">
        <v>721</v>
      </c>
    </row>
    <row r="786" spans="1:26" x14ac:dyDescent="0.35">
      <c r="A786" s="7" t="s">
        <v>1531</v>
      </c>
      <c r="B786" s="7" t="s">
        <v>838</v>
      </c>
      <c r="C786" s="4" t="str">
        <f>_xlfn.XLOOKUP(A786,[2]Sheet2!$I$2:$I$1273,[2]Sheet2!$D$2:$D$1273,0)</f>
        <v>Q2</v>
      </c>
      <c r="D786" s="4" t="str">
        <f>_xlfn.XLOOKUP(B786,[4]Sheet2!$B$2:$B$3154,[4]Sheet2!$F$2:$F$3154,0)</f>
        <v>C/APP</v>
      </c>
      <c r="E786" s="4" t="e">
        <f>_xlfn.XLOOKUP(B786,[2]Sheet2!$E$2:$E$713,[2]Sheet2!$G$2:$G$713)</f>
        <v>#N/A</v>
      </c>
      <c r="F786" s="18">
        <v>46094</v>
      </c>
      <c r="G786" s="14">
        <v>4.1736111111111113E-2</v>
      </c>
      <c r="H786" s="7" t="s">
        <v>16</v>
      </c>
      <c r="I786" s="2" t="str">
        <f t="shared" si="63"/>
        <v>Q3</v>
      </c>
      <c r="J786" s="2" t="str">
        <f t="shared" si="64"/>
        <v>Not Match</v>
      </c>
      <c r="K786" s="2">
        <f t="shared" si="60"/>
        <v>0.31622776601683794</v>
      </c>
      <c r="L786" s="2" t="e">
        <f t="shared" si="61"/>
        <v>#N/A</v>
      </c>
      <c r="M786" s="2" t="str">
        <f t="shared" si="62"/>
        <v>Below 0.8 not in assigned quadrant</v>
      </c>
      <c r="N786" s="7">
        <v>17</v>
      </c>
      <c r="O786" s="7">
        <v>-1.3</v>
      </c>
      <c r="P786" s="7">
        <v>-9.6</v>
      </c>
      <c r="Q786" s="7">
        <v>-0.35</v>
      </c>
      <c r="R786" s="7">
        <v>-0.3</v>
      </c>
      <c r="S786" s="7">
        <v>-0.1</v>
      </c>
      <c r="T786" s="7">
        <v>0.19</v>
      </c>
      <c r="U786" s="7">
        <v>-0.36</v>
      </c>
      <c r="V786" s="7">
        <v>0.54</v>
      </c>
      <c r="W786" s="7" t="s">
        <v>8</v>
      </c>
      <c r="X786" s="7" t="s">
        <v>15</v>
      </c>
      <c r="Y786" s="2" t="s">
        <v>719</v>
      </c>
      <c r="Z786" s="2" t="s">
        <v>721</v>
      </c>
    </row>
    <row r="787" spans="1:26" x14ac:dyDescent="0.35">
      <c r="A787" s="7" t="s">
        <v>1696</v>
      </c>
      <c r="B787" s="7" t="s">
        <v>839</v>
      </c>
      <c r="C787" s="4" t="str">
        <f>_xlfn.XLOOKUP(A787,[2]Sheet2!$I$2:$I$1273,[2]Sheet2!$D$2:$D$1273,0)</f>
        <v>Q2</v>
      </c>
      <c r="D787" s="4" t="str">
        <f>_xlfn.XLOOKUP(B787,[4]Sheet2!$B$2:$B$3154,[4]Sheet2!$F$2:$F$3154,0)</f>
        <v>N/ App</v>
      </c>
      <c r="E787" s="4" t="e">
        <f>_xlfn.XLOOKUP(B787,[2]Sheet2!$E$2:$E$713,[2]Sheet2!$G$2:$G$713)</f>
        <v>#N/A</v>
      </c>
      <c r="F787" s="18">
        <v>46094</v>
      </c>
      <c r="G787" s="14">
        <v>8.59375E-2</v>
      </c>
      <c r="H787" s="7" t="s">
        <v>4</v>
      </c>
      <c r="I787" s="2" t="str">
        <f t="shared" si="63"/>
        <v>Q3</v>
      </c>
      <c r="J787" s="2" t="str">
        <f t="shared" si="64"/>
        <v>Not Match</v>
      </c>
      <c r="K787" s="2">
        <f t="shared" si="60"/>
        <v>0.1</v>
      </c>
      <c r="L787" s="2" t="e">
        <f t="shared" si="61"/>
        <v>#N/A</v>
      </c>
      <c r="M787" s="2" t="str">
        <f t="shared" si="62"/>
        <v>Below 0.8 not in assigned quadrant</v>
      </c>
      <c r="N787" s="7">
        <v>17.100000000000001</v>
      </c>
      <c r="O787" s="7">
        <v>0</v>
      </c>
      <c r="P787" s="7">
        <v>-0.9</v>
      </c>
      <c r="Q787" s="7">
        <v>0.36</v>
      </c>
      <c r="R787" s="7">
        <v>-0.1</v>
      </c>
      <c r="S787" s="7">
        <v>0</v>
      </c>
      <c r="T787" s="7">
        <v>0.04</v>
      </c>
      <c r="U787" s="7">
        <v>-0.18</v>
      </c>
      <c r="V787" s="7">
        <v>0.4</v>
      </c>
      <c r="W787" s="7" t="s">
        <v>8</v>
      </c>
      <c r="X787" s="7" t="s">
        <v>15</v>
      </c>
      <c r="Y787" s="2" t="s">
        <v>719</v>
      </c>
      <c r="Z787" s="2" t="s">
        <v>721</v>
      </c>
    </row>
    <row r="788" spans="1:26" x14ac:dyDescent="0.35">
      <c r="A788" s="7" t="s">
        <v>1666</v>
      </c>
      <c r="B788" s="7" t="s">
        <v>840</v>
      </c>
      <c r="C788" s="4" t="str">
        <f>_xlfn.XLOOKUP(A788,[2]Sheet2!$I$2:$I$1273,[2]Sheet2!$D$2:$D$1273,0)</f>
        <v>Q3</v>
      </c>
      <c r="D788" s="4" t="str">
        <f>_xlfn.XLOOKUP(B788,[4]Sheet2!$B$2:$B$3154,[4]Sheet2!$F$2:$F$3154,0)</f>
        <v>N/ App</v>
      </c>
      <c r="E788" s="4" t="e">
        <f>_xlfn.XLOOKUP(B788,[2]Sheet2!$E$2:$E$713,[2]Sheet2!$G$2:$G$713)</f>
        <v>#N/A</v>
      </c>
      <c r="F788" s="18">
        <v>46094</v>
      </c>
      <c r="G788" s="14">
        <v>0.23201388888888888</v>
      </c>
      <c r="H788" s="7" t="s">
        <v>5</v>
      </c>
      <c r="I788" s="2" t="str">
        <f t="shared" si="63"/>
        <v>Q3</v>
      </c>
      <c r="J788" s="2" t="str">
        <f t="shared" si="64"/>
        <v>Match</v>
      </c>
      <c r="K788" s="2">
        <f t="shared" si="60"/>
        <v>0.14142135623730953</v>
      </c>
      <c r="L788" s="2" t="e">
        <f t="shared" si="61"/>
        <v>#N/A</v>
      </c>
      <c r="M788" s="2" t="str">
        <f t="shared" si="62"/>
        <v>Digital Approve Hit</v>
      </c>
      <c r="N788" s="7">
        <v>17.100000000000001</v>
      </c>
      <c r="O788" s="7">
        <v>-0.1</v>
      </c>
      <c r="P788" s="7">
        <v>-1.1000000000000001</v>
      </c>
      <c r="Q788" s="7">
        <v>0.38</v>
      </c>
      <c r="R788" s="7">
        <v>-0.1</v>
      </c>
      <c r="S788" s="7">
        <v>-0.1</v>
      </c>
      <c r="T788" s="7">
        <v>0.18</v>
      </c>
      <c r="U788" s="7">
        <v>-0.22</v>
      </c>
      <c r="V788" s="7">
        <v>0.48</v>
      </c>
      <c r="W788" s="7" t="s">
        <v>8</v>
      </c>
      <c r="X788" s="7" t="s">
        <v>15</v>
      </c>
      <c r="Y788" s="2" t="s">
        <v>719</v>
      </c>
      <c r="Z788" s="2" t="s">
        <v>721</v>
      </c>
    </row>
    <row r="789" spans="1:26" x14ac:dyDescent="0.35">
      <c r="A789" s="7" t="s">
        <v>1554</v>
      </c>
      <c r="B789" s="7" t="s">
        <v>841</v>
      </c>
      <c r="C789" s="4" t="str">
        <f>_xlfn.XLOOKUP(A789,[2]Sheet2!$I$2:$I$1273,[2]Sheet2!$D$2:$D$1273,0)</f>
        <v>Q1</v>
      </c>
      <c r="D789" s="4" t="str">
        <f>_xlfn.XLOOKUP(B789,[4]Sheet2!$B$2:$B$3154,[4]Sheet2!$F$2:$F$3154,0)</f>
        <v>N/ App</v>
      </c>
      <c r="E789" s="4" t="e">
        <f>_xlfn.XLOOKUP(B789,[2]Sheet2!$E$2:$E$713,[2]Sheet2!$G$2:$G$713)</f>
        <v>#N/A</v>
      </c>
      <c r="F789" s="18">
        <v>46094</v>
      </c>
      <c r="G789" s="14">
        <v>0.23458333333333334</v>
      </c>
      <c r="H789" s="7" t="s">
        <v>5</v>
      </c>
      <c r="I789" s="2" t="str">
        <f t="shared" si="63"/>
        <v>Q1</v>
      </c>
      <c r="J789" s="2" t="str">
        <f t="shared" si="64"/>
        <v>Match</v>
      </c>
      <c r="K789" s="2">
        <f t="shared" si="60"/>
        <v>0.78102496759066542</v>
      </c>
      <c r="L789" s="2" t="e">
        <f t="shared" si="61"/>
        <v>#N/A</v>
      </c>
      <c r="M789" s="2" t="str">
        <f t="shared" si="62"/>
        <v>Failed but within quadrant</v>
      </c>
      <c r="N789" s="7">
        <v>16.100000000000001</v>
      </c>
      <c r="O789" s="7">
        <v>-0.4</v>
      </c>
      <c r="P789" s="7">
        <v>-2</v>
      </c>
      <c r="Q789" s="7">
        <v>-0.89</v>
      </c>
      <c r="R789" s="7">
        <v>0.5</v>
      </c>
      <c r="S789" s="7">
        <v>0.6</v>
      </c>
      <c r="T789" s="7">
        <v>-0.99</v>
      </c>
      <c r="U789" s="7">
        <v>0.41</v>
      </c>
      <c r="V789" s="7">
        <v>1.39</v>
      </c>
      <c r="W789" s="7" t="s">
        <v>6</v>
      </c>
      <c r="X789" s="7" t="s">
        <v>9</v>
      </c>
      <c r="Y789" s="2" t="s">
        <v>719</v>
      </c>
      <c r="Z789" s="2" t="s">
        <v>721</v>
      </c>
    </row>
    <row r="790" spans="1:26" x14ac:dyDescent="0.35">
      <c r="A790" s="7" t="s">
        <v>1579</v>
      </c>
      <c r="B790" s="7" t="s">
        <v>843</v>
      </c>
      <c r="C790" s="4" t="str">
        <f>_xlfn.XLOOKUP(A790,[2]Sheet2!$I$2:$I$1273,[2]Sheet2!$D$2:$D$1273,0)</f>
        <v>Q4</v>
      </c>
      <c r="D790" s="4" t="str">
        <f>_xlfn.XLOOKUP(B790,[4]Sheet2!$B$2:$B$3154,[4]Sheet2!$F$2:$F$3154,0)</f>
        <v>C/APP</v>
      </c>
      <c r="E790" s="4" t="e">
        <f>_xlfn.XLOOKUP(B790,[2]Sheet2!$E$2:$E$713,[2]Sheet2!$G$2:$G$713)</f>
        <v>#N/A</v>
      </c>
      <c r="F790" s="18">
        <v>46094</v>
      </c>
      <c r="G790" s="14">
        <v>0.27528935185185183</v>
      </c>
      <c r="H790" s="7" t="s">
        <v>16</v>
      </c>
      <c r="I790" s="2" t="str">
        <f t="shared" si="63"/>
        <v>Q2</v>
      </c>
      <c r="J790" s="2" t="str">
        <f t="shared" si="64"/>
        <v>Not Match</v>
      </c>
      <c r="K790" s="2">
        <f t="shared" si="60"/>
        <v>0.41231056256176613</v>
      </c>
      <c r="L790" s="2" t="e">
        <f t="shared" si="61"/>
        <v>#N/A</v>
      </c>
      <c r="M790" s="2" t="str">
        <f t="shared" si="62"/>
        <v>Below 0.8 not in assigned quadrant</v>
      </c>
      <c r="N790" s="7">
        <v>15.8</v>
      </c>
      <c r="O790" s="7">
        <v>-0.9</v>
      </c>
      <c r="P790" s="7">
        <v>-5.8</v>
      </c>
      <c r="Q790" s="7">
        <v>0.23</v>
      </c>
      <c r="R790" s="7">
        <v>-0.1</v>
      </c>
      <c r="S790" s="7">
        <v>0.4</v>
      </c>
      <c r="T790" s="7">
        <v>-0.46</v>
      </c>
      <c r="U790" s="7">
        <v>-0.31</v>
      </c>
      <c r="V790" s="7">
        <v>0.6</v>
      </c>
      <c r="W790" s="7" t="s">
        <v>8</v>
      </c>
      <c r="X790" s="7" t="s">
        <v>15</v>
      </c>
      <c r="Y790" s="2" t="s">
        <v>719</v>
      </c>
      <c r="Z790" s="2" t="s">
        <v>721</v>
      </c>
    </row>
    <row r="791" spans="1:26" x14ac:dyDescent="0.35">
      <c r="A791" s="7" t="s">
        <v>1559</v>
      </c>
      <c r="B791" s="7" t="s">
        <v>844</v>
      </c>
      <c r="C791" s="4" t="str">
        <f>_xlfn.XLOOKUP(A791,[2]Sheet2!$I$2:$I$1273,[2]Sheet2!$D$2:$D$1273,0)</f>
        <v>Q3</v>
      </c>
      <c r="D791" s="4" t="str">
        <f>_xlfn.XLOOKUP(B791,[4]Sheet2!$B$2:$B$3154,[4]Sheet2!$F$2:$F$3154,0)</f>
        <v>N/ App</v>
      </c>
      <c r="E791" s="4" t="e">
        <f>_xlfn.XLOOKUP(B791,[2]Sheet2!$E$2:$E$713,[2]Sheet2!$G$2:$G$713)</f>
        <v>#N/A</v>
      </c>
      <c r="F791" s="18">
        <v>46094</v>
      </c>
      <c r="G791" s="14">
        <v>0.28107638888888886</v>
      </c>
      <c r="H791" s="7" t="s">
        <v>11</v>
      </c>
      <c r="I791" s="2" t="str">
        <f t="shared" si="63"/>
        <v>Q3</v>
      </c>
      <c r="J791" s="2" t="str">
        <f t="shared" si="64"/>
        <v>Match</v>
      </c>
      <c r="K791" s="2">
        <f t="shared" si="60"/>
        <v>0.41231056256176613</v>
      </c>
      <c r="L791" s="2" t="e">
        <f t="shared" si="61"/>
        <v>#N/A</v>
      </c>
      <c r="M791" s="2" t="str">
        <f t="shared" si="62"/>
        <v>Digital Approve Hit</v>
      </c>
      <c r="N791" s="7">
        <v>17.8</v>
      </c>
      <c r="O791" s="7">
        <v>-0.7</v>
      </c>
      <c r="P791" s="7">
        <v>-3.2</v>
      </c>
      <c r="Q791" s="7">
        <v>7.0000000000000007E-2</v>
      </c>
      <c r="R791" s="7">
        <v>-0.1</v>
      </c>
      <c r="S791" s="7">
        <v>-0.4</v>
      </c>
      <c r="T791" s="7">
        <v>0.54</v>
      </c>
      <c r="U791" s="7">
        <v>-0.02</v>
      </c>
      <c r="V791" s="7">
        <v>0.54</v>
      </c>
      <c r="W791" s="7" t="s">
        <v>8</v>
      </c>
      <c r="X791" s="7" t="s">
        <v>15</v>
      </c>
      <c r="Y791" s="2" t="s">
        <v>719</v>
      </c>
      <c r="Z791" s="2" t="s">
        <v>721</v>
      </c>
    </row>
    <row r="792" spans="1:26" x14ac:dyDescent="0.35">
      <c r="A792" s="7" t="s">
        <v>1711</v>
      </c>
      <c r="B792" s="7" t="s">
        <v>764</v>
      </c>
      <c r="C792" s="4" t="str">
        <f>_xlfn.XLOOKUP(A792,[2]Sheet2!$I$2:$I$1273,[2]Sheet2!$D$2:$D$1273,0)</f>
        <v>Q2</v>
      </c>
      <c r="D792" s="4" t="str">
        <f>_xlfn.XLOOKUP(B792,[4]Sheet2!$B$2:$B$3154,[4]Sheet2!$F$2:$F$3154,0)</f>
        <v>C/APP</v>
      </c>
      <c r="E792" s="4" t="e">
        <f>_xlfn.XLOOKUP(B792,[2]Sheet2!$E$2:$E$713,[2]Sheet2!$G$2:$G$713)</f>
        <v>#N/A</v>
      </c>
      <c r="F792" s="18">
        <v>46094</v>
      </c>
      <c r="G792" s="14">
        <v>0.44184027777777779</v>
      </c>
      <c r="H792" s="7" t="s">
        <v>4</v>
      </c>
      <c r="I792" s="2" t="str">
        <f t="shared" si="63"/>
        <v>Q1</v>
      </c>
      <c r="J792" s="2" t="str">
        <f t="shared" si="64"/>
        <v>Not Match</v>
      </c>
      <c r="K792" s="2">
        <f t="shared" si="60"/>
        <v>0.1</v>
      </c>
      <c r="L792" s="2" t="e">
        <f t="shared" si="61"/>
        <v>#N/A</v>
      </c>
      <c r="M792" s="2" t="str">
        <f t="shared" si="62"/>
        <v>Below 0.8 not in assigned quadrant</v>
      </c>
      <c r="N792" s="7">
        <v>17.8</v>
      </c>
      <c r="O792" s="7">
        <v>0</v>
      </c>
      <c r="P792" s="7">
        <v>-1.7</v>
      </c>
      <c r="Q792" s="7">
        <v>-0.03</v>
      </c>
      <c r="R792" s="7">
        <v>0</v>
      </c>
      <c r="S792" s="7">
        <v>0.1</v>
      </c>
      <c r="T792" s="7">
        <v>-0.14000000000000001</v>
      </c>
      <c r="U792" s="7">
        <v>0</v>
      </c>
      <c r="V792" s="7">
        <v>0.15</v>
      </c>
      <c r="W792" s="7" t="s">
        <v>8</v>
      </c>
      <c r="X792" s="7" t="s">
        <v>9</v>
      </c>
      <c r="Y792" s="2" t="s">
        <v>719</v>
      </c>
      <c r="Z792" s="2" t="s">
        <v>721</v>
      </c>
    </row>
    <row r="793" spans="1:26" x14ac:dyDescent="0.35">
      <c r="A793" s="7" t="s">
        <v>1712</v>
      </c>
      <c r="B793" s="7" t="s">
        <v>765</v>
      </c>
      <c r="C793" s="4" t="str">
        <f>_xlfn.XLOOKUP(A793,[2]Sheet2!$I$2:$I$1273,[2]Sheet2!$D$2:$D$1273,0)</f>
        <v>Q4</v>
      </c>
      <c r="D793" s="4" t="str">
        <f>_xlfn.XLOOKUP(B793,[4]Sheet2!$B$2:$B$3154,[4]Sheet2!$F$2:$F$3154,0)</f>
        <v>N/ App</v>
      </c>
      <c r="E793" s="4" t="e">
        <f>_xlfn.XLOOKUP(B793,[2]Sheet2!$E$2:$E$713,[2]Sheet2!$G$2:$G$713)</f>
        <v>#N/A</v>
      </c>
      <c r="F793" s="18">
        <v>46094</v>
      </c>
      <c r="G793" s="14">
        <v>0.44535879629629632</v>
      </c>
      <c r="H793" s="7" t="s">
        <v>4</v>
      </c>
      <c r="I793" s="2" t="str">
        <f t="shared" si="63"/>
        <v>Q4</v>
      </c>
      <c r="J793" s="2" t="str">
        <f t="shared" si="64"/>
        <v>Match</v>
      </c>
      <c r="K793" s="2">
        <f t="shared" si="60"/>
        <v>0</v>
      </c>
      <c r="L793" s="2" t="e">
        <f t="shared" si="61"/>
        <v>#N/A</v>
      </c>
      <c r="M793" s="2" t="str">
        <f t="shared" si="62"/>
        <v>Digital Approve Hit</v>
      </c>
      <c r="N793" s="7">
        <v>27.5</v>
      </c>
      <c r="O793" s="7">
        <v>1.4</v>
      </c>
      <c r="P793" s="7">
        <v>-9.6</v>
      </c>
      <c r="Q793" s="7">
        <v>-0.2</v>
      </c>
      <c r="R793" s="7">
        <v>0</v>
      </c>
      <c r="S793" s="7">
        <v>0</v>
      </c>
      <c r="T793" s="7">
        <v>0.01</v>
      </c>
      <c r="U793" s="7">
        <v>-0.11</v>
      </c>
      <c r="V793" s="7">
        <v>0.23</v>
      </c>
      <c r="W793" s="7" t="s">
        <v>8</v>
      </c>
      <c r="X793" s="7" t="s">
        <v>15</v>
      </c>
      <c r="Y793" s="2" t="s">
        <v>719</v>
      </c>
      <c r="Z793" s="2" t="s">
        <v>721</v>
      </c>
    </row>
    <row r="794" spans="1:26" x14ac:dyDescent="0.35">
      <c r="A794" s="7" t="s">
        <v>1713</v>
      </c>
      <c r="B794" s="7" t="s">
        <v>766</v>
      </c>
      <c r="C794" s="4" t="str">
        <f>_xlfn.XLOOKUP(A794,[2]Sheet2!$I$2:$I$1273,[2]Sheet2!$D$2:$D$1273,0)</f>
        <v>Q3</v>
      </c>
      <c r="D794" s="4" t="str">
        <f>_xlfn.XLOOKUP(B794,[4]Sheet2!$B$2:$B$3154,[4]Sheet2!$F$2:$F$3154,0)</f>
        <v>N/ App</v>
      </c>
      <c r="E794" s="4" t="e">
        <f>_xlfn.XLOOKUP(B794,[2]Sheet2!$E$2:$E$713,[2]Sheet2!$G$2:$G$713)</f>
        <v>#N/A</v>
      </c>
      <c r="F794" s="18">
        <v>46094</v>
      </c>
      <c r="G794" s="14">
        <v>0.45645833333333335</v>
      </c>
      <c r="H794" s="7" t="s">
        <v>11</v>
      </c>
      <c r="I794" s="2" t="str">
        <f t="shared" si="63"/>
        <v>Q1</v>
      </c>
      <c r="J794" s="2" t="str">
        <f t="shared" si="64"/>
        <v>Not Match</v>
      </c>
      <c r="K794" s="2">
        <f t="shared" si="60"/>
        <v>0.7</v>
      </c>
      <c r="L794" s="2" t="e">
        <f t="shared" si="61"/>
        <v>#N/A</v>
      </c>
      <c r="M794" s="2" t="str">
        <f t="shared" si="62"/>
        <v>Assign quadrant hit</v>
      </c>
      <c r="N794" s="7">
        <v>45</v>
      </c>
      <c r="O794" s="7">
        <v>10</v>
      </c>
      <c r="P794" s="7">
        <v>19.2</v>
      </c>
      <c r="Q794" s="7">
        <v>0.54</v>
      </c>
      <c r="R794" s="7">
        <v>0</v>
      </c>
      <c r="S794" s="7">
        <v>0.7</v>
      </c>
      <c r="T794" s="7">
        <v>0.36</v>
      </c>
      <c r="U794" s="7">
        <v>0.57999999999999996</v>
      </c>
      <c r="V794" s="7">
        <v>0.87</v>
      </c>
      <c r="W794" s="7" t="s">
        <v>13</v>
      </c>
      <c r="X794" s="7" t="s">
        <v>12</v>
      </c>
      <c r="Y794" s="2" t="s">
        <v>719</v>
      </c>
      <c r="Z794" s="2" t="s">
        <v>721</v>
      </c>
    </row>
    <row r="795" spans="1:26" x14ac:dyDescent="0.35">
      <c r="A795" s="7" t="s">
        <v>1607</v>
      </c>
      <c r="B795" s="7" t="s">
        <v>767</v>
      </c>
      <c r="C795" s="4" t="str">
        <f>_xlfn.XLOOKUP(A795,[2]Sheet2!$I$2:$I$1273,[2]Sheet2!$D$2:$D$1273,0)</f>
        <v>Q2</v>
      </c>
      <c r="D795" s="4" t="str">
        <f>_xlfn.XLOOKUP(B795,[4]Sheet2!$B$2:$B$3154,[4]Sheet2!$F$2:$F$3154,0)</f>
        <v>N/ App</v>
      </c>
      <c r="E795" s="4" t="e">
        <f>_xlfn.XLOOKUP(B795,[2]Sheet2!$E$2:$E$713,[2]Sheet2!$G$2:$G$713)</f>
        <v>#N/A</v>
      </c>
      <c r="F795" s="18">
        <v>46094</v>
      </c>
      <c r="G795" s="14">
        <v>0.46056712962962965</v>
      </c>
      <c r="H795" s="7" t="s">
        <v>16</v>
      </c>
      <c r="I795" s="2" t="str">
        <f t="shared" si="63"/>
        <v>Q2</v>
      </c>
      <c r="J795" s="2" t="str">
        <f t="shared" si="64"/>
        <v>Match</v>
      </c>
      <c r="K795" s="2">
        <f t="shared" si="60"/>
        <v>0</v>
      </c>
      <c r="L795" s="2" t="e">
        <f t="shared" si="61"/>
        <v>#N/A</v>
      </c>
      <c r="M795" s="2" t="str">
        <f t="shared" si="62"/>
        <v>Digital Approve Hit</v>
      </c>
      <c r="N795" s="7">
        <v>17.399999999999999</v>
      </c>
      <c r="O795" s="7">
        <v>-1.1000000000000001</v>
      </c>
      <c r="P795" s="7">
        <v>-9.3000000000000007</v>
      </c>
      <c r="Q795" s="7">
        <v>-0.22</v>
      </c>
      <c r="R795" s="7">
        <v>0</v>
      </c>
      <c r="S795" s="7">
        <v>0</v>
      </c>
      <c r="T795" s="7">
        <v>0.01</v>
      </c>
      <c r="U795" s="7">
        <v>-0.12</v>
      </c>
      <c r="V795" s="7">
        <v>0.25</v>
      </c>
      <c r="W795" s="7" t="s">
        <v>8</v>
      </c>
      <c r="X795" s="7" t="s">
        <v>15</v>
      </c>
      <c r="Y795" s="2" t="s">
        <v>719</v>
      </c>
      <c r="Z795" s="2" t="s">
        <v>721</v>
      </c>
    </row>
    <row r="796" spans="1:26" x14ac:dyDescent="0.35">
      <c r="A796" s="7" t="s">
        <v>1587</v>
      </c>
      <c r="B796" s="7" t="s">
        <v>845</v>
      </c>
      <c r="C796" s="4" t="str">
        <f>_xlfn.XLOOKUP(A796,[2]Sheet2!$I$2:$I$1273,[2]Sheet2!$D$2:$D$1273,0)</f>
        <v>Q4</v>
      </c>
      <c r="D796" s="4" t="str">
        <f>_xlfn.XLOOKUP(B796,[4]Sheet2!$B$2:$B$3154,[4]Sheet2!$F$2:$F$3154,0)</f>
        <v>N/ App</v>
      </c>
      <c r="E796" s="4" t="e">
        <f>_xlfn.XLOOKUP(B796,[2]Sheet2!$E$2:$E$713,[2]Sheet2!$G$2:$G$713)</f>
        <v>#N/A</v>
      </c>
      <c r="F796" s="18">
        <v>46094</v>
      </c>
      <c r="G796" s="14">
        <v>0.63366898148148143</v>
      </c>
      <c r="H796" s="7" t="s">
        <v>4</v>
      </c>
      <c r="I796" s="2" t="str">
        <f t="shared" si="63"/>
        <v>Q1</v>
      </c>
      <c r="J796" s="2" t="str">
        <f t="shared" si="64"/>
        <v>Not Match</v>
      </c>
      <c r="K796" s="2">
        <f t="shared" si="60"/>
        <v>0.76157731058639078</v>
      </c>
      <c r="L796" s="2" t="e">
        <f t="shared" si="61"/>
        <v>#N/A</v>
      </c>
      <c r="M796" s="2" t="str">
        <f t="shared" si="62"/>
        <v>Assign quadrant hit</v>
      </c>
      <c r="N796" s="7">
        <v>15.2</v>
      </c>
      <c r="O796" s="7">
        <v>-0.8</v>
      </c>
      <c r="P796" s="7">
        <v>-1.7</v>
      </c>
      <c r="Q796" s="7">
        <v>-2.85</v>
      </c>
      <c r="R796" s="7">
        <v>0.3</v>
      </c>
      <c r="S796" s="7">
        <v>0.7</v>
      </c>
      <c r="T796" s="7">
        <v>-1.04</v>
      </c>
      <c r="U796" s="7">
        <v>-0.03</v>
      </c>
      <c r="V796" s="7">
        <v>3.03</v>
      </c>
      <c r="W796" s="7" t="s">
        <v>6</v>
      </c>
      <c r="X796" s="7" t="s">
        <v>15</v>
      </c>
      <c r="Y796" s="2" t="s">
        <v>719</v>
      </c>
      <c r="Z796" s="2" t="s">
        <v>721</v>
      </c>
    </row>
    <row r="797" spans="1:26" x14ac:dyDescent="0.35">
      <c r="A797" s="7" t="s">
        <v>1559</v>
      </c>
      <c r="B797" s="7" t="s">
        <v>846</v>
      </c>
      <c r="C797" s="4" t="str">
        <f>_xlfn.XLOOKUP(A797,[2]Sheet2!$I$2:$I$1273,[2]Sheet2!$D$2:$D$1273,0)</f>
        <v>Q3</v>
      </c>
      <c r="D797" s="4" t="str">
        <f>_xlfn.XLOOKUP(B797,[4]Sheet2!$B$2:$B$3154,[4]Sheet2!$F$2:$F$3154,0)</f>
        <v>N/ App</v>
      </c>
      <c r="E797" s="4" t="e">
        <f>_xlfn.XLOOKUP(B797,[2]Sheet2!$E$2:$E$713,[2]Sheet2!$G$2:$G$713)</f>
        <v>#N/A</v>
      </c>
      <c r="F797" s="18">
        <v>46094</v>
      </c>
      <c r="G797" s="14">
        <v>0.6893055555555555</v>
      </c>
      <c r="H797" s="7" t="s">
        <v>11</v>
      </c>
      <c r="I797" s="2" t="str">
        <f t="shared" si="63"/>
        <v>Q4</v>
      </c>
      <c r="J797" s="2" t="str">
        <f t="shared" si="64"/>
        <v>Not Match</v>
      </c>
      <c r="K797" s="2">
        <f t="shared" si="60"/>
        <v>0.1</v>
      </c>
      <c r="L797" s="2" t="e">
        <f t="shared" si="61"/>
        <v>#N/A</v>
      </c>
      <c r="M797" s="2" t="str">
        <f t="shared" si="62"/>
        <v>Below 0.8 not in assigned quadrant</v>
      </c>
      <c r="N797" s="7">
        <v>17.3</v>
      </c>
      <c r="O797" s="7">
        <v>-0.6</v>
      </c>
      <c r="P797" s="7">
        <v>-2.9</v>
      </c>
      <c r="Q797" s="7">
        <v>-0.42</v>
      </c>
      <c r="R797" s="7">
        <v>0</v>
      </c>
      <c r="S797" s="7">
        <v>-0.1</v>
      </c>
      <c r="T797" s="7">
        <v>0.12</v>
      </c>
      <c r="U797" s="7">
        <v>0.05</v>
      </c>
      <c r="V797" s="7">
        <v>0.44</v>
      </c>
      <c r="W797" s="7" t="s">
        <v>8</v>
      </c>
      <c r="X797" s="7" t="s">
        <v>9</v>
      </c>
      <c r="Y797" s="2" t="s">
        <v>719</v>
      </c>
      <c r="Z797" s="2" t="s">
        <v>721</v>
      </c>
    </row>
    <row r="798" spans="1:26" x14ac:dyDescent="0.35">
      <c r="A798" s="7" t="s">
        <v>1625</v>
      </c>
      <c r="B798" s="7" t="s">
        <v>847</v>
      </c>
      <c r="C798" s="4" t="str">
        <f>_xlfn.XLOOKUP(A798,[2]Sheet2!$I$2:$I$1273,[2]Sheet2!$D$2:$D$1273,0)</f>
        <v>Q1</v>
      </c>
      <c r="D798" s="4" t="str">
        <f>_xlfn.XLOOKUP(B798,[4]Sheet2!$B$2:$B$3154,[4]Sheet2!$F$2:$F$3154,0)</f>
        <v>N/ App</v>
      </c>
      <c r="E798" s="4" t="e">
        <f>_xlfn.XLOOKUP(B798,[2]Sheet2!$E$2:$E$713,[2]Sheet2!$G$2:$G$713)</f>
        <v>#N/A</v>
      </c>
      <c r="F798" s="18">
        <v>46094</v>
      </c>
      <c r="G798" s="14">
        <v>0.6947106481481482</v>
      </c>
      <c r="H798" s="7" t="s">
        <v>4</v>
      </c>
      <c r="I798" s="2" t="str">
        <f t="shared" si="63"/>
        <v>Q1</v>
      </c>
      <c r="J798" s="2" t="str">
        <f t="shared" si="64"/>
        <v>Match</v>
      </c>
      <c r="K798" s="2">
        <f t="shared" si="60"/>
        <v>0.1</v>
      </c>
      <c r="L798" s="2" t="e">
        <f t="shared" si="61"/>
        <v>#N/A</v>
      </c>
      <c r="M798" s="2" t="str">
        <f t="shared" si="62"/>
        <v>Digital Approve Hit</v>
      </c>
      <c r="N798" s="7">
        <v>21.2</v>
      </c>
      <c r="O798" s="7">
        <v>0</v>
      </c>
      <c r="P798" s="7">
        <v>-2.6</v>
      </c>
      <c r="Q798" s="7">
        <v>0.25</v>
      </c>
      <c r="R798" s="7">
        <v>0</v>
      </c>
      <c r="S798" s="7">
        <v>0.1</v>
      </c>
      <c r="T798" s="7">
        <v>-0.21</v>
      </c>
      <c r="U798" s="7">
        <v>7.0000000000000007E-2</v>
      </c>
      <c r="V798" s="7">
        <v>0.33</v>
      </c>
      <c r="W798" s="7" t="s">
        <v>8</v>
      </c>
      <c r="X798" s="7" t="s">
        <v>9</v>
      </c>
      <c r="Y798" s="2" t="s">
        <v>719</v>
      </c>
      <c r="Z798" s="2" t="s">
        <v>721</v>
      </c>
    </row>
    <row r="799" spans="1:26" x14ac:dyDescent="0.35">
      <c r="A799" s="7" t="s">
        <v>1687</v>
      </c>
      <c r="B799" s="7" t="s">
        <v>768</v>
      </c>
      <c r="C799" s="4" t="str">
        <f>_xlfn.XLOOKUP(A799,[2]Sheet2!$I$2:$I$1273,[2]Sheet2!$D$2:$D$1273,0)</f>
        <v>Q3</v>
      </c>
      <c r="D799" s="4" t="str">
        <f>_xlfn.XLOOKUP(B799,[4]Sheet2!$B$2:$B$3154,[4]Sheet2!$F$2:$F$3154,0)</f>
        <v>C/APP</v>
      </c>
      <c r="E799" s="4" t="e">
        <f>_xlfn.XLOOKUP(B799,[2]Sheet2!$E$2:$E$713,[2]Sheet2!$G$2:$G$713)</f>
        <v>#N/A</v>
      </c>
      <c r="F799" s="18">
        <v>46094</v>
      </c>
      <c r="G799" s="14">
        <v>0.70246527777777779</v>
      </c>
      <c r="H799" s="7" t="s">
        <v>5</v>
      </c>
      <c r="I799" s="2" t="str">
        <f t="shared" si="63"/>
        <v>Q3</v>
      </c>
      <c r="J799" s="2" t="str">
        <f t="shared" si="64"/>
        <v>Match</v>
      </c>
      <c r="K799" s="2">
        <f t="shared" si="60"/>
        <v>0.1</v>
      </c>
      <c r="L799" s="2" t="e">
        <f t="shared" si="61"/>
        <v>#N/A</v>
      </c>
      <c r="M799" s="2" t="str">
        <f t="shared" si="62"/>
        <v>Digital Approve Hit</v>
      </c>
      <c r="N799" s="7">
        <v>36.200000000000003</v>
      </c>
      <c r="O799" s="7">
        <v>10.7</v>
      </c>
      <c r="P799" s="7">
        <v>12.5</v>
      </c>
      <c r="Q799" s="7">
        <v>0.73</v>
      </c>
      <c r="R799" s="7">
        <v>-0.1</v>
      </c>
      <c r="S799" s="7">
        <v>0</v>
      </c>
      <c r="T799" s="7">
        <v>-0.04</v>
      </c>
      <c r="U799" s="7">
        <v>0.19</v>
      </c>
      <c r="V799" s="7">
        <v>0.76</v>
      </c>
      <c r="W799" s="7" t="s">
        <v>13</v>
      </c>
      <c r="X799" s="7" t="s">
        <v>12</v>
      </c>
      <c r="Y799" s="2" t="s">
        <v>719</v>
      </c>
      <c r="Z799" s="2" t="s">
        <v>721</v>
      </c>
    </row>
    <row r="800" spans="1:26" x14ac:dyDescent="0.35">
      <c r="A800" s="7" t="s">
        <v>1518</v>
      </c>
      <c r="B800" s="7" t="s">
        <v>769</v>
      </c>
      <c r="C800" s="4" t="str">
        <f>_xlfn.XLOOKUP(A800,[2]Sheet2!$I$2:$I$1273,[2]Sheet2!$D$2:$D$1273,0)</f>
        <v>Q1</v>
      </c>
      <c r="D800" s="4" t="str">
        <f>_xlfn.XLOOKUP(B800,[4]Sheet2!$B$2:$B$3154,[4]Sheet2!$F$2:$F$3154,0)</f>
        <v>C/APP</v>
      </c>
      <c r="E800" s="4" t="e">
        <f>_xlfn.XLOOKUP(B800,[2]Sheet2!$E$2:$E$713,[2]Sheet2!$G$2:$G$713)</f>
        <v>#N/A</v>
      </c>
      <c r="F800" s="18">
        <v>46094</v>
      </c>
      <c r="G800" s="14">
        <v>0.70642361111111107</v>
      </c>
      <c r="H800" s="7" t="s">
        <v>11</v>
      </c>
      <c r="I800" s="2" t="str">
        <f t="shared" si="63"/>
        <v>Q1</v>
      </c>
      <c r="J800" s="2" t="str">
        <f t="shared" si="64"/>
        <v>Match</v>
      </c>
      <c r="K800" s="2">
        <f t="shared" si="60"/>
        <v>1.9416487838947598</v>
      </c>
      <c r="L800" s="2" t="e">
        <f t="shared" si="61"/>
        <v>#N/A</v>
      </c>
      <c r="M800" s="2" t="str">
        <f t="shared" si="62"/>
        <v>Failed but within quadrant</v>
      </c>
      <c r="N800" s="7">
        <v>27.6</v>
      </c>
      <c r="O800" s="7">
        <v>6.7</v>
      </c>
      <c r="P800" s="7">
        <v>9.8000000000000007</v>
      </c>
      <c r="Q800" s="7">
        <v>0.75</v>
      </c>
      <c r="R800" s="7">
        <v>0.4</v>
      </c>
      <c r="S800" s="7">
        <v>1.9</v>
      </c>
      <c r="T800" s="7">
        <v>1.52</v>
      </c>
      <c r="U800" s="7">
        <v>1.58</v>
      </c>
      <c r="V800" s="7">
        <v>2.31</v>
      </c>
      <c r="W800" s="7" t="s">
        <v>6</v>
      </c>
      <c r="X800" s="7" t="s">
        <v>12</v>
      </c>
      <c r="Y800" s="2" t="s">
        <v>719</v>
      </c>
      <c r="Z800" s="2" t="s">
        <v>721</v>
      </c>
    </row>
    <row r="801" spans="1:26" x14ac:dyDescent="0.35">
      <c r="A801" s="7" t="s">
        <v>1714</v>
      </c>
      <c r="B801" s="7" t="s">
        <v>770</v>
      </c>
      <c r="C801" s="4" t="str">
        <f>_xlfn.XLOOKUP(A801,[2]Sheet2!$I$2:$I$1273,[2]Sheet2!$D$2:$D$1273,0)</f>
        <v>Q4</v>
      </c>
      <c r="D801" s="4" t="str">
        <f>_xlfn.XLOOKUP(B801,[4]Sheet2!$B$2:$B$3154,[4]Sheet2!$F$2:$F$3154,0)</f>
        <v>N/ App</v>
      </c>
      <c r="E801" s="4" t="e">
        <f>_xlfn.XLOOKUP(B801,[2]Sheet2!$E$2:$E$713,[2]Sheet2!$G$2:$G$713)</f>
        <v>#N/A</v>
      </c>
      <c r="F801" s="18">
        <v>46094</v>
      </c>
      <c r="G801" s="14">
        <v>0.71083333333333332</v>
      </c>
      <c r="H801" s="7" t="s">
        <v>5</v>
      </c>
      <c r="I801" s="2" t="str">
        <f t="shared" si="63"/>
        <v>Q1</v>
      </c>
      <c r="J801" s="2" t="str">
        <f t="shared" si="64"/>
        <v>Not Match</v>
      </c>
      <c r="K801" s="2">
        <f t="shared" si="60"/>
        <v>0.31622776601683794</v>
      </c>
      <c r="L801" s="2" t="e">
        <f t="shared" si="61"/>
        <v>#N/A</v>
      </c>
      <c r="M801" s="2" t="str">
        <f t="shared" si="62"/>
        <v>Below 0.8 not in assigned quadrant</v>
      </c>
      <c r="N801" s="7">
        <v>18.8</v>
      </c>
      <c r="O801" s="7">
        <v>0</v>
      </c>
      <c r="P801" s="7">
        <v>-10.5</v>
      </c>
      <c r="Q801" s="7">
        <v>-0.6</v>
      </c>
      <c r="R801" s="7">
        <v>0.1</v>
      </c>
      <c r="S801" s="7">
        <v>0.3</v>
      </c>
      <c r="T801" s="7">
        <v>-0.32</v>
      </c>
      <c r="U801" s="7">
        <v>0.14000000000000001</v>
      </c>
      <c r="V801" s="7">
        <v>0.69</v>
      </c>
      <c r="W801" s="7" t="s">
        <v>8</v>
      </c>
      <c r="X801" s="7" t="s">
        <v>9</v>
      </c>
      <c r="Y801" s="2" t="s">
        <v>719</v>
      </c>
      <c r="Z801" s="2" t="s">
        <v>721</v>
      </c>
    </row>
    <row r="802" spans="1:26" x14ac:dyDescent="0.35">
      <c r="A802" s="7" t="s">
        <v>1715</v>
      </c>
      <c r="B802" s="7" t="s">
        <v>771</v>
      </c>
      <c r="C802" s="4" t="str">
        <f>_xlfn.XLOOKUP(A802,[2]Sheet2!$I$2:$I$1273,[2]Sheet2!$D$2:$D$1273,0)</f>
        <v>Q1</v>
      </c>
      <c r="D802" s="4" t="str">
        <f>_xlfn.XLOOKUP(B802,[4]Sheet2!$B$2:$B$3154,[4]Sheet2!$F$2:$F$3154,0)</f>
        <v>N/ App</v>
      </c>
      <c r="E802" s="4" t="e">
        <f>_xlfn.XLOOKUP(B802,[2]Sheet2!$E$2:$E$713,[2]Sheet2!$G$2:$G$713)</f>
        <v>#N/A</v>
      </c>
      <c r="F802" s="18">
        <v>46094</v>
      </c>
      <c r="G802" s="14">
        <v>0.71559027777777773</v>
      </c>
      <c r="H802" s="7" t="s">
        <v>5</v>
      </c>
      <c r="I802" s="2" t="str">
        <f t="shared" si="63"/>
        <v>Q3</v>
      </c>
      <c r="J802" s="2" t="str">
        <f t="shared" si="64"/>
        <v>Not Match</v>
      </c>
      <c r="K802" s="2">
        <f t="shared" si="60"/>
        <v>0.63245553203367588</v>
      </c>
      <c r="L802" s="2" t="e">
        <f t="shared" si="61"/>
        <v>#N/A</v>
      </c>
      <c r="M802" s="2" t="str">
        <f t="shared" si="62"/>
        <v>Assign quadrant hit</v>
      </c>
      <c r="N802" s="7">
        <v>13.6</v>
      </c>
      <c r="O802" s="7">
        <v>-0.3</v>
      </c>
      <c r="P802" s="7">
        <v>-2.5</v>
      </c>
      <c r="Q802" s="7">
        <v>-0.66</v>
      </c>
      <c r="R802" s="7">
        <v>-0.2</v>
      </c>
      <c r="S802" s="7">
        <v>-0.6</v>
      </c>
      <c r="T802" s="7">
        <v>0.88</v>
      </c>
      <c r="U802" s="7">
        <v>-0.24</v>
      </c>
      <c r="V802" s="7">
        <v>1.1299999999999999</v>
      </c>
      <c r="W802" s="7" t="s">
        <v>6</v>
      </c>
      <c r="X802" s="7" t="s">
        <v>15</v>
      </c>
      <c r="Y802" s="2" t="s">
        <v>719</v>
      </c>
      <c r="Z802" s="2" t="s">
        <v>721</v>
      </c>
    </row>
    <row r="803" spans="1:26" x14ac:dyDescent="0.35">
      <c r="A803" s="7" t="s">
        <v>1559</v>
      </c>
      <c r="B803" s="7" t="s">
        <v>772</v>
      </c>
      <c r="C803" s="4" t="str">
        <f>_xlfn.XLOOKUP(A803,[2]Sheet2!$I$2:$I$1273,[2]Sheet2!$D$2:$D$1273,0)</f>
        <v>Q3</v>
      </c>
      <c r="D803" s="4" t="str">
        <f>_xlfn.XLOOKUP(B803,[4]Sheet2!$B$2:$B$3154,[4]Sheet2!$F$2:$F$3154,0)</f>
        <v>N/ App</v>
      </c>
      <c r="E803" s="4" t="e">
        <f>_xlfn.XLOOKUP(B803,[2]Sheet2!$E$2:$E$713,[2]Sheet2!$G$2:$G$713)</f>
        <v>#N/A</v>
      </c>
      <c r="F803" s="18">
        <v>46094</v>
      </c>
      <c r="G803" s="14">
        <v>0.71887731481481476</v>
      </c>
      <c r="H803" s="7" t="s">
        <v>11</v>
      </c>
      <c r="I803" s="2" t="str">
        <f t="shared" si="63"/>
        <v>Q4</v>
      </c>
      <c r="J803" s="2" t="str">
        <f t="shared" si="64"/>
        <v>Not Match</v>
      </c>
      <c r="K803" s="2">
        <f t="shared" si="60"/>
        <v>0.1</v>
      </c>
      <c r="L803" s="2" t="e">
        <f t="shared" si="61"/>
        <v>#N/A</v>
      </c>
      <c r="M803" s="2" t="str">
        <f t="shared" si="62"/>
        <v>Assign quadrant hit</v>
      </c>
      <c r="N803" s="7">
        <v>16.5</v>
      </c>
      <c r="O803" s="7">
        <v>-0.6</v>
      </c>
      <c r="P803" s="7">
        <v>-3</v>
      </c>
      <c r="Q803" s="7">
        <v>-1.07</v>
      </c>
      <c r="R803" s="7">
        <v>0</v>
      </c>
      <c r="S803" s="7">
        <v>-0.1</v>
      </c>
      <c r="T803" s="7">
        <v>0.18</v>
      </c>
      <c r="U803" s="7">
        <v>0.09</v>
      </c>
      <c r="V803" s="7">
        <v>1.0900000000000001</v>
      </c>
      <c r="W803" s="7" t="s">
        <v>6</v>
      </c>
      <c r="X803" s="7" t="s">
        <v>9</v>
      </c>
      <c r="Y803" s="2" t="s">
        <v>719</v>
      </c>
      <c r="Z803" s="2" t="s">
        <v>721</v>
      </c>
    </row>
    <row r="804" spans="1:26" x14ac:dyDescent="0.35">
      <c r="A804" s="7" t="s">
        <v>1539</v>
      </c>
      <c r="B804" s="7" t="s">
        <v>773</v>
      </c>
      <c r="C804" s="4" t="str">
        <f>_xlfn.XLOOKUP(A804,[2]Sheet2!$I$2:$I$1273,[2]Sheet2!$D$2:$D$1273,0)</f>
        <v>Q4</v>
      </c>
      <c r="D804" s="4" t="str">
        <f>_xlfn.XLOOKUP(B804,[4]Sheet2!$B$2:$B$3154,[4]Sheet2!$F$2:$F$3154,0)</f>
        <v>C/APP</v>
      </c>
      <c r="E804" s="4" t="e">
        <f>_xlfn.XLOOKUP(B804,[2]Sheet2!$E$2:$E$713,[2]Sheet2!$G$2:$G$713)</f>
        <v>#N/A</v>
      </c>
      <c r="F804" s="18">
        <v>46094</v>
      </c>
      <c r="G804" s="14">
        <v>0.73091435185185183</v>
      </c>
      <c r="H804" s="7" t="s">
        <v>16</v>
      </c>
      <c r="I804" s="2" t="str">
        <f t="shared" si="63"/>
        <v>Q1</v>
      </c>
      <c r="J804" s="2" t="str">
        <f t="shared" si="64"/>
        <v>Not Match</v>
      </c>
      <c r="K804" s="2">
        <f t="shared" si="60"/>
        <v>1.1045361017187261</v>
      </c>
      <c r="L804" s="2" t="e">
        <f t="shared" si="61"/>
        <v>#N/A</v>
      </c>
      <c r="M804" s="2" t="str">
        <f t="shared" si="62"/>
        <v>Assign quadrant hit</v>
      </c>
      <c r="N804" s="7">
        <v>33.1</v>
      </c>
      <c r="O804" s="7">
        <v>-0.3</v>
      </c>
      <c r="P804" s="7">
        <v>4.2</v>
      </c>
      <c r="Q804" s="7">
        <v>-0.53</v>
      </c>
      <c r="R804" s="7">
        <v>0.1</v>
      </c>
      <c r="S804" s="7">
        <v>1.1000000000000001</v>
      </c>
      <c r="T804" s="7">
        <v>1.41</v>
      </c>
      <c r="U804" s="7">
        <v>-0.37</v>
      </c>
      <c r="V804" s="7">
        <v>1.55</v>
      </c>
      <c r="W804" s="7" t="s">
        <v>6</v>
      </c>
      <c r="X804" s="7" t="s">
        <v>12</v>
      </c>
      <c r="Y804" s="2" t="s">
        <v>719</v>
      </c>
      <c r="Z804" s="2" t="s">
        <v>721</v>
      </c>
    </row>
    <row r="805" spans="1:26" x14ac:dyDescent="0.35">
      <c r="A805" s="7" t="s">
        <v>1716</v>
      </c>
      <c r="B805" s="7" t="s">
        <v>774</v>
      </c>
      <c r="C805" s="4" t="str">
        <f>_xlfn.XLOOKUP(A805,[2]Sheet2!$I$2:$I$1273,[2]Sheet2!$D$2:$D$1273,0)</f>
        <v>Q3</v>
      </c>
      <c r="D805" s="4" t="str">
        <f>_xlfn.XLOOKUP(B805,[4]Sheet2!$B$2:$B$3154,[4]Sheet2!$F$2:$F$3154,0)</f>
        <v>C/APP</v>
      </c>
      <c r="E805" s="4" t="e">
        <f>_xlfn.XLOOKUP(B805,[2]Sheet2!$E$2:$E$713,[2]Sheet2!$G$2:$G$713)</f>
        <v>#N/A</v>
      </c>
      <c r="F805" s="18">
        <v>46094</v>
      </c>
      <c r="G805" s="14">
        <v>0.76041666666666663</v>
      </c>
      <c r="H805" s="7" t="s">
        <v>10</v>
      </c>
      <c r="I805" s="2" t="str">
        <f t="shared" si="63"/>
        <v>Q3</v>
      </c>
      <c r="J805" s="2" t="str">
        <f t="shared" si="64"/>
        <v>Match</v>
      </c>
      <c r="K805" s="2">
        <f t="shared" si="60"/>
        <v>0.80622577482985502</v>
      </c>
      <c r="L805" s="2" t="e">
        <f t="shared" si="61"/>
        <v>#N/A</v>
      </c>
      <c r="M805" s="2" t="str">
        <f t="shared" si="62"/>
        <v>Failed but within quadrant</v>
      </c>
      <c r="N805" s="7">
        <v>19.100000000000001</v>
      </c>
      <c r="O805" s="7">
        <v>-0.9</v>
      </c>
      <c r="P805" s="7">
        <v>-7.2</v>
      </c>
      <c r="Q805" s="7">
        <v>0.74</v>
      </c>
      <c r="R805" s="7">
        <v>-0.1</v>
      </c>
      <c r="S805" s="7">
        <v>-0.8</v>
      </c>
      <c r="T805" s="7">
        <v>0.88</v>
      </c>
      <c r="U805" s="7">
        <v>0.01</v>
      </c>
      <c r="V805" s="7">
        <v>1.1499999999999999</v>
      </c>
      <c r="W805" s="7" t="s">
        <v>6</v>
      </c>
      <c r="X805" s="7" t="s">
        <v>9</v>
      </c>
      <c r="Y805" s="2" t="s">
        <v>719</v>
      </c>
      <c r="Z805" s="2" t="s">
        <v>721</v>
      </c>
    </row>
    <row r="806" spans="1:26" x14ac:dyDescent="0.35">
      <c r="A806" s="7" t="s">
        <v>1559</v>
      </c>
      <c r="B806" s="7" t="s">
        <v>775</v>
      </c>
      <c r="C806" s="4" t="str">
        <f>_xlfn.XLOOKUP(A806,[2]Sheet2!$I$2:$I$1273,[2]Sheet2!$D$2:$D$1273,0)</f>
        <v>Q3</v>
      </c>
      <c r="D806" s="4" t="str">
        <f>_xlfn.XLOOKUP(B806,[4]Sheet2!$B$2:$B$3154,[4]Sheet2!$F$2:$F$3154,0)</f>
        <v>N/ App</v>
      </c>
      <c r="E806" s="4" t="e">
        <f>_xlfn.XLOOKUP(B806,[2]Sheet2!$E$2:$E$713,[2]Sheet2!$G$2:$G$713)</f>
        <v>#N/A</v>
      </c>
      <c r="F806" s="18">
        <v>46094</v>
      </c>
      <c r="G806" s="14">
        <v>0.7620717592592593</v>
      </c>
      <c r="H806" s="7" t="s">
        <v>11</v>
      </c>
      <c r="I806" s="2" t="str">
        <f t="shared" si="63"/>
        <v>Q4</v>
      </c>
      <c r="J806" s="2" t="str">
        <f t="shared" si="64"/>
        <v>Not Match</v>
      </c>
      <c r="K806" s="2">
        <f t="shared" si="60"/>
        <v>0.1</v>
      </c>
      <c r="L806" s="2" t="e">
        <f t="shared" si="61"/>
        <v>#N/A</v>
      </c>
      <c r="M806" s="2" t="str">
        <f t="shared" si="62"/>
        <v>Assign quadrant hit</v>
      </c>
      <c r="N806" s="7">
        <v>16.8</v>
      </c>
      <c r="O806" s="7">
        <v>-0.6</v>
      </c>
      <c r="P806" s="7">
        <v>-2.9</v>
      </c>
      <c r="Q806" s="7">
        <v>-0.83</v>
      </c>
      <c r="R806" s="7">
        <v>0</v>
      </c>
      <c r="S806" s="7">
        <v>-0.1</v>
      </c>
      <c r="T806" s="7">
        <v>0.13</v>
      </c>
      <c r="U806" s="7">
        <v>0.04</v>
      </c>
      <c r="V806" s="7">
        <v>0.84</v>
      </c>
      <c r="W806" s="7" t="s">
        <v>13</v>
      </c>
      <c r="X806" s="7" t="s">
        <v>9</v>
      </c>
      <c r="Y806" s="2" t="s">
        <v>719</v>
      </c>
      <c r="Z806" s="2" t="s">
        <v>721</v>
      </c>
    </row>
    <row r="807" spans="1:26" x14ac:dyDescent="0.35">
      <c r="A807" s="7" t="s">
        <v>1717</v>
      </c>
      <c r="B807" s="7" t="s">
        <v>848</v>
      </c>
      <c r="C807" s="4" t="str">
        <f>_xlfn.XLOOKUP(A807,[2]Sheet2!$I$2:$I$1273,[2]Sheet2!$D$2:$D$1273,0)</f>
        <v>Q1</v>
      </c>
      <c r="D807" s="4" t="str">
        <f>_xlfn.XLOOKUP(B807,[4]Sheet2!$B$2:$B$3154,[4]Sheet2!$F$2:$F$3154,0)</f>
        <v>C/APP</v>
      </c>
      <c r="E807" s="4" t="e">
        <f>_xlfn.XLOOKUP(B807,[2]Sheet2!$E$2:$E$713,[2]Sheet2!$G$2:$G$713)</f>
        <v>#N/A</v>
      </c>
      <c r="F807" s="18">
        <v>46094</v>
      </c>
      <c r="G807" s="14">
        <v>0.77219907407407407</v>
      </c>
      <c r="H807" s="7" t="s">
        <v>5</v>
      </c>
      <c r="I807" s="2" t="str">
        <f t="shared" si="63"/>
        <v>Q1</v>
      </c>
      <c r="J807" s="2" t="str">
        <f t="shared" si="64"/>
        <v>Match</v>
      </c>
      <c r="K807" s="2">
        <f t="shared" si="60"/>
        <v>0.92195444572928875</v>
      </c>
      <c r="L807" s="2" t="e">
        <f t="shared" si="61"/>
        <v>#N/A</v>
      </c>
      <c r="M807" s="2" t="str">
        <f t="shared" si="62"/>
        <v>Failed but within quadrant</v>
      </c>
      <c r="N807" s="7">
        <v>19.2</v>
      </c>
      <c r="O807" s="7">
        <v>4.7</v>
      </c>
      <c r="P807" s="7">
        <v>2.2000000000000002</v>
      </c>
      <c r="Q807" s="7">
        <v>-0.77</v>
      </c>
      <c r="R807" s="7">
        <v>0.2</v>
      </c>
      <c r="S807" s="7">
        <v>0.9</v>
      </c>
      <c r="T807" s="7">
        <v>0.6</v>
      </c>
      <c r="U807" s="7">
        <v>1.03</v>
      </c>
      <c r="V807" s="7">
        <v>1.42</v>
      </c>
      <c r="W807" s="7" t="s">
        <v>6</v>
      </c>
      <c r="X807" s="7" t="s">
        <v>12</v>
      </c>
      <c r="Y807" s="2" t="s">
        <v>719</v>
      </c>
      <c r="Z807" s="2" t="s">
        <v>721</v>
      </c>
    </row>
    <row r="808" spans="1:26" x14ac:dyDescent="0.35">
      <c r="A808" s="7" t="s">
        <v>1516</v>
      </c>
      <c r="B808" s="7" t="s">
        <v>776</v>
      </c>
      <c r="C808" s="4" t="str">
        <f>_xlfn.XLOOKUP(A808,[2]Sheet2!$I$2:$I$1273,[2]Sheet2!$D$2:$D$1273,0)</f>
        <v>Q2</v>
      </c>
      <c r="D808" s="4" t="str">
        <f>_xlfn.XLOOKUP(B808,[4]Sheet2!$B$2:$B$3154,[4]Sheet2!$F$2:$F$3154,0)</f>
        <v>N/ App</v>
      </c>
      <c r="E808" s="4" t="e">
        <f>_xlfn.XLOOKUP(B808,[2]Sheet2!$E$2:$E$713,[2]Sheet2!$G$2:$G$713)</f>
        <v>#N/A</v>
      </c>
      <c r="F808" s="18">
        <v>46094</v>
      </c>
      <c r="G808" s="14">
        <v>0.96468750000000003</v>
      </c>
      <c r="H808" s="7" t="s">
        <v>4</v>
      </c>
      <c r="I808" s="2" t="str">
        <f t="shared" si="63"/>
        <v>Q4</v>
      </c>
      <c r="J808" s="2" t="str">
        <f t="shared" si="64"/>
        <v>Not Match</v>
      </c>
      <c r="K808" s="2">
        <f t="shared" si="60"/>
        <v>0.1</v>
      </c>
      <c r="L808" s="2" t="e">
        <f t="shared" si="61"/>
        <v>#N/A</v>
      </c>
      <c r="M808" s="2" t="str">
        <f t="shared" si="62"/>
        <v>Below 0.8 not in assigned quadrant</v>
      </c>
      <c r="N808" s="7">
        <v>17.899999999999999</v>
      </c>
      <c r="O808" s="7">
        <v>-1.4</v>
      </c>
      <c r="P808" s="7">
        <v>-1.7</v>
      </c>
      <c r="Q808" s="7">
        <v>-0.47</v>
      </c>
      <c r="R808" s="7">
        <v>0</v>
      </c>
      <c r="S808" s="7">
        <v>-0.1</v>
      </c>
      <c r="T808" s="7">
        <v>0.16</v>
      </c>
      <c r="U808" s="7">
        <v>0.05</v>
      </c>
      <c r="V808" s="7">
        <v>0.49</v>
      </c>
      <c r="W808" s="7" t="s">
        <v>8</v>
      </c>
      <c r="X808" s="7" t="s">
        <v>7</v>
      </c>
      <c r="Y808" s="2" t="s">
        <v>719</v>
      </c>
      <c r="Z808" s="2" t="s">
        <v>721</v>
      </c>
    </row>
    <row r="809" spans="1:26" x14ac:dyDescent="0.35">
      <c r="A809" s="7" t="s">
        <v>1718</v>
      </c>
      <c r="B809" s="7" t="s">
        <v>849</v>
      </c>
      <c r="C809" s="4" t="str">
        <f>_xlfn.XLOOKUP(A809,[2]Sheet2!$I$2:$I$1273,[2]Sheet2!$D$2:$D$1273,0)</f>
        <v>Q1</v>
      </c>
      <c r="D809" s="4" t="str">
        <f>_xlfn.XLOOKUP(B809,[4]Sheet2!$B$2:$B$3154,[4]Sheet2!$F$2:$F$3154,0)</f>
        <v>N/ App</v>
      </c>
      <c r="E809" s="4" t="e">
        <f>_xlfn.XLOOKUP(B809,[2]Sheet2!$E$2:$E$713,[2]Sheet2!$G$2:$G$713)</f>
        <v>#N/A</v>
      </c>
      <c r="F809" s="18">
        <v>46094</v>
      </c>
      <c r="G809" s="14">
        <v>0.96719907407407413</v>
      </c>
      <c r="H809" s="7" t="s">
        <v>5</v>
      </c>
      <c r="I809" s="2" t="str">
        <f t="shared" si="63"/>
        <v>Q1</v>
      </c>
      <c r="J809" s="2" t="str">
        <f t="shared" si="64"/>
        <v>Match</v>
      </c>
      <c r="K809" s="2">
        <f t="shared" si="60"/>
        <v>1</v>
      </c>
      <c r="L809" s="2" t="e">
        <f t="shared" si="61"/>
        <v>#N/A</v>
      </c>
      <c r="M809" s="2" t="str">
        <f t="shared" si="62"/>
        <v>Digital Approve Hit</v>
      </c>
      <c r="N809" s="7">
        <v>41.9</v>
      </c>
      <c r="O809" s="7">
        <v>51.7</v>
      </c>
      <c r="P809" s="7">
        <v>36.4</v>
      </c>
      <c r="Q809" s="7">
        <v>-0.21</v>
      </c>
      <c r="R809" s="7">
        <v>0.6</v>
      </c>
      <c r="S809" s="7">
        <v>0.8</v>
      </c>
      <c r="T809" s="7">
        <v>0.35</v>
      </c>
      <c r="U809" s="7">
        <v>0.23</v>
      </c>
      <c r="V809" s="7">
        <v>0.47</v>
      </c>
      <c r="W809" s="7" t="s">
        <v>8</v>
      </c>
      <c r="X809" s="7" t="s">
        <v>12</v>
      </c>
      <c r="Y809" s="2" t="s">
        <v>719</v>
      </c>
      <c r="Z809" s="2" t="s">
        <v>721</v>
      </c>
    </row>
    <row r="810" spans="1:26" x14ac:dyDescent="0.35">
      <c r="A810" s="7" t="s">
        <v>1666</v>
      </c>
      <c r="B810" s="7" t="s">
        <v>850</v>
      </c>
      <c r="C810" s="4" t="str">
        <f>_xlfn.XLOOKUP(A810,[2]Sheet2!$I$2:$I$1273,[2]Sheet2!$D$2:$D$1273,0)</f>
        <v>Q3</v>
      </c>
      <c r="D810" s="4" t="str">
        <f>_xlfn.XLOOKUP(B810,[4]Sheet2!$B$2:$B$3154,[4]Sheet2!$F$2:$F$3154,0)</f>
        <v>N/ App</v>
      </c>
      <c r="E810" s="4" t="e">
        <f>_xlfn.XLOOKUP(B810,[2]Sheet2!$E$2:$E$713,[2]Sheet2!$G$2:$G$713)</f>
        <v>#N/A</v>
      </c>
      <c r="F810" s="18">
        <v>46094</v>
      </c>
      <c r="G810" s="14">
        <v>0.97259259259259256</v>
      </c>
      <c r="H810" s="7" t="s">
        <v>5</v>
      </c>
      <c r="I810" s="2" t="str">
        <f t="shared" si="63"/>
        <v>Q3</v>
      </c>
      <c r="J810" s="2" t="str">
        <f t="shared" si="64"/>
        <v>Match</v>
      </c>
      <c r="K810" s="2">
        <f t="shared" si="60"/>
        <v>0.14142135623730953</v>
      </c>
      <c r="L810" s="2" t="e">
        <f t="shared" si="61"/>
        <v>#N/A</v>
      </c>
      <c r="M810" s="2" t="str">
        <f t="shared" si="62"/>
        <v>Digital Approve Hit</v>
      </c>
      <c r="N810" s="7">
        <v>16.399999999999999</v>
      </c>
      <c r="O810" s="7">
        <v>-0.1</v>
      </c>
      <c r="P810" s="7">
        <v>-1.1000000000000001</v>
      </c>
      <c r="Q810" s="7">
        <v>-0.21</v>
      </c>
      <c r="R810" s="7">
        <v>-0.1</v>
      </c>
      <c r="S810" s="7">
        <v>-0.1</v>
      </c>
      <c r="T810" s="7">
        <v>0.28000000000000003</v>
      </c>
      <c r="U810" s="7">
        <v>-0.23</v>
      </c>
      <c r="V810" s="7">
        <v>0.42</v>
      </c>
      <c r="W810" s="7" t="s">
        <v>8</v>
      </c>
      <c r="X810" s="7" t="s">
        <v>15</v>
      </c>
      <c r="Y810" s="2" t="s">
        <v>719</v>
      </c>
      <c r="Z810" s="2" t="s">
        <v>721</v>
      </c>
    </row>
    <row r="811" spans="1:26" x14ac:dyDescent="0.35">
      <c r="A811" s="7" t="s">
        <v>1559</v>
      </c>
      <c r="B811" s="7" t="s">
        <v>852</v>
      </c>
      <c r="C811" s="4" t="str">
        <f>_xlfn.XLOOKUP(A811,[2]Sheet2!$I$2:$I$1273,[2]Sheet2!$D$2:$D$1273,0)</f>
        <v>Q3</v>
      </c>
      <c r="D811" s="4" t="str">
        <f>_xlfn.XLOOKUP(B811,[4]Sheet2!$B$2:$B$3154,[4]Sheet2!$F$2:$F$3154,0)</f>
        <v>N/ App</v>
      </c>
      <c r="E811" s="4" t="e">
        <f>_xlfn.XLOOKUP(B811,[2]Sheet2!$E$2:$E$713,[2]Sheet2!$G$2:$G$713)</f>
        <v>#N/A</v>
      </c>
      <c r="F811" s="18">
        <v>46095</v>
      </c>
      <c r="G811" s="14">
        <v>6.3182870370370375E-2</v>
      </c>
      <c r="H811" s="7" t="s">
        <v>11</v>
      </c>
      <c r="I811" s="2" t="str">
        <f t="shared" si="63"/>
        <v>Q4</v>
      </c>
      <c r="J811" s="2" t="str">
        <f t="shared" si="64"/>
        <v>Not Match</v>
      </c>
      <c r="K811" s="2">
        <f t="shared" si="60"/>
        <v>0.1</v>
      </c>
      <c r="L811" s="2" t="e">
        <f t="shared" si="61"/>
        <v>#N/A</v>
      </c>
      <c r="M811" s="2" t="str">
        <f t="shared" si="62"/>
        <v>Below 0.8 not in assigned quadrant</v>
      </c>
      <c r="N811" s="7">
        <v>17.2</v>
      </c>
      <c r="O811" s="7">
        <v>-0.6</v>
      </c>
      <c r="P811" s="7">
        <v>-3</v>
      </c>
      <c r="Q811" s="7">
        <v>-0.44</v>
      </c>
      <c r="R811" s="7">
        <v>0</v>
      </c>
      <c r="S811" s="7">
        <v>-0.1</v>
      </c>
      <c r="T811" s="7">
        <v>0.2</v>
      </c>
      <c r="U811" s="7">
        <v>0.05</v>
      </c>
      <c r="V811" s="7">
        <v>0.49</v>
      </c>
      <c r="W811" s="7" t="s">
        <v>8</v>
      </c>
      <c r="X811" s="7" t="s">
        <v>9</v>
      </c>
      <c r="Y811" s="2" t="s">
        <v>719</v>
      </c>
      <c r="Z811" s="2" t="s">
        <v>721</v>
      </c>
    </row>
    <row r="812" spans="1:26" x14ac:dyDescent="0.35">
      <c r="A812" s="7" t="s">
        <v>1521</v>
      </c>
      <c r="B812" s="7" t="s">
        <v>842</v>
      </c>
      <c r="C812" s="4" t="str">
        <f>_xlfn.XLOOKUP(A812,[2]Sheet2!$I$2:$I$1273,[2]Sheet2!$D$2:$D$1273,0)</f>
        <v>Q3</v>
      </c>
      <c r="D812" s="4" t="str">
        <f>_xlfn.XLOOKUP(B812,[4]Sheet2!$B$2:$B$3154,[4]Sheet2!$F$2:$F$3154,0)</f>
        <v>C/APP</v>
      </c>
      <c r="E812" s="4" t="e">
        <f>_xlfn.XLOOKUP(B812,[2]Sheet2!$E$2:$E$713,[2]Sheet2!$G$2:$G$713)</f>
        <v>#N/A</v>
      </c>
      <c r="F812" s="18">
        <v>46095</v>
      </c>
      <c r="G812" s="14">
        <v>0.23787037037037037</v>
      </c>
      <c r="H812" s="7" t="s">
        <v>11</v>
      </c>
      <c r="I812" s="2" t="str">
        <f t="shared" si="63"/>
        <v>Q2</v>
      </c>
      <c r="J812" s="2" t="str">
        <f t="shared" si="64"/>
        <v>Not Match</v>
      </c>
      <c r="K812" s="2">
        <f t="shared" si="60"/>
        <v>0.28284271247461906</v>
      </c>
      <c r="L812" s="2" t="e">
        <f t="shared" si="61"/>
        <v>#N/A</v>
      </c>
      <c r="M812" s="2" t="str">
        <f t="shared" si="62"/>
        <v>Below 0.8 not in assigned quadrant</v>
      </c>
      <c r="N812" s="7">
        <v>20.399999999999999</v>
      </c>
      <c r="O812" s="7">
        <v>0.8</v>
      </c>
      <c r="P812" s="7">
        <v>-8.1999999999999993</v>
      </c>
      <c r="Q812" s="7">
        <v>-0.5</v>
      </c>
      <c r="R812" s="7">
        <v>-0.2</v>
      </c>
      <c r="S812" s="7">
        <v>0.2</v>
      </c>
      <c r="T812" s="7">
        <v>-0.23</v>
      </c>
      <c r="U812" s="7">
        <v>-0.27</v>
      </c>
      <c r="V812" s="7">
        <v>0.61</v>
      </c>
      <c r="W812" s="7" t="s">
        <v>8</v>
      </c>
      <c r="X812" s="7" t="s">
        <v>15</v>
      </c>
      <c r="Y812" s="2" t="s">
        <v>719</v>
      </c>
      <c r="Z812" s="2" t="s">
        <v>721</v>
      </c>
    </row>
    <row r="813" spans="1:26" x14ac:dyDescent="0.35">
      <c r="A813" s="7" t="s">
        <v>1516</v>
      </c>
      <c r="B813" s="7" t="s">
        <v>855</v>
      </c>
      <c r="C813" s="4" t="str">
        <f>_xlfn.XLOOKUP(A813,[2]Sheet2!$I$2:$I$1273,[2]Sheet2!$D$2:$D$1273,0)</f>
        <v>Q2</v>
      </c>
      <c r="D813" s="4" t="str">
        <f>_xlfn.XLOOKUP(B813,[4]Sheet2!$B$2:$B$3154,[4]Sheet2!$F$2:$F$3154,0)</f>
        <v>N/ App</v>
      </c>
      <c r="E813" s="4" t="e">
        <f>_xlfn.XLOOKUP(B813,[2]Sheet2!$E$2:$E$713,[2]Sheet2!$G$2:$G$713)</f>
        <v>#N/A</v>
      </c>
      <c r="F813" s="18">
        <v>46095</v>
      </c>
      <c r="G813" s="14">
        <v>0.27121527777777776</v>
      </c>
      <c r="H813" s="7" t="s">
        <v>4</v>
      </c>
      <c r="I813" s="2" t="str">
        <f t="shared" si="63"/>
        <v>Q1</v>
      </c>
      <c r="J813" s="2" t="str">
        <f t="shared" si="64"/>
        <v>Not Match</v>
      </c>
      <c r="K813" s="2">
        <f t="shared" si="60"/>
        <v>0.31622776601683794</v>
      </c>
      <c r="L813" s="2" t="e">
        <f t="shared" si="61"/>
        <v>#N/A</v>
      </c>
      <c r="M813" s="2" t="str">
        <f t="shared" si="62"/>
        <v>Assign quadrant hit</v>
      </c>
      <c r="N813" s="7">
        <v>17.5</v>
      </c>
      <c r="O813" s="7">
        <v>-1.2</v>
      </c>
      <c r="P813" s="7">
        <v>-1.3</v>
      </c>
      <c r="Q813" s="7">
        <v>-0.78</v>
      </c>
      <c r="R813" s="7">
        <v>0.1</v>
      </c>
      <c r="S813" s="7">
        <v>0.3</v>
      </c>
      <c r="T813" s="7">
        <v>-0.44</v>
      </c>
      <c r="U813" s="7">
        <v>-0.12</v>
      </c>
      <c r="V813" s="7">
        <v>0.91</v>
      </c>
      <c r="W813" s="7" t="s">
        <v>13</v>
      </c>
      <c r="X813" s="7" t="s">
        <v>12</v>
      </c>
      <c r="Y813" s="2" t="s">
        <v>719</v>
      </c>
      <c r="Z813" s="2" t="s">
        <v>721</v>
      </c>
    </row>
    <row r="814" spans="1:26" x14ac:dyDescent="0.35">
      <c r="A814" s="7" t="s">
        <v>1719</v>
      </c>
      <c r="B814" s="7" t="s">
        <v>856</v>
      </c>
      <c r="C814" s="4" t="str">
        <f>_xlfn.XLOOKUP(A814,[2]Sheet2!$I$2:$I$1273,[2]Sheet2!$D$2:$D$1273,0)</f>
        <v>Q1</v>
      </c>
      <c r="D814" s="4" t="str">
        <f>_xlfn.XLOOKUP(B814,[4]Sheet2!$B$2:$B$3154,[4]Sheet2!$F$2:$F$3154,0)</f>
        <v>N/ App</v>
      </c>
      <c r="E814" s="4" t="e">
        <f>_xlfn.XLOOKUP(B814,[2]Sheet2!$E$2:$E$713,[2]Sheet2!$G$2:$G$713)</f>
        <v>#N/A</v>
      </c>
      <c r="F814" s="18">
        <v>46095</v>
      </c>
      <c r="G814" s="14">
        <v>0.27278935185185182</v>
      </c>
      <c r="H814" s="7" t="s">
        <v>5</v>
      </c>
      <c r="I814" s="2" t="str">
        <f t="shared" si="63"/>
        <v>Q1</v>
      </c>
      <c r="J814" s="2" t="str">
        <f t="shared" si="64"/>
        <v>Match</v>
      </c>
      <c r="K814" s="2">
        <f t="shared" si="60"/>
        <v>0.2</v>
      </c>
      <c r="L814" s="2" t="e">
        <f t="shared" si="61"/>
        <v>#N/A</v>
      </c>
      <c r="M814" s="2" t="str">
        <f t="shared" si="62"/>
        <v>Digital Approve Hit</v>
      </c>
      <c r="N814" s="7">
        <v>19.2</v>
      </c>
      <c r="O814" s="7">
        <v>-0.5</v>
      </c>
      <c r="P814" s="7">
        <v>-11.9</v>
      </c>
      <c r="Q814" s="7">
        <v>-0.33</v>
      </c>
      <c r="R814" s="7">
        <v>0</v>
      </c>
      <c r="S814" s="7">
        <v>0.2</v>
      </c>
      <c r="T814" s="7">
        <v>-0.19</v>
      </c>
      <c r="U814" s="7">
        <v>-0.12</v>
      </c>
      <c r="V814" s="7">
        <v>0.4</v>
      </c>
      <c r="W814" s="7" t="s">
        <v>8</v>
      </c>
      <c r="X814" s="7" t="s">
        <v>15</v>
      </c>
      <c r="Y814" s="2" t="s">
        <v>719</v>
      </c>
      <c r="Z814" s="2" t="s">
        <v>721</v>
      </c>
    </row>
    <row r="815" spans="1:26" x14ac:dyDescent="0.35">
      <c r="A815" s="7" t="s">
        <v>1685</v>
      </c>
      <c r="B815" s="7" t="s">
        <v>857</v>
      </c>
      <c r="C815" s="4" t="str">
        <f>_xlfn.XLOOKUP(A815,[2]Sheet2!$I$2:$I$1273,[2]Sheet2!$D$2:$D$1273,0)</f>
        <v>Q1</v>
      </c>
      <c r="D815" s="4" t="str">
        <f>_xlfn.XLOOKUP(B815,[4]Sheet2!$B$2:$B$3154,[4]Sheet2!$F$2:$F$3154,0)</f>
        <v>N/ App</v>
      </c>
      <c r="E815" s="4" t="e">
        <f>_xlfn.XLOOKUP(B815,[2]Sheet2!$E$2:$E$713,[2]Sheet2!$G$2:$G$713)</f>
        <v>#N/A</v>
      </c>
      <c r="F815" s="18">
        <v>46095</v>
      </c>
      <c r="G815" s="14">
        <v>0.2745023148148148</v>
      </c>
      <c r="H815" s="7" t="s">
        <v>11</v>
      </c>
      <c r="I815" s="2" t="str">
        <f t="shared" si="63"/>
        <v>Q4</v>
      </c>
      <c r="J815" s="2" t="str">
        <f t="shared" si="64"/>
        <v>Not Match</v>
      </c>
      <c r="K815" s="2">
        <f t="shared" si="60"/>
        <v>0.1</v>
      </c>
      <c r="L815" s="2" t="e">
        <f t="shared" si="61"/>
        <v>#N/A</v>
      </c>
      <c r="M815" s="2" t="str">
        <f t="shared" si="62"/>
        <v>Below 0.8 not in assigned quadrant</v>
      </c>
      <c r="N815" s="7">
        <v>15.3</v>
      </c>
      <c r="O815" s="7">
        <v>-0.8</v>
      </c>
      <c r="P815" s="7">
        <v>-5</v>
      </c>
      <c r="Q815" s="7">
        <v>-0.04</v>
      </c>
      <c r="R815" s="7">
        <v>0</v>
      </c>
      <c r="S815" s="7">
        <v>-0.1</v>
      </c>
      <c r="T815" s="7">
        <v>0.16</v>
      </c>
      <c r="U815" s="7">
        <v>0.11</v>
      </c>
      <c r="V815" s="7">
        <v>0.2</v>
      </c>
      <c r="W815" s="7" t="s">
        <v>8</v>
      </c>
      <c r="X815" s="7" t="s">
        <v>9</v>
      </c>
      <c r="Y815" s="2" t="s">
        <v>719</v>
      </c>
      <c r="Z815" s="2" t="s">
        <v>721</v>
      </c>
    </row>
    <row r="816" spans="1:26" x14ac:dyDescent="0.35">
      <c r="A816" s="7" t="s">
        <v>1508</v>
      </c>
      <c r="B816" s="7" t="s">
        <v>858</v>
      </c>
      <c r="C816" s="4" t="str">
        <f>_xlfn.XLOOKUP(A816,[2]Sheet2!$I$2:$I$1273,[2]Sheet2!$D$2:$D$1273,0)</f>
        <v>Q2</v>
      </c>
      <c r="D816" s="4" t="str">
        <f>_xlfn.XLOOKUP(B816,[4]Sheet2!$B$2:$B$3154,[4]Sheet2!$F$2:$F$3154,0)</f>
        <v>N/ App</v>
      </c>
      <c r="E816" s="4" t="e">
        <f>_xlfn.XLOOKUP(B816,[2]Sheet2!$E$2:$E$713,[2]Sheet2!$G$2:$G$713)</f>
        <v>#N/A</v>
      </c>
      <c r="F816" s="18">
        <v>46095</v>
      </c>
      <c r="G816" s="14">
        <v>0.2759490740740741</v>
      </c>
      <c r="H816" s="7" t="s">
        <v>5</v>
      </c>
      <c r="I816" s="2" t="str">
        <f t="shared" si="63"/>
        <v>Q3</v>
      </c>
      <c r="J816" s="2" t="str">
        <f t="shared" si="64"/>
        <v>Not Match</v>
      </c>
      <c r="K816" s="2">
        <f t="shared" si="60"/>
        <v>0.14142135623730953</v>
      </c>
      <c r="L816" s="2" t="e">
        <f t="shared" si="61"/>
        <v>#N/A</v>
      </c>
      <c r="M816" s="2" t="str">
        <f t="shared" si="62"/>
        <v>Below 0.8 not in assigned quadrant</v>
      </c>
      <c r="N816" s="7">
        <v>17.600000000000001</v>
      </c>
      <c r="O816" s="7">
        <v>-1</v>
      </c>
      <c r="P816" s="7">
        <v>-9.1</v>
      </c>
      <c r="Q816" s="7">
        <v>-0.54</v>
      </c>
      <c r="R816" s="7">
        <v>-0.1</v>
      </c>
      <c r="S816" s="7">
        <v>-0.1</v>
      </c>
      <c r="T816" s="7">
        <v>0.1</v>
      </c>
      <c r="U816" s="7">
        <v>-0.22</v>
      </c>
      <c r="V816" s="7">
        <v>0.59</v>
      </c>
      <c r="W816" s="7" t="s">
        <v>8</v>
      </c>
      <c r="X816" s="7" t="s">
        <v>15</v>
      </c>
      <c r="Y816" s="2" t="s">
        <v>719</v>
      </c>
      <c r="Z816" s="2" t="s">
        <v>721</v>
      </c>
    </row>
    <row r="817" spans="1:26" x14ac:dyDescent="0.35">
      <c r="A817" s="7" t="s">
        <v>1516</v>
      </c>
      <c r="B817" s="7" t="s">
        <v>859</v>
      </c>
      <c r="C817" s="4" t="str">
        <f>_xlfn.XLOOKUP(A817,[2]Sheet2!$I$2:$I$1273,[2]Sheet2!$D$2:$D$1273,0)</f>
        <v>Q2</v>
      </c>
      <c r="D817" s="4" t="str">
        <f>_xlfn.XLOOKUP(B817,[4]Sheet2!$B$2:$B$3154,[4]Sheet2!$F$2:$F$3154,0)</f>
        <v>N/ App</v>
      </c>
      <c r="E817" s="4" t="e">
        <f>_xlfn.XLOOKUP(B817,[2]Sheet2!$E$2:$E$713,[2]Sheet2!$G$2:$G$713)</f>
        <v>#N/A</v>
      </c>
      <c r="F817" s="18">
        <v>46095</v>
      </c>
      <c r="G817" s="14">
        <v>0.27734953703703702</v>
      </c>
      <c r="H817" s="7" t="s">
        <v>14</v>
      </c>
      <c r="I817" s="2" t="str">
        <f t="shared" si="63"/>
        <v>Q4</v>
      </c>
      <c r="J817" s="2" t="str">
        <f t="shared" si="64"/>
        <v>Not Match</v>
      </c>
      <c r="K817" s="2">
        <f t="shared" si="60"/>
        <v>0.3</v>
      </c>
      <c r="L817" s="2" t="e">
        <f t="shared" si="61"/>
        <v>#N/A</v>
      </c>
      <c r="M817" s="2" t="str">
        <f t="shared" si="62"/>
        <v>Below 0.8 not in assigned quadrant</v>
      </c>
      <c r="N817" s="7">
        <v>18.100000000000001</v>
      </c>
      <c r="O817" s="7">
        <v>-1.5</v>
      </c>
      <c r="P817" s="7">
        <v>-3</v>
      </c>
      <c r="Q817" s="7">
        <v>0.14000000000000001</v>
      </c>
      <c r="R817" s="7">
        <v>0</v>
      </c>
      <c r="S817" s="7">
        <v>-0.3</v>
      </c>
      <c r="T817" s="7">
        <v>0.36</v>
      </c>
      <c r="U817" s="7">
        <v>0.3</v>
      </c>
      <c r="V817" s="7">
        <v>0.49</v>
      </c>
      <c r="W817" s="7" t="s">
        <v>8</v>
      </c>
      <c r="X817" s="7" t="s">
        <v>9</v>
      </c>
      <c r="Y817" s="2" t="s">
        <v>719</v>
      </c>
      <c r="Z817" s="2" t="s">
        <v>721</v>
      </c>
    </row>
    <row r="818" spans="1:26" x14ac:dyDescent="0.35">
      <c r="A818" s="7" t="s">
        <v>1720</v>
      </c>
      <c r="B818" s="7" t="s">
        <v>860</v>
      </c>
      <c r="C818" s="4" t="str">
        <f>_xlfn.XLOOKUP(A818,[2]Sheet2!$I$2:$I$1273,[2]Sheet2!$D$2:$D$1273,0)</f>
        <v>Q3</v>
      </c>
      <c r="D818" s="4" t="str">
        <f>_xlfn.XLOOKUP(B818,[4]Sheet2!$B$2:$B$3154,[4]Sheet2!$F$2:$F$3154,0)</f>
        <v>C/APP</v>
      </c>
      <c r="E818" s="4" t="e">
        <f>_xlfn.XLOOKUP(B818,[2]Sheet2!$E$2:$E$713,[2]Sheet2!$G$2:$G$713)</f>
        <v>#N/A</v>
      </c>
      <c r="F818" s="18">
        <v>46095</v>
      </c>
      <c r="G818" s="14">
        <v>0.27854166666666669</v>
      </c>
      <c r="H818" s="7" t="s">
        <v>4</v>
      </c>
      <c r="I818" s="2" t="str">
        <f t="shared" si="63"/>
        <v>Q2</v>
      </c>
      <c r="J818" s="2" t="str">
        <f t="shared" si="64"/>
        <v>Not Match</v>
      </c>
      <c r="K818" s="2">
        <f t="shared" si="60"/>
        <v>0.50990195135927852</v>
      </c>
      <c r="L818" s="2" t="e">
        <f t="shared" si="61"/>
        <v>#N/A</v>
      </c>
      <c r="M818" s="2" t="str">
        <f t="shared" si="62"/>
        <v>Below 0.8 not in assigned quadrant</v>
      </c>
      <c r="N818" s="7">
        <v>17.2</v>
      </c>
      <c r="O818" s="7">
        <v>0.5</v>
      </c>
      <c r="P818" s="7">
        <v>-7.5</v>
      </c>
      <c r="Q818" s="7">
        <v>0.22</v>
      </c>
      <c r="R818" s="7">
        <v>-0.1</v>
      </c>
      <c r="S818" s="7">
        <v>0.5</v>
      </c>
      <c r="T818" s="7">
        <v>-0.49</v>
      </c>
      <c r="U818" s="7">
        <v>-0.15</v>
      </c>
      <c r="V818" s="7">
        <v>0.55000000000000004</v>
      </c>
      <c r="W818" s="7" t="s">
        <v>8</v>
      </c>
      <c r="X818" s="7" t="s">
        <v>15</v>
      </c>
      <c r="Y818" s="2" t="s">
        <v>719</v>
      </c>
      <c r="Z818" s="2" t="s">
        <v>721</v>
      </c>
    </row>
    <row r="819" spans="1:26" x14ac:dyDescent="0.35">
      <c r="A819" s="7" t="s">
        <v>1574</v>
      </c>
      <c r="B819" s="7" t="s">
        <v>861</v>
      </c>
      <c r="C819" s="4" t="str">
        <f>_xlfn.XLOOKUP(A819,[2]Sheet2!$I$2:$I$1273,[2]Sheet2!$D$2:$D$1273,0)</f>
        <v>Q2</v>
      </c>
      <c r="D819" s="4" t="str">
        <f>_xlfn.XLOOKUP(B819,[4]Sheet2!$B$2:$B$3154,[4]Sheet2!$F$2:$F$3154,0)</f>
        <v>N/ App</v>
      </c>
      <c r="E819" s="4" t="e">
        <f>_xlfn.XLOOKUP(B819,[2]Sheet2!$E$2:$E$713,[2]Sheet2!$G$2:$G$713)</f>
        <v>#N/A</v>
      </c>
      <c r="F819" s="18">
        <v>46095</v>
      </c>
      <c r="G819" s="14">
        <v>0.28020833333333334</v>
      </c>
      <c r="H819" s="7" t="s">
        <v>10</v>
      </c>
      <c r="I819" s="2" t="str">
        <f t="shared" si="63"/>
        <v>Q4</v>
      </c>
      <c r="J819" s="2" t="str">
        <f t="shared" si="64"/>
        <v>Not Match</v>
      </c>
      <c r="K819" s="2">
        <f t="shared" si="60"/>
        <v>0.80622577482985502</v>
      </c>
      <c r="L819" s="2" t="e">
        <f t="shared" si="61"/>
        <v>#N/A</v>
      </c>
      <c r="M819" s="2" t="str">
        <f t="shared" si="62"/>
        <v>Assign quadrant hit</v>
      </c>
      <c r="N819" s="7">
        <v>18.5</v>
      </c>
      <c r="O819" s="7">
        <v>-1.9</v>
      </c>
      <c r="P819" s="7">
        <v>-12.1</v>
      </c>
      <c r="Q819" s="7">
        <v>-0.75</v>
      </c>
      <c r="R819" s="7">
        <v>0.1</v>
      </c>
      <c r="S819" s="7">
        <v>-0.8</v>
      </c>
      <c r="T819" s="7">
        <v>0.64</v>
      </c>
      <c r="U819" s="7">
        <v>0.4</v>
      </c>
      <c r="V819" s="7">
        <v>1.06</v>
      </c>
      <c r="W819" s="7" t="s">
        <v>6</v>
      </c>
      <c r="X819" s="7" t="s">
        <v>9</v>
      </c>
      <c r="Y819" s="2" t="s">
        <v>719</v>
      </c>
      <c r="Z819" s="2" t="s">
        <v>721</v>
      </c>
    </row>
    <row r="820" spans="1:26" x14ac:dyDescent="0.35">
      <c r="A820" s="7" t="s">
        <v>1545</v>
      </c>
      <c r="B820" s="7" t="s">
        <v>862</v>
      </c>
      <c r="C820" s="4" t="str">
        <f>_xlfn.XLOOKUP(A820,[2]Sheet2!$I$2:$I$1273,[2]Sheet2!$D$2:$D$1273,0)</f>
        <v>Q2</v>
      </c>
      <c r="D820" s="4" t="str">
        <f>_xlfn.XLOOKUP(B820,[4]Sheet2!$B$2:$B$3154,[4]Sheet2!$F$2:$F$3154,0)</f>
        <v>N/ App</v>
      </c>
      <c r="E820" s="4" t="e">
        <f>_xlfn.XLOOKUP(B820,[2]Sheet2!$E$2:$E$713,[2]Sheet2!$G$2:$G$713)</f>
        <v>#N/A</v>
      </c>
      <c r="F820" s="18">
        <v>46095</v>
      </c>
      <c r="G820" s="14">
        <v>0.28391203703703705</v>
      </c>
      <c r="H820" s="7" t="s">
        <v>5</v>
      </c>
      <c r="I820" s="2" t="str">
        <f t="shared" si="63"/>
        <v>Q4</v>
      </c>
      <c r="J820" s="2" t="str">
        <f t="shared" si="64"/>
        <v>Not Match</v>
      </c>
      <c r="K820" s="2">
        <f t="shared" si="60"/>
        <v>0.1</v>
      </c>
      <c r="L820" s="2" t="e">
        <f t="shared" si="61"/>
        <v>#N/A</v>
      </c>
      <c r="M820" s="2" t="str">
        <f t="shared" si="62"/>
        <v>Below 0.8 not in assigned quadrant</v>
      </c>
      <c r="N820" s="7">
        <v>17.399999999999999</v>
      </c>
      <c r="O820" s="7">
        <v>-0.7</v>
      </c>
      <c r="P820" s="7">
        <v>-2.5</v>
      </c>
      <c r="Q820" s="7">
        <v>-0.49</v>
      </c>
      <c r="R820" s="7">
        <v>0</v>
      </c>
      <c r="S820" s="7">
        <v>-0.1</v>
      </c>
      <c r="T820" s="7">
        <v>0.25</v>
      </c>
      <c r="U820" s="7">
        <v>-0.01</v>
      </c>
      <c r="V820" s="7">
        <v>0.56000000000000005</v>
      </c>
      <c r="W820" s="7" t="s">
        <v>8</v>
      </c>
      <c r="X820" s="7" t="s">
        <v>15</v>
      </c>
      <c r="Y820" s="2" t="s">
        <v>719</v>
      </c>
      <c r="Z820" s="2" t="s">
        <v>721</v>
      </c>
    </row>
    <row r="821" spans="1:26" x14ac:dyDescent="0.35">
      <c r="A821" s="7" t="s">
        <v>1599</v>
      </c>
      <c r="B821" s="7" t="s">
        <v>863</v>
      </c>
      <c r="C821" s="4" t="e">
        <f>_xlfn.XLOOKUP(A821,[2]Sheet2!$I$2:$I$1273,[2]Sheet2!$D$2:$D$1273,0)</f>
        <v>#REF!</v>
      </c>
      <c r="D821" s="4" t="str">
        <f>_xlfn.XLOOKUP(B821,[4]Sheet2!$B$2:$B$3154,[4]Sheet2!$F$2:$F$3154,0)</f>
        <v>N/ App</v>
      </c>
      <c r="E821" s="4" t="e">
        <f>_xlfn.XLOOKUP(B821,[2]Sheet2!$E$2:$E$713,[2]Sheet2!$G$2:$G$713)</f>
        <v>#N/A</v>
      </c>
      <c r="F821" s="18">
        <v>46095</v>
      </c>
      <c r="G821" s="14">
        <v>0.28553240740740743</v>
      </c>
      <c r="H821" s="7" t="s">
        <v>16</v>
      </c>
      <c r="I821" s="2" t="e">
        <f t="shared" si="63"/>
        <v>#REF!</v>
      </c>
      <c r="J821" s="2" t="e">
        <f t="shared" si="64"/>
        <v>#REF!</v>
      </c>
      <c r="K821" s="2">
        <f t="shared" si="60"/>
        <v>0</v>
      </c>
      <c r="L821" s="2" t="e">
        <f t="shared" si="61"/>
        <v>#N/A</v>
      </c>
      <c r="M821" s="2" t="e">
        <f t="shared" si="62"/>
        <v>#REF!</v>
      </c>
      <c r="N821" s="7">
        <v>25.5</v>
      </c>
      <c r="O821" s="7">
        <v>1.4</v>
      </c>
      <c r="P821" s="7">
        <v>9.1999999999999993</v>
      </c>
      <c r="Q821" s="7">
        <v>-0.04</v>
      </c>
      <c r="R821" s="7">
        <v>0</v>
      </c>
      <c r="S821" s="7">
        <v>0</v>
      </c>
      <c r="T821" s="7">
        <v>-0.05</v>
      </c>
      <c r="U821" s="7">
        <v>-0.04</v>
      </c>
      <c r="V821" s="7">
        <v>0.08</v>
      </c>
      <c r="W821" s="7" t="s">
        <v>8</v>
      </c>
      <c r="X821" s="7" t="s">
        <v>9</v>
      </c>
      <c r="Y821" s="2" t="s">
        <v>719</v>
      </c>
      <c r="Z821" s="2" t="s">
        <v>721</v>
      </c>
    </row>
    <row r="822" spans="1:26" x14ac:dyDescent="0.35">
      <c r="A822" s="7" t="s">
        <v>1559</v>
      </c>
      <c r="B822" s="7" t="s">
        <v>864</v>
      </c>
      <c r="C822" s="4" t="str">
        <f>_xlfn.XLOOKUP(A822,[2]Sheet2!$I$2:$I$1273,[2]Sheet2!$D$2:$D$1273,0)</f>
        <v>Q3</v>
      </c>
      <c r="D822" s="4" t="str">
        <f>_xlfn.XLOOKUP(B822,[4]Sheet2!$B$2:$B$3154,[4]Sheet2!$F$2:$F$3154,0)</f>
        <v>N/ App</v>
      </c>
      <c r="E822" s="4" t="e">
        <f>_xlfn.XLOOKUP(B822,[2]Sheet2!$E$2:$E$713,[2]Sheet2!$G$2:$G$713)</f>
        <v>#N/A</v>
      </c>
      <c r="F822" s="18">
        <v>46095</v>
      </c>
      <c r="G822" s="14">
        <v>0.28721064814814817</v>
      </c>
      <c r="H822" s="7" t="s">
        <v>11</v>
      </c>
      <c r="I822" s="2" t="str">
        <f t="shared" si="63"/>
        <v>Q4</v>
      </c>
      <c r="J822" s="2" t="str">
        <f t="shared" si="64"/>
        <v>Not Match</v>
      </c>
      <c r="K822" s="2">
        <f t="shared" si="60"/>
        <v>0.1</v>
      </c>
      <c r="L822" s="2" t="e">
        <f t="shared" si="61"/>
        <v>#N/A</v>
      </c>
      <c r="M822" s="2" t="str">
        <f t="shared" si="62"/>
        <v>Below 0.8 not in assigned quadrant</v>
      </c>
      <c r="N822" s="7">
        <v>17</v>
      </c>
      <c r="O822" s="7">
        <v>-0.6</v>
      </c>
      <c r="P822" s="7">
        <v>-3</v>
      </c>
      <c r="Q822" s="7">
        <v>-0.67</v>
      </c>
      <c r="R822" s="7">
        <v>0</v>
      </c>
      <c r="S822" s="7">
        <v>-0.1</v>
      </c>
      <c r="T822" s="7">
        <v>0.2</v>
      </c>
      <c r="U822" s="7">
        <v>0</v>
      </c>
      <c r="V822" s="7">
        <v>0.7</v>
      </c>
      <c r="W822" s="7" t="s">
        <v>8</v>
      </c>
      <c r="X822" s="7" t="s">
        <v>9</v>
      </c>
      <c r="Y822" s="2" t="s">
        <v>719</v>
      </c>
      <c r="Z822" s="2" t="s">
        <v>721</v>
      </c>
    </row>
    <row r="823" spans="1:26" x14ac:dyDescent="0.35">
      <c r="A823" s="7" t="s">
        <v>1713</v>
      </c>
      <c r="B823" s="7" t="s">
        <v>865</v>
      </c>
      <c r="C823" s="4" t="str">
        <f>_xlfn.XLOOKUP(A823,[2]Sheet2!$I$2:$I$1273,[2]Sheet2!$D$2:$D$1273,0)</f>
        <v>Q3</v>
      </c>
      <c r="D823" s="4" t="str">
        <f>_xlfn.XLOOKUP(B823,[4]Sheet2!$B$2:$B$3154,[4]Sheet2!$F$2:$F$3154,0)</f>
        <v>N/ App</v>
      </c>
      <c r="E823" s="4" t="e">
        <f>_xlfn.XLOOKUP(B823,[2]Sheet2!$E$2:$E$713,[2]Sheet2!$G$2:$G$713)</f>
        <v>#N/A</v>
      </c>
      <c r="F823" s="18">
        <v>46095</v>
      </c>
      <c r="G823" s="14">
        <v>0.35994212962962963</v>
      </c>
      <c r="H823" s="7" t="s">
        <v>11</v>
      </c>
      <c r="I823" s="2" t="str">
        <f t="shared" si="63"/>
        <v>Q2</v>
      </c>
      <c r="J823" s="2" t="str">
        <f t="shared" si="64"/>
        <v>Not Match</v>
      </c>
      <c r="K823" s="2">
        <f t="shared" si="60"/>
        <v>1.019803902718557</v>
      </c>
      <c r="L823" s="2" t="e">
        <f t="shared" si="61"/>
        <v>#N/A</v>
      </c>
      <c r="M823" s="2" t="str">
        <f t="shared" si="62"/>
        <v>Assign quadrant hit</v>
      </c>
      <c r="N823" s="7">
        <v>42.4</v>
      </c>
      <c r="O823" s="7">
        <v>9.8000000000000007</v>
      </c>
      <c r="P823" s="7">
        <v>19.5</v>
      </c>
      <c r="Q823" s="7">
        <v>-0.72</v>
      </c>
      <c r="R823" s="7">
        <v>-0.2</v>
      </c>
      <c r="S823" s="7">
        <v>1</v>
      </c>
      <c r="T823" s="7">
        <v>0.48</v>
      </c>
      <c r="U823" s="7">
        <v>1.02</v>
      </c>
      <c r="V823" s="7">
        <v>1.33</v>
      </c>
      <c r="W823" s="7" t="s">
        <v>6</v>
      </c>
      <c r="X823" s="7" t="s">
        <v>12</v>
      </c>
      <c r="Y823" s="2" t="s">
        <v>719</v>
      </c>
      <c r="Z823" s="2" t="s">
        <v>721</v>
      </c>
    </row>
    <row r="824" spans="1:26" x14ac:dyDescent="0.35">
      <c r="A824" s="7" t="s">
        <v>1631</v>
      </c>
      <c r="B824" s="7" t="s">
        <v>761</v>
      </c>
      <c r="C824" s="4" t="str">
        <f>_xlfn.XLOOKUP(A824,[2]Sheet2!$I$2:$I$1273,[2]Sheet2!$D$2:$D$1273,0)</f>
        <v>Q4</v>
      </c>
      <c r="D824" s="4" t="str">
        <f>_xlfn.XLOOKUP(B824,[4]Sheet2!$B$2:$B$3154,[4]Sheet2!$F$2:$F$3154,0)</f>
        <v>C/APP</v>
      </c>
      <c r="E824" s="4" t="e">
        <f>_xlfn.XLOOKUP(B824,[2]Sheet2!$E$2:$E$713,[2]Sheet2!$G$2:$G$713)</f>
        <v>#N/A</v>
      </c>
      <c r="F824" s="18">
        <v>46095</v>
      </c>
      <c r="G824" s="14">
        <v>0.50696759259259261</v>
      </c>
      <c r="H824" s="7" t="s">
        <v>5</v>
      </c>
      <c r="I824" s="2" t="str">
        <f t="shared" si="63"/>
        <v>Q4</v>
      </c>
      <c r="J824" s="2" t="str">
        <f t="shared" si="64"/>
        <v>Match</v>
      </c>
      <c r="K824" s="2">
        <f t="shared" si="60"/>
        <v>0.44721359549995798</v>
      </c>
      <c r="L824" s="2" t="e">
        <f t="shared" si="61"/>
        <v>#N/A</v>
      </c>
      <c r="M824" s="2" t="str">
        <f t="shared" si="62"/>
        <v>Failed but within quadrant</v>
      </c>
      <c r="N824" s="7">
        <v>22.5</v>
      </c>
      <c r="O824" s="7">
        <v>3.7</v>
      </c>
      <c r="P824" s="7">
        <v>3.4</v>
      </c>
      <c r="Q824" s="7">
        <v>-0.63</v>
      </c>
      <c r="R824" s="7">
        <v>0.4</v>
      </c>
      <c r="S824" s="7">
        <v>-0.2</v>
      </c>
      <c r="T824" s="7">
        <v>0.21</v>
      </c>
      <c r="U824" s="7">
        <v>-0.72</v>
      </c>
      <c r="V824" s="7">
        <v>0.99</v>
      </c>
      <c r="W824" s="7" t="s">
        <v>13</v>
      </c>
      <c r="X824" s="7" t="s">
        <v>9</v>
      </c>
      <c r="Y824" s="2" t="s">
        <v>719</v>
      </c>
      <c r="Z824" s="2" t="s">
        <v>721</v>
      </c>
    </row>
    <row r="825" spans="1:26" x14ac:dyDescent="0.35">
      <c r="A825" s="7" t="s">
        <v>1721</v>
      </c>
      <c r="B825" s="7" t="s">
        <v>777</v>
      </c>
      <c r="C825" s="4" t="str">
        <f>_xlfn.XLOOKUP(A825,[2]Sheet2!$I$2:$I$1273,[2]Sheet2!$D$2:$D$1273,0)</f>
        <v>Q3</v>
      </c>
      <c r="D825" s="4" t="str">
        <f>_xlfn.XLOOKUP(B825,[4]Sheet2!$B$2:$B$3154,[4]Sheet2!$F$2:$F$3154,0)</f>
        <v>N/ App</v>
      </c>
      <c r="E825" s="4" t="e">
        <f>_xlfn.XLOOKUP(B825,[2]Sheet2!$E$2:$E$713,[2]Sheet2!$G$2:$G$713)</f>
        <v>#N/A</v>
      </c>
      <c r="F825" s="18">
        <v>46095</v>
      </c>
      <c r="G825" s="14">
        <v>0.50885416666666672</v>
      </c>
      <c r="H825" s="7" t="s">
        <v>5</v>
      </c>
      <c r="I825" s="2" t="str">
        <f t="shared" si="63"/>
        <v>Q3</v>
      </c>
      <c r="J825" s="2" t="str">
        <f t="shared" si="64"/>
        <v>Match</v>
      </c>
      <c r="K825" s="2">
        <f t="shared" ref="K825:K888" si="65">SQRT(R825^2+S825^2)</f>
        <v>0.31622776601683794</v>
      </c>
      <c r="L825" s="2" t="e">
        <f t="shared" ref="L825:L888" si="66">IF(K825&lt;=E825,"Within Range","Over Range")</f>
        <v>#N/A</v>
      </c>
      <c r="M825" s="2" t="str">
        <f t="shared" ref="M825:M888" si="67">IF(AND(J825="Match",V825&lt;=0.8),"Digital Approve Hit",
IF(AND(J825="Match",V825&gt;0.8),"Failed but within quadrant",
IF(AND(J825="Not Match",V825&lt;=0.8),"Below 0.8 not in assigned quadrant",
"Assign quadrant hit")))</f>
        <v>Digital Approve Hit</v>
      </c>
      <c r="N825" s="7">
        <v>16.5</v>
      </c>
      <c r="O825" s="7">
        <v>-0.5</v>
      </c>
      <c r="P825" s="7">
        <v>-1.9</v>
      </c>
      <c r="Q825" s="7">
        <v>-0.46</v>
      </c>
      <c r="R825" s="7">
        <v>-0.3</v>
      </c>
      <c r="S825" s="7">
        <v>-0.1</v>
      </c>
      <c r="T825" s="7">
        <v>0.28000000000000003</v>
      </c>
      <c r="U825" s="7">
        <v>-0.41</v>
      </c>
      <c r="V825" s="7">
        <v>0.68</v>
      </c>
      <c r="W825" s="7" t="s">
        <v>8</v>
      </c>
      <c r="X825" s="7" t="s">
        <v>15</v>
      </c>
      <c r="Y825" s="2" t="s">
        <v>719</v>
      </c>
      <c r="Z825" s="2" t="s">
        <v>721</v>
      </c>
    </row>
    <row r="826" spans="1:26" x14ac:dyDescent="0.35">
      <c r="A826" s="7" t="s">
        <v>1559</v>
      </c>
      <c r="B826" s="7" t="s">
        <v>866</v>
      </c>
      <c r="C826" s="4" t="str">
        <f>_xlfn.XLOOKUP(A826,[2]Sheet2!$I$2:$I$1273,[2]Sheet2!$D$2:$D$1273,0)</f>
        <v>Q3</v>
      </c>
      <c r="D826" s="4" t="str">
        <f>_xlfn.XLOOKUP(B826,[4]Sheet2!$B$2:$B$3154,[4]Sheet2!$F$2:$F$3154,0)</f>
        <v>N/ App</v>
      </c>
      <c r="E826" s="4" t="e">
        <f>_xlfn.XLOOKUP(B826,[2]Sheet2!$E$2:$E$713,[2]Sheet2!$G$2:$G$713)</f>
        <v>#N/A</v>
      </c>
      <c r="F826" s="18">
        <v>46095</v>
      </c>
      <c r="G826" s="14">
        <v>0.57542824074074073</v>
      </c>
      <c r="H826" s="7" t="s">
        <v>11</v>
      </c>
      <c r="I826" s="2" t="str">
        <f t="shared" ref="I826:I889" si="68">IF(AND(R826=0,S826=0),IF(C826="","Origin",C826),
IF(AND(R826&gt;0,S826=0),"Q4",
IF(AND(R826&lt;0,S826=0),"Q3",
IF(AND(R826&gt;=0,S826&lt;0),"Q4",
IF(AND(R826&gt;=0,S826&gt;0),"Q1",
IF(AND(R826&lt;0,S826&lt;=0),"Q3",
IF(AND(R826&lt;0,S826&gt;0),"Q2",
"")))))))</f>
        <v>Q3</v>
      </c>
      <c r="J826" s="2" t="str">
        <f t="shared" si="64"/>
        <v>Match</v>
      </c>
      <c r="K826" s="2">
        <f t="shared" si="65"/>
        <v>0</v>
      </c>
      <c r="L826" s="2" t="e">
        <f t="shared" si="66"/>
        <v>#N/A</v>
      </c>
      <c r="M826" s="2" t="str">
        <f t="shared" si="67"/>
        <v>Digital Approve Hit</v>
      </c>
      <c r="N826" s="7">
        <v>17.7</v>
      </c>
      <c r="O826" s="7">
        <v>-0.5</v>
      </c>
      <c r="P826" s="7">
        <v>-2.9</v>
      </c>
      <c r="Q826" s="7">
        <v>-0.05</v>
      </c>
      <c r="R826" s="7">
        <v>0</v>
      </c>
      <c r="S826" s="7">
        <v>0</v>
      </c>
      <c r="T826" s="7">
        <v>7.0000000000000007E-2</v>
      </c>
      <c r="U826" s="7">
        <v>0.12</v>
      </c>
      <c r="V826" s="7">
        <v>0.15</v>
      </c>
      <c r="W826" s="7" t="s">
        <v>8</v>
      </c>
      <c r="X826" s="7" t="s">
        <v>9</v>
      </c>
      <c r="Y826" s="2" t="s">
        <v>719</v>
      </c>
      <c r="Z826" s="2" t="s">
        <v>721</v>
      </c>
    </row>
    <row r="827" spans="1:26" x14ac:dyDescent="0.35">
      <c r="A827" s="7" t="s">
        <v>1687</v>
      </c>
      <c r="B827" s="7" t="s">
        <v>851</v>
      </c>
      <c r="C827" s="4" t="str">
        <f>_xlfn.XLOOKUP(A827,[2]Sheet2!$I$2:$I$1273,[2]Sheet2!$D$2:$D$1273,0)</f>
        <v>Q3</v>
      </c>
      <c r="D827" s="4" t="str">
        <f>_xlfn.XLOOKUP(B827,[4]Sheet2!$B$2:$B$3154,[4]Sheet2!$F$2:$F$3154,0)</f>
        <v>N/ App</v>
      </c>
      <c r="E827" s="4" t="e">
        <f>_xlfn.XLOOKUP(B827,[2]Sheet2!$E$2:$E$713,[2]Sheet2!$G$2:$G$713)</f>
        <v>#N/A</v>
      </c>
      <c r="F827" s="18">
        <v>46095</v>
      </c>
      <c r="G827" s="14">
        <v>0.58209490740740744</v>
      </c>
      <c r="H827" s="7" t="s">
        <v>5</v>
      </c>
      <c r="I827" s="2" t="str">
        <f t="shared" si="68"/>
        <v>Q4</v>
      </c>
      <c r="J827" s="2" t="str">
        <f t="shared" si="64"/>
        <v>Not Match</v>
      </c>
      <c r="K827" s="2">
        <f t="shared" si="65"/>
        <v>0.22360679774997899</v>
      </c>
      <c r="L827" s="2" t="e">
        <f t="shared" si="66"/>
        <v>#N/A</v>
      </c>
      <c r="M827" s="2" t="str">
        <f t="shared" si="67"/>
        <v>Below 0.8 not in assigned quadrant</v>
      </c>
      <c r="N827" s="7">
        <v>34.9</v>
      </c>
      <c r="O827" s="7">
        <v>11</v>
      </c>
      <c r="P827" s="7">
        <v>12.3</v>
      </c>
      <c r="Q827" s="7">
        <v>0.03</v>
      </c>
      <c r="R827" s="7">
        <v>0.1</v>
      </c>
      <c r="S827" s="7">
        <v>-0.2</v>
      </c>
      <c r="T827" s="7">
        <v>-0.03</v>
      </c>
      <c r="U827" s="7">
        <v>-0.43</v>
      </c>
      <c r="V827" s="7">
        <v>0.43</v>
      </c>
      <c r="W827" s="7" t="s">
        <v>8</v>
      </c>
      <c r="X827" s="7" t="s">
        <v>9</v>
      </c>
      <c r="Y827" s="2" t="s">
        <v>719</v>
      </c>
      <c r="Z827" s="2" t="s">
        <v>721</v>
      </c>
    </row>
    <row r="828" spans="1:26" x14ac:dyDescent="0.35">
      <c r="A828" s="7" t="s">
        <v>1614</v>
      </c>
      <c r="B828" s="7" t="s">
        <v>867</v>
      </c>
      <c r="C828" s="4" t="str">
        <f>_xlfn.XLOOKUP(A828,[2]Sheet2!$I$2:$I$1273,[2]Sheet2!$D$2:$D$1273,0)</f>
        <v>Q3</v>
      </c>
      <c r="D828" s="4" t="str">
        <f>_xlfn.XLOOKUP(B828,[4]Sheet2!$B$2:$B$3154,[4]Sheet2!$F$2:$F$3154,0)</f>
        <v>N/ App</v>
      </c>
      <c r="E828" s="4" t="e">
        <f>_xlfn.XLOOKUP(B828,[2]Sheet2!$E$2:$E$713,[2]Sheet2!$G$2:$G$713)</f>
        <v>#N/A</v>
      </c>
      <c r="F828" s="18">
        <v>46095</v>
      </c>
      <c r="G828" s="14">
        <v>0.58986111111111106</v>
      </c>
      <c r="H828" s="7" t="s">
        <v>16</v>
      </c>
      <c r="I828" s="2" t="str">
        <f t="shared" si="68"/>
        <v>Q3</v>
      </c>
      <c r="J828" s="2" t="str">
        <f t="shared" si="64"/>
        <v>Match</v>
      </c>
      <c r="K828" s="2">
        <f t="shared" si="65"/>
        <v>0.31622776601683794</v>
      </c>
      <c r="L828" s="2" t="e">
        <f t="shared" si="66"/>
        <v>#N/A</v>
      </c>
      <c r="M828" s="2" t="str">
        <f t="shared" si="67"/>
        <v>Digital Approve Hit</v>
      </c>
      <c r="N828" s="7">
        <v>24.5</v>
      </c>
      <c r="O828" s="7">
        <v>-5.6</v>
      </c>
      <c r="P828" s="7">
        <v>-8</v>
      </c>
      <c r="Q828" s="7">
        <v>0.46</v>
      </c>
      <c r="R828" s="7">
        <v>-0.3</v>
      </c>
      <c r="S828" s="7">
        <v>-0.1</v>
      </c>
      <c r="T828" s="7">
        <v>0.28000000000000003</v>
      </c>
      <c r="U828" s="7">
        <v>-0.28000000000000003</v>
      </c>
      <c r="V828" s="7">
        <v>0.61</v>
      </c>
      <c r="W828" s="7" t="s">
        <v>8</v>
      </c>
      <c r="X828" s="7" t="s">
        <v>15</v>
      </c>
      <c r="Y828" s="2" t="s">
        <v>719</v>
      </c>
      <c r="Z828" s="2" t="s">
        <v>721</v>
      </c>
    </row>
    <row r="829" spans="1:26" x14ac:dyDescent="0.35">
      <c r="A829" s="7" t="s">
        <v>1722</v>
      </c>
      <c r="B829" s="7" t="s">
        <v>868</v>
      </c>
      <c r="C829" s="4" t="str">
        <f>_xlfn.XLOOKUP(A829,[2]Sheet2!$I$2:$I$1273,[2]Sheet2!$D$2:$D$1273,0)</f>
        <v>Q4</v>
      </c>
      <c r="D829" s="4" t="str">
        <f>_xlfn.XLOOKUP(B829,[4]Sheet2!$B$2:$B$3154,[4]Sheet2!$F$2:$F$3154,0)</f>
        <v>C/APP</v>
      </c>
      <c r="E829" s="4" t="e">
        <f>_xlfn.XLOOKUP(B829,[2]Sheet2!$E$2:$E$713,[2]Sheet2!$G$2:$G$713)</f>
        <v>#N/A</v>
      </c>
      <c r="F829" s="18">
        <v>46095</v>
      </c>
      <c r="G829" s="14">
        <v>0.68262731481481487</v>
      </c>
      <c r="H829" s="7" t="s">
        <v>4</v>
      </c>
      <c r="I829" s="2" t="str">
        <f t="shared" si="68"/>
        <v>Q2</v>
      </c>
      <c r="J829" s="2" t="str">
        <f t="shared" si="64"/>
        <v>Not Match</v>
      </c>
      <c r="K829" s="2">
        <f t="shared" si="65"/>
        <v>0.5</v>
      </c>
      <c r="L829" s="2" t="e">
        <f t="shared" si="66"/>
        <v>#N/A</v>
      </c>
      <c r="M829" s="2" t="str">
        <f t="shared" si="67"/>
        <v>Below 0.8 not in assigned quadrant</v>
      </c>
      <c r="N829" s="7">
        <v>41.1</v>
      </c>
      <c r="O829" s="7">
        <v>54</v>
      </c>
      <c r="P829" s="7">
        <v>26.2</v>
      </c>
      <c r="Q829" s="7">
        <v>-0.32</v>
      </c>
      <c r="R829" s="7">
        <v>-0.4</v>
      </c>
      <c r="S829" s="7">
        <v>0.3</v>
      </c>
      <c r="T829" s="7">
        <v>-0.09</v>
      </c>
      <c r="U829" s="7">
        <v>0.36</v>
      </c>
      <c r="V829" s="7">
        <v>0.49</v>
      </c>
      <c r="W829" s="7" t="s">
        <v>8</v>
      </c>
      <c r="X829" s="7" t="s">
        <v>12</v>
      </c>
      <c r="Y829" s="2" t="s">
        <v>719</v>
      </c>
      <c r="Z829" s="2" t="s">
        <v>721</v>
      </c>
    </row>
    <row r="830" spans="1:26" x14ac:dyDescent="0.35">
      <c r="A830" s="7" t="s">
        <v>1526</v>
      </c>
      <c r="B830" s="7" t="s">
        <v>757</v>
      </c>
      <c r="C830" s="4" t="str">
        <f>_xlfn.XLOOKUP(A830,[2]Sheet2!$I$2:$I$1273,[2]Sheet2!$D$2:$D$1273,0)</f>
        <v>Q4</v>
      </c>
      <c r="D830" s="4" t="str">
        <f>_xlfn.XLOOKUP(B830,[4]Sheet2!$B$2:$B$3154,[4]Sheet2!$F$2:$F$3154,0)</f>
        <v>C/APP</v>
      </c>
      <c r="E830" s="4" t="e">
        <f>_xlfn.XLOOKUP(B830,[2]Sheet2!$E$2:$E$713,[2]Sheet2!$G$2:$G$713)</f>
        <v>#N/A</v>
      </c>
      <c r="F830" s="18">
        <v>46095</v>
      </c>
      <c r="G830" s="14">
        <v>0.68665509259259261</v>
      </c>
      <c r="H830" s="7" t="s">
        <v>11</v>
      </c>
      <c r="I830" s="2" t="str">
        <f t="shared" si="68"/>
        <v>Q3</v>
      </c>
      <c r="J830" s="2" t="str">
        <f t="shared" si="64"/>
        <v>Not Match</v>
      </c>
      <c r="K830" s="2">
        <f t="shared" si="65"/>
        <v>0.2</v>
      </c>
      <c r="L830" s="2" t="e">
        <f t="shared" si="66"/>
        <v>#N/A</v>
      </c>
      <c r="M830" s="2" t="str">
        <f t="shared" si="67"/>
        <v>Below 0.8 not in assigned quadrant</v>
      </c>
      <c r="N830" s="7">
        <v>32.299999999999997</v>
      </c>
      <c r="O830" s="7">
        <v>-5.8</v>
      </c>
      <c r="P830" s="7">
        <v>-11.3</v>
      </c>
      <c r="Q830" s="7">
        <v>-0.2</v>
      </c>
      <c r="R830" s="7">
        <v>-0.2</v>
      </c>
      <c r="S830" s="7">
        <v>0</v>
      </c>
      <c r="T830" s="7">
        <v>0.12</v>
      </c>
      <c r="U830" s="7">
        <v>-0.21</v>
      </c>
      <c r="V830" s="7">
        <v>0.31</v>
      </c>
      <c r="W830" s="7" t="s">
        <v>8</v>
      </c>
      <c r="X830" s="7" t="s">
        <v>15</v>
      </c>
      <c r="Y830" s="2" t="s">
        <v>719</v>
      </c>
      <c r="Z830" s="2" t="s">
        <v>721</v>
      </c>
    </row>
    <row r="831" spans="1:26" x14ac:dyDescent="0.35">
      <c r="A831" s="7" t="s">
        <v>1533</v>
      </c>
      <c r="B831" s="7" t="s">
        <v>869</v>
      </c>
      <c r="C831" s="4" t="str">
        <f>_xlfn.XLOOKUP(A831,[2]Sheet2!$I$2:$I$1273,[2]Sheet2!$D$2:$D$1273,0)</f>
        <v>Q2</v>
      </c>
      <c r="D831" s="4" t="str">
        <f>_xlfn.XLOOKUP(B831,[4]Sheet2!$B$2:$B$3154,[4]Sheet2!$F$2:$F$3154,0)</f>
        <v>C/APP</v>
      </c>
      <c r="E831" s="4" t="e">
        <f>_xlfn.XLOOKUP(B831,[2]Sheet2!$E$2:$E$713,[2]Sheet2!$G$2:$G$713)</f>
        <v>#N/A</v>
      </c>
      <c r="F831" s="18">
        <v>46095</v>
      </c>
      <c r="G831" s="14">
        <v>0.6884837962962963</v>
      </c>
      <c r="H831" s="7" t="s">
        <v>16</v>
      </c>
      <c r="I831" s="2" t="str">
        <f t="shared" si="68"/>
        <v>Q2</v>
      </c>
      <c r="J831" s="2" t="str">
        <f t="shared" si="64"/>
        <v>Match</v>
      </c>
      <c r="K831" s="2">
        <f t="shared" si="65"/>
        <v>0</v>
      </c>
      <c r="L831" s="2" t="e">
        <f t="shared" si="66"/>
        <v>#N/A</v>
      </c>
      <c r="M831" s="2" t="str">
        <f t="shared" si="67"/>
        <v>Digital Approve Hit</v>
      </c>
      <c r="N831" s="7">
        <v>24.9</v>
      </c>
      <c r="O831" s="7">
        <v>1.4</v>
      </c>
      <c r="P831" s="7">
        <v>9.1999999999999993</v>
      </c>
      <c r="Q831" s="7">
        <v>-0.35</v>
      </c>
      <c r="R831" s="7">
        <v>0</v>
      </c>
      <c r="S831" s="7">
        <v>0</v>
      </c>
      <c r="T831" s="7">
        <v>-0.03</v>
      </c>
      <c r="U831" s="7">
        <v>-0.04</v>
      </c>
      <c r="V831" s="7">
        <v>0.35</v>
      </c>
      <c r="W831" s="7" t="s">
        <v>8</v>
      </c>
      <c r="X831" s="7" t="s">
        <v>9</v>
      </c>
      <c r="Y831" s="2" t="s">
        <v>719</v>
      </c>
      <c r="Z831" s="2" t="s">
        <v>721</v>
      </c>
    </row>
    <row r="832" spans="1:26" x14ac:dyDescent="0.35">
      <c r="A832" s="7" t="s">
        <v>1671</v>
      </c>
      <c r="B832" s="7" t="s">
        <v>870</v>
      </c>
      <c r="C832" s="4" t="str">
        <f>_xlfn.XLOOKUP(A832,[2]Sheet2!$I$2:$I$1273,[2]Sheet2!$D$2:$D$1273,0)</f>
        <v>Q1</v>
      </c>
      <c r="D832" s="4" t="str">
        <f>_xlfn.XLOOKUP(B832,[4]Sheet2!$B$2:$B$3154,[4]Sheet2!$F$2:$F$3154,0)</f>
        <v>N/ App</v>
      </c>
      <c r="E832" s="4" t="e">
        <f>_xlfn.XLOOKUP(B832,[2]Sheet2!$E$2:$E$713,[2]Sheet2!$G$2:$G$713)</f>
        <v>#N/A</v>
      </c>
      <c r="F832" s="18">
        <v>46095</v>
      </c>
      <c r="G832" s="14">
        <v>0.69337962962962962</v>
      </c>
      <c r="H832" s="7" t="s">
        <v>11</v>
      </c>
      <c r="I832" s="2" t="str">
        <f t="shared" si="68"/>
        <v>Q1</v>
      </c>
      <c r="J832" s="2" t="str">
        <f t="shared" si="64"/>
        <v>Match</v>
      </c>
      <c r="K832" s="2">
        <f t="shared" si="65"/>
        <v>1.0440306508910551</v>
      </c>
      <c r="L832" s="2" t="e">
        <f t="shared" si="66"/>
        <v>#N/A</v>
      </c>
      <c r="M832" s="2" t="str">
        <f t="shared" si="67"/>
        <v>Failed but within quadrant</v>
      </c>
      <c r="N832" s="7">
        <v>31.9</v>
      </c>
      <c r="O832" s="7">
        <v>41.6</v>
      </c>
      <c r="P832" s="7">
        <v>23.3</v>
      </c>
      <c r="Q832" s="7">
        <v>-0.59</v>
      </c>
      <c r="R832" s="7">
        <v>0.3</v>
      </c>
      <c r="S832" s="7">
        <v>1</v>
      </c>
      <c r="T832" s="7">
        <v>0.34</v>
      </c>
      <c r="U832" s="7">
        <v>0.57999999999999996</v>
      </c>
      <c r="V832" s="7">
        <v>0.89</v>
      </c>
      <c r="W832" s="7" t="s">
        <v>13</v>
      </c>
      <c r="X832" s="7" t="s">
        <v>12</v>
      </c>
      <c r="Y832" s="2" t="s">
        <v>719</v>
      </c>
      <c r="Z832" s="2" t="s">
        <v>721</v>
      </c>
    </row>
    <row r="833" spans="1:26" x14ac:dyDescent="0.35">
      <c r="A833" s="7" t="s">
        <v>1545</v>
      </c>
      <c r="B833" s="7" t="s">
        <v>871</v>
      </c>
      <c r="C833" s="4" t="str">
        <f>_xlfn.XLOOKUP(A833,[2]Sheet2!$I$2:$I$1273,[2]Sheet2!$D$2:$D$1273,0)</f>
        <v>Q2</v>
      </c>
      <c r="D833" s="4" t="str">
        <f>_xlfn.XLOOKUP(B833,[4]Sheet2!$B$2:$B$3154,[4]Sheet2!$F$2:$F$3154,0)</f>
        <v>N/ App</v>
      </c>
      <c r="E833" s="4" t="e">
        <f>_xlfn.XLOOKUP(B833,[2]Sheet2!$E$2:$E$713,[2]Sheet2!$G$2:$G$713)</f>
        <v>#N/A</v>
      </c>
      <c r="F833" s="18">
        <v>46095</v>
      </c>
      <c r="G833" s="14">
        <v>0.69493055555555561</v>
      </c>
      <c r="H833" s="7" t="s">
        <v>5</v>
      </c>
      <c r="I833" s="2" t="str">
        <f t="shared" si="68"/>
        <v>Q4</v>
      </c>
      <c r="J833" s="2" t="str">
        <f t="shared" si="64"/>
        <v>Not Match</v>
      </c>
      <c r="K833" s="2">
        <f t="shared" si="65"/>
        <v>0.8</v>
      </c>
      <c r="L833" s="2" t="e">
        <f t="shared" si="66"/>
        <v>#N/A</v>
      </c>
      <c r="M833" s="2" t="str">
        <f t="shared" si="67"/>
        <v>Assign quadrant hit</v>
      </c>
      <c r="N833" s="7">
        <v>18</v>
      </c>
      <c r="O833" s="7">
        <v>-0.7</v>
      </c>
      <c r="P833" s="7">
        <v>-3.1</v>
      </c>
      <c r="Q833" s="7">
        <v>0.05</v>
      </c>
      <c r="R833" s="7">
        <v>0</v>
      </c>
      <c r="S833" s="7">
        <v>-0.8</v>
      </c>
      <c r="T833" s="7">
        <v>1</v>
      </c>
      <c r="U833" s="7">
        <v>0.28000000000000003</v>
      </c>
      <c r="V833" s="7">
        <v>1.04</v>
      </c>
      <c r="W833" s="7" t="s">
        <v>6</v>
      </c>
      <c r="X833" s="7" t="s">
        <v>9</v>
      </c>
      <c r="Y833" s="2" t="s">
        <v>719</v>
      </c>
      <c r="Z833" s="2" t="s">
        <v>721</v>
      </c>
    </row>
    <row r="834" spans="1:26" x14ac:dyDescent="0.35">
      <c r="A834" s="7" t="s">
        <v>1559</v>
      </c>
      <c r="B834" s="7" t="s">
        <v>872</v>
      </c>
      <c r="C834" s="4" t="str">
        <f>_xlfn.XLOOKUP(A834,[2]Sheet2!$I$2:$I$1273,[2]Sheet2!$D$2:$D$1273,0)</f>
        <v>Q3</v>
      </c>
      <c r="D834" s="4" t="str">
        <f>_xlfn.XLOOKUP(B834,[4]Sheet2!$B$2:$B$3154,[4]Sheet2!$F$2:$F$3154,0)</f>
        <v>N/ App</v>
      </c>
      <c r="E834" s="4" t="e">
        <f>_xlfn.XLOOKUP(B834,[2]Sheet2!$E$2:$E$713,[2]Sheet2!$G$2:$G$713)</f>
        <v>#N/A</v>
      </c>
      <c r="F834" s="18">
        <v>46095</v>
      </c>
      <c r="G834" s="14">
        <v>0.70195601851851852</v>
      </c>
      <c r="H834" s="7" t="s">
        <v>11</v>
      </c>
      <c r="I834" s="2" t="str">
        <f t="shared" si="68"/>
        <v>Q4</v>
      </c>
      <c r="J834" s="2" t="str">
        <f t="shared" si="64"/>
        <v>Not Match</v>
      </c>
      <c r="K834" s="2">
        <f t="shared" si="65"/>
        <v>0.1</v>
      </c>
      <c r="L834" s="2" t="e">
        <f t="shared" si="66"/>
        <v>#N/A</v>
      </c>
      <c r="M834" s="2" t="str">
        <f t="shared" si="67"/>
        <v>Assign quadrant hit</v>
      </c>
      <c r="N834" s="7">
        <v>16.5</v>
      </c>
      <c r="O834" s="7">
        <v>-0.6</v>
      </c>
      <c r="P834" s="7">
        <v>-3</v>
      </c>
      <c r="Q834" s="7">
        <v>-1.08</v>
      </c>
      <c r="R834" s="7">
        <v>0</v>
      </c>
      <c r="S834" s="7">
        <v>-0.1</v>
      </c>
      <c r="T834" s="7">
        <v>0.18</v>
      </c>
      <c r="U834" s="7">
        <v>0.05</v>
      </c>
      <c r="V834" s="7">
        <v>1.1000000000000001</v>
      </c>
      <c r="W834" s="7" t="s">
        <v>6</v>
      </c>
      <c r="X834" s="7" t="s">
        <v>9</v>
      </c>
      <c r="Y834" s="2" t="s">
        <v>719</v>
      </c>
      <c r="Z834" s="2" t="s">
        <v>721</v>
      </c>
    </row>
    <row r="835" spans="1:26" x14ac:dyDescent="0.35">
      <c r="A835" s="7" t="s">
        <v>1559</v>
      </c>
      <c r="B835" s="7" t="s">
        <v>873</v>
      </c>
      <c r="C835" s="4" t="str">
        <f>_xlfn.XLOOKUP(A835,[2]Sheet2!$I$2:$I$1273,[2]Sheet2!$D$2:$D$1273,0)</f>
        <v>Q3</v>
      </c>
      <c r="D835" s="4" t="str">
        <f>_xlfn.XLOOKUP(B835,[4]Sheet2!$B$2:$B$3154,[4]Sheet2!$F$2:$F$3154,0)</f>
        <v>N/ App</v>
      </c>
      <c r="E835" s="4" t="e">
        <f>_xlfn.XLOOKUP(B835,[2]Sheet2!$E$2:$E$713,[2]Sheet2!$G$2:$G$713)</f>
        <v>#N/A</v>
      </c>
      <c r="F835" s="18">
        <v>46095</v>
      </c>
      <c r="G835" s="14">
        <v>0.70299768518518524</v>
      </c>
      <c r="H835" s="7" t="s">
        <v>11</v>
      </c>
      <c r="I835" s="2" t="str">
        <f t="shared" si="68"/>
        <v>Q4</v>
      </c>
      <c r="J835" s="2" t="str">
        <f t="shared" ref="J835:J898" si="69">IF(I835=C835,"Match",IF(C835=0,"Not Found","Not Match"))</f>
        <v>Not Match</v>
      </c>
      <c r="K835" s="2">
        <f t="shared" si="65"/>
        <v>0.1</v>
      </c>
      <c r="L835" s="2" t="e">
        <f t="shared" si="66"/>
        <v>#N/A</v>
      </c>
      <c r="M835" s="2" t="str">
        <f t="shared" si="67"/>
        <v>Assign quadrant hit</v>
      </c>
      <c r="N835" s="7">
        <v>16.3</v>
      </c>
      <c r="O835" s="7">
        <v>-0.6</v>
      </c>
      <c r="P835" s="7">
        <v>-2.9</v>
      </c>
      <c r="Q835" s="7">
        <v>-1.28</v>
      </c>
      <c r="R835" s="7">
        <v>0</v>
      </c>
      <c r="S835" s="7">
        <v>-0.1</v>
      </c>
      <c r="T835" s="7">
        <v>0.12</v>
      </c>
      <c r="U835" s="7">
        <v>0</v>
      </c>
      <c r="V835" s="7">
        <v>1.29</v>
      </c>
      <c r="W835" s="7" t="s">
        <v>6</v>
      </c>
      <c r="X835" s="7" t="s">
        <v>9</v>
      </c>
      <c r="Y835" s="2" t="s">
        <v>719</v>
      </c>
      <c r="Z835" s="2" t="s">
        <v>721</v>
      </c>
    </row>
    <row r="836" spans="1:26" x14ac:dyDescent="0.35">
      <c r="A836" s="7" t="s">
        <v>1716</v>
      </c>
      <c r="B836" s="7" t="s">
        <v>874</v>
      </c>
      <c r="C836" s="4" t="str">
        <f>_xlfn.XLOOKUP(A836,[2]Sheet2!$I$2:$I$1273,[2]Sheet2!$D$2:$D$1273,0)</f>
        <v>Q3</v>
      </c>
      <c r="D836" s="4" t="str">
        <f>_xlfn.XLOOKUP(B836,[4]Sheet2!$B$2:$B$3154,[4]Sheet2!$F$2:$F$3154,0)</f>
        <v>N/ App</v>
      </c>
      <c r="E836" s="4" t="e">
        <f>_xlfn.XLOOKUP(B836,[2]Sheet2!$E$2:$E$713,[2]Sheet2!$G$2:$G$713)</f>
        <v>#N/A</v>
      </c>
      <c r="F836" s="18">
        <v>46095</v>
      </c>
      <c r="G836" s="14">
        <v>0.70623842592592589</v>
      </c>
      <c r="H836" s="7" t="s">
        <v>4</v>
      </c>
      <c r="I836" s="2" t="str">
        <f t="shared" si="68"/>
        <v>Q1</v>
      </c>
      <c r="J836" s="2" t="str">
        <f t="shared" si="69"/>
        <v>Not Match</v>
      </c>
      <c r="K836" s="2">
        <f t="shared" si="65"/>
        <v>0.1</v>
      </c>
      <c r="L836" s="2" t="e">
        <f t="shared" si="66"/>
        <v>#N/A</v>
      </c>
      <c r="M836" s="2" t="str">
        <f t="shared" si="67"/>
        <v>Below 0.8 not in assigned quadrant</v>
      </c>
      <c r="N836" s="7">
        <v>18</v>
      </c>
      <c r="O836" s="7">
        <v>-0.2</v>
      </c>
      <c r="P836" s="7">
        <v>-5.6</v>
      </c>
      <c r="Q836" s="7">
        <v>-0.62</v>
      </c>
      <c r="R836" s="7">
        <v>0</v>
      </c>
      <c r="S836" s="7">
        <v>0.1</v>
      </c>
      <c r="T836" s="7">
        <v>-0.13</v>
      </c>
      <c r="U836" s="7">
        <v>-0.01</v>
      </c>
      <c r="V836" s="7">
        <v>0.64</v>
      </c>
      <c r="W836" s="7" t="s">
        <v>8</v>
      </c>
      <c r="X836" s="7" t="s">
        <v>15</v>
      </c>
      <c r="Y836" s="2" t="s">
        <v>719</v>
      </c>
      <c r="Z836" s="2" t="s">
        <v>721</v>
      </c>
    </row>
    <row r="837" spans="1:26" x14ac:dyDescent="0.35">
      <c r="A837" s="7" t="s">
        <v>1540</v>
      </c>
      <c r="B837" s="7" t="s">
        <v>875</v>
      </c>
      <c r="C837" s="4" t="str">
        <f>_xlfn.XLOOKUP(A837,[2]Sheet2!$I$2:$I$1273,[2]Sheet2!$D$2:$D$1273,0)</f>
        <v>Q3</v>
      </c>
      <c r="D837" s="4" t="str">
        <f>_xlfn.XLOOKUP(B837,[4]Sheet2!$B$2:$B$3154,[4]Sheet2!$F$2:$F$3154,0)</f>
        <v>N/ App</v>
      </c>
      <c r="E837" s="4" t="e">
        <f>_xlfn.XLOOKUP(B837,[2]Sheet2!$E$2:$E$713,[2]Sheet2!$G$2:$G$713)</f>
        <v>#N/A</v>
      </c>
      <c r="F837" s="18">
        <v>46095</v>
      </c>
      <c r="G837" s="14">
        <v>0.75557870370370372</v>
      </c>
      <c r="H837" s="7" t="s">
        <v>11</v>
      </c>
      <c r="I837" s="2" t="str">
        <f t="shared" si="68"/>
        <v>Q3</v>
      </c>
      <c r="J837" s="2" t="str">
        <f t="shared" si="69"/>
        <v>Match</v>
      </c>
      <c r="K837" s="2">
        <f t="shared" si="65"/>
        <v>0</v>
      </c>
      <c r="L837" s="2" t="e">
        <f t="shared" si="66"/>
        <v>#N/A</v>
      </c>
      <c r="M837" s="2" t="str">
        <f t="shared" si="67"/>
        <v>Digital Approve Hit</v>
      </c>
      <c r="N837" s="7">
        <v>13.7</v>
      </c>
      <c r="O837" s="7">
        <v>-0.5</v>
      </c>
      <c r="P837" s="7">
        <v>-1.7</v>
      </c>
      <c r="Q837" s="7">
        <v>-0.49</v>
      </c>
      <c r="R837" s="7">
        <v>0</v>
      </c>
      <c r="S837" s="7">
        <v>0</v>
      </c>
      <c r="T837" s="7">
        <v>-7.0000000000000007E-2</v>
      </c>
      <c r="U837" s="7">
        <v>-0.05</v>
      </c>
      <c r="V837" s="7">
        <v>0.5</v>
      </c>
      <c r="W837" s="7" t="s">
        <v>8</v>
      </c>
      <c r="X837" s="7" t="s">
        <v>15</v>
      </c>
      <c r="Y837" s="2" t="s">
        <v>719</v>
      </c>
      <c r="Z837" s="2" t="s">
        <v>721</v>
      </c>
    </row>
    <row r="838" spans="1:26" x14ac:dyDescent="0.35">
      <c r="A838" s="7" t="s">
        <v>1516</v>
      </c>
      <c r="B838" s="7" t="s">
        <v>778</v>
      </c>
      <c r="C838" s="4" t="str">
        <f>_xlfn.XLOOKUP(A838,[2]Sheet2!$I$2:$I$1273,[2]Sheet2!$D$2:$D$1273,0)</f>
        <v>Q2</v>
      </c>
      <c r="D838" s="4" t="str">
        <f>_xlfn.XLOOKUP(B838,[4]Sheet2!$B$2:$B$3154,[4]Sheet2!$F$2:$F$3154,0)</f>
        <v>N/ App</v>
      </c>
      <c r="E838" s="4" t="e">
        <f>_xlfn.XLOOKUP(B838,[2]Sheet2!$E$2:$E$713,[2]Sheet2!$G$2:$G$713)</f>
        <v>#N/A</v>
      </c>
      <c r="F838" s="18">
        <v>46098</v>
      </c>
      <c r="G838" s="14">
        <v>0.6381134259259259</v>
      </c>
      <c r="H838" s="7" t="s">
        <v>4</v>
      </c>
      <c r="I838" s="2" t="str">
        <f t="shared" si="68"/>
        <v>Q1</v>
      </c>
      <c r="J838" s="2" t="str">
        <f t="shared" si="69"/>
        <v>Not Match</v>
      </c>
      <c r="K838" s="2">
        <f t="shared" si="65"/>
        <v>0.3</v>
      </c>
      <c r="L838" s="2" t="e">
        <f t="shared" si="66"/>
        <v>#N/A</v>
      </c>
      <c r="M838" s="2" t="str">
        <f t="shared" si="67"/>
        <v>Assign quadrant hit</v>
      </c>
      <c r="N838" s="7">
        <v>17.3</v>
      </c>
      <c r="O838" s="7">
        <v>-1.3</v>
      </c>
      <c r="P838" s="7">
        <v>-1.3</v>
      </c>
      <c r="Q838" s="7">
        <v>-0.99</v>
      </c>
      <c r="R838" s="7">
        <v>0</v>
      </c>
      <c r="S838" s="7">
        <v>0.3</v>
      </c>
      <c r="T838" s="7">
        <v>-0.37</v>
      </c>
      <c r="U838" s="7">
        <v>-0.21</v>
      </c>
      <c r="V838" s="7">
        <v>1.08</v>
      </c>
      <c r="W838" s="7" t="s">
        <v>6</v>
      </c>
      <c r="X838" s="7" t="s">
        <v>12</v>
      </c>
      <c r="Y838" s="2" t="s">
        <v>719</v>
      </c>
      <c r="Z838" s="2" t="s">
        <v>721</v>
      </c>
    </row>
    <row r="839" spans="1:26" x14ac:dyDescent="0.35">
      <c r="A839" s="7" t="s">
        <v>1720</v>
      </c>
      <c r="B839" s="7" t="s">
        <v>779</v>
      </c>
      <c r="C839" s="4" t="str">
        <f>_xlfn.XLOOKUP(A839,[2]Sheet2!$I$2:$I$1273,[2]Sheet2!$D$2:$D$1273,0)</f>
        <v>Q3</v>
      </c>
      <c r="D839" s="4" t="str">
        <f>_xlfn.XLOOKUP(B839,[4]Sheet2!$B$2:$B$3154,[4]Sheet2!$F$2:$F$3154,0)</f>
        <v>C/APP</v>
      </c>
      <c r="E839" s="4" t="e">
        <f>_xlfn.XLOOKUP(B839,[2]Sheet2!$E$2:$E$713,[2]Sheet2!$G$2:$G$713)</f>
        <v>#N/A</v>
      </c>
      <c r="F839" s="18">
        <v>46098</v>
      </c>
      <c r="G839" s="14">
        <v>0.64166666666666672</v>
      </c>
      <c r="H839" s="7" t="s">
        <v>4</v>
      </c>
      <c r="I839" s="2" t="str">
        <f t="shared" si="68"/>
        <v>Q2</v>
      </c>
      <c r="J839" s="2" t="str">
        <f t="shared" si="69"/>
        <v>Not Match</v>
      </c>
      <c r="K839" s="2">
        <f t="shared" si="65"/>
        <v>0.50990195135927852</v>
      </c>
      <c r="L839" s="2" t="e">
        <f t="shared" si="66"/>
        <v>#N/A</v>
      </c>
      <c r="M839" s="2" t="str">
        <f t="shared" si="67"/>
        <v>Below 0.8 not in assigned quadrant</v>
      </c>
      <c r="N839" s="7">
        <v>17.3</v>
      </c>
      <c r="O839" s="7">
        <v>0.5</v>
      </c>
      <c r="P839" s="7">
        <v>-7.5</v>
      </c>
      <c r="Q839" s="7">
        <v>0.31</v>
      </c>
      <c r="R839" s="7">
        <v>-0.1</v>
      </c>
      <c r="S839" s="7">
        <v>0.5</v>
      </c>
      <c r="T839" s="7">
        <v>-0.53</v>
      </c>
      <c r="U839" s="7">
        <v>-0.2</v>
      </c>
      <c r="V839" s="7">
        <v>0.64</v>
      </c>
      <c r="W839" s="7" t="s">
        <v>8</v>
      </c>
      <c r="X839" s="7" t="s">
        <v>15</v>
      </c>
      <c r="Y839" s="2" t="s">
        <v>719</v>
      </c>
      <c r="Z839" s="2" t="s">
        <v>721</v>
      </c>
    </row>
    <row r="840" spans="1:26" x14ac:dyDescent="0.35">
      <c r="A840" s="7" t="s">
        <v>1543</v>
      </c>
      <c r="B840" s="7" t="s">
        <v>876</v>
      </c>
      <c r="C840" s="4" t="str">
        <f>_xlfn.XLOOKUP(A840,[2]Sheet2!$I$2:$I$1273,[2]Sheet2!$D$2:$D$1273,0)</f>
        <v>Q3</v>
      </c>
      <c r="D840" s="4" t="str">
        <f>_xlfn.XLOOKUP(B840,[4]Sheet2!$B$2:$B$3154,[4]Sheet2!$F$2:$F$3154,0)</f>
        <v>N/ App</v>
      </c>
      <c r="E840" s="4" t="e">
        <f>_xlfn.XLOOKUP(B840,[2]Sheet2!$E$2:$E$713,[2]Sheet2!$G$2:$G$713)</f>
        <v>#N/A</v>
      </c>
      <c r="F840" s="18">
        <v>46099</v>
      </c>
      <c r="G840" s="14">
        <v>1.3032407407407407E-2</v>
      </c>
      <c r="H840" s="7" t="s">
        <v>11</v>
      </c>
      <c r="I840" s="2" t="str">
        <f t="shared" si="68"/>
        <v>Q4</v>
      </c>
      <c r="J840" s="2" t="str">
        <f t="shared" si="69"/>
        <v>Not Match</v>
      </c>
      <c r="K840" s="2">
        <f t="shared" si="65"/>
        <v>0.3</v>
      </c>
      <c r="L840" s="2" t="e">
        <f t="shared" si="66"/>
        <v>#N/A</v>
      </c>
      <c r="M840" s="2" t="str">
        <f t="shared" si="67"/>
        <v>Below 0.8 not in assigned quadrant</v>
      </c>
      <c r="N840" s="7">
        <v>25.5</v>
      </c>
      <c r="O840" s="7">
        <v>6.5</v>
      </c>
      <c r="P840" s="7">
        <v>7.5</v>
      </c>
      <c r="Q840" s="7">
        <v>-0.36</v>
      </c>
      <c r="R840" s="7">
        <v>0</v>
      </c>
      <c r="S840" s="7">
        <v>-0.3</v>
      </c>
      <c r="T840" s="7">
        <v>-0.24</v>
      </c>
      <c r="U840" s="7">
        <v>-0.26</v>
      </c>
      <c r="V840" s="7">
        <v>0.5</v>
      </c>
      <c r="W840" s="7" t="s">
        <v>8</v>
      </c>
      <c r="X840" s="7" t="s">
        <v>9</v>
      </c>
      <c r="Y840" s="2" t="s">
        <v>719</v>
      </c>
      <c r="Z840" s="2" t="s">
        <v>721</v>
      </c>
    </row>
    <row r="841" spans="1:26" x14ac:dyDescent="0.35">
      <c r="A841" s="7" t="s">
        <v>1723</v>
      </c>
      <c r="B841" s="7" t="s">
        <v>877</v>
      </c>
      <c r="C841" s="4" t="str">
        <f>_xlfn.XLOOKUP(A841,[2]Sheet2!$I$2:$I$1273,[2]Sheet2!$D$2:$D$1273,0)</f>
        <v>Q2</v>
      </c>
      <c r="D841" s="4" t="str">
        <f>_xlfn.XLOOKUP(B841,[4]Sheet2!$B$2:$B$3154,[4]Sheet2!$F$2:$F$3154,0)</f>
        <v>N/ App</v>
      </c>
      <c r="E841" s="4" t="e">
        <f>_xlfn.XLOOKUP(B841,[2]Sheet2!$E$2:$E$713,[2]Sheet2!$G$2:$G$713)</f>
        <v>#N/A</v>
      </c>
      <c r="F841" s="18">
        <v>46099</v>
      </c>
      <c r="G841" s="14">
        <v>1.6122685185185184E-2</v>
      </c>
      <c r="H841" s="7" t="s">
        <v>4</v>
      </c>
      <c r="I841" s="2" t="str">
        <f t="shared" si="68"/>
        <v>Q2</v>
      </c>
      <c r="J841" s="2" t="str">
        <f t="shared" si="69"/>
        <v>Match</v>
      </c>
      <c r="K841" s="2">
        <f t="shared" si="65"/>
        <v>0.31622776601683794</v>
      </c>
      <c r="L841" s="2" t="e">
        <f t="shared" si="66"/>
        <v>#N/A</v>
      </c>
      <c r="M841" s="2" t="str">
        <f t="shared" si="67"/>
        <v>Failed but within quadrant</v>
      </c>
      <c r="N841" s="7">
        <v>14.2</v>
      </c>
      <c r="O841" s="7">
        <v>-0.5</v>
      </c>
      <c r="P841" s="7">
        <v>-1.3</v>
      </c>
      <c r="Q841" s="7">
        <v>-0.64</v>
      </c>
      <c r="R841" s="7">
        <v>-0.3</v>
      </c>
      <c r="S841" s="7">
        <v>0.1</v>
      </c>
      <c r="T841" s="7">
        <v>-0.02</v>
      </c>
      <c r="U841" s="7">
        <v>-0.52</v>
      </c>
      <c r="V841" s="7">
        <v>0.82</v>
      </c>
      <c r="W841" s="7" t="s">
        <v>13</v>
      </c>
      <c r="X841" s="7" t="s">
        <v>15</v>
      </c>
      <c r="Y841" s="2" t="s">
        <v>719</v>
      </c>
      <c r="Z841" s="2" t="s">
        <v>721</v>
      </c>
    </row>
    <row r="842" spans="1:26" x14ac:dyDescent="0.35">
      <c r="A842" s="7" t="s">
        <v>1559</v>
      </c>
      <c r="B842" s="7" t="s">
        <v>879</v>
      </c>
      <c r="C842" s="4" t="str">
        <f>_xlfn.XLOOKUP(A842,[2]Sheet2!$I$2:$I$1273,[2]Sheet2!$D$2:$D$1273,0)</f>
        <v>Q3</v>
      </c>
      <c r="D842" s="4" t="str">
        <f>_xlfn.XLOOKUP(B842,[4]Sheet2!$B$2:$B$3154,[4]Sheet2!$F$2:$F$3154,0)</f>
        <v>N/ App</v>
      </c>
      <c r="E842" s="4" t="e">
        <f>_xlfn.XLOOKUP(B842,[2]Sheet2!$E$2:$E$713,[2]Sheet2!$G$2:$G$713)</f>
        <v>#N/A</v>
      </c>
      <c r="F842" s="18">
        <v>46099</v>
      </c>
      <c r="G842" s="14">
        <v>0.1216087962962963</v>
      </c>
      <c r="H842" s="7" t="s">
        <v>11</v>
      </c>
      <c r="I842" s="2" t="str">
        <f t="shared" si="68"/>
        <v>Q4</v>
      </c>
      <c r="J842" s="2" t="str">
        <f t="shared" si="69"/>
        <v>Not Match</v>
      </c>
      <c r="K842" s="2">
        <f t="shared" si="65"/>
        <v>0.1</v>
      </c>
      <c r="L842" s="2" t="e">
        <f t="shared" si="66"/>
        <v>#N/A</v>
      </c>
      <c r="M842" s="2" t="str">
        <f t="shared" si="67"/>
        <v>Below 0.8 not in assigned quadrant</v>
      </c>
      <c r="N842" s="7">
        <v>17.2</v>
      </c>
      <c r="O842" s="7">
        <v>-0.6</v>
      </c>
      <c r="P842" s="7">
        <v>-2.9</v>
      </c>
      <c r="Q842" s="7">
        <v>-0.48</v>
      </c>
      <c r="R842" s="7">
        <v>0</v>
      </c>
      <c r="S842" s="7">
        <v>-0.1</v>
      </c>
      <c r="T842" s="7">
        <v>0.13</v>
      </c>
      <c r="U842" s="7">
        <v>0.05</v>
      </c>
      <c r="V842" s="7">
        <v>0.5</v>
      </c>
      <c r="W842" s="7" t="s">
        <v>8</v>
      </c>
      <c r="X842" s="7" t="s">
        <v>9</v>
      </c>
      <c r="Y842" s="2" t="s">
        <v>719</v>
      </c>
      <c r="Z842" s="2" t="s">
        <v>721</v>
      </c>
    </row>
    <row r="843" spans="1:26" x14ac:dyDescent="0.35">
      <c r="A843" s="7" t="s">
        <v>1688</v>
      </c>
      <c r="B843" s="7" t="s">
        <v>880</v>
      </c>
      <c r="C843" s="4" t="str">
        <f>_xlfn.XLOOKUP(A843,[2]Sheet2!$I$2:$I$1273,[2]Sheet2!$D$2:$D$1273,0)</f>
        <v>Q4</v>
      </c>
      <c r="D843" s="4" t="str">
        <f>_xlfn.XLOOKUP(B843,[4]Sheet2!$B$2:$B$3154,[4]Sheet2!$F$2:$F$3154,0)</f>
        <v>C/APP</v>
      </c>
      <c r="E843" s="4" t="e">
        <f>_xlfn.XLOOKUP(B843,[2]Sheet2!$E$2:$E$713,[2]Sheet2!$G$2:$G$713)</f>
        <v>#N/A</v>
      </c>
      <c r="F843" s="18">
        <v>46099</v>
      </c>
      <c r="G843" s="14">
        <v>0.12423611111111112</v>
      </c>
      <c r="H843" s="7" t="s">
        <v>4</v>
      </c>
      <c r="I843" s="2" t="str">
        <f t="shared" si="68"/>
        <v>Q3</v>
      </c>
      <c r="J843" s="2" t="str">
        <f t="shared" si="69"/>
        <v>Not Match</v>
      </c>
      <c r="K843" s="2">
        <f t="shared" si="65"/>
        <v>0.42426406871192851</v>
      </c>
      <c r="L843" s="2" t="e">
        <f t="shared" si="66"/>
        <v>#N/A</v>
      </c>
      <c r="M843" s="2" t="str">
        <f t="shared" si="67"/>
        <v>Below 0.8 not in assigned quadrant</v>
      </c>
      <c r="N843" s="7">
        <v>13.7</v>
      </c>
      <c r="O843" s="7">
        <v>-0.3</v>
      </c>
      <c r="P843" s="7">
        <v>-1.5</v>
      </c>
      <c r="Q843" s="7">
        <v>0.26</v>
      </c>
      <c r="R843" s="7">
        <v>-0.3</v>
      </c>
      <c r="S843" s="7">
        <v>-0.3</v>
      </c>
      <c r="T843" s="7">
        <v>0.55000000000000004</v>
      </c>
      <c r="U843" s="7">
        <v>-0.37</v>
      </c>
      <c r="V843" s="7">
        <v>0.71</v>
      </c>
      <c r="W843" s="7" t="s">
        <v>8</v>
      </c>
      <c r="X843" s="7" t="s">
        <v>15</v>
      </c>
      <c r="Y843" s="2" t="s">
        <v>719</v>
      </c>
      <c r="Z843" s="2" t="s">
        <v>721</v>
      </c>
    </row>
    <row r="844" spans="1:26" x14ac:dyDescent="0.35">
      <c r="A844" s="7" t="s">
        <v>1579</v>
      </c>
      <c r="B844" s="7" t="s">
        <v>881</v>
      </c>
      <c r="C844" s="4" t="str">
        <f>_xlfn.XLOOKUP(A844,[2]Sheet2!$I$2:$I$1273,[2]Sheet2!$D$2:$D$1273,0)</f>
        <v>Q4</v>
      </c>
      <c r="D844" s="4" t="str">
        <f>_xlfn.XLOOKUP(B844,[4]Sheet2!$B$2:$B$3154,[4]Sheet2!$F$2:$F$3154,0)</f>
        <v>C/APP</v>
      </c>
      <c r="E844" s="4" t="e">
        <f>_xlfn.XLOOKUP(B844,[2]Sheet2!$E$2:$E$713,[2]Sheet2!$G$2:$G$713)</f>
        <v>#N/A</v>
      </c>
      <c r="F844" s="18">
        <v>46099</v>
      </c>
      <c r="G844" s="14">
        <v>0.14731481481481482</v>
      </c>
      <c r="H844" s="7" t="s">
        <v>16</v>
      </c>
      <c r="I844" s="2" t="str">
        <f t="shared" si="68"/>
        <v>Q2</v>
      </c>
      <c r="J844" s="2" t="str">
        <f t="shared" si="69"/>
        <v>Not Match</v>
      </c>
      <c r="K844" s="2">
        <f t="shared" si="65"/>
        <v>0.22360679774997899</v>
      </c>
      <c r="L844" s="2" t="e">
        <f t="shared" si="66"/>
        <v>#N/A</v>
      </c>
      <c r="M844" s="2" t="str">
        <f t="shared" si="67"/>
        <v>Below 0.8 not in assigned quadrant</v>
      </c>
      <c r="N844" s="7">
        <v>16.2</v>
      </c>
      <c r="O844" s="7">
        <v>-1</v>
      </c>
      <c r="P844" s="7">
        <v>-6.1</v>
      </c>
      <c r="Q844" s="7">
        <v>0.63</v>
      </c>
      <c r="R844" s="7">
        <v>-0.2</v>
      </c>
      <c r="S844" s="7">
        <v>0.1</v>
      </c>
      <c r="T844" s="7">
        <v>-0.15</v>
      </c>
      <c r="U844" s="7">
        <v>-0.41</v>
      </c>
      <c r="V844" s="7">
        <v>0.76</v>
      </c>
      <c r="W844" s="7" t="s">
        <v>13</v>
      </c>
      <c r="X844" s="7" t="s">
        <v>15</v>
      </c>
      <c r="Y844" s="2" t="s">
        <v>719</v>
      </c>
      <c r="Z844" s="2" t="s">
        <v>721</v>
      </c>
    </row>
    <row r="845" spans="1:26" x14ac:dyDescent="0.35">
      <c r="A845" s="7" t="s">
        <v>1508</v>
      </c>
      <c r="B845" s="7" t="s">
        <v>882</v>
      </c>
      <c r="C845" s="4" t="str">
        <f>_xlfn.XLOOKUP(A845,[2]Sheet2!$I$2:$I$1273,[2]Sheet2!$D$2:$D$1273,0)</f>
        <v>Q2</v>
      </c>
      <c r="D845" s="4" t="str">
        <f>_xlfn.XLOOKUP(B845,[4]Sheet2!$B$2:$B$3154,[4]Sheet2!$F$2:$F$3154,0)</f>
        <v>N/ App</v>
      </c>
      <c r="E845" s="4" t="e">
        <f>_xlfn.XLOOKUP(B845,[2]Sheet2!$E$2:$E$713,[2]Sheet2!$G$2:$G$713)</f>
        <v>#N/A</v>
      </c>
      <c r="F845" s="18">
        <v>46099</v>
      </c>
      <c r="G845" s="14">
        <v>0.1502199074074074</v>
      </c>
      <c r="H845" s="7" t="s">
        <v>5</v>
      </c>
      <c r="I845" s="2" t="str">
        <f t="shared" si="68"/>
        <v>Q3</v>
      </c>
      <c r="J845" s="2" t="str">
        <f t="shared" si="69"/>
        <v>Not Match</v>
      </c>
      <c r="K845" s="2">
        <f t="shared" si="65"/>
        <v>0.22360679774997899</v>
      </c>
      <c r="L845" s="2" t="e">
        <f t="shared" si="66"/>
        <v>#N/A</v>
      </c>
      <c r="M845" s="2" t="str">
        <f t="shared" si="67"/>
        <v>Below 0.8 not in assigned quadrant</v>
      </c>
      <c r="N845" s="7">
        <v>17.5</v>
      </c>
      <c r="O845" s="7">
        <v>-0.9</v>
      </c>
      <c r="P845" s="7">
        <v>-9.3000000000000007</v>
      </c>
      <c r="Q845" s="7">
        <v>-0.56999999999999995</v>
      </c>
      <c r="R845" s="7">
        <v>-0.1</v>
      </c>
      <c r="S845" s="7">
        <v>-0.2</v>
      </c>
      <c r="T845" s="7">
        <v>0.23</v>
      </c>
      <c r="U845" s="7">
        <v>-0.1</v>
      </c>
      <c r="V845" s="7">
        <v>0.62</v>
      </c>
      <c r="W845" s="7" t="s">
        <v>8</v>
      </c>
      <c r="X845" s="7" t="s">
        <v>15</v>
      </c>
      <c r="Y845" s="2" t="s">
        <v>719</v>
      </c>
      <c r="Z845" s="2" t="s">
        <v>721</v>
      </c>
    </row>
    <row r="846" spans="1:26" x14ac:dyDescent="0.35">
      <c r="A846" s="7" t="s">
        <v>1720</v>
      </c>
      <c r="B846" s="7" t="s">
        <v>883</v>
      </c>
      <c r="C846" s="4" t="str">
        <f>_xlfn.XLOOKUP(A846,[2]Sheet2!$I$2:$I$1273,[2]Sheet2!$D$2:$D$1273,0)</f>
        <v>Q3</v>
      </c>
      <c r="D846" s="4" t="str">
        <f>_xlfn.XLOOKUP(B846,[4]Sheet2!$B$2:$B$3154,[4]Sheet2!$F$2:$F$3154,0)</f>
        <v>C/APP</v>
      </c>
      <c r="E846" s="4" t="e">
        <f>_xlfn.XLOOKUP(B846,[2]Sheet2!$E$2:$E$713,[2]Sheet2!$G$2:$G$713)</f>
        <v>#N/A</v>
      </c>
      <c r="F846" s="18">
        <v>46099</v>
      </c>
      <c r="G846" s="14">
        <v>0.15265046296296297</v>
      </c>
      <c r="H846" s="7" t="s">
        <v>4</v>
      </c>
      <c r="I846" s="2" t="str">
        <f t="shared" si="68"/>
        <v>Q1</v>
      </c>
      <c r="J846" s="2" t="str">
        <f t="shared" si="69"/>
        <v>Not Match</v>
      </c>
      <c r="K846" s="2">
        <f t="shared" si="65"/>
        <v>0.4</v>
      </c>
      <c r="L846" s="2" t="e">
        <f t="shared" si="66"/>
        <v>#N/A</v>
      </c>
      <c r="M846" s="2" t="str">
        <f t="shared" si="67"/>
        <v>Below 0.8 not in assigned quadrant</v>
      </c>
      <c r="N846" s="7">
        <v>16.600000000000001</v>
      </c>
      <c r="O846" s="7">
        <v>0.6</v>
      </c>
      <c r="P846" s="7">
        <v>-7.6</v>
      </c>
      <c r="Q846" s="7">
        <v>-0.34</v>
      </c>
      <c r="R846" s="7">
        <v>0</v>
      </c>
      <c r="S846" s="7">
        <v>0.4</v>
      </c>
      <c r="T846" s="7">
        <v>-0.38</v>
      </c>
      <c r="U846" s="7">
        <v>-0.05</v>
      </c>
      <c r="V846" s="7">
        <v>0.51</v>
      </c>
      <c r="W846" s="7" t="s">
        <v>8</v>
      </c>
      <c r="X846" s="7" t="s">
        <v>15</v>
      </c>
      <c r="Y846" s="2" t="s">
        <v>719</v>
      </c>
      <c r="Z846" s="2" t="s">
        <v>721</v>
      </c>
    </row>
    <row r="847" spans="1:26" x14ac:dyDescent="0.35">
      <c r="A847" s="7" t="s">
        <v>1545</v>
      </c>
      <c r="B847" s="7" t="s">
        <v>884</v>
      </c>
      <c r="C847" s="4" t="str">
        <f>_xlfn.XLOOKUP(A847,[2]Sheet2!$I$2:$I$1273,[2]Sheet2!$D$2:$D$1273,0)</f>
        <v>Q2</v>
      </c>
      <c r="D847" s="4" t="str">
        <f>_xlfn.XLOOKUP(B847,[4]Sheet2!$B$2:$B$3154,[4]Sheet2!$F$2:$F$3154,0)</f>
        <v>N/ App</v>
      </c>
      <c r="E847" s="4" t="e">
        <f>_xlfn.XLOOKUP(B847,[2]Sheet2!$E$2:$E$713,[2]Sheet2!$G$2:$G$713)</f>
        <v>#N/A</v>
      </c>
      <c r="F847" s="18">
        <v>46099</v>
      </c>
      <c r="G847" s="14">
        <v>0.27251157407407406</v>
      </c>
      <c r="H847" s="7" t="s">
        <v>5</v>
      </c>
      <c r="I847" s="2" t="str">
        <f t="shared" si="68"/>
        <v>Q4</v>
      </c>
      <c r="J847" s="2" t="str">
        <f t="shared" si="69"/>
        <v>Not Match</v>
      </c>
      <c r="K847" s="2">
        <f t="shared" si="65"/>
        <v>0.3</v>
      </c>
      <c r="L847" s="2" t="e">
        <f t="shared" si="66"/>
        <v>#N/A</v>
      </c>
      <c r="M847" s="2" t="str">
        <f t="shared" si="67"/>
        <v>Below 0.8 not in assigned quadrant</v>
      </c>
      <c r="N847" s="7">
        <v>17.8</v>
      </c>
      <c r="O847" s="7">
        <v>-0.6</v>
      </c>
      <c r="P847" s="7">
        <v>-2.7</v>
      </c>
      <c r="Q847" s="7">
        <v>-0.16</v>
      </c>
      <c r="R847" s="7">
        <v>0</v>
      </c>
      <c r="S847" s="7">
        <v>-0.3</v>
      </c>
      <c r="T847" s="7">
        <v>0.47</v>
      </c>
      <c r="U847" s="7">
        <v>0.16</v>
      </c>
      <c r="V847" s="7">
        <v>0.52</v>
      </c>
      <c r="W847" s="7" t="s">
        <v>8</v>
      </c>
      <c r="X847" s="7" t="s">
        <v>9</v>
      </c>
      <c r="Y847" s="2" t="s">
        <v>719</v>
      </c>
      <c r="Z847" s="2" t="s">
        <v>721</v>
      </c>
    </row>
    <row r="848" spans="1:26" x14ac:dyDescent="0.35">
      <c r="A848" s="7" t="s">
        <v>1505</v>
      </c>
      <c r="B848" s="7" t="s">
        <v>885</v>
      </c>
      <c r="C848" s="4" t="str">
        <f>_xlfn.XLOOKUP(A848,[2]Sheet2!$I$2:$I$1273,[2]Sheet2!$D$2:$D$1273,0)</f>
        <v>Q4</v>
      </c>
      <c r="D848" s="4" t="str">
        <f>_xlfn.XLOOKUP(B848,[4]Sheet2!$B$2:$B$3154,[4]Sheet2!$F$2:$F$3154,0)</f>
        <v>N/ App</v>
      </c>
      <c r="E848" s="4" t="e">
        <f>_xlfn.XLOOKUP(B848,[2]Sheet2!$E$2:$E$713,[2]Sheet2!$G$2:$G$713)</f>
        <v>#N/A</v>
      </c>
      <c r="F848" s="18">
        <v>46099</v>
      </c>
      <c r="G848" s="14">
        <v>0.27478009259259262</v>
      </c>
      <c r="H848" s="7" t="s">
        <v>5</v>
      </c>
      <c r="I848" s="2" t="str">
        <f t="shared" si="68"/>
        <v>Q4</v>
      </c>
      <c r="J848" s="2" t="str">
        <f t="shared" si="69"/>
        <v>Match</v>
      </c>
      <c r="K848" s="2">
        <f t="shared" si="65"/>
        <v>0</v>
      </c>
      <c r="L848" s="2" t="e">
        <f t="shared" si="66"/>
        <v>#N/A</v>
      </c>
      <c r="M848" s="2" t="str">
        <f t="shared" si="67"/>
        <v>Failed but within quadrant</v>
      </c>
      <c r="N848" s="7">
        <v>17</v>
      </c>
      <c r="O848" s="7">
        <v>-1.1000000000000001</v>
      </c>
      <c r="P848" s="7">
        <v>-3</v>
      </c>
      <c r="Q848" s="7">
        <v>-0.86</v>
      </c>
      <c r="R848" s="7">
        <v>0</v>
      </c>
      <c r="S848" s="7">
        <v>0</v>
      </c>
      <c r="T848" s="7">
        <v>-0.06</v>
      </c>
      <c r="U848" s="7">
        <v>-0.13</v>
      </c>
      <c r="V848" s="7">
        <v>0.87</v>
      </c>
      <c r="W848" s="7" t="s">
        <v>13</v>
      </c>
      <c r="X848" s="7" t="s">
        <v>15</v>
      </c>
      <c r="Y848" s="2" t="s">
        <v>719</v>
      </c>
      <c r="Z848" s="2" t="s">
        <v>721</v>
      </c>
    </row>
    <row r="849" spans="1:26" x14ac:dyDescent="0.35">
      <c r="A849" s="7" t="s">
        <v>1724</v>
      </c>
      <c r="B849" s="7" t="s">
        <v>886</v>
      </c>
      <c r="C849" s="4">
        <f>_xlfn.XLOOKUP(A849,[2]Sheet2!$I$2:$I$1273,[2]Sheet2!$D$2:$D$1273,0)</f>
        <v>0</v>
      </c>
      <c r="D849" s="4" t="str">
        <f>_xlfn.XLOOKUP(B849,[4]Sheet2!$B$2:$B$3154,[4]Sheet2!$F$2:$F$3154,0)</f>
        <v>C/APP</v>
      </c>
      <c r="E849" s="4" t="e">
        <f>_xlfn.XLOOKUP(B849,[2]Sheet2!$E$2:$E$713,[2]Sheet2!$G$2:$G$713)</f>
        <v>#N/A</v>
      </c>
      <c r="F849" s="18">
        <v>46099</v>
      </c>
      <c r="G849" s="14">
        <v>0.2769212962962963</v>
      </c>
      <c r="H849" s="7" t="s">
        <v>14</v>
      </c>
      <c r="I849" s="2" t="str">
        <f t="shared" si="68"/>
        <v>Q1</v>
      </c>
      <c r="J849" s="2" t="str">
        <f t="shared" si="69"/>
        <v>Not Found</v>
      </c>
      <c r="K849" s="2">
        <f t="shared" si="65"/>
        <v>0.5</v>
      </c>
      <c r="L849" s="2" t="e">
        <f t="shared" si="66"/>
        <v>#N/A</v>
      </c>
      <c r="M849" s="2" t="str">
        <f t="shared" si="67"/>
        <v>Assign quadrant hit</v>
      </c>
      <c r="N849" s="7">
        <v>26.5</v>
      </c>
      <c r="O849" s="7">
        <v>15.8</v>
      </c>
      <c r="P849" s="7">
        <v>5.7</v>
      </c>
      <c r="Q849" s="7">
        <v>-0.15</v>
      </c>
      <c r="R849" s="7">
        <v>0.3</v>
      </c>
      <c r="S849" s="7">
        <v>0.4</v>
      </c>
      <c r="T849" s="7">
        <v>0.3</v>
      </c>
      <c r="U849" s="7">
        <v>0.28999999999999998</v>
      </c>
      <c r="V849" s="7">
        <v>0.45</v>
      </c>
      <c r="W849" s="7" t="s">
        <v>8</v>
      </c>
      <c r="X849" s="7" t="s">
        <v>12</v>
      </c>
      <c r="Y849" s="2" t="s">
        <v>719</v>
      </c>
      <c r="Z849" s="2" t="s">
        <v>721</v>
      </c>
    </row>
    <row r="850" spans="1:26" x14ac:dyDescent="0.35">
      <c r="A850" s="7" t="s">
        <v>1719</v>
      </c>
      <c r="B850" s="7" t="s">
        <v>887</v>
      </c>
      <c r="C850" s="4" t="str">
        <f>_xlfn.XLOOKUP(A850,[2]Sheet2!$I$2:$I$1273,[2]Sheet2!$D$2:$D$1273,0)</f>
        <v>Q1</v>
      </c>
      <c r="D850" s="4" t="str">
        <f>_xlfn.XLOOKUP(B850,[4]Sheet2!$B$2:$B$3154,[4]Sheet2!$F$2:$F$3154,0)</f>
        <v>N/ App</v>
      </c>
      <c r="E850" s="4" t="e">
        <f>_xlfn.XLOOKUP(B850,[2]Sheet2!$E$2:$E$713,[2]Sheet2!$G$2:$G$713)</f>
        <v>#N/A</v>
      </c>
      <c r="F850" s="18">
        <v>46099</v>
      </c>
      <c r="G850" s="14">
        <v>0.28083333333333332</v>
      </c>
      <c r="H850" s="7" t="s">
        <v>5</v>
      </c>
      <c r="I850" s="2" t="str">
        <f t="shared" si="68"/>
        <v>Q1</v>
      </c>
      <c r="J850" s="2" t="str">
        <f t="shared" si="69"/>
        <v>Match</v>
      </c>
      <c r="K850" s="2">
        <f t="shared" si="65"/>
        <v>0.1</v>
      </c>
      <c r="L850" s="2" t="e">
        <f t="shared" si="66"/>
        <v>#N/A</v>
      </c>
      <c r="M850" s="2" t="str">
        <f t="shared" si="67"/>
        <v>Digital Approve Hit</v>
      </c>
      <c r="N850" s="7">
        <v>19.5</v>
      </c>
      <c r="O850" s="7">
        <v>-0.4</v>
      </c>
      <c r="P850" s="7">
        <v>-12</v>
      </c>
      <c r="Q850" s="7">
        <v>-0.11</v>
      </c>
      <c r="R850" s="7">
        <v>0</v>
      </c>
      <c r="S850" s="7">
        <v>0.1</v>
      </c>
      <c r="T850" s="7">
        <v>-0.12</v>
      </c>
      <c r="U850" s="7">
        <v>-0.04</v>
      </c>
      <c r="V850" s="7">
        <v>0.16</v>
      </c>
      <c r="W850" s="7" t="s">
        <v>8</v>
      </c>
      <c r="X850" s="7" t="s">
        <v>15</v>
      </c>
      <c r="Y850" s="2" t="s">
        <v>719</v>
      </c>
      <c r="Z850" s="2" t="s">
        <v>721</v>
      </c>
    </row>
    <row r="851" spans="1:26" x14ac:dyDescent="0.35">
      <c r="A851" s="7" t="s">
        <v>1540</v>
      </c>
      <c r="B851" s="7" t="s">
        <v>888</v>
      </c>
      <c r="C851" s="4" t="str">
        <f>_xlfn.XLOOKUP(A851,[2]Sheet2!$I$2:$I$1273,[2]Sheet2!$D$2:$D$1273,0)</f>
        <v>Q3</v>
      </c>
      <c r="D851" s="4" t="str">
        <f>_xlfn.XLOOKUP(B851,[4]Sheet2!$B$2:$B$3154,[4]Sheet2!$F$2:$F$3154,0)</f>
        <v>N/ App</v>
      </c>
      <c r="E851" s="4" t="e">
        <f>_xlfn.XLOOKUP(B851,[2]Sheet2!$E$2:$E$713,[2]Sheet2!$G$2:$G$713)</f>
        <v>#N/A</v>
      </c>
      <c r="F851" s="18">
        <v>46099</v>
      </c>
      <c r="G851" s="14">
        <v>0.28271990740740743</v>
      </c>
      <c r="H851" s="7" t="s">
        <v>11</v>
      </c>
      <c r="I851" s="2" t="str">
        <f t="shared" si="68"/>
        <v>Q1</v>
      </c>
      <c r="J851" s="2" t="str">
        <f t="shared" si="69"/>
        <v>Not Match</v>
      </c>
      <c r="K851" s="2">
        <f t="shared" si="65"/>
        <v>0.14142135623730953</v>
      </c>
      <c r="L851" s="2" t="e">
        <f t="shared" si="66"/>
        <v>#N/A</v>
      </c>
      <c r="M851" s="2" t="str">
        <f t="shared" si="67"/>
        <v>Below 0.8 not in assigned quadrant</v>
      </c>
      <c r="N851" s="7">
        <v>13.5</v>
      </c>
      <c r="O851" s="7">
        <v>-0.4</v>
      </c>
      <c r="P851" s="7">
        <v>-1.5</v>
      </c>
      <c r="Q851" s="7">
        <v>-0.71</v>
      </c>
      <c r="R851" s="7">
        <v>0.1</v>
      </c>
      <c r="S851" s="7">
        <v>0.1</v>
      </c>
      <c r="T851" s="7">
        <v>-0.28000000000000003</v>
      </c>
      <c r="U851" s="7">
        <v>0.05</v>
      </c>
      <c r="V851" s="7">
        <v>0.77</v>
      </c>
      <c r="W851" s="7" t="s">
        <v>13</v>
      </c>
      <c r="X851" s="7" t="s">
        <v>9</v>
      </c>
      <c r="Y851" s="2" t="s">
        <v>719</v>
      </c>
      <c r="Z851" s="2" t="s">
        <v>721</v>
      </c>
    </row>
    <row r="852" spans="1:26" x14ac:dyDescent="0.35">
      <c r="A852" s="7" t="s">
        <v>1559</v>
      </c>
      <c r="B852" s="7" t="s">
        <v>780</v>
      </c>
      <c r="C852" s="4" t="str">
        <f>_xlfn.XLOOKUP(A852,[2]Sheet2!$I$2:$I$1273,[2]Sheet2!$D$2:$D$1273,0)</f>
        <v>Q3</v>
      </c>
      <c r="D852" s="4" t="str">
        <f>_xlfn.XLOOKUP(B852,[4]Sheet2!$B$2:$B$3154,[4]Sheet2!$F$2:$F$3154,0)</f>
        <v>N/ App</v>
      </c>
      <c r="E852" s="4" t="e">
        <f>_xlfn.XLOOKUP(B852,[2]Sheet2!$E$2:$E$713,[2]Sheet2!$G$2:$G$713)</f>
        <v>#N/A</v>
      </c>
      <c r="F852" s="18">
        <v>46099</v>
      </c>
      <c r="G852" s="14">
        <v>0.39901620370370372</v>
      </c>
      <c r="H852" s="7" t="s">
        <v>11</v>
      </c>
      <c r="I852" s="2" t="str">
        <f t="shared" si="68"/>
        <v>Q4</v>
      </c>
      <c r="J852" s="2" t="str">
        <f t="shared" si="69"/>
        <v>Not Match</v>
      </c>
      <c r="K852" s="2">
        <f t="shared" si="65"/>
        <v>0.1</v>
      </c>
      <c r="L852" s="2" t="e">
        <f t="shared" si="66"/>
        <v>#N/A</v>
      </c>
      <c r="M852" s="2" t="str">
        <f t="shared" si="67"/>
        <v>Below 0.8 not in assigned quadrant</v>
      </c>
      <c r="N852" s="7">
        <v>17.5</v>
      </c>
      <c r="O852" s="7">
        <v>-0.6</v>
      </c>
      <c r="P852" s="7">
        <v>-3</v>
      </c>
      <c r="Q852" s="7">
        <v>-0.18</v>
      </c>
      <c r="R852" s="7">
        <v>0</v>
      </c>
      <c r="S852" s="7">
        <v>-0.1</v>
      </c>
      <c r="T852" s="7">
        <v>0.19</v>
      </c>
      <c r="U852" s="7">
        <v>0.04</v>
      </c>
      <c r="V852" s="7">
        <v>0.26</v>
      </c>
      <c r="W852" s="7" t="s">
        <v>8</v>
      </c>
      <c r="X852" s="7" t="s">
        <v>9</v>
      </c>
      <c r="Y852" s="2" t="s">
        <v>719</v>
      </c>
      <c r="Z852" s="2" t="s">
        <v>721</v>
      </c>
    </row>
    <row r="853" spans="1:26" x14ac:dyDescent="0.35">
      <c r="A853" s="7" t="s">
        <v>1559</v>
      </c>
      <c r="B853" s="7" t="s">
        <v>781</v>
      </c>
      <c r="C853" s="4" t="str">
        <f>_xlfn.XLOOKUP(A853,[2]Sheet2!$I$2:$I$1273,[2]Sheet2!$D$2:$D$1273,0)</f>
        <v>Q3</v>
      </c>
      <c r="D853" s="4" t="str">
        <f>_xlfn.XLOOKUP(B853,[4]Sheet2!$B$2:$B$3154,[4]Sheet2!$F$2:$F$3154,0)</f>
        <v>N/ App</v>
      </c>
      <c r="E853" s="4" t="e">
        <f>_xlfn.XLOOKUP(B853,[2]Sheet2!$E$2:$E$713,[2]Sheet2!$G$2:$G$713)</f>
        <v>#N/A</v>
      </c>
      <c r="F853" s="18">
        <v>46099</v>
      </c>
      <c r="G853" s="14">
        <v>0.40751157407407407</v>
      </c>
      <c r="H853" s="7" t="s">
        <v>11</v>
      </c>
      <c r="I853" s="2" t="str">
        <f t="shared" si="68"/>
        <v>Q4</v>
      </c>
      <c r="J853" s="2" t="str">
        <f t="shared" si="69"/>
        <v>Not Match</v>
      </c>
      <c r="K853" s="2">
        <f t="shared" si="65"/>
        <v>0.1</v>
      </c>
      <c r="L853" s="2" t="e">
        <f t="shared" si="66"/>
        <v>#N/A</v>
      </c>
      <c r="M853" s="2" t="str">
        <f t="shared" si="67"/>
        <v>Below 0.8 not in assigned quadrant</v>
      </c>
      <c r="N853" s="7">
        <v>17.100000000000001</v>
      </c>
      <c r="O853" s="7">
        <v>-0.6</v>
      </c>
      <c r="P853" s="7">
        <v>-3</v>
      </c>
      <c r="Q853" s="7">
        <v>-0.57999999999999996</v>
      </c>
      <c r="R853" s="7">
        <v>0</v>
      </c>
      <c r="S853" s="7">
        <v>-0.1</v>
      </c>
      <c r="T853" s="7">
        <v>0.2</v>
      </c>
      <c r="U853" s="7">
        <v>0.03</v>
      </c>
      <c r="V853" s="7">
        <v>0.62</v>
      </c>
      <c r="W853" s="7" t="s">
        <v>8</v>
      </c>
      <c r="X853" s="7" t="s">
        <v>9</v>
      </c>
      <c r="Y853" s="2" t="s">
        <v>719</v>
      </c>
      <c r="Z853" s="2" t="s">
        <v>721</v>
      </c>
    </row>
    <row r="854" spans="1:26" x14ac:dyDescent="0.35">
      <c r="A854" s="7" t="s">
        <v>1559</v>
      </c>
      <c r="B854" s="7" t="s">
        <v>782</v>
      </c>
      <c r="C854" s="4" t="str">
        <f>_xlfn.XLOOKUP(A854,[2]Sheet2!$I$2:$I$1273,[2]Sheet2!$D$2:$D$1273,0)</f>
        <v>Q3</v>
      </c>
      <c r="D854" s="4">
        <f>_xlfn.XLOOKUP(B854,[4]Sheet2!$B$2:$B$3154,[4]Sheet2!$F$2:$F$3154,0)</f>
        <v>0</v>
      </c>
      <c r="E854" s="4" t="e">
        <f>_xlfn.XLOOKUP(B854,[2]Sheet2!$E$2:$E$713,[2]Sheet2!$G$2:$G$713)</f>
        <v>#N/A</v>
      </c>
      <c r="F854" s="18">
        <v>46099</v>
      </c>
      <c r="G854" s="14">
        <v>0.47136574074074072</v>
      </c>
      <c r="H854" s="7" t="s">
        <v>11</v>
      </c>
      <c r="I854" s="2" t="str">
        <f t="shared" si="68"/>
        <v>Q4</v>
      </c>
      <c r="J854" s="2" t="str">
        <f t="shared" si="69"/>
        <v>Not Match</v>
      </c>
      <c r="K854" s="2">
        <f t="shared" si="65"/>
        <v>0.1</v>
      </c>
      <c r="L854" s="2" t="e">
        <f t="shared" si="66"/>
        <v>#N/A</v>
      </c>
      <c r="M854" s="2" t="str">
        <f t="shared" si="67"/>
        <v>Below 0.8 not in assigned quadrant</v>
      </c>
      <c r="N854" s="7">
        <v>17.600000000000001</v>
      </c>
      <c r="O854" s="7">
        <v>-0.6</v>
      </c>
      <c r="P854" s="7">
        <v>-2.9</v>
      </c>
      <c r="Q854" s="7">
        <v>-0.14000000000000001</v>
      </c>
      <c r="R854" s="7">
        <v>0</v>
      </c>
      <c r="S854" s="7">
        <v>-0.1</v>
      </c>
      <c r="T854" s="7">
        <v>0.16</v>
      </c>
      <c r="U854" s="7">
        <v>0.09</v>
      </c>
      <c r="V854" s="7">
        <v>0.23</v>
      </c>
      <c r="W854" s="7" t="s">
        <v>8</v>
      </c>
      <c r="X854" s="7" t="s">
        <v>9</v>
      </c>
      <c r="Y854" s="2" t="s">
        <v>719</v>
      </c>
      <c r="Z854" s="2" t="s">
        <v>721</v>
      </c>
    </row>
    <row r="855" spans="1:26" x14ac:dyDescent="0.35">
      <c r="A855" s="7" t="s">
        <v>1649</v>
      </c>
      <c r="B855" s="7" t="s">
        <v>784</v>
      </c>
      <c r="C855" s="4" t="str">
        <f>_xlfn.XLOOKUP(A855,[2]Sheet2!$I$2:$I$1273,[2]Sheet2!$D$2:$D$1273,0)</f>
        <v>Q4</v>
      </c>
      <c r="D855" s="4" t="str">
        <f>_xlfn.XLOOKUP(B855,[4]Sheet2!$B$2:$B$3154,[4]Sheet2!$F$2:$F$3154,0)</f>
        <v>C/APP</v>
      </c>
      <c r="E855" s="4" t="e">
        <f>_xlfn.XLOOKUP(B855,[2]Sheet2!$E$2:$E$713,[2]Sheet2!$G$2:$G$713)</f>
        <v>#N/A</v>
      </c>
      <c r="F855" s="18">
        <v>46099</v>
      </c>
      <c r="G855" s="14">
        <v>0.56478009259259254</v>
      </c>
      <c r="H855" s="7" t="s">
        <v>4</v>
      </c>
      <c r="I855" s="2" t="str">
        <f t="shared" si="68"/>
        <v>Q3</v>
      </c>
      <c r="J855" s="2" t="str">
        <f t="shared" si="69"/>
        <v>Not Match</v>
      </c>
      <c r="K855" s="2">
        <f t="shared" si="65"/>
        <v>0.28284271247461906</v>
      </c>
      <c r="L855" s="2" t="e">
        <f t="shared" si="66"/>
        <v>#N/A</v>
      </c>
      <c r="M855" s="2" t="str">
        <f t="shared" si="67"/>
        <v>Assign quadrant hit</v>
      </c>
      <c r="N855" s="7">
        <v>33.799999999999997</v>
      </c>
      <c r="O855" s="7">
        <v>-3.9</v>
      </c>
      <c r="P855" s="7">
        <v>-13.1</v>
      </c>
      <c r="Q855" s="7">
        <v>1.06</v>
      </c>
      <c r="R855" s="7">
        <v>-0.2</v>
      </c>
      <c r="S855" s="7">
        <v>-0.2</v>
      </c>
      <c r="T855" s="7">
        <v>0.22</v>
      </c>
      <c r="U855" s="7">
        <v>-0.18</v>
      </c>
      <c r="V855" s="7">
        <v>1.1000000000000001</v>
      </c>
      <c r="W855" s="7" t="s">
        <v>6</v>
      </c>
      <c r="X855" s="7" t="s">
        <v>15</v>
      </c>
      <c r="Y855" s="2" t="s">
        <v>719</v>
      </c>
      <c r="Z855" s="2" t="s">
        <v>721</v>
      </c>
    </row>
    <row r="856" spans="1:26" x14ac:dyDescent="0.35">
      <c r="A856" s="7" t="s">
        <v>1725</v>
      </c>
      <c r="B856" s="7" t="s">
        <v>785</v>
      </c>
      <c r="C856" s="4" t="str">
        <f>_xlfn.XLOOKUP(A856,[2]Sheet2!$I$2:$I$1273,[2]Sheet2!$D$2:$D$1273,0)</f>
        <v>Q2</v>
      </c>
      <c r="D856" s="4" t="str">
        <f>_xlfn.XLOOKUP(B856,[4]Sheet2!$B$2:$B$3154,[4]Sheet2!$F$2:$F$3154,0)</f>
        <v>N/ App</v>
      </c>
      <c r="E856" s="4" t="e">
        <f>_xlfn.XLOOKUP(B856,[2]Sheet2!$E$2:$E$713,[2]Sheet2!$G$2:$G$713)</f>
        <v>#N/A</v>
      </c>
      <c r="F856" s="18">
        <v>46099</v>
      </c>
      <c r="G856" s="14">
        <v>0.67072916666666671</v>
      </c>
      <c r="H856" s="7" t="s">
        <v>16</v>
      </c>
      <c r="I856" s="2" t="str">
        <f t="shared" si="68"/>
        <v>Q1</v>
      </c>
      <c r="J856" s="2" t="str">
        <f t="shared" si="69"/>
        <v>Not Match</v>
      </c>
      <c r="K856" s="2">
        <f t="shared" si="65"/>
        <v>1.4</v>
      </c>
      <c r="L856" s="2" t="e">
        <f t="shared" si="66"/>
        <v>#N/A</v>
      </c>
      <c r="M856" s="2" t="str">
        <f t="shared" si="67"/>
        <v>Assign quadrant hit</v>
      </c>
      <c r="N856" s="7">
        <v>18.7</v>
      </c>
      <c r="O856" s="7">
        <v>-1</v>
      </c>
      <c r="P856" s="7">
        <v>-21.9</v>
      </c>
      <c r="Q856" s="7">
        <v>-0.82</v>
      </c>
      <c r="R856" s="7">
        <v>0</v>
      </c>
      <c r="S856" s="7">
        <v>1.4</v>
      </c>
      <c r="T856" s="7">
        <v>-0.84</v>
      </c>
      <c r="U856" s="7">
        <v>0.02</v>
      </c>
      <c r="V856" s="7">
        <v>1.17</v>
      </c>
      <c r="W856" s="7" t="s">
        <v>6</v>
      </c>
      <c r="X856" s="7" t="s">
        <v>9</v>
      </c>
      <c r="Y856" s="2" t="s">
        <v>719</v>
      </c>
      <c r="Z856" s="2" t="s">
        <v>721</v>
      </c>
    </row>
    <row r="857" spans="1:26" x14ac:dyDescent="0.35">
      <c r="A857" s="7" t="s">
        <v>1726</v>
      </c>
      <c r="B857" s="7" t="s">
        <v>786</v>
      </c>
      <c r="C857" s="4" t="str">
        <f>_xlfn.XLOOKUP(A857,[2]Sheet2!$I$2:$I$1273,[2]Sheet2!$D$2:$D$1273,0)</f>
        <v>Q3</v>
      </c>
      <c r="D857" s="4" t="str">
        <f>_xlfn.XLOOKUP(B857,[4]Sheet2!$B$2:$B$3154,[4]Sheet2!$F$2:$F$3154,0)</f>
        <v>C/APP</v>
      </c>
      <c r="E857" s="4" t="e">
        <f>_xlfn.XLOOKUP(B857,[2]Sheet2!$E$2:$E$713,[2]Sheet2!$G$2:$G$713)</f>
        <v>#N/A</v>
      </c>
      <c r="F857" s="18">
        <v>46099</v>
      </c>
      <c r="G857" s="14">
        <v>0.67484953703703698</v>
      </c>
      <c r="H857" s="7" t="s">
        <v>5</v>
      </c>
      <c r="I857" s="2" t="str">
        <f t="shared" si="68"/>
        <v>Q2</v>
      </c>
      <c r="J857" s="2" t="str">
        <f t="shared" si="69"/>
        <v>Not Match</v>
      </c>
      <c r="K857" s="2">
        <f t="shared" si="65"/>
        <v>0.63245553203367588</v>
      </c>
      <c r="L857" s="2" t="e">
        <f t="shared" si="66"/>
        <v>#N/A</v>
      </c>
      <c r="M857" s="2" t="str">
        <f t="shared" si="67"/>
        <v>Below 0.8 not in assigned quadrant</v>
      </c>
      <c r="N857" s="7">
        <v>31</v>
      </c>
      <c r="O857" s="7">
        <v>29.1</v>
      </c>
      <c r="P857" s="7">
        <v>11.2</v>
      </c>
      <c r="Q857" s="7">
        <v>0.09</v>
      </c>
      <c r="R857" s="7">
        <v>-0.6</v>
      </c>
      <c r="S857" s="7">
        <v>0.2</v>
      </c>
      <c r="T857" s="7">
        <v>-0.26</v>
      </c>
      <c r="U857" s="7">
        <v>0.36</v>
      </c>
      <c r="V857" s="7">
        <v>0.46</v>
      </c>
      <c r="W857" s="7" t="s">
        <v>8</v>
      </c>
      <c r="X857" s="7" t="s">
        <v>12</v>
      </c>
      <c r="Y857" s="2" t="s">
        <v>719</v>
      </c>
      <c r="Z857" s="2" t="s">
        <v>721</v>
      </c>
    </row>
    <row r="858" spans="1:26" x14ac:dyDescent="0.35">
      <c r="A858" s="7" t="s">
        <v>1603</v>
      </c>
      <c r="B858" s="7" t="s">
        <v>890</v>
      </c>
      <c r="C858" s="4" t="str">
        <f>_xlfn.XLOOKUP(A858,[2]Sheet2!$I$2:$I$1273,[2]Sheet2!$D$2:$D$1273,0)</f>
        <v>Q2</v>
      </c>
      <c r="D858" s="4" t="str">
        <f>_xlfn.XLOOKUP(B858,[4]Sheet2!$B$2:$B$3154,[4]Sheet2!$F$2:$F$3154,0)</f>
        <v>N/ App</v>
      </c>
      <c r="E858" s="4" t="e">
        <f>_xlfn.XLOOKUP(B858,[2]Sheet2!$E$2:$E$713,[2]Sheet2!$G$2:$G$713)</f>
        <v>#N/A</v>
      </c>
      <c r="F858" s="18">
        <v>46099</v>
      </c>
      <c r="G858" s="14">
        <v>0.68887731481481485</v>
      </c>
      <c r="H858" s="7" t="s">
        <v>4</v>
      </c>
      <c r="I858" s="2" t="str">
        <f t="shared" si="68"/>
        <v>Q4</v>
      </c>
      <c r="J858" s="2" t="str">
        <f t="shared" si="69"/>
        <v>Not Match</v>
      </c>
      <c r="K858" s="2">
        <f t="shared" si="65"/>
        <v>0.1</v>
      </c>
      <c r="L858" s="2" t="e">
        <f t="shared" si="66"/>
        <v>#N/A</v>
      </c>
      <c r="M858" s="2" t="str">
        <f t="shared" si="67"/>
        <v>Below 0.8 not in assigned quadrant</v>
      </c>
      <c r="N858" s="7">
        <v>14.9</v>
      </c>
      <c r="O858" s="7">
        <v>0</v>
      </c>
      <c r="P858" s="7">
        <v>-0.7</v>
      </c>
      <c r="Q858" s="7">
        <v>-0.24</v>
      </c>
      <c r="R858" s="7">
        <v>0</v>
      </c>
      <c r="S858" s="7">
        <v>-0.1</v>
      </c>
      <c r="T858" s="7">
        <v>0.19</v>
      </c>
      <c r="U858" s="7">
        <v>-0.06</v>
      </c>
      <c r="V858" s="7">
        <v>0.32</v>
      </c>
      <c r="W858" s="7" t="s">
        <v>8</v>
      </c>
      <c r="X858" s="7" t="s">
        <v>15</v>
      </c>
      <c r="Y858" s="2" t="s">
        <v>719</v>
      </c>
      <c r="Z858" s="2" t="s">
        <v>721</v>
      </c>
    </row>
    <row r="859" spans="1:26" x14ac:dyDescent="0.35">
      <c r="A859" s="7" t="s">
        <v>1533</v>
      </c>
      <c r="B859" s="7" t="s">
        <v>891</v>
      </c>
      <c r="C859" s="4" t="str">
        <f>_xlfn.XLOOKUP(A859,[2]Sheet2!$I$2:$I$1273,[2]Sheet2!$D$2:$D$1273,0)</f>
        <v>Q2</v>
      </c>
      <c r="D859" s="4" t="str">
        <f>_xlfn.XLOOKUP(B859,[4]Sheet2!$B$2:$B$3154,[4]Sheet2!$F$2:$F$3154,0)</f>
        <v>C/APP</v>
      </c>
      <c r="E859" s="4" t="e">
        <f>_xlfn.XLOOKUP(B859,[2]Sheet2!$E$2:$E$713,[2]Sheet2!$G$2:$G$713)</f>
        <v>#N/A</v>
      </c>
      <c r="F859" s="18">
        <v>46099</v>
      </c>
      <c r="G859" s="14">
        <v>0.72072916666666664</v>
      </c>
      <c r="H859" s="7" t="s">
        <v>16</v>
      </c>
      <c r="I859" s="2" t="str">
        <f t="shared" si="68"/>
        <v>Q4</v>
      </c>
      <c r="J859" s="2" t="str">
        <f t="shared" si="69"/>
        <v>Not Match</v>
      </c>
      <c r="K859" s="2">
        <f t="shared" si="65"/>
        <v>1.2</v>
      </c>
      <c r="L859" s="2" t="e">
        <f t="shared" si="66"/>
        <v>#N/A</v>
      </c>
      <c r="M859" s="2" t="str">
        <f t="shared" si="67"/>
        <v>Assign quadrant hit</v>
      </c>
      <c r="N859" s="7">
        <v>24.7</v>
      </c>
      <c r="O859" s="7">
        <v>1.3</v>
      </c>
      <c r="P859" s="7">
        <v>8</v>
      </c>
      <c r="Q859" s="7">
        <v>-0.5</v>
      </c>
      <c r="R859" s="7">
        <v>0</v>
      </c>
      <c r="S859" s="7">
        <v>-1.2</v>
      </c>
      <c r="T859" s="7">
        <v>-1.05</v>
      </c>
      <c r="U859" s="7">
        <v>-0.23</v>
      </c>
      <c r="V859" s="7">
        <v>1.18</v>
      </c>
      <c r="W859" s="7" t="s">
        <v>6</v>
      </c>
      <c r="X859" s="7" t="s">
        <v>9</v>
      </c>
      <c r="Y859" s="2" t="s">
        <v>719</v>
      </c>
      <c r="Z859" s="2" t="s">
        <v>721</v>
      </c>
    </row>
    <row r="860" spans="1:26" x14ac:dyDescent="0.35">
      <c r="A860" s="7" t="s">
        <v>1557</v>
      </c>
      <c r="B860" s="7" t="s">
        <v>892</v>
      </c>
      <c r="C860" s="4" t="str">
        <f>_xlfn.XLOOKUP(A860,[2]Sheet2!$I$2:$I$1273,[2]Sheet2!$D$2:$D$1273,0)</f>
        <v>Q3</v>
      </c>
      <c r="D860" s="4" t="str">
        <f>_xlfn.XLOOKUP(B860,[4]Sheet2!$B$2:$B$3154,[4]Sheet2!$F$2:$F$3154,0)</f>
        <v>N/ App</v>
      </c>
      <c r="E860" s="4" t="e">
        <f>_xlfn.XLOOKUP(B860,[2]Sheet2!$E$2:$E$713,[2]Sheet2!$G$2:$G$713)</f>
        <v>#N/A</v>
      </c>
      <c r="F860" s="18">
        <v>46099</v>
      </c>
      <c r="G860" s="14">
        <v>0.74085648148148153</v>
      </c>
      <c r="H860" s="7" t="s">
        <v>16</v>
      </c>
      <c r="I860" s="2" t="str">
        <f t="shared" si="68"/>
        <v>Q3</v>
      </c>
      <c r="J860" s="2" t="str">
        <f t="shared" si="69"/>
        <v>Match</v>
      </c>
      <c r="K860" s="2">
        <f t="shared" si="65"/>
        <v>0.28284271247461906</v>
      </c>
      <c r="L860" s="2" t="e">
        <f t="shared" si="66"/>
        <v>#N/A</v>
      </c>
      <c r="M860" s="2" t="str">
        <f t="shared" si="67"/>
        <v>Digital Approve Hit</v>
      </c>
      <c r="N860" s="7">
        <v>15.7</v>
      </c>
      <c r="O860" s="7">
        <v>-0.3</v>
      </c>
      <c r="P860" s="7">
        <v>-2</v>
      </c>
      <c r="Q860" s="7">
        <v>0.16</v>
      </c>
      <c r="R860" s="7">
        <v>-0.2</v>
      </c>
      <c r="S860" s="7">
        <v>-0.2</v>
      </c>
      <c r="T860" s="7">
        <v>0.37</v>
      </c>
      <c r="U860" s="7">
        <v>-0.24</v>
      </c>
      <c r="V860" s="7">
        <v>0.47</v>
      </c>
      <c r="W860" s="7" t="s">
        <v>8</v>
      </c>
      <c r="X860" s="7" t="s">
        <v>15</v>
      </c>
      <c r="Y860" s="2" t="s">
        <v>719</v>
      </c>
      <c r="Z860" s="2" t="s">
        <v>721</v>
      </c>
    </row>
    <row r="861" spans="1:26" x14ac:dyDescent="0.35">
      <c r="A861" s="7" t="s">
        <v>1559</v>
      </c>
      <c r="B861" s="7" t="s">
        <v>893</v>
      </c>
      <c r="C861" s="4" t="str">
        <f>_xlfn.XLOOKUP(A861,[2]Sheet2!$I$2:$I$1273,[2]Sheet2!$D$2:$D$1273,0)</f>
        <v>Q3</v>
      </c>
      <c r="D861" s="4" t="str">
        <f>_xlfn.XLOOKUP(B861,[4]Sheet2!$B$2:$B$3154,[4]Sheet2!$F$2:$F$3154,0)</f>
        <v>N/ App</v>
      </c>
      <c r="E861" s="4" t="e">
        <f>_xlfn.XLOOKUP(B861,[2]Sheet2!$E$2:$E$713,[2]Sheet2!$G$2:$G$713)</f>
        <v>#N/A</v>
      </c>
      <c r="F861" s="18">
        <v>46099</v>
      </c>
      <c r="G861" s="14">
        <v>0.76115740740740745</v>
      </c>
      <c r="H861" s="7" t="s">
        <v>11</v>
      </c>
      <c r="I861" s="2" t="str">
        <f t="shared" si="68"/>
        <v>Q4</v>
      </c>
      <c r="J861" s="2" t="str">
        <f t="shared" si="69"/>
        <v>Not Match</v>
      </c>
      <c r="K861" s="2">
        <f t="shared" si="65"/>
        <v>0.3</v>
      </c>
      <c r="L861" s="2" t="e">
        <f t="shared" si="66"/>
        <v>#N/A</v>
      </c>
      <c r="M861" s="2" t="str">
        <f t="shared" si="67"/>
        <v>Below 0.8 not in assigned quadrant</v>
      </c>
      <c r="N861" s="7">
        <v>17.2</v>
      </c>
      <c r="O861" s="7">
        <v>-0.6</v>
      </c>
      <c r="P861" s="7">
        <v>-3.1</v>
      </c>
      <c r="Q861" s="7">
        <v>-0.49</v>
      </c>
      <c r="R861" s="7">
        <v>0</v>
      </c>
      <c r="S861" s="7">
        <v>-0.3</v>
      </c>
      <c r="T861" s="7">
        <v>0.39</v>
      </c>
      <c r="U861" s="7">
        <v>0.1</v>
      </c>
      <c r="V861" s="7">
        <v>0.63</v>
      </c>
      <c r="W861" s="7" t="s">
        <v>8</v>
      </c>
      <c r="X861" s="7" t="s">
        <v>9</v>
      </c>
      <c r="Y861" s="2" t="s">
        <v>719</v>
      </c>
      <c r="Z861" s="2" t="s">
        <v>721</v>
      </c>
    </row>
    <row r="862" spans="1:26" x14ac:dyDescent="0.35">
      <c r="A862" s="7" t="s">
        <v>1687</v>
      </c>
      <c r="B862" s="7" t="s">
        <v>894</v>
      </c>
      <c r="C862" s="4" t="str">
        <f>_xlfn.XLOOKUP(A862,[2]Sheet2!$I$2:$I$1273,[2]Sheet2!$D$2:$D$1273,0)</f>
        <v>Q3</v>
      </c>
      <c r="D862" s="4" t="str">
        <f>_xlfn.XLOOKUP(B862,[4]Sheet2!$B$2:$B$3154,[4]Sheet2!$F$2:$F$3154,0)</f>
        <v>C/APP</v>
      </c>
      <c r="E862" s="4" t="e">
        <f>_xlfn.XLOOKUP(B862,[2]Sheet2!$E$2:$E$713,[2]Sheet2!$G$2:$G$713)</f>
        <v>#N/A</v>
      </c>
      <c r="F862" s="18">
        <v>46099</v>
      </c>
      <c r="G862" s="14">
        <v>0.76525462962962965</v>
      </c>
      <c r="H862" s="7" t="s">
        <v>5</v>
      </c>
      <c r="I862" s="2" t="str">
        <f t="shared" si="68"/>
        <v>Q1</v>
      </c>
      <c r="J862" s="2" t="str">
        <f t="shared" si="69"/>
        <v>Not Match</v>
      </c>
      <c r="K862" s="2">
        <f t="shared" si="65"/>
        <v>0.53851648071345048</v>
      </c>
      <c r="L862" s="2" t="e">
        <f t="shared" si="66"/>
        <v>#N/A</v>
      </c>
      <c r="M862" s="2" t="str">
        <f t="shared" si="67"/>
        <v>Below 0.8 not in assigned quadrant</v>
      </c>
      <c r="N862" s="7">
        <v>34.5</v>
      </c>
      <c r="O862" s="7">
        <v>11</v>
      </c>
      <c r="P862" s="7">
        <v>13</v>
      </c>
      <c r="Q862" s="7">
        <v>-0.21</v>
      </c>
      <c r="R862" s="7">
        <v>0.2</v>
      </c>
      <c r="S862" s="7">
        <v>0.5</v>
      </c>
      <c r="T862" s="7">
        <v>0.37</v>
      </c>
      <c r="U862" s="7">
        <v>0.35</v>
      </c>
      <c r="V862" s="7">
        <v>0.55000000000000004</v>
      </c>
      <c r="W862" s="7" t="s">
        <v>8</v>
      </c>
      <c r="X862" s="7" t="s">
        <v>12</v>
      </c>
      <c r="Y862" s="2" t="s">
        <v>719</v>
      </c>
      <c r="Z862" s="2" t="s">
        <v>721</v>
      </c>
    </row>
    <row r="863" spans="1:26" x14ac:dyDescent="0.35">
      <c r="A863" s="7" t="s">
        <v>1563</v>
      </c>
      <c r="B863" s="7" t="s">
        <v>895</v>
      </c>
      <c r="C863" s="4" t="str">
        <f>_xlfn.XLOOKUP(A863,[2]Sheet2!$I$2:$I$1273,[2]Sheet2!$D$2:$D$1273,0)</f>
        <v>Q2</v>
      </c>
      <c r="D863" s="4" t="str">
        <f>_xlfn.XLOOKUP(B863,[4]Sheet2!$B$2:$B$3154,[4]Sheet2!$F$2:$F$3154,0)</f>
        <v>N/ App</v>
      </c>
      <c r="E863" s="4" t="e">
        <f>_xlfn.XLOOKUP(B863,[2]Sheet2!$E$2:$E$713,[2]Sheet2!$G$2:$G$713)</f>
        <v>#N/A</v>
      </c>
      <c r="F863" s="18">
        <v>46100</v>
      </c>
      <c r="G863" s="14">
        <v>0.48885416666666665</v>
      </c>
      <c r="H863" s="7" t="s">
        <v>5</v>
      </c>
      <c r="I863" s="2" t="str">
        <f t="shared" si="68"/>
        <v>Q3</v>
      </c>
      <c r="J863" s="2" t="str">
        <f t="shared" si="69"/>
        <v>Not Match</v>
      </c>
      <c r="K863" s="2">
        <f t="shared" si="65"/>
        <v>1.0440306508910551</v>
      </c>
      <c r="L863" s="2" t="e">
        <f t="shared" si="66"/>
        <v>#N/A</v>
      </c>
      <c r="M863" s="2" t="str">
        <f t="shared" si="67"/>
        <v>Assign quadrant hit</v>
      </c>
      <c r="N863" s="7">
        <v>21.8</v>
      </c>
      <c r="O863" s="7">
        <v>-6.9</v>
      </c>
      <c r="P863" s="7">
        <v>-13.3</v>
      </c>
      <c r="Q863" s="7">
        <v>0.41</v>
      </c>
      <c r="R863" s="7">
        <v>-0.3</v>
      </c>
      <c r="S863" s="7">
        <v>-1</v>
      </c>
      <c r="T863" s="7">
        <v>0.79</v>
      </c>
      <c r="U863" s="7">
        <v>0.15</v>
      </c>
      <c r="V863" s="7">
        <v>0.9</v>
      </c>
      <c r="W863" s="7" t="s">
        <v>13</v>
      </c>
      <c r="X863" s="7" t="s">
        <v>9</v>
      </c>
      <c r="Y863" s="2" t="s">
        <v>719</v>
      </c>
      <c r="Z863" s="2" t="s">
        <v>721</v>
      </c>
    </row>
    <row r="864" spans="1:26" x14ac:dyDescent="0.35">
      <c r="A864" s="7" t="s">
        <v>1727</v>
      </c>
      <c r="B864" s="7" t="s">
        <v>783</v>
      </c>
      <c r="C864" s="4" t="str">
        <f>_xlfn.XLOOKUP(A864,[2]Sheet2!$I$2:$I$1273,[2]Sheet2!$D$2:$D$1273,0)</f>
        <v>Q2</v>
      </c>
      <c r="D864" s="4" t="str">
        <f>_xlfn.XLOOKUP(B864,[4]Sheet2!$B$2:$B$3154,[4]Sheet2!$F$2:$F$3154,0)</f>
        <v>C/APP</v>
      </c>
      <c r="E864" s="4" t="e">
        <f>_xlfn.XLOOKUP(B864,[2]Sheet2!$E$2:$E$713,[2]Sheet2!$G$2:$G$713)</f>
        <v>#N/A</v>
      </c>
      <c r="F864" s="18">
        <v>46100</v>
      </c>
      <c r="G864" s="14">
        <v>0.50943287037037033</v>
      </c>
      <c r="H864" s="7" t="s">
        <v>14</v>
      </c>
      <c r="I864" s="2" t="str">
        <f t="shared" si="68"/>
        <v>Q3</v>
      </c>
      <c r="J864" s="2" t="str">
        <f t="shared" si="69"/>
        <v>Not Match</v>
      </c>
      <c r="K864" s="2">
        <f t="shared" si="65"/>
        <v>0.2</v>
      </c>
      <c r="L864" s="2" t="e">
        <f t="shared" si="66"/>
        <v>#N/A</v>
      </c>
      <c r="M864" s="2" t="str">
        <f t="shared" si="67"/>
        <v>Below 0.8 not in assigned quadrant</v>
      </c>
      <c r="N864" s="7">
        <v>13.4</v>
      </c>
      <c r="O864" s="7">
        <v>-0.5</v>
      </c>
      <c r="P864" s="7">
        <v>-2.6</v>
      </c>
      <c r="Q864" s="7">
        <v>-0.31</v>
      </c>
      <c r="R864" s="7">
        <v>-0.2</v>
      </c>
      <c r="S864" s="7">
        <v>0</v>
      </c>
      <c r="T864" s="7">
        <v>0</v>
      </c>
      <c r="U864" s="7">
        <v>-0.27</v>
      </c>
      <c r="V864" s="7">
        <v>0.41</v>
      </c>
      <c r="W864" s="7" t="s">
        <v>8</v>
      </c>
      <c r="X864" s="7" t="s">
        <v>15</v>
      </c>
      <c r="Y864" s="2" t="s">
        <v>719</v>
      </c>
      <c r="Z864" s="2" t="s">
        <v>721</v>
      </c>
    </row>
    <row r="865" spans="1:26" x14ac:dyDescent="0.35">
      <c r="A865" s="7" t="s">
        <v>1728</v>
      </c>
      <c r="B865" s="7" t="s">
        <v>896</v>
      </c>
      <c r="C865" s="4" t="str">
        <f>_xlfn.XLOOKUP(A865,[2]Sheet2!$I$2:$I$1273,[2]Sheet2!$D$2:$D$1273,0)</f>
        <v>Q4</v>
      </c>
      <c r="D865" s="4" t="str">
        <f>_xlfn.XLOOKUP(B865,[4]Sheet2!$B$2:$B$3154,[4]Sheet2!$F$2:$F$3154,0)</f>
        <v>N/ App</v>
      </c>
      <c r="E865" s="4" t="e">
        <f>_xlfn.XLOOKUP(B865,[2]Sheet2!$E$2:$E$713,[2]Sheet2!$G$2:$G$713)</f>
        <v>#N/A</v>
      </c>
      <c r="F865" s="18">
        <v>46100</v>
      </c>
      <c r="G865" s="14">
        <v>0.52210648148148153</v>
      </c>
      <c r="H865" s="7" t="s">
        <v>16</v>
      </c>
      <c r="I865" s="2" t="str">
        <f t="shared" si="68"/>
        <v>Q1</v>
      </c>
      <c r="J865" s="2" t="str">
        <f t="shared" si="69"/>
        <v>Not Match</v>
      </c>
      <c r="K865" s="2">
        <f t="shared" si="65"/>
        <v>1.2041594578792296</v>
      </c>
      <c r="L865" s="2" t="e">
        <f t="shared" si="66"/>
        <v>#N/A</v>
      </c>
      <c r="M865" s="2" t="str">
        <f t="shared" si="67"/>
        <v>Assign quadrant hit</v>
      </c>
      <c r="N865" s="7">
        <v>32.799999999999997</v>
      </c>
      <c r="O865" s="7">
        <v>-0.3</v>
      </c>
      <c r="P865" s="7">
        <v>4.2</v>
      </c>
      <c r="Q865" s="7">
        <v>-0.69</v>
      </c>
      <c r="R865" s="7">
        <v>0.1</v>
      </c>
      <c r="S865" s="7">
        <v>1.2</v>
      </c>
      <c r="T865" s="7">
        <v>1.44</v>
      </c>
      <c r="U865" s="7">
        <v>-0.35</v>
      </c>
      <c r="V865" s="7">
        <v>1.63</v>
      </c>
      <c r="W865" s="7" t="s">
        <v>6</v>
      </c>
      <c r="X865" s="7" t="s">
        <v>12</v>
      </c>
      <c r="Y865" s="2" t="s">
        <v>719</v>
      </c>
      <c r="Z865" s="2" t="s">
        <v>721</v>
      </c>
    </row>
    <row r="866" spans="1:26" x14ac:dyDescent="0.35">
      <c r="A866" s="7" t="s">
        <v>1685</v>
      </c>
      <c r="B866" s="7" t="s">
        <v>897</v>
      </c>
      <c r="C866" s="4" t="str">
        <f>_xlfn.XLOOKUP(A866,[2]Sheet2!$I$2:$I$1273,[2]Sheet2!$D$2:$D$1273,0)</f>
        <v>Q1</v>
      </c>
      <c r="D866" s="4" t="str">
        <f>_xlfn.XLOOKUP(B866,[4]Sheet2!$B$2:$B$3154,[4]Sheet2!$F$2:$F$3154,0)</f>
        <v>C/APP</v>
      </c>
      <c r="E866" s="4" t="e">
        <f>_xlfn.XLOOKUP(B866,[2]Sheet2!$E$2:$E$713,[2]Sheet2!$G$2:$G$713)</f>
        <v>#N/A</v>
      </c>
      <c r="F866" s="18">
        <v>46100</v>
      </c>
      <c r="G866" s="14">
        <v>0.63018518518518518</v>
      </c>
      <c r="H866" s="7" t="s">
        <v>11</v>
      </c>
      <c r="I866" s="2" t="str">
        <f t="shared" si="68"/>
        <v>Q1</v>
      </c>
      <c r="J866" s="2" t="str">
        <f t="shared" si="69"/>
        <v>Match</v>
      </c>
      <c r="K866" s="2">
        <f t="shared" si="65"/>
        <v>0.2</v>
      </c>
      <c r="L866" s="2" t="e">
        <f t="shared" si="66"/>
        <v>#N/A</v>
      </c>
      <c r="M866" s="2" t="str">
        <f t="shared" si="67"/>
        <v>Failed but within quadrant</v>
      </c>
      <c r="N866" s="7">
        <v>14.5</v>
      </c>
      <c r="O866" s="7">
        <v>-0.9</v>
      </c>
      <c r="P866" s="7">
        <v>-4.5999999999999996</v>
      </c>
      <c r="Q866" s="7">
        <v>-0.84</v>
      </c>
      <c r="R866" s="7">
        <v>0</v>
      </c>
      <c r="S866" s="7">
        <v>0.2</v>
      </c>
      <c r="T866" s="7">
        <v>-0.21</v>
      </c>
      <c r="U866" s="7">
        <v>-0.1</v>
      </c>
      <c r="V866" s="7">
        <v>0.88</v>
      </c>
      <c r="W866" s="7" t="s">
        <v>13</v>
      </c>
      <c r="X866" s="7" t="s">
        <v>15</v>
      </c>
      <c r="Y866" s="2" t="s">
        <v>719</v>
      </c>
      <c r="Z866" s="2" t="s">
        <v>721</v>
      </c>
    </row>
    <row r="867" spans="1:26" x14ac:dyDescent="0.35">
      <c r="A867" s="7" t="s">
        <v>1557</v>
      </c>
      <c r="B867" s="7" t="s">
        <v>898</v>
      </c>
      <c r="C867" s="4" t="str">
        <f>_xlfn.XLOOKUP(A867,[2]Sheet2!$I$2:$I$1273,[2]Sheet2!$D$2:$D$1273,0)</f>
        <v>Q3</v>
      </c>
      <c r="D867" s="4" t="str">
        <f>_xlfn.XLOOKUP(B867,[4]Sheet2!$B$2:$B$3154,[4]Sheet2!$F$2:$F$3154,0)</f>
        <v>N/ App</v>
      </c>
      <c r="E867" s="4" t="e">
        <f>_xlfn.XLOOKUP(B867,[2]Sheet2!$E$2:$E$713,[2]Sheet2!$G$2:$G$713)</f>
        <v>#N/A</v>
      </c>
      <c r="F867" s="18">
        <v>46100</v>
      </c>
      <c r="G867" s="14">
        <v>0.74693287037037037</v>
      </c>
      <c r="H867" s="7" t="s">
        <v>16</v>
      </c>
      <c r="I867" s="2" t="str">
        <f t="shared" si="68"/>
        <v>Q3</v>
      </c>
      <c r="J867" s="2" t="str">
        <f t="shared" si="69"/>
        <v>Match</v>
      </c>
      <c r="K867" s="2">
        <f t="shared" si="65"/>
        <v>0.44721359549995798</v>
      </c>
      <c r="L867" s="2" t="e">
        <f t="shared" si="66"/>
        <v>#N/A</v>
      </c>
      <c r="M867" s="2" t="str">
        <f t="shared" si="67"/>
        <v>Digital Approve Hit</v>
      </c>
      <c r="N867" s="7">
        <v>15.3</v>
      </c>
      <c r="O867" s="7">
        <v>-0.4</v>
      </c>
      <c r="P867" s="7">
        <v>-2.1</v>
      </c>
      <c r="Q867" s="7">
        <v>-0.22</v>
      </c>
      <c r="R867" s="7">
        <v>-0.2</v>
      </c>
      <c r="S867" s="7">
        <v>-0.4</v>
      </c>
      <c r="T867" s="7">
        <v>0.59</v>
      </c>
      <c r="U867" s="7">
        <v>-0.3</v>
      </c>
      <c r="V867" s="7">
        <v>0.7</v>
      </c>
      <c r="W867" s="7" t="s">
        <v>8</v>
      </c>
      <c r="X867" s="7" t="s">
        <v>15</v>
      </c>
      <c r="Y867" s="2" t="s">
        <v>719</v>
      </c>
      <c r="Z867" s="2" t="s">
        <v>721</v>
      </c>
    </row>
    <row r="868" spans="1:26" x14ac:dyDescent="0.35">
      <c r="A868" s="7" t="s">
        <v>1559</v>
      </c>
      <c r="B868" s="7" t="s">
        <v>878</v>
      </c>
      <c r="C868" s="4" t="str">
        <f>_xlfn.XLOOKUP(A868,[2]Sheet2!$I$2:$I$1273,[2]Sheet2!$D$2:$D$1273,0)</f>
        <v>Q3</v>
      </c>
      <c r="D868" s="4" t="str">
        <f>_xlfn.XLOOKUP(B868,[4]Sheet2!$B$2:$B$3154,[4]Sheet2!$F$2:$F$3154,0)</f>
        <v>N/ App</v>
      </c>
      <c r="E868" s="4" t="e">
        <f>_xlfn.XLOOKUP(B868,[2]Sheet2!$E$2:$E$713,[2]Sheet2!$G$2:$G$713)</f>
        <v>#N/A</v>
      </c>
      <c r="F868" s="18">
        <v>46100</v>
      </c>
      <c r="G868" s="14">
        <v>0.74932870370370375</v>
      </c>
      <c r="H868" s="7" t="s">
        <v>11</v>
      </c>
      <c r="I868" s="2" t="str">
        <f t="shared" si="68"/>
        <v>Q4</v>
      </c>
      <c r="J868" s="2" t="str">
        <f t="shared" si="69"/>
        <v>Not Match</v>
      </c>
      <c r="K868" s="2">
        <f t="shared" si="65"/>
        <v>0.1</v>
      </c>
      <c r="L868" s="2" t="e">
        <f t="shared" si="66"/>
        <v>#N/A</v>
      </c>
      <c r="M868" s="2" t="str">
        <f t="shared" si="67"/>
        <v>Below 0.8 not in assigned quadrant</v>
      </c>
      <c r="N868" s="7">
        <v>17.2</v>
      </c>
      <c r="O868" s="7">
        <v>-0.5</v>
      </c>
      <c r="P868" s="7">
        <v>-2.9</v>
      </c>
      <c r="Q868" s="7">
        <v>-0.45</v>
      </c>
      <c r="R868" s="7">
        <v>0</v>
      </c>
      <c r="S868" s="7">
        <v>-0.1</v>
      </c>
      <c r="T868" s="7">
        <v>0.14000000000000001</v>
      </c>
      <c r="U868" s="7">
        <v>0.11</v>
      </c>
      <c r="V868" s="7">
        <v>0.49</v>
      </c>
      <c r="W868" s="7" t="s">
        <v>8</v>
      </c>
      <c r="X868" s="7" t="s">
        <v>9</v>
      </c>
      <c r="Y868" s="2" t="s">
        <v>719</v>
      </c>
      <c r="Z868" s="2" t="s">
        <v>721</v>
      </c>
    </row>
    <row r="869" spans="1:26" x14ac:dyDescent="0.35">
      <c r="A869" s="7" t="s">
        <v>1625</v>
      </c>
      <c r="B869" s="7" t="s">
        <v>899</v>
      </c>
      <c r="C869" s="4" t="str">
        <f>_xlfn.XLOOKUP(A869,[2]Sheet2!$I$2:$I$1273,[2]Sheet2!$D$2:$D$1273,0)</f>
        <v>Q1</v>
      </c>
      <c r="D869" s="4" t="str">
        <f>_xlfn.XLOOKUP(B869,[4]Sheet2!$B$2:$B$3154,[4]Sheet2!$F$2:$F$3154,0)</f>
        <v>N/ App</v>
      </c>
      <c r="E869" s="4" t="e">
        <f>_xlfn.XLOOKUP(B869,[2]Sheet2!$E$2:$E$713,[2]Sheet2!$G$2:$G$713)</f>
        <v>#N/A</v>
      </c>
      <c r="F869" s="18">
        <v>46100</v>
      </c>
      <c r="G869" s="14">
        <v>0.75388888888888894</v>
      </c>
      <c r="H869" s="7" t="s">
        <v>4</v>
      </c>
      <c r="I869" s="2" t="str">
        <f t="shared" si="68"/>
        <v>Q1</v>
      </c>
      <c r="J869" s="2" t="str">
        <f t="shared" si="69"/>
        <v>Match</v>
      </c>
      <c r="K869" s="2">
        <f t="shared" si="65"/>
        <v>0</v>
      </c>
      <c r="L869" s="2" t="e">
        <f t="shared" si="66"/>
        <v>#N/A</v>
      </c>
      <c r="M869" s="2" t="str">
        <f t="shared" si="67"/>
        <v>Digital Approve Hit</v>
      </c>
      <c r="N869" s="7">
        <v>21.1</v>
      </c>
      <c r="O869" s="7">
        <v>0</v>
      </c>
      <c r="P869" s="7">
        <v>-2.8</v>
      </c>
      <c r="Q869" s="7">
        <v>0.21</v>
      </c>
      <c r="R869" s="7">
        <v>0</v>
      </c>
      <c r="S869" s="7">
        <v>0</v>
      </c>
      <c r="T869" s="7">
        <v>-0.02</v>
      </c>
      <c r="U869" s="7">
        <v>-0.11</v>
      </c>
      <c r="V869" s="7">
        <v>0.24</v>
      </c>
      <c r="W869" s="7" t="s">
        <v>8</v>
      </c>
      <c r="X869" s="7" t="s">
        <v>15</v>
      </c>
      <c r="Y869" s="2" t="s">
        <v>719</v>
      </c>
      <c r="Z869" s="2" t="s">
        <v>721</v>
      </c>
    </row>
    <row r="870" spans="1:26" x14ac:dyDescent="0.35">
      <c r="A870" s="7" t="s">
        <v>1587</v>
      </c>
      <c r="B870" s="7" t="s">
        <v>900</v>
      </c>
      <c r="C870" s="4" t="str">
        <f>_xlfn.XLOOKUP(A870,[2]Sheet2!$I$2:$I$1273,[2]Sheet2!$D$2:$D$1273,0)</f>
        <v>Q4</v>
      </c>
      <c r="D870" s="4" t="str">
        <f>_xlfn.XLOOKUP(B870,[4]Sheet2!$B$2:$B$3154,[4]Sheet2!$F$2:$F$3154,0)</f>
        <v>N/ App</v>
      </c>
      <c r="E870" s="4" t="e">
        <f>_xlfn.XLOOKUP(B870,[2]Sheet2!$E$2:$E$713,[2]Sheet2!$G$2:$G$713)</f>
        <v>#N/A</v>
      </c>
      <c r="F870" s="18">
        <v>46100</v>
      </c>
      <c r="G870" s="14">
        <v>0.75609953703703703</v>
      </c>
      <c r="H870" s="7" t="s">
        <v>5</v>
      </c>
      <c r="I870" s="2" t="str">
        <f t="shared" si="68"/>
        <v>Q4</v>
      </c>
      <c r="J870" s="2" t="str">
        <f t="shared" si="69"/>
        <v>Match</v>
      </c>
      <c r="K870" s="2">
        <f t="shared" si="65"/>
        <v>0</v>
      </c>
      <c r="L870" s="2" t="e">
        <f t="shared" si="66"/>
        <v>#N/A</v>
      </c>
      <c r="M870" s="2" t="str">
        <f t="shared" si="67"/>
        <v>Failed but within quadrant</v>
      </c>
      <c r="N870" s="7">
        <v>15.5</v>
      </c>
      <c r="O870" s="7">
        <v>-0.7</v>
      </c>
      <c r="P870" s="7">
        <v>-3.3</v>
      </c>
      <c r="Q870" s="7">
        <v>-2.04</v>
      </c>
      <c r="R870" s="7">
        <v>0</v>
      </c>
      <c r="S870" s="7">
        <v>0</v>
      </c>
      <c r="T870" s="7">
        <v>-0.1</v>
      </c>
      <c r="U870" s="7">
        <v>-0.01</v>
      </c>
      <c r="V870" s="7">
        <v>2.04</v>
      </c>
      <c r="W870" s="7" t="s">
        <v>6</v>
      </c>
      <c r="X870" s="7" t="s">
        <v>15</v>
      </c>
      <c r="Y870" s="2" t="s">
        <v>719</v>
      </c>
      <c r="Z870" s="2" t="s">
        <v>721</v>
      </c>
    </row>
    <row r="871" spans="1:26" x14ac:dyDescent="0.35">
      <c r="A871" s="7" t="s">
        <v>1696</v>
      </c>
      <c r="B871" s="7" t="s">
        <v>901</v>
      </c>
      <c r="C871" s="4" t="str">
        <f>_xlfn.XLOOKUP(A871,[2]Sheet2!$I$2:$I$1273,[2]Sheet2!$D$2:$D$1273,0)</f>
        <v>Q2</v>
      </c>
      <c r="D871" s="4" t="str">
        <f>_xlfn.XLOOKUP(B871,[4]Sheet2!$B$2:$B$3154,[4]Sheet2!$F$2:$F$3154,0)</f>
        <v>N/ App</v>
      </c>
      <c r="E871" s="4" t="e">
        <f>_xlfn.XLOOKUP(B871,[2]Sheet2!$E$2:$E$713,[2]Sheet2!$G$2:$G$713)</f>
        <v>#N/A</v>
      </c>
      <c r="F871" s="18">
        <v>46100</v>
      </c>
      <c r="G871" s="14">
        <v>0.76347222222222222</v>
      </c>
      <c r="H871" s="7" t="s">
        <v>14</v>
      </c>
      <c r="I871" s="2" t="str">
        <f t="shared" si="68"/>
        <v>Q3</v>
      </c>
      <c r="J871" s="2" t="str">
        <f t="shared" si="69"/>
        <v>Not Match</v>
      </c>
      <c r="K871" s="2">
        <f t="shared" si="65"/>
        <v>0.1</v>
      </c>
      <c r="L871" s="2" t="e">
        <f t="shared" si="66"/>
        <v>#N/A</v>
      </c>
      <c r="M871" s="2" t="str">
        <f t="shared" si="67"/>
        <v>Below 0.8 not in assigned quadrant</v>
      </c>
      <c r="N871" s="7">
        <v>17.2</v>
      </c>
      <c r="O871" s="7">
        <v>-0.2</v>
      </c>
      <c r="P871" s="7">
        <v>-1.2</v>
      </c>
      <c r="Q871" s="7">
        <v>0.62</v>
      </c>
      <c r="R871" s="7">
        <v>-0.1</v>
      </c>
      <c r="S871" s="7">
        <v>0</v>
      </c>
      <c r="T871" s="7">
        <v>0.04</v>
      </c>
      <c r="U871" s="7">
        <v>-0.14000000000000001</v>
      </c>
      <c r="V871" s="7">
        <v>0.63</v>
      </c>
      <c r="W871" s="7" t="s">
        <v>8</v>
      </c>
      <c r="X871" s="7" t="s">
        <v>15</v>
      </c>
      <c r="Y871" s="2" t="s">
        <v>719</v>
      </c>
      <c r="Z871" s="2" t="s">
        <v>721</v>
      </c>
    </row>
    <row r="872" spans="1:26" x14ac:dyDescent="0.35">
      <c r="A872" s="7" t="s">
        <v>1662</v>
      </c>
      <c r="B872" s="7" t="s">
        <v>902</v>
      </c>
      <c r="C872" s="4" t="str">
        <f>_xlfn.XLOOKUP(A872,[2]Sheet2!$I$2:$I$1273,[2]Sheet2!$D$2:$D$1273,0)</f>
        <v>Q1</v>
      </c>
      <c r="D872" s="4" t="str">
        <f>_xlfn.XLOOKUP(B872,[4]Sheet2!$B$2:$B$3154,[4]Sheet2!$F$2:$F$3154,0)</f>
        <v>C/APP</v>
      </c>
      <c r="E872" s="4" t="e">
        <f>_xlfn.XLOOKUP(B872,[2]Sheet2!$E$2:$E$713,[2]Sheet2!$G$2:$G$713)</f>
        <v>#N/A</v>
      </c>
      <c r="F872" s="18">
        <v>46100</v>
      </c>
      <c r="G872" s="14">
        <v>0.76559027777777777</v>
      </c>
      <c r="H872" s="7" t="s">
        <v>4</v>
      </c>
      <c r="I872" s="2" t="str">
        <f t="shared" si="68"/>
        <v>Q4</v>
      </c>
      <c r="J872" s="2" t="str">
        <f t="shared" si="69"/>
        <v>Not Match</v>
      </c>
      <c r="K872" s="2">
        <f t="shared" si="65"/>
        <v>0.22360679774997899</v>
      </c>
      <c r="L872" s="2" t="e">
        <f t="shared" si="66"/>
        <v>#N/A</v>
      </c>
      <c r="M872" s="2" t="str">
        <f t="shared" si="67"/>
        <v>Below 0.8 not in assigned quadrant</v>
      </c>
      <c r="N872" s="7">
        <v>17.899999999999999</v>
      </c>
      <c r="O872" s="7">
        <v>-1</v>
      </c>
      <c r="P872" s="7">
        <v>-1.4</v>
      </c>
      <c r="Q872" s="7">
        <v>0.1</v>
      </c>
      <c r="R872" s="7">
        <v>0.2</v>
      </c>
      <c r="S872" s="7">
        <v>-0.1</v>
      </c>
      <c r="T872" s="7">
        <v>-0.12</v>
      </c>
      <c r="U872" s="7">
        <v>0.4</v>
      </c>
      <c r="V872" s="7">
        <v>0.43</v>
      </c>
      <c r="W872" s="7" t="s">
        <v>8</v>
      </c>
      <c r="X872" s="7" t="s">
        <v>7</v>
      </c>
      <c r="Y872" s="2" t="s">
        <v>719</v>
      </c>
      <c r="Z872" s="2" t="s">
        <v>721</v>
      </c>
    </row>
    <row r="873" spans="1:26" x14ac:dyDescent="0.35">
      <c r="A873" s="7" t="s">
        <v>1598</v>
      </c>
      <c r="B873" s="7" t="s">
        <v>903</v>
      </c>
      <c r="C873" s="4" t="str">
        <f>_xlfn.XLOOKUP(A873,[2]Sheet2!$I$2:$I$1273,[2]Sheet2!$D$2:$D$1273,0)</f>
        <v>Q3</v>
      </c>
      <c r="D873" s="4" t="str">
        <f>_xlfn.XLOOKUP(B873,[4]Sheet2!$B$2:$B$3154,[4]Sheet2!$F$2:$F$3154,0)</f>
        <v>N/ App</v>
      </c>
      <c r="E873" s="4" t="e">
        <f>_xlfn.XLOOKUP(B873,[2]Sheet2!$E$2:$E$713,[2]Sheet2!$G$2:$G$713)</f>
        <v>#N/A</v>
      </c>
      <c r="F873" s="18">
        <v>46100</v>
      </c>
      <c r="G873" s="14">
        <v>0.77811342592592592</v>
      </c>
      <c r="H873" s="7" t="s">
        <v>5</v>
      </c>
      <c r="I873" s="2" t="str">
        <f t="shared" si="68"/>
        <v>Q4</v>
      </c>
      <c r="J873" s="2" t="str">
        <f t="shared" si="69"/>
        <v>Not Match</v>
      </c>
      <c r="K873" s="2">
        <f t="shared" si="65"/>
        <v>0.44721359549995798</v>
      </c>
      <c r="L873" s="2" t="e">
        <f t="shared" si="66"/>
        <v>#N/A</v>
      </c>
      <c r="M873" s="2" t="str">
        <f t="shared" si="67"/>
        <v>Below 0.8 not in assigned quadrant</v>
      </c>
      <c r="N873" s="7">
        <v>20.2</v>
      </c>
      <c r="O873" s="7">
        <v>-6.4</v>
      </c>
      <c r="P873" s="7">
        <v>-14</v>
      </c>
      <c r="Q873" s="7">
        <v>-0.66</v>
      </c>
      <c r="R873" s="7">
        <v>0.2</v>
      </c>
      <c r="S873" s="7">
        <v>-0.4</v>
      </c>
      <c r="T873" s="7">
        <v>0.19</v>
      </c>
      <c r="U873" s="7">
        <v>0.37</v>
      </c>
      <c r="V873" s="7">
        <v>0.77</v>
      </c>
      <c r="W873" s="7" t="s">
        <v>13</v>
      </c>
      <c r="X873" s="7" t="s">
        <v>9</v>
      </c>
      <c r="Y873" s="2" t="s">
        <v>719</v>
      </c>
      <c r="Z873" s="2" t="s">
        <v>721</v>
      </c>
    </row>
    <row r="874" spans="1:26" x14ac:dyDescent="0.35">
      <c r="A874" s="7" t="s">
        <v>1557</v>
      </c>
      <c r="B874" s="7" t="s">
        <v>787</v>
      </c>
      <c r="C874" s="4" t="str">
        <f>_xlfn.XLOOKUP(A874,[2]Sheet2!$I$2:$I$1273,[2]Sheet2!$D$2:$D$1273,0)</f>
        <v>Q3</v>
      </c>
      <c r="D874" s="4" t="str">
        <f>_xlfn.XLOOKUP(B874,[4]Sheet2!$B$2:$B$3154,[4]Sheet2!$F$2:$F$3154,0)</f>
        <v>C/APP</v>
      </c>
      <c r="E874" s="4" t="e">
        <f>_xlfn.XLOOKUP(B874,[2]Sheet2!$E$2:$E$713,[2]Sheet2!$G$2:$G$713)</f>
        <v>#N/A</v>
      </c>
      <c r="F874" s="18">
        <v>46100</v>
      </c>
      <c r="G874" s="14">
        <v>0.90601851851851856</v>
      </c>
      <c r="H874" s="7" t="s">
        <v>16</v>
      </c>
      <c r="I874" s="2" t="str">
        <f t="shared" si="68"/>
        <v>Q3</v>
      </c>
      <c r="J874" s="2" t="str">
        <f t="shared" si="69"/>
        <v>Match</v>
      </c>
      <c r="K874" s="2">
        <f t="shared" si="65"/>
        <v>0.22360679774997899</v>
      </c>
      <c r="L874" s="2" t="e">
        <f t="shared" si="66"/>
        <v>#N/A</v>
      </c>
      <c r="M874" s="2" t="str">
        <f t="shared" si="67"/>
        <v>Failed but within quadrant</v>
      </c>
      <c r="N874" s="7">
        <v>14.6</v>
      </c>
      <c r="O874" s="7">
        <v>-0.3</v>
      </c>
      <c r="P874" s="7">
        <v>-1.9</v>
      </c>
      <c r="Q874" s="7">
        <v>-0.87</v>
      </c>
      <c r="R874" s="7">
        <v>-0.1</v>
      </c>
      <c r="S874" s="7">
        <v>-0.2</v>
      </c>
      <c r="T874" s="7">
        <v>0.31</v>
      </c>
      <c r="U874" s="7">
        <v>-0.21</v>
      </c>
      <c r="V874" s="7">
        <v>0.95</v>
      </c>
      <c r="W874" s="7" t="s">
        <v>13</v>
      </c>
      <c r="X874" s="7" t="s">
        <v>15</v>
      </c>
      <c r="Y874" s="2" t="s">
        <v>719</v>
      </c>
      <c r="Z874" s="2" t="s">
        <v>721</v>
      </c>
    </row>
    <row r="875" spans="1:26" x14ac:dyDescent="0.35">
      <c r="A875" s="7" t="s">
        <v>1688</v>
      </c>
      <c r="B875" s="7" t="s">
        <v>904</v>
      </c>
      <c r="C875" s="4" t="str">
        <f>_xlfn.XLOOKUP(A875,[2]Sheet2!$I$2:$I$1273,[2]Sheet2!$D$2:$D$1273,0)</f>
        <v>Q4</v>
      </c>
      <c r="D875" s="4" t="str">
        <f>_xlfn.XLOOKUP(B875,[4]Sheet2!$B$2:$B$3154,[4]Sheet2!$F$2:$F$3154,0)</f>
        <v>N/ App</v>
      </c>
      <c r="E875" s="4" t="e">
        <f>_xlfn.XLOOKUP(B875,[2]Sheet2!$E$2:$E$713,[2]Sheet2!$G$2:$G$713)</f>
        <v>#N/A</v>
      </c>
      <c r="F875" s="18">
        <v>46100</v>
      </c>
      <c r="G875" s="14">
        <v>0.94306712962962957</v>
      </c>
      <c r="H875" s="7" t="s">
        <v>4</v>
      </c>
      <c r="I875" s="2" t="str">
        <f t="shared" si="68"/>
        <v>Q3</v>
      </c>
      <c r="J875" s="2" t="str">
        <f t="shared" si="69"/>
        <v>Not Match</v>
      </c>
      <c r="K875" s="2">
        <f t="shared" si="65"/>
        <v>0.5</v>
      </c>
      <c r="L875" s="2" t="e">
        <f t="shared" si="66"/>
        <v>#N/A</v>
      </c>
      <c r="M875" s="2" t="str">
        <f t="shared" si="67"/>
        <v>Assign quadrant hit</v>
      </c>
      <c r="N875" s="7">
        <v>13.8</v>
      </c>
      <c r="O875" s="7">
        <v>-0.5</v>
      </c>
      <c r="P875" s="7">
        <v>-1.5</v>
      </c>
      <c r="Q875" s="7">
        <v>0.33</v>
      </c>
      <c r="R875" s="7">
        <v>-0.4</v>
      </c>
      <c r="S875" s="7">
        <v>-0.3</v>
      </c>
      <c r="T875" s="7">
        <v>0.64</v>
      </c>
      <c r="U875" s="7">
        <v>-0.51</v>
      </c>
      <c r="V875" s="7">
        <v>0.88</v>
      </c>
      <c r="W875" s="7" t="s">
        <v>13</v>
      </c>
      <c r="X875" s="7" t="s">
        <v>15</v>
      </c>
      <c r="Y875" s="2" t="s">
        <v>719</v>
      </c>
      <c r="Z875" s="2" t="s">
        <v>721</v>
      </c>
    </row>
    <row r="876" spans="1:26" x14ac:dyDescent="0.35">
      <c r="A876" s="7" t="s">
        <v>1599</v>
      </c>
      <c r="B876" s="7" t="s">
        <v>905</v>
      </c>
      <c r="C876" s="4" t="e">
        <f>_xlfn.XLOOKUP(A876,[2]Sheet2!$I$2:$I$1273,[2]Sheet2!$D$2:$D$1273,0)</f>
        <v>#REF!</v>
      </c>
      <c r="D876" s="4" t="str">
        <f>_xlfn.XLOOKUP(B876,[4]Sheet2!$B$2:$B$3154,[4]Sheet2!$F$2:$F$3154,0)</f>
        <v>N/ App</v>
      </c>
      <c r="E876" s="4" t="e">
        <f>_xlfn.XLOOKUP(B876,[2]Sheet2!$E$2:$E$713,[2]Sheet2!$G$2:$G$713)</f>
        <v>#N/A</v>
      </c>
      <c r="F876" s="18">
        <v>46100</v>
      </c>
      <c r="G876" s="14">
        <v>0.9450925925925926</v>
      </c>
      <c r="H876" s="7" t="s">
        <v>16</v>
      </c>
      <c r="I876" s="2" t="e">
        <f t="shared" si="68"/>
        <v>#REF!</v>
      </c>
      <c r="J876" s="2" t="e">
        <f t="shared" si="69"/>
        <v>#REF!</v>
      </c>
      <c r="K876" s="2">
        <f t="shared" si="65"/>
        <v>0</v>
      </c>
      <c r="L876" s="2" t="e">
        <f t="shared" si="66"/>
        <v>#N/A</v>
      </c>
      <c r="M876" s="2" t="e">
        <f t="shared" si="67"/>
        <v>#REF!</v>
      </c>
      <c r="N876" s="7">
        <v>25.1</v>
      </c>
      <c r="O876" s="7">
        <v>1.4</v>
      </c>
      <c r="P876" s="7">
        <v>9.3000000000000007</v>
      </c>
      <c r="Q876" s="7">
        <v>-0.28999999999999998</v>
      </c>
      <c r="R876" s="7">
        <v>0</v>
      </c>
      <c r="S876" s="7">
        <v>0</v>
      </c>
      <c r="T876" s="7">
        <v>-0.03</v>
      </c>
      <c r="U876" s="7">
        <v>0.03</v>
      </c>
      <c r="V876" s="7">
        <v>0.28999999999999998</v>
      </c>
      <c r="W876" s="7" t="s">
        <v>8</v>
      </c>
      <c r="X876" s="7" t="s">
        <v>15</v>
      </c>
      <c r="Y876" s="2" t="s">
        <v>719</v>
      </c>
      <c r="Z876" s="2" t="s">
        <v>721</v>
      </c>
    </row>
    <row r="877" spans="1:26" x14ac:dyDescent="0.35">
      <c r="A877" s="7" t="s">
        <v>1673</v>
      </c>
      <c r="B877" s="7" t="s">
        <v>906</v>
      </c>
      <c r="C877" s="4" t="str">
        <f>_xlfn.XLOOKUP(A877,[2]Sheet2!$I$2:$I$1273,[2]Sheet2!$D$2:$D$1273,0)</f>
        <v>Q1</v>
      </c>
      <c r="D877" s="4" t="str">
        <f>_xlfn.XLOOKUP(B877,[4]Sheet2!$B$2:$B$3154,[4]Sheet2!$F$2:$F$3154,0)</f>
        <v>N/ App</v>
      </c>
      <c r="E877" s="4" t="e">
        <f>_xlfn.XLOOKUP(B877,[2]Sheet2!$E$2:$E$713,[2]Sheet2!$G$2:$G$713)</f>
        <v>#N/A</v>
      </c>
      <c r="F877" s="18">
        <v>46100</v>
      </c>
      <c r="G877" s="14">
        <v>0.95327546296296295</v>
      </c>
      <c r="H877" s="7" t="s">
        <v>4</v>
      </c>
      <c r="I877" s="2" t="str">
        <f t="shared" si="68"/>
        <v>Q4</v>
      </c>
      <c r="J877" s="2" t="str">
        <f t="shared" si="69"/>
        <v>Not Match</v>
      </c>
      <c r="K877" s="2">
        <f t="shared" si="65"/>
        <v>0.14142135623730953</v>
      </c>
      <c r="L877" s="2" t="e">
        <f t="shared" si="66"/>
        <v>#N/A</v>
      </c>
      <c r="M877" s="2" t="str">
        <f t="shared" si="67"/>
        <v>Below 0.8 not in assigned quadrant</v>
      </c>
      <c r="N877" s="7">
        <v>14.9</v>
      </c>
      <c r="O877" s="7">
        <v>-0.4</v>
      </c>
      <c r="P877" s="7">
        <v>-1.7</v>
      </c>
      <c r="Q877" s="7">
        <v>-0.5</v>
      </c>
      <c r="R877" s="7">
        <v>0.1</v>
      </c>
      <c r="S877" s="7">
        <v>-0.1</v>
      </c>
      <c r="T877" s="7">
        <v>0.16</v>
      </c>
      <c r="U877" s="7">
        <v>0.25</v>
      </c>
      <c r="V877" s="7">
        <v>0.59</v>
      </c>
      <c r="W877" s="7" t="s">
        <v>8</v>
      </c>
      <c r="X877" s="7" t="s">
        <v>9</v>
      </c>
      <c r="Y877" s="2" t="s">
        <v>719</v>
      </c>
      <c r="Z877" s="2" t="s">
        <v>721</v>
      </c>
    </row>
    <row r="878" spans="1:26" x14ac:dyDescent="0.35">
      <c r="A878" s="7" t="s">
        <v>1724</v>
      </c>
      <c r="B878" s="7" t="s">
        <v>907</v>
      </c>
      <c r="C878" s="4">
        <f>_xlfn.XLOOKUP(A878,[2]Sheet2!$I$2:$I$1273,[2]Sheet2!$D$2:$D$1273,0)</f>
        <v>0</v>
      </c>
      <c r="D878" s="4" t="str">
        <f>_xlfn.XLOOKUP(B878,[4]Sheet2!$B$2:$B$3154,[4]Sheet2!$F$2:$F$3154,0)</f>
        <v>C/APP</v>
      </c>
      <c r="E878" s="4" t="e">
        <f>_xlfn.XLOOKUP(B878,[2]Sheet2!$E$2:$E$713,[2]Sheet2!$G$2:$G$713)</f>
        <v>#N/A</v>
      </c>
      <c r="F878" s="18">
        <v>46100</v>
      </c>
      <c r="G878" s="14">
        <v>0.95482638888888893</v>
      </c>
      <c r="H878" s="7" t="s">
        <v>4</v>
      </c>
      <c r="I878" s="2" t="str">
        <f t="shared" si="68"/>
        <v>Q2</v>
      </c>
      <c r="J878" s="2" t="str">
        <f t="shared" si="69"/>
        <v>Not Found</v>
      </c>
      <c r="K878" s="2">
        <f t="shared" si="65"/>
        <v>0.22360679774997899</v>
      </c>
      <c r="L878" s="2" t="e">
        <f t="shared" si="66"/>
        <v>#N/A</v>
      </c>
      <c r="M878" s="2" t="str">
        <f t="shared" si="67"/>
        <v>Assign quadrant hit</v>
      </c>
      <c r="N878" s="7">
        <v>24.8</v>
      </c>
      <c r="O878" s="7">
        <v>17.5</v>
      </c>
      <c r="P878" s="7">
        <v>3.2</v>
      </c>
      <c r="Q878" s="7">
        <v>-0.18</v>
      </c>
      <c r="R878" s="7">
        <v>-0.2</v>
      </c>
      <c r="S878" s="7">
        <v>0.1</v>
      </c>
      <c r="T878" s="7">
        <v>-0.12</v>
      </c>
      <c r="U878" s="7">
        <v>0.21</v>
      </c>
      <c r="V878" s="7">
        <v>0.3</v>
      </c>
      <c r="W878" s="7" t="s">
        <v>8</v>
      </c>
      <c r="X878" s="7" t="s">
        <v>9</v>
      </c>
      <c r="Y878" s="2" t="s">
        <v>719</v>
      </c>
      <c r="Z878" s="2" t="s">
        <v>721</v>
      </c>
    </row>
    <row r="879" spans="1:26" x14ac:dyDescent="0.35">
      <c r="A879" s="7" t="s">
        <v>1729</v>
      </c>
      <c r="B879" s="7" t="s">
        <v>908</v>
      </c>
      <c r="C879" s="4" t="str">
        <f>_xlfn.XLOOKUP(A879,[2]Sheet2!$I$2:$I$1273,[2]Sheet2!$D$2:$D$1273,0)</f>
        <v>Q4</v>
      </c>
      <c r="D879" s="4" t="str">
        <f>_xlfn.XLOOKUP(B879,[4]Sheet2!$B$2:$B$3154,[4]Sheet2!$F$2:$F$3154,0)</f>
        <v>N/ App</v>
      </c>
      <c r="E879" s="4" t="e">
        <f>_xlfn.XLOOKUP(B879,[2]Sheet2!$E$2:$E$713,[2]Sheet2!$G$2:$G$713)</f>
        <v>#N/A</v>
      </c>
      <c r="F879" s="18">
        <v>46100</v>
      </c>
      <c r="G879" s="14">
        <v>0.97824074074074074</v>
      </c>
      <c r="H879" s="7" t="s">
        <v>4</v>
      </c>
      <c r="I879" s="2" t="str">
        <f t="shared" si="68"/>
        <v>Q2</v>
      </c>
      <c r="J879" s="2" t="str">
        <f t="shared" si="69"/>
        <v>Not Match</v>
      </c>
      <c r="K879" s="2">
        <f t="shared" si="65"/>
        <v>0.41231056256176613</v>
      </c>
      <c r="L879" s="2" t="e">
        <f t="shared" si="66"/>
        <v>#N/A</v>
      </c>
      <c r="M879" s="2" t="str">
        <f t="shared" si="67"/>
        <v>Below 0.8 not in assigned quadrant</v>
      </c>
      <c r="N879" s="7">
        <v>33.1</v>
      </c>
      <c r="O879" s="7">
        <v>-20.100000000000001</v>
      </c>
      <c r="P879" s="7">
        <v>-3.9</v>
      </c>
      <c r="Q879" s="7">
        <v>0.21</v>
      </c>
      <c r="R879" s="7">
        <v>-0.4</v>
      </c>
      <c r="S879" s="7">
        <v>0.1</v>
      </c>
      <c r="T879" s="7">
        <v>0.23</v>
      </c>
      <c r="U879" s="7">
        <v>-0.19</v>
      </c>
      <c r="V879" s="7">
        <v>0.36</v>
      </c>
      <c r="W879" s="7" t="s">
        <v>8</v>
      </c>
      <c r="X879" s="7" t="s">
        <v>12</v>
      </c>
      <c r="Y879" s="2" t="s">
        <v>719</v>
      </c>
      <c r="Z879" s="2" t="s">
        <v>721</v>
      </c>
    </row>
    <row r="880" spans="1:26" x14ac:dyDescent="0.35">
      <c r="A880" s="7" t="s">
        <v>1557</v>
      </c>
      <c r="B880" s="7" t="s">
        <v>909</v>
      </c>
      <c r="C880" s="4" t="str">
        <f>_xlfn.XLOOKUP(A880,[2]Sheet2!$I$2:$I$1273,[2]Sheet2!$D$2:$D$1273,0)</f>
        <v>Q3</v>
      </c>
      <c r="D880" s="4" t="str">
        <f>_xlfn.XLOOKUP(B880,[4]Sheet2!$B$2:$B$3154,[4]Sheet2!$F$2:$F$3154,0)</f>
        <v>C/APP</v>
      </c>
      <c r="E880" s="4" t="e">
        <f>_xlfn.XLOOKUP(B880,[2]Sheet2!$E$2:$E$713,[2]Sheet2!$G$2:$G$713)</f>
        <v>#N/A</v>
      </c>
      <c r="F880" s="18">
        <v>46100</v>
      </c>
      <c r="G880" s="14">
        <v>0.9818634259259259</v>
      </c>
      <c r="H880" s="7" t="s">
        <v>16</v>
      </c>
      <c r="I880" s="2" t="str">
        <f t="shared" si="68"/>
        <v>Q3</v>
      </c>
      <c r="J880" s="2" t="str">
        <f t="shared" si="69"/>
        <v>Match</v>
      </c>
      <c r="K880" s="2">
        <f t="shared" si="65"/>
        <v>0.28284271247461906</v>
      </c>
      <c r="L880" s="2" t="e">
        <f t="shared" si="66"/>
        <v>#N/A</v>
      </c>
      <c r="M880" s="2" t="str">
        <f t="shared" si="67"/>
        <v>Digital Approve Hit</v>
      </c>
      <c r="N880" s="7">
        <v>15.2</v>
      </c>
      <c r="O880" s="7">
        <v>-0.4</v>
      </c>
      <c r="P880" s="7">
        <v>-1.9</v>
      </c>
      <c r="Q880" s="7">
        <v>-0.31</v>
      </c>
      <c r="R880" s="7">
        <v>-0.2</v>
      </c>
      <c r="S880" s="7">
        <v>-0.2</v>
      </c>
      <c r="T880" s="7">
        <v>0.36</v>
      </c>
      <c r="U880" s="7">
        <v>-0.28000000000000003</v>
      </c>
      <c r="V880" s="7">
        <v>0.55000000000000004</v>
      </c>
      <c r="W880" s="7" t="s">
        <v>8</v>
      </c>
      <c r="X880" s="7" t="s">
        <v>15</v>
      </c>
      <c r="Y880" s="2" t="s">
        <v>719</v>
      </c>
      <c r="Z880" s="2" t="s">
        <v>721</v>
      </c>
    </row>
    <row r="881" spans="1:26" x14ac:dyDescent="0.35">
      <c r="A881" s="7" t="s">
        <v>1567</v>
      </c>
      <c r="B881" s="7" t="s">
        <v>789</v>
      </c>
      <c r="C881" s="4" t="str">
        <f>_xlfn.XLOOKUP(A881,[2]Sheet2!$I$2:$I$1273,[2]Sheet2!$D$2:$D$1273,0)</f>
        <v>Q3</v>
      </c>
      <c r="D881" s="4">
        <f>_xlfn.XLOOKUP(B881,[4]Sheet2!$B$2:$B$3154,[4]Sheet2!$F$2:$F$3154,0)</f>
        <v>0</v>
      </c>
      <c r="E881" s="4" t="e">
        <f>_xlfn.XLOOKUP(B881,[2]Sheet2!$E$2:$E$713,[2]Sheet2!$G$2:$G$713)</f>
        <v>#N/A</v>
      </c>
      <c r="F881" s="18">
        <v>46101</v>
      </c>
      <c r="G881" s="14">
        <v>7.7604166666666669E-2</v>
      </c>
      <c r="H881" s="7" t="s">
        <v>16</v>
      </c>
      <c r="I881" s="2" t="str">
        <f t="shared" si="68"/>
        <v>Q4</v>
      </c>
      <c r="J881" s="2" t="str">
        <f t="shared" si="69"/>
        <v>Not Match</v>
      </c>
      <c r="K881" s="2">
        <f t="shared" si="65"/>
        <v>0.6</v>
      </c>
      <c r="L881" s="2" t="e">
        <f t="shared" si="66"/>
        <v>#N/A</v>
      </c>
      <c r="M881" s="2" t="str">
        <f t="shared" si="67"/>
        <v>Assign quadrant hit</v>
      </c>
      <c r="N881" s="7">
        <v>22.7</v>
      </c>
      <c r="O881" s="7">
        <v>-5.2</v>
      </c>
      <c r="P881" s="7">
        <v>-8.6</v>
      </c>
      <c r="Q881" s="7">
        <v>-0.85</v>
      </c>
      <c r="R881" s="7">
        <v>0</v>
      </c>
      <c r="S881" s="7">
        <v>-0.6</v>
      </c>
      <c r="T881" s="7">
        <v>0.46</v>
      </c>
      <c r="U881" s="7">
        <v>0.41</v>
      </c>
      <c r="V881" s="7">
        <v>1.05</v>
      </c>
      <c r="W881" s="7" t="s">
        <v>6</v>
      </c>
      <c r="X881" s="7" t="s">
        <v>9</v>
      </c>
      <c r="Y881" s="2" t="s">
        <v>719</v>
      </c>
      <c r="Z881" s="2" t="s">
        <v>721</v>
      </c>
    </row>
    <row r="882" spans="1:26" x14ac:dyDescent="0.35">
      <c r="A882" s="7" t="s">
        <v>1559</v>
      </c>
      <c r="B882" s="7" t="s">
        <v>790</v>
      </c>
      <c r="C882" s="4" t="str">
        <f>_xlfn.XLOOKUP(A882,[2]Sheet2!$I$2:$I$1273,[2]Sheet2!$D$2:$D$1273,0)</f>
        <v>Q3</v>
      </c>
      <c r="D882" s="4" t="str">
        <f>_xlfn.XLOOKUP(B882,[4]Sheet2!$B$2:$B$3154,[4]Sheet2!$F$2:$F$3154,0)</f>
        <v>N/ App</v>
      </c>
      <c r="E882" s="4" t="e">
        <f>_xlfn.XLOOKUP(B882,[2]Sheet2!$E$2:$E$713,[2]Sheet2!$G$2:$G$713)</f>
        <v>#N/A</v>
      </c>
      <c r="F882" s="18">
        <v>46101</v>
      </c>
      <c r="G882" s="14">
        <v>8.2546296296296298E-2</v>
      </c>
      <c r="H882" s="7" t="s">
        <v>11</v>
      </c>
      <c r="I882" s="2" t="str">
        <f t="shared" si="68"/>
        <v>Q4</v>
      </c>
      <c r="J882" s="2" t="str">
        <f t="shared" si="69"/>
        <v>Not Match</v>
      </c>
      <c r="K882" s="2">
        <f t="shared" si="65"/>
        <v>0.2</v>
      </c>
      <c r="L882" s="2" t="e">
        <f t="shared" si="66"/>
        <v>#N/A</v>
      </c>
      <c r="M882" s="2" t="str">
        <f t="shared" si="67"/>
        <v>Below 0.8 not in assigned quadrant</v>
      </c>
      <c r="N882" s="7">
        <v>17.3</v>
      </c>
      <c r="O882" s="7">
        <v>-0.6</v>
      </c>
      <c r="P882" s="7">
        <v>-3</v>
      </c>
      <c r="Q882" s="7">
        <v>-0.4</v>
      </c>
      <c r="R882" s="7">
        <v>0</v>
      </c>
      <c r="S882" s="7">
        <v>-0.2</v>
      </c>
      <c r="T882" s="7">
        <v>0.27</v>
      </c>
      <c r="U882" s="7">
        <v>0.12</v>
      </c>
      <c r="V882" s="7">
        <v>0.5</v>
      </c>
      <c r="W882" s="7" t="s">
        <v>8</v>
      </c>
      <c r="X882" s="7" t="s">
        <v>9</v>
      </c>
      <c r="Y882" s="2" t="s">
        <v>719</v>
      </c>
      <c r="Z882" s="2" t="s">
        <v>721</v>
      </c>
    </row>
    <row r="883" spans="1:26" x14ac:dyDescent="0.35">
      <c r="A883" s="7" t="s">
        <v>1709</v>
      </c>
      <c r="B883" s="7" t="s">
        <v>912</v>
      </c>
      <c r="C883" s="4" t="str">
        <f>_xlfn.XLOOKUP(A883,[2]Sheet2!$I$2:$I$1273,[2]Sheet2!$D$2:$D$1273,0)</f>
        <v>Q2</v>
      </c>
      <c r="D883" s="4" t="str">
        <f>_xlfn.XLOOKUP(B883,[4]Sheet2!$B$2:$B$3154,[4]Sheet2!$F$2:$F$3154,0)</f>
        <v>N/ App</v>
      </c>
      <c r="E883" s="4" t="e">
        <f>_xlfn.XLOOKUP(B883,[2]Sheet2!$E$2:$E$713,[2]Sheet2!$G$2:$G$713)</f>
        <v>#N/A</v>
      </c>
      <c r="F883" s="18">
        <v>46101</v>
      </c>
      <c r="G883" s="14">
        <v>0.25626157407407407</v>
      </c>
      <c r="H883" s="7" t="s">
        <v>4</v>
      </c>
      <c r="I883" s="2" t="str">
        <f t="shared" si="68"/>
        <v>Q3</v>
      </c>
      <c r="J883" s="2" t="str">
        <f t="shared" si="69"/>
        <v>Not Match</v>
      </c>
      <c r="K883" s="2">
        <f t="shared" si="65"/>
        <v>0.4</v>
      </c>
      <c r="L883" s="2" t="e">
        <f t="shared" si="66"/>
        <v>#N/A</v>
      </c>
      <c r="M883" s="2" t="str">
        <f t="shared" si="67"/>
        <v>Below 0.8 not in assigned quadrant</v>
      </c>
      <c r="N883" s="7">
        <v>14.1</v>
      </c>
      <c r="O883" s="7">
        <v>-0.4</v>
      </c>
      <c r="P883" s="7">
        <v>-2.1</v>
      </c>
      <c r="Q883" s="7">
        <v>0.36</v>
      </c>
      <c r="R883" s="7">
        <v>-0.4</v>
      </c>
      <c r="S883" s="7">
        <v>0</v>
      </c>
      <c r="T883" s="7">
        <v>0.02</v>
      </c>
      <c r="U883" s="7">
        <v>-0.65</v>
      </c>
      <c r="V883" s="7">
        <v>0.74</v>
      </c>
      <c r="W883" s="7" t="s">
        <v>8</v>
      </c>
      <c r="X883" s="7" t="s">
        <v>15</v>
      </c>
      <c r="Y883" s="2" t="s">
        <v>719</v>
      </c>
      <c r="Z883" s="2" t="s">
        <v>721</v>
      </c>
    </row>
    <row r="884" spans="1:26" x14ac:dyDescent="0.35">
      <c r="A884" s="7" t="s">
        <v>1539</v>
      </c>
      <c r="B884" s="7" t="s">
        <v>913</v>
      </c>
      <c r="C884" s="4" t="str">
        <f>_xlfn.XLOOKUP(A884,[2]Sheet2!$I$2:$I$1273,[2]Sheet2!$D$2:$D$1273,0)</f>
        <v>Q4</v>
      </c>
      <c r="D884" s="4" t="str">
        <f>_xlfn.XLOOKUP(B884,[4]Sheet2!$B$2:$B$3154,[4]Sheet2!$F$2:$F$3154,0)</f>
        <v>N/ App</v>
      </c>
      <c r="E884" s="4" t="e">
        <f>_xlfn.XLOOKUP(B884,[2]Sheet2!$E$2:$E$713,[2]Sheet2!$G$2:$G$713)</f>
        <v>#N/A</v>
      </c>
      <c r="F884" s="18">
        <v>46101</v>
      </c>
      <c r="G884" s="14">
        <v>0.25931712962962961</v>
      </c>
      <c r="H884" s="7" t="s">
        <v>16</v>
      </c>
      <c r="I884" s="2" t="str">
        <f t="shared" si="68"/>
        <v>Q1</v>
      </c>
      <c r="J884" s="2" t="str">
        <f t="shared" si="69"/>
        <v>Not Match</v>
      </c>
      <c r="K884" s="2">
        <f t="shared" si="65"/>
        <v>0.7</v>
      </c>
      <c r="L884" s="2" t="e">
        <f t="shared" si="66"/>
        <v>#N/A</v>
      </c>
      <c r="M884" s="2" t="str">
        <f t="shared" si="67"/>
        <v>Assign quadrant hit</v>
      </c>
      <c r="N884" s="7">
        <v>33.1</v>
      </c>
      <c r="O884" s="7">
        <v>-0.4</v>
      </c>
      <c r="P884" s="7">
        <v>3.8</v>
      </c>
      <c r="Q884" s="7">
        <v>-0.51</v>
      </c>
      <c r="R884" s="7">
        <v>0</v>
      </c>
      <c r="S884" s="7">
        <v>0.7</v>
      </c>
      <c r="T884" s="7">
        <v>0.94</v>
      </c>
      <c r="U884" s="7">
        <v>-0.18</v>
      </c>
      <c r="V884" s="7">
        <v>1.08</v>
      </c>
      <c r="W884" s="7" t="s">
        <v>6</v>
      </c>
      <c r="X884" s="7" t="s">
        <v>12</v>
      </c>
      <c r="Y884" s="2" t="s">
        <v>719</v>
      </c>
      <c r="Z884" s="2" t="s">
        <v>721</v>
      </c>
    </row>
    <row r="885" spans="1:26" x14ac:dyDescent="0.35">
      <c r="A885" s="7" t="s">
        <v>1586</v>
      </c>
      <c r="B885" s="7" t="s">
        <v>914</v>
      </c>
      <c r="C885" s="4" t="str">
        <f>_xlfn.XLOOKUP(A885,[2]Sheet2!$I$2:$I$1273,[2]Sheet2!$D$2:$D$1273,0)</f>
        <v>Q2</v>
      </c>
      <c r="D885" s="4" t="str">
        <f>_xlfn.XLOOKUP(B885,[4]Sheet2!$B$2:$B$3154,[4]Sheet2!$F$2:$F$3154,0)</f>
        <v>N/ App</v>
      </c>
      <c r="E885" s="4" t="e">
        <f>_xlfn.XLOOKUP(B885,[2]Sheet2!$E$2:$E$713,[2]Sheet2!$G$2:$G$713)</f>
        <v>#N/A</v>
      </c>
      <c r="F885" s="18">
        <v>46101</v>
      </c>
      <c r="G885" s="14">
        <v>0.26197916666666665</v>
      </c>
      <c r="H885" s="7" t="s">
        <v>4</v>
      </c>
      <c r="I885" s="2" t="str">
        <f t="shared" si="68"/>
        <v>Q3</v>
      </c>
      <c r="J885" s="2" t="str">
        <f t="shared" si="69"/>
        <v>Not Match</v>
      </c>
      <c r="K885" s="2">
        <f t="shared" si="65"/>
        <v>0.31622776601683794</v>
      </c>
      <c r="L885" s="2" t="e">
        <f t="shared" si="66"/>
        <v>#N/A</v>
      </c>
      <c r="M885" s="2" t="str">
        <f t="shared" si="67"/>
        <v>Below 0.8 not in assigned quadrant</v>
      </c>
      <c r="N885" s="7">
        <v>17.600000000000001</v>
      </c>
      <c r="O885" s="7">
        <v>0</v>
      </c>
      <c r="P885" s="7">
        <v>-1.3</v>
      </c>
      <c r="Q885" s="7">
        <v>-0.31</v>
      </c>
      <c r="R885" s="7">
        <v>-0.1</v>
      </c>
      <c r="S885" s="7">
        <v>-0.3</v>
      </c>
      <c r="T885" s="7">
        <v>0.42</v>
      </c>
      <c r="U885" s="7">
        <v>-0.19</v>
      </c>
      <c r="V885" s="7">
        <v>0.55000000000000004</v>
      </c>
      <c r="W885" s="7" t="s">
        <v>8</v>
      </c>
      <c r="X885" s="7" t="s">
        <v>15</v>
      </c>
      <c r="Y885" s="2" t="s">
        <v>719</v>
      </c>
      <c r="Z885" s="2" t="s">
        <v>721</v>
      </c>
    </row>
    <row r="886" spans="1:26" x14ac:dyDescent="0.35">
      <c r="A886" s="7" t="s">
        <v>1566</v>
      </c>
      <c r="B886" s="7" t="s">
        <v>915</v>
      </c>
      <c r="C886" s="4" t="str">
        <f>_xlfn.XLOOKUP(A886,[2]Sheet2!$I$2:$I$1273,[2]Sheet2!$D$2:$D$1273,0)</f>
        <v>Q4</v>
      </c>
      <c r="D886" s="4" t="str">
        <f>_xlfn.XLOOKUP(B886,[4]Sheet2!$B$2:$B$3154,[4]Sheet2!$F$2:$F$3154,0)</f>
        <v>N/ App</v>
      </c>
      <c r="E886" s="4" t="e">
        <f>_xlfn.XLOOKUP(B886,[2]Sheet2!$E$2:$E$713,[2]Sheet2!$G$2:$G$713)</f>
        <v>#N/A</v>
      </c>
      <c r="F886" s="18">
        <v>46101</v>
      </c>
      <c r="G886" s="14">
        <v>0.265625</v>
      </c>
      <c r="H886" s="7" t="s">
        <v>16</v>
      </c>
      <c r="I886" s="2" t="str">
        <f t="shared" si="68"/>
        <v>Q2</v>
      </c>
      <c r="J886" s="2" t="str">
        <f t="shared" si="69"/>
        <v>Not Match</v>
      </c>
      <c r="K886" s="2">
        <f t="shared" si="65"/>
        <v>0.28284271247461906</v>
      </c>
      <c r="L886" s="2" t="e">
        <f t="shared" si="66"/>
        <v>#N/A</v>
      </c>
      <c r="M886" s="2" t="str">
        <f t="shared" si="67"/>
        <v>Below 0.8 not in assigned quadrant</v>
      </c>
      <c r="N886" s="7">
        <v>15.8</v>
      </c>
      <c r="O886" s="7">
        <v>-1</v>
      </c>
      <c r="P886" s="7">
        <v>-6</v>
      </c>
      <c r="Q886" s="7">
        <v>0.18</v>
      </c>
      <c r="R886" s="7">
        <v>-0.2</v>
      </c>
      <c r="S886" s="7">
        <v>0.2</v>
      </c>
      <c r="T886" s="7">
        <v>-0.21</v>
      </c>
      <c r="U886" s="7">
        <v>-0.42</v>
      </c>
      <c r="V886" s="7">
        <v>0.51</v>
      </c>
      <c r="W886" s="7" t="s">
        <v>8</v>
      </c>
      <c r="X886" s="7" t="s">
        <v>15</v>
      </c>
      <c r="Y886" s="2" t="s">
        <v>719</v>
      </c>
      <c r="Z886" s="2" t="s">
        <v>721</v>
      </c>
    </row>
    <row r="887" spans="1:26" x14ac:dyDescent="0.35">
      <c r="A887" s="7" t="s">
        <v>1515</v>
      </c>
      <c r="B887" s="7" t="s">
        <v>916</v>
      </c>
      <c r="C887" s="4" t="str">
        <f>_xlfn.XLOOKUP(A887,[2]Sheet2!$I$2:$I$1273,[2]Sheet2!$D$2:$D$1273,0)</f>
        <v>Q3</v>
      </c>
      <c r="D887" s="4" t="str">
        <f>_xlfn.XLOOKUP(B887,[4]Sheet2!$B$2:$B$3154,[4]Sheet2!$F$2:$F$3154,0)</f>
        <v>N/ App</v>
      </c>
      <c r="E887" s="4" t="e">
        <f>_xlfn.XLOOKUP(B887,[2]Sheet2!$E$2:$E$713,[2]Sheet2!$G$2:$G$713)</f>
        <v>#N/A</v>
      </c>
      <c r="F887" s="18">
        <v>46101</v>
      </c>
      <c r="G887" s="14">
        <v>0.26962962962962961</v>
      </c>
      <c r="H887" s="7" t="s">
        <v>11</v>
      </c>
      <c r="I887" s="2" t="str">
        <f t="shared" si="68"/>
        <v>Q3</v>
      </c>
      <c r="J887" s="2" t="str">
        <f t="shared" si="69"/>
        <v>Match</v>
      </c>
      <c r="K887" s="2">
        <f t="shared" si="65"/>
        <v>0.36055512754639896</v>
      </c>
      <c r="L887" s="2" t="e">
        <f t="shared" si="66"/>
        <v>#N/A</v>
      </c>
      <c r="M887" s="2" t="str">
        <f t="shared" si="67"/>
        <v>Failed but within quadrant</v>
      </c>
      <c r="N887" s="7">
        <v>13.5</v>
      </c>
      <c r="O887" s="7">
        <v>-0.5</v>
      </c>
      <c r="P887" s="7">
        <v>-2.5</v>
      </c>
      <c r="Q887" s="7">
        <v>-1.25</v>
      </c>
      <c r="R887" s="7">
        <v>-0.2</v>
      </c>
      <c r="S887" s="7">
        <v>-0.3</v>
      </c>
      <c r="T887" s="7">
        <v>0.53</v>
      </c>
      <c r="U887" s="7">
        <v>-0.22</v>
      </c>
      <c r="V887" s="7">
        <v>1.38</v>
      </c>
      <c r="W887" s="7" t="s">
        <v>6</v>
      </c>
      <c r="X887" s="7" t="s">
        <v>15</v>
      </c>
      <c r="Y887" s="2" t="s">
        <v>719</v>
      </c>
      <c r="Z887" s="2" t="s">
        <v>721</v>
      </c>
    </row>
    <row r="888" spans="1:26" x14ac:dyDescent="0.35">
      <c r="A888" s="7" t="s">
        <v>1730</v>
      </c>
      <c r="B888" s="7" t="s">
        <v>917</v>
      </c>
      <c r="C888" s="4" t="str">
        <f>_xlfn.XLOOKUP(A888,[2]Sheet2!$I$2:$I$1273,[2]Sheet2!$D$2:$D$1273,0)</f>
        <v>Q2</v>
      </c>
      <c r="D888" s="4" t="str">
        <f>_xlfn.XLOOKUP(B888,[4]Sheet2!$B$2:$B$3154,[4]Sheet2!$F$2:$F$3154,0)</f>
        <v>N/ App</v>
      </c>
      <c r="E888" s="4" t="e">
        <f>_xlfn.XLOOKUP(B888,[2]Sheet2!$E$2:$E$713,[2]Sheet2!$G$2:$G$713)</f>
        <v>#N/A</v>
      </c>
      <c r="F888" s="18">
        <v>46101</v>
      </c>
      <c r="G888" s="14">
        <v>0.27991898148148148</v>
      </c>
      <c r="H888" s="7" t="s">
        <v>4</v>
      </c>
      <c r="I888" s="2" t="str">
        <f t="shared" si="68"/>
        <v>Q2</v>
      </c>
      <c r="J888" s="2" t="str">
        <f t="shared" si="69"/>
        <v>Match</v>
      </c>
      <c r="K888" s="2">
        <f t="shared" si="65"/>
        <v>0.31622776601683794</v>
      </c>
      <c r="L888" s="2" t="e">
        <f t="shared" si="66"/>
        <v>#N/A</v>
      </c>
      <c r="M888" s="2" t="str">
        <f t="shared" si="67"/>
        <v>Digital Approve Hit</v>
      </c>
      <c r="N888" s="7">
        <v>15.2</v>
      </c>
      <c r="O888" s="7">
        <v>0</v>
      </c>
      <c r="P888" s="7">
        <v>-4</v>
      </c>
      <c r="Q888" s="7">
        <v>-0.61</v>
      </c>
      <c r="R888" s="7">
        <v>-0.1</v>
      </c>
      <c r="S888" s="7">
        <v>0.3</v>
      </c>
      <c r="T888" s="7">
        <v>-0.43</v>
      </c>
      <c r="U888" s="7">
        <v>-0.13</v>
      </c>
      <c r="V888" s="7">
        <v>0.75</v>
      </c>
      <c r="W888" s="7" t="s">
        <v>13</v>
      </c>
      <c r="X888" s="7" t="s">
        <v>15</v>
      </c>
      <c r="Y888" s="2" t="s">
        <v>719</v>
      </c>
      <c r="Z888" s="2" t="s">
        <v>721</v>
      </c>
    </row>
    <row r="889" spans="1:26" x14ac:dyDescent="0.35">
      <c r="A889" s="7" t="s">
        <v>1559</v>
      </c>
      <c r="B889" s="7" t="s">
        <v>918</v>
      </c>
      <c r="C889" s="4" t="str">
        <f>_xlfn.XLOOKUP(A889,[2]Sheet2!$I$2:$I$1273,[2]Sheet2!$D$2:$D$1273,0)</f>
        <v>Q3</v>
      </c>
      <c r="D889" s="4" t="str">
        <f>_xlfn.XLOOKUP(B889,[4]Sheet2!$B$2:$B$3154,[4]Sheet2!$F$2:$F$3154,0)</f>
        <v>N/ App</v>
      </c>
      <c r="E889" s="4" t="e">
        <f>_xlfn.XLOOKUP(B889,[2]Sheet2!$E$2:$E$713,[2]Sheet2!$G$2:$G$713)</f>
        <v>#N/A</v>
      </c>
      <c r="F889" s="18">
        <v>46101</v>
      </c>
      <c r="G889" s="14">
        <v>0.35194444444444445</v>
      </c>
      <c r="H889" s="7" t="s">
        <v>11</v>
      </c>
      <c r="I889" s="2" t="str">
        <f t="shared" si="68"/>
        <v>Q4</v>
      </c>
      <c r="J889" s="2" t="str">
        <f t="shared" si="69"/>
        <v>Not Match</v>
      </c>
      <c r="K889" s="2">
        <f t="shared" ref="K889:K951" si="70">SQRT(R889^2+S889^2)</f>
        <v>0.1</v>
      </c>
      <c r="L889" s="2" t="e">
        <f t="shared" ref="L889:L951" si="71">IF(K889&lt;=E889,"Within Range","Over Range")</f>
        <v>#N/A</v>
      </c>
      <c r="M889" s="2" t="str">
        <f t="shared" ref="M889:M951" si="72">IF(AND(J889="Match",V889&lt;=0.8),"Digital Approve Hit",
IF(AND(J889="Match",V889&gt;0.8),"Failed but within quadrant",
IF(AND(J889="Not Match",V889&lt;=0.8),"Below 0.8 not in assigned quadrant",
"Assign quadrant hit")))</f>
        <v>Below 0.8 not in assigned quadrant</v>
      </c>
      <c r="N889" s="7">
        <v>17</v>
      </c>
      <c r="O889" s="7">
        <v>-0.5</v>
      </c>
      <c r="P889" s="7">
        <v>-3</v>
      </c>
      <c r="Q889" s="7">
        <v>-0.69</v>
      </c>
      <c r="R889" s="7">
        <v>0</v>
      </c>
      <c r="S889" s="7">
        <v>-0.1</v>
      </c>
      <c r="T889" s="7">
        <v>0.18</v>
      </c>
      <c r="U889" s="7">
        <v>0.13</v>
      </c>
      <c r="V889" s="7">
        <v>0.72</v>
      </c>
      <c r="W889" s="7" t="s">
        <v>8</v>
      </c>
      <c r="X889" s="7" t="s">
        <v>9</v>
      </c>
      <c r="Y889" s="2" t="s">
        <v>719</v>
      </c>
      <c r="Z889" s="2" t="s">
        <v>721</v>
      </c>
    </row>
    <row r="890" spans="1:26" x14ac:dyDescent="0.35">
      <c r="A890" s="7" t="s">
        <v>1559</v>
      </c>
      <c r="B890" s="7" t="s">
        <v>919</v>
      </c>
      <c r="C890" s="4" t="str">
        <f>_xlfn.XLOOKUP(A890,[2]Sheet2!$I$2:$I$1273,[2]Sheet2!$D$2:$D$1273,0)</f>
        <v>Q3</v>
      </c>
      <c r="D890" s="4" t="str">
        <f>_xlfn.XLOOKUP(B890,[4]Sheet2!$B$2:$B$3154,[4]Sheet2!$F$2:$F$3154,0)</f>
        <v>N/ App</v>
      </c>
      <c r="E890" s="4" t="e">
        <f>_xlfn.XLOOKUP(B890,[2]Sheet2!$E$2:$E$713,[2]Sheet2!$G$2:$G$713)</f>
        <v>#N/A</v>
      </c>
      <c r="F890" s="18">
        <v>46101</v>
      </c>
      <c r="G890" s="14">
        <v>0.50659722222222225</v>
      </c>
      <c r="H890" s="7" t="s">
        <v>11</v>
      </c>
      <c r="I890" s="2" t="str">
        <f t="shared" ref="I890:I952" si="73">IF(AND(R890=0,S890=0),IF(C890="","Origin",C890),
IF(AND(R890&gt;0,S890=0),"Q4",
IF(AND(R890&lt;0,S890=0),"Q3",
IF(AND(R890&gt;=0,S890&lt;0),"Q4",
IF(AND(R890&gt;=0,S890&gt;0),"Q1",
IF(AND(R890&lt;0,S890&lt;=0),"Q3",
IF(AND(R890&lt;0,S890&gt;0),"Q2",
"")))))))</f>
        <v>Q4</v>
      </c>
      <c r="J890" s="2" t="str">
        <f t="shared" si="69"/>
        <v>Not Match</v>
      </c>
      <c r="K890" s="2">
        <f t="shared" si="70"/>
        <v>0.1</v>
      </c>
      <c r="L890" s="2" t="e">
        <f t="shared" si="71"/>
        <v>#N/A</v>
      </c>
      <c r="M890" s="2" t="str">
        <f t="shared" si="72"/>
        <v>Below 0.8 not in assigned quadrant</v>
      </c>
      <c r="N890" s="7">
        <v>17</v>
      </c>
      <c r="O890" s="7">
        <v>-0.5</v>
      </c>
      <c r="P890" s="7">
        <v>-2.9</v>
      </c>
      <c r="Q890" s="7">
        <v>-0.68</v>
      </c>
      <c r="R890" s="7">
        <v>0</v>
      </c>
      <c r="S890" s="7">
        <v>-0.1</v>
      </c>
      <c r="T890" s="7">
        <v>0.12</v>
      </c>
      <c r="U890" s="7">
        <v>0.1</v>
      </c>
      <c r="V890" s="7">
        <v>0.69</v>
      </c>
      <c r="W890" s="7" t="s">
        <v>8</v>
      </c>
      <c r="X890" s="7" t="s">
        <v>9</v>
      </c>
      <c r="Y890" s="2" t="s">
        <v>719</v>
      </c>
      <c r="Z890" s="2" t="s">
        <v>721</v>
      </c>
    </row>
    <row r="891" spans="1:26" x14ac:dyDescent="0.35">
      <c r="A891" s="7" t="s">
        <v>1536</v>
      </c>
      <c r="B891" s="7" t="s">
        <v>920</v>
      </c>
      <c r="C891" s="4" t="str">
        <f>_xlfn.XLOOKUP(A891,[2]Sheet2!$I$2:$I$1273,[2]Sheet2!$D$2:$D$1273,0)</f>
        <v>Q2</v>
      </c>
      <c r="D891" s="4" t="str">
        <f>_xlfn.XLOOKUP(B891,[4]Sheet2!$B$2:$B$3154,[4]Sheet2!$F$2:$F$3154,0)</f>
        <v>N/ App</v>
      </c>
      <c r="E891" s="4" t="e">
        <f>_xlfn.XLOOKUP(B891,[2]Sheet2!$E$2:$E$713,[2]Sheet2!$G$2:$G$713)</f>
        <v>#N/A</v>
      </c>
      <c r="F891" s="18">
        <v>46101</v>
      </c>
      <c r="G891" s="14">
        <v>0.67902777777777779</v>
      </c>
      <c r="H891" s="7" t="s">
        <v>5</v>
      </c>
      <c r="I891" s="2" t="str">
        <f t="shared" si="73"/>
        <v>Q4</v>
      </c>
      <c r="J891" s="2" t="str">
        <f t="shared" si="69"/>
        <v>Not Match</v>
      </c>
      <c r="K891" s="2">
        <f t="shared" si="70"/>
        <v>0.1</v>
      </c>
      <c r="L891" s="2" t="e">
        <f t="shared" si="71"/>
        <v>#N/A</v>
      </c>
      <c r="M891" s="2" t="str">
        <f t="shared" si="72"/>
        <v>Below 0.8 not in assigned quadrant</v>
      </c>
      <c r="N891" s="7">
        <v>15.4</v>
      </c>
      <c r="O891" s="7">
        <v>-0.6</v>
      </c>
      <c r="P891" s="7">
        <v>-2.7</v>
      </c>
      <c r="Q891" s="7">
        <v>0.25</v>
      </c>
      <c r="R891" s="7">
        <v>0</v>
      </c>
      <c r="S891" s="7">
        <v>-0.1</v>
      </c>
      <c r="T891" s="7">
        <v>0.17</v>
      </c>
      <c r="U891" s="7">
        <v>0.1</v>
      </c>
      <c r="V891" s="7">
        <v>0.32</v>
      </c>
      <c r="W891" s="7" t="s">
        <v>8</v>
      </c>
      <c r="X891" s="7" t="s">
        <v>9</v>
      </c>
      <c r="Y891" s="2" t="s">
        <v>719</v>
      </c>
      <c r="Z891" s="2" t="s">
        <v>721</v>
      </c>
    </row>
    <row r="892" spans="1:26" x14ac:dyDescent="0.35">
      <c r="A892" s="7" t="s">
        <v>1598</v>
      </c>
      <c r="B892" s="7" t="s">
        <v>921</v>
      </c>
      <c r="C892" s="4" t="str">
        <f>_xlfn.XLOOKUP(A892,[2]Sheet2!$I$2:$I$1273,[2]Sheet2!$D$2:$D$1273,0)</f>
        <v>Q3</v>
      </c>
      <c r="D892" s="4" t="str">
        <f>_xlfn.XLOOKUP(B892,[4]Sheet2!$B$2:$B$3154,[4]Sheet2!$F$2:$F$3154,0)</f>
        <v>N/ App</v>
      </c>
      <c r="E892" s="4" t="e">
        <f>_xlfn.XLOOKUP(B892,[2]Sheet2!$E$2:$E$713,[2]Sheet2!$G$2:$G$713)</f>
        <v>#N/A</v>
      </c>
      <c r="F892" s="18">
        <v>46101</v>
      </c>
      <c r="G892" s="14">
        <v>0.68531249999999999</v>
      </c>
      <c r="H892" s="7" t="s">
        <v>5</v>
      </c>
      <c r="I892" s="2" t="str">
        <f t="shared" si="73"/>
        <v>Q4</v>
      </c>
      <c r="J892" s="2" t="str">
        <f t="shared" si="69"/>
        <v>Not Match</v>
      </c>
      <c r="K892" s="2">
        <f t="shared" si="70"/>
        <v>0.1</v>
      </c>
      <c r="L892" s="2" t="e">
        <f t="shared" si="71"/>
        <v>#N/A</v>
      </c>
      <c r="M892" s="2" t="str">
        <f t="shared" si="72"/>
        <v>Below 0.8 not in assigned quadrant</v>
      </c>
      <c r="N892" s="7">
        <v>20.399999999999999</v>
      </c>
      <c r="O892" s="7">
        <v>-6.5</v>
      </c>
      <c r="P892" s="7">
        <v>-13.7</v>
      </c>
      <c r="Q892" s="7">
        <v>-0.51</v>
      </c>
      <c r="R892" s="7">
        <v>0.1</v>
      </c>
      <c r="S892" s="7">
        <v>0</v>
      </c>
      <c r="T892" s="7">
        <v>0.02</v>
      </c>
      <c r="U892" s="7">
        <v>0.14000000000000001</v>
      </c>
      <c r="V892" s="7">
        <v>0.53</v>
      </c>
      <c r="W892" s="7" t="s">
        <v>8</v>
      </c>
      <c r="X892" s="7" t="s">
        <v>9</v>
      </c>
      <c r="Y892" s="2" t="s">
        <v>719</v>
      </c>
      <c r="Z892" s="2" t="s">
        <v>721</v>
      </c>
    </row>
    <row r="893" spans="1:26" x14ac:dyDescent="0.35">
      <c r="A893" s="7" t="s">
        <v>1515</v>
      </c>
      <c r="B893" s="7" t="s">
        <v>922</v>
      </c>
      <c r="C893" s="4" t="str">
        <f>_xlfn.XLOOKUP(A893,[2]Sheet2!$I$2:$I$1273,[2]Sheet2!$D$2:$D$1273,0)</f>
        <v>Q3</v>
      </c>
      <c r="D893" s="4" t="str">
        <f>_xlfn.XLOOKUP(B893,[4]Sheet2!$B$2:$B$3154,[4]Sheet2!$F$2:$F$3154,0)</f>
        <v>N/ App</v>
      </c>
      <c r="E893" s="4" t="e">
        <f>_xlfn.XLOOKUP(B893,[2]Sheet2!$E$2:$E$713,[2]Sheet2!$G$2:$G$713)</f>
        <v>#N/A</v>
      </c>
      <c r="F893" s="18">
        <v>46101</v>
      </c>
      <c r="G893" s="14">
        <v>0.69221064814814814</v>
      </c>
      <c r="H893" s="7" t="s">
        <v>10</v>
      </c>
      <c r="I893" s="2" t="str">
        <f t="shared" si="73"/>
        <v>Q3</v>
      </c>
      <c r="J893" s="2" t="str">
        <f t="shared" si="69"/>
        <v>Match</v>
      </c>
      <c r="K893" s="2">
        <f t="shared" si="70"/>
        <v>0.36055512754639896</v>
      </c>
      <c r="L893" s="2" t="e">
        <f t="shared" si="71"/>
        <v>#N/A</v>
      </c>
      <c r="M893" s="2" t="str">
        <f t="shared" si="72"/>
        <v>Digital Approve Hit</v>
      </c>
      <c r="N893" s="7">
        <v>14.5</v>
      </c>
      <c r="O893" s="7">
        <v>-0.1</v>
      </c>
      <c r="P893" s="7">
        <v>-2.1</v>
      </c>
      <c r="Q893" s="7">
        <v>-0.45</v>
      </c>
      <c r="R893" s="7">
        <v>-0.2</v>
      </c>
      <c r="S893" s="7">
        <v>-0.3</v>
      </c>
      <c r="T893" s="7">
        <v>0.48</v>
      </c>
      <c r="U893" s="7">
        <v>-0.32</v>
      </c>
      <c r="V893" s="7">
        <v>0.73</v>
      </c>
      <c r="W893" s="7" t="s">
        <v>8</v>
      </c>
      <c r="X893" s="7" t="s">
        <v>15</v>
      </c>
      <c r="Y893" s="2" t="s">
        <v>719</v>
      </c>
      <c r="Z893" s="2" t="s">
        <v>721</v>
      </c>
    </row>
    <row r="894" spans="1:26" x14ac:dyDescent="0.35">
      <c r="A894" s="7" t="s">
        <v>1540</v>
      </c>
      <c r="B894" s="7" t="s">
        <v>923</v>
      </c>
      <c r="C894" s="4" t="str">
        <f>_xlfn.XLOOKUP(A894,[2]Sheet2!$I$2:$I$1273,[2]Sheet2!$D$2:$D$1273,0)</f>
        <v>Q3</v>
      </c>
      <c r="D894" s="4" t="str">
        <f>_xlfn.XLOOKUP(B894,[4]Sheet2!$B$2:$B$3154,[4]Sheet2!$F$2:$F$3154,0)</f>
        <v>N/ App</v>
      </c>
      <c r="E894" s="4" t="e">
        <f>_xlfn.XLOOKUP(B894,[2]Sheet2!$E$2:$E$713,[2]Sheet2!$G$2:$G$713)</f>
        <v>#N/A</v>
      </c>
      <c r="F894" s="18">
        <v>46101</v>
      </c>
      <c r="G894" s="14">
        <v>0.69525462962962958</v>
      </c>
      <c r="H894" s="7" t="s">
        <v>10</v>
      </c>
      <c r="I894" s="2" t="str">
        <f t="shared" si="73"/>
        <v>Q1</v>
      </c>
      <c r="J894" s="2" t="str">
        <f t="shared" si="69"/>
        <v>Not Match</v>
      </c>
      <c r="K894" s="2">
        <f t="shared" si="70"/>
        <v>0.1</v>
      </c>
      <c r="L894" s="2" t="e">
        <f t="shared" si="71"/>
        <v>#N/A</v>
      </c>
      <c r="M894" s="2" t="str">
        <f t="shared" si="72"/>
        <v>Below 0.8 not in assigned quadrant</v>
      </c>
      <c r="N894" s="7">
        <v>14.2</v>
      </c>
      <c r="O894" s="7">
        <v>0.5</v>
      </c>
      <c r="P894" s="7">
        <v>-1.1000000000000001</v>
      </c>
      <c r="Q894" s="7">
        <v>-0.34</v>
      </c>
      <c r="R894" s="7">
        <v>0</v>
      </c>
      <c r="S894" s="7">
        <v>0.1</v>
      </c>
      <c r="T894" s="7">
        <v>-0.11</v>
      </c>
      <c r="U894" s="7">
        <v>0.08</v>
      </c>
      <c r="V894" s="7">
        <v>0.36</v>
      </c>
      <c r="W894" s="7" t="s">
        <v>8</v>
      </c>
      <c r="X894" s="7" t="s">
        <v>9</v>
      </c>
      <c r="Y894" s="2" t="s">
        <v>719</v>
      </c>
      <c r="Z894" s="2" t="s">
        <v>721</v>
      </c>
    </row>
    <row r="895" spans="1:26" x14ac:dyDescent="0.35">
      <c r="A895" s="7" t="s">
        <v>1574</v>
      </c>
      <c r="B895" s="7" t="s">
        <v>924</v>
      </c>
      <c r="C895" s="4" t="str">
        <f>_xlfn.XLOOKUP(A895,[2]Sheet2!$I$2:$I$1273,[2]Sheet2!$D$2:$D$1273,0)</f>
        <v>Q2</v>
      </c>
      <c r="D895" s="4" t="str">
        <f>_xlfn.XLOOKUP(B895,[4]Sheet2!$B$2:$B$3154,[4]Sheet2!$F$2:$F$3154,0)</f>
        <v>N/ App</v>
      </c>
      <c r="E895" s="4" t="e">
        <f>_xlfn.XLOOKUP(B895,[2]Sheet2!$E$2:$E$713,[2]Sheet2!$G$2:$G$713)</f>
        <v>#N/A</v>
      </c>
      <c r="F895" s="18">
        <v>46101</v>
      </c>
      <c r="G895" s="14">
        <v>0.69734953703703706</v>
      </c>
      <c r="H895" s="7" t="s">
        <v>10</v>
      </c>
      <c r="I895" s="2" t="str">
        <f t="shared" si="73"/>
        <v>Q1</v>
      </c>
      <c r="J895" s="2" t="str">
        <f t="shared" si="69"/>
        <v>Not Match</v>
      </c>
      <c r="K895" s="2">
        <f t="shared" si="70"/>
        <v>0.44721359549995798</v>
      </c>
      <c r="L895" s="2" t="e">
        <f t="shared" si="71"/>
        <v>#N/A</v>
      </c>
      <c r="M895" s="2" t="str">
        <f t="shared" si="72"/>
        <v>Below 0.8 not in assigned quadrant</v>
      </c>
      <c r="N895" s="7">
        <v>19.2</v>
      </c>
      <c r="O895" s="7">
        <v>-1.9</v>
      </c>
      <c r="P895" s="7">
        <v>-10.8</v>
      </c>
      <c r="Q895" s="7">
        <v>-0.16</v>
      </c>
      <c r="R895" s="7">
        <v>0.2</v>
      </c>
      <c r="S895" s="7">
        <v>0.4</v>
      </c>
      <c r="T895" s="7">
        <v>-0.37</v>
      </c>
      <c r="U895" s="7">
        <v>0.14000000000000001</v>
      </c>
      <c r="V895" s="7">
        <v>0.42</v>
      </c>
      <c r="W895" s="7" t="s">
        <v>8</v>
      </c>
      <c r="X895" s="7" t="s">
        <v>9</v>
      </c>
      <c r="Y895" s="2" t="s">
        <v>719</v>
      </c>
      <c r="Z895" s="2" t="s">
        <v>721</v>
      </c>
    </row>
    <row r="896" spans="1:26" x14ac:dyDescent="0.35">
      <c r="A896" s="7" t="s">
        <v>1593</v>
      </c>
      <c r="B896" s="7" t="s">
        <v>925</v>
      </c>
      <c r="C896" s="4" t="str">
        <f>_xlfn.XLOOKUP(A896,[2]Sheet2!$I$2:$I$1273,[2]Sheet2!$D$2:$D$1273,0)</f>
        <v>Q3</v>
      </c>
      <c r="D896" s="4" t="str">
        <f>_xlfn.XLOOKUP(B896,[4]Sheet2!$B$2:$B$3154,[4]Sheet2!$F$2:$F$3154,0)</f>
        <v>N/ App</v>
      </c>
      <c r="E896" s="4" t="e">
        <f>_xlfn.XLOOKUP(B896,[2]Sheet2!$E$2:$E$713,[2]Sheet2!$G$2:$G$713)</f>
        <v>#N/A</v>
      </c>
      <c r="F896" s="18">
        <v>46101</v>
      </c>
      <c r="G896" s="14">
        <v>0.69965277777777779</v>
      </c>
      <c r="H896" s="7" t="s">
        <v>5</v>
      </c>
      <c r="I896" s="2" t="str">
        <f t="shared" si="73"/>
        <v>Q1</v>
      </c>
      <c r="J896" s="2" t="str">
        <f t="shared" si="69"/>
        <v>Not Match</v>
      </c>
      <c r="K896" s="2">
        <f t="shared" si="70"/>
        <v>0.3</v>
      </c>
      <c r="L896" s="2" t="e">
        <f t="shared" si="71"/>
        <v>#N/A</v>
      </c>
      <c r="M896" s="2" t="str">
        <f t="shared" si="72"/>
        <v>Below 0.8 not in assigned quadrant</v>
      </c>
      <c r="N896" s="7">
        <v>23.3</v>
      </c>
      <c r="O896" s="7">
        <v>3.1</v>
      </c>
      <c r="P896" s="7">
        <v>2.7</v>
      </c>
      <c r="Q896" s="7">
        <v>-0.56000000000000005</v>
      </c>
      <c r="R896" s="7">
        <v>0</v>
      </c>
      <c r="S896" s="7">
        <v>0.3</v>
      </c>
      <c r="T896" s="7">
        <v>0.19</v>
      </c>
      <c r="U896" s="7">
        <v>0.48</v>
      </c>
      <c r="V896" s="7">
        <v>0.76</v>
      </c>
      <c r="W896" s="7" t="s">
        <v>13</v>
      </c>
      <c r="X896" s="7" t="s">
        <v>12</v>
      </c>
      <c r="Y896" s="2" t="s">
        <v>719</v>
      </c>
      <c r="Z896" s="2" t="s">
        <v>721</v>
      </c>
    </row>
    <row r="897" spans="1:26" x14ac:dyDescent="0.35">
      <c r="A897" s="7" t="s">
        <v>1579</v>
      </c>
      <c r="B897" s="7" t="s">
        <v>926</v>
      </c>
      <c r="C897" s="4" t="str">
        <f>_xlfn.XLOOKUP(A897,[2]Sheet2!$I$2:$I$1273,[2]Sheet2!$D$2:$D$1273,0)</f>
        <v>Q4</v>
      </c>
      <c r="D897" s="4" t="str">
        <f>_xlfn.XLOOKUP(B897,[4]Sheet2!$B$2:$B$3154,[4]Sheet2!$F$2:$F$3154,0)</f>
        <v>N/ App</v>
      </c>
      <c r="E897" s="4" t="e">
        <f>_xlfn.XLOOKUP(B897,[2]Sheet2!$E$2:$E$713,[2]Sheet2!$G$2:$G$713)</f>
        <v>#N/A</v>
      </c>
      <c r="F897" s="18">
        <v>46101</v>
      </c>
      <c r="G897" s="14">
        <v>0.70182870370370365</v>
      </c>
      <c r="H897" s="7" t="s">
        <v>16</v>
      </c>
      <c r="I897" s="2" t="str">
        <f t="shared" si="73"/>
        <v>Q2</v>
      </c>
      <c r="J897" s="2" t="str">
        <f t="shared" si="69"/>
        <v>Not Match</v>
      </c>
      <c r="K897" s="2">
        <f t="shared" si="70"/>
        <v>0.5</v>
      </c>
      <c r="L897" s="2" t="e">
        <f t="shared" si="71"/>
        <v>#N/A</v>
      </c>
      <c r="M897" s="2" t="str">
        <f t="shared" si="72"/>
        <v>Assign quadrant hit</v>
      </c>
      <c r="N897" s="7">
        <v>16.7</v>
      </c>
      <c r="O897" s="7">
        <v>-1.1000000000000001</v>
      </c>
      <c r="P897" s="7">
        <v>-5.8</v>
      </c>
      <c r="Q897" s="7">
        <v>1.1200000000000001</v>
      </c>
      <c r="R897" s="7">
        <v>-0.3</v>
      </c>
      <c r="S897" s="7">
        <v>0.4</v>
      </c>
      <c r="T897" s="7">
        <v>-0.41</v>
      </c>
      <c r="U897" s="7">
        <v>-0.55000000000000004</v>
      </c>
      <c r="V897" s="7">
        <v>1.31</v>
      </c>
      <c r="W897" s="7" t="s">
        <v>6</v>
      </c>
      <c r="X897" s="7" t="s">
        <v>15</v>
      </c>
      <c r="Y897" s="2" t="s">
        <v>719</v>
      </c>
      <c r="Z897" s="2" t="s">
        <v>721</v>
      </c>
    </row>
    <row r="898" spans="1:26" x14ac:dyDescent="0.35">
      <c r="A898" s="7" t="s">
        <v>1567</v>
      </c>
      <c r="B898" s="7" t="s">
        <v>927</v>
      </c>
      <c r="C898" s="4" t="str">
        <f>_xlfn.XLOOKUP(A898,[2]Sheet2!$I$2:$I$1273,[2]Sheet2!$D$2:$D$1273,0)</f>
        <v>Q3</v>
      </c>
      <c r="D898" s="4" t="str">
        <f>_xlfn.XLOOKUP(B898,[4]Sheet2!$B$2:$B$3154,[4]Sheet2!$F$2:$F$3154,0)</f>
        <v>C/APP</v>
      </c>
      <c r="E898" s="4" t="e">
        <f>_xlfn.XLOOKUP(B898,[2]Sheet2!$E$2:$E$713,[2]Sheet2!$G$2:$G$713)</f>
        <v>#N/A</v>
      </c>
      <c r="F898" s="18">
        <v>46101</v>
      </c>
      <c r="G898" s="14">
        <v>0.71594907407407404</v>
      </c>
      <c r="H898" s="7" t="s">
        <v>16</v>
      </c>
      <c r="I898" s="2" t="str">
        <f t="shared" si="73"/>
        <v>Q3</v>
      </c>
      <c r="J898" s="2" t="str">
        <f t="shared" si="69"/>
        <v>Match</v>
      </c>
      <c r="K898" s="2">
        <f t="shared" si="70"/>
        <v>0.63245553203367588</v>
      </c>
      <c r="L898" s="2" t="e">
        <f t="shared" si="71"/>
        <v>#N/A</v>
      </c>
      <c r="M898" s="2" t="str">
        <f t="shared" si="72"/>
        <v>Digital Approve Hit</v>
      </c>
      <c r="N898" s="7">
        <v>24</v>
      </c>
      <c r="O898" s="7">
        <v>-5.4</v>
      </c>
      <c r="P898" s="7">
        <v>-8.6</v>
      </c>
      <c r="Q898" s="7">
        <v>0.08</v>
      </c>
      <c r="R898" s="7">
        <v>-0.2</v>
      </c>
      <c r="S898" s="7">
        <v>-0.6</v>
      </c>
      <c r="T898" s="7">
        <v>0.56999999999999995</v>
      </c>
      <c r="U898" s="7">
        <v>0.19</v>
      </c>
      <c r="V898" s="7">
        <v>0.6</v>
      </c>
      <c r="W898" s="7" t="s">
        <v>8</v>
      </c>
      <c r="X898" s="7" t="s">
        <v>9</v>
      </c>
      <c r="Y898" s="2" t="s">
        <v>719</v>
      </c>
      <c r="Z898" s="2" t="s">
        <v>721</v>
      </c>
    </row>
    <row r="899" spans="1:26" x14ac:dyDescent="0.35">
      <c r="A899" s="7" t="s">
        <v>1728</v>
      </c>
      <c r="B899" s="7" t="s">
        <v>928</v>
      </c>
      <c r="C899" s="4" t="str">
        <f>_xlfn.XLOOKUP(A899,[2]Sheet2!$I$2:$I$1273,[2]Sheet2!$D$2:$D$1273,0)</f>
        <v>Q4</v>
      </c>
      <c r="D899" s="4" t="str">
        <f>_xlfn.XLOOKUP(B899,[4]Sheet2!$B$2:$B$3154,[4]Sheet2!$F$2:$F$3154,0)</f>
        <v>N/ App</v>
      </c>
      <c r="E899" s="4" t="e">
        <f>_xlfn.XLOOKUP(B899,[2]Sheet2!$E$2:$E$713,[2]Sheet2!$G$2:$G$713)</f>
        <v>#N/A</v>
      </c>
      <c r="F899" s="18">
        <v>46101</v>
      </c>
      <c r="G899" s="14">
        <v>0.76431712962962961</v>
      </c>
      <c r="H899" s="7" t="s">
        <v>16</v>
      </c>
      <c r="I899" s="2" t="str">
        <f t="shared" si="73"/>
        <v>Q1</v>
      </c>
      <c r="J899" s="2" t="str">
        <f t="shared" ref="J899:J962" si="74">IF(I899=C899,"Match",IF(C899=0,"Not Found","Not Match"))</f>
        <v>Not Match</v>
      </c>
      <c r="K899" s="2">
        <f t="shared" si="70"/>
        <v>1.2041594578792296</v>
      </c>
      <c r="L899" s="2" t="e">
        <f t="shared" si="71"/>
        <v>#N/A</v>
      </c>
      <c r="M899" s="2" t="str">
        <f t="shared" si="72"/>
        <v>Assign quadrant hit</v>
      </c>
      <c r="N899" s="7">
        <v>33.299999999999997</v>
      </c>
      <c r="O899" s="7">
        <v>-0.3</v>
      </c>
      <c r="P899" s="7">
        <v>4.3</v>
      </c>
      <c r="Q899" s="7">
        <v>-0.37</v>
      </c>
      <c r="R899" s="7">
        <v>0.1</v>
      </c>
      <c r="S899" s="7">
        <v>1.2</v>
      </c>
      <c r="T899" s="7">
        <v>1.52</v>
      </c>
      <c r="U899" s="7">
        <v>-0.32</v>
      </c>
      <c r="V899" s="7">
        <v>1.59</v>
      </c>
      <c r="W899" s="7" t="s">
        <v>6</v>
      </c>
      <c r="X899" s="7" t="s">
        <v>12</v>
      </c>
      <c r="Y899" s="2" t="s">
        <v>719</v>
      </c>
      <c r="Z899" s="2" t="s">
        <v>721</v>
      </c>
    </row>
    <row r="900" spans="1:26" x14ac:dyDescent="0.35">
      <c r="A900" s="7" t="s">
        <v>1685</v>
      </c>
      <c r="B900" s="7" t="s">
        <v>929</v>
      </c>
      <c r="C900" s="4" t="str">
        <f>_xlfn.XLOOKUP(A900,[2]Sheet2!$I$2:$I$1273,[2]Sheet2!$D$2:$D$1273,0)</f>
        <v>Q1</v>
      </c>
      <c r="D900" s="4" t="str">
        <f>_xlfn.XLOOKUP(B900,[4]Sheet2!$B$2:$B$3154,[4]Sheet2!$F$2:$F$3154,0)</f>
        <v>C/APP</v>
      </c>
      <c r="E900" s="4" t="e">
        <f>_xlfn.XLOOKUP(B900,[2]Sheet2!$E$2:$E$713,[2]Sheet2!$G$2:$G$713)</f>
        <v>#N/A</v>
      </c>
      <c r="F900" s="18">
        <v>46101</v>
      </c>
      <c r="G900" s="14">
        <v>0.76719907407407406</v>
      </c>
      <c r="H900" s="7" t="s">
        <v>11</v>
      </c>
      <c r="I900" s="2" t="str">
        <f t="shared" si="73"/>
        <v>Q1</v>
      </c>
      <c r="J900" s="2" t="str">
        <f t="shared" si="74"/>
        <v>Match</v>
      </c>
      <c r="K900" s="2">
        <f t="shared" si="70"/>
        <v>0.1</v>
      </c>
      <c r="L900" s="2" t="e">
        <f t="shared" si="71"/>
        <v>#N/A</v>
      </c>
      <c r="M900" s="2" t="str">
        <f t="shared" si="72"/>
        <v>Digital Approve Hit</v>
      </c>
      <c r="N900" s="7">
        <v>15.4</v>
      </c>
      <c r="O900" s="7">
        <v>-0.8</v>
      </c>
      <c r="P900" s="7">
        <v>-4.7</v>
      </c>
      <c r="Q900" s="7">
        <v>0.02</v>
      </c>
      <c r="R900" s="7">
        <v>0</v>
      </c>
      <c r="S900" s="7">
        <v>0.1</v>
      </c>
      <c r="T900" s="7">
        <v>-0.16</v>
      </c>
      <c r="U900" s="7">
        <v>0.03</v>
      </c>
      <c r="V900" s="7">
        <v>0.17</v>
      </c>
      <c r="W900" s="7" t="s">
        <v>8</v>
      </c>
      <c r="X900" s="7" t="s">
        <v>9</v>
      </c>
      <c r="Y900" s="2" t="s">
        <v>719</v>
      </c>
      <c r="Z900" s="2" t="s">
        <v>721</v>
      </c>
    </row>
    <row r="901" spans="1:26" x14ac:dyDescent="0.35">
      <c r="A901" s="7" t="s">
        <v>1731</v>
      </c>
      <c r="B901" s="7" t="s">
        <v>791</v>
      </c>
      <c r="C901" s="4" t="str">
        <f>_xlfn.XLOOKUP(A901,[2]Sheet2!$I$2:$I$1273,[2]Sheet2!$D$2:$D$1273,0)</f>
        <v>Q4</v>
      </c>
      <c r="D901" s="4">
        <f>_xlfn.XLOOKUP(B901,[4]Sheet2!$B$2:$B$3154,[4]Sheet2!$F$2:$F$3154,0)</f>
        <v>0</v>
      </c>
      <c r="E901" s="4" t="e">
        <f>_xlfn.XLOOKUP(B901,[2]Sheet2!$E$2:$E$713,[2]Sheet2!$G$2:$G$713)</f>
        <v>#N/A</v>
      </c>
      <c r="F901" s="18">
        <v>46101</v>
      </c>
      <c r="G901" s="14">
        <v>0.94231481481481483</v>
      </c>
      <c r="H901" s="7" t="s">
        <v>5</v>
      </c>
      <c r="I901" s="2" t="str">
        <f t="shared" si="73"/>
        <v>Q4</v>
      </c>
      <c r="J901" s="2" t="str">
        <f t="shared" si="74"/>
        <v>Match</v>
      </c>
      <c r="K901" s="2">
        <f t="shared" si="70"/>
        <v>0.8</v>
      </c>
      <c r="L901" s="2" t="e">
        <f t="shared" si="71"/>
        <v>#N/A</v>
      </c>
      <c r="M901" s="2" t="str">
        <f t="shared" si="72"/>
        <v>Digital Approve Hit</v>
      </c>
      <c r="N901" s="7">
        <v>22.7</v>
      </c>
      <c r="O901" s="7">
        <v>-1.3</v>
      </c>
      <c r="P901" s="7">
        <v>-27.8</v>
      </c>
      <c r="Q901" s="7">
        <v>0.48</v>
      </c>
      <c r="R901" s="7">
        <v>0</v>
      </c>
      <c r="S901" s="7">
        <v>-0.8</v>
      </c>
      <c r="T901" s="7">
        <v>0.43</v>
      </c>
      <c r="U901" s="7">
        <v>0.05</v>
      </c>
      <c r="V901" s="7">
        <v>0.64</v>
      </c>
      <c r="W901" s="7" t="s">
        <v>8</v>
      </c>
      <c r="X901" s="7" t="s">
        <v>9</v>
      </c>
      <c r="Y901" s="2" t="s">
        <v>719</v>
      </c>
      <c r="Z901" s="2" t="s">
        <v>721</v>
      </c>
    </row>
    <row r="902" spans="1:26" x14ac:dyDescent="0.35">
      <c r="A902" s="7" t="s">
        <v>1515</v>
      </c>
      <c r="B902" s="7" t="s">
        <v>792</v>
      </c>
      <c r="C902" s="4" t="str">
        <f>_xlfn.XLOOKUP(A902,[2]Sheet2!$I$2:$I$1273,[2]Sheet2!$D$2:$D$1273,0)</f>
        <v>Q3</v>
      </c>
      <c r="D902" s="4" t="str">
        <f>_xlfn.XLOOKUP(B902,[4]Sheet2!$B$2:$B$3154,[4]Sheet2!$F$2:$F$3154,0)</f>
        <v>N/ App</v>
      </c>
      <c r="E902" s="4" t="e">
        <f>_xlfn.XLOOKUP(B902,[2]Sheet2!$E$2:$E$713,[2]Sheet2!$G$2:$G$713)</f>
        <v>#N/A</v>
      </c>
      <c r="F902" s="18">
        <v>46101</v>
      </c>
      <c r="G902" s="14">
        <v>0.96089120370370373</v>
      </c>
      <c r="H902" s="7" t="s">
        <v>11</v>
      </c>
      <c r="I902" s="2" t="str">
        <f t="shared" si="73"/>
        <v>Q3</v>
      </c>
      <c r="J902" s="2" t="str">
        <f t="shared" si="74"/>
        <v>Match</v>
      </c>
      <c r="K902" s="2">
        <f t="shared" si="70"/>
        <v>0.28284271247461906</v>
      </c>
      <c r="L902" s="2" t="e">
        <f t="shared" si="71"/>
        <v>#N/A</v>
      </c>
      <c r="M902" s="2" t="str">
        <f t="shared" si="72"/>
        <v>Failed but within quadrant</v>
      </c>
      <c r="N902" s="7">
        <v>13.7</v>
      </c>
      <c r="O902" s="7">
        <v>-0.5</v>
      </c>
      <c r="P902" s="7">
        <v>-2.2999999999999998</v>
      </c>
      <c r="Q902" s="7">
        <v>-1.1200000000000001</v>
      </c>
      <c r="R902" s="7">
        <v>-0.2</v>
      </c>
      <c r="S902" s="7">
        <v>-0.2</v>
      </c>
      <c r="T902" s="7">
        <v>0.34</v>
      </c>
      <c r="U902" s="7">
        <v>-0.28999999999999998</v>
      </c>
      <c r="V902" s="7">
        <v>1.2</v>
      </c>
      <c r="W902" s="7" t="s">
        <v>6</v>
      </c>
      <c r="X902" s="7" t="s">
        <v>15</v>
      </c>
      <c r="Y902" s="2" t="s">
        <v>719</v>
      </c>
      <c r="Z902" s="2" t="s">
        <v>721</v>
      </c>
    </row>
    <row r="903" spans="1:26" x14ac:dyDescent="0.35">
      <c r="A903" s="7" t="s">
        <v>1557</v>
      </c>
      <c r="B903" s="7" t="s">
        <v>794</v>
      </c>
      <c r="C903" s="4" t="str">
        <f>_xlfn.XLOOKUP(A903,[2]Sheet2!$I$2:$I$1273,[2]Sheet2!$D$2:$D$1273,0)</f>
        <v>Q3</v>
      </c>
      <c r="D903" s="4" t="str">
        <f>_xlfn.XLOOKUP(B903,[4]Sheet2!$B$2:$B$3154,[4]Sheet2!$F$2:$F$3154,0)</f>
        <v>N/ App</v>
      </c>
      <c r="E903" s="4" t="e">
        <f>_xlfn.XLOOKUP(B903,[2]Sheet2!$E$2:$E$713,[2]Sheet2!$G$2:$G$713)</f>
        <v>#N/A</v>
      </c>
      <c r="F903" s="18">
        <v>46101</v>
      </c>
      <c r="G903" s="14">
        <v>0.98363425925925929</v>
      </c>
      <c r="H903" s="7" t="s">
        <v>16</v>
      </c>
      <c r="I903" s="2" t="str">
        <f t="shared" si="73"/>
        <v>Q3</v>
      </c>
      <c r="J903" s="2" t="str">
        <f t="shared" si="74"/>
        <v>Match</v>
      </c>
      <c r="K903" s="2">
        <f t="shared" si="70"/>
        <v>0.22360679774997899</v>
      </c>
      <c r="L903" s="2" t="e">
        <f t="shared" si="71"/>
        <v>#N/A</v>
      </c>
      <c r="M903" s="2" t="str">
        <f t="shared" si="72"/>
        <v>Digital Approve Hit</v>
      </c>
      <c r="N903" s="7">
        <v>15</v>
      </c>
      <c r="O903" s="7">
        <v>-0.3</v>
      </c>
      <c r="P903" s="7">
        <v>-1.9</v>
      </c>
      <c r="Q903" s="7">
        <v>-0.46</v>
      </c>
      <c r="R903" s="7">
        <v>-0.1</v>
      </c>
      <c r="S903" s="7">
        <v>-0.2</v>
      </c>
      <c r="T903" s="7">
        <v>0.3</v>
      </c>
      <c r="U903" s="7">
        <v>-0.19</v>
      </c>
      <c r="V903" s="7">
        <v>0.59</v>
      </c>
      <c r="W903" s="7" t="s">
        <v>8</v>
      </c>
      <c r="X903" s="7" t="s">
        <v>15</v>
      </c>
      <c r="Y903" s="2" t="s">
        <v>719</v>
      </c>
      <c r="Z903" s="2" t="s">
        <v>721</v>
      </c>
    </row>
    <row r="904" spans="1:26" x14ac:dyDescent="0.35">
      <c r="A904" s="7" t="s">
        <v>1558</v>
      </c>
      <c r="B904" s="7" t="s">
        <v>795</v>
      </c>
      <c r="C904" s="4" t="str">
        <f>_xlfn.XLOOKUP(A904,[2]Sheet2!$I$2:$I$1273,[2]Sheet2!$D$2:$D$1273,0)</f>
        <v>Q3</v>
      </c>
      <c r="D904" s="4" t="str">
        <f>_xlfn.XLOOKUP(B904,[4]Sheet2!$B$2:$B$3154,[4]Sheet2!$F$2:$F$3154,0)</f>
        <v>N/ App</v>
      </c>
      <c r="E904" s="4" t="e">
        <f>_xlfn.XLOOKUP(B904,[2]Sheet2!$E$2:$E$713,[2]Sheet2!$G$2:$G$713)</f>
        <v>#N/A</v>
      </c>
      <c r="F904" s="18">
        <v>46101</v>
      </c>
      <c r="G904" s="14">
        <v>0.99763888888888885</v>
      </c>
      <c r="H904" s="7" t="s">
        <v>16</v>
      </c>
      <c r="I904" s="2" t="str">
        <f t="shared" si="73"/>
        <v>Q3</v>
      </c>
      <c r="J904" s="2" t="str">
        <f t="shared" si="74"/>
        <v>Match</v>
      </c>
      <c r="K904" s="2">
        <f t="shared" si="70"/>
        <v>0</v>
      </c>
      <c r="L904" s="2" t="e">
        <f t="shared" si="71"/>
        <v>#N/A</v>
      </c>
      <c r="M904" s="2" t="str">
        <f t="shared" si="72"/>
        <v>Digital Approve Hit</v>
      </c>
      <c r="N904" s="7">
        <v>14.8</v>
      </c>
      <c r="O904" s="7">
        <v>-0.4</v>
      </c>
      <c r="P904" s="7">
        <v>-1.8</v>
      </c>
      <c r="Q904" s="7">
        <v>-0.63</v>
      </c>
      <c r="R904" s="7">
        <v>0</v>
      </c>
      <c r="S904" s="7">
        <v>0</v>
      </c>
      <c r="T904" s="7">
        <v>-0.02</v>
      </c>
      <c r="U904" s="7">
        <v>-0.11</v>
      </c>
      <c r="V904" s="7">
        <v>0.64</v>
      </c>
      <c r="W904" s="7" t="s">
        <v>8</v>
      </c>
      <c r="X904" s="7" t="s">
        <v>15</v>
      </c>
      <c r="Y904" s="2" t="s">
        <v>719</v>
      </c>
      <c r="Z904" s="2" t="s">
        <v>721</v>
      </c>
    </row>
    <row r="905" spans="1:26" x14ac:dyDescent="0.35">
      <c r="A905" s="7" t="s">
        <v>1620</v>
      </c>
      <c r="B905" s="7" t="s">
        <v>796</v>
      </c>
      <c r="C905" s="4" t="str">
        <f>_xlfn.XLOOKUP(A905,[2]Sheet2!$I$2:$I$1273,[2]Sheet2!$D$2:$D$1273,0)</f>
        <v>Q2</v>
      </c>
      <c r="D905" s="4" t="str">
        <f>_xlfn.XLOOKUP(B905,[4]Sheet2!$B$2:$B$3154,[4]Sheet2!$F$2:$F$3154,0)</f>
        <v>N/ App</v>
      </c>
      <c r="E905" s="4" t="e">
        <f>_xlfn.XLOOKUP(B905,[2]Sheet2!$E$2:$E$713,[2]Sheet2!$G$2:$G$713)</f>
        <v>#N/A</v>
      </c>
      <c r="F905" s="18">
        <v>46102</v>
      </c>
      <c r="G905" s="14">
        <v>8.7314814814814817E-2</v>
      </c>
      <c r="H905" s="7" t="s">
        <v>5</v>
      </c>
      <c r="I905" s="2" t="str">
        <f t="shared" si="73"/>
        <v>Q1</v>
      </c>
      <c r="J905" s="2" t="str">
        <f t="shared" si="74"/>
        <v>Not Match</v>
      </c>
      <c r="K905" s="2">
        <f t="shared" si="70"/>
        <v>0.90553851381374173</v>
      </c>
      <c r="L905" s="2" t="e">
        <f t="shared" si="71"/>
        <v>#N/A</v>
      </c>
      <c r="M905" s="2" t="str">
        <f t="shared" si="72"/>
        <v>Below 0.8 not in assigned quadrant</v>
      </c>
      <c r="N905" s="7">
        <v>31.4</v>
      </c>
      <c r="O905" s="7">
        <v>34</v>
      </c>
      <c r="P905" s="7">
        <v>5</v>
      </c>
      <c r="Q905" s="7">
        <v>0.16</v>
      </c>
      <c r="R905" s="7">
        <v>0.9</v>
      </c>
      <c r="S905" s="7">
        <v>0.1</v>
      </c>
      <c r="T905" s="7">
        <v>0.46</v>
      </c>
      <c r="U905" s="7">
        <v>-0.03</v>
      </c>
      <c r="V905" s="7">
        <v>0.48</v>
      </c>
      <c r="W905" s="7" t="s">
        <v>8</v>
      </c>
      <c r="X905" s="7" t="s">
        <v>7</v>
      </c>
      <c r="Y905" s="2" t="s">
        <v>719</v>
      </c>
      <c r="Z905" s="2" t="s">
        <v>721</v>
      </c>
    </row>
    <row r="906" spans="1:26" x14ac:dyDescent="0.35">
      <c r="A906" s="7" t="s">
        <v>1593</v>
      </c>
      <c r="B906" s="7" t="s">
        <v>797</v>
      </c>
      <c r="C906" s="4" t="str">
        <f>_xlfn.XLOOKUP(A906,[2]Sheet2!$I$2:$I$1273,[2]Sheet2!$D$2:$D$1273,0)</f>
        <v>Q3</v>
      </c>
      <c r="D906" s="4" t="str">
        <f>_xlfn.XLOOKUP(B906,[4]Sheet2!$B$2:$B$3154,[4]Sheet2!$F$2:$F$3154,0)</f>
        <v>N/ App</v>
      </c>
      <c r="E906" s="4" t="e">
        <f>_xlfn.XLOOKUP(B906,[2]Sheet2!$E$2:$E$713,[2]Sheet2!$G$2:$G$713)</f>
        <v>#N/A</v>
      </c>
      <c r="F906" s="18">
        <v>46102</v>
      </c>
      <c r="G906" s="14">
        <v>8.953703703703704E-2</v>
      </c>
      <c r="H906" s="7" t="s">
        <v>5</v>
      </c>
      <c r="I906" s="2" t="str">
        <f t="shared" si="73"/>
        <v>Q1</v>
      </c>
      <c r="J906" s="2" t="str">
        <f t="shared" si="74"/>
        <v>Not Match</v>
      </c>
      <c r="K906" s="2">
        <f t="shared" si="70"/>
        <v>0.3</v>
      </c>
      <c r="L906" s="2" t="e">
        <f t="shared" si="71"/>
        <v>#N/A</v>
      </c>
      <c r="M906" s="2" t="str">
        <f t="shared" si="72"/>
        <v>Assign quadrant hit</v>
      </c>
      <c r="N906" s="7">
        <v>22.6</v>
      </c>
      <c r="O906" s="7">
        <v>3.1</v>
      </c>
      <c r="P906" s="7">
        <v>2.7</v>
      </c>
      <c r="Q906" s="7">
        <v>-1.07</v>
      </c>
      <c r="R906" s="7">
        <v>0</v>
      </c>
      <c r="S906" s="7">
        <v>0.3</v>
      </c>
      <c r="T906" s="7">
        <v>0.17</v>
      </c>
      <c r="U906" s="7">
        <v>0.42</v>
      </c>
      <c r="V906" s="7">
        <v>1.1599999999999999</v>
      </c>
      <c r="W906" s="7" t="s">
        <v>6</v>
      </c>
      <c r="X906" s="7" t="s">
        <v>12</v>
      </c>
      <c r="Y906" s="2" t="s">
        <v>719</v>
      </c>
      <c r="Z906" s="2" t="s">
        <v>721</v>
      </c>
    </row>
    <row r="907" spans="1:26" x14ac:dyDescent="0.35">
      <c r="A907" s="7" t="s">
        <v>1500</v>
      </c>
      <c r="B907" s="7" t="s">
        <v>798</v>
      </c>
      <c r="C907" s="4" t="str">
        <f>_xlfn.XLOOKUP(A907,[2]Sheet2!$I$2:$I$1273,[2]Sheet2!$D$2:$D$1273,0)</f>
        <v>Q2</v>
      </c>
      <c r="D907" s="4" t="str">
        <f>_xlfn.XLOOKUP(B907,[4]Sheet2!$B$2:$B$3154,[4]Sheet2!$F$2:$F$3154,0)</f>
        <v>N/ App</v>
      </c>
      <c r="E907" s="4" t="e">
        <f>_xlfn.XLOOKUP(B907,[2]Sheet2!$E$2:$E$713,[2]Sheet2!$G$2:$G$713)</f>
        <v>#N/A</v>
      </c>
      <c r="F907" s="18">
        <v>46102</v>
      </c>
      <c r="G907" s="14">
        <v>9.150462962962963E-2</v>
      </c>
      <c r="H907" s="7" t="s">
        <v>5</v>
      </c>
      <c r="I907" s="2" t="str">
        <f t="shared" si="73"/>
        <v>Q4</v>
      </c>
      <c r="J907" s="2" t="str">
        <f t="shared" si="74"/>
        <v>Not Match</v>
      </c>
      <c r="K907" s="2">
        <f t="shared" si="70"/>
        <v>0.1</v>
      </c>
      <c r="L907" s="2" t="e">
        <f t="shared" si="71"/>
        <v>#N/A</v>
      </c>
      <c r="M907" s="2" t="str">
        <f t="shared" si="72"/>
        <v>Assign quadrant hit</v>
      </c>
      <c r="N907" s="7">
        <v>16.5</v>
      </c>
      <c r="O907" s="7">
        <v>-0.6</v>
      </c>
      <c r="P907" s="7">
        <v>-1.5</v>
      </c>
      <c r="Q907" s="7">
        <v>-0.95</v>
      </c>
      <c r="R907" s="7">
        <v>0.1</v>
      </c>
      <c r="S907" s="7">
        <v>0</v>
      </c>
      <c r="T907" s="7">
        <v>-0.15</v>
      </c>
      <c r="U907" s="7">
        <v>0.09</v>
      </c>
      <c r="V907" s="7">
        <v>0.97</v>
      </c>
      <c r="W907" s="7" t="s">
        <v>13</v>
      </c>
      <c r="X907" s="7" t="s">
        <v>9</v>
      </c>
      <c r="Y907" s="2" t="s">
        <v>719</v>
      </c>
      <c r="Z907" s="2" t="s">
        <v>721</v>
      </c>
    </row>
    <row r="908" spans="1:26" x14ac:dyDescent="0.35">
      <c r="A908" s="7" t="s">
        <v>1509</v>
      </c>
      <c r="B908" s="7" t="s">
        <v>799</v>
      </c>
      <c r="C908" s="4" t="str">
        <f>_xlfn.XLOOKUP(A908,[2]Sheet2!$I$2:$I$1273,[2]Sheet2!$D$2:$D$1273,0)</f>
        <v>Q2</v>
      </c>
      <c r="D908" s="4" t="str">
        <f>_xlfn.XLOOKUP(B908,[4]Sheet2!$B$2:$B$3154,[4]Sheet2!$F$2:$F$3154,0)</f>
        <v>N/ App</v>
      </c>
      <c r="E908" s="4" t="e">
        <f>_xlfn.XLOOKUP(B908,[2]Sheet2!$E$2:$E$713,[2]Sheet2!$G$2:$G$713)</f>
        <v>#N/A</v>
      </c>
      <c r="F908" s="18">
        <v>46102</v>
      </c>
      <c r="G908" s="14">
        <v>0.10526620370370371</v>
      </c>
      <c r="H908" s="7" t="s">
        <v>4</v>
      </c>
      <c r="I908" s="2" t="str">
        <f t="shared" si="73"/>
        <v>Q4</v>
      </c>
      <c r="J908" s="2" t="str">
        <f t="shared" si="74"/>
        <v>Not Match</v>
      </c>
      <c r="K908" s="2">
        <f t="shared" si="70"/>
        <v>0.2</v>
      </c>
      <c r="L908" s="2" t="e">
        <f t="shared" si="71"/>
        <v>#N/A</v>
      </c>
      <c r="M908" s="2" t="str">
        <f t="shared" si="72"/>
        <v>Below 0.8 not in assigned quadrant</v>
      </c>
      <c r="N908" s="7">
        <v>16.399999999999999</v>
      </c>
      <c r="O908" s="7">
        <v>-1</v>
      </c>
      <c r="P908" s="7">
        <v>-1.9</v>
      </c>
      <c r="Q908" s="7">
        <v>-0.57999999999999996</v>
      </c>
      <c r="R908" s="7">
        <v>0.2</v>
      </c>
      <c r="S908" s="7">
        <v>0</v>
      </c>
      <c r="T908" s="7">
        <v>-0.24</v>
      </c>
      <c r="U908" s="7">
        <v>0.22</v>
      </c>
      <c r="V908" s="7">
        <v>0.66</v>
      </c>
      <c r="W908" s="7" t="s">
        <v>8</v>
      </c>
      <c r="X908" s="7" t="s">
        <v>9</v>
      </c>
      <c r="Y908" s="2" t="s">
        <v>719</v>
      </c>
      <c r="Z908" s="2" t="s">
        <v>721</v>
      </c>
    </row>
    <row r="909" spans="1:26" x14ac:dyDescent="0.35">
      <c r="A909" s="7" t="s">
        <v>1728</v>
      </c>
      <c r="B909" s="7" t="s">
        <v>930</v>
      </c>
      <c r="C909" s="4" t="str">
        <f>_xlfn.XLOOKUP(A909,[2]Sheet2!$I$2:$I$1273,[2]Sheet2!$D$2:$D$1273,0)</f>
        <v>Q4</v>
      </c>
      <c r="D909" s="4" t="str">
        <f>_xlfn.XLOOKUP(B909,[4]Sheet2!$B$2:$B$3154,[4]Sheet2!$F$2:$F$3154,0)</f>
        <v>N/ App</v>
      </c>
      <c r="E909" s="4" t="e">
        <f>_xlfn.XLOOKUP(B909,[2]Sheet2!$E$2:$E$713,[2]Sheet2!$G$2:$G$713)</f>
        <v>#N/A</v>
      </c>
      <c r="F909" s="18">
        <v>46102</v>
      </c>
      <c r="G909" s="14">
        <v>0.2061574074074074</v>
      </c>
      <c r="H909" s="7" t="s">
        <v>16</v>
      </c>
      <c r="I909" s="2" t="str">
        <f t="shared" si="73"/>
        <v>Q1</v>
      </c>
      <c r="J909" s="2" t="str">
        <f t="shared" si="74"/>
        <v>Not Match</v>
      </c>
      <c r="K909" s="2">
        <f t="shared" si="70"/>
        <v>0.6</v>
      </c>
      <c r="L909" s="2" t="e">
        <f t="shared" si="71"/>
        <v>#N/A</v>
      </c>
      <c r="M909" s="2" t="str">
        <f t="shared" si="72"/>
        <v>Assign quadrant hit</v>
      </c>
      <c r="N909" s="7">
        <v>33.1</v>
      </c>
      <c r="O909" s="7">
        <v>-0.4</v>
      </c>
      <c r="P909" s="7">
        <v>3.7</v>
      </c>
      <c r="Q909" s="7">
        <v>-0.52</v>
      </c>
      <c r="R909" s="7">
        <v>0</v>
      </c>
      <c r="S909" s="7">
        <v>0.6</v>
      </c>
      <c r="T909" s="7">
        <v>0.82</v>
      </c>
      <c r="U909" s="7">
        <v>-0.09</v>
      </c>
      <c r="V909" s="7">
        <v>0.98</v>
      </c>
      <c r="W909" s="7" t="s">
        <v>13</v>
      </c>
      <c r="X909" s="7" t="s">
        <v>12</v>
      </c>
      <c r="Y909" s="2" t="s">
        <v>719</v>
      </c>
      <c r="Z909" s="2" t="s">
        <v>721</v>
      </c>
    </row>
    <row r="910" spans="1:26" x14ac:dyDescent="0.35">
      <c r="A910" s="7" t="s">
        <v>1732</v>
      </c>
      <c r="B910" s="7" t="s">
        <v>800</v>
      </c>
      <c r="C910" s="4" t="str">
        <f>_xlfn.XLOOKUP(A910,[2]Sheet2!$I$2:$I$1273,[2]Sheet2!$D$2:$D$1273,0)</f>
        <v>Q4</v>
      </c>
      <c r="D910" s="4" t="str">
        <f>_xlfn.XLOOKUP(B910,[4]Sheet2!$B$2:$B$3154,[4]Sheet2!$F$2:$F$3154,0)</f>
        <v>N/ App</v>
      </c>
      <c r="E910" s="4" t="e">
        <f>_xlfn.XLOOKUP(B910,[2]Sheet2!$E$2:$E$713,[2]Sheet2!$G$2:$G$713)</f>
        <v>#N/A</v>
      </c>
      <c r="F910" s="18">
        <v>46102</v>
      </c>
      <c r="G910" s="14">
        <v>0.21098379629629629</v>
      </c>
      <c r="H910" s="7" t="s">
        <v>5</v>
      </c>
      <c r="I910" s="2" t="str">
        <f t="shared" si="73"/>
        <v>Q1</v>
      </c>
      <c r="J910" s="2" t="str">
        <f t="shared" si="74"/>
        <v>Not Match</v>
      </c>
      <c r="K910" s="2">
        <f t="shared" si="70"/>
        <v>1.3</v>
      </c>
      <c r="L910" s="2" t="e">
        <f t="shared" si="71"/>
        <v>#N/A</v>
      </c>
      <c r="M910" s="2" t="str">
        <f t="shared" si="72"/>
        <v>Assign quadrant hit</v>
      </c>
      <c r="N910" s="7">
        <v>43.6</v>
      </c>
      <c r="O910" s="7">
        <v>51.7</v>
      </c>
      <c r="P910" s="7">
        <v>34.799999999999997</v>
      </c>
      <c r="Q910" s="7">
        <v>-0.56999999999999995</v>
      </c>
      <c r="R910" s="7">
        <v>0</v>
      </c>
      <c r="S910" s="7">
        <v>1.3</v>
      </c>
      <c r="T910" s="7">
        <v>0.27</v>
      </c>
      <c r="U910" s="7">
        <v>0.8</v>
      </c>
      <c r="V910" s="7">
        <v>1.02</v>
      </c>
      <c r="W910" s="7" t="s">
        <v>6</v>
      </c>
      <c r="X910" s="7" t="s">
        <v>12</v>
      </c>
      <c r="Y910" s="2" t="s">
        <v>719</v>
      </c>
      <c r="Z910" s="2" t="s">
        <v>721</v>
      </c>
    </row>
    <row r="911" spans="1:26" x14ac:dyDescent="0.35">
      <c r="A911" s="7" t="s">
        <v>1515</v>
      </c>
      <c r="B911" s="7" t="s">
        <v>931</v>
      </c>
      <c r="C911" s="4" t="str">
        <f>_xlfn.XLOOKUP(A911,[2]Sheet2!$I$2:$I$1273,[2]Sheet2!$D$2:$D$1273,0)</f>
        <v>Q3</v>
      </c>
      <c r="D911" s="4" t="str">
        <f>_xlfn.XLOOKUP(B911,[4]Sheet2!$B$2:$B$3154,[4]Sheet2!$F$2:$F$3154,0)</f>
        <v>N/ App</v>
      </c>
      <c r="E911" s="4" t="e">
        <f>_xlfn.XLOOKUP(B911,[2]Sheet2!$E$2:$E$713,[2]Sheet2!$G$2:$G$713)</f>
        <v>#N/A</v>
      </c>
      <c r="F911" s="18">
        <v>46102</v>
      </c>
      <c r="G911" s="14">
        <v>0.25780092592592591</v>
      </c>
      <c r="H911" s="7" t="s">
        <v>11</v>
      </c>
      <c r="I911" s="2" t="str">
        <f t="shared" si="73"/>
        <v>Q3</v>
      </c>
      <c r="J911" s="2" t="str">
        <f t="shared" si="74"/>
        <v>Match</v>
      </c>
      <c r="K911" s="2">
        <f t="shared" si="70"/>
        <v>0.36055512754639896</v>
      </c>
      <c r="L911" s="2" t="e">
        <f t="shared" si="71"/>
        <v>#N/A</v>
      </c>
      <c r="M911" s="2" t="str">
        <f t="shared" si="72"/>
        <v>Failed but within quadrant</v>
      </c>
      <c r="N911" s="7">
        <v>14</v>
      </c>
      <c r="O911" s="7">
        <v>-0.5</v>
      </c>
      <c r="P911" s="7">
        <v>-2.4</v>
      </c>
      <c r="Q911" s="7">
        <v>-0.84</v>
      </c>
      <c r="R911" s="7">
        <v>-0.2</v>
      </c>
      <c r="S911" s="7">
        <v>-0.3</v>
      </c>
      <c r="T911" s="7">
        <v>0.5</v>
      </c>
      <c r="U911" s="7">
        <v>-0.28000000000000003</v>
      </c>
      <c r="V911" s="7">
        <v>1.02</v>
      </c>
      <c r="W911" s="7" t="s">
        <v>6</v>
      </c>
      <c r="X911" s="7" t="s">
        <v>15</v>
      </c>
      <c r="Y911" s="2" t="s">
        <v>719</v>
      </c>
      <c r="Z911" s="2" t="s">
        <v>721</v>
      </c>
    </row>
    <row r="912" spans="1:26" x14ac:dyDescent="0.35">
      <c r="A912" s="7" t="s">
        <v>1687</v>
      </c>
      <c r="B912" s="7" t="s">
        <v>932</v>
      </c>
      <c r="C912" s="4" t="str">
        <f>_xlfn.XLOOKUP(A912,[2]Sheet2!$I$2:$I$1273,[2]Sheet2!$D$2:$D$1273,0)</f>
        <v>Q3</v>
      </c>
      <c r="D912" s="4" t="str">
        <f>_xlfn.XLOOKUP(B912,[4]Sheet2!$B$2:$B$3154,[4]Sheet2!$F$2:$F$3154,0)</f>
        <v>N/ App</v>
      </c>
      <c r="E912" s="4" t="e">
        <f>_xlfn.XLOOKUP(B912,[2]Sheet2!$E$2:$E$713,[2]Sheet2!$G$2:$G$713)</f>
        <v>#N/A</v>
      </c>
      <c r="F912" s="18">
        <v>46102</v>
      </c>
      <c r="G912" s="14">
        <v>0.50252314814814814</v>
      </c>
      <c r="H912" s="7" t="s">
        <v>5</v>
      </c>
      <c r="I912" s="2" t="str">
        <f t="shared" si="73"/>
        <v>Q3</v>
      </c>
      <c r="J912" s="2" t="str">
        <f t="shared" si="74"/>
        <v>Match</v>
      </c>
      <c r="K912" s="2">
        <f t="shared" si="70"/>
        <v>0.1</v>
      </c>
      <c r="L912" s="2" t="e">
        <f t="shared" si="71"/>
        <v>#N/A</v>
      </c>
      <c r="M912" s="2" t="str">
        <f t="shared" si="72"/>
        <v>Digital Approve Hit</v>
      </c>
      <c r="N912" s="7">
        <v>35.5</v>
      </c>
      <c r="O912" s="7">
        <v>10.6</v>
      </c>
      <c r="P912" s="7">
        <v>12.4</v>
      </c>
      <c r="Q912" s="7">
        <v>0.35</v>
      </c>
      <c r="R912" s="7">
        <v>-0.1</v>
      </c>
      <c r="S912" s="7">
        <v>0</v>
      </c>
      <c r="T912" s="7">
        <v>-0.12</v>
      </c>
      <c r="U912" s="7">
        <v>0.14000000000000001</v>
      </c>
      <c r="V912" s="7">
        <v>0.4</v>
      </c>
      <c r="W912" s="7" t="s">
        <v>8</v>
      </c>
      <c r="X912" s="7" t="s">
        <v>12</v>
      </c>
      <c r="Y912" s="2" t="s">
        <v>719</v>
      </c>
      <c r="Z912" s="2" t="s">
        <v>721</v>
      </c>
    </row>
    <row r="913" spans="1:26" x14ac:dyDescent="0.35">
      <c r="A913" s="7" t="s">
        <v>1558</v>
      </c>
      <c r="B913" s="7" t="s">
        <v>933</v>
      </c>
      <c r="C913" s="4" t="str">
        <f>_xlfn.XLOOKUP(A913,[2]Sheet2!$I$2:$I$1273,[2]Sheet2!$D$2:$D$1273,0)</f>
        <v>Q3</v>
      </c>
      <c r="D913" s="4" t="str">
        <f>_xlfn.XLOOKUP(B913,[4]Sheet2!$B$2:$B$3154,[4]Sheet2!$F$2:$F$3154,0)</f>
        <v>N/ App</v>
      </c>
      <c r="E913" s="4" t="e">
        <f>_xlfn.XLOOKUP(B913,[2]Sheet2!$E$2:$E$713,[2]Sheet2!$G$2:$G$713)</f>
        <v>#N/A</v>
      </c>
      <c r="F913" s="18">
        <v>46102</v>
      </c>
      <c r="G913" s="14">
        <v>0.53670138888888885</v>
      </c>
      <c r="H913" s="7" t="s">
        <v>16</v>
      </c>
      <c r="I913" s="2" t="str">
        <f t="shared" si="73"/>
        <v>Q3</v>
      </c>
      <c r="J913" s="2" t="str">
        <f t="shared" si="74"/>
        <v>Match</v>
      </c>
      <c r="K913" s="2">
        <f t="shared" si="70"/>
        <v>0.22360679774997899</v>
      </c>
      <c r="L913" s="2" t="e">
        <f t="shared" si="71"/>
        <v>#N/A</v>
      </c>
      <c r="M913" s="2" t="str">
        <f t="shared" si="72"/>
        <v>Digital Approve Hit</v>
      </c>
      <c r="N913" s="7">
        <v>15.5</v>
      </c>
      <c r="O913" s="7">
        <v>-0.5</v>
      </c>
      <c r="P913" s="7">
        <v>-2.1</v>
      </c>
      <c r="Q913" s="7">
        <v>0.02</v>
      </c>
      <c r="R913" s="7">
        <v>-0.1</v>
      </c>
      <c r="S913" s="7">
        <v>-0.2</v>
      </c>
      <c r="T913" s="7">
        <v>0.3</v>
      </c>
      <c r="U913" s="7">
        <v>-0.16</v>
      </c>
      <c r="V913" s="7">
        <v>0.34</v>
      </c>
      <c r="W913" s="7" t="s">
        <v>8</v>
      </c>
      <c r="X913" s="7" t="s">
        <v>15</v>
      </c>
      <c r="Y913" s="2" t="s">
        <v>719</v>
      </c>
      <c r="Z913" s="2" t="s">
        <v>721</v>
      </c>
    </row>
    <row r="914" spans="1:26" x14ac:dyDescent="0.35">
      <c r="A914" s="7" t="s">
        <v>1593</v>
      </c>
      <c r="B914" s="7" t="s">
        <v>934</v>
      </c>
      <c r="C914" s="4" t="str">
        <f>_xlfn.XLOOKUP(A914,[2]Sheet2!$I$2:$I$1273,[2]Sheet2!$D$2:$D$1273,0)</f>
        <v>Q3</v>
      </c>
      <c r="D914" s="4" t="str">
        <f>_xlfn.XLOOKUP(B914,[4]Sheet2!$B$2:$B$3154,[4]Sheet2!$F$2:$F$3154,0)</f>
        <v>N/ App</v>
      </c>
      <c r="E914" s="4" t="e">
        <f>_xlfn.XLOOKUP(B914,[2]Sheet2!$E$2:$E$713,[2]Sheet2!$G$2:$G$713)</f>
        <v>#N/A</v>
      </c>
      <c r="F914" s="18">
        <v>46102</v>
      </c>
      <c r="G914" s="14">
        <v>0.54031249999999997</v>
      </c>
      <c r="H914" s="7" t="s">
        <v>5</v>
      </c>
      <c r="I914" s="2" t="str">
        <f t="shared" si="73"/>
        <v>Q1</v>
      </c>
      <c r="J914" s="2" t="str">
        <f t="shared" si="74"/>
        <v>Not Match</v>
      </c>
      <c r="K914" s="2">
        <f t="shared" si="70"/>
        <v>0.1</v>
      </c>
      <c r="L914" s="2" t="e">
        <f t="shared" si="71"/>
        <v>#N/A</v>
      </c>
      <c r="M914" s="2" t="str">
        <f t="shared" si="72"/>
        <v>Assign quadrant hit</v>
      </c>
      <c r="N914" s="7">
        <v>22.3</v>
      </c>
      <c r="O914" s="7">
        <v>3.2</v>
      </c>
      <c r="P914" s="7">
        <v>2.4</v>
      </c>
      <c r="Q914" s="7">
        <v>-1.3</v>
      </c>
      <c r="R914" s="7">
        <v>0</v>
      </c>
      <c r="S914" s="7">
        <v>0.1</v>
      </c>
      <c r="T914" s="7">
        <v>0.04</v>
      </c>
      <c r="U914" s="7">
        <v>0.14000000000000001</v>
      </c>
      <c r="V914" s="7">
        <v>1.31</v>
      </c>
      <c r="W914" s="7" t="s">
        <v>6</v>
      </c>
      <c r="X914" s="7" t="s">
        <v>12</v>
      </c>
      <c r="Y914" s="2" t="s">
        <v>719</v>
      </c>
      <c r="Z914" s="2" t="s">
        <v>721</v>
      </c>
    </row>
    <row r="915" spans="1:26" x14ac:dyDescent="0.35">
      <c r="A915" s="7" t="s">
        <v>1558</v>
      </c>
      <c r="B915" s="7" t="s">
        <v>935</v>
      </c>
      <c r="C915" s="4" t="str">
        <f>_xlfn.XLOOKUP(A915,[2]Sheet2!$I$2:$I$1273,[2]Sheet2!$D$2:$D$1273,0)</f>
        <v>Q3</v>
      </c>
      <c r="D915" s="4" t="str">
        <f>_xlfn.XLOOKUP(B915,[4]Sheet2!$B$2:$B$3154,[4]Sheet2!$F$2:$F$3154,0)</f>
        <v>N/ App</v>
      </c>
      <c r="E915" s="4" t="e">
        <f>_xlfn.XLOOKUP(B915,[2]Sheet2!$E$2:$E$713,[2]Sheet2!$G$2:$G$713)</f>
        <v>#N/A</v>
      </c>
      <c r="F915" s="18">
        <v>46102</v>
      </c>
      <c r="G915" s="14">
        <v>0.65111111111111108</v>
      </c>
      <c r="H915" s="7" t="s">
        <v>16</v>
      </c>
      <c r="I915" s="2" t="str">
        <f t="shared" si="73"/>
        <v>Q4</v>
      </c>
      <c r="J915" s="2" t="str">
        <f t="shared" si="74"/>
        <v>Not Match</v>
      </c>
      <c r="K915" s="2">
        <f t="shared" si="70"/>
        <v>0.1</v>
      </c>
      <c r="L915" s="2" t="e">
        <f t="shared" si="71"/>
        <v>#N/A</v>
      </c>
      <c r="M915" s="2" t="str">
        <f t="shared" si="72"/>
        <v>Assign quadrant hit</v>
      </c>
      <c r="N915" s="7">
        <v>14.3</v>
      </c>
      <c r="O915" s="7">
        <v>-0.4</v>
      </c>
      <c r="P915" s="7">
        <v>-2</v>
      </c>
      <c r="Q915" s="7">
        <v>-1.18</v>
      </c>
      <c r="R915" s="7">
        <v>0</v>
      </c>
      <c r="S915" s="7">
        <v>-0.1</v>
      </c>
      <c r="T915" s="7">
        <v>0.16</v>
      </c>
      <c r="U915" s="7">
        <v>-0.09</v>
      </c>
      <c r="V915" s="7">
        <v>1.2</v>
      </c>
      <c r="W915" s="7" t="s">
        <v>6</v>
      </c>
      <c r="X915" s="7" t="s">
        <v>15</v>
      </c>
      <c r="Y915" s="2" t="s">
        <v>719</v>
      </c>
      <c r="Z915" s="2" t="s">
        <v>721</v>
      </c>
    </row>
    <row r="916" spans="1:26" x14ac:dyDescent="0.35">
      <c r="A916" s="7" t="s">
        <v>1685</v>
      </c>
      <c r="B916" s="7" t="s">
        <v>936</v>
      </c>
      <c r="C916" s="4" t="str">
        <f>_xlfn.XLOOKUP(A916,[2]Sheet2!$I$2:$I$1273,[2]Sheet2!$D$2:$D$1273,0)</f>
        <v>Q1</v>
      </c>
      <c r="D916" s="4" t="str">
        <f>_xlfn.XLOOKUP(B916,[4]Sheet2!$B$2:$B$3154,[4]Sheet2!$F$2:$F$3154,0)</f>
        <v>N/ App</v>
      </c>
      <c r="E916" s="4" t="e">
        <f>_xlfn.XLOOKUP(B916,[2]Sheet2!$E$2:$E$713,[2]Sheet2!$G$2:$G$713)</f>
        <v>#N/A</v>
      </c>
      <c r="F916" s="18">
        <v>46102</v>
      </c>
      <c r="G916" s="14">
        <v>0.66121527777777778</v>
      </c>
      <c r="H916" s="7" t="s">
        <v>5</v>
      </c>
      <c r="I916" s="2" t="str">
        <f t="shared" si="73"/>
        <v>Q1</v>
      </c>
      <c r="J916" s="2" t="str">
        <f t="shared" si="74"/>
        <v>Match</v>
      </c>
      <c r="K916" s="2">
        <f t="shared" si="70"/>
        <v>0.1</v>
      </c>
      <c r="L916" s="2" t="e">
        <f t="shared" si="71"/>
        <v>#N/A</v>
      </c>
      <c r="M916" s="2" t="str">
        <f t="shared" si="72"/>
        <v>Digital Approve Hit</v>
      </c>
      <c r="N916" s="7">
        <v>15.2</v>
      </c>
      <c r="O916" s="7">
        <v>-0.6</v>
      </c>
      <c r="P916" s="7">
        <v>-4.3</v>
      </c>
      <c r="Q916" s="7">
        <v>-0.45</v>
      </c>
      <c r="R916" s="7">
        <v>0</v>
      </c>
      <c r="S916" s="7">
        <v>0.1</v>
      </c>
      <c r="T916" s="7">
        <v>-0.12</v>
      </c>
      <c r="U916" s="7">
        <v>-0.04</v>
      </c>
      <c r="V916" s="7">
        <v>0.47</v>
      </c>
      <c r="W916" s="7" t="s">
        <v>8</v>
      </c>
      <c r="X916" s="7" t="s">
        <v>15</v>
      </c>
      <c r="Y916" s="2" t="s">
        <v>719</v>
      </c>
      <c r="Z916" s="2" t="s">
        <v>721</v>
      </c>
    </row>
    <row r="917" spans="1:26" x14ac:dyDescent="0.35">
      <c r="A917" s="7" t="s">
        <v>1540</v>
      </c>
      <c r="B917" s="7" t="s">
        <v>937</v>
      </c>
      <c r="C917" s="4" t="str">
        <f>_xlfn.XLOOKUP(A917,[2]Sheet2!$I$2:$I$1273,[2]Sheet2!$D$2:$D$1273,0)</f>
        <v>Q3</v>
      </c>
      <c r="D917" s="4" t="str">
        <f>_xlfn.XLOOKUP(B917,[4]Sheet2!$B$2:$B$3154,[4]Sheet2!$F$2:$F$3154,0)</f>
        <v>N/ App</v>
      </c>
      <c r="E917" s="4" t="e">
        <f>_xlfn.XLOOKUP(B917,[2]Sheet2!$E$2:$E$713,[2]Sheet2!$G$2:$G$713)</f>
        <v>#N/A</v>
      </c>
      <c r="F917" s="18">
        <v>46102</v>
      </c>
      <c r="G917" s="14">
        <v>0.66370370370370368</v>
      </c>
      <c r="H917" s="7" t="s">
        <v>11</v>
      </c>
      <c r="I917" s="2" t="str">
        <f t="shared" si="73"/>
        <v>Q3</v>
      </c>
      <c r="J917" s="2" t="str">
        <f t="shared" si="74"/>
        <v>Match</v>
      </c>
      <c r="K917" s="2">
        <f t="shared" si="70"/>
        <v>0</v>
      </c>
      <c r="L917" s="2" t="e">
        <f t="shared" si="71"/>
        <v>#N/A</v>
      </c>
      <c r="M917" s="2" t="str">
        <f t="shared" si="72"/>
        <v>Digital Approve Hit</v>
      </c>
      <c r="N917" s="7">
        <v>13.7</v>
      </c>
      <c r="O917" s="7">
        <v>-0.5</v>
      </c>
      <c r="P917" s="7">
        <v>-1.6</v>
      </c>
      <c r="Q917" s="7">
        <v>-0.51</v>
      </c>
      <c r="R917" s="7">
        <v>0</v>
      </c>
      <c r="S917" s="7">
        <v>0</v>
      </c>
      <c r="T917" s="7">
        <v>-0.08</v>
      </c>
      <c r="U917" s="7">
        <v>-0.09</v>
      </c>
      <c r="V917" s="7">
        <v>0.52</v>
      </c>
      <c r="W917" s="7" t="s">
        <v>8</v>
      </c>
      <c r="X917" s="7" t="s">
        <v>15</v>
      </c>
      <c r="Y917" s="2" t="s">
        <v>719</v>
      </c>
      <c r="Z917" s="2" t="s">
        <v>721</v>
      </c>
    </row>
    <row r="918" spans="1:26" x14ac:dyDescent="0.35">
      <c r="A918" s="7" t="s">
        <v>1516</v>
      </c>
      <c r="B918" s="7" t="s">
        <v>938</v>
      </c>
      <c r="C918" s="4" t="str">
        <f>_xlfn.XLOOKUP(A918,[2]Sheet2!$I$2:$I$1273,[2]Sheet2!$D$2:$D$1273,0)</f>
        <v>Q2</v>
      </c>
      <c r="D918" s="4" t="str">
        <f>_xlfn.XLOOKUP(B918,[4]Sheet2!$B$2:$B$3154,[4]Sheet2!$F$2:$F$3154,0)</f>
        <v>N/ App</v>
      </c>
      <c r="E918" s="4" t="e">
        <f>_xlfn.XLOOKUP(B918,[2]Sheet2!$E$2:$E$713,[2]Sheet2!$G$2:$G$713)</f>
        <v>#N/A</v>
      </c>
      <c r="F918" s="18">
        <v>46102</v>
      </c>
      <c r="G918" s="14">
        <v>0.66578703703703701</v>
      </c>
      <c r="H918" s="7" t="s">
        <v>4</v>
      </c>
      <c r="I918" s="2" t="str">
        <f t="shared" si="73"/>
        <v>Q1</v>
      </c>
      <c r="J918" s="2" t="str">
        <f t="shared" si="74"/>
        <v>Not Match</v>
      </c>
      <c r="K918" s="2">
        <f t="shared" si="70"/>
        <v>0.1</v>
      </c>
      <c r="L918" s="2" t="e">
        <f t="shared" si="71"/>
        <v>#N/A</v>
      </c>
      <c r="M918" s="2" t="str">
        <f t="shared" si="72"/>
        <v>Assign quadrant hit</v>
      </c>
      <c r="N918" s="7">
        <v>17.2</v>
      </c>
      <c r="O918" s="7">
        <v>-1.4</v>
      </c>
      <c r="P918" s="7">
        <v>-1.5</v>
      </c>
      <c r="Q918" s="7">
        <v>-1.06</v>
      </c>
      <c r="R918" s="7">
        <v>0</v>
      </c>
      <c r="S918" s="7">
        <v>0.1</v>
      </c>
      <c r="T918" s="7">
        <v>-0.14000000000000001</v>
      </c>
      <c r="U918" s="7">
        <v>-0.1</v>
      </c>
      <c r="V918" s="7">
        <v>1.08</v>
      </c>
      <c r="W918" s="7" t="s">
        <v>6</v>
      </c>
      <c r="X918" s="7" t="s">
        <v>12</v>
      </c>
      <c r="Y918" s="2" t="s">
        <v>719</v>
      </c>
      <c r="Z918" s="2" t="s">
        <v>721</v>
      </c>
    </row>
    <row r="919" spans="1:26" x14ac:dyDescent="0.35">
      <c r="A919" s="7" t="s">
        <v>1625</v>
      </c>
      <c r="B919" s="7" t="s">
        <v>939</v>
      </c>
      <c r="C919" s="4" t="str">
        <f>_xlfn.XLOOKUP(A919,[2]Sheet2!$I$2:$I$1273,[2]Sheet2!$D$2:$D$1273,0)</f>
        <v>Q1</v>
      </c>
      <c r="D919" s="4" t="str">
        <f>_xlfn.XLOOKUP(B919,[4]Sheet2!$B$2:$B$3154,[4]Sheet2!$F$2:$F$3154,0)</f>
        <v>N/ App</v>
      </c>
      <c r="E919" s="4" t="e">
        <f>_xlfn.XLOOKUP(B919,[2]Sheet2!$E$2:$E$713,[2]Sheet2!$G$2:$G$713)</f>
        <v>#N/A</v>
      </c>
      <c r="F919" s="18">
        <v>46102</v>
      </c>
      <c r="G919" s="14">
        <v>0.66849537037037032</v>
      </c>
      <c r="H919" s="7" t="s">
        <v>4</v>
      </c>
      <c r="I919" s="2" t="str">
        <f t="shared" si="73"/>
        <v>Q4</v>
      </c>
      <c r="J919" s="2" t="str">
        <f t="shared" si="74"/>
        <v>Not Match</v>
      </c>
      <c r="K919" s="2">
        <f t="shared" si="70"/>
        <v>0.2</v>
      </c>
      <c r="L919" s="2" t="e">
        <f t="shared" si="71"/>
        <v>#N/A</v>
      </c>
      <c r="M919" s="2" t="str">
        <f t="shared" si="72"/>
        <v>Below 0.8 not in assigned quadrant</v>
      </c>
      <c r="N919" s="7">
        <v>20.5</v>
      </c>
      <c r="O919" s="7">
        <v>0.2</v>
      </c>
      <c r="P919" s="7">
        <v>-2.8</v>
      </c>
      <c r="Q919" s="7">
        <v>-0.26</v>
      </c>
      <c r="R919" s="7">
        <v>0.2</v>
      </c>
      <c r="S919" s="7">
        <v>0</v>
      </c>
      <c r="T919" s="7">
        <v>-0.01</v>
      </c>
      <c r="U919" s="7">
        <v>0.27</v>
      </c>
      <c r="V919" s="7">
        <v>0.38</v>
      </c>
      <c r="W919" s="7" t="s">
        <v>8</v>
      </c>
      <c r="X919" s="7" t="s">
        <v>9</v>
      </c>
      <c r="Y919" s="2" t="s">
        <v>719</v>
      </c>
      <c r="Z919" s="2" t="s">
        <v>721</v>
      </c>
    </row>
    <row r="920" spans="1:26" x14ac:dyDescent="0.35">
      <c r="A920" s="7" t="s">
        <v>1593</v>
      </c>
      <c r="B920" s="7" t="s">
        <v>940</v>
      </c>
      <c r="C920" s="4" t="str">
        <f>_xlfn.XLOOKUP(A920,[2]Sheet2!$I$2:$I$1273,[2]Sheet2!$D$2:$D$1273,0)</f>
        <v>Q3</v>
      </c>
      <c r="D920" s="4" t="str">
        <f>_xlfn.XLOOKUP(B920,[4]Sheet2!$B$2:$B$3154,[4]Sheet2!$F$2:$F$3154,0)</f>
        <v>N/ App</v>
      </c>
      <c r="E920" s="4" t="e">
        <f>_xlfn.XLOOKUP(B920,[2]Sheet2!$E$2:$E$713,[2]Sheet2!$G$2:$G$713)</f>
        <v>#N/A</v>
      </c>
      <c r="F920" s="18">
        <v>46102</v>
      </c>
      <c r="G920" s="14">
        <v>0.67071759259259256</v>
      </c>
      <c r="H920" s="7" t="s">
        <v>5</v>
      </c>
      <c r="I920" s="2" t="str">
        <f t="shared" si="73"/>
        <v>Q3</v>
      </c>
      <c r="J920" s="2" t="str">
        <f t="shared" si="74"/>
        <v>Match</v>
      </c>
      <c r="K920" s="2">
        <f t="shared" si="70"/>
        <v>0.2</v>
      </c>
      <c r="L920" s="2" t="e">
        <f t="shared" si="71"/>
        <v>#N/A</v>
      </c>
      <c r="M920" s="2" t="str">
        <f t="shared" si="72"/>
        <v>Failed but within quadrant</v>
      </c>
      <c r="N920" s="7">
        <v>21.6</v>
      </c>
      <c r="O920" s="7">
        <v>3</v>
      </c>
      <c r="P920" s="7">
        <v>2.2999999999999998</v>
      </c>
      <c r="Q920" s="7">
        <v>-1.84</v>
      </c>
      <c r="R920" s="7">
        <v>-0.2</v>
      </c>
      <c r="S920" s="7">
        <v>0</v>
      </c>
      <c r="T920" s="7">
        <v>-0.23</v>
      </c>
      <c r="U920" s="7">
        <v>0.16</v>
      </c>
      <c r="V920" s="7">
        <v>1.86</v>
      </c>
      <c r="W920" s="7" t="s">
        <v>6</v>
      </c>
      <c r="X920" s="7" t="s">
        <v>12</v>
      </c>
      <c r="Y920" s="2" t="s">
        <v>719</v>
      </c>
      <c r="Z920" s="2" t="s">
        <v>721</v>
      </c>
    </row>
    <row r="921" spans="1:26" x14ac:dyDescent="0.35">
      <c r="A921" s="7" t="s">
        <v>1500</v>
      </c>
      <c r="B921" s="7" t="s">
        <v>941</v>
      </c>
      <c r="C921" s="4" t="str">
        <f>_xlfn.XLOOKUP(A921,[2]Sheet2!$I$2:$I$1273,[2]Sheet2!$D$2:$D$1273,0)</f>
        <v>Q2</v>
      </c>
      <c r="D921" s="4">
        <f>_xlfn.XLOOKUP(B921,[4]Sheet2!$B$2:$B$3154,[4]Sheet2!$F$2:$F$3154,0)</f>
        <v>0</v>
      </c>
      <c r="E921" s="4" t="e">
        <f>_xlfn.XLOOKUP(B921,[2]Sheet2!$E$2:$E$713,[2]Sheet2!$G$2:$G$713)</f>
        <v>#N/A</v>
      </c>
      <c r="F921" s="18">
        <v>46102</v>
      </c>
      <c r="G921" s="14">
        <v>0.67319444444444443</v>
      </c>
      <c r="H921" s="7" t="s">
        <v>5</v>
      </c>
      <c r="I921" s="2" t="str">
        <f t="shared" si="73"/>
        <v>Q4</v>
      </c>
      <c r="J921" s="2" t="str">
        <f t="shared" si="74"/>
        <v>Not Match</v>
      </c>
      <c r="K921" s="2">
        <f t="shared" si="70"/>
        <v>0.1</v>
      </c>
      <c r="L921" s="2" t="e">
        <f t="shared" si="71"/>
        <v>#N/A</v>
      </c>
      <c r="M921" s="2" t="str">
        <f t="shared" si="72"/>
        <v>Assign quadrant hit</v>
      </c>
      <c r="N921" s="7">
        <v>16.399999999999999</v>
      </c>
      <c r="O921" s="7">
        <v>-0.5</v>
      </c>
      <c r="P921" s="7">
        <v>-1.6</v>
      </c>
      <c r="Q921" s="7">
        <v>-1.07</v>
      </c>
      <c r="R921" s="7">
        <v>0.1</v>
      </c>
      <c r="S921" s="7">
        <v>0</v>
      </c>
      <c r="T921" s="7">
        <v>-0.13</v>
      </c>
      <c r="U921" s="7">
        <v>0.11</v>
      </c>
      <c r="V921" s="7">
        <v>1.0900000000000001</v>
      </c>
      <c r="W921" s="7" t="s">
        <v>6</v>
      </c>
      <c r="X921" s="7" t="s">
        <v>9</v>
      </c>
      <c r="Y921" s="2" t="s">
        <v>719</v>
      </c>
      <c r="Z921" s="2" t="s">
        <v>721</v>
      </c>
    </row>
    <row r="922" spans="1:26" x14ac:dyDescent="0.35">
      <c r="A922" s="7" t="s">
        <v>1500</v>
      </c>
      <c r="B922" s="7" t="s">
        <v>942</v>
      </c>
      <c r="C922" s="4" t="str">
        <f>_xlfn.XLOOKUP(A922,[2]Sheet2!$I$2:$I$1273,[2]Sheet2!$D$2:$D$1273,0)</f>
        <v>Q2</v>
      </c>
      <c r="D922" s="4" t="str">
        <f>_xlfn.XLOOKUP(B922,[4]Sheet2!$B$2:$B$3154,[4]Sheet2!$F$2:$F$3154,0)</f>
        <v>N/ App</v>
      </c>
      <c r="E922" s="4" t="e">
        <f>_xlfn.XLOOKUP(B922,[2]Sheet2!$E$2:$E$713,[2]Sheet2!$G$2:$G$713)</f>
        <v>#N/A</v>
      </c>
      <c r="F922" s="18">
        <v>46102</v>
      </c>
      <c r="G922" s="14">
        <v>0.6752083333333333</v>
      </c>
      <c r="H922" s="7" t="s">
        <v>5</v>
      </c>
      <c r="I922" s="2" t="str">
        <f t="shared" si="73"/>
        <v>Q2</v>
      </c>
      <c r="J922" s="2" t="str">
        <f t="shared" si="74"/>
        <v>Match</v>
      </c>
      <c r="K922" s="2">
        <f t="shared" si="70"/>
        <v>0</v>
      </c>
      <c r="L922" s="2" t="e">
        <f t="shared" si="71"/>
        <v>#N/A</v>
      </c>
      <c r="M922" s="2" t="str">
        <f t="shared" si="72"/>
        <v>Failed but within quadrant</v>
      </c>
      <c r="N922" s="7">
        <v>16.399999999999999</v>
      </c>
      <c r="O922" s="7">
        <v>-0.6</v>
      </c>
      <c r="P922" s="7">
        <v>-1.6</v>
      </c>
      <c r="Q922" s="7">
        <v>-1.03</v>
      </c>
      <c r="R922" s="7">
        <v>0</v>
      </c>
      <c r="S922" s="7">
        <v>0</v>
      </c>
      <c r="T922" s="7">
        <v>-0.04</v>
      </c>
      <c r="U922" s="7">
        <v>0.06</v>
      </c>
      <c r="V922" s="7">
        <v>1.03</v>
      </c>
      <c r="W922" s="7" t="s">
        <v>6</v>
      </c>
      <c r="X922" s="7" t="s">
        <v>9</v>
      </c>
      <c r="Y922" s="2" t="s">
        <v>719</v>
      </c>
      <c r="Z922" s="2" t="s">
        <v>721</v>
      </c>
    </row>
    <row r="923" spans="1:26" x14ac:dyDescent="0.35">
      <c r="A923" s="7" t="s">
        <v>1557</v>
      </c>
      <c r="B923" s="7" t="s">
        <v>943</v>
      </c>
      <c r="C923" s="4" t="str">
        <f>_xlfn.XLOOKUP(A923,[2]Sheet2!$I$2:$I$1273,[2]Sheet2!$D$2:$D$1273,0)</f>
        <v>Q3</v>
      </c>
      <c r="D923" s="4" t="str">
        <f>_xlfn.XLOOKUP(B923,[4]Sheet2!$B$2:$B$3154,[4]Sheet2!$F$2:$F$3154,0)</f>
        <v>N/ App</v>
      </c>
      <c r="E923" s="4" t="e">
        <f>_xlfn.XLOOKUP(B923,[2]Sheet2!$E$2:$E$713,[2]Sheet2!$G$2:$G$713)</f>
        <v>#N/A</v>
      </c>
      <c r="F923" s="18">
        <v>46102</v>
      </c>
      <c r="G923" s="14">
        <v>0.67730324074074078</v>
      </c>
      <c r="H923" s="7" t="s">
        <v>16</v>
      </c>
      <c r="I923" s="2" t="str">
        <f t="shared" si="73"/>
        <v>Q3</v>
      </c>
      <c r="J923" s="2" t="str">
        <f t="shared" si="74"/>
        <v>Match</v>
      </c>
      <c r="K923" s="2">
        <f t="shared" si="70"/>
        <v>0.22360679774997899</v>
      </c>
      <c r="L923" s="2" t="e">
        <f t="shared" si="71"/>
        <v>#N/A</v>
      </c>
      <c r="M923" s="2" t="str">
        <f t="shared" si="72"/>
        <v>Digital Approve Hit</v>
      </c>
      <c r="N923" s="7">
        <v>14.8</v>
      </c>
      <c r="O923" s="7">
        <v>-0.3</v>
      </c>
      <c r="P923" s="7">
        <v>-1.9</v>
      </c>
      <c r="Q923" s="7">
        <v>-0.7</v>
      </c>
      <c r="R923" s="7">
        <v>-0.1</v>
      </c>
      <c r="S923" s="7">
        <v>-0.2</v>
      </c>
      <c r="T923" s="7">
        <v>0.33</v>
      </c>
      <c r="U923" s="7">
        <v>-0.21</v>
      </c>
      <c r="V923" s="7">
        <v>0.8</v>
      </c>
      <c r="W923" s="7" t="s">
        <v>13</v>
      </c>
      <c r="X923" s="7" t="s">
        <v>15</v>
      </c>
      <c r="Y923" s="2" t="s">
        <v>719</v>
      </c>
      <c r="Z923" s="2" t="s">
        <v>721</v>
      </c>
    </row>
    <row r="924" spans="1:26" x14ac:dyDescent="0.35">
      <c r="A924" s="7" t="s">
        <v>1535</v>
      </c>
      <c r="B924" s="7" t="s">
        <v>944</v>
      </c>
      <c r="C924" s="4" t="str">
        <f>_xlfn.XLOOKUP(A924,[2]Sheet2!$I$2:$I$1273,[2]Sheet2!$D$2:$D$1273,0)</f>
        <v>Q3</v>
      </c>
      <c r="D924" s="4" t="str">
        <f>_xlfn.XLOOKUP(B924,[4]Sheet2!$B$2:$B$3154,[4]Sheet2!$F$2:$F$3154,0)</f>
        <v>N/ App</v>
      </c>
      <c r="E924" s="4" t="e">
        <f>_xlfn.XLOOKUP(B924,[2]Sheet2!$E$2:$E$713,[2]Sheet2!$G$2:$G$713)</f>
        <v>#N/A</v>
      </c>
      <c r="F924" s="18">
        <v>46102</v>
      </c>
      <c r="G924" s="14">
        <v>0.76523148148148146</v>
      </c>
      <c r="H924" s="7" t="s">
        <v>5</v>
      </c>
      <c r="I924" s="2" t="str">
        <f t="shared" si="73"/>
        <v>Q1</v>
      </c>
      <c r="J924" s="2" t="str">
        <f t="shared" si="74"/>
        <v>Not Match</v>
      </c>
      <c r="K924" s="2">
        <f t="shared" si="70"/>
        <v>0.6</v>
      </c>
      <c r="L924" s="2" t="e">
        <f t="shared" si="71"/>
        <v>#N/A</v>
      </c>
      <c r="M924" s="2" t="str">
        <f t="shared" si="72"/>
        <v>Assign quadrant hit</v>
      </c>
      <c r="N924" s="7">
        <v>16.2</v>
      </c>
      <c r="O924" s="7">
        <v>-0.6</v>
      </c>
      <c r="P924" s="7">
        <v>-2.8</v>
      </c>
      <c r="Q924" s="7">
        <v>-0.49</v>
      </c>
      <c r="R924" s="7">
        <v>0</v>
      </c>
      <c r="S924" s="7">
        <v>0.6</v>
      </c>
      <c r="T924" s="7">
        <v>-0.73</v>
      </c>
      <c r="U924" s="7">
        <v>-0.23</v>
      </c>
      <c r="V924" s="7">
        <v>0.91</v>
      </c>
      <c r="W924" s="7" t="s">
        <v>13</v>
      </c>
      <c r="X924" s="7" t="s">
        <v>15</v>
      </c>
      <c r="Y924" s="2" t="s">
        <v>719</v>
      </c>
      <c r="Z924" s="2" t="s">
        <v>721</v>
      </c>
    </row>
    <row r="925" spans="1:26" x14ac:dyDescent="0.35">
      <c r="A925" s="7" t="s">
        <v>1620</v>
      </c>
      <c r="B925" s="7" t="s">
        <v>945</v>
      </c>
      <c r="C925" s="4" t="str">
        <f>_xlfn.XLOOKUP(A925,[2]Sheet2!$I$2:$I$1273,[2]Sheet2!$D$2:$D$1273,0)</f>
        <v>Q2</v>
      </c>
      <c r="D925" s="4" t="str">
        <f>_xlfn.XLOOKUP(B925,[4]Sheet2!$B$2:$B$3154,[4]Sheet2!$F$2:$F$3154,0)</f>
        <v>C/APP</v>
      </c>
      <c r="E925" s="4" t="e">
        <f>_xlfn.XLOOKUP(B925,[2]Sheet2!$E$2:$E$713,[2]Sheet2!$G$2:$G$713)</f>
        <v>#N/A</v>
      </c>
      <c r="F925" s="18">
        <v>46102</v>
      </c>
      <c r="G925" s="14">
        <v>0.76829861111111108</v>
      </c>
      <c r="H925" s="7" t="s">
        <v>5</v>
      </c>
      <c r="I925" s="2" t="str">
        <f t="shared" si="73"/>
        <v>Q1</v>
      </c>
      <c r="J925" s="2" t="str">
        <f t="shared" si="74"/>
        <v>Not Match</v>
      </c>
      <c r="K925" s="2">
        <f t="shared" si="70"/>
        <v>0.2</v>
      </c>
      <c r="L925" s="2" t="e">
        <f t="shared" si="71"/>
        <v>#N/A</v>
      </c>
      <c r="M925" s="2" t="str">
        <f t="shared" si="72"/>
        <v>Assign quadrant hit</v>
      </c>
      <c r="N925" s="7">
        <v>29.7</v>
      </c>
      <c r="O925" s="7">
        <v>33</v>
      </c>
      <c r="P925" s="7">
        <v>5.0999999999999996</v>
      </c>
      <c r="Q925" s="7">
        <v>-0.88</v>
      </c>
      <c r="R925" s="7">
        <v>0</v>
      </c>
      <c r="S925" s="7">
        <v>0.2</v>
      </c>
      <c r="T925" s="7">
        <v>0.01</v>
      </c>
      <c r="U925" s="7">
        <v>0.14000000000000001</v>
      </c>
      <c r="V925" s="7">
        <v>0.89</v>
      </c>
      <c r="W925" s="7" t="s">
        <v>13</v>
      </c>
      <c r="X925" s="7" t="s">
        <v>9</v>
      </c>
      <c r="Y925" s="2" t="s">
        <v>719</v>
      </c>
      <c r="Z925" s="2" t="s">
        <v>721</v>
      </c>
    </row>
    <row r="926" spans="1:26" x14ac:dyDescent="0.35">
      <c r="A926" s="7" t="s">
        <v>1566</v>
      </c>
      <c r="B926" s="7" t="s">
        <v>946</v>
      </c>
      <c r="C926" s="4" t="str">
        <f>_xlfn.XLOOKUP(A926,[2]Sheet2!$I$2:$I$1273,[2]Sheet2!$D$2:$D$1273,0)</f>
        <v>Q4</v>
      </c>
      <c r="D926" s="4" t="str">
        <f>_xlfn.XLOOKUP(B926,[4]Sheet2!$B$2:$B$3154,[4]Sheet2!$F$2:$F$3154,0)</f>
        <v>N/ App</v>
      </c>
      <c r="E926" s="4" t="e">
        <f>_xlfn.XLOOKUP(B926,[2]Sheet2!$E$2:$E$713,[2]Sheet2!$G$2:$G$713)</f>
        <v>#N/A</v>
      </c>
      <c r="F926" s="18">
        <v>46102</v>
      </c>
      <c r="G926" s="14">
        <v>0.77048611111111109</v>
      </c>
      <c r="H926" s="7" t="s">
        <v>16</v>
      </c>
      <c r="I926" s="2" t="str">
        <f t="shared" si="73"/>
        <v>Q2</v>
      </c>
      <c r="J926" s="2" t="str">
        <f t="shared" si="74"/>
        <v>Not Match</v>
      </c>
      <c r="K926" s="2">
        <f t="shared" si="70"/>
        <v>0.28284271247461906</v>
      </c>
      <c r="L926" s="2" t="e">
        <f t="shared" si="71"/>
        <v>#N/A</v>
      </c>
      <c r="M926" s="2" t="str">
        <f t="shared" si="72"/>
        <v>Assign quadrant hit</v>
      </c>
      <c r="N926" s="7">
        <v>16.7</v>
      </c>
      <c r="O926" s="7">
        <v>-0.9</v>
      </c>
      <c r="P926" s="7">
        <v>-6</v>
      </c>
      <c r="Q926" s="7">
        <v>1.02</v>
      </c>
      <c r="R926" s="7">
        <v>-0.2</v>
      </c>
      <c r="S926" s="7">
        <v>0.2</v>
      </c>
      <c r="T926" s="7">
        <v>-0.25</v>
      </c>
      <c r="U926" s="7">
        <v>-0.36</v>
      </c>
      <c r="V926" s="7">
        <v>1.1100000000000001</v>
      </c>
      <c r="W926" s="7" t="s">
        <v>6</v>
      </c>
      <c r="X926" s="7" t="s">
        <v>15</v>
      </c>
      <c r="Y926" s="2" t="s">
        <v>719</v>
      </c>
      <c r="Z926" s="2" t="s">
        <v>721</v>
      </c>
    </row>
    <row r="927" spans="1:26" x14ac:dyDescent="0.35">
      <c r="A927" s="7" t="s">
        <v>1540</v>
      </c>
      <c r="B927" s="7" t="s">
        <v>947</v>
      </c>
      <c r="C927" s="4" t="str">
        <f>_xlfn.XLOOKUP(A927,[2]Sheet2!$I$2:$I$1273,[2]Sheet2!$D$2:$D$1273,0)</f>
        <v>Q3</v>
      </c>
      <c r="D927" s="4" t="str">
        <f>_xlfn.XLOOKUP(B927,[4]Sheet2!$B$2:$B$3154,[4]Sheet2!$F$2:$F$3154,0)</f>
        <v>N/ App</v>
      </c>
      <c r="E927" s="4" t="e">
        <f>_xlfn.XLOOKUP(B927,[2]Sheet2!$E$2:$E$713,[2]Sheet2!$G$2:$G$713)</f>
        <v>#N/A</v>
      </c>
      <c r="F927" s="18">
        <v>46102</v>
      </c>
      <c r="G927" s="14">
        <v>0.7754050925925926</v>
      </c>
      <c r="H927" s="7" t="s">
        <v>11</v>
      </c>
      <c r="I927" s="2" t="str">
        <f t="shared" si="73"/>
        <v>Q1</v>
      </c>
      <c r="J927" s="2" t="str">
        <f t="shared" si="74"/>
        <v>Not Match</v>
      </c>
      <c r="K927" s="2">
        <f t="shared" si="70"/>
        <v>0.14142135623730953</v>
      </c>
      <c r="L927" s="2" t="e">
        <f t="shared" si="71"/>
        <v>#N/A</v>
      </c>
      <c r="M927" s="2" t="str">
        <f t="shared" si="72"/>
        <v>Assign quadrant hit</v>
      </c>
      <c r="N927" s="7">
        <v>13.3</v>
      </c>
      <c r="O927" s="7">
        <v>-0.4</v>
      </c>
      <c r="P927" s="7">
        <v>-1.6</v>
      </c>
      <c r="Q927" s="7">
        <v>-0.88</v>
      </c>
      <c r="R927" s="7">
        <v>0.1</v>
      </c>
      <c r="S927" s="7">
        <v>0.1</v>
      </c>
      <c r="T927" s="7">
        <v>-0.21</v>
      </c>
      <c r="U927" s="7">
        <v>0.09</v>
      </c>
      <c r="V927" s="7">
        <v>0.91</v>
      </c>
      <c r="W927" s="7" t="s">
        <v>13</v>
      </c>
      <c r="X927" s="7" t="s">
        <v>9</v>
      </c>
      <c r="Y927" s="2" t="s">
        <v>719</v>
      </c>
      <c r="Z927" s="2" t="s">
        <v>721</v>
      </c>
    </row>
    <row r="928" spans="1:26" x14ac:dyDescent="0.35">
      <c r="A928" s="7" t="s">
        <v>1733</v>
      </c>
      <c r="B928" s="7" t="s">
        <v>948</v>
      </c>
      <c r="C928" s="4" t="str">
        <f>_xlfn.XLOOKUP(A928,[2]Sheet2!$I$2:$I$1273,[2]Sheet2!$D$2:$D$1273,0)</f>
        <v>Q2</v>
      </c>
      <c r="D928" s="4" t="str">
        <f>_xlfn.XLOOKUP(B928,[4]Sheet2!$B$2:$B$3154,[4]Sheet2!$F$2:$F$3154,0)</f>
        <v>N/ App</v>
      </c>
      <c r="E928" s="4" t="e">
        <f>_xlfn.XLOOKUP(B928,[2]Sheet2!$E$2:$E$713,[2]Sheet2!$G$2:$G$713)</f>
        <v>#N/A</v>
      </c>
      <c r="F928" s="18">
        <v>46102</v>
      </c>
      <c r="G928" s="14">
        <v>0.77835648148148151</v>
      </c>
      <c r="H928" s="7" t="s">
        <v>4</v>
      </c>
      <c r="I928" s="2" t="str">
        <f t="shared" si="73"/>
        <v>Q2</v>
      </c>
      <c r="J928" s="2" t="str">
        <f t="shared" si="74"/>
        <v>Match</v>
      </c>
      <c r="K928" s="2">
        <f t="shared" si="70"/>
        <v>0</v>
      </c>
      <c r="L928" s="2" t="e">
        <f t="shared" si="71"/>
        <v>#N/A</v>
      </c>
      <c r="M928" s="2" t="str">
        <f t="shared" si="72"/>
        <v>Digital Approve Hit</v>
      </c>
      <c r="N928" s="7">
        <v>15.3</v>
      </c>
      <c r="O928" s="7">
        <v>0</v>
      </c>
      <c r="P928" s="7">
        <v>-0.6</v>
      </c>
      <c r="Q928" s="7">
        <v>-0.03</v>
      </c>
      <c r="R928" s="7">
        <v>0</v>
      </c>
      <c r="S928" s="7">
        <v>0</v>
      </c>
      <c r="T928" s="7">
        <v>7.0000000000000007E-2</v>
      </c>
      <c r="U928" s="7">
        <v>0.12</v>
      </c>
      <c r="V928" s="7">
        <v>0.14000000000000001</v>
      </c>
      <c r="W928" s="7" t="s">
        <v>8</v>
      </c>
      <c r="X928" s="7" t="s">
        <v>9</v>
      </c>
      <c r="Y928" s="2" t="s">
        <v>719</v>
      </c>
      <c r="Z928" s="2" t="s">
        <v>721</v>
      </c>
    </row>
    <row r="929" spans="1:26" x14ac:dyDescent="0.35">
      <c r="A929" s="7" t="s">
        <v>1734</v>
      </c>
      <c r="B929" s="7" t="s">
        <v>949</v>
      </c>
      <c r="C929" s="4" t="str">
        <f>_xlfn.XLOOKUP(A929,[2]Sheet2!$I$2:$I$1273,[2]Sheet2!$D$2:$D$1273,0)</f>
        <v>Q4</v>
      </c>
      <c r="D929" s="4" t="str">
        <f>_xlfn.XLOOKUP(B929,[4]Sheet2!$B$2:$B$3154,[4]Sheet2!$F$2:$F$3154,0)</f>
        <v>N/ App</v>
      </c>
      <c r="E929" s="4" t="e">
        <f>_xlfn.XLOOKUP(B929,[2]Sheet2!$E$2:$E$713,[2]Sheet2!$G$2:$G$713)</f>
        <v>#N/A</v>
      </c>
      <c r="F929" s="18">
        <v>46102</v>
      </c>
      <c r="G929" s="14">
        <v>0.7802662037037037</v>
      </c>
      <c r="H929" s="7" t="s">
        <v>14</v>
      </c>
      <c r="I929" s="2" t="str">
        <f t="shared" si="73"/>
        <v>Q4</v>
      </c>
      <c r="J929" s="2" t="str">
        <f t="shared" si="74"/>
        <v>Match</v>
      </c>
      <c r="K929" s="2">
        <f t="shared" si="70"/>
        <v>0.4</v>
      </c>
      <c r="L929" s="2" t="e">
        <f t="shared" si="71"/>
        <v>#N/A</v>
      </c>
      <c r="M929" s="2" t="str">
        <f t="shared" si="72"/>
        <v>Digital Approve Hit</v>
      </c>
      <c r="N929" s="7">
        <v>14.9</v>
      </c>
      <c r="O929" s="7">
        <v>-0.6</v>
      </c>
      <c r="P929" s="7">
        <v>-2.7</v>
      </c>
      <c r="Q929" s="7">
        <v>-0.56999999999999995</v>
      </c>
      <c r="R929" s="7">
        <v>0</v>
      </c>
      <c r="S929" s="7">
        <v>-0.4</v>
      </c>
      <c r="T929" s="7">
        <v>0.47</v>
      </c>
      <c r="U929" s="7">
        <v>0.19</v>
      </c>
      <c r="V929" s="7">
        <v>0.76</v>
      </c>
      <c r="W929" s="7" t="s">
        <v>13</v>
      </c>
      <c r="X929" s="7" t="s">
        <v>9</v>
      </c>
      <c r="Y929" s="2" t="s">
        <v>719</v>
      </c>
      <c r="Z929" s="2" t="s">
        <v>721</v>
      </c>
    </row>
    <row r="930" spans="1:26" x14ac:dyDescent="0.35">
      <c r="A930" s="7" t="s">
        <v>1685</v>
      </c>
      <c r="B930" s="7" t="s">
        <v>974</v>
      </c>
      <c r="C930" s="4" t="str">
        <f>_xlfn.XLOOKUP(A930,[2]Sheet2!$I$2:$I$1273,[2]Sheet2!$D$2:$D$1273,0)</f>
        <v>Q1</v>
      </c>
      <c r="D930" s="4">
        <f>_xlfn.XLOOKUP(B930,[4]Sheet2!$B$2:$B$3154,[4]Sheet2!$F$2:$F$3154,0)</f>
        <v>0</v>
      </c>
      <c r="E930" s="4" t="e">
        <f>_xlfn.XLOOKUP(B930,[2]Sheet2!$E$2:$E$713,[2]Sheet2!$G$2:$G$713)</f>
        <v>#N/A</v>
      </c>
      <c r="F930" s="18">
        <v>46105</v>
      </c>
      <c r="G930" s="14">
        <v>0.54053240740740738</v>
      </c>
      <c r="H930" s="7" t="s">
        <v>11</v>
      </c>
      <c r="I930" s="2" t="str">
        <f t="shared" si="73"/>
        <v>Q1</v>
      </c>
      <c r="J930" s="2" t="str">
        <f t="shared" si="74"/>
        <v>Match</v>
      </c>
      <c r="K930" s="2">
        <f t="shared" si="70"/>
        <v>0.5</v>
      </c>
      <c r="L930" s="2" t="e">
        <f t="shared" si="71"/>
        <v>#N/A</v>
      </c>
      <c r="M930" s="2" t="str">
        <f t="shared" si="72"/>
        <v>Failed but within quadrant</v>
      </c>
      <c r="N930" s="7">
        <v>14.6</v>
      </c>
      <c r="O930" s="7">
        <v>-0.7</v>
      </c>
      <c r="P930" s="7">
        <v>-4.3</v>
      </c>
      <c r="Q930" s="7">
        <v>-0.73</v>
      </c>
      <c r="R930" s="7">
        <v>0</v>
      </c>
      <c r="S930" s="7">
        <v>0.5</v>
      </c>
      <c r="T930" s="7">
        <v>-0.56000000000000005</v>
      </c>
      <c r="U930" s="7">
        <v>-0.01</v>
      </c>
      <c r="V930" s="7">
        <v>0.92</v>
      </c>
      <c r="W930" s="7" t="s">
        <v>13</v>
      </c>
      <c r="X930" s="7" t="s">
        <v>15</v>
      </c>
      <c r="Y930" s="2" t="s">
        <v>719</v>
      </c>
      <c r="Z930" s="2" t="s">
        <v>721</v>
      </c>
    </row>
    <row r="931" spans="1:26" x14ac:dyDescent="0.35">
      <c r="A931" s="7" t="s">
        <v>1554</v>
      </c>
      <c r="B931" s="7" t="s">
        <v>975</v>
      </c>
      <c r="C931" s="4" t="str">
        <f>_xlfn.XLOOKUP(A931,[2]Sheet2!$I$2:$I$1273,[2]Sheet2!$D$2:$D$1273,0)</f>
        <v>Q1</v>
      </c>
      <c r="D931" s="4" t="str">
        <f>_xlfn.XLOOKUP(B931,[4]Sheet2!$B$2:$B$3154,[4]Sheet2!$F$2:$F$3154,0)</f>
        <v>C/APP</v>
      </c>
      <c r="E931" s="4" t="e">
        <f>_xlfn.XLOOKUP(B931,[2]Sheet2!$E$2:$E$713,[2]Sheet2!$G$2:$G$713)</f>
        <v>#N/A</v>
      </c>
      <c r="F931" s="18">
        <v>46105</v>
      </c>
      <c r="G931" s="14">
        <v>0.59972222222222227</v>
      </c>
      <c r="H931" s="7" t="s">
        <v>5</v>
      </c>
      <c r="I931" s="2" t="str">
        <f t="shared" si="73"/>
        <v>Q1</v>
      </c>
      <c r="J931" s="2" t="str">
        <f t="shared" si="74"/>
        <v>Match</v>
      </c>
      <c r="K931" s="2">
        <f t="shared" si="70"/>
        <v>0.56568542494923812</v>
      </c>
      <c r="L931" s="2" t="e">
        <f t="shared" si="71"/>
        <v>#N/A</v>
      </c>
      <c r="M931" s="2" t="str">
        <f t="shared" si="72"/>
        <v>Failed but within quadrant</v>
      </c>
      <c r="N931" s="7">
        <v>15.1</v>
      </c>
      <c r="O931" s="7">
        <v>-0.5</v>
      </c>
      <c r="P931" s="7">
        <v>-2.2000000000000002</v>
      </c>
      <c r="Q931" s="7">
        <v>-1.82</v>
      </c>
      <c r="R931" s="7">
        <v>0.4</v>
      </c>
      <c r="S931" s="7">
        <v>0.4</v>
      </c>
      <c r="T931" s="7">
        <v>-0.71</v>
      </c>
      <c r="U931" s="7">
        <v>0.36</v>
      </c>
      <c r="V931" s="7">
        <v>1.99</v>
      </c>
      <c r="W931" s="7" t="s">
        <v>6</v>
      </c>
      <c r="X931" s="7" t="s">
        <v>9</v>
      </c>
      <c r="Y931" s="2" t="s">
        <v>719</v>
      </c>
      <c r="Z931" s="2" t="s">
        <v>721</v>
      </c>
    </row>
    <row r="932" spans="1:26" x14ac:dyDescent="0.35">
      <c r="A932" s="7" t="s">
        <v>1516</v>
      </c>
      <c r="B932" s="7" t="s">
        <v>976</v>
      </c>
      <c r="C932" s="4" t="str">
        <f>_xlfn.XLOOKUP(A932,[2]Sheet2!$I$2:$I$1273,[2]Sheet2!$D$2:$D$1273,0)</f>
        <v>Q2</v>
      </c>
      <c r="D932" s="4">
        <f>_xlfn.XLOOKUP(B932,[4]Sheet2!$B$2:$B$3154,[4]Sheet2!$F$2:$F$3154,0)</f>
        <v>0</v>
      </c>
      <c r="E932" s="4" t="e">
        <f>_xlfn.XLOOKUP(B932,[2]Sheet2!$E$2:$E$713,[2]Sheet2!$G$2:$G$713)</f>
        <v>#N/A</v>
      </c>
      <c r="F932" s="18">
        <v>46105</v>
      </c>
      <c r="G932" s="14">
        <v>0.65417824074074071</v>
      </c>
      <c r="H932" s="7" t="s">
        <v>14</v>
      </c>
      <c r="I932" s="2" t="str">
        <f t="shared" si="73"/>
        <v>Q1</v>
      </c>
      <c r="J932" s="2" t="str">
        <f t="shared" si="74"/>
        <v>Not Match</v>
      </c>
      <c r="K932" s="2">
        <f t="shared" si="70"/>
        <v>0.31622776601683794</v>
      </c>
      <c r="L932" s="2" t="e">
        <f t="shared" si="71"/>
        <v>#N/A</v>
      </c>
      <c r="M932" s="2" t="str">
        <f t="shared" si="72"/>
        <v>Below 0.8 not in assigned quadrant</v>
      </c>
      <c r="N932" s="7">
        <v>17.399999999999999</v>
      </c>
      <c r="O932" s="7">
        <v>-1.4</v>
      </c>
      <c r="P932" s="7">
        <v>-2.2999999999999998</v>
      </c>
      <c r="Q932" s="7">
        <v>-0.42</v>
      </c>
      <c r="R932" s="7">
        <v>0.1</v>
      </c>
      <c r="S932" s="7">
        <v>0.3</v>
      </c>
      <c r="T932" s="7">
        <v>-0.44</v>
      </c>
      <c r="U932" s="7">
        <v>0.01</v>
      </c>
      <c r="V932" s="7">
        <v>0.6</v>
      </c>
      <c r="W932" s="7" t="s">
        <v>8</v>
      </c>
      <c r="X932" s="7" t="s">
        <v>9</v>
      </c>
      <c r="Y932" s="2" t="s">
        <v>719</v>
      </c>
      <c r="Z932" s="2" t="s">
        <v>721</v>
      </c>
    </row>
    <row r="933" spans="1:26" x14ac:dyDescent="0.35">
      <c r="A933" s="7" t="s">
        <v>1579</v>
      </c>
      <c r="B933" s="7" t="s">
        <v>977</v>
      </c>
      <c r="C933" s="4" t="str">
        <f>_xlfn.XLOOKUP(A933,[2]Sheet2!$I$2:$I$1273,[2]Sheet2!$D$2:$D$1273,0)</f>
        <v>Q4</v>
      </c>
      <c r="D933" s="4" t="str">
        <f>_xlfn.XLOOKUP(B933,[4]Sheet2!$B$2:$B$3154,[4]Sheet2!$F$2:$F$3154,0)</f>
        <v>N/ App</v>
      </c>
      <c r="E933" s="4" t="e">
        <f>_xlfn.XLOOKUP(B933,[2]Sheet2!$E$2:$E$713,[2]Sheet2!$G$2:$G$713)</f>
        <v>#N/A</v>
      </c>
      <c r="F933" s="18">
        <v>46105</v>
      </c>
      <c r="G933" s="14">
        <v>0.69141203703703702</v>
      </c>
      <c r="H933" s="7" t="s">
        <v>16</v>
      </c>
      <c r="I933" s="2" t="str">
        <f t="shared" si="73"/>
        <v>Q2</v>
      </c>
      <c r="J933" s="2" t="str">
        <f t="shared" si="74"/>
        <v>Not Match</v>
      </c>
      <c r="K933" s="2">
        <f t="shared" si="70"/>
        <v>0.28284271247461906</v>
      </c>
      <c r="L933" s="2" t="e">
        <f t="shared" si="71"/>
        <v>#N/A</v>
      </c>
      <c r="M933" s="2" t="str">
        <f t="shared" si="72"/>
        <v>Assign quadrant hit</v>
      </c>
      <c r="N933" s="7">
        <v>16.399999999999999</v>
      </c>
      <c r="O933" s="7">
        <v>-1</v>
      </c>
      <c r="P933" s="7">
        <v>-6.1</v>
      </c>
      <c r="Q933" s="7">
        <v>0.76</v>
      </c>
      <c r="R933" s="7">
        <v>-0.2</v>
      </c>
      <c r="S933" s="7">
        <v>0.2</v>
      </c>
      <c r="T933" s="7">
        <v>-0.17</v>
      </c>
      <c r="U933" s="7">
        <v>-0.38</v>
      </c>
      <c r="V933" s="7">
        <v>0.86</v>
      </c>
      <c r="W933" s="7" t="s">
        <v>13</v>
      </c>
      <c r="X933" s="7" t="s">
        <v>15</v>
      </c>
      <c r="Y933" s="2" t="s">
        <v>719</v>
      </c>
      <c r="Z933" s="2" t="s">
        <v>721</v>
      </c>
    </row>
    <row r="934" spans="1:26" x14ac:dyDescent="0.35">
      <c r="A934" s="7" t="s">
        <v>1705</v>
      </c>
      <c r="B934" s="7" t="s">
        <v>978</v>
      </c>
      <c r="C934" s="4" t="str">
        <f>_xlfn.XLOOKUP(A934,[2]Sheet2!$I$2:$I$1273,[2]Sheet2!$D$2:$D$1273,0)</f>
        <v>Q4</v>
      </c>
      <c r="D934" s="4" t="str">
        <f>_xlfn.XLOOKUP(B934,[4]Sheet2!$B$2:$B$3154,[4]Sheet2!$F$2:$F$3154,0)</f>
        <v>N/ App</v>
      </c>
      <c r="E934" s="4" t="e">
        <f>_xlfn.XLOOKUP(B934,[2]Sheet2!$E$2:$E$713,[2]Sheet2!$G$2:$G$713)</f>
        <v>#N/A</v>
      </c>
      <c r="F934" s="18">
        <v>46105</v>
      </c>
      <c r="G934" s="14">
        <v>0.75937500000000002</v>
      </c>
      <c r="H934" s="7" t="s">
        <v>5</v>
      </c>
      <c r="I934" s="2" t="str">
        <f t="shared" si="73"/>
        <v>Q4</v>
      </c>
      <c r="J934" s="2" t="str">
        <f t="shared" si="74"/>
        <v>Match</v>
      </c>
      <c r="K934" s="2">
        <f t="shared" si="70"/>
        <v>0.80622577482985502</v>
      </c>
      <c r="L934" s="2" t="e">
        <f t="shared" si="71"/>
        <v>#N/A</v>
      </c>
      <c r="M934" s="2" t="str">
        <f t="shared" si="72"/>
        <v>Digital Approve Hit</v>
      </c>
      <c r="N934" s="7">
        <v>43.9</v>
      </c>
      <c r="O934" s="7">
        <v>53.4</v>
      </c>
      <c r="P934" s="7">
        <v>36</v>
      </c>
      <c r="Q934" s="7">
        <v>0.12</v>
      </c>
      <c r="R934" s="7">
        <v>0.8</v>
      </c>
      <c r="S934" s="7">
        <v>-0.1</v>
      </c>
      <c r="T934" s="7">
        <v>0.2</v>
      </c>
      <c r="U934" s="7">
        <v>-0.43</v>
      </c>
      <c r="V934" s="7">
        <v>0.49</v>
      </c>
      <c r="W934" s="7" t="s">
        <v>8</v>
      </c>
      <c r="X934" s="7" t="s">
        <v>7</v>
      </c>
      <c r="Y934" s="2" t="s">
        <v>719</v>
      </c>
      <c r="Z934" s="2" t="s">
        <v>721</v>
      </c>
    </row>
    <row r="935" spans="1:26" x14ac:dyDescent="0.35">
      <c r="A935" s="7" t="s">
        <v>1545</v>
      </c>
      <c r="B935" s="7" t="s">
        <v>979</v>
      </c>
      <c r="C935" s="4" t="str">
        <f>_xlfn.XLOOKUP(A935,[2]Sheet2!$I$2:$I$1273,[2]Sheet2!$D$2:$D$1273,0)</f>
        <v>Q2</v>
      </c>
      <c r="D935" s="4">
        <f>_xlfn.XLOOKUP(B935,[4]Sheet2!$B$2:$B$3154,[4]Sheet2!$F$2:$F$3154,0)</f>
        <v>0</v>
      </c>
      <c r="E935" s="4" t="e">
        <f>_xlfn.XLOOKUP(B935,[2]Sheet2!$E$2:$E$713,[2]Sheet2!$G$2:$G$713)</f>
        <v>#N/A</v>
      </c>
      <c r="F935" s="18">
        <v>46105</v>
      </c>
      <c r="G935" s="14">
        <v>0.76891203703703703</v>
      </c>
      <c r="H935" s="7" t="s">
        <v>5</v>
      </c>
      <c r="I935" s="2" t="str">
        <f t="shared" si="73"/>
        <v>Q4</v>
      </c>
      <c r="J935" s="2" t="str">
        <f t="shared" si="74"/>
        <v>Not Match</v>
      </c>
      <c r="K935" s="2">
        <f t="shared" si="70"/>
        <v>0.2</v>
      </c>
      <c r="L935" s="2" t="e">
        <f t="shared" si="71"/>
        <v>#N/A</v>
      </c>
      <c r="M935" s="2" t="str">
        <f t="shared" si="72"/>
        <v>Below 0.8 not in assigned quadrant</v>
      </c>
      <c r="N935" s="7">
        <v>17.399999999999999</v>
      </c>
      <c r="O935" s="7">
        <v>-0.7</v>
      </c>
      <c r="P935" s="7">
        <v>-2.6</v>
      </c>
      <c r="Q935" s="7">
        <v>-0.46</v>
      </c>
      <c r="R935" s="7">
        <v>0</v>
      </c>
      <c r="S935" s="7">
        <v>-0.2</v>
      </c>
      <c r="T935" s="7">
        <v>0.33</v>
      </c>
      <c r="U935" s="7">
        <v>0.01</v>
      </c>
      <c r="V935" s="7">
        <v>0.56999999999999995</v>
      </c>
      <c r="W935" s="7" t="s">
        <v>8</v>
      </c>
      <c r="X935" s="7" t="s">
        <v>9</v>
      </c>
      <c r="Y935" s="2" t="s">
        <v>719</v>
      </c>
      <c r="Z935" s="2" t="s">
        <v>721</v>
      </c>
    </row>
    <row r="936" spans="1:26" x14ac:dyDescent="0.35">
      <c r="A936" s="7" t="s">
        <v>1599</v>
      </c>
      <c r="B936" s="7" t="s">
        <v>980</v>
      </c>
      <c r="C936" s="4" t="e">
        <f>_xlfn.XLOOKUP(A936,[2]Sheet2!$I$2:$I$1273,[2]Sheet2!$D$2:$D$1273,0)</f>
        <v>#REF!</v>
      </c>
      <c r="D936" s="4">
        <f>_xlfn.XLOOKUP(B936,[4]Sheet2!$B$2:$B$3154,[4]Sheet2!$F$2:$F$3154,0)</f>
        <v>0</v>
      </c>
      <c r="E936" s="4" t="e">
        <f>_xlfn.XLOOKUP(B936,[2]Sheet2!$E$2:$E$713,[2]Sheet2!$G$2:$G$713)</f>
        <v>#N/A</v>
      </c>
      <c r="F936" s="18">
        <v>46105</v>
      </c>
      <c r="G936" s="14">
        <v>0.77196759259259262</v>
      </c>
      <c r="H936" s="7" t="s">
        <v>16</v>
      </c>
      <c r="I936" s="2" t="str">
        <f t="shared" si="73"/>
        <v>Q4</v>
      </c>
      <c r="J936" s="2" t="e">
        <f t="shared" si="74"/>
        <v>#REF!</v>
      </c>
      <c r="K936" s="2">
        <f t="shared" si="70"/>
        <v>0.4</v>
      </c>
      <c r="L936" s="2" t="e">
        <f t="shared" si="71"/>
        <v>#N/A</v>
      </c>
      <c r="M936" s="2" t="e">
        <f t="shared" si="72"/>
        <v>#REF!</v>
      </c>
      <c r="N936" s="7">
        <v>25</v>
      </c>
      <c r="O936" s="7">
        <v>1.4</v>
      </c>
      <c r="P936" s="7">
        <v>8.8000000000000007</v>
      </c>
      <c r="Q936" s="7">
        <v>-0.34</v>
      </c>
      <c r="R936" s="7">
        <v>0</v>
      </c>
      <c r="S936" s="7">
        <v>-0.4</v>
      </c>
      <c r="T936" s="7">
        <v>-0.38</v>
      </c>
      <c r="U936" s="7">
        <v>-0.08</v>
      </c>
      <c r="V936" s="7">
        <v>0.52</v>
      </c>
      <c r="W936" s="7" t="s">
        <v>8</v>
      </c>
      <c r="X936" s="7" t="s">
        <v>9</v>
      </c>
      <c r="Y936" s="2" t="s">
        <v>719</v>
      </c>
      <c r="Z936" s="2" t="s">
        <v>721</v>
      </c>
    </row>
    <row r="937" spans="1:26" x14ac:dyDescent="0.35">
      <c r="A937" s="7" t="s">
        <v>1620</v>
      </c>
      <c r="B937" s="7" t="s">
        <v>981</v>
      </c>
      <c r="C937" s="4" t="str">
        <f>_xlfn.XLOOKUP(A937,[2]Sheet2!$I$2:$I$1273,[2]Sheet2!$D$2:$D$1273,0)</f>
        <v>Q2</v>
      </c>
      <c r="D937" s="4" t="str">
        <f>_xlfn.XLOOKUP(B937,[4]Sheet2!$B$2:$B$3154,[4]Sheet2!$F$2:$F$3154,0)</f>
        <v>N/ App</v>
      </c>
      <c r="E937" s="4" t="e">
        <f>_xlfn.XLOOKUP(B937,[2]Sheet2!$E$2:$E$713,[2]Sheet2!$G$2:$G$713)</f>
        <v>#N/A</v>
      </c>
      <c r="F937" s="18">
        <v>46105</v>
      </c>
      <c r="G937" s="14">
        <v>0.77410879629629625</v>
      </c>
      <c r="H937" s="7" t="s">
        <v>5</v>
      </c>
      <c r="I937" s="2" t="str">
        <f t="shared" si="73"/>
        <v>Q1</v>
      </c>
      <c r="J937" s="2" t="str">
        <f t="shared" si="74"/>
        <v>Not Match</v>
      </c>
      <c r="K937" s="2">
        <f t="shared" si="70"/>
        <v>0.8</v>
      </c>
      <c r="L937" s="2" t="e">
        <f t="shared" si="71"/>
        <v>#N/A</v>
      </c>
      <c r="M937" s="2" t="str">
        <f t="shared" si="72"/>
        <v>Assign quadrant hit</v>
      </c>
      <c r="N937" s="7">
        <v>30.3</v>
      </c>
      <c r="O937" s="7">
        <v>33</v>
      </c>
      <c r="P937" s="7">
        <v>5.8</v>
      </c>
      <c r="Q937" s="7">
        <v>-0.52</v>
      </c>
      <c r="R937" s="7">
        <v>0</v>
      </c>
      <c r="S937" s="7">
        <v>0.8</v>
      </c>
      <c r="T937" s="7">
        <v>0.08</v>
      </c>
      <c r="U937" s="7">
        <v>0.62</v>
      </c>
      <c r="V937" s="7">
        <v>0.81</v>
      </c>
      <c r="W937" s="7" t="s">
        <v>13</v>
      </c>
      <c r="X937" s="7" t="s">
        <v>9</v>
      </c>
      <c r="Y937" s="2" t="s">
        <v>719</v>
      </c>
      <c r="Z937" s="2" t="s">
        <v>721</v>
      </c>
    </row>
    <row r="938" spans="1:26" x14ac:dyDescent="0.35">
      <c r="A938" s="7" t="s">
        <v>1721</v>
      </c>
      <c r="B938" s="7" t="s">
        <v>982</v>
      </c>
      <c r="C938" s="4" t="str">
        <f>_xlfn.XLOOKUP(A938,[2]Sheet2!$I$2:$I$1273,[2]Sheet2!$D$2:$D$1273,0)</f>
        <v>Q3</v>
      </c>
      <c r="D938" s="4" t="str">
        <f>_xlfn.XLOOKUP(B938,[4]Sheet2!$B$2:$B$3154,[4]Sheet2!$F$2:$F$3154,0)</f>
        <v>C/APP</v>
      </c>
      <c r="E938" s="4" t="e">
        <f>_xlfn.XLOOKUP(B938,[2]Sheet2!$E$2:$E$713,[2]Sheet2!$G$2:$G$713)</f>
        <v>#N/A</v>
      </c>
      <c r="F938" s="18">
        <v>46105</v>
      </c>
      <c r="G938" s="14">
        <v>0.92314814814814816</v>
      </c>
      <c r="H938" s="7" t="s">
        <v>5</v>
      </c>
      <c r="I938" s="2" t="str">
        <f t="shared" si="73"/>
        <v>Q3</v>
      </c>
      <c r="J938" s="2" t="str">
        <f t="shared" si="74"/>
        <v>Match</v>
      </c>
      <c r="K938" s="2">
        <f t="shared" si="70"/>
        <v>0.2</v>
      </c>
      <c r="L938" s="2" t="e">
        <f t="shared" si="71"/>
        <v>#N/A</v>
      </c>
      <c r="M938" s="2" t="str">
        <f t="shared" si="72"/>
        <v>Digital Approve Hit</v>
      </c>
      <c r="N938" s="7">
        <v>16.5</v>
      </c>
      <c r="O938" s="7">
        <v>-0.4</v>
      </c>
      <c r="P938" s="7">
        <v>-1.8</v>
      </c>
      <c r="Q938" s="7">
        <v>-0.44</v>
      </c>
      <c r="R938" s="7">
        <v>-0.2</v>
      </c>
      <c r="S938" s="7">
        <v>0</v>
      </c>
      <c r="T938" s="7">
        <v>0.13</v>
      </c>
      <c r="U938" s="7">
        <v>-0.37</v>
      </c>
      <c r="V938" s="7">
        <v>0.59</v>
      </c>
      <c r="W938" s="7" t="s">
        <v>8</v>
      </c>
      <c r="X938" s="7" t="s">
        <v>15</v>
      </c>
      <c r="Y938" s="2" t="s">
        <v>719</v>
      </c>
      <c r="Z938" s="2" t="s">
        <v>721</v>
      </c>
    </row>
    <row r="939" spans="1:26" x14ac:dyDescent="0.35">
      <c r="A939" s="7" t="s">
        <v>1735</v>
      </c>
      <c r="B939" s="7" t="s">
        <v>983</v>
      </c>
      <c r="C939" s="4" t="str">
        <f>_xlfn.XLOOKUP(A939,[2]Sheet2!$I$2:$I$1273,[2]Sheet2!$D$2:$D$1273,0)</f>
        <v>Q4</v>
      </c>
      <c r="D939" s="4" t="str">
        <f>_xlfn.XLOOKUP(B939,[4]Sheet2!$B$2:$B$3154,[4]Sheet2!$F$2:$F$3154,0)</f>
        <v>C/APP</v>
      </c>
      <c r="E939" s="4" t="e">
        <f>_xlfn.XLOOKUP(B939,[2]Sheet2!$E$2:$E$713,[2]Sheet2!$G$2:$G$713)</f>
        <v>#N/A</v>
      </c>
      <c r="F939" s="18">
        <v>46105</v>
      </c>
      <c r="G939" s="14">
        <v>0.92570601851851853</v>
      </c>
      <c r="H939" s="7" t="s">
        <v>4</v>
      </c>
      <c r="I939" s="2" t="str">
        <f t="shared" si="73"/>
        <v>Q1</v>
      </c>
      <c r="J939" s="2" t="str">
        <f t="shared" si="74"/>
        <v>Not Match</v>
      </c>
      <c r="K939" s="2">
        <f t="shared" si="70"/>
        <v>0.1</v>
      </c>
      <c r="L939" s="2" t="e">
        <f t="shared" si="71"/>
        <v>#N/A</v>
      </c>
      <c r="M939" s="2" t="str">
        <f t="shared" si="72"/>
        <v>Below 0.8 not in assigned quadrant</v>
      </c>
      <c r="N939" s="7">
        <v>17.8</v>
      </c>
      <c r="O939" s="7">
        <v>0.5</v>
      </c>
      <c r="P939" s="7">
        <v>-8.1</v>
      </c>
      <c r="Q939" s="7">
        <v>0.04</v>
      </c>
      <c r="R939" s="7">
        <v>0</v>
      </c>
      <c r="S939" s="7">
        <v>0.1</v>
      </c>
      <c r="T939" s="7">
        <v>-0.17</v>
      </c>
      <c r="U939" s="7">
        <v>-0.09</v>
      </c>
      <c r="V939" s="7">
        <v>0.2</v>
      </c>
      <c r="W939" s="7" t="s">
        <v>8</v>
      </c>
      <c r="X939" s="7" t="s">
        <v>15</v>
      </c>
      <c r="Y939" s="2" t="s">
        <v>719</v>
      </c>
      <c r="Z939" s="2" t="s">
        <v>721</v>
      </c>
    </row>
    <row r="940" spans="1:26" x14ac:dyDescent="0.35">
      <c r="A940" s="7" t="s">
        <v>1619</v>
      </c>
      <c r="B940" s="7" t="s">
        <v>984</v>
      </c>
      <c r="C940" s="4" t="str">
        <f>_xlfn.XLOOKUP(A940,[2]Sheet2!$I$2:$I$1273,[2]Sheet2!$D$2:$D$1273,0)</f>
        <v>Q4</v>
      </c>
      <c r="D940" s="4" t="str">
        <f>_xlfn.XLOOKUP(B940,[4]Sheet2!$B$2:$B$3154,[4]Sheet2!$F$2:$F$3154,0)</f>
        <v>C/APP</v>
      </c>
      <c r="E940" s="4" t="e">
        <f>_xlfn.XLOOKUP(B940,[2]Sheet2!$E$2:$E$713,[2]Sheet2!$G$2:$G$713)</f>
        <v>#N/A</v>
      </c>
      <c r="F940" s="18">
        <v>46105</v>
      </c>
      <c r="G940" s="14">
        <v>0.93583333333333329</v>
      </c>
      <c r="H940" s="7" t="s">
        <v>16</v>
      </c>
      <c r="I940" s="2" t="str">
        <f t="shared" si="73"/>
        <v>Q1</v>
      </c>
      <c r="J940" s="2" t="str">
        <f t="shared" si="74"/>
        <v>Not Match</v>
      </c>
      <c r="K940" s="2">
        <f t="shared" si="70"/>
        <v>0.22360679774997899</v>
      </c>
      <c r="L940" s="2" t="e">
        <f t="shared" si="71"/>
        <v>#N/A</v>
      </c>
      <c r="M940" s="2" t="str">
        <f t="shared" si="72"/>
        <v>Below 0.8 not in assigned quadrant</v>
      </c>
      <c r="N940" s="7">
        <v>28.5</v>
      </c>
      <c r="O940" s="7">
        <v>-1.4</v>
      </c>
      <c r="P940" s="7">
        <v>-2.8</v>
      </c>
      <c r="Q940" s="7">
        <v>-0.19</v>
      </c>
      <c r="R940" s="7">
        <v>0.2</v>
      </c>
      <c r="S940" s="7">
        <v>0.1</v>
      </c>
      <c r="T940" s="7">
        <v>-0.27</v>
      </c>
      <c r="U940" s="7">
        <v>0.24</v>
      </c>
      <c r="V940" s="7">
        <v>0.41</v>
      </c>
      <c r="W940" s="7" t="s">
        <v>8</v>
      </c>
      <c r="X940" s="7" t="s">
        <v>9</v>
      </c>
      <c r="Y940" s="2" t="s">
        <v>719</v>
      </c>
      <c r="Z940" s="2" t="s">
        <v>721</v>
      </c>
    </row>
    <row r="941" spans="1:26" x14ac:dyDescent="0.35">
      <c r="A941" s="7" t="s">
        <v>1509</v>
      </c>
      <c r="B941" s="7" t="s">
        <v>985</v>
      </c>
      <c r="C941" s="4" t="str">
        <f>_xlfn.XLOOKUP(A941,[2]Sheet2!$I$2:$I$1273,[2]Sheet2!$D$2:$D$1273,0)</f>
        <v>Q2</v>
      </c>
      <c r="D941" s="4" t="str">
        <f>_xlfn.XLOOKUP(B941,[4]Sheet2!$B$2:$B$3154,[4]Sheet2!$F$2:$F$3154,0)</f>
        <v>N/ App</v>
      </c>
      <c r="E941" s="4" t="e">
        <f>_xlfn.XLOOKUP(B941,[2]Sheet2!$E$2:$E$713,[2]Sheet2!$G$2:$G$713)</f>
        <v>#N/A</v>
      </c>
      <c r="F941" s="18">
        <v>46105</v>
      </c>
      <c r="G941" s="14">
        <v>0.96549768518518519</v>
      </c>
      <c r="H941" s="7" t="s">
        <v>4</v>
      </c>
      <c r="I941" s="2" t="str">
        <f t="shared" si="73"/>
        <v>Q4</v>
      </c>
      <c r="J941" s="2" t="str">
        <f t="shared" si="74"/>
        <v>Not Match</v>
      </c>
      <c r="K941" s="2">
        <f t="shared" si="70"/>
        <v>0.1</v>
      </c>
      <c r="L941" s="2" t="e">
        <f t="shared" si="71"/>
        <v>#N/A</v>
      </c>
      <c r="M941" s="2" t="str">
        <f t="shared" si="72"/>
        <v>Assign quadrant hit</v>
      </c>
      <c r="N941" s="7">
        <v>16.100000000000001</v>
      </c>
      <c r="O941" s="7">
        <v>-1</v>
      </c>
      <c r="P941" s="7">
        <v>-1.9</v>
      </c>
      <c r="Q941" s="7">
        <v>-0.91</v>
      </c>
      <c r="R941" s="7">
        <v>0.1</v>
      </c>
      <c r="S941" s="7">
        <v>0</v>
      </c>
      <c r="T941" s="7">
        <v>-0.19</v>
      </c>
      <c r="U941" s="7">
        <v>0.17</v>
      </c>
      <c r="V941" s="7">
        <v>0.95</v>
      </c>
      <c r="W941" s="7" t="s">
        <v>13</v>
      </c>
      <c r="X941" s="7" t="s">
        <v>9</v>
      </c>
      <c r="Y941" s="2" t="s">
        <v>719</v>
      </c>
      <c r="Z941" s="2" t="s">
        <v>721</v>
      </c>
    </row>
    <row r="942" spans="1:26" x14ac:dyDescent="0.35">
      <c r="A942" s="7" t="s">
        <v>1736</v>
      </c>
      <c r="B942" s="7" t="s">
        <v>986</v>
      </c>
      <c r="C942" s="4" t="str">
        <f>_xlfn.XLOOKUP(A942,[2]Sheet2!$I$2:$I$1273,[2]Sheet2!$D$2:$D$1273,0)</f>
        <v>Q3</v>
      </c>
      <c r="D942" s="4" t="str">
        <f>_xlfn.XLOOKUP(B942,[4]Sheet2!$B$2:$B$3154,[4]Sheet2!$F$2:$F$3154,0)</f>
        <v>N/ App</v>
      </c>
      <c r="E942" s="4" t="e">
        <f>_xlfn.XLOOKUP(B942,[2]Sheet2!$E$2:$E$713,[2]Sheet2!$G$2:$G$713)</f>
        <v>#N/A</v>
      </c>
      <c r="F942" s="18">
        <v>46106</v>
      </c>
      <c r="G942" s="14">
        <v>9.571759259259259E-3</v>
      </c>
      <c r="H942" s="7" t="s">
        <v>4</v>
      </c>
      <c r="I942" s="2" t="str">
        <f t="shared" si="73"/>
        <v>Q1</v>
      </c>
      <c r="J942" s="2" t="str">
        <f t="shared" si="74"/>
        <v>Not Match</v>
      </c>
      <c r="K942" s="2">
        <f t="shared" si="70"/>
        <v>0.70710678118654746</v>
      </c>
      <c r="L942" s="2" t="e">
        <f t="shared" si="71"/>
        <v>#N/A</v>
      </c>
      <c r="M942" s="2" t="str">
        <f t="shared" si="72"/>
        <v>Assign quadrant hit</v>
      </c>
      <c r="N942" s="7">
        <v>22.4</v>
      </c>
      <c r="O942" s="7">
        <v>5</v>
      </c>
      <c r="P942" s="7">
        <v>5</v>
      </c>
      <c r="Q942" s="7">
        <v>0.15</v>
      </c>
      <c r="R942" s="7">
        <v>0.1</v>
      </c>
      <c r="S942" s="7">
        <v>0.7</v>
      </c>
      <c r="T942" s="7">
        <v>0.56000000000000005</v>
      </c>
      <c r="U942" s="7">
        <v>0.69</v>
      </c>
      <c r="V942" s="7">
        <v>0.9</v>
      </c>
      <c r="W942" s="7" t="s">
        <v>13</v>
      </c>
      <c r="X942" s="7" t="s">
        <v>12</v>
      </c>
      <c r="Y942" s="2" t="s">
        <v>719</v>
      </c>
      <c r="Z942" s="2" t="s">
        <v>721</v>
      </c>
    </row>
    <row r="943" spans="1:26" x14ac:dyDescent="0.35">
      <c r="A943" s="7" t="s">
        <v>1611</v>
      </c>
      <c r="B943" s="7" t="s">
        <v>987</v>
      </c>
      <c r="C943" s="4" t="str">
        <f>_xlfn.XLOOKUP(A943,[2]Sheet2!$I$2:$I$1273,[2]Sheet2!$D$2:$D$1273,0)</f>
        <v>Q2</v>
      </c>
      <c r="D943" s="4" t="str">
        <f>_xlfn.XLOOKUP(B943,[4]Sheet2!$B$2:$B$3154,[4]Sheet2!$F$2:$F$3154,0)</f>
        <v>N/ App</v>
      </c>
      <c r="E943" s="4">
        <f>_xlfn.XLOOKUP(B943,[2]Sheet2!$E$2:$E$713,[2]Sheet2!$G$2:$G$713)</f>
        <v>0.8</v>
      </c>
      <c r="F943" s="18">
        <v>46106</v>
      </c>
      <c r="G943" s="14">
        <v>8.2118055555555555E-2</v>
      </c>
      <c r="H943" s="7" t="s">
        <v>5</v>
      </c>
      <c r="I943" s="2" t="str">
        <f t="shared" si="73"/>
        <v>Q4</v>
      </c>
      <c r="J943" s="2" t="str">
        <f t="shared" si="74"/>
        <v>Not Match</v>
      </c>
      <c r="K943" s="2">
        <f t="shared" si="70"/>
        <v>0.1</v>
      </c>
      <c r="L943" s="2" t="str">
        <f t="shared" si="71"/>
        <v>Within Range</v>
      </c>
      <c r="M943" s="2" t="str">
        <f t="shared" si="72"/>
        <v>Below 0.8 not in assigned quadrant</v>
      </c>
      <c r="N943" s="7">
        <v>15.6</v>
      </c>
      <c r="O943" s="7">
        <v>-0.2</v>
      </c>
      <c r="P943" s="7">
        <v>-1.3</v>
      </c>
      <c r="Q943" s="7">
        <v>-0.09</v>
      </c>
      <c r="R943" s="7">
        <v>0.1</v>
      </c>
      <c r="S943" s="7">
        <v>0</v>
      </c>
      <c r="T943" s="7">
        <v>-0.05</v>
      </c>
      <c r="U943" s="7">
        <v>0.23</v>
      </c>
      <c r="V943" s="7">
        <v>0.25</v>
      </c>
      <c r="W943" s="7" t="s">
        <v>8</v>
      </c>
      <c r="X943" s="7" t="s">
        <v>9</v>
      </c>
      <c r="Y943" s="2" t="s">
        <v>719</v>
      </c>
      <c r="Z943" s="2" t="s">
        <v>721</v>
      </c>
    </row>
    <row r="944" spans="1:26" x14ac:dyDescent="0.35">
      <c r="A944" s="7" t="s">
        <v>1598</v>
      </c>
      <c r="B944" s="7" t="s">
        <v>988</v>
      </c>
      <c r="C944" s="4" t="str">
        <f>_xlfn.XLOOKUP(A944,[2]Sheet2!$I$2:$I$1273,[2]Sheet2!$D$2:$D$1273,0)</f>
        <v>Q3</v>
      </c>
      <c r="D944" s="4" t="str">
        <f>_xlfn.XLOOKUP(B944,[4]Sheet2!$B$2:$B$3154,[4]Sheet2!$F$2:$F$3154,0)</f>
        <v>N/ App</v>
      </c>
      <c r="E944" s="4" t="e">
        <f>_xlfn.XLOOKUP(B944,[2]Sheet2!$E$2:$E$713,[2]Sheet2!$G$2:$G$713)</f>
        <v>#N/A</v>
      </c>
      <c r="F944" s="18">
        <v>46106</v>
      </c>
      <c r="G944" s="14">
        <v>0.16939814814814816</v>
      </c>
      <c r="H944" s="7" t="s">
        <v>5</v>
      </c>
      <c r="I944" s="2" t="str">
        <f t="shared" si="73"/>
        <v>Q4</v>
      </c>
      <c r="J944" s="2" t="str">
        <f t="shared" si="74"/>
        <v>Not Match</v>
      </c>
      <c r="K944" s="2">
        <f t="shared" si="70"/>
        <v>0.3</v>
      </c>
      <c r="L944" s="2" t="e">
        <f t="shared" si="71"/>
        <v>#N/A</v>
      </c>
      <c r="M944" s="2" t="str">
        <f t="shared" si="72"/>
        <v>Below 0.8 not in assigned quadrant</v>
      </c>
      <c r="N944" s="7">
        <v>20.399999999999999</v>
      </c>
      <c r="O944" s="7">
        <v>-6.5</v>
      </c>
      <c r="P944" s="7">
        <v>-13.9</v>
      </c>
      <c r="Q944" s="7">
        <v>-0.52</v>
      </c>
      <c r="R944" s="7">
        <v>0</v>
      </c>
      <c r="S944" s="7">
        <v>-0.3</v>
      </c>
      <c r="T944" s="7">
        <v>0.21</v>
      </c>
      <c r="U944" s="7">
        <v>0.21</v>
      </c>
      <c r="V944" s="7">
        <v>0.6</v>
      </c>
      <c r="W944" s="7" t="s">
        <v>8</v>
      </c>
      <c r="X944" s="7" t="s">
        <v>9</v>
      </c>
      <c r="Y944" s="2" t="s">
        <v>719</v>
      </c>
      <c r="Z944" s="2" t="s">
        <v>721</v>
      </c>
    </row>
    <row r="945" spans="1:26" x14ac:dyDescent="0.35">
      <c r="A945" s="7" t="s">
        <v>1509</v>
      </c>
      <c r="B945" s="7" t="s">
        <v>989</v>
      </c>
      <c r="C945" s="4" t="str">
        <f>_xlfn.XLOOKUP(A945,[2]Sheet2!$I$2:$I$1273,[2]Sheet2!$D$2:$D$1273,0)</f>
        <v>Q2</v>
      </c>
      <c r="D945" s="4" t="str">
        <f>_xlfn.XLOOKUP(B945,[4]Sheet2!$B$2:$B$3154,[4]Sheet2!$F$2:$F$3154,0)</f>
        <v>N/ App</v>
      </c>
      <c r="E945" s="4" t="e">
        <f>_xlfn.XLOOKUP(B945,[2]Sheet2!$E$2:$E$713,[2]Sheet2!$G$2:$G$713)</f>
        <v>#N/A</v>
      </c>
      <c r="F945" s="18">
        <v>46106</v>
      </c>
      <c r="G945" s="14">
        <v>0.1917824074074074</v>
      </c>
      <c r="H945" s="7" t="s">
        <v>4</v>
      </c>
      <c r="I945" s="2" t="str">
        <f t="shared" si="73"/>
        <v>Q1</v>
      </c>
      <c r="J945" s="2" t="str">
        <f t="shared" si="74"/>
        <v>Not Match</v>
      </c>
      <c r="K945" s="2">
        <f t="shared" si="70"/>
        <v>0.36055512754639896</v>
      </c>
      <c r="L945" s="2" t="e">
        <f t="shared" si="71"/>
        <v>#N/A</v>
      </c>
      <c r="M945" s="2" t="str">
        <f t="shared" si="72"/>
        <v>Assign quadrant hit</v>
      </c>
      <c r="N945" s="7">
        <v>15.8</v>
      </c>
      <c r="O945" s="7">
        <v>-0.9</v>
      </c>
      <c r="P945" s="7">
        <v>-1.7</v>
      </c>
      <c r="Q945" s="7">
        <v>-1.1599999999999999</v>
      </c>
      <c r="R945" s="7">
        <v>0.3</v>
      </c>
      <c r="S945" s="7">
        <v>0.2</v>
      </c>
      <c r="T945" s="7">
        <v>-0.51</v>
      </c>
      <c r="U945" s="7">
        <v>0.2</v>
      </c>
      <c r="V945" s="7">
        <v>1.28</v>
      </c>
      <c r="W945" s="7" t="s">
        <v>6</v>
      </c>
      <c r="X945" s="7" t="s">
        <v>9</v>
      </c>
      <c r="Y945" s="2" t="s">
        <v>719</v>
      </c>
      <c r="Z945" s="2" t="s">
        <v>721</v>
      </c>
    </row>
    <row r="946" spans="1:26" x14ac:dyDescent="0.35">
      <c r="A946" s="7" t="s">
        <v>1655</v>
      </c>
      <c r="B946" s="7" t="s">
        <v>990</v>
      </c>
      <c r="C946" s="4" t="str">
        <f>_xlfn.XLOOKUP(A946,[2]Sheet2!$I$2:$I$1273,[2]Sheet2!$D$2:$D$1273,0)</f>
        <v>Q3</v>
      </c>
      <c r="D946" s="4" t="str">
        <f>_xlfn.XLOOKUP(B946,[4]Sheet2!$B$2:$B$3154,[4]Sheet2!$F$2:$F$3154,0)</f>
        <v>N/ App</v>
      </c>
      <c r="E946" s="4" t="e">
        <f>_xlfn.XLOOKUP(B946,[2]Sheet2!$E$2:$E$713,[2]Sheet2!$G$2:$G$713)</f>
        <v>#N/A</v>
      </c>
      <c r="F946" s="18">
        <v>46106</v>
      </c>
      <c r="G946" s="14">
        <v>0.26148148148148148</v>
      </c>
      <c r="H946" s="7" t="s">
        <v>11</v>
      </c>
      <c r="I946" s="2" t="str">
        <f t="shared" si="73"/>
        <v>Q3</v>
      </c>
      <c r="J946" s="2" t="str">
        <f t="shared" si="74"/>
        <v>Match</v>
      </c>
      <c r="K946" s="2">
        <f t="shared" si="70"/>
        <v>0</v>
      </c>
      <c r="L946" s="2" t="e">
        <f t="shared" si="71"/>
        <v>#N/A</v>
      </c>
      <c r="M946" s="2" t="str">
        <f t="shared" si="72"/>
        <v>Digital Approve Hit</v>
      </c>
      <c r="N946" s="7">
        <v>13.6</v>
      </c>
      <c r="O946" s="7">
        <v>-0.8</v>
      </c>
      <c r="P946" s="7">
        <v>-1.5</v>
      </c>
      <c r="Q946" s="7">
        <v>-0.06</v>
      </c>
      <c r="R946" s="7">
        <v>0</v>
      </c>
      <c r="S946" s="7">
        <v>0</v>
      </c>
      <c r="T946" s="7">
        <v>-0.03</v>
      </c>
      <c r="U946" s="7">
        <v>0.04</v>
      </c>
      <c r="V946" s="7">
        <v>0.08</v>
      </c>
      <c r="W946" s="7" t="s">
        <v>8</v>
      </c>
      <c r="X946" s="7" t="s">
        <v>9</v>
      </c>
      <c r="Y946" s="2" t="s">
        <v>719</v>
      </c>
      <c r="Z946" s="2" t="s">
        <v>721</v>
      </c>
    </row>
    <row r="947" spans="1:26" x14ac:dyDescent="0.35">
      <c r="A947" s="7" t="s">
        <v>1655</v>
      </c>
      <c r="B947" s="7" t="s">
        <v>991</v>
      </c>
      <c r="C947" s="4" t="str">
        <f>_xlfn.XLOOKUP(A947,[2]Sheet2!$I$2:$I$1273,[2]Sheet2!$D$2:$D$1273,0)</f>
        <v>Q3</v>
      </c>
      <c r="D947" s="4" t="str">
        <f>_xlfn.XLOOKUP(B947,[4]Sheet2!$B$2:$B$3154,[4]Sheet2!$F$2:$F$3154,0)</f>
        <v>N/ App</v>
      </c>
      <c r="E947" s="4" t="e">
        <f>_xlfn.XLOOKUP(B947,[2]Sheet2!$E$2:$E$713,[2]Sheet2!$G$2:$G$713)</f>
        <v>#N/A</v>
      </c>
      <c r="F947" s="18">
        <v>46106</v>
      </c>
      <c r="G947" s="14">
        <v>0.2643287037037037</v>
      </c>
      <c r="H947" s="7" t="s">
        <v>11</v>
      </c>
      <c r="I947" s="2" t="str">
        <f t="shared" si="73"/>
        <v>Q4</v>
      </c>
      <c r="J947" s="2" t="str">
        <f t="shared" si="74"/>
        <v>Not Match</v>
      </c>
      <c r="K947" s="2">
        <f t="shared" si="70"/>
        <v>0.2</v>
      </c>
      <c r="L947" s="2" t="e">
        <f t="shared" si="71"/>
        <v>#N/A</v>
      </c>
      <c r="M947" s="2" t="str">
        <f t="shared" si="72"/>
        <v>Below 0.8 not in assigned quadrant</v>
      </c>
      <c r="N947" s="7">
        <v>13.6</v>
      </c>
      <c r="O947" s="7">
        <v>-0.8</v>
      </c>
      <c r="P947" s="7">
        <v>-1.7</v>
      </c>
      <c r="Q947" s="7">
        <v>-0.01</v>
      </c>
      <c r="R947" s="7">
        <v>0</v>
      </c>
      <c r="S947" s="7">
        <v>-0.2</v>
      </c>
      <c r="T947" s="7">
        <v>0.21</v>
      </c>
      <c r="U947" s="7">
        <v>0.22</v>
      </c>
      <c r="V947" s="7">
        <v>0.3</v>
      </c>
      <c r="W947" s="7" t="s">
        <v>8</v>
      </c>
      <c r="X947" s="7" t="s">
        <v>9</v>
      </c>
      <c r="Y947" s="2" t="s">
        <v>719</v>
      </c>
      <c r="Z947" s="2" t="s">
        <v>721</v>
      </c>
    </row>
    <row r="948" spans="1:26" x14ac:dyDescent="0.35">
      <c r="A948" s="7" t="s">
        <v>1737</v>
      </c>
      <c r="B948" s="7" t="s">
        <v>992</v>
      </c>
      <c r="C948" s="4" t="str">
        <f>_xlfn.XLOOKUP(A948,[2]Sheet2!$I$2:$I$1273,[2]Sheet2!$D$2:$D$1273,0)</f>
        <v>Q2</v>
      </c>
      <c r="D948" s="4" t="str">
        <f>_xlfn.XLOOKUP(B948,[4]Sheet2!$B$2:$B$3154,[4]Sheet2!$F$2:$F$3154,0)</f>
        <v>N/ App</v>
      </c>
      <c r="E948" s="4" t="e">
        <f>_xlfn.XLOOKUP(B948,[2]Sheet2!$E$2:$E$713,[2]Sheet2!$G$2:$G$713)</f>
        <v>#N/A</v>
      </c>
      <c r="F948" s="18">
        <v>46106</v>
      </c>
      <c r="G948" s="14">
        <v>0.26802083333333332</v>
      </c>
      <c r="H948" s="7" t="s">
        <v>16</v>
      </c>
      <c r="I948" s="2" t="str">
        <f t="shared" si="73"/>
        <v>Q1</v>
      </c>
      <c r="J948" s="2" t="str">
        <f t="shared" si="74"/>
        <v>Not Match</v>
      </c>
      <c r="K948" s="2">
        <f t="shared" si="70"/>
        <v>0.2</v>
      </c>
      <c r="L948" s="2" t="e">
        <f t="shared" si="71"/>
        <v>#N/A</v>
      </c>
      <c r="M948" s="2" t="str">
        <f t="shared" si="72"/>
        <v>Below 0.8 not in assigned quadrant</v>
      </c>
      <c r="N948" s="7">
        <v>19.600000000000001</v>
      </c>
      <c r="O948" s="7">
        <v>-1.1000000000000001</v>
      </c>
      <c r="P948" s="7">
        <v>-23</v>
      </c>
      <c r="Q948" s="7">
        <v>-0.26</v>
      </c>
      <c r="R948" s="7">
        <v>0</v>
      </c>
      <c r="S948" s="7">
        <v>0.2</v>
      </c>
      <c r="T948" s="7">
        <v>-0.14000000000000001</v>
      </c>
      <c r="U948" s="7">
        <v>-0.02</v>
      </c>
      <c r="V948" s="7">
        <v>0.3</v>
      </c>
      <c r="W948" s="7" t="s">
        <v>8</v>
      </c>
      <c r="X948" s="7" t="s">
        <v>15</v>
      </c>
      <c r="Y948" s="2" t="s">
        <v>719</v>
      </c>
      <c r="Z948" s="2" t="s">
        <v>721</v>
      </c>
    </row>
    <row r="949" spans="1:26" x14ac:dyDescent="0.35">
      <c r="A949" s="7" t="s">
        <v>1738</v>
      </c>
      <c r="B949" s="7" t="s">
        <v>993</v>
      </c>
      <c r="C949" s="4" t="str">
        <f>_xlfn.XLOOKUP(A949,[2]Sheet2!$I$2:$I$1273,[2]Sheet2!$D$2:$D$1273,0)</f>
        <v>Q2</v>
      </c>
      <c r="D949" s="4" t="str">
        <f>_xlfn.XLOOKUP(B949,[4]Sheet2!$B$2:$B$3154,[4]Sheet2!$F$2:$F$3154,0)</f>
        <v>N/ App</v>
      </c>
      <c r="E949" s="4">
        <f>_xlfn.XLOOKUP(B949,[2]Sheet2!$E$2:$E$713,[2]Sheet2!$G$2:$G$713)</f>
        <v>1</v>
      </c>
      <c r="F949" s="18">
        <v>46106</v>
      </c>
      <c r="G949" s="14">
        <v>0.37893518518518521</v>
      </c>
      <c r="H949" s="7" t="s">
        <v>4</v>
      </c>
      <c r="I949" s="2" t="str">
        <f t="shared" si="73"/>
        <v>Q3</v>
      </c>
      <c r="J949" s="2" t="str">
        <f t="shared" si="74"/>
        <v>Not Match</v>
      </c>
      <c r="K949" s="2">
        <f t="shared" si="70"/>
        <v>0.3</v>
      </c>
      <c r="L949" s="2" t="str">
        <f t="shared" si="71"/>
        <v>Within Range</v>
      </c>
      <c r="M949" s="2" t="str">
        <f t="shared" si="72"/>
        <v>Below 0.8 not in assigned quadrant</v>
      </c>
      <c r="N949" s="7">
        <v>15.4</v>
      </c>
      <c r="O949" s="7">
        <v>-0.6</v>
      </c>
      <c r="P949" s="7">
        <v>-1.4</v>
      </c>
      <c r="Q949" s="7">
        <v>0.19</v>
      </c>
      <c r="R949" s="7">
        <v>-0.3</v>
      </c>
      <c r="S949" s="7">
        <v>0</v>
      </c>
      <c r="T949" s="7">
        <v>0.05</v>
      </c>
      <c r="U949" s="7">
        <v>-0.51</v>
      </c>
      <c r="V949" s="7">
        <v>0.55000000000000004</v>
      </c>
      <c r="W949" s="7" t="s">
        <v>8</v>
      </c>
      <c r="X949" s="7" t="s">
        <v>15</v>
      </c>
      <c r="Y949" s="2" t="s">
        <v>719</v>
      </c>
      <c r="Z949" s="2" t="s">
        <v>721</v>
      </c>
    </row>
    <row r="950" spans="1:26" x14ac:dyDescent="0.35">
      <c r="A950" s="7" t="s">
        <v>1695</v>
      </c>
      <c r="B950" s="7" t="s">
        <v>994</v>
      </c>
      <c r="C950" s="4" t="str">
        <f>_xlfn.XLOOKUP(A950,[2]Sheet2!$I$2:$I$1273,[2]Sheet2!$D$2:$D$1273,0)</f>
        <v>Q3</v>
      </c>
      <c r="D950" s="4" t="str">
        <f>_xlfn.XLOOKUP(B950,[4]Sheet2!$B$2:$B$3154,[4]Sheet2!$F$2:$F$3154,0)</f>
        <v>C/APP</v>
      </c>
      <c r="E950" s="4" t="e">
        <f>_xlfn.XLOOKUP(B950,[2]Sheet2!$E$2:$E$713,[2]Sheet2!$G$2:$G$713)</f>
        <v>#N/A</v>
      </c>
      <c r="F950" s="18">
        <v>46106</v>
      </c>
      <c r="G950" s="14">
        <v>0.63671296296296298</v>
      </c>
      <c r="H950" s="7" t="s">
        <v>5</v>
      </c>
      <c r="I950" s="2" t="str">
        <f t="shared" si="73"/>
        <v>Q1</v>
      </c>
      <c r="J950" s="2" t="str">
        <f t="shared" si="74"/>
        <v>Not Match</v>
      </c>
      <c r="K950" s="2">
        <f t="shared" si="70"/>
        <v>0.44721359549995798</v>
      </c>
      <c r="L950" s="2" t="e">
        <f t="shared" si="71"/>
        <v>#N/A</v>
      </c>
      <c r="M950" s="2" t="str">
        <f t="shared" si="72"/>
        <v>Below 0.8 not in assigned quadrant</v>
      </c>
      <c r="N950" s="7">
        <v>17.899999999999999</v>
      </c>
      <c r="O950" s="7">
        <v>-0.5</v>
      </c>
      <c r="P950" s="7">
        <v>-2.1</v>
      </c>
      <c r="Q950" s="7">
        <v>-0.28000000000000003</v>
      </c>
      <c r="R950" s="7">
        <v>0.2</v>
      </c>
      <c r="S950" s="7">
        <v>0.4</v>
      </c>
      <c r="T950" s="7">
        <v>-0.6</v>
      </c>
      <c r="U950" s="7">
        <v>0.22</v>
      </c>
      <c r="V950" s="7">
        <v>0.7</v>
      </c>
      <c r="W950" s="7" t="s">
        <v>8</v>
      </c>
      <c r="X950" s="7" t="s">
        <v>9</v>
      </c>
      <c r="Y950" s="2" t="s">
        <v>719</v>
      </c>
      <c r="Z950" s="2" t="s">
        <v>721</v>
      </c>
    </row>
    <row r="951" spans="1:26" x14ac:dyDescent="0.35">
      <c r="A951" s="7" t="s">
        <v>1678</v>
      </c>
      <c r="B951" s="7" t="s">
        <v>995</v>
      </c>
      <c r="C951" s="4" t="str">
        <f>_xlfn.XLOOKUP(A951,[2]Sheet2!$I$2:$I$1273,[2]Sheet2!$D$2:$D$1273,0)</f>
        <v>Q1</v>
      </c>
      <c r="D951" s="4" t="str">
        <f>_xlfn.XLOOKUP(B951,[4]Sheet2!$B$2:$B$3154,[4]Sheet2!$F$2:$F$3154,0)</f>
        <v>N/ App</v>
      </c>
      <c r="E951" s="4" t="e">
        <f>_xlfn.XLOOKUP(B951,[2]Sheet2!$E$2:$E$713,[2]Sheet2!$G$2:$G$713)</f>
        <v>#N/A</v>
      </c>
      <c r="F951" s="18">
        <v>46106</v>
      </c>
      <c r="G951" s="14">
        <v>0.67431712962962964</v>
      </c>
      <c r="H951" s="7" t="s">
        <v>5</v>
      </c>
      <c r="I951" s="2" t="str">
        <f t="shared" si="73"/>
        <v>Q4</v>
      </c>
      <c r="J951" s="2" t="str">
        <f t="shared" si="74"/>
        <v>Not Match</v>
      </c>
      <c r="K951" s="2">
        <f t="shared" si="70"/>
        <v>0.1</v>
      </c>
      <c r="L951" s="2" t="e">
        <f t="shared" si="71"/>
        <v>#N/A</v>
      </c>
      <c r="M951" s="2" t="str">
        <f t="shared" si="72"/>
        <v>Below 0.8 not in assigned quadrant</v>
      </c>
      <c r="N951" s="7">
        <v>17.100000000000001</v>
      </c>
      <c r="O951" s="7">
        <v>-0.3</v>
      </c>
      <c r="P951" s="7">
        <v>-2.5</v>
      </c>
      <c r="Q951" s="7">
        <v>-0.14000000000000001</v>
      </c>
      <c r="R951" s="7">
        <v>0</v>
      </c>
      <c r="S951" s="7">
        <v>-0.1</v>
      </c>
      <c r="T951" s="7">
        <v>0.24</v>
      </c>
      <c r="U951" s="7">
        <v>-0.06</v>
      </c>
      <c r="V951" s="7">
        <v>0.28000000000000003</v>
      </c>
      <c r="W951" s="7" t="s">
        <v>8</v>
      </c>
      <c r="X951" s="7" t="s">
        <v>15</v>
      </c>
      <c r="Y951" s="2" t="s">
        <v>719</v>
      </c>
      <c r="Z951" s="2" t="s">
        <v>721</v>
      </c>
    </row>
    <row r="952" spans="1:26" x14ac:dyDescent="0.35">
      <c r="A952" s="7" t="s">
        <v>1723</v>
      </c>
      <c r="B952" s="7" t="s">
        <v>996</v>
      </c>
      <c r="C952" s="4" t="str">
        <f>_xlfn.XLOOKUP(A952,[2]Sheet2!$I$2:$I$1273,[2]Sheet2!$D$2:$D$1273,0)</f>
        <v>Q2</v>
      </c>
      <c r="D952" s="4" t="str">
        <f>_xlfn.XLOOKUP(B952,[4]Sheet2!$B$2:$B$3154,[4]Sheet2!$F$2:$F$3154,0)</f>
        <v>C/APP</v>
      </c>
      <c r="E952" s="4" t="e">
        <f>_xlfn.XLOOKUP(B952,[2]Sheet2!$E$2:$E$713,[2]Sheet2!$G$2:$G$713)</f>
        <v>#N/A</v>
      </c>
      <c r="F952" s="18">
        <v>46106</v>
      </c>
      <c r="G952" s="14">
        <v>0.68240740740740746</v>
      </c>
      <c r="H952" s="7" t="s">
        <v>14</v>
      </c>
      <c r="I952" s="2" t="str">
        <f t="shared" si="73"/>
        <v>Q2</v>
      </c>
      <c r="J952" s="2" t="str">
        <f t="shared" si="74"/>
        <v>Match</v>
      </c>
      <c r="K952" s="2">
        <f t="shared" ref="K952:K1015" si="75">SQRT(R952^2+S952^2)</f>
        <v>0.28284271247461906</v>
      </c>
      <c r="L952" s="2" t="e">
        <f t="shared" ref="L952:L1015" si="76">IF(K952&lt;=E952,"Within Range","Over Range")</f>
        <v>#N/A</v>
      </c>
      <c r="M952" s="2" t="str">
        <f t="shared" ref="M952:M1015" si="77">IF(AND(J952="Match",V952&lt;=0.8),"Digital Approve Hit",
IF(AND(J952="Match",V952&gt;0.8),"Failed but within quadrant",
IF(AND(J952="Not Match",V952&lt;=0.8),"Below 0.8 not in assigned quadrant",
"Assign quadrant hit")))</f>
        <v>Failed but within quadrant</v>
      </c>
      <c r="N952" s="7">
        <v>13.2</v>
      </c>
      <c r="O952" s="7">
        <v>-0.5</v>
      </c>
      <c r="P952" s="7">
        <v>-2</v>
      </c>
      <c r="Q952" s="7">
        <v>-1.21</v>
      </c>
      <c r="R952" s="7">
        <v>-0.2</v>
      </c>
      <c r="S952" s="7">
        <v>0.2</v>
      </c>
      <c r="T952" s="7">
        <v>-0.2</v>
      </c>
      <c r="U952" s="7">
        <v>-0.34</v>
      </c>
      <c r="V952" s="7">
        <v>1.28</v>
      </c>
      <c r="W952" s="7" t="s">
        <v>6</v>
      </c>
      <c r="X952" s="7" t="s">
        <v>15</v>
      </c>
      <c r="Y952" s="2" t="s">
        <v>719</v>
      </c>
      <c r="Z952" s="2" t="s">
        <v>721</v>
      </c>
    </row>
    <row r="953" spans="1:26" x14ac:dyDescent="0.35">
      <c r="A953" s="7" t="s">
        <v>1545</v>
      </c>
      <c r="B953" s="7" t="s">
        <v>997</v>
      </c>
      <c r="C953" s="4" t="str">
        <f>_xlfn.XLOOKUP(A953,[2]Sheet2!$I$2:$I$1273,[2]Sheet2!$D$2:$D$1273,0)</f>
        <v>Q2</v>
      </c>
      <c r="D953" s="4" t="str">
        <f>_xlfn.XLOOKUP(B953,[4]Sheet2!$B$2:$B$3154,[4]Sheet2!$F$2:$F$3154,0)</f>
        <v>N/ App</v>
      </c>
      <c r="E953" s="4" t="e">
        <f>_xlfn.XLOOKUP(B953,[2]Sheet2!$E$2:$E$713,[2]Sheet2!$G$2:$G$713)</f>
        <v>#N/A</v>
      </c>
      <c r="F953" s="18">
        <v>46106</v>
      </c>
      <c r="G953" s="14">
        <v>0.68615740740740738</v>
      </c>
      <c r="H953" s="7" t="s">
        <v>5</v>
      </c>
      <c r="I953" s="2" t="str">
        <f t="shared" ref="I953:I1016" si="78">IF(AND(R953=0,S953=0),IF(C953="","Origin",C953),
IF(AND(R953&gt;0,S953=0),"Q4",
IF(AND(R953&lt;0,S953=0),"Q3",
IF(AND(R953&gt;=0,S953&lt;0),"Q4",
IF(AND(R953&gt;=0,S953&gt;0),"Q1",
IF(AND(R953&lt;0,S953&lt;=0),"Q3",
IF(AND(R953&lt;0,S953&gt;0),"Q2",
"")))))))</f>
        <v>Q4</v>
      </c>
      <c r="J953" s="2" t="str">
        <f t="shared" si="74"/>
        <v>Not Match</v>
      </c>
      <c r="K953" s="2">
        <f t="shared" si="75"/>
        <v>0.3</v>
      </c>
      <c r="L953" s="2" t="e">
        <f t="shared" si="76"/>
        <v>#N/A</v>
      </c>
      <c r="M953" s="2" t="str">
        <f t="shared" si="77"/>
        <v>Below 0.8 not in assigned quadrant</v>
      </c>
      <c r="N953" s="7">
        <v>17.5</v>
      </c>
      <c r="O953" s="7">
        <v>-0.7</v>
      </c>
      <c r="P953" s="7">
        <v>-2.6</v>
      </c>
      <c r="Q953" s="7">
        <v>-0.34</v>
      </c>
      <c r="R953" s="7">
        <v>0</v>
      </c>
      <c r="S953" s="7">
        <v>-0.3</v>
      </c>
      <c r="T953" s="7">
        <v>0.38</v>
      </c>
      <c r="U953" s="7">
        <v>0.08</v>
      </c>
      <c r="V953" s="7">
        <v>0.52</v>
      </c>
      <c r="W953" s="7" t="s">
        <v>8</v>
      </c>
      <c r="X953" s="7" t="s">
        <v>9</v>
      </c>
      <c r="Y953" s="2" t="s">
        <v>719</v>
      </c>
      <c r="Z953" s="2" t="s">
        <v>721</v>
      </c>
    </row>
    <row r="954" spans="1:26" x14ac:dyDescent="0.35">
      <c r="A954" s="7" t="s">
        <v>1516</v>
      </c>
      <c r="B954" s="7" t="s">
        <v>998</v>
      </c>
      <c r="C954" s="4" t="str">
        <f>_xlfn.XLOOKUP(A954,[2]Sheet2!$I$2:$I$1273,[2]Sheet2!$D$2:$D$1273,0)</f>
        <v>Q2</v>
      </c>
      <c r="D954" s="4" t="str">
        <f>_xlfn.XLOOKUP(B954,[4]Sheet2!$B$2:$B$3154,[4]Sheet2!$F$2:$F$3154,0)</f>
        <v>N/ App</v>
      </c>
      <c r="E954" s="4" t="e">
        <f>_xlfn.XLOOKUP(B954,[2]Sheet2!$E$2:$E$713,[2]Sheet2!$G$2:$G$713)</f>
        <v>#N/A</v>
      </c>
      <c r="F954" s="18">
        <v>46106</v>
      </c>
      <c r="G954" s="14">
        <v>0.68855324074074076</v>
      </c>
      <c r="H954" s="7" t="s">
        <v>14</v>
      </c>
      <c r="I954" s="2" t="str">
        <f t="shared" si="78"/>
        <v>Q4</v>
      </c>
      <c r="J954" s="2" t="str">
        <f t="shared" si="74"/>
        <v>Not Match</v>
      </c>
      <c r="K954" s="2">
        <f t="shared" si="75"/>
        <v>0.1</v>
      </c>
      <c r="L954" s="2" t="e">
        <f t="shared" si="76"/>
        <v>#N/A</v>
      </c>
      <c r="M954" s="2" t="str">
        <f t="shared" si="77"/>
        <v>Below 0.8 not in assigned quadrant</v>
      </c>
      <c r="N954" s="7">
        <v>18.3</v>
      </c>
      <c r="O954" s="7">
        <v>-1.4</v>
      </c>
      <c r="P954" s="7">
        <v>-2.6</v>
      </c>
      <c r="Q954" s="7">
        <v>0.32</v>
      </c>
      <c r="R954" s="7">
        <v>0.1</v>
      </c>
      <c r="S954" s="7">
        <v>0</v>
      </c>
      <c r="T954" s="7">
        <v>-0.1</v>
      </c>
      <c r="U954" s="7">
        <v>0.1</v>
      </c>
      <c r="V954" s="7">
        <v>0.35</v>
      </c>
      <c r="W954" s="7" t="s">
        <v>8</v>
      </c>
      <c r="X954" s="7" t="s">
        <v>9</v>
      </c>
      <c r="Y954" s="2" t="s">
        <v>719</v>
      </c>
      <c r="Z954" s="2" t="s">
        <v>721</v>
      </c>
    </row>
    <row r="955" spans="1:26" x14ac:dyDescent="0.35">
      <c r="A955" s="7" t="s">
        <v>1739</v>
      </c>
      <c r="B955" s="7" t="s">
        <v>999</v>
      </c>
      <c r="C955" s="4" t="str">
        <f>_xlfn.XLOOKUP(A955,[2]Sheet2!$I$2:$I$1273,[2]Sheet2!$D$2:$D$1273,0)</f>
        <v>Q3</v>
      </c>
      <c r="D955" s="4" t="str">
        <f>_xlfn.XLOOKUP(B955,[4]Sheet2!$B$2:$B$3154,[4]Sheet2!$F$2:$F$3154,0)</f>
        <v>C/APP</v>
      </c>
      <c r="E955" s="4" t="e">
        <f>_xlfn.XLOOKUP(B955,[2]Sheet2!$E$2:$E$713,[2]Sheet2!$G$2:$G$713)</f>
        <v>#N/A</v>
      </c>
      <c r="F955" s="18">
        <v>46106</v>
      </c>
      <c r="G955" s="14">
        <v>0.70600694444444445</v>
      </c>
      <c r="H955" s="7" t="s">
        <v>4</v>
      </c>
      <c r="I955" s="2" t="str">
        <f t="shared" si="78"/>
        <v>Q4</v>
      </c>
      <c r="J955" s="2" t="str">
        <f t="shared" si="74"/>
        <v>Not Match</v>
      </c>
      <c r="K955" s="2">
        <f t="shared" si="75"/>
        <v>0.22360679774997899</v>
      </c>
      <c r="L955" s="2" t="e">
        <f t="shared" si="76"/>
        <v>#N/A</v>
      </c>
      <c r="M955" s="2" t="str">
        <f t="shared" si="77"/>
        <v>Below 0.8 not in assigned quadrant</v>
      </c>
      <c r="N955" s="7">
        <v>33.5</v>
      </c>
      <c r="O955" s="7">
        <v>40</v>
      </c>
      <c r="P955" s="7">
        <v>14.7</v>
      </c>
      <c r="Q955" s="7">
        <v>0.16</v>
      </c>
      <c r="R955" s="7">
        <v>0.2</v>
      </c>
      <c r="S955" s="7">
        <v>-0.1</v>
      </c>
      <c r="T955" s="7">
        <v>0.08</v>
      </c>
      <c r="U955" s="7">
        <v>-0.2</v>
      </c>
      <c r="V955" s="7">
        <v>0.27</v>
      </c>
      <c r="W955" s="7" t="s">
        <v>8</v>
      </c>
      <c r="X955" s="7" t="s">
        <v>7</v>
      </c>
      <c r="Y955" s="2" t="s">
        <v>719</v>
      </c>
      <c r="Z955" s="2" t="s">
        <v>721</v>
      </c>
    </row>
    <row r="956" spans="1:26" x14ac:dyDescent="0.35">
      <c r="A956" s="7" t="s">
        <v>1681</v>
      </c>
      <c r="B956" s="7" t="s">
        <v>1000</v>
      </c>
      <c r="C956" s="4" t="str">
        <f>_xlfn.XLOOKUP(A956,[2]Sheet2!$I$2:$I$1273,[2]Sheet2!$D$2:$D$1273,0)</f>
        <v>Q4</v>
      </c>
      <c r="D956" s="4" t="str">
        <f>_xlfn.XLOOKUP(B956,[4]Sheet2!$B$2:$B$3154,[4]Sheet2!$F$2:$F$3154,0)</f>
        <v>N/ App</v>
      </c>
      <c r="E956" s="4" t="e">
        <f>_xlfn.XLOOKUP(B956,[2]Sheet2!$E$2:$E$713,[2]Sheet2!$G$2:$G$713)</f>
        <v>#N/A</v>
      </c>
      <c r="F956" s="18">
        <v>46106</v>
      </c>
      <c r="G956" s="14">
        <v>0.71590277777777778</v>
      </c>
      <c r="H956" s="7" t="s">
        <v>4</v>
      </c>
      <c r="I956" s="2" t="str">
        <f t="shared" si="78"/>
        <v>Q4</v>
      </c>
      <c r="J956" s="2" t="str">
        <f t="shared" si="74"/>
        <v>Match</v>
      </c>
      <c r="K956" s="2">
        <f t="shared" si="75"/>
        <v>0.60827625302982191</v>
      </c>
      <c r="L956" s="2" t="e">
        <f t="shared" si="76"/>
        <v>#N/A</v>
      </c>
      <c r="M956" s="2" t="str">
        <f t="shared" si="77"/>
        <v>Digital Approve Hit</v>
      </c>
      <c r="N956" s="7">
        <v>20.7</v>
      </c>
      <c r="O956" s="7">
        <v>-0.6</v>
      </c>
      <c r="P956" s="7">
        <v>-7.7</v>
      </c>
      <c r="Q956" s="7">
        <v>0.44</v>
      </c>
      <c r="R956" s="7">
        <v>0.1</v>
      </c>
      <c r="S956" s="7">
        <v>-0.6</v>
      </c>
      <c r="T956" s="7">
        <v>0.55000000000000004</v>
      </c>
      <c r="U956" s="7">
        <v>0.28999999999999998</v>
      </c>
      <c r="V956" s="7">
        <v>0.77</v>
      </c>
      <c r="W956" s="7" t="s">
        <v>13</v>
      </c>
      <c r="X956" s="7" t="s">
        <v>9</v>
      </c>
      <c r="Y956" s="2" t="s">
        <v>719</v>
      </c>
      <c r="Z956" s="2" t="s">
        <v>721</v>
      </c>
    </row>
    <row r="957" spans="1:26" x14ac:dyDescent="0.35">
      <c r="A957" s="7" t="s">
        <v>1740</v>
      </c>
      <c r="B957" s="7" t="s">
        <v>1001</v>
      </c>
      <c r="C957" s="4" t="str">
        <f>_xlfn.XLOOKUP(A957,[2]Sheet2!$I$2:$I$1273,[2]Sheet2!$D$2:$D$1273,0)</f>
        <v>Q2</v>
      </c>
      <c r="D957" s="4" t="str">
        <f>_xlfn.XLOOKUP(B957,[4]Sheet2!$B$2:$B$3154,[4]Sheet2!$F$2:$F$3154,0)</f>
        <v>C/APP</v>
      </c>
      <c r="E957" s="4" t="e">
        <f>_xlfn.XLOOKUP(B957,[2]Sheet2!$E$2:$E$713,[2]Sheet2!$G$2:$G$713)</f>
        <v>#N/A</v>
      </c>
      <c r="F957" s="18">
        <v>46106</v>
      </c>
      <c r="G957" s="14">
        <v>0.75784722222222223</v>
      </c>
      <c r="H957" s="7" t="s">
        <v>5</v>
      </c>
      <c r="I957" s="2" t="str">
        <f t="shared" si="78"/>
        <v>Q3</v>
      </c>
      <c r="J957" s="2" t="str">
        <f t="shared" si="74"/>
        <v>Not Match</v>
      </c>
      <c r="K957" s="2">
        <f t="shared" si="75"/>
        <v>0.14142135623730953</v>
      </c>
      <c r="L957" s="2" t="e">
        <f t="shared" si="76"/>
        <v>#N/A</v>
      </c>
      <c r="M957" s="2" t="str">
        <f t="shared" si="77"/>
        <v>Assign quadrant hit</v>
      </c>
      <c r="N957" s="7">
        <v>12.8</v>
      </c>
      <c r="O957" s="7">
        <v>-0.9</v>
      </c>
      <c r="P957" s="7">
        <v>-1.6</v>
      </c>
      <c r="Q957" s="7">
        <v>-1.83</v>
      </c>
      <c r="R957" s="7">
        <v>-0.1</v>
      </c>
      <c r="S957" s="7">
        <v>-0.1</v>
      </c>
      <c r="T957" s="7">
        <v>0.33</v>
      </c>
      <c r="U957" s="7">
        <v>-0.1</v>
      </c>
      <c r="V957" s="7">
        <v>1.86</v>
      </c>
      <c r="W957" s="7" t="s">
        <v>6</v>
      </c>
      <c r="X957" s="7" t="s">
        <v>15</v>
      </c>
      <c r="Y957" s="2" t="s">
        <v>719</v>
      </c>
      <c r="Z957" s="2" t="s">
        <v>721</v>
      </c>
    </row>
    <row r="958" spans="1:26" x14ac:dyDescent="0.35">
      <c r="A958" s="7" t="s">
        <v>1741</v>
      </c>
      <c r="B958" s="7" t="s">
        <v>1002</v>
      </c>
      <c r="C958" s="4" t="str">
        <f>_xlfn.XLOOKUP(A958,[2]Sheet2!$I$2:$I$1273,[2]Sheet2!$D$2:$D$1273,0)</f>
        <v>Q3</v>
      </c>
      <c r="D958" s="4" t="str">
        <f>_xlfn.XLOOKUP(B958,[4]Sheet2!$B$2:$B$3154,[4]Sheet2!$F$2:$F$3154,0)</f>
        <v>N/ App</v>
      </c>
      <c r="E958" s="4" t="e">
        <f>_xlfn.XLOOKUP(B958,[2]Sheet2!$E$2:$E$713,[2]Sheet2!$G$2:$G$713)</f>
        <v>#N/A</v>
      </c>
      <c r="F958" s="18">
        <v>46106</v>
      </c>
      <c r="G958" s="14">
        <v>0.76043981481481482</v>
      </c>
      <c r="H958" s="7" t="s">
        <v>10</v>
      </c>
      <c r="I958" s="2" t="str">
        <f t="shared" si="78"/>
        <v>Q4</v>
      </c>
      <c r="J958" s="2" t="str">
        <f t="shared" si="74"/>
        <v>Not Match</v>
      </c>
      <c r="K958" s="2">
        <f t="shared" si="75"/>
        <v>0.1</v>
      </c>
      <c r="L958" s="2" t="e">
        <f t="shared" si="76"/>
        <v>#N/A</v>
      </c>
      <c r="M958" s="2" t="str">
        <f t="shared" si="77"/>
        <v>Below 0.8 not in assigned quadrant</v>
      </c>
      <c r="N958" s="7">
        <v>30.6</v>
      </c>
      <c r="O958" s="7">
        <v>27</v>
      </c>
      <c r="P958" s="7">
        <v>1.5</v>
      </c>
      <c r="Q958" s="7">
        <v>0</v>
      </c>
      <c r="R958" s="7">
        <v>0</v>
      </c>
      <c r="S958" s="7">
        <v>-0.1</v>
      </c>
      <c r="T958" s="7">
        <v>-0.03</v>
      </c>
      <c r="U958" s="7">
        <v>-0.1</v>
      </c>
      <c r="V958" s="7">
        <v>0.11</v>
      </c>
      <c r="W958" s="7" t="s">
        <v>8</v>
      </c>
      <c r="X958" s="7" t="s">
        <v>7</v>
      </c>
      <c r="Y958" s="2" t="s">
        <v>719</v>
      </c>
      <c r="Z958" s="2" t="s">
        <v>721</v>
      </c>
    </row>
    <row r="959" spans="1:26" x14ac:dyDescent="0.35">
      <c r="A959" s="7" t="s">
        <v>1574</v>
      </c>
      <c r="B959" s="7" t="s">
        <v>1003</v>
      </c>
      <c r="C959" s="4" t="str">
        <f>_xlfn.XLOOKUP(A959,[2]Sheet2!$I$2:$I$1273,[2]Sheet2!$D$2:$D$1273,0)</f>
        <v>Q2</v>
      </c>
      <c r="D959" s="4" t="str">
        <f>_xlfn.XLOOKUP(B959,[4]Sheet2!$B$2:$B$3154,[4]Sheet2!$F$2:$F$3154,0)</f>
        <v>N/ App</v>
      </c>
      <c r="E959" s="4" t="e">
        <f>_xlfn.XLOOKUP(B959,[2]Sheet2!$E$2:$E$713,[2]Sheet2!$G$2:$G$713)</f>
        <v>#N/A</v>
      </c>
      <c r="F959" s="18">
        <v>46106</v>
      </c>
      <c r="G959" s="14">
        <v>0.76290509259259254</v>
      </c>
      <c r="H959" s="7" t="s">
        <v>10</v>
      </c>
      <c r="I959" s="2" t="str">
        <f t="shared" si="78"/>
        <v>Q2</v>
      </c>
      <c r="J959" s="2" t="str">
        <f t="shared" si="74"/>
        <v>Match</v>
      </c>
      <c r="K959" s="2">
        <f t="shared" si="75"/>
        <v>0</v>
      </c>
      <c r="L959" s="2" t="e">
        <f t="shared" si="76"/>
        <v>#N/A</v>
      </c>
      <c r="M959" s="2" t="str">
        <f t="shared" si="77"/>
        <v>Digital Approve Hit</v>
      </c>
      <c r="N959" s="7">
        <v>19.600000000000001</v>
      </c>
      <c r="O959" s="7">
        <v>-2</v>
      </c>
      <c r="P959" s="7">
        <v>-11.3</v>
      </c>
      <c r="Q959" s="7">
        <v>0.17</v>
      </c>
      <c r="R959" s="7">
        <v>0</v>
      </c>
      <c r="S959" s="7">
        <v>0</v>
      </c>
      <c r="T959" s="7">
        <v>0.03</v>
      </c>
      <c r="U959" s="7">
        <v>0.1</v>
      </c>
      <c r="V959" s="7">
        <v>0.2</v>
      </c>
      <c r="W959" s="7" t="s">
        <v>8</v>
      </c>
      <c r="X959" s="7" t="s">
        <v>9</v>
      </c>
      <c r="Y959" s="2" t="s">
        <v>719</v>
      </c>
      <c r="Z959" s="2" t="s">
        <v>721</v>
      </c>
    </row>
    <row r="960" spans="1:26" x14ac:dyDescent="0.35">
      <c r="A960" s="7" t="s">
        <v>1558</v>
      </c>
      <c r="B960" s="7" t="s">
        <v>1004</v>
      </c>
      <c r="C960" s="4" t="str">
        <f>_xlfn.XLOOKUP(A960,[2]Sheet2!$I$2:$I$1273,[2]Sheet2!$D$2:$D$1273,0)</f>
        <v>Q3</v>
      </c>
      <c r="D960" s="4" t="str">
        <f>_xlfn.XLOOKUP(B960,[4]Sheet2!$B$2:$B$3154,[4]Sheet2!$F$2:$F$3154,0)</f>
        <v>N/ App</v>
      </c>
      <c r="E960" s="4" t="e">
        <f>_xlfn.XLOOKUP(B960,[2]Sheet2!$E$2:$E$713,[2]Sheet2!$G$2:$G$713)</f>
        <v>#N/A</v>
      </c>
      <c r="F960" s="18">
        <v>46106</v>
      </c>
      <c r="G960" s="14">
        <v>0.76487268518518514</v>
      </c>
      <c r="H960" s="7" t="s">
        <v>16</v>
      </c>
      <c r="I960" s="2" t="str">
        <f t="shared" si="78"/>
        <v>Q4</v>
      </c>
      <c r="J960" s="2" t="str">
        <f t="shared" si="74"/>
        <v>Not Match</v>
      </c>
      <c r="K960" s="2">
        <f t="shared" si="75"/>
        <v>0.2</v>
      </c>
      <c r="L960" s="2" t="e">
        <f t="shared" si="76"/>
        <v>#N/A</v>
      </c>
      <c r="M960" s="2" t="str">
        <f t="shared" si="77"/>
        <v>Assign quadrant hit</v>
      </c>
      <c r="N960" s="7">
        <v>14.6</v>
      </c>
      <c r="O960" s="7">
        <v>-0.4</v>
      </c>
      <c r="P960" s="7">
        <v>-2.1</v>
      </c>
      <c r="Q960" s="7">
        <v>-0.85</v>
      </c>
      <c r="R960" s="7">
        <v>0</v>
      </c>
      <c r="S960" s="7">
        <v>-0.2</v>
      </c>
      <c r="T960" s="7">
        <v>0.3</v>
      </c>
      <c r="U960" s="7">
        <v>-7.0000000000000007E-2</v>
      </c>
      <c r="V960" s="7">
        <v>0.9</v>
      </c>
      <c r="W960" s="7" t="s">
        <v>13</v>
      </c>
      <c r="X960" s="7" t="s">
        <v>15</v>
      </c>
      <c r="Y960" s="2" t="s">
        <v>719</v>
      </c>
      <c r="Z960" s="2" t="s">
        <v>721</v>
      </c>
    </row>
    <row r="961" spans="1:26" x14ac:dyDescent="0.35">
      <c r="A961" s="7" t="s">
        <v>1595</v>
      </c>
      <c r="B961" s="7" t="s">
        <v>1005</v>
      </c>
      <c r="C961" s="4" t="str">
        <f>_xlfn.XLOOKUP(A961,[2]Sheet2!$I$2:$I$1273,[2]Sheet2!$D$2:$D$1273,0)</f>
        <v>Q4</v>
      </c>
      <c r="D961" s="4" t="str">
        <f>_xlfn.XLOOKUP(B961,[4]Sheet2!$B$2:$B$3154,[4]Sheet2!$F$2:$F$3154,0)</f>
        <v>N/ App</v>
      </c>
      <c r="E961" s="4" t="e">
        <f>_xlfn.XLOOKUP(B961,[2]Sheet2!$E$2:$E$713,[2]Sheet2!$G$2:$G$713)</f>
        <v>#N/A</v>
      </c>
      <c r="F961" s="18">
        <v>46106</v>
      </c>
      <c r="G961" s="14">
        <v>0.77021990740740742</v>
      </c>
      <c r="H961" s="7" t="s">
        <v>16</v>
      </c>
      <c r="I961" s="2" t="str">
        <f t="shared" si="78"/>
        <v>Q1</v>
      </c>
      <c r="J961" s="2" t="str">
        <f t="shared" si="74"/>
        <v>Not Match</v>
      </c>
      <c r="K961" s="2">
        <f t="shared" si="75"/>
        <v>1.0440306508910551</v>
      </c>
      <c r="L961" s="2" t="e">
        <f t="shared" si="76"/>
        <v>#N/A</v>
      </c>
      <c r="M961" s="2" t="str">
        <f t="shared" si="77"/>
        <v>Assign quadrant hit</v>
      </c>
      <c r="N961" s="7">
        <v>27.9</v>
      </c>
      <c r="O961" s="7">
        <v>-1.4</v>
      </c>
      <c r="P961" s="7">
        <v>-1.9</v>
      </c>
      <c r="Q961" s="7">
        <v>-0.54</v>
      </c>
      <c r="R961" s="7">
        <v>0.3</v>
      </c>
      <c r="S961" s="7">
        <v>1</v>
      </c>
      <c r="T961" s="7">
        <v>-1.22</v>
      </c>
      <c r="U961" s="7">
        <v>-0.42</v>
      </c>
      <c r="V961" s="7">
        <v>1.4</v>
      </c>
      <c r="W961" s="7" t="s">
        <v>6</v>
      </c>
      <c r="X961" s="7" t="s">
        <v>15</v>
      </c>
      <c r="Y961" s="2" t="s">
        <v>719</v>
      </c>
      <c r="Z961" s="2" t="s">
        <v>721</v>
      </c>
    </row>
    <row r="962" spans="1:26" x14ac:dyDescent="0.35">
      <c r="A962" s="7" t="s">
        <v>1536</v>
      </c>
      <c r="B962" s="7" t="s">
        <v>1006</v>
      </c>
      <c r="C962" s="4" t="str">
        <f>_xlfn.XLOOKUP(A962,[2]Sheet2!$I$2:$I$1273,[2]Sheet2!$D$2:$D$1273,0)</f>
        <v>Q2</v>
      </c>
      <c r="D962" s="4" t="str">
        <f>_xlfn.XLOOKUP(B962,[4]Sheet2!$B$2:$B$3154,[4]Sheet2!$F$2:$F$3154,0)</f>
        <v>N/ App</v>
      </c>
      <c r="E962" s="4" t="e">
        <f>_xlfn.XLOOKUP(B962,[2]Sheet2!$E$2:$E$713,[2]Sheet2!$G$2:$G$713)</f>
        <v>#N/A</v>
      </c>
      <c r="F962" s="18">
        <v>46107</v>
      </c>
      <c r="G962" s="14">
        <v>0.60600694444444447</v>
      </c>
      <c r="H962" s="7" t="s">
        <v>5</v>
      </c>
      <c r="I962" s="2" t="str">
        <f t="shared" si="78"/>
        <v>Q4</v>
      </c>
      <c r="J962" s="2" t="str">
        <f t="shared" si="74"/>
        <v>Not Match</v>
      </c>
      <c r="K962" s="2">
        <f t="shared" si="75"/>
        <v>0.14142135623730953</v>
      </c>
      <c r="L962" s="2" t="e">
        <f t="shared" si="76"/>
        <v>#N/A</v>
      </c>
      <c r="M962" s="2" t="str">
        <f t="shared" si="77"/>
        <v>Assign quadrant hit</v>
      </c>
      <c r="N962" s="7">
        <v>14.2</v>
      </c>
      <c r="O962" s="7">
        <v>-0.5</v>
      </c>
      <c r="P962" s="7">
        <v>-2.7</v>
      </c>
      <c r="Q962" s="7">
        <v>-0.93</v>
      </c>
      <c r="R962" s="7">
        <v>0.1</v>
      </c>
      <c r="S962" s="7">
        <v>-0.1</v>
      </c>
      <c r="T962" s="7">
        <v>0.15</v>
      </c>
      <c r="U962" s="7">
        <v>0.19</v>
      </c>
      <c r="V962" s="7">
        <v>0.96</v>
      </c>
      <c r="W962" s="7" t="s">
        <v>13</v>
      </c>
      <c r="X962" s="7" t="s">
        <v>9</v>
      </c>
      <c r="Y962" s="2" t="s">
        <v>719</v>
      </c>
      <c r="Z962" s="2" t="s">
        <v>721</v>
      </c>
    </row>
    <row r="963" spans="1:26" x14ac:dyDescent="0.35">
      <c r="A963" s="7" t="s">
        <v>1574</v>
      </c>
      <c r="B963" s="7" t="s">
        <v>1007</v>
      </c>
      <c r="C963" s="4" t="str">
        <f>_xlfn.XLOOKUP(A963,[2]Sheet2!$I$2:$I$1273,[2]Sheet2!$D$2:$D$1273,0)</f>
        <v>Q2</v>
      </c>
      <c r="D963" s="4" t="str">
        <f>_xlfn.XLOOKUP(B963,[4]Sheet2!$B$2:$B$3154,[4]Sheet2!$F$2:$F$3154,0)</f>
        <v>N/ App</v>
      </c>
      <c r="E963" s="4" t="e">
        <f>_xlfn.XLOOKUP(B963,[2]Sheet2!$E$2:$E$713,[2]Sheet2!$G$2:$G$713)</f>
        <v>#N/A</v>
      </c>
      <c r="F963" s="18">
        <v>46107</v>
      </c>
      <c r="G963" s="14">
        <v>0.62475694444444441</v>
      </c>
      <c r="H963" s="7" t="s">
        <v>11</v>
      </c>
      <c r="I963" s="2" t="str">
        <f t="shared" si="78"/>
        <v>Q4</v>
      </c>
      <c r="J963" s="2" t="str">
        <f t="shared" ref="J963:J1026" si="79">IF(I963=C963,"Match",IF(C963=0,"Not Found","Not Match"))</f>
        <v>Not Match</v>
      </c>
      <c r="K963" s="2">
        <f t="shared" si="75"/>
        <v>0.7</v>
      </c>
      <c r="L963" s="2" t="e">
        <f t="shared" si="76"/>
        <v>#N/A</v>
      </c>
      <c r="M963" s="2" t="str">
        <f t="shared" si="77"/>
        <v>Assign quadrant hit</v>
      </c>
      <c r="N963" s="7">
        <v>18.3</v>
      </c>
      <c r="O963" s="7">
        <v>-0.2</v>
      </c>
      <c r="P963" s="7">
        <v>-12.8</v>
      </c>
      <c r="Q963" s="7">
        <v>-0.78</v>
      </c>
      <c r="R963" s="7">
        <v>0</v>
      </c>
      <c r="S963" s="7">
        <v>-0.7</v>
      </c>
      <c r="T963" s="7">
        <v>0.56000000000000005</v>
      </c>
      <c r="U963" s="7">
        <v>0.06</v>
      </c>
      <c r="V963" s="7">
        <v>0.96</v>
      </c>
      <c r="W963" s="7" t="s">
        <v>13</v>
      </c>
      <c r="X963" s="7" t="s">
        <v>9</v>
      </c>
      <c r="Y963" s="2" t="s">
        <v>719</v>
      </c>
      <c r="Z963" s="2" t="s">
        <v>721</v>
      </c>
    </row>
    <row r="964" spans="1:26" x14ac:dyDescent="0.35">
      <c r="A964" s="7" t="s">
        <v>1558</v>
      </c>
      <c r="B964" s="7" t="s">
        <v>1008</v>
      </c>
      <c r="C964" s="4" t="str">
        <f>_xlfn.XLOOKUP(A964,[2]Sheet2!$I$2:$I$1273,[2]Sheet2!$D$2:$D$1273,0)</f>
        <v>Q3</v>
      </c>
      <c r="D964" s="4" t="str">
        <f>_xlfn.XLOOKUP(B964,[4]Sheet2!$B$2:$B$3154,[4]Sheet2!$F$2:$F$3154,0)</f>
        <v>N/ App</v>
      </c>
      <c r="E964" s="4" t="e">
        <f>_xlfn.XLOOKUP(B964,[2]Sheet2!$E$2:$E$713,[2]Sheet2!$G$2:$G$713)</f>
        <v>#N/A</v>
      </c>
      <c r="F964" s="18">
        <v>46107</v>
      </c>
      <c r="G964" s="14">
        <v>0.6284143518518519</v>
      </c>
      <c r="H964" s="7" t="s">
        <v>16</v>
      </c>
      <c r="I964" s="2" t="str">
        <f t="shared" si="78"/>
        <v>Q3</v>
      </c>
      <c r="J964" s="2" t="str">
        <f t="shared" si="79"/>
        <v>Match</v>
      </c>
      <c r="K964" s="2">
        <f t="shared" si="75"/>
        <v>0</v>
      </c>
      <c r="L964" s="2" t="e">
        <f t="shared" si="76"/>
        <v>#N/A</v>
      </c>
      <c r="M964" s="2" t="str">
        <f t="shared" si="77"/>
        <v>Digital Approve Hit</v>
      </c>
      <c r="N964" s="7">
        <v>14.7</v>
      </c>
      <c r="O964" s="7">
        <v>-0.3</v>
      </c>
      <c r="P964" s="7">
        <v>-1.9</v>
      </c>
      <c r="Q964" s="7">
        <v>-0.75</v>
      </c>
      <c r="R964" s="7">
        <v>0</v>
      </c>
      <c r="S964" s="7">
        <v>0</v>
      </c>
      <c r="T964" s="7">
        <v>0.04</v>
      </c>
      <c r="U964" s="7">
        <v>-0.05</v>
      </c>
      <c r="V964" s="7">
        <v>0.75</v>
      </c>
      <c r="W964" s="7" t="s">
        <v>13</v>
      </c>
      <c r="X964" s="7" t="s">
        <v>15</v>
      </c>
      <c r="Y964" s="2" t="s">
        <v>719</v>
      </c>
      <c r="Z964" s="2" t="s">
        <v>721</v>
      </c>
    </row>
    <row r="965" spans="1:26" x14ac:dyDescent="0.35">
      <c r="A965" s="7" t="s">
        <v>1586</v>
      </c>
      <c r="B965" s="7" t="s">
        <v>1009</v>
      </c>
      <c r="C965" s="4" t="str">
        <f>_xlfn.XLOOKUP(A965,[2]Sheet2!$I$2:$I$1273,[2]Sheet2!$D$2:$D$1273,0)</f>
        <v>Q2</v>
      </c>
      <c r="D965" s="4" t="str">
        <f>_xlfn.XLOOKUP(B965,[4]Sheet2!$B$2:$B$3154,[4]Sheet2!$F$2:$F$3154,0)</f>
        <v>N/ App</v>
      </c>
      <c r="E965" s="4" t="e">
        <f>_xlfn.XLOOKUP(B965,[2]Sheet2!$E$2:$E$713,[2]Sheet2!$G$2:$G$713)</f>
        <v>#N/A</v>
      </c>
      <c r="F965" s="18">
        <v>46107</v>
      </c>
      <c r="G965" s="14">
        <v>0.63730324074074074</v>
      </c>
      <c r="H965" s="7" t="s">
        <v>4</v>
      </c>
      <c r="I965" s="2" t="str">
        <f t="shared" si="78"/>
        <v>Q3</v>
      </c>
      <c r="J965" s="2" t="str">
        <f t="shared" si="79"/>
        <v>Not Match</v>
      </c>
      <c r="K965" s="2">
        <f t="shared" si="75"/>
        <v>0.14142135623730953</v>
      </c>
      <c r="L965" s="2" t="e">
        <f t="shared" si="76"/>
        <v>#N/A</v>
      </c>
      <c r="M965" s="2" t="str">
        <f t="shared" si="77"/>
        <v>Below 0.8 not in assigned quadrant</v>
      </c>
      <c r="N965" s="7">
        <v>18</v>
      </c>
      <c r="O965" s="7">
        <v>0</v>
      </c>
      <c r="P965" s="7">
        <v>-1.2</v>
      </c>
      <c r="Q965" s="7">
        <v>-0.03</v>
      </c>
      <c r="R965" s="7">
        <v>-0.1</v>
      </c>
      <c r="S965" s="7">
        <v>-0.1</v>
      </c>
      <c r="T965" s="7">
        <v>0.22</v>
      </c>
      <c r="U965" s="7">
        <v>-0.28000000000000003</v>
      </c>
      <c r="V965" s="7">
        <v>0.36</v>
      </c>
      <c r="W965" s="7" t="s">
        <v>8</v>
      </c>
      <c r="X965" s="7" t="s">
        <v>15</v>
      </c>
      <c r="Y965" s="2" t="s">
        <v>719</v>
      </c>
      <c r="Z965" s="2" t="s">
        <v>721</v>
      </c>
    </row>
    <row r="966" spans="1:26" x14ac:dyDescent="0.35">
      <c r="A966" s="7" t="s">
        <v>1564</v>
      </c>
      <c r="B966" s="7" t="s">
        <v>1010</v>
      </c>
      <c r="C966" s="4" t="str">
        <f>_xlfn.XLOOKUP(A966,[2]Sheet2!$I$2:$I$1273,[2]Sheet2!$D$2:$D$1273,0)</f>
        <v>Q4</v>
      </c>
      <c r="D966" s="4" t="str">
        <f>_xlfn.XLOOKUP(B966,[4]Sheet2!$B$2:$B$3154,[4]Sheet2!$F$2:$F$3154,0)</f>
        <v>N/ App</v>
      </c>
      <c r="E966" s="4" t="e">
        <f>_xlfn.XLOOKUP(B966,[2]Sheet2!$E$2:$E$713,[2]Sheet2!$G$2:$G$713)</f>
        <v>#N/A</v>
      </c>
      <c r="F966" s="18">
        <v>46107</v>
      </c>
      <c r="G966" s="14">
        <v>0.70141203703703703</v>
      </c>
      <c r="H966" s="7" t="s">
        <v>4</v>
      </c>
      <c r="I966" s="2" t="str">
        <f t="shared" si="78"/>
        <v>Q1</v>
      </c>
      <c r="J966" s="2" t="str">
        <f t="shared" si="79"/>
        <v>Not Match</v>
      </c>
      <c r="K966" s="2">
        <f t="shared" si="75"/>
        <v>0.31622776601683794</v>
      </c>
      <c r="L966" s="2" t="e">
        <f t="shared" si="76"/>
        <v>#N/A</v>
      </c>
      <c r="M966" s="2" t="str">
        <f t="shared" si="77"/>
        <v>Assign quadrant hit</v>
      </c>
      <c r="N966" s="7">
        <v>15.6</v>
      </c>
      <c r="O966" s="7">
        <v>-0.9</v>
      </c>
      <c r="P966" s="7">
        <v>-1</v>
      </c>
      <c r="Q966" s="7">
        <v>-0.74</v>
      </c>
      <c r="R966" s="7">
        <v>0.1</v>
      </c>
      <c r="S966" s="7">
        <v>0.3</v>
      </c>
      <c r="T966" s="7">
        <v>-0.49</v>
      </c>
      <c r="U966" s="7">
        <v>-0.15</v>
      </c>
      <c r="V966" s="7">
        <v>0.9</v>
      </c>
      <c r="W966" s="7" t="s">
        <v>13</v>
      </c>
      <c r="X966" s="7" t="s">
        <v>12</v>
      </c>
      <c r="Y966" s="2" t="s">
        <v>719</v>
      </c>
      <c r="Z966" s="2" t="s">
        <v>721</v>
      </c>
    </row>
    <row r="967" spans="1:26" x14ac:dyDescent="0.35">
      <c r="A967" s="7" t="s">
        <v>1742</v>
      </c>
      <c r="B967" s="7" t="s">
        <v>1011</v>
      </c>
      <c r="C967" s="4" t="str">
        <f>_xlfn.XLOOKUP(A967,[2]Sheet2!$I$2:$I$1273,[2]Sheet2!$D$2:$D$1273,0)</f>
        <v>Q1</v>
      </c>
      <c r="D967" s="4" t="str">
        <f>_xlfn.XLOOKUP(B967,[4]Sheet2!$B$2:$B$3154,[4]Sheet2!$F$2:$F$3154,0)</f>
        <v>N/ App</v>
      </c>
      <c r="E967" s="4" t="e">
        <f>_xlfn.XLOOKUP(B967,[2]Sheet2!$E$2:$E$713,[2]Sheet2!$G$2:$G$713)</f>
        <v>#N/A</v>
      </c>
      <c r="F967" s="18">
        <v>46107</v>
      </c>
      <c r="G967" s="14">
        <v>0.71061342592592591</v>
      </c>
      <c r="H967" s="7" t="s">
        <v>4</v>
      </c>
      <c r="I967" s="2" t="str">
        <f t="shared" si="78"/>
        <v>Q1</v>
      </c>
      <c r="J967" s="2" t="str">
        <f t="shared" si="79"/>
        <v>Match</v>
      </c>
      <c r="K967" s="2">
        <f t="shared" si="75"/>
        <v>0.2</v>
      </c>
      <c r="L967" s="2" t="e">
        <f t="shared" si="76"/>
        <v>#N/A</v>
      </c>
      <c r="M967" s="2" t="str">
        <f t="shared" si="77"/>
        <v>Failed but within quadrant</v>
      </c>
      <c r="N967" s="7">
        <v>23.8</v>
      </c>
      <c r="O967" s="7">
        <v>17.100000000000001</v>
      </c>
      <c r="P967" s="7">
        <v>3.4</v>
      </c>
      <c r="Q967" s="7">
        <v>-0.92</v>
      </c>
      <c r="R967" s="7">
        <v>0</v>
      </c>
      <c r="S967" s="7">
        <v>0.2</v>
      </c>
      <c r="T967" s="7">
        <v>-0.03</v>
      </c>
      <c r="U967" s="7">
        <v>0.28000000000000003</v>
      </c>
      <c r="V967" s="7">
        <v>0.96</v>
      </c>
      <c r="W967" s="7" t="s">
        <v>13</v>
      </c>
      <c r="X967" s="7" t="s">
        <v>12</v>
      </c>
      <c r="Y967" s="2" t="s">
        <v>719</v>
      </c>
      <c r="Z967" s="2" t="s">
        <v>721</v>
      </c>
    </row>
    <row r="968" spans="1:26" x14ac:dyDescent="0.35">
      <c r="A968" s="7" t="s">
        <v>1559</v>
      </c>
      <c r="B968" s="7" t="s">
        <v>1012</v>
      </c>
      <c r="C968" s="4" t="str">
        <f>_xlfn.XLOOKUP(A968,[2]Sheet2!$I$2:$I$1273,[2]Sheet2!$D$2:$D$1273,0)</f>
        <v>Q3</v>
      </c>
      <c r="D968" s="4" t="str">
        <f>_xlfn.XLOOKUP(B968,[4]Sheet2!$B$2:$B$3154,[4]Sheet2!$F$2:$F$3154,0)</f>
        <v>N/ App</v>
      </c>
      <c r="E968" s="4" t="e">
        <f>_xlfn.XLOOKUP(B968,[2]Sheet2!$E$2:$E$713,[2]Sheet2!$G$2:$G$713)</f>
        <v>#N/A</v>
      </c>
      <c r="F968" s="18">
        <v>46107</v>
      </c>
      <c r="G968" s="14">
        <v>0.76739583333333339</v>
      </c>
      <c r="H968" s="7" t="s">
        <v>11</v>
      </c>
      <c r="I968" s="2" t="str">
        <f t="shared" si="78"/>
        <v>Q4</v>
      </c>
      <c r="J968" s="2" t="str">
        <f t="shared" si="79"/>
        <v>Not Match</v>
      </c>
      <c r="K968" s="2">
        <f t="shared" si="75"/>
        <v>0.1</v>
      </c>
      <c r="L968" s="2" t="e">
        <f t="shared" si="76"/>
        <v>#N/A</v>
      </c>
      <c r="M968" s="2" t="str">
        <f t="shared" si="77"/>
        <v>Assign quadrant hit</v>
      </c>
      <c r="N968" s="7">
        <v>16.8</v>
      </c>
      <c r="O968" s="7">
        <v>-0.5</v>
      </c>
      <c r="P968" s="7">
        <v>-3</v>
      </c>
      <c r="Q968" s="7">
        <v>-0.87</v>
      </c>
      <c r="R968" s="7">
        <v>0</v>
      </c>
      <c r="S968" s="7">
        <v>-0.1</v>
      </c>
      <c r="T968" s="7">
        <v>0.21</v>
      </c>
      <c r="U968" s="7">
        <v>0.13</v>
      </c>
      <c r="V968" s="7">
        <v>0.91</v>
      </c>
      <c r="W968" s="7" t="s">
        <v>13</v>
      </c>
      <c r="X968" s="7" t="s">
        <v>9</v>
      </c>
      <c r="Y968" s="2" t="s">
        <v>719</v>
      </c>
      <c r="Z968" s="2" t="s">
        <v>721</v>
      </c>
    </row>
    <row r="969" spans="1:26" x14ac:dyDescent="0.35">
      <c r="A969" s="7" t="s">
        <v>1559</v>
      </c>
      <c r="B969" s="7" t="s">
        <v>1013</v>
      </c>
      <c r="C969" s="4" t="str">
        <f>_xlfn.XLOOKUP(A969,[2]Sheet2!$I$2:$I$1273,[2]Sheet2!$D$2:$D$1273,0)</f>
        <v>Q3</v>
      </c>
      <c r="D969" s="4" t="str">
        <f>_xlfn.XLOOKUP(B969,[4]Sheet2!$B$2:$B$3154,[4]Sheet2!$F$2:$F$3154,0)</f>
        <v>N/ App</v>
      </c>
      <c r="E969" s="4" t="e">
        <f>_xlfn.XLOOKUP(B969,[2]Sheet2!$E$2:$E$713,[2]Sheet2!$G$2:$G$713)</f>
        <v>#N/A</v>
      </c>
      <c r="F969" s="18">
        <v>46107</v>
      </c>
      <c r="G969" s="14">
        <v>0.92292824074074076</v>
      </c>
      <c r="H969" s="7" t="s">
        <v>11</v>
      </c>
      <c r="I969" s="2" t="str">
        <f t="shared" si="78"/>
        <v>Q4</v>
      </c>
      <c r="J969" s="2" t="str">
        <f t="shared" si="79"/>
        <v>Not Match</v>
      </c>
      <c r="K969" s="2">
        <f t="shared" si="75"/>
        <v>0.2</v>
      </c>
      <c r="L969" s="2" t="e">
        <f t="shared" si="76"/>
        <v>#N/A</v>
      </c>
      <c r="M969" s="2" t="str">
        <f t="shared" si="77"/>
        <v>Below 0.8 not in assigned quadrant</v>
      </c>
      <c r="N969" s="7">
        <v>16.899999999999999</v>
      </c>
      <c r="O969" s="7">
        <v>-0.6</v>
      </c>
      <c r="P969" s="7">
        <v>-3</v>
      </c>
      <c r="Q969" s="7">
        <v>-0.7</v>
      </c>
      <c r="R969" s="7">
        <v>0</v>
      </c>
      <c r="S969" s="7">
        <v>-0.2</v>
      </c>
      <c r="T969" s="7">
        <v>0.28999999999999998</v>
      </c>
      <c r="U969" s="7">
        <v>0.04</v>
      </c>
      <c r="V969" s="7">
        <v>0.76</v>
      </c>
      <c r="W969" s="7" t="s">
        <v>13</v>
      </c>
      <c r="X969" s="7" t="s">
        <v>9</v>
      </c>
      <c r="Y969" s="2" t="s">
        <v>719</v>
      </c>
      <c r="Z969" s="2" t="s">
        <v>721</v>
      </c>
    </row>
    <row r="970" spans="1:26" x14ac:dyDescent="0.35">
      <c r="A970" s="7" t="s">
        <v>1574</v>
      </c>
      <c r="B970" s="7" t="s">
        <v>1014</v>
      </c>
      <c r="C970" s="4" t="str">
        <f>_xlfn.XLOOKUP(A970,[2]Sheet2!$I$2:$I$1273,[2]Sheet2!$D$2:$D$1273,0)</f>
        <v>Q2</v>
      </c>
      <c r="D970" s="4" t="str">
        <f>_xlfn.XLOOKUP(B970,[4]Sheet2!$B$2:$B$3154,[4]Sheet2!$F$2:$F$3154,0)</f>
        <v>N/ App</v>
      </c>
      <c r="E970" s="4" t="e">
        <f>_xlfn.XLOOKUP(B970,[2]Sheet2!$E$2:$E$713,[2]Sheet2!$G$2:$G$713)</f>
        <v>#N/A</v>
      </c>
      <c r="F970" s="18">
        <v>46108</v>
      </c>
      <c r="G970" s="14">
        <v>9.7916666666666673E-3</v>
      </c>
      <c r="H970" s="7" t="s">
        <v>11</v>
      </c>
      <c r="I970" s="2" t="str">
        <f t="shared" si="78"/>
        <v>Q4</v>
      </c>
      <c r="J970" s="2" t="str">
        <f t="shared" si="79"/>
        <v>Not Match</v>
      </c>
      <c r="K970" s="2">
        <f t="shared" si="75"/>
        <v>0.31622776601683794</v>
      </c>
      <c r="L970" s="2" t="e">
        <f t="shared" si="76"/>
        <v>#N/A</v>
      </c>
      <c r="M970" s="2" t="str">
        <f t="shared" si="77"/>
        <v>Below 0.8 not in assigned quadrant</v>
      </c>
      <c r="N970" s="7">
        <v>18.5</v>
      </c>
      <c r="O970" s="7">
        <v>-0.2</v>
      </c>
      <c r="P970" s="7">
        <v>-12.3</v>
      </c>
      <c r="Q970" s="7">
        <v>-0.6</v>
      </c>
      <c r="R970" s="7">
        <v>0.1</v>
      </c>
      <c r="S970" s="7">
        <v>-0.3</v>
      </c>
      <c r="T970" s="7">
        <v>0.23</v>
      </c>
      <c r="U970" s="7">
        <v>0.13</v>
      </c>
      <c r="V970" s="7">
        <v>0.65</v>
      </c>
      <c r="W970" s="7" t="s">
        <v>8</v>
      </c>
      <c r="X970" s="7" t="s">
        <v>9</v>
      </c>
      <c r="Y970" s="2" t="s">
        <v>719</v>
      </c>
      <c r="Z970" s="2" t="s">
        <v>721</v>
      </c>
    </row>
    <row r="971" spans="1:26" x14ac:dyDescent="0.35">
      <c r="A971" s="7" t="s">
        <v>1726</v>
      </c>
      <c r="B971" s="7" t="s">
        <v>889</v>
      </c>
      <c r="C971" s="4" t="str">
        <f>_xlfn.XLOOKUP(A971,[2]Sheet2!$I$2:$I$1273,[2]Sheet2!$D$2:$D$1273,0)</f>
        <v>Q3</v>
      </c>
      <c r="D971" s="4" t="str">
        <f>_xlfn.XLOOKUP(B971,[4]Sheet2!$B$2:$B$3154,[4]Sheet2!$F$2:$F$3154,0)</f>
        <v>C/APP</v>
      </c>
      <c r="E971" s="4" t="e">
        <f>_xlfn.XLOOKUP(B971,[2]Sheet2!$E$2:$E$713,[2]Sheet2!$G$2:$G$713)</f>
        <v>#N/A</v>
      </c>
      <c r="F971" s="18">
        <v>46108</v>
      </c>
      <c r="G971" s="14">
        <v>0.23670138888888889</v>
      </c>
      <c r="H971" s="7" t="s">
        <v>5</v>
      </c>
      <c r="I971" s="2" t="str">
        <f t="shared" si="78"/>
        <v>Q1</v>
      </c>
      <c r="J971" s="2" t="str">
        <f t="shared" si="79"/>
        <v>Not Match</v>
      </c>
      <c r="K971" s="2">
        <f t="shared" si="75"/>
        <v>0.22360679774997899</v>
      </c>
      <c r="L971" s="2" t="e">
        <f t="shared" si="76"/>
        <v>#N/A</v>
      </c>
      <c r="M971" s="2" t="str">
        <f t="shared" si="77"/>
        <v>Below 0.8 not in assigned quadrant</v>
      </c>
      <c r="N971" s="7">
        <v>31.4</v>
      </c>
      <c r="O971" s="7">
        <v>29.9</v>
      </c>
      <c r="P971" s="7">
        <v>11.3</v>
      </c>
      <c r="Q971" s="7">
        <v>0.33</v>
      </c>
      <c r="R971" s="7">
        <v>0.1</v>
      </c>
      <c r="S971" s="7">
        <v>0.2</v>
      </c>
      <c r="T971" s="7">
        <v>0.13</v>
      </c>
      <c r="U971" s="7">
        <v>0.18</v>
      </c>
      <c r="V971" s="7">
        <v>0.39</v>
      </c>
      <c r="W971" s="7" t="s">
        <v>8</v>
      </c>
      <c r="X971" s="7" t="s">
        <v>12</v>
      </c>
      <c r="Y971" s="2" t="s">
        <v>719</v>
      </c>
      <c r="Z971" s="2" t="s">
        <v>721</v>
      </c>
    </row>
    <row r="972" spans="1:26" x14ac:dyDescent="0.35">
      <c r="A972" s="7" t="s">
        <v>1559</v>
      </c>
      <c r="B972" s="7" t="s">
        <v>1015</v>
      </c>
      <c r="C972" s="4" t="str">
        <f>_xlfn.XLOOKUP(A972,[2]Sheet2!$I$2:$I$1273,[2]Sheet2!$D$2:$D$1273,0)</f>
        <v>Q3</v>
      </c>
      <c r="D972" s="4" t="str">
        <f>_xlfn.XLOOKUP(B972,[4]Sheet2!$B$2:$B$3154,[4]Sheet2!$F$2:$F$3154,0)</f>
        <v>N/ App</v>
      </c>
      <c r="E972" s="4" t="e">
        <f>_xlfn.XLOOKUP(B972,[2]Sheet2!$E$2:$E$713,[2]Sheet2!$G$2:$G$713)</f>
        <v>#N/A</v>
      </c>
      <c r="F972" s="18">
        <v>46108</v>
      </c>
      <c r="G972" s="14">
        <v>0.25268518518518518</v>
      </c>
      <c r="H972" s="7" t="s">
        <v>11</v>
      </c>
      <c r="I972" s="2" t="str">
        <f t="shared" si="78"/>
        <v>Q4</v>
      </c>
      <c r="J972" s="2" t="str">
        <f t="shared" si="79"/>
        <v>Not Match</v>
      </c>
      <c r="K972" s="2">
        <f t="shared" si="75"/>
        <v>0.3</v>
      </c>
      <c r="L972" s="2" t="e">
        <f t="shared" si="76"/>
        <v>#N/A</v>
      </c>
      <c r="M972" s="2" t="str">
        <f t="shared" si="77"/>
        <v>Below 0.8 not in assigned quadrant</v>
      </c>
      <c r="N972" s="7">
        <v>17.100000000000001</v>
      </c>
      <c r="O972" s="7">
        <v>-0.6</v>
      </c>
      <c r="P972" s="7">
        <v>-3.1</v>
      </c>
      <c r="Q972" s="7">
        <v>-0.54</v>
      </c>
      <c r="R972" s="7">
        <v>0</v>
      </c>
      <c r="S972" s="7">
        <v>-0.3</v>
      </c>
      <c r="T972" s="7">
        <v>0.42</v>
      </c>
      <c r="U972" s="7">
        <v>0.05</v>
      </c>
      <c r="V972" s="7">
        <v>0.69</v>
      </c>
      <c r="W972" s="7" t="s">
        <v>8</v>
      </c>
      <c r="X972" s="7" t="s">
        <v>9</v>
      </c>
      <c r="Y972" s="2" t="s">
        <v>719</v>
      </c>
      <c r="Z972" s="2" t="s">
        <v>721</v>
      </c>
    </row>
    <row r="973" spans="1:26" x14ac:dyDescent="0.35">
      <c r="A973" s="7" t="s">
        <v>1559</v>
      </c>
      <c r="B973" s="7" t="s">
        <v>1016</v>
      </c>
      <c r="C973" s="4" t="str">
        <f>_xlfn.XLOOKUP(A973,[2]Sheet2!$I$2:$I$1273,[2]Sheet2!$D$2:$D$1273,0)</f>
        <v>Q3</v>
      </c>
      <c r="D973" s="4" t="str">
        <f>_xlfn.XLOOKUP(B973,[4]Sheet2!$B$2:$B$3154,[4]Sheet2!$F$2:$F$3154,0)</f>
        <v>N/ App</v>
      </c>
      <c r="E973" s="4" t="e">
        <f>_xlfn.XLOOKUP(B973,[2]Sheet2!$E$2:$E$713,[2]Sheet2!$G$2:$G$713)</f>
        <v>#N/A</v>
      </c>
      <c r="F973" s="18">
        <v>46108</v>
      </c>
      <c r="G973" s="14">
        <v>0.2562962962962963</v>
      </c>
      <c r="H973" s="7" t="s">
        <v>11</v>
      </c>
      <c r="I973" s="2" t="str">
        <f t="shared" si="78"/>
        <v>Q4</v>
      </c>
      <c r="J973" s="2" t="str">
        <f t="shared" si="79"/>
        <v>Not Match</v>
      </c>
      <c r="K973" s="2">
        <f t="shared" si="75"/>
        <v>0.1</v>
      </c>
      <c r="L973" s="2" t="e">
        <f t="shared" si="76"/>
        <v>#N/A</v>
      </c>
      <c r="M973" s="2" t="str">
        <f t="shared" si="77"/>
        <v>Below 0.8 not in assigned quadrant</v>
      </c>
      <c r="N973" s="7">
        <v>17.100000000000001</v>
      </c>
      <c r="O973" s="7">
        <v>-0.5</v>
      </c>
      <c r="P973" s="7">
        <v>-2.9</v>
      </c>
      <c r="Q973" s="7">
        <v>-0.53</v>
      </c>
      <c r="R973" s="7">
        <v>0</v>
      </c>
      <c r="S973" s="7">
        <v>-0.1</v>
      </c>
      <c r="T973" s="7">
        <v>0.1</v>
      </c>
      <c r="U973" s="7">
        <v>0.11</v>
      </c>
      <c r="V973" s="7">
        <v>0.55000000000000004</v>
      </c>
      <c r="W973" s="7" t="s">
        <v>8</v>
      </c>
      <c r="X973" s="7" t="s">
        <v>9</v>
      </c>
      <c r="Y973" s="2" t="s">
        <v>719</v>
      </c>
      <c r="Z973" s="2" t="s">
        <v>721</v>
      </c>
    </row>
    <row r="974" spans="1:26" x14ac:dyDescent="0.35">
      <c r="A974" s="7" t="s">
        <v>1545</v>
      </c>
      <c r="B974" s="7" t="s">
        <v>1017</v>
      </c>
      <c r="C974" s="4" t="str">
        <f>_xlfn.XLOOKUP(A974,[2]Sheet2!$I$2:$I$1273,[2]Sheet2!$D$2:$D$1273,0)</f>
        <v>Q2</v>
      </c>
      <c r="D974" s="4" t="str">
        <f>_xlfn.XLOOKUP(B974,[4]Sheet2!$B$2:$B$3154,[4]Sheet2!$F$2:$F$3154,0)</f>
        <v>N/ App</v>
      </c>
      <c r="E974" s="4" t="e">
        <f>_xlfn.XLOOKUP(B974,[2]Sheet2!$E$2:$E$713,[2]Sheet2!$G$2:$G$713)</f>
        <v>#N/A</v>
      </c>
      <c r="F974" s="18">
        <v>46108</v>
      </c>
      <c r="G974" s="14">
        <v>0.25865740740740739</v>
      </c>
      <c r="H974" s="7" t="s">
        <v>5</v>
      </c>
      <c r="I974" s="2" t="str">
        <f t="shared" si="78"/>
        <v>Q4</v>
      </c>
      <c r="J974" s="2" t="str">
        <f t="shared" si="79"/>
        <v>Not Match</v>
      </c>
      <c r="K974" s="2">
        <f t="shared" si="75"/>
        <v>0.2</v>
      </c>
      <c r="L974" s="2" t="e">
        <f t="shared" si="76"/>
        <v>#N/A</v>
      </c>
      <c r="M974" s="2" t="str">
        <f t="shared" si="77"/>
        <v>Below 0.8 not in assigned quadrant</v>
      </c>
      <c r="N974" s="7">
        <v>17.3</v>
      </c>
      <c r="O974" s="7">
        <v>-0.7</v>
      </c>
      <c r="P974" s="7">
        <v>-2.6</v>
      </c>
      <c r="Q974" s="7">
        <v>-0.56999999999999995</v>
      </c>
      <c r="R974" s="7">
        <v>0</v>
      </c>
      <c r="S974" s="7">
        <v>-0.2</v>
      </c>
      <c r="T974" s="7">
        <v>0.3</v>
      </c>
      <c r="U974" s="7">
        <v>0.08</v>
      </c>
      <c r="V974" s="7">
        <v>0.66</v>
      </c>
      <c r="W974" s="7" t="s">
        <v>8</v>
      </c>
      <c r="X974" s="7" t="s">
        <v>9</v>
      </c>
      <c r="Y974" s="2" t="s">
        <v>719</v>
      </c>
      <c r="Z974" s="2" t="s">
        <v>721</v>
      </c>
    </row>
    <row r="975" spans="1:26" x14ac:dyDescent="0.35">
      <c r="A975" s="7" t="s">
        <v>1723</v>
      </c>
      <c r="B975" s="7" t="s">
        <v>1018</v>
      </c>
      <c r="C975" s="4" t="str">
        <f>_xlfn.XLOOKUP(A975,[2]Sheet2!$I$2:$I$1273,[2]Sheet2!$D$2:$D$1273,0)</f>
        <v>Q2</v>
      </c>
      <c r="D975" s="4" t="str">
        <f>_xlfn.XLOOKUP(B975,[4]Sheet2!$B$2:$B$3154,[4]Sheet2!$F$2:$F$3154,0)</f>
        <v>N/ App</v>
      </c>
      <c r="E975" s="4" t="e">
        <f>_xlfn.XLOOKUP(B975,[2]Sheet2!$E$2:$E$713,[2]Sheet2!$G$2:$G$713)</f>
        <v>#N/A</v>
      </c>
      <c r="F975" s="18">
        <v>46108</v>
      </c>
      <c r="G975" s="14">
        <v>0.26097222222222222</v>
      </c>
      <c r="H975" s="7" t="s">
        <v>14</v>
      </c>
      <c r="I975" s="2" t="str">
        <f t="shared" si="78"/>
        <v>Q3</v>
      </c>
      <c r="J975" s="2" t="str">
        <f t="shared" si="79"/>
        <v>Not Match</v>
      </c>
      <c r="K975" s="2">
        <f t="shared" si="75"/>
        <v>0.36055512754639896</v>
      </c>
      <c r="L975" s="2" t="e">
        <f t="shared" si="76"/>
        <v>#N/A</v>
      </c>
      <c r="M975" s="2" t="str">
        <f t="shared" si="77"/>
        <v>Below 0.8 not in assigned quadrant</v>
      </c>
      <c r="N975" s="7">
        <v>14.4</v>
      </c>
      <c r="O975" s="7">
        <v>-0.5</v>
      </c>
      <c r="P975" s="7">
        <v>-2.4</v>
      </c>
      <c r="Q975" s="7">
        <v>-0.08</v>
      </c>
      <c r="R975" s="7">
        <v>-0.3</v>
      </c>
      <c r="S975" s="7">
        <v>-0.2</v>
      </c>
      <c r="T975" s="7">
        <v>0.35</v>
      </c>
      <c r="U975" s="7">
        <v>-0.34</v>
      </c>
      <c r="V975" s="7">
        <v>0.5</v>
      </c>
      <c r="W975" s="7" t="s">
        <v>8</v>
      </c>
      <c r="X975" s="7" t="s">
        <v>15</v>
      </c>
      <c r="Y975" s="2" t="s">
        <v>719</v>
      </c>
      <c r="Z975" s="2" t="s">
        <v>721</v>
      </c>
    </row>
    <row r="976" spans="1:26" x14ac:dyDescent="0.35">
      <c r="A976" s="7" t="s">
        <v>1743</v>
      </c>
      <c r="B976" s="7" t="s">
        <v>1019</v>
      </c>
      <c r="C976" s="4" t="str">
        <f>_xlfn.XLOOKUP(A976,[2]Sheet2!$I$2:$I$1273,[2]Sheet2!$D$2:$D$1273,0)</f>
        <v>Q1</v>
      </c>
      <c r="D976" s="4" t="str">
        <f>_xlfn.XLOOKUP(B976,[4]Sheet2!$B$2:$B$3154,[4]Sheet2!$F$2:$F$3154,0)</f>
        <v>N/ App</v>
      </c>
      <c r="E976" s="4" t="e">
        <f>_xlfn.XLOOKUP(B976,[2]Sheet2!$E$2:$E$713,[2]Sheet2!$G$2:$G$713)</f>
        <v>#N/A</v>
      </c>
      <c r="F976" s="18">
        <v>46108</v>
      </c>
      <c r="G976" s="14">
        <v>0.26326388888888891</v>
      </c>
      <c r="H976" s="7" t="s">
        <v>14</v>
      </c>
      <c r="I976" s="2" t="str">
        <f t="shared" si="78"/>
        <v>Q1</v>
      </c>
      <c r="J976" s="2" t="str">
        <f t="shared" si="79"/>
        <v>Match</v>
      </c>
      <c r="K976" s="2">
        <f t="shared" si="75"/>
        <v>0.4</v>
      </c>
      <c r="L976" s="2" t="e">
        <f t="shared" si="76"/>
        <v>#N/A</v>
      </c>
      <c r="M976" s="2" t="str">
        <f t="shared" si="77"/>
        <v>Digital Approve Hit</v>
      </c>
      <c r="N976" s="7">
        <v>35.6</v>
      </c>
      <c r="O976" s="7">
        <v>10.3</v>
      </c>
      <c r="P976" s="7">
        <v>13.5</v>
      </c>
      <c r="Q976" s="7">
        <v>-0.56000000000000005</v>
      </c>
      <c r="R976" s="7">
        <v>0</v>
      </c>
      <c r="S976" s="7">
        <v>0.4</v>
      </c>
      <c r="T976" s="7">
        <v>0.2</v>
      </c>
      <c r="U976" s="7">
        <v>0.54</v>
      </c>
      <c r="V976" s="7">
        <v>0.8</v>
      </c>
      <c r="W976" s="7" t="s">
        <v>13</v>
      </c>
      <c r="X976" s="7" t="s">
        <v>12</v>
      </c>
      <c r="Y976" s="2" t="s">
        <v>719</v>
      </c>
      <c r="Z976" s="2" t="s">
        <v>721</v>
      </c>
    </row>
    <row r="977" spans="1:26" x14ac:dyDescent="0.35">
      <c r="A977" s="7" t="s">
        <v>1559</v>
      </c>
      <c r="B977" s="7" t="s">
        <v>1020</v>
      </c>
      <c r="C977" s="4" t="str">
        <f>_xlfn.XLOOKUP(A977,[2]Sheet2!$I$2:$I$1273,[2]Sheet2!$D$2:$D$1273,0)</f>
        <v>Q3</v>
      </c>
      <c r="D977" s="4" t="str">
        <f>_xlfn.XLOOKUP(B977,[4]Sheet2!$B$2:$B$3154,[4]Sheet2!$F$2:$F$3154,0)</f>
        <v>N/ App</v>
      </c>
      <c r="E977" s="4" t="e">
        <f>_xlfn.XLOOKUP(B977,[2]Sheet2!$E$2:$E$713,[2]Sheet2!$G$2:$G$713)</f>
        <v>#N/A</v>
      </c>
      <c r="F977" s="18">
        <v>46108</v>
      </c>
      <c r="G977" s="14">
        <v>0.2799537037037037</v>
      </c>
      <c r="H977" s="7" t="s">
        <v>14</v>
      </c>
      <c r="I977" s="2" t="str">
        <f t="shared" si="78"/>
        <v>Q4</v>
      </c>
      <c r="J977" s="2" t="str">
        <f t="shared" si="79"/>
        <v>Not Match</v>
      </c>
      <c r="K977" s="2">
        <f t="shared" si="75"/>
        <v>0.1</v>
      </c>
      <c r="L977" s="2" t="e">
        <f t="shared" si="76"/>
        <v>#N/A</v>
      </c>
      <c r="M977" s="2" t="str">
        <f t="shared" si="77"/>
        <v>Below 0.8 not in assigned quadrant</v>
      </c>
      <c r="N977" s="7">
        <v>17.100000000000001</v>
      </c>
      <c r="O977" s="7">
        <v>-0.7</v>
      </c>
      <c r="P977" s="7">
        <v>-3</v>
      </c>
      <c r="Q977" s="7">
        <v>-0.6</v>
      </c>
      <c r="R977" s="7">
        <v>0</v>
      </c>
      <c r="S977" s="7">
        <v>-0.1</v>
      </c>
      <c r="T977" s="7">
        <v>0.16</v>
      </c>
      <c r="U977" s="7">
        <v>0.14000000000000001</v>
      </c>
      <c r="V977" s="7">
        <v>0.63</v>
      </c>
      <c r="W977" s="7" t="s">
        <v>8</v>
      </c>
      <c r="X977" s="7" t="s">
        <v>9</v>
      </c>
      <c r="Y977" s="2" t="s">
        <v>719</v>
      </c>
      <c r="Z977" s="2" t="s">
        <v>721</v>
      </c>
    </row>
    <row r="978" spans="1:26" x14ac:dyDescent="0.35">
      <c r="A978" s="7" t="s">
        <v>1567</v>
      </c>
      <c r="B978" s="7" t="s">
        <v>1021</v>
      </c>
      <c r="C978" s="4" t="str">
        <f>_xlfn.XLOOKUP(A978,[2]Sheet2!$I$2:$I$1273,[2]Sheet2!$D$2:$D$1273,0)</f>
        <v>Q3</v>
      </c>
      <c r="D978" s="4" t="str">
        <f>_xlfn.XLOOKUP(B978,[4]Sheet2!$B$2:$B$3154,[4]Sheet2!$F$2:$F$3154,0)</f>
        <v>C/APP</v>
      </c>
      <c r="E978" s="4" t="e">
        <f>_xlfn.XLOOKUP(B978,[2]Sheet2!$E$2:$E$713,[2]Sheet2!$G$2:$G$713)</f>
        <v>#N/A</v>
      </c>
      <c r="F978" s="18">
        <v>46108</v>
      </c>
      <c r="G978" s="14">
        <v>0.28290509259259261</v>
      </c>
      <c r="H978" s="7" t="s">
        <v>16</v>
      </c>
      <c r="I978" s="2" t="str">
        <f t="shared" si="78"/>
        <v>Q3</v>
      </c>
      <c r="J978" s="2" t="str">
        <f t="shared" si="79"/>
        <v>Match</v>
      </c>
      <c r="K978" s="2">
        <f t="shared" si="75"/>
        <v>0.28284271247461906</v>
      </c>
      <c r="L978" s="2" t="e">
        <f t="shared" si="76"/>
        <v>#N/A</v>
      </c>
      <c r="M978" s="2" t="str">
        <f t="shared" si="77"/>
        <v>Digital Approve Hit</v>
      </c>
      <c r="N978" s="7">
        <v>23.3</v>
      </c>
      <c r="O978" s="7">
        <v>-5.5</v>
      </c>
      <c r="P978" s="7">
        <v>-8.1999999999999993</v>
      </c>
      <c r="Q978" s="7">
        <v>-0.43</v>
      </c>
      <c r="R978" s="7">
        <v>-0.2</v>
      </c>
      <c r="S978" s="7">
        <v>-0.2</v>
      </c>
      <c r="T978" s="7">
        <v>0.32</v>
      </c>
      <c r="U978" s="7">
        <v>-0.06</v>
      </c>
      <c r="V978" s="7">
        <v>0.54</v>
      </c>
      <c r="W978" s="7" t="s">
        <v>8</v>
      </c>
      <c r="X978" s="7" t="s">
        <v>15</v>
      </c>
      <c r="Y978" s="2" t="s">
        <v>719</v>
      </c>
      <c r="Z978" s="2" t="s">
        <v>721</v>
      </c>
    </row>
    <row r="979" spans="1:26" x14ac:dyDescent="0.35">
      <c r="A979" s="7" t="s">
        <v>1574</v>
      </c>
      <c r="B979" s="7" t="s">
        <v>1022</v>
      </c>
      <c r="C979" s="4" t="str">
        <f>_xlfn.XLOOKUP(A979,[2]Sheet2!$I$2:$I$1273,[2]Sheet2!$D$2:$D$1273,0)</f>
        <v>Q2</v>
      </c>
      <c r="D979" s="4" t="str">
        <f>_xlfn.XLOOKUP(B979,[4]Sheet2!$B$2:$B$3154,[4]Sheet2!$F$2:$F$3154,0)</f>
        <v>N/ App</v>
      </c>
      <c r="E979" s="4" t="e">
        <f>_xlfn.XLOOKUP(B979,[2]Sheet2!$E$2:$E$713,[2]Sheet2!$G$2:$G$713)</f>
        <v>#N/A</v>
      </c>
      <c r="F979" s="18">
        <v>46108</v>
      </c>
      <c r="G979" s="14">
        <v>0.2848148148148148</v>
      </c>
      <c r="H979" s="7" t="s">
        <v>11</v>
      </c>
      <c r="I979" s="2" t="str">
        <f t="shared" si="78"/>
        <v>Q2</v>
      </c>
      <c r="J979" s="2" t="str">
        <f t="shared" si="79"/>
        <v>Match</v>
      </c>
      <c r="K979" s="2">
        <f t="shared" si="75"/>
        <v>0</v>
      </c>
      <c r="L979" s="2" t="e">
        <f t="shared" si="76"/>
        <v>#N/A</v>
      </c>
      <c r="M979" s="2" t="str">
        <f t="shared" si="77"/>
        <v>Digital Approve Hit</v>
      </c>
      <c r="N979" s="7">
        <v>18.399999999999999</v>
      </c>
      <c r="O979" s="7">
        <v>-0.2</v>
      </c>
      <c r="P979" s="7">
        <v>-12.1</v>
      </c>
      <c r="Q979" s="7">
        <v>-0.69</v>
      </c>
      <c r="R979" s="7">
        <v>0</v>
      </c>
      <c r="S979" s="7">
        <v>0</v>
      </c>
      <c r="T979" s="7">
        <v>0.03</v>
      </c>
      <c r="U979" s="7">
        <v>0.08</v>
      </c>
      <c r="V979" s="7">
        <v>0.69</v>
      </c>
      <c r="W979" s="7" t="s">
        <v>8</v>
      </c>
      <c r="X979" s="7" t="s">
        <v>9</v>
      </c>
      <c r="Y979" s="2" t="s">
        <v>719</v>
      </c>
      <c r="Z979" s="2" t="s">
        <v>721</v>
      </c>
    </row>
    <row r="980" spans="1:26" x14ac:dyDescent="0.35">
      <c r="A980" s="7" t="s">
        <v>1549</v>
      </c>
      <c r="B980" s="7" t="s">
        <v>1023</v>
      </c>
      <c r="C980" s="4" t="str">
        <f>_xlfn.XLOOKUP(A980,[2]Sheet2!$I$2:$I$1273,[2]Sheet2!$D$2:$D$1273,0)</f>
        <v>Q1</v>
      </c>
      <c r="D980" s="4" t="str">
        <f>_xlfn.XLOOKUP(B980,[4]Sheet2!$B$2:$B$3154,[4]Sheet2!$F$2:$F$3154,0)</f>
        <v>N/ App</v>
      </c>
      <c r="E980" s="4" t="e">
        <f>_xlfn.XLOOKUP(B980,[2]Sheet2!$E$2:$E$713,[2]Sheet2!$G$2:$G$713)</f>
        <v>#N/A</v>
      </c>
      <c r="F980" s="18">
        <v>46108</v>
      </c>
      <c r="G980" s="14">
        <v>0.28659722222222223</v>
      </c>
      <c r="H980" s="7" t="s">
        <v>4</v>
      </c>
      <c r="I980" s="2" t="str">
        <f t="shared" si="78"/>
        <v>Q1</v>
      </c>
      <c r="J980" s="2" t="str">
        <f t="shared" si="79"/>
        <v>Match</v>
      </c>
      <c r="K980" s="2">
        <f t="shared" si="75"/>
        <v>0</v>
      </c>
      <c r="L980" s="2" t="e">
        <f t="shared" si="76"/>
        <v>#N/A</v>
      </c>
      <c r="M980" s="2" t="str">
        <f t="shared" si="77"/>
        <v>Failed but within quadrant</v>
      </c>
      <c r="N980" s="7">
        <v>17.100000000000001</v>
      </c>
      <c r="O980" s="7">
        <v>-0.3</v>
      </c>
      <c r="P980" s="7">
        <v>-1</v>
      </c>
      <c r="Q980" s="7">
        <v>-1.4</v>
      </c>
      <c r="R980" s="7">
        <v>0</v>
      </c>
      <c r="S980" s="7">
        <v>0</v>
      </c>
      <c r="T980" s="7">
        <v>-0.09</v>
      </c>
      <c r="U980" s="7">
        <v>-0.12</v>
      </c>
      <c r="V980" s="7">
        <v>1.4</v>
      </c>
      <c r="W980" s="7" t="s">
        <v>6</v>
      </c>
      <c r="X980" s="7" t="s">
        <v>15</v>
      </c>
      <c r="Y980" s="2" t="s">
        <v>719</v>
      </c>
      <c r="Z980" s="2" t="s">
        <v>721</v>
      </c>
    </row>
    <row r="981" spans="1:26" x14ac:dyDescent="0.35">
      <c r="A981" s="7" t="s">
        <v>1666</v>
      </c>
      <c r="B981" s="7" t="s">
        <v>1024</v>
      </c>
      <c r="C981" s="4" t="str">
        <f>_xlfn.XLOOKUP(A981,[2]Sheet2!$I$2:$I$1273,[2]Sheet2!$D$2:$D$1273,0)</f>
        <v>Q3</v>
      </c>
      <c r="D981" s="4" t="str">
        <f>_xlfn.XLOOKUP(B981,[4]Sheet2!$B$2:$B$3154,[4]Sheet2!$F$2:$F$3154,0)</f>
        <v>C/APP</v>
      </c>
      <c r="E981" s="4" t="e">
        <f>_xlfn.XLOOKUP(B981,[2]Sheet2!$E$2:$E$713,[2]Sheet2!$G$2:$G$713)</f>
        <v>#N/A</v>
      </c>
      <c r="F981" s="18">
        <v>46108</v>
      </c>
      <c r="G981" s="14">
        <v>0.44442129629629629</v>
      </c>
      <c r="H981" s="7" t="s">
        <v>5</v>
      </c>
      <c r="I981" s="2" t="str">
        <f t="shared" si="78"/>
        <v>Q3</v>
      </c>
      <c r="J981" s="2" t="str">
        <f t="shared" si="79"/>
        <v>Match</v>
      </c>
      <c r="K981" s="2">
        <f t="shared" si="75"/>
        <v>0.22360679774997899</v>
      </c>
      <c r="L981" s="2" t="e">
        <f t="shared" si="76"/>
        <v>#N/A</v>
      </c>
      <c r="M981" s="2" t="str">
        <f t="shared" si="77"/>
        <v>Digital Approve Hit</v>
      </c>
      <c r="N981" s="7">
        <v>17.3</v>
      </c>
      <c r="O981" s="7">
        <v>-0.2</v>
      </c>
      <c r="P981" s="7">
        <v>-1.1000000000000001</v>
      </c>
      <c r="Q981" s="7">
        <v>0.65</v>
      </c>
      <c r="R981" s="7">
        <v>-0.2</v>
      </c>
      <c r="S981" s="7">
        <v>-0.1</v>
      </c>
      <c r="T981" s="7">
        <v>0.28999999999999998</v>
      </c>
      <c r="U981" s="7">
        <v>-0.34</v>
      </c>
      <c r="V981" s="7">
        <v>0.79</v>
      </c>
      <c r="W981" s="7" t="s">
        <v>13</v>
      </c>
      <c r="X981" s="7" t="s">
        <v>15</v>
      </c>
      <c r="Y981" s="2" t="s">
        <v>719</v>
      </c>
      <c r="Z981" s="2" t="s">
        <v>721</v>
      </c>
    </row>
    <row r="982" spans="1:26" x14ac:dyDescent="0.35">
      <c r="A982" s="7" t="s">
        <v>1586</v>
      </c>
      <c r="B982" s="7" t="s">
        <v>1025</v>
      </c>
      <c r="C982" s="4" t="str">
        <f>_xlfn.XLOOKUP(A982,[2]Sheet2!$I$2:$I$1273,[2]Sheet2!$D$2:$D$1273,0)</f>
        <v>Q2</v>
      </c>
      <c r="D982" s="4" t="str">
        <f>_xlfn.XLOOKUP(B982,[4]Sheet2!$B$2:$B$3154,[4]Sheet2!$F$2:$F$3154,0)</f>
        <v>N/ App</v>
      </c>
      <c r="E982" s="4" t="e">
        <f>_xlfn.XLOOKUP(B982,[2]Sheet2!$E$2:$E$713,[2]Sheet2!$G$2:$G$713)</f>
        <v>#N/A</v>
      </c>
      <c r="F982" s="18">
        <v>46108</v>
      </c>
      <c r="G982" s="14">
        <v>0.44597222222222221</v>
      </c>
      <c r="H982" s="7" t="s">
        <v>4</v>
      </c>
      <c r="I982" s="2" t="str">
        <f t="shared" si="78"/>
        <v>Q1</v>
      </c>
      <c r="J982" s="2" t="str">
        <f t="shared" si="79"/>
        <v>Not Match</v>
      </c>
      <c r="K982" s="2">
        <f t="shared" si="75"/>
        <v>0.1</v>
      </c>
      <c r="L982" s="2" t="e">
        <f t="shared" si="76"/>
        <v>#N/A</v>
      </c>
      <c r="M982" s="2" t="str">
        <f t="shared" si="77"/>
        <v>Below 0.8 not in assigned quadrant</v>
      </c>
      <c r="N982" s="7">
        <v>17.2</v>
      </c>
      <c r="O982" s="7">
        <v>0</v>
      </c>
      <c r="P982" s="7">
        <v>-0.9</v>
      </c>
      <c r="Q982" s="7">
        <v>-0.69</v>
      </c>
      <c r="R982" s="7">
        <v>0</v>
      </c>
      <c r="S982" s="7">
        <v>0.1</v>
      </c>
      <c r="T982" s="7">
        <v>-0.17</v>
      </c>
      <c r="U982" s="7">
        <v>-0.08</v>
      </c>
      <c r="V982" s="7">
        <v>0.71</v>
      </c>
      <c r="W982" s="7" t="s">
        <v>8</v>
      </c>
      <c r="X982" s="7" t="s">
        <v>15</v>
      </c>
      <c r="Y982" s="2" t="s">
        <v>719</v>
      </c>
      <c r="Z982" s="2" t="s">
        <v>721</v>
      </c>
    </row>
    <row r="983" spans="1:26" x14ac:dyDescent="0.35">
      <c r="A983" s="7" t="s">
        <v>1557</v>
      </c>
      <c r="B983" s="7" t="s">
        <v>1026</v>
      </c>
      <c r="C983" s="4" t="str">
        <f>_xlfn.XLOOKUP(A983,[2]Sheet2!$I$2:$I$1273,[2]Sheet2!$D$2:$D$1273,0)</f>
        <v>Q3</v>
      </c>
      <c r="D983" s="4" t="str">
        <f>_xlfn.XLOOKUP(B983,[4]Sheet2!$B$2:$B$3154,[4]Sheet2!$F$2:$F$3154,0)</f>
        <v>N/ App</v>
      </c>
      <c r="E983" s="4" t="e">
        <f>_xlfn.XLOOKUP(B983,[2]Sheet2!$E$2:$E$713,[2]Sheet2!$G$2:$G$713)</f>
        <v>#N/A</v>
      </c>
      <c r="F983" s="18">
        <v>46108</v>
      </c>
      <c r="G983" s="14">
        <v>0.47520833333333334</v>
      </c>
      <c r="H983" s="7" t="s">
        <v>16</v>
      </c>
      <c r="I983" s="2" t="str">
        <f t="shared" si="78"/>
        <v>Q3</v>
      </c>
      <c r="J983" s="2" t="str">
        <f t="shared" si="79"/>
        <v>Match</v>
      </c>
      <c r="K983" s="2">
        <f t="shared" si="75"/>
        <v>0.22360679774997899</v>
      </c>
      <c r="L983" s="2" t="e">
        <f t="shared" si="76"/>
        <v>#N/A</v>
      </c>
      <c r="M983" s="2" t="str">
        <f t="shared" si="77"/>
        <v>Digital Approve Hit</v>
      </c>
      <c r="N983" s="7">
        <v>15</v>
      </c>
      <c r="O983" s="7">
        <v>-0.3</v>
      </c>
      <c r="P983" s="7">
        <v>-2</v>
      </c>
      <c r="Q983" s="7">
        <v>-0.47</v>
      </c>
      <c r="R983" s="7">
        <v>-0.1</v>
      </c>
      <c r="S983" s="7">
        <v>-0.2</v>
      </c>
      <c r="T983" s="7">
        <v>0.37</v>
      </c>
      <c r="U983" s="7">
        <v>-0.21</v>
      </c>
      <c r="V983" s="7">
        <v>0.63</v>
      </c>
      <c r="W983" s="7" t="s">
        <v>8</v>
      </c>
      <c r="X983" s="7" t="s">
        <v>15</v>
      </c>
      <c r="Y983" s="2" t="s">
        <v>719</v>
      </c>
      <c r="Z983" s="2" t="s">
        <v>721</v>
      </c>
    </row>
    <row r="984" spans="1:26" x14ac:dyDescent="0.35">
      <c r="A984" s="7" t="s">
        <v>1727</v>
      </c>
      <c r="B984" s="7" t="s">
        <v>1027</v>
      </c>
      <c r="C984" s="4" t="str">
        <f>_xlfn.XLOOKUP(A984,[2]Sheet2!$I$2:$I$1273,[2]Sheet2!$D$2:$D$1273,0)</f>
        <v>Q2</v>
      </c>
      <c r="D984" s="4" t="str">
        <f>_xlfn.XLOOKUP(B984,[4]Sheet2!$B$2:$B$3154,[4]Sheet2!$F$2:$F$3154,0)</f>
        <v>C/APP</v>
      </c>
      <c r="E984" s="4" t="e">
        <f>_xlfn.XLOOKUP(B984,[2]Sheet2!$E$2:$E$713,[2]Sheet2!$G$2:$G$713)</f>
        <v>#N/A</v>
      </c>
      <c r="F984" s="18">
        <v>46108</v>
      </c>
      <c r="G984" s="14">
        <v>0.56206018518518519</v>
      </c>
      <c r="H984" s="7" t="s">
        <v>4</v>
      </c>
      <c r="I984" s="2" t="str">
        <f t="shared" si="78"/>
        <v>Q3</v>
      </c>
      <c r="J984" s="2" t="str">
        <f t="shared" si="79"/>
        <v>Not Match</v>
      </c>
      <c r="K984" s="2">
        <f t="shared" si="75"/>
        <v>0.1</v>
      </c>
      <c r="L984" s="2" t="e">
        <f t="shared" si="76"/>
        <v>#N/A</v>
      </c>
      <c r="M984" s="2" t="str">
        <f t="shared" si="77"/>
        <v>Below 0.8 not in assigned quadrant</v>
      </c>
      <c r="N984" s="7">
        <v>13.7</v>
      </c>
      <c r="O984" s="7">
        <v>-0.1</v>
      </c>
      <c r="P984" s="7">
        <v>-1.9</v>
      </c>
      <c r="Q984" s="7">
        <v>-0.42</v>
      </c>
      <c r="R984" s="7">
        <v>-0.1</v>
      </c>
      <c r="S984" s="7">
        <v>0</v>
      </c>
      <c r="T984" s="7">
        <v>0.11</v>
      </c>
      <c r="U984" s="7">
        <v>-0.24</v>
      </c>
      <c r="V984" s="7">
        <v>0.5</v>
      </c>
      <c r="W984" s="7" t="s">
        <v>8</v>
      </c>
      <c r="X984" s="7" t="s">
        <v>15</v>
      </c>
      <c r="Y984" s="2" t="s">
        <v>719</v>
      </c>
      <c r="Z984" s="2" t="s">
        <v>721</v>
      </c>
    </row>
    <row r="985" spans="1:26" x14ac:dyDescent="0.35">
      <c r="A985" s="7" t="s">
        <v>1574</v>
      </c>
      <c r="B985" s="7" t="s">
        <v>1028</v>
      </c>
      <c r="C985" s="4" t="str">
        <f>_xlfn.XLOOKUP(A985,[2]Sheet2!$I$2:$I$1273,[2]Sheet2!$D$2:$D$1273,0)</f>
        <v>Q2</v>
      </c>
      <c r="D985" s="4" t="str">
        <f>_xlfn.XLOOKUP(B985,[4]Sheet2!$B$2:$B$3154,[4]Sheet2!$F$2:$F$3154,0)</f>
        <v>N/ App</v>
      </c>
      <c r="E985" s="4" t="e">
        <f>_xlfn.XLOOKUP(B985,[2]Sheet2!$E$2:$E$713,[2]Sheet2!$G$2:$G$713)</f>
        <v>#N/A</v>
      </c>
      <c r="F985" s="18">
        <v>46108</v>
      </c>
      <c r="G985" s="14">
        <v>0.62712962962962959</v>
      </c>
      <c r="H985" s="7" t="s">
        <v>11</v>
      </c>
      <c r="I985" s="2" t="str">
        <f t="shared" si="78"/>
        <v>Q4</v>
      </c>
      <c r="J985" s="2" t="str">
        <f t="shared" si="79"/>
        <v>Not Match</v>
      </c>
      <c r="K985" s="2">
        <f t="shared" si="75"/>
        <v>0.4</v>
      </c>
      <c r="L985" s="2" t="e">
        <f t="shared" si="76"/>
        <v>#N/A</v>
      </c>
      <c r="M985" s="2" t="str">
        <f t="shared" si="77"/>
        <v>Below 0.8 not in assigned quadrant</v>
      </c>
      <c r="N985" s="7">
        <v>18.8</v>
      </c>
      <c r="O985" s="7">
        <v>-0.2</v>
      </c>
      <c r="P985" s="7">
        <v>-12.4</v>
      </c>
      <c r="Q985" s="7">
        <v>-0.38</v>
      </c>
      <c r="R985" s="7">
        <v>0</v>
      </c>
      <c r="S985" s="7">
        <v>-0.4</v>
      </c>
      <c r="T985" s="7">
        <v>0.31</v>
      </c>
      <c r="U985" s="7">
        <v>0.1</v>
      </c>
      <c r="V985" s="7">
        <v>0.51</v>
      </c>
      <c r="W985" s="7" t="s">
        <v>8</v>
      </c>
      <c r="X985" s="7" t="s">
        <v>9</v>
      </c>
      <c r="Y985" s="2" t="s">
        <v>719</v>
      </c>
      <c r="Z985" s="2" t="s">
        <v>721</v>
      </c>
    </row>
    <row r="986" spans="1:26" x14ac:dyDescent="0.35">
      <c r="A986" s="7" t="s">
        <v>1545</v>
      </c>
      <c r="B986" s="7" t="s">
        <v>1029</v>
      </c>
      <c r="C986" s="4" t="str">
        <f>_xlfn.XLOOKUP(A986,[2]Sheet2!$I$2:$I$1273,[2]Sheet2!$D$2:$D$1273,0)</f>
        <v>Q2</v>
      </c>
      <c r="D986" s="4" t="str">
        <f>_xlfn.XLOOKUP(B986,[4]Sheet2!$B$2:$B$3154,[4]Sheet2!$F$2:$F$3154,0)</f>
        <v>N/ App</v>
      </c>
      <c r="E986" s="4" t="e">
        <f>_xlfn.XLOOKUP(B986,[2]Sheet2!$E$2:$E$713,[2]Sheet2!$G$2:$G$713)</f>
        <v>#N/A</v>
      </c>
      <c r="F986" s="18">
        <v>46108</v>
      </c>
      <c r="G986" s="14">
        <v>0.63846064814814818</v>
      </c>
      <c r="H986" s="7" t="s">
        <v>5</v>
      </c>
      <c r="I986" s="2" t="str">
        <f t="shared" si="78"/>
        <v>Q4</v>
      </c>
      <c r="J986" s="2" t="str">
        <f t="shared" si="79"/>
        <v>Not Match</v>
      </c>
      <c r="K986" s="2">
        <f t="shared" si="75"/>
        <v>0.3</v>
      </c>
      <c r="L986" s="2" t="e">
        <f t="shared" si="76"/>
        <v>#N/A</v>
      </c>
      <c r="M986" s="2" t="str">
        <f t="shared" si="77"/>
        <v>Below 0.8 not in assigned quadrant</v>
      </c>
      <c r="N986" s="7">
        <v>17.899999999999999</v>
      </c>
      <c r="O986" s="7">
        <v>-0.6</v>
      </c>
      <c r="P986" s="7">
        <v>-2.7</v>
      </c>
      <c r="Q986" s="7">
        <v>-0.03</v>
      </c>
      <c r="R986" s="7">
        <v>0</v>
      </c>
      <c r="S986" s="7">
        <v>-0.3</v>
      </c>
      <c r="T986" s="7">
        <v>0.41</v>
      </c>
      <c r="U986" s="7">
        <v>0.17</v>
      </c>
      <c r="V986" s="7">
        <v>0.45</v>
      </c>
      <c r="W986" s="7" t="s">
        <v>8</v>
      </c>
      <c r="X986" s="7" t="s">
        <v>9</v>
      </c>
      <c r="Y986" s="2" t="s">
        <v>719</v>
      </c>
      <c r="Z986" s="2" t="s">
        <v>721</v>
      </c>
    </row>
    <row r="987" spans="1:26" x14ac:dyDescent="0.35">
      <c r="A987" s="7" t="s">
        <v>1744</v>
      </c>
      <c r="B987" s="7" t="s">
        <v>1030</v>
      </c>
      <c r="C987" s="4" t="str">
        <f>_xlfn.XLOOKUP(A987,[2]Sheet2!$I$2:$I$1273,[2]Sheet2!$D$2:$D$1273,0)</f>
        <v>Q2</v>
      </c>
      <c r="D987" s="4" t="str">
        <f>_xlfn.XLOOKUP(B987,[4]Sheet2!$B$2:$B$3154,[4]Sheet2!$F$2:$F$3154,0)</f>
        <v>N/ App</v>
      </c>
      <c r="E987" s="4" t="e">
        <f>_xlfn.XLOOKUP(B987,[2]Sheet2!$E$2:$E$713,[2]Sheet2!$G$2:$G$713)</f>
        <v>#N/A</v>
      </c>
      <c r="F987" s="18">
        <v>46108</v>
      </c>
      <c r="G987" s="14">
        <v>0.69285879629629632</v>
      </c>
      <c r="H987" s="7" t="s">
        <v>11</v>
      </c>
      <c r="I987" s="2" t="str">
        <f t="shared" si="78"/>
        <v>Q4</v>
      </c>
      <c r="J987" s="2" t="str">
        <f t="shared" si="79"/>
        <v>Not Match</v>
      </c>
      <c r="K987" s="2">
        <f t="shared" si="75"/>
        <v>0.1</v>
      </c>
      <c r="L987" s="2" t="e">
        <f t="shared" si="76"/>
        <v>#N/A</v>
      </c>
      <c r="M987" s="2" t="str">
        <f t="shared" si="77"/>
        <v>Below 0.8 not in assigned quadrant</v>
      </c>
      <c r="N987" s="7">
        <v>14.6</v>
      </c>
      <c r="O987" s="7">
        <v>-0.2</v>
      </c>
      <c r="P987" s="7">
        <v>-4</v>
      </c>
      <c r="Q987" s="7">
        <v>0.47</v>
      </c>
      <c r="R987" s="7">
        <v>0.1</v>
      </c>
      <c r="S987" s="7">
        <v>0</v>
      </c>
      <c r="T987" s="7">
        <v>7.0000000000000007E-2</v>
      </c>
      <c r="U987" s="7">
        <v>0.21</v>
      </c>
      <c r="V987" s="7">
        <v>0.53</v>
      </c>
      <c r="W987" s="7" t="s">
        <v>8</v>
      </c>
      <c r="X987" s="7" t="s">
        <v>9</v>
      </c>
      <c r="Y987" s="2" t="s">
        <v>719</v>
      </c>
      <c r="Z987" s="2" t="s">
        <v>721</v>
      </c>
    </row>
    <row r="988" spans="1:26" x14ac:dyDescent="0.35">
      <c r="A988" s="7" t="s">
        <v>1545</v>
      </c>
      <c r="B988" s="7" t="s">
        <v>1031</v>
      </c>
      <c r="C988" s="4" t="str">
        <f>_xlfn.XLOOKUP(A988,[2]Sheet2!$I$2:$I$1273,[2]Sheet2!$D$2:$D$1273,0)</f>
        <v>Q2</v>
      </c>
      <c r="D988" s="4" t="str">
        <f>_xlfn.XLOOKUP(B988,[4]Sheet2!$B$2:$B$3154,[4]Sheet2!$F$2:$F$3154,0)</f>
        <v>N/ App</v>
      </c>
      <c r="E988" s="4" t="e">
        <f>_xlfn.XLOOKUP(B988,[2]Sheet2!$E$2:$E$713,[2]Sheet2!$G$2:$G$713)</f>
        <v>#N/A</v>
      </c>
      <c r="F988" s="18">
        <v>46108</v>
      </c>
      <c r="G988" s="14">
        <v>0.69468750000000001</v>
      </c>
      <c r="H988" s="7" t="s">
        <v>5</v>
      </c>
      <c r="I988" s="2" t="str">
        <f t="shared" si="78"/>
        <v>Q4</v>
      </c>
      <c r="J988" s="2" t="str">
        <f t="shared" si="79"/>
        <v>Not Match</v>
      </c>
      <c r="K988" s="2">
        <f t="shared" si="75"/>
        <v>0.3</v>
      </c>
      <c r="L988" s="2" t="e">
        <f t="shared" si="76"/>
        <v>#N/A</v>
      </c>
      <c r="M988" s="2" t="str">
        <f t="shared" si="77"/>
        <v>Below 0.8 not in assigned quadrant</v>
      </c>
      <c r="N988" s="7">
        <v>17.8</v>
      </c>
      <c r="O988" s="7">
        <v>-0.6</v>
      </c>
      <c r="P988" s="7">
        <v>-2.7</v>
      </c>
      <c r="Q988" s="7">
        <v>-0.11</v>
      </c>
      <c r="R988" s="7">
        <v>0</v>
      </c>
      <c r="S988" s="7">
        <v>-0.3</v>
      </c>
      <c r="T988" s="7">
        <v>0.46</v>
      </c>
      <c r="U988" s="7">
        <v>0.18</v>
      </c>
      <c r="V988" s="7">
        <v>0.51</v>
      </c>
      <c r="W988" s="7" t="s">
        <v>8</v>
      </c>
      <c r="X988" s="7" t="s">
        <v>9</v>
      </c>
      <c r="Y988" s="2" t="s">
        <v>719</v>
      </c>
      <c r="Z988" s="2" t="s">
        <v>721</v>
      </c>
    </row>
    <row r="989" spans="1:26" x14ac:dyDescent="0.35">
      <c r="A989" s="7" t="s">
        <v>1516</v>
      </c>
      <c r="B989" s="7" t="s">
        <v>1032</v>
      </c>
      <c r="C989" s="4" t="str">
        <f>_xlfn.XLOOKUP(A989,[2]Sheet2!$I$2:$I$1273,[2]Sheet2!$D$2:$D$1273,0)</f>
        <v>Q2</v>
      </c>
      <c r="D989" s="4" t="str">
        <f>_xlfn.XLOOKUP(B989,[4]Sheet2!$B$2:$B$3154,[4]Sheet2!$F$2:$F$3154,0)</f>
        <v>N/ App</v>
      </c>
      <c r="E989" s="4" t="e">
        <f>_xlfn.XLOOKUP(B989,[2]Sheet2!$E$2:$E$713,[2]Sheet2!$G$2:$G$713)</f>
        <v>#N/A</v>
      </c>
      <c r="F989" s="18">
        <v>46108</v>
      </c>
      <c r="G989" s="14">
        <v>0.72479166666666661</v>
      </c>
      <c r="H989" s="7" t="s">
        <v>4</v>
      </c>
      <c r="I989" s="2" t="str">
        <f t="shared" si="78"/>
        <v>Q2</v>
      </c>
      <c r="J989" s="2" t="str">
        <f t="shared" si="79"/>
        <v>Match</v>
      </c>
      <c r="K989" s="2">
        <f t="shared" si="75"/>
        <v>0</v>
      </c>
      <c r="L989" s="2" t="e">
        <f t="shared" si="76"/>
        <v>#N/A</v>
      </c>
      <c r="M989" s="2" t="str">
        <f t="shared" si="77"/>
        <v>Digital Approve Hit</v>
      </c>
      <c r="N989" s="7">
        <v>18.8</v>
      </c>
      <c r="O989" s="7">
        <v>-1.4</v>
      </c>
      <c r="P989" s="7">
        <v>-1.6</v>
      </c>
      <c r="Q989" s="7">
        <v>0.35</v>
      </c>
      <c r="R989" s="7">
        <v>0</v>
      </c>
      <c r="S989" s="7">
        <v>0</v>
      </c>
      <c r="T989" s="7">
        <v>0.05</v>
      </c>
      <c r="U989" s="7">
        <v>0.02</v>
      </c>
      <c r="V989" s="7">
        <v>0.36</v>
      </c>
      <c r="W989" s="7" t="s">
        <v>8</v>
      </c>
      <c r="X989" s="7" t="s">
        <v>7</v>
      </c>
      <c r="Y989" s="2" t="s">
        <v>719</v>
      </c>
      <c r="Z989" s="2" t="s">
        <v>721</v>
      </c>
    </row>
    <row r="990" spans="1:26" x14ac:dyDescent="0.35">
      <c r="A990" s="7" t="s">
        <v>1731</v>
      </c>
      <c r="B990" s="7" t="s">
        <v>1033</v>
      </c>
      <c r="C990" s="4" t="str">
        <f>_xlfn.XLOOKUP(A990,[2]Sheet2!$I$2:$I$1273,[2]Sheet2!$D$2:$D$1273,0)</f>
        <v>Q4</v>
      </c>
      <c r="D990" s="4" t="str">
        <f>_xlfn.XLOOKUP(B990,[4]Sheet2!$B$2:$B$3154,[4]Sheet2!$F$2:$F$3154,0)</f>
        <v>C/APP</v>
      </c>
      <c r="E990" s="4" t="e">
        <f>_xlfn.XLOOKUP(B990,[2]Sheet2!$E$2:$E$713,[2]Sheet2!$G$2:$G$713)</f>
        <v>#N/A</v>
      </c>
      <c r="F990" s="18">
        <v>46108</v>
      </c>
      <c r="G990" s="14">
        <v>0.72707175925925926</v>
      </c>
      <c r="H990" s="7" t="s">
        <v>5</v>
      </c>
      <c r="I990" s="2" t="str">
        <f t="shared" si="78"/>
        <v>Q3</v>
      </c>
      <c r="J990" s="2" t="str">
        <f t="shared" si="79"/>
        <v>Not Match</v>
      </c>
      <c r="K990" s="2">
        <f t="shared" si="75"/>
        <v>0.41231056256176613</v>
      </c>
      <c r="L990" s="2" t="e">
        <f t="shared" si="76"/>
        <v>#N/A</v>
      </c>
      <c r="M990" s="2" t="str">
        <f t="shared" si="77"/>
        <v>Below 0.8 not in assigned quadrant</v>
      </c>
      <c r="N990" s="7">
        <v>22.6</v>
      </c>
      <c r="O990" s="7">
        <v>-1.4</v>
      </c>
      <c r="P990" s="7">
        <v>-27.5</v>
      </c>
      <c r="Q990" s="7">
        <v>0.43</v>
      </c>
      <c r="R990" s="7">
        <v>-0.1</v>
      </c>
      <c r="S990" s="7">
        <v>-0.4</v>
      </c>
      <c r="T990" s="7">
        <v>0.26</v>
      </c>
      <c r="U990" s="7">
        <v>-0.08</v>
      </c>
      <c r="V990" s="7">
        <v>0.51</v>
      </c>
      <c r="W990" s="7" t="s">
        <v>8</v>
      </c>
      <c r="X990" s="7" t="s">
        <v>15</v>
      </c>
      <c r="Y990" s="2" t="s">
        <v>719</v>
      </c>
      <c r="Z990" s="2" t="s">
        <v>721</v>
      </c>
    </row>
    <row r="991" spans="1:26" x14ac:dyDescent="0.35">
      <c r="A991" s="7" t="s">
        <v>1614</v>
      </c>
      <c r="B991" s="7" t="s">
        <v>1034</v>
      </c>
      <c r="C991" s="4" t="str">
        <f>_xlfn.XLOOKUP(A991,[2]Sheet2!$I$2:$I$1273,[2]Sheet2!$D$2:$D$1273,0)</f>
        <v>Q3</v>
      </c>
      <c r="D991" s="4" t="str">
        <f>_xlfn.XLOOKUP(B991,[4]Sheet2!$B$2:$B$3154,[4]Sheet2!$F$2:$F$3154,0)</f>
        <v>C/APP</v>
      </c>
      <c r="E991" s="4" t="e">
        <f>_xlfn.XLOOKUP(B991,[2]Sheet2!$E$2:$E$713,[2]Sheet2!$G$2:$G$713)</f>
        <v>#N/A</v>
      </c>
      <c r="F991" s="18">
        <v>46108</v>
      </c>
      <c r="G991" s="14">
        <v>0.76063657407407403</v>
      </c>
      <c r="H991" s="7" t="s">
        <v>16</v>
      </c>
      <c r="I991" s="2" t="str">
        <f t="shared" si="78"/>
        <v>Q3</v>
      </c>
      <c r="J991" s="2" t="str">
        <f t="shared" si="79"/>
        <v>Match</v>
      </c>
      <c r="K991" s="2">
        <f t="shared" si="75"/>
        <v>0.42426406871192851</v>
      </c>
      <c r="L991" s="2" t="e">
        <f t="shared" si="76"/>
        <v>#N/A</v>
      </c>
      <c r="M991" s="2" t="str">
        <f t="shared" si="77"/>
        <v>Digital Approve Hit</v>
      </c>
      <c r="N991" s="7">
        <v>24.1</v>
      </c>
      <c r="O991" s="7">
        <v>-5.6</v>
      </c>
      <c r="P991" s="7">
        <v>-8.1999999999999993</v>
      </c>
      <c r="Q991" s="7">
        <v>0.13</v>
      </c>
      <c r="R991" s="7">
        <v>-0.3</v>
      </c>
      <c r="S991" s="7">
        <v>-0.3</v>
      </c>
      <c r="T991" s="7">
        <v>0.38</v>
      </c>
      <c r="U991" s="7">
        <v>-0.16</v>
      </c>
      <c r="V991" s="7">
        <v>0.44</v>
      </c>
      <c r="W991" s="7" t="s">
        <v>8</v>
      </c>
      <c r="X991" s="7" t="s">
        <v>15</v>
      </c>
      <c r="Y991" s="2" t="s">
        <v>719</v>
      </c>
      <c r="Z991" s="2" t="s">
        <v>721</v>
      </c>
    </row>
    <row r="992" spans="1:26" x14ac:dyDescent="0.35">
      <c r="A992" s="7" t="s">
        <v>1559</v>
      </c>
      <c r="B992" s="7" t="s">
        <v>1035</v>
      </c>
      <c r="C992" s="4" t="str">
        <f>_xlfn.XLOOKUP(A992,[2]Sheet2!$I$2:$I$1273,[2]Sheet2!$D$2:$D$1273,0)</f>
        <v>Q3</v>
      </c>
      <c r="D992" s="4" t="str">
        <f>_xlfn.XLOOKUP(B992,[4]Sheet2!$B$2:$B$3154,[4]Sheet2!$F$2:$F$3154,0)</f>
        <v>N/ App</v>
      </c>
      <c r="E992" s="4" t="e">
        <f>_xlfn.XLOOKUP(B992,[2]Sheet2!$E$2:$E$713,[2]Sheet2!$G$2:$G$713)</f>
        <v>#N/A</v>
      </c>
      <c r="F992" s="18">
        <v>46108</v>
      </c>
      <c r="G992" s="14">
        <v>0.77784722222222225</v>
      </c>
      <c r="H992" s="7" t="s">
        <v>11</v>
      </c>
      <c r="I992" s="2" t="str">
        <f t="shared" si="78"/>
        <v>Q4</v>
      </c>
      <c r="J992" s="2" t="str">
        <f t="shared" si="79"/>
        <v>Not Match</v>
      </c>
      <c r="K992" s="2">
        <f t="shared" si="75"/>
        <v>0.3</v>
      </c>
      <c r="L992" s="2" t="e">
        <f t="shared" si="76"/>
        <v>#N/A</v>
      </c>
      <c r="M992" s="2" t="str">
        <f t="shared" si="77"/>
        <v>Below 0.8 not in assigned quadrant</v>
      </c>
      <c r="N992" s="7">
        <v>17</v>
      </c>
      <c r="O992" s="7">
        <v>-0.6</v>
      </c>
      <c r="P992" s="7">
        <v>-3.1</v>
      </c>
      <c r="Q992" s="7">
        <v>-0.61</v>
      </c>
      <c r="R992" s="7">
        <v>0</v>
      </c>
      <c r="S992" s="7">
        <v>-0.3</v>
      </c>
      <c r="T992" s="7">
        <v>0.38</v>
      </c>
      <c r="U992" s="7">
        <v>0.06</v>
      </c>
      <c r="V992" s="7">
        <v>0.72</v>
      </c>
      <c r="W992" s="7" t="s">
        <v>8</v>
      </c>
      <c r="X992" s="7" t="s">
        <v>9</v>
      </c>
      <c r="Y992" s="2" t="s">
        <v>719</v>
      </c>
      <c r="Z992" s="2" t="s">
        <v>721</v>
      </c>
    </row>
    <row r="993" spans="1:26" x14ac:dyDescent="0.35">
      <c r="A993" s="7" t="s">
        <v>1655</v>
      </c>
      <c r="B993" s="7" t="s">
        <v>1036</v>
      </c>
      <c r="C993" s="4" t="str">
        <f>_xlfn.XLOOKUP(A993,[2]Sheet2!$I$2:$I$1273,[2]Sheet2!$D$2:$D$1273,0)</f>
        <v>Q3</v>
      </c>
      <c r="D993" s="4" t="str">
        <f>_xlfn.XLOOKUP(B993,[4]Sheet2!$B$2:$B$3154,[4]Sheet2!$F$2:$F$3154,0)</f>
        <v>N/ App</v>
      </c>
      <c r="E993" s="4" t="e">
        <f>_xlfn.XLOOKUP(B993,[2]Sheet2!$E$2:$E$713,[2]Sheet2!$G$2:$G$713)</f>
        <v>#N/A</v>
      </c>
      <c r="F993" s="18">
        <v>46108</v>
      </c>
      <c r="G993" s="14">
        <v>0.99928240740740737</v>
      </c>
      <c r="H993" s="7" t="s">
        <v>11</v>
      </c>
      <c r="I993" s="2" t="str">
        <f t="shared" si="78"/>
        <v>Q3</v>
      </c>
      <c r="J993" s="2" t="str">
        <f t="shared" si="79"/>
        <v>Match</v>
      </c>
      <c r="K993" s="2">
        <f t="shared" si="75"/>
        <v>0</v>
      </c>
      <c r="L993" s="2" t="e">
        <f t="shared" si="76"/>
        <v>#N/A</v>
      </c>
      <c r="M993" s="2" t="str">
        <f t="shared" si="77"/>
        <v>Digital Approve Hit</v>
      </c>
      <c r="N993" s="7">
        <v>13.6</v>
      </c>
      <c r="O993" s="7">
        <v>-0.8</v>
      </c>
      <c r="P993" s="7">
        <v>-1.5</v>
      </c>
      <c r="Q993" s="7">
        <v>0.03</v>
      </c>
      <c r="R993" s="7">
        <v>0</v>
      </c>
      <c r="S993" s="7">
        <v>0</v>
      </c>
      <c r="T993" s="7">
        <v>0</v>
      </c>
      <c r="U993" s="7">
        <v>0.01</v>
      </c>
      <c r="V993" s="7">
        <v>0.03</v>
      </c>
      <c r="W993" s="7" t="s">
        <v>8</v>
      </c>
      <c r="X993" s="7" t="s">
        <v>9</v>
      </c>
      <c r="Y993" s="2" t="s">
        <v>719</v>
      </c>
      <c r="Z993" s="2" t="s">
        <v>721</v>
      </c>
    </row>
    <row r="994" spans="1:26" x14ac:dyDescent="0.35">
      <c r="A994" s="7" t="s">
        <v>1745</v>
      </c>
      <c r="B994" s="7" t="s">
        <v>1037</v>
      </c>
      <c r="C994" s="4" t="str">
        <f>_xlfn.XLOOKUP(A994,[2]Sheet2!$I$2:$I$1273,[2]Sheet2!$D$2:$D$1273,0)</f>
        <v>Q1</v>
      </c>
      <c r="D994" s="4" t="str">
        <f>_xlfn.XLOOKUP(B994,[4]Sheet2!$B$2:$B$3154,[4]Sheet2!$F$2:$F$3154,0)</f>
        <v>N/ App</v>
      </c>
      <c r="E994" s="4" t="e">
        <f>_xlfn.XLOOKUP(B994,[2]Sheet2!$E$2:$E$713,[2]Sheet2!$G$2:$G$713)</f>
        <v>#N/A</v>
      </c>
      <c r="F994" s="18">
        <v>46109</v>
      </c>
      <c r="G994" s="14">
        <v>2.3032407407407407E-3</v>
      </c>
      <c r="H994" s="7" t="s">
        <v>5</v>
      </c>
      <c r="I994" s="2" t="str">
        <f t="shared" si="78"/>
        <v>Q4</v>
      </c>
      <c r="J994" s="2" t="str">
        <f t="shared" si="79"/>
        <v>Not Match</v>
      </c>
      <c r="K994" s="2">
        <f t="shared" si="75"/>
        <v>0.5</v>
      </c>
      <c r="L994" s="2" t="e">
        <f t="shared" si="76"/>
        <v>#N/A</v>
      </c>
      <c r="M994" s="2" t="str">
        <f t="shared" si="77"/>
        <v>Assign quadrant hit</v>
      </c>
      <c r="N994" s="7">
        <v>14</v>
      </c>
      <c r="O994" s="7">
        <v>-0.8</v>
      </c>
      <c r="P994" s="7">
        <v>-3.1</v>
      </c>
      <c r="Q994" s="7">
        <v>-0.46</v>
      </c>
      <c r="R994" s="7">
        <v>0</v>
      </c>
      <c r="S994" s="7">
        <v>-0.5</v>
      </c>
      <c r="T994" s="7">
        <v>0.61</v>
      </c>
      <c r="U994" s="7">
        <v>0.3</v>
      </c>
      <c r="V994" s="7">
        <v>0.82</v>
      </c>
      <c r="W994" s="7" t="s">
        <v>13</v>
      </c>
      <c r="X994" s="7" t="s">
        <v>9</v>
      </c>
      <c r="Y994" s="2" t="s">
        <v>719</v>
      </c>
      <c r="Z994" s="2" t="s">
        <v>721</v>
      </c>
    </row>
    <row r="995" spans="1:26" x14ac:dyDescent="0.35">
      <c r="A995" s="7" t="s">
        <v>1574</v>
      </c>
      <c r="B995" s="7" t="s">
        <v>1038</v>
      </c>
      <c r="C995" s="4" t="str">
        <f>_xlfn.XLOOKUP(A995,[2]Sheet2!$I$2:$I$1273,[2]Sheet2!$D$2:$D$1273,0)</f>
        <v>Q2</v>
      </c>
      <c r="D995" s="4" t="str">
        <f>_xlfn.XLOOKUP(B995,[4]Sheet2!$B$2:$B$3154,[4]Sheet2!$F$2:$F$3154,0)</f>
        <v>N/ App</v>
      </c>
      <c r="E995" s="4" t="e">
        <f>_xlfn.XLOOKUP(B995,[2]Sheet2!$E$2:$E$713,[2]Sheet2!$G$2:$G$713)</f>
        <v>#N/A</v>
      </c>
      <c r="F995" s="18">
        <v>46109</v>
      </c>
      <c r="G995" s="14">
        <v>5.9606481481481481E-3</v>
      </c>
      <c r="H995" s="7" t="s">
        <v>11</v>
      </c>
      <c r="I995" s="2" t="str">
        <f t="shared" si="78"/>
        <v>Q4</v>
      </c>
      <c r="J995" s="2" t="str">
        <f t="shared" si="79"/>
        <v>Not Match</v>
      </c>
      <c r="K995" s="2">
        <f t="shared" si="75"/>
        <v>0.5</v>
      </c>
      <c r="L995" s="2" t="e">
        <f t="shared" si="76"/>
        <v>#N/A</v>
      </c>
      <c r="M995" s="2" t="str">
        <f t="shared" si="77"/>
        <v>Assign quadrant hit</v>
      </c>
      <c r="N995" s="7">
        <v>18.2</v>
      </c>
      <c r="O995" s="7">
        <v>-0.2</v>
      </c>
      <c r="P995" s="7">
        <v>-12.5</v>
      </c>
      <c r="Q995" s="7">
        <v>-0.84</v>
      </c>
      <c r="R995" s="7">
        <v>0</v>
      </c>
      <c r="S995" s="7">
        <v>-0.5</v>
      </c>
      <c r="T995" s="7">
        <v>0.4</v>
      </c>
      <c r="U995" s="7">
        <v>0.08</v>
      </c>
      <c r="V995" s="7">
        <v>0.94</v>
      </c>
      <c r="W995" s="7" t="s">
        <v>13</v>
      </c>
      <c r="X995" s="7" t="s">
        <v>9</v>
      </c>
      <c r="Y995" s="2" t="s">
        <v>719</v>
      </c>
      <c r="Z995" s="2" t="s">
        <v>721</v>
      </c>
    </row>
    <row r="996" spans="1:26" x14ac:dyDescent="0.35">
      <c r="A996" s="7" t="s">
        <v>1740</v>
      </c>
      <c r="B996" s="7" t="s">
        <v>1039</v>
      </c>
      <c r="C996" s="4" t="str">
        <f>_xlfn.XLOOKUP(A996,[2]Sheet2!$I$2:$I$1273,[2]Sheet2!$D$2:$D$1273,0)</f>
        <v>Q2</v>
      </c>
      <c r="D996" s="4" t="str">
        <f>_xlfn.XLOOKUP(B996,[4]Sheet2!$B$2:$B$3154,[4]Sheet2!$F$2:$F$3154,0)</f>
        <v>N/ App</v>
      </c>
      <c r="E996" s="4" t="e">
        <f>_xlfn.XLOOKUP(B996,[2]Sheet2!$E$2:$E$713,[2]Sheet2!$G$2:$G$713)</f>
        <v>#N/A</v>
      </c>
      <c r="F996" s="18">
        <v>46109</v>
      </c>
      <c r="G996" s="14">
        <v>0.10949074074074074</v>
      </c>
      <c r="H996" s="7" t="s">
        <v>5</v>
      </c>
      <c r="I996" s="2" t="str">
        <f t="shared" si="78"/>
        <v>Q3</v>
      </c>
      <c r="J996" s="2" t="str">
        <f t="shared" si="79"/>
        <v>Not Match</v>
      </c>
      <c r="K996" s="2">
        <f t="shared" si="75"/>
        <v>0.50990195135927852</v>
      </c>
      <c r="L996" s="2" t="e">
        <f t="shared" si="76"/>
        <v>#N/A</v>
      </c>
      <c r="M996" s="2" t="str">
        <f t="shared" si="77"/>
        <v>Assign quadrant hit</v>
      </c>
      <c r="N996" s="7">
        <v>14.5</v>
      </c>
      <c r="O996" s="7">
        <v>-0.8</v>
      </c>
      <c r="P996" s="7">
        <v>-2</v>
      </c>
      <c r="Q996" s="7">
        <v>-0.17</v>
      </c>
      <c r="R996" s="7">
        <v>-0.1</v>
      </c>
      <c r="S996" s="7">
        <v>-0.5</v>
      </c>
      <c r="T996" s="7">
        <v>0.78</v>
      </c>
      <c r="U996" s="7">
        <v>0.2</v>
      </c>
      <c r="V996" s="7">
        <v>0.82</v>
      </c>
      <c r="W996" s="7" t="s">
        <v>13</v>
      </c>
      <c r="X996" s="7" t="s">
        <v>9</v>
      </c>
      <c r="Y996" s="2" t="s">
        <v>719</v>
      </c>
      <c r="Z996" s="2" t="s">
        <v>721</v>
      </c>
    </row>
    <row r="997" spans="1:26" x14ac:dyDescent="0.35">
      <c r="A997" s="7" t="s">
        <v>1746</v>
      </c>
      <c r="B997" s="7" t="s">
        <v>1040</v>
      </c>
      <c r="C997" s="4" t="str">
        <f>_xlfn.XLOOKUP(A997,[2]Sheet2!$I$2:$I$1273,[2]Sheet2!$D$2:$D$1273,0)</f>
        <v>Q1</v>
      </c>
      <c r="D997" s="4" t="str">
        <f>_xlfn.XLOOKUP(B997,[4]Sheet2!$B$2:$B$3154,[4]Sheet2!$F$2:$F$3154,0)</f>
        <v>N/ App</v>
      </c>
      <c r="E997" s="4" t="e">
        <f>_xlfn.XLOOKUP(B997,[2]Sheet2!$E$2:$E$713,[2]Sheet2!$G$2:$G$713)</f>
        <v>#N/A</v>
      </c>
      <c r="F997" s="18">
        <v>46109</v>
      </c>
      <c r="G997" s="14">
        <v>0.16218750000000001</v>
      </c>
      <c r="H997" s="7" t="s">
        <v>5</v>
      </c>
      <c r="I997" s="2" t="str">
        <f t="shared" si="78"/>
        <v>Q3</v>
      </c>
      <c r="J997" s="2" t="str">
        <f t="shared" si="79"/>
        <v>Not Match</v>
      </c>
      <c r="K997" s="2">
        <f t="shared" si="75"/>
        <v>0.14142135623730953</v>
      </c>
      <c r="L997" s="2" t="e">
        <f t="shared" si="76"/>
        <v>#N/A</v>
      </c>
      <c r="M997" s="2" t="str">
        <f t="shared" si="77"/>
        <v>Below 0.8 not in assigned quadrant</v>
      </c>
      <c r="N997" s="7">
        <v>16.3</v>
      </c>
      <c r="O997" s="7">
        <v>-0.9</v>
      </c>
      <c r="P997" s="7">
        <v>-2.4</v>
      </c>
      <c r="Q997" s="7">
        <v>-0.03</v>
      </c>
      <c r="R997" s="7">
        <v>-0.1</v>
      </c>
      <c r="S997" s="7">
        <v>-0.1</v>
      </c>
      <c r="T997" s="7">
        <v>0.18</v>
      </c>
      <c r="U997" s="7">
        <v>-0.06</v>
      </c>
      <c r="V997" s="7">
        <v>0.2</v>
      </c>
      <c r="W997" s="7" t="s">
        <v>8</v>
      </c>
      <c r="X997" s="7" t="s">
        <v>15</v>
      </c>
      <c r="Y997" s="2" t="s">
        <v>719</v>
      </c>
      <c r="Z997" s="2" t="s">
        <v>721</v>
      </c>
    </row>
    <row r="998" spans="1:26" x14ac:dyDescent="0.35">
      <c r="A998" s="7" t="s">
        <v>1747</v>
      </c>
      <c r="B998" s="7" t="s">
        <v>1041</v>
      </c>
      <c r="C998" s="4">
        <f>_xlfn.XLOOKUP(A998,[2]Sheet2!$I$2:$I$1273,[2]Sheet2!$D$2:$D$1273,0)</f>
        <v>0</v>
      </c>
      <c r="D998" s="4" t="str">
        <f>_xlfn.XLOOKUP(B998,[4]Sheet2!$B$2:$B$3154,[4]Sheet2!$F$2:$F$3154,0)</f>
        <v>C/APP</v>
      </c>
      <c r="E998" s="4" t="e">
        <f>_xlfn.XLOOKUP(B998,[2]Sheet2!$E$2:$E$713,[2]Sheet2!$G$2:$G$713)</f>
        <v>#N/A</v>
      </c>
      <c r="F998" s="18">
        <v>46109</v>
      </c>
      <c r="G998" s="14">
        <v>0.16443287037037038</v>
      </c>
      <c r="H998" s="7" t="s">
        <v>16</v>
      </c>
      <c r="I998" s="2" t="str">
        <f t="shared" si="78"/>
        <v>Q3</v>
      </c>
      <c r="J998" s="2" t="str">
        <f t="shared" si="79"/>
        <v>Not Found</v>
      </c>
      <c r="K998" s="2">
        <f t="shared" si="75"/>
        <v>0.2</v>
      </c>
      <c r="L998" s="2" t="e">
        <f t="shared" si="76"/>
        <v>#N/A</v>
      </c>
      <c r="M998" s="2" t="str">
        <f t="shared" si="77"/>
        <v>Assign quadrant hit</v>
      </c>
      <c r="N998" s="7">
        <v>16.5</v>
      </c>
      <c r="O998" s="7">
        <v>-0.9</v>
      </c>
      <c r="P998" s="7">
        <v>-6</v>
      </c>
      <c r="Q998" s="7">
        <v>-0.44</v>
      </c>
      <c r="R998" s="7">
        <v>-0.2</v>
      </c>
      <c r="S998" s="7">
        <v>0</v>
      </c>
      <c r="T998" s="7">
        <v>0.04</v>
      </c>
      <c r="U998" s="7">
        <v>-0.33</v>
      </c>
      <c r="V998" s="7">
        <v>0.55000000000000004</v>
      </c>
      <c r="W998" s="7" t="s">
        <v>8</v>
      </c>
      <c r="X998" s="7" t="s">
        <v>15</v>
      </c>
      <c r="Y998" s="2" t="s">
        <v>719</v>
      </c>
      <c r="Z998" s="2" t="s">
        <v>721</v>
      </c>
    </row>
    <row r="999" spans="1:26" x14ac:dyDescent="0.35">
      <c r="A999" s="7" t="s">
        <v>1596</v>
      </c>
      <c r="B999" s="7" t="s">
        <v>1042</v>
      </c>
      <c r="C999" s="4" t="str">
        <f>_xlfn.XLOOKUP(A999,[2]Sheet2!$I$2:$I$1273,[2]Sheet2!$D$2:$D$1273,0)</f>
        <v>Q4</v>
      </c>
      <c r="D999" s="4" t="str">
        <f>_xlfn.XLOOKUP(B999,[4]Sheet2!$B$2:$B$3154,[4]Sheet2!$F$2:$F$3154,0)</f>
        <v>N/ App</v>
      </c>
      <c r="E999" s="4" t="e">
        <f>_xlfn.XLOOKUP(B999,[2]Sheet2!$E$2:$E$713,[2]Sheet2!$G$2:$G$713)</f>
        <v>#N/A</v>
      </c>
      <c r="F999" s="18">
        <v>46109</v>
      </c>
      <c r="G999" s="14">
        <v>0.1663425925925926</v>
      </c>
      <c r="H999" s="7" t="s">
        <v>5</v>
      </c>
      <c r="I999" s="2" t="str">
        <f t="shared" si="78"/>
        <v>Q4</v>
      </c>
      <c r="J999" s="2" t="str">
        <f t="shared" si="79"/>
        <v>Match</v>
      </c>
      <c r="K999" s="2">
        <f t="shared" si="75"/>
        <v>0.42426406871192851</v>
      </c>
      <c r="L999" s="2" t="e">
        <f t="shared" si="76"/>
        <v>#N/A</v>
      </c>
      <c r="M999" s="2" t="str">
        <f t="shared" si="77"/>
        <v>Failed but within quadrant</v>
      </c>
      <c r="N999" s="7">
        <v>21.1</v>
      </c>
      <c r="O999" s="7">
        <v>0</v>
      </c>
      <c r="P999" s="7">
        <v>-11.3</v>
      </c>
      <c r="Q999" s="7">
        <v>-0.71</v>
      </c>
      <c r="R999" s="7">
        <v>0.3</v>
      </c>
      <c r="S999" s="7">
        <v>-0.3</v>
      </c>
      <c r="T999" s="7">
        <v>0.24</v>
      </c>
      <c r="U999" s="7">
        <v>0.47</v>
      </c>
      <c r="V999" s="7">
        <v>0.89</v>
      </c>
      <c r="W999" s="7" t="s">
        <v>13</v>
      </c>
      <c r="X999" s="7" t="s">
        <v>9</v>
      </c>
      <c r="Y999" s="2" t="s">
        <v>719</v>
      </c>
      <c r="Z999" s="2" t="s">
        <v>721</v>
      </c>
    </row>
    <row r="1000" spans="1:26" x14ac:dyDescent="0.35">
      <c r="A1000" s="7" t="s">
        <v>1727</v>
      </c>
      <c r="B1000" s="7" t="s">
        <v>1043</v>
      </c>
      <c r="C1000" s="4" t="str">
        <f>_xlfn.XLOOKUP(A1000,[2]Sheet2!$I$2:$I$1273,[2]Sheet2!$D$2:$D$1273,0)</f>
        <v>Q2</v>
      </c>
      <c r="D1000" s="4" t="str">
        <f>_xlfn.XLOOKUP(B1000,[4]Sheet2!$B$2:$B$3154,[4]Sheet2!$F$2:$F$3154,0)</f>
        <v>C/APP</v>
      </c>
      <c r="E1000" s="4" t="e">
        <f>_xlfn.XLOOKUP(B1000,[2]Sheet2!$E$2:$E$713,[2]Sheet2!$G$2:$G$713)</f>
        <v>#N/A</v>
      </c>
      <c r="F1000" s="18">
        <v>46109</v>
      </c>
      <c r="G1000" s="14">
        <v>0.16903935185185184</v>
      </c>
      <c r="H1000" s="7" t="s">
        <v>14</v>
      </c>
      <c r="I1000" s="2" t="str">
        <f t="shared" si="78"/>
        <v>Q3</v>
      </c>
      <c r="J1000" s="2" t="str">
        <f t="shared" si="79"/>
        <v>Not Match</v>
      </c>
      <c r="K1000" s="2">
        <f t="shared" si="75"/>
        <v>0.14142135623730953</v>
      </c>
      <c r="L1000" s="2" t="e">
        <f t="shared" si="76"/>
        <v>#N/A</v>
      </c>
      <c r="M1000" s="2" t="str">
        <f t="shared" si="77"/>
        <v>Below 0.8 not in assigned quadrant</v>
      </c>
      <c r="N1000" s="7">
        <v>13.9</v>
      </c>
      <c r="O1000" s="7">
        <v>-0.4</v>
      </c>
      <c r="P1000" s="7">
        <v>-2.8</v>
      </c>
      <c r="Q1000" s="7">
        <v>0.15</v>
      </c>
      <c r="R1000" s="7">
        <v>-0.1</v>
      </c>
      <c r="S1000" s="7">
        <v>-0.1</v>
      </c>
      <c r="T1000" s="7">
        <v>0.19</v>
      </c>
      <c r="U1000" s="7">
        <v>-0.13</v>
      </c>
      <c r="V1000" s="7">
        <v>0.28000000000000003</v>
      </c>
      <c r="W1000" s="7" t="s">
        <v>8</v>
      </c>
      <c r="X1000" s="7" t="s">
        <v>15</v>
      </c>
      <c r="Y1000" s="2" t="s">
        <v>719</v>
      </c>
      <c r="Z1000" s="2" t="s">
        <v>721</v>
      </c>
    </row>
    <row r="1001" spans="1:26" x14ac:dyDescent="0.35">
      <c r="A1001" s="7" t="s">
        <v>1748</v>
      </c>
      <c r="B1001" s="7" t="s">
        <v>1044</v>
      </c>
      <c r="C1001" s="4" t="str">
        <f>_xlfn.XLOOKUP(A1001,[2]Sheet2!$I$2:$I$1273,[2]Sheet2!$D$2:$D$1273,0)</f>
        <v>Q1</v>
      </c>
      <c r="D1001" s="4" t="str">
        <f>_xlfn.XLOOKUP(B1001,[4]Sheet2!$B$2:$B$3154,[4]Sheet2!$F$2:$F$3154,0)</f>
        <v>C/APP</v>
      </c>
      <c r="E1001" s="4" t="e">
        <f>_xlfn.XLOOKUP(B1001,[2]Sheet2!$E$2:$E$713,[2]Sheet2!$G$2:$G$713)</f>
        <v>#N/A</v>
      </c>
      <c r="F1001" s="18">
        <v>46109</v>
      </c>
      <c r="G1001" s="14">
        <v>0.26968750000000002</v>
      </c>
      <c r="H1001" s="7" t="s">
        <v>11</v>
      </c>
      <c r="I1001" s="2" t="str">
        <f t="shared" si="78"/>
        <v>Q4</v>
      </c>
      <c r="J1001" s="2" t="str">
        <f t="shared" si="79"/>
        <v>Not Match</v>
      </c>
      <c r="K1001" s="2">
        <f t="shared" si="75"/>
        <v>0.3</v>
      </c>
      <c r="L1001" s="2" t="e">
        <f t="shared" si="76"/>
        <v>#N/A</v>
      </c>
      <c r="M1001" s="2" t="str">
        <f t="shared" si="77"/>
        <v>Below 0.8 not in assigned quadrant</v>
      </c>
      <c r="N1001" s="7">
        <v>15.3</v>
      </c>
      <c r="O1001" s="7">
        <v>-0.6</v>
      </c>
      <c r="P1001" s="7">
        <v>-3.6</v>
      </c>
      <c r="Q1001" s="7">
        <v>0.37</v>
      </c>
      <c r="R1001" s="7">
        <v>0</v>
      </c>
      <c r="S1001" s="7">
        <v>-0.3</v>
      </c>
      <c r="T1001" s="7">
        <v>0.38</v>
      </c>
      <c r="U1001" s="7">
        <v>0.16</v>
      </c>
      <c r="V1001" s="7">
        <v>0.56000000000000005</v>
      </c>
      <c r="W1001" s="7" t="s">
        <v>8</v>
      </c>
      <c r="X1001" s="7" t="s">
        <v>9</v>
      </c>
      <c r="Y1001" s="2" t="s">
        <v>719</v>
      </c>
      <c r="Z1001" s="2" t="s">
        <v>721</v>
      </c>
    </row>
    <row r="1002" spans="1:26" x14ac:dyDescent="0.35">
      <c r="A1002" s="7" t="s">
        <v>1727</v>
      </c>
      <c r="B1002" s="7" t="s">
        <v>1045</v>
      </c>
      <c r="C1002" s="4" t="str">
        <f>_xlfn.XLOOKUP(A1002,[2]Sheet2!$I$2:$I$1273,[2]Sheet2!$D$2:$D$1273,0)</f>
        <v>Q2</v>
      </c>
      <c r="D1002" s="4" t="str">
        <f>_xlfn.XLOOKUP(B1002,[4]Sheet2!$B$2:$B$3154,[4]Sheet2!$F$2:$F$3154,0)</f>
        <v>C/APP</v>
      </c>
      <c r="E1002" s="4" t="e">
        <f>_xlfn.XLOOKUP(B1002,[2]Sheet2!$E$2:$E$713,[2]Sheet2!$G$2:$G$713)</f>
        <v>#N/A</v>
      </c>
      <c r="F1002" s="18">
        <v>46109</v>
      </c>
      <c r="G1002" s="14">
        <v>0.27177083333333335</v>
      </c>
      <c r="H1002" s="7" t="s">
        <v>14</v>
      </c>
      <c r="I1002" s="2" t="str">
        <f t="shared" si="78"/>
        <v>Q3</v>
      </c>
      <c r="J1002" s="2" t="str">
        <f t="shared" si="79"/>
        <v>Not Match</v>
      </c>
      <c r="K1002" s="2">
        <f t="shared" si="75"/>
        <v>0.36055512754639896</v>
      </c>
      <c r="L1002" s="2" t="e">
        <f t="shared" si="76"/>
        <v>#N/A</v>
      </c>
      <c r="M1002" s="2" t="str">
        <f t="shared" si="77"/>
        <v>Below 0.8 not in assigned quadrant</v>
      </c>
      <c r="N1002" s="7">
        <v>13.6</v>
      </c>
      <c r="O1002" s="7">
        <v>-0.6</v>
      </c>
      <c r="P1002" s="7">
        <v>-2.8</v>
      </c>
      <c r="Q1002" s="7">
        <v>-0.16</v>
      </c>
      <c r="R1002" s="7">
        <v>-0.3</v>
      </c>
      <c r="S1002" s="7">
        <v>-0.2</v>
      </c>
      <c r="T1002" s="7">
        <v>0.33</v>
      </c>
      <c r="U1002" s="7">
        <v>-0.35</v>
      </c>
      <c r="V1002" s="7">
        <v>0.51</v>
      </c>
      <c r="W1002" s="7" t="s">
        <v>8</v>
      </c>
      <c r="X1002" s="7" t="s">
        <v>15</v>
      </c>
      <c r="Y1002" s="2" t="s">
        <v>719</v>
      </c>
      <c r="Z1002" s="2" t="s">
        <v>721</v>
      </c>
    </row>
    <row r="1003" spans="1:26" x14ac:dyDescent="0.35">
      <c r="A1003" s="7" t="s">
        <v>1505</v>
      </c>
      <c r="B1003" s="7" t="s">
        <v>1047</v>
      </c>
      <c r="C1003" s="4" t="str">
        <f>_xlfn.XLOOKUP(A1003,[2]Sheet2!$I$2:$I$1273,[2]Sheet2!$D$2:$D$1273,0)</f>
        <v>Q4</v>
      </c>
      <c r="D1003" s="4" t="str">
        <f>_xlfn.XLOOKUP(B1003,[4]Sheet2!$B$2:$B$3154,[4]Sheet2!$F$2:$F$3154,0)</f>
        <v>N/ App</v>
      </c>
      <c r="E1003" s="4" t="e">
        <f>_xlfn.XLOOKUP(B1003,[2]Sheet2!$E$2:$E$713,[2]Sheet2!$G$2:$G$713)</f>
        <v>#N/A</v>
      </c>
      <c r="F1003" s="18">
        <v>46109</v>
      </c>
      <c r="G1003" s="14">
        <v>0.27807870370370369</v>
      </c>
      <c r="H1003" s="7" t="s">
        <v>4</v>
      </c>
      <c r="I1003" s="2" t="str">
        <f t="shared" si="78"/>
        <v>Q4</v>
      </c>
      <c r="J1003" s="2" t="str">
        <f t="shared" si="79"/>
        <v>Match</v>
      </c>
      <c r="K1003" s="2">
        <f t="shared" si="75"/>
        <v>0</v>
      </c>
      <c r="L1003" s="2" t="e">
        <f t="shared" si="76"/>
        <v>#N/A</v>
      </c>
      <c r="M1003" s="2" t="str">
        <f t="shared" si="77"/>
        <v>Digital Approve Hit</v>
      </c>
      <c r="N1003" s="7">
        <v>18.600000000000001</v>
      </c>
      <c r="O1003" s="7">
        <v>-1.5</v>
      </c>
      <c r="P1003" s="7">
        <v>-2.1</v>
      </c>
      <c r="Q1003" s="7">
        <v>0.06</v>
      </c>
      <c r="R1003" s="7">
        <v>0</v>
      </c>
      <c r="S1003" s="7">
        <v>0</v>
      </c>
      <c r="T1003" s="7">
        <v>0</v>
      </c>
      <c r="U1003" s="7">
        <v>-0.14000000000000001</v>
      </c>
      <c r="V1003" s="7">
        <v>0.15</v>
      </c>
      <c r="W1003" s="7" t="s">
        <v>8</v>
      </c>
      <c r="X1003" s="7" t="s">
        <v>15</v>
      </c>
      <c r="Y1003" s="2" t="s">
        <v>719</v>
      </c>
      <c r="Z1003" s="2" t="s">
        <v>721</v>
      </c>
    </row>
    <row r="1004" spans="1:26" x14ac:dyDescent="0.35">
      <c r="A1004" s="7" t="s">
        <v>1558</v>
      </c>
      <c r="B1004" s="7" t="s">
        <v>1048</v>
      </c>
      <c r="C1004" s="4" t="str">
        <f>_xlfn.XLOOKUP(A1004,[2]Sheet2!$I$2:$I$1273,[2]Sheet2!$D$2:$D$1273,0)</f>
        <v>Q3</v>
      </c>
      <c r="D1004" s="4" t="str">
        <f>_xlfn.XLOOKUP(B1004,[4]Sheet2!$B$2:$B$3154,[4]Sheet2!$F$2:$F$3154,0)</f>
        <v>N/ App</v>
      </c>
      <c r="E1004" s="4" t="e">
        <f>_xlfn.XLOOKUP(B1004,[2]Sheet2!$E$2:$E$713,[2]Sheet2!$G$2:$G$713)</f>
        <v>#N/A</v>
      </c>
      <c r="F1004" s="18">
        <v>46109</v>
      </c>
      <c r="G1004" s="14">
        <v>0.28017361111111111</v>
      </c>
      <c r="H1004" s="7" t="s">
        <v>16</v>
      </c>
      <c r="I1004" s="2" t="str">
        <f t="shared" si="78"/>
        <v>Q3</v>
      </c>
      <c r="J1004" s="2" t="str">
        <f t="shared" si="79"/>
        <v>Match</v>
      </c>
      <c r="K1004" s="2">
        <f t="shared" si="75"/>
        <v>0.22360679774997899</v>
      </c>
      <c r="L1004" s="2" t="e">
        <f t="shared" si="76"/>
        <v>#N/A</v>
      </c>
      <c r="M1004" s="2" t="str">
        <f t="shared" si="77"/>
        <v>Digital Approve Hit</v>
      </c>
      <c r="N1004" s="7">
        <v>14.8</v>
      </c>
      <c r="O1004" s="7">
        <v>-0.4</v>
      </c>
      <c r="P1004" s="7">
        <v>-2.1</v>
      </c>
      <c r="Q1004" s="7">
        <v>-0.63</v>
      </c>
      <c r="R1004" s="7">
        <v>-0.1</v>
      </c>
      <c r="S1004" s="7">
        <v>-0.2</v>
      </c>
      <c r="T1004" s="7">
        <v>0.35</v>
      </c>
      <c r="U1004" s="7">
        <v>-0.1</v>
      </c>
      <c r="V1004" s="7">
        <v>0.73</v>
      </c>
      <c r="W1004" s="7" t="s">
        <v>8</v>
      </c>
      <c r="X1004" s="7" t="s">
        <v>15</v>
      </c>
      <c r="Y1004" s="2" t="s">
        <v>719</v>
      </c>
      <c r="Z1004" s="2" t="s">
        <v>721</v>
      </c>
    </row>
    <row r="1005" spans="1:26" x14ac:dyDescent="0.35">
      <c r="A1005" s="7" t="s">
        <v>1748</v>
      </c>
      <c r="B1005" s="7" t="s">
        <v>1049</v>
      </c>
      <c r="C1005" s="4" t="str">
        <f>_xlfn.XLOOKUP(A1005,[2]Sheet2!$I$2:$I$1273,[2]Sheet2!$D$2:$D$1273,0)</f>
        <v>Q1</v>
      </c>
      <c r="D1005" s="4" t="str">
        <f>_xlfn.XLOOKUP(B1005,[4]Sheet2!$B$2:$B$3154,[4]Sheet2!$F$2:$F$3154,0)</f>
        <v>N/ App</v>
      </c>
      <c r="E1005" s="4" t="e">
        <f>_xlfn.XLOOKUP(B1005,[2]Sheet2!$E$2:$E$713,[2]Sheet2!$G$2:$G$713)</f>
        <v>#N/A</v>
      </c>
      <c r="F1005" s="18">
        <v>46109</v>
      </c>
      <c r="G1005" s="14">
        <v>0.3785648148148148</v>
      </c>
      <c r="H1005" s="7" t="s">
        <v>11</v>
      </c>
      <c r="I1005" s="2" t="str">
        <f t="shared" si="78"/>
        <v>Q2</v>
      </c>
      <c r="J1005" s="2" t="str">
        <f t="shared" si="79"/>
        <v>Not Match</v>
      </c>
      <c r="K1005" s="2">
        <f t="shared" si="75"/>
        <v>0.41231056256176613</v>
      </c>
      <c r="L1005" s="2" t="e">
        <f t="shared" si="76"/>
        <v>#N/A</v>
      </c>
      <c r="M1005" s="2" t="str">
        <f t="shared" si="77"/>
        <v>Assign quadrant hit</v>
      </c>
      <c r="N1005" s="7">
        <v>14.1</v>
      </c>
      <c r="O1005" s="7">
        <v>-0.9</v>
      </c>
      <c r="P1005" s="7">
        <v>-3.4</v>
      </c>
      <c r="Q1005" s="7">
        <v>-0.61</v>
      </c>
      <c r="R1005" s="7">
        <v>-0.1</v>
      </c>
      <c r="S1005" s="7">
        <v>0.4</v>
      </c>
      <c r="T1005" s="7">
        <v>-0.49</v>
      </c>
      <c r="U1005" s="7">
        <v>-0.28999999999999998</v>
      </c>
      <c r="V1005" s="7">
        <v>0.83</v>
      </c>
      <c r="W1005" s="7" t="s">
        <v>13</v>
      </c>
      <c r="X1005" s="7" t="s">
        <v>15</v>
      </c>
      <c r="Y1005" s="2" t="s">
        <v>719</v>
      </c>
      <c r="Z1005" s="2" t="s">
        <v>721</v>
      </c>
    </row>
    <row r="1006" spans="1:26" x14ac:dyDescent="0.35">
      <c r="A1006" s="7" t="s">
        <v>1567</v>
      </c>
      <c r="B1006" s="7" t="s">
        <v>1050</v>
      </c>
      <c r="C1006" s="4" t="str">
        <f>_xlfn.XLOOKUP(A1006,[2]Sheet2!$I$2:$I$1273,[2]Sheet2!$D$2:$D$1273,0)</f>
        <v>Q3</v>
      </c>
      <c r="D1006" s="4" t="str">
        <f>_xlfn.XLOOKUP(B1006,[4]Sheet2!$B$2:$B$3154,[4]Sheet2!$F$2:$F$3154,0)</f>
        <v>C/APP</v>
      </c>
      <c r="E1006" s="4" t="e">
        <f>_xlfn.XLOOKUP(B1006,[2]Sheet2!$E$2:$E$713,[2]Sheet2!$G$2:$G$713)</f>
        <v>#N/A</v>
      </c>
      <c r="F1006" s="18">
        <v>46109</v>
      </c>
      <c r="G1006" s="14">
        <v>0.50648148148148153</v>
      </c>
      <c r="H1006" s="7" t="s">
        <v>16</v>
      </c>
      <c r="I1006" s="2" t="str">
        <f t="shared" si="78"/>
        <v>Q2</v>
      </c>
      <c r="J1006" s="2" t="str">
        <f t="shared" si="79"/>
        <v>Not Match</v>
      </c>
      <c r="K1006" s="2">
        <f t="shared" si="75"/>
        <v>0.31622776601683794</v>
      </c>
      <c r="L1006" s="2" t="e">
        <f t="shared" si="76"/>
        <v>#N/A</v>
      </c>
      <c r="M1006" s="2" t="str">
        <f t="shared" si="77"/>
        <v>Below 0.8 not in assigned quadrant</v>
      </c>
      <c r="N1006" s="7">
        <v>24</v>
      </c>
      <c r="O1006" s="7">
        <v>-5.5</v>
      </c>
      <c r="P1006" s="7">
        <v>-7.7</v>
      </c>
      <c r="Q1006" s="7">
        <v>-7.0000000000000007E-2</v>
      </c>
      <c r="R1006" s="7">
        <v>-0.3</v>
      </c>
      <c r="S1006" s="7">
        <v>0.1</v>
      </c>
      <c r="T1006" s="7">
        <v>0.09</v>
      </c>
      <c r="U1006" s="7">
        <v>-0.4</v>
      </c>
      <c r="V1006" s="7">
        <v>0.42</v>
      </c>
      <c r="W1006" s="7" t="s">
        <v>8</v>
      </c>
      <c r="X1006" s="7" t="s">
        <v>15</v>
      </c>
      <c r="Y1006" s="2" t="s">
        <v>719</v>
      </c>
      <c r="Z1006" s="2" t="s">
        <v>721</v>
      </c>
    </row>
    <row r="1007" spans="1:26" x14ac:dyDescent="0.35">
      <c r="A1007" s="7" t="s">
        <v>1749</v>
      </c>
      <c r="B1007" s="7" t="s">
        <v>1051</v>
      </c>
      <c r="C1007" s="4" t="str">
        <f>_xlfn.XLOOKUP(A1007,[2]Sheet2!$I$2:$I$1273,[2]Sheet2!$D$2:$D$1273,0)</f>
        <v>Q2</v>
      </c>
      <c r="D1007" s="4" t="str">
        <f>_xlfn.XLOOKUP(B1007,[4]Sheet2!$B$2:$B$3154,[4]Sheet2!$F$2:$F$3154,0)</f>
        <v>C/APP</v>
      </c>
      <c r="E1007" s="4" t="e">
        <f>_xlfn.XLOOKUP(B1007,[2]Sheet2!$E$2:$E$713,[2]Sheet2!$G$2:$G$713)</f>
        <v>#N/A</v>
      </c>
      <c r="F1007" s="18">
        <v>46109</v>
      </c>
      <c r="G1007" s="14">
        <v>0.58112268518518517</v>
      </c>
      <c r="H1007" s="7" t="s">
        <v>11</v>
      </c>
      <c r="I1007" s="2" t="str">
        <f t="shared" si="78"/>
        <v>Q4</v>
      </c>
      <c r="J1007" s="2" t="str">
        <f t="shared" si="79"/>
        <v>Not Match</v>
      </c>
      <c r="K1007" s="2">
        <f t="shared" si="75"/>
        <v>0.8</v>
      </c>
      <c r="L1007" s="2" t="e">
        <f t="shared" si="76"/>
        <v>#N/A</v>
      </c>
      <c r="M1007" s="2" t="str">
        <f t="shared" si="77"/>
        <v>Assign quadrant hit</v>
      </c>
      <c r="N1007" s="7">
        <v>16.7</v>
      </c>
      <c r="O1007" s="7">
        <v>-0.5</v>
      </c>
      <c r="P1007" s="7">
        <v>-3.3</v>
      </c>
      <c r="Q1007" s="7">
        <v>-0.56000000000000005</v>
      </c>
      <c r="R1007" s="7">
        <v>0</v>
      </c>
      <c r="S1007" s="7">
        <v>-0.8</v>
      </c>
      <c r="T1007" s="7">
        <v>1.1200000000000001</v>
      </c>
      <c r="U1007" s="7">
        <v>0.13</v>
      </c>
      <c r="V1007" s="7">
        <v>1.26</v>
      </c>
      <c r="W1007" s="7" t="s">
        <v>6</v>
      </c>
      <c r="X1007" s="7" t="s">
        <v>9</v>
      </c>
      <c r="Y1007" s="2" t="s">
        <v>719</v>
      </c>
      <c r="Z1007" s="2" t="s">
        <v>721</v>
      </c>
    </row>
    <row r="1008" spans="1:26" x14ac:dyDescent="0.35">
      <c r="A1008" s="7" t="s">
        <v>1750</v>
      </c>
      <c r="B1008" s="7" t="s">
        <v>854</v>
      </c>
      <c r="C1008" s="4" t="str">
        <f>_xlfn.XLOOKUP(A1008,[2]Sheet2!$I$2:$I$1273,[2]Sheet2!$D$2:$D$1273,0)</f>
        <v>Q4</v>
      </c>
      <c r="D1008" s="4" t="str">
        <f>_xlfn.XLOOKUP(B1008,[4]Sheet2!$B$2:$B$3154,[4]Sheet2!$F$2:$F$3154,0)</f>
        <v>C/APP</v>
      </c>
      <c r="E1008" s="4" t="e">
        <f>_xlfn.XLOOKUP(B1008,[2]Sheet2!$E$2:$E$713,[2]Sheet2!$G$2:$G$713)</f>
        <v>#N/A</v>
      </c>
      <c r="F1008" s="18">
        <v>46109</v>
      </c>
      <c r="G1008" s="14">
        <v>0.56724537037037037</v>
      </c>
      <c r="H1008" s="7" t="s">
        <v>11</v>
      </c>
      <c r="I1008" s="2" t="str">
        <f t="shared" si="78"/>
        <v>Q2</v>
      </c>
      <c r="J1008" s="2" t="str">
        <f t="shared" si="79"/>
        <v>Not Match</v>
      </c>
      <c r="K1008" s="2">
        <f t="shared" si="75"/>
        <v>1.2369316876852983</v>
      </c>
      <c r="L1008" s="2" t="e">
        <f t="shared" si="76"/>
        <v>#N/A</v>
      </c>
      <c r="M1008" s="2" t="str">
        <f t="shared" si="77"/>
        <v>Assign quadrant hit</v>
      </c>
      <c r="N1008" s="7">
        <v>30.1</v>
      </c>
      <c r="O1008" s="7">
        <v>22.6</v>
      </c>
      <c r="P1008" s="7">
        <v>8</v>
      </c>
      <c r="Q1008" s="7">
        <v>0.66</v>
      </c>
      <c r="R1008" s="7">
        <v>-0.3</v>
      </c>
      <c r="S1008" s="7">
        <v>1.2</v>
      </c>
      <c r="T1008" s="7">
        <v>0.05</v>
      </c>
      <c r="U1008" s="7">
        <v>1.1499999999999999</v>
      </c>
      <c r="V1008" s="7">
        <v>1.33</v>
      </c>
      <c r="W1008" s="7" t="s">
        <v>6</v>
      </c>
      <c r="X1008" s="7" t="s">
        <v>12</v>
      </c>
      <c r="Y1008" s="2" t="s">
        <v>719</v>
      </c>
      <c r="Z1008" s="2" t="s">
        <v>721</v>
      </c>
    </row>
    <row r="1009" spans="1:26" x14ac:dyDescent="0.35">
      <c r="A1009" s="7" t="s">
        <v>1596</v>
      </c>
      <c r="B1009" s="7" t="s">
        <v>1052</v>
      </c>
      <c r="C1009" s="4" t="str">
        <f>_xlfn.XLOOKUP(A1009,[2]Sheet2!$I$2:$I$1273,[2]Sheet2!$D$2:$D$1273,0)</f>
        <v>Q4</v>
      </c>
      <c r="D1009" s="4" t="str">
        <f>_xlfn.XLOOKUP(B1009,[4]Sheet2!$B$2:$B$3154,[4]Sheet2!$F$2:$F$3154,0)</f>
        <v>N/ App</v>
      </c>
      <c r="E1009" s="4" t="e">
        <f>_xlfn.XLOOKUP(B1009,[2]Sheet2!$E$2:$E$713,[2]Sheet2!$G$2:$G$713)</f>
        <v>#N/A</v>
      </c>
      <c r="F1009" s="18">
        <v>46109</v>
      </c>
      <c r="G1009" s="14">
        <v>0.59032407407407406</v>
      </c>
      <c r="H1009" s="7" t="s">
        <v>5</v>
      </c>
      <c r="I1009" s="2" t="str">
        <f t="shared" si="78"/>
        <v>Q4</v>
      </c>
      <c r="J1009" s="2" t="str">
        <f t="shared" si="79"/>
        <v>Match</v>
      </c>
      <c r="K1009" s="2">
        <f t="shared" si="75"/>
        <v>0.31622776601683794</v>
      </c>
      <c r="L1009" s="2" t="e">
        <f t="shared" si="76"/>
        <v>#N/A</v>
      </c>
      <c r="M1009" s="2" t="str">
        <f t="shared" si="77"/>
        <v>Failed but within quadrant</v>
      </c>
      <c r="N1009" s="7">
        <v>21</v>
      </c>
      <c r="O1009" s="7">
        <v>0</v>
      </c>
      <c r="P1009" s="7">
        <v>-11.1</v>
      </c>
      <c r="Q1009" s="7">
        <v>-0.78</v>
      </c>
      <c r="R1009" s="7">
        <v>0.3</v>
      </c>
      <c r="S1009" s="7">
        <v>-0.1</v>
      </c>
      <c r="T1009" s="7">
        <v>0.08</v>
      </c>
      <c r="U1009" s="7">
        <v>0.43</v>
      </c>
      <c r="V1009" s="7">
        <v>0.9</v>
      </c>
      <c r="W1009" s="7" t="s">
        <v>13</v>
      </c>
      <c r="X1009" s="7" t="s">
        <v>9</v>
      </c>
      <c r="Y1009" s="2" t="s">
        <v>719</v>
      </c>
      <c r="Z1009" s="2" t="s">
        <v>721</v>
      </c>
    </row>
    <row r="1010" spans="1:26" x14ac:dyDescent="0.35">
      <c r="A1010" s="7" t="s">
        <v>1733</v>
      </c>
      <c r="B1010" s="7" t="s">
        <v>1053</v>
      </c>
      <c r="C1010" s="4" t="str">
        <f>_xlfn.XLOOKUP(A1010,[2]Sheet2!$I$2:$I$1273,[2]Sheet2!$D$2:$D$1273,0)</f>
        <v>Q2</v>
      </c>
      <c r="D1010" s="4" t="str">
        <f>_xlfn.XLOOKUP(B1010,[4]Sheet2!$B$2:$B$3154,[4]Sheet2!$F$2:$F$3154,0)</f>
        <v>N/ App</v>
      </c>
      <c r="E1010" s="4" t="e">
        <f>_xlfn.XLOOKUP(B1010,[2]Sheet2!$E$2:$E$713,[2]Sheet2!$G$2:$G$713)</f>
        <v>#N/A</v>
      </c>
      <c r="F1010" s="18">
        <v>46109</v>
      </c>
      <c r="G1010" s="14">
        <v>0.60901620370370368</v>
      </c>
      <c r="H1010" s="7" t="s">
        <v>4</v>
      </c>
      <c r="I1010" s="2" t="str">
        <f t="shared" si="78"/>
        <v>Q2</v>
      </c>
      <c r="J1010" s="2" t="str">
        <f t="shared" si="79"/>
        <v>Match</v>
      </c>
      <c r="K1010" s="2">
        <f t="shared" si="75"/>
        <v>0</v>
      </c>
      <c r="L1010" s="2" t="e">
        <f t="shared" si="76"/>
        <v>#N/A</v>
      </c>
      <c r="M1010" s="2" t="str">
        <f t="shared" si="77"/>
        <v>Digital Approve Hit</v>
      </c>
      <c r="N1010" s="7">
        <v>15.5</v>
      </c>
      <c r="O1010" s="7">
        <v>0</v>
      </c>
      <c r="P1010" s="7">
        <v>-0.5</v>
      </c>
      <c r="Q1010" s="7">
        <v>0.16</v>
      </c>
      <c r="R1010" s="7">
        <v>0</v>
      </c>
      <c r="S1010" s="7">
        <v>0</v>
      </c>
      <c r="T1010" s="7">
        <v>-0.04</v>
      </c>
      <c r="U1010" s="7">
        <v>0.05</v>
      </c>
      <c r="V1010" s="7">
        <v>0.17</v>
      </c>
      <c r="W1010" s="7" t="s">
        <v>8</v>
      </c>
      <c r="X1010" s="7" t="s">
        <v>9</v>
      </c>
      <c r="Y1010" s="2" t="s">
        <v>719</v>
      </c>
      <c r="Z1010" s="2" t="s">
        <v>721</v>
      </c>
    </row>
    <row r="1011" spans="1:26" x14ac:dyDescent="0.35">
      <c r="A1011" s="7" t="s">
        <v>1558</v>
      </c>
      <c r="B1011" s="7" t="s">
        <v>1054</v>
      </c>
      <c r="C1011" s="4" t="str">
        <f>_xlfn.XLOOKUP(A1011,[2]Sheet2!$I$2:$I$1273,[2]Sheet2!$D$2:$D$1273,0)</f>
        <v>Q3</v>
      </c>
      <c r="D1011" s="4" t="str">
        <f>_xlfn.XLOOKUP(B1011,[4]Sheet2!$B$2:$B$3154,[4]Sheet2!$F$2:$F$3154,0)</f>
        <v>N/ App</v>
      </c>
      <c r="E1011" s="4" t="e">
        <f>_xlfn.XLOOKUP(B1011,[2]Sheet2!$E$2:$E$713,[2]Sheet2!$G$2:$G$713)</f>
        <v>#N/A</v>
      </c>
      <c r="F1011" s="18">
        <v>46109</v>
      </c>
      <c r="G1011" s="14">
        <v>0.64679398148148148</v>
      </c>
      <c r="H1011" s="7" t="s">
        <v>16</v>
      </c>
      <c r="I1011" s="2" t="str">
        <f t="shared" si="78"/>
        <v>Q4</v>
      </c>
      <c r="J1011" s="2" t="str">
        <f t="shared" si="79"/>
        <v>Not Match</v>
      </c>
      <c r="K1011" s="2">
        <f t="shared" si="75"/>
        <v>0.1</v>
      </c>
      <c r="L1011" s="2" t="e">
        <f t="shared" si="76"/>
        <v>#N/A</v>
      </c>
      <c r="M1011" s="2" t="str">
        <f t="shared" si="77"/>
        <v>Below 0.8 not in assigned quadrant</v>
      </c>
      <c r="N1011" s="7">
        <v>15.3</v>
      </c>
      <c r="O1011" s="7">
        <v>-0.4</v>
      </c>
      <c r="P1011" s="7">
        <v>-2</v>
      </c>
      <c r="Q1011" s="7">
        <v>-0.19</v>
      </c>
      <c r="R1011" s="7">
        <v>0</v>
      </c>
      <c r="S1011" s="7">
        <v>-0.1</v>
      </c>
      <c r="T1011" s="7">
        <v>0.21</v>
      </c>
      <c r="U1011" s="7">
        <v>-0.05</v>
      </c>
      <c r="V1011" s="7">
        <v>0.28000000000000003</v>
      </c>
      <c r="W1011" s="7" t="s">
        <v>8</v>
      </c>
      <c r="X1011" s="7" t="s">
        <v>15</v>
      </c>
      <c r="Y1011" s="2" t="s">
        <v>719</v>
      </c>
      <c r="Z1011" s="2" t="s">
        <v>721</v>
      </c>
    </row>
    <row r="1012" spans="1:26" x14ac:dyDescent="0.35">
      <c r="A1012" s="7" t="s">
        <v>1727</v>
      </c>
      <c r="B1012" s="7" t="s">
        <v>1055</v>
      </c>
      <c r="C1012" s="4" t="str">
        <f>_xlfn.XLOOKUP(A1012,[2]Sheet2!$I$2:$I$1273,[2]Sheet2!$D$2:$D$1273,0)</f>
        <v>Q2</v>
      </c>
      <c r="D1012" s="4" t="str">
        <f>_xlfn.XLOOKUP(B1012,[4]Sheet2!$B$2:$B$3154,[4]Sheet2!$F$2:$F$3154,0)</f>
        <v>C/APP</v>
      </c>
      <c r="E1012" s="4" t="e">
        <f>_xlfn.XLOOKUP(B1012,[2]Sheet2!$E$2:$E$713,[2]Sheet2!$G$2:$G$713)</f>
        <v>#N/A</v>
      </c>
      <c r="F1012" s="18">
        <v>46109</v>
      </c>
      <c r="G1012" s="14">
        <v>0.68733796296296301</v>
      </c>
      <c r="H1012" s="7" t="s">
        <v>4</v>
      </c>
      <c r="I1012" s="2" t="str">
        <f t="shared" si="78"/>
        <v>Q3</v>
      </c>
      <c r="J1012" s="2" t="str">
        <f t="shared" si="79"/>
        <v>Not Match</v>
      </c>
      <c r="K1012" s="2">
        <f t="shared" si="75"/>
        <v>0.1</v>
      </c>
      <c r="L1012" s="2" t="e">
        <f t="shared" si="76"/>
        <v>#N/A</v>
      </c>
      <c r="M1012" s="2" t="str">
        <f t="shared" si="77"/>
        <v>Below 0.8 not in assigned quadrant</v>
      </c>
      <c r="N1012" s="7">
        <v>13.6</v>
      </c>
      <c r="O1012" s="7">
        <v>-0.1</v>
      </c>
      <c r="P1012" s="7">
        <v>-1.8</v>
      </c>
      <c r="Q1012" s="7">
        <v>-0.6</v>
      </c>
      <c r="R1012" s="7">
        <v>-0.1</v>
      </c>
      <c r="S1012" s="7">
        <v>0</v>
      </c>
      <c r="T1012" s="7">
        <v>-0.02</v>
      </c>
      <c r="U1012" s="7">
        <v>-0.2</v>
      </c>
      <c r="V1012" s="7">
        <v>0.64</v>
      </c>
      <c r="W1012" s="7" t="s">
        <v>8</v>
      </c>
      <c r="X1012" s="7" t="s">
        <v>15</v>
      </c>
      <c r="Y1012" s="2" t="s">
        <v>719</v>
      </c>
      <c r="Z1012" s="2" t="s">
        <v>721</v>
      </c>
    </row>
    <row r="1013" spans="1:26" x14ac:dyDescent="0.35">
      <c r="A1013" s="7" t="s">
        <v>1579</v>
      </c>
      <c r="B1013" s="7" t="s">
        <v>1056</v>
      </c>
      <c r="C1013" s="4" t="str">
        <f>_xlfn.XLOOKUP(A1013,[2]Sheet2!$I$2:$I$1273,[2]Sheet2!$D$2:$D$1273,0)</f>
        <v>Q4</v>
      </c>
      <c r="D1013" s="4" t="str">
        <f>_xlfn.XLOOKUP(B1013,[4]Sheet2!$B$2:$B$3154,[4]Sheet2!$F$2:$F$3154,0)</f>
        <v>C/APP</v>
      </c>
      <c r="E1013" s="4" t="e">
        <f>_xlfn.XLOOKUP(B1013,[2]Sheet2!$E$2:$E$713,[2]Sheet2!$G$2:$G$713)</f>
        <v>#N/A</v>
      </c>
      <c r="F1013" s="18">
        <v>46109</v>
      </c>
      <c r="G1013" s="14">
        <v>0.69289351851851855</v>
      </c>
      <c r="H1013" s="7" t="s">
        <v>16</v>
      </c>
      <c r="I1013" s="2" t="str">
        <f t="shared" si="78"/>
        <v>Q2</v>
      </c>
      <c r="J1013" s="2" t="str">
        <f t="shared" si="79"/>
        <v>Not Match</v>
      </c>
      <c r="K1013" s="2">
        <f t="shared" si="75"/>
        <v>0.22360679774997899</v>
      </c>
      <c r="L1013" s="2" t="e">
        <f t="shared" si="76"/>
        <v>#N/A</v>
      </c>
      <c r="M1013" s="2" t="str">
        <f t="shared" si="77"/>
        <v>Below 0.8 not in assigned quadrant</v>
      </c>
      <c r="N1013" s="7">
        <v>15.5</v>
      </c>
      <c r="O1013" s="7">
        <v>-1</v>
      </c>
      <c r="P1013" s="7">
        <v>-6.1</v>
      </c>
      <c r="Q1013" s="7">
        <v>-0.11</v>
      </c>
      <c r="R1013" s="7">
        <v>-0.2</v>
      </c>
      <c r="S1013" s="7">
        <v>0.1</v>
      </c>
      <c r="T1013" s="7">
        <v>-0.14000000000000001</v>
      </c>
      <c r="U1013" s="7">
        <v>-0.37</v>
      </c>
      <c r="V1013" s="7">
        <v>0.41</v>
      </c>
      <c r="W1013" s="7" t="s">
        <v>8</v>
      </c>
      <c r="X1013" s="7" t="s">
        <v>15</v>
      </c>
      <c r="Y1013" s="2" t="s">
        <v>719</v>
      </c>
      <c r="Z1013" s="2" t="s">
        <v>721</v>
      </c>
    </row>
    <row r="1014" spans="1:26" x14ac:dyDescent="0.35">
      <c r="A1014" s="7" t="s">
        <v>1736</v>
      </c>
      <c r="B1014" s="7" t="s">
        <v>1057</v>
      </c>
      <c r="C1014" s="4" t="str">
        <f>_xlfn.XLOOKUP(A1014,[2]Sheet2!$I$2:$I$1273,[2]Sheet2!$D$2:$D$1273,0)</f>
        <v>Q3</v>
      </c>
      <c r="D1014" s="4" t="str">
        <f>_xlfn.XLOOKUP(B1014,[4]Sheet2!$B$2:$B$3154,[4]Sheet2!$F$2:$F$3154,0)</f>
        <v>N/ App</v>
      </c>
      <c r="E1014" s="4" t="e">
        <f>_xlfn.XLOOKUP(B1014,[2]Sheet2!$E$2:$E$713,[2]Sheet2!$G$2:$G$713)</f>
        <v>#N/A</v>
      </c>
      <c r="F1014" s="18">
        <v>46109</v>
      </c>
      <c r="G1014" s="14">
        <v>0.72320601851851851</v>
      </c>
      <c r="H1014" s="7" t="s">
        <v>4</v>
      </c>
      <c r="I1014" s="2" t="str">
        <f t="shared" si="78"/>
        <v>Q4</v>
      </c>
      <c r="J1014" s="2" t="str">
        <f t="shared" si="79"/>
        <v>Not Match</v>
      </c>
      <c r="K1014" s="2">
        <f t="shared" si="75"/>
        <v>0.2</v>
      </c>
      <c r="L1014" s="2" t="e">
        <f t="shared" si="76"/>
        <v>#N/A</v>
      </c>
      <c r="M1014" s="2" t="str">
        <f t="shared" si="77"/>
        <v>Below 0.8 not in assigned quadrant</v>
      </c>
      <c r="N1014" s="7">
        <v>22</v>
      </c>
      <c r="O1014" s="7">
        <v>4.9000000000000004</v>
      </c>
      <c r="P1014" s="7">
        <v>4</v>
      </c>
      <c r="Q1014" s="7">
        <v>-0.17</v>
      </c>
      <c r="R1014" s="7">
        <v>0</v>
      </c>
      <c r="S1014" s="7">
        <v>-0.2</v>
      </c>
      <c r="T1014" s="7">
        <v>-0.17</v>
      </c>
      <c r="U1014" s="7">
        <v>-0.26</v>
      </c>
      <c r="V1014" s="7">
        <v>0.36</v>
      </c>
      <c r="W1014" s="7" t="s">
        <v>8</v>
      </c>
      <c r="X1014" s="7" t="s">
        <v>9</v>
      </c>
      <c r="Y1014" s="2" t="s">
        <v>719</v>
      </c>
      <c r="Z1014" s="2" t="s">
        <v>721</v>
      </c>
    </row>
    <row r="1015" spans="1:26" x14ac:dyDescent="0.35">
      <c r="A1015" s="7" t="s">
        <v>1727</v>
      </c>
      <c r="B1015" s="7" t="s">
        <v>1058</v>
      </c>
      <c r="C1015" s="4" t="str">
        <f>_xlfn.XLOOKUP(A1015,[2]Sheet2!$I$2:$I$1273,[2]Sheet2!$D$2:$D$1273,0)</f>
        <v>Q2</v>
      </c>
      <c r="D1015" s="4" t="str">
        <f>_xlfn.XLOOKUP(B1015,[4]Sheet2!$B$2:$B$3154,[4]Sheet2!$F$2:$F$3154,0)</f>
        <v>C/APP</v>
      </c>
      <c r="E1015" s="4" t="e">
        <f>_xlfn.XLOOKUP(B1015,[2]Sheet2!$E$2:$E$713,[2]Sheet2!$G$2:$G$713)</f>
        <v>#N/A</v>
      </c>
      <c r="F1015" s="18">
        <v>46109</v>
      </c>
      <c r="G1015" s="14">
        <v>0.74072916666666666</v>
      </c>
      <c r="H1015" s="7" t="s">
        <v>4</v>
      </c>
      <c r="I1015" s="2" t="str">
        <f t="shared" si="78"/>
        <v>Q3</v>
      </c>
      <c r="J1015" s="2" t="str">
        <f t="shared" si="79"/>
        <v>Not Match</v>
      </c>
      <c r="K1015" s="2">
        <f t="shared" si="75"/>
        <v>0.3</v>
      </c>
      <c r="L1015" s="2" t="e">
        <f t="shared" si="76"/>
        <v>#N/A</v>
      </c>
      <c r="M1015" s="2" t="str">
        <f t="shared" si="77"/>
        <v>Assign quadrant hit</v>
      </c>
      <c r="N1015" s="7">
        <v>13.3</v>
      </c>
      <c r="O1015" s="7">
        <v>-0.2</v>
      </c>
      <c r="P1015" s="7">
        <v>-1.8</v>
      </c>
      <c r="Q1015" s="7">
        <v>-0.82</v>
      </c>
      <c r="R1015" s="7">
        <v>-0.3</v>
      </c>
      <c r="S1015" s="7">
        <v>0</v>
      </c>
      <c r="T1015" s="7">
        <v>-0.02</v>
      </c>
      <c r="U1015" s="7">
        <v>-0.44</v>
      </c>
      <c r="V1015" s="7">
        <v>0.93</v>
      </c>
      <c r="W1015" s="7" t="s">
        <v>13</v>
      </c>
      <c r="X1015" s="7" t="s">
        <v>15</v>
      </c>
      <c r="Y1015" s="2" t="s">
        <v>719</v>
      </c>
      <c r="Z1015" s="2" t="s">
        <v>721</v>
      </c>
    </row>
    <row r="1016" spans="1:26" x14ac:dyDescent="0.35">
      <c r="A1016" s="7" t="s">
        <v>1727</v>
      </c>
      <c r="B1016" s="7" t="s">
        <v>1065</v>
      </c>
      <c r="C1016" s="4" t="str">
        <f>_xlfn.XLOOKUP(A1016,[2]Sheet2!$I$2:$I$1273,[2]Sheet2!$D$2:$D$1273,0)</f>
        <v>Q2</v>
      </c>
      <c r="D1016" s="4" t="str">
        <f>_xlfn.XLOOKUP(B1016,[4]Sheet2!$B$2:$B$3154,[4]Sheet2!$F$2:$F$3154,0)</f>
        <v>C/APP</v>
      </c>
      <c r="E1016" s="4" t="e">
        <f>_xlfn.XLOOKUP(B1016,[2]Sheet2!$E$2:$E$713,[2]Sheet2!$G$2:$G$713)</f>
        <v>#N/A</v>
      </c>
      <c r="F1016" s="18">
        <v>46111</v>
      </c>
      <c r="G1016" s="14">
        <v>0.4645023148148148</v>
      </c>
      <c r="H1016" s="7" t="s">
        <v>4</v>
      </c>
      <c r="I1016" s="2" t="str">
        <f t="shared" si="78"/>
        <v>Q3</v>
      </c>
      <c r="J1016" s="2" t="str">
        <f t="shared" si="79"/>
        <v>Not Match</v>
      </c>
      <c r="K1016" s="2">
        <f t="shared" ref="K1016:K1026" si="80">SQRT(R1016^2+S1016^2)</f>
        <v>0.22360679774997899</v>
      </c>
      <c r="L1016" s="2" t="e">
        <f t="shared" ref="L1016:L1026" si="81">IF(K1016&lt;=E1016,"Within Range","Over Range")</f>
        <v>#N/A</v>
      </c>
      <c r="M1016" s="2" t="str">
        <f t="shared" ref="M1016:M1026" si="82">IF(AND(J1016="Match",V1016&lt;=0.8),"Digital Approve Hit",
IF(AND(J1016="Match",V1016&gt;0.8),"Failed but within quadrant",
IF(AND(J1016="Not Match",V1016&lt;=0.8),"Below 0.8 not in assigned quadrant",
"Assign quadrant hit")))</f>
        <v>Below 0.8 not in assigned quadrant</v>
      </c>
      <c r="N1016" s="7">
        <v>13.8</v>
      </c>
      <c r="O1016" s="7">
        <v>-0.1</v>
      </c>
      <c r="P1016" s="7">
        <v>-1.9</v>
      </c>
      <c r="Q1016" s="7">
        <v>-0.39</v>
      </c>
      <c r="R1016" s="7">
        <v>-0.2</v>
      </c>
      <c r="S1016" s="7">
        <v>-0.1</v>
      </c>
      <c r="T1016" s="7">
        <v>0.14000000000000001</v>
      </c>
      <c r="U1016" s="7">
        <v>-0.27</v>
      </c>
      <c r="V1016" s="7">
        <v>0.5</v>
      </c>
      <c r="W1016" s="7" t="s">
        <v>8</v>
      </c>
      <c r="X1016" s="7" t="s">
        <v>15</v>
      </c>
      <c r="Y1016" s="2" t="s">
        <v>719</v>
      </c>
      <c r="Z1016" s="2" t="s">
        <v>721</v>
      </c>
    </row>
    <row r="1017" spans="1:26" x14ac:dyDescent="0.35">
      <c r="A1017" s="7" t="s">
        <v>1516</v>
      </c>
      <c r="B1017" s="7" t="s">
        <v>1066</v>
      </c>
      <c r="C1017" s="4" t="str">
        <f>_xlfn.XLOOKUP(A1017,[2]Sheet2!$I$2:$I$1273,[2]Sheet2!$D$2:$D$1273,0)</f>
        <v>Q2</v>
      </c>
      <c r="D1017" s="4" t="str">
        <f>_xlfn.XLOOKUP(B1017,[4]Sheet2!$B$2:$B$3154,[4]Sheet2!$F$2:$F$3154,0)</f>
        <v>N/ App</v>
      </c>
      <c r="E1017" s="4" t="e">
        <f>_xlfn.XLOOKUP(B1017,[2]Sheet2!$E$2:$E$713,[2]Sheet2!$G$2:$G$713)</f>
        <v>#N/A</v>
      </c>
      <c r="F1017" s="18">
        <v>46111</v>
      </c>
      <c r="G1017" s="14">
        <v>0.59354166666666663</v>
      </c>
      <c r="H1017" s="7" t="s">
        <v>4</v>
      </c>
      <c r="I1017" s="2" t="str">
        <f t="shared" ref="I1017:I1080" si="83">IF(AND(R1017=0,S1017=0),IF(C1017="","Origin",C1017),
IF(AND(R1017&gt;0,S1017=0),"Q4",
IF(AND(R1017&lt;0,S1017=0),"Q3",
IF(AND(R1017&gt;=0,S1017&lt;0),"Q4",
IF(AND(R1017&gt;=0,S1017&gt;0),"Q1",
IF(AND(R1017&lt;0,S1017&lt;=0),"Q3",
IF(AND(R1017&lt;0,S1017&gt;0),"Q2",
"")))))))</f>
        <v>Q2</v>
      </c>
      <c r="J1017" s="2" t="str">
        <f t="shared" si="79"/>
        <v>Match</v>
      </c>
      <c r="K1017" s="2">
        <f t="shared" si="80"/>
        <v>0</v>
      </c>
      <c r="L1017" s="2" t="e">
        <f t="shared" si="81"/>
        <v>#N/A</v>
      </c>
      <c r="M1017" s="2" t="str">
        <f t="shared" si="82"/>
        <v>Failed but within quadrant</v>
      </c>
      <c r="N1017" s="7">
        <v>19.5</v>
      </c>
      <c r="O1017" s="7">
        <v>-1.4</v>
      </c>
      <c r="P1017" s="7">
        <v>-1.6</v>
      </c>
      <c r="Q1017" s="7">
        <v>0.92</v>
      </c>
      <c r="R1017" s="7">
        <v>0</v>
      </c>
      <c r="S1017" s="7">
        <v>0</v>
      </c>
      <c r="T1017" s="7">
        <v>0.09</v>
      </c>
      <c r="U1017" s="7">
        <v>0</v>
      </c>
      <c r="V1017" s="7">
        <v>0.92</v>
      </c>
      <c r="W1017" s="7" t="s">
        <v>13</v>
      </c>
      <c r="X1017" s="7" t="s">
        <v>7</v>
      </c>
      <c r="Y1017" s="2" t="s">
        <v>719</v>
      </c>
      <c r="Z1017" s="2" t="s">
        <v>721</v>
      </c>
    </row>
    <row r="1018" spans="1:26" x14ac:dyDescent="0.35">
      <c r="A1018" s="7" t="s">
        <v>1596</v>
      </c>
      <c r="B1018" s="7" t="s">
        <v>1067</v>
      </c>
      <c r="C1018" s="4" t="str">
        <f>_xlfn.XLOOKUP(A1018,[2]Sheet2!$I$2:$I$1273,[2]Sheet2!$D$2:$D$1273,0)</f>
        <v>Q4</v>
      </c>
      <c r="D1018" s="4" t="str">
        <f>_xlfn.XLOOKUP(B1018,[4]Sheet2!$B$2:$B$3154,[4]Sheet2!$F$2:$F$3154,0)</f>
        <v>N/ App</v>
      </c>
      <c r="E1018" s="4" t="e">
        <f>_xlfn.XLOOKUP(B1018,[2]Sheet2!$E$2:$E$713,[2]Sheet2!$G$2:$G$713)</f>
        <v>#N/A</v>
      </c>
      <c r="F1018" s="18">
        <v>46111</v>
      </c>
      <c r="G1018" s="14">
        <v>0.6018634259259259</v>
      </c>
      <c r="H1018" s="7" t="s">
        <v>5</v>
      </c>
      <c r="I1018" s="2" t="str">
        <f t="shared" si="83"/>
        <v>Q4</v>
      </c>
      <c r="J1018" s="2" t="str">
        <f t="shared" si="79"/>
        <v>Match</v>
      </c>
      <c r="K1018" s="2">
        <f t="shared" si="80"/>
        <v>0.42426406871192851</v>
      </c>
      <c r="L1018" s="2" t="e">
        <f t="shared" si="81"/>
        <v>#N/A</v>
      </c>
      <c r="M1018" s="2" t="str">
        <f t="shared" si="82"/>
        <v>Failed but within quadrant</v>
      </c>
      <c r="N1018" s="7">
        <v>21.1</v>
      </c>
      <c r="O1018" s="7">
        <v>0</v>
      </c>
      <c r="P1018" s="7">
        <v>-11.4</v>
      </c>
      <c r="Q1018" s="7">
        <v>-0.68</v>
      </c>
      <c r="R1018" s="7">
        <v>0.3</v>
      </c>
      <c r="S1018" s="7">
        <v>-0.3</v>
      </c>
      <c r="T1018" s="7">
        <v>0.28999999999999998</v>
      </c>
      <c r="U1018" s="7">
        <v>0.42</v>
      </c>
      <c r="V1018" s="7">
        <v>0.84</v>
      </c>
      <c r="W1018" s="7" t="s">
        <v>13</v>
      </c>
      <c r="X1018" s="7" t="s">
        <v>9</v>
      </c>
      <c r="Y1018" s="2" t="s">
        <v>719</v>
      </c>
      <c r="Z1018" s="2" t="s">
        <v>721</v>
      </c>
    </row>
    <row r="1019" spans="1:26" x14ac:dyDescent="0.35">
      <c r="A1019" s="7" t="s">
        <v>1516</v>
      </c>
      <c r="B1019" s="7" t="s">
        <v>1068</v>
      </c>
      <c r="C1019" s="4" t="str">
        <f>_xlfn.XLOOKUP(A1019,[2]Sheet2!$I$2:$I$1273,[2]Sheet2!$D$2:$D$1273,0)</f>
        <v>Q2</v>
      </c>
      <c r="D1019" s="4" t="str">
        <f>_xlfn.XLOOKUP(B1019,[4]Sheet2!$B$2:$B$3154,[4]Sheet2!$F$2:$F$3154,0)</f>
        <v>N/ App</v>
      </c>
      <c r="E1019" s="4" t="e">
        <f>_xlfn.XLOOKUP(B1019,[2]Sheet2!$E$2:$E$713,[2]Sheet2!$G$2:$G$713)</f>
        <v>#N/A</v>
      </c>
      <c r="F1019" s="18">
        <v>46111</v>
      </c>
      <c r="G1019" s="14">
        <v>0.63045138888888885</v>
      </c>
      <c r="H1019" s="7" t="s">
        <v>4</v>
      </c>
      <c r="I1019" s="2" t="str">
        <f t="shared" si="83"/>
        <v>Q1</v>
      </c>
      <c r="J1019" s="2" t="str">
        <f t="shared" si="79"/>
        <v>Not Match</v>
      </c>
      <c r="K1019" s="2">
        <f t="shared" si="80"/>
        <v>0.14142135623730953</v>
      </c>
      <c r="L1019" s="2" t="e">
        <f t="shared" si="81"/>
        <v>#N/A</v>
      </c>
      <c r="M1019" s="2" t="str">
        <f t="shared" si="82"/>
        <v>Below 0.8 not in assigned quadrant</v>
      </c>
      <c r="N1019" s="7">
        <v>17.8</v>
      </c>
      <c r="O1019" s="7">
        <v>-1.2</v>
      </c>
      <c r="P1019" s="7">
        <v>-1.5</v>
      </c>
      <c r="Q1019" s="7">
        <v>-0.54</v>
      </c>
      <c r="R1019" s="7">
        <v>0.1</v>
      </c>
      <c r="S1019" s="7">
        <v>0.1</v>
      </c>
      <c r="T1019" s="7">
        <v>-0.26</v>
      </c>
      <c r="U1019" s="7">
        <v>0.08</v>
      </c>
      <c r="V1019" s="7">
        <v>0.61</v>
      </c>
      <c r="W1019" s="7" t="s">
        <v>8</v>
      </c>
      <c r="X1019" s="7" t="s">
        <v>7</v>
      </c>
      <c r="Y1019" s="2" t="s">
        <v>719</v>
      </c>
      <c r="Z1019" s="2" t="s">
        <v>721</v>
      </c>
    </row>
    <row r="1020" spans="1:26" x14ac:dyDescent="0.35">
      <c r="A1020" s="7" t="s">
        <v>1586</v>
      </c>
      <c r="B1020" s="7" t="s">
        <v>1069</v>
      </c>
      <c r="C1020" s="4" t="str">
        <f>_xlfn.XLOOKUP(A1020,[2]Sheet2!$I$2:$I$1273,[2]Sheet2!$D$2:$D$1273,0)</f>
        <v>Q2</v>
      </c>
      <c r="D1020" s="4" t="str">
        <f>_xlfn.XLOOKUP(B1020,[4]Sheet2!$B$2:$B$3154,[4]Sheet2!$F$2:$F$3154,0)</f>
        <v>N/ App</v>
      </c>
      <c r="E1020" s="4" t="e">
        <f>_xlfn.XLOOKUP(B1020,[2]Sheet2!$E$2:$E$713,[2]Sheet2!$G$2:$G$713)</f>
        <v>#N/A</v>
      </c>
      <c r="F1020" s="18">
        <v>46111</v>
      </c>
      <c r="G1020" s="14">
        <v>0.63207175925925929</v>
      </c>
      <c r="H1020" s="7" t="s">
        <v>4</v>
      </c>
      <c r="I1020" s="2" t="str">
        <f t="shared" si="83"/>
        <v>Q4</v>
      </c>
      <c r="J1020" s="2" t="str">
        <f t="shared" si="79"/>
        <v>Not Match</v>
      </c>
      <c r="K1020" s="2">
        <f t="shared" si="80"/>
        <v>0.1</v>
      </c>
      <c r="L1020" s="2" t="e">
        <f t="shared" si="81"/>
        <v>#N/A</v>
      </c>
      <c r="M1020" s="2" t="str">
        <f t="shared" si="82"/>
        <v>Below 0.8 not in assigned quadrant</v>
      </c>
      <c r="N1020" s="7">
        <v>17.8</v>
      </c>
      <c r="O1020" s="7">
        <v>0.1</v>
      </c>
      <c r="P1020" s="7">
        <v>-1.1000000000000001</v>
      </c>
      <c r="Q1020" s="7">
        <v>-0.19</v>
      </c>
      <c r="R1020" s="7">
        <v>0</v>
      </c>
      <c r="S1020" s="7">
        <v>-0.1</v>
      </c>
      <c r="T1020" s="7">
        <v>0.18</v>
      </c>
      <c r="U1020" s="7">
        <v>-0.08</v>
      </c>
      <c r="V1020" s="7">
        <v>0.27</v>
      </c>
      <c r="W1020" s="7" t="s">
        <v>8</v>
      </c>
      <c r="X1020" s="7" t="s">
        <v>15</v>
      </c>
      <c r="Y1020" s="2" t="s">
        <v>719</v>
      </c>
      <c r="Z1020" s="2" t="s">
        <v>721</v>
      </c>
    </row>
    <row r="1021" spans="1:26" x14ac:dyDescent="0.35">
      <c r="A1021" s="7" t="s">
        <v>1727</v>
      </c>
      <c r="B1021" s="7" t="s">
        <v>1070</v>
      </c>
      <c r="C1021" s="4" t="str">
        <f>_xlfn.XLOOKUP(A1021,[2]Sheet2!$I$2:$I$1273,[2]Sheet2!$D$2:$D$1273,0)</f>
        <v>Q2</v>
      </c>
      <c r="D1021" s="4" t="str">
        <f>_xlfn.XLOOKUP(B1021,[4]Sheet2!$B$2:$B$3154,[4]Sheet2!$F$2:$F$3154,0)</f>
        <v>C/APP</v>
      </c>
      <c r="E1021" s="4" t="e">
        <f>_xlfn.XLOOKUP(B1021,[2]Sheet2!$E$2:$E$713,[2]Sheet2!$G$2:$G$713)</f>
        <v>#N/A</v>
      </c>
      <c r="F1021" s="18">
        <v>46111</v>
      </c>
      <c r="G1021" s="14">
        <v>0.68765046296296295</v>
      </c>
      <c r="H1021" s="7" t="s">
        <v>4</v>
      </c>
      <c r="I1021" s="2" t="str">
        <f t="shared" si="83"/>
        <v>Q3</v>
      </c>
      <c r="J1021" s="2" t="str">
        <f t="shared" si="79"/>
        <v>Not Match</v>
      </c>
      <c r="K1021" s="2">
        <f t="shared" si="80"/>
        <v>0.1</v>
      </c>
      <c r="L1021" s="2" t="e">
        <f t="shared" si="81"/>
        <v>#N/A</v>
      </c>
      <c r="M1021" s="2" t="str">
        <f t="shared" si="82"/>
        <v>Below 0.8 not in assigned quadrant</v>
      </c>
      <c r="N1021" s="7">
        <v>14</v>
      </c>
      <c r="O1021" s="7">
        <v>-0.1</v>
      </c>
      <c r="P1021" s="7">
        <v>-1.9</v>
      </c>
      <c r="Q1021" s="7">
        <v>-0.13</v>
      </c>
      <c r="R1021" s="7">
        <v>-0.1</v>
      </c>
      <c r="S1021" s="7">
        <v>0</v>
      </c>
      <c r="T1021" s="7">
        <v>0.08</v>
      </c>
      <c r="U1021" s="7">
        <v>-0.22</v>
      </c>
      <c r="V1021" s="7">
        <v>0.27</v>
      </c>
      <c r="W1021" s="7" t="s">
        <v>8</v>
      </c>
      <c r="X1021" s="7" t="s">
        <v>15</v>
      </c>
      <c r="Y1021" s="2" t="s">
        <v>719</v>
      </c>
      <c r="Z1021" s="2" t="s">
        <v>721</v>
      </c>
    </row>
    <row r="1022" spans="1:26" x14ac:dyDescent="0.35">
      <c r="A1022" s="7" t="s">
        <v>1709</v>
      </c>
      <c r="B1022" s="7" t="s">
        <v>1071</v>
      </c>
      <c r="C1022" s="4" t="str">
        <f>_xlfn.XLOOKUP(A1022,[2]Sheet2!$I$2:$I$1273,[2]Sheet2!$D$2:$D$1273,0)</f>
        <v>Q2</v>
      </c>
      <c r="D1022" s="4" t="str">
        <f>_xlfn.XLOOKUP(B1022,[4]Sheet2!$B$2:$B$3154,[4]Sheet2!$F$2:$F$3154,0)</f>
        <v>C/APP</v>
      </c>
      <c r="E1022" s="4">
        <f>_xlfn.XLOOKUP(B1022,[2]Sheet2!$E$2:$E$713,[2]Sheet2!$G$2:$G$713)</f>
        <v>0.8</v>
      </c>
      <c r="F1022" s="18">
        <v>46111</v>
      </c>
      <c r="G1022" s="14">
        <v>0.73484953703703704</v>
      </c>
      <c r="H1022" s="7" t="s">
        <v>4</v>
      </c>
      <c r="I1022" s="2" t="str">
        <f t="shared" si="83"/>
        <v>Q3</v>
      </c>
      <c r="J1022" s="2" t="str">
        <f t="shared" si="79"/>
        <v>Not Match</v>
      </c>
      <c r="K1022" s="2">
        <f t="shared" si="80"/>
        <v>0.3</v>
      </c>
      <c r="L1022" s="2" t="str">
        <f t="shared" si="81"/>
        <v>Within Range</v>
      </c>
      <c r="M1022" s="2" t="str">
        <f t="shared" si="82"/>
        <v>Below 0.8 not in assigned quadrant</v>
      </c>
      <c r="N1022" s="7">
        <v>13.3</v>
      </c>
      <c r="O1022" s="7">
        <v>-0.3</v>
      </c>
      <c r="P1022" s="7">
        <v>-2.1</v>
      </c>
      <c r="Q1022" s="7">
        <v>-0.37</v>
      </c>
      <c r="R1022" s="7">
        <v>-0.3</v>
      </c>
      <c r="S1022" s="7">
        <v>0</v>
      </c>
      <c r="T1022" s="7">
        <v>0.06</v>
      </c>
      <c r="U1022" s="7">
        <v>-0.5</v>
      </c>
      <c r="V1022" s="7">
        <v>0.63</v>
      </c>
      <c r="W1022" s="7" t="s">
        <v>8</v>
      </c>
      <c r="X1022" s="7" t="s">
        <v>15</v>
      </c>
      <c r="Y1022" s="2" t="s">
        <v>719</v>
      </c>
      <c r="Z1022" s="2" t="s">
        <v>721</v>
      </c>
    </row>
    <row r="1023" spans="1:26" x14ac:dyDescent="0.35">
      <c r="A1023" s="7" t="s">
        <v>1552</v>
      </c>
      <c r="B1023" s="7" t="s">
        <v>1072</v>
      </c>
      <c r="C1023" s="4" t="str">
        <f>_xlfn.XLOOKUP(A1023,[2]Sheet2!$I$2:$I$1273,[2]Sheet2!$D$2:$D$1273,0)</f>
        <v>Q1</v>
      </c>
      <c r="D1023" s="4" t="str">
        <f>_xlfn.XLOOKUP(B1023,[4]Sheet2!$B$2:$B$3154,[4]Sheet2!$F$2:$F$3154,0)</f>
        <v>N/ App</v>
      </c>
      <c r="E1023" s="4" t="e">
        <f>_xlfn.XLOOKUP(B1023,[2]Sheet2!$E$2:$E$713,[2]Sheet2!$G$2:$G$713)</f>
        <v>#N/A</v>
      </c>
      <c r="F1023" s="18">
        <v>46111</v>
      </c>
      <c r="G1023" s="14">
        <v>0.73701388888888886</v>
      </c>
      <c r="H1023" s="7" t="s">
        <v>5</v>
      </c>
      <c r="I1023" s="2" t="str">
        <f t="shared" si="83"/>
        <v>Q1</v>
      </c>
      <c r="J1023" s="2" t="str">
        <f t="shared" si="79"/>
        <v>Match</v>
      </c>
      <c r="K1023" s="2">
        <f t="shared" si="80"/>
        <v>0</v>
      </c>
      <c r="L1023" s="2" t="e">
        <f t="shared" si="81"/>
        <v>#N/A</v>
      </c>
      <c r="M1023" s="2" t="str">
        <f t="shared" si="82"/>
        <v>Failed but within quadrant</v>
      </c>
      <c r="N1023" s="7">
        <v>13.5</v>
      </c>
      <c r="O1023" s="7">
        <v>-1</v>
      </c>
      <c r="P1023" s="7">
        <v>-2</v>
      </c>
      <c r="Q1023" s="7">
        <v>-1.25</v>
      </c>
      <c r="R1023" s="7">
        <v>0</v>
      </c>
      <c r="S1023" s="7">
        <v>0</v>
      </c>
      <c r="T1023" s="7">
        <v>0.01</v>
      </c>
      <c r="U1023" s="7">
        <v>0.09</v>
      </c>
      <c r="V1023" s="7">
        <v>1.25</v>
      </c>
      <c r="W1023" s="7" t="s">
        <v>6</v>
      </c>
      <c r="X1023" s="7" t="s">
        <v>9</v>
      </c>
      <c r="Y1023" s="2" t="s">
        <v>719</v>
      </c>
      <c r="Z1023" s="2" t="s">
        <v>721</v>
      </c>
    </row>
    <row r="1024" spans="1:26" x14ac:dyDescent="0.35">
      <c r="A1024" s="7" t="s">
        <v>1727</v>
      </c>
      <c r="B1024" s="7" t="s">
        <v>1073</v>
      </c>
      <c r="C1024" s="4" t="str">
        <f>_xlfn.XLOOKUP(A1024,[2]Sheet2!$I$2:$I$1273,[2]Sheet2!$D$2:$D$1273,0)</f>
        <v>Q2</v>
      </c>
      <c r="D1024" s="4" t="str">
        <f>_xlfn.XLOOKUP(B1024,[4]Sheet2!$B$2:$B$3154,[4]Sheet2!$F$2:$F$3154,0)</f>
        <v>C/APP</v>
      </c>
      <c r="E1024" s="4" t="e">
        <f>_xlfn.XLOOKUP(B1024,[2]Sheet2!$E$2:$E$713,[2]Sheet2!$G$2:$G$713)</f>
        <v>#N/A</v>
      </c>
      <c r="F1024" s="18">
        <v>46111</v>
      </c>
      <c r="G1024" s="14">
        <v>0.76424768518518515</v>
      </c>
      <c r="H1024" s="7" t="s">
        <v>4</v>
      </c>
      <c r="I1024" s="2" t="str">
        <f t="shared" si="83"/>
        <v>Q3</v>
      </c>
      <c r="J1024" s="2" t="str">
        <f t="shared" si="79"/>
        <v>Not Match</v>
      </c>
      <c r="K1024" s="2">
        <f t="shared" si="80"/>
        <v>0.1</v>
      </c>
      <c r="L1024" s="2" t="e">
        <f t="shared" si="81"/>
        <v>#N/A</v>
      </c>
      <c r="M1024" s="2" t="str">
        <f t="shared" si="82"/>
        <v>Assign quadrant hit</v>
      </c>
      <c r="N1024" s="7">
        <v>13.3</v>
      </c>
      <c r="O1024" s="7">
        <v>-0.1</v>
      </c>
      <c r="P1024" s="7">
        <v>-1.7</v>
      </c>
      <c r="Q1024" s="7">
        <v>-0.87</v>
      </c>
      <c r="R1024" s="7">
        <v>-0.1</v>
      </c>
      <c r="S1024" s="7">
        <v>0</v>
      </c>
      <c r="T1024" s="7">
        <v>-0.1</v>
      </c>
      <c r="U1024" s="7">
        <v>-0.24</v>
      </c>
      <c r="V1024" s="7">
        <v>0.91</v>
      </c>
      <c r="W1024" s="7" t="s">
        <v>13</v>
      </c>
      <c r="X1024" s="7" t="s">
        <v>15</v>
      </c>
      <c r="Y1024" s="2" t="s">
        <v>719</v>
      </c>
      <c r="Z1024" s="2" t="s">
        <v>721</v>
      </c>
    </row>
    <row r="1025" spans="1:26" x14ac:dyDescent="0.35">
      <c r="A1025" s="7" t="s">
        <v>1736</v>
      </c>
      <c r="B1025" s="7" t="s">
        <v>1074</v>
      </c>
      <c r="C1025" s="4" t="str">
        <f>_xlfn.XLOOKUP(A1025,[2]Sheet2!$I$2:$I$1273,[2]Sheet2!$D$2:$D$1273,0)</f>
        <v>Q3</v>
      </c>
      <c r="D1025" s="4" t="str">
        <f>_xlfn.XLOOKUP(B1025,[4]Sheet2!$B$2:$B$3154,[4]Sheet2!$F$2:$F$3154,0)</f>
        <v>N/ App</v>
      </c>
      <c r="E1025" s="4" t="e">
        <f>_xlfn.XLOOKUP(B1025,[2]Sheet2!$E$2:$E$713,[2]Sheet2!$G$2:$G$713)</f>
        <v>#N/A</v>
      </c>
      <c r="F1025" s="18">
        <v>46111</v>
      </c>
      <c r="G1025" s="14">
        <v>0.77201388888888889</v>
      </c>
      <c r="H1025" s="7" t="s">
        <v>4</v>
      </c>
      <c r="I1025" s="2" t="str">
        <f t="shared" si="83"/>
        <v>Q4</v>
      </c>
      <c r="J1025" s="2" t="str">
        <f t="shared" si="79"/>
        <v>Not Match</v>
      </c>
      <c r="K1025" s="2">
        <f t="shared" si="80"/>
        <v>0.2</v>
      </c>
      <c r="L1025" s="2" t="e">
        <f t="shared" si="81"/>
        <v>#N/A</v>
      </c>
      <c r="M1025" s="2" t="str">
        <f t="shared" si="82"/>
        <v>Below 0.8 not in assigned quadrant</v>
      </c>
      <c r="N1025" s="7">
        <v>22.2</v>
      </c>
      <c r="O1025" s="7">
        <v>5</v>
      </c>
      <c r="P1025" s="7">
        <v>4</v>
      </c>
      <c r="Q1025" s="7">
        <v>-0.08</v>
      </c>
      <c r="R1025" s="7">
        <v>0</v>
      </c>
      <c r="S1025" s="7">
        <v>-0.2</v>
      </c>
      <c r="T1025" s="7">
        <v>-7.0000000000000007E-2</v>
      </c>
      <c r="U1025" s="7">
        <v>-0.34</v>
      </c>
      <c r="V1025" s="7">
        <v>0.36</v>
      </c>
      <c r="W1025" s="7" t="s">
        <v>8</v>
      </c>
      <c r="X1025" s="7" t="s">
        <v>9</v>
      </c>
      <c r="Y1025" s="2" t="s">
        <v>719</v>
      </c>
      <c r="Z1025" s="2" t="s">
        <v>721</v>
      </c>
    </row>
    <row r="1026" spans="1:26" x14ac:dyDescent="0.35">
      <c r="A1026" s="7" t="s">
        <v>1521</v>
      </c>
      <c r="B1026" s="7" t="s">
        <v>1075</v>
      </c>
      <c r="C1026" s="4" t="str">
        <f>_xlfn.XLOOKUP(A1026,[2]Sheet2!$I$2:$I$1273,[2]Sheet2!$D$2:$D$1273,0)</f>
        <v>Q3</v>
      </c>
      <c r="D1026" s="4" t="str">
        <f>_xlfn.XLOOKUP(B1026,[4]Sheet2!$B$2:$B$3154,[4]Sheet2!$F$2:$F$3154,0)</f>
        <v>N/ App</v>
      </c>
      <c r="E1026" s="4" t="e">
        <f>_xlfn.XLOOKUP(B1026,[2]Sheet2!$E$2:$E$713,[2]Sheet2!$G$2:$G$713)</f>
        <v>#N/A</v>
      </c>
      <c r="F1026" s="18">
        <v>46111</v>
      </c>
      <c r="G1026" s="14">
        <v>0.77351851851851849</v>
      </c>
      <c r="H1026" s="7" t="s">
        <v>11</v>
      </c>
      <c r="I1026" s="2" t="str">
        <f t="shared" si="83"/>
        <v>Q1</v>
      </c>
      <c r="J1026" s="2" t="str">
        <f t="shared" si="79"/>
        <v>Not Match</v>
      </c>
      <c r="K1026" s="2">
        <f t="shared" si="80"/>
        <v>0.3</v>
      </c>
      <c r="L1026" s="2" t="e">
        <f t="shared" si="81"/>
        <v>#N/A</v>
      </c>
      <c r="M1026" s="2" t="str">
        <f t="shared" si="82"/>
        <v>Assign quadrant hit</v>
      </c>
      <c r="N1026" s="7">
        <v>19.899999999999999</v>
      </c>
      <c r="O1026" s="7">
        <v>1</v>
      </c>
      <c r="P1026" s="7">
        <v>-8.1</v>
      </c>
      <c r="Q1026" s="7">
        <v>-0.89</v>
      </c>
      <c r="R1026" s="7">
        <v>0</v>
      </c>
      <c r="S1026" s="7">
        <v>0.3</v>
      </c>
      <c r="T1026" s="7">
        <v>-0.26</v>
      </c>
      <c r="U1026" s="7">
        <v>0.1</v>
      </c>
      <c r="V1026" s="7">
        <v>0.94</v>
      </c>
      <c r="W1026" s="7" t="s">
        <v>13</v>
      </c>
      <c r="X1026" s="7" t="s">
        <v>9</v>
      </c>
      <c r="Y1026" s="2" t="s">
        <v>719</v>
      </c>
      <c r="Z1026" s="2" t="s">
        <v>721</v>
      </c>
    </row>
    <row r="1027" spans="1:26" x14ac:dyDescent="0.35">
      <c r="A1027" s="7" t="s">
        <v>1681</v>
      </c>
      <c r="B1027" s="7" t="s">
        <v>1076</v>
      </c>
      <c r="C1027" s="4" t="str">
        <f>_xlfn.XLOOKUP(A1027,[2]Sheet2!$I$2:$I$1273,[2]Sheet2!$D$2:$D$1273,0)</f>
        <v>Q4</v>
      </c>
      <c r="D1027" s="4" t="str">
        <f>_xlfn.XLOOKUP(B1027,[4]Sheet2!$B$2:$B$3154,[4]Sheet2!$F$2:$F$3154,0)</f>
        <v>N/ App</v>
      </c>
      <c r="E1027" s="4"/>
      <c r="F1027" s="18">
        <v>46111</v>
      </c>
      <c r="G1027" s="14">
        <v>0.7807291666666667</v>
      </c>
      <c r="H1027" s="7" t="s">
        <v>4</v>
      </c>
      <c r="I1027" s="2" t="str">
        <f t="shared" si="83"/>
        <v>Q4</v>
      </c>
      <c r="J1027" s="2" t="str">
        <f t="shared" ref="J1027:J1090" si="84">IF(I1027=C1027,"Match",IF(C1027=0,"Not Found","Not Match"))</f>
        <v>Match</v>
      </c>
      <c r="K1027" s="2">
        <f t="shared" ref="K1027:K1090" si="85">SQRT(R1027^2+S1027^2)</f>
        <v>0.60827625302982191</v>
      </c>
      <c r="L1027" s="2" t="str">
        <f t="shared" ref="L1027:L1090" si="86">IF(K1027&lt;=E1027,"Within Range","Over Range")</f>
        <v>Over Range</v>
      </c>
      <c r="M1027" s="2" t="str">
        <f t="shared" ref="M1027:M1090" si="87">IF(AND(J1027="Match",V1027&lt;=0.8),"Digital Approve Hit",
IF(AND(J1027="Match",V1027&gt;0.8),"Failed but within quadrant",
IF(AND(J1027="Not Match",V1027&lt;=0.8),"Below 0.8 not in assigned quadrant",
"Assign quadrant hit")))</f>
        <v>Failed but within quadrant</v>
      </c>
      <c r="N1027" s="7">
        <v>21.5</v>
      </c>
      <c r="O1027" s="7">
        <v>-0.6</v>
      </c>
      <c r="P1027" s="7">
        <v>-7.8</v>
      </c>
      <c r="Q1027" s="7">
        <v>1.0900000000000001</v>
      </c>
      <c r="R1027" s="7">
        <v>0.1</v>
      </c>
      <c r="S1027" s="7">
        <v>-0.6</v>
      </c>
      <c r="T1027" s="7">
        <v>0.59</v>
      </c>
      <c r="U1027" s="7">
        <v>0.23</v>
      </c>
      <c r="V1027" s="7">
        <v>1.26</v>
      </c>
      <c r="W1027" s="7" t="s">
        <v>6</v>
      </c>
      <c r="X1027" s="7" t="s">
        <v>9</v>
      </c>
      <c r="Y1027" s="2" t="s">
        <v>719</v>
      </c>
      <c r="Z1027" s="2" t="s">
        <v>721</v>
      </c>
    </row>
    <row r="1028" spans="1:26" x14ac:dyDescent="0.35">
      <c r="A1028" s="7" t="s">
        <v>1586</v>
      </c>
      <c r="B1028" s="7" t="s">
        <v>1077</v>
      </c>
      <c r="C1028" s="4" t="str">
        <f>_xlfn.XLOOKUP(A1028,[2]Sheet2!$I$2:$I$1273,[2]Sheet2!$D$2:$D$1273,0)</f>
        <v>Q2</v>
      </c>
      <c r="D1028" s="4" t="str">
        <f>_xlfn.XLOOKUP(B1028,[4]Sheet2!$B$2:$B$3154,[4]Sheet2!$F$2:$F$3154,0)</f>
        <v>N/ App</v>
      </c>
      <c r="E1028" s="4"/>
      <c r="F1028" s="18">
        <v>46112</v>
      </c>
      <c r="G1028" s="14">
        <v>1.0648148148148148E-2</v>
      </c>
      <c r="H1028" s="7" t="s">
        <v>5</v>
      </c>
      <c r="I1028" s="2" t="str">
        <f t="shared" si="83"/>
        <v>Q4</v>
      </c>
      <c r="J1028" s="2" t="str">
        <f t="shared" si="84"/>
        <v>Not Match</v>
      </c>
      <c r="K1028" s="2">
        <f t="shared" si="85"/>
        <v>0.1</v>
      </c>
      <c r="L1028" s="2" t="str">
        <f t="shared" si="86"/>
        <v>Over Range</v>
      </c>
      <c r="M1028" s="2" t="str">
        <f t="shared" si="87"/>
        <v>Below 0.8 not in assigned quadrant</v>
      </c>
      <c r="N1028" s="7">
        <v>17.5</v>
      </c>
      <c r="O1028" s="7">
        <v>-0.2</v>
      </c>
      <c r="P1028" s="7">
        <v>-1.6</v>
      </c>
      <c r="Q1028" s="7">
        <v>-0.16</v>
      </c>
      <c r="R1028" s="7">
        <v>0</v>
      </c>
      <c r="S1028" s="7">
        <v>-0.1</v>
      </c>
      <c r="T1028" s="7">
        <v>0.21</v>
      </c>
      <c r="U1028" s="7">
        <v>0</v>
      </c>
      <c r="V1028" s="7">
        <v>0.26</v>
      </c>
      <c r="W1028" s="7" t="s">
        <v>8</v>
      </c>
      <c r="X1028" s="7" t="s">
        <v>9</v>
      </c>
      <c r="Y1028" s="2" t="s">
        <v>719</v>
      </c>
      <c r="Z1028" s="2" t="s">
        <v>721</v>
      </c>
    </row>
    <row r="1029" spans="1:26" x14ac:dyDescent="0.35">
      <c r="A1029" s="7" t="s">
        <v>1596</v>
      </c>
      <c r="B1029" s="7" t="s">
        <v>1078</v>
      </c>
      <c r="C1029" s="4" t="str">
        <f>_xlfn.XLOOKUP(A1029,[2]Sheet2!$I$2:$I$1273,[2]Sheet2!$D$2:$D$1273,0)</f>
        <v>Q4</v>
      </c>
      <c r="D1029" s="4" t="str">
        <f>_xlfn.XLOOKUP(B1029,[4]Sheet2!$B$2:$B$3154,[4]Sheet2!$F$2:$F$3154,0)</f>
        <v>N/ App</v>
      </c>
      <c r="E1029" s="4"/>
      <c r="F1029" s="18">
        <v>46112</v>
      </c>
      <c r="G1029" s="14">
        <v>7.6655092592592594E-2</v>
      </c>
      <c r="H1029" s="7" t="s">
        <v>5</v>
      </c>
      <c r="I1029" s="2" t="str">
        <f t="shared" si="83"/>
        <v>Q4</v>
      </c>
      <c r="J1029" s="2" t="str">
        <f t="shared" si="84"/>
        <v>Match</v>
      </c>
      <c r="K1029" s="2">
        <f t="shared" si="85"/>
        <v>0.14142135623730953</v>
      </c>
      <c r="L1029" s="2" t="str">
        <f t="shared" si="86"/>
        <v>Over Range</v>
      </c>
      <c r="M1029" s="2" t="str">
        <f t="shared" si="87"/>
        <v>Failed but within quadrant</v>
      </c>
      <c r="N1029" s="7">
        <v>20.7</v>
      </c>
      <c r="O1029" s="7">
        <v>-0.1</v>
      </c>
      <c r="P1029" s="7">
        <v>-11.1</v>
      </c>
      <c r="Q1029" s="7">
        <v>-1.03</v>
      </c>
      <c r="R1029" s="7">
        <v>0.1</v>
      </c>
      <c r="S1029" s="7">
        <v>-0.1</v>
      </c>
      <c r="T1029" s="7">
        <v>0.11</v>
      </c>
      <c r="U1029" s="7">
        <v>0.21</v>
      </c>
      <c r="V1029" s="7">
        <v>1.06</v>
      </c>
      <c r="W1029" s="7" t="s">
        <v>6</v>
      </c>
      <c r="X1029" s="7" t="s">
        <v>9</v>
      </c>
      <c r="Y1029" s="2" t="s">
        <v>719</v>
      </c>
      <c r="Z1029" s="2" t="s">
        <v>721</v>
      </c>
    </row>
    <row r="1030" spans="1:26" x14ac:dyDescent="0.35">
      <c r="A1030" s="7" t="s">
        <v>1723</v>
      </c>
      <c r="B1030" s="7" t="s">
        <v>1079</v>
      </c>
      <c r="C1030" s="4" t="str">
        <f>_xlfn.XLOOKUP(A1030,[2]Sheet2!$I$2:$I$1273,[2]Sheet2!$D$2:$D$1273,0)</f>
        <v>Q2</v>
      </c>
      <c r="D1030" s="4" t="str">
        <f>_xlfn.XLOOKUP(B1030,[4]Sheet2!$B$2:$B$3154,[4]Sheet2!$F$2:$F$3154,0)</f>
        <v>C/APP</v>
      </c>
      <c r="E1030" s="4"/>
      <c r="F1030" s="18">
        <v>46112</v>
      </c>
      <c r="G1030" s="14">
        <v>8.1122685185185187E-2</v>
      </c>
      <c r="H1030" s="7" t="s">
        <v>14</v>
      </c>
      <c r="I1030" s="2" t="str">
        <f t="shared" si="83"/>
        <v>Q3</v>
      </c>
      <c r="J1030" s="2" t="str">
        <f t="shared" si="84"/>
        <v>Not Match</v>
      </c>
      <c r="K1030" s="2">
        <f t="shared" si="85"/>
        <v>0.42426406871192851</v>
      </c>
      <c r="L1030" s="2" t="str">
        <f t="shared" si="86"/>
        <v>Over Range</v>
      </c>
      <c r="M1030" s="2" t="str">
        <f t="shared" si="87"/>
        <v>Assign quadrant hit</v>
      </c>
      <c r="N1030" s="7">
        <v>13.9</v>
      </c>
      <c r="O1030" s="7">
        <v>-0.6</v>
      </c>
      <c r="P1030" s="7">
        <v>-2.5</v>
      </c>
      <c r="Q1030" s="7">
        <v>-0.55000000000000004</v>
      </c>
      <c r="R1030" s="7">
        <v>-0.3</v>
      </c>
      <c r="S1030" s="7">
        <v>-0.3</v>
      </c>
      <c r="T1030" s="7">
        <v>0.53</v>
      </c>
      <c r="U1030" s="7">
        <v>-0.37</v>
      </c>
      <c r="V1030" s="7">
        <v>0.85</v>
      </c>
      <c r="W1030" s="7" t="s">
        <v>13</v>
      </c>
      <c r="X1030" s="7" t="s">
        <v>15</v>
      </c>
      <c r="Y1030" s="2" t="s">
        <v>719</v>
      </c>
      <c r="Z1030" s="2" t="s">
        <v>721</v>
      </c>
    </row>
    <row r="1031" spans="1:26" x14ac:dyDescent="0.35">
      <c r="A1031" s="7" t="s">
        <v>1506</v>
      </c>
      <c r="B1031" s="7" t="s">
        <v>1080</v>
      </c>
      <c r="C1031" s="4" t="str">
        <f>_xlfn.XLOOKUP(A1031,[2]Sheet2!$I$2:$I$1273,[2]Sheet2!$D$2:$D$1273,0)</f>
        <v>Q1</v>
      </c>
      <c r="D1031" s="4" t="str">
        <f>_xlfn.XLOOKUP(B1031,[4]Sheet2!$B$2:$B$3154,[4]Sheet2!$F$2:$F$3154,0)</f>
        <v>N/ App</v>
      </c>
      <c r="E1031" s="4" t="e">
        <f>_xlfn.XLOOKUP(B1031,[2]Sheet2!$E$2:$E$713,[2]Sheet2!$G$2:$G$713)</f>
        <v>#N/A</v>
      </c>
      <c r="F1031" s="18">
        <v>46112</v>
      </c>
      <c r="G1031" s="14">
        <v>0.14487268518518517</v>
      </c>
      <c r="H1031" s="7" t="s">
        <v>5</v>
      </c>
      <c r="I1031" s="2" t="str">
        <f t="shared" si="83"/>
        <v>Q1</v>
      </c>
      <c r="J1031" s="2" t="str">
        <f t="shared" si="84"/>
        <v>Match</v>
      </c>
      <c r="K1031" s="2">
        <f t="shared" si="85"/>
        <v>0.22360679774997899</v>
      </c>
      <c r="L1031" s="2" t="e">
        <f t="shared" si="86"/>
        <v>#N/A</v>
      </c>
      <c r="M1031" s="2" t="str">
        <f t="shared" si="87"/>
        <v>Digital Approve Hit</v>
      </c>
      <c r="N1031" s="7">
        <v>14.9</v>
      </c>
      <c r="O1031" s="7">
        <v>-0.4</v>
      </c>
      <c r="P1031" s="7">
        <v>-2.4</v>
      </c>
      <c r="Q1031" s="7">
        <v>-0.25</v>
      </c>
      <c r="R1031" s="7">
        <v>0.1</v>
      </c>
      <c r="S1031" s="7">
        <v>0.2</v>
      </c>
      <c r="T1031" s="7">
        <v>-0.3</v>
      </c>
      <c r="U1031" s="7">
        <v>0.16</v>
      </c>
      <c r="V1031" s="7">
        <v>0.42</v>
      </c>
      <c r="W1031" s="7" t="s">
        <v>8</v>
      </c>
      <c r="X1031" s="7" t="s">
        <v>9</v>
      </c>
      <c r="Y1031" s="2" t="s">
        <v>719</v>
      </c>
      <c r="Z1031" s="2" t="s">
        <v>721</v>
      </c>
    </row>
    <row r="1032" spans="1:26" x14ac:dyDescent="0.35">
      <c r="A1032" s="7" t="s">
        <v>1572</v>
      </c>
      <c r="B1032" s="7" t="s">
        <v>1081</v>
      </c>
      <c r="C1032" s="4" t="str">
        <f>_xlfn.XLOOKUP(A1032,[2]Sheet2!$I$2:$I$1273,[2]Sheet2!$D$2:$D$1273,0)</f>
        <v>Q3</v>
      </c>
      <c r="D1032" s="4" t="str">
        <f>_xlfn.XLOOKUP(B1032,[4]Sheet2!$B$2:$B$3154,[4]Sheet2!$F$2:$F$3154,0)</f>
        <v>N/ App</v>
      </c>
      <c r="E1032" s="4" t="e">
        <f>_xlfn.XLOOKUP(B1032,[2]Sheet2!$E$2:$E$713,[2]Sheet2!$G$2:$G$713)</f>
        <v>#N/A</v>
      </c>
      <c r="F1032" s="18">
        <v>46112</v>
      </c>
      <c r="G1032" s="14">
        <v>0.14725694444444445</v>
      </c>
      <c r="H1032" s="7" t="s">
        <v>5</v>
      </c>
      <c r="I1032" s="2" t="str">
        <f t="shared" si="83"/>
        <v>Q4</v>
      </c>
      <c r="J1032" s="2" t="str">
        <f t="shared" si="84"/>
        <v>Not Match</v>
      </c>
      <c r="K1032" s="2">
        <f t="shared" si="85"/>
        <v>0.1</v>
      </c>
      <c r="L1032" s="2" t="e">
        <f t="shared" si="86"/>
        <v>#N/A</v>
      </c>
      <c r="M1032" s="2" t="str">
        <f t="shared" si="87"/>
        <v>Assign quadrant hit</v>
      </c>
      <c r="N1032" s="7">
        <v>15.1</v>
      </c>
      <c r="O1032" s="7">
        <v>-0.6</v>
      </c>
      <c r="P1032" s="7">
        <v>-2.4</v>
      </c>
      <c r="Q1032" s="7">
        <v>-1.3</v>
      </c>
      <c r="R1032" s="7">
        <v>0</v>
      </c>
      <c r="S1032" s="7">
        <v>-0.1</v>
      </c>
      <c r="T1032" s="7">
        <v>0.21</v>
      </c>
      <c r="U1032" s="7">
        <v>0.13</v>
      </c>
      <c r="V1032" s="7">
        <v>1.32</v>
      </c>
      <c r="W1032" s="7" t="s">
        <v>6</v>
      </c>
      <c r="X1032" s="7" t="s">
        <v>9</v>
      </c>
      <c r="Y1032" s="2" t="s">
        <v>719</v>
      </c>
      <c r="Z1032" s="2" t="s">
        <v>721</v>
      </c>
    </row>
    <row r="1033" spans="1:26" x14ac:dyDescent="0.35">
      <c r="A1033" s="7" t="s">
        <v>1545</v>
      </c>
      <c r="B1033" s="7" t="s">
        <v>1082</v>
      </c>
      <c r="C1033" s="4" t="str">
        <f>_xlfn.XLOOKUP(A1033,[2]Sheet2!$I$2:$I$1273,[2]Sheet2!$D$2:$D$1273,0)</f>
        <v>Q2</v>
      </c>
      <c r="D1033" s="4" t="str">
        <f>_xlfn.XLOOKUP(B1033,[4]Sheet2!$B$2:$B$3154,[4]Sheet2!$F$2:$F$3154,0)</f>
        <v>N/ App</v>
      </c>
      <c r="E1033" s="4" t="e">
        <f>_xlfn.XLOOKUP(B1033,[2]Sheet2!$E$2:$E$713,[2]Sheet2!$G$2:$G$713)</f>
        <v>#N/A</v>
      </c>
      <c r="F1033" s="18">
        <v>46112</v>
      </c>
      <c r="G1033" s="14">
        <v>0.22657407407407407</v>
      </c>
      <c r="H1033" s="7" t="s">
        <v>5</v>
      </c>
      <c r="I1033" s="2" t="str">
        <f t="shared" si="83"/>
        <v>Q4</v>
      </c>
      <c r="J1033" s="2" t="str">
        <f t="shared" si="84"/>
        <v>Not Match</v>
      </c>
      <c r="K1033" s="2">
        <f t="shared" si="85"/>
        <v>0.4</v>
      </c>
      <c r="L1033" s="2" t="e">
        <f t="shared" si="86"/>
        <v>#N/A</v>
      </c>
      <c r="M1033" s="2" t="str">
        <f t="shared" si="87"/>
        <v>Below 0.8 not in assigned quadrant</v>
      </c>
      <c r="N1033" s="7">
        <v>18</v>
      </c>
      <c r="O1033" s="7">
        <v>-0.6</v>
      </c>
      <c r="P1033" s="7">
        <v>-2.8</v>
      </c>
      <c r="Q1033" s="7">
        <v>0.08</v>
      </c>
      <c r="R1033" s="7">
        <v>0</v>
      </c>
      <c r="S1033" s="7">
        <v>-0.4</v>
      </c>
      <c r="T1033" s="7">
        <v>0.53</v>
      </c>
      <c r="U1033" s="7">
        <v>0.22</v>
      </c>
      <c r="V1033" s="7">
        <v>0.57999999999999996</v>
      </c>
      <c r="W1033" s="7" t="s">
        <v>8</v>
      </c>
      <c r="X1033" s="7" t="s">
        <v>9</v>
      </c>
      <c r="Y1033" s="2" t="s">
        <v>719</v>
      </c>
      <c r="Z1033" s="2" t="s">
        <v>721</v>
      </c>
    </row>
    <row r="1034" spans="1:26" x14ac:dyDescent="0.35">
      <c r="A1034" s="7" t="s">
        <v>1596</v>
      </c>
      <c r="B1034" s="7" t="s">
        <v>1083</v>
      </c>
      <c r="C1034" s="4" t="str">
        <f>_xlfn.XLOOKUP(A1034,[2]Sheet2!$I$2:$I$1273,[2]Sheet2!$D$2:$D$1273,0)</f>
        <v>Q4</v>
      </c>
      <c r="D1034" s="4" t="str">
        <f>_xlfn.XLOOKUP(B1034,[4]Sheet2!$B$2:$B$3154,[4]Sheet2!$F$2:$F$3154,0)</f>
        <v>N/ App</v>
      </c>
      <c r="E1034" s="4" t="e">
        <f>_xlfn.XLOOKUP(B1034,[2]Sheet2!$E$2:$E$713,[2]Sheet2!$G$2:$G$713)</f>
        <v>#N/A</v>
      </c>
      <c r="F1034" s="18">
        <v>46112</v>
      </c>
      <c r="G1034" s="14">
        <v>0.22895833333333335</v>
      </c>
      <c r="H1034" s="7" t="s">
        <v>5</v>
      </c>
      <c r="I1034" s="2" t="str">
        <f t="shared" si="83"/>
        <v>Q4</v>
      </c>
      <c r="J1034" s="2" t="str">
        <f t="shared" si="84"/>
        <v>Match</v>
      </c>
      <c r="K1034" s="2">
        <f t="shared" si="85"/>
        <v>0.28284271247461906</v>
      </c>
      <c r="L1034" s="2" t="e">
        <f t="shared" si="86"/>
        <v>#N/A</v>
      </c>
      <c r="M1034" s="2" t="str">
        <f t="shared" si="87"/>
        <v>Digital Approve Hit</v>
      </c>
      <c r="N1034" s="7">
        <v>21.6</v>
      </c>
      <c r="O1034" s="7">
        <v>0</v>
      </c>
      <c r="P1034" s="7">
        <v>-11.3</v>
      </c>
      <c r="Q1034" s="7">
        <v>-0.3</v>
      </c>
      <c r="R1034" s="7">
        <v>0.2</v>
      </c>
      <c r="S1034" s="7">
        <v>-0.2</v>
      </c>
      <c r="T1034" s="7">
        <v>0.22</v>
      </c>
      <c r="U1034" s="7">
        <v>0.34</v>
      </c>
      <c r="V1034" s="7">
        <v>0.5</v>
      </c>
      <c r="W1034" s="7" t="s">
        <v>8</v>
      </c>
      <c r="X1034" s="7" t="s">
        <v>9</v>
      </c>
      <c r="Y1034" s="2" t="s">
        <v>719</v>
      </c>
      <c r="Z1034" s="2" t="s">
        <v>721</v>
      </c>
    </row>
    <row r="1035" spans="1:26" x14ac:dyDescent="0.35">
      <c r="A1035" s="7" t="s">
        <v>1751</v>
      </c>
      <c r="B1035" s="7" t="s">
        <v>1084</v>
      </c>
      <c r="C1035" s="4" t="str">
        <f>_xlfn.XLOOKUP(A1035,[2]Sheet2!$I$2:$I$1273,[2]Sheet2!$D$2:$D$1273,0)</f>
        <v>Q1</v>
      </c>
      <c r="D1035" s="4" t="str">
        <f>_xlfn.XLOOKUP(B1035,[4]Sheet2!$B$2:$B$3154,[4]Sheet2!$F$2:$F$3154,0)</f>
        <v>C/APP</v>
      </c>
      <c r="E1035" s="4" t="e">
        <f>_xlfn.XLOOKUP(B1035,[2]Sheet2!$E$2:$E$713,[2]Sheet2!$G$2:$G$713)</f>
        <v>#N/A</v>
      </c>
      <c r="F1035" s="18">
        <v>46112</v>
      </c>
      <c r="G1035" s="14">
        <v>0.23241898148148149</v>
      </c>
      <c r="H1035" s="7" t="s">
        <v>4</v>
      </c>
      <c r="I1035" s="2" t="str">
        <f t="shared" si="83"/>
        <v>Q4</v>
      </c>
      <c r="J1035" s="2" t="str">
        <f t="shared" si="84"/>
        <v>Not Match</v>
      </c>
      <c r="K1035" s="2">
        <f t="shared" si="85"/>
        <v>0.5</v>
      </c>
      <c r="L1035" s="2" t="e">
        <f t="shared" si="86"/>
        <v>#N/A</v>
      </c>
      <c r="M1035" s="2" t="str">
        <f t="shared" si="87"/>
        <v>Below 0.8 not in assigned quadrant</v>
      </c>
      <c r="N1035" s="7">
        <v>36.9</v>
      </c>
      <c r="O1035" s="7">
        <v>54.4</v>
      </c>
      <c r="P1035" s="7">
        <v>28.3</v>
      </c>
      <c r="Q1035" s="7">
        <v>-0.06</v>
      </c>
      <c r="R1035" s="7">
        <v>0</v>
      </c>
      <c r="S1035" s="7">
        <v>-0.5</v>
      </c>
      <c r="T1035" s="7">
        <v>-0.09</v>
      </c>
      <c r="U1035" s="7">
        <v>-0.28999999999999998</v>
      </c>
      <c r="V1035" s="7">
        <v>0.31</v>
      </c>
      <c r="W1035" s="7" t="s">
        <v>8</v>
      </c>
      <c r="X1035" s="7" t="s">
        <v>7</v>
      </c>
      <c r="Y1035" s="2" t="s">
        <v>719</v>
      </c>
      <c r="Z1035" s="2" t="s">
        <v>721</v>
      </c>
    </row>
    <row r="1036" spans="1:26" x14ac:dyDescent="0.35">
      <c r="A1036" s="7" t="s">
        <v>1752</v>
      </c>
      <c r="B1036" s="7" t="s">
        <v>1085</v>
      </c>
      <c r="C1036" s="4" t="str">
        <f>_xlfn.XLOOKUP(A1036,[2]Sheet2!$I$2:$I$1273,[2]Sheet2!$D$2:$D$1273,0)</f>
        <v>Q3</v>
      </c>
      <c r="D1036" s="4" t="str">
        <f>_xlfn.XLOOKUP(B1036,[4]Sheet2!$B$2:$B$3154,[4]Sheet2!$F$2:$F$3154,0)</f>
        <v>N/ App</v>
      </c>
      <c r="E1036" s="4" t="e">
        <f>_xlfn.XLOOKUP(B1036,[2]Sheet2!$E$2:$E$713,[2]Sheet2!$G$2:$G$713)</f>
        <v>#N/A</v>
      </c>
      <c r="F1036" s="18">
        <v>46112</v>
      </c>
      <c r="G1036" s="14">
        <v>0.23429398148148148</v>
      </c>
      <c r="H1036" s="7" t="s">
        <v>10</v>
      </c>
      <c r="I1036" s="2" t="str">
        <f t="shared" si="83"/>
        <v>Q4</v>
      </c>
      <c r="J1036" s="2" t="str">
        <f t="shared" si="84"/>
        <v>Not Match</v>
      </c>
      <c r="K1036" s="2">
        <f t="shared" si="85"/>
        <v>0.1</v>
      </c>
      <c r="L1036" s="2" t="e">
        <f t="shared" si="86"/>
        <v>#N/A</v>
      </c>
      <c r="M1036" s="2" t="str">
        <f t="shared" si="87"/>
        <v>Below 0.8 not in assigned quadrant</v>
      </c>
      <c r="N1036" s="7">
        <v>16.8</v>
      </c>
      <c r="O1036" s="7">
        <v>0.6</v>
      </c>
      <c r="P1036" s="7">
        <v>-0.6</v>
      </c>
      <c r="Q1036" s="7">
        <v>-0.28000000000000003</v>
      </c>
      <c r="R1036" s="7">
        <v>0.1</v>
      </c>
      <c r="S1036" s="7">
        <v>0</v>
      </c>
      <c r="T1036" s="7">
        <v>0.05</v>
      </c>
      <c r="U1036" s="7">
        <v>0.23</v>
      </c>
      <c r="V1036" s="7">
        <v>0.37</v>
      </c>
      <c r="W1036" s="7" t="s">
        <v>8</v>
      </c>
      <c r="X1036" s="7" t="s">
        <v>9</v>
      </c>
      <c r="Y1036" s="2" t="s">
        <v>719</v>
      </c>
      <c r="Z1036" s="2" t="s">
        <v>721</v>
      </c>
    </row>
    <row r="1037" spans="1:26" x14ac:dyDescent="0.35">
      <c r="A1037" s="7" t="s">
        <v>1752</v>
      </c>
      <c r="B1037" s="7" t="s">
        <v>1086</v>
      </c>
      <c r="C1037" s="4" t="str">
        <f>_xlfn.XLOOKUP(A1037,[2]Sheet2!$I$2:$I$1273,[2]Sheet2!$D$2:$D$1273,0)</f>
        <v>Q3</v>
      </c>
      <c r="D1037" s="4" t="str">
        <f>_xlfn.XLOOKUP(B1037,[4]Sheet2!$B$2:$B$3154,[4]Sheet2!$F$2:$F$3154,0)</f>
        <v>N/ App</v>
      </c>
      <c r="E1037" s="4" t="e">
        <f>_xlfn.XLOOKUP(B1037,[2]Sheet2!$E$2:$E$713,[2]Sheet2!$G$2:$G$713)</f>
        <v>#N/A</v>
      </c>
      <c r="F1037" s="18">
        <v>46112</v>
      </c>
      <c r="G1037" s="14">
        <v>0.23594907407407406</v>
      </c>
      <c r="H1037" s="7" t="s">
        <v>10</v>
      </c>
      <c r="I1037" s="2" t="str">
        <f t="shared" si="83"/>
        <v>Q4</v>
      </c>
      <c r="J1037" s="2" t="str">
        <f t="shared" si="84"/>
        <v>Not Match</v>
      </c>
      <c r="K1037" s="2">
        <f t="shared" si="85"/>
        <v>0.1</v>
      </c>
      <c r="L1037" s="2" t="e">
        <f t="shared" si="86"/>
        <v>#N/A</v>
      </c>
      <c r="M1037" s="2" t="str">
        <f t="shared" si="87"/>
        <v>Below 0.8 not in assigned quadrant</v>
      </c>
      <c r="N1037" s="7">
        <v>17</v>
      </c>
      <c r="O1037" s="7">
        <v>0.6</v>
      </c>
      <c r="P1037" s="7">
        <v>-0.6</v>
      </c>
      <c r="Q1037" s="7">
        <v>-0.04</v>
      </c>
      <c r="R1037" s="7">
        <v>0.1</v>
      </c>
      <c r="S1037" s="7">
        <v>0</v>
      </c>
      <c r="T1037" s="7">
        <v>0.06</v>
      </c>
      <c r="U1037" s="7">
        <v>0.25</v>
      </c>
      <c r="V1037" s="7">
        <v>0.26</v>
      </c>
      <c r="W1037" s="7" t="s">
        <v>8</v>
      </c>
      <c r="X1037" s="7" t="s">
        <v>9</v>
      </c>
      <c r="Y1037" s="2" t="s">
        <v>719</v>
      </c>
      <c r="Z1037" s="2" t="s">
        <v>721</v>
      </c>
    </row>
    <row r="1038" spans="1:26" x14ac:dyDescent="0.35">
      <c r="A1038" s="7" t="s">
        <v>1586</v>
      </c>
      <c r="B1038" s="7" t="s">
        <v>1087</v>
      </c>
      <c r="C1038" s="4" t="str">
        <f>_xlfn.XLOOKUP(A1038,[2]Sheet2!$I$2:$I$1273,[2]Sheet2!$D$2:$D$1273,0)</f>
        <v>Q2</v>
      </c>
      <c r="D1038" s="4" t="str">
        <f>_xlfn.XLOOKUP(B1038,[4]Sheet2!$B$2:$B$3154,[4]Sheet2!$F$2:$F$3154,0)</f>
        <v>N/ App</v>
      </c>
      <c r="E1038" s="4" t="e">
        <f>_xlfn.XLOOKUP(B1038,[2]Sheet2!$E$2:$E$713,[2]Sheet2!$G$2:$G$713)</f>
        <v>#N/A</v>
      </c>
      <c r="F1038" s="18">
        <v>46112</v>
      </c>
      <c r="G1038" s="14">
        <v>0.27539351851851851</v>
      </c>
      <c r="H1038" s="7" t="s">
        <v>5</v>
      </c>
      <c r="I1038" s="2" t="str">
        <f t="shared" si="83"/>
        <v>Q4</v>
      </c>
      <c r="J1038" s="2" t="str">
        <f t="shared" si="84"/>
        <v>Not Match</v>
      </c>
      <c r="K1038" s="2">
        <f t="shared" si="85"/>
        <v>0.3</v>
      </c>
      <c r="L1038" s="2" t="e">
        <f t="shared" si="86"/>
        <v>#N/A</v>
      </c>
      <c r="M1038" s="2" t="str">
        <f t="shared" si="87"/>
        <v>Below 0.8 not in assigned quadrant</v>
      </c>
      <c r="N1038" s="7">
        <v>17</v>
      </c>
      <c r="O1038" s="7">
        <v>-0.2</v>
      </c>
      <c r="P1038" s="7">
        <v>-1.8</v>
      </c>
      <c r="Q1038" s="7">
        <v>-0.63</v>
      </c>
      <c r="R1038" s="7">
        <v>0</v>
      </c>
      <c r="S1038" s="7">
        <v>-0.3</v>
      </c>
      <c r="T1038" s="7">
        <v>0.41</v>
      </c>
      <c r="U1038" s="7">
        <v>0.06</v>
      </c>
      <c r="V1038" s="7">
        <v>0.76</v>
      </c>
      <c r="W1038" s="7" t="s">
        <v>13</v>
      </c>
      <c r="X1038" s="7" t="s">
        <v>9</v>
      </c>
      <c r="Y1038" s="2" t="s">
        <v>719</v>
      </c>
      <c r="Z1038" s="2" t="s">
        <v>721</v>
      </c>
    </row>
    <row r="1039" spans="1:26" x14ac:dyDescent="0.35">
      <c r="A1039" s="7" t="s">
        <v>1593</v>
      </c>
      <c r="B1039" s="7" t="s">
        <v>756</v>
      </c>
      <c r="C1039" s="4" t="str">
        <f>_xlfn.XLOOKUP(A1039,[2]Sheet2!$I$2:$I$1273,[2]Sheet2!$D$2:$D$1273,0)</f>
        <v>Q3</v>
      </c>
      <c r="D1039" s="4" t="str">
        <f>_xlfn.XLOOKUP(B1039,[4]Sheet2!$B$2:$B$3154,[4]Sheet2!$F$2:$F$3154,0)</f>
        <v>N/ App</v>
      </c>
      <c r="E1039" s="4" t="e">
        <f>_xlfn.XLOOKUP(B1039,[2]Sheet2!$E$2:$E$713,[2]Sheet2!$G$2:$G$713)</f>
        <v>#N/A</v>
      </c>
      <c r="F1039" s="18">
        <v>46112</v>
      </c>
      <c r="G1039" s="14">
        <v>0.27803240740740742</v>
      </c>
      <c r="H1039" s="7" t="s">
        <v>5</v>
      </c>
      <c r="I1039" s="2" t="str">
        <f t="shared" si="83"/>
        <v>Q4</v>
      </c>
      <c r="J1039" s="2" t="str">
        <f t="shared" si="84"/>
        <v>Not Match</v>
      </c>
      <c r="K1039" s="2">
        <f t="shared" si="85"/>
        <v>0.1</v>
      </c>
      <c r="L1039" s="2" t="e">
        <f t="shared" si="86"/>
        <v>#N/A</v>
      </c>
      <c r="M1039" s="2" t="str">
        <f t="shared" si="87"/>
        <v>Assign quadrant hit</v>
      </c>
      <c r="N1039" s="7">
        <v>23</v>
      </c>
      <c r="O1039" s="7">
        <v>3.3</v>
      </c>
      <c r="P1039" s="7">
        <v>2.1</v>
      </c>
      <c r="Q1039" s="7">
        <v>-0.82</v>
      </c>
      <c r="R1039" s="7">
        <v>0</v>
      </c>
      <c r="S1039" s="7">
        <v>-0.1</v>
      </c>
      <c r="T1039" s="7">
        <v>-0.08</v>
      </c>
      <c r="U1039" s="7">
        <v>-0.25</v>
      </c>
      <c r="V1039" s="7">
        <v>0.86</v>
      </c>
      <c r="W1039" s="7" t="s">
        <v>13</v>
      </c>
      <c r="X1039" s="7" t="s">
        <v>7</v>
      </c>
      <c r="Y1039" s="2" t="s">
        <v>719</v>
      </c>
      <c r="Z1039" s="2" t="s">
        <v>721</v>
      </c>
    </row>
    <row r="1040" spans="1:26" x14ac:dyDescent="0.35">
      <c r="A1040" s="7" t="s">
        <v>1558</v>
      </c>
      <c r="B1040" s="7" t="s">
        <v>1088</v>
      </c>
      <c r="C1040" s="4" t="str">
        <f>_xlfn.XLOOKUP(A1040,[2]Sheet2!$I$2:$I$1273,[2]Sheet2!$D$2:$D$1273,0)</f>
        <v>Q3</v>
      </c>
      <c r="D1040" s="4" t="str">
        <f>_xlfn.XLOOKUP(B1040,[4]Sheet2!$B$2:$B$3154,[4]Sheet2!$F$2:$F$3154,0)</f>
        <v>N/ App</v>
      </c>
      <c r="E1040" s="4" t="e">
        <f>_xlfn.XLOOKUP(B1040,[2]Sheet2!$E$2:$E$713,[2]Sheet2!$G$2:$G$713)</f>
        <v>#N/A</v>
      </c>
      <c r="F1040" s="18">
        <v>46112</v>
      </c>
      <c r="G1040" s="14">
        <v>0.28078703703703706</v>
      </c>
      <c r="H1040" s="7" t="s">
        <v>16</v>
      </c>
      <c r="I1040" s="2" t="str">
        <f t="shared" si="83"/>
        <v>Q3</v>
      </c>
      <c r="J1040" s="2" t="str">
        <f t="shared" si="84"/>
        <v>Match</v>
      </c>
      <c r="K1040" s="2">
        <f t="shared" si="85"/>
        <v>0.14142135623730953</v>
      </c>
      <c r="L1040" s="2" t="e">
        <f t="shared" si="86"/>
        <v>#N/A</v>
      </c>
      <c r="M1040" s="2" t="str">
        <f t="shared" si="87"/>
        <v>Digital Approve Hit</v>
      </c>
      <c r="N1040" s="7">
        <v>14.8</v>
      </c>
      <c r="O1040" s="7">
        <v>-0.4</v>
      </c>
      <c r="P1040" s="7">
        <v>-2</v>
      </c>
      <c r="Q1040" s="7">
        <v>-0.72</v>
      </c>
      <c r="R1040" s="7">
        <v>-0.1</v>
      </c>
      <c r="S1040" s="7">
        <v>-0.1</v>
      </c>
      <c r="T1040" s="7">
        <v>0.17</v>
      </c>
      <c r="U1040" s="7">
        <v>-0.16</v>
      </c>
      <c r="V1040" s="7">
        <v>0.76</v>
      </c>
      <c r="W1040" s="7" t="s">
        <v>13</v>
      </c>
      <c r="X1040" s="7" t="s">
        <v>15</v>
      </c>
      <c r="Y1040" s="2" t="s">
        <v>719</v>
      </c>
      <c r="Z1040" s="2" t="s">
        <v>721</v>
      </c>
    </row>
    <row r="1041" spans="1:26" x14ac:dyDescent="0.35">
      <c r="A1041" s="7" t="s">
        <v>1545</v>
      </c>
      <c r="B1041" s="7" t="s">
        <v>1090</v>
      </c>
      <c r="C1041" s="4" t="str">
        <f>_xlfn.XLOOKUP(A1041,[2]Sheet2!$I$2:$I$1273,[2]Sheet2!$D$2:$D$1273,0)</f>
        <v>Q2</v>
      </c>
      <c r="D1041" s="4" t="str">
        <f>_xlfn.XLOOKUP(B1041,[4]Sheet2!$B$2:$B$3154,[4]Sheet2!$F$2:$F$3154,0)</f>
        <v>N/ App</v>
      </c>
      <c r="E1041" s="4" t="e">
        <f>_xlfn.XLOOKUP(B1041,[2]Sheet2!$E$2:$E$713,[2]Sheet2!$G$2:$G$713)</f>
        <v>#N/A</v>
      </c>
      <c r="F1041" s="18">
        <v>46112</v>
      </c>
      <c r="G1041" s="14">
        <v>0.28454861111111113</v>
      </c>
      <c r="H1041" s="7" t="s">
        <v>5</v>
      </c>
      <c r="I1041" s="2" t="str">
        <f t="shared" si="83"/>
        <v>Q4</v>
      </c>
      <c r="J1041" s="2" t="str">
        <f t="shared" si="84"/>
        <v>Not Match</v>
      </c>
      <c r="K1041" s="2">
        <f t="shared" si="85"/>
        <v>0.31622776601683794</v>
      </c>
      <c r="L1041" s="2" t="e">
        <f t="shared" si="86"/>
        <v>#N/A</v>
      </c>
      <c r="M1041" s="2" t="str">
        <f t="shared" si="87"/>
        <v>Below 0.8 not in assigned quadrant</v>
      </c>
      <c r="N1041" s="7">
        <v>18</v>
      </c>
      <c r="O1041" s="7">
        <v>-0.5</v>
      </c>
      <c r="P1041" s="7">
        <v>-2.7</v>
      </c>
      <c r="Q1041" s="7">
        <v>0.09</v>
      </c>
      <c r="R1041" s="7">
        <v>0.1</v>
      </c>
      <c r="S1041" s="7">
        <v>-0.3</v>
      </c>
      <c r="T1041" s="7">
        <v>0.42</v>
      </c>
      <c r="U1041" s="7">
        <v>0.28000000000000003</v>
      </c>
      <c r="V1041" s="7">
        <v>0.52</v>
      </c>
      <c r="W1041" s="7" t="s">
        <v>8</v>
      </c>
      <c r="X1041" s="7" t="s">
        <v>9</v>
      </c>
      <c r="Y1041" s="2" t="s">
        <v>719</v>
      </c>
      <c r="Z1041" s="2" t="s">
        <v>721</v>
      </c>
    </row>
    <row r="1042" spans="1:26" x14ac:dyDescent="0.35">
      <c r="A1042" s="7" t="s">
        <v>1574</v>
      </c>
      <c r="B1042" s="7" t="s">
        <v>1091</v>
      </c>
      <c r="C1042" s="4" t="str">
        <f>_xlfn.XLOOKUP(A1042,[2]Sheet2!$I$2:$I$1273,[2]Sheet2!$D$2:$D$1273,0)</f>
        <v>Q2</v>
      </c>
      <c r="D1042" s="4" t="str">
        <f>_xlfn.XLOOKUP(B1042,[4]Sheet2!$B$2:$B$3154,[4]Sheet2!$F$2:$F$3154,0)</f>
        <v>N/ App</v>
      </c>
      <c r="E1042" s="4" t="e">
        <f>_xlfn.XLOOKUP(B1042,[2]Sheet2!$E$2:$E$713,[2]Sheet2!$G$2:$G$713)</f>
        <v>#N/A</v>
      </c>
      <c r="F1042" s="18">
        <v>46112</v>
      </c>
      <c r="G1042" s="14">
        <v>0.28707175925925926</v>
      </c>
      <c r="H1042" s="7" t="s">
        <v>11</v>
      </c>
      <c r="I1042" s="2" t="str">
        <f t="shared" si="83"/>
        <v>Q4</v>
      </c>
      <c r="J1042" s="2" t="str">
        <f t="shared" si="84"/>
        <v>Not Match</v>
      </c>
      <c r="K1042" s="2">
        <f t="shared" si="85"/>
        <v>0.1</v>
      </c>
      <c r="L1042" s="2" t="e">
        <f t="shared" si="86"/>
        <v>#N/A</v>
      </c>
      <c r="M1042" s="2" t="str">
        <f t="shared" si="87"/>
        <v>Below 0.8 not in assigned quadrant</v>
      </c>
      <c r="N1042" s="7">
        <v>18.899999999999999</v>
      </c>
      <c r="O1042" s="7">
        <v>-0.1</v>
      </c>
      <c r="P1042" s="7">
        <v>-12.1</v>
      </c>
      <c r="Q1042" s="7">
        <v>-0.32</v>
      </c>
      <c r="R1042" s="7">
        <v>0.1</v>
      </c>
      <c r="S1042" s="7">
        <v>0</v>
      </c>
      <c r="T1042" s="7">
        <v>0.06</v>
      </c>
      <c r="U1042" s="7">
        <v>0.22</v>
      </c>
      <c r="V1042" s="7">
        <v>0.39</v>
      </c>
      <c r="W1042" s="7" t="s">
        <v>8</v>
      </c>
      <c r="X1042" s="7" t="s">
        <v>9</v>
      </c>
      <c r="Y1042" s="2" t="s">
        <v>719</v>
      </c>
      <c r="Z1042" s="2" t="s">
        <v>721</v>
      </c>
    </row>
    <row r="1043" spans="1:26" x14ac:dyDescent="0.35">
      <c r="A1043" s="7" t="s">
        <v>1528</v>
      </c>
      <c r="B1043" s="7" t="s">
        <v>1092</v>
      </c>
      <c r="C1043" s="4" t="str">
        <f>_xlfn.XLOOKUP(A1043,[2]Sheet2!$I$2:$I$1273,[2]Sheet2!$D$2:$D$1273,0)</f>
        <v>Q1</v>
      </c>
      <c r="D1043" s="4" t="str">
        <f>_xlfn.XLOOKUP(B1043,[4]Sheet2!$B$2:$B$3154,[4]Sheet2!$F$2:$F$3154,0)</f>
        <v>N/ App</v>
      </c>
      <c r="E1043" s="4" t="e">
        <f>_xlfn.XLOOKUP(B1043,[2]Sheet2!$E$2:$E$713,[2]Sheet2!$G$2:$G$713)</f>
        <v>#N/A</v>
      </c>
      <c r="F1043" s="18">
        <v>46112</v>
      </c>
      <c r="G1043" s="14">
        <v>0.43346064814814816</v>
      </c>
      <c r="H1043" s="7" t="s">
        <v>5</v>
      </c>
      <c r="I1043" s="2" t="str">
        <f t="shared" si="83"/>
        <v>Q2</v>
      </c>
      <c r="J1043" s="2" t="str">
        <f t="shared" si="84"/>
        <v>Not Match</v>
      </c>
      <c r="K1043" s="2">
        <f t="shared" si="85"/>
        <v>0.80622577482985491</v>
      </c>
      <c r="L1043" s="2" t="e">
        <f t="shared" si="86"/>
        <v>#N/A</v>
      </c>
      <c r="M1043" s="2" t="str">
        <f t="shared" si="87"/>
        <v>Below 0.8 not in assigned quadrant</v>
      </c>
      <c r="N1043" s="7">
        <v>43.3</v>
      </c>
      <c r="O1043" s="7">
        <v>50.1</v>
      </c>
      <c r="P1043" s="7">
        <v>-3.4</v>
      </c>
      <c r="Q1043" s="7">
        <v>-0.19</v>
      </c>
      <c r="R1043" s="7">
        <v>-0.4</v>
      </c>
      <c r="S1043" s="7">
        <v>0.7</v>
      </c>
      <c r="T1043" s="7">
        <v>-0.19</v>
      </c>
      <c r="U1043" s="7">
        <v>0.36</v>
      </c>
      <c r="V1043" s="7">
        <v>0.45</v>
      </c>
      <c r="W1043" s="7" t="s">
        <v>8</v>
      </c>
      <c r="X1043" s="7" t="s">
        <v>9</v>
      </c>
      <c r="Y1043" s="2" t="s">
        <v>719</v>
      </c>
      <c r="Z1043" s="2" t="s">
        <v>721</v>
      </c>
    </row>
    <row r="1044" spans="1:26" x14ac:dyDescent="0.35">
      <c r="A1044" s="7" t="s">
        <v>1736</v>
      </c>
      <c r="B1044" s="7" t="s">
        <v>1093</v>
      </c>
      <c r="C1044" s="4" t="str">
        <f>_xlfn.XLOOKUP(A1044,[2]Sheet2!$I$2:$I$1273,[2]Sheet2!$D$2:$D$1273,0)</f>
        <v>Q3</v>
      </c>
      <c r="D1044" s="4" t="str">
        <f>_xlfn.XLOOKUP(B1044,[4]Sheet2!$B$2:$B$3154,[4]Sheet2!$F$2:$F$3154,0)</f>
        <v>N/ App</v>
      </c>
      <c r="E1044" s="4" t="e">
        <f>_xlfn.XLOOKUP(B1044,[2]Sheet2!$E$2:$E$713,[2]Sheet2!$G$2:$G$713)</f>
        <v>#N/A</v>
      </c>
      <c r="F1044" s="18">
        <v>46112</v>
      </c>
      <c r="G1044" s="14">
        <v>0.4584259259259259</v>
      </c>
      <c r="H1044" s="7" t="s">
        <v>4</v>
      </c>
      <c r="I1044" s="2" t="str">
        <f t="shared" si="83"/>
        <v>Q1</v>
      </c>
      <c r="J1044" s="2" t="str">
        <f t="shared" si="84"/>
        <v>Not Match</v>
      </c>
      <c r="K1044" s="2">
        <f t="shared" si="85"/>
        <v>0.4</v>
      </c>
      <c r="L1044" s="2" t="e">
        <f t="shared" si="86"/>
        <v>#N/A</v>
      </c>
      <c r="M1044" s="2" t="str">
        <f t="shared" si="87"/>
        <v>Below 0.8 not in assigned quadrant</v>
      </c>
      <c r="N1044" s="7">
        <v>22.8</v>
      </c>
      <c r="O1044" s="7">
        <v>4.9000000000000004</v>
      </c>
      <c r="P1044" s="7">
        <v>4.7</v>
      </c>
      <c r="Q1044" s="7">
        <v>0.44</v>
      </c>
      <c r="R1044" s="7">
        <v>0</v>
      </c>
      <c r="S1044" s="7">
        <v>0.4</v>
      </c>
      <c r="T1044" s="7">
        <v>0.34</v>
      </c>
      <c r="U1044" s="7">
        <v>0.54</v>
      </c>
      <c r="V1044" s="7">
        <v>0.77</v>
      </c>
      <c r="W1044" s="7" t="s">
        <v>13</v>
      </c>
      <c r="X1044" s="7" t="s">
        <v>12</v>
      </c>
      <c r="Y1044" s="2" t="s">
        <v>719</v>
      </c>
      <c r="Z1044" s="2" t="s">
        <v>721</v>
      </c>
    </row>
    <row r="1045" spans="1:26" x14ac:dyDescent="0.35">
      <c r="A1045" s="7" t="s">
        <v>1723</v>
      </c>
      <c r="B1045" s="7" t="s">
        <v>1094</v>
      </c>
      <c r="C1045" s="4" t="str">
        <f>_xlfn.XLOOKUP(A1045,[2]Sheet2!$I$2:$I$1273,[2]Sheet2!$D$2:$D$1273,0)</f>
        <v>Q2</v>
      </c>
      <c r="D1045" s="4" t="str">
        <f>_xlfn.XLOOKUP(B1045,[4]Sheet2!$B$2:$B$3154,[4]Sheet2!$F$2:$F$3154,0)</f>
        <v>N/ App</v>
      </c>
      <c r="E1045" s="4" t="e">
        <f>_xlfn.XLOOKUP(B1045,[2]Sheet2!$E$2:$E$713,[2]Sheet2!$G$2:$G$713)</f>
        <v>#N/A</v>
      </c>
      <c r="F1045" s="18">
        <v>46112</v>
      </c>
      <c r="G1045" s="14">
        <v>0.62791666666666668</v>
      </c>
      <c r="H1045" s="7" t="s">
        <v>4</v>
      </c>
      <c r="I1045" s="2" t="str">
        <f t="shared" si="83"/>
        <v>Q3</v>
      </c>
      <c r="J1045" s="2" t="str">
        <f t="shared" si="84"/>
        <v>Not Match</v>
      </c>
      <c r="K1045" s="2">
        <f t="shared" si="85"/>
        <v>0.41231056256176613</v>
      </c>
      <c r="L1045" s="2" t="e">
        <f t="shared" si="86"/>
        <v>#N/A</v>
      </c>
      <c r="M1045" s="2" t="str">
        <f t="shared" si="87"/>
        <v>Assign quadrant hit</v>
      </c>
      <c r="N1045" s="7">
        <v>15.5</v>
      </c>
      <c r="O1045" s="7">
        <v>-0.6</v>
      </c>
      <c r="P1045" s="7">
        <v>-1.5</v>
      </c>
      <c r="Q1045" s="7">
        <v>0.63</v>
      </c>
      <c r="R1045" s="7">
        <v>-0.4</v>
      </c>
      <c r="S1045" s="7">
        <v>-0.1</v>
      </c>
      <c r="T1045" s="7">
        <v>0.31</v>
      </c>
      <c r="U1045" s="7">
        <v>-0.61</v>
      </c>
      <c r="V1045" s="7">
        <v>0.93</v>
      </c>
      <c r="W1045" s="7" t="s">
        <v>13</v>
      </c>
      <c r="X1045" s="7" t="s">
        <v>15</v>
      </c>
      <c r="Y1045" s="2" t="s">
        <v>719</v>
      </c>
      <c r="Z1045" s="2" t="s">
        <v>721</v>
      </c>
    </row>
    <row r="1046" spans="1:26" x14ac:dyDescent="0.35">
      <c r="A1046" s="7" t="s">
        <v>1533</v>
      </c>
      <c r="B1046" s="7" t="s">
        <v>1095</v>
      </c>
      <c r="C1046" s="4" t="str">
        <f>_xlfn.XLOOKUP(A1046,[2]Sheet2!$I$2:$I$1273,[2]Sheet2!$D$2:$D$1273,0)</f>
        <v>Q2</v>
      </c>
      <c r="D1046" s="4" t="str">
        <f>_xlfn.XLOOKUP(B1046,[4]Sheet2!$B$2:$B$3154,[4]Sheet2!$F$2:$F$3154,0)</f>
        <v>N/ App</v>
      </c>
      <c r="E1046" s="4" t="e">
        <f>_xlfn.XLOOKUP(B1046,[2]Sheet2!$E$2:$E$713,[2]Sheet2!$G$2:$G$713)</f>
        <v>#N/A</v>
      </c>
      <c r="F1046" s="18">
        <v>46112</v>
      </c>
      <c r="G1046" s="14">
        <v>0.71739583333333334</v>
      </c>
      <c r="H1046" s="7" t="s">
        <v>16</v>
      </c>
      <c r="I1046" s="2" t="str">
        <f t="shared" si="83"/>
        <v>Q4</v>
      </c>
      <c r="J1046" s="2" t="str">
        <f t="shared" si="84"/>
        <v>Not Match</v>
      </c>
      <c r="K1046" s="2">
        <f t="shared" si="85"/>
        <v>0.6</v>
      </c>
      <c r="L1046" s="2" t="e">
        <f t="shared" si="86"/>
        <v>#N/A</v>
      </c>
      <c r="M1046" s="2" t="str">
        <f t="shared" si="87"/>
        <v>Below 0.8 not in assigned quadrant</v>
      </c>
      <c r="N1046" s="7">
        <v>25.4</v>
      </c>
      <c r="O1046" s="7">
        <v>1.4</v>
      </c>
      <c r="P1046" s="7">
        <v>8.6</v>
      </c>
      <c r="Q1046" s="7">
        <v>-0.02</v>
      </c>
      <c r="R1046" s="7">
        <v>0</v>
      </c>
      <c r="S1046" s="7">
        <v>-0.6</v>
      </c>
      <c r="T1046" s="7">
        <v>-0.54</v>
      </c>
      <c r="U1046" s="7">
        <v>-0.26</v>
      </c>
      <c r="V1046" s="7">
        <v>0.6</v>
      </c>
      <c r="W1046" s="7" t="s">
        <v>8</v>
      </c>
      <c r="X1046" s="7" t="s">
        <v>9</v>
      </c>
      <c r="Y1046" s="2" t="s">
        <v>719</v>
      </c>
      <c r="Z1046" s="2" t="s">
        <v>721</v>
      </c>
    </row>
    <row r="1047" spans="1:26" x14ac:dyDescent="0.35">
      <c r="A1047" s="7" t="s">
        <v>1509</v>
      </c>
      <c r="B1047" s="7" t="s">
        <v>1096</v>
      </c>
      <c r="C1047" s="4" t="str">
        <f>_xlfn.XLOOKUP(A1047,[2]Sheet2!$I$2:$I$1273,[2]Sheet2!$D$2:$D$1273,0)</f>
        <v>Q2</v>
      </c>
      <c r="D1047" s="4" t="str">
        <f>_xlfn.XLOOKUP(B1047,[4]Sheet2!$B$2:$B$3154,[4]Sheet2!$F$2:$F$3154,0)</f>
        <v>N/ App</v>
      </c>
      <c r="E1047" s="4" t="e">
        <f>_xlfn.XLOOKUP(B1047,[2]Sheet2!$E$2:$E$713,[2]Sheet2!$G$2:$G$713)</f>
        <v>#N/A</v>
      </c>
      <c r="F1047" s="18">
        <v>46112</v>
      </c>
      <c r="G1047" s="14">
        <v>0.72179398148148144</v>
      </c>
      <c r="H1047" s="7" t="s">
        <v>4</v>
      </c>
      <c r="I1047" s="2" t="str">
        <f t="shared" si="83"/>
        <v>Q1</v>
      </c>
      <c r="J1047" s="2" t="str">
        <f t="shared" si="84"/>
        <v>Not Match</v>
      </c>
      <c r="K1047" s="2">
        <f t="shared" si="85"/>
        <v>0.22360679774997899</v>
      </c>
      <c r="L1047" s="2" t="e">
        <f t="shared" si="86"/>
        <v>#N/A</v>
      </c>
      <c r="M1047" s="2" t="str">
        <f t="shared" si="87"/>
        <v>Below 0.8 not in assigned quadrant</v>
      </c>
      <c r="N1047" s="7">
        <v>16.399999999999999</v>
      </c>
      <c r="O1047" s="7">
        <v>-0.9</v>
      </c>
      <c r="P1047" s="7">
        <v>-1.8</v>
      </c>
      <c r="Q1047" s="7">
        <v>-0.66</v>
      </c>
      <c r="R1047" s="7">
        <v>0.2</v>
      </c>
      <c r="S1047" s="7">
        <v>0.1</v>
      </c>
      <c r="T1047" s="7">
        <v>-0.31</v>
      </c>
      <c r="U1047" s="7">
        <v>0.25</v>
      </c>
      <c r="V1047" s="7">
        <v>0.77</v>
      </c>
      <c r="W1047" s="7" t="s">
        <v>13</v>
      </c>
      <c r="X1047" s="7" t="s">
        <v>9</v>
      </c>
      <c r="Y1047" s="2" t="s">
        <v>719</v>
      </c>
      <c r="Z1047" s="2" t="s">
        <v>721</v>
      </c>
    </row>
    <row r="1048" spans="1:26" x14ac:dyDescent="0.35">
      <c r="A1048" s="7" t="s">
        <v>1545</v>
      </c>
      <c r="B1048" s="7" t="s">
        <v>1097</v>
      </c>
      <c r="C1048" s="4" t="str">
        <f>_xlfn.XLOOKUP(A1048,[2]Sheet2!$I$2:$I$1273,[2]Sheet2!$D$2:$D$1273,0)</f>
        <v>Q2</v>
      </c>
      <c r="D1048" s="4" t="str">
        <f>_xlfn.XLOOKUP(B1048,[4]Sheet2!$B$2:$B$3154,[4]Sheet2!$F$2:$F$3154,0)</f>
        <v>N/ App</v>
      </c>
      <c r="E1048" s="4" t="e">
        <f>_xlfn.XLOOKUP(B1048,[2]Sheet2!$E$2:$E$713,[2]Sheet2!$G$2:$G$713)</f>
        <v>#N/A</v>
      </c>
      <c r="F1048" s="18">
        <v>46112</v>
      </c>
      <c r="G1048" s="14">
        <v>0.72495370370370371</v>
      </c>
      <c r="H1048" s="7" t="s">
        <v>5</v>
      </c>
      <c r="I1048" s="2" t="str">
        <f t="shared" si="83"/>
        <v>Q4</v>
      </c>
      <c r="J1048" s="2" t="str">
        <f t="shared" si="84"/>
        <v>Not Match</v>
      </c>
      <c r="K1048" s="2">
        <f t="shared" si="85"/>
        <v>0.4</v>
      </c>
      <c r="L1048" s="2" t="e">
        <f t="shared" si="86"/>
        <v>#N/A</v>
      </c>
      <c r="M1048" s="2" t="str">
        <f t="shared" si="87"/>
        <v>Below 0.8 not in assigned quadrant</v>
      </c>
      <c r="N1048" s="7">
        <v>17.600000000000001</v>
      </c>
      <c r="O1048" s="7">
        <v>-0.6</v>
      </c>
      <c r="P1048" s="7">
        <v>-2.7</v>
      </c>
      <c r="Q1048" s="7">
        <v>-0.28999999999999998</v>
      </c>
      <c r="R1048" s="7">
        <v>0</v>
      </c>
      <c r="S1048" s="7">
        <v>-0.4</v>
      </c>
      <c r="T1048" s="7">
        <v>0.52</v>
      </c>
      <c r="U1048" s="7">
        <v>0.17</v>
      </c>
      <c r="V1048" s="7">
        <v>0.62</v>
      </c>
      <c r="W1048" s="7" t="s">
        <v>8</v>
      </c>
      <c r="X1048" s="7" t="s">
        <v>9</v>
      </c>
      <c r="Y1048" s="2" t="s">
        <v>719</v>
      </c>
      <c r="Z1048" s="2" t="s">
        <v>721</v>
      </c>
    </row>
    <row r="1049" spans="1:26" x14ac:dyDescent="0.35">
      <c r="A1049" s="7" t="s">
        <v>1740</v>
      </c>
      <c r="B1049" s="7" t="s">
        <v>1098</v>
      </c>
      <c r="C1049" s="4" t="str">
        <f>_xlfn.XLOOKUP(A1049,[2]Sheet2!$I$2:$I$1273,[2]Sheet2!$D$2:$D$1273,0)</f>
        <v>Q2</v>
      </c>
      <c r="D1049" s="4" t="str">
        <f>_xlfn.XLOOKUP(B1049,[4]Sheet2!$B$2:$B$3154,[4]Sheet2!$F$2:$F$3154,0)</f>
        <v>N/ App</v>
      </c>
      <c r="E1049" s="4" t="e">
        <f>_xlfn.XLOOKUP(B1049,[2]Sheet2!$E$2:$E$713,[2]Sheet2!$G$2:$G$713)</f>
        <v>#N/A</v>
      </c>
      <c r="F1049" s="18">
        <v>46112</v>
      </c>
      <c r="G1049" s="14">
        <v>0.73303240740740738</v>
      </c>
      <c r="H1049" s="7" t="s">
        <v>4</v>
      </c>
      <c r="I1049" s="2" t="str">
        <f t="shared" si="83"/>
        <v>Q3</v>
      </c>
      <c r="J1049" s="2" t="str">
        <f t="shared" si="84"/>
        <v>Not Match</v>
      </c>
      <c r="K1049" s="2">
        <f t="shared" si="85"/>
        <v>0.22360679774997899</v>
      </c>
      <c r="L1049" s="2" t="e">
        <f t="shared" si="86"/>
        <v>#N/A</v>
      </c>
      <c r="M1049" s="2" t="str">
        <f t="shared" si="87"/>
        <v>Below 0.8 not in assigned quadrant</v>
      </c>
      <c r="N1049" s="7">
        <v>14.6</v>
      </c>
      <c r="O1049" s="7">
        <v>-0.9</v>
      </c>
      <c r="P1049" s="7">
        <v>-1.2</v>
      </c>
      <c r="Q1049" s="7">
        <v>-0.36</v>
      </c>
      <c r="R1049" s="7">
        <v>-0.2</v>
      </c>
      <c r="S1049" s="7">
        <v>-0.1</v>
      </c>
      <c r="T1049" s="7">
        <v>0.44</v>
      </c>
      <c r="U1049" s="7">
        <v>-0.14000000000000001</v>
      </c>
      <c r="V1049" s="7">
        <v>0.57999999999999996</v>
      </c>
      <c r="W1049" s="7" t="s">
        <v>8</v>
      </c>
      <c r="X1049" s="7" t="s">
        <v>12</v>
      </c>
      <c r="Y1049" s="2" t="s">
        <v>719</v>
      </c>
      <c r="Z1049" s="2" t="s">
        <v>721</v>
      </c>
    </row>
    <row r="1050" spans="1:26" x14ac:dyDescent="0.35">
      <c r="A1050" s="7" t="s">
        <v>1625</v>
      </c>
      <c r="B1050" s="7" t="s">
        <v>1099</v>
      </c>
      <c r="C1050" s="4" t="str">
        <f>_xlfn.XLOOKUP(A1050,[2]Sheet2!$I$2:$I$1273,[2]Sheet2!$D$2:$D$1273,0)</f>
        <v>Q1</v>
      </c>
      <c r="D1050" s="4" t="str">
        <f>_xlfn.XLOOKUP(B1050,[4]Sheet2!$B$2:$B$3154,[4]Sheet2!$F$2:$F$3154,0)</f>
        <v>N/ App</v>
      </c>
      <c r="E1050" s="4" t="e">
        <f>_xlfn.XLOOKUP(B1050,[2]Sheet2!$E$2:$E$713,[2]Sheet2!$G$2:$G$713)</f>
        <v>#N/A</v>
      </c>
      <c r="F1050" s="18">
        <v>46112</v>
      </c>
      <c r="G1050" s="14">
        <v>0.75533564814814813</v>
      </c>
      <c r="H1050" s="7" t="s">
        <v>4</v>
      </c>
      <c r="I1050" s="2" t="str">
        <f t="shared" si="83"/>
        <v>Q1</v>
      </c>
      <c r="J1050" s="2" t="str">
        <f t="shared" si="84"/>
        <v>Match</v>
      </c>
      <c r="K1050" s="2">
        <f t="shared" si="85"/>
        <v>0</v>
      </c>
      <c r="L1050" s="2" t="e">
        <f t="shared" si="86"/>
        <v>#N/A</v>
      </c>
      <c r="M1050" s="2" t="str">
        <f t="shared" si="87"/>
        <v>Digital Approve Hit</v>
      </c>
      <c r="N1050" s="7">
        <v>21</v>
      </c>
      <c r="O1050" s="7">
        <v>0</v>
      </c>
      <c r="P1050" s="7">
        <v>-2.7</v>
      </c>
      <c r="Q1050" s="7">
        <v>0.1</v>
      </c>
      <c r="R1050" s="7">
        <v>0</v>
      </c>
      <c r="S1050" s="7">
        <v>0</v>
      </c>
      <c r="T1050" s="7">
        <v>-0.09</v>
      </c>
      <c r="U1050" s="7">
        <v>-0.05</v>
      </c>
      <c r="V1050" s="7">
        <v>0.14000000000000001</v>
      </c>
      <c r="W1050" s="7" t="s">
        <v>8</v>
      </c>
      <c r="X1050" s="7" t="s">
        <v>15</v>
      </c>
      <c r="Y1050" s="2" t="s">
        <v>719</v>
      </c>
      <c r="Z1050" s="2" t="s">
        <v>721</v>
      </c>
    </row>
    <row r="1051" spans="1:26" x14ac:dyDescent="0.35">
      <c r="A1051" s="7" t="s">
        <v>1602</v>
      </c>
      <c r="B1051" s="7" t="s">
        <v>1102</v>
      </c>
      <c r="C1051" s="4" t="str">
        <f>_xlfn.XLOOKUP(A1051,[2]Sheet2!$I$2:$I$1273,[2]Sheet2!$D$2:$D$1273,0)</f>
        <v>Q4</v>
      </c>
      <c r="D1051" s="4" t="str">
        <f>_xlfn.XLOOKUP(B1051,[4]Sheet2!$B$2:$B$3154,[4]Sheet2!$F$2:$F$3154,0)</f>
        <v>C/APP</v>
      </c>
      <c r="E1051" s="4" t="e">
        <f>_xlfn.XLOOKUP(B1051,[2]Sheet2!$E$2:$E$713,[2]Sheet2!$G$2:$G$713)</f>
        <v>#N/A</v>
      </c>
      <c r="F1051" s="18">
        <v>46112</v>
      </c>
      <c r="G1051" s="14">
        <v>0.87160879629629628</v>
      </c>
      <c r="H1051" s="7" t="s">
        <v>5</v>
      </c>
      <c r="I1051" s="2" t="str">
        <f t="shared" si="83"/>
        <v>Q1</v>
      </c>
      <c r="J1051" s="2" t="str">
        <f t="shared" si="84"/>
        <v>Not Match</v>
      </c>
      <c r="K1051" s="2">
        <f t="shared" si="85"/>
        <v>0.31622776601683794</v>
      </c>
      <c r="L1051" s="2" t="e">
        <f t="shared" si="86"/>
        <v>#N/A</v>
      </c>
      <c r="M1051" s="2" t="str">
        <f t="shared" si="87"/>
        <v>Below 0.8 not in assigned quadrant</v>
      </c>
      <c r="N1051" s="7">
        <v>15.6</v>
      </c>
      <c r="O1051" s="7">
        <v>-0.8</v>
      </c>
      <c r="P1051" s="7">
        <v>-1.5</v>
      </c>
      <c r="Q1051" s="7">
        <v>-0.44</v>
      </c>
      <c r="R1051" s="7">
        <v>0.1</v>
      </c>
      <c r="S1051" s="7">
        <v>0.3</v>
      </c>
      <c r="T1051" s="7">
        <v>-0.48</v>
      </c>
      <c r="U1051" s="7">
        <v>-7.0000000000000007E-2</v>
      </c>
      <c r="V1051" s="7">
        <v>0.66</v>
      </c>
      <c r="W1051" s="7" t="s">
        <v>8</v>
      </c>
      <c r="X1051" s="7" t="s">
        <v>15</v>
      </c>
      <c r="Y1051" s="2" t="s">
        <v>719</v>
      </c>
      <c r="Z1051" s="2" t="s">
        <v>721</v>
      </c>
    </row>
    <row r="1052" spans="1:26" x14ac:dyDescent="0.35">
      <c r="A1052" s="7" t="s">
        <v>1688</v>
      </c>
      <c r="B1052" s="7" t="s">
        <v>1103</v>
      </c>
      <c r="C1052" s="4" t="str">
        <f>_xlfn.XLOOKUP(A1052,[2]Sheet2!$I$2:$I$1273,[2]Sheet2!$D$2:$D$1273,0)</f>
        <v>Q4</v>
      </c>
      <c r="D1052" s="4" t="str">
        <f>_xlfn.XLOOKUP(B1052,[4]Sheet2!$B$2:$B$3154,[4]Sheet2!$F$2:$F$3154,0)</f>
        <v>N/ App</v>
      </c>
      <c r="E1052" s="4" t="e">
        <f>_xlfn.XLOOKUP(B1052,[2]Sheet2!$E$2:$E$713,[2]Sheet2!$G$2:$G$713)</f>
        <v>#N/A</v>
      </c>
      <c r="F1052" s="18">
        <v>46112</v>
      </c>
      <c r="G1052" s="14">
        <v>0.97576388888888888</v>
      </c>
      <c r="H1052" s="7" t="s">
        <v>14</v>
      </c>
      <c r="I1052" s="2" t="str">
        <f t="shared" si="83"/>
        <v>Q3</v>
      </c>
      <c r="J1052" s="2" t="str">
        <f t="shared" si="84"/>
        <v>Not Match</v>
      </c>
      <c r="K1052" s="2">
        <f t="shared" si="85"/>
        <v>0.72801098892805172</v>
      </c>
      <c r="L1052" s="2" t="e">
        <f t="shared" si="86"/>
        <v>#N/A</v>
      </c>
      <c r="M1052" s="2" t="str">
        <f t="shared" si="87"/>
        <v>Assign quadrant hit</v>
      </c>
      <c r="N1052" s="7">
        <v>13.8</v>
      </c>
      <c r="O1052" s="7">
        <v>-0.5</v>
      </c>
      <c r="P1052" s="7">
        <v>-2.4</v>
      </c>
      <c r="Q1052" s="7">
        <v>0.73</v>
      </c>
      <c r="R1052" s="7">
        <v>-0.2</v>
      </c>
      <c r="S1052" s="7">
        <v>-0.7</v>
      </c>
      <c r="T1052" s="7">
        <v>0.98</v>
      </c>
      <c r="U1052" s="7">
        <v>-0.19</v>
      </c>
      <c r="V1052" s="7">
        <v>1.24</v>
      </c>
      <c r="W1052" s="7" t="s">
        <v>6</v>
      </c>
      <c r="X1052" s="7" t="s">
        <v>15</v>
      </c>
      <c r="Y1052" s="2" t="s">
        <v>719</v>
      </c>
      <c r="Z1052" s="2" t="s">
        <v>721</v>
      </c>
    </row>
    <row r="1053" spans="1:26" x14ac:dyDescent="0.35">
      <c r="A1053" s="7" t="s">
        <v>1557</v>
      </c>
      <c r="B1053" s="7" t="s">
        <v>1105</v>
      </c>
      <c r="C1053" s="4" t="str">
        <f>_xlfn.XLOOKUP(A1053,[2]Sheet2!$I$2:$I$1273,[2]Sheet2!$D$2:$D$1273,0)</f>
        <v>Q3</v>
      </c>
      <c r="D1053" s="4" t="str">
        <f>_xlfn.XLOOKUP(B1053,[4]Sheet2!$B$2:$B$3154,[4]Sheet2!$F$2:$F$3154,0)</f>
        <v>N/ App</v>
      </c>
      <c r="E1053" s="4" t="e">
        <f>_xlfn.XLOOKUP(B1053,[2]Sheet2!$E$2:$E$713,[2]Sheet2!$G$2:$G$713)</f>
        <v>#N/A</v>
      </c>
      <c r="F1053" s="18">
        <v>46113</v>
      </c>
      <c r="G1053" s="14">
        <v>5.4861111111111109E-3</v>
      </c>
      <c r="H1053" s="7" t="s">
        <v>16</v>
      </c>
      <c r="I1053" s="2" t="str">
        <f t="shared" si="83"/>
        <v>Q3</v>
      </c>
      <c r="J1053" s="2" t="str">
        <f t="shared" si="84"/>
        <v>Match</v>
      </c>
      <c r="K1053" s="2">
        <f t="shared" si="85"/>
        <v>0.28284271247461906</v>
      </c>
      <c r="L1053" s="2" t="e">
        <f t="shared" si="86"/>
        <v>#N/A</v>
      </c>
      <c r="M1053" s="2" t="str">
        <f t="shared" si="87"/>
        <v>Digital Approve Hit</v>
      </c>
      <c r="N1053" s="7">
        <v>15.2</v>
      </c>
      <c r="O1053" s="7">
        <v>-0.4</v>
      </c>
      <c r="P1053" s="7">
        <v>-2</v>
      </c>
      <c r="Q1053" s="7">
        <v>-0.28000000000000003</v>
      </c>
      <c r="R1053" s="7">
        <v>-0.2</v>
      </c>
      <c r="S1053" s="7">
        <v>-0.2</v>
      </c>
      <c r="T1053" s="7">
        <v>0.39</v>
      </c>
      <c r="U1053" s="7">
        <v>-0.25</v>
      </c>
      <c r="V1053" s="7">
        <v>0.54</v>
      </c>
      <c r="W1053" s="7" t="s">
        <v>8</v>
      </c>
      <c r="X1053" s="7" t="s">
        <v>15</v>
      </c>
      <c r="Y1053" s="2" t="s">
        <v>719</v>
      </c>
      <c r="Z1053" s="2" t="s">
        <v>721</v>
      </c>
    </row>
    <row r="1054" spans="1:26" x14ac:dyDescent="0.35">
      <c r="A1054" s="7" t="s">
        <v>1586</v>
      </c>
      <c r="B1054" s="7" t="s">
        <v>1106</v>
      </c>
      <c r="C1054" s="4" t="str">
        <f>_xlfn.XLOOKUP(A1054,[2]Sheet2!$I$2:$I$1273,[2]Sheet2!$D$2:$D$1273,0)</f>
        <v>Q2</v>
      </c>
      <c r="D1054" s="4" t="str">
        <f>_xlfn.XLOOKUP(B1054,[4]Sheet2!$B$2:$B$3154,[4]Sheet2!$F$2:$F$3154,0)</f>
        <v>N/ App</v>
      </c>
      <c r="E1054" s="4" t="e">
        <f>_xlfn.XLOOKUP(B1054,[2]Sheet2!$E$2:$E$713,[2]Sheet2!$G$2:$G$713)</f>
        <v>#N/A</v>
      </c>
      <c r="F1054" s="18">
        <v>46113</v>
      </c>
      <c r="G1054" s="14">
        <v>8.3449074074074068E-3</v>
      </c>
      <c r="H1054" s="7" t="s">
        <v>5</v>
      </c>
      <c r="I1054" s="2" t="str">
        <f t="shared" si="83"/>
        <v>Q4</v>
      </c>
      <c r="J1054" s="2" t="str">
        <f t="shared" si="84"/>
        <v>Not Match</v>
      </c>
      <c r="K1054" s="2">
        <f t="shared" si="85"/>
        <v>0.2</v>
      </c>
      <c r="L1054" s="2" t="e">
        <f t="shared" si="86"/>
        <v>#N/A</v>
      </c>
      <c r="M1054" s="2" t="str">
        <f t="shared" si="87"/>
        <v>Below 0.8 not in assigned quadrant</v>
      </c>
      <c r="N1054" s="7">
        <v>17.399999999999999</v>
      </c>
      <c r="O1054" s="7">
        <v>-0.2</v>
      </c>
      <c r="P1054" s="7">
        <v>-1.7</v>
      </c>
      <c r="Q1054" s="7">
        <v>-0.26</v>
      </c>
      <c r="R1054" s="7">
        <v>0</v>
      </c>
      <c r="S1054" s="7">
        <v>-0.2</v>
      </c>
      <c r="T1054" s="7">
        <v>0.36</v>
      </c>
      <c r="U1054" s="7">
        <v>-0.05</v>
      </c>
      <c r="V1054" s="7">
        <v>0.45</v>
      </c>
      <c r="W1054" s="7" t="s">
        <v>8</v>
      </c>
      <c r="X1054" s="7" t="s">
        <v>15</v>
      </c>
      <c r="Y1054" s="2" t="s">
        <v>719</v>
      </c>
      <c r="Z1054" s="2" t="s">
        <v>721</v>
      </c>
    </row>
    <row r="1055" spans="1:26" x14ac:dyDescent="0.35">
      <c r="A1055" s="7" t="s">
        <v>1515</v>
      </c>
      <c r="B1055" s="7" t="s">
        <v>1107</v>
      </c>
      <c r="C1055" s="4" t="str">
        <f>_xlfn.XLOOKUP(A1055,[2]Sheet2!$I$2:$I$1273,[2]Sheet2!$D$2:$D$1273,0)</f>
        <v>Q3</v>
      </c>
      <c r="D1055" s="4" t="str">
        <f>_xlfn.XLOOKUP(B1055,[4]Sheet2!$B$2:$B$3154,[4]Sheet2!$F$2:$F$3154,0)</f>
        <v>N/ App</v>
      </c>
      <c r="E1055" s="4" t="e">
        <f>_xlfn.XLOOKUP(B1055,[2]Sheet2!$E$2:$E$713,[2]Sheet2!$G$2:$G$713)</f>
        <v>#N/A</v>
      </c>
      <c r="F1055" s="18">
        <v>46113</v>
      </c>
      <c r="G1055" s="14">
        <v>1.0960648148148148E-2</v>
      </c>
      <c r="H1055" s="7" t="s">
        <v>11</v>
      </c>
      <c r="I1055" s="2" t="str">
        <f t="shared" si="83"/>
        <v>Q3</v>
      </c>
      <c r="J1055" s="2" t="str">
        <f t="shared" si="84"/>
        <v>Match</v>
      </c>
      <c r="K1055" s="2">
        <f t="shared" si="85"/>
        <v>0.28284271247461906</v>
      </c>
      <c r="L1055" s="2" t="e">
        <f t="shared" si="86"/>
        <v>#N/A</v>
      </c>
      <c r="M1055" s="2" t="str">
        <f t="shared" si="87"/>
        <v>Failed but within quadrant</v>
      </c>
      <c r="N1055" s="7">
        <v>13.7</v>
      </c>
      <c r="O1055" s="7">
        <v>-0.4</v>
      </c>
      <c r="P1055" s="7">
        <v>-2.2999999999999998</v>
      </c>
      <c r="Q1055" s="7">
        <v>-1.07</v>
      </c>
      <c r="R1055" s="7">
        <v>-0.2</v>
      </c>
      <c r="S1055" s="7">
        <v>-0.2</v>
      </c>
      <c r="T1055" s="7">
        <v>0.35</v>
      </c>
      <c r="U1055" s="7">
        <v>-0.21</v>
      </c>
      <c r="V1055" s="7">
        <v>1.1399999999999999</v>
      </c>
      <c r="W1055" s="7" t="s">
        <v>6</v>
      </c>
      <c r="X1055" s="7" t="s">
        <v>15</v>
      </c>
      <c r="Y1055" s="2" t="s">
        <v>719</v>
      </c>
      <c r="Z1055" s="2" t="s">
        <v>721</v>
      </c>
    </row>
    <row r="1056" spans="1:26" x14ac:dyDescent="0.35">
      <c r="A1056" s="7" t="s">
        <v>1709</v>
      </c>
      <c r="B1056" s="7" t="s">
        <v>1108</v>
      </c>
      <c r="C1056" s="4" t="str">
        <f>_xlfn.XLOOKUP(A1056,[2]Sheet2!$I$2:$I$1273,[2]Sheet2!$D$2:$D$1273,0)</f>
        <v>Q2</v>
      </c>
      <c r="D1056" s="4" t="str">
        <f>_xlfn.XLOOKUP(B1056,[4]Sheet2!$B$2:$B$3154,[4]Sheet2!$F$2:$F$3154,0)</f>
        <v>C/APP</v>
      </c>
      <c r="E1056" s="4" t="e">
        <f>_xlfn.XLOOKUP(B1056,[2]Sheet2!$E$2:$E$713,[2]Sheet2!$G$2:$G$713)</f>
        <v>#N/A</v>
      </c>
      <c r="F1056" s="18">
        <v>46113</v>
      </c>
      <c r="G1056" s="14">
        <v>1.8622685185185187E-2</v>
      </c>
      <c r="H1056" s="7" t="s">
        <v>14</v>
      </c>
      <c r="I1056" s="2" t="str">
        <f t="shared" si="83"/>
        <v>Q3</v>
      </c>
      <c r="J1056" s="2" t="str">
        <f t="shared" si="84"/>
        <v>Not Match</v>
      </c>
      <c r="K1056" s="2">
        <f t="shared" si="85"/>
        <v>0.44721359549995798</v>
      </c>
      <c r="L1056" s="2" t="e">
        <f t="shared" si="86"/>
        <v>#N/A</v>
      </c>
      <c r="M1056" s="2" t="str">
        <f t="shared" si="87"/>
        <v>Below 0.8 not in assigned quadrant</v>
      </c>
      <c r="N1056" s="7">
        <v>13.3</v>
      </c>
      <c r="O1056" s="7">
        <v>-0.4</v>
      </c>
      <c r="P1056" s="7">
        <v>-3.3</v>
      </c>
      <c r="Q1056" s="7">
        <v>0.05</v>
      </c>
      <c r="R1056" s="7">
        <v>-0.2</v>
      </c>
      <c r="S1056" s="7">
        <v>-0.4</v>
      </c>
      <c r="T1056" s="7">
        <v>0.57999999999999996</v>
      </c>
      <c r="U1056" s="7">
        <v>-0.21</v>
      </c>
      <c r="V1056" s="7">
        <v>0.62</v>
      </c>
      <c r="W1056" s="7" t="s">
        <v>8</v>
      </c>
      <c r="X1056" s="7" t="s">
        <v>15</v>
      </c>
      <c r="Y1056" s="2" t="s">
        <v>719</v>
      </c>
      <c r="Z1056" s="2" t="s">
        <v>721</v>
      </c>
    </row>
    <row r="1057" spans="1:26" x14ac:dyDescent="0.35">
      <c r="A1057" s="7" t="s">
        <v>1727</v>
      </c>
      <c r="B1057" s="7" t="s">
        <v>1104</v>
      </c>
      <c r="C1057" s="4" t="str">
        <f>_xlfn.XLOOKUP(A1057,[2]Sheet2!$I$2:$I$1273,[2]Sheet2!$D$2:$D$1273,0)</f>
        <v>Q2</v>
      </c>
      <c r="D1057" s="4" t="str">
        <f>_xlfn.XLOOKUP(B1057,[4]Sheet2!$B$2:$B$3154,[4]Sheet2!$F$2:$F$3154,0)</f>
        <v>N/ App</v>
      </c>
      <c r="E1057" s="4" t="e">
        <f>_xlfn.XLOOKUP(B1057,[2]Sheet2!$E$2:$E$713,[2]Sheet2!$G$2:$G$713)</f>
        <v>#N/A</v>
      </c>
      <c r="F1057" s="18">
        <v>46113</v>
      </c>
      <c r="G1057" s="14">
        <v>0.10597222222222222</v>
      </c>
      <c r="H1057" s="7" t="s">
        <v>4</v>
      </c>
      <c r="I1057" s="2" t="str">
        <f t="shared" si="83"/>
        <v>Q4</v>
      </c>
      <c r="J1057" s="2" t="str">
        <f t="shared" si="84"/>
        <v>Not Match</v>
      </c>
      <c r="K1057" s="2">
        <f t="shared" si="85"/>
        <v>0.1</v>
      </c>
      <c r="L1057" s="2" t="e">
        <f t="shared" si="86"/>
        <v>#N/A</v>
      </c>
      <c r="M1057" s="2" t="str">
        <f t="shared" si="87"/>
        <v>Below 0.8 not in assigned quadrant</v>
      </c>
      <c r="N1057" s="7">
        <v>14.1</v>
      </c>
      <c r="O1057" s="7">
        <v>0</v>
      </c>
      <c r="P1057" s="7">
        <v>-2</v>
      </c>
      <c r="Q1057" s="7">
        <v>-0.09</v>
      </c>
      <c r="R1057" s="7">
        <v>0</v>
      </c>
      <c r="S1057" s="7">
        <v>-0.1</v>
      </c>
      <c r="T1057" s="7">
        <v>0.19</v>
      </c>
      <c r="U1057" s="7">
        <v>-0.04</v>
      </c>
      <c r="V1057" s="7">
        <v>0.21</v>
      </c>
      <c r="W1057" s="7" t="s">
        <v>8</v>
      </c>
      <c r="X1057" s="7" t="s">
        <v>15</v>
      </c>
      <c r="Y1057" s="2" t="s">
        <v>719</v>
      </c>
      <c r="Z1057" s="2" t="s">
        <v>721</v>
      </c>
    </row>
    <row r="1058" spans="1:26" x14ac:dyDescent="0.35">
      <c r="A1058" s="7" t="s">
        <v>1533</v>
      </c>
      <c r="B1058" s="7" t="s">
        <v>1109</v>
      </c>
      <c r="C1058" s="4" t="str">
        <f>_xlfn.XLOOKUP(A1058,[2]Sheet2!$I$2:$I$1273,[2]Sheet2!$D$2:$D$1273,0)</f>
        <v>Q2</v>
      </c>
      <c r="D1058" s="4" t="str">
        <f>_xlfn.XLOOKUP(B1058,[4]Sheet2!$B$2:$B$3154,[4]Sheet2!$F$2:$F$3154,0)</f>
        <v>N/ App</v>
      </c>
      <c r="E1058" s="4" t="e">
        <f>_xlfn.XLOOKUP(B1058,[2]Sheet2!$E$2:$E$713,[2]Sheet2!$G$2:$G$713)</f>
        <v>#N/A</v>
      </c>
      <c r="F1058" s="18">
        <v>46113</v>
      </c>
      <c r="G1058" s="14">
        <v>0.18712962962962962</v>
      </c>
      <c r="H1058" s="7" t="s">
        <v>16</v>
      </c>
      <c r="I1058" s="2" t="str">
        <f t="shared" si="83"/>
        <v>Q4</v>
      </c>
      <c r="J1058" s="2" t="str">
        <f t="shared" si="84"/>
        <v>Not Match</v>
      </c>
      <c r="K1058" s="2">
        <f t="shared" si="85"/>
        <v>0.8</v>
      </c>
      <c r="L1058" s="2" t="e">
        <f t="shared" si="86"/>
        <v>#N/A</v>
      </c>
      <c r="M1058" s="2" t="str">
        <f t="shared" si="87"/>
        <v>Below 0.8 not in assigned quadrant</v>
      </c>
      <c r="N1058" s="7">
        <v>25.4</v>
      </c>
      <c r="O1058" s="7">
        <v>1.4</v>
      </c>
      <c r="P1058" s="7">
        <v>8.4</v>
      </c>
      <c r="Q1058" s="7">
        <v>0.02</v>
      </c>
      <c r="R1058" s="7">
        <v>0</v>
      </c>
      <c r="S1058" s="7">
        <v>-0.8</v>
      </c>
      <c r="T1058" s="7">
        <v>-0.67</v>
      </c>
      <c r="U1058" s="7">
        <v>-0.28000000000000003</v>
      </c>
      <c r="V1058" s="7">
        <v>0.72</v>
      </c>
      <c r="W1058" s="7" t="s">
        <v>8</v>
      </c>
      <c r="X1058" s="7" t="s">
        <v>9</v>
      </c>
      <c r="Y1058" s="2" t="s">
        <v>719</v>
      </c>
      <c r="Z1058" s="2" t="s">
        <v>721</v>
      </c>
    </row>
    <row r="1059" spans="1:26" x14ac:dyDescent="0.35">
      <c r="A1059" s="7" t="s">
        <v>1553</v>
      </c>
      <c r="B1059" s="7" t="s">
        <v>1111</v>
      </c>
      <c r="C1059" s="4" t="str">
        <f>_xlfn.XLOOKUP(A1059,[2]Sheet2!$I$2:$I$1273,[2]Sheet2!$D$2:$D$1273,0)</f>
        <v>Q4</v>
      </c>
      <c r="D1059" s="4" t="str">
        <f>_xlfn.XLOOKUP(B1059,[4]Sheet2!$B$2:$B$3154,[4]Sheet2!$F$2:$F$3154,0)</f>
        <v>N/ App</v>
      </c>
      <c r="E1059" s="4" t="e">
        <f>_xlfn.XLOOKUP(B1059,[2]Sheet2!$E$2:$E$713,[2]Sheet2!$G$2:$G$713)</f>
        <v>#N/A</v>
      </c>
      <c r="F1059" s="18">
        <v>46113</v>
      </c>
      <c r="G1059" s="14">
        <v>0.19300925925925927</v>
      </c>
      <c r="H1059" s="7" t="s">
        <v>4</v>
      </c>
      <c r="I1059" s="2" t="str">
        <f t="shared" si="83"/>
        <v>Q3</v>
      </c>
      <c r="J1059" s="2" t="str">
        <f t="shared" si="84"/>
        <v>Not Match</v>
      </c>
      <c r="K1059" s="2">
        <f t="shared" si="85"/>
        <v>0.2</v>
      </c>
      <c r="L1059" s="2" t="e">
        <f t="shared" si="86"/>
        <v>#N/A</v>
      </c>
      <c r="M1059" s="2" t="str">
        <f t="shared" si="87"/>
        <v>Below 0.8 not in assigned quadrant</v>
      </c>
      <c r="N1059" s="7">
        <v>15.6</v>
      </c>
      <c r="O1059" s="7">
        <v>0</v>
      </c>
      <c r="P1059" s="7">
        <v>-2.6</v>
      </c>
      <c r="Q1059" s="7">
        <v>-0.39</v>
      </c>
      <c r="R1059" s="7">
        <v>-0.2</v>
      </c>
      <c r="S1059" s="7">
        <v>0</v>
      </c>
      <c r="T1059" s="7">
        <v>-0.04</v>
      </c>
      <c r="U1059" s="7">
        <v>-0.27</v>
      </c>
      <c r="V1059" s="7">
        <v>0.47</v>
      </c>
      <c r="W1059" s="7" t="s">
        <v>8</v>
      </c>
      <c r="X1059" s="7" t="s">
        <v>15</v>
      </c>
      <c r="Y1059" s="2" t="s">
        <v>719</v>
      </c>
      <c r="Z1059" s="2" t="s">
        <v>721</v>
      </c>
    </row>
    <row r="1060" spans="1:26" x14ac:dyDescent="0.35">
      <c r="A1060" s="7" t="s">
        <v>1753</v>
      </c>
      <c r="B1060" s="7" t="s">
        <v>1112</v>
      </c>
      <c r="C1060" s="4" t="str">
        <f>_xlfn.XLOOKUP(A1060,[2]Sheet2!$I$2:$I$1273,[2]Sheet2!$D$2:$D$1273,0)</f>
        <v>Q4</v>
      </c>
      <c r="D1060" s="4" t="str">
        <f>_xlfn.XLOOKUP(B1060,[4]Sheet2!$B$2:$B$3154,[4]Sheet2!$F$2:$F$3154,0)</f>
        <v>N/ App</v>
      </c>
      <c r="E1060" s="4" t="e">
        <f>_xlfn.XLOOKUP(B1060,[2]Sheet2!$E$2:$E$713,[2]Sheet2!$G$2:$G$713)</f>
        <v>#N/A</v>
      </c>
      <c r="F1060" s="18">
        <v>46113</v>
      </c>
      <c r="G1060" s="14">
        <v>0.26797453703703705</v>
      </c>
      <c r="H1060" s="7" t="s">
        <v>16</v>
      </c>
      <c r="I1060" s="2" t="str">
        <f t="shared" si="83"/>
        <v>Q3</v>
      </c>
      <c r="J1060" s="2" t="str">
        <f t="shared" si="84"/>
        <v>Not Match</v>
      </c>
      <c r="K1060" s="2">
        <f t="shared" si="85"/>
        <v>0.1</v>
      </c>
      <c r="L1060" s="2" t="e">
        <f t="shared" si="86"/>
        <v>#N/A</v>
      </c>
      <c r="M1060" s="2" t="str">
        <f t="shared" si="87"/>
        <v>Assign quadrant hit</v>
      </c>
      <c r="N1060" s="7">
        <v>22.5</v>
      </c>
      <c r="O1060" s="7">
        <v>5.0999999999999996</v>
      </c>
      <c r="P1060" s="7">
        <v>4.5</v>
      </c>
      <c r="Q1060" s="7">
        <v>-0.82</v>
      </c>
      <c r="R1060" s="7">
        <v>-0.1</v>
      </c>
      <c r="S1060" s="7">
        <v>0</v>
      </c>
      <c r="T1060" s="7">
        <v>-0.12</v>
      </c>
      <c r="U1060" s="7">
        <v>0.09</v>
      </c>
      <c r="V1060" s="7">
        <v>0.83</v>
      </c>
      <c r="W1060" s="7" t="s">
        <v>13</v>
      </c>
      <c r="X1060" s="7" t="s">
        <v>12</v>
      </c>
      <c r="Y1060" s="2" t="s">
        <v>719</v>
      </c>
      <c r="Z1060" s="2" t="s">
        <v>721</v>
      </c>
    </row>
    <row r="1061" spans="1:26" x14ac:dyDescent="0.35">
      <c r="A1061" s="7" t="s">
        <v>1500</v>
      </c>
      <c r="B1061" s="7" t="s">
        <v>1113</v>
      </c>
      <c r="C1061" s="4" t="str">
        <f>_xlfn.XLOOKUP(A1061,[2]Sheet2!$I$2:$I$1273,[2]Sheet2!$D$2:$D$1273,0)</f>
        <v>Q2</v>
      </c>
      <c r="D1061" s="4" t="str">
        <f>_xlfn.XLOOKUP(B1061,[4]Sheet2!$B$2:$B$3154,[4]Sheet2!$F$2:$F$3154,0)</f>
        <v>N/ App</v>
      </c>
      <c r="E1061" s="4" t="e">
        <f>_xlfn.XLOOKUP(B1061,[2]Sheet2!$E$2:$E$713,[2]Sheet2!$G$2:$G$713)</f>
        <v>#N/A</v>
      </c>
      <c r="F1061" s="18">
        <v>46113</v>
      </c>
      <c r="G1061" s="14">
        <v>0.26960648148148147</v>
      </c>
      <c r="H1061" s="7" t="s">
        <v>5</v>
      </c>
      <c r="I1061" s="2" t="str">
        <f t="shared" si="83"/>
        <v>Q1</v>
      </c>
      <c r="J1061" s="2" t="str">
        <f t="shared" si="84"/>
        <v>Not Match</v>
      </c>
      <c r="K1061" s="2">
        <f t="shared" si="85"/>
        <v>0.1</v>
      </c>
      <c r="L1061" s="2" t="e">
        <f t="shared" si="86"/>
        <v>#N/A</v>
      </c>
      <c r="M1061" s="2" t="str">
        <f t="shared" si="87"/>
        <v>Below 0.8 not in assigned quadrant</v>
      </c>
      <c r="N1061" s="7">
        <v>17.100000000000001</v>
      </c>
      <c r="O1061" s="7">
        <v>-0.6</v>
      </c>
      <c r="P1061" s="7">
        <v>-1.5</v>
      </c>
      <c r="Q1061" s="7">
        <v>-0.44</v>
      </c>
      <c r="R1061" s="7">
        <v>0</v>
      </c>
      <c r="S1061" s="7">
        <v>0.1</v>
      </c>
      <c r="T1061" s="7">
        <v>-0.18</v>
      </c>
      <c r="U1061" s="7">
        <v>0</v>
      </c>
      <c r="V1061" s="7">
        <v>0.48</v>
      </c>
      <c r="W1061" s="7" t="s">
        <v>8</v>
      </c>
      <c r="X1061" s="7" t="s">
        <v>9</v>
      </c>
      <c r="Y1061" s="2" t="s">
        <v>719</v>
      </c>
      <c r="Z1061" s="2" t="s">
        <v>721</v>
      </c>
    </row>
    <row r="1062" spans="1:26" x14ac:dyDescent="0.35">
      <c r="A1062" s="7" t="s">
        <v>1655</v>
      </c>
      <c r="B1062" s="7" t="s">
        <v>1114</v>
      </c>
      <c r="C1062" s="4" t="str">
        <f>_xlfn.XLOOKUP(A1062,[2]Sheet2!$I$2:$I$1273,[2]Sheet2!$D$2:$D$1273,0)</f>
        <v>Q3</v>
      </c>
      <c r="D1062" s="4" t="str">
        <f>_xlfn.XLOOKUP(B1062,[4]Sheet2!$B$2:$B$3154,[4]Sheet2!$F$2:$F$3154,0)</f>
        <v>N/ App</v>
      </c>
      <c r="E1062" s="4" t="e">
        <f>_xlfn.XLOOKUP(B1062,[2]Sheet2!$E$2:$E$713,[2]Sheet2!$G$2:$G$713)</f>
        <v>#N/A</v>
      </c>
      <c r="F1062" s="18">
        <v>46113</v>
      </c>
      <c r="G1062" s="14">
        <v>0.27185185185185184</v>
      </c>
      <c r="H1062" s="7" t="s">
        <v>11</v>
      </c>
      <c r="I1062" s="2" t="str">
        <f t="shared" si="83"/>
        <v>Q3</v>
      </c>
      <c r="J1062" s="2" t="str">
        <f t="shared" si="84"/>
        <v>Match</v>
      </c>
      <c r="K1062" s="2">
        <f t="shared" si="85"/>
        <v>0</v>
      </c>
      <c r="L1062" s="2" t="e">
        <f t="shared" si="86"/>
        <v>#N/A</v>
      </c>
      <c r="M1062" s="2" t="str">
        <f t="shared" si="87"/>
        <v>Digital Approve Hit</v>
      </c>
      <c r="N1062" s="7">
        <v>14.2</v>
      </c>
      <c r="O1062" s="7">
        <v>-0.8</v>
      </c>
      <c r="P1062" s="7">
        <v>-1.5</v>
      </c>
      <c r="Q1062" s="7">
        <v>0.53</v>
      </c>
      <c r="R1062" s="7">
        <v>0</v>
      </c>
      <c r="S1062" s="7">
        <v>0</v>
      </c>
      <c r="T1062" s="7">
        <v>0.09</v>
      </c>
      <c r="U1062" s="7">
        <v>7.0000000000000007E-2</v>
      </c>
      <c r="V1062" s="7">
        <v>0.54</v>
      </c>
      <c r="W1062" s="7" t="s">
        <v>8</v>
      </c>
      <c r="X1062" s="7" t="s">
        <v>9</v>
      </c>
      <c r="Y1062" s="2" t="s">
        <v>719</v>
      </c>
      <c r="Z1062" s="2" t="s">
        <v>721</v>
      </c>
    </row>
    <row r="1063" spans="1:26" x14ac:dyDescent="0.35">
      <c r="A1063" s="7" t="s">
        <v>1754</v>
      </c>
      <c r="B1063" s="7" t="s">
        <v>1115</v>
      </c>
      <c r="C1063" s="4" t="str">
        <f>_xlfn.XLOOKUP(A1063,[2]Sheet2!$I$2:$I$1273,[2]Sheet2!$D$2:$D$1273,0)</f>
        <v>Q4</v>
      </c>
      <c r="D1063" s="4" t="str">
        <f>_xlfn.XLOOKUP(B1063,[4]Sheet2!$B$2:$B$3154,[4]Sheet2!$F$2:$F$3154,0)</f>
        <v>N/ App</v>
      </c>
      <c r="E1063" s="4" t="e">
        <f>_xlfn.XLOOKUP(B1063,[2]Sheet2!$E$2:$E$713,[2]Sheet2!$G$2:$G$713)</f>
        <v>#N/A</v>
      </c>
      <c r="F1063" s="18">
        <v>46113</v>
      </c>
      <c r="G1063" s="14">
        <v>0.27408564814814818</v>
      </c>
      <c r="H1063" s="7" t="s">
        <v>11</v>
      </c>
      <c r="I1063" s="2" t="str">
        <f t="shared" si="83"/>
        <v>Q4</v>
      </c>
      <c r="J1063" s="2" t="str">
        <f t="shared" si="84"/>
        <v>Match</v>
      </c>
      <c r="K1063" s="2">
        <f t="shared" si="85"/>
        <v>0.28284271247461906</v>
      </c>
      <c r="L1063" s="2" t="e">
        <f t="shared" si="86"/>
        <v>#N/A</v>
      </c>
      <c r="M1063" s="2" t="str">
        <f t="shared" si="87"/>
        <v>Failed but within quadrant</v>
      </c>
      <c r="N1063" s="7">
        <v>27.2</v>
      </c>
      <c r="O1063" s="7">
        <v>10.1</v>
      </c>
      <c r="P1063" s="7">
        <v>-12.4</v>
      </c>
      <c r="Q1063" s="7">
        <v>1.76</v>
      </c>
      <c r="R1063" s="7">
        <v>0.2</v>
      </c>
      <c r="S1063" s="7">
        <v>-0.2</v>
      </c>
      <c r="T1063" s="7">
        <v>0.26</v>
      </c>
      <c r="U1063" s="7">
        <v>0.02</v>
      </c>
      <c r="V1063" s="7">
        <v>1.78</v>
      </c>
      <c r="W1063" s="7" t="s">
        <v>6</v>
      </c>
      <c r="X1063" s="7" t="s">
        <v>9</v>
      </c>
      <c r="Y1063" s="2" t="s">
        <v>719</v>
      </c>
      <c r="Z1063" s="2" t="s">
        <v>721</v>
      </c>
    </row>
    <row r="1064" spans="1:26" x14ac:dyDescent="0.35">
      <c r="A1064" s="7" t="s">
        <v>1684</v>
      </c>
      <c r="B1064" s="7" t="s">
        <v>1116</v>
      </c>
      <c r="C1064" s="4">
        <f>_xlfn.XLOOKUP(A1064,[2]Sheet2!$I$2:$I$1273,[2]Sheet2!$D$2:$D$1273,0)</f>
        <v>0</v>
      </c>
      <c r="D1064" s="4" t="str">
        <f>_xlfn.XLOOKUP(B1064,[4]Sheet2!$B$2:$B$3154,[4]Sheet2!$F$2:$F$3154,0)</f>
        <v>N/ App</v>
      </c>
      <c r="E1064" s="4" t="e">
        <f>_xlfn.XLOOKUP(B1064,[2]Sheet2!$E$2:$E$713,[2]Sheet2!$G$2:$G$713)</f>
        <v>#N/A</v>
      </c>
      <c r="F1064" s="18">
        <v>46113</v>
      </c>
      <c r="G1064" s="14">
        <v>0.27611111111111108</v>
      </c>
      <c r="H1064" s="7" t="s">
        <v>4</v>
      </c>
      <c r="I1064" s="2" t="str">
        <f t="shared" si="83"/>
        <v>Q4</v>
      </c>
      <c r="J1064" s="2" t="str">
        <f t="shared" si="84"/>
        <v>Not Found</v>
      </c>
      <c r="K1064" s="2">
        <f t="shared" si="85"/>
        <v>0.28284271247461906</v>
      </c>
      <c r="L1064" s="2" t="e">
        <f t="shared" si="86"/>
        <v>#N/A</v>
      </c>
      <c r="M1064" s="2" t="str">
        <f t="shared" si="87"/>
        <v>Assign quadrant hit</v>
      </c>
      <c r="N1064" s="7">
        <v>15.7</v>
      </c>
      <c r="O1064" s="7">
        <v>-0.7</v>
      </c>
      <c r="P1064" s="7">
        <v>-0.5</v>
      </c>
      <c r="Q1064" s="7">
        <v>-0.82</v>
      </c>
      <c r="R1064" s="7">
        <v>0.2</v>
      </c>
      <c r="S1064" s="7">
        <v>-0.2</v>
      </c>
      <c r="T1064" s="7">
        <v>-0.23</v>
      </c>
      <c r="U1064" s="7">
        <v>0.45</v>
      </c>
      <c r="V1064" s="7">
        <v>0.96</v>
      </c>
      <c r="W1064" s="7" t="s">
        <v>13</v>
      </c>
      <c r="X1064" s="7" t="s">
        <v>7</v>
      </c>
      <c r="Y1064" s="2" t="s">
        <v>719</v>
      </c>
      <c r="Z1064" s="2" t="s">
        <v>721</v>
      </c>
    </row>
    <row r="1065" spans="1:26" x14ac:dyDescent="0.35">
      <c r="A1065" s="7" t="s">
        <v>1742</v>
      </c>
      <c r="B1065" s="7" t="s">
        <v>1117</v>
      </c>
      <c r="C1065" s="4" t="str">
        <f>_xlfn.XLOOKUP(A1065,[2]Sheet2!$I$2:$I$1273,[2]Sheet2!$D$2:$D$1273,0)</f>
        <v>Q1</v>
      </c>
      <c r="D1065" s="4" t="str">
        <f>_xlfn.XLOOKUP(B1065,[4]Sheet2!$B$2:$B$3154,[4]Sheet2!$F$2:$F$3154,0)</f>
        <v>N/ App</v>
      </c>
      <c r="E1065" s="4" t="e">
        <f>_xlfn.XLOOKUP(B1065,[2]Sheet2!$E$2:$E$713,[2]Sheet2!$G$2:$G$713)</f>
        <v>#N/A</v>
      </c>
      <c r="F1065" s="18">
        <v>46113</v>
      </c>
      <c r="G1065" s="14">
        <v>0.27783564814814815</v>
      </c>
      <c r="H1065" s="7" t="s">
        <v>14</v>
      </c>
      <c r="I1065" s="2" t="str">
        <f t="shared" si="83"/>
        <v>Q1</v>
      </c>
      <c r="J1065" s="2" t="str">
        <f t="shared" si="84"/>
        <v>Match</v>
      </c>
      <c r="K1065" s="2">
        <f t="shared" si="85"/>
        <v>0.1</v>
      </c>
      <c r="L1065" s="2" t="e">
        <f t="shared" si="86"/>
        <v>#N/A</v>
      </c>
      <c r="M1065" s="2" t="str">
        <f t="shared" si="87"/>
        <v>Digital Approve Hit</v>
      </c>
      <c r="N1065" s="7">
        <v>25.8</v>
      </c>
      <c r="O1065" s="7">
        <v>15.1</v>
      </c>
      <c r="P1065" s="7">
        <v>5.4</v>
      </c>
      <c r="Q1065" s="7">
        <v>-0.65</v>
      </c>
      <c r="R1065" s="7">
        <v>0</v>
      </c>
      <c r="S1065" s="7">
        <v>0.1</v>
      </c>
      <c r="T1065" s="7">
        <v>0.05</v>
      </c>
      <c r="U1065" s="7">
        <v>0.11</v>
      </c>
      <c r="V1065" s="7">
        <v>0.66</v>
      </c>
      <c r="W1065" s="7" t="s">
        <v>8</v>
      </c>
      <c r="X1065" s="7" t="s">
        <v>12</v>
      </c>
      <c r="Y1065" s="2" t="s">
        <v>719</v>
      </c>
      <c r="Z1065" s="2" t="s">
        <v>721</v>
      </c>
    </row>
    <row r="1066" spans="1:26" x14ac:dyDescent="0.35">
      <c r="A1066" s="7" t="s">
        <v>1722</v>
      </c>
      <c r="B1066" s="7" t="s">
        <v>793</v>
      </c>
      <c r="C1066" s="4" t="str">
        <f>_xlfn.XLOOKUP(A1066,[2]Sheet2!$I$2:$I$1273,[2]Sheet2!$D$2:$D$1273,0)</f>
        <v>Q4</v>
      </c>
      <c r="D1066" s="4" t="str">
        <f>_xlfn.XLOOKUP(B1066,[4]Sheet2!$B$2:$B$3154,[4]Sheet2!$F$2:$F$3154,0)</f>
        <v>N/ App</v>
      </c>
      <c r="E1066" s="4" t="e">
        <f>_xlfn.XLOOKUP(B1066,[2]Sheet2!$E$2:$E$713,[2]Sheet2!$G$2:$G$713)</f>
        <v>#N/A</v>
      </c>
      <c r="F1066" s="18">
        <v>46113</v>
      </c>
      <c r="G1066" s="14">
        <v>0.2801851851851852</v>
      </c>
      <c r="H1066" s="7" t="s">
        <v>4</v>
      </c>
      <c r="I1066" s="2" t="str">
        <f t="shared" si="83"/>
        <v>Q3</v>
      </c>
      <c r="J1066" s="2" t="str">
        <f t="shared" si="84"/>
        <v>Not Match</v>
      </c>
      <c r="K1066" s="2">
        <f t="shared" si="85"/>
        <v>0.80622577482985502</v>
      </c>
      <c r="L1066" s="2" t="e">
        <f t="shared" si="86"/>
        <v>#N/A</v>
      </c>
      <c r="M1066" s="2" t="str">
        <f t="shared" si="87"/>
        <v>Below 0.8 not in assigned quadrant</v>
      </c>
      <c r="N1066" s="7">
        <v>42.4</v>
      </c>
      <c r="O1066" s="7">
        <v>54.4</v>
      </c>
      <c r="P1066" s="7">
        <v>24.9</v>
      </c>
      <c r="Q1066" s="7">
        <v>0.33</v>
      </c>
      <c r="R1066" s="7">
        <v>-0.1</v>
      </c>
      <c r="S1066" s="7">
        <v>-0.8</v>
      </c>
      <c r="T1066" s="7">
        <v>-0.17</v>
      </c>
      <c r="U1066" s="7">
        <v>-0.47</v>
      </c>
      <c r="V1066" s="7">
        <v>0.6</v>
      </c>
      <c r="W1066" s="7" t="s">
        <v>8</v>
      </c>
      <c r="X1066" s="7" t="s">
        <v>7</v>
      </c>
      <c r="Y1066" s="2" t="s">
        <v>719</v>
      </c>
      <c r="Z1066" s="2" t="s">
        <v>721</v>
      </c>
    </row>
    <row r="1067" spans="1:26" x14ac:dyDescent="0.35">
      <c r="A1067" s="7" t="s">
        <v>1574</v>
      </c>
      <c r="B1067" s="7" t="s">
        <v>1118</v>
      </c>
      <c r="C1067" s="4" t="str">
        <f>_xlfn.XLOOKUP(A1067,[2]Sheet2!$I$2:$I$1273,[2]Sheet2!$D$2:$D$1273,0)</f>
        <v>Q2</v>
      </c>
      <c r="D1067" s="4" t="str">
        <f>_xlfn.XLOOKUP(B1067,[4]Sheet2!$B$2:$B$3154,[4]Sheet2!$F$2:$F$3154,0)</f>
        <v>N/ App</v>
      </c>
      <c r="E1067" s="4" t="e">
        <f>_xlfn.XLOOKUP(B1067,[2]Sheet2!$E$2:$E$713,[2]Sheet2!$G$2:$G$713)</f>
        <v>#N/A</v>
      </c>
      <c r="F1067" s="18">
        <v>46113</v>
      </c>
      <c r="G1067" s="14">
        <v>0.51011574074074073</v>
      </c>
      <c r="H1067" s="7" t="s">
        <v>11</v>
      </c>
      <c r="I1067" s="2" t="str">
        <f t="shared" si="83"/>
        <v>Q4</v>
      </c>
      <c r="J1067" s="2" t="str">
        <f t="shared" si="84"/>
        <v>Not Match</v>
      </c>
      <c r="K1067" s="2">
        <f t="shared" si="85"/>
        <v>0.1</v>
      </c>
      <c r="L1067" s="2" t="e">
        <f t="shared" si="86"/>
        <v>#N/A</v>
      </c>
      <c r="M1067" s="2" t="str">
        <f t="shared" si="87"/>
        <v>Below 0.8 not in assigned quadrant</v>
      </c>
      <c r="N1067" s="7">
        <v>19</v>
      </c>
      <c r="O1067" s="7">
        <v>-0.2</v>
      </c>
      <c r="P1067" s="7">
        <v>-12.1</v>
      </c>
      <c r="Q1067" s="7">
        <v>-0.17</v>
      </c>
      <c r="R1067" s="7">
        <v>0</v>
      </c>
      <c r="S1067" s="7">
        <v>-0.1</v>
      </c>
      <c r="T1067" s="7">
        <v>0.09</v>
      </c>
      <c r="U1067" s="7">
        <v>7.0000000000000007E-2</v>
      </c>
      <c r="V1067" s="7">
        <v>0.2</v>
      </c>
      <c r="W1067" s="7" t="s">
        <v>8</v>
      </c>
      <c r="X1067" s="7" t="s">
        <v>9</v>
      </c>
      <c r="Y1067" s="2" t="s">
        <v>719</v>
      </c>
      <c r="Z1067" s="2" t="s">
        <v>721</v>
      </c>
    </row>
    <row r="1068" spans="1:26" x14ac:dyDescent="0.35">
      <c r="A1068" s="7" t="s">
        <v>1667</v>
      </c>
      <c r="B1068" s="7" t="s">
        <v>1119</v>
      </c>
      <c r="C1068" s="4" t="str">
        <f>_xlfn.XLOOKUP(A1068,[2]Sheet2!$I$2:$I$1273,[2]Sheet2!$D$2:$D$1273,0)</f>
        <v>Q3</v>
      </c>
      <c r="D1068" s="4" t="str">
        <f>_xlfn.XLOOKUP(B1068,[4]Sheet2!$B$2:$B$3154,[4]Sheet2!$F$2:$F$3154,0)</f>
        <v>C/APP</v>
      </c>
      <c r="E1068" s="4" t="e">
        <f>_xlfn.XLOOKUP(B1068,[2]Sheet2!$E$2:$E$713,[2]Sheet2!$G$2:$G$713)</f>
        <v>#N/A</v>
      </c>
      <c r="F1068" s="18">
        <v>46113</v>
      </c>
      <c r="G1068" s="14">
        <v>0.51355324074074071</v>
      </c>
      <c r="H1068" s="7" t="s">
        <v>11</v>
      </c>
      <c r="I1068" s="2" t="str">
        <f t="shared" si="83"/>
        <v>Q2</v>
      </c>
      <c r="J1068" s="2" t="str">
        <f t="shared" si="84"/>
        <v>Not Match</v>
      </c>
      <c r="K1068" s="2">
        <f t="shared" si="85"/>
        <v>0.67082039324993692</v>
      </c>
      <c r="L1068" s="2" t="e">
        <f t="shared" si="86"/>
        <v>#N/A</v>
      </c>
      <c r="M1068" s="2" t="str">
        <f t="shared" si="87"/>
        <v>Below 0.8 not in assigned quadrant</v>
      </c>
      <c r="N1068" s="7">
        <v>16.7</v>
      </c>
      <c r="O1068" s="7">
        <v>-0.8</v>
      </c>
      <c r="P1068" s="7">
        <v>-12.9</v>
      </c>
      <c r="Q1068" s="7">
        <v>-0.38</v>
      </c>
      <c r="R1068" s="7">
        <v>-0.3</v>
      </c>
      <c r="S1068" s="7">
        <v>0.6</v>
      </c>
      <c r="T1068" s="7">
        <v>-0.48</v>
      </c>
      <c r="U1068" s="7">
        <v>-0.5</v>
      </c>
      <c r="V1068" s="7">
        <v>0.79</v>
      </c>
      <c r="W1068" s="7" t="s">
        <v>13</v>
      </c>
      <c r="X1068" s="7" t="s">
        <v>15</v>
      </c>
      <c r="Y1068" s="2" t="s">
        <v>719</v>
      </c>
      <c r="Z1068" s="2" t="s">
        <v>721</v>
      </c>
    </row>
    <row r="1069" spans="1:26" x14ac:dyDescent="0.35">
      <c r="A1069" s="7" t="s">
        <v>1535</v>
      </c>
      <c r="B1069" s="7" t="s">
        <v>1120</v>
      </c>
      <c r="C1069" s="4" t="str">
        <f>_xlfn.XLOOKUP(A1069,[2]Sheet2!$I$2:$I$1273,[2]Sheet2!$D$2:$D$1273,0)</f>
        <v>Q3</v>
      </c>
      <c r="D1069" s="4" t="str">
        <f>_xlfn.XLOOKUP(B1069,[4]Sheet2!$B$2:$B$3154,[4]Sheet2!$F$2:$F$3154,0)</f>
        <v>C/APP</v>
      </c>
      <c r="E1069" s="4" t="e">
        <f>_xlfn.XLOOKUP(B1069,[2]Sheet2!$E$2:$E$713,[2]Sheet2!$G$2:$G$713)</f>
        <v>#N/A</v>
      </c>
      <c r="F1069" s="18">
        <v>46113</v>
      </c>
      <c r="G1069" s="14">
        <v>0.5662152777777778</v>
      </c>
      <c r="H1069" s="7" t="s">
        <v>5</v>
      </c>
      <c r="I1069" s="2" t="str">
        <f t="shared" si="83"/>
        <v>Q1</v>
      </c>
      <c r="J1069" s="2" t="str">
        <f t="shared" si="84"/>
        <v>Not Match</v>
      </c>
      <c r="K1069" s="2">
        <f t="shared" si="85"/>
        <v>0.5</v>
      </c>
      <c r="L1069" s="2" t="e">
        <f t="shared" si="86"/>
        <v>#N/A</v>
      </c>
      <c r="M1069" s="2" t="str">
        <f t="shared" si="87"/>
        <v>Assign quadrant hit</v>
      </c>
      <c r="N1069" s="7">
        <v>15.9</v>
      </c>
      <c r="O1069" s="7">
        <v>-0.6</v>
      </c>
      <c r="P1069" s="7">
        <v>-2.8</v>
      </c>
      <c r="Q1069" s="7">
        <v>-0.79</v>
      </c>
      <c r="R1069" s="7">
        <v>0</v>
      </c>
      <c r="S1069" s="7">
        <v>0.5</v>
      </c>
      <c r="T1069" s="7">
        <v>-0.66</v>
      </c>
      <c r="U1069" s="7">
        <v>-0.15</v>
      </c>
      <c r="V1069" s="7">
        <v>1.05</v>
      </c>
      <c r="W1069" s="7" t="s">
        <v>6</v>
      </c>
      <c r="X1069" s="7" t="s">
        <v>15</v>
      </c>
      <c r="Y1069" s="2" t="s">
        <v>719</v>
      </c>
      <c r="Z1069" s="2" t="s">
        <v>721</v>
      </c>
    </row>
    <row r="1070" spans="1:26" x14ac:dyDescent="0.35">
      <c r="A1070" s="7" t="s">
        <v>1594</v>
      </c>
      <c r="B1070" s="7" t="s">
        <v>1122</v>
      </c>
      <c r="C1070" s="4" t="str">
        <f>_xlfn.XLOOKUP(A1070,[2]Sheet2!$I$2:$I$1273,[2]Sheet2!$D$2:$D$1273,0)</f>
        <v>Q1</v>
      </c>
      <c r="D1070" s="4" t="str">
        <f>_xlfn.XLOOKUP(B1070,[4]Sheet2!$B$2:$B$3154,[4]Sheet2!$F$2:$F$3154,0)</f>
        <v>N/ App</v>
      </c>
      <c r="E1070" s="4" t="e">
        <f>_xlfn.XLOOKUP(B1070,[2]Sheet2!$E$2:$E$713,[2]Sheet2!$G$2:$G$713)</f>
        <v>#N/A</v>
      </c>
      <c r="F1070" s="18">
        <v>46113</v>
      </c>
      <c r="G1070" s="14">
        <v>0.5920023148148148</v>
      </c>
      <c r="H1070" s="7" t="s">
        <v>4</v>
      </c>
      <c r="I1070" s="2" t="str">
        <f t="shared" si="83"/>
        <v>Q4</v>
      </c>
      <c r="J1070" s="2" t="str">
        <f t="shared" si="84"/>
        <v>Not Match</v>
      </c>
      <c r="K1070" s="2">
        <f t="shared" si="85"/>
        <v>0.1</v>
      </c>
      <c r="L1070" s="2" t="e">
        <f t="shared" si="86"/>
        <v>#N/A</v>
      </c>
      <c r="M1070" s="2" t="str">
        <f t="shared" si="87"/>
        <v>Below 0.8 not in assigned quadrant</v>
      </c>
      <c r="N1070" s="7">
        <v>18</v>
      </c>
      <c r="O1070" s="7">
        <v>-0.3</v>
      </c>
      <c r="P1070" s="7">
        <v>-2.9</v>
      </c>
      <c r="Q1070" s="7">
        <v>0.62</v>
      </c>
      <c r="R1070" s="7">
        <v>0</v>
      </c>
      <c r="S1070" s="7">
        <v>-0.1</v>
      </c>
      <c r="T1070" s="7">
        <v>0.18</v>
      </c>
      <c r="U1070" s="7">
        <v>-0.06</v>
      </c>
      <c r="V1070" s="7">
        <v>0.64</v>
      </c>
      <c r="W1070" s="7" t="s">
        <v>8</v>
      </c>
      <c r="X1070" s="7" t="s">
        <v>15</v>
      </c>
      <c r="Y1070" s="2" t="s">
        <v>719</v>
      </c>
      <c r="Z1070" s="2" t="s">
        <v>721</v>
      </c>
    </row>
    <row r="1071" spans="1:26" x14ac:dyDescent="0.35">
      <c r="A1071" s="7" t="s">
        <v>1500</v>
      </c>
      <c r="B1071" s="7" t="s">
        <v>1123</v>
      </c>
      <c r="C1071" s="4" t="str">
        <f>_xlfn.XLOOKUP(A1071,[2]Sheet2!$I$2:$I$1273,[2]Sheet2!$D$2:$D$1273,0)</f>
        <v>Q2</v>
      </c>
      <c r="D1071" s="4" t="str">
        <f>_xlfn.XLOOKUP(B1071,[4]Sheet2!$B$2:$B$3154,[4]Sheet2!$F$2:$F$3154,0)</f>
        <v>C/APP</v>
      </c>
      <c r="E1071" s="4" t="e">
        <f>_xlfn.XLOOKUP(B1071,[2]Sheet2!$E$2:$E$713,[2]Sheet2!$G$2:$G$713)</f>
        <v>#N/A</v>
      </c>
      <c r="F1071" s="18">
        <v>46113</v>
      </c>
      <c r="G1071" s="14">
        <v>0.60209490740740745</v>
      </c>
      <c r="H1071" s="7" t="s">
        <v>5</v>
      </c>
      <c r="I1071" s="2" t="str">
        <f t="shared" si="83"/>
        <v>Q1</v>
      </c>
      <c r="J1071" s="2" t="str">
        <f t="shared" si="84"/>
        <v>Not Match</v>
      </c>
      <c r="K1071" s="2">
        <f t="shared" si="85"/>
        <v>0.14142135623730953</v>
      </c>
      <c r="L1071" s="2" t="e">
        <f t="shared" si="86"/>
        <v>#N/A</v>
      </c>
      <c r="M1071" s="2" t="str">
        <f t="shared" si="87"/>
        <v>Assign quadrant hit</v>
      </c>
      <c r="N1071" s="7">
        <v>16.399999999999999</v>
      </c>
      <c r="O1071" s="7">
        <v>-0.5</v>
      </c>
      <c r="P1071" s="7">
        <v>-1.5</v>
      </c>
      <c r="Q1071" s="7">
        <v>-1.03</v>
      </c>
      <c r="R1071" s="7">
        <v>0.1</v>
      </c>
      <c r="S1071" s="7">
        <v>0.1</v>
      </c>
      <c r="T1071" s="7">
        <v>-0.28000000000000003</v>
      </c>
      <c r="U1071" s="7">
        <v>0.15</v>
      </c>
      <c r="V1071" s="7">
        <v>1.08</v>
      </c>
      <c r="W1071" s="7" t="s">
        <v>6</v>
      </c>
      <c r="X1071" s="7" t="s">
        <v>9</v>
      </c>
      <c r="Y1071" s="2" t="s">
        <v>719</v>
      </c>
      <c r="Z1071" s="2" t="s">
        <v>721</v>
      </c>
    </row>
    <row r="1072" spans="1:26" x14ac:dyDescent="0.35">
      <c r="A1072" s="7" t="s">
        <v>1500</v>
      </c>
      <c r="B1072" s="7" t="s">
        <v>1124</v>
      </c>
      <c r="C1072" s="4" t="str">
        <f>_xlfn.XLOOKUP(A1072,[2]Sheet2!$I$2:$I$1273,[2]Sheet2!$D$2:$D$1273,0)</f>
        <v>Q2</v>
      </c>
      <c r="D1072" s="4" t="str">
        <f>_xlfn.XLOOKUP(B1072,[4]Sheet2!$B$2:$B$3154,[4]Sheet2!$F$2:$F$3154,0)</f>
        <v>N/ App</v>
      </c>
      <c r="E1072" s="4" t="e">
        <f>_xlfn.XLOOKUP(B1072,[2]Sheet2!$E$2:$E$713,[2]Sheet2!$G$2:$G$713)</f>
        <v>#N/A</v>
      </c>
      <c r="F1072" s="18">
        <v>46113</v>
      </c>
      <c r="G1072" s="14">
        <v>0.60730324074074071</v>
      </c>
      <c r="H1072" s="7" t="s">
        <v>5</v>
      </c>
      <c r="I1072" s="2" t="str">
        <f t="shared" si="83"/>
        <v>Q1</v>
      </c>
      <c r="J1072" s="2" t="str">
        <f t="shared" si="84"/>
        <v>Not Match</v>
      </c>
      <c r="K1072" s="2">
        <f t="shared" si="85"/>
        <v>0.28284271247461906</v>
      </c>
      <c r="L1072" s="2" t="e">
        <f t="shared" si="86"/>
        <v>#N/A</v>
      </c>
      <c r="M1072" s="2" t="str">
        <f t="shared" si="87"/>
        <v>Assign quadrant hit</v>
      </c>
      <c r="N1072" s="7">
        <v>16.2</v>
      </c>
      <c r="O1072" s="7">
        <v>-0.4</v>
      </c>
      <c r="P1072" s="7">
        <v>-1.3</v>
      </c>
      <c r="Q1072" s="7">
        <v>-1.25</v>
      </c>
      <c r="R1072" s="7">
        <v>0.2</v>
      </c>
      <c r="S1072" s="7">
        <v>0.2</v>
      </c>
      <c r="T1072" s="7">
        <v>-0.49</v>
      </c>
      <c r="U1072" s="7">
        <v>0.22</v>
      </c>
      <c r="V1072" s="7">
        <v>1.37</v>
      </c>
      <c r="W1072" s="7" t="s">
        <v>6</v>
      </c>
      <c r="X1072" s="7" t="s">
        <v>9</v>
      </c>
      <c r="Y1072" s="2" t="s">
        <v>719</v>
      </c>
      <c r="Z1072" s="2" t="s">
        <v>721</v>
      </c>
    </row>
    <row r="1073" spans="1:26" x14ac:dyDescent="0.35">
      <c r="A1073" s="7" t="s">
        <v>1536</v>
      </c>
      <c r="B1073" s="7" t="s">
        <v>1125</v>
      </c>
      <c r="C1073" s="4" t="str">
        <f>_xlfn.XLOOKUP(A1073,[2]Sheet2!$I$2:$I$1273,[2]Sheet2!$D$2:$D$1273,0)</f>
        <v>Q2</v>
      </c>
      <c r="D1073" s="4" t="str">
        <f>_xlfn.XLOOKUP(B1073,[4]Sheet2!$B$2:$B$3154,[4]Sheet2!$F$2:$F$3154,0)</f>
        <v>N/ App</v>
      </c>
      <c r="E1073" s="4" t="e">
        <f>_xlfn.XLOOKUP(B1073,[2]Sheet2!$E$2:$E$713,[2]Sheet2!$G$2:$G$713)</f>
        <v>#N/A</v>
      </c>
      <c r="F1073" s="18">
        <v>46113</v>
      </c>
      <c r="G1073" s="14">
        <v>0.61217592592592596</v>
      </c>
      <c r="H1073" s="7" t="s">
        <v>5</v>
      </c>
      <c r="I1073" s="2" t="str">
        <f t="shared" si="83"/>
        <v>Q4</v>
      </c>
      <c r="J1073" s="2" t="str">
        <f t="shared" si="84"/>
        <v>Not Match</v>
      </c>
      <c r="K1073" s="2">
        <f t="shared" si="85"/>
        <v>0.41231056256176613</v>
      </c>
      <c r="L1073" s="2" t="e">
        <f t="shared" si="86"/>
        <v>#N/A</v>
      </c>
      <c r="M1073" s="2" t="str">
        <f t="shared" si="87"/>
        <v>Below 0.8 not in assigned quadrant</v>
      </c>
      <c r="N1073" s="7">
        <v>15.2</v>
      </c>
      <c r="O1073" s="7">
        <v>-0.5</v>
      </c>
      <c r="P1073" s="7">
        <v>-3</v>
      </c>
      <c r="Q1073" s="7">
        <v>0.03</v>
      </c>
      <c r="R1073" s="7">
        <v>0.1</v>
      </c>
      <c r="S1073" s="7">
        <v>-0.4</v>
      </c>
      <c r="T1073" s="7">
        <v>0.45</v>
      </c>
      <c r="U1073" s="7">
        <v>0.28999999999999998</v>
      </c>
      <c r="V1073" s="7">
        <v>0.54</v>
      </c>
      <c r="W1073" s="7" t="s">
        <v>8</v>
      </c>
      <c r="X1073" s="7" t="s">
        <v>9</v>
      </c>
      <c r="Y1073" s="2" t="s">
        <v>719</v>
      </c>
      <c r="Z1073" s="2" t="s">
        <v>721</v>
      </c>
    </row>
    <row r="1074" spans="1:26" x14ac:dyDescent="0.35">
      <c r="A1074" s="7" t="s">
        <v>1597</v>
      </c>
      <c r="B1074" s="7" t="s">
        <v>1126</v>
      </c>
      <c r="C1074" s="4">
        <f>_xlfn.XLOOKUP(A1074,[2]Sheet2!$I$2:$I$1273,[2]Sheet2!$D$2:$D$1273,0)</f>
        <v>0</v>
      </c>
      <c r="D1074" s="4" t="str">
        <f>_xlfn.XLOOKUP(B1074,[4]Sheet2!$B$2:$B$3154,[4]Sheet2!$F$2:$F$3154,0)</f>
        <v>N/ App</v>
      </c>
      <c r="E1074" s="4" t="e">
        <f>_xlfn.XLOOKUP(B1074,[2]Sheet2!$E$2:$E$713,[2]Sheet2!$G$2:$G$713)</f>
        <v>#N/A</v>
      </c>
      <c r="F1074" s="18">
        <v>46113</v>
      </c>
      <c r="G1074" s="14">
        <v>0.61484953703703704</v>
      </c>
      <c r="H1074" s="7" t="s">
        <v>5</v>
      </c>
      <c r="I1074" s="2" t="str">
        <f t="shared" si="83"/>
        <v>Q4</v>
      </c>
      <c r="J1074" s="2" t="str">
        <f t="shared" si="84"/>
        <v>Not Found</v>
      </c>
      <c r="K1074" s="2">
        <f t="shared" si="85"/>
        <v>0.1</v>
      </c>
      <c r="L1074" s="2" t="e">
        <f t="shared" si="86"/>
        <v>#N/A</v>
      </c>
      <c r="M1074" s="2" t="str">
        <f t="shared" si="87"/>
        <v>Assign quadrant hit</v>
      </c>
      <c r="N1074" s="7">
        <v>15.6</v>
      </c>
      <c r="O1074" s="7">
        <v>-0.6</v>
      </c>
      <c r="P1074" s="7">
        <v>-2.9</v>
      </c>
      <c r="Q1074" s="7">
        <v>-0.13</v>
      </c>
      <c r="R1074" s="7">
        <v>0.1</v>
      </c>
      <c r="S1074" s="7">
        <v>0</v>
      </c>
      <c r="T1074" s="7">
        <v>-0.08</v>
      </c>
      <c r="U1074" s="7">
        <v>0.15</v>
      </c>
      <c r="V1074" s="7">
        <v>0.22</v>
      </c>
      <c r="W1074" s="7" t="s">
        <v>8</v>
      </c>
      <c r="X1074" s="7" t="s">
        <v>9</v>
      </c>
      <c r="Y1074" s="2" t="s">
        <v>719</v>
      </c>
      <c r="Z1074" s="2" t="s">
        <v>721</v>
      </c>
    </row>
    <row r="1075" spans="1:26" x14ac:dyDescent="0.35">
      <c r="A1075" s="7" t="s">
        <v>1540</v>
      </c>
      <c r="B1075" s="7" t="s">
        <v>1127</v>
      </c>
      <c r="C1075" s="4" t="str">
        <f>_xlfn.XLOOKUP(A1075,[2]Sheet2!$I$2:$I$1273,[2]Sheet2!$D$2:$D$1273,0)</f>
        <v>Q3</v>
      </c>
      <c r="D1075" s="4" t="str">
        <f>_xlfn.XLOOKUP(B1075,[4]Sheet2!$B$2:$B$3154,[4]Sheet2!$F$2:$F$3154,0)</f>
        <v>C/APP</v>
      </c>
      <c r="E1075" s="4" t="e">
        <f>_xlfn.XLOOKUP(B1075,[2]Sheet2!$E$2:$E$713,[2]Sheet2!$G$2:$G$713)</f>
        <v>#N/A</v>
      </c>
      <c r="F1075" s="18">
        <v>46113</v>
      </c>
      <c r="G1075" s="14">
        <v>0.69980324074074074</v>
      </c>
      <c r="H1075" s="7" t="s">
        <v>11</v>
      </c>
      <c r="I1075" s="2" t="str">
        <f t="shared" si="83"/>
        <v>Q1</v>
      </c>
      <c r="J1075" s="2" t="str">
        <f t="shared" si="84"/>
        <v>Not Match</v>
      </c>
      <c r="K1075" s="2">
        <f t="shared" si="85"/>
        <v>0.50990195135927852</v>
      </c>
      <c r="L1075" s="2" t="e">
        <f t="shared" si="86"/>
        <v>#N/A</v>
      </c>
      <c r="M1075" s="2" t="str">
        <f t="shared" si="87"/>
        <v>Assign quadrant hit</v>
      </c>
      <c r="N1075" s="7">
        <v>13.1</v>
      </c>
      <c r="O1075" s="7">
        <v>-0.4</v>
      </c>
      <c r="P1075" s="7">
        <v>-1.2</v>
      </c>
      <c r="Q1075" s="7">
        <v>-1.08</v>
      </c>
      <c r="R1075" s="7">
        <v>0.1</v>
      </c>
      <c r="S1075" s="7">
        <v>0.5</v>
      </c>
      <c r="T1075" s="7">
        <v>-0.75</v>
      </c>
      <c r="U1075" s="7">
        <v>-0.05</v>
      </c>
      <c r="V1075" s="7">
        <v>1.32</v>
      </c>
      <c r="W1075" s="7" t="s">
        <v>6</v>
      </c>
      <c r="X1075" s="7" t="s">
        <v>15</v>
      </c>
      <c r="Y1075" s="2" t="s">
        <v>719</v>
      </c>
      <c r="Z1075" s="2" t="s">
        <v>721</v>
      </c>
    </row>
    <row r="1076" spans="1:26" x14ac:dyDescent="0.35">
      <c r="A1076" s="7" t="s">
        <v>1595</v>
      </c>
      <c r="B1076" s="7" t="s">
        <v>1128</v>
      </c>
      <c r="C1076" s="4" t="str">
        <f>_xlfn.XLOOKUP(A1076,[2]Sheet2!$I$2:$I$1273,[2]Sheet2!$D$2:$D$1273,0)</f>
        <v>Q4</v>
      </c>
      <c r="D1076" s="4" t="str">
        <f>_xlfn.XLOOKUP(B1076,[4]Sheet2!$B$2:$B$3154,[4]Sheet2!$F$2:$F$3154,0)</f>
        <v>C/APP</v>
      </c>
      <c r="E1076" s="4" t="e">
        <f>_xlfn.XLOOKUP(B1076,[2]Sheet2!$E$2:$E$713,[2]Sheet2!$G$2:$G$713)</f>
        <v>#N/A</v>
      </c>
      <c r="F1076" s="18">
        <v>46113</v>
      </c>
      <c r="G1076" s="14">
        <v>0.75800925925925922</v>
      </c>
      <c r="H1076" s="7" t="s">
        <v>16</v>
      </c>
      <c r="I1076" s="2" t="str">
        <f t="shared" si="83"/>
        <v>Q1</v>
      </c>
      <c r="J1076" s="2" t="str">
        <f t="shared" si="84"/>
        <v>Not Match</v>
      </c>
      <c r="K1076" s="2">
        <f t="shared" si="85"/>
        <v>0.50990195135927852</v>
      </c>
      <c r="L1076" s="2" t="e">
        <f t="shared" si="86"/>
        <v>#N/A</v>
      </c>
      <c r="M1076" s="2" t="str">
        <f t="shared" si="87"/>
        <v>Below 0.8 not in assigned quadrant</v>
      </c>
      <c r="N1076" s="7">
        <v>28.1</v>
      </c>
      <c r="O1076" s="7">
        <v>-1.5</v>
      </c>
      <c r="P1076" s="7">
        <v>-2.4</v>
      </c>
      <c r="Q1076" s="7">
        <v>-0.44</v>
      </c>
      <c r="R1076" s="7">
        <v>0.1</v>
      </c>
      <c r="S1076" s="7">
        <v>0.5</v>
      </c>
      <c r="T1076" s="7">
        <v>-0.64</v>
      </c>
      <c r="U1076" s="7">
        <v>-0.15</v>
      </c>
      <c r="V1076" s="7">
        <v>0.79</v>
      </c>
      <c r="W1076" s="7" t="s">
        <v>13</v>
      </c>
      <c r="X1076" s="7" t="s">
        <v>15</v>
      </c>
      <c r="Y1076" s="2" t="s">
        <v>719</v>
      </c>
      <c r="Z1076" s="2" t="s">
        <v>721</v>
      </c>
    </row>
    <row r="1077" spans="1:26" x14ac:dyDescent="0.35">
      <c r="A1077" s="7" t="s">
        <v>1755</v>
      </c>
      <c r="B1077" s="7" t="s">
        <v>1129</v>
      </c>
      <c r="C1077" s="4" t="str">
        <f>_xlfn.XLOOKUP(A1077,[2]Sheet2!$I$2:$I$1273,[2]Sheet2!$D$2:$D$1273,0)</f>
        <v>Q4</v>
      </c>
      <c r="D1077" s="4" t="str">
        <f>_xlfn.XLOOKUP(B1077,[4]Sheet2!$B$2:$B$3154,[4]Sheet2!$F$2:$F$3154,0)</f>
        <v>N/ App</v>
      </c>
      <c r="E1077" s="4" t="e">
        <f>_xlfn.XLOOKUP(B1077,[2]Sheet2!$E$2:$E$713,[2]Sheet2!$G$2:$G$713)</f>
        <v>#N/A</v>
      </c>
      <c r="F1077" s="18">
        <v>46113</v>
      </c>
      <c r="G1077" s="14">
        <v>0.76313657407407409</v>
      </c>
      <c r="H1077" s="7" t="s">
        <v>11</v>
      </c>
      <c r="I1077" s="2" t="str">
        <f t="shared" si="83"/>
        <v>Q4</v>
      </c>
      <c r="J1077" s="2" t="str">
        <f t="shared" si="84"/>
        <v>Match</v>
      </c>
      <c r="K1077" s="2">
        <f t="shared" si="85"/>
        <v>0.5</v>
      </c>
      <c r="L1077" s="2" t="e">
        <f t="shared" si="86"/>
        <v>#N/A</v>
      </c>
      <c r="M1077" s="2" t="str">
        <f t="shared" si="87"/>
        <v>Digital Approve Hit</v>
      </c>
      <c r="N1077" s="7">
        <v>26.9</v>
      </c>
      <c r="O1077" s="7">
        <v>10.9</v>
      </c>
      <c r="P1077" s="7">
        <v>-12.6</v>
      </c>
      <c r="Q1077" s="7">
        <v>-0.09</v>
      </c>
      <c r="R1077" s="7">
        <v>0.5</v>
      </c>
      <c r="S1077" s="7">
        <v>0</v>
      </c>
      <c r="T1077" s="7">
        <v>0.25</v>
      </c>
      <c r="U1077" s="7">
        <v>0.37</v>
      </c>
      <c r="V1077" s="7">
        <v>0.45</v>
      </c>
      <c r="W1077" s="7" t="s">
        <v>8</v>
      </c>
      <c r="X1077" s="7" t="s">
        <v>9</v>
      </c>
      <c r="Y1077" s="2" t="s">
        <v>719</v>
      </c>
      <c r="Z1077" s="2" t="s">
        <v>721</v>
      </c>
    </row>
    <row r="1078" spans="1:26" x14ac:dyDescent="0.35">
      <c r="A1078" s="7" t="s">
        <v>1727</v>
      </c>
      <c r="B1078" s="7" t="s">
        <v>1130</v>
      </c>
      <c r="C1078" s="4" t="str">
        <f>_xlfn.XLOOKUP(A1078,[2]Sheet2!$I$2:$I$1273,[2]Sheet2!$D$2:$D$1273,0)</f>
        <v>Q2</v>
      </c>
      <c r="D1078" s="4" t="str">
        <f>_xlfn.XLOOKUP(B1078,[4]Sheet2!$B$2:$B$3154,[4]Sheet2!$F$2:$F$3154,0)</f>
        <v>N/ App</v>
      </c>
      <c r="E1078" s="4" t="e">
        <f>_xlfn.XLOOKUP(B1078,[2]Sheet2!$E$2:$E$713,[2]Sheet2!$G$2:$G$713)</f>
        <v>#N/A</v>
      </c>
      <c r="F1078" s="18">
        <v>46114</v>
      </c>
      <c r="G1078" s="14">
        <v>0.66859953703703701</v>
      </c>
      <c r="H1078" s="7" t="s">
        <v>14</v>
      </c>
      <c r="I1078" s="2" t="str">
        <f t="shared" si="83"/>
        <v>Q2</v>
      </c>
      <c r="J1078" s="2" t="str">
        <f t="shared" si="84"/>
        <v>Match</v>
      </c>
      <c r="K1078" s="2">
        <f t="shared" si="85"/>
        <v>0.14142135623730953</v>
      </c>
      <c r="L1078" s="2" t="e">
        <f t="shared" si="86"/>
        <v>#N/A</v>
      </c>
      <c r="M1078" s="2" t="str">
        <f t="shared" si="87"/>
        <v>Digital Approve Hit</v>
      </c>
      <c r="N1078" s="7">
        <v>13.4</v>
      </c>
      <c r="O1078" s="7">
        <v>-0.5</v>
      </c>
      <c r="P1078" s="7">
        <v>-2.5</v>
      </c>
      <c r="Q1078" s="7">
        <v>-0.34</v>
      </c>
      <c r="R1078" s="7">
        <v>-0.1</v>
      </c>
      <c r="S1078" s="7">
        <v>0.1</v>
      </c>
      <c r="T1078" s="7">
        <v>-0.12</v>
      </c>
      <c r="U1078" s="7">
        <v>-0.27</v>
      </c>
      <c r="V1078" s="7">
        <v>0.45</v>
      </c>
      <c r="W1078" s="7" t="s">
        <v>8</v>
      </c>
      <c r="X1078" s="7" t="s">
        <v>15</v>
      </c>
      <c r="Y1078" s="2" t="s">
        <v>719</v>
      </c>
      <c r="Z1078" s="2" t="s">
        <v>721</v>
      </c>
    </row>
    <row r="1079" spans="1:26" x14ac:dyDescent="0.35">
      <c r="A1079" s="7" t="s">
        <v>1557</v>
      </c>
      <c r="B1079" s="7" t="s">
        <v>1131</v>
      </c>
      <c r="C1079" s="4" t="str">
        <f>_xlfn.XLOOKUP(A1079,[2]Sheet2!$I$2:$I$1273,[2]Sheet2!$D$2:$D$1273,0)</f>
        <v>Q3</v>
      </c>
      <c r="D1079" s="4" t="str">
        <f>_xlfn.XLOOKUP(B1079,[4]Sheet2!$B$2:$B$3154,[4]Sheet2!$F$2:$F$3154,0)</f>
        <v>N/ App</v>
      </c>
      <c r="E1079" s="4" t="e">
        <f>_xlfn.XLOOKUP(B1079,[2]Sheet2!$E$2:$E$713,[2]Sheet2!$G$2:$G$713)</f>
        <v>#N/A</v>
      </c>
      <c r="F1079" s="18">
        <v>46114</v>
      </c>
      <c r="G1079" s="14">
        <v>0.6733217592592593</v>
      </c>
      <c r="H1079" s="7" t="s">
        <v>16</v>
      </c>
      <c r="I1079" s="2" t="str">
        <f t="shared" si="83"/>
        <v>Q3</v>
      </c>
      <c r="J1079" s="2" t="str">
        <f t="shared" si="84"/>
        <v>Match</v>
      </c>
      <c r="K1079" s="2">
        <f t="shared" si="85"/>
        <v>0.44721359549995798</v>
      </c>
      <c r="L1079" s="2" t="e">
        <f t="shared" si="86"/>
        <v>#N/A</v>
      </c>
      <c r="M1079" s="2" t="str">
        <f t="shared" si="87"/>
        <v>Digital Approve Hit</v>
      </c>
      <c r="N1079" s="7">
        <v>15.1</v>
      </c>
      <c r="O1079" s="7">
        <v>-0.4</v>
      </c>
      <c r="P1079" s="7">
        <v>-2.1</v>
      </c>
      <c r="Q1079" s="7">
        <v>-0.35</v>
      </c>
      <c r="R1079" s="7">
        <v>-0.2</v>
      </c>
      <c r="S1079" s="7">
        <v>-0.4</v>
      </c>
      <c r="T1079" s="7">
        <v>0.62</v>
      </c>
      <c r="U1079" s="7">
        <v>-0.25</v>
      </c>
      <c r="V1079" s="7">
        <v>0.75</v>
      </c>
      <c r="W1079" s="7" t="s">
        <v>13</v>
      </c>
      <c r="X1079" s="7" t="s">
        <v>15</v>
      </c>
      <c r="Y1079" s="2" t="s">
        <v>719</v>
      </c>
      <c r="Z1079" s="2" t="s">
        <v>721</v>
      </c>
    </row>
    <row r="1080" spans="1:26" x14ac:dyDescent="0.35">
      <c r="A1080" s="7" t="s">
        <v>1749</v>
      </c>
      <c r="B1080" s="7" t="s">
        <v>1132</v>
      </c>
      <c r="C1080" s="4" t="str">
        <f>_xlfn.XLOOKUP(A1080,[2]Sheet2!$I$2:$I$1273,[2]Sheet2!$D$2:$D$1273,0)</f>
        <v>Q2</v>
      </c>
      <c r="D1080" s="4" t="str">
        <f>_xlfn.XLOOKUP(B1080,[4]Sheet2!$B$2:$B$3154,[4]Sheet2!$F$2:$F$3154,0)</f>
        <v>N/ App</v>
      </c>
      <c r="E1080" s="4">
        <f>_xlfn.XLOOKUP(B1080,[2]Sheet2!$E$2:$E$713,[2]Sheet2!$G$2:$G$713)</f>
        <v>0.8</v>
      </c>
      <c r="F1080" s="18">
        <v>46114</v>
      </c>
      <c r="G1080" s="14">
        <v>0.67533564814814817</v>
      </c>
      <c r="H1080" s="7" t="s">
        <v>11</v>
      </c>
      <c r="I1080" s="2" t="str">
        <f t="shared" si="83"/>
        <v>Q4</v>
      </c>
      <c r="J1080" s="2" t="str">
        <f t="shared" si="84"/>
        <v>Not Match</v>
      </c>
      <c r="K1080" s="2">
        <f t="shared" si="85"/>
        <v>0.4</v>
      </c>
      <c r="L1080" s="2" t="str">
        <f t="shared" si="86"/>
        <v>Within Range</v>
      </c>
      <c r="M1080" s="2" t="str">
        <f t="shared" si="87"/>
        <v>Below 0.8 not in assigned quadrant</v>
      </c>
      <c r="N1080" s="7">
        <v>16.8</v>
      </c>
      <c r="O1080" s="7">
        <v>-0.4</v>
      </c>
      <c r="P1080" s="7">
        <v>-2.9</v>
      </c>
      <c r="Q1080" s="7">
        <v>-0.46</v>
      </c>
      <c r="R1080" s="7">
        <v>0</v>
      </c>
      <c r="S1080" s="7">
        <v>-0.4</v>
      </c>
      <c r="T1080" s="7">
        <v>0.57999999999999996</v>
      </c>
      <c r="U1080" s="7">
        <v>0.12</v>
      </c>
      <c r="V1080" s="7">
        <v>0.75</v>
      </c>
      <c r="W1080" s="7" t="s">
        <v>13</v>
      </c>
      <c r="X1080" s="7" t="s">
        <v>9</v>
      </c>
      <c r="Y1080" s="2" t="s">
        <v>719</v>
      </c>
      <c r="Z1080" s="2" t="s">
        <v>721</v>
      </c>
    </row>
    <row r="1081" spans="1:26" x14ac:dyDescent="0.35">
      <c r="A1081" s="7" t="s">
        <v>1756</v>
      </c>
      <c r="B1081" s="7" t="s">
        <v>1133</v>
      </c>
      <c r="C1081" s="4" t="str">
        <f>_xlfn.XLOOKUP(A1081,[2]Sheet2!$I$2:$I$1273,[2]Sheet2!$D$2:$D$1273,0)</f>
        <v>Q1</v>
      </c>
      <c r="D1081" s="4" t="str">
        <f>_xlfn.XLOOKUP(B1081,[4]Sheet2!$B$2:$B$3154,[4]Sheet2!$F$2:$F$3154,0)</f>
        <v>N/ App</v>
      </c>
      <c r="E1081" s="4" t="e">
        <f>_xlfn.XLOOKUP(B1081,[2]Sheet2!$E$2:$E$713,[2]Sheet2!$G$2:$G$713)</f>
        <v>#N/A</v>
      </c>
      <c r="F1081" s="18">
        <v>46114</v>
      </c>
      <c r="G1081" s="14">
        <v>0.68365740740740744</v>
      </c>
      <c r="H1081" s="7" t="s">
        <v>11</v>
      </c>
      <c r="I1081" s="2" t="str">
        <f t="shared" ref="I1081:I1144" si="88">IF(AND(R1081=0,S1081=0),IF(C1081="","Origin",C1081),
IF(AND(R1081&gt;0,S1081=0),"Q4",
IF(AND(R1081&lt;0,S1081=0),"Q3",
IF(AND(R1081&gt;=0,S1081&lt;0),"Q4",
IF(AND(R1081&gt;=0,S1081&gt;0),"Q1",
IF(AND(R1081&lt;0,S1081&lt;=0),"Q3",
IF(AND(R1081&lt;0,S1081&gt;0),"Q2",
"")))))))</f>
        <v>Q3</v>
      </c>
      <c r="J1081" s="2" t="str">
        <f t="shared" si="84"/>
        <v>Not Match</v>
      </c>
      <c r="K1081" s="2">
        <f t="shared" si="85"/>
        <v>0.28284271247461906</v>
      </c>
      <c r="L1081" s="2" t="e">
        <f t="shared" si="86"/>
        <v>#N/A</v>
      </c>
      <c r="M1081" s="2" t="str">
        <f t="shared" si="87"/>
        <v>Below 0.8 not in assigned quadrant</v>
      </c>
      <c r="N1081" s="7">
        <v>15.7</v>
      </c>
      <c r="O1081" s="7">
        <v>-1.1000000000000001</v>
      </c>
      <c r="P1081" s="7">
        <v>-0.8</v>
      </c>
      <c r="Q1081" s="7">
        <v>-0.08</v>
      </c>
      <c r="R1081" s="7">
        <v>-0.2</v>
      </c>
      <c r="S1081" s="7">
        <v>-0.2</v>
      </c>
      <c r="T1081" s="7">
        <v>0.48</v>
      </c>
      <c r="U1081" s="7">
        <v>0.12</v>
      </c>
      <c r="V1081" s="7">
        <v>0.5</v>
      </c>
      <c r="W1081" s="7" t="s">
        <v>8</v>
      </c>
      <c r="X1081" s="7" t="s">
        <v>7</v>
      </c>
      <c r="Y1081" s="2" t="s">
        <v>719</v>
      </c>
      <c r="Z1081" s="2" t="s">
        <v>721</v>
      </c>
    </row>
    <row r="1082" spans="1:26" x14ac:dyDescent="0.35">
      <c r="A1082" s="7" t="s">
        <v>1574</v>
      </c>
      <c r="B1082" s="7" t="s">
        <v>1110</v>
      </c>
      <c r="C1082" s="4" t="str">
        <f>_xlfn.XLOOKUP(A1082,[2]Sheet2!$I$2:$I$1273,[2]Sheet2!$D$2:$D$1273,0)</f>
        <v>Q2</v>
      </c>
      <c r="D1082" s="4" t="str">
        <f>_xlfn.XLOOKUP(B1082,[4]Sheet2!$B$2:$B$3154,[4]Sheet2!$F$2:$F$3154,0)</f>
        <v>N/ App</v>
      </c>
      <c r="E1082" s="4" t="e">
        <f>_xlfn.XLOOKUP(B1082,[2]Sheet2!$E$2:$E$713,[2]Sheet2!$G$2:$G$713)</f>
        <v>#N/A</v>
      </c>
      <c r="F1082" s="18">
        <v>46114</v>
      </c>
      <c r="G1082" s="14">
        <v>0.687962962962963</v>
      </c>
      <c r="H1082" s="7" t="s">
        <v>11</v>
      </c>
      <c r="I1082" s="2" t="str">
        <f t="shared" si="88"/>
        <v>Q4</v>
      </c>
      <c r="J1082" s="2" t="str">
        <f t="shared" si="84"/>
        <v>Not Match</v>
      </c>
      <c r="K1082" s="2">
        <f t="shared" si="85"/>
        <v>0.5</v>
      </c>
      <c r="L1082" s="2" t="e">
        <f t="shared" si="86"/>
        <v>#N/A</v>
      </c>
      <c r="M1082" s="2" t="str">
        <f t="shared" si="87"/>
        <v>Below 0.8 not in assigned quadrant</v>
      </c>
      <c r="N1082" s="7">
        <v>19.600000000000001</v>
      </c>
      <c r="O1082" s="7">
        <v>-0.2</v>
      </c>
      <c r="P1082" s="7">
        <v>-12.6</v>
      </c>
      <c r="Q1082" s="7">
        <v>0.3</v>
      </c>
      <c r="R1082" s="7">
        <v>0</v>
      </c>
      <c r="S1082" s="7">
        <v>-0.5</v>
      </c>
      <c r="T1082" s="7">
        <v>0.41</v>
      </c>
      <c r="U1082" s="7">
        <v>0.06</v>
      </c>
      <c r="V1082" s="7">
        <v>0.51</v>
      </c>
      <c r="W1082" s="7" t="s">
        <v>8</v>
      </c>
      <c r="X1082" s="7" t="s">
        <v>9</v>
      </c>
      <c r="Y1082" s="2" t="s">
        <v>719</v>
      </c>
      <c r="Z1082" s="2" t="s">
        <v>721</v>
      </c>
    </row>
    <row r="1083" spans="1:26" x14ac:dyDescent="0.35">
      <c r="A1083" s="7" t="s">
        <v>1500</v>
      </c>
      <c r="B1083" s="7" t="s">
        <v>1134</v>
      </c>
      <c r="C1083" s="4" t="str">
        <f>_xlfn.XLOOKUP(A1083,[2]Sheet2!$I$2:$I$1273,[2]Sheet2!$D$2:$D$1273,0)</f>
        <v>Q2</v>
      </c>
      <c r="D1083" s="4" t="str">
        <f>_xlfn.XLOOKUP(B1083,[4]Sheet2!$B$2:$B$3154,[4]Sheet2!$F$2:$F$3154,0)</f>
        <v>N/ App</v>
      </c>
      <c r="E1083" s="4" t="e">
        <f>_xlfn.XLOOKUP(B1083,[2]Sheet2!$E$2:$E$713,[2]Sheet2!$G$2:$G$713)</f>
        <v>#N/A</v>
      </c>
      <c r="F1083" s="18">
        <v>46114</v>
      </c>
      <c r="G1083" s="14">
        <v>0.69064814814814812</v>
      </c>
      <c r="H1083" s="7" t="s">
        <v>5</v>
      </c>
      <c r="I1083" s="2" t="str">
        <f t="shared" si="88"/>
        <v>Q2</v>
      </c>
      <c r="J1083" s="2" t="str">
        <f t="shared" si="84"/>
        <v>Match</v>
      </c>
      <c r="K1083" s="2">
        <f t="shared" si="85"/>
        <v>0</v>
      </c>
      <c r="L1083" s="2" t="e">
        <f t="shared" si="86"/>
        <v>#N/A</v>
      </c>
      <c r="M1083" s="2" t="str">
        <f t="shared" si="87"/>
        <v>Digital Approve Hit</v>
      </c>
      <c r="N1083" s="7">
        <v>17.100000000000001</v>
      </c>
      <c r="O1083" s="7">
        <v>-0.7</v>
      </c>
      <c r="P1083" s="7">
        <v>-1.7</v>
      </c>
      <c r="Q1083" s="7">
        <v>-0.41</v>
      </c>
      <c r="R1083" s="7">
        <v>0</v>
      </c>
      <c r="S1083" s="7">
        <v>0</v>
      </c>
      <c r="T1083" s="7">
        <v>0.04</v>
      </c>
      <c r="U1083" s="7">
        <v>0.02</v>
      </c>
      <c r="V1083" s="7">
        <v>0.41</v>
      </c>
      <c r="W1083" s="7" t="s">
        <v>8</v>
      </c>
      <c r="X1083" s="7" t="s">
        <v>9</v>
      </c>
      <c r="Y1083" s="2" t="s">
        <v>719</v>
      </c>
      <c r="Z1083" s="2" t="s">
        <v>721</v>
      </c>
    </row>
    <row r="1084" spans="1:26" x14ac:dyDescent="0.35">
      <c r="A1084" s="7" t="s">
        <v>1721</v>
      </c>
      <c r="B1084" s="7" t="s">
        <v>1135</v>
      </c>
      <c r="C1084" s="4" t="str">
        <f>_xlfn.XLOOKUP(A1084,[2]Sheet2!$I$2:$I$1273,[2]Sheet2!$D$2:$D$1273,0)</f>
        <v>Q3</v>
      </c>
      <c r="D1084" s="4" t="str">
        <f>_xlfn.XLOOKUP(B1084,[4]Sheet2!$B$2:$B$3154,[4]Sheet2!$F$2:$F$3154,0)</f>
        <v>Digital App</v>
      </c>
      <c r="E1084" s="4" t="e">
        <f>_xlfn.XLOOKUP(B1084,[2]Sheet2!$E$2:$E$713,[2]Sheet2!$G$2:$G$713)</f>
        <v>#N/A</v>
      </c>
      <c r="F1084" s="18">
        <v>46114</v>
      </c>
      <c r="G1084" s="14">
        <v>0.69645833333333329</v>
      </c>
      <c r="H1084" s="7" t="s">
        <v>5</v>
      </c>
      <c r="I1084" s="2" t="str">
        <f t="shared" si="88"/>
        <v>Q3</v>
      </c>
      <c r="J1084" s="2" t="str">
        <f t="shared" si="84"/>
        <v>Match</v>
      </c>
      <c r="K1084" s="2">
        <f t="shared" si="85"/>
        <v>0.22360679774997899</v>
      </c>
      <c r="L1084" s="2" t="e">
        <f t="shared" si="86"/>
        <v>#N/A</v>
      </c>
      <c r="M1084" s="2" t="str">
        <f t="shared" si="87"/>
        <v>Digital Approve Hit</v>
      </c>
      <c r="N1084" s="7">
        <v>16.600000000000001</v>
      </c>
      <c r="O1084" s="7">
        <v>-0.4</v>
      </c>
      <c r="P1084" s="7">
        <v>-1.9</v>
      </c>
      <c r="Q1084" s="7">
        <v>-0.35</v>
      </c>
      <c r="R1084" s="7">
        <v>-0.2</v>
      </c>
      <c r="S1084" s="7">
        <v>-0.1</v>
      </c>
      <c r="T1084" s="7">
        <v>0.24</v>
      </c>
      <c r="U1084" s="7">
        <v>-0.31</v>
      </c>
      <c r="V1084" s="7">
        <v>0.53</v>
      </c>
      <c r="W1084" s="7" t="s">
        <v>8</v>
      </c>
      <c r="X1084" s="7" t="s">
        <v>15</v>
      </c>
      <c r="Y1084" s="2" t="s">
        <v>719</v>
      </c>
      <c r="Z1084" s="2" t="s">
        <v>721</v>
      </c>
    </row>
    <row r="1085" spans="1:26" x14ac:dyDescent="0.35">
      <c r="A1085" s="7" t="s">
        <v>1516</v>
      </c>
      <c r="B1085" s="7" t="s">
        <v>1136</v>
      </c>
      <c r="C1085" s="4" t="str">
        <f>_xlfn.XLOOKUP(A1085,[2]Sheet2!$I$2:$I$1273,[2]Sheet2!$D$2:$D$1273,0)</f>
        <v>Q2</v>
      </c>
      <c r="D1085" s="4" t="str">
        <f>_xlfn.XLOOKUP(B1085,[4]Sheet2!$B$2:$B$3154,[4]Sheet2!$F$2:$F$3154,0)</f>
        <v>N/ App</v>
      </c>
      <c r="E1085" s="4" t="e">
        <f>_xlfn.XLOOKUP(B1085,[2]Sheet2!$E$2:$E$713,[2]Sheet2!$G$2:$G$713)</f>
        <v>#N/A</v>
      </c>
      <c r="F1085" s="18">
        <v>46114</v>
      </c>
      <c r="G1085" s="14">
        <v>0.69907407407407407</v>
      </c>
      <c r="H1085" s="7" t="s">
        <v>14</v>
      </c>
      <c r="I1085" s="2" t="str">
        <f t="shared" si="88"/>
        <v>Q1</v>
      </c>
      <c r="J1085" s="2" t="str">
        <f t="shared" si="84"/>
        <v>Not Match</v>
      </c>
      <c r="K1085" s="2">
        <f t="shared" si="85"/>
        <v>0.44721359549995798</v>
      </c>
      <c r="L1085" s="2" t="e">
        <f t="shared" si="86"/>
        <v>#N/A</v>
      </c>
      <c r="M1085" s="2" t="str">
        <f t="shared" si="87"/>
        <v>Below 0.8 not in assigned quadrant</v>
      </c>
      <c r="N1085" s="7">
        <v>18.100000000000001</v>
      </c>
      <c r="O1085" s="7">
        <v>-1.3</v>
      </c>
      <c r="P1085" s="7">
        <v>-2.2000000000000002</v>
      </c>
      <c r="Q1085" s="7">
        <v>0.19</v>
      </c>
      <c r="R1085" s="7">
        <v>0.2</v>
      </c>
      <c r="S1085" s="7">
        <v>0.4</v>
      </c>
      <c r="T1085" s="7">
        <v>-0.6</v>
      </c>
      <c r="U1085" s="7">
        <v>-0.08</v>
      </c>
      <c r="V1085" s="7">
        <v>0.63</v>
      </c>
      <c r="W1085" s="7" t="s">
        <v>8</v>
      </c>
      <c r="X1085" s="7" t="s">
        <v>15</v>
      </c>
      <c r="Y1085" s="2" t="s">
        <v>719</v>
      </c>
      <c r="Z1085" s="2" t="s">
        <v>721</v>
      </c>
    </row>
    <row r="1086" spans="1:26" x14ac:dyDescent="0.35">
      <c r="A1086" s="7" t="s">
        <v>1757</v>
      </c>
      <c r="B1086" s="7" t="s">
        <v>1137</v>
      </c>
      <c r="C1086" s="4" t="str">
        <f>_xlfn.XLOOKUP(A1086,[2]Sheet2!$I$2:$I$1273,[2]Sheet2!$D$2:$D$1273,0)</f>
        <v>Q2</v>
      </c>
      <c r="D1086" s="4" t="str">
        <f>_xlfn.XLOOKUP(B1086,[4]Sheet2!$B$2:$B$3154,[4]Sheet2!$F$2:$F$3154,0)</f>
        <v>N/ App</v>
      </c>
      <c r="E1086" s="4" t="e">
        <f>_xlfn.XLOOKUP(B1086,[2]Sheet2!$E$2:$E$713,[2]Sheet2!$G$2:$G$713)</f>
        <v>#N/A</v>
      </c>
      <c r="F1086" s="18">
        <v>46114</v>
      </c>
      <c r="G1086" s="14">
        <v>0.77749999999999997</v>
      </c>
      <c r="H1086" s="7" t="s">
        <v>5</v>
      </c>
      <c r="I1086" s="2" t="str">
        <f t="shared" si="88"/>
        <v>Q4</v>
      </c>
      <c r="J1086" s="2" t="str">
        <f t="shared" si="84"/>
        <v>Not Match</v>
      </c>
      <c r="K1086" s="2">
        <f t="shared" si="85"/>
        <v>0.3</v>
      </c>
      <c r="L1086" s="2" t="e">
        <f t="shared" si="86"/>
        <v>#N/A</v>
      </c>
      <c r="M1086" s="2" t="str">
        <f t="shared" si="87"/>
        <v>Below 0.8 not in assigned quadrant</v>
      </c>
      <c r="N1086" s="7">
        <v>16</v>
      </c>
      <c r="O1086" s="7">
        <v>-0.6</v>
      </c>
      <c r="P1086" s="7">
        <v>-2.9</v>
      </c>
      <c r="Q1086" s="7">
        <v>0.39</v>
      </c>
      <c r="R1086" s="7">
        <v>0</v>
      </c>
      <c r="S1086" s="7">
        <v>-0.3</v>
      </c>
      <c r="T1086" s="7">
        <v>0.41</v>
      </c>
      <c r="U1086" s="7">
        <v>-0.03</v>
      </c>
      <c r="V1086" s="7">
        <v>0.56000000000000005</v>
      </c>
      <c r="W1086" s="7" t="s">
        <v>8</v>
      </c>
      <c r="X1086" s="7" t="s">
        <v>15</v>
      </c>
      <c r="Y1086" s="2" t="s">
        <v>719</v>
      </c>
      <c r="Z1086" s="2" t="s">
        <v>721</v>
      </c>
    </row>
    <row r="1087" spans="1:26" x14ac:dyDescent="0.35">
      <c r="A1087" s="7" t="s">
        <v>1619</v>
      </c>
      <c r="B1087" s="7" t="s">
        <v>1138</v>
      </c>
      <c r="C1087" s="4" t="str">
        <f>_xlfn.XLOOKUP(A1087,[2]Sheet2!$I$2:$I$1273,[2]Sheet2!$D$2:$D$1273,0)</f>
        <v>Q4</v>
      </c>
      <c r="D1087" s="4" t="str">
        <f>_xlfn.XLOOKUP(B1087,[4]Sheet2!$B$2:$B$3154,[4]Sheet2!$F$2:$F$3154,0)</f>
        <v>C/APP</v>
      </c>
      <c r="E1087" s="4" t="e">
        <f>_xlfn.XLOOKUP(B1087,[2]Sheet2!$E$2:$E$713,[2]Sheet2!$G$2:$G$713)</f>
        <v>#N/A</v>
      </c>
      <c r="F1087" s="18">
        <v>46114</v>
      </c>
      <c r="G1087" s="14">
        <v>0.77949074074074076</v>
      </c>
      <c r="H1087" s="7" t="s">
        <v>16</v>
      </c>
      <c r="I1087" s="2" t="str">
        <f t="shared" si="88"/>
        <v>Q1</v>
      </c>
      <c r="J1087" s="2" t="str">
        <f t="shared" si="84"/>
        <v>Not Match</v>
      </c>
      <c r="K1087" s="2">
        <f t="shared" si="85"/>
        <v>1</v>
      </c>
      <c r="L1087" s="2" t="e">
        <f t="shared" si="86"/>
        <v>#N/A</v>
      </c>
      <c r="M1087" s="2" t="str">
        <f t="shared" si="87"/>
        <v>Assign quadrant hit</v>
      </c>
      <c r="N1087" s="7">
        <v>28.8</v>
      </c>
      <c r="O1087" s="7">
        <v>-1.6</v>
      </c>
      <c r="P1087" s="7">
        <v>-1.9</v>
      </c>
      <c r="Q1087" s="7">
        <v>-0.04</v>
      </c>
      <c r="R1087" s="7">
        <v>0</v>
      </c>
      <c r="S1087" s="7">
        <v>1</v>
      </c>
      <c r="T1087" s="7">
        <v>-1.04</v>
      </c>
      <c r="U1087" s="7">
        <v>-0.67</v>
      </c>
      <c r="V1087" s="7">
        <v>1.24</v>
      </c>
      <c r="W1087" s="7" t="s">
        <v>6</v>
      </c>
      <c r="X1087" s="7" t="s">
        <v>15</v>
      </c>
      <c r="Y1087" s="2" t="s">
        <v>719</v>
      </c>
      <c r="Z1087" s="2" t="s">
        <v>721</v>
      </c>
    </row>
    <row r="1088" spans="1:26" x14ac:dyDescent="0.35">
      <c r="A1088" s="7" t="s">
        <v>1619</v>
      </c>
      <c r="B1088" s="7" t="s">
        <v>1139</v>
      </c>
      <c r="C1088" s="4" t="str">
        <f>_xlfn.XLOOKUP(A1088,[2]Sheet2!$I$2:$I$1273,[2]Sheet2!$D$2:$D$1273,0)</f>
        <v>Q4</v>
      </c>
      <c r="D1088" s="4" t="str">
        <f>_xlfn.XLOOKUP(B1088,[4]Sheet2!$B$2:$B$3154,[4]Sheet2!$F$2:$F$3154,0)</f>
        <v>C/APP</v>
      </c>
      <c r="E1088" s="4" t="e">
        <f>_xlfn.XLOOKUP(B1088,[2]Sheet2!$E$2:$E$713,[2]Sheet2!$G$2:$G$713)</f>
        <v>#N/A</v>
      </c>
      <c r="F1088" s="18">
        <v>46114</v>
      </c>
      <c r="G1088" s="14">
        <v>0.78172453703703704</v>
      </c>
      <c r="H1088" s="7" t="s">
        <v>16</v>
      </c>
      <c r="I1088" s="2" t="str">
        <f t="shared" si="88"/>
        <v>Q1</v>
      </c>
      <c r="J1088" s="2" t="str">
        <f t="shared" si="84"/>
        <v>Not Match</v>
      </c>
      <c r="K1088" s="2">
        <f t="shared" si="85"/>
        <v>0.2</v>
      </c>
      <c r="L1088" s="2" t="e">
        <f t="shared" si="86"/>
        <v>#N/A</v>
      </c>
      <c r="M1088" s="2" t="str">
        <f t="shared" si="87"/>
        <v>Below 0.8 not in assigned quadrant</v>
      </c>
      <c r="N1088" s="7">
        <v>28.8</v>
      </c>
      <c r="O1088" s="7">
        <v>-1.6</v>
      </c>
      <c r="P1088" s="7">
        <v>-2.7</v>
      </c>
      <c r="Q1088" s="7">
        <v>-0.02</v>
      </c>
      <c r="R1088" s="7">
        <v>0</v>
      </c>
      <c r="S1088" s="7">
        <v>0.2</v>
      </c>
      <c r="T1088" s="7">
        <v>-0.23</v>
      </c>
      <c r="U1088" s="7">
        <v>-0.12</v>
      </c>
      <c r="V1088" s="7">
        <v>0.27</v>
      </c>
      <c r="W1088" s="7" t="s">
        <v>8</v>
      </c>
      <c r="X1088" s="7" t="s">
        <v>15</v>
      </c>
      <c r="Y1088" s="2" t="s">
        <v>719</v>
      </c>
      <c r="Z1088" s="2" t="s">
        <v>721</v>
      </c>
    </row>
    <row r="1089" spans="1:26" x14ac:dyDescent="0.35">
      <c r="A1089" s="7" t="s">
        <v>1687</v>
      </c>
      <c r="B1089" s="7" t="s">
        <v>1121</v>
      </c>
      <c r="C1089" s="4" t="str">
        <f>_xlfn.XLOOKUP(A1089,[2]Sheet2!$I$2:$I$1273,[2]Sheet2!$D$2:$D$1273,0)</f>
        <v>Q3</v>
      </c>
      <c r="D1089" s="4" t="str">
        <f>_xlfn.XLOOKUP(B1089,[4]Sheet2!$B$2:$B$3154,[4]Sheet2!$F$2:$F$3154,0)</f>
        <v>Digital App</v>
      </c>
      <c r="E1089" s="4" t="e">
        <f>_xlfn.XLOOKUP(B1089,[2]Sheet2!$E$2:$E$713,[2]Sheet2!$G$2:$G$713)</f>
        <v>#N/A</v>
      </c>
      <c r="F1089" s="18">
        <v>46114</v>
      </c>
      <c r="G1089" s="14">
        <v>0.85127314814814814</v>
      </c>
      <c r="H1089" s="7" t="s">
        <v>5</v>
      </c>
      <c r="I1089" s="2" t="str">
        <f t="shared" si="88"/>
        <v>Q3</v>
      </c>
      <c r="J1089" s="2" t="str">
        <f t="shared" si="84"/>
        <v>Match</v>
      </c>
      <c r="K1089" s="2">
        <f t="shared" si="85"/>
        <v>0.5</v>
      </c>
      <c r="L1089" s="2" t="e">
        <f t="shared" si="86"/>
        <v>#N/A</v>
      </c>
      <c r="M1089" s="2" t="str">
        <f t="shared" si="87"/>
        <v>Digital Approve Hit</v>
      </c>
      <c r="N1089" s="7">
        <v>34.799999999999997</v>
      </c>
      <c r="O1089" s="7">
        <v>10.4</v>
      </c>
      <c r="P1089" s="7">
        <v>12.1</v>
      </c>
      <c r="Q1089" s="7">
        <v>-0.05</v>
      </c>
      <c r="R1089" s="7">
        <v>-0.4</v>
      </c>
      <c r="S1089" s="7">
        <v>-0.3</v>
      </c>
      <c r="T1089" s="7">
        <v>-0.38</v>
      </c>
      <c r="U1089" s="7">
        <v>0.11</v>
      </c>
      <c r="V1089" s="7">
        <v>0.4</v>
      </c>
      <c r="W1089" s="7" t="s">
        <v>8</v>
      </c>
      <c r="X1089" s="7" t="s">
        <v>12</v>
      </c>
      <c r="Y1089" s="2" t="s">
        <v>719</v>
      </c>
      <c r="Z1089" s="2" t="s">
        <v>721</v>
      </c>
    </row>
    <row r="1090" spans="1:26" x14ac:dyDescent="0.35">
      <c r="A1090" s="7" t="s">
        <v>1540</v>
      </c>
      <c r="B1090" s="7" t="s">
        <v>1140</v>
      </c>
      <c r="C1090" s="4" t="str">
        <f>_xlfn.XLOOKUP(A1090,[2]Sheet2!$I$2:$I$1273,[2]Sheet2!$D$2:$D$1273,0)</f>
        <v>Q3</v>
      </c>
      <c r="D1090" s="4" t="str">
        <f>_xlfn.XLOOKUP(B1090,[4]Sheet2!$B$2:$B$3154,[4]Sheet2!$F$2:$F$3154,0)</f>
        <v>N/ App</v>
      </c>
      <c r="E1090" s="4" t="e">
        <f>_xlfn.XLOOKUP(B1090,[2]Sheet2!$E$2:$E$713,[2]Sheet2!$G$2:$G$713)</f>
        <v>#N/A</v>
      </c>
      <c r="F1090" s="18">
        <v>46114</v>
      </c>
      <c r="G1090" s="14">
        <v>0.93082175925925925</v>
      </c>
      <c r="H1090" s="7" t="s">
        <v>11</v>
      </c>
      <c r="I1090" s="2" t="str">
        <f t="shared" si="88"/>
        <v>Q3</v>
      </c>
      <c r="J1090" s="2" t="str">
        <f t="shared" si="84"/>
        <v>Match</v>
      </c>
      <c r="K1090" s="2">
        <f t="shared" si="85"/>
        <v>0</v>
      </c>
      <c r="L1090" s="2" t="e">
        <f t="shared" si="86"/>
        <v>#N/A</v>
      </c>
      <c r="M1090" s="2" t="str">
        <f t="shared" si="87"/>
        <v>Digital Approve Hit</v>
      </c>
      <c r="N1090" s="7">
        <v>13.7</v>
      </c>
      <c r="O1090" s="7">
        <v>-0.5</v>
      </c>
      <c r="P1090" s="7">
        <v>-1.6</v>
      </c>
      <c r="Q1090" s="7">
        <v>-0.45</v>
      </c>
      <c r="R1090" s="7">
        <v>0</v>
      </c>
      <c r="S1090" s="7">
        <v>0</v>
      </c>
      <c r="T1090" s="7">
        <v>-0.1</v>
      </c>
      <c r="U1090" s="7">
        <v>0.01</v>
      </c>
      <c r="V1090" s="7">
        <v>0.46</v>
      </c>
      <c r="W1090" s="7" t="s">
        <v>8</v>
      </c>
      <c r="X1090" s="7" t="s">
        <v>9</v>
      </c>
      <c r="Y1090" s="2" t="s">
        <v>719</v>
      </c>
      <c r="Z1090" s="2" t="s">
        <v>721</v>
      </c>
    </row>
    <row r="1091" spans="1:26" x14ac:dyDescent="0.35">
      <c r="A1091" s="7" t="s">
        <v>1586</v>
      </c>
      <c r="B1091" s="7" t="s">
        <v>1141</v>
      </c>
      <c r="C1091" s="4" t="str">
        <f>_xlfn.XLOOKUP(A1091,[2]Sheet2!$I$2:$I$1273,[2]Sheet2!$D$2:$D$1273,0)</f>
        <v>Q2</v>
      </c>
      <c r="D1091" s="4" t="str">
        <f>_xlfn.XLOOKUP(B1091,[4]Sheet2!$B$2:$B$3154,[4]Sheet2!$F$2:$F$3154,0)</f>
        <v>N/ App</v>
      </c>
      <c r="E1091" s="4" t="e">
        <f>_xlfn.XLOOKUP(B1091,[2]Sheet2!$E$2:$E$713,[2]Sheet2!$G$2:$G$713)</f>
        <v>#N/A</v>
      </c>
      <c r="F1091" s="18">
        <v>46114</v>
      </c>
      <c r="G1091" s="14">
        <v>0.96447916666666667</v>
      </c>
      <c r="H1091" s="7" t="s">
        <v>4</v>
      </c>
      <c r="I1091" s="2" t="str">
        <f t="shared" si="88"/>
        <v>Q3</v>
      </c>
      <c r="J1091" s="2" t="str">
        <f t="shared" ref="J1091:J1154" si="89">IF(I1091=C1091,"Match",IF(C1091=0,"Not Found","Not Match"))</f>
        <v>Not Match</v>
      </c>
      <c r="K1091" s="2">
        <f t="shared" ref="K1091:K1154" si="90">SQRT(R1091^2+S1091^2)</f>
        <v>0.1</v>
      </c>
      <c r="L1091" s="2" t="e">
        <f t="shared" ref="L1091:L1154" si="91">IF(K1091&lt;=E1091,"Within Range","Over Range")</f>
        <v>#N/A</v>
      </c>
      <c r="M1091" s="2" t="str">
        <f t="shared" ref="M1091:M1154" si="92">IF(AND(J1091="Match",V1091&lt;=0.8),"Digital Approve Hit",
IF(AND(J1091="Match",V1091&gt;0.8),"Failed but within quadrant",
IF(AND(J1091="Not Match",V1091&lt;=0.8),"Below 0.8 not in assigned quadrant",
"Assign quadrant hit")))</f>
        <v>Below 0.8 not in assigned quadrant</v>
      </c>
      <c r="N1091" s="7">
        <v>17.7</v>
      </c>
      <c r="O1091" s="7">
        <v>0</v>
      </c>
      <c r="P1091" s="7">
        <v>-1</v>
      </c>
      <c r="Q1091" s="7">
        <v>-0.25</v>
      </c>
      <c r="R1091" s="7">
        <v>-0.1</v>
      </c>
      <c r="S1091" s="7">
        <v>0</v>
      </c>
      <c r="T1091" s="7">
        <v>0</v>
      </c>
      <c r="U1091" s="7">
        <v>-0.19</v>
      </c>
      <c r="V1091" s="7">
        <v>0.31</v>
      </c>
      <c r="W1091" s="7" t="s">
        <v>8</v>
      </c>
      <c r="X1091" s="7" t="s">
        <v>15</v>
      </c>
      <c r="Y1091" s="2" t="s">
        <v>719</v>
      </c>
      <c r="Z1091" s="2" t="s">
        <v>721</v>
      </c>
    </row>
    <row r="1092" spans="1:26" x14ac:dyDescent="0.35">
      <c r="A1092" s="7" t="s">
        <v>1559</v>
      </c>
      <c r="B1092" s="7" t="s">
        <v>1142</v>
      </c>
      <c r="C1092" s="4" t="str">
        <f>_xlfn.XLOOKUP(A1092,[2]Sheet2!$I$2:$I$1273,[2]Sheet2!$D$2:$D$1273,0)</f>
        <v>Q3</v>
      </c>
      <c r="D1092" s="4" t="str">
        <f>_xlfn.XLOOKUP(B1092,[4]Sheet2!$B$2:$B$3154,[4]Sheet2!$F$2:$F$3154,0)</f>
        <v>C/APP</v>
      </c>
      <c r="E1092" s="4" t="e">
        <f>_xlfn.XLOOKUP(B1092,[2]Sheet2!$E$2:$E$713,[2]Sheet2!$G$2:$G$713)</f>
        <v>#N/A</v>
      </c>
      <c r="F1092" s="18">
        <v>46115</v>
      </c>
      <c r="G1092" s="14">
        <v>6.5219907407407407E-2</v>
      </c>
      <c r="H1092" s="7" t="s">
        <v>11</v>
      </c>
      <c r="I1092" s="2" t="str">
        <f t="shared" si="88"/>
        <v>Q3</v>
      </c>
      <c r="J1092" s="2" t="str">
        <f t="shared" si="89"/>
        <v>Match</v>
      </c>
      <c r="K1092" s="2">
        <f t="shared" si="90"/>
        <v>0</v>
      </c>
      <c r="L1092" s="2" t="e">
        <f t="shared" si="91"/>
        <v>#N/A</v>
      </c>
      <c r="M1092" s="2" t="str">
        <f t="shared" si="92"/>
        <v>Failed but within quadrant</v>
      </c>
      <c r="N1092" s="7">
        <v>16.600000000000001</v>
      </c>
      <c r="O1092" s="7">
        <v>-0.6</v>
      </c>
      <c r="P1092" s="7">
        <v>-2.9</v>
      </c>
      <c r="Q1092" s="7">
        <v>-1.04</v>
      </c>
      <c r="R1092" s="7">
        <v>0</v>
      </c>
      <c r="S1092" s="7">
        <v>0</v>
      </c>
      <c r="T1092" s="7">
        <v>0.09</v>
      </c>
      <c r="U1092" s="7">
        <v>7.0000000000000007E-2</v>
      </c>
      <c r="V1092" s="7">
        <v>1.04</v>
      </c>
      <c r="W1092" s="7" t="s">
        <v>6</v>
      </c>
      <c r="X1092" s="7" t="s">
        <v>9</v>
      </c>
      <c r="Y1092" s="2" t="s">
        <v>719</v>
      </c>
      <c r="Z1092" s="2" t="s">
        <v>721</v>
      </c>
    </row>
    <row r="1093" spans="1:26" x14ac:dyDescent="0.35">
      <c r="A1093" s="7" t="s">
        <v>1723</v>
      </c>
      <c r="B1093" s="7" t="s">
        <v>1143</v>
      </c>
      <c r="C1093" s="4" t="str">
        <f>_xlfn.XLOOKUP(A1093,[2]Sheet2!$I$2:$I$1273,[2]Sheet2!$D$2:$D$1273,0)</f>
        <v>Q2</v>
      </c>
      <c r="D1093" s="4" t="str">
        <f>_xlfn.XLOOKUP(B1093,[4]Sheet2!$B$2:$B$3154,[4]Sheet2!$F$2:$F$3154,0)</f>
        <v>N/ App</v>
      </c>
      <c r="E1093" s="4" t="e">
        <f>_xlfn.XLOOKUP(B1093,[2]Sheet2!$E$2:$E$713,[2]Sheet2!$G$2:$G$713)</f>
        <v>#N/A</v>
      </c>
      <c r="F1093" s="18">
        <v>46115</v>
      </c>
      <c r="G1093" s="14">
        <v>7.18287037037037E-2</v>
      </c>
      <c r="H1093" s="7" t="s">
        <v>4</v>
      </c>
      <c r="I1093" s="2" t="str">
        <f t="shared" si="88"/>
        <v>Q3</v>
      </c>
      <c r="J1093" s="2" t="str">
        <f t="shared" si="89"/>
        <v>Not Match</v>
      </c>
      <c r="K1093" s="2">
        <f t="shared" si="90"/>
        <v>0.4</v>
      </c>
      <c r="L1093" s="2" t="e">
        <f t="shared" si="91"/>
        <v>#N/A</v>
      </c>
      <c r="M1093" s="2" t="str">
        <f t="shared" si="92"/>
        <v>Below 0.8 not in assigned quadrant</v>
      </c>
      <c r="N1093" s="7">
        <v>14.4</v>
      </c>
      <c r="O1093" s="7">
        <v>-0.6</v>
      </c>
      <c r="P1093" s="7">
        <v>-1.4</v>
      </c>
      <c r="Q1093" s="7">
        <v>-0.41</v>
      </c>
      <c r="R1093" s="7">
        <v>-0.4</v>
      </c>
      <c r="S1093" s="7">
        <v>0</v>
      </c>
      <c r="T1093" s="7">
        <v>0.23</v>
      </c>
      <c r="U1093" s="7">
        <v>-0.65</v>
      </c>
      <c r="V1093" s="7">
        <v>0.8</v>
      </c>
      <c r="W1093" s="7" t="s">
        <v>13</v>
      </c>
      <c r="X1093" s="7" t="s">
        <v>15</v>
      </c>
      <c r="Y1093" s="2" t="s">
        <v>719</v>
      </c>
      <c r="Z1093" s="2" t="s">
        <v>721</v>
      </c>
    </row>
    <row r="1094" spans="1:26" x14ac:dyDescent="0.35">
      <c r="A1094" s="7" t="s">
        <v>1559</v>
      </c>
      <c r="B1094" s="7" t="s">
        <v>1144</v>
      </c>
      <c r="C1094" s="4" t="str">
        <f>_xlfn.XLOOKUP(A1094,[2]Sheet2!$I$2:$I$1273,[2]Sheet2!$D$2:$D$1273,0)</f>
        <v>Q3</v>
      </c>
      <c r="D1094" s="4" t="str">
        <f>_xlfn.XLOOKUP(B1094,[4]Sheet2!$B$2:$B$3154,[4]Sheet2!$F$2:$F$3154,0)</f>
        <v>N/ App</v>
      </c>
      <c r="E1094" s="4" t="e">
        <f>_xlfn.XLOOKUP(B1094,[2]Sheet2!$E$2:$E$713,[2]Sheet2!$G$2:$G$713)</f>
        <v>#N/A</v>
      </c>
      <c r="F1094" s="18">
        <v>46115</v>
      </c>
      <c r="G1094" s="14">
        <v>8.3356481481481476E-2</v>
      </c>
      <c r="H1094" s="7" t="s">
        <v>11</v>
      </c>
      <c r="I1094" s="2" t="str">
        <f t="shared" si="88"/>
        <v>Q4</v>
      </c>
      <c r="J1094" s="2" t="str">
        <f t="shared" si="89"/>
        <v>Not Match</v>
      </c>
      <c r="K1094" s="2">
        <f t="shared" si="90"/>
        <v>0.1</v>
      </c>
      <c r="L1094" s="2" t="e">
        <f t="shared" si="91"/>
        <v>#N/A</v>
      </c>
      <c r="M1094" s="2" t="str">
        <f t="shared" si="92"/>
        <v>Below 0.8 not in assigned quadrant</v>
      </c>
      <c r="N1094" s="7">
        <v>16.899999999999999</v>
      </c>
      <c r="O1094" s="7">
        <v>-0.6</v>
      </c>
      <c r="P1094" s="7">
        <v>-2.9</v>
      </c>
      <c r="Q1094" s="7">
        <v>-0.77</v>
      </c>
      <c r="R1094" s="7">
        <v>0</v>
      </c>
      <c r="S1094" s="7">
        <v>-0.1</v>
      </c>
      <c r="T1094" s="7">
        <v>0.15</v>
      </c>
      <c r="U1094" s="7">
        <v>0.08</v>
      </c>
      <c r="V1094" s="7">
        <v>0.79</v>
      </c>
      <c r="W1094" s="7" t="s">
        <v>13</v>
      </c>
      <c r="X1094" s="7" t="s">
        <v>9</v>
      </c>
      <c r="Y1094" s="2" t="s">
        <v>719</v>
      </c>
      <c r="Z1094" s="2" t="s">
        <v>721</v>
      </c>
    </row>
    <row r="1095" spans="1:26" x14ac:dyDescent="0.35">
      <c r="A1095" s="7" t="s">
        <v>1573</v>
      </c>
      <c r="B1095" s="7" t="s">
        <v>1145</v>
      </c>
      <c r="C1095" s="4" t="str">
        <f>_xlfn.XLOOKUP(A1095,[2]Sheet2!$I$2:$I$1273,[2]Sheet2!$D$2:$D$1273,0)</f>
        <v>Q1</v>
      </c>
      <c r="D1095" s="4" t="str">
        <f>_xlfn.XLOOKUP(B1095,[4]Sheet2!$B$2:$B$3154,[4]Sheet2!$F$2:$F$3154,0)</f>
        <v>N/ App</v>
      </c>
      <c r="E1095" s="4" t="e">
        <f>_xlfn.XLOOKUP(B1095,[2]Sheet2!$E$2:$E$713,[2]Sheet2!$G$2:$G$713)</f>
        <v>#N/A</v>
      </c>
      <c r="F1095" s="18">
        <v>46115</v>
      </c>
      <c r="G1095" s="14">
        <v>0.14303240740740741</v>
      </c>
      <c r="H1095" s="7" t="s">
        <v>5</v>
      </c>
      <c r="I1095" s="2" t="str">
        <f t="shared" si="88"/>
        <v>Q1</v>
      </c>
      <c r="J1095" s="2" t="str">
        <f t="shared" si="89"/>
        <v>Match</v>
      </c>
      <c r="K1095" s="2">
        <f t="shared" si="90"/>
        <v>0.2</v>
      </c>
      <c r="L1095" s="2" t="e">
        <f t="shared" si="91"/>
        <v>#N/A</v>
      </c>
      <c r="M1095" s="2" t="str">
        <f t="shared" si="92"/>
        <v>Failed but within quadrant</v>
      </c>
      <c r="N1095" s="7">
        <v>17.7</v>
      </c>
      <c r="O1095" s="7">
        <v>-0.2</v>
      </c>
      <c r="P1095" s="7">
        <v>-1.6</v>
      </c>
      <c r="Q1095" s="7">
        <v>-0.88</v>
      </c>
      <c r="R1095" s="7">
        <v>0</v>
      </c>
      <c r="S1095" s="7">
        <v>0.2</v>
      </c>
      <c r="T1095" s="7">
        <v>-0.31</v>
      </c>
      <c r="U1095" s="7">
        <v>0.06</v>
      </c>
      <c r="V1095" s="7">
        <v>0.93</v>
      </c>
      <c r="W1095" s="7" t="s">
        <v>13</v>
      </c>
      <c r="X1095" s="7" t="s">
        <v>9</v>
      </c>
      <c r="Y1095" s="2" t="s">
        <v>719</v>
      </c>
      <c r="Z1095" s="2" t="s">
        <v>721</v>
      </c>
    </row>
    <row r="1096" spans="1:26" x14ac:dyDescent="0.35">
      <c r="A1096" s="7" t="s">
        <v>1504</v>
      </c>
      <c r="B1096" s="7" t="s">
        <v>1146</v>
      </c>
      <c r="C1096" s="4">
        <f>_xlfn.XLOOKUP(A1096,[2]Sheet2!$I$2:$I$1273,[2]Sheet2!$D$2:$D$1273,0)</f>
        <v>0</v>
      </c>
      <c r="D1096" s="4" t="str">
        <f>_xlfn.XLOOKUP(B1096,[4]Sheet2!$B$2:$B$3154,[4]Sheet2!$F$2:$F$3154,0)</f>
        <v>N/ App</v>
      </c>
      <c r="E1096" s="4" t="e">
        <f>_xlfn.XLOOKUP(B1096,[2]Sheet2!$E$2:$E$713,[2]Sheet2!$G$2:$G$713)</f>
        <v>#N/A</v>
      </c>
      <c r="F1096" s="18">
        <v>46115</v>
      </c>
      <c r="G1096" s="14">
        <v>0.14796296296296296</v>
      </c>
      <c r="H1096" s="7" t="s">
        <v>5</v>
      </c>
      <c r="I1096" s="2" t="str">
        <f t="shared" si="88"/>
        <v>Q4</v>
      </c>
      <c r="J1096" s="2" t="str">
        <f t="shared" si="89"/>
        <v>Not Found</v>
      </c>
      <c r="K1096" s="2">
        <f t="shared" si="90"/>
        <v>0.41231056256176613</v>
      </c>
      <c r="L1096" s="2" t="e">
        <f t="shared" si="91"/>
        <v>#N/A</v>
      </c>
      <c r="M1096" s="2" t="str">
        <f t="shared" si="92"/>
        <v>Assign quadrant hit</v>
      </c>
      <c r="N1096" s="7">
        <v>15.5</v>
      </c>
      <c r="O1096" s="7">
        <v>-0.4</v>
      </c>
      <c r="P1096" s="7">
        <v>-3.5</v>
      </c>
      <c r="Q1096" s="7">
        <v>-0.72</v>
      </c>
      <c r="R1096" s="7">
        <v>0.1</v>
      </c>
      <c r="S1096" s="7">
        <v>-0.4</v>
      </c>
      <c r="T1096" s="7">
        <v>0.51</v>
      </c>
      <c r="U1096" s="7">
        <v>0.23</v>
      </c>
      <c r="V1096" s="7">
        <v>0.92</v>
      </c>
      <c r="W1096" s="7" t="s">
        <v>13</v>
      </c>
      <c r="X1096" s="7" t="s">
        <v>9</v>
      </c>
      <c r="Y1096" s="2" t="s">
        <v>719</v>
      </c>
      <c r="Z1096" s="2" t="s">
        <v>721</v>
      </c>
    </row>
    <row r="1097" spans="1:26" x14ac:dyDescent="0.35">
      <c r="A1097" s="7" t="s">
        <v>1758</v>
      </c>
      <c r="B1097" s="7" t="s">
        <v>1147</v>
      </c>
      <c r="C1097" s="4" t="str">
        <f>_xlfn.XLOOKUP(A1097,[2]Sheet2!$I$2:$I$1273,[2]Sheet2!$D$2:$D$1273,0)</f>
        <v>Q2</v>
      </c>
      <c r="D1097" s="4" t="str">
        <f>_xlfn.XLOOKUP(B1097,[4]Sheet2!$B$2:$B$3154,[4]Sheet2!$F$2:$F$3154,0)</f>
        <v>N/ App</v>
      </c>
      <c r="E1097" s="4" t="e">
        <f>_xlfn.XLOOKUP(B1097,[2]Sheet2!$E$2:$E$713,[2]Sheet2!$G$2:$G$713)</f>
        <v>#N/A</v>
      </c>
      <c r="F1097" s="18">
        <v>46115</v>
      </c>
      <c r="G1097" s="14">
        <v>0.18077546296296296</v>
      </c>
      <c r="H1097" s="7" t="s">
        <v>5</v>
      </c>
      <c r="I1097" s="2" t="str">
        <f t="shared" si="88"/>
        <v>Q4</v>
      </c>
      <c r="J1097" s="2" t="str">
        <f t="shared" si="89"/>
        <v>Not Match</v>
      </c>
      <c r="K1097" s="2">
        <f t="shared" si="90"/>
        <v>0.22360679774997899</v>
      </c>
      <c r="L1097" s="2" t="e">
        <f t="shared" si="91"/>
        <v>#N/A</v>
      </c>
      <c r="M1097" s="2" t="str">
        <f t="shared" si="92"/>
        <v>Below 0.8 not in assigned quadrant</v>
      </c>
      <c r="N1097" s="7">
        <v>25.8</v>
      </c>
      <c r="O1097" s="7">
        <v>1</v>
      </c>
      <c r="P1097" s="7">
        <v>-37.1</v>
      </c>
      <c r="Q1097" s="7">
        <v>-0.22</v>
      </c>
      <c r="R1097" s="7">
        <v>0.1</v>
      </c>
      <c r="S1097" s="7">
        <v>-0.2</v>
      </c>
      <c r="T1097" s="7">
        <v>0.1</v>
      </c>
      <c r="U1097" s="7">
        <v>0.08</v>
      </c>
      <c r="V1097" s="7">
        <v>0.26</v>
      </c>
      <c r="W1097" s="7" t="s">
        <v>8</v>
      </c>
      <c r="X1097" s="7" t="s">
        <v>9</v>
      </c>
      <c r="Y1097" s="2" t="s">
        <v>719</v>
      </c>
      <c r="Z1097" s="2" t="s">
        <v>721</v>
      </c>
    </row>
    <row r="1098" spans="1:26" x14ac:dyDescent="0.35">
      <c r="A1098" s="7" t="s">
        <v>1559</v>
      </c>
      <c r="B1098" s="7" t="s">
        <v>1148</v>
      </c>
      <c r="C1098" s="4" t="str">
        <f>_xlfn.XLOOKUP(A1098,[2]Sheet2!$I$2:$I$1273,[2]Sheet2!$D$2:$D$1273,0)</f>
        <v>Q3</v>
      </c>
      <c r="D1098" s="4" t="str">
        <f>_xlfn.XLOOKUP(B1098,[4]Sheet2!$B$2:$B$3154,[4]Sheet2!$F$2:$F$3154,0)</f>
        <v>C/APP</v>
      </c>
      <c r="E1098" s="4" t="e">
        <f>_xlfn.XLOOKUP(B1098,[2]Sheet2!$E$2:$E$713,[2]Sheet2!$G$2:$G$713)</f>
        <v>#N/A</v>
      </c>
      <c r="F1098" s="18">
        <v>46115</v>
      </c>
      <c r="G1098" s="14">
        <v>0.25449074074074074</v>
      </c>
      <c r="H1098" s="7" t="s">
        <v>11</v>
      </c>
      <c r="I1098" s="2" t="str">
        <f t="shared" si="88"/>
        <v>Q1</v>
      </c>
      <c r="J1098" s="2" t="str">
        <f t="shared" si="89"/>
        <v>Not Match</v>
      </c>
      <c r="K1098" s="2">
        <f t="shared" si="90"/>
        <v>0.14142135623730953</v>
      </c>
      <c r="L1098" s="2" t="e">
        <f t="shared" si="91"/>
        <v>#N/A</v>
      </c>
      <c r="M1098" s="2" t="str">
        <f t="shared" si="92"/>
        <v>Assign quadrant hit</v>
      </c>
      <c r="N1098" s="7">
        <v>16.600000000000001</v>
      </c>
      <c r="O1098" s="7">
        <v>-0.5</v>
      </c>
      <c r="P1098" s="7">
        <v>-2.6</v>
      </c>
      <c r="Q1098" s="7">
        <v>-1.05</v>
      </c>
      <c r="R1098" s="7">
        <v>0.1</v>
      </c>
      <c r="S1098" s="7">
        <v>0.1</v>
      </c>
      <c r="T1098" s="7">
        <v>-0.24</v>
      </c>
      <c r="U1098" s="7">
        <v>0.12</v>
      </c>
      <c r="V1098" s="7">
        <v>1.08</v>
      </c>
      <c r="W1098" s="7" t="s">
        <v>6</v>
      </c>
      <c r="X1098" s="7" t="s">
        <v>9</v>
      </c>
      <c r="Y1098" s="2" t="s">
        <v>719</v>
      </c>
      <c r="Z1098" s="2" t="s">
        <v>721</v>
      </c>
    </row>
    <row r="1099" spans="1:26" x14ac:dyDescent="0.35">
      <c r="A1099" s="7" t="s">
        <v>1759</v>
      </c>
      <c r="B1099" s="7" t="s">
        <v>1149</v>
      </c>
      <c r="C1099" s="4" t="str">
        <f>_xlfn.XLOOKUP(A1099,[2]Sheet2!$I$2:$I$1273,[2]Sheet2!$D$2:$D$1273,0)</f>
        <v>Q3</v>
      </c>
      <c r="D1099" s="4" t="str">
        <f>_xlfn.XLOOKUP(B1099,[4]Sheet2!$B$2:$B$3154,[4]Sheet2!$F$2:$F$3154,0)</f>
        <v>C/APP</v>
      </c>
      <c r="E1099" s="4" t="e">
        <f>_xlfn.XLOOKUP(B1099,[2]Sheet2!$E$2:$E$713,[2]Sheet2!$G$2:$G$713)</f>
        <v>#N/A</v>
      </c>
      <c r="F1099" s="18">
        <v>46115</v>
      </c>
      <c r="G1099" s="14">
        <v>0.25755787037037037</v>
      </c>
      <c r="H1099" s="7" t="s">
        <v>4</v>
      </c>
      <c r="I1099" s="2" t="str">
        <f t="shared" si="88"/>
        <v>Q3</v>
      </c>
      <c r="J1099" s="2" t="str">
        <f t="shared" si="89"/>
        <v>Match</v>
      </c>
      <c r="K1099" s="2">
        <f t="shared" si="90"/>
        <v>0.42426406871192851</v>
      </c>
      <c r="L1099" s="2" t="e">
        <f t="shared" si="91"/>
        <v>#N/A</v>
      </c>
      <c r="M1099" s="2" t="str">
        <f t="shared" si="92"/>
        <v>Digital Approve Hit</v>
      </c>
      <c r="N1099" s="7">
        <v>29.7</v>
      </c>
      <c r="O1099" s="7">
        <v>37</v>
      </c>
      <c r="P1099" s="7">
        <v>12.6</v>
      </c>
      <c r="Q1099" s="7">
        <v>-0.61</v>
      </c>
      <c r="R1099" s="7">
        <v>-0.3</v>
      </c>
      <c r="S1099" s="7">
        <v>-0.3</v>
      </c>
      <c r="T1099" s="7">
        <v>-0.18</v>
      </c>
      <c r="U1099" s="7">
        <v>-0.13</v>
      </c>
      <c r="V1099" s="7">
        <v>0.64</v>
      </c>
      <c r="W1099" s="7" t="s">
        <v>8</v>
      </c>
      <c r="X1099" s="7" t="s">
        <v>7</v>
      </c>
      <c r="Y1099" s="2" t="s">
        <v>719</v>
      </c>
      <c r="Z1099" s="2" t="s">
        <v>721</v>
      </c>
    </row>
    <row r="1100" spans="1:26" x14ac:dyDescent="0.35">
      <c r="A1100" s="7" t="s">
        <v>1695</v>
      </c>
      <c r="B1100" s="7" t="s">
        <v>1150</v>
      </c>
      <c r="C1100" s="4" t="str">
        <f>_xlfn.XLOOKUP(A1100,[2]Sheet2!$I$2:$I$1273,[2]Sheet2!$D$2:$D$1273,0)</f>
        <v>Q3</v>
      </c>
      <c r="D1100" s="4" t="str">
        <f>_xlfn.XLOOKUP(B1100,[4]Sheet2!$B$2:$B$3154,[4]Sheet2!$F$2:$F$3154,0)</f>
        <v>N/ App</v>
      </c>
      <c r="E1100" s="4" t="e">
        <f>_xlfn.XLOOKUP(B1100,[2]Sheet2!$E$2:$E$713,[2]Sheet2!$G$2:$G$713)</f>
        <v>#N/A</v>
      </c>
      <c r="F1100" s="18">
        <v>46115</v>
      </c>
      <c r="G1100" s="14">
        <v>0.25908564814814816</v>
      </c>
      <c r="H1100" s="7" t="s">
        <v>5</v>
      </c>
      <c r="I1100" s="2" t="str">
        <f t="shared" si="88"/>
        <v>Q1</v>
      </c>
      <c r="J1100" s="2" t="str">
        <f t="shared" si="89"/>
        <v>Not Match</v>
      </c>
      <c r="K1100" s="2">
        <f t="shared" si="90"/>
        <v>0.36055512754639896</v>
      </c>
      <c r="L1100" s="2" t="e">
        <f t="shared" si="91"/>
        <v>#N/A</v>
      </c>
      <c r="M1100" s="2" t="str">
        <f t="shared" si="92"/>
        <v>Below 0.8 not in assigned quadrant</v>
      </c>
      <c r="N1100" s="7">
        <v>17.899999999999999</v>
      </c>
      <c r="O1100" s="7">
        <v>-0.5</v>
      </c>
      <c r="P1100" s="7">
        <v>-2.1</v>
      </c>
      <c r="Q1100" s="7">
        <v>-0.32</v>
      </c>
      <c r="R1100" s="7">
        <v>0.2</v>
      </c>
      <c r="S1100" s="7">
        <v>0.3</v>
      </c>
      <c r="T1100" s="7">
        <v>-0.55000000000000004</v>
      </c>
      <c r="U1100" s="7">
        <v>0.15</v>
      </c>
      <c r="V1100" s="7">
        <v>0.65</v>
      </c>
      <c r="W1100" s="7" t="s">
        <v>8</v>
      </c>
      <c r="X1100" s="7" t="s">
        <v>9</v>
      </c>
      <c r="Y1100" s="2" t="s">
        <v>719</v>
      </c>
      <c r="Z1100" s="2" t="s">
        <v>721</v>
      </c>
    </row>
    <row r="1101" spans="1:26" x14ac:dyDescent="0.35">
      <c r="A1101" s="7" t="s">
        <v>1619</v>
      </c>
      <c r="B1101" s="7" t="s">
        <v>853</v>
      </c>
      <c r="C1101" s="4" t="str">
        <f>_xlfn.XLOOKUP(A1101,[2]Sheet2!$I$2:$I$1273,[2]Sheet2!$D$2:$D$1273,0)</f>
        <v>Q4</v>
      </c>
      <c r="D1101" s="4" t="str">
        <f>_xlfn.XLOOKUP(B1101,[4]Sheet2!$B$2:$B$3154,[4]Sheet2!$F$2:$F$3154,0)</f>
        <v>C/APP</v>
      </c>
      <c r="E1101" s="4" t="e">
        <f>_xlfn.XLOOKUP(B1101,[2]Sheet2!$E$2:$E$713,[2]Sheet2!$G$2:$G$713)</f>
        <v>#N/A</v>
      </c>
      <c r="F1101" s="18">
        <v>46115</v>
      </c>
      <c r="G1101" s="14">
        <v>0.2618402777777778</v>
      </c>
      <c r="H1101" s="7" t="s">
        <v>16</v>
      </c>
      <c r="I1101" s="2" t="str">
        <f t="shared" si="88"/>
        <v>Q1</v>
      </c>
      <c r="J1101" s="2" t="str">
        <f t="shared" si="89"/>
        <v>Not Match</v>
      </c>
      <c r="K1101" s="2">
        <f t="shared" si="90"/>
        <v>0.89442719099991597</v>
      </c>
      <c r="L1101" s="2" t="e">
        <f t="shared" si="91"/>
        <v>#N/A</v>
      </c>
      <c r="M1101" s="2" t="str">
        <f t="shared" si="92"/>
        <v>Assign quadrant hit</v>
      </c>
      <c r="N1101" s="7">
        <v>28.5</v>
      </c>
      <c r="O1101" s="7">
        <v>-1.2</v>
      </c>
      <c r="P1101" s="7">
        <v>-2.1</v>
      </c>
      <c r="Q1101" s="7">
        <v>-0.24</v>
      </c>
      <c r="R1101" s="7">
        <v>0.4</v>
      </c>
      <c r="S1101" s="7">
        <v>0.8</v>
      </c>
      <c r="T1101" s="7">
        <v>-1.1200000000000001</v>
      </c>
      <c r="U1101" s="7">
        <v>-0.08</v>
      </c>
      <c r="V1101" s="7">
        <v>1.1499999999999999</v>
      </c>
      <c r="W1101" s="7" t="s">
        <v>6</v>
      </c>
      <c r="X1101" s="7" t="s">
        <v>15</v>
      </c>
      <c r="Y1101" s="2" t="s">
        <v>719</v>
      </c>
      <c r="Z1101" s="2" t="s">
        <v>721</v>
      </c>
    </row>
    <row r="1102" spans="1:26" x14ac:dyDescent="0.35">
      <c r="A1102" s="7" t="s">
        <v>1559</v>
      </c>
      <c r="B1102" s="7" t="s">
        <v>1151</v>
      </c>
      <c r="C1102" s="4" t="str">
        <f>_xlfn.XLOOKUP(A1102,[2]Sheet2!$I$2:$I$1273,[2]Sheet2!$D$2:$D$1273,0)</f>
        <v>Q3</v>
      </c>
      <c r="D1102" s="4" t="str">
        <f>_xlfn.XLOOKUP(B1102,[4]Sheet2!$B$2:$B$3154,[4]Sheet2!$F$2:$F$3154,0)</f>
        <v>N/ App</v>
      </c>
      <c r="E1102" s="4" t="e">
        <f>_xlfn.XLOOKUP(B1102,[2]Sheet2!$E$2:$E$713,[2]Sheet2!$G$2:$G$713)</f>
        <v>#N/A</v>
      </c>
      <c r="F1102" s="18">
        <v>46115</v>
      </c>
      <c r="G1102" s="14">
        <v>0.27310185185185187</v>
      </c>
      <c r="H1102" s="7" t="s">
        <v>11</v>
      </c>
      <c r="I1102" s="2" t="str">
        <f t="shared" si="88"/>
        <v>Q4</v>
      </c>
      <c r="J1102" s="2" t="str">
        <f t="shared" si="89"/>
        <v>Not Match</v>
      </c>
      <c r="K1102" s="2">
        <f t="shared" si="90"/>
        <v>0.1</v>
      </c>
      <c r="L1102" s="2" t="e">
        <f t="shared" si="91"/>
        <v>#N/A</v>
      </c>
      <c r="M1102" s="2" t="str">
        <f t="shared" si="92"/>
        <v>Below 0.8 not in assigned quadrant</v>
      </c>
      <c r="N1102" s="7">
        <v>17.7</v>
      </c>
      <c r="O1102" s="7">
        <v>-0.6</v>
      </c>
      <c r="P1102" s="7">
        <v>-3</v>
      </c>
      <c r="Q1102" s="7">
        <v>-0.01</v>
      </c>
      <c r="R1102" s="7">
        <v>0</v>
      </c>
      <c r="S1102" s="7">
        <v>-0.1</v>
      </c>
      <c r="T1102" s="7">
        <v>0.21</v>
      </c>
      <c r="U1102" s="7">
        <v>0.08</v>
      </c>
      <c r="V1102" s="7">
        <v>0.22</v>
      </c>
      <c r="W1102" s="7" t="s">
        <v>8</v>
      </c>
      <c r="X1102" s="7" t="s">
        <v>9</v>
      </c>
      <c r="Y1102" s="2" t="s">
        <v>719</v>
      </c>
      <c r="Z1102" s="2" t="s">
        <v>721</v>
      </c>
    </row>
    <row r="1103" spans="1:26" x14ac:dyDescent="0.35">
      <c r="A1103" s="7" t="s">
        <v>1760</v>
      </c>
      <c r="B1103" s="7" t="s">
        <v>1152</v>
      </c>
      <c r="C1103" s="4">
        <f>_xlfn.XLOOKUP(A1103,[2]Sheet2!$I$2:$I$1273,[2]Sheet2!$D$2:$D$1273,0)</f>
        <v>0</v>
      </c>
      <c r="D1103" s="4" t="str">
        <f>_xlfn.XLOOKUP(B1103,[4]Sheet2!$B$2:$B$3154,[4]Sheet2!$F$2:$F$3154,0)</f>
        <v>C/APP</v>
      </c>
      <c r="E1103" s="4" t="e">
        <f>_xlfn.XLOOKUP(B1103,[2]Sheet2!$E$2:$E$713,[2]Sheet2!$G$2:$G$713)</f>
        <v>#N/A</v>
      </c>
      <c r="F1103" s="18">
        <v>46115</v>
      </c>
      <c r="G1103" s="14">
        <v>0.2782175925925926</v>
      </c>
      <c r="H1103" s="7" t="s">
        <v>11</v>
      </c>
      <c r="I1103" s="2" t="str">
        <f t="shared" si="88"/>
        <v>Q1</v>
      </c>
      <c r="J1103" s="2" t="str">
        <f t="shared" si="89"/>
        <v>Not Found</v>
      </c>
      <c r="K1103" s="2">
        <f t="shared" si="90"/>
        <v>0.4</v>
      </c>
      <c r="L1103" s="2" t="e">
        <f t="shared" si="91"/>
        <v>#N/A</v>
      </c>
      <c r="M1103" s="2" t="str">
        <f t="shared" si="92"/>
        <v>Assign quadrant hit</v>
      </c>
      <c r="N1103" s="7">
        <v>27.3</v>
      </c>
      <c r="O1103" s="7">
        <v>-7.5</v>
      </c>
      <c r="P1103" s="7">
        <v>-7</v>
      </c>
      <c r="Q1103" s="7">
        <v>-0.28999999999999998</v>
      </c>
      <c r="R1103" s="7">
        <v>0</v>
      </c>
      <c r="S1103" s="7">
        <v>0.4</v>
      </c>
      <c r="T1103" s="7">
        <v>-0.23</v>
      </c>
      <c r="U1103" s="7">
        <v>-0.44</v>
      </c>
      <c r="V1103" s="7">
        <v>0.56999999999999995</v>
      </c>
      <c r="W1103" s="7" t="s">
        <v>8</v>
      </c>
      <c r="X1103" s="7" t="s">
        <v>12</v>
      </c>
      <c r="Y1103" s="2" t="s">
        <v>719</v>
      </c>
      <c r="Z1103" s="2" t="s">
        <v>721</v>
      </c>
    </row>
    <row r="1104" spans="1:26" x14ac:dyDescent="0.35">
      <c r="A1104" s="7" t="s">
        <v>1559</v>
      </c>
      <c r="B1104" s="7" t="s">
        <v>1154</v>
      </c>
      <c r="C1104" s="4" t="str">
        <f>_xlfn.XLOOKUP(A1104,[2]Sheet2!$I$2:$I$1273,[2]Sheet2!$D$2:$D$1273,0)</f>
        <v>Q3</v>
      </c>
      <c r="D1104" s="4" t="str">
        <f>_xlfn.XLOOKUP(B1104,[4]Sheet2!$B$2:$B$3154,[4]Sheet2!$F$2:$F$3154,0)</f>
        <v>N/ App</v>
      </c>
      <c r="E1104" s="4" t="e">
        <f>_xlfn.XLOOKUP(B1104,[2]Sheet2!$E$2:$E$713,[2]Sheet2!$G$2:$G$713)</f>
        <v>#N/A</v>
      </c>
      <c r="F1104" s="18">
        <v>46115</v>
      </c>
      <c r="G1104" s="14">
        <v>0.38123842592592594</v>
      </c>
      <c r="H1104" s="7" t="s">
        <v>11</v>
      </c>
      <c r="I1104" s="2" t="str">
        <f t="shared" si="88"/>
        <v>Q4</v>
      </c>
      <c r="J1104" s="2" t="str">
        <f t="shared" si="89"/>
        <v>Not Match</v>
      </c>
      <c r="K1104" s="2">
        <f t="shared" si="90"/>
        <v>0.2</v>
      </c>
      <c r="L1104" s="2" t="e">
        <f t="shared" si="91"/>
        <v>#N/A</v>
      </c>
      <c r="M1104" s="2" t="str">
        <f t="shared" si="92"/>
        <v>Below 0.8 not in assigned quadrant</v>
      </c>
      <c r="N1104" s="7">
        <v>17.7</v>
      </c>
      <c r="O1104" s="7">
        <v>-0.6</v>
      </c>
      <c r="P1104" s="7">
        <v>-3.1</v>
      </c>
      <c r="Q1104" s="7">
        <v>-0.04</v>
      </c>
      <c r="R1104" s="7">
        <v>0</v>
      </c>
      <c r="S1104" s="7">
        <v>-0.2</v>
      </c>
      <c r="T1104" s="7">
        <v>0.34</v>
      </c>
      <c r="U1104" s="7">
        <v>0.12</v>
      </c>
      <c r="V1104" s="7">
        <v>0.37</v>
      </c>
      <c r="W1104" s="7" t="s">
        <v>8</v>
      </c>
      <c r="X1104" s="7" t="s">
        <v>9</v>
      </c>
      <c r="Y1104" s="2" t="s">
        <v>719</v>
      </c>
      <c r="Z1104" s="2" t="s">
        <v>721</v>
      </c>
    </row>
    <row r="1105" spans="1:26" x14ac:dyDescent="0.35">
      <c r="A1105" s="7" t="s">
        <v>1757</v>
      </c>
      <c r="B1105" s="7" t="s">
        <v>1155</v>
      </c>
      <c r="C1105" s="4" t="str">
        <f>_xlfn.XLOOKUP(A1105,[2]Sheet2!$I$2:$I$1273,[2]Sheet2!$D$2:$D$1273,0)</f>
        <v>Q2</v>
      </c>
      <c r="D1105" s="4" t="str">
        <f>_xlfn.XLOOKUP(B1105,[4]Sheet2!$B$2:$B$3154,[4]Sheet2!$F$2:$F$3154,0)</f>
        <v>C/APP</v>
      </c>
      <c r="E1105" s="4" t="e">
        <f>_xlfn.XLOOKUP(B1105,[2]Sheet2!$E$2:$E$713,[2]Sheet2!$G$2:$G$713)</f>
        <v>#N/A</v>
      </c>
      <c r="F1105" s="18">
        <v>46115</v>
      </c>
      <c r="G1105" s="14">
        <v>0.48864583333333333</v>
      </c>
      <c r="H1105" s="7" t="s">
        <v>4</v>
      </c>
      <c r="I1105" s="2" t="str">
        <f t="shared" si="88"/>
        <v>Q3</v>
      </c>
      <c r="J1105" s="2" t="str">
        <f t="shared" si="89"/>
        <v>Not Match</v>
      </c>
      <c r="K1105" s="2">
        <f t="shared" si="90"/>
        <v>0.36055512754639896</v>
      </c>
      <c r="L1105" s="2" t="e">
        <f t="shared" si="91"/>
        <v>#N/A</v>
      </c>
      <c r="M1105" s="2" t="str">
        <f t="shared" si="92"/>
        <v>Below 0.8 not in assigned quadrant</v>
      </c>
      <c r="N1105" s="7">
        <v>16.3</v>
      </c>
      <c r="O1105" s="7">
        <v>-0.6</v>
      </c>
      <c r="P1105" s="7">
        <v>-2.1</v>
      </c>
      <c r="Q1105" s="7">
        <v>0.27</v>
      </c>
      <c r="R1105" s="7">
        <v>-0.3</v>
      </c>
      <c r="S1105" s="7">
        <v>-0.2</v>
      </c>
      <c r="T1105" s="7">
        <v>0.45</v>
      </c>
      <c r="U1105" s="7">
        <v>-0.32</v>
      </c>
      <c r="V1105" s="7">
        <v>0.61</v>
      </c>
      <c r="W1105" s="7" t="s">
        <v>8</v>
      </c>
      <c r="X1105" s="7" t="s">
        <v>15</v>
      </c>
      <c r="Y1105" s="2" t="s">
        <v>719</v>
      </c>
      <c r="Z1105" s="2" t="s">
        <v>721</v>
      </c>
    </row>
    <row r="1106" spans="1:26" x14ac:dyDescent="0.35">
      <c r="A1106" s="7" t="s">
        <v>1558</v>
      </c>
      <c r="B1106" s="7" t="s">
        <v>1156</v>
      </c>
      <c r="C1106" s="4" t="str">
        <f>_xlfn.XLOOKUP(A1106,[2]Sheet2!$I$2:$I$1273,[2]Sheet2!$D$2:$D$1273,0)</f>
        <v>Q3</v>
      </c>
      <c r="D1106" s="4" t="str">
        <f>_xlfn.XLOOKUP(B1106,[4]Sheet2!$B$2:$B$3154,[4]Sheet2!$F$2:$F$3154,0)</f>
        <v>N/ App</v>
      </c>
      <c r="E1106" s="4" t="e">
        <f>_xlfn.XLOOKUP(B1106,[2]Sheet2!$E$2:$E$713,[2]Sheet2!$G$2:$G$713)</f>
        <v>#N/A</v>
      </c>
      <c r="F1106" s="18">
        <v>46115</v>
      </c>
      <c r="G1106" s="14">
        <v>0.54668981481481482</v>
      </c>
      <c r="H1106" s="7" t="s">
        <v>16</v>
      </c>
      <c r="I1106" s="2" t="str">
        <f t="shared" si="88"/>
        <v>Q3</v>
      </c>
      <c r="J1106" s="2" t="str">
        <f t="shared" si="89"/>
        <v>Match</v>
      </c>
      <c r="K1106" s="2">
        <f t="shared" si="90"/>
        <v>0</v>
      </c>
      <c r="L1106" s="2" t="e">
        <f t="shared" si="91"/>
        <v>#N/A</v>
      </c>
      <c r="M1106" s="2" t="str">
        <f t="shared" si="92"/>
        <v>Digital Approve Hit</v>
      </c>
      <c r="N1106" s="7">
        <v>15</v>
      </c>
      <c r="O1106" s="7">
        <v>-0.3</v>
      </c>
      <c r="P1106" s="7">
        <v>-1.9</v>
      </c>
      <c r="Q1106" s="7">
        <v>-0.46</v>
      </c>
      <c r="R1106" s="7">
        <v>0</v>
      </c>
      <c r="S1106" s="7">
        <v>0</v>
      </c>
      <c r="T1106" s="7">
        <v>0.1</v>
      </c>
      <c r="U1106" s="7">
        <v>-0.05</v>
      </c>
      <c r="V1106" s="7">
        <v>0.47</v>
      </c>
      <c r="W1106" s="7" t="s">
        <v>8</v>
      </c>
      <c r="X1106" s="7" t="s">
        <v>15</v>
      </c>
      <c r="Y1106" s="2" t="s">
        <v>719</v>
      </c>
      <c r="Z1106" s="2" t="s">
        <v>721</v>
      </c>
    </row>
    <row r="1107" spans="1:26" x14ac:dyDescent="0.35">
      <c r="A1107" s="7" t="s">
        <v>1761</v>
      </c>
      <c r="B1107" s="7" t="s">
        <v>1157</v>
      </c>
      <c r="C1107" s="4" t="str">
        <f>_xlfn.XLOOKUP(A1107,[2]Sheet2!$I$2:$I$1273,[2]Sheet2!$D$2:$D$1273,0)</f>
        <v>Q1</v>
      </c>
      <c r="D1107" s="4" t="str">
        <f>_xlfn.XLOOKUP(B1107,[4]Sheet2!$B$2:$B$3154,[4]Sheet2!$F$2:$F$3154,0)</f>
        <v>N/ App</v>
      </c>
      <c r="E1107" s="4" t="e">
        <f>_xlfn.XLOOKUP(B1107,[2]Sheet2!$E$2:$E$713,[2]Sheet2!$G$2:$G$713)</f>
        <v>#N/A</v>
      </c>
      <c r="F1107" s="18">
        <v>46115</v>
      </c>
      <c r="G1107" s="14">
        <v>0.71934027777777776</v>
      </c>
      <c r="H1107" s="7" t="s">
        <v>10</v>
      </c>
      <c r="I1107" s="2" t="str">
        <f t="shared" si="88"/>
        <v>Q4</v>
      </c>
      <c r="J1107" s="2" t="str">
        <f t="shared" si="89"/>
        <v>Not Match</v>
      </c>
      <c r="K1107" s="2">
        <f t="shared" si="90"/>
        <v>0.2</v>
      </c>
      <c r="L1107" s="2" t="e">
        <f t="shared" si="91"/>
        <v>#N/A</v>
      </c>
      <c r="M1107" s="2" t="str">
        <f t="shared" si="92"/>
        <v>Below 0.8 not in assigned quadrant</v>
      </c>
      <c r="N1107" s="7">
        <v>28.9</v>
      </c>
      <c r="O1107" s="7">
        <v>0.8</v>
      </c>
      <c r="P1107" s="7">
        <v>8</v>
      </c>
      <c r="Q1107" s="7">
        <v>0.61</v>
      </c>
      <c r="R1107" s="7">
        <v>0.2</v>
      </c>
      <c r="S1107" s="7">
        <v>0</v>
      </c>
      <c r="T1107" s="7">
        <v>0.03</v>
      </c>
      <c r="U1107" s="7">
        <v>-0.31</v>
      </c>
      <c r="V1107" s="7">
        <v>0.68</v>
      </c>
      <c r="W1107" s="7" t="s">
        <v>8</v>
      </c>
      <c r="X1107" s="7" t="s">
        <v>9</v>
      </c>
      <c r="Y1107" s="2" t="s">
        <v>719</v>
      </c>
      <c r="Z1107" s="2" t="s">
        <v>721</v>
      </c>
    </row>
    <row r="1108" spans="1:26" x14ac:dyDescent="0.35">
      <c r="A1108" s="7" t="s">
        <v>1688</v>
      </c>
      <c r="B1108" s="7" t="s">
        <v>1158</v>
      </c>
      <c r="C1108" s="4" t="str">
        <f>_xlfn.XLOOKUP(A1108,[2]Sheet2!$I$2:$I$1273,[2]Sheet2!$D$2:$D$1273,0)</f>
        <v>Q4</v>
      </c>
      <c r="D1108" s="4" t="str">
        <f>_xlfn.XLOOKUP(B1108,[4]Sheet2!$B$2:$B$3154,[4]Sheet2!$F$2:$F$3154,0)</f>
        <v>N/ App</v>
      </c>
      <c r="E1108" s="4" t="e">
        <f>_xlfn.XLOOKUP(B1108,[2]Sheet2!$E$2:$E$713,[2]Sheet2!$G$2:$G$713)</f>
        <v>#N/A</v>
      </c>
      <c r="F1108" s="18">
        <v>46115</v>
      </c>
      <c r="G1108" s="14">
        <v>0.72721064814814818</v>
      </c>
      <c r="H1108" s="7" t="s">
        <v>4</v>
      </c>
      <c r="I1108" s="2" t="str">
        <f t="shared" si="88"/>
        <v>Q3</v>
      </c>
      <c r="J1108" s="2" t="str">
        <f t="shared" si="89"/>
        <v>Not Match</v>
      </c>
      <c r="K1108" s="2">
        <f t="shared" si="90"/>
        <v>0.42426406871192851</v>
      </c>
      <c r="L1108" s="2" t="e">
        <f t="shared" si="91"/>
        <v>#N/A</v>
      </c>
      <c r="M1108" s="2" t="str">
        <f t="shared" si="92"/>
        <v>Below 0.8 not in assigned quadrant</v>
      </c>
      <c r="N1108" s="7">
        <v>13.8</v>
      </c>
      <c r="O1108" s="7">
        <v>-0.3</v>
      </c>
      <c r="P1108" s="7">
        <v>-1.4</v>
      </c>
      <c r="Q1108" s="7">
        <v>0.4</v>
      </c>
      <c r="R1108" s="7">
        <v>-0.3</v>
      </c>
      <c r="S1108" s="7">
        <v>-0.3</v>
      </c>
      <c r="T1108" s="7">
        <v>0.49</v>
      </c>
      <c r="U1108" s="7">
        <v>-0.38</v>
      </c>
      <c r="V1108" s="7">
        <v>0.74</v>
      </c>
      <c r="W1108" s="7" t="s">
        <v>8</v>
      </c>
      <c r="X1108" s="7" t="s">
        <v>15</v>
      </c>
      <c r="Y1108" s="2" t="s">
        <v>719</v>
      </c>
      <c r="Z1108" s="2" t="s">
        <v>721</v>
      </c>
    </row>
    <row r="1109" spans="1:26" x14ac:dyDescent="0.35">
      <c r="A1109" s="7" t="s">
        <v>1553</v>
      </c>
      <c r="B1109" s="7" t="s">
        <v>1159</v>
      </c>
      <c r="C1109" s="4" t="str">
        <f>_xlfn.XLOOKUP(A1109,[2]Sheet2!$I$2:$I$1273,[2]Sheet2!$D$2:$D$1273,0)</f>
        <v>Q4</v>
      </c>
      <c r="D1109" s="4" t="str">
        <f>_xlfn.XLOOKUP(B1109,[4]Sheet2!$B$2:$B$3154,[4]Sheet2!$F$2:$F$3154,0)</f>
        <v>N/ App</v>
      </c>
      <c r="E1109" s="4" t="e">
        <f>_xlfn.XLOOKUP(B1109,[2]Sheet2!$E$2:$E$713,[2]Sheet2!$G$2:$G$713)</f>
        <v>#N/A</v>
      </c>
      <c r="F1109" s="18">
        <v>46115</v>
      </c>
      <c r="G1109" s="14">
        <v>0.72993055555555553</v>
      </c>
      <c r="H1109" s="7" t="s">
        <v>5</v>
      </c>
      <c r="I1109" s="2" t="str">
        <f t="shared" si="88"/>
        <v>Q3</v>
      </c>
      <c r="J1109" s="2" t="str">
        <f t="shared" si="89"/>
        <v>Not Match</v>
      </c>
      <c r="K1109" s="2">
        <f t="shared" si="90"/>
        <v>0.42426406871192851</v>
      </c>
      <c r="L1109" s="2" t="e">
        <f t="shared" si="91"/>
        <v>#N/A</v>
      </c>
      <c r="M1109" s="2" t="str">
        <f t="shared" si="92"/>
        <v>Below 0.8 not in assigned quadrant</v>
      </c>
      <c r="N1109" s="7">
        <v>15.5</v>
      </c>
      <c r="O1109" s="7">
        <v>-0.5</v>
      </c>
      <c r="P1109" s="7">
        <v>-3.8</v>
      </c>
      <c r="Q1109" s="7">
        <v>0.03</v>
      </c>
      <c r="R1109" s="7">
        <v>-0.3</v>
      </c>
      <c r="S1109" s="7">
        <v>-0.3</v>
      </c>
      <c r="T1109" s="7">
        <v>0.43</v>
      </c>
      <c r="U1109" s="7">
        <v>-0.38</v>
      </c>
      <c r="V1109" s="7">
        <v>0.56999999999999995</v>
      </c>
      <c r="W1109" s="7" t="s">
        <v>8</v>
      </c>
      <c r="X1109" s="7" t="s">
        <v>15</v>
      </c>
      <c r="Y1109" s="2" t="s">
        <v>719</v>
      </c>
      <c r="Z1109" s="2" t="s">
        <v>721</v>
      </c>
    </row>
    <row r="1110" spans="1:26" x14ac:dyDescent="0.35">
      <c r="A1110" s="7" t="s">
        <v>1754</v>
      </c>
      <c r="B1110" s="7" t="s">
        <v>1160</v>
      </c>
      <c r="C1110" s="4" t="str">
        <f>_xlfn.XLOOKUP(A1110,[2]Sheet2!$I$2:$I$1273,[2]Sheet2!$D$2:$D$1273,0)</f>
        <v>Q4</v>
      </c>
      <c r="D1110" s="4" t="str">
        <f>_xlfn.XLOOKUP(B1110,[4]Sheet2!$B$2:$B$3154,[4]Sheet2!$F$2:$F$3154,0)</f>
        <v>N/ App</v>
      </c>
      <c r="E1110" s="4" t="e">
        <f>_xlfn.XLOOKUP(B1110,[2]Sheet2!$E$2:$E$713,[2]Sheet2!$G$2:$G$713)</f>
        <v>#N/A</v>
      </c>
      <c r="F1110" s="18">
        <v>46115</v>
      </c>
      <c r="G1110" s="14">
        <v>0.74084490740740738</v>
      </c>
      <c r="H1110" s="7" t="s">
        <v>11</v>
      </c>
      <c r="I1110" s="2" t="str">
        <f t="shared" si="88"/>
        <v>Q4</v>
      </c>
      <c r="J1110" s="2" t="str">
        <f t="shared" si="89"/>
        <v>Match</v>
      </c>
      <c r="K1110" s="2">
        <f t="shared" si="90"/>
        <v>0.41231056256176613</v>
      </c>
      <c r="L1110" s="2" t="e">
        <f t="shared" si="91"/>
        <v>#N/A</v>
      </c>
      <c r="M1110" s="2" t="str">
        <f t="shared" si="92"/>
        <v>Failed but within quadrant</v>
      </c>
      <c r="N1110" s="7">
        <v>27.2</v>
      </c>
      <c r="O1110" s="7">
        <v>10.3</v>
      </c>
      <c r="P1110" s="7">
        <v>-12.3</v>
      </c>
      <c r="Q1110" s="7">
        <v>1.77</v>
      </c>
      <c r="R1110" s="7">
        <v>0.4</v>
      </c>
      <c r="S1110" s="7">
        <v>-0.1</v>
      </c>
      <c r="T1110" s="7">
        <v>0.24</v>
      </c>
      <c r="U1110" s="7">
        <v>0.28999999999999998</v>
      </c>
      <c r="V1110" s="7">
        <v>1.81</v>
      </c>
      <c r="W1110" s="7" t="s">
        <v>6</v>
      </c>
      <c r="X1110" s="7" t="s">
        <v>9</v>
      </c>
      <c r="Y1110" s="2" t="s">
        <v>719</v>
      </c>
      <c r="Z1110" s="2" t="s">
        <v>721</v>
      </c>
    </row>
    <row r="1111" spans="1:26" x14ac:dyDescent="0.35">
      <c r="A1111" s="7" t="s">
        <v>1681</v>
      </c>
      <c r="B1111" s="7" t="s">
        <v>1161</v>
      </c>
      <c r="C1111" s="4" t="str">
        <f>_xlfn.XLOOKUP(A1111,[2]Sheet2!$I$2:$I$1273,[2]Sheet2!$D$2:$D$1273,0)</f>
        <v>Q4</v>
      </c>
      <c r="D1111" s="4" t="str">
        <f>_xlfn.XLOOKUP(B1111,[4]Sheet2!$B$2:$B$3154,[4]Sheet2!$F$2:$F$3154,0)</f>
        <v>C/APP</v>
      </c>
      <c r="E1111" s="4" t="e">
        <f>_xlfn.XLOOKUP(B1111,[2]Sheet2!$E$2:$E$713,[2]Sheet2!$G$2:$G$713)</f>
        <v>#N/A</v>
      </c>
      <c r="F1111" s="18">
        <v>46115</v>
      </c>
      <c r="G1111" s="14">
        <v>0.74244212962962963</v>
      </c>
      <c r="H1111" s="7" t="s">
        <v>4</v>
      </c>
      <c r="I1111" s="2" t="str">
        <f t="shared" si="88"/>
        <v>Q3</v>
      </c>
      <c r="J1111" s="2" t="str">
        <f t="shared" si="89"/>
        <v>Not Match</v>
      </c>
      <c r="K1111" s="2">
        <f t="shared" si="90"/>
        <v>0.28284271247461906</v>
      </c>
      <c r="L1111" s="2" t="e">
        <f t="shared" si="91"/>
        <v>#N/A</v>
      </c>
      <c r="M1111" s="2" t="str">
        <f t="shared" si="92"/>
        <v>Assign quadrant hit</v>
      </c>
      <c r="N1111" s="7">
        <v>21.2</v>
      </c>
      <c r="O1111" s="7">
        <v>-1</v>
      </c>
      <c r="P1111" s="7">
        <v>-7.4</v>
      </c>
      <c r="Q1111" s="7">
        <v>0.86</v>
      </c>
      <c r="R1111" s="7">
        <v>-0.2</v>
      </c>
      <c r="S1111" s="7">
        <v>-0.2</v>
      </c>
      <c r="T1111" s="7">
        <v>0.27</v>
      </c>
      <c r="U1111" s="7">
        <v>-0.28000000000000003</v>
      </c>
      <c r="V1111" s="7">
        <v>0.94</v>
      </c>
      <c r="W1111" s="7" t="s">
        <v>13</v>
      </c>
      <c r="X1111" s="7" t="s">
        <v>15</v>
      </c>
      <c r="Y1111" s="2" t="s">
        <v>719</v>
      </c>
      <c r="Z1111" s="2" t="s">
        <v>721</v>
      </c>
    </row>
    <row r="1112" spans="1:26" x14ac:dyDescent="0.35">
      <c r="A1112" s="7" t="s">
        <v>1738</v>
      </c>
      <c r="B1112" s="7" t="s">
        <v>1162</v>
      </c>
      <c r="C1112" s="4" t="str">
        <f>_xlfn.XLOOKUP(A1112,[2]Sheet2!$I$2:$I$1273,[2]Sheet2!$D$2:$D$1273,0)</f>
        <v>Q2</v>
      </c>
      <c r="D1112" s="4" t="str">
        <f>_xlfn.XLOOKUP(B1112,[4]Sheet2!$B$2:$B$3154,[4]Sheet2!$F$2:$F$3154,0)</f>
        <v>N/ App</v>
      </c>
      <c r="E1112" s="4" t="e">
        <f>_xlfn.XLOOKUP(B1112,[2]Sheet2!$E$2:$E$713,[2]Sheet2!$G$2:$G$713)</f>
        <v>#N/A</v>
      </c>
      <c r="F1112" s="18">
        <v>46115</v>
      </c>
      <c r="G1112" s="14">
        <v>0.74594907407407407</v>
      </c>
      <c r="H1112" s="7" t="s">
        <v>14</v>
      </c>
      <c r="I1112" s="2" t="str">
        <f t="shared" si="88"/>
        <v>Q3</v>
      </c>
      <c r="J1112" s="2" t="str">
        <f t="shared" si="89"/>
        <v>Not Match</v>
      </c>
      <c r="K1112" s="2">
        <f t="shared" si="90"/>
        <v>0.28284271247461906</v>
      </c>
      <c r="L1112" s="2" t="e">
        <f t="shared" si="91"/>
        <v>#N/A</v>
      </c>
      <c r="M1112" s="2" t="str">
        <f t="shared" si="92"/>
        <v>Below 0.8 not in assigned quadrant</v>
      </c>
      <c r="N1112" s="7">
        <v>14.7</v>
      </c>
      <c r="O1112" s="7">
        <v>-0.5</v>
      </c>
      <c r="P1112" s="7">
        <v>-2.5</v>
      </c>
      <c r="Q1112" s="7">
        <v>-0.02</v>
      </c>
      <c r="R1112" s="7">
        <v>-0.2</v>
      </c>
      <c r="S1112" s="7">
        <v>-0.2</v>
      </c>
      <c r="T1112" s="7">
        <v>0.31</v>
      </c>
      <c r="U1112" s="7">
        <v>-0.27</v>
      </c>
      <c r="V1112" s="7">
        <v>0.41</v>
      </c>
      <c r="W1112" s="7" t="s">
        <v>8</v>
      </c>
      <c r="X1112" s="7" t="s">
        <v>15</v>
      </c>
      <c r="Y1112" s="2" t="s">
        <v>719</v>
      </c>
      <c r="Z1112" s="2" t="s">
        <v>721</v>
      </c>
    </row>
    <row r="1113" spans="1:26" x14ac:dyDescent="0.35">
      <c r="A1113" s="7" t="s">
        <v>1572</v>
      </c>
      <c r="B1113" s="7" t="s">
        <v>1163</v>
      </c>
      <c r="C1113" s="4" t="str">
        <f>_xlfn.XLOOKUP(A1113,[2]Sheet2!$I$2:$I$1273,[2]Sheet2!$D$2:$D$1273,0)</f>
        <v>Q3</v>
      </c>
      <c r="D1113" s="4" t="str">
        <f>_xlfn.XLOOKUP(B1113,[4]Sheet2!$B$2:$B$3154,[4]Sheet2!$F$2:$F$3154,0)</f>
        <v>N/ App</v>
      </c>
      <c r="E1113" s="4" t="e">
        <f>_xlfn.XLOOKUP(B1113,[2]Sheet2!$E$2:$E$713,[2]Sheet2!$G$2:$G$713)</f>
        <v>#N/A</v>
      </c>
      <c r="F1113" s="18">
        <v>46115</v>
      </c>
      <c r="G1113" s="14">
        <v>0.74797453703703709</v>
      </c>
      <c r="H1113" s="7" t="s">
        <v>5</v>
      </c>
      <c r="I1113" s="2" t="str">
        <f t="shared" si="88"/>
        <v>Q4</v>
      </c>
      <c r="J1113" s="2" t="str">
        <f t="shared" si="89"/>
        <v>Not Match</v>
      </c>
      <c r="K1113" s="2">
        <f t="shared" si="90"/>
        <v>0.3</v>
      </c>
      <c r="L1113" s="2" t="e">
        <f t="shared" si="91"/>
        <v>#N/A</v>
      </c>
      <c r="M1113" s="2" t="str">
        <f t="shared" si="92"/>
        <v>Below 0.8 not in assigned quadrant</v>
      </c>
      <c r="N1113" s="7">
        <v>16.3</v>
      </c>
      <c r="O1113" s="7">
        <v>-0.6</v>
      </c>
      <c r="P1113" s="7">
        <v>-2.6</v>
      </c>
      <c r="Q1113" s="7">
        <v>-0.1</v>
      </c>
      <c r="R1113" s="7">
        <v>0</v>
      </c>
      <c r="S1113" s="7">
        <v>-0.3</v>
      </c>
      <c r="T1113" s="7">
        <v>0.4</v>
      </c>
      <c r="U1113" s="7">
        <v>0.18</v>
      </c>
      <c r="V1113" s="7">
        <v>0.45</v>
      </c>
      <c r="W1113" s="7" t="s">
        <v>8</v>
      </c>
      <c r="X1113" s="7" t="s">
        <v>9</v>
      </c>
      <c r="Y1113" s="2" t="s">
        <v>719</v>
      </c>
      <c r="Z1113" s="2" t="s">
        <v>721</v>
      </c>
    </row>
    <row r="1114" spans="1:26" x14ac:dyDescent="0.35">
      <c r="A1114" s="7" t="s">
        <v>1597</v>
      </c>
      <c r="B1114" s="7" t="s">
        <v>1165</v>
      </c>
      <c r="C1114" s="4">
        <f>_xlfn.XLOOKUP(A1114,[2]Sheet2!$I$2:$I$1273,[2]Sheet2!$D$2:$D$1273,0)</f>
        <v>0</v>
      </c>
      <c r="D1114" s="4" t="str">
        <f>_xlfn.XLOOKUP(B1114,[4]Sheet2!$B$2:$B$3154,[4]Sheet2!$F$2:$F$3154,0)</f>
        <v>N/ App</v>
      </c>
      <c r="E1114" s="4" t="e">
        <f>_xlfn.XLOOKUP(B1114,[2]Sheet2!$E$2:$E$713,[2]Sheet2!$G$2:$G$713)</f>
        <v>#N/A</v>
      </c>
      <c r="F1114" s="18">
        <v>46115</v>
      </c>
      <c r="G1114" s="14">
        <v>0.75134259259259262</v>
      </c>
      <c r="H1114" s="7" t="s">
        <v>5</v>
      </c>
      <c r="I1114" s="2" t="str">
        <f t="shared" si="88"/>
        <v>Q4</v>
      </c>
      <c r="J1114" s="2" t="str">
        <f t="shared" si="89"/>
        <v>Not Found</v>
      </c>
      <c r="K1114" s="2">
        <f t="shared" si="90"/>
        <v>0.2</v>
      </c>
      <c r="L1114" s="2" t="e">
        <f t="shared" si="91"/>
        <v>#N/A</v>
      </c>
      <c r="M1114" s="2" t="str">
        <f t="shared" si="92"/>
        <v>Assign quadrant hit</v>
      </c>
      <c r="N1114" s="7">
        <v>16.3</v>
      </c>
      <c r="O1114" s="7">
        <v>-0.5</v>
      </c>
      <c r="P1114" s="7">
        <v>-2.9</v>
      </c>
      <c r="Q1114" s="7">
        <v>0.6</v>
      </c>
      <c r="R1114" s="7">
        <v>0.2</v>
      </c>
      <c r="S1114" s="7">
        <v>0</v>
      </c>
      <c r="T1114" s="7">
        <v>-0.13</v>
      </c>
      <c r="U1114" s="7">
        <v>0.28000000000000003</v>
      </c>
      <c r="V1114" s="7">
        <v>0.67</v>
      </c>
      <c r="W1114" s="7" t="s">
        <v>8</v>
      </c>
      <c r="X1114" s="7" t="s">
        <v>9</v>
      </c>
      <c r="Y1114" s="2" t="s">
        <v>719</v>
      </c>
      <c r="Z1114" s="2" t="s">
        <v>721</v>
      </c>
    </row>
    <row r="1115" spans="1:26" x14ac:dyDescent="0.35">
      <c r="A1115" s="7" t="s">
        <v>1762</v>
      </c>
      <c r="B1115" s="7" t="s">
        <v>1166</v>
      </c>
      <c r="C1115" s="4" t="str">
        <f>_xlfn.XLOOKUP(A1115,[2]Sheet2!$I$2:$I$1273,[2]Sheet2!$D$2:$D$1273,0)</f>
        <v>Q3</v>
      </c>
      <c r="D1115" s="4" t="str">
        <f>_xlfn.XLOOKUP(B1115,[4]Sheet2!$B$2:$B$3154,[4]Sheet2!$F$2:$F$3154,0)</f>
        <v>N/ App</v>
      </c>
      <c r="E1115" s="4" t="e">
        <f>_xlfn.XLOOKUP(B1115,[2]Sheet2!$E$2:$E$713,[2]Sheet2!$G$2:$G$713)</f>
        <v>#N/A</v>
      </c>
      <c r="F1115" s="18">
        <v>46115</v>
      </c>
      <c r="G1115" s="14">
        <v>0.75479166666666664</v>
      </c>
      <c r="H1115" s="7" t="s">
        <v>14</v>
      </c>
      <c r="I1115" s="2" t="str">
        <f t="shared" si="88"/>
        <v>Q3</v>
      </c>
      <c r="J1115" s="2" t="str">
        <f t="shared" si="89"/>
        <v>Match</v>
      </c>
      <c r="K1115" s="2">
        <f t="shared" si="90"/>
        <v>0.22360679774997899</v>
      </c>
      <c r="L1115" s="2" t="e">
        <f t="shared" si="91"/>
        <v>#N/A</v>
      </c>
      <c r="M1115" s="2" t="str">
        <f t="shared" si="92"/>
        <v>Digital Approve Hit</v>
      </c>
      <c r="N1115" s="7">
        <v>16.100000000000001</v>
      </c>
      <c r="O1115" s="7">
        <v>-0.9</v>
      </c>
      <c r="P1115" s="7">
        <v>-3.4</v>
      </c>
      <c r="Q1115" s="7">
        <v>-0.1</v>
      </c>
      <c r="R1115" s="7">
        <v>-0.1</v>
      </c>
      <c r="S1115" s="7">
        <v>-0.2</v>
      </c>
      <c r="T1115" s="7">
        <v>0.3</v>
      </c>
      <c r="U1115" s="7">
        <v>-7.0000000000000007E-2</v>
      </c>
      <c r="V1115" s="7">
        <v>0.32</v>
      </c>
      <c r="W1115" s="7" t="s">
        <v>8</v>
      </c>
      <c r="X1115" s="7" t="s">
        <v>15</v>
      </c>
      <c r="Y1115" s="2" t="s">
        <v>719</v>
      </c>
      <c r="Z1115" s="2" t="s">
        <v>721</v>
      </c>
    </row>
    <row r="1116" spans="1:26" x14ac:dyDescent="0.35">
      <c r="A1116" s="7" t="s">
        <v>1557</v>
      </c>
      <c r="B1116" s="7" t="s">
        <v>1167</v>
      </c>
      <c r="C1116" s="4" t="str">
        <f>_xlfn.XLOOKUP(A1116,[2]Sheet2!$I$2:$I$1273,[2]Sheet2!$D$2:$D$1273,0)</f>
        <v>Q3</v>
      </c>
      <c r="D1116" s="4" t="str">
        <f>_xlfn.XLOOKUP(B1116,[4]Sheet2!$B$2:$B$3154,[4]Sheet2!$F$2:$F$3154,0)</f>
        <v>N/ App</v>
      </c>
      <c r="E1116" s="4" t="e">
        <f>_xlfn.XLOOKUP(B1116,[2]Sheet2!$E$2:$E$713,[2]Sheet2!$G$2:$G$713)</f>
        <v>#N/A</v>
      </c>
      <c r="F1116" s="18">
        <v>46115</v>
      </c>
      <c r="G1116" s="14">
        <v>0.75684027777777774</v>
      </c>
      <c r="H1116" s="7" t="s">
        <v>16</v>
      </c>
      <c r="I1116" s="2" t="str">
        <f t="shared" si="88"/>
        <v>Q3</v>
      </c>
      <c r="J1116" s="2" t="str">
        <f t="shared" si="89"/>
        <v>Match</v>
      </c>
      <c r="K1116" s="2">
        <f t="shared" si="90"/>
        <v>0.28284271247461906</v>
      </c>
      <c r="L1116" s="2" t="e">
        <f t="shared" si="91"/>
        <v>#N/A</v>
      </c>
      <c r="M1116" s="2" t="str">
        <f t="shared" si="92"/>
        <v>Digital Approve Hit</v>
      </c>
      <c r="N1116" s="7">
        <v>15</v>
      </c>
      <c r="O1116" s="7">
        <v>-0.3</v>
      </c>
      <c r="P1116" s="7">
        <v>-1.9</v>
      </c>
      <c r="Q1116" s="7">
        <v>-0.47</v>
      </c>
      <c r="R1116" s="7">
        <v>-0.2</v>
      </c>
      <c r="S1116" s="7">
        <v>-0.2</v>
      </c>
      <c r="T1116" s="7">
        <v>0.31</v>
      </c>
      <c r="U1116" s="7">
        <v>-0.24</v>
      </c>
      <c r="V1116" s="7">
        <v>0.61</v>
      </c>
      <c r="W1116" s="7" t="s">
        <v>8</v>
      </c>
      <c r="X1116" s="7" t="s">
        <v>15</v>
      </c>
      <c r="Y1116" s="2" t="s">
        <v>719</v>
      </c>
      <c r="Z1116" s="2" t="s">
        <v>721</v>
      </c>
    </row>
    <row r="1117" spans="1:26" x14ac:dyDescent="0.35">
      <c r="A1117" s="7" t="s">
        <v>1763</v>
      </c>
      <c r="B1117" s="7" t="s">
        <v>1153</v>
      </c>
      <c r="C1117" s="4" t="str">
        <f>_xlfn.XLOOKUP(A1117,[2]Sheet2!$I$2:$I$1273,[2]Sheet2!$D$2:$D$1273,0)</f>
        <v>Q1</v>
      </c>
      <c r="D1117" s="4" t="str">
        <f>_xlfn.XLOOKUP(B1117,[4]Sheet2!$B$2:$B$3154,[4]Sheet2!$F$2:$F$3154,0)</f>
        <v>C/APP</v>
      </c>
      <c r="E1117" s="4" t="e">
        <f>_xlfn.XLOOKUP(B1117,[2]Sheet2!$E$2:$E$713,[2]Sheet2!$G$2:$G$713)</f>
        <v>#N/A</v>
      </c>
      <c r="F1117" s="18">
        <v>46115</v>
      </c>
      <c r="G1117" s="14">
        <v>0.7709259259259259</v>
      </c>
      <c r="H1117" s="7" t="s">
        <v>11</v>
      </c>
      <c r="I1117" s="2" t="str">
        <f t="shared" si="88"/>
        <v>Q2</v>
      </c>
      <c r="J1117" s="2" t="str">
        <f t="shared" si="89"/>
        <v>Not Match</v>
      </c>
      <c r="K1117" s="2">
        <f t="shared" si="90"/>
        <v>0.80622577482985502</v>
      </c>
      <c r="L1117" s="2" t="e">
        <f t="shared" si="91"/>
        <v>#N/A</v>
      </c>
      <c r="M1117" s="2" t="str">
        <f t="shared" si="92"/>
        <v>Below 0.8 not in assigned quadrant</v>
      </c>
      <c r="N1117" s="7">
        <v>28.6</v>
      </c>
      <c r="O1117" s="7">
        <v>25.1</v>
      </c>
      <c r="P1117" s="7">
        <v>-1.6</v>
      </c>
      <c r="Q1117" s="7">
        <v>-0.27</v>
      </c>
      <c r="R1117" s="7">
        <v>-0.1</v>
      </c>
      <c r="S1117" s="7">
        <v>0.8</v>
      </c>
      <c r="T1117" s="7">
        <v>-0.1</v>
      </c>
      <c r="U1117" s="7">
        <v>0.63</v>
      </c>
      <c r="V1117" s="7">
        <v>0.69</v>
      </c>
      <c r="W1117" s="7" t="s">
        <v>8</v>
      </c>
      <c r="X1117" s="7" t="s">
        <v>9</v>
      </c>
      <c r="Y1117" s="2" t="s">
        <v>719</v>
      </c>
      <c r="Z1117" s="2" t="s">
        <v>721</v>
      </c>
    </row>
    <row r="1118" spans="1:26" x14ac:dyDescent="0.35">
      <c r="A1118" s="7" t="s">
        <v>1684</v>
      </c>
      <c r="B1118" s="7" t="s">
        <v>1168</v>
      </c>
      <c r="C1118" s="4">
        <f>_xlfn.XLOOKUP(A1118,[2]Sheet2!$I$2:$I$1273,[2]Sheet2!$D$2:$D$1273,0)</f>
        <v>0</v>
      </c>
      <c r="D1118" s="4" t="str">
        <f>_xlfn.XLOOKUP(B1118,[4]Sheet2!$B$2:$B$3154,[4]Sheet2!$F$2:$F$3154,0)</f>
        <v>N/ App</v>
      </c>
      <c r="E1118" s="4" t="e">
        <f>_xlfn.XLOOKUP(B1118,[2]Sheet2!$E$2:$E$713,[2]Sheet2!$G$2:$G$713)</f>
        <v>#N/A</v>
      </c>
      <c r="F1118" s="18">
        <v>46115</v>
      </c>
      <c r="G1118" s="14">
        <v>0.77270833333333333</v>
      </c>
      <c r="H1118" s="7" t="s">
        <v>4</v>
      </c>
      <c r="I1118" s="2" t="str">
        <f t="shared" si="88"/>
        <v>Q4</v>
      </c>
      <c r="J1118" s="2" t="str">
        <f t="shared" si="89"/>
        <v>Not Found</v>
      </c>
      <c r="K1118" s="2">
        <f t="shared" si="90"/>
        <v>0.3</v>
      </c>
      <c r="L1118" s="2" t="e">
        <f t="shared" si="91"/>
        <v>#N/A</v>
      </c>
      <c r="M1118" s="2" t="str">
        <f t="shared" si="92"/>
        <v>Assign quadrant hit</v>
      </c>
      <c r="N1118" s="7">
        <v>16.100000000000001</v>
      </c>
      <c r="O1118" s="7">
        <v>-0.6</v>
      </c>
      <c r="P1118" s="7">
        <v>-0.2</v>
      </c>
      <c r="Q1118" s="7">
        <v>-0.5</v>
      </c>
      <c r="R1118" s="7">
        <v>0.3</v>
      </c>
      <c r="S1118" s="7">
        <v>0</v>
      </c>
      <c r="T1118" s="7">
        <v>-0.51</v>
      </c>
      <c r="U1118" s="7">
        <v>0.08</v>
      </c>
      <c r="V1118" s="7">
        <v>0.72</v>
      </c>
      <c r="W1118" s="7" t="s">
        <v>8</v>
      </c>
      <c r="X1118" s="7" t="s">
        <v>7</v>
      </c>
      <c r="Y1118" s="2" t="s">
        <v>719</v>
      </c>
      <c r="Z1118" s="2" t="s">
        <v>721</v>
      </c>
    </row>
    <row r="1119" spans="1:26" x14ac:dyDescent="0.35">
      <c r="A1119" s="7" t="s">
        <v>1592</v>
      </c>
      <c r="B1119" s="7" t="s">
        <v>1169</v>
      </c>
      <c r="C1119" s="4" t="str">
        <f>_xlfn.XLOOKUP(A1119,[2]Sheet2!$I$2:$I$1273,[2]Sheet2!$D$2:$D$1273,0)</f>
        <v>Q4</v>
      </c>
      <c r="D1119" s="4" t="str">
        <f>_xlfn.XLOOKUP(B1119,[4]Sheet2!$B$2:$B$3154,[4]Sheet2!$F$2:$F$3154,0)</f>
        <v>C/APP</v>
      </c>
      <c r="E1119" s="4" t="e">
        <f>_xlfn.XLOOKUP(B1119,[2]Sheet2!$E$2:$E$713,[2]Sheet2!$G$2:$G$713)</f>
        <v>#N/A</v>
      </c>
      <c r="F1119" s="18">
        <v>46115</v>
      </c>
      <c r="G1119" s="14">
        <v>0.7744212962962963</v>
      </c>
      <c r="H1119" s="7" t="s">
        <v>5</v>
      </c>
      <c r="I1119" s="2" t="str">
        <f t="shared" si="88"/>
        <v>Q1</v>
      </c>
      <c r="J1119" s="2" t="str">
        <f t="shared" si="89"/>
        <v>Not Match</v>
      </c>
      <c r="K1119" s="2">
        <f t="shared" si="90"/>
        <v>0.22360679774997899</v>
      </c>
      <c r="L1119" s="2" t="e">
        <f t="shared" si="91"/>
        <v>#N/A</v>
      </c>
      <c r="M1119" s="2" t="str">
        <f t="shared" si="92"/>
        <v>Below 0.8 not in assigned quadrant</v>
      </c>
      <c r="N1119" s="7">
        <v>49.1</v>
      </c>
      <c r="O1119" s="7">
        <v>-16.2</v>
      </c>
      <c r="P1119" s="7">
        <v>-40.4</v>
      </c>
      <c r="Q1119" s="7">
        <v>0.28000000000000003</v>
      </c>
      <c r="R1119" s="7">
        <v>0.1</v>
      </c>
      <c r="S1119" s="7">
        <v>0.2</v>
      </c>
      <c r="T1119" s="7">
        <v>-0.1</v>
      </c>
      <c r="U1119" s="7">
        <v>0.01</v>
      </c>
      <c r="V1119" s="7">
        <v>0.3</v>
      </c>
      <c r="W1119" s="7" t="s">
        <v>8</v>
      </c>
      <c r="X1119" s="7" t="s">
        <v>9</v>
      </c>
      <c r="Y1119" s="2" t="s">
        <v>719</v>
      </c>
      <c r="Z1119" s="2" t="s">
        <v>721</v>
      </c>
    </row>
    <row r="1120" spans="1:26" x14ac:dyDescent="0.35">
      <c r="A1120" s="7" t="s">
        <v>1520</v>
      </c>
      <c r="B1120" s="7" t="s">
        <v>1170</v>
      </c>
      <c r="C1120" s="4" t="str">
        <f>_xlfn.XLOOKUP(A1120,[2]Sheet2!$I$2:$I$1273,[2]Sheet2!$D$2:$D$1273,0)</f>
        <v>Q1</v>
      </c>
      <c r="D1120" s="4" t="str">
        <f>_xlfn.XLOOKUP(B1120,[4]Sheet2!$B$2:$B$3154,[4]Sheet2!$F$2:$F$3154,0)</f>
        <v>N/ App</v>
      </c>
      <c r="E1120" s="4" t="e">
        <f>_xlfn.XLOOKUP(B1120,[2]Sheet2!$E$2:$E$713,[2]Sheet2!$G$2:$G$713)</f>
        <v>#N/A</v>
      </c>
      <c r="F1120" s="18">
        <v>46115</v>
      </c>
      <c r="G1120" s="14">
        <v>0.8744791666666667</v>
      </c>
      <c r="H1120" s="7" t="s">
        <v>11</v>
      </c>
      <c r="I1120" s="2" t="str">
        <f t="shared" si="88"/>
        <v>Q1</v>
      </c>
      <c r="J1120" s="2" t="str">
        <f t="shared" si="89"/>
        <v>Match</v>
      </c>
      <c r="K1120" s="2">
        <f t="shared" si="90"/>
        <v>0.41231056256176613</v>
      </c>
      <c r="L1120" s="2" t="e">
        <f t="shared" si="91"/>
        <v>#N/A</v>
      </c>
      <c r="M1120" s="2" t="str">
        <f t="shared" si="92"/>
        <v>Digital Approve Hit</v>
      </c>
      <c r="N1120" s="7">
        <v>26.3</v>
      </c>
      <c r="O1120" s="7">
        <v>7</v>
      </c>
      <c r="P1120" s="7">
        <v>8.1</v>
      </c>
      <c r="Q1120" s="7">
        <v>0.11</v>
      </c>
      <c r="R1120" s="7">
        <v>0.4</v>
      </c>
      <c r="S1120" s="7">
        <v>0.1</v>
      </c>
      <c r="T1120" s="7">
        <v>0.33</v>
      </c>
      <c r="U1120" s="7">
        <v>-0.41</v>
      </c>
      <c r="V1120" s="7">
        <v>0.54</v>
      </c>
      <c r="W1120" s="7" t="s">
        <v>8</v>
      </c>
      <c r="X1120" s="7" t="s">
        <v>9</v>
      </c>
      <c r="Y1120" s="2" t="s">
        <v>719</v>
      </c>
      <c r="Z1120" s="2" t="s">
        <v>721</v>
      </c>
    </row>
    <row r="1121" spans="1:26" x14ac:dyDescent="0.35">
      <c r="A1121" s="7" t="s">
        <v>1764</v>
      </c>
      <c r="B1121" s="7" t="s">
        <v>1171</v>
      </c>
      <c r="C1121" s="4" t="str">
        <f>_xlfn.XLOOKUP(A1121,[2]Sheet2!$I$2:$I$1273,[2]Sheet2!$D$2:$D$1273,0)</f>
        <v>Q1</v>
      </c>
      <c r="D1121" s="4" t="str">
        <f>_xlfn.XLOOKUP(B1121,[4]Sheet2!$B$2:$B$3154,[4]Sheet2!$F$2:$F$3154,0)</f>
        <v>C/APP</v>
      </c>
      <c r="E1121" s="4" t="e">
        <f>_xlfn.XLOOKUP(B1121,[2]Sheet2!$E$2:$E$713,[2]Sheet2!$G$2:$G$713)</f>
        <v>#N/A</v>
      </c>
      <c r="F1121" s="18">
        <v>46115</v>
      </c>
      <c r="G1121" s="14">
        <v>0.87709490740740736</v>
      </c>
      <c r="H1121" s="7" t="s">
        <v>5</v>
      </c>
      <c r="I1121" s="2" t="str">
        <f t="shared" si="88"/>
        <v>Q4</v>
      </c>
      <c r="J1121" s="2" t="str">
        <f t="shared" si="89"/>
        <v>Not Match</v>
      </c>
      <c r="K1121" s="2">
        <f t="shared" si="90"/>
        <v>0.5</v>
      </c>
      <c r="L1121" s="2" t="e">
        <f t="shared" si="91"/>
        <v>#N/A</v>
      </c>
      <c r="M1121" s="2" t="str">
        <f t="shared" si="92"/>
        <v>Below 0.8 not in assigned quadrant</v>
      </c>
      <c r="N1121" s="7">
        <v>33.6</v>
      </c>
      <c r="O1121" s="7">
        <v>31.9</v>
      </c>
      <c r="P1121" s="7">
        <v>20.7</v>
      </c>
      <c r="Q1121" s="7">
        <v>-0.27</v>
      </c>
      <c r="R1121" s="7">
        <v>0.5</v>
      </c>
      <c r="S1121" s="7">
        <v>0</v>
      </c>
      <c r="T1121" s="7">
        <v>0.21</v>
      </c>
      <c r="U1121" s="7">
        <v>-0.24</v>
      </c>
      <c r="V1121" s="7">
        <v>0.41</v>
      </c>
      <c r="W1121" s="7" t="s">
        <v>8</v>
      </c>
      <c r="X1121" s="7" t="s">
        <v>7</v>
      </c>
      <c r="Y1121" s="2" t="s">
        <v>719</v>
      </c>
      <c r="Z1121" s="2" t="s">
        <v>721</v>
      </c>
    </row>
    <row r="1122" spans="1:26" x14ac:dyDescent="0.35">
      <c r="A1122" s="7" t="s">
        <v>1573</v>
      </c>
      <c r="B1122" s="7" t="s">
        <v>1172</v>
      </c>
      <c r="C1122" s="4" t="str">
        <f>_xlfn.XLOOKUP(A1122,[2]Sheet2!$I$2:$I$1273,[2]Sheet2!$D$2:$D$1273,0)</f>
        <v>Q1</v>
      </c>
      <c r="D1122" s="4" t="str">
        <f>_xlfn.XLOOKUP(B1122,[4]Sheet2!$B$2:$B$3154,[4]Sheet2!$F$2:$F$3154,0)</f>
        <v>N/ App</v>
      </c>
      <c r="E1122" s="4" t="e">
        <f>_xlfn.XLOOKUP(B1122,[2]Sheet2!$E$2:$E$713,[2]Sheet2!$G$2:$G$713)</f>
        <v>#N/A</v>
      </c>
      <c r="F1122" s="18">
        <v>46115</v>
      </c>
      <c r="G1122" s="14">
        <v>0.87898148148148147</v>
      </c>
      <c r="H1122" s="7" t="s">
        <v>5</v>
      </c>
      <c r="I1122" s="2" t="str">
        <f t="shared" si="88"/>
        <v>Q1</v>
      </c>
      <c r="J1122" s="2" t="str">
        <f t="shared" si="89"/>
        <v>Match</v>
      </c>
      <c r="K1122" s="2">
        <f t="shared" si="90"/>
        <v>0.2</v>
      </c>
      <c r="L1122" s="2" t="e">
        <f t="shared" si="91"/>
        <v>#N/A</v>
      </c>
      <c r="M1122" s="2" t="str">
        <f t="shared" si="92"/>
        <v>Digital Approve Hit</v>
      </c>
      <c r="N1122" s="7">
        <v>18.399999999999999</v>
      </c>
      <c r="O1122" s="7">
        <v>-0.2</v>
      </c>
      <c r="P1122" s="7">
        <v>-1.6</v>
      </c>
      <c r="Q1122" s="7">
        <v>-0.31</v>
      </c>
      <c r="R1122" s="7">
        <v>0</v>
      </c>
      <c r="S1122" s="7">
        <v>0.2</v>
      </c>
      <c r="T1122" s="7">
        <v>-0.37</v>
      </c>
      <c r="U1122" s="7">
        <v>0</v>
      </c>
      <c r="V1122" s="7">
        <v>0.48</v>
      </c>
      <c r="W1122" s="7" t="s">
        <v>8</v>
      </c>
      <c r="X1122" s="7" t="s">
        <v>15</v>
      </c>
      <c r="Y1122" s="2" t="s">
        <v>719</v>
      </c>
      <c r="Z1122" s="2" t="s">
        <v>721</v>
      </c>
    </row>
    <row r="1123" spans="1:26" x14ac:dyDescent="0.35">
      <c r="A1123" s="7" t="s">
        <v>1509</v>
      </c>
      <c r="B1123" s="7" t="s">
        <v>1173</v>
      </c>
      <c r="C1123" s="4" t="str">
        <f>_xlfn.XLOOKUP(A1123,[2]Sheet2!$I$2:$I$1273,[2]Sheet2!$D$2:$D$1273,0)</f>
        <v>Q2</v>
      </c>
      <c r="D1123" s="4" t="str">
        <f>_xlfn.XLOOKUP(B1123,[4]Sheet2!$B$2:$B$3154,[4]Sheet2!$F$2:$F$3154,0)</f>
        <v>N/ App</v>
      </c>
      <c r="E1123" s="4" t="e">
        <f>_xlfn.XLOOKUP(B1123,[2]Sheet2!$E$2:$E$713,[2]Sheet2!$G$2:$G$713)</f>
        <v>#N/A</v>
      </c>
      <c r="F1123" s="18">
        <v>46115</v>
      </c>
      <c r="G1123" s="14">
        <v>0.98315972222222225</v>
      </c>
      <c r="H1123" s="7" t="s">
        <v>4</v>
      </c>
      <c r="I1123" s="2" t="str">
        <f t="shared" si="88"/>
        <v>Q4</v>
      </c>
      <c r="J1123" s="2" t="str">
        <f t="shared" si="89"/>
        <v>Not Match</v>
      </c>
      <c r="K1123" s="2">
        <f t="shared" si="90"/>
        <v>0.2</v>
      </c>
      <c r="L1123" s="2" t="e">
        <f t="shared" si="91"/>
        <v>#N/A</v>
      </c>
      <c r="M1123" s="2" t="str">
        <f t="shared" si="92"/>
        <v>Below 0.8 not in assigned quadrant</v>
      </c>
      <c r="N1123" s="7">
        <v>16.399999999999999</v>
      </c>
      <c r="O1123" s="7">
        <v>-0.9</v>
      </c>
      <c r="P1123" s="7">
        <v>-1.9</v>
      </c>
      <c r="Q1123" s="7">
        <v>-0.64</v>
      </c>
      <c r="R1123" s="7">
        <v>0.2</v>
      </c>
      <c r="S1123" s="7">
        <v>0</v>
      </c>
      <c r="T1123" s="7">
        <v>-0.25</v>
      </c>
      <c r="U1123" s="7">
        <v>0.23</v>
      </c>
      <c r="V1123" s="7">
        <v>0.72</v>
      </c>
      <c r="W1123" s="7" t="s">
        <v>8</v>
      </c>
      <c r="X1123" s="7" t="s">
        <v>9</v>
      </c>
      <c r="Y1123" s="2" t="s">
        <v>719</v>
      </c>
      <c r="Z1123" s="2" t="s">
        <v>721</v>
      </c>
    </row>
    <row r="1124" spans="1:26" x14ac:dyDescent="0.35">
      <c r="A1124" s="7" t="s">
        <v>1557</v>
      </c>
      <c r="B1124" s="7" t="s">
        <v>1174</v>
      </c>
      <c r="C1124" s="4" t="str">
        <f>_xlfn.XLOOKUP(A1124,[2]Sheet2!$I$2:$I$1273,[2]Sheet2!$D$2:$D$1273,0)</f>
        <v>Q3</v>
      </c>
      <c r="D1124" s="4" t="str">
        <f>_xlfn.XLOOKUP(B1124,[4]Sheet2!$B$2:$B$3154,[4]Sheet2!$F$2:$F$3154,0)</f>
        <v>N/ App</v>
      </c>
      <c r="E1124" s="4" t="e">
        <f>_xlfn.XLOOKUP(B1124,[2]Sheet2!$E$2:$E$713,[2]Sheet2!$G$2:$G$713)</f>
        <v>#N/A</v>
      </c>
      <c r="F1124" s="18">
        <v>46115</v>
      </c>
      <c r="G1124" s="14">
        <v>0.98729166666666668</v>
      </c>
      <c r="H1124" s="7" t="s">
        <v>16</v>
      </c>
      <c r="I1124" s="2" t="str">
        <f t="shared" si="88"/>
        <v>Q3</v>
      </c>
      <c r="J1124" s="2" t="str">
        <f t="shared" si="89"/>
        <v>Match</v>
      </c>
      <c r="K1124" s="2">
        <f t="shared" si="90"/>
        <v>0.36055512754639896</v>
      </c>
      <c r="L1124" s="2" t="e">
        <f t="shared" si="91"/>
        <v>#N/A</v>
      </c>
      <c r="M1124" s="2" t="str">
        <f t="shared" si="92"/>
        <v>Digital Approve Hit</v>
      </c>
      <c r="N1124" s="7">
        <v>15</v>
      </c>
      <c r="O1124" s="7">
        <v>-0.4</v>
      </c>
      <c r="P1124" s="7">
        <v>-2.1</v>
      </c>
      <c r="Q1124" s="7">
        <v>-0.48</v>
      </c>
      <c r="R1124" s="7">
        <v>-0.2</v>
      </c>
      <c r="S1124" s="7">
        <v>-0.3</v>
      </c>
      <c r="T1124" s="7">
        <v>0.53</v>
      </c>
      <c r="U1124" s="7">
        <v>-0.25</v>
      </c>
      <c r="V1124" s="7">
        <v>0.76</v>
      </c>
      <c r="W1124" s="7" t="s">
        <v>13</v>
      </c>
      <c r="X1124" s="7" t="s">
        <v>15</v>
      </c>
      <c r="Y1124" s="2" t="s">
        <v>719</v>
      </c>
      <c r="Z1124" s="2" t="s">
        <v>721</v>
      </c>
    </row>
    <row r="1125" spans="1:26" x14ac:dyDescent="0.35">
      <c r="A1125" s="7" t="s">
        <v>1536</v>
      </c>
      <c r="B1125" s="7" t="s">
        <v>1175</v>
      </c>
      <c r="C1125" s="4" t="str">
        <f>_xlfn.XLOOKUP(A1125,[2]Sheet2!$I$2:$I$1273,[2]Sheet2!$D$2:$D$1273,0)</f>
        <v>Q2</v>
      </c>
      <c r="D1125" s="4" t="str">
        <f>_xlfn.XLOOKUP(B1125,[4]Sheet2!$B$2:$B$3154,[4]Sheet2!$F$2:$F$3154,0)</f>
        <v>N/ App</v>
      </c>
      <c r="E1125" s="4" t="e">
        <f>_xlfn.XLOOKUP(B1125,[2]Sheet2!$E$2:$E$713,[2]Sheet2!$G$2:$G$713)</f>
        <v>#N/A</v>
      </c>
      <c r="F1125" s="18">
        <v>46116</v>
      </c>
      <c r="G1125" s="14">
        <v>0.10141203703703704</v>
      </c>
      <c r="H1125" s="7" t="s">
        <v>5</v>
      </c>
      <c r="I1125" s="2" t="str">
        <f t="shared" si="88"/>
        <v>Q4</v>
      </c>
      <c r="J1125" s="2" t="str">
        <f t="shared" si="89"/>
        <v>Not Match</v>
      </c>
      <c r="K1125" s="2">
        <f t="shared" si="90"/>
        <v>0.22360679774997899</v>
      </c>
      <c r="L1125" s="2" t="e">
        <f t="shared" si="91"/>
        <v>#N/A</v>
      </c>
      <c r="M1125" s="2" t="str">
        <f t="shared" si="92"/>
        <v>Below 0.8 not in assigned quadrant</v>
      </c>
      <c r="N1125" s="7">
        <v>15.5</v>
      </c>
      <c r="O1125" s="7">
        <v>-0.5</v>
      </c>
      <c r="P1125" s="7">
        <v>-2.8</v>
      </c>
      <c r="Q1125" s="7">
        <v>0.32</v>
      </c>
      <c r="R1125" s="7">
        <v>0.1</v>
      </c>
      <c r="S1125" s="7">
        <v>-0.2</v>
      </c>
      <c r="T1125" s="7">
        <v>0.26</v>
      </c>
      <c r="U1125" s="7">
        <v>0.2</v>
      </c>
      <c r="V1125" s="7">
        <v>0.46</v>
      </c>
      <c r="W1125" s="7" t="s">
        <v>8</v>
      </c>
      <c r="X1125" s="7" t="s">
        <v>9</v>
      </c>
      <c r="Y1125" s="2" t="s">
        <v>719</v>
      </c>
      <c r="Z1125" s="2" t="s">
        <v>721</v>
      </c>
    </row>
    <row r="1126" spans="1:26" x14ac:dyDescent="0.35">
      <c r="A1126" s="7" t="s">
        <v>1765</v>
      </c>
      <c r="B1126" s="7" t="s">
        <v>1176</v>
      </c>
      <c r="C1126" s="4" t="str">
        <f>_xlfn.XLOOKUP(A1126,[2]Sheet2!$I$2:$I$1273,[2]Sheet2!$D$2:$D$1273,0)</f>
        <v>Q4</v>
      </c>
      <c r="D1126" s="4" t="str">
        <f>_xlfn.XLOOKUP(B1126,[4]Sheet2!$B$2:$B$3154,[4]Sheet2!$F$2:$F$3154,0)</f>
        <v>N/ App</v>
      </c>
      <c r="E1126" s="4" t="e">
        <f>_xlfn.XLOOKUP(B1126,[2]Sheet2!$E$2:$E$713,[2]Sheet2!$G$2:$G$713)</f>
        <v>#N/A</v>
      </c>
      <c r="F1126" s="18">
        <v>46116</v>
      </c>
      <c r="G1126" s="14">
        <v>0.10574074074074075</v>
      </c>
      <c r="H1126" s="7" t="s">
        <v>4</v>
      </c>
      <c r="I1126" s="2" t="str">
        <f t="shared" si="88"/>
        <v>Q2</v>
      </c>
      <c r="J1126" s="2" t="str">
        <f t="shared" si="89"/>
        <v>Not Match</v>
      </c>
      <c r="K1126" s="2">
        <f t="shared" si="90"/>
        <v>1.1704699910719625</v>
      </c>
      <c r="L1126" s="2" t="e">
        <f t="shared" si="91"/>
        <v>#N/A</v>
      </c>
      <c r="M1126" s="2" t="str">
        <f t="shared" si="92"/>
        <v>Assign quadrant hit</v>
      </c>
      <c r="N1126" s="7">
        <v>42.4</v>
      </c>
      <c r="O1126" s="7">
        <v>9.9</v>
      </c>
      <c r="P1126" s="7">
        <v>14.2</v>
      </c>
      <c r="Q1126" s="7">
        <v>0.53</v>
      </c>
      <c r="R1126" s="7">
        <v>-0.4</v>
      </c>
      <c r="S1126" s="7">
        <v>1.1000000000000001</v>
      </c>
      <c r="T1126" s="7">
        <v>0.44</v>
      </c>
      <c r="U1126" s="7">
        <v>1.85</v>
      </c>
      <c r="V1126" s="7">
        <v>1.97</v>
      </c>
      <c r="W1126" s="7" t="s">
        <v>6</v>
      </c>
      <c r="X1126" s="7" t="s">
        <v>12</v>
      </c>
      <c r="Y1126" s="2" t="s">
        <v>719</v>
      </c>
      <c r="Z1126" s="2" t="s">
        <v>721</v>
      </c>
    </row>
    <row r="1127" spans="1:26" x14ac:dyDescent="0.35">
      <c r="A1127" s="7" t="s">
        <v>1684</v>
      </c>
      <c r="B1127" s="7" t="s">
        <v>1177</v>
      </c>
      <c r="C1127" s="4">
        <f>_xlfn.XLOOKUP(A1127,[2]Sheet2!$I$2:$I$1273,[2]Sheet2!$D$2:$D$1273,0)</f>
        <v>0</v>
      </c>
      <c r="D1127" s="4" t="str">
        <f>_xlfn.XLOOKUP(B1127,[4]Sheet2!$B$2:$B$3154,[4]Sheet2!$F$2:$F$3154,0)</f>
        <v>N/ App</v>
      </c>
      <c r="E1127" s="4" t="e">
        <f>_xlfn.XLOOKUP(B1127,[2]Sheet2!$E$2:$E$713,[2]Sheet2!$G$2:$G$713)</f>
        <v>#N/A</v>
      </c>
      <c r="F1127" s="18">
        <v>46116</v>
      </c>
      <c r="G1127" s="14">
        <v>0.21805555555555556</v>
      </c>
      <c r="H1127" s="7" t="s">
        <v>4</v>
      </c>
      <c r="I1127" s="2" t="str">
        <f t="shared" si="88"/>
        <v>Q1</v>
      </c>
      <c r="J1127" s="2" t="str">
        <f t="shared" si="89"/>
        <v>Not Found</v>
      </c>
      <c r="K1127" s="2">
        <f t="shared" si="90"/>
        <v>0.28284271247461906</v>
      </c>
      <c r="L1127" s="2" t="e">
        <f t="shared" si="91"/>
        <v>#N/A</v>
      </c>
      <c r="M1127" s="2" t="str">
        <f t="shared" si="92"/>
        <v>Assign quadrant hit</v>
      </c>
      <c r="N1127" s="7">
        <v>15.5</v>
      </c>
      <c r="O1127" s="7">
        <v>-0.8</v>
      </c>
      <c r="P1127" s="7">
        <v>-0.1</v>
      </c>
      <c r="Q1127" s="7">
        <v>-0.98</v>
      </c>
      <c r="R1127" s="7">
        <v>0.2</v>
      </c>
      <c r="S1127" s="7">
        <v>0.2</v>
      </c>
      <c r="T1127" s="7">
        <v>-0.36</v>
      </c>
      <c r="U1127" s="7">
        <v>-0.23</v>
      </c>
      <c r="V1127" s="7">
        <v>1.07</v>
      </c>
      <c r="W1127" s="7" t="s">
        <v>6</v>
      </c>
      <c r="X1127" s="7" t="s">
        <v>12</v>
      </c>
      <c r="Y1127" s="2" t="s">
        <v>719</v>
      </c>
      <c r="Z1127" s="2" t="s">
        <v>721</v>
      </c>
    </row>
    <row r="1128" spans="1:26" x14ac:dyDescent="0.35">
      <c r="A1128" s="7" t="s">
        <v>1585</v>
      </c>
      <c r="B1128" s="7" t="s">
        <v>1178</v>
      </c>
      <c r="C1128" s="4" t="str">
        <f>_xlfn.XLOOKUP(A1128,[2]Sheet2!$I$2:$I$1273,[2]Sheet2!$D$2:$D$1273,0)</f>
        <v>Q2</v>
      </c>
      <c r="D1128" s="4" t="str">
        <f>_xlfn.XLOOKUP(B1128,[4]Sheet2!$B$2:$B$3154,[4]Sheet2!$F$2:$F$3154,0)</f>
        <v>N/ App</v>
      </c>
      <c r="E1128" s="4" t="e">
        <f>_xlfn.XLOOKUP(B1128,[2]Sheet2!$E$2:$E$713,[2]Sheet2!$G$2:$G$713)</f>
        <v>#N/A</v>
      </c>
      <c r="F1128" s="18">
        <v>46116</v>
      </c>
      <c r="G1128" s="14">
        <v>0.22111111111111112</v>
      </c>
      <c r="H1128" s="7" t="s">
        <v>5</v>
      </c>
      <c r="I1128" s="2" t="str">
        <f t="shared" si="88"/>
        <v>Q4</v>
      </c>
      <c r="J1128" s="2" t="str">
        <f t="shared" si="89"/>
        <v>Not Match</v>
      </c>
      <c r="K1128" s="2">
        <f t="shared" si="90"/>
        <v>0.3</v>
      </c>
      <c r="L1128" s="2" t="e">
        <f t="shared" si="91"/>
        <v>#N/A</v>
      </c>
      <c r="M1128" s="2" t="str">
        <f t="shared" si="92"/>
        <v>Assign quadrant hit</v>
      </c>
      <c r="N1128" s="7">
        <v>15.7</v>
      </c>
      <c r="O1128" s="7">
        <v>-0.5</v>
      </c>
      <c r="P1128" s="7">
        <v>-2.8</v>
      </c>
      <c r="Q1128" s="7">
        <v>-1.03</v>
      </c>
      <c r="R1128" s="7">
        <v>0</v>
      </c>
      <c r="S1128" s="7">
        <v>-0.3</v>
      </c>
      <c r="T1128" s="7">
        <v>0.48</v>
      </c>
      <c r="U1128" s="7">
        <v>0.06</v>
      </c>
      <c r="V1128" s="7">
        <v>1.1399999999999999</v>
      </c>
      <c r="W1128" s="7" t="s">
        <v>6</v>
      </c>
      <c r="X1128" s="7" t="s">
        <v>9</v>
      </c>
      <c r="Y1128" s="2" t="s">
        <v>719</v>
      </c>
      <c r="Z1128" s="2" t="s">
        <v>721</v>
      </c>
    </row>
    <row r="1129" spans="1:26" x14ac:dyDescent="0.35">
      <c r="A1129" s="7" t="s">
        <v>1688</v>
      </c>
      <c r="B1129" s="7" t="s">
        <v>1179</v>
      </c>
      <c r="C1129" s="4" t="str">
        <f>_xlfn.XLOOKUP(A1129,[2]Sheet2!$I$2:$I$1273,[2]Sheet2!$D$2:$D$1273,0)</f>
        <v>Q4</v>
      </c>
      <c r="D1129" s="4" t="str">
        <f>_xlfn.XLOOKUP(B1129,[4]Sheet2!$B$2:$B$3154,[4]Sheet2!$F$2:$F$3154,0)</f>
        <v>N/ App</v>
      </c>
      <c r="E1129" s="4" t="e">
        <f>_xlfn.XLOOKUP(B1129,[2]Sheet2!$E$2:$E$713,[2]Sheet2!$G$2:$G$713)</f>
        <v>#N/A</v>
      </c>
      <c r="F1129" s="18">
        <v>46116</v>
      </c>
      <c r="G1129" s="14">
        <v>0.22415509259259259</v>
      </c>
      <c r="H1129" s="7" t="s">
        <v>4</v>
      </c>
      <c r="I1129" s="2" t="str">
        <f t="shared" si="88"/>
        <v>Q3</v>
      </c>
      <c r="J1129" s="2" t="str">
        <f t="shared" si="89"/>
        <v>Not Match</v>
      </c>
      <c r="K1129" s="2">
        <f t="shared" si="90"/>
        <v>0.36055512754639896</v>
      </c>
      <c r="L1129" s="2" t="e">
        <f t="shared" si="91"/>
        <v>#N/A</v>
      </c>
      <c r="M1129" s="2" t="str">
        <f t="shared" si="92"/>
        <v>Below 0.8 not in assigned quadrant</v>
      </c>
      <c r="N1129" s="7">
        <v>13.5</v>
      </c>
      <c r="O1129" s="7">
        <v>-0.3</v>
      </c>
      <c r="P1129" s="7">
        <v>-1.5</v>
      </c>
      <c r="Q1129" s="7">
        <v>0.09</v>
      </c>
      <c r="R1129" s="7">
        <v>-0.2</v>
      </c>
      <c r="S1129" s="7">
        <v>-0.3</v>
      </c>
      <c r="T1129" s="7">
        <v>0.59</v>
      </c>
      <c r="U1129" s="7">
        <v>-0.28999999999999998</v>
      </c>
      <c r="V1129" s="7">
        <v>0.66</v>
      </c>
      <c r="W1129" s="7" t="s">
        <v>8</v>
      </c>
      <c r="X1129" s="7" t="s">
        <v>15</v>
      </c>
      <c r="Y1129" s="2" t="s">
        <v>719</v>
      </c>
      <c r="Z1129" s="2" t="s">
        <v>721</v>
      </c>
    </row>
    <row r="1130" spans="1:26" x14ac:dyDescent="0.35">
      <c r="A1130" s="7" t="s">
        <v>1723</v>
      </c>
      <c r="B1130" s="7" t="s">
        <v>1180</v>
      </c>
      <c r="C1130" s="4" t="str">
        <f>_xlfn.XLOOKUP(A1130,[2]Sheet2!$I$2:$I$1273,[2]Sheet2!$D$2:$D$1273,0)</f>
        <v>Q2</v>
      </c>
      <c r="D1130" s="4" t="str">
        <f>_xlfn.XLOOKUP(B1130,[4]Sheet2!$B$2:$B$3154,[4]Sheet2!$F$2:$F$3154,0)</f>
        <v>N/ App</v>
      </c>
      <c r="E1130" s="4" t="e">
        <f>_xlfn.XLOOKUP(B1130,[2]Sheet2!$E$2:$E$713,[2]Sheet2!$G$2:$G$713)</f>
        <v>#N/A</v>
      </c>
      <c r="F1130" s="18">
        <v>46116</v>
      </c>
      <c r="G1130" s="14">
        <v>0.22695601851851852</v>
      </c>
      <c r="H1130" s="7" t="s">
        <v>4</v>
      </c>
      <c r="I1130" s="2" t="str">
        <f t="shared" si="88"/>
        <v>Q3</v>
      </c>
      <c r="J1130" s="2" t="str">
        <f t="shared" si="89"/>
        <v>Not Match</v>
      </c>
      <c r="K1130" s="2">
        <f t="shared" si="90"/>
        <v>0.4</v>
      </c>
      <c r="L1130" s="2" t="e">
        <f t="shared" si="91"/>
        <v>#N/A</v>
      </c>
      <c r="M1130" s="2" t="str">
        <f t="shared" si="92"/>
        <v>Assign quadrant hit</v>
      </c>
      <c r="N1130" s="7">
        <v>14.4</v>
      </c>
      <c r="O1130" s="7">
        <v>-0.6</v>
      </c>
      <c r="P1130" s="7">
        <v>-1.4</v>
      </c>
      <c r="Q1130" s="7">
        <v>-0.49</v>
      </c>
      <c r="R1130" s="7">
        <v>-0.4</v>
      </c>
      <c r="S1130" s="7">
        <v>0</v>
      </c>
      <c r="T1130" s="7">
        <v>0.22</v>
      </c>
      <c r="U1130" s="7">
        <v>-0.64</v>
      </c>
      <c r="V1130" s="7">
        <v>0.84</v>
      </c>
      <c r="W1130" s="7" t="s">
        <v>13</v>
      </c>
      <c r="X1130" s="7" t="s">
        <v>15</v>
      </c>
      <c r="Y1130" s="2" t="s">
        <v>719</v>
      </c>
      <c r="Z1130" s="2" t="s">
        <v>721</v>
      </c>
    </row>
    <row r="1131" spans="1:26" x14ac:dyDescent="0.35">
      <c r="A1131" s="7" t="s">
        <v>1766</v>
      </c>
      <c r="B1131" s="7" t="s">
        <v>1181</v>
      </c>
      <c r="C1131" s="4" t="str">
        <f>_xlfn.XLOOKUP(A1131,[2]Sheet2!$I$2:$I$1273,[2]Sheet2!$D$2:$D$1273,0)</f>
        <v>Q1</v>
      </c>
      <c r="D1131" s="4" t="str">
        <f>_xlfn.XLOOKUP(B1131,[4]Sheet2!$B$2:$B$3154,[4]Sheet2!$F$2:$F$3154,0)</f>
        <v>C/APP</v>
      </c>
      <c r="E1131" s="4" t="e">
        <f>_xlfn.XLOOKUP(B1131,[2]Sheet2!$E$2:$E$713,[2]Sheet2!$G$2:$G$713)</f>
        <v>#N/A</v>
      </c>
      <c r="F1131" s="18">
        <v>46116</v>
      </c>
      <c r="G1131" s="14">
        <v>0.22960648148148149</v>
      </c>
      <c r="H1131" s="7" t="s">
        <v>16</v>
      </c>
      <c r="I1131" s="2" t="str">
        <f t="shared" si="88"/>
        <v>Q1</v>
      </c>
      <c r="J1131" s="2" t="str">
        <f t="shared" si="89"/>
        <v>Match</v>
      </c>
      <c r="K1131" s="2">
        <f t="shared" si="90"/>
        <v>0.80622577482985491</v>
      </c>
      <c r="L1131" s="2" t="e">
        <f t="shared" si="91"/>
        <v>#N/A</v>
      </c>
      <c r="M1131" s="2" t="str">
        <f t="shared" si="92"/>
        <v>Digital Approve Hit</v>
      </c>
      <c r="N1131" s="7">
        <v>39.700000000000003</v>
      </c>
      <c r="O1131" s="7">
        <v>20.6</v>
      </c>
      <c r="P1131" s="7">
        <v>19.399999999999999</v>
      </c>
      <c r="Q1131" s="7">
        <v>0.65</v>
      </c>
      <c r="R1131" s="7">
        <v>0.4</v>
      </c>
      <c r="S1131" s="7">
        <v>0.7</v>
      </c>
      <c r="T1131" s="7">
        <v>0.42</v>
      </c>
      <c r="U1131" s="7">
        <v>0.23</v>
      </c>
      <c r="V1131" s="7">
        <v>0.8</v>
      </c>
      <c r="W1131" s="7" t="s">
        <v>13</v>
      </c>
      <c r="X1131" s="7" t="s">
        <v>12</v>
      </c>
      <c r="Y1131" s="2" t="s">
        <v>719</v>
      </c>
      <c r="Z1131" s="2" t="s">
        <v>721</v>
      </c>
    </row>
    <row r="1132" spans="1:26" x14ac:dyDescent="0.35">
      <c r="A1132" s="7" t="s">
        <v>1540</v>
      </c>
      <c r="B1132" s="7" t="s">
        <v>1182</v>
      </c>
      <c r="C1132" s="4" t="str">
        <f>_xlfn.XLOOKUP(A1132,[2]Sheet2!$I$2:$I$1273,[2]Sheet2!$D$2:$D$1273,0)</f>
        <v>Q3</v>
      </c>
      <c r="D1132" s="4" t="str">
        <f>_xlfn.XLOOKUP(B1132,[4]Sheet2!$B$2:$B$3154,[4]Sheet2!$F$2:$F$3154,0)</f>
        <v>N/ App</v>
      </c>
      <c r="E1132" s="4" t="e">
        <f>_xlfn.XLOOKUP(B1132,[2]Sheet2!$E$2:$E$713,[2]Sheet2!$G$2:$G$713)</f>
        <v>#N/A</v>
      </c>
      <c r="F1132" s="18">
        <v>46116</v>
      </c>
      <c r="G1132" s="14">
        <v>0.23238425925925926</v>
      </c>
      <c r="H1132" s="7" t="s">
        <v>11</v>
      </c>
      <c r="I1132" s="2" t="str">
        <f t="shared" si="88"/>
        <v>Q1</v>
      </c>
      <c r="J1132" s="2" t="str">
        <f t="shared" si="89"/>
        <v>Not Match</v>
      </c>
      <c r="K1132" s="2">
        <f t="shared" si="90"/>
        <v>0.4</v>
      </c>
      <c r="L1132" s="2" t="e">
        <f t="shared" si="91"/>
        <v>#N/A</v>
      </c>
      <c r="M1132" s="2" t="str">
        <f t="shared" si="92"/>
        <v>Assign quadrant hit</v>
      </c>
      <c r="N1132" s="7">
        <v>13.4</v>
      </c>
      <c r="O1132" s="7">
        <v>-0.4</v>
      </c>
      <c r="P1132" s="7">
        <v>-1.3</v>
      </c>
      <c r="Q1132" s="7">
        <v>-0.75</v>
      </c>
      <c r="R1132" s="7">
        <v>0</v>
      </c>
      <c r="S1132" s="7">
        <v>0.4</v>
      </c>
      <c r="T1132" s="7">
        <v>-0.56000000000000005</v>
      </c>
      <c r="U1132" s="7">
        <v>-0.1</v>
      </c>
      <c r="V1132" s="7">
        <v>0.94</v>
      </c>
      <c r="W1132" s="7" t="s">
        <v>13</v>
      </c>
      <c r="X1132" s="7" t="s">
        <v>15</v>
      </c>
      <c r="Y1132" s="2" t="s">
        <v>719</v>
      </c>
      <c r="Z1132" s="2" t="s">
        <v>721</v>
      </c>
    </row>
    <row r="1133" spans="1:26" x14ac:dyDescent="0.35">
      <c r="A1133" s="7" t="s">
        <v>1543</v>
      </c>
      <c r="B1133" s="7" t="s">
        <v>1183</v>
      </c>
      <c r="C1133" s="4" t="str">
        <f>_xlfn.XLOOKUP(A1133,[2]Sheet2!$I$2:$I$1273,[2]Sheet2!$D$2:$D$1273,0)</f>
        <v>Q3</v>
      </c>
      <c r="D1133" s="4" t="str">
        <f>_xlfn.XLOOKUP(B1133,[4]Sheet2!$B$2:$B$3154,[4]Sheet2!$F$2:$F$3154,0)</f>
        <v>N/ App</v>
      </c>
      <c r="E1133" s="4" t="e">
        <f>_xlfn.XLOOKUP(B1133,[2]Sheet2!$E$2:$E$713,[2]Sheet2!$G$2:$G$713)</f>
        <v>#N/A</v>
      </c>
      <c r="F1133" s="18">
        <v>46116</v>
      </c>
      <c r="G1133" s="14">
        <v>0.25810185185185186</v>
      </c>
      <c r="H1133" s="7" t="s">
        <v>11</v>
      </c>
      <c r="I1133" s="2" t="str">
        <f t="shared" si="88"/>
        <v>Q4</v>
      </c>
      <c r="J1133" s="2" t="str">
        <f t="shared" si="89"/>
        <v>Not Match</v>
      </c>
      <c r="K1133" s="2">
        <f t="shared" si="90"/>
        <v>0.31622776601683794</v>
      </c>
      <c r="L1133" s="2" t="e">
        <f t="shared" si="91"/>
        <v>#N/A</v>
      </c>
      <c r="M1133" s="2" t="str">
        <f t="shared" si="92"/>
        <v>Below 0.8 not in assigned quadrant</v>
      </c>
      <c r="N1133" s="7">
        <v>26</v>
      </c>
      <c r="O1133" s="7">
        <v>6.9</v>
      </c>
      <c r="P1133" s="7">
        <v>7.7</v>
      </c>
      <c r="Q1133" s="7">
        <v>0</v>
      </c>
      <c r="R1133" s="7">
        <v>0.3</v>
      </c>
      <c r="S1133" s="7">
        <v>-0.1</v>
      </c>
      <c r="T1133" s="7">
        <v>0.08</v>
      </c>
      <c r="U1133" s="7">
        <v>-0.59</v>
      </c>
      <c r="V1133" s="7">
        <v>0.6</v>
      </c>
      <c r="W1133" s="7" t="s">
        <v>8</v>
      </c>
      <c r="X1133" s="7" t="s">
        <v>9</v>
      </c>
      <c r="Y1133" s="2" t="s">
        <v>719</v>
      </c>
      <c r="Z1133" s="2" t="s">
        <v>721</v>
      </c>
    </row>
    <row r="1134" spans="1:26" x14ac:dyDescent="0.35">
      <c r="A1134" s="7" t="s">
        <v>1567</v>
      </c>
      <c r="B1134" s="7" t="s">
        <v>1184</v>
      </c>
      <c r="C1134" s="4" t="str">
        <f>_xlfn.XLOOKUP(A1134,[2]Sheet2!$I$2:$I$1273,[2]Sheet2!$D$2:$D$1273,0)</f>
        <v>Q3</v>
      </c>
      <c r="D1134" s="4" t="str">
        <f>_xlfn.XLOOKUP(B1134,[4]Sheet2!$B$2:$B$3154,[4]Sheet2!$F$2:$F$3154,0)</f>
        <v>N/ App</v>
      </c>
      <c r="E1134" s="4" t="e">
        <f>_xlfn.XLOOKUP(B1134,[2]Sheet2!$E$2:$E$713,[2]Sheet2!$G$2:$G$713)</f>
        <v>#N/A</v>
      </c>
      <c r="F1134" s="18">
        <v>46116</v>
      </c>
      <c r="G1134" s="14">
        <v>0.26386574074074076</v>
      </c>
      <c r="H1134" s="7" t="s">
        <v>16</v>
      </c>
      <c r="I1134" s="2" t="str">
        <f t="shared" si="88"/>
        <v>Q2</v>
      </c>
      <c r="J1134" s="2" t="str">
        <f t="shared" si="89"/>
        <v>Not Match</v>
      </c>
      <c r="K1134" s="2">
        <f t="shared" si="90"/>
        <v>0.5</v>
      </c>
      <c r="L1134" s="2" t="e">
        <f t="shared" si="91"/>
        <v>#N/A</v>
      </c>
      <c r="M1134" s="2" t="str">
        <f t="shared" si="92"/>
        <v>Assign quadrant hit</v>
      </c>
      <c r="N1134" s="7">
        <v>24.6</v>
      </c>
      <c r="O1134" s="7">
        <v>-5.6</v>
      </c>
      <c r="P1134" s="7">
        <v>-7.5</v>
      </c>
      <c r="Q1134" s="7">
        <v>0.53</v>
      </c>
      <c r="R1134" s="7">
        <v>-0.3</v>
      </c>
      <c r="S1134" s="7">
        <v>0.4</v>
      </c>
      <c r="T1134" s="7">
        <v>-0.1</v>
      </c>
      <c r="U1134" s="7">
        <v>-0.63</v>
      </c>
      <c r="V1134" s="7">
        <v>0.83</v>
      </c>
      <c r="W1134" s="7" t="s">
        <v>13</v>
      </c>
      <c r="X1134" s="7" t="s">
        <v>15</v>
      </c>
      <c r="Y1134" s="2" t="s">
        <v>719</v>
      </c>
      <c r="Z1134" s="2" t="s">
        <v>721</v>
      </c>
    </row>
    <row r="1135" spans="1:26" x14ac:dyDescent="0.35">
      <c r="A1135" s="7" t="s">
        <v>1500</v>
      </c>
      <c r="B1135" s="7" t="s">
        <v>1185</v>
      </c>
      <c r="C1135" s="4" t="str">
        <f>_xlfn.XLOOKUP(A1135,[2]Sheet2!$I$2:$I$1273,[2]Sheet2!$D$2:$D$1273,0)</f>
        <v>Q2</v>
      </c>
      <c r="D1135" s="4" t="str">
        <f>_xlfn.XLOOKUP(B1135,[4]Sheet2!$B$2:$B$3154,[4]Sheet2!$F$2:$F$3154,0)</f>
        <v>N/ App</v>
      </c>
      <c r="E1135" s="4" t="e">
        <f>_xlfn.XLOOKUP(B1135,[2]Sheet2!$E$2:$E$713,[2]Sheet2!$G$2:$G$713)</f>
        <v>#N/A</v>
      </c>
      <c r="F1135" s="18">
        <v>46116</v>
      </c>
      <c r="G1135" s="14">
        <v>0.27277777777777779</v>
      </c>
      <c r="H1135" s="7" t="s">
        <v>5</v>
      </c>
      <c r="I1135" s="2" t="str">
        <f t="shared" si="88"/>
        <v>Q4</v>
      </c>
      <c r="J1135" s="2" t="str">
        <f t="shared" si="89"/>
        <v>Not Match</v>
      </c>
      <c r="K1135" s="2">
        <f t="shared" si="90"/>
        <v>0.14142135623730953</v>
      </c>
      <c r="L1135" s="2" t="e">
        <f t="shared" si="91"/>
        <v>#N/A</v>
      </c>
      <c r="M1135" s="2" t="str">
        <f t="shared" si="92"/>
        <v>Assign quadrant hit</v>
      </c>
      <c r="N1135" s="7">
        <v>15.8</v>
      </c>
      <c r="O1135" s="7">
        <v>-0.5</v>
      </c>
      <c r="P1135" s="7">
        <v>-1.8</v>
      </c>
      <c r="Q1135" s="7">
        <v>-1.55</v>
      </c>
      <c r="R1135" s="7">
        <v>0.1</v>
      </c>
      <c r="S1135" s="7">
        <v>-0.1</v>
      </c>
      <c r="T1135" s="7">
        <v>0.14000000000000001</v>
      </c>
      <c r="U1135" s="7">
        <v>0.28999999999999998</v>
      </c>
      <c r="V1135" s="7">
        <v>1.58</v>
      </c>
      <c r="W1135" s="7" t="s">
        <v>6</v>
      </c>
      <c r="X1135" s="7" t="s">
        <v>9</v>
      </c>
      <c r="Y1135" s="2" t="s">
        <v>719</v>
      </c>
      <c r="Z1135" s="2" t="s">
        <v>721</v>
      </c>
    </row>
    <row r="1136" spans="1:26" x14ac:dyDescent="0.35">
      <c r="A1136" s="7" t="s">
        <v>1586</v>
      </c>
      <c r="B1136" s="7" t="s">
        <v>1186</v>
      </c>
      <c r="C1136" s="4" t="str">
        <f>_xlfn.XLOOKUP(A1136,[2]Sheet2!$I$2:$I$1273,[2]Sheet2!$D$2:$D$1273,0)</f>
        <v>Q2</v>
      </c>
      <c r="D1136" s="4" t="str">
        <f>_xlfn.XLOOKUP(B1136,[4]Sheet2!$B$2:$B$3154,[4]Sheet2!$F$2:$F$3154,0)</f>
        <v>N/ App</v>
      </c>
      <c r="E1136" s="4" t="e">
        <f>_xlfn.XLOOKUP(B1136,[2]Sheet2!$E$2:$E$713,[2]Sheet2!$G$2:$G$713)</f>
        <v>#N/A</v>
      </c>
      <c r="F1136" s="18">
        <v>46116</v>
      </c>
      <c r="G1136" s="14">
        <v>0.47008101851851852</v>
      </c>
      <c r="H1136" s="7" t="s">
        <v>4</v>
      </c>
      <c r="I1136" s="2" t="str">
        <f t="shared" si="88"/>
        <v>Q4</v>
      </c>
      <c r="J1136" s="2" t="str">
        <f t="shared" si="89"/>
        <v>Not Match</v>
      </c>
      <c r="K1136" s="2">
        <f t="shared" si="90"/>
        <v>0.1</v>
      </c>
      <c r="L1136" s="2" t="e">
        <f t="shared" si="91"/>
        <v>#N/A</v>
      </c>
      <c r="M1136" s="2" t="str">
        <f t="shared" si="92"/>
        <v>Below 0.8 not in assigned quadrant</v>
      </c>
      <c r="N1136" s="7">
        <v>17.7</v>
      </c>
      <c r="O1136" s="7">
        <v>0</v>
      </c>
      <c r="P1136" s="7">
        <v>-1.1000000000000001</v>
      </c>
      <c r="Q1136" s="7">
        <v>-0.3</v>
      </c>
      <c r="R1136" s="7">
        <v>0</v>
      </c>
      <c r="S1136" s="7">
        <v>-0.1</v>
      </c>
      <c r="T1136" s="7">
        <v>0.19</v>
      </c>
      <c r="U1136" s="7">
        <v>-0.14000000000000001</v>
      </c>
      <c r="V1136" s="7">
        <v>0.38</v>
      </c>
      <c r="W1136" s="7" t="s">
        <v>8</v>
      </c>
      <c r="X1136" s="7" t="s">
        <v>15</v>
      </c>
      <c r="Y1136" s="2" t="s">
        <v>719</v>
      </c>
      <c r="Z1136" s="2" t="s">
        <v>721</v>
      </c>
    </row>
    <row r="1137" spans="1:26" x14ac:dyDescent="0.35">
      <c r="A1137" s="7" t="s">
        <v>1572</v>
      </c>
      <c r="B1137" s="7" t="s">
        <v>1187</v>
      </c>
      <c r="C1137" s="4" t="str">
        <f>_xlfn.XLOOKUP(A1137,[2]Sheet2!$I$2:$I$1273,[2]Sheet2!$D$2:$D$1273,0)</f>
        <v>Q3</v>
      </c>
      <c r="D1137" s="4" t="str">
        <f>_xlfn.XLOOKUP(B1137,[4]Sheet2!$B$2:$B$3154,[4]Sheet2!$F$2:$F$3154,0)</f>
        <v>N/ App</v>
      </c>
      <c r="E1137" s="4" t="e">
        <f>_xlfn.XLOOKUP(B1137,[2]Sheet2!$E$2:$E$713,[2]Sheet2!$G$2:$G$713)</f>
        <v>#N/A</v>
      </c>
      <c r="F1137" s="18">
        <v>46116</v>
      </c>
      <c r="G1137" s="14">
        <v>0.47229166666666667</v>
      </c>
      <c r="H1137" s="7" t="s">
        <v>4</v>
      </c>
      <c r="I1137" s="2" t="str">
        <f t="shared" si="88"/>
        <v>Q1</v>
      </c>
      <c r="J1137" s="2" t="str">
        <f t="shared" si="89"/>
        <v>Not Match</v>
      </c>
      <c r="K1137" s="2">
        <f t="shared" si="90"/>
        <v>0.22360679774997899</v>
      </c>
      <c r="L1137" s="2" t="e">
        <f t="shared" si="91"/>
        <v>#N/A</v>
      </c>
      <c r="M1137" s="2" t="str">
        <f t="shared" si="92"/>
        <v>Assign quadrant hit</v>
      </c>
      <c r="N1137" s="7">
        <v>15.9</v>
      </c>
      <c r="O1137" s="7">
        <v>-0.8</v>
      </c>
      <c r="P1137" s="7">
        <v>-1.2</v>
      </c>
      <c r="Q1137" s="7">
        <v>-1</v>
      </c>
      <c r="R1137" s="7">
        <v>0.1</v>
      </c>
      <c r="S1137" s="7">
        <v>0.2</v>
      </c>
      <c r="T1137" s="7">
        <v>-0.37</v>
      </c>
      <c r="U1137" s="7">
        <v>-0.06</v>
      </c>
      <c r="V1137" s="7">
        <v>1.07</v>
      </c>
      <c r="W1137" s="7" t="s">
        <v>6</v>
      </c>
      <c r="X1137" s="7" t="s">
        <v>15</v>
      </c>
      <c r="Y1137" s="2" t="s">
        <v>719</v>
      </c>
      <c r="Z1137" s="2" t="s">
        <v>721</v>
      </c>
    </row>
    <row r="1138" spans="1:26" x14ac:dyDescent="0.35">
      <c r="A1138" s="7" t="s">
        <v>1579</v>
      </c>
      <c r="B1138" s="7" t="s">
        <v>1188</v>
      </c>
      <c r="C1138" s="4" t="str">
        <f>_xlfn.XLOOKUP(A1138,[2]Sheet2!$I$2:$I$1273,[2]Sheet2!$D$2:$D$1273,0)</f>
        <v>Q4</v>
      </c>
      <c r="D1138" s="4" t="str">
        <f>_xlfn.XLOOKUP(B1138,[4]Sheet2!$B$2:$B$3154,[4]Sheet2!$F$2:$F$3154,0)</f>
        <v>N/ App</v>
      </c>
      <c r="E1138" s="4" t="e">
        <f>_xlfn.XLOOKUP(B1138,[2]Sheet2!$E$2:$E$713,[2]Sheet2!$G$2:$G$713)</f>
        <v>#N/A</v>
      </c>
      <c r="F1138" s="18">
        <v>46116</v>
      </c>
      <c r="G1138" s="14">
        <v>0.48226851851851854</v>
      </c>
      <c r="H1138" s="7" t="s">
        <v>16</v>
      </c>
      <c r="I1138" s="2" t="str">
        <f t="shared" si="88"/>
        <v>Q2</v>
      </c>
      <c r="J1138" s="2" t="str">
        <f t="shared" si="89"/>
        <v>Not Match</v>
      </c>
      <c r="K1138" s="2">
        <f t="shared" si="90"/>
        <v>0.31622776601683794</v>
      </c>
      <c r="L1138" s="2" t="e">
        <f t="shared" si="91"/>
        <v>#N/A</v>
      </c>
      <c r="M1138" s="2" t="str">
        <f t="shared" si="92"/>
        <v>Below 0.8 not in assigned quadrant</v>
      </c>
      <c r="N1138" s="7">
        <v>15.7</v>
      </c>
      <c r="O1138" s="7">
        <v>-0.9</v>
      </c>
      <c r="P1138" s="7">
        <v>-6</v>
      </c>
      <c r="Q1138" s="7">
        <v>0.13</v>
      </c>
      <c r="R1138" s="7">
        <v>-0.1</v>
      </c>
      <c r="S1138" s="7">
        <v>0.3</v>
      </c>
      <c r="T1138" s="7">
        <v>-0.27</v>
      </c>
      <c r="U1138" s="7">
        <v>-0.25</v>
      </c>
      <c r="V1138" s="7">
        <v>0.39</v>
      </c>
      <c r="W1138" s="7" t="s">
        <v>8</v>
      </c>
      <c r="X1138" s="7" t="s">
        <v>15</v>
      </c>
      <c r="Y1138" s="2" t="s">
        <v>719</v>
      </c>
      <c r="Z1138" s="2" t="s">
        <v>721</v>
      </c>
    </row>
    <row r="1139" spans="1:26" x14ac:dyDescent="0.35">
      <c r="A1139" s="7" t="s">
        <v>1614</v>
      </c>
      <c r="B1139" s="7" t="s">
        <v>1189</v>
      </c>
      <c r="C1139" s="4" t="str">
        <f>_xlfn.XLOOKUP(A1139,[2]Sheet2!$I$2:$I$1273,[2]Sheet2!$D$2:$D$1273,0)</f>
        <v>Q3</v>
      </c>
      <c r="D1139" s="4" t="str">
        <f>_xlfn.XLOOKUP(B1139,[4]Sheet2!$B$2:$B$3154,[4]Sheet2!$F$2:$F$3154,0)</f>
        <v>N/ App</v>
      </c>
      <c r="E1139" s="4" t="e">
        <f>_xlfn.XLOOKUP(B1139,[2]Sheet2!$E$2:$E$713,[2]Sheet2!$G$2:$G$713)</f>
        <v>#N/A</v>
      </c>
      <c r="F1139" s="18">
        <v>46116</v>
      </c>
      <c r="G1139" s="14">
        <v>0.49254629629629632</v>
      </c>
      <c r="H1139" s="7" t="s">
        <v>16</v>
      </c>
      <c r="I1139" s="2" t="str">
        <f t="shared" si="88"/>
        <v>Q3</v>
      </c>
      <c r="J1139" s="2" t="str">
        <f t="shared" si="89"/>
        <v>Match</v>
      </c>
      <c r="K1139" s="2">
        <f t="shared" si="90"/>
        <v>0.28284271247461906</v>
      </c>
      <c r="L1139" s="2" t="e">
        <f t="shared" si="91"/>
        <v>#N/A</v>
      </c>
      <c r="M1139" s="2" t="str">
        <f t="shared" si="92"/>
        <v>Digital Approve Hit</v>
      </c>
      <c r="N1139" s="7">
        <v>24.1</v>
      </c>
      <c r="O1139" s="7">
        <v>-5.5</v>
      </c>
      <c r="P1139" s="7">
        <v>-8.1999999999999993</v>
      </c>
      <c r="Q1139" s="7">
        <v>0.16</v>
      </c>
      <c r="R1139" s="7">
        <v>-0.2</v>
      </c>
      <c r="S1139" s="7">
        <v>-0.2</v>
      </c>
      <c r="T1139" s="7">
        <v>0.32</v>
      </c>
      <c r="U1139" s="7">
        <v>-7.0000000000000007E-2</v>
      </c>
      <c r="V1139" s="7">
        <v>0.36</v>
      </c>
      <c r="W1139" s="7" t="s">
        <v>8</v>
      </c>
      <c r="X1139" s="7" t="s">
        <v>15</v>
      </c>
      <c r="Y1139" s="2" t="s">
        <v>719</v>
      </c>
      <c r="Z1139" s="2" t="s">
        <v>721</v>
      </c>
    </row>
    <row r="1140" spans="1:26" x14ac:dyDescent="0.35">
      <c r="A1140" s="7" t="s">
        <v>1558</v>
      </c>
      <c r="B1140" s="7" t="s">
        <v>1190</v>
      </c>
      <c r="C1140" s="4" t="str">
        <f>_xlfn.XLOOKUP(A1140,[2]Sheet2!$I$2:$I$1273,[2]Sheet2!$D$2:$D$1273,0)</f>
        <v>Q3</v>
      </c>
      <c r="D1140" s="4" t="str">
        <f>_xlfn.XLOOKUP(B1140,[4]Sheet2!$B$2:$B$3154,[4]Sheet2!$F$2:$F$3154,0)</f>
        <v>C/APP</v>
      </c>
      <c r="E1140" s="4" t="e">
        <f>_xlfn.XLOOKUP(B1140,[2]Sheet2!$E$2:$E$713,[2]Sheet2!$G$2:$G$713)</f>
        <v>#N/A</v>
      </c>
      <c r="F1140" s="18">
        <v>46116</v>
      </c>
      <c r="G1140" s="14">
        <v>0.5105439814814815</v>
      </c>
      <c r="H1140" s="7" t="s">
        <v>16</v>
      </c>
      <c r="I1140" s="2" t="str">
        <f t="shared" si="88"/>
        <v>Q4</v>
      </c>
      <c r="J1140" s="2" t="str">
        <f t="shared" si="89"/>
        <v>Not Match</v>
      </c>
      <c r="K1140" s="2">
        <f t="shared" si="90"/>
        <v>0.1</v>
      </c>
      <c r="L1140" s="2" t="e">
        <f t="shared" si="91"/>
        <v>#N/A</v>
      </c>
      <c r="M1140" s="2" t="str">
        <f t="shared" si="92"/>
        <v>Below 0.8 not in assigned quadrant</v>
      </c>
      <c r="N1140" s="7">
        <v>15.4</v>
      </c>
      <c r="O1140" s="7">
        <v>-0.4</v>
      </c>
      <c r="P1140" s="7">
        <v>-2</v>
      </c>
      <c r="Q1140" s="7">
        <v>-0.12</v>
      </c>
      <c r="R1140" s="7">
        <v>0</v>
      </c>
      <c r="S1140" s="7">
        <v>-0.1</v>
      </c>
      <c r="T1140" s="7">
        <v>0.26</v>
      </c>
      <c r="U1140" s="7">
        <v>-0.06</v>
      </c>
      <c r="V1140" s="7">
        <v>0.28999999999999998</v>
      </c>
      <c r="W1140" s="7" t="s">
        <v>8</v>
      </c>
      <c r="X1140" s="7" t="s">
        <v>15</v>
      </c>
      <c r="Y1140" s="2" t="s">
        <v>719</v>
      </c>
      <c r="Z1140" s="2" t="s">
        <v>721</v>
      </c>
    </row>
    <row r="1141" spans="1:26" x14ac:dyDescent="0.35">
      <c r="A1141" s="7" t="s">
        <v>1536</v>
      </c>
      <c r="B1141" s="7" t="s">
        <v>1192</v>
      </c>
      <c r="C1141" s="4" t="str">
        <f>_xlfn.XLOOKUP(A1141,[2]Sheet2!$I$2:$I$1273,[2]Sheet2!$D$2:$D$1273,0)</f>
        <v>Q2</v>
      </c>
      <c r="D1141" s="4" t="str">
        <f>_xlfn.XLOOKUP(B1141,[4]Sheet2!$B$2:$B$3154,[4]Sheet2!$F$2:$F$3154,0)</f>
        <v>N/ App</v>
      </c>
      <c r="E1141" s="4" t="e">
        <f>_xlfn.XLOOKUP(B1141,[2]Sheet2!$E$2:$E$713,[2]Sheet2!$G$2:$G$713)</f>
        <v>#N/A</v>
      </c>
      <c r="F1141" s="18">
        <v>46116</v>
      </c>
      <c r="G1141" s="14">
        <v>0.54831018518518515</v>
      </c>
      <c r="H1141" s="7" t="s">
        <v>5</v>
      </c>
      <c r="I1141" s="2" t="str">
        <f t="shared" si="88"/>
        <v>Q4</v>
      </c>
      <c r="J1141" s="2" t="str">
        <f t="shared" si="89"/>
        <v>Not Match</v>
      </c>
      <c r="K1141" s="2">
        <f t="shared" si="90"/>
        <v>0.1</v>
      </c>
      <c r="L1141" s="2" t="e">
        <f t="shared" si="91"/>
        <v>#N/A</v>
      </c>
      <c r="M1141" s="2" t="str">
        <f t="shared" si="92"/>
        <v>Below 0.8 not in assigned quadrant</v>
      </c>
      <c r="N1141" s="7">
        <v>15.8</v>
      </c>
      <c r="O1141" s="7">
        <v>-0.6</v>
      </c>
      <c r="P1141" s="7">
        <v>-2.8</v>
      </c>
      <c r="Q1141" s="7">
        <v>0.56000000000000005</v>
      </c>
      <c r="R1141" s="7">
        <v>0</v>
      </c>
      <c r="S1141" s="7">
        <v>-0.1</v>
      </c>
      <c r="T1141" s="7">
        <v>0.2</v>
      </c>
      <c r="U1141" s="7">
        <v>0.09</v>
      </c>
      <c r="V1141" s="7">
        <v>0.6</v>
      </c>
      <c r="W1141" s="7" t="s">
        <v>8</v>
      </c>
      <c r="X1141" s="7" t="s">
        <v>9</v>
      </c>
      <c r="Y1141" s="2" t="s">
        <v>719</v>
      </c>
      <c r="Z1141" s="2" t="s">
        <v>721</v>
      </c>
    </row>
    <row r="1142" spans="1:26" x14ac:dyDescent="0.35">
      <c r="A1142" s="7" t="s">
        <v>1767</v>
      </c>
      <c r="B1142" s="7" t="s">
        <v>911</v>
      </c>
      <c r="C1142" s="4" t="str">
        <f>_xlfn.XLOOKUP(A1142,[2]Sheet2!$I$2:$I$1273,[2]Sheet2!$D$2:$D$1273,0)</f>
        <v>Q1</v>
      </c>
      <c r="D1142" s="4" t="str">
        <f>_xlfn.XLOOKUP(B1142,[4]Sheet2!$B$2:$B$3154,[4]Sheet2!$F$2:$F$3154,0)</f>
        <v>C/APP</v>
      </c>
      <c r="E1142" s="4" t="e">
        <f>_xlfn.XLOOKUP(B1142,[2]Sheet2!$E$2:$E$713,[2]Sheet2!$G$2:$G$713)</f>
        <v>#N/A</v>
      </c>
      <c r="F1142" s="18">
        <v>46116</v>
      </c>
      <c r="G1142" s="14">
        <v>0.55565972222222226</v>
      </c>
      <c r="H1142" s="7" t="s">
        <v>4</v>
      </c>
      <c r="I1142" s="2" t="str">
        <f t="shared" si="88"/>
        <v>Q1</v>
      </c>
      <c r="J1142" s="2" t="str">
        <f t="shared" si="89"/>
        <v>Match</v>
      </c>
      <c r="K1142" s="2">
        <f t="shared" si="90"/>
        <v>0.58309518948452999</v>
      </c>
      <c r="L1142" s="2" t="e">
        <f t="shared" si="91"/>
        <v>#N/A</v>
      </c>
      <c r="M1142" s="2" t="str">
        <f t="shared" si="92"/>
        <v>Digital Approve Hit</v>
      </c>
      <c r="N1142" s="7">
        <v>22.4</v>
      </c>
      <c r="O1142" s="7">
        <v>23.2</v>
      </c>
      <c r="P1142" s="7">
        <v>-10.199999999999999</v>
      </c>
      <c r="Q1142" s="7">
        <v>0</v>
      </c>
      <c r="R1142" s="7">
        <v>0.5</v>
      </c>
      <c r="S1142" s="7">
        <v>0.3</v>
      </c>
      <c r="T1142" s="7">
        <v>0.2</v>
      </c>
      <c r="U1142" s="7">
        <v>0.38</v>
      </c>
      <c r="V1142" s="7">
        <v>0.43</v>
      </c>
      <c r="W1142" s="7" t="s">
        <v>8</v>
      </c>
      <c r="X1142" s="7" t="s">
        <v>9</v>
      </c>
      <c r="Y1142" s="2" t="s">
        <v>719</v>
      </c>
      <c r="Z1142" s="2" t="s">
        <v>721</v>
      </c>
    </row>
    <row r="1143" spans="1:26" x14ac:dyDescent="0.35">
      <c r="A1143" s="7" t="s">
        <v>1718</v>
      </c>
      <c r="B1143" s="7" t="s">
        <v>1193</v>
      </c>
      <c r="C1143" s="4" t="str">
        <f>_xlfn.XLOOKUP(A1143,[2]Sheet2!$I$2:$I$1273,[2]Sheet2!$D$2:$D$1273,0)</f>
        <v>Q1</v>
      </c>
      <c r="D1143" s="4" t="str">
        <f>_xlfn.XLOOKUP(B1143,[4]Sheet2!$B$2:$B$3154,[4]Sheet2!$F$2:$F$3154,0)</f>
        <v>N/ App</v>
      </c>
      <c r="E1143" s="4" t="e">
        <f>_xlfn.XLOOKUP(B1143,[2]Sheet2!$E$2:$E$713,[2]Sheet2!$G$2:$G$713)</f>
        <v>#N/A</v>
      </c>
      <c r="F1143" s="18">
        <v>46116</v>
      </c>
      <c r="G1143" s="14">
        <v>0.5534606481481481</v>
      </c>
      <c r="H1143" s="7" t="s">
        <v>4</v>
      </c>
      <c r="I1143" s="2" t="str">
        <f t="shared" si="88"/>
        <v>Q3</v>
      </c>
      <c r="J1143" s="2" t="str">
        <f t="shared" si="89"/>
        <v>Not Match</v>
      </c>
      <c r="K1143" s="2">
        <f t="shared" si="90"/>
        <v>1.1045361017187261</v>
      </c>
      <c r="L1143" s="2" t="e">
        <f t="shared" si="91"/>
        <v>#N/A</v>
      </c>
      <c r="M1143" s="2" t="str">
        <f t="shared" si="92"/>
        <v>Below 0.8 not in assigned quadrant</v>
      </c>
      <c r="N1143" s="7">
        <v>37.200000000000003</v>
      </c>
      <c r="O1143" s="7">
        <v>55.6</v>
      </c>
      <c r="P1143" s="7">
        <v>27.6</v>
      </c>
      <c r="Q1143" s="7">
        <v>-0.28999999999999998</v>
      </c>
      <c r="R1143" s="7">
        <v>-0.1</v>
      </c>
      <c r="S1143" s="7">
        <v>-1.1000000000000001</v>
      </c>
      <c r="T1143" s="7">
        <v>-0.22</v>
      </c>
      <c r="U1143" s="7">
        <v>-0.65</v>
      </c>
      <c r="V1143" s="7">
        <v>0.75</v>
      </c>
      <c r="W1143" s="7" t="s">
        <v>8</v>
      </c>
      <c r="X1143" s="7" t="s">
        <v>7</v>
      </c>
      <c r="Y1143" s="2" t="s">
        <v>719</v>
      </c>
      <c r="Z1143" s="2" t="s">
        <v>721</v>
      </c>
    </row>
    <row r="1144" spans="1:26" x14ac:dyDescent="0.35">
      <c r="A1144" s="7" t="s">
        <v>1558</v>
      </c>
      <c r="B1144" s="7" t="s">
        <v>1194</v>
      </c>
      <c r="C1144" s="4" t="str">
        <f>_xlfn.XLOOKUP(A1144,[2]Sheet2!$I$2:$I$1273,[2]Sheet2!$D$2:$D$1273,0)</f>
        <v>Q3</v>
      </c>
      <c r="D1144" s="4" t="str">
        <f>_xlfn.XLOOKUP(B1144,[4]Sheet2!$B$2:$B$3154,[4]Sheet2!$F$2:$F$3154,0)</f>
        <v>C/APP</v>
      </c>
      <c r="E1144" s="4" t="e">
        <f>_xlfn.XLOOKUP(B1144,[2]Sheet2!$E$2:$E$713,[2]Sheet2!$G$2:$G$713)</f>
        <v>#N/A</v>
      </c>
      <c r="F1144" s="18">
        <v>46116</v>
      </c>
      <c r="G1144" s="14">
        <v>0.63001157407407404</v>
      </c>
      <c r="H1144" s="7" t="s">
        <v>16</v>
      </c>
      <c r="I1144" s="2" t="str">
        <f t="shared" si="88"/>
        <v>Q3</v>
      </c>
      <c r="J1144" s="2" t="str">
        <f t="shared" si="89"/>
        <v>Match</v>
      </c>
      <c r="K1144" s="2">
        <f t="shared" si="90"/>
        <v>0.22360679774997899</v>
      </c>
      <c r="L1144" s="2" t="e">
        <f t="shared" si="91"/>
        <v>#N/A</v>
      </c>
      <c r="M1144" s="2" t="str">
        <f t="shared" si="92"/>
        <v>Failed but within quadrant</v>
      </c>
      <c r="N1144" s="7">
        <v>14</v>
      </c>
      <c r="O1144" s="7">
        <v>-0.5</v>
      </c>
      <c r="P1144" s="7">
        <v>-2.1</v>
      </c>
      <c r="Q1144" s="7">
        <v>-1.43</v>
      </c>
      <c r="R1144" s="7">
        <v>-0.1</v>
      </c>
      <c r="S1144" s="7">
        <v>-0.2</v>
      </c>
      <c r="T1144" s="7">
        <v>0.32</v>
      </c>
      <c r="U1144" s="7">
        <v>-0.18</v>
      </c>
      <c r="V1144" s="7">
        <v>1.48</v>
      </c>
      <c r="W1144" s="7" t="s">
        <v>6</v>
      </c>
      <c r="X1144" s="7" t="s">
        <v>15</v>
      </c>
      <c r="Y1144" s="2" t="s">
        <v>719</v>
      </c>
      <c r="Z1144" s="2" t="s">
        <v>721</v>
      </c>
    </row>
    <row r="1145" spans="1:26" x14ac:dyDescent="0.35">
      <c r="A1145" s="7" t="s">
        <v>1768</v>
      </c>
      <c r="B1145" s="7" t="s">
        <v>1195</v>
      </c>
      <c r="C1145" s="4" t="str">
        <f>_xlfn.XLOOKUP(A1145,[2]Sheet2!$I$2:$I$1273,[2]Sheet2!$D$2:$D$1273,0)</f>
        <v>Q3</v>
      </c>
      <c r="D1145" s="4" t="str">
        <f>_xlfn.XLOOKUP(B1145,[4]Sheet2!$B$2:$B$3154,[4]Sheet2!$F$2:$F$3154,0)</f>
        <v>N/ App</v>
      </c>
      <c r="E1145" s="4" t="e">
        <f>_xlfn.XLOOKUP(B1145,[2]Sheet2!$E$2:$E$713,[2]Sheet2!$G$2:$G$713)</f>
        <v>#N/A</v>
      </c>
      <c r="F1145" s="18">
        <v>46116</v>
      </c>
      <c r="G1145" s="14">
        <v>0.63594907407407408</v>
      </c>
      <c r="H1145" s="7" t="s">
        <v>4</v>
      </c>
      <c r="I1145" s="2" t="str">
        <f t="shared" ref="I1145:I1206" si="93">IF(AND(R1145=0,S1145=0),IF(C1145="","Origin",C1145),
IF(AND(R1145&gt;0,S1145=0),"Q4",
IF(AND(R1145&lt;0,S1145=0),"Q3",
IF(AND(R1145&gt;=0,S1145&lt;0),"Q4",
IF(AND(R1145&gt;=0,S1145&gt;0),"Q1",
IF(AND(R1145&lt;0,S1145&lt;=0),"Q3",
IF(AND(R1145&lt;0,S1145&gt;0),"Q2",
"")))))))</f>
        <v>Q1</v>
      </c>
      <c r="J1145" s="2" t="str">
        <f t="shared" si="89"/>
        <v>Not Match</v>
      </c>
      <c r="K1145" s="2">
        <f t="shared" si="90"/>
        <v>1.5264337522473748</v>
      </c>
      <c r="L1145" s="2" t="e">
        <f t="shared" si="91"/>
        <v>#N/A</v>
      </c>
      <c r="M1145" s="2" t="str">
        <f t="shared" si="92"/>
        <v>Assign quadrant hit</v>
      </c>
      <c r="N1145" s="7">
        <v>30.7</v>
      </c>
      <c r="O1145" s="7">
        <v>40.200000000000003</v>
      </c>
      <c r="P1145" s="7">
        <v>16</v>
      </c>
      <c r="Q1145" s="7">
        <v>0.71</v>
      </c>
      <c r="R1145" s="7">
        <v>1.3</v>
      </c>
      <c r="S1145" s="7">
        <v>0.8</v>
      </c>
      <c r="T1145" s="7">
        <v>0.67</v>
      </c>
      <c r="U1145" s="7">
        <v>0.24</v>
      </c>
      <c r="V1145" s="7">
        <v>1.01</v>
      </c>
      <c r="W1145" s="7" t="s">
        <v>6</v>
      </c>
      <c r="X1145" s="7" t="s">
        <v>12</v>
      </c>
      <c r="Y1145" s="2" t="s">
        <v>719</v>
      </c>
      <c r="Z1145" s="2" t="s">
        <v>721</v>
      </c>
    </row>
    <row r="1146" spans="1:26" x14ac:dyDescent="0.35">
      <c r="A1146" s="7" t="s">
        <v>1559</v>
      </c>
      <c r="B1146" s="7" t="s">
        <v>1196</v>
      </c>
      <c r="C1146" s="4" t="str">
        <f>_xlfn.XLOOKUP(A1146,[2]Sheet2!$I$2:$I$1273,[2]Sheet2!$D$2:$D$1273,0)</f>
        <v>Q3</v>
      </c>
      <c r="D1146" s="4" t="str">
        <f>_xlfn.XLOOKUP(B1146,[4]Sheet2!$B$2:$B$3154,[4]Sheet2!$F$2:$F$3154,0)</f>
        <v>N/ App</v>
      </c>
      <c r="E1146" s="4" t="e">
        <f>_xlfn.XLOOKUP(B1146,[2]Sheet2!$E$2:$E$713,[2]Sheet2!$G$2:$G$713)</f>
        <v>#N/A</v>
      </c>
      <c r="F1146" s="18">
        <v>46116</v>
      </c>
      <c r="G1146" s="14">
        <v>0.65872685185185187</v>
      </c>
      <c r="H1146" s="7" t="s">
        <v>11</v>
      </c>
      <c r="I1146" s="2" t="str">
        <f t="shared" si="93"/>
        <v>Q4</v>
      </c>
      <c r="J1146" s="2" t="str">
        <f t="shared" si="89"/>
        <v>Not Match</v>
      </c>
      <c r="K1146" s="2">
        <f t="shared" si="90"/>
        <v>0.1</v>
      </c>
      <c r="L1146" s="2" t="e">
        <f t="shared" si="91"/>
        <v>#N/A</v>
      </c>
      <c r="M1146" s="2" t="str">
        <f t="shared" si="92"/>
        <v>Assign quadrant hit</v>
      </c>
      <c r="N1146" s="7">
        <v>16.7</v>
      </c>
      <c r="O1146" s="7">
        <v>-0.6</v>
      </c>
      <c r="P1146" s="7">
        <v>-3</v>
      </c>
      <c r="Q1146" s="7">
        <v>-0.94</v>
      </c>
      <c r="R1146" s="7">
        <v>0</v>
      </c>
      <c r="S1146" s="7">
        <v>-0.1</v>
      </c>
      <c r="T1146" s="7">
        <v>0.19</v>
      </c>
      <c r="U1146" s="7">
        <v>0.1</v>
      </c>
      <c r="V1146" s="7">
        <v>0.97</v>
      </c>
      <c r="W1146" s="7" t="s">
        <v>13</v>
      </c>
      <c r="X1146" s="7" t="s">
        <v>9</v>
      </c>
      <c r="Y1146" s="2" t="s">
        <v>719</v>
      </c>
      <c r="Z1146" s="2" t="s">
        <v>721</v>
      </c>
    </row>
    <row r="1147" spans="1:26" x14ac:dyDescent="0.35">
      <c r="A1147" s="7" t="s">
        <v>1625</v>
      </c>
      <c r="B1147" s="7" t="s">
        <v>1197</v>
      </c>
      <c r="C1147" s="4" t="str">
        <f>_xlfn.XLOOKUP(A1147,[2]Sheet2!$I$2:$I$1273,[2]Sheet2!$D$2:$D$1273,0)</f>
        <v>Q1</v>
      </c>
      <c r="D1147" s="4" t="str">
        <f>_xlfn.XLOOKUP(B1147,[4]Sheet2!$B$2:$B$3154,[4]Sheet2!$F$2:$F$3154,0)</f>
        <v>N/ App</v>
      </c>
      <c r="E1147" s="4" t="e">
        <f>_xlfn.XLOOKUP(B1147,[2]Sheet2!$E$2:$E$713,[2]Sheet2!$G$2:$G$713)</f>
        <v>#N/A</v>
      </c>
      <c r="F1147" s="18">
        <v>46116</v>
      </c>
      <c r="G1147" s="14">
        <v>0.67339120370370376</v>
      </c>
      <c r="H1147" s="7" t="s">
        <v>4</v>
      </c>
      <c r="I1147" s="2" t="str">
        <f t="shared" si="93"/>
        <v>Q1</v>
      </c>
      <c r="J1147" s="2" t="str">
        <f t="shared" si="89"/>
        <v>Match</v>
      </c>
      <c r="K1147" s="2">
        <f t="shared" si="90"/>
        <v>0</v>
      </c>
      <c r="L1147" s="2" t="e">
        <f t="shared" si="91"/>
        <v>#N/A</v>
      </c>
      <c r="M1147" s="2" t="str">
        <f t="shared" si="92"/>
        <v>Digital Approve Hit</v>
      </c>
      <c r="N1147" s="7">
        <v>21.4</v>
      </c>
      <c r="O1147" s="7">
        <v>0</v>
      </c>
      <c r="P1147" s="7">
        <v>-2.7</v>
      </c>
      <c r="Q1147" s="7">
        <v>0.48</v>
      </c>
      <c r="R1147" s="7">
        <v>0</v>
      </c>
      <c r="S1147" s="7">
        <v>0</v>
      </c>
      <c r="T1147" s="7">
        <v>-0.05</v>
      </c>
      <c r="U1147" s="7">
        <v>0.01</v>
      </c>
      <c r="V1147" s="7">
        <v>0.49</v>
      </c>
      <c r="W1147" s="7" t="s">
        <v>8</v>
      </c>
      <c r="X1147" s="7" t="s">
        <v>9</v>
      </c>
      <c r="Y1147" s="2" t="s">
        <v>719</v>
      </c>
      <c r="Z1147" s="2" t="s">
        <v>721</v>
      </c>
    </row>
    <row r="1148" spans="1:26" x14ac:dyDescent="0.35">
      <c r="A1148" s="7" t="s">
        <v>1662</v>
      </c>
      <c r="B1148" s="7" t="s">
        <v>1198</v>
      </c>
      <c r="C1148" s="4" t="str">
        <f>_xlfn.XLOOKUP(A1148,[2]Sheet2!$I$2:$I$1273,[2]Sheet2!$D$2:$D$1273,0)</f>
        <v>Q1</v>
      </c>
      <c r="D1148" s="4" t="str">
        <f>_xlfn.XLOOKUP(B1148,[4]Sheet2!$B$2:$B$3154,[4]Sheet2!$F$2:$F$3154,0)</f>
        <v>N/ App</v>
      </c>
      <c r="E1148" s="4" t="e">
        <f>_xlfn.XLOOKUP(B1148,[2]Sheet2!$E$2:$E$713,[2]Sheet2!$G$2:$G$713)</f>
        <v>#N/A</v>
      </c>
      <c r="F1148" s="18">
        <v>46116</v>
      </c>
      <c r="G1148" s="14">
        <v>0.70336805555555559</v>
      </c>
      <c r="H1148" s="7" t="s">
        <v>4</v>
      </c>
      <c r="I1148" s="2" t="str">
        <f t="shared" si="93"/>
        <v>Q4</v>
      </c>
      <c r="J1148" s="2" t="str">
        <f t="shared" si="89"/>
        <v>Not Match</v>
      </c>
      <c r="K1148" s="2">
        <f t="shared" si="90"/>
        <v>0.2</v>
      </c>
      <c r="L1148" s="2" t="e">
        <f t="shared" si="91"/>
        <v>#N/A</v>
      </c>
      <c r="M1148" s="2" t="str">
        <f t="shared" si="92"/>
        <v>Below 0.8 not in assigned quadrant</v>
      </c>
      <c r="N1148" s="7">
        <v>17.7</v>
      </c>
      <c r="O1148" s="7">
        <v>-1</v>
      </c>
      <c r="P1148" s="7">
        <v>-1.3</v>
      </c>
      <c r="Q1148" s="7">
        <v>-0.12</v>
      </c>
      <c r="R1148" s="7">
        <v>0.2</v>
      </c>
      <c r="S1148" s="7">
        <v>0</v>
      </c>
      <c r="T1148" s="7">
        <v>-0.17</v>
      </c>
      <c r="U1148" s="7">
        <v>0.32</v>
      </c>
      <c r="V1148" s="7">
        <v>0.39</v>
      </c>
      <c r="W1148" s="7" t="s">
        <v>8</v>
      </c>
      <c r="X1148" s="7" t="s">
        <v>7</v>
      </c>
      <c r="Y1148" s="2" t="s">
        <v>719</v>
      </c>
      <c r="Z1148" s="2" t="s">
        <v>721</v>
      </c>
    </row>
    <row r="1149" spans="1:26" x14ac:dyDescent="0.35">
      <c r="A1149" s="7" t="s">
        <v>1559</v>
      </c>
      <c r="B1149" s="7" t="s">
        <v>1191</v>
      </c>
      <c r="C1149" s="4" t="str">
        <f>_xlfn.XLOOKUP(A1149,[2]Sheet2!$I$2:$I$1273,[2]Sheet2!$D$2:$D$1273,0)</f>
        <v>Q3</v>
      </c>
      <c r="D1149" s="4" t="str">
        <f>_xlfn.XLOOKUP(B1149,[4]Sheet2!$B$2:$B$3154,[4]Sheet2!$F$2:$F$3154,0)</f>
        <v>N/ App</v>
      </c>
      <c r="E1149" s="4" t="e">
        <f>_xlfn.XLOOKUP(B1149,[2]Sheet2!$E$2:$E$713,[2]Sheet2!$G$2:$G$713)</f>
        <v>#N/A</v>
      </c>
      <c r="F1149" s="18">
        <v>46116</v>
      </c>
      <c r="G1149" s="14">
        <v>0.70633101851851854</v>
      </c>
      <c r="H1149" s="7" t="s">
        <v>11</v>
      </c>
      <c r="I1149" s="2" t="str">
        <f t="shared" si="93"/>
        <v>Q4</v>
      </c>
      <c r="J1149" s="2" t="str">
        <f t="shared" si="89"/>
        <v>Not Match</v>
      </c>
      <c r="K1149" s="2">
        <f t="shared" si="90"/>
        <v>0.1</v>
      </c>
      <c r="L1149" s="2" t="e">
        <f t="shared" si="91"/>
        <v>#N/A</v>
      </c>
      <c r="M1149" s="2" t="str">
        <f t="shared" si="92"/>
        <v>Below 0.8 not in assigned quadrant</v>
      </c>
      <c r="N1149" s="7">
        <v>17.5</v>
      </c>
      <c r="O1149" s="7">
        <v>-0.5</v>
      </c>
      <c r="P1149" s="7">
        <v>-3</v>
      </c>
      <c r="Q1149" s="7">
        <v>-0.19</v>
      </c>
      <c r="R1149" s="7">
        <v>0</v>
      </c>
      <c r="S1149" s="7">
        <v>-0.1</v>
      </c>
      <c r="T1149" s="7">
        <v>0.18</v>
      </c>
      <c r="U1149" s="7">
        <v>0.15</v>
      </c>
      <c r="V1149" s="7">
        <v>0.3</v>
      </c>
      <c r="W1149" s="7" t="s">
        <v>8</v>
      </c>
      <c r="X1149" s="7" t="s">
        <v>9</v>
      </c>
      <c r="Y1149" s="2" t="s">
        <v>719</v>
      </c>
      <c r="Z1149" s="2" t="s">
        <v>721</v>
      </c>
    </row>
    <row r="1150" spans="1:26" x14ac:dyDescent="0.35">
      <c r="A1150" s="7" t="s">
        <v>1599</v>
      </c>
      <c r="B1150" s="7" t="s">
        <v>1199</v>
      </c>
      <c r="C1150" s="4" t="e">
        <f>_xlfn.XLOOKUP(A1150,[2]Sheet2!$I$2:$I$1273,[2]Sheet2!$D$2:$D$1273,0)</f>
        <v>#REF!</v>
      </c>
      <c r="D1150" s="4" t="str">
        <f>_xlfn.XLOOKUP(B1150,[4]Sheet2!$B$2:$B$3154,[4]Sheet2!$F$2:$F$3154,0)</f>
        <v>N/ App</v>
      </c>
      <c r="E1150" s="4" t="e">
        <f>_xlfn.XLOOKUP(B1150,[2]Sheet2!$E$2:$E$713,[2]Sheet2!$G$2:$G$713)</f>
        <v>#N/A</v>
      </c>
      <c r="F1150" s="18">
        <v>46116</v>
      </c>
      <c r="G1150" s="14">
        <v>0.72715277777777776</v>
      </c>
      <c r="H1150" s="7" t="s">
        <v>16</v>
      </c>
      <c r="I1150" s="2" t="str">
        <f t="shared" si="93"/>
        <v>Q4</v>
      </c>
      <c r="J1150" s="2" t="e">
        <f t="shared" si="89"/>
        <v>#REF!</v>
      </c>
      <c r="K1150" s="2">
        <f t="shared" si="90"/>
        <v>0.2</v>
      </c>
      <c r="L1150" s="2" t="e">
        <f t="shared" si="91"/>
        <v>#N/A</v>
      </c>
      <c r="M1150" s="2" t="e">
        <f t="shared" si="92"/>
        <v>#REF!</v>
      </c>
      <c r="N1150" s="7">
        <v>25.6</v>
      </c>
      <c r="O1150" s="7">
        <v>1.4</v>
      </c>
      <c r="P1150" s="7">
        <v>9</v>
      </c>
      <c r="Q1150" s="7">
        <v>0.03</v>
      </c>
      <c r="R1150" s="7">
        <v>0</v>
      </c>
      <c r="S1150" s="7">
        <v>-0.2</v>
      </c>
      <c r="T1150" s="7">
        <v>-0.21</v>
      </c>
      <c r="U1150" s="7">
        <v>-0.15</v>
      </c>
      <c r="V1150" s="7">
        <v>0.26</v>
      </c>
      <c r="W1150" s="7" t="s">
        <v>8</v>
      </c>
      <c r="X1150" s="7" t="s">
        <v>9</v>
      </c>
      <c r="Y1150" s="2" t="s">
        <v>719</v>
      </c>
      <c r="Z1150" s="2" t="s">
        <v>721</v>
      </c>
    </row>
    <row r="1151" spans="1:26" x14ac:dyDescent="0.35">
      <c r="A1151" s="7" t="s">
        <v>1769</v>
      </c>
      <c r="B1151" s="7" t="s">
        <v>1200</v>
      </c>
      <c r="C1151" s="4">
        <f>_xlfn.XLOOKUP(A1151,[2]Sheet2!$I$2:$I$1273,[2]Sheet2!$D$2:$D$1273,0)</f>
        <v>0</v>
      </c>
      <c r="D1151" s="4" t="str">
        <f>_xlfn.XLOOKUP(B1151,[4]Sheet2!$B$2:$B$3154,[4]Sheet2!$F$2:$F$3154,0)</f>
        <v>N/ App</v>
      </c>
      <c r="E1151" s="4" t="e">
        <f>_xlfn.XLOOKUP(B1151,[2]Sheet2!$E$2:$E$713,[2]Sheet2!$G$2:$G$713)</f>
        <v>#N/A</v>
      </c>
      <c r="F1151" s="18">
        <v>46116</v>
      </c>
      <c r="G1151" s="14">
        <v>0.7505208333333333</v>
      </c>
      <c r="H1151" s="7" t="s">
        <v>5</v>
      </c>
      <c r="I1151" s="2" t="str">
        <f t="shared" si="93"/>
        <v>Q2</v>
      </c>
      <c r="J1151" s="2" t="str">
        <f t="shared" si="89"/>
        <v>Not Found</v>
      </c>
      <c r="K1151" s="2">
        <f t="shared" si="90"/>
        <v>1.004987562112089</v>
      </c>
      <c r="L1151" s="2" t="e">
        <f t="shared" si="91"/>
        <v>#N/A</v>
      </c>
      <c r="M1151" s="2" t="str">
        <f t="shared" si="92"/>
        <v>Assign quadrant hit</v>
      </c>
      <c r="N1151" s="7">
        <v>25</v>
      </c>
      <c r="O1151" s="7">
        <v>2.8</v>
      </c>
      <c r="P1151" s="7">
        <v>-20.399999999999999</v>
      </c>
      <c r="Q1151" s="7">
        <v>-0.43</v>
      </c>
      <c r="R1151" s="7">
        <v>-0.1</v>
      </c>
      <c r="S1151" s="7">
        <v>1</v>
      </c>
      <c r="T1151" s="7">
        <v>-0.62</v>
      </c>
      <c r="U1151" s="7">
        <v>-0.04</v>
      </c>
      <c r="V1151" s="7">
        <v>0.75</v>
      </c>
      <c r="W1151" s="7" t="s">
        <v>13</v>
      </c>
      <c r="X1151" s="7" t="s">
        <v>15</v>
      </c>
      <c r="Y1151" s="2" t="s">
        <v>719</v>
      </c>
      <c r="Z1151" s="2" t="s">
        <v>721</v>
      </c>
    </row>
    <row r="1152" spans="1:26" x14ac:dyDescent="0.35">
      <c r="A1152" s="7" t="s">
        <v>1770</v>
      </c>
      <c r="B1152" s="7" t="s">
        <v>1201</v>
      </c>
      <c r="C1152" s="4">
        <f>_xlfn.XLOOKUP(A1152,[2]Sheet2!$I$2:$I$1273,[2]Sheet2!$D$2:$D$1273,0)</f>
        <v>0</v>
      </c>
      <c r="D1152" s="4" t="str">
        <f>_xlfn.XLOOKUP(B1152,[4]Sheet2!$B$2:$B$3154,[4]Sheet2!$F$2:$F$3154,0)</f>
        <v>N/ App</v>
      </c>
      <c r="E1152" s="4" t="e">
        <f>_xlfn.XLOOKUP(B1152,[2]Sheet2!$E$2:$E$713,[2]Sheet2!$G$2:$G$713)</f>
        <v>#N/A</v>
      </c>
      <c r="F1152" s="18">
        <v>46116</v>
      </c>
      <c r="G1152" s="14">
        <v>0.76256944444444441</v>
      </c>
      <c r="H1152" s="7" t="s">
        <v>5</v>
      </c>
      <c r="I1152" s="2" t="str">
        <f t="shared" si="93"/>
        <v>Q1</v>
      </c>
      <c r="J1152" s="2" t="str">
        <f t="shared" si="89"/>
        <v>Not Found</v>
      </c>
      <c r="K1152" s="2">
        <f t="shared" si="90"/>
        <v>0.36055512754639896</v>
      </c>
      <c r="L1152" s="2" t="e">
        <f t="shared" si="91"/>
        <v>#N/A</v>
      </c>
      <c r="M1152" s="2" t="str">
        <f t="shared" si="92"/>
        <v>Assign quadrant hit</v>
      </c>
      <c r="N1152" s="7">
        <v>18.399999999999999</v>
      </c>
      <c r="O1152" s="7">
        <v>-0.6</v>
      </c>
      <c r="P1152" s="7">
        <v>-2.5</v>
      </c>
      <c r="Q1152" s="7">
        <v>-0.14000000000000001</v>
      </c>
      <c r="R1152" s="7">
        <v>0.3</v>
      </c>
      <c r="S1152" s="7">
        <v>0.2</v>
      </c>
      <c r="T1152" s="7">
        <v>-0.44</v>
      </c>
      <c r="U1152" s="7">
        <v>0.28999999999999998</v>
      </c>
      <c r="V1152" s="7">
        <v>0.54</v>
      </c>
      <c r="W1152" s="7" t="s">
        <v>8</v>
      </c>
      <c r="X1152" s="7" t="s">
        <v>9</v>
      </c>
      <c r="Y1152" s="2" t="s">
        <v>719</v>
      </c>
      <c r="Z1152" s="2" t="s">
        <v>721</v>
      </c>
    </row>
    <row r="1153" spans="1:26" x14ac:dyDescent="0.35">
      <c r="A1153" s="7" t="s">
        <v>1771</v>
      </c>
      <c r="B1153" s="7" t="s">
        <v>1202</v>
      </c>
      <c r="C1153" s="4" t="str">
        <f>_xlfn.XLOOKUP(A1153,[2]Sheet2!$I$2:$I$1273,[2]Sheet2!$D$2:$D$1273,0)</f>
        <v>Q2</v>
      </c>
      <c r="D1153" s="4" t="str">
        <f>_xlfn.XLOOKUP(B1153,[4]Sheet2!$B$2:$B$3154,[4]Sheet2!$F$2:$F$3154,0)</f>
        <v>N/ App</v>
      </c>
      <c r="E1153" s="4" t="e">
        <f>_xlfn.XLOOKUP(B1153,[2]Sheet2!$E$2:$E$713,[2]Sheet2!$G$2:$G$713)</f>
        <v>#N/A</v>
      </c>
      <c r="F1153" s="18">
        <v>46118</v>
      </c>
      <c r="G1153" s="14">
        <v>0.68381944444444442</v>
      </c>
      <c r="H1153" s="7" t="s">
        <v>5</v>
      </c>
      <c r="I1153" s="2" t="str">
        <f t="shared" si="93"/>
        <v>Q3</v>
      </c>
      <c r="J1153" s="2" t="str">
        <f t="shared" si="89"/>
        <v>Not Match</v>
      </c>
      <c r="K1153" s="2">
        <f t="shared" si="90"/>
        <v>0.22360679774997899</v>
      </c>
      <c r="L1153" s="2" t="e">
        <f t="shared" si="91"/>
        <v>#N/A</v>
      </c>
      <c r="M1153" s="2" t="str">
        <f t="shared" si="92"/>
        <v>Below 0.8 not in assigned quadrant</v>
      </c>
      <c r="N1153" s="7">
        <v>21</v>
      </c>
      <c r="O1153" s="7">
        <v>4.7</v>
      </c>
      <c r="P1153" s="7">
        <v>1.4</v>
      </c>
      <c r="Q1153" s="7">
        <v>-0.08</v>
      </c>
      <c r="R1153" s="7">
        <v>-0.2</v>
      </c>
      <c r="S1153" s="7">
        <v>-0.1</v>
      </c>
      <c r="T1153" s="7">
        <v>-0.33</v>
      </c>
      <c r="U1153" s="7">
        <v>-0.09</v>
      </c>
      <c r="V1153" s="7">
        <v>0.35</v>
      </c>
      <c r="W1153" s="7" t="s">
        <v>8</v>
      </c>
      <c r="X1153" s="7" t="s">
        <v>7</v>
      </c>
      <c r="Y1153" s="2" t="s">
        <v>719</v>
      </c>
      <c r="Z1153" s="2" t="s">
        <v>721</v>
      </c>
    </row>
    <row r="1154" spans="1:26" x14ac:dyDescent="0.35">
      <c r="A1154" s="7" t="s">
        <v>1673</v>
      </c>
      <c r="B1154" s="7" t="s">
        <v>1203</v>
      </c>
      <c r="C1154" s="4" t="str">
        <f>_xlfn.XLOOKUP(A1154,[2]Sheet2!$I$2:$I$1273,[2]Sheet2!$D$2:$D$1273,0)</f>
        <v>Q1</v>
      </c>
      <c r="D1154" s="4" t="str">
        <f>_xlfn.XLOOKUP(B1154,[4]Sheet2!$B$2:$B$3154,[4]Sheet2!$F$2:$F$3154,0)</f>
        <v>N/ App</v>
      </c>
      <c r="E1154" s="4">
        <f>_xlfn.XLOOKUP(B1154,[2]Sheet2!$E$2:$E$713,[2]Sheet2!$G$2:$G$713)</f>
        <v>0.8</v>
      </c>
      <c r="F1154" s="18">
        <v>46118</v>
      </c>
      <c r="G1154" s="14">
        <v>0.68817129629629625</v>
      </c>
      <c r="H1154" s="7" t="s">
        <v>4</v>
      </c>
      <c r="I1154" s="2" t="str">
        <f t="shared" si="93"/>
        <v>Q3</v>
      </c>
      <c r="J1154" s="2" t="str">
        <f t="shared" si="89"/>
        <v>Not Match</v>
      </c>
      <c r="K1154" s="2">
        <f t="shared" si="90"/>
        <v>0.1</v>
      </c>
      <c r="L1154" s="2" t="str">
        <f t="shared" si="91"/>
        <v>Within Range</v>
      </c>
      <c r="M1154" s="2" t="str">
        <f t="shared" si="92"/>
        <v>Below 0.8 not in assigned quadrant</v>
      </c>
      <c r="N1154" s="7">
        <v>15.1</v>
      </c>
      <c r="O1154" s="7">
        <v>-0.8</v>
      </c>
      <c r="P1154" s="7">
        <v>-1.6</v>
      </c>
      <c r="Q1154" s="7">
        <v>-0.33</v>
      </c>
      <c r="R1154" s="7">
        <v>-0.1</v>
      </c>
      <c r="S1154" s="7">
        <v>0</v>
      </c>
      <c r="T1154" s="7">
        <v>0.19</v>
      </c>
      <c r="U1154" s="7">
        <v>-0.19</v>
      </c>
      <c r="V1154" s="7">
        <v>0.43</v>
      </c>
      <c r="W1154" s="7" t="s">
        <v>8</v>
      </c>
      <c r="X1154" s="7" t="s">
        <v>15</v>
      </c>
      <c r="Y1154" s="2" t="s">
        <v>719</v>
      </c>
      <c r="Z1154" s="2" t="s">
        <v>721</v>
      </c>
    </row>
    <row r="1155" spans="1:26" x14ac:dyDescent="0.35">
      <c r="A1155" s="7" t="s">
        <v>1709</v>
      </c>
      <c r="B1155" s="7" t="s">
        <v>1204</v>
      </c>
      <c r="C1155" s="4" t="str">
        <f>_xlfn.XLOOKUP(A1155,[2]Sheet2!$I$2:$I$1273,[2]Sheet2!$D$2:$D$1273,0)</f>
        <v>Q2</v>
      </c>
      <c r="D1155" s="4" t="str">
        <f>_xlfn.XLOOKUP(B1155,[4]Sheet2!$B$2:$B$3154,[4]Sheet2!$F$2:$F$3154,0)</f>
        <v>C/APP</v>
      </c>
      <c r="E1155" s="4" t="e">
        <f>_xlfn.XLOOKUP(B1155,[2]Sheet2!$E$2:$E$713,[2]Sheet2!$G$2:$G$713)</f>
        <v>#N/A</v>
      </c>
      <c r="F1155" s="18">
        <v>46118</v>
      </c>
      <c r="G1155" s="14">
        <v>0.69092592592592594</v>
      </c>
      <c r="H1155" s="7" t="s">
        <v>14</v>
      </c>
      <c r="I1155" s="2" t="str">
        <f t="shared" si="93"/>
        <v>Q3</v>
      </c>
      <c r="J1155" s="2" t="str">
        <f t="shared" ref="J1155:J1218" si="94">IF(I1155=C1155,"Match",IF(C1155=0,"Not Found","Not Match"))</f>
        <v>Not Match</v>
      </c>
      <c r="K1155" s="2">
        <f t="shared" ref="K1155:K1216" si="95">SQRT(R1155^2+S1155^2)</f>
        <v>0.2</v>
      </c>
      <c r="L1155" s="2" t="e">
        <f t="shared" ref="L1155:L1216" si="96">IF(K1155&lt;=E1155,"Within Range","Over Range")</f>
        <v>#N/A</v>
      </c>
      <c r="M1155" s="2" t="str">
        <f t="shared" ref="M1155:M1216" si="97">IF(AND(J1155="Match",V1155&lt;=0.8),"Digital Approve Hit",
IF(AND(J1155="Match",V1155&gt;0.8),"Failed but within quadrant",
IF(AND(J1155="Not Match",V1155&lt;=0.8),"Below 0.8 not in assigned quadrant",
"Assign quadrant hit")))</f>
        <v>Assign quadrant hit</v>
      </c>
      <c r="N1155" s="7">
        <v>12.5</v>
      </c>
      <c r="O1155" s="7">
        <v>-0.4</v>
      </c>
      <c r="P1155" s="7">
        <v>-3</v>
      </c>
      <c r="Q1155" s="7">
        <v>-0.76</v>
      </c>
      <c r="R1155" s="7">
        <v>-0.2</v>
      </c>
      <c r="S1155" s="7">
        <v>0</v>
      </c>
      <c r="T1155" s="7">
        <v>0.13</v>
      </c>
      <c r="U1155" s="7">
        <v>-0.28999999999999998</v>
      </c>
      <c r="V1155" s="7">
        <v>0.82</v>
      </c>
      <c r="W1155" s="7" t="s">
        <v>13</v>
      </c>
      <c r="X1155" s="7" t="s">
        <v>15</v>
      </c>
      <c r="Y1155" s="2" t="s">
        <v>719</v>
      </c>
      <c r="Z1155" s="2" t="s">
        <v>721</v>
      </c>
    </row>
    <row r="1156" spans="1:26" x14ac:dyDescent="0.35">
      <c r="A1156" s="7" t="s">
        <v>1625</v>
      </c>
      <c r="B1156" s="7" t="s">
        <v>1205</v>
      </c>
      <c r="C1156" s="4" t="str">
        <f>_xlfn.XLOOKUP(A1156,[2]Sheet2!$I$2:$I$1273,[2]Sheet2!$D$2:$D$1273,0)</f>
        <v>Q1</v>
      </c>
      <c r="D1156" s="4" t="str">
        <f>_xlfn.XLOOKUP(B1156,[4]Sheet2!$B$2:$B$3154,[4]Sheet2!$F$2:$F$3154,0)</f>
        <v>N/ App</v>
      </c>
      <c r="E1156" s="4" t="e">
        <f>_xlfn.XLOOKUP(B1156,[2]Sheet2!$E$2:$E$713,[2]Sheet2!$G$2:$G$713)</f>
        <v>#N/A</v>
      </c>
      <c r="F1156" s="18">
        <v>46118</v>
      </c>
      <c r="G1156" s="14">
        <v>0.69417824074074075</v>
      </c>
      <c r="H1156" s="7" t="s">
        <v>4</v>
      </c>
      <c r="I1156" s="2" t="str">
        <f t="shared" si="93"/>
        <v>Q1</v>
      </c>
      <c r="J1156" s="2" t="str">
        <f t="shared" si="94"/>
        <v>Match</v>
      </c>
      <c r="K1156" s="2">
        <f t="shared" si="95"/>
        <v>0</v>
      </c>
      <c r="L1156" s="2" t="e">
        <f t="shared" si="96"/>
        <v>#N/A</v>
      </c>
      <c r="M1156" s="2" t="str">
        <f t="shared" si="97"/>
        <v>Digital Approve Hit</v>
      </c>
      <c r="N1156" s="7">
        <v>21.8</v>
      </c>
      <c r="O1156" s="7">
        <v>0</v>
      </c>
      <c r="P1156" s="7">
        <v>-2.9</v>
      </c>
      <c r="Q1156" s="7">
        <v>0.76</v>
      </c>
      <c r="R1156" s="7">
        <v>0</v>
      </c>
      <c r="S1156" s="7">
        <v>0</v>
      </c>
      <c r="T1156" s="7">
        <v>0.1</v>
      </c>
      <c r="U1156" s="7">
        <v>0.08</v>
      </c>
      <c r="V1156" s="7">
        <v>0.77</v>
      </c>
      <c r="W1156" s="7" t="s">
        <v>13</v>
      </c>
      <c r="X1156" s="7" t="s">
        <v>9</v>
      </c>
      <c r="Y1156" s="2" t="s">
        <v>719</v>
      </c>
      <c r="Z1156" s="2" t="s">
        <v>721</v>
      </c>
    </row>
    <row r="1157" spans="1:26" x14ac:dyDescent="0.35">
      <c r="A1157" s="7" t="s">
        <v>1539</v>
      </c>
      <c r="B1157" s="7" t="s">
        <v>1206</v>
      </c>
      <c r="C1157" s="4" t="str">
        <f>_xlfn.XLOOKUP(A1157,[2]Sheet2!$I$2:$I$1273,[2]Sheet2!$D$2:$D$1273,0)</f>
        <v>Q4</v>
      </c>
      <c r="D1157" s="4" t="str">
        <f>_xlfn.XLOOKUP(B1157,[4]Sheet2!$B$2:$B$3154,[4]Sheet2!$F$2:$F$3154,0)</f>
        <v>C/APP</v>
      </c>
      <c r="E1157" s="4" t="e">
        <f>_xlfn.XLOOKUP(B1157,[2]Sheet2!$E$2:$E$713,[2]Sheet2!$G$2:$G$713)</f>
        <v>#N/A</v>
      </c>
      <c r="F1157" s="18">
        <v>46118</v>
      </c>
      <c r="G1157" s="14">
        <v>0.75722222222222224</v>
      </c>
      <c r="H1157" s="7" t="s">
        <v>16</v>
      </c>
      <c r="I1157" s="2" t="str">
        <f t="shared" si="93"/>
        <v>Q4</v>
      </c>
      <c r="J1157" s="2" t="str">
        <f t="shared" si="94"/>
        <v>Match</v>
      </c>
      <c r="K1157" s="2">
        <f t="shared" si="95"/>
        <v>0</v>
      </c>
      <c r="L1157" s="2" t="e">
        <f t="shared" si="96"/>
        <v>#N/A</v>
      </c>
      <c r="M1157" s="2" t="str">
        <f t="shared" si="97"/>
        <v>Digital Approve Hit</v>
      </c>
      <c r="N1157" s="7">
        <v>33.299999999999997</v>
      </c>
      <c r="O1157" s="7">
        <v>-0.4</v>
      </c>
      <c r="P1157" s="7">
        <v>3</v>
      </c>
      <c r="Q1157" s="7">
        <v>-0.38</v>
      </c>
      <c r="R1157" s="7">
        <v>0</v>
      </c>
      <c r="S1157" s="7">
        <v>0</v>
      </c>
      <c r="T1157" s="7">
        <v>0</v>
      </c>
      <c r="U1157" s="7">
        <v>-7.0000000000000007E-2</v>
      </c>
      <c r="V1157" s="7">
        <v>0.39</v>
      </c>
      <c r="W1157" s="7" t="s">
        <v>8</v>
      </c>
      <c r="X1157" s="7" t="s">
        <v>12</v>
      </c>
      <c r="Y1157" s="2" t="s">
        <v>719</v>
      </c>
      <c r="Z1157" s="2" t="s">
        <v>721</v>
      </c>
    </row>
    <row r="1158" spans="1:26" x14ac:dyDescent="0.35">
      <c r="A1158" s="7" t="s">
        <v>1559</v>
      </c>
      <c r="B1158" s="7" t="s">
        <v>1207</v>
      </c>
      <c r="C1158" s="4" t="str">
        <f>_xlfn.XLOOKUP(A1158,[2]Sheet2!$I$2:$I$1273,[2]Sheet2!$D$2:$D$1273,0)</f>
        <v>Q3</v>
      </c>
      <c r="D1158" s="4" t="str">
        <f>_xlfn.XLOOKUP(B1158,[4]Sheet2!$B$2:$B$3154,[4]Sheet2!$F$2:$F$3154,0)</f>
        <v>N/ App</v>
      </c>
      <c r="E1158" s="4" t="e">
        <f>_xlfn.XLOOKUP(B1158,[2]Sheet2!$E$2:$E$713,[2]Sheet2!$G$2:$G$713)</f>
        <v>#N/A</v>
      </c>
      <c r="F1158" s="18">
        <v>46118</v>
      </c>
      <c r="G1158" s="14">
        <v>0.76344907407407403</v>
      </c>
      <c r="H1158" s="7" t="s">
        <v>11</v>
      </c>
      <c r="I1158" s="2" t="str">
        <f t="shared" si="93"/>
        <v>Q4</v>
      </c>
      <c r="J1158" s="2" t="str">
        <f t="shared" si="94"/>
        <v>Not Match</v>
      </c>
      <c r="K1158" s="2">
        <f t="shared" si="95"/>
        <v>0.1</v>
      </c>
      <c r="L1158" s="2" t="e">
        <f t="shared" si="96"/>
        <v>#N/A</v>
      </c>
      <c r="M1158" s="2" t="str">
        <f t="shared" si="97"/>
        <v>Below 0.8 not in assigned quadrant</v>
      </c>
      <c r="N1158" s="7">
        <v>17.100000000000001</v>
      </c>
      <c r="O1158" s="7">
        <v>-0.6</v>
      </c>
      <c r="P1158" s="7">
        <v>-3</v>
      </c>
      <c r="Q1158" s="7">
        <v>-0.55000000000000004</v>
      </c>
      <c r="R1158" s="7">
        <v>0</v>
      </c>
      <c r="S1158" s="7">
        <v>-0.1</v>
      </c>
      <c r="T1158" s="7">
        <v>0.19</v>
      </c>
      <c r="U1158" s="7">
        <v>7.0000000000000007E-2</v>
      </c>
      <c r="V1158" s="7">
        <v>0.59</v>
      </c>
      <c r="W1158" s="7" t="s">
        <v>8</v>
      </c>
      <c r="X1158" s="7" t="s">
        <v>9</v>
      </c>
      <c r="Y1158" s="2" t="s">
        <v>719</v>
      </c>
      <c r="Z1158" s="2" t="s">
        <v>721</v>
      </c>
    </row>
    <row r="1159" spans="1:26" x14ac:dyDescent="0.35">
      <c r="A1159" s="7" t="s">
        <v>1536</v>
      </c>
      <c r="B1159" s="7" t="s">
        <v>1208</v>
      </c>
      <c r="C1159" s="4" t="str">
        <f>_xlfn.XLOOKUP(A1159,[2]Sheet2!$I$2:$I$1273,[2]Sheet2!$D$2:$D$1273,0)</f>
        <v>Q2</v>
      </c>
      <c r="D1159" s="4" t="str">
        <f>_xlfn.XLOOKUP(B1159,[4]Sheet2!$B$2:$B$3154,[4]Sheet2!$F$2:$F$3154,0)</f>
        <v>N/ App</v>
      </c>
      <c r="E1159" s="4" t="e">
        <f>_xlfn.XLOOKUP(B1159,[2]Sheet2!$E$2:$E$713,[2]Sheet2!$G$2:$G$713)</f>
        <v>#N/A</v>
      </c>
      <c r="F1159" s="18">
        <v>46118</v>
      </c>
      <c r="G1159" s="14">
        <v>0.76565972222222223</v>
      </c>
      <c r="H1159" s="7" t="s">
        <v>5</v>
      </c>
      <c r="I1159" s="2" t="str">
        <f t="shared" si="93"/>
        <v>Q2</v>
      </c>
      <c r="J1159" s="2" t="str">
        <f t="shared" si="94"/>
        <v>Match</v>
      </c>
      <c r="K1159" s="2">
        <f t="shared" si="95"/>
        <v>0</v>
      </c>
      <c r="L1159" s="2" t="e">
        <f t="shared" si="96"/>
        <v>#N/A</v>
      </c>
      <c r="M1159" s="2" t="str">
        <f t="shared" si="97"/>
        <v>Digital Approve Hit</v>
      </c>
      <c r="N1159" s="7">
        <v>15.1</v>
      </c>
      <c r="O1159" s="7">
        <v>-0.6</v>
      </c>
      <c r="P1159" s="7">
        <v>-2.7</v>
      </c>
      <c r="Q1159" s="7">
        <v>-7.0000000000000007E-2</v>
      </c>
      <c r="R1159" s="7">
        <v>0</v>
      </c>
      <c r="S1159" s="7">
        <v>0</v>
      </c>
      <c r="T1159" s="7">
        <v>0.06</v>
      </c>
      <c r="U1159" s="7">
        <v>0.08</v>
      </c>
      <c r="V1159" s="7">
        <v>0.12</v>
      </c>
      <c r="W1159" s="7" t="s">
        <v>8</v>
      </c>
      <c r="X1159" s="7" t="s">
        <v>9</v>
      </c>
      <c r="Y1159" s="2" t="s">
        <v>719</v>
      </c>
      <c r="Z1159" s="2" t="s">
        <v>721</v>
      </c>
    </row>
    <row r="1160" spans="1:26" x14ac:dyDescent="0.35">
      <c r="A1160" s="7" t="s">
        <v>1539</v>
      </c>
      <c r="B1160" s="7" t="s">
        <v>1209</v>
      </c>
      <c r="C1160" s="4" t="str">
        <f>_xlfn.XLOOKUP(A1160,[2]Sheet2!$I$2:$I$1273,[2]Sheet2!$D$2:$D$1273,0)</f>
        <v>Q4</v>
      </c>
      <c r="D1160" s="4">
        <f>_xlfn.XLOOKUP(B1160,[4]Sheet2!$B$2:$B$3154,[4]Sheet2!$F$2:$F$3154,0)</f>
        <v>0</v>
      </c>
      <c r="E1160" s="4" t="e">
        <f>_xlfn.XLOOKUP(B1160,[2]Sheet2!$E$2:$E$713,[2]Sheet2!$G$2:$G$713)</f>
        <v>#N/A</v>
      </c>
      <c r="F1160" s="18">
        <v>46118</v>
      </c>
      <c r="G1160" s="14">
        <v>0.7676736111111111</v>
      </c>
      <c r="H1160" s="7" t="s">
        <v>16</v>
      </c>
      <c r="I1160" s="2" t="str">
        <f t="shared" si="93"/>
        <v>Q1</v>
      </c>
      <c r="J1160" s="2" t="str">
        <f t="shared" si="94"/>
        <v>Not Match</v>
      </c>
      <c r="K1160" s="2">
        <f t="shared" si="95"/>
        <v>0.6</v>
      </c>
      <c r="L1160" s="2" t="e">
        <f t="shared" si="96"/>
        <v>#N/A</v>
      </c>
      <c r="M1160" s="2" t="str">
        <f t="shared" si="97"/>
        <v>Assign quadrant hit</v>
      </c>
      <c r="N1160" s="7">
        <v>32.9</v>
      </c>
      <c r="O1160" s="7">
        <v>-0.4</v>
      </c>
      <c r="P1160" s="7">
        <v>3.6</v>
      </c>
      <c r="Q1160" s="7">
        <v>-0.59</v>
      </c>
      <c r="R1160" s="7">
        <v>0</v>
      </c>
      <c r="S1160" s="7">
        <v>0.6</v>
      </c>
      <c r="T1160" s="7">
        <v>0.76</v>
      </c>
      <c r="U1160" s="7">
        <v>-0.17</v>
      </c>
      <c r="V1160" s="7">
        <v>0.98</v>
      </c>
      <c r="W1160" s="7" t="s">
        <v>13</v>
      </c>
      <c r="X1160" s="7" t="s">
        <v>12</v>
      </c>
      <c r="Y1160" s="2" t="s">
        <v>719</v>
      </c>
      <c r="Z1160" s="2" t="s">
        <v>721</v>
      </c>
    </row>
    <row r="1161" spans="1:26" x14ac:dyDescent="0.35">
      <c r="A1161" s="7" t="s">
        <v>1762</v>
      </c>
      <c r="B1161" s="7" t="s">
        <v>1210</v>
      </c>
      <c r="C1161" s="4" t="str">
        <f>_xlfn.XLOOKUP(A1161,[2]Sheet2!$I$2:$I$1273,[2]Sheet2!$D$2:$D$1273,0)</f>
        <v>Q3</v>
      </c>
      <c r="D1161" s="4" t="str">
        <f>_xlfn.XLOOKUP(B1161,[4]Sheet2!$B$2:$B$3154,[4]Sheet2!$F$2:$F$3154,0)</f>
        <v>N/ App</v>
      </c>
      <c r="E1161" s="4" t="e">
        <f>_xlfn.XLOOKUP(B1161,[2]Sheet2!$E$2:$E$713,[2]Sheet2!$G$2:$G$713)</f>
        <v>#N/A</v>
      </c>
      <c r="F1161" s="18">
        <v>46118</v>
      </c>
      <c r="G1161" s="14">
        <v>0.77254629629629634</v>
      </c>
      <c r="H1161" s="7" t="s">
        <v>14</v>
      </c>
      <c r="I1161" s="2" t="str">
        <f t="shared" si="93"/>
        <v>Q4</v>
      </c>
      <c r="J1161" s="2" t="str">
        <f t="shared" si="94"/>
        <v>Not Match</v>
      </c>
      <c r="K1161" s="2">
        <f t="shared" si="95"/>
        <v>0.5</v>
      </c>
      <c r="L1161" s="2" t="e">
        <f t="shared" si="96"/>
        <v>#N/A</v>
      </c>
      <c r="M1161" s="2" t="str">
        <f t="shared" si="97"/>
        <v>Below 0.8 not in assigned quadrant</v>
      </c>
      <c r="N1161" s="7">
        <v>15.9</v>
      </c>
      <c r="O1161" s="7">
        <v>-0.7</v>
      </c>
      <c r="P1161" s="7">
        <v>-3.7</v>
      </c>
      <c r="Q1161" s="7">
        <v>-0.24</v>
      </c>
      <c r="R1161" s="7">
        <v>0</v>
      </c>
      <c r="S1161" s="7">
        <v>-0.5</v>
      </c>
      <c r="T1161" s="7">
        <v>0.56000000000000005</v>
      </c>
      <c r="U1161" s="7">
        <v>0.21</v>
      </c>
      <c r="V1161" s="7">
        <v>0.65</v>
      </c>
      <c r="W1161" s="7" t="s">
        <v>8</v>
      </c>
      <c r="X1161" s="7" t="s">
        <v>9</v>
      </c>
      <c r="Y1161" s="2" t="s">
        <v>719</v>
      </c>
      <c r="Z1161" s="2" t="s">
        <v>721</v>
      </c>
    </row>
    <row r="1162" spans="1:26" x14ac:dyDescent="0.35">
      <c r="A1162" s="7" t="s">
        <v>1681</v>
      </c>
      <c r="B1162" s="7" t="s">
        <v>1211</v>
      </c>
      <c r="C1162" s="4" t="str">
        <f>_xlfn.XLOOKUP(A1162,[2]Sheet2!$I$2:$I$1273,[2]Sheet2!$D$2:$D$1273,0)</f>
        <v>Q4</v>
      </c>
      <c r="D1162" s="4" t="str">
        <f>_xlfn.XLOOKUP(B1162,[4]Sheet2!$B$2:$B$3154,[4]Sheet2!$F$2:$F$3154,0)</f>
        <v>C/APP</v>
      </c>
      <c r="E1162" s="4" t="e">
        <f>_xlfn.XLOOKUP(B1162,[2]Sheet2!$E$2:$E$713,[2]Sheet2!$G$2:$G$713)</f>
        <v>#N/A</v>
      </c>
      <c r="F1162" s="18">
        <v>46118</v>
      </c>
      <c r="G1162" s="14">
        <v>0.7761689814814815</v>
      </c>
      <c r="H1162" s="7" t="s">
        <v>4</v>
      </c>
      <c r="I1162" s="2" t="str">
        <f t="shared" si="93"/>
        <v>Q2</v>
      </c>
      <c r="J1162" s="2" t="str">
        <f t="shared" si="94"/>
        <v>Not Match</v>
      </c>
      <c r="K1162" s="2">
        <f t="shared" si="95"/>
        <v>0.53851648071345048</v>
      </c>
      <c r="L1162" s="2" t="e">
        <f t="shared" si="96"/>
        <v>#N/A</v>
      </c>
      <c r="M1162" s="2" t="str">
        <f t="shared" si="97"/>
        <v>Below 0.8 not in assigned quadrant</v>
      </c>
      <c r="N1162" s="7">
        <v>20.6</v>
      </c>
      <c r="O1162" s="7">
        <v>-0.9</v>
      </c>
      <c r="P1162" s="7">
        <v>-6.6</v>
      </c>
      <c r="Q1162" s="7">
        <v>0.32</v>
      </c>
      <c r="R1162" s="7">
        <v>-0.2</v>
      </c>
      <c r="S1162" s="7">
        <v>0.5</v>
      </c>
      <c r="T1162" s="7">
        <v>-0.48</v>
      </c>
      <c r="U1162" s="7">
        <v>-0.36</v>
      </c>
      <c r="V1162" s="7">
        <v>0.68</v>
      </c>
      <c r="W1162" s="7" t="s">
        <v>8</v>
      </c>
      <c r="X1162" s="7" t="s">
        <v>15</v>
      </c>
      <c r="Y1162" s="2" t="s">
        <v>719</v>
      </c>
      <c r="Z1162" s="2" t="s">
        <v>721</v>
      </c>
    </row>
    <row r="1163" spans="1:26" x14ac:dyDescent="0.35">
      <c r="A1163" s="7" t="s">
        <v>1750</v>
      </c>
      <c r="B1163" s="7" t="s">
        <v>1212</v>
      </c>
      <c r="C1163" s="4" t="str">
        <f>_xlfn.XLOOKUP(A1163,[2]Sheet2!$I$2:$I$1273,[2]Sheet2!$D$2:$D$1273,0)</f>
        <v>Q4</v>
      </c>
      <c r="D1163" s="4" t="str">
        <f>_xlfn.XLOOKUP(B1163,[4]Sheet2!$B$2:$B$3154,[4]Sheet2!$F$2:$F$3154,0)</f>
        <v>N/ App</v>
      </c>
      <c r="E1163" s="4" t="e">
        <f>_xlfn.XLOOKUP(B1163,[2]Sheet2!$E$2:$E$713,[2]Sheet2!$G$2:$G$713)</f>
        <v>#N/A</v>
      </c>
      <c r="F1163" s="18">
        <v>46118</v>
      </c>
      <c r="G1163" s="14">
        <v>0.96686342592592589</v>
      </c>
      <c r="H1163" s="7" t="s">
        <v>5</v>
      </c>
      <c r="I1163" s="2" t="str">
        <f t="shared" si="93"/>
        <v>Q1</v>
      </c>
      <c r="J1163" s="2" t="str">
        <f t="shared" si="94"/>
        <v>Not Match</v>
      </c>
      <c r="K1163" s="2">
        <f t="shared" si="95"/>
        <v>1.9209372712298547</v>
      </c>
      <c r="L1163" s="2" t="e">
        <f t="shared" si="96"/>
        <v>#N/A</v>
      </c>
      <c r="M1163" s="2" t="str">
        <f t="shared" si="97"/>
        <v>Assign quadrant hit</v>
      </c>
      <c r="N1163" s="7">
        <v>31.2</v>
      </c>
      <c r="O1163" s="7">
        <v>30.8</v>
      </c>
      <c r="P1163" s="7">
        <v>11</v>
      </c>
      <c r="Q1163" s="7">
        <v>0.46</v>
      </c>
      <c r="R1163" s="7">
        <v>1.2</v>
      </c>
      <c r="S1163" s="7">
        <v>1.5</v>
      </c>
      <c r="T1163" s="7">
        <v>0.83</v>
      </c>
      <c r="U1163" s="7">
        <v>0.85</v>
      </c>
      <c r="V1163" s="7">
        <v>1.27</v>
      </c>
      <c r="W1163" s="7" t="s">
        <v>6</v>
      </c>
      <c r="X1163" s="7" t="s">
        <v>12</v>
      </c>
      <c r="Y1163" s="2" t="s">
        <v>719</v>
      </c>
      <c r="Z1163" s="2" t="s">
        <v>721</v>
      </c>
    </row>
    <row r="1164" spans="1:26" x14ac:dyDescent="0.35">
      <c r="A1164" s="7" t="s">
        <v>1772</v>
      </c>
      <c r="B1164" s="7" t="s">
        <v>1046</v>
      </c>
      <c r="C1164" s="4" t="str">
        <f>_xlfn.XLOOKUP(A1164,[2]Sheet2!$I$2:$I$1273,[2]Sheet2!$D$2:$D$1273,0)</f>
        <v>Q3</v>
      </c>
      <c r="D1164" s="4" t="str">
        <f>_xlfn.XLOOKUP(B1164,[4]Sheet2!$B$2:$B$3154,[4]Sheet2!$F$2:$F$3154,0)</f>
        <v>N/ App</v>
      </c>
      <c r="E1164" s="4" t="e">
        <f>_xlfn.XLOOKUP(B1164,[2]Sheet2!$E$2:$E$713,[2]Sheet2!$G$2:$G$713)</f>
        <v>#N/A</v>
      </c>
      <c r="F1164" s="18">
        <v>46118</v>
      </c>
      <c r="G1164" s="14">
        <v>0.97070601851851857</v>
      </c>
      <c r="H1164" s="7" t="s">
        <v>11</v>
      </c>
      <c r="I1164" s="2" t="str">
        <f t="shared" si="93"/>
        <v>Q2</v>
      </c>
      <c r="J1164" s="2" t="str">
        <f t="shared" si="94"/>
        <v>Not Match</v>
      </c>
      <c r="K1164" s="2">
        <f t="shared" si="95"/>
        <v>0.14142135623730953</v>
      </c>
      <c r="L1164" s="2" t="e">
        <f t="shared" si="96"/>
        <v>#N/A</v>
      </c>
      <c r="M1164" s="2" t="str">
        <f t="shared" si="97"/>
        <v>Below 0.8 not in assigned quadrant</v>
      </c>
      <c r="N1164" s="7">
        <v>16.8</v>
      </c>
      <c r="O1164" s="7">
        <v>-0.4</v>
      </c>
      <c r="P1164" s="7">
        <v>-13.8</v>
      </c>
      <c r="Q1164" s="7">
        <v>-0.6</v>
      </c>
      <c r="R1164" s="7">
        <v>-0.1</v>
      </c>
      <c r="S1164" s="7">
        <v>0.1</v>
      </c>
      <c r="T1164" s="7">
        <v>-0.08</v>
      </c>
      <c r="U1164" s="7">
        <v>-0.16</v>
      </c>
      <c r="V1164" s="7">
        <v>0.62</v>
      </c>
      <c r="W1164" s="7" t="s">
        <v>8</v>
      </c>
      <c r="X1164" s="7" t="s">
        <v>15</v>
      </c>
      <c r="Y1164" s="2" t="s">
        <v>719</v>
      </c>
      <c r="Z1164" s="2" t="s">
        <v>721</v>
      </c>
    </row>
    <row r="1165" spans="1:26" x14ac:dyDescent="0.35">
      <c r="A1165" s="7" t="s">
        <v>1558</v>
      </c>
      <c r="B1165" s="7" t="s">
        <v>1215</v>
      </c>
      <c r="C1165" s="4" t="str">
        <f>_xlfn.XLOOKUP(A1165,[2]Sheet2!$I$2:$I$1273,[2]Sheet2!$D$2:$D$1273,0)</f>
        <v>Q3</v>
      </c>
      <c r="D1165" s="4">
        <f>_xlfn.XLOOKUP(B1165,[4]Sheet2!$B$2:$B$3154,[4]Sheet2!$F$2:$F$3154,0)</f>
        <v>0</v>
      </c>
      <c r="E1165" s="4" t="e">
        <f>_xlfn.XLOOKUP(B1165,[2]Sheet2!$E$2:$E$713,[2]Sheet2!$G$2:$G$713)</f>
        <v>#N/A</v>
      </c>
      <c r="F1165" s="18">
        <v>46119</v>
      </c>
      <c r="G1165" s="14">
        <v>6.0937499999999999E-2</v>
      </c>
      <c r="H1165" s="7" t="s">
        <v>16</v>
      </c>
      <c r="I1165" s="2" t="str">
        <f t="shared" si="93"/>
        <v>Q3</v>
      </c>
      <c r="J1165" s="2" t="str">
        <f t="shared" si="94"/>
        <v>Match</v>
      </c>
      <c r="K1165" s="2">
        <f t="shared" si="95"/>
        <v>0.22360679774997899</v>
      </c>
      <c r="L1165" s="2" t="e">
        <f t="shared" si="96"/>
        <v>#N/A</v>
      </c>
      <c r="M1165" s="2" t="str">
        <f t="shared" si="97"/>
        <v>Failed but within quadrant</v>
      </c>
      <c r="N1165" s="7">
        <v>13.9</v>
      </c>
      <c r="O1165" s="7">
        <v>-0.4</v>
      </c>
      <c r="P1165" s="7">
        <v>-2.1</v>
      </c>
      <c r="Q1165" s="7">
        <v>-1.59</v>
      </c>
      <c r="R1165" s="7">
        <v>-0.1</v>
      </c>
      <c r="S1165" s="7">
        <v>-0.2</v>
      </c>
      <c r="T1165" s="7">
        <v>0.3</v>
      </c>
      <c r="U1165" s="7">
        <v>-0.11</v>
      </c>
      <c r="V1165" s="7">
        <v>1.62</v>
      </c>
      <c r="W1165" s="7" t="s">
        <v>6</v>
      </c>
      <c r="X1165" s="7" t="s">
        <v>15</v>
      </c>
      <c r="Y1165" s="2" t="s">
        <v>719</v>
      </c>
      <c r="Z1165" s="2" t="s">
        <v>721</v>
      </c>
    </row>
    <row r="1166" spans="1:26" x14ac:dyDescent="0.35">
      <c r="A1166" s="7" t="s">
        <v>1723</v>
      </c>
      <c r="B1166" s="7" t="s">
        <v>1217</v>
      </c>
      <c r="C1166" s="4" t="str">
        <f>_xlfn.XLOOKUP(A1166,[2]Sheet2!$I$2:$I$1273,[2]Sheet2!$D$2:$D$1273,0)</f>
        <v>Q2</v>
      </c>
      <c r="D1166" s="4" t="str">
        <f>_xlfn.XLOOKUP(B1166,[4]Sheet2!$B$2:$B$3154,[4]Sheet2!$F$2:$F$3154,0)</f>
        <v>N/ App</v>
      </c>
      <c r="E1166" s="4" t="e">
        <f>_xlfn.XLOOKUP(B1166,[2]Sheet2!$E$2:$E$713,[2]Sheet2!$G$2:$G$713)</f>
        <v>#N/A</v>
      </c>
      <c r="F1166" s="18">
        <v>46119</v>
      </c>
      <c r="G1166" s="14">
        <v>0.15630787037037036</v>
      </c>
      <c r="H1166" s="7" t="s">
        <v>4</v>
      </c>
      <c r="I1166" s="2" t="str">
        <f t="shared" si="93"/>
        <v>Q3</v>
      </c>
      <c r="J1166" s="2" t="str">
        <f t="shared" si="94"/>
        <v>Not Match</v>
      </c>
      <c r="K1166" s="2">
        <f t="shared" si="95"/>
        <v>0.4</v>
      </c>
      <c r="L1166" s="2" t="e">
        <f t="shared" si="96"/>
        <v>#N/A</v>
      </c>
      <c r="M1166" s="2" t="str">
        <f t="shared" si="97"/>
        <v>Assign quadrant hit</v>
      </c>
      <c r="N1166" s="7">
        <v>13.6</v>
      </c>
      <c r="O1166" s="7">
        <v>-0.5</v>
      </c>
      <c r="P1166" s="7">
        <v>-1.4</v>
      </c>
      <c r="Q1166" s="7">
        <v>-1.28</v>
      </c>
      <c r="R1166" s="7">
        <v>-0.4</v>
      </c>
      <c r="S1166" s="7">
        <v>0</v>
      </c>
      <c r="T1166" s="7">
        <v>0.09</v>
      </c>
      <c r="U1166" s="7">
        <v>-0.56000000000000005</v>
      </c>
      <c r="V1166" s="7">
        <v>1.4</v>
      </c>
      <c r="W1166" s="7" t="s">
        <v>6</v>
      </c>
      <c r="X1166" s="7" t="s">
        <v>15</v>
      </c>
      <c r="Y1166" s="2" t="s">
        <v>719</v>
      </c>
      <c r="Z1166" s="2" t="s">
        <v>721</v>
      </c>
    </row>
    <row r="1167" spans="1:26" x14ac:dyDescent="0.35">
      <c r="A1167" s="7" t="s">
        <v>1739</v>
      </c>
      <c r="B1167" s="7" t="s">
        <v>1089</v>
      </c>
      <c r="C1167" s="4" t="str">
        <f>_xlfn.XLOOKUP(A1167,[2]Sheet2!$I$2:$I$1273,[2]Sheet2!$D$2:$D$1273,0)</f>
        <v>Q3</v>
      </c>
      <c r="D1167" s="4" t="str">
        <f>_xlfn.XLOOKUP(B1167,[4]Sheet2!$B$2:$B$3154,[4]Sheet2!$F$2:$F$3154,0)</f>
        <v>C/APP</v>
      </c>
      <c r="E1167" s="4" t="e">
        <f>_xlfn.XLOOKUP(B1167,[2]Sheet2!$E$2:$E$713,[2]Sheet2!$G$2:$G$713)</f>
        <v>#N/A</v>
      </c>
      <c r="F1167" s="18">
        <v>46119</v>
      </c>
      <c r="G1167" s="14">
        <v>0.16190972222222222</v>
      </c>
      <c r="H1167" s="7" t="s">
        <v>4</v>
      </c>
      <c r="I1167" s="2" t="str">
        <f t="shared" si="93"/>
        <v>Q3</v>
      </c>
      <c r="J1167" s="2" t="str">
        <f t="shared" si="94"/>
        <v>Match</v>
      </c>
      <c r="K1167" s="2">
        <f t="shared" si="95"/>
        <v>0.8</v>
      </c>
      <c r="L1167" s="2" t="e">
        <f t="shared" si="96"/>
        <v>#N/A</v>
      </c>
      <c r="M1167" s="2" t="str">
        <f t="shared" si="97"/>
        <v>Digital Approve Hit</v>
      </c>
      <c r="N1167" s="7">
        <v>33.299999999999997</v>
      </c>
      <c r="O1167" s="7">
        <v>38.799999999999997</v>
      </c>
      <c r="P1167" s="7">
        <v>14.9</v>
      </c>
      <c r="Q1167" s="7">
        <v>0.02</v>
      </c>
      <c r="R1167" s="7">
        <v>-0.8</v>
      </c>
      <c r="S1167" s="7">
        <v>0</v>
      </c>
      <c r="T1167" s="7">
        <v>-0.33</v>
      </c>
      <c r="U1167" s="7">
        <v>0.23</v>
      </c>
      <c r="V1167" s="7">
        <v>0.4</v>
      </c>
      <c r="W1167" s="7" t="s">
        <v>8</v>
      </c>
      <c r="X1167" s="7" t="s">
        <v>12</v>
      </c>
      <c r="Y1167" s="2" t="s">
        <v>719</v>
      </c>
      <c r="Z1167" s="2" t="s">
        <v>721</v>
      </c>
    </row>
    <row r="1168" spans="1:26" x14ac:dyDescent="0.35">
      <c r="A1168" s="7" t="s">
        <v>1500</v>
      </c>
      <c r="B1168" s="7" t="s">
        <v>1164</v>
      </c>
      <c r="C1168" s="4" t="str">
        <f>_xlfn.XLOOKUP(A1168,[2]Sheet2!$I$2:$I$1273,[2]Sheet2!$D$2:$D$1273,0)</f>
        <v>Q2</v>
      </c>
      <c r="D1168" s="4" t="str">
        <f>_xlfn.XLOOKUP(B1168,[4]Sheet2!$B$2:$B$3154,[4]Sheet2!$F$2:$F$3154,0)</f>
        <v>N/ App</v>
      </c>
      <c r="E1168" s="4" t="e">
        <f>_xlfn.XLOOKUP(B1168,[2]Sheet2!$E$2:$E$713,[2]Sheet2!$G$2:$G$713)</f>
        <v>#N/A</v>
      </c>
      <c r="F1168" s="18">
        <v>46119</v>
      </c>
      <c r="G1168" s="14">
        <v>0.26250000000000001</v>
      </c>
      <c r="H1168" s="7" t="s">
        <v>5</v>
      </c>
      <c r="I1168" s="2" t="str">
        <f t="shared" si="93"/>
        <v>Q4</v>
      </c>
      <c r="J1168" s="2" t="str">
        <f t="shared" si="94"/>
        <v>Not Match</v>
      </c>
      <c r="K1168" s="2">
        <f t="shared" si="95"/>
        <v>0.41231056256176613</v>
      </c>
      <c r="L1168" s="2" t="e">
        <f t="shared" si="96"/>
        <v>#N/A</v>
      </c>
      <c r="M1168" s="2" t="str">
        <f t="shared" si="97"/>
        <v>Assign quadrant hit</v>
      </c>
      <c r="N1168" s="7">
        <v>16.7</v>
      </c>
      <c r="O1168" s="7">
        <v>-0.5</v>
      </c>
      <c r="P1168" s="7">
        <v>-2</v>
      </c>
      <c r="Q1168" s="7">
        <v>-0.78</v>
      </c>
      <c r="R1168" s="7">
        <v>0.1</v>
      </c>
      <c r="S1168" s="7">
        <v>-0.4</v>
      </c>
      <c r="T1168" s="7">
        <v>0.48</v>
      </c>
      <c r="U1168" s="7">
        <v>0.33</v>
      </c>
      <c r="V1168" s="7">
        <v>0.97</v>
      </c>
      <c r="W1168" s="7" t="s">
        <v>13</v>
      </c>
      <c r="X1168" s="7" t="s">
        <v>9</v>
      </c>
      <c r="Y1168" s="2" t="s">
        <v>719</v>
      </c>
      <c r="Z1168" s="2" t="s">
        <v>721</v>
      </c>
    </row>
    <row r="1169" spans="1:26" x14ac:dyDescent="0.35">
      <c r="A1169" s="7" t="s">
        <v>1509</v>
      </c>
      <c r="B1169" s="7" t="s">
        <v>1219</v>
      </c>
      <c r="C1169" s="4" t="str">
        <f>_xlfn.XLOOKUP(A1169,[2]Sheet2!$I$2:$I$1273,[2]Sheet2!$D$2:$D$1273,0)</f>
        <v>Q2</v>
      </c>
      <c r="D1169" s="4" t="str">
        <f>_xlfn.XLOOKUP(B1169,[4]Sheet2!$B$2:$B$3154,[4]Sheet2!$F$2:$F$3154,0)</f>
        <v>N/ App</v>
      </c>
      <c r="E1169" s="4" t="e">
        <f>_xlfn.XLOOKUP(B1169,[2]Sheet2!$E$2:$E$713,[2]Sheet2!$G$2:$G$713)</f>
        <v>#N/A</v>
      </c>
      <c r="F1169" s="18">
        <v>46119</v>
      </c>
      <c r="G1169" s="14">
        <v>0.41270833333333334</v>
      </c>
      <c r="H1169" s="7" t="s">
        <v>4</v>
      </c>
      <c r="I1169" s="2" t="str">
        <f t="shared" si="93"/>
        <v>Q1</v>
      </c>
      <c r="J1169" s="2" t="str">
        <f t="shared" si="94"/>
        <v>Not Match</v>
      </c>
      <c r="K1169" s="2">
        <f t="shared" si="95"/>
        <v>0.41231056256176613</v>
      </c>
      <c r="L1169" s="2" t="e">
        <f t="shared" si="96"/>
        <v>#N/A</v>
      </c>
      <c r="M1169" s="2" t="str">
        <f t="shared" si="97"/>
        <v>Assign quadrant hit</v>
      </c>
      <c r="N1169" s="7">
        <v>16</v>
      </c>
      <c r="O1169" s="7">
        <v>-0.8</v>
      </c>
      <c r="P1169" s="7">
        <v>-1.8</v>
      </c>
      <c r="Q1169" s="7">
        <v>-1.01</v>
      </c>
      <c r="R1169" s="7">
        <v>0.4</v>
      </c>
      <c r="S1169" s="7">
        <v>0.1</v>
      </c>
      <c r="T1169" s="7">
        <v>-0.38</v>
      </c>
      <c r="U1169" s="7">
        <v>0.44</v>
      </c>
      <c r="V1169" s="7">
        <v>1.17</v>
      </c>
      <c r="W1169" s="7" t="s">
        <v>6</v>
      </c>
      <c r="X1169" s="7" t="s">
        <v>9</v>
      </c>
      <c r="Y1169" s="2" t="s">
        <v>719</v>
      </c>
      <c r="Z1169" s="2" t="s">
        <v>721</v>
      </c>
    </row>
    <row r="1170" spans="1:26" x14ac:dyDescent="0.35">
      <c r="A1170" s="7" t="s">
        <v>1572</v>
      </c>
      <c r="B1170" s="7" t="s">
        <v>1218</v>
      </c>
      <c r="C1170" s="4" t="str">
        <f>_xlfn.XLOOKUP(A1170,[2]Sheet2!$I$2:$I$1273,[2]Sheet2!$D$2:$D$1273,0)</f>
        <v>Q3</v>
      </c>
      <c r="D1170" s="4" t="str">
        <f>_xlfn.XLOOKUP(B1170,[4]Sheet2!$B$2:$B$3154,[4]Sheet2!$F$2:$F$3154,0)</f>
        <v>N/ App</v>
      </c>
      <c r="E1170" s="4" t="e">
        <f>_xlfn.XLOOKUP(B1170,[2]Sheet2!$E$2:$E$713,[2]Sheet2!$G$2:$G$713)</f>
        <v>#N/A</v>
      </c>
      <c r="F1170" s="18">
        <v>46119</v>
      </c>
      <c r="G1170" s="14">
        <v>0.41685185185185186</v>
      </c>
      <c r="H1170" s="7" t="s">
        <v>5</v>
      </c>
      <c r="I1170" s="2" t="str">
        <f t="shared" si="93"/>
        <v>Q3</v>
      </c>
      <c r="J1170" s="2" t="str">
        <f t="shared" si="94"/>
        <v>Match</v>
      </c>
      <c r="K1170" s="2">
        <f t="shared" si="95"/>
        <v>0</v>
      </c>
      <c r="L1170" s="2" t="e">
        <f t="shared" si="96"/>
        <v>#N/A</v>
      </c>
      <c r="M1170" s="2" t="str">
        <f t="shared" si="97"/>
        <v>Digital Approve Hit</v>
      </c>
      <c r="N1170" s="7">
        <v>16</v>
      </c>
      <c r="O1170" s="7">
        <v>-0.6</v>
      </c>
      <c r="P1170" s="7">
        <v>-2.2999999999999998</v>
      </c>
      <c r="Q1170" s="7">
        <v>-0.4</v>
      </c>
      <c r="R1170" s="7">
        <v>0</v>
      </c>
      <c r="S1170" s="7">
        <v>0</v>
      </c>
      <c r="T1170" s="7">
        <v>0.04</v>
      </c>
      <c r="U1170" s="7">
        <v>0.1</v>
      </c>
      <c r="V1170" s="7">
        <v>0.42</v>
      </c>
      <c r="W1170" s="7" t="s">
        <v>8</v>
      </c>
      <c r="X1170" s="7" t="s">
        <v>9</v>
      </c>
      <c r="Y1170" s="2" t="s">
        <v>719</v>
      </c>
      <c r="Z1170" s="2" t="s">
        <v>721</v>
      </c>
    </row>
    <row r="1171" spans="1:26" x14ac:dyDescent="0.35">
      <c r="A1171" s="7" t="s">
        <v>1558</v>
      </c>
      <c r="B1171" s="7" t="s">
        <v>1220</v>
      </c>
      <c r="C1171" s="4" t="str">
        <f>_xlfn.XLOOKUP(A1171,[2]Sheet2!$I$2:$I$1273,[2]Sheet2!$D$2:$D$1273,0)</f>
        <v>Q3</v>
      </c>
      <c r="D1171" s="4">
        <f>_xlfn.XLOOKUP(B1171,[4]Sheet2!$B$2:$B$3154,[4]Sheet2!$F$2:$F$3154,0)</f>
        <v>0</v>
      </c>
      <c r="E1171" s="4" t="e">
        <f>_xlfn.XLOOKUP(B1171,[2]Sheet2!$E$2:$E$713,[2]Sheet2!$G$2:$G$713)</f>
        <v>#N/A</v>
      </c>
      <c r="F1171" s="18">
        <v>46119</v>
      </c>
      <c r="G1171" s="14">
        <v>0.42145833333333332</v>
      </c>
      <c r="H1171" s="7" t="s">
        <v>16</v>
      </c>
      <c r="I1171" s="2" t="str">
        <f t="shared" si="93"/>
        <v>Q3</v>
      </c>
      <c r="J1171" s="2" t="str">
        <f t="shared" si="94"/>
        <v>Match</v>
      </c>
      <c r="K1171" s="2">
        <f t="shared" si="95"/>
        <v>0.36055512754639896</v>
      </c>
      <c r="L1171" s="2" t="e">
        <f t="shared" si="96"/>
        <v>#N/A</v>
      </c>
      <c r="M1171" s="2" t="str">
        <f t="shared" si="97"/>
        <v>Failed but within quadrant</v>
      </c>
      <c r="N1171" s="7">
        <v>13.7</v>
      </c>
      <c r="O1171" s="7">
        <v>-0.5</v>
      </c>
      <c r="P1171" s="7">
        <v>-2.2000000000000002</v>
      </c>
      <c r="Q1171" s="7">
        <v>-1.79</v>
      </c>
      <c r="R1171" s="7">
        <v>-0.2</v>
      </c>
      <c r="S1171" s="7">
        <v>-0.3</v>
      </c>
      <c r="T1171" s="7">
        <v>0.51</v>
      </c>
      <c r="U1171" s="7">
        <v>-0.18</v>
      </c>
      <c r="V1171" s="7">
        <v>1.87</v>
      </c>
      <c r="W1171" s="7" t="s">
        <v>6</v>
      </c>
      <c r="X1171" s="7" t="s">
        <v>15</v>
      </c>
      <c r="Y1171" s="2" t="s">
        <v>719</v>
      </c>
      <c r="Z1171" s="2" t="s">
        <v>721</v>
      </c>
    </row>
    <row r="1172" spans="1:26" x14ac:dyDescent="0.35">
      <c r="A1172" s="7" t="s">
        <v>1566</v>
      </c>
      <c r="B1172" s="7" t="s">
        <v>1221</v>
      </c>
      <c r="C1172" s="4" t="str">
        <f>_xlfn.XLOOKUP(A1172,[2]Sheet2!$I$2:$I$1273,[2]Sheet2!$D$2:$D$1273,0)</f>
        <v>Q4</v>
      </c>
      <c r="D1172" s="4">
        <f>_xlfn.XLOOKUP(B1172,[4]Sheet2!$B$2:$B$3154,[4]Sheet2!$F$2:$F$3154,0)</f>
        <v>0</v>
      </c>
      <c r="E1172" s="4" t="e">
        <f>_xlfn.XLOOKUP(B1172,[2]Sheet2!$E$2:$E$713,[2]Sheet2!$G$2:$G$713)</f>
        <v>#N/A</v>
      </c>
      <c r="F1172" s="18">
        <v>46119</v>
      </c>
      <c r="G1172" s="14">
        <v>0.53759259259259262</v>
      </c>
      <c r="H1172" s="7" t="s">
        <v>16</v>
      </c>
      <c r="I1172" s="2" t="str">
        <f t="shared" si="93"/>
        <v>Q2</v>
      </c>
      <c r="J1172" s="2" t="str">
        <f t="shared" si="94"/>
        <v>Not Match</v>
      </c>
      <c r="K1172" s="2">
        <f t="shared" si="95"/>
        <v>0.42426406871192851</v>
      </c>
      <c r="L1172" s="2" t="e">
        <f t="shared" si="96"/>
        <v>#N/A</v>
      </c>
      <c r="M1172" s="2" t="str">
        <f t="shared" si="97"/>
        <v>Assign quadrant hit</v>
      </c>
      <c r="N1172" s="7">
        <v>16.3</v>
      </c>
      <c r="O1172" s="7">
        <v>-1</v>
      </c>
      <c r="P1172" s="7">
        <v>-5.9</v>
      </c>
      <c r="Q1172" s="7">
        <v>0.69</v>
      </c>
      <c r="R1172" s="7">
        <v>-0.3</v>
      </c>
      <c r="S1172" s="7">
        <v>0.3</v>
      </c>
      <c r="T1172" s="7">
        <v>-0.28000000000000003</v>
      </c>
      <c r="U1172" s="7">
        <v>-0.49</v>
      </c>
      <c r="V1172" s="7">
        <v>0.89</v>
      </c>
      <c r="W1172" s="7" t="s">
        <v>13</v>
      </c>
      <c r="X1172" s="7" t="s">
        <v>15</v>
      </c>
      <c r="Y1172" s="2" t="s">
        <v>719</v>
      </c>
      <c r="Z1172" s="2" t="s">
        <v>721</v>
      </c>
    </row>
    <row r="1173" spans="1:26" x14ac:dyDescent="0.35">
      <c r="A1173" s="7" t="s">
        <v>1500</v>
      </c>
      <c r="B1173" s="7" t="s">
        <v>1222</v>
      </c>
      <c r="C1173" s="4" t="str">
        <f>_xlfn.XLOOKUP(A1173,[2]Sheet2!$I$2:$I$1273,[2]Sheet2!$D$2:$D$1273,0)</f>
        <v>Q2</v>
      </c>
      <c r="D1173" s="4" t="str">
        <f>_xlfn.XLOOKUP(B1173,[4]Sheet2!$B$2:$B$3154,[4]Sheet2!$F$2:$F$3154,0)</f>
        <v>N/ App</v>
      </c>
      <c r="E1173" s="4" t="e">
        <f>_xlfn.XLOOKUP(B1173,[2]Sheet2!$E$2:$E$713,[2]Sheet2!$G$2:$G$713)</f>
        <v>#N/A</v>
      </c>
      <c r="F1173" s="18">
        <v>46119</v>
      </c>
      <c r="G1173" s="14">
        <v>0.53965277777777776</v>
      </c>
      <c r="H1173" s="7" t="s">
        <v>5</v>
      </c>
      <c r="I1173" s="2" t="str">
        <f t="shared" si="93"/>
        <v>Q1</v>
      </c>
      <c r="J1173" s="2" t="str">
        <f t="shared" si="94"/>
        <v>Not Match</v>
      </c>
      <c r="K1173" s="2">
        <f t="shared" si="95"/>
        <v>0.22360679774997899</v>
      </c>
      <c r="L1173" s="2" t="e">
        <f t="shared" si="96"/>
        <v>#N/A</v>
      </c>
      <c r="M1173" s="2" t="str">
        <f t="shared" si="97"/>
        <v>Below 0.8 not in assigned quadrant</v>
      </c>
      <c r="N1173" s="7">
        <v>17.100000000000001</v>
      </c>
      <c r="O1173" s="7">
        <v>-0.5</v>
      </c>
      <c r="P1173" s="7">
        <v>-1.4</v>
      </c>
      <c r="Q1173" s="7">
        <v>-0.43</v>
      </c>
      <c r="R1173" s="7">
        <v>0.1</v>
      </c>
      <c r="S1173" s="7">
        <v>0.2</v>
      </c>
      <c r="T1173" s="7">
        <v>-0.33</v>
      </c>
      <c r="U1173" s="7">
        <v>0.09</v>
      </c>
      <c r="V1173" s="7">
        <v>0.55000000000000004</v>
      </c>
      <c r="W1173" s="7" t="s">
        <v>8</v>
      </c>
      <c r="X1173" s="7" t="s">
        <v>9</v>
      </c>
      <c r="Y1173" s="2" t="s">
        <v>719</v>
      </c>
      <c r="Z1173" s="2" t="s">
        <v>721</v>
      </c>
    </row>
    <row r="1174" spans="1:26" x14ac:dyDescent="0.35">
      <c r="A1174" s="7" t="s">
        <v>1595</v>
      </c>
      <c r="B1174" s="7" t="s">
        <v>1223</v>
      </c>
      <c r="C1174" s="4" t="str">
        <f>_xlfn.XLOOKUP(A1174,[2]Sheet2!$I$2:$I$1273,[2]Sheet2!$D$2:$D$1273,0)</f>
        <v>Q4</v>
      </c>
      <c r="D1174" s="4">
        <f>_xlfn.XLOOKUP(B1174,[4]Sheet2!$B$2:$B$3154,[4]Sheet2!$F$2:$F$3154,0)</f>
        <v>0</v>
      </c>
      <c r="E1174" s="4" t="e">
        <f>_xlfn.XLOOKUP(B1174,[2]Sheet2!$E$2:$E$713,[2]Sheet2!$G$2:$G$713)</f>
        <v>#N/A</v>
      </c>
      <c r="F1174" s="18">
        <v>46119</v>
      </c>
      <c r="G1174" s="14">
        <v>0.54223379629629631</v>
      </c>
      <c r="H1174" s="7" t="s">
        <v>16</v>
      </c>
      <c r="I1174" s="2" t="str">
        <f t="shared" si="93"/>
        <v>Q1</v>
      </c>
      <c r="J1174" s="2" t="str">
        <f t="shared" si="94"/>
        <v>Not Match</v>
      </c>
      <c r="K1174" s="2">
        <f t="shared" si="95"/>
        <v>0.6</v>
      </c>
      <c r="L1174" s="2" t="e">
        <f t="shared" si="96"/>
        <v>#N/A</v>
      </c>
      <c r="M1174" s="2" t="str">
        <f t="shared" si="97"/>
        <v>Assign quadrant hit</v>
      </c>
      <c r="N1174" s="7">
        <v>27.4</v>
      </c>
      <c r="O1174" s="7">
        <v>-1.6</v>
      </c>
      <c r="P1174" s="7">
        <v>-2.2999999999999998</v>
      </c>
      <c r="Q1174" s="7">
        <v>-0.86</v>
      </c>
      <c r="R1174" s="7">
        <v>0</v>
      </c>
      <c r="S1174" s="7">
        <v>0.6</v>
      </c>
      <c r="T1174" s="7">
        <v>-0.66</v>
      </c>
      <c r="U1174" s="7">
        <v>-0.32</v>
      </c>
      <c r="V1174" s="7">
        <v>1.1299999999999999</v>
      </c>
      <c r="W1174" s="7" t="s">
        <v>6</v>
      </c>
      <c r="X1174" s="7" t="s">
        <v>15</v>
      </c>
      <c r="Y1174" s="2" t="s">
        <v>719</v>
      </c>
      <c r="Z1174" s="2" t="s">
        <v>721</v>
      </c>
    </row>
    <row r="1175" spans="1:26" x14ac:dyDescent="0.35">
      <c r="A1175" s="7" t="s">
        <v>1549</v>
      </c>
      <c r="B1175" s="7" t="s">
        <v>1224</v>
      </c>
      <c r="C1175" s="4" t="str">
        <f>_xlfn.XLOOKUP(A1175,[2]Sheet2!$I$2:$I$1273,[2]Sheet2!$D$2:$D$1273,0)</f>
        <v>Q1</v>
      </c>
      <c r="D1175" s="4">
        <f>_xlfn.XLOOKUP(B1175,[4]Sheet2!$B$2:$B$3154,[4]Sheet2!$F$2:$F$3154,0)</f>
        <v>0</v>
      </c>
      <c r="E1175" s="4" t="e">
        <f>_xlfn.XLOOKUP(B1175,[2]Sheet2!$E$2:$E$713,[2]Sheet2!$G$2:$G$713)</f>
        <v>#N/A</v>
      </c>
      <c r="F1175" s="18">
        <v>46119</v>
      </c>
      <c r="G1175" s="14">
        <v>0.54527777777777775</v>
      </c>
      <c r="H1175" s="7" t="s">
        <v>5</v>
      </c>
      <c r="I1175" s="2" t="str">
        <f t="shared" si="93"/>
        <v>Q3</v>
      </c>
      <c r="J1175" s="2" t="str">
        <f t="shared" si="94"/>
        <v>Not Match</v>
      </c>
      <c r="K1175" s="2">
        <f t="shared" si="95"/>
        <v>0.1</v>
      </c>
      <c r="L1175" s="2" t="e">
        <f t="shared" si="96"/>
        <v>#N/A</v>
      </c>
      <c r="M1175" s="2" t="str">
        <f t="shared" si="97"/>
        <v>Assign quadrant hit</v>
      </c>
      <c r="N1175" s="7">
        <v>16.7</v>
      </c>
      <c r="O1175" s="7">
        <v>-0.2</v>
      </c>
      <c r="P1175" s="7">
        <v>-1.9</v>
      </c>
      <c r="Q1175" s="7">
        <v>-1.29</v>
      </c>
      <c r="R1175" s="7">
        <v>-0.1</v>
      </c>
      <c r="S1175" s="7">
        <v>0</v>
      </c>
      <c r="T1175" s="7">
        <v>0.04</v>
      </c>
      <c r="U1175" s="7">
        <v>-0.13</v>
      </c>
      <c r="V1175" s="7">
        <v>1.3</v>
      </c>
      <c r="W1175" s="7" t="s">
        <v>6</v>
      </c>
      <c r="X1175" s="7" t="s">
        <v>15</v>
      </c>
      <c r="Y1175" s="2" t="s">
        <v>719</v>
      </c>
      <c r="Z1175" s="2" t="s">
        <v>721</v>
      </c>
    </row>
    <row r="1176" spans="1:26" x14ac:dyDescent="0.35">
      <c r="A1176" s="7" t="s">
        <v>1543</v>
      </c>
      <c r="B1176" s="7" t="s">
        <v>1225</v>
      </c>
      <c r="C1176" s="4" t="str">
        <f>_xlfn.XLOOKUP(A1176,[2]Sheet2!$I$2:$I$1273,[2]Sheet2!$D$2:$D$1273,0)</f>
        <v>Q3</v>
      </c>
      <c r="D1176" s="4">
        <f>_xlfn.XLOOKUP(B1176,[4]Sheet2!$B$2:$B$3154,[4]Sheet2!$F$2:$F$3154,0)</f>
        <v>0</v>
      </c>
      <c r="E1176" s="4" t="e">
        <f>_xlfn.XLOOKUP(B1176,[2]Sheet2!$E$2:$E$713,[2]Sheet2!$G$2:$G$713)</f>
        <v>#N/A</v>
      </c>
      <c r="F1176" s="18">
        <v>46119</v>
      </c>
      <c r="G1176" s="14">
        <v>0.60371527777777778</v>
      </c>
      <c r="H1176" s="7" t="s">
        <v>11</v>
      </c>
      <c r="I1176" s="2" t="str">
        <f t="shared" si="93"/>
        <v>Q1</v>
      </c>
      <c r="J1176" s="2" t="str">
        <f t="shared" si="94"/>
        <v>Not Match</v>
      </c>
      <c r="K1176" s="2">
        <f t="shared" si="95"/>
        <v>0.36055512754639896</v>
      </c>
      <c r="L1176" s="2" t="e">
        <f t="shared" si="96"/>
        <v>#N/A</v>
      </c>
      <c r="M1176" s="2" t="str">
        <f t="shared" si="97"/>
        <v>Below 0.8 not in assigned quadrant</v>
      </c>
      <c r="N1176" s="7">
        <v>25.8</v>
      </c>
      <c r="O1176" s="7">
        <v>6.9</v>
      </c>
      <c r="P1176" s="7">
        <v>8</v>
      </c>
      <c r="Q1176" s="7">
        <v>-0.18</v>
      </c>
      <c r="R1176" s="7">
        <v>0.3</v>
      </c>
      <c r="S1176" s="7">
        <v>0.2</v>
      </c>
      <c r="T1176" s="7">
        <v>0.3</v>
      </c>
      <c r="U1176" s="7">
        <v>-0.19</v>
      </c>
      <c r="V1176" s="7">
        <v>0.4</v>
      </c>
      <c r="W1176" s="7" t="s">
        <v>8</v>
      </c>
      <c r="X1176" s="7" t="s">
        <v>9</v>
      </c>
      <c r="Y1176" s="2" t="s">
        <v>719</v>
      </c>
      <c r="Z1176" s="2" t="s">
        <v>721</v>
      </c>
    </row>
    <row r="1177" spans="1:26" x14ac:dyDescent="0.35">
      <c r="A1177" s="7" t="s">
        <v>1723</v>
      </c>
      <c r="B1177" s="7" t="s">
        <v>1226</v>
      </c>
      <c r="C1177" s="4" t="str">
        <f>_xlfn.XLOOKUP(A1177,[2]Sheet2!$I$2:$I$1273,[2]Sheet2!$D$2:$D$1273,0)</f>
        <v>Q2</v>
      </c>
      <c r="D1177" s="4">
        <f>_xlfn.XLOOKUP(B1177,[4]Sheet2!$B$2:$B$3154,[4]Sheet2!$F$2:$F$3154,0)</f>
        <v>0</v>
      </c>
      <c r="E1177" s="4" t="e">
        <f>_xlfn.XLOOKUP(B1177,[2]Sheet2!$E$2:$E$713,[2]Sheet2!$G$2:$G$713)</f>
        <v>#N/A</v>
      </c>
      <c r="F1177" s="18">
        <v>46119</v>
      </c>
      <c r="G1177" s="14">
        <v>0.76119212962962968</v>
      </c>
      <c r="H1177" s="7" t="s">
        <v>14</v>
      </c>
      <c r="I1177" s="2" t="str">
        <f t="shared" si="93"/>
        <v>Q3</v>
      </c>
      <c r="J1177" s="2" t="str">
        <f t="shared" si="94"/>
        <v>Not Match</v>
      </c>
      <c r="K1177" s="2">
        <f t="shared" si="95"/>
        <v>0.42426406871192851</v>
      </c>
      <c r="L1177" s="2" t="e">
        <f t="shared" si="96"/>
        <v>#N/A</v>
      </c>
      <c r="M1177" s="2" t="str">
        <f t="shared" si="97"/>
        <v>Below 0.8 not in assigned quadrant</v>
      </c>
      <c r="N1177" s="7">
        <v>14.2</v>
      </c>
      <c r="O1177" s="7">
        <v>-0.5</v>
      </c>
      <c r="P1177" s="7">
        <v>-2.5</v>
      </c>
      <c r="Q1177" s="7">
        <v>-0.28000000000000003</v>
      </c>
      <c r="R1177" s="7">
        <v>-0.3</v>
      </c>
      <c r="S1177" s="7">
        <v>-0.3</v>
      </c>
      <c r="T1177" s="7">
        <v>0.49</v>
      </c>
      <c r="U1177" s="7">
        <v>-0.32</v>
      </c>
      <c r="V1177" s="7">
        <v>0.65</v>
      </c>
      <c r="W1177" s="7" t="s">
        <v>8</v>
      </c>
      <c r="X1177" s="7" t="s">
        <v>15</v>
      </c>
      <c r="Y1177" s="2" t="s">
        <v>719</v>
      </c>
      <c r="Z1177" s="2" t="s">
        <v>721</v>
      </c>
    </row>
    <row r="1178" spans="1:26" x14ac:dyDescent="0.35">
      <c r="A1178" s="7" t="s">
        <v>1515</v>
      </c>
      <c r="B1178" s="7" t="s">
        <v>1227</v>
      </c>
      <c r="C1178" s="4" t="str">
        <f>_xlfn.XLOOKUP(A1178,[2]Sheet2!$I$2:$I$1273,[2]Sheet2!$D$2:$D$1273,0)</f>
        <v>Q3</v>
      </c>
      <c r="D1178" s="4">
        <f>_xlfn.XLOOKUP(B1178,[4]Sheet2!$B$2:$B$3154,[4]Sheet2!$F$2:$F$3154,0)</f>
        <v>0</v>
      </c>
      <c r="E1178" s="4" t="e">
        <f>_xlfn.XLOOKUP(B1178,[2]Sheet2!$E$2:$E$713,[2]Sheet2!$G$2:$G$713)</f>
        <v>#N/A</v>
      </c>
      <c r="F1178" s="18">
        <v>46119</v>
      </c>
      <c r="G1178" s="14">
        <v>0.76370370370370366</v>
      </c>
      <c r="H1178" s="7" t="s">
        <v>11</v>
      </c>
      <c r="I1178" s="2" t="str">
        <f t="shared" si="93"/>
        <v>Q3</v>
      </c>
      <c r="J1178" s="2" t="str">
        <f t="shared" si="94"/>
        <v>Match</v>
      </c>
      <c r="K1178" s="2">
        <f t="shared" si="95"/>
        <v>0.1</v>
      </c>
      <c r="L1178" s="2" t="e">
        <f t="shared" si="96"/>
        <v>#N/A</v>
      </c>
      <c r="M1178" s="2" t="str">
        <f t="shared" si="97"/>
        <v>Failed but within quadrant</v>
      </c>
      <c r="N1178" s="7">
        <v>12.8</v>
      </c>
      <c r="O1178" s="7">
        <v>-0.4</v>
      </c>
      <c r="P1178" s="7">
        <v>-2</v>
      </c>
      <c r="Q1178" s="7">
        <v>-2.0299999999999998</v>
      </c>
      <c r="R1178" s="7">
        <v>-0.1</v>
      </c>
      <c r="S1178" s="7">
        <v>0</v>
      </c>
      <c r="T1178" s="7">
        <v>-0.04</v>
      </c>
      <c r="U1178" s="7">
        <v>-0.21</v>
      </c>
      <c r="V1178" s="7">
        <v>2.04</v>
      </c>
      <c r="W1178" s="7" t="s">
        <v>6</v>
      </c>
      <c r="X1178" s="7" t="s">
        <v>15</v>
      </c>
      <c r="Y1178" s="2" t="s">
        <v>719</v>
      </c>
      <c r="Z1178" s="2" t="s">
        <v>721</v>
      </c>
    </row>
    <row r="1179" spans="1:26" x14ac:dyDescent="0.35">
      <c r="A1179" s="7" t="s">
        <v>1515</v>
      </c>
      <c r="B1179" s="7" t="s">
        <v>1228</v>
      </c>
      <c r="C1179" s="4" t="str">
        <f>_xlfn.XLOOKUP(A1179,[2]Sheet2!$I$2:$I$1273,[2]Sheet2!$D$2:$D$1273,0)</f>
        <v>Q3</v>
      </c>
      <c r="D1179" s="4">
        <f>_xlfn.XLOOKUP(B1179,[4]Sheet2!$B$2:$B$3154,[4]Sheet2!$F$2:$F$3154,0)</f>
        <v>0</v>
      </c>
      <c r="E1179" s="4" t="e">
        <f>_xlfn.XLOOKUP(B1179,[2]Sheet2!$E$2:$E$713,[2]Sheet2!$G$2:$G$713)</f>
        <v>#N/A</v>
      </c>
      <c r="F1179" s="18">
        <v>46119</v>
      </c>
      <c r="G1179" s="14">
        <v>0.76570601851851849</v>
      </c>
      <c r="H1179" s="7" t="s">
        <v>11</v>
      </c>
      <c r="I1179" s="2" t="str">
        <f t="shared" si="93"/>
        <v>Q3</v>
      </c>
      <c r="J1179" s="2" t="str">
        <f t="shared" si="94"/>
        <v>Match</v>
      </c>
      <c r="K1179" s="2">
        <f t="shared" si="95"/>
        <v>0.63245553203367588</v>
      </c>
      <c r="L1179" s="2" t="e">
        <f t="shared" si="96"/>
        <v>#N/A</v>
      </c>
      <c r="M1179" s="2" t="str">
        <f t="shared" si="97"/>
        <v>Failed but within quadrant</v>
      </c>
      <c r="N1179" s="7">
        <v>13.6</v>
      </c>
      <c r="O1179" s="7">
        <v>-0.5</v>
      </c>
      <c r="P1179" s="7">
        <v>-2.7</v>
      </c>
      <c r="Q1179" s="7">
        <v>-1.24</v>
      </c>
      <c r="R1179" s="7">
        <v>-0.2</v>
      </c>
      <c r="S1179" s="7">
        <v>-0.6</v>
      </c>
      <c r="T1179" s="7">
        <v>0.85</v>
      </c>
      <c r="U1179" s="7">
        <v>-0.2</v>
      </c>
      <c r="V1179" s="7">
        <v>1.52</v>
      </c>
      <c r="W1179" s="7" t="s">
        <v>6</v>
      </c>
      <c r="X1179" s="7" t="s">
        <v>15</v>
      </c>
      <c r="Y1179" s="2" t="s">
        <v>719</v>
      </c>
      <c r="Z1179" s="2" t="s">
        <v>721</v>
      </c>
    </row>
    <row r="1180" spans="1:26" x14ac:dyDescent="0.35">
      <c r="A1180" s="7" t="s">
        <v>1586</v>
      </c>
      <c r="B1180" s="7" t="s">
        <v>1229</v>
      </c>
      <c r="C1180" s="4" t="str">
        <f>_xlfn.XLOOKUP(A1180,[2]Sheet2!$I$2:$I$1273,[2]Sheet2!$D$2:$D$1273,0)</f>
        <v>Q2</v>
      </c>
      <c r="D1180" s="4">
        <f>_xlfn.XLOOKUP(B1180,[4]Sheet2!$B$2:$B$3154,[4]Sheet2!$F$2:$F$3154,0)</f>
        <v>0</v>
      </c>
      <c r="E1180" s="4" t="e">
        <f>_xlfn.XLOOKUP(B1180,[2]Sheet2!$E$2:$E$713,[2]Sheet2!$G$2:$G$713)</f>
        <v>#N/A</v>
      </c>
      <c r="F1180" s="18">
        <v>46119</v>
      </c>
      <c r="G1180" s="14">
        <v>0.77096064814814813</v>
      </c>
      <c r="H1180" s="7" t="s">
        <v>4</v>
      </c>
      <c r="I1180" s="2" t="str">
        <f t="shared" si="93"/>
        <v>Q2</v>
      </c>
      <c r="J1180" s="2" t="str">
        <f t="shared" si="94"/>
        <v>Match</v>
      </c>
      <c r="K1180" s="2">
        <f t="shared" si="95"/>
        <v>0</v>
      </c>
      <c r="L1180" s="2" t="e">
        <f t="shared" si="96"/>
        <v>#N/A</v>
      </c>
      <c r="M1180" s="2" t="str">
        <f t="shared" si="97"/>
        <v>Digital Approve Hit</v>
      </c>
      <c r="N1180" s="7">
        <v>17.7</v>
      </c>
      <c r="O1180" s="7">
        <v>0</v>
      </c>
      <c r="P1180" s="7">
        <v>-1.1000000000000001</v>
      </c>
      <c r="Q1180" s="7">
        <v>-0.2</v>
      </c>
      <c r="R1180" s="7">
        <v>0</v>
      </c>
      <c r="S1180" s="7">
        <v>0</v>
      </c>
      <c r="T1180" s="7">
        <v>-0.02</v>
      </c>
      <c r="U1180" s="7">
        <v>0.05</v>
      </c>
      <c r="V1180" s="7">
        <v>0.21</v>
      </c>
      <c r="W1180" s="7" t="s">
        <v>8</v>
      </c>
      <c r="X1180" s="7" t="s">
        <v>9</v>
      </c>
      <c r="Y1180" s="2" t="s">
        <v>719</v>
      </c>
      <c r="Z1180" s="2" t="s">
        <v>721</v>
      </c>
    </row>
    <row r="1181" spans="1:26" x14ac:dyDescent="0.35">
      <c r="A1181" s="7" t="s">
        <v>1762</v>
      </c>
      <c r="B1181" s="7" t="s">
        <v>1230</v>
      </c>
      <c r="C1181" s="4" t="str">
        <f>_xlfn.XLOOKUP(A1181,[2]Sheet2!$I$2:$I$1273,[2]Sheet2!$D$2:$D$1273,0)</f>
        <v>Q3</v>
      </c>
      <c r="D1181" s="4">
        <f>_xlfn.XLOOKUP(B1181,[4]Sheet2!$B$2:$B$3154,[4]Sheet2!$F$2:$F$3154,0)</f>
        <v>0</v>
      </c>
      <c r="E1181" s="4" t="e">
        <f>_xlfn.XLOOKUP(B1181,[2]Sheet2!$E$2:$E$713,[2]Sheet2!$G$2:$G$713)</f>
        <v>#N/A</v>
      </c>
      <c r="F1181" s="18">
        <v>46119</v>
      </c>
      <c r="G1181" s="14">
        <v>0.77615740740740746</v>
      </c>
      <c r="H1181" s="7" t="s">
        <v>14</v>
      </c>
      <c r="I1181" s="2" t="str">
        <f t="shared" si="93"/>
        <v>Q3</v>
      </c>
      <c r="J1181" s="2" t="str">
        <f t="shared" si="94"/>
        <v>Match</v>
      </c>
      <c r="K1181" s="2">
        <f t="shared" si="95"/>
        <v>0.31622776601683794</v>
      </c>
      <c r="L1181" s="2" t="e">
        <f t="shared" si="96"/>
        <v>#N/A</v>
      </c>
      <c r="M1181" s="2" t="str">
        <f t="shared" si="97"/>
        <v>Digital Approve Hit</v>
      </c>
      <c r="N1181" s="7">
        <v>16.399999999999999</v>
      </c>
      <c r="O1181" s="7">
        <v>-0.9</v>
      </c>
      <c r="P1181" s="7">
        <v>-3.5</v>
      </c>
      <c r="Q1181" s="7">
        <v>0.18</v>
      </c>
      <c r="R1181" s="7">
        <v>-0.1</v>
      </c>
      <c r="S1181" s="7">
        <v>-0.3</v>
      </c>
      <c r="T1181" s="7">
        <v>0.43</v>
      </c>
      <c r="U1181" s="7">
        <v>-0.05</v>
      </c>
      <c r="V1181" s="7">
        <v>0.47</v>
      </c>
      <c r="W1181" s="7" t="s">
        <v>8</v>
      </c>
      <c r="X1181" s="7" t="s">
        <v>15</v>
      </c>
      <c r="Y1181" s="2" t="s">
        <v>719</v>
      </c>
      <c r="Z1181" s="2" t="s">
        <v>721</v>
      </c>
    </row>
    <row r="1182" spans="1:26" x14ac:dyDescent="0.35">
      <c r="A1182" s="7" t="s">
        <v>1558</v>
      </c>
      <c r="B1182" s="7" t="s">
        <v>1231</v>
      </c>
      <c r="C1182" s="4" t="str">
        <f>_xlfn.XLOOKUP(A1182,[2]Sheet2!$I$2:$I$1273,[2]Sheet2!$D$2:$D$1273,0)</f>
        <v>Q3</v>
      </c>
      <c r="D1182" s="4">
        <f>_xlfn.XLOOKUP(B1182,[4]Sheet2!$B$2:$B$3154,[4]Sheet2!$F$2:$F$3154,0)</f>
        <v>0</v>
      </c>
      <c r="E1182" s="4" t="e">
        <f>_xlfn.XLOOKUP(B1182,[2]Sheet2!$E$2:$E$713,[2]Sheet2!$G$2:$G$713)</f>
        <v>#N/A</v>
      </c>
      <c r="F1182" s="18">
        <v>46119</v>
      </c>
      <c r="G1182" s="14">
        <v>0.78077546296296296</v>
      </c>
      <c r="H1182" s="7" t="s">
        <v>16</v>
      </c>
      <c r="I1182" s="2" t="str">
        <f t="shared" si="93"/>
        <v>Q3</v>
      </c>
      <c r="J1182" s="2" t="str">
        <f t="shared" si="94"/>
        <v>Match</v>
      </c>
      <c r="K1182" s="2">
        <f t="shared" si="95"/>
        <v>0.22360679774997899</v>
      </c>
      <c r="L1182" s="2" t="e">
        <f t="shared" si="96"/>
        <v>#N/A</v>
      </c>
      <c r="M1182" s="2" t="str">
        <f t="shared" si="97"/>
        <v>Digital Approve Hit</v>
      </c>
      <c r="N1182" s="7">
        <v>14.8</v>
      </c>
      <c r="O1182" s="7">
        <v>-0.4</v>
      </c>
      <c r="P1182" s="7">
        <v>-2.1</v>
      </c>
      <c r="Q1182" s="7">
        <v>-0.7</v>
      </c>
      <c r="R1182" s="7">
        <v>-0.1</v>
      </c>
      <c r="S1182" s="7">
        <v>-0.2</v>
      </c>
      <c r="T1182" s="7">
        <v>0.3</v>
      </c>
      <c r="U1182" s="7">
        <v>-0.14000000000000001</v>
      </c>
      <c r="V1182" s="7">
        <v>0.77</v>
      </c>
      <c r="W1182" s="7" t="s">
        <v>13</v>
      </c>
      <c r="X1182" s="7" t="s">
        <v>15</v>
      </c>
      <c r="Y1182" s="2" t="s">
        <v>719</v>
      </c>
      <c r="Z1182" s="2" t="s">
        <v>721</v>
      </c>
    </row>
    <row r="1183" spans="1:26" x14ac:dyDescent="0.35">
      <c r="A1183" s="7" t="s">
        <v>1535</v>
      </c>
      <c r="B1183" s="7" t="s">
        <v>1232</v>
      </c>
      <c r="C1183" s="4" t="str">
        <f>_xlfn.XLOOKUP(A1183,[2]Sheet2!$I$2:$I$1273,[2]Sheet2!$D$2:$D$1273,0)</f>
        <v>Q3</v>
      </c>
      <c r="D1183" s="4">
        <f>_xlfn.XLOOKUP(B1183,[4]Sheet2!$B$2:$B$3154,[4]Sheet2!$F$2:$F$3154,0)</f>
        <v>0</v>
      </c>
      <c r="E1183" s="4" t="e">
        <f>_xlfn.XLOOKUP(B1183,[2]Sheet2!$E$2:$E$713,[2]Sheet2!$G$2:$G$713)</f>
        <v>#N/A</v>
      </c>
      <c r="F1183" s="18">
        <v>46119</v>
      </c>
      <c r="G1183" s="14">
        <v>0.78332175925925929</v>
      </c>
      <c r="H1183" s="7" t="s">
        <v>5</v>
      </c>
      <c r="I1183" s="2" t="str">
        <f t="shared" si="93"/>
        <v>Q1</v>
      </c>
      <c r="J1183" s="2" t="str">
        <f t="shared" si="94"/>
        <v>Not Match</v>
      </c>
      <c r="K1183" s="2">
        <f t="shared" si="95"/>
        <v>0.5</v>
      </c>
      <c r="L1183" s="2" t="e">
        <f t="shared" si="96"/>
        <v>#N/A</v>
      </c>
      <c r="M1183" s="2" t="str">
        <f t="shared" si="97"/>
        <v>Below 0.8 not in assigned quadrant</v>
      </c>
      <c r="N1183" s="7">
        <v>16.399999999999999</v>
      </c>
      <c r="O1183" s="7">
        <v>-0.5</v>
      </c>
      <c r="P1183" s="7">
        <v>-2.8</v>
      </c>
      <c r="Q1183" s="7">
        <v>-0.32</v>
      </c>
      <c r="R1183" s="7">
        <v>0</v>
      </c>
      <c r="S1183" s="7">
        <v>0.5</v>
      </c>
      <c r="T1183" s="7">
        <v>-0.68</v>
      </c>
      <c r="U1183" s="7">
        <v>-0.06</v>
      </c>
      <c r="V1183" s="7">
        <v>0.75</v>
      </c>
      <c r="W1183" s="7" t="s">
        <v>13</v>
      </c>
      <c r="X1183" s="7" t="s">
        <v>15</v>
      </c>
      <c r="Y1183" s="2" t="s">
        <v>719</v>
      </c>
      <c r="Z1183" s="2" t="s">
        <v>721</v>
      </c>
    </row>
    <row r="1184" spans="1:26" x14ac:dyDescent="0.35">
      <c r="A1184" s="7" t="s">
        <v>1505</v>
      </c>
      <c r="B1184" s="7" t="s">
        <v>1233</v>
      </c>
      <c r="C1184" s="4" t="str">
        <f>_xlfn.XLOOKUP(A1184,[2]Sheet2!$I$2:$I$1273,[2]Sheet2!$D$2:$D$1273,0)</f>
        <v>Q4</v>
      </c>
      <c r="D1184" s="4">
        <f>_xlfn.XLOOKUP(B1184,[4]Sheet2!$B$2:$B$3154,[4]Sheet2!$F$2:$F$3154,0)</f>
        <v>0</v>
      </c>
      <c r="E1184" s="4" t="e">
        <f>_xlfn.XLOOKUP(B1184,[2]Sheet2!$E$2:$E$713,[2]Sheet2!$G$2:$G$713)</f>
        <v>#N/A</v>
      </c>
      <c r="F1184" s="18">
        <v>46119</v>
      </c>
      <c r="G1184" s="14">
        <v>0.78538194444444442</v>
      </c>
      <c r="H1184" s="7" t="s">
        <v>5</v>
      </c>
      <c r="I1184" s="2" t="str">
        <f t="shared" si="93"/>
        <v>Q1</v>
      </c>
      <c r="J1184" s="2" t="str">
        <f t="shared" si="94"/>
        <v>Not Match</v>
      </c>
      <c r="K1184" s="2">
        <f t="shared" si="95"/>
        <v>0.2</v>
      </c>
      <c r="L1184" s="2" t="e">
        <f t="shared" si="96"/>
        <v>#N/A</v>
      </c>
      <c r="M1184" s="2" t="str">
        <f t="shared" si="97"/>
        <v>Below 0.8 not in assigned quadrant</v>
      </c>
      <c r="N1184" s="7">
        <v>17.100000000000001</v>
      </c>
      <c r="O1184" s="7">
        <v>-1</v>
      </c>
      <c r="P1184" s="7">
        <v>-2.8</v>
      </c>
      <c r="Q1184" s="7">
        <v>-0.73</v>
      </c>
      <c r="R1184" s="7">
        <v>0</v>
      </c>
      <c r="S1184" s="7">
        <v>0.2</v>
      </c>
      <c r="T1184" s="7">
        <v>-0.23</v>
      </c>
      <c r="U1184" s="7">
        <v>-0.15</v>
      </c>
      <c r="V1184" s="7">
        <v>0.78</v>
      </c>
      <c r="W1184" s="7" t="s">
        <v>13</v>
      </c>
      <c r="X1184" s="7" t="s">
        <v>15</v>
      </c>
      <c r="Y1184" s="2" t="s">
        <v>719</v>
      </c>
      <c r="Z1184" s="2" t="s">
        <v>721</v>
      </c>
    </row>
    <row r="1185" spans="1:26" x14ac:dyDescent="0.35">
      <c r="A1185" s="7" t="s">
        <v>1557</v>
      </c>
      <c r="B1185" s="7" t="s">
        <v>1234</v>
      </c>
      <c r="C1185" s="4" t="str">
        <f>_xlfn.XLOOKUP(A1185,[2]Sheet2!$I$2:$I$1273,[2]Sheet2!$D$2:$D$1273,0)</f>
        <v>Q3</v>
      </c>
      <c r="D1185" s="4">
        <f>_xlfn.XLOOKUP(B1185,[4]Sheet2!$B$2:$B$3154,[4]Sheet2!$F$2:$F$3154,0)</f>
        <v>0</v>
      </c>
      <c r="E1185" s="4" t="e">
        <f>_xlfn.XLOOKUP(B1185,[2]Sheet2!$E$2:$E$713,[2]Sheet2!$G$2:$G$713)</f>
        <v>#N/A</v>
      </c>
      <c r="F1185" s="18">
        <v>46119</v>
      </c>
      <c r="G1185" s="14">
        <v>0.99452546296296296</v>
      </c>
      <c r="H1185" s="7" t="s">
        <v>16</v>
      </c>
      <c r="I1185" s="2" t="str">
        <f t="shared" si="93"/>
        <v>Q3</v>
      </c>
      <c r="J1185" s="2" t="str">
        <f t="shared" si="94"/>
        <v>Match</v>
      </c>
      <c r="K1185" s="2">
        <f t="shared" si="95"/>
        <v>0.22360679774997899</v>
      </c>
      <c r="L1185" s="2" t="e">
        <f t="shared" si="96"/>
        <v>#N/A</v>
      </c>
      <c r="M1185" s="2" t="str">
        <f t="shared" si="97"/>
        <v>Digital Approve Hit</v>
      </c>
      <c r="N1185" s="7">
        <v>14.9</v>
      </c>
      <c r="O1185" s="7">
        <v>-0.4</v>
      </c>
      <c r="P1185" s="7">
        <v>-1.9</v>
      </c>
      <c r="Q1185" s="7">
        <v>-0.56000000000000005</v>
      </c>
      <c r="R1185" s="7">
        <v>-0.2</v>
      </c>
      <c r="S1185" s="7">
        <v>-0.1</v>
      </c>
      <c r="T1185" s="7">
        <v>0.25</v>
      </c>
      <c r="U1185" s="7">
        <v>-0.26</v>
      </c>
      <c r="V1185" s="7">
        <v>0.67</v>
      </c>
      <c r="W1185" s="7" t="s">
        <v>8</v>
      </c>
      <c r="X1185" s="7" t="s">
        <v>15</v>
      </c>
      <c r="Y1185" s="2" t="s">
        <v>719</v>
      </c>
      <c r="Z1185" s="2" t="s">
        <v>721</v>
      </c>
    </row>
    <row r="1186" spans="1:26" x14ac:dyDescent="0.35">
      <c r="A1186" s="7" t="s">
        <v>1515</v>
      </c>
      <c r="B1186" s="7" t="s">
        <v>1235</v>
      </c>
      <c r="C1186" s="4" t="str">
        <f>_xlfn.XLOOKUP(A1186,[2]Sheet2!$I$2:$I$1273,[2]Sheet2!$D$2:$D$1273,0)</f>
        <v>Q3</v>
      </c>
      <c r="D1186" s="4">
        <f>_xlfn.XLOOKUP(B1186,[4]Sheet2!$B$2:$B$3154,[4]Sheet2!$F$2:$F$3154,0)</f>
        <v>0</v>
      </c>
      <c r="E1186" s="4" t="e">
        <f>_xlfn.XLOOKUP(B1186,[2]Sheet2!$E$2:$E$713,[2]Sheet2!$G$2:$G$713)</f>
        <v>#N/A</v>
      </c>
      <c r="F1186" s="18">
        <v>46119</v>
      </c>
      <c r="G1186" s="14">
        <v>0.99851851851851847</v>
      </c>
      <c r="H1186" s="7" t="s">
        <v>11</v>
      </c>
      <c r="I1186" s="2" t="str">
        <f t="shared" si="93"/>
        <v>Q3</v>
      </c>
      <c r="J1186" s="2" t="str">
        <f t="shared" si="94"/>
        <v>Match</v>
      </c>
      <c r="K1186" s="2">
        <f t="shared" si="95"/>
        <v>0.36055512754639896</v>
      </c>
      <c r="L1186" s="2" t="e">
        <f t="shared" si="96"/>
        <v>#N/A</v>
      </c>
      <c r="M1186" s="2" t="str">
        <f t="shared" si="97"/>
        <v>Failed but within quadrant</v>
      </c>
      <c r="N1186" s="7">
        <v>13.5</v>
      </c>
      <c r="O1186" s="7">
        <v>-0.5</v>
      </c>
      <c r="P1186" s="7">
        <v>-2.5</v>
      </c>
      <c r="Q1186" s="7">
        <v>-1.27</v>
      </c>
      <c r="R1186" s="7">
        <v>-0.2</v>
      </c>
      <c r="S1186" s="7">
        <v>-0.3</v>
      </c>
      <c r="T1186" s="7">
        <v>0.54</v>
      </c>
      <c r="U1186" s="7">
        <v>-0.19</v>
      </c>
      <c r="V1186" s="7">
        <v>1.39</v>
      </c>
      <c r="W1186" s="7" t="s">
        <v>6</v>
      </c>
      <c r="X1186" s="7" t="s">
        <v>15</v>
      </c>
      <c r="Y1186" s="2" t="s">
        <v>719</v>
      </c>
      <c r="Z1186" s="2" t="s">
        <v>721</v>
      </c>
    </row>
    <row r="1187" spans="1:26" x14ac:dyDescent="0.35">
      <c r="A1187" s="7" t="s">
        <v>1572</v>
      </c>
      <c r="B1187" s="7" t="s">
        <v>1236</v>
      </c>
      <c r="C1187" s="4" t="str">
        <f>_xlfn.XLOOKUP(A1187,[2]Sheet2!$I$2:$I$1273,[2]Sheet2!$D$2:$D$1273,0)</f>
        <v>Q3</v>
      </c>
      <c r="D1187" s="4">
        <f>_xlfn.XLOOKUP(B1187,[4]Sheet2!$B$2:$B$3154,[4]Sheet2!$F$2:$F$3154,0)</f>
        <v>0</v>
      </c>
      <c r="E1187" s="4" t="e">
        <f>_xlfn.XLOOKUP(B1187,[2]Sheet2!$E$2:$E$713,[2]Sheet2!$G$2:$G$713)</f>
        <v>#N/A</v>
      </c>
      <c r="F1187" s="18">
        <v>46120</v>
      </c>
      <c r="G1187" s="14">
        <v>7.3877314814814812E-2</v>
      </c>
      <c r="H1187" s="7" t="s">
        <v>5</v>
      </c>
      <c r="I1187" s="2" t="str">
        <f t="shared" si="93"/>
        <v>Q3</v>
      </c>
      <c r="J1187" s="2" t="str">
        <f t="shared" si="94"/>
        <v>Match</v>
      </c>
      <c r="K1187" s="2">
        <f t="shared" si="95"/>
        <v>0</v>
      </c>
      <c r="L1187" s="2" t="e">
        <f t="shared" si="96"/>
        <v>#N/A</v>
      </c>
      <c r="M1187" s="2" t="str">
        <f t="shared" si="97"/>
        <v>Digital Approve Hit</v>
      </c>
      <c r="N1187" s="7">
        <v>16.2</v>
      </c>
      <c r="O1187" s="7">
        <v>-0.6</v>
      </c>
      <c r="P1187" s="7">
        <v>-2.2000000000000002</v>
      </c>
      <c r="Q1187" s="7">
        <v>-0.21</v>
      </c>
      <c r="R1187" s="7">
        <v>0</v>
      </c>
      <c r="S1187" s="7">
        <v>0</v>
      </c>
      <c r="T1187" s="7">
        <v>-0.01</v>
      </c>
      <c r="U1187" s="7">
        <v>0.03</v>
      </c>
      <c r="V1187" s="7">
        <v>0.22</v>
      </c>
      <c r="W1187" s="7" t="s">
        <v>8</v>
      </c>
      <c r="X1187" s="7" t="s">
        <v>9</v>
      </c>
      <c r="Y1187" s="2" t="s">
        <v>719</v>
      </c>
      <c r="Z1187" s="2" t="s">
        <v>721</v>
      </c>
    </row>
    <row r="1188" spans="1:26" x14ac:dyDescent="0.35">
      <c r="A1188" s="7" t="s">
        <v>1557</v>
      </c>
      <c r="B1188" s="7" t="s">
        <v>1237</v>
      </c>
      <c r="C1188" s="4" t="str">
        <f>_xlfn.XLOOKUP(A1188,[2]Sheet2!$I$2:$I$1273,[2]Sheet2!$D$2:$D$1273,0)</f>
        <v>Q3</v>
      </c>
      <c r="D1188" s="4">
        <f>_xlfn.XLOOKUP(B1188,[4]Sheet2!$B$2:$B$3154,[4]Sheet2!$F$2:$F$3154,0)</f>
        <v>0</v>
      </c>
      <c r="E1188" s="4" t="e">
        <f>_xlfn.XLOOKUP(B1188,[2]Sheet2!$E$2:$E$713,[2]Sheet2!$G$2:$G$713)</f>
        <v>#N/A</v>
      </c>
      <c r="F1188" s="18">
        <v>46120</v>
      </c>
      <c r="G1188" s="14">
        <v>8.1423611111111113E-2</v>
      </c>
      <c r="H1188" s="7" t="s">
        <v>16</v>
      </c>
      <c r="I1188" s="2" t="str">
        <f t="shared" si="93"/>
        <v>Q3</v>
      </c>
      <c r="J1188" s="2" t="str">
        <f t="shared" si="94"/>
        <v>Match</v>
      </c>
      <c r="K1188" s="2">
        <f t="shared" si="95"/>
        <v>0.22360679774997899</v>
      </c>
      <c r="L1188" s="2" t="e">
        <f t="shared" si="96"/>
        <v>#N/A</v>
      </c>
      <c r="M1188" s="2" t="str">
        <f t="shared" si="97"/>
        <v>Failed but within quadrant</v>
      </c>
      <c r="N1188" s="7">
        <v>14.5</v>
      </c>
      <c r="O1188" s="7">
        <v>-0.3</v>
      </c>
      <c r="P1188" s="7">
        <v>-2</v>
      </c>
      <c r="Q1188" s="7">
        <v>-1</v>
      </c>
      <c r="R1188" s="7">
        <v>-0.1</v>
      </c>
      <c r="S1188" s="7">
        <v>-0.2</v>
      </c>
      <c r="T1188" s="7">
        <v>0.4</v>
      </c>
      <c r="U1188" s="7">
        <v>-0.2</v>
      </c>
      <c r="V1188" s="7">
        <v>1.0900000000000001</v>
      </c>
      <c r="W1188" s="7" t="s">
        <v>6</v>
      </c>
      <c r="X1188" s="7" t="s">
        <v>15</v>
      </c>
      <c r="Y1188" s="2" t="s">
        <v>719</v>
      </c>
      <c r="Z1188" s="2" t="s">
        <v>721</v>
      </c>
    </row>
    <row r="1189" spans="1:26" x14ac:dyDescent="0.35">
      <c r="A1189" s="7" t="s">
        <v>1773</v>
      </c>
      <c r="B1189" s="7" t="s">
        <v>1240</v>
      </c>
      <c r="C1189" s="4" t="str">
        <f>_xlfn.XLOOKUP(A1189,[2]Sheet2!$I$2:$I$1273,[2]Sheet2!$D$2:$D$1273,0)</f>
        <v>Q3</v>
      </c>
      <c r="D1189" s="4">
        <f>_xlfn.XLOOKUP(B1189,[4]Sheet2!$B$2:$B$3154,[4]Sheet2!$F$2:$F$3154,0)</f>
        <v>0</v>
      </c>
      <c r="E1189" s="4" t="e">
        <f>_xlfn.XLOOKUP(B1189,[2]Sheet2!$E$2:$E$713,[2]Sheet2!$G$2:$G$713)</f>
        <v>#N/A</v>
      </c>
      <c r="F1189" s="18">
        <v>46120</v>
      </c>
      <c r="G1189" s="14">
        <v>0.26067129629629632</v>
      </c>
      <c r="H1189" s="7" t="s">
        <v>5</v>
      </c>
      <c r="I1189" s="2" t="str">
        <f t="shared" si="93"/>
        <v>Q1</v>
      </c>
      <c r="J1189" s="2" t="str">
        <f t="shared" si="94"/>
        <v>Not Match</v>
      </c>
      <c r="K1189" s="2">
        <f t="shared" si="95"/>
        <v>0.3</v>
      </c>
      <c r="L1189" s="2" t="e">
        <f t="shared" si="96"/>
        <v>#N/A</v>
      </c>
      <c r="M1189" s="2" t="str">
        <f t="shared" si="97"/>
        <v>Assign quadrant hit</v>
      </c>
      <c r="N1189" s="7">
        <v>14.9</v>
      </c>
      <c r="O1189" s="7">
        <v>-1.2</v>
      </c>
      <c r="P1189" s="7">
        <v>-3</v>
      </c>
      <c r="Q1189" s="7">
        <v>-0.97</v>
      </c>
      <c r="R1189" s="7">
        <v>0</v>
      </c>
      <c r="S1189" s="7">
        <v>0.3</v>
      </c>
      <c r="T1189" s="7">
        <v>-0.44</v>
      </c>
      <c r="U1189" s="7">
        <v>-0.14000000000000001</v>
      </c>
      <c r="V1189" s="7">
        <v>1.07</v>
      </c>
      <c r="W1189" s="7" t="s">
        <v>6</v>
      </c>
      <c r="X1189" s="7" t="s">
        <v>15</v>
      </c>
      <c r="Y1189" s="2" t="s">
        <v>719</v>
      </c>
      <c r="Z1189" s="2" t="s">
        <v>721</v>
      </c>
    </row>
    <row r="1190" spans="1:26" x14ac:dyDescent="0.35">
      <c r="A1190" s="7" t="s">
        <v>1586</v>
      </c>
      <c r="B1190" s="7" t="s">
        <v>1241</v>
      </c>
      <c r="C1190" s="4" t="str">
        <f>_xlfn.XLOOKUP(A1190,[2]Sheet2!$I$2:$I$1273,[2]Sheet2!$D$2:$D$1273,0)</f>
        <v>Q2</v>
      </c>
      <c r="D1190" s="4">
        <f>_xlfn.XLOOKUP(B1190,[4]Sheet2!$B$2:$B$3154,[4]Sheet2!$F$2:$F$3154,0)</f>
        <v>0</v>
      </c>
      <c r="E1190" s="4" t="e">
        <f>_xlfn.XLOOKUP(B1190,[2]Sheet2!$E$2:$E$713,[2]Sheet2!$G$2:$G$713)</f>
        <v>#N/A</v>
      </c>
      <c r="F1190" s="18">
        <v>46120</v>
      </c>
      <c r="G1190" s="14">
        <v>0.26337962962962963</v>
      </c>
      <c r="H1190" s="7" t="s">
        <v>4</v>
      </c>
      <c r="I1190" s="2" t="str">
        <f t="shared" si="93"/>
        <v>Q2</v>
      </c>
      <c r="J1190" s="2" t="str">
        <f t="shared" si="94"/>
        <v>Match</v>
      </c>
      <c r="K1190" s="2">
        <f t="shared" si="95"/>
        <v>0</v>
      </c>
      <c r="L1190" s="2" t="e">
        <f t="shared" si="96"/>
        <v>#N/A</v>
      </c>
      <c r="M1190" s="2" t="str">
        <f t="shared" si="97"/>
        <v>Digital Approve Hit</v>
      </c>
      <c r="N1190" s="7">
        <v>17.2</v>
      </c>
      <c r="O1190" s="7">
        <v>0</v>
      </c>
      <c r="P1190" s="7">
        <v>-1.1000000000000001</v>
      </c>
      <c r="Q1190" s="7">
        <v>-0.65</v>
      </c>
      <c r="R1190" s="7">
        <v>0</v>
      </c>
      <c r="S1190" s="7">
        <v>0</v>
      </c>
      <c r="T1190" s="7">
        <v>0.01</v>
      </c>
      <c r="U1190" s="7">
        <v>0.11</v>
      </c>
      <c r="V1190" s="7">
        <v>0.66</v>
      </c>
      <c r="W1190" s="7" t="s">
        <v>8</v>
      </c>
      <c r="X1190" s="7" t="s">
        <v>9</v>
      </c>
      <c r="Y1190" s="2" t="s">
        <v>719</v>
      </c>
      <c r="Z1190" s="2" t="s">
        <v>721</v>
      </c>
    </row>
    <row r="1191" spans="1:26" x14ac:dyDescent="0.35">
      <c r="A1191" s="7" t="s">
        <v>1624</v>
      </c>
      <c r="B1191" s="7" t="s">
        <v>1242</v>
      </c>
      <c r="C1191" s="4" t="str">
        <f>_xlfn.XLOOKUP(A1191,[2]Sheet2!$I$2:$I$1273,[2]Sheet2!$D$2:$D$1273,0)</f>
        <v>Q4</v>
      </c>
      <c r="D1191" s="4">
        <f>_xlfn.XLOOKUP(B1191,[4]Sheet2!$B$2:$B$3154,[4]Sheet2!$F$2:$F$3154,0)</f>
        <v>0</v>
      </c>
      <c r="E1191" s="4" t="e">
        <f>_xlfn.XLOOKUP(B1191,[2]Sheet2!$E$2:$E$713,[2]Sheet2!$G$2:$G$713)</f>
        <v>#N/A</v>
      </c>
      <c r="F1191" s="18">
        <v>46120</v>
      </c>
      <c r="G1191" s="14">
        <v>0.26501157407407405</v>
      </c>
      <c r="H1191" s="7" t="s">
        <v>5</v>
      </c>
      <c r="I1191" s="2" t="str">
        <f t="shared" si="93"/>
        <v>Q4</v>
      </c>
      <c r="J1191" s="2" t="str">
        <f t="shared" si="94"/>
        <v>Match</v>
      </c>
      <c r="K1191" s="2">
        <f t="shared" si="95"/>
        <v>0.4</v>
      </c>
      <c r="L1191" s="2" t="e">
        <f t="shared" si="96"/>
        <v>#N/A</v>
      </c>
      <c r="M1191" s="2" t="str">
        <f t="shared" si="97"/>
        <v>Digital Approve Hit</v>
      </c>
      <c r="N1191" s="7">
        <v>15.5</v>
      </c>
      <c r="O1191" s="7">
        <v>-0.6</v>
      </c>
      <c r="P1191" s="7">
        <v>-2.1</v>
      </c>
      <c r="Q1191" s="7">
        <v>0.01</v>
      </c>
      <c r="R1191" s="7">
        <v>0</v>
      </c>
      <c r="S1191" s="7">
        <v>-0.4</v>
      </c>
      <c r="T1191" s="7">
        <v>0.62</v>
      </c>
      <c r="U1191" s="7">
        <v>0.2</v>
      </c>
      <c r="V1191" s="7">
        <v>0.65</v>
      </c>
      <c r="W1191" s="7" t="s">
        <v>8</v>
      </c>
      <c r="X1191" s="7" t="s">
        <v>9</v>
      </c>
      <c r="Y1191" s="2" t="s">
        <v>719</v>
      </c>
      <c r="Z1191" s="2" t="s">
        <v>721</v>
      </c>
    </row>
    <row r="1192" spans="1:26" x14ac:dyDescent="0.35">
      <c r="A1192" s="7" t="s">
        <v>1515</v>
      </c>
      <c r="B1192" s="7" t="s">
        <v>1243</v>
      </c>
      <c r="C1192" s="4" t="str">
        <f>_xlfn.XLOOKUP(A1192,[2]Sheet2!$I$2:$I$1273,[2]Sheet2!$D$2:$D$1273,0)</f>
        <v>Q3</v>
      </c>
      <c r="D1192" s="4">
        <f>_xlfn.XLOOKUP(B1192,[4]Sheet2!$B$2:$B$3154,[4]Sheet2!$F$2:$F$3154,0)</f>
        <v>0</v>
      </c>
      <c r="E1192" s="4" t="e">
        <f>_xlfn.XLOOKUP(B1192,[2]Sheet2!$E$2:$E$713,[2]Sheet2!$G$2:$G$713)</f>
        <v>#N/A</v>
      </c>
      <c r="F1192" s="18">
        <v>46120</v>
      </c>
      <c r="G1192" s="14">
        <v>0.27149305555555553</v>
      </c>
      <c r="H1192" s="7" t="s">
        <v>11</v>
      </c>
      <c r="I1192" s="2" t="str">
        <f t="shared" si="93"/>
        <v>Q3</v>
      </c>
      <c r="J1192" s="2" t="str">
        <f t="shared" si="94"/>
        <v>Match</v>
      </c>
      <c r="K1192" s="2">
        <f t="shared" si="95"/>
        <v>0.14142135623730953</v>
      </c>
      <c r="L1192" s="2" t="e">
        <f t="shared" si="96"/>
        <v>#N/A</v>
      </c>
      <c r="M1192" s="2" t="str">
        <f t="shared" si="97"/>
        <v>Failed but within quadrant</v>
      </c>
      <c r="N1192" s="7">
        <v>13.2</v>
      </c>
      <c r="O1192" s="7">
        <v>-0.3</v>
      </c>
      <c r="P1192" s="7">
        <v>-2.2999999999999998</v>
      </c>
      <c r="Q1192" s="7">
        <v>-1.55</v>
      </c>
      <c r="R1192" s="7">
        <v>-0.1</v>
      </c>
      <c r="S1192" s="7">
        <v>-0.1</v>
      </c>
      <c r="T1192" s="7">
        <v>0.25</v>
      </c>
      <c r="U1192" s="7">
        <v>-0.09</v>
      </c>
      <c r="V1192" s="7">
        <v>1.57</v>
      </c>
      <c r="W1192" s="7" t="s">
        <v>6</v>
      </c>
      <c r="X1192" s="7" t="s">
        <v>15</v>
      </c>
      <c r="Y1192" s="2" t="s">
        <v>719</v>
      </c>
      <c r="Z1192" s="2" t="s">
        <v>721</v>
      </c>
    </row>
    <row r="1193" spans="1:26" x14ac:dyDescent="0.35">
      <c r="A1193" s="7" t="s">
        <v>1774</v>
      </c>
      <c r="B1193" s="7" t="s">
        <v>1244</v>
      </c>
      <c r="C1193" s="4" t="str">
        <f>_xlfn.XLOOKUP(A1193,[2]Sheet2!$I$2:$I$1273,[2]Sheet2!$D$2:$D$1273,0)</f>
        <v>Q4</v>
      </c>
      <c r="D1193" s="4">
        <f>_xlfn.XLOOKUP(B1193,[4]Sheet2!$B$2:$B$3154,[4]Sheet2!$F$2:$F$3154,0)</f>
        <v>0</v>
      </c>
      <c r="E1193" s="4" t="e">
        <f>_xlfn.XLOOKUP(B1193,[2]Sheet2!$E$2:$E$713,[2]Sheet2!$G$2:$G$713)</f>
        <v>#N/A</v>
      </c>
      <c r="F1193" s="18">
        <v>46120</v>
      </c>
      <c r="G1193" s="14">
        <v>0.50850694444444444</v>
      </c>
      <c r="H1193" s="7" t="s">
        <v>5</v>
      </c>
      <c r="I1193" s="2" t="str">
        <f t="shared" si="93"/>
        <v>Q3</v>
      </c>
      <c r="J1193" s="2" t="str">
        <f t="shared" si="94"/>
        <v>Not Match</v>
      </c>
      <c r="K1193" s="2">
        <f t="shared" si="95"/>
        <v>0.2</v>
      </c>
      <c r="L1193" s="2" t="e">
        <f t="shared" si="96"/>
        <v>#N/A</v>
      </c>
      <c r="M1193" s="2" t="str">
        <f t="shared" si="97"/>
        <v>Assign quadrant hit</v>
      </c>
      <c r="N1193" s="7">
        <v>18</v>
      </c>
      <c r="O1193" s="7">
        <v>-0.3</v>
      </c>
      <c r="P1193" s="7">
        <v>-3.5</v>
      </c>
      <c r="Q1193" s="7">
        <v>-0.88</v>
      </c>
      <c r="R1193" s="7">
        <v>-0.2</v>
      </c>
      <c r="S1193" s="7">
        <v>0</v>
      </c>
      <c r="T1193" s="7">
        <v>-0.06</v>
      </c>
      <c r="U1193" s="7">
        <v>-0.27</v>
      </c>
      <c r="V1193" s="7">
        <v>0.92</v>
      </c>
      <c r="W1193" s="7" t="s">
        <v>13</v>
      </c>
      <c r="X1193" s="7" t="s">
        <v>15</v>
      </c>
      <c r="Y1193" s="2" t="s">
        <v>719</v>
      </c>
      <c r="Z1193" s="2" t="s">
        <v>721</v>
      </c>
    </row>
    <row r="1194" spans="1:26" x14ac:dyDescent="0.35">
      <c r="A1194" s="7" t="s">
        <v>1644</v>
      </c>
      <c r="B1194" s="7" t="s">
        <v>1245</v>
      </c>
      <c r="C1194" s="4" t="str">
        <f>_xlfn.XLOOKUP(A1194,[2]Sheet2!$I$2:$I$1273,[2]Sheet2!$D$2:$D$1273,0)</f>
        <v>Q3</v>
      </c>
      <c r="D1194" s="4">
        <f>_xlfn.XLOOKUP(B1194,[4]Sheet2!$B$2:$B$3154,[4]Sheet2!$F$2:$F$3154,0)</f>
        <v>0</v>
      </c>
      <c r="E1194" s="4" t="e">
        <f>_xlfn.XLOOKUP(B1194,[2]Sheet2!$E$2:$E$713,[2]Sheet2!$G$2:$G$713)</f>
        <v>#N/A</v>
      </c>
      <c r="F1194" s="18">
        <v>46120</v>
      </c>
      <c r="G1194" s="14">
        <v>0.35146990740740741</v>
      </c>
      <c r="H1194" s="7" t="s">
        <v>5</v>
      </c>
      <c r="I1194" s="2" t="str">
        <f t="shared" si="93"/>
        <v>Q1</v>
      </c>
      <c r="J1194" s="2" t="str">
        <f t="shared" si="94"/>
        <v>Not Match</v>
      </c>
      <c r="K1194" s="2">
        <f t="shared" si="95"/>
        <v>0.4</v>
      </c>
      <c r="L1194" s="2" t="e">
        <f t="shared" si="96"/>
        <v>#N/A</v>
      </c>
      <c r="M1194" s="2" t="str">
        <f t="shared" si="97"/>
        <v>Below 0.8 not in assigned quadrant</v>
      </c>
      <c r="N1194" s="7">
        <v>32.5</v>
      </c>
      <c r="O1194" s="7">
        <v>8.4</v>
      </c>
      <c r="P1194" s="7">
        <v>6.9</v>
      </c>
      <c r="Q1194" s="7">
        <v>0.37</v>
      </c>
      <c r="R1194" s="7">
        <v>0</v>
      </c>
      <c r="S1194" s="7">
        <v>0.4</v>
      </c>
      <c r="T1194" s="7">
        <v>0.28000000000000003</v>
      </c>
      <c r="U1194" s="7">
        <v>0.54</v>
      </c>
      <c r="V1194" s="7">
        <v>0.71</v>
      </c>
      <c r="W1194" s="7" t="s">
        <v>8</v>
      </c>
      <c r="X1194" s="7" t="s">
        <v>12</v>
      </c>
      <c r="Y1194" s="2" t="s">
        <v>719</v>
      </c>
      <c r="Z1194" s="2" t="s">
        <v>721</v>
      </c>
    </row>
    <row r="1195" spans="1:26" x14ac:dyDescent="0.35">
      <c r="A1195" s="7" t="s">
        <v>1631</v>
      </c>
      <c r="B1195" s="7" t="s">
        <v>1246</v>
      </c>
      <c r="C1195" s="4" t="str">
        <f>_xlfn.XLOOKUP(A1195,[2]Sheet2!$I$2:$I$1273,[2]Sheet2!$D$2:$D$1273,0)</f>
        <v>Q4</v>
      </c>
      <c r="D1195" s="4">
        <f>_xlfn.XLOOKUP(B1195,[4]Sheet2!$B$2:$B$3154,[4]Sheet2!$F$2:$F$3154,0)</f>
        <v>0</v>
      </c>
      <c r="E1195" s="4" t="e">
        <f>_xlfn.XLOOKUP(B1195,[2]Sheet2!$E$2:$E$713,[2]Sheet2!$G$2:$G$713)</f>
        <v>#N/A</v>
      </c>
      <c r="F1195" s="18">
        <v>46120</v>
      </c>
      <c r="G1195" s="14">
        <v>0.69407407407407407</v>
      </c>
      <c r="H1195" s="7" t="s">
        <v>5</v>
      </c>
      <c r="I1195" s="2" t="str">
        <f t="shared" si="93"/>
        <v>Q1</v>
      </c>
      <c r="J1195" s="2" t="str">
        <f t="shared" si="94"/>
        <v>Not Match</v>
      </c>
      <c r="K1195" s="2">
        <f t="shared" si="95"/>
        <v>0.31622776601683794</v>
      </c>
      <c r="L1195" s="2" t="e">
        <f t="shared" si="96"/>
        <v>#N/A</v>
      </c>
      <c r="M1195" s="2" t="str">
        <f t="shared" si="97"/>
        <v>Below 0.8 not in assigned quadrant</v>
      </c>
      <c r="N1195" s="7">
        <v>22.9</v>
      </c>
      <c r="O1195" s="7">
        <v>3.6</v>
      </c>
      <c r="P1195" s="7">
        <v>3.7</v>
      </c>
      <c r="Q1195" s="7">
        <v>-0.37</v>
      </c>
      <c r="R1195" s="7">
        <v>0.3</v>
      </c>
      <c r="S1195" s="7">
        <v>0.1</v>
      </c>
      <c r="T1195" s="7">
        <v>0.37</v>
      </c>
      <c r="U1195" s="7">
        <v>-0.3</v>
      </c>
      <c r="V1195" s="7">
        <v>0.6</v>
      </c>
      <c r="W1195" s="7" t="s">
        <v>8</v>
      </c>
      <c r="X1195" s="7" t="s">
        <v>9</v>
      </c>
      <c r="Y1195" s="2" t="s">
        <v>719</v>
      </c>
      <c r="Z1195" s="2" t="s">
        <v>721</v>
      </c>
    </row>
    <row r="1196" spans="1:26" x14ac:dyDescent="0.35">
      <c r="A1196" s="7" t="s">
        <v>1688</v>
      </c>
      <c r="B1196" s="7" t="s">
        <v>1247</v>
      </c>
      <c r="C1196" s="4" t="str">
        <f>_xlfn.XLOOKUP(A1196,[2]Sheet2!$I$2:$I$1273,[2]Sheet2!$D$2:$D$1273,0)</f>
        <v>Q4</v>
      </c>
      <c r="D1196" s="4">
        <f>_xlfn.XLOOKUP(B1196,[4]Sheet2!$B$2:$B$3154,[4]Sheet2!$F$2:$F$3154,0)</f>
        <v>0</v>
      </c>
      <c r="E1196" s="4" t="e">
        <f>_xlfn.XLOOKUP(B1196,[2]Sheet2!$E$2:$E$713,[2]Sheet2!$G$2:$G$713)</f>
        <v>#N/A</v>
      </c>
      <c r="F1196" s="18">
        <v>46120</v>
      </c>
      <c r="G1196" s="14">
        <v>0.72593750000000001</v>
      </c>
      <c r="H1196" s="7" t="s">
        <v>14</v>
      </c>
      <c r="I1196" s="2" t="str">
        <f t="shared" si="93"/>
        <v>Q3</v>
      </c>
      <c r="J1196" s="2" t="str">
        <f t="shared" si="94"/>
        <v>Not Match</v>
      </c>
      <c r="K1196" s="2">
        <f t="shared" si="95"/>
        <v>0.72801098892805172</v>
      </c>
      <c r="L1196" s="2" t="e">
        <f t="shared" si="96"/>
        <v>#N/A</v>
      </c>
      <c r="M1196" s="2" t="str">
        <f t="shared" si="97"/>
        <v>Assign quadrant hit</v>
      </c>
      <c r="N1196" s="7">
        <v>13.5</v>
      </c>
      <c r="O1196" s="7">
        <v>-0.5</v>
      </c>
      <c r="P1196" s="7">
        <v>-2.5</v>
      </c>
      <c r="Q1196" s="7">
        <v>0.45</v>
      </c>
      <c r="R1196" s="7">
        <v>-0.2</v>
      </c>
      <c r="S1196" s="7">
        <v>-0.7</v>
      </c>
      <c r="T1196" s="7">
        <v>1.06</v>
      </c>
      <c r="U1196" s="7">
        <v>-0.15</v>
      </c>
      <c r="V1196" s="7">
        <v>1.1599999999999999</v>
      </c>
      <c r="W1196" s="7" t="s">
        <v>6</v>
      </c>
      <c r="X1196" s="7" t="s">
        <v>15</v>
      </c>
      <c r="Y1196" s="2" t="s">
        <v>719</v>
      </c>
      <c r="Z1196" s="2" t="s">
        <v>721</v>
      </c>
    </row>
    <row r="1197" spans="1:26" x14ac:dyDescent="0.35">
      <c r="A1197" s="7" t="s">
        <v>1775</v>
      </c>
      <c r="B1197" s="7" t="s">
        <v>1248</v>
      </c>
      <c r="C1197" s="4" t="str">
        <f>_xlfn.XLOOKUP(A1197,[2]Sheet2!$I$2:$I$1273,[2]Sheet2!$D$2:$D$1273,0)</f>
        <v>Q2</v>
      </c>
      <c r="D1197" s="4">
        <f>_xlfn.XLOOKUP(B1197,[4]Sheet2!$B$2:$B$3154,[4]Sheet2!$F$2:$F$3154,0)</f>
        <v>0</v>
      </c>
      <c r="E1197" s="4" t="e">
        <f>_xlfn.XLOOKUP(B1197,[2]Sheet2!$E$2:$E$713,[2]Sheet2!$G$2:$G$713)</f>
        <v>#N/A</v>
      </c>
      <c r="F1197" s="18">
        <v>46120</v>
      </c>
      <c r="G1197" s="14">
        <v>0.75785879629629627</v>
      </c>
      <c r="H1197" s="7" t="s">
        <v>5</v>
      </c>
      <c r="I1197" s="2" t="str">
        <f t="shared" si="93"/>
        <v>Q4</v>
      </c>
      <c r="J1197" s="2" t="str">
        <f t="shared" si="94"/>
        <v>Not Match</v>
      </c>
      <c r="K1197" s="2">
        <f t="shared" si="95"/>
        <v>0.1</v>
      </c>
      <c r="L1197" s="2" t="e">
        <f t="shared" si="96"/>
        <v>#N/A</v>
      </c>
      <c r="M1197" s="2" t="str">
        <f t="shared" si="97"/>
        <v>Below 0.8 not in assigned quadrant</v>
      </c>
      <c r="N1197" s="7">
        <v>12.5</v>
      </c>
      <c r="O1197" s="7">
        <v>-0.6</v>
      </c>
      <c r="P1197" s="7">
        <v>-1.4</v>
      </c>
      <c r="Q1197" s="7">
        <v>-0.2</v>
      </c>
      <c r="R1197" s="7">
        <v>0</v>
      </c>
      <c r="S1197" s="7">
        <v>-0.1</v>
      </c>
      <c r="T1197" s="7">
        <v>0.22</v>
      </c>
      <c r="U1197" s="7">
        <v>0.01</v>
      </c>
      <c r="V1197" s="7">
        <v>0.3</v>
      </c>
      <c r="W1197" s="7" t="s">
        <v>8</v>
      </c>
      <c r="X1197" s="7" t="s">
        <v>9</v>
      </c>
      <c r="Y1197" s="2" t="s">
        <v>719</v>
      </c>
      <c r="Z1197" s="2" t="s">
        <v>721</v>
      </c>
    </row>
    <row r="1198" spans="1:26" x14ac:dyDescent="0.35">
      <c r="A1198" s="7" t="s">
        <v>1553</v>
      </c>
      <c r="B1198" s="7" t="s">
        <v>1249</v>
      </c>
      <c r="C1198" s="4" t="str">
        <f>_xlfn.XLOOKUP(A1198,[2]Sheet2!$I$2:$I$1273,[2]Sheet2!$D$2:$D$1273,0)</f>
        <v>Q4</v>
      </c>
      <c r="D1198" s="4">
        <f>_xlfn.XLOOKUP(B1198,[4]Sheet2!$B$2:$B$3154,[4]Sheet2!$F$2:$F$3154,0)</f>
        <v>0</v>
      </c>
      <c r="E1198" s="4" t="e">
        <f>_xlfn.XLOOKUP(B1198,[2]Sheet2!$E$2:$E$713,[2]Sheet2!$G$2:$G$713)</f>
        <v>#N/A</v>
      </c>
      <c r="F1198" s="18">
        <v>46120</v>
      </c>
      <c r="G1198" s="14">
        <v>0.76099537037037035</v>
      </c>
      <c r="H1198" s="7" t="s">
        <v>5</v>
      </c>
      <c r="I1198" s="2" t="str">
        <f t="shared" si="93"/>
        <v>Q3</v>
      </c>
      <c r="J1198" s="2" t="str">
        <f t="shared" si="94"/>
        <v>Not Match</v>
      </c>
      <c r="K1198" s="2">
        <f t="shared" si="95"/>
        <v>0.22360679774997899</v>
      </c>
      <c r="L1198" s="2" t="e">
        <f t="shared" si="96"/>
        <v>#N/A</v>
      </c>
      <c r="M1198" s="2" t="str">
        <f t="shared" si="97"/>
        <v>Below 0.8 not in assigned quadrant</v>
      </c>
      <c r="N1198" s="7">
        <v>15.2</v>
      </c>
      <c r="O1198" s="7">
        <v>-0.4</v>
      </c>
      <c r="P1198" s="7">
        <v>-3.6</v>
      </c>
      <c r="Q1198" s="7">
        <v>-0.31</v>
      </c>
      <c r="R1198" s="7">
        <v>-0.2</v>
      </c>
      <c r="S1198" s="7">
        <v>-0.1</v>
      </c>
      <c r="T1198" s="7">
        <v>0.21</v>
      </c>
      <c r="U1198" s="7">
        <v>-0.26</v>
      </c>
      <c r="V1198" s="7">
        <v>0.46</v>
      </c>
      <c r="W1198" s="7" t="s">
        <v>8</v>
      </c>
      <c r="X1198" s="7" t="s">
        <v>15</v>
      </c>
      <c r="Y1198" s="2" t="s">
        <v>719</v>
      </c>
      <c r="Z1198" s="2" t="s">
        <v>721</v>
      </c>
    </row>
    <row r="1199" spans="1:26" x14ac:dyDescent="0.35">
      <c r="A1199" s="7" t="s">
        <v>1762</v>
      </c>
      <c r="B1199" s="7" t="s">
        <v>1250</v>
      </c>
      <c r="C1199" s="4" t="str">
        <f>_xlfn.XLOOKUP(A1199,[2]Sheet2!$I$2:$I$1273,[2]Sheet2!$D$2:$D$1273,0)</f>
        <v>Q3</v>
      </c>
      <c r="D1199" s="4">
        <f>_xlfn.XLOOKUP(B1199,[4]Sheet2!$B$2:$B$3154,[4]Sheet2!$F$2:$F$3154,0)</f>
        <v>0</v>
      </c>
      <c r="E1199" s="4" t="e">
        <f>_xlfn.XLOOKUP(B1199,[2]Sheet2!$E$2:$E$713,[2]Sheet2!$G$2:$G$713)</f>
        <v>#N/A</v>
      </c>
      <c r="F1199" s="18">
        <v>46121</v>
      </c>
      <c r="G1199" s="14">
        <v>0.50192129629629634</v>
      </c>
      <c r="H1199" s="7" t="s">
        <v>4</v>
      </c>
      <c r="I1199" s="2" t="str">
        <f t="shared" si="93"/>
        <v>Q3</v>
      </c>
      <c r="J1199" s="2" t="str">
        <f t="shared" si="94"/>
        <v>Match</v>
      </c>
      <c r="K1199" s="2">
        <f t="shared" si="95"/>
        <v>0.1</v>
      </c>
      <c r="L1199" s="2" t="e">
        <f t="shared" si="96"/>
        <v>#N/A</v>
      </c>
      <c r="M1199" s="2" t="str">
        <f t="shared" si="97"/>
        <v>Digital Approve Hit</v>
      </c>
      <c r="N1199" s="7">
        <v>16.8</v>
      </c>
      <c r="O1199" s="7">
        <v>-0.9</v>
      </c>
      <c r="P1199" s="7">
        <v>-1.9</v>
      </c>
      <c r="Q1199" s="7">
        <v>-7.0000000000000007E-2</v>
      </c>
      <c r="R1199" s="7">
        <v>-0.1</v>
      </c>
      <c r="S1199" s="7">
        <v>0</v>
      </c>
      <c r="T1199" s="7">
        <v>0.01</v>
      </c>
      <c r="U1199" s="7">
        <v>-0.15</v>
      </c>
      <c r="V1199" s="7">
        <v>0.16</v>
      </c>
      <c r="W1199" s="7" t="s">
        <v>8</v>
      </c>
      <c r="X1199" s="7" t="s">
        <v>15</v>
      </c>
      <c r="Y1199" s="2" t="s">
        <v>719</v>
      </c>
      <c r="Z1199" s="2" t="s">
        <v>721</v>
      </c>
    </row>
    <row r="1200" spans="1:26" x14ac:dyDescent="0.35">
      <c r="A1200" s="7" t="s">
        <v>1687</v>
      </c>
      <c r="B1200" s="7" t="s">
        <v>1101</v>
      </c>
      <c r="C1200" s="4" t="str">
        <f>_xlfn.XLOOKUP(A1200,[2]Sheet2!$I$2:$I$1273,[2]Sheet2!$D$2:$D$1273,0)</f>
        <v>Q3</v>
      </c>
      <c r="D1200" s="4" t="str">
        <f>_xlfn.XLOOKUP(B1200,[4]Sheet2!$B$2:$B$3154,[4]Sheet2!$F$2:$F$3154,0)</f>
        <v>N/ App</v>
      </c>
      <c r="E1200" s="4" t="e">
        <f>_xlfn.XLOOKUP(B1200,[2]Sheet2!$E$2:$E$713,[2]Sheet2!$G$2:$G$713)</f>
        <v>#N/A</v>
      </c>
      <c r="F1200" s="18">
        <v>46121</v>
      </c>
      <c r="G1200" s="14">
        <v>0.52810185185185188</v>
      </c>
      <c r="H1200" s="7" t="s">
        <v>5</v>
      </c>
      <c r="I1200" s="2" t="str">
        <f t="shared" si="93"/>
        <v>Q2</v>
      </c>
      <c r="J1200" s="2" t="str">
        <f t="shared" si="94"/>
        <v>Not Match</v>
      </c>
      <c r="K1200" s="2">
        <f t="shared" si="95"/>
        <v>0.50990195135927852</v>
      </c>
      <c r="L1200" s="2" t="e">
        <f t="shared" si="96"/>
        <v>#N/A</v>
      </c>
      <c r="M1200" s="2" t="str">
        <f t="shared" si="97"/>
        <v>Assign quadrant hit</v>
      </c>
      <c r="N1200" s="7">
        <v>32.9</v>
      </c>
      <c r="O1200" s="7">
        <v>10.6</v>
      </c>
      <c r="P1200" s="7">
        <v>13</v>
      </c>
      <c r="Q1200" s="7">
        <v>-1.1299999999999999</v>
      </c>
      <c r="R1200" s="7">
        <v>-0.1</v>
      </c>
      <c r="S1200" s="7">
        <v>0.5</v>
      </c>
      <c r="T1200" s="7">
        <v>0.2</v>
      </c>
      <c r="U1200" s="7">
        <v>0.82</v>
      </c>
      <c r="V1200" s="7">
        <v>1.41</v>
      </c>
      <c r="W1200" s="7" t="s">
        <v>6</v>
      </c>
      <c r="X1200" s="7" t="s">
        <v>12</v>
      </c>
      <c r="Y1200" s="2" t="s">
        <v>719</v>
      </c>
      <c r="Z1200" s="2" t="s">
        <v>721</v>
      </c>
    </row>
    <row r="1201" spans="1:26" x14ac:dyDescent="0.35">
      <c r="A1201" s="7" t="s">
        <v>1731</v>
      </c>
      <c r="B1201" s="7" t="s">
        <v>1100</v>
      </c>
      <c r="C1201" s="4" t="str">
        <f>_xlfn.XLOOKUP(A1201,[2]Sheet2!$I$2:$I$1273,[2]Sheet2!$D$2:$D$1273,0)</f>
        <v>Q4</v>
      </c>
      <c r="D1201" s="4" t="str">
        <f>_xlfn.XLOOKUP(B1201,[4]Sheet2!$B$2:$B$3154,[4]Sheet2!$F$2:$F$3154,0)</f>
        <v>C/APP</v>
      </c>
      <c r="E1201" s="4" t="e">
        <f>_xlfn.XLOOKUP(B1201,[2]Sheet2!$E$2:$E$713,[2]Sheet2!$G$2:$G$713)</f>
        <v>#N/A</v>
      </c>
      <c r="F1201" s="18">
        <v>46121</v>
      </c>
      <c r="G1201" s="14">
        <v>0.59236111111111112</v>
      </c>
      <c r="H1201" s="7" t="s">
        <v>5</v>
      </c>
      <c r="I1201" s="2" t="str">
        <f t="shared" si="93"/>
        <v>Q1</v>
      </c>
      <c r="J1201" s="2" t="str">
        <f t="shared" si="94"/>
        <v>Not Match</v>
      </c>
      <c r="K1201" s="2">
        <f t="shared" si="95"/>
        <v>0.60827625302982191</v>
      </c>
      <c r="L1201" s="2" t="e">
        <f t="shared" si="96"/>
        <v>#N/A</v>
      </c>
      <c r="M1201" s="2" t="str">
        <f t="shared" si="97"/>
        <v>Below 0.8 not in assigned quadrant</v>
      </c>
      <c r="N1201" s="7">
        <v>22.3</v>
      </c>
      <c r="O1201" s="7">
        <v>-1.2</v>
      </c>
      <c r="P1201" s="7">
        <v>-26.3</v>
      </c>
      <c r="Q1201" s="7">
        <v>0.19</v>
      </c>
      <c r="R1201" s="7">
        <v>0.1</v>
      </c>
      <c r="S1201" s="7">
        <v>0.6</v>
      </c>
      <c r="T1201" s="7">
        <v>-0.35</v>
      </c>
      <c r="U1201" s="7">
        <v>0.06</v>
      </c>
      <c r="V1201" s="7">
        <v>0.41</v>
      </c>
      <c r="W1201" s="7" t="s">
        <v>8</v>
      </c>
      <c r="X1201" s="7" t="s">
        <v>9</v>
      </c>
      <c r="Y1201" s="2" t="s">
        <v>719</v>
      </c>
      <c r="Z1201" s="2" t="s">
        <v>721</v>
      </c>
    </row>
    <row r="1202" spans="1:26" x14ac:dyDescent="0.35">
      <c r="A1202" s="7" t="s">
        <v>1594</v>
      </c>
      <c r="B1202" s="7" t="s">
        <v>1251</v>
      </c>
      <c r="C1202" s="4" t="str">
        <f>_xlfn.XLOOKUP(A1202,[2]Sheet2!$I$2:$I$1273,[2]Sheet2!$D$2:$D$1273,0)</f>
        <v>Q1</v>
      </c>
      <c r="D1202" s="4" t="str">
        <f>_xlfn.XLOOKUP(B1202,[4]Sheet2!$B$2:$B$3154,[4]Sheet2!$F$2:$F$3154,0)</f>
        <v>N/ App</v>
      </c>
      <c r="E1202" s="4" t="e">
        <f>_xlfn.XLOOKUP(B1202,[2]Sheet2!$E$2:$E$713,[2]Sheet2!$G$2:$G$713)</f>
        <v>#N/A</v>
      </c>
      <c r="F1202" s="18">
        <v>46121</v>
      </c>
      <c r="G1202" s="14">
        <v>0.63756944444444441</v>
      </c>
      <c r="H1202" s="7" t="s">
        <v>4</v>
      </c>
      <c r="I1202" s="2" t="str">
        <f t="shared" si="93"/>
        <v>Q4</v>
      </c>
      <c r="J1202" s="2" t="str">
        <f t="shared" si="94"/>
        <v>Not Match</v>
      </c>
      <c r="K1202" s="2">
        <f t="shared" si="95"/>
        <v>0.44721359549995798</v>
      </c>
      <c r="L1202" s="2" t="e">
        <f t="shared" si="96"/>
        <v>#N/A</v>
      </c>
      <c r="M1202" s="2" t="str">
        <f t="shared" si="97"/>
        <v>Below 0.8 not in assigned quadrant</v>
      </c>
      <c r="N1202" s="7">
        <v>16.899999999999999</v>
      </c>
      <c r="O1202" s="7">
        <v>0</v>
      </c>
      <c r="P1202" s="7">
        <v>-3.3</v>
      </c>
      <c r="Q1202" s="7">
        <v>-0.44</v>
      </c>
      <c r="R1202" s="7">
        <v>0.2</v>
      </c>
      <c r="S1202" s="7">
        <v>-0.4</v>
      </c>
      <c r="T1202" s="7">
        <v>0.55000000000000004</v>
      </c>
      <c r="U1202" s="7">
        <v>0.37</v>
      </c>
      <c r="V1202" s="7">
        <v>0.8</v>
      </c>
      <c r="W1202" s="7" t="s">
        <v>13</v>
      </c>
      <c r="X1202" s="7" t="s">
        <v>9</v>
      </c>
      <c r="Y1202" s="2" t="s">
        <v>719</v>
      </c>
      <c r="Z1202" s="2" t="s">
        <v>721</v>
      </c>
    </row>
    <row r="1203" spans="1:26" x14ac:dyDescent="0.35">
      <c r="A1203" s="7" t="s">
        <v>1662</v>
      </c>
      <c r="B1203" s="7" t="s">
        <v>1252</v>
      </c>
      <c r="C1203" s="4" t="str">
        <f>_xlfn.XLOOKUP(A1203,[2]Sheet2!$I$2:$I$1273,[2]Sheet2!$D$2:$D$1273,0)</f>
        <v>Q1</v>
      </c>
      <c r="D1203" s="4">
        <f>_xlfn.XLOOKUP(B1203,[4]Sheet2!$B$2:$B$3154,[4]Sheet2!$F$2:$F$3154,0)</f>
        <v>0</v>
      </c>
      <c r="E1203" s="4" t="e">
        <f>_xlfn.XLOOKUP(B1203,[2]Sheet2!$E$2:$E$713,[2]Sheet2!$G$2:$G$713)</f>
        <v>#N/A</v>
      </c>
      <c r="F1203" s="18">
        <v>46121</v>
      </c>
      <c r="G1203" s="14">
        <v>0.74791666666666667</v>
      </c>
      <c r="H1203" s="7" t="s">
        <v>4</v>
      </c>
      <c r="I1203" s="2" t="str">
        <f t="shared" si="93"/>
        <v>Q4</v>
      </c>
      <c r="J1203" s="2" t="str">
        <f t="shared" si="94"/>
        <v>Not Match</v>
      </c>
      <c r="K1203" s="2">
        <f t="shared" si="95"/>
        <v>0.2</v>
      </c>
      <c r="L1203" s="2" t="e">
        <f t="shared" si="96"/>
        <v>#N/A</v>
      </c>
      <c r="M1203" s="2" t="str">
        <f t="shared" si="97"/>
        <v>Below 0.8 not in assigned quadrant</v>
      </c>
      <c r="N1203" s="7">
        <v>18.399999999999999</v>
      </c>
      <c r="O1203" s="7">
        <v>-1</v>
      </c>
      <c r="P1203" s="7">
        <v>-1.3</v>
      </c>
      <c r="Q1203" s="7">
        <v>0.52</v>
      </c>
      <c r="R1203" s="7">
        <v>0.2</v>
      </c>
      <c r="S1203" s="7">
        <v>0</v>
      </c>
      <c r="T1203" s="7">
        <v>-0.16</v>
      </c>
      <c r="U1203" s="7">
        <v>0.37</v>
      </c>
      <c r="V1203" s="7">
        <v>0.65</v>
      </c>
      <c r="W1203" s="7" t="s">
        <v>8</v>
      </c>
      <c r="X1203" s="7" t="s">
        <v>7</v>
      </c>
      <c r="Y1203" s="2" t="s">
        <v>719</v>
      </c>
      <c r="Z1203" s="2" t="s">
        <v>721</v>
      </c>
    </row>
    <row r="1204" spans="1:26" x14ac:dyDescent="0.35">
      <c r="A1204" s="7" t="s">
        <v>1515</v>
      </c>
      <c r="B1204" s="7" t="s">
        <v>1253</v>
      </c>
      <c r="C1204" s="4" t="str">
        <f>_xlfn.XLOOKUP(A1204,[2]Sheet2!$I$2:$I$1273,[2]Sheet2!$D$2:$D$1273,0)</f>
        <v>Q3</v>
      </c>
      <c r="D1204" s="4">
        <f>_xlfn.XLOOKUP(B1204,[4]Sheet2!$B$2:$B$3154,[4]Sheet2!$F$2:$F$3154,0)</f>
        <v>0</v>
      </c>
      <c r="E1204" s="4" t="e">
        <f>_xlfn.XLOOKUP(B1204,[2]Sheet2!$E$2:$E$713,[2]Sheet2!$G$2:$G$713)</f>
        <v>#N/A</v>
      </c>
      <c r="F1204" s="18">
        <v>46121</v>
      </c>
      <c r="G1204" s="14">
        <v>0.75285879629629626</v>
      </c>
      <c r="H1204" s="7" t="s">
        <v>11</v>
      </c>
      <c r="I1204" s="2" t="str">
        <f t="shared" si="93"/>
        <v>Q4</v>
      </c>
      <c r="J1204" s="2" t="str">
        <f t="shared" si="94"/>
        <v>Not Match</v>
      </c>
      <c r="K1204" s="2">
        <f t="shared" si="95"/>
        <v>0.31622776601683794</v>
      </c>
      <c r="L1204" s="2" t="e">
        <f t="shared" si="96"/>
        <v>#N/A</v>
      </c>
      <c r="M1204" s="2" t="str">
        <f t="shared" si="97"/>
        <v>Assign quadrant hit</v>
      </c>
      <c r="N1204" s="7">
        <v>13.7</v>
      </c>
      <c r="O1204" s="7">
        <v>-0.1</v>
      </c>
      <c r="P1204" s="7">
        <v>-2.5</v>
      </c>
      <c r="Q1204" s="7">
        <v>-1.1399999999999999</v>
      </c>
      <c r="R1204" s="7">
        <v>0.1</v>
      </c>
      <c r="S1204" s="7">
        <v>-0.3</v>
      </c>
      <c r="T1204" s="7">
        <v>0.48</v>
      </c>
      <c r="U1204" s="7">
        <v>0.19</v>
      </c>
      <c r="V1204" s="7">
        <v>1.26</v>
      </c>
      <c r="W1204" s="7" t="s">
        <v>6</v>
      </c>
      <c r="X1204" s="7" t="s">
        <v>9</v>
      </c>
      <c r="Y1204" s="2" t="s">
        <v>719</v>
      </c>
      <c r="Z1204" s="2" t="s">
        <v>721</v>
      </c>
    </row>
    <row r="1205" spans="1:26" x14ac:dyDescent="0.35">
      <c r="A1205" s="7" t="s">
        <v>1614</v>
      </c>
      <c r="B1205" s="7" t="s">
        <v>910</v>
      </c>
      <c r="C1205" s="4" t="str">
        <f>_xlfn.XLOOKUP(A1205,[2]Sheet2!$I$2:$I$1273,[2]Sheet2!$D$2:$D$1273,0)</f>
        <v>Q3</v>
      </c>
      <c r="D1205" s="4" t="str">
        <f>_xlfn.XLOOKUP(B1205,[4]Sheet2!$B$2:$B$3154,[4]Sheet2!$F$2:$F$3154,0)</f>
        <v>C/APP</v>
      </c>
      <c r="E1205" s="4" t="e">
        <f>_xlfn.XLOOKUP(B1205,[2]Sheet2!$E$2:$E$713,[2]Sheet2!$G$2:$G$713)</f>
        <v>#N/A</v>
      </c>
      <c r="F1205" s="18">
        <v>46121</v>
      </c>
      <c r="G1205" s="14">
        <v>0.85329861111111116</v>
      </c>
      <c r="H1205" s="7" t="s">
        <v>16</v>
      </c>
      <c r="I1205" s="2" t="str">
        <f t="shared" si="93"/>
        <v>Q2</v>
      </c>
      <c r="J1205" s="2" t="str">
        <f t="shared" si="94"/>
        <v>Not Match</v>
      </c>
      <c r="K1205" s="2">
        <f t="shared" si="95"/>
        <v>0.36055512754639896</v>
      </c>
      <c r="L1205" s="2" t="e">
        <f t="shared" si="96"/>
        <v>#N/A</v>
      </c>
      <c r="M1205" s="2" t="str">
        <f t="shared" si="97"/>
        <v>Assign quadrant hit</v>
      </c>
      <c r="N1205" s="7">
        <v>22.9</v>
      </c>
      <c r="O1205" s="7">
        <v>-5.5</v>
      </c>
      <c r="P1205" s="7">
        <v>-7.6</v>
      </c>
      <c r="Q1205" s="7">
        <v>-0.73</v>
      </c>
      <c r="R1205" s="7">
        <v>-0.3</v>
      </c>
      <c r="S1205" s="7">
        <v>0.2</v>
      </c>
      <c r="T1205" s="7">
        <v>-0.04</v>
      </c>
      <c r="U1205" s="7">
        <v>-0.51</v>
      </c>
      <c r="V1205" s="7">
        <v>0.89</v>
      </c>
      <c r="W1205" s="7" t="s">
        <v>13</v>
      </c>
      <c r="X1205" s="7" t="s">
        <v>15</v>
      </c>
      <c r="Y1205" s="2" t="s">
        <v>719</v>
      </c>
      <c r="Z1205" s="2" t="s">
        <v>721</v>
      </c>
    </row>
    <row r="1206" spans="1:26" x14ac:dyDescent="0.35">
      <c r="A1206" s="7" t="s">
        <v>1540</v>
      </c>
      <c r="B1206" s="7" t="s">
        <v>1254</v>
      </c>
      <c r="C1206" s="4" t="str">
        <f>_xlfn.XLOOKUP(A1206,[2]Sheet2!$I$2:$I$1273,[2]Sheet2!$D$2:$D$1273,0)</f>
        <v>Q3</v>
      </c>
      <c r="D1206" s="4">
        <f>_xlfn.XLOOKUP(B1206,[4]Sheet2!$B$2:$B$3154,[4]Sheet2!$F$2:$F$3154,0)</f>
        <v>0</v>
      </c>
      <c r="E1206" s="4" t="e">
        <f>_xlfn.XLOOKUP(B1206,[2]Sheet2!$E$2:$E$713,[2]Sheet2!$G$2:$G$713)</f>
        <v>#N/A</v>
      </c>
      <c r="F1206" s="18">
        <v>46121</v>
      </c>
      <c r="G1206" s="14">
        <v>0.97267361111111106</v>
      </c>
      <c r="H1206" s="7" t="s">
        <v>11</v>
      </c>
      <c r="I1206" s="2" t="str">
        <f t="shared" si="93"/>
        <v>Q1</v>
      </c>
      <c r="J1206" s="2" t="str">
        <f t="shared" si="94"/>
        <v>Not Match</v>
      </c>
      <c r="K1206" s="2">
        <f t="shared" si="95"/>
        <v>0.31622776601683794</v>
      </c>
      <c r="L1206" s="2" t="e">
        <f t="shared" si="96"/>
        <v>#N/A</v>
      </c>
      <c r="M1206" s="2" t="str">
        <f t="shared" si="97"/>
        <v>Below 0.8 not in assigned quadrant</v>
      </c>
      <c r="N1206" s="7">
        <v>13.9</v>
      </c>
      <c r="O1206" s="7">
        <v>-0.3</v>
      </c>
      <c r="P1206" s="7">
        <v>-1.4</v>
      </c>
      <c r="Q1206" s="7">
        <v>-0.24</v>
      </c>
      <c r="R1206" s="7">
        <v>0.1</v>
      </c>
      <c r="S1206" s="7">
        <v>0.3</v>
      </c>
      <c r="T1206" s="7">
        <v>-0.49</v>
      </c>
      <c r="U1206" s="7">
        <v>0.1</v>
      </c>
      <c r="V1206" s="7">
        <v>0.56000000000000005</v>
      </c>
      <c r="W1206" s="7" t="s">
        <v>8</v>
      </c>
      <c r="X1206" s="7" t="s">
        <v>9</v>
      </c>
      <c r="Y1206" s="2" t="s">
        <v>719</v>
      </c>
      <c r="Z1206" s="2" t="s">
        <v>721</v>
      </c>
    </row>
    <row r="1207" spans="1:26" x14ac:dyDescent="0.35">
      <c r="A1207" s="7" t="s">
        <v>1572</v>
      </c>
      <c r="B1207" s="7" t="s">
        <v>1255</v>
      </c>
      <c r="C1207" s="4" t="str">
        <f>_xlfn.XLOOKUP(A1207,[2]Sheet2!$I$2:$I$1273,[2]Sheet2!$D$2:$D$1273,0)</f>
        <v>Q3</v>
      </c>
      <c r="D1207" s="4">
        <f>_xlfn.XLOOKUP(B1207,[4]Sheet2!$B$2:$B$3154,[4]Sheet2!$F$2:$F$3154,0)</f>
        <v>0</v>
      </c>
      <c r="E1207" s="4" t="e">
        <f>_xlfn.XLOOKUP(B1207,[2]Sheet2!$E$2:$E$713,[2]Sheet2!$G$2:$G$713)</f>
        <v>#N/A</v>
      </c>
      <c r="F1207" s="18">
        <v>46122</v>
      </c>
      <c r="G1207" s="14">
        <v>2.9594907407407407E-2</v>
      </c>
      <c r="H1207" s="7" t="s">
        <v>5</v>
      </c>
      <c r="I1207" s="2" t="str">
        <f t="shared" ref="I1207:I1270" si="98">IF(AND(R1207=0,S1207=0),IF(C1207="","Origin",C1207),
IF(AND(R1207&gt;0,S1207=0),"Q4",
IF(AND(R1207&lt;0,S1207=0),"Q3",
IF(AND(R1207&gt;=0,S1207&lt;0),"Q4",
IF(AND(R1207&gt;=0,S1207&gt;0),"Q1",
IF(AND(R1207&lt;0,S1207&lt;=0),"Q3",
IF(AND(R1207&lt;0,S1207&gt;0),"Q2",
"")))))))</f>
        <v>Q3</v>
      </c>
      <c r="J1207" s="2" t="str">
        <f t="shared" si="94"/>
        <v>Match</v>
      </c>
      <c r="K1207" s="2">
        <f t="shared" si="95"/>
        <v>0</v>
      </c>
      <c r="L1207" s="2" t="e">
        <f t="shared" si="96"/>
        <v>#N/A</v>
      </c>
      <c r="M1207" s="2" t="str">
        <f t="shared" si="97"/>
        <v>Failed but within quadrant</v>
      </c>
      <c r="N1207" s="7">
        <v>15.4</v>
      </c>
      <c r="O1207" s="7">
        <v>-0.6</v>
      </c>
      <c r="P1207" s="7">
        <v>-2.1</v>
      </c>
      <c r="Q1207" s="7">
        <v>-1.01</v>
      </c>
      <c r="R1207" s="7">
        <v>0</v>
      </c>
      <c r="S1207" s="7">
        <v>0</v>
      </c>
      <c r="T1207" s="7">
        <v>-0.11</v>
      </c>
      <c r="U1207" s="7">
        <v>-0.02</v>
      </c>
      <c r="V1207" s="7">
        <v>1.02</v>
      </c>
      <c r="W1207" s="7" t="s">
        <v>6</v>
      </c>
      <c r="X1207" s="7" t="s">
        <v>15</v>
      </c>
      <c r="Y1207" s="2" t="s">
        <v>719</v>
      </c>
      <c r="Z1207" s="2" t="s">
        <v>721</v>
      </c>
    </row>
    <row r="1208" spans="1:26" x14ac:dyDescent="0.35">
      <c r="A1208" s="7" t="s">
        <v>1698</v>
      </c>
      <c r="B1208" s="7" t="s">
        <v>1214</v>
      </c>
      <c r="C1208" s="4" t="str">
        <f>_xlfn.XLOOKUP(A1208,[2]Sheet2!$I$2:$I$1273,[2]Sheet2!$D$2:$D$1273,0)</f>
        <v>Q2</v>
      </c>
      <c r="D1208" s="4">
        <f>_xlfn.XLOOKUP(B1208,[4]Sheet2!$B$2:$B$3154,[4]Sheet2!$F$2:$F$3154,0)</f>
        <v>0</v>
      </c>
      <c r="E1208" s="4" t="e">
        <f>_xlfn.XLOOKUP(B1208,[2]Sheet2!$E$2:$E$713,[2]Sheet2!$G$2:$G$713)</f>
        <v>#N/A</v>
      </c>
      <c r="F1208" s="18">
        <v>46122</v>
      </c>
      <c r="G1208" s="14">
        <v>0.2441898148148148</v>
      </c>
      <c r="H1208" s="7" t="s">
        <v>5</v>
      </c>
      <c r="I1208" s="2" t="str">
        <f t="shared" si="98"/>
        <v>Q4</v>
      </c>
      <c r="J1208" s="2" t="str">
        <f t="shared" si="94"/>
        <v>Not Match</v>
      </c>
      <c r="K1208" s="2">
        <f t="shared" si="95"/>
        <v>0.9</v>
      </c>
      <c r="L1208" s="2" t="e">
        <f t="shared" si="96"/>
        <v>#N/A</v>
      </c>
      <c r="M1208" s="2" t="str">
        <f t="shared" si="97"/>
        <v>Assign quadrant hit</v>
      </c>
      <c r="N1208" s="7">
        <v>21.2</v>
      </c>
      <c r="O1208" s="7">
        <v>-1.1000000000000001</v>
      </c>
      <c r="P1208" s="7">
        <v>-10.1</v>
      </c>
      <c r="Q1208" s="7">
        <v>-0.64</v>
      </c>
      <c r="R1208" s="7">
        <v>0</v>
      </c>
      <c r="S1208" s="7">
        <v>-0.9</v>
      </c>
      <c r="T1208" s="7">
        <v>0.8</v>
      </c>
      <c r="U1208" s="7">
        <v>7.0000000000000007E-2</v>
      </c>
      <c r="V1208" s="7">
        <v>1.03</v>
      </c>
      <c r="W1208" s="7" t="s">
        <v>6</v>
      </c>
      <c r="X1208" s="7" t="s">
        <v>9</v>
      </c>
      <c r="Y1208" s="2" t="s">
        <v>719</v>
      </c>
      <c r="Z1208" s="2" t="s">
        <v>721</v>
      </c>
    </row>
    <row r="1209" spans="1:26" x14ac:dyDescent="0.35">
      <c r="A1209" s="7" t="s">
        <v>1776</v>
      </c>
      <c r="B1209" s="7" t="s">
        <v>788</v>
      </c>
      <c r="C1209" s="4" t="str">
        <f>_xlfn.XLOOKUP(A1209,[2]Sheet2!$I$2:$I$1273,[2]Sheet2!$D$2:$D$1273,0)</f>
        <v>Q1</v>
      </c>
      <c r="D1209" s="4" t="str">
        <f>_xlfn.XLOOKUP(B1209,[4]Sheet2!$B$2:$B$3154,[4]Sheet2!$F$2:$F$3154,0)</f>
        <v>N/ App</v>
      </c>
      <c r="E1209" s="4" t="e">
        <f>_xlfn.XLOOKUP(B1209,[2]Sheet2!$E$2:$E$713,[2]Sheet2!$G$2:$G$713)</f>
        <v>#N/A</v>
      </c>
      <c r="F1209" s="18">
        <v>46122</v>
      </c>
      <c r="G1209" s="14">
        <v>0.25092592592592594</v>
      </c>
      <c r="H1209" s="7" t="s">
        <v>4</v>
      </c>
      <c r="I1209" s="2" t="str">
        <f t="shared" si="98"/>
        <v>Q1</v>
      </c>
      <c r="J1209" s="2" t="str">
        <f t="shared" si="94"/>
        <v>Match</v>
      </c>
      <c r="K1209" s="2">
        <f t="shared" si="95"/>
        <v>0.5</v>
      </c>
      <c r="L1209" s="2" t="e">
        <f t="shared" si="96"/>
        <v>#N/A</v>
      </c>
      <c r="M1209" s="2" t="str">
        <f t="shared" si="97"/>
        <v>Digital Approve Hit</v>
      </c>
      <c r="N1209" s="7">
        <v>22.3</v>
      </c>
      <c r="O1209" s="7">
        <v>17.2</v>
      </c>
      <c r="P1209" s="7">
        <v>3.9</v>
      </c>
      <c r="Q1209" s="7">
        <v>0.56000000000000005</v>
      </c>
      <c r="R1209" s="7">
        <v>0.3</v>
      </c>
      <c r="S1209" s="7">
        <v>0.4</v>
      </c>
      <c r="T1209" s="7">
        <v>0.28000000000000003</v>
      </c>
      <c r="U1209" s="7">
        <v>0.41</v>
      </c>
      <c r="V1209" s="7">
        <v>0.75</v>
      </c>
      <c r="W1209" s="7" t="s">
        <v>13</v>
      </c>
      <c r="X1209" s="7" t="s">
        <v>12</v>
      </c>
      <c r="Y1209" s="2" t="s">
        <v>719</v>
      </c>
      <c r="Z1209" s="2" t="s">
        <v>721</v>
      </c>
    </row>
    <row r="1210" spans="1:26" x14ac:dyDescent="0.35">
      <c r="A1210" s="7" t="s">
        <v>1594</v>
      </c>
      <c r="B1210" s="7" t="s">
        <v>1256</v>
      </c>
      <c r="C1210" s="4" t="str">
        <f>_xlfn.XLOOKUP(A1210,[2]Sheet2!$I$2:$I$1273,[2]Sheet2!$D$2:$D$1273,0)</f>
        <v>Q1</v>
      </c>
      <c r="D1210" s="4">
        <f>_xlfn.XLOOKUP(B1210,[4]Sheet2!$B$2:$B$3154,[4]Sheet2!$F$2:$F$3154,0)</f>
        <v>0</v>
      </c>
      <c r="E1210" s="4" t="e">
        <f>_xlfn.XLOOKUP(B1210,[2]Sheet2!$E$2:$E$713,[2]Sheet2!$G$2:$G$713)</f>
        <v>#N/A</v>
      </c>
      <c r="F1210" s="18">
        <v>46132</v>
      </c>
      <c r="G1210" s="14">
        <v>0.95012731481481483</v>
      </c>
      <c r="H1210" s="7" t="s">
        <v>4</v>
      </c>
      <c r="I1210" s="2" t="str">
        <f t="shared" si="98"/>
        <v>Q1</v>
      </c>
      <c r="J1210" s="2" t="str">
        <f t="shared" si="94"/>
        <v>Match</v>
      </c>
      <c r="K1210" s="2">
        <f t="shared" si="95"/>
        <v>0</v>
      </c>
      <c r="L1210" s="2" t="e">
        <f t="shared" si="96"/>
        <v>#N/A</v>
      </c>
      <c r="M1210" s="2" t="str">
        <f t="shared" si="97"/>
        <v>Digital Approve Hit</v>
      </c>
      <c r="N1210" s="7">
        <v>17.600000000000001</v>
      </c>
      <c r="O1210" s="7">
        <v>-0.3</v>
      </c>
      <c r="P1210" s="7">
        <v>-2.8</v>
      </c>
      <c r="Q1210" s="7">
        <v>0.24</v>
      </c>
      <c r="R1210" s="7">
        <v>0</v>
      </c>
      <c r="S1210" s="7">
        <v>0</v>
      </c>
      <c r="T1210" s="7">
        <v>0.03</v>
      </c>
      <c r="U1210" s="7">
        <v>-0.02</v>
      </c>
      <c r="V1210" s="7">
        <v>0.24</v>
      </c>
      <c r="W1210" s="7" t="s">
        <v>8</v>
      </c>
      <c r="X1210" s="7" t="s">
        <v>15</v>
      </c>
      <c r="Y1210" s="2" t="s">
        <v>719</v>
      </c>
      <c r="Z1210" s="2" t="s">
        <v>721</v>
      </c>
    </row>
    <row r="1211" spans="1:26" x14ac:dyDescent="0.35">
      <c r="A1211" s="7" t="s">
        <v>1773</v>
      </c>
      <c r="B1211" s="7" t="s">
        <v>1257</v>
      </c>
      <c r="C1211" s="4" t="str">
        <f>_xlfn.XLOOKUP(A1211,[2]Sheet2!$I$2:$I$1273,[2]Sheet2!$D$2:$D$1273,0)</f>
        <v>Q3</v>
      </c>
      <c r="D1211" s="4">
        <f>_xlfn.XLOOKUP(B1211,[4]Sheet2!$B$2:$B$3154,[4]Sheet2!$F$2:$F$3154,0)</f>
        <v>0</v>
      </c>
      <c r="E1211" s="4" t="e">
        <f>_xlfn.XLOOKUP(B1211,[2]Sheet2!$E$2:$E$713,[2]Sheet2!$G$2:$G$713)</f>
        <v>#N/A</v>
      </c>
      <c r="F1211" s="18">
        <v>46133</v>
      </c>
      <c r="G1211" s="14">
        <v>5.6712962962962967E-3</v>
      </c>
      <c r="H1211" s="7" t="s">
        <v>5</v>
      </c>
      <c r="I1211" s="2" t="str">
        <f t="shared" si="98"/>
        <v>Q2</v>
      </c>
      <c r="J1211" s="2" t="str">
        <f t="shared" si="94"/>
        <v>Not Match</v>
      </c>
      <c r="K1211" s="2">
        <f t="shared" si="95"/>
        <v>0.14142135623730953</v>
      </c>
      <c r="L1211" s="2" t="e">
        <f t="shared" si="96"/>
        <v>#N/A</v>
      </c>
      <c r="M1211" s="2" t="str">
        <f t="shared" si="97"/>
        <v>Below 0.8 not in assigned quadrant</v>
      </c>
      <c r="N1211" s="7">
        <v>15.5</v>
      </c>
      <c r="O1211" s="7">
        <v>-1.4</v>
      </c>
      <c r="P1211" s="7">
        <v>-3.3</v>
      </c>
      <c r="Q1211" s="7">
        <v>-0.32</v>
      </c>
      <c r="R1211" s="7">
        <v>-0.1</v>
      </c>
      <c r="S1211" s="7">
        <v>0.1</v>
      </c>
      <c r="T1211" s="7">
        <v>-0.08</v>
      </c>
      <c r="U1211" s="7">
        <v>-0.3</v>
      </c>
      <c r="V1211" s="7">
        <v>0.45</v>
      </c>
      <c r="W1211" s="7" t="s">
        <v>8</v>
      </c>
      <c r="X1211" s="7" t="s">
        <v>15</v>
      </c>
      <c r="Y1211" s="2" t="s">
        <v>719</v>
      </c>
      <c r="Z1211" s="2" t="s">
        <v>721</v>
      </c>
    </row>
    <row r="1212" spans="1:26" x14ac:dyDescent="0.35">
      <c r="A1212" s="7" t="s">
        <v>1717</v>
      </c>
      <c r="B1212" s="7" t="s">
        <v>1258</v>
      </c>
      <c r="C1212" s="4" t="str">
        <f>_xlfn.XLOOKUP(A1212,[2]Sheet2!$I$2:$I$1273,[2]Sheet2!$D$2:$D$1273,0)</f>
        <v>Q1</v>
      </c>
      <c r="D1212" s="4">
        <f>_xlfn.XLOOKUP(B1212,[4]Sheet2!$B$2:$B$3154,[4]Sheet2!$F$2:$F$3154,0)</f>
        <v>0</v>
      </c>
      <c r="E1212" s="4" t="e">
        <f>_xlfn.XLOOKUP(B1212,[2]Sheet2!$E$2:$E$713,[2]Sheet2!$G$2:$G$713)</f>
        <v>#N/A</v>
      </c>
      <c r="F1212" s="18">
        <v>46133</v>
      </c>
      <c r="G1212" s="14">
        <v>0.14016203703703703</v>
      </c>
      <c r="H1212" s="7" t="s">
        <v>5</v>
      </c>
      <c r="I1212" s="2" t="str">
        <f t="shared" si="98"/>
        <v>Q1</v>
      </c>
      <c r="J1212" s="2" t="str">
        <f t="shared" si="94"/>
        <v>Match</v>
      </c>
      <c r="K1212" s="2">
        <f t="shared" si="95"/>
        <v>0.28284271247461906</v>
      </c>
      <c r="L1212" s="2" t="e">
        <f t="shared" si="96"/>
        <v>#N/A</v>
      </c>
      <c r="M1212" s="2" t="str">
        <f t="shared" si="97"/>
        <v>Digital Approve Hit</v>
      </c>
      <c r="N1212" s="7">
        <v>20</v>
      </c>
      <c r="O1212" s="7">
        <v>4.7</v>
      </c>
      <c r="P1212" s="7">
        <v>1.5</v>
      </c>
      <c r="Q1212" s="7">
        <v>-0.14000000000000001</v>
      </c>
      <c r="R1212" s="7">
        <v>0.2</v>
      </c>
      <c r="S1212" s="7">
        <v>0.2</v>
      </c>
      <c r="T1212" s="7">
        <v>0.34</v>
      </c>
      <c r="U1212" s="7">
        <v>0.23</v>
      </c>
      <c r="V1212" s="7">
        <v>0.43</v>
      </c>
      <c r="W1212" s="7" t="s">
        <v>8</v>
      </c>
      <c r="X1212" s="7" t="s">
        <v>12</v>
      </c>
      <c r="Y1212" s="2" t="s">
        <v>719</v>
      </c>
      <c r="Z1212" s="2" t="s">
        <v>721</v>
      </c>
    </row>
    <row r="1213" spans="1:26" x14ac:dyDescent="0.35">
      <c r="A1213" s="7" t="s">
        <v>1729</v>
      </c>
      <c r="B1213" s="7" t="s">
        <v>1259</v>
      </c>
      <c r="C1213" s="4" t="str">
        <f>_xlfn.XLOOKUP(A1213,[2]Sheet2!$I$2:$I$1273,[2]Sheet2!$D$2:$D$1273,0)</f>
        <v>Q4</v>
      </c>
      <c r="D1213" s="4">
        <f>_xlfn.XLOOKUP(B1213,[4]Sheet2!$B$2:$B$3154,[4]Sheet2!$F$2:$F$3154,0)</f>
        <v>0</v>
      </c>
      <c r="E1213" s="4" t="e">
        <f>_xlfn.XLOOKUP(B1213,[2]Sheet2!$E$2:$E$713,[2]Sheet2!$G$2:$G$713)</f>
        <v>#N/A</v>
      </c>
      <c r="F1213" s="18">
        <v>46133</v>
      </c>
      <c r="G1213" s="14">
        <v>0.18734953703703705</v>
      </c>
      <c r="H1213" s="7" t="s">
        <v>4</v>
      </c>
      <c r="I1213" s="2" t="str">
        <f t="shared" si="98"/>
        <v>Q2</v>
      </c>
      <c r="J1213" s="2" t="str">
        <f t="shared" si="94"/>
        <v>Not Match</v>
      </c>
      <c r="K1213" s="2">
        <f t="shared" si="95"/>
        <v>0.22360679774997899</v>
      </c>
      <c r="L1213" s="2" t="e">
        <f t="shared" si="96"/>
        <v>#N/A</v>
      </c>
      <c r="M1213" s="2" t="str">
        <f t="shared" si="97"/>
        <v>Assign quadrant hit</v>
      </c>
      <c r="N1213" s="7">
        <v>34.700000000000003</v>
      </c>
      <c r="O1213" s="7">
        <v>-19.899999999999999</v>
      </c>
      <c r="P1213" s="7">
        <v>-3.8</v>
      </c>
      <c r="Q1213" s="7">
        <v>1.1299999999999999</v>
      </c>
      <c r="R1213" s="7">
        <v>-0.1</v>
      </c>
      <c r="S1213" s="7">
        <v>0.2</v>
      </c>
      <c r="T1213" s="7">
        <v>0.06</v>
      </c>
      <c r="U1213" s="7">
        <v>-0.22</v>
      </c>
      <c r="V1213" s="7">
        <v>1.1499999999999999</v>
      </c>
      <c r="W1213" s="7" t="s">
        <v>6</v>
      </c>
      <c r="X1213" s="7" t="s">
        <v>12</v>
      </c>
      <c r="Y1213" s="2" t="s">
        <v>719</v>
      </c>
      <c r="Z1213" s="2" t="s">
        <v>721</v>
      </c>
    </row>
    <row r="1214" spans="1:26" x14ac:dyDescent="0.35">
      <c r="A1214" s="7" t="s">
        <v>1593</v>
      </c>
      <c r="B1214" s="7" t="s">
        <v>1260</v>
      </c>
      <c r="C1214" s="4" t="str">
        <f>_xlfn.XLOOKUP(A1214,[2]Sheet2!$I$2:$I$1273,[2]Sheet2!$D$2:$D$1273,0)</f>
        <v>Q3</v>
      </c>
      <c r="D1214" s="4">
        <f>_xlfn.XLOOKUP(B1214,[4]Sheet2!$B$2:$B$3154,[4]Sheet2!$F$2:$F$3154,0)</f>
        <v>0</v>
      </c>
      <c r="E1214" s="4" t="e">
        <f>_xlfn.XLOOKUP(B1214,[2]Sheet2!$E$2:$E$713,[2]Sheet2!$G$2:$G$713)</f>
        <v>#N/A</v>
      </c>
      <c r="F1214" s="18">
        <v>46133</v>
      </c>
      <c r="G1214" s="14">
        <v>0.18914351851851852</v>
      </c>
      <c r="H1214" s="7" t="s">
        <v>5</v>
      </c>
      <c r="I1214" s="2" t="str">
        <f t="shared" si="98"/>
        <v>Q4</v>
      </c>
      <c r="J1214" s="2" t="str">
        <f t="shared" si="94"/>
        <v>Not Match</v>
      </c>
      <c r="K1214" s="2">
        <f t="shared" si="95"/>
        <v>0.2</v>
      </c>
      <c r="L1214" s="2" t="e">
        <f t="shared" si="96"/>
        <v>#N/A</v>
      </c>
      <c r="M1214" s="2" t="str">
        <f t="shared" si="97"/>
        <v>Assign quadrant hit</v>
      </c>
      <c r="N1214" s="7">
        <v>22.5</v>
      </c>
      <c r="O1214" s="7">
        <v>3.4</v>
      </c>
      <c r="P1214" s="7">
        <v>2.4</v>
      </c>
      <c r="Q1214" s="7">
        <v>-1.1399999999999999</v>
      </c>
      <c r="R1214" s="7">
        <v>0.2</v>
      </c>
      <c r="S1214" s="7">
        <v>0</v>
      </c>
      <c r="T1214" s="7">
        <v>0.25</v>
      </c>
      <c r="U1214" s="7">
        <v>-0.13</v>
      </c>
      <c r="V1214" s="7">
        <v>1.17</v>
      </c>
      <c r="W1214" s="7" t="s">
        <v>6</v>
      </c>
      <c r="X1214" s="7" t="s">
        <v>7</v>
      </c>
      <c r="Y1214" s="2" t="s">
        <v>719</v>
      </c>
      <c r="Z1214" s="2" t="s">
        <v>721</v>
      </c>
    </row>
    <row r="1215" spans="1:26" x14ac:dyDescent="0.35">
      <c r="A1215" s="7" t="s">
        <v>1777</v>
      </c>
      <c r="B1215" s="7" t="s">
        <v>1261</v>
      </c>
      <c r="C1215" s="4" t="str">
        <f>_xlfn.XLOOKUP(A1215,[2]Sheet2!$I$2:$I$1273,[2]Sheet2!$D$2:$D$1273,0)</f>
        <v>Q2</v>
      </c>
      <c r="D1215" s="4">
        <f>_xlfn.XLOOKUP(B1215,[4]Sheet2!$B$2:$B$3154,[4]Sheet2!$F$2:$F$3154,0)</f>
        <v>0</v>
      </c>
      <c r="E1215" s="4" t="e">
        <f>_xlfn.XLOOKUP(B1215,[2]Sheet2!$E$2:$E$713,[2]Sheet2!$G$2:$G$713)</f>
        <v>#N/A</v>
      </c>
      <c r="F1215" s="18">
        <v>46133</v>
      </c>
      <c r="G1215" s="14">
        <v>0.25730324074074074</v>
      </c>
      <c r="H1215" s="7" t="s">
        <v>5</v>
      </c>
      <c r="I1215" s="2" t="str">
        <f t="shared" si="98"/>
        <v>Q4</v>
      </c>
      <c r="J1215" s="2" t="str">
        <f t="shared" si="94"/>
        <v>Not Match</v>
      </c>
      <c r="K1215" s="2">
        <f t="shared" si="95"/>
        <v>0.1</v>
      </c>
      <c r="L1215" s="2" t="e">
        <f t="shared" si="96"/>
        <v>#N/A</v>
      </c>
      <c r="M1215" s="2" t="str">
        <f t="shared" si="97"/>
        <v>Below 0.8 not in assigned quadrant</v>
      </c>
      <c r="N1215" s="7">
        <v>15.8</v>
      </c>
      <c r="O1215" s="7">
        <v>-0.3</v>
      </c>
      <c r="P1215" s="7">
        <v>-2.9</v>
      </c>
      <c r="Q1215" s="7">
        <v>-0.64</v>
      </c>
      <c r="R1215" s="7">
        <v>0</v>
      </c>
      <c r="S1215" s="7">
        <v>-0.1</v>
      </c>
      <c r="T1215" s="7">
        <v>0.12</v>
      </c>
      <c r="U1215" s="7">
        <v>0.06</v>
      </c>
      <c r="V1215" s="7">
        <v>0.65</v>
      </c>
      <c r="W1215" s="7" t="s">
        <v>8</v>
      </c>
      <c r="X1215" s="7" t="s">
        <v>9</v>
      </c>
      <c r="Y1215" s="2" t="s">
        <v>719</v>
      </c>
      <c r="Z1215" s="2" t="s">
        <v>721</v>
      </c>
    </row>
    <row r="1216" spans="1:26" x14ac:dyDescent="0.35">
      <c r="A1216" s="7" t="s">
        <v>1613</v>
      </c>
      <c r="B1216" s="7" t="s">
        <v>1264</v>
      </c>
      <c r="C1216" s="4" t="str">
        <f>_xlfn.XLOOKUP(A1216,[2]Sheet2!$I$2:$I$1273,[2]Sheet2!$D$2:$D$1273,0)</f>
        <v>Q2</v>
      </c>
      <c r="D1216" s="4">
        <f>_xlfn.XLOOKUP(B1216,[4]Sheet2!$B$2:$B$3154,[4]Sheet2!$F$2:$F$3154,0)</f>
        <v>0</v>
      </c>
      <c r="E1216" s="4" t="e">
        <f>_xlfn.XLOOKUP(B1216,[2]Sheet2!$E$2:$E$713,[2]Sheet2!$G$2:$G$713)</f>
        <v>#N/A</v>
      </c>
      <c r="F1216" s="18">
        <v>46133</v>
      </c>
      <c r="G1216" s="14">
        <v>0.66312499999999996</v>
      </c>
      <c r="H1216" s="7" t="s">
        <v>5</v>
      </c>
      <c r="I1216" s="2" t="str">
        <f t="shared" si="98"/>
        <v>Q1</v>
      </c>
      <c r="J1216" s="2" t="str">
        <f t="shared" si="94"/>
        <v>Not Match</v>
      </c>
      <c r="K1216" s="2">
        <f t="shared" si="95"/>
        <v>0.14142135623730953</v>
      </c>
      <c r="L1216" s="2" t="e">
        <f t="shared" si="96"/>
        <v>#N/A</v>
      </c>
      <c r="M1216" s="2" t="str">
        <f t="shared" si="97"/>
        <v>Assign quadrant hit</v>
      </c>
      <c r="N1216" s="7">
        <v>17.3</v>
      </c>
      <c r="O1216" s="7">
        <v>-0.2</v>
      </c>
      <c r="P1216" s="7">
        <v>-1.6</v>
      </c>
      <c r="Q1216" s="7">
        <v>-0.87</v>
      </c>
      <c r="R1216" s="7">
        <v>0.1</v>
      </c>
      <c r="S1216" s="7">
        <v>0.1</v>
      </c>
      <c r="T1216" s="7">
        <v>-0.24</v>
      </c>
      <c r="U1216" s="7">
        <v>0.17</v>
      </c>
      <c r="V1216" s="7">
        <v>0.91</v>
      </c>
      <c r="W1216" s="7" t="s">
        <v>13</v>
      </c>
      <c r="X1216" s="7" t="s">
        <v>9</v>
      </c>
      <c r="Y1216" s="2" t="s">
        <v>719</v>
      </c>
      <c r="Z1216" s="2" t="s">
        <v>721</v>
      </c>
    </row>
    <row r="1217" spans="1:26" x14ac:dyDescent="0.35">
      <c r="A1217" s="7" t="s">
        <v>1768</v>
      </c>
      <c r="B1217" s="7" t="s">
        <v>1265</v>
      </c>
      <c r="C1217" s="4" t="str">
        <f>_xlfn.XLOOKUP(A1217,[2]Sheet2!$I$2:$I$1273,[2]Sheet2!$D$2:$D$1273,0)</f>
        <v>Q3</v>
      </c>
      <c r="D1217" s="4">
        <f>_xlfn.XLOOKUP(B1217,[4]Sheet2!$B$2:$B$3154,[4]Sheet2!$F$2:$F$3154,0)</f>
        <v>0</v>
      </c>
      <c r="E1217" s="4" t="e">
        <f>_xlfn.XLOOKUP(B1217,[2]Sheet2!$E$2:$E$713,[2]Sheet2!$G$2:$G$713)</f>
        <v>#N/A</v>
      </c>
      <c r="F1217" s="18">
        <v>46133</v>
      </c>
      <c r="G1217" s="14">
        <v>0.72103009259259254</v>
      </c>
      <c r="H1217" s="7" t="s">
        <v>4</v>
      </c>
      <c r="I1217" s="2" t="str">
        <f t="shared" si="98"/>
        <v>Q3</v>
      </c>
      <c r="J1217" s="2" t="str">
        <f t="shared" si="94"/>
        <v>Match</v>
      </c>
      <c r="K1217" s="2">
        <f t="shared" ref="K1217:K1280" si="99">SQRT(R1217^2+S1217^2)</f>
        <v>0.67082039324993692</v>
      </c>
      <c r="L1217" s="2" t="e">
        <f t="shared" ref="L1217:L1280" si="100">IF(K1217&lt;=E1217,"Within Range","Over Range")</f>
        <v>#N/A</v>
      </c>
      <c r="M1217" s="2" t="str">
        <f t="shared" ref="M1217:M1280" si="101">IF(AND(J1217="Match",V1217&lt;=0.8),"Digital Approve Hit",
IF(AND(J1217="Match",V1217&gt;0.8),"Failed but within quadrant",
IF(AND(J1217="Not Match",V1217&lt;=0.8),"Below 0.8 not in assigned quadrant",
"Assign quadrant hit")))</f>
        <v>Digital Approve Hit</v>
      </c>
      <c r="N1217" s="7">
        <v>29.7</v>
      </c>
      <c r="O1217" s="7">
        <v>38.200000000000003</v>
      </c>
      <c r="P1217" s="7">
        <v>14.8</v>
      </c>
      <c r="Q1217" s="7">
        <v>0.1</v>
      </c>
      <c r="R1217" s="7">
        <v>-0.6</v>
      </c>
      <c r="S1217" s="7">
        <v>-0.3</v>
      </c>
      <c r="T1217" s="7">
        <v>-0.31</v>
      </c>
      <c r="U1217" s="7">
        <v>-0.04</v>
      </c>
      <c r="V1217" s="7">
        <v>0.33</v>
      </c>
      <c r="W1217" s="7" t="s">
        <v>8</v>
      </c>
      <c r="X1217" s="7" t="s">
        <v>7</v>
      </c>
      <c r="Y1217" s="2" t="s">
        <v>719</v>
      </c>
      <c r="Z1217" s="2" t="s">
        <v>721</v>
      </c>
    </row>
    <row r="1218" spans="1:26" x14ac:dyDescent="0.35">
      <c r="A1218" s="7" t="s">
        <v>1762</v>
      </c>
      <c r="B1218" s="7" t="s">
        <v>1266</v>
      </c>
      <c r="C1218" s="4" t="str">
        <f>_xlfn.XLOOKUP(A1218,[2]Sheet2!$I$2:$I$1273,[2]Sheet2!$D$2:$D$1273,0)</f>
        <v>Q3</v>
      </c>
      <c r="D1218" s="4">
        <f>_xlfn.XLOOKUP(B1218,[4]Sheet2!$B$2:$B$3154,[4]Sheet2!$F$2:$F$3154,0)</f>
        <v>0</v>
      </c>
      <c r="E1218" s="4" t="e">
        <f>_xlfn.XLOOKUP(B1218,[2]Sheet2!$E$2:$E$713,[2]Sheet2!$G$2:$G$713)</f>
        <v>#N/A</v>
      </c>
      <c r="F1218" s="18">
        <v>46133</v>
      </c>
      <c r="G1218" s="14">
        <v>0.74826388888888884</v>
      </c>
      <c r="H1218" s="7" t="s">
        <v>14</v>
      </c>
      <c r="I1218" s="2" t="str">
        <f t="shared" si="98"/>
        <v>Q1</v>
      </c>
      <c r="J1218" s="2" t="str">
        <f t="shared" si="94"/>
        <v>Not Match</v>
      </c>
      <c r="K1218" s="2">
        <f t="shared" si="99"/>
        <v>0.36055512754639896</v>
      </c>
      <c r="L1218" s="2" t="e">
        <f t="shared" si="100"/>
        <v>#N/A</v>
      </c>
      <c r="M1218" s="2" t="str">
        <f t="shared" si="101"/>
        <v>Below 0.8 not in assigned quadrant</v>
      </c>
      <c r="N1218" s="7">
        <v>16.2</v>
      </c>
      <c r="O1218" s="7">
        <v>-0.6</v>
      </c>
      <c r="P1218" s="7">
        <v>-2.9</v>
      </c>
      <c r="Q1218" s="7">
        <v>7.0000000000000007E-2</v>
      </c>
      <c r="R1218" s="7">
        <v>0.2</v>
      </c>
      <c r="S1218" s="7">
        <v>0.3</v>
      </c>
      <c r="T1218" s="7">
        <v>-0.4</v>
      </c>
      <c r="U1218" s="7">
        <v>0.17</v>
      </c>
      <c r="V1218" s="7">
        <v>0.44</v>
      </c>
      <c r="W1218" s="7" t="s">
        <v>8</v>
      </c>
      <c r="X1218" s="7" t="s">
        <v>9</v>
      </c>
      <c r="Y1218" s="2" t="s">
        <v>719</v>
      </c>
      <c r="Z1218" s="2" t="s">
        <v>721</v>
      </c>
    </row>
    <row r="1219" spans="1:26" x14ac:dyDescent="0.35">
      <c r="A1219" s="7" t="s">
        <v>1766</v>
      </c>
      <c r="B1219" s="7" t="s">
        <v>1267</v>
      </c>
      <c r="C1219" s="4" t="str">
        <f>_xlfn.XLOOKUP(A1219,[2]Sheet2!$I$2:$I$1273,[2]Sheet2!$D$2:$D$1273,0)</f>
        <v>Q1</v>
      </c>
      <c r="D1219" s="4">
        <f>_xlfn.XLOOKUP(B1219,[4]Sheet2!$B$2:$B$3154,[4]Sheet2!$F$2:$F$3154,0)</f>
        <v>0</v>
      </c>
      <c r="E1219" s="4" t="e">
        <f>_xlfn.XLOOKUP(B1219,[2]Sheet2!$E$2:$E$713,[2]Sheet2!$G$2:$G$713)</f>
        <v>#N/A</v>
      </c>
      <c r="F1219" s="18">
        <v>46133</v>
      </c>
      <c r="G1219" s="14">
        <v>0.77513888888888893</v>
      </c>
      <c r="H1219" s="7" t="s">
        <v>16</v>
      </c>
      <c r="I1219" s="2" t="str">
        <f t="shared" si="98"/>
        <v>Q2</v>
      </c>
      <c r="J1219" s="2" t="str">
        <f t="shared" ref="J1219:J1282" si="102">IF(I1219=C1219,"Match",IF(C1219=0,"Not Found","Not Match"))</f>
        <v>Not Match</v>
      </c>
      <c r="K1219" s="2">
        <f t="shared" si="99"/>
        <v>0.72801098892805172</v>
      </c>
      <c r="L1219" s="2" t="e">
        <f t="shared" si="100"/>
        <v>#N/A</v>
      </c>
      <c r="M1219" s="2" t="str">
        <f t="shared" si="101"/>
        <v>Assign quadrant hit</v>
      </c>
      <c r="N1219" s="7">
        <v>39</v>
      </c>
      <c r="O1219" s="7">
        <v>19.899999999999999</v>
      </c>
      <c r="P1219" s="7">
        <v>19.399999999999999</v>
      </c>
      <c r="Q1219" s="7">
        <v>0.27</v>
      </c>
      <c r="R1219" s="7">
        <v>-0.2</v>
      </c>
      <c r="S1219" s="7">
        <v>0.7</v>
      </c>
      <c r="T1219" s="7">
        <v>0.15</v>
      </c>
      <c r="U1219" s="7">
        <v>0.84</v>
      </c>
      <c r="V1219" s="7">
        <v>0.89</v>
      </c>
      <c r="W1219" s="7" t="s">
        <v>13</v>
      </c>
      <c r="X1219" s="7" t="s">
        <v>12</v>
      </c>
      <c r="Y1219" s="2" t="s">
        <v>719</v>
      </c>
      <c r="Z1219" s="2" t="s">
        <v>721</v>
      </c>
    </row>
    <row r="1220" spans="1:26" x14ac:dyDescent="0.35">
      <c r="A1220" s="7" t="s">
        <v>1549</v>
      </c>
      <c r="B1220" s="7" t="s">
        <v>1268</v>
      </c>
      <c r="C1220" s="4" t="str">
        <f>_xlfn.XLOOKUP(A1220,[2]Sheet2!$I$2:$I$1273,[2]Sheet2!$D$2:$D$1273,0)</f>
        <v>Q1</v>
      </c>
      <c r="D1220" s="4">
        <f>_xlfn.XLOOKUP(B1220,[4]Sheet2!$B$2:$B$3154,[4]Sheet2!$F$2:$F$3154,0)</f>
        <v>0</v>
      </c>
      <c r="E1220" s="4" t="e">
        <f>_xlfn.XLOOKUP(B1220,[2]Sheet2!$E$2:$E$713,[2]Sheet2!$G$2:$G$713)</f>
        <v>#N/A</v>
      </c>
      <c r="F1220" s="18">
        <v>46133</v>
      </c>
      <c r="G1220" s="14">
        <v>0.77872685185185186</v>
      </c>
      <c r="H1220" s="7" t="s">
        <v>5</v>
      </c>
      <c r="I1220" s="2" t="str">
        <f t="shared" si="98"/>
        <v>Q3</v>
      </c>
      <c r="J1220" s="2" t="str">
        <f t="shared" si="102"/>
        <v>Not Match</v>
      </c>
      <c r="K1220" s="2">
        <f t="shared" si="99"/>
        <v>0.1</v>
      </c>
      <c r="L1220" s="2" t="e">
        <f t="shared" si="100"/>
        <v>#N/A</v>
      </c>
      <c r="M1220" s="2" t="str">
        <f t="shared" si="101"/>
        <v>Assign quadrant hit</v>
      </c>
      <c r="N1220" s="7">
        <v>17.100000000000001</v>
      </c>
      <c r="O1220" s="7">
        <v>-0.3</v>
      </c>
      <c r="P1220" s="7">
        <v>-2</v>
      </c>
      <c r="Q1220" s="7">
        <v>-0.89</v>
      </c>
      <c r="R1220" s="7">
        <v>-0.1</v>
      </c>
      <c r="S1220" s="7">
        <v>0</v>
      </c>
      <c r="T1220" s="7">
        <v>0.12</v>
      </c>
      <c r="U1220" s="7">
        <v>-0.23</v>
      </c>
      <c r="V1220" s="7">
        <v>0.93</v>
      </c>
      <c r="W1220" s="7" t="s">
        <v>13</v>
      </c>
      <c r="X1220" s="7" t="s">
        <v>15</v>
      </c>
      <c r="Y1220" s="2" t="s">
        <v>719</v>
      </c>
      <c r="Z1220" s="2" t="s">
        <v>721</v>
      </c>
    </row>
    <row r="1221" spans="1:26" x14ac:dyDescent="0.35">
      <c r="A1221" s="7" t="s">
        <v>1687</v>
      </c>
      <c r="B1221" s="7" t="s">
        <v>1262</v>
      </c>
      <c r="C1221" s="4" t="str">
        <f>_xlfn.XLOOKUP(A1221,[2]Sheet2!$I$2:$I$1273,[2]Sheet2!$D$2:$D$1273,0)</f>
        <v>Q3</v>
      </c>
      <c r="D1221" s="4">
        <f>_xlfn.XLOOKUP(B1221,[4]Sheet2!$B$2:$B$3154,[4]Sheet2!$F$2:$F$3154,0)</f>
        <v>0</v>
      </c>
      <c r="E1221" s="4" t="e">
        <f>_xlfn.XLOOKUP(B1221,[2]Sheet2!$E$2:$E$713,[2]Sheet2!$G$2:$G$713)</f>
        <v>#N/A</v>
      </c>
      <c r="F1221" s="18">
        <v>46134</v>
      </c>
      <c r="G1221" s="14">
        <v>1.5439814814814814E-2</v>
      </c>
      <c r="H1221" s="7" t="s">
        <v>5</v>
      </c>
      <c r="I1221" s="2" t="str">
        <f t="shared" si="98"/>
        <v>Q4</v>
      </c>
      <c r="J1221" s="2" t="str">
        <f t="shared" si="102"/>
        <v>Not Match</v>
      </c>
      <c r="K1221" s="2">
        <f t="shared" si="99"/>
        <v>0.3</v>
      </c>
      <c r="L1221" s="2" t="e">
        <f t="shared" si="100"/>
        <v>#N/A</v>
      </c>
      <c r="M1221" s="2" t="str">
        <f t="shared" si="101"/>
        <v>Below 0.8 not in assigned quadrant</v>
      </c>
      <c r="N1221" s="7">
        <v>34.4</v>
      </c>
      <c r="O1221" s="7">
        <v>11.2</v>
      </c>
      <c r="P1221" s="7">
        <v>12.4</v>
      </c>
      <c r="Q1221" s="7">
        <v>-0.27</v>
      </c>
      <c r="R1221" s="7">
        <v>0.3</v>
      </c>
      <c r="S1221" s="7">
        <v>0</v>
      </c>
      <c r="T1221" s="7">
        <v>0.14000000000000001</v>
      </c>
      <c r="U1221" s="7">
        <v>-0.54</v>
      </c>
      <c r="V1221" s="7">
        <v>0.62</v>
      </c>
      <c r="W1221" s="7" t="s">
        <v>8</v>
      </c>
      <c r="X1221" s="7" t="s">
        <v>9</v>
      </c>
      <c r="Y1221" s="2" t="s">
        <v>719</v>
      </c>
      <c r="Z1221" s="2" t="s">
        <v>721</v>
      </c>
    </row>
    <row r="1222" spans="1:26" x14ac:dyDescent="0.35">
      <c r="A1222" s="7" t="s">
        <v>1558</v>
      </c>
      <c r="B1222" s="7" t="s">
        <v>1269</v>
      </c>
      <c r="C1222" s="4" t="str">
        <f>_xlfn.XLOOKUP(A1222,[2]Sheet2!$I$2:$I$1273,[2]Sheet2!$D$2:$D$1273,0)</f>
        <v>Q3</v>
      </c>
      <c r="D1222" s="4">
        <f>_xlfn.XLOOKUP(B1222,[4]Sheet2!$B$2:$B$3154,[4]Sheet2!$F$2:$F$3154,0)</f>
        <v>0</v>
      </c>
      <c r="E1222" s="4" t="e">
        <f>_xlfn.XLOOKUP(B1222,[2]Sheet2!$E$2:$E$713,[2]Sheet2!$G$2:$G$713)</f>
        <v>#N/A</v>
      </c>
      <c r="F1222" s="18">
        <v>46134</v>
      </c>
      <c r="G1222" s="14">
        <v>1.9050925925925926E-2</v>
      </c>
      <c r="H1222" s="7" t="s">
        <v>16</v>
      </c>
      <c r="I1222" s="2" t="str">
        <f t="shared" si="98"/>
        <v>Q4</v>
      </c>
      <c r="J1222" s="2" t="str">
        <f t="shared" si="102"/>
        <v>Not Match</v>
      </c>
      <c r="K1222" s="2">
        <f t="shared" si="99"/>
        <v>0.1</v>
      </c>
      <c r="L1222" s="2" t="e">
        <f t="shared" si="100"/>
        <v>#N/A</v>
      </c>
      <c r="M1222" s="2" t="str">
        <f t="shared" si="101"/>
        <v>Below 0.8 not in assigned quadrant</v>
      </c>
      <c r="N1222" s="7">
        <v>14.8</v>
      </c>
      <c r="O1222" s="7">
        <v>-0.3</v>
      </c>
      <c r="P1222" s="7">
        <v>-2</v>
      </c>
      <c r="Q1222" s="7">
        <v>-0.67</v>
      </c>
      <c r="R1222" s="7">
        <v>0</v>
      </c>
      <c r="S1222" s="7">
        <v>-0.1</v>
      </c>
      <c r="T1222" s="7">
        <v>0.19</v>
      </c>
      <c r="U1222" s="7">
        <v>-0.03</v>
      </c>
      <c r="V1222" s="7">
        <v>0.69</v>
      </c>
      <c r="W1222" s="7" t="s">
        <v>8</v>
      </c>
      <c r="X1222" s="7" t="s">
        <v>15</v>
      </c>
      <c r="Y1222" s="2" t="s">
        <v>719</v>
      </c>
      <c r="Z1222" s="2" t="s">
        <v>721</v>
      </c>
    </row>
    <row r="1223" spans="1:26" x14ac:dyDescent="0.35">
      <c r="A1223" s="7" t="s">
        <v>1761</v>
      </c>
      <c r="B1223" s="7" t="s">
        <v>1263</v>
      </c>
      <c r="C1223" s="4" t="str">
        <f>_xlfn.XLOOKUP(A1223,[2]Sheet2!$I$2:$I$1273,[2]Sheet2!$D$2:$D$1273,0)</f>
        <v>Q1</v>
      </c>
      <c r="D1223" s="4">
        <f>_xlfn.XLOOKUP(B1223,[4]Sheet2!$B$2:$B$3154,[4]Sheet2!$F$2:$F$3154,0)</f>
        <v>0</v>
      </c>
      <c r="E1223" s="4" t="e">
        <f>_xlfn.XLOOKUP(B1223,[2]Sheet2!$E$2:$E$713,[2]Sheet2!$G$2:$G$713)</f>
        <v>#N/A</v>
      </c>
      <c r="F1223" s="18">
        <v>46134</v>
      </c>
      <c r="G1223" s="14">
        <v>6.0578703703703704E-2</v>
      </c>
      <c r="H1223" s="7" t="s">
        <v>11</v>
      </c>
      <c r="I1223" s="2" t="str">
        <f t="shared" si="98"/>
        <v>Q2</v>
      </c>
      <c r="J1223" s="2" t="str">
        <f t="shared" si="102"/>
        <v>Not Match</v>
      </c>
      <c r="K1223" s="2">
        <f t="shared" si="99"/>
        <v>1.1401754250991381</v>
      </c>
      <c r="L1223" s="2" t="e">
        <f t="shared" si="100"/>
        <v>#N/A</v>
      </c>
      <c r="M1223" s="2" t="str">
        <f t="shared" si="101"/>
        <v>Assign quadrant hit</v>
      </c>
      <c r="N1223" s="7">
        <v>28.6</v>
      </c>
      <c r="O1223" s="7">
        <v>-2.2000000000000002</v>
      </c>
      <c r="P1223" s="7">
        <v>8.9</v>
      </c>
      <c r="Q1223" s="7">
        <v>0.55000000000000004</v>
      </c>
      <c r="R1223" s="7">
        <v>-0.3</v>
      </c>
      <c r="S1223" s="7">
        <v>1.1000000000000001</v>
      </c>
      <c r="T1223" s="7">
        <v>1.1100000000000001</v>
      </c>
      <c r="U1223" s="7">
        <v>0.11</v>
      </c>
      <c r="V1223" s="7">
        <v>1.25</v>
      </c>
      <c r="W1223" s="7" t="s">
        <v>6</v>
      </c>
      <c r="X1223" s="7" t="s">
        <v>7</v>
      </c>
      <c r="Y1223" s="2" t="s">
        <v>719</v>
      </c>
      <c r="Z1223" s="2" t="s">
        <v>721</v>
      </c>
    </row>
    <row r="1224" spans="1:26" x14ac:dyDescent="0.35">
      <c r="A1224" s="7" t="s">
        <v>1761</v>
      </c>
      <c r="B1224" s="7" t="s">
        <v>1270</v>
      </c>
      <c r="C1224" s="4" t="str">
        <f>_xlfn.XLOOKUP(A1224,[2]Sheet2!$I$2:$I$1273,[2]Sheet2!$D$2:$D$1273,0)</f>
        <v>Q1</v>
      </c>
      <c r="D1224" s="4">
        <f>_xlfn.XLOOKUP(B1224,[4]Sheet2!$B$2:$B$3154,[4]Sheet2!$F$2:$F$3154,0)</f>
        <v>0</v>
      </c>
      <c r="E1224" s="4" t="e">
        <f>_xlfn.XLOOKUP(B1224,[2]Sheet2!$E$2:$E$713,[2]Sheet2!$G$2:$G$713)</f>
        <v>#N/A</v>
      </c>
      <c r="F1224" s="18">
        <v>46134</v>
      </c>
      <c r="G1224" s="14">
        <v>7.739583333333333E-2</v>
      </c>
      <c r="H1224" s="7" t="s">
        <v>11</v>
      </c>
      <c r="I1224" s="2" t="str">
        <f t="shared" si="98"/>
        <v>Q1</v>
      </c>
      <c r="J1224" s="2" t="str">
        <f t="shared" si="102"/>
        <v>Match</v>
      </c>
      <c r="K1224" s="2">
        <f t="shared" si="99"/>
        <v>0.14142135623730953</v>
      </c>
      <c r="L1224" s="2" t="e">
        <f t="shared" si="100"/>
        <v>#N/A</v>
      </c>
      <c r="M1224" s="2" t="str">
        <f t="shared" si="101"/>
        <v>Digital Approve Hit</v>
      </c>
      <c r="N1224" s="7">
        <v>28.6</v>
      </c>
      <c r="O1224" s="7">
        <v>-1.7</v>
      </c>
      <c r="P1224" s="7">
        <v>7.9</v>
      </c>
      <c r="Q1224" s="7">
        <v>0.56000000000000005</v>
      </c>
      <c r="R1224" s="7">
        <v>0.1</v>
      </c>
      <c r="S1224" s="7">
        <v>0.1</v>
      </c>
      <c r="T1224" s="7">
        <v>0.11</v>
      </c>
      <c r="U1224" s="7">
        <v>-0.17</v>
      </c>
      <c r="V1224" s="7">
        <v>0.6</v>
      </c>
      <c r="W1224" s="7" t="s">
        <v>8</v>
      </c>
      <c r="X1224" s="7" t="s">
        <v>12</v>
      </c>
      <c r="Y1224" s="2" t="s">
        <v>719</v>
      </c>
      <c r="Z1224" s="2" t="s">
        <v>721</v>
      </c>
    </row>
    <row r="1225" spans="1:26" x14ac:dyDescent="0.35">
      <c r="A1225" s="7" t="s">
        <v>1545</v>
      </c>
      <c r="B1225" s="7" t="s">
        <v>1271</v>
      </c>
      <c r="C1225" s="4" t="str">
        <f>_xlfn.XLOOKUP(A1225,[2]Sheet2!$I$2:$I$1273,[2]Sheet2!$D$2:$D$1273,0)</f>
        <v>Q2</v>
      </c>
      <c r="D1225" s="4">
        <f>_xlfn.XLOOKUP(B1225,[4]Sheet2!$B$2:$B$3154,[4]Sheet2!$F$2:$F$3154,0)</f>
        <v>0</v>
      </c>
      <c r="E1225" s="4" t="e">
        <f>_xlfn.XLOOKUP(B1225,[2]Sheet2!$E$2:$E$713,[2]Sheet2!$G$2:$G$713)</f>
        <v>#N/A</v>
      </c>
      <c r="F1225" s="18">
        <v>46134</v>
      </c>
      <c r="G1225" s="14">
        <v>0.28337962962962965</v>
      </c>
      <c r="H1225" s="7" t="s">
        <v>5</v>
      </c>
      <c r="I1225" s="2" t="str">
        <f t="shared" si="98"/>
        <v>Q4</v>
      </c>
      <c r="J1225" s="2" t="str">
        <f t="shared" si="102"/>
        <v>Not Match</v>
      </c>
      <c r="K1225" s="2">
        <f t="shared" si="99"/>
        <v>0.4</v>
      </c>
      <c r="L1225" s="2" t="e">
        <f t="shared" si="100"/>
        <v>#N/A</v>
      </c>
      <c r="M1225" s="2" t="str">
        <f t="shared" si="101"/>
        <v>Below 0.8 not in assigned quadrant</v>
      </c>
      <c r="N1225" s="7">
        <v>18</v>
      </c>
      <c r="O1225" s="7">
        <v>-0.7</v>
      </c>
      <c r="P1225" s="7">
        <v>-2.7</v>
      </c>
      <c r="Q1225" s="7">
        <v>0.06</v>
      </c>
      <c r="R1225" s="7">
        <v>0</v>
      </c>
      <c r="S1225" s="7">
        <v>-0.4</v>
      </c>
      <c r="T1225" s="7">
        <v>0.49</v>
      </c>
      <c r="U1225" s="7">
        <v>0.13</v>
      </c>
      <c r="V1225" s="7">
        <v>0.51</v>
      </c>
      <c r="W1225" s="7" t="s">
        <v>8</v>
      </c>
      <c r="X1225" s="7" t="s">
        <v>9</v>
      </c>
      <c r="Y1225" s="2" t="s">
        <v>719</v>
      </c>
      <c r="Z1225" s="2" t="s">
        <v>721</v>
      </c>
    </row>
    <row r="1226" spans="1:26" x14ac:dyDescent="0.35">
      <c r="A1226" s="7" t="s">
        <v>1554</v>
      </c>
      <c r="B1226" s="7" t="s">
        <v>1272</v>
      </c>
      <c r="C1226" s="4" t="str">
        <f>_xlfn.XLOOKUP(A1226,[2]Sheet2!$I$2:$I$1273,[2]Sheet2!$D$2:$D$1273,0)</f>
        <v>Q1</v>
      </c>
      <c r="D1226" s="4">
        <f>_xlfn.XLOOKUP(B1226,[4]Sheet2!$B$2:$B$3154,[4]Sheet2!$F$2:$F$3154,0)</f>
        <v>0</v>
      </c>
      <c r="E1226" s="4" t="e">
        <f>_xlfn.XLOOKUP(B1226,[2]Sheet2!$E$2:$E$713,[2]Sheet2!$G$2:$G$713)</f>
        <v>#N/A</v>
      </c>
      <c r="F1226" s="18">
        <v>46134</v>
      </c>
      <c r="G1226" s="14">
        <v>0.55393518518518514</v>
      </c>
      <c r="H1226" s="7" t="s">
        <v>5</v>
      </c>
      <c r="I1226" s="2" t="str">
        <f t="shared" si="98"/>
        <v>Q1</v>
      </c>
      <c r="J1226" s="2" t="str">
        <f t="shared" si="102"/>
        <v>Match</v>
      </c>
      <c r="K1226" s="2">
        <f t="shared" si="99"/>
        <v>0.36055512754639896</v>
      </c>
      <c r="L1226" s="2" t="e">
        <f t="shared" si="100"/>
        <v>#N/A</v>
      </c>
      <c r="M1226" s="2" t="str">
        <f t="shared" si="101"/>
        <v>Digital Approve Hit</v>
      </c>
      <c r="N1226" s="7">
        <v>16.7</v>
      </c>
      <c r="O1226" s="7">
        <v>-0.5</v>
      </c>
      <c r="P1226" s="7">
        <v>-2.4</v>
      </c>
      <c r="Q1226" s="7">
        <v>-0.34</v>
      </c>
      <c r="R1226" s="7">
        <v>0.3</v>
      </c>
      <c r="S1226" s="7">
        <v>0.2</v>
      </c>
      <c r="T1226" s="7">
        <v>-0.44</v>
      </c>
      <c r="U1226" s="7">
        <v>0.35</v>
      </c>
      <c r="V1226" s="7">
        <v>0.66</v>
      </c>
      <c r="W1226" s="7" t="s">
        <v>8</v>
      </c>
      <c r="X1226" s="7" t="s">
        <v>9</v>
      </c>
      <c r="Y1226" s="2" t="s">
        <v>719</v>
      </c>
      <c r="Z1226" s="2" t="s">
        <v>721</v>
      </c>
    </row>
    <row r="1227" spans="1:26" x14ac:dyDescent="0.35">
      <c r="A1227" s="7" t="s">
        <v>1778</v>
      </c>
      <c r="B1227" s="7" t="s">
        <v>1273</v>
      </c>
      <c r="C1227" s="4" t="str">
        <f>_xlfn.XLOOKUP(A1227,[2]Sheet2!$I$2:$I$1273,[2]Sheet2!$D$2:$D$1273,0)</f>
        <v>Q3</v>
      </c>
      <c r="D1227" s="4">
        <f>_xlfn.XLOOKUP(B1227,[4]Sheet2!$B$2:$B$3154,[4]Sheet2!$F$2:$F$3154,0)</f>
        <v>0</v>
      </c>
      <c r="E1227" s="4" t="e">
        <f>_xlfn.XLOOKUP(B1227,[2]Sheet2!$E$2:$E$713,[2]Sheet2!$G$2:$G$713)</f>
        <v>#N/A</v>
      </c>
      <c r="F1227" s="18">
        <v>46134</v>
      </c>
      <c r="G1227" s="14">
        <v>0.68839120370370366</v>
      </c>
      <c r="H1227" s="7" t="s">
        <v>5</v>
      </c>
      <c r="I1227" s="2" t="str">
        <f t="shared" si="98"/>
        <v>Q1</v>
      </c>
      <c r="J1227" s="2" t="str">
        <f t="shared" si="102"/>
        <v>Not Match</v>
      </c>
      <c r="K1227" s="2">
        <f t="shared" si="99"/>
        <v>0.41231056256176613</v>
      </c>
      <c r="L1227" s="2" t="e">
        <f t="shared" si="100"/>
        <v>#N/A</v>
      </c>
      <c r="M1227" s="2" t="str">
        <f t="shared" si="101"/>
        <v>Below 0.8 not in assigned quadrant</v>
      </c>
      <c r="N1227" s="7">
        <v>40.5</v>
      </c>
      <c r="O1227" s="7">
        <v>48.1</v>
      </c>
      <c r="P1227" s="7">
        <v>32.799999999999997</v>
      </c>
      <c r="Q1227" s="7">
        <v>0.25</v>
      </c>
      <c r="R1227" s="7">
        <v>0.4</v>
      </c>
      <c r="S1227" s="7">
        <v>0.1</v>
      </c>
      <c r="T1227" s="7">
        <v>0.16</v>
      </c>
      <c r="U1227" s="7">
        <v>-0.09</v>
      </c>
      <c r="V1227" s="7">
        <v>0.31</v>
      </c>
      <c r="W1227" s="7" t="s">
        <v>8</v>
      </c>
      <c r="X1227" s="7" t="s">
        <v>7</v>
      </c>
      <c r="Y1227" s="2" t="s">
        <v>719</v>
      </c>
      <c r="Z1227" s="2" t="s">
        <v>721</v>
      </c>
    </row>
    <row r="1228" spans="1:26" x14ac:dyDescent="0.35">
      <c r="A1228" s="7" t="s">
        <v>1754</v>
      </c>
      <c r="B1228" s="7" t="s">
        <v>1275</v>
      </c>
      <c r="C1228" s="4" t="str">
        <f>_xlfn.XLOOKUP(A1228,[2]Sheet2!$I$2:$I$1273,[2]Sheet2!$D$2:$D$1273,0)</f>
        <v>Q4</v>
      </c>
      <c r="D1228" s="4">
        <f>_xlfn.XLOOKUP(B1228,[4]Sheet2!$B$2:$B$3154,[4]Sheet2!$F$2:$F$3154,0)</f>
        <v>0</v>
      </c>
      <c r="E1228" s="4" t="e">
        <f>_xlfn.XLOOKUP(B1228,[2]Sheet2!$E$2:$E$713,[2]Sheet2!$G$2:$G$713)</f>
        <v>#N/A</v>
      </c>
      <c r="F1228" s="18">
        <v>46134</v>
      </c>
      <c r="G1228" s="14">
        <v>0.69626157407407407</v>
      </c>
      <c r="H1228" s="7" t="s">
        <v>11</v>
      </c>
      <c r="I1228" s="2" t="str">
        <f t="shared" si="98"/>
        <v>Q2</v>
      </c>
      <c r="J1228" s="2" t="str">
        <f t="shared" si="102"/>
        <v>Not Match</v>
      </c>
      <c r="K1228" s="2">
        <f t="shared" si="99"/>
        <v>0.5</v>
      </c>
      <c r="L1228" s="2" t="e">
        <f t="shared" si="100"/>
        <v>#N/A</v>
      </c>
      <c r="M1228" s="2" t="str">
        <f t="shared" si="101"/>
        <v>Below 0.8 not in assigned quadrant</v>
      </c>
      <c r="N1228" s="7">
        <v>25.3</v>
      </c>
      <c r="O1228" s="7">
        <v>9.6</v>
      </c>
      <c r="P1228" s="7">
        <v>-11.7</v>
      </c>
      <c r="Q1228" s="7">
        <v>0.41</v>
      </c>
      <c r="R1228" s="7">
        <v>-0.3</v>
      </c>
      <c r="S1228" s="7">
        <v>0.4</v>
      </c>
      <c r="T1228" s="7">
        <v>-0.36</v>
      </c>
      <c r="U1228" s="7">
        <v>0.04</v>
      </c>
      <c r="V1228" s="7">
        <v>0.54</v>
      </c>
      <c r="W1228" s="7" t="s">
        <v>8</v>
      </c>
      <c r="X1228" s="7" t="s">
        <v>9</v>
      </c>
      <c r="Y1228" s="2" t="s">
        <v>719</v>
      </c>
      <c r="Z1228" s="2" t="s">
        <v>721</v>
      </c>
    </row>
    <row r="1229" spans="1:26" x14ac:dyDescent="0.35">
      <c r="A1229" s="7" t="s">
        <v>1645</v>
      </c>
      <c r="B1229" s="7" t="s">
        <v>1277</v>
      </c>
      <c r="C1229" s="4" t="str">
        <f>_xlfn.XLOOKUP(A1229,[2]Sheet2!$I$2:$I$1273,[2]Sheet2!$D$2:$D$1273,0)</f>
        <v>Q2</v>
      </c>
      <c r="D1229" s="4">
        <f>_xlfn.XLOOKUP(B1229,[4]Sheet2!$B$2:$B$3154,[4]Sheet2!$F$2:$F$3154,0)</f>
        <v>0</v>
      </c>
      <c r="E1229" s="4" t="e">
        <f>_xlfn.XLOOKUP(B1229,[2]Sheet2!$E$2:$E$713,[2]Sheet2!$G$2:$G$713)</f>
        <v>#N/A</v>
      </c>
      <c r="F1229" s="18">
        <v>46134</v>
      </c>
      <c r="G1229" s="14">
        <v>0.70451388888888888</v>
      </c>
      <c r="H1229" s="7" t="s">
        <v>5</v>
      </c>
      <c r="I1229" s="2" t="str">
        <f t="shared" si="98"/>
        <v>Q3</v>
      </c>
      <c r="J1229" s="2" t="str">
        <f t="shared" si="102"/>
        <v>Not Match</v>
      </c>
      <c r="K1229" s="2">
        <f t="shared" si="99"/>
        <v>0.22360679774997899</v>
      </c>
      <c r="L1229" s="2" t="e">
        <f t="shared" si="100"/>
        <v>#N/A</v>
      </c>
      <c r="M1229" s="2" t="str">
        <f t="shared" si="101"/>
        <v>Below 0.8 not in assigned quadrant</v>
      </c>
      <c r="N1229" s="7">
        <v>16.600000000000001</v>
      </c>
      <c r="O1229" s="7">
        <v>-1.1000000000000001</v>
      </c>
      <c r="P1229" s="7">
        <v>-2.2999999999999998</v>
      </c>
      <c r="Q1229" s="7">
        <v>0.3</v>
      </c>
      <c r="R1229" s="7">
        <v>-0.1</v>
      </c>
      <c r="S1229" s="7">
        <v>-0.2</v>
      </c>
      <c r="T1229" s="7">
        <v>0.41</v>
      </c>
      <c r="U1229" s="7">
        <v>-0.04</v>
      </c>
      <c r="V1229" s="7">
        <v>0.51</v>
      </c>
      <c r="W1229" s="7" t="s">
        <v>8</v>
      </c>
      <c r="X1229" s="7" t="s">
        <v>15</v>
      </c>
      <c r="Y1229" s="2" t="s">
        <v>719</v>
      </c>
      <c r="Z1229" s="2" t="s">
        <v>721</v>
      </c>
    </row>
    <row r="1230" spans="1:26" x14ac:dyDescent="0.35">
      <c r="A1230" s="7" t="s">
        <v>1636</v>
      </c>
      <c r="B1230" s="7" t="s">
        <v>1278</v>
      </c>
      <c r="C1230" s="4" t="str">
        <f>_xlfn.XLOOKUP(A1230,[2]Sheet2!$I$2:$I$1273,[2]Sheet2!$D$2:$D$1273,0)</f>
        <v>Q2</v>
      </c>
      <c r="D1230" s="4">
        <f>_xlfn.XLOOKUP(B1230,[4]Sheet2!$B$2:$B$3154,[4]Sheet2!$F$2:$F$3154,0)</f>
        <v>0</v>
      </c>
      <c r="E1230" s="4" t="e">
        <f>_xlfn.XLOOKUP(B1230,[2]Sheet2!$E$2:$E$713,[2]Sheet2!$G$2:$G$713)</f>
        <v>#N/A</v>
      </c>
      <c r="F1230" s="18">
        <v>46134</v>
      </c>
      <c r="G1230" s="14">
        <v>0.70678240740740739</v>
      </c>
      <c r="H1230" s="7" t="s">
        <v>11</v>
      </c>
      <c r="I1230" s="2" t="str">
        <f t="shared" si="98"/>
        <v>Q3</v>
      </c>
      <c r="J1230" s="2" t="str">
        <f t="shared" si="102"/>
        <v>Not Match</v>
      </c>
      <c r="K1230" s="2">
        <f t="shared" si="99"/>
        <v>0.2</v>
      </c>
      <c r="L1230" s="2" t="e">
        <f t="shared" si="100"/>
        <v>#N/A</v>
      </c>
      <c r="M1230" s="2" t="str">
        <f t="shared" si="101"/>
        <v>Assign quadrant hit</v>
      </c>
      <c r="N1230" s="7">
        <v>17.8</v>
      </c>
      <c r="O1230" s="7">
        <v>-1.5</v>
      </c>
      <c r="P1230" s="7">
        <v>-3.8</v>
      </c>
      <c r="Q1230" s="7">
        <v>-0.94</v>
      </c>
      <c r="R1230" s="7">
        <v>-0.2</v>
      </c>
      <c r="S1230" s="7">
        <v>0</v>
      </c>
      <c r="T1230" s="7">
        <v>0.09</v>
      </c>
      <c r="U1230" s="7">
        <v>-0.26</v>
      </c>
      <c r="V1230" s="7">
        <v>0.98</v>
      </c>
      <c r="W1230" s="7" t="s">
        <v>13</v>
      </c>
      <c r="X1230" s="7" t="s">
        <v>15</v>
      </c>
      <c r="Y1230" s="2" t="s">
        <v>719</v>
      </c>
      <c r="Z1230" s="2" t="s">
        <v>721</v>
      </c>
    </row>
    <row r="1231" spans="1:26" x14ac:dyDescent="0.35">
      <c r="A1231" s="7" t="s">
        <v>1761</v>
      </c>
      <c r="B1231" s="7" t="s">
        <v>1279</v>
      </c>
      <c r="C1231" s="4" t="str">
        <f>_xlfn.XLOOKUP(A1231,[2]Sheet2!$I$2:$I$1273,[2]Sheet2!$D$2:$D$1273,0)</f>
        <v>Q1</v>
      </c>
      <c r="D1231" s="4">
        <f>_xlfn.XLOOKUP(B1231,[4]Sheet2!$B$2:$B$3154,[4]Sheet2!$F$2:$F$3154,0)</f>
        <v>0</v>
      </c>
      <c r="E1231" s="4" t="e">
        <f>_xlfn.XLOOKUP(B1231,[2]Sheet2!$E$2:$E$713,[2]Sheet2!$G$2:$G$713)</f>
        <v>#N/A</v>
      </c>
      <c r="F1231" s="18">
        <v>46134</v>
      </c>
      <c r="G1231" s="14">
        <v>0.74050925925925926</v>
      </c>
      <c r="H1231" s="7" t="s">
        <v>11</v>
      </c>
      <c r="I1231" s="2" t="str">
        <f t="shared" si="98"/>
        <v>Q1</v>
      </c>
      <c r="J1231" s="2" t="str">
        <f t="shared" si="102"/>
        <v>Match</v>
      </c>
      <c r="K1231" s="2">
        <f t="shared" si="99"/>
        <v>0.1</v>
      </c>
      <c r="L1231" s="2" t="e">
        <f t="shared" si="100"/>
        <v>#N/A</v>
      </c>
      <c r="M1231" s="2" t="str">
        <f t="shared" si="101"/>
        <v>Digital Approve Hit</v>
      </c>
      <c r="N1231" s="7">
        <v>28.4</v>
      </c>
      <c r="O1231" s="7">
        <v>-1.8</v>
      </c>
      <c r="P1231" s="7">
        <v>7.9</v>
      </c>
      <c r="Q1231" s="7">
        <v>0.45</v>
      </c>
      <c r="R1231" s="7">
        <v>0</v>
      </c>
      <c r="S1231" s="7">
        <v>0.1</v>
      </c>
      <c r="T1231" s="7">
        <v>0.11</v>
      </c>
      <c r="U1231" s="7">
        <v>-0.1</v>
      </c>
      <c r="V1231" s="7">
        <v>0.48</v>
      </c>
      <c r="W1231" s="7" t="s">
        <v>8</v>
      </c>
      <c r="X1231" s="7" t="s">
        <v>12</v>
      </c>
      <c r="Y1231" s="2" t="s">
        <v>719</v>
      </c>
      <c r="Z1231" s="2" t="s">
        <v>721</v>
      </c>
    </row>
    <row r="1232" spans="1:26" x14ac:dyDescent="0.35">
      <c r="A1232" s="7" t="s">
        <v>1645</v>
      </c>
      <c r="B1232" s="7" t="s">
        <v>1280</v>
      </c>
      <c r="C1232" s="4" t="str">
        <f>_xlfn.XLOOKUP(A1232,[2]Sheet2!$I$2:$I$1273,[2]Sheet2!$D$2:$D$1273,0)</f>
        <v>Q2</v>
      </c>
      <c r="D1232" s="4">
        <f>_xlfn.XLOOKUP(B1232,[4]Sheet2!$B$2:$B$3154,[4]Sheet2!$F$2:$F$3154,0)</f>
        <v>0</v>
      </c>
      <c r="E1232" s="4" t="e">
        <f>_xlfn.XLOOKUP(B1232,[2]Sheet2!$E$2:$E$713,[2]Sheet2!$G$2:$G$713)</f>
        <v>#N/A</v>
      </c>
      <c r="F1232" s="18">
        <v>46134</v>
      </c>
      <c r="G1232" s="14">
        <v>0.74306712962962962</v>
      </c>
      <c r="H1232" s="7" t="s">
        <v>4</v>
      </c>
      <c r="I1232" s="2" t="str">
        <f t="shared" si="98"/>
        <v>Q4</v>
      </c>
      <c r="J1232" s="2" t="str">
        <f t="shared" si="102"/>
        <v>Not Match</v>
      </c>
      <c r="K1232" s="2">
        <f t="shared" si="99"/>
        <v>0.4</v>
      </c>
      <c r="L1232" s="2" t="e">
        <f t="shared" si="100"/>
        <v>#N/A</v>
      </c>
      <c r="M1232" s="2" t="str">
        <f t="shared" si="101"/>
        <v>Below 0.8 not in assigned quadrant</v>
      </c>
      <c r="N1232" s="7">
        <v>17</v>
      </c>
      <c r="O1232" s="7">
        <v>-1.2</v>
      </c>
      <c r="P1232" s="7">
        <v>-1.7</v>
      </c>
      <c r="Q1232" s="7">
        <v>0.2</v>
      </c>
      <c r="R1232" s="7">
        <v>0</v>
      </c>
      <c r="S1232" s="7">
        <v>-0.4</v>
      </c>
      <c r="T1232" s="7">
        <v>0.45</v>
      </c>
      <c r="U1232" s="7">
        <v>0.36</v>
      </c>
      <c r="V1232" s="7">
        <v>0.61</v>
      </c>
      <c r="W1232" s="7" t="s">
        <v>8</v>
      </c>
      <c r="X1232" s="7" t="s">
        <v>7</v>
      </c>
      <c r="Y1232" s="2" t="s">
        <v>719</v>
      </c>
      <c r="Z1232" s="2" t="s">
        <v>721</v>
      </c>
    </row>
    <row r="1233" spans="1:26" x14ac:dyDescent="0.35">
      <c r="A1233" s="7" t="s">
        <v>1645</v>
      </c>
      <c r="B1233" s="7" t="s">
        <v>1281</v>
      </c>
      <c r="C1233" s="4" t="str">
        <f>_xlfn.XLOOKUP(A1233,[2]Sheet2!$I$2:$I$1273,[2]Sheet2!$D$2:$D$1273,0)</f>
        <v>Q2</v>
      </c>
      <c r="D1233" s="4">
        <f>_xlfn.XLOOKUP(B1233,[4]Sheet2!$B$2:$B$3154,[4]Sheet2!$F$2:$F$3154,0)</f>
        <v>0</v>
      </c>
      <c r="E1233" s="4" t="e">
        <f>_xlfn.XLOOKUP(B1233,[2]Sheet2!$E$2:$E$713,[2]Sheet2!$G$2:$G$713)</f>
        <v>#N/A</v>
      </c>
      <c r="F1233" s="18">
        <v>46134</v>
      </c>
      <c r="G1233" s="14">
        <v>0.76856481481481487</v>
      </c>
      <c r="H1233" s="7" t="s">
        <v>4</v>
      </c>
      <c r="I1233" s="2" t="str">
        <f t="shared" si="98"/>
        <v>Q3</v>
      </c>
      <c r="J1233" s="2" t="str">
        <f t="shared" si="102"/>
        <v>Not Match</v>
      </c>
      <c r="K1233" s="2">
        <f t="shared" si="99"/>
        <v>0.28284271247461906</v>
      </c>
      <c r="L1233" s="2" t="e">
        <f t="shared" si="100"/>
        <v>#N/A</v>
      </c>
      <c r="M1233" s="2" t="str">
        <f t="shared" si="101"/>
        <v>Below 0.8 not in assigned quadrant</v>
      </c>
      <c r="N1233" s="7">
        <v>16.600000000000001</v>
      </c>
      <c r="O1233" s="7">
        <v>-1.4</v>
      </c>
      <c r="P1233" s="7">
        <v>-1.5</v>
      </c>
      <c r="Q1233" s="7">
        <v>-0.18</v>
      </c>
      <c r="R1233" s="7">
        <v>-0.2</v>
      </c>
      <c r="S1233" s="7">
        <v>-0.2</v>
      </c>
      <c r="T1233" s="7">
        <v>0.52</v>
      </c>
      <c r="U1233" s="7">
        <v>0.02</v>
      </c>
      <c r="V1233" s="7">
        <v>0.55000000000000004</v>
      </c>
      <c r="W1233" s="7" t="s">
        <v>8</v>
      </c>
      <c r="X1233" s="7" t="s">
        <v>7</v>
      </c>
      <c r="Y1233" s="2" t="s">
        <v>719</v>
      </c>
      <c r="Z1233" s="2" t="s">
        <v>721</v>
      </c>
    </row>
    <row r="1234" spans="1:26" x14ac:dyDescent="0.35">
      <c r="A1234" s="7" t="s">
        <v>1766</v>
      </c>
      <c r="B1234" s="7" t="s">
        <v>1282</v>
      </c>
      <c r="C1234" s="4" t="str">
        <f>_xlfn.XLOOKUP(A1234,[2]Sheet2!$I$2:$I$1273,[2]Sheet2!$D$2:$D$1273,0)</f>
        <v>Q1</v>
      </c>
      <c r="D1234" s="4">
        <f>_xlfn.XLOOKUP(B1234,[4]Sheet2!$B$2:$B$3154,[4]Sheet2!$F$2:$F$3154,0)</f>
        <v>0</v>
      </c>
      <c r="E1234" s="4" t="e">
        <f>_xlfn.XLOOKUP(B1234,[2]Sheet2!$E$2:$E$713,[2]Sheet2!$G$2:$G$713)</f>
        <v>#N/A</v>
      </c>
      <c r="F1234" s="18">
        <v>46134</v>
      </c>
      <c r="G1234" s="14">
        <v>0.77309027777777772</v>
      </c>
      <c r="H1234" s="7" t="s">
        <v>16</v>
      </c>
      <c r="I1234" s="2" t="str">
        <f t="shared" si="98"/>
        <v>Q1</v>
      </c>
      <c r="J1234" s="2" t="str">
        <f t="shared" si="102"/>
        <v>Match</v>
      </c>
      <c r="K1234" s="2">
        <f t="shared" si="99"/>
        <v>0.2</v>
      </c>
      <c r="L1234" s="2" t="e">
        <f t="shared" si="100"/>
        <v>#N/A</v>
      </c>
      <c r="M1234" s="2" t="str">
        <f t="shared" si="101"/>
        <v>Digital Approve Hit</v>
      </c>
      <c r="N1234" s="7">
        <v>38.4</v>
      </c>
      <c r="O1234" s="7">
        <v>20.100000000000001</v>
      </c>
      <c r="P1234" s="7">
        <v>18.899999999999999</v>
      </c>
      <c r="Q1234" s="7">
        <v>-0.08</v>
      </c>
      <c r="R1234" s="7">
        <v>0</v>
      </c>
      <c r="S1234" s="7">
        <v>0.2</v>
      </c>
      <c r="T1234" s="7">
        <v>0.08</v>
      </c>
      <c r="U1234" s="7">
        <v>0.26</v>
      </c>
      <c r="V1234" s="7">
        <v>0.28999999999999998</v>
      </c>
      <c r="W1234" s="7" t="s">
        <v>8</v>
      </c>
      <c r="X1234" s="7" t="s">
        <v>12</v>
      </c>
      <c r="Y1234" s="2" t="s">
        <v>719</v>
      </c>
      <c r="Z1234" s="2" t="s">
        <v>721</v>
      </c>
    </row>
    <row r="1235" spans="1:26" x14ac:dyDescent="0.35">
      <c r="A1235" s="7" t="s">
        <v>1717</v>
      </c>
      <c r="B1235" s="7" t="s">
        <v>1239</v>
      </c>
      <c r="C1235" s="4" t="str">
        <f>_xlfn.XLOOKUP(A1235,[2]Sheet2!$I$2:$I$1273,[2]Sheet2!$D$2:$D$1273,0)</f>
        <v>Q1</v>
      </c>
      <c r="D1235" s="4">
        <f>_xlfn.XLOOKUP(B1235,[4]Sheet2!$B$2:$B$3154,[4]Sheet2!$F$2:$F$3154,0)</f>
        <v>0</v>
      </c>
      <c r="E1235" s="4" t="e">
        <f>_xlfn.XLOOKUP(B1235,[2]Sheet2!$E$2:$E$713,[2]Sheet2!$G$2:$G$713)</f>
        <v>#N/A</v>
      </c>
      <c r="F1235" s="18">
        <v>46135</v>
      </c>
      <c r="G1235" s="14">
        <v>0.43368055555555557</v>
      </c>
      <c r="H1235" s="7" t="s">
        <v>5</v>
      </c>
      <c r="I1235" s="2" t="str">
        <f t="shared" si="98"/>
        <v>Q1</v>
      </c>
      <c r="J1235" s="2" t="str">
        <f t="shared" si="102"/>
        <v>Match</v>
      </c>
      <c r="K1235" s="2">
        <f t="shared" si="99"/>
        <v>0.60827625302982191</v>
      </c>
      <c r="L1235" s="2" t="e">
        <f t="shared" si="100"/>
        <v>#N/A</v>
      </c>
      <c r="M1235" s="2" t="str">
        <f t="shared" si="101"/>
        <v>Failed but within quadrant</v>
      </c>
      <c r="N1235" s="7">
        <v>19.600000000000001</v>
      </c>
      <c r="O1235" s="7">
        <v>4.5999999999999996</v>
      </c>
      <c r="P1235" s="7">
        <v>1.9</v>
      </c>
      <c r="Q1235" s="7">
        <v>-0.52</v>
      </c>
      <c r="R1235" s="7">
        <v>0.1</v>
      </c>
      <c r="S1235" s="7">
        <v>0.6</v>
      </c>
      <c r="T1235" s="7">
        <v>0.42</v>
      </c>
      <c r="U1235" s="7">
        <v>0.73</v>
      </c>
      <c r="V1235" s="7">
        <v>0.99</v>
      </c>
      <c r="W1235" s="7" t="s">
        <v>13</v>
      </c>
      <c r="X1235" s="7" t="s">
        <v>12</v>
      </c>
      <c r="Y1235" s="2" t="s">
        <v>719</v>
      </c>
      <c r="Z1235" s="2" t="s">
        <v>721</v>
      </c>
    </row>
    <row r="1236" spans="1:26" x14ac:dyDescent="0.35">
      <c r="A1236" s="7" t="s">
        <v>1625</v>
      </c>
      <c r="B1236" s="7" t="s">
        <v>1283</v>
      </c>
      <c r="C1236" s="4" t="str">
        <f>_xlfn.XLOOKUP(A1236,[2]Sheet2!$I$2:$I$1273,[2]Sheet2!$D$2:$D$1273,0)</f>
        <v>Q1</v>
      </c>
      <c r="D1236" s="4">
        <f>_xlfn.XLOOKUP(B1236,[4]Sheet2!$B$2:$B$3154,[4]Sheet2!$F$2:$F$3154,0)</f>
        <v>0</v>
      </c>
      <c r="E1236" s="4" t="e">
        <f>_xlfn.XLOOKUP(B1236,[2]Sheet2!$E$2:$E$713,[2]Sheet2!$G$2:$G$713)</f>
        <v>#N/A</v>
      </c>
      <c r="F1236" s="18">
        <v>46135</v>
      </c>
      <c r="G1236" s="14">
        <v>0.61361111111111111</v>
      </c>
      <c r="H1236" s="7" t="s">
        <v>4</v>
      </c>
      <c r="I1236" s="2" t="str">
        <f t="shared" si="98"/>
        <v>Q4</v>
      </c>
      <c r="J1236" s="2" t="str">
        <f t="shared" si="102"/>
        <v>Not Match</v>
      </c>
      <c r="K1236" s="2">
        <f t="shared" si="99"/>
        <v>0.14142135623730953</v>
      </c>
      <c r="L1236" s="2" t="e">
        <f t="shared" si="100"/>
        <v>#N/A</v>
      </c>
      <c r="M1236" s="2" t="str">
        <f t="shared" si="101"/>
        <v>Below 0.8 not in assigned quadrant</v>
      </c>
      <c r="N1236" s="7">
        <v>20.9</v>
      </c>
      <c r="O1236" s="7">
        <v>0.1</v>
      </c>
      <c r="P1236" s="7">
        <v>-2.9</v>
      </c>
      <c r="Q1236" s="7">
        <v>0.02</v>
      </c>
      <c r="R1236" s="7">
        <v>0.1</v>
      </c>
      <c r="S1236" s="7">
        <v>-0.1</v>
      </c>
      <c r="T1236" s="7">
        <v>0.15</v>
      </c>
      <c r="U1236" s="7">
        <v>0.19</v>
      </c>
      <c r="V1236" s="7">
        <v>0.25</v>
      </c>
      <c r="W1236" s="7" t="s">
        <v>8</v>
      </c>
      <c r="X1236" s="7" t="s">
        <v>9</v>
      </c>
      <c r="Y1236" s="2" t="s">
        <v>719</v>
      </c>
      <c r="Z1236" s="2" t="s">
        <v>721</v>
      </c>
    </row>
    <row r="1237" spans="1:26" x14ac:dyDescent="0.35">
      <c r="A1237" s="7" t="s">
        <v>1625</v>
      </c>
      <c r="B1237" s="7" t="s">
        <v>1284</v>
      </c>
      <c r="C1237" s="4" t="str">
        <f>_xlfn.XLOOKUP(A1237,[2]Sheet2!$I$2:$I$1273,[2]Sheet2!$D$2:$D$1273,0)</f>
        <v>Q1</v>
      </c>
      <c r="D1237" s="4">
        <f>_xlfn.XLOOKUP(B1237,[4]Sheet2!$B$2:$B$3154,[4]Sheet2!$F$2:$F$3154,0)</f>
        <v>0</v>
      </c>
      <c r="E1237" s="4" t="e">
        <f>_xlfn.XLOOKUP(B1237,[2]Sheet2!$E$2:$E$713,[2]Sheet2!$G$2:$G$713)</f>
        <v>#N/A</v>
      </c>
      <c r="F1237" s="18">
        <v>46135</v>
      </c>
      <c r="G1237" s="14">
        <v>0.63924768518518515</v>
      </c>
      <c r="H1237" s="7" t="s">
        <v>4</v>
      </c>
      <c r="I1237" s="2" t="str">
        <f t="shared" si="98"/>
        <v>Q1</v>
      </c>
      <c r="J1237" s="2" t="str">
        <f t="shared" si="102"/>
        <v>Match</v>
      </c>
      <c r="K1237" s="2">
        <f t="shared" si="99"/>
        <v>0</v>
      </c>
      <c r="L1237" s="2" t="e">
        <f t="shared" si="100"/>
        <v>#N/A</v>
      </c>
      <c r="M1237" s="2" t="str">
        <f t="shared" si="101"/>
        <v>Digital Approve Hit</v>
      </c>
      <c r="N1237" s="7">
        <v>20.6</v>
      </c>
      <c r="O1237" s="7">
        <v>0.1</v>
      </c>
      <c r="P1237" s="7">
        <v>-2.9</v>
      </c>
      <c r="Q1237" s="7">
        <v>-0.2</v>
      </c>
      <c r="R1237" s="7">
        <v>0</v>
      </c>
      <c r="S1237" s="7">
        <v>0</v>
      </c>
      <c r="T1237" s="7">
        <v>0.09</v>
      </c>
      <c r="U1237" s="7">
        <v>0.12</v>
      </c>
      <c r="V1237" s="7">
        <v>0.25</v>
      </c>
      <c r="W1237" s="7" t="s">
        <v>8</v>
      </c>
      <c r="X1237" s="7" t="s">
        <v>9</v>
      </c>
      <c r="Y1237" s="2" t="s">
        <v>719</v>
      </c>
      <c r="Z1237" s="2" t="s">
        <v>721</v>
      </c>
    </row>
    <row r="1238" spans="1:26" x14ac:dyDescent="0.35">
      <c r="A1238" s="7" t="s">
        <v>1612</v>
      </c>
      <c r="B1238" s="7" t="s">
        <v>1285</v>
      </c>
      <c r="C1238" s="4" t="str">
        <f>_xlfn.XLOOKUP(A1238,[2]Sheet2!$I$2:$I$1273,[2]Sheet2!$D$2:$D$1273,0)</f>
        <v>Q1</v>
      </c>
      <c r="D1238" s="4">
        <f>_xlfn.XLOOKUP(B1238,[4]Sheet2!$B$2:$B$3154,[4]Sheet2!$F$2:$F$3154,0)</f>
        <v>0</v>
      </c>
      <c r="E1238" s="4" t="e">
        <f>_xlfn.XLOOKUP(B1238,[2]Sheet2!$E$2:$E$713,[2]Sheet2!$G$2:$G$713)</f>
        <v>#N/A</v>
      </c>
      <c r="F1238" s="18">
        <v>46135</v>
      </c>
      <c r="G1238" s="14">
        <v>0.68259259259259264</v>
      </c>
      <c r="H1238" s="7" t="s">
        <v>5</v>
      </c>
      <c r="I1238" s="2" t="str">
        <f t="shared" si="98"/>
        <v>Q1</v>
      </c>
      <c r="J1238" s="2" t="str">
        <f t="shared" si="102"/>
        <v>Match</v>
      </c>
      <c r="K1238" s="2">
        <f t="shared" si="99"/>
        <v>0.2</v>
      </c>
      <c r="L1238" s="2" t="e">
        <f t="shared" si="100"/>
        <v>#N/A</v>
      </c>
      <c r="M1238" s="2" t="str">
        <f t="shared" si="101"/>
        <v>Failed but within quadrant</v>
      </c>
      <c r="N1238" s="7">
        <v>16.399999999999999</v>
      </c>
      <c r="O1238" s="7">
        <v>-0.3</v>
      </c>
      <c r="P1238" s="7">
        <v>-3.3</v>
      </c>
      <c r="Q1238" s="7">
        <v>-1.1299999999999999</v>
      </c>
      <c r="R1238" s="7">
        <v>0</v>
      </c>
      <c r="S1238" s="7">
        <v>0.2</v>
      </c>
      <c r="T1238" s="7">
        <v>-0.28999999999999998</v>
      </c>
      <c r="U1238" s="7">
        <v>-0.04</v>
      </c>
      <c r="V1238" s="7">
        <v>1.17</v>
      </c>
      <c r="W1238" s="7" t="s">
        <v>6</v>
      </c>
      <c r="X1238" s="7" t="s">
        <v>15</v>
      </c>
      <c r="Y1238" s="2" t="s">
        <v>719</v>
      </c>
      <c r="Z1238" s="2" t="s">
        <v>721</v>
      </c>
    </row>
    <row r="1239" spans="1:26" x14ac:dyDescent="0.35">
      <c r="A1239" s="7" t="s">
        <v>1515</v>
      </c>
      <c r="B1239" s="7" t="s">
        <v>1286</v>
      </c>
      <c r="C1239" s="4" t="str">
        <f>_xlfn.XLOOKUP(A1239,[2]Sheet2!$I$2:$I$1273,[2]Sheet2!$D$2:$D$1273,0)</f>
        <v>Q3</v>
      </c>
      <c r="D1239" s="4">
        <f>_xlfn.XLOOKUP(B1239,[4]Sheet2!$B$2:$B$3154,[4]Sheet2!$F$2:$F$3154,0)</f>
        <v>0</v>
      </c>
      <c r="E1239" s="4" t="e">
        <f>_xlfn.XLOOKUP(B1239,[2]Sheet2!$E$2:$E$713,[2]Sheet2!$G$2:$G$713)</f>
        <v>#N/A</v>
      </c>
      <c r="F1239" s="18">
        <v>46135</v>
      </c>
      <c r="G1239" s="14">
        <v>0.69283564814814813</v>
      </c>
      <c r="H1239" s="7" t="s">
        <v>11</v>
      </c>
      <c r="I1239" s="2" t="str">
        <f t="shared" si="98"/>
        <v>Q3</v>
      </c>
      <c r="J1239" s="2" t="str">
        <f t="shared" si="102"/>
        <v>Match</v>
      </c>
      <c r="K1239" s="2">
        <f t="shared" si="99"/>
        <v>0.1</v>
      </c>
      <c r="L1239" s="2" t="e">
        <f t="shared" si="100"/>
        <v>#N/A</v>
      </c>
      <c r="M1239" s="2" t="str">
        <f t="shared" si="101"/>
        <v>Failed but within quadrant</v>
      </c>
      <c r="N1239" s="7">
        <v>13.1</v>
      </c>
      <c r="O1239" s="7">
        <v>-0.4</v>
      </c>
      <c r="P1239" s="7">
        <v>-2</v>
      </c>
      <c r="Q1239" s="7">
        <v>-1.67</v>
      </c>
      <c r="R1239" s="7">
        <v>-0.1</v>
      </c>
      <c r="S1239" s="7">
        <v>0</v>
      </c>
      <c r="T1239" s="7">
        <v>-0.09</v>
      </c>
      <c r="U1239" s="7">
        <v>-0.16</v>
      </c>
      <c r="V1239" s="7">
        <v>1.68</v>
      </c>
      <c r="W1239" s="7" t="s">
        <v>6</v>
      </c>
      <c r="X1239" s="7" t="s">
        <v>15</v>
      </c>
      <c r="Y1239" s="2" t="s">
        <v>719</v>
      </c>
      <c r="Z1239" s="2" t="s">
        <v>721</v>
      </c>
    </row>
    <row r="1240" spans="1:26" x14ac:dyDescent="0.35">
      <c r="A1240" s="7" t="s">
        <v>1620</v>
      </c>
      <c r="B1240" s="7" t="s">
        <v>1287</v>
      </c>
      <c r="C1240" s="4" t="str">
        <f>_xlfn.XLOOKUP(A1240,[2]Sheet2!$I$2:$I$1273,[2]Sheet2!$D$2:$D$1273,0)</f>
        <v>Q2</v>
      </c>
      <c r="D1240" s="4">
        <f>_xlfn.XLOOKUP(B1240,[4]Sheet2!$B$2:$B$3154,[4]Sheet2!$F$2:$F$3154,0)</f>
        <v>0</v>
      </c>
      <c r="E1240" s="4" t="e">
        <f>_xlfn.XLOOKUP(B1240,[2]Sheet2!$E$2:$E$713,[2]Sheet2!$G$2:$G$713)</f>
        <v>#N/A</v>
      </c>
      <c r="F1240" s="18">
        <v>46135</v>
      </c>
      <c r="G1240" s="14">
        <v>0.70930555555555552</v>
      </c>
      <c r="H1240" s="7" t="s">
        <v>5</v>
      </c>
      <c r="I1240" s="2" t="str">
        <f t="shared" si="98"/>
        <v>Q1</v>
      </c>
      <c r="J1240" s="2" t="str">
        <f t="shared" si="102"/>
        <v>Not Match</v>
      </c>
      <c r="K1240" s="2">
        <f t="shared" si="99"/>
        <v>0.92195444572928875</v>
      </c>
      <c r="L1240" s="2" t="e">
        <f t="shared" si="100"/>
        <v>#N/A</v>
      </c>
      <c r="M1240" s="2" t="str">
        <f t="shared" si="101"/>
        <v>Assign quadrant hit</v>
      </c>
      <c r="N1240" s="7">
        <v>29.7</v>
      </c>
      <c r="O1240" s="7">
        <v>33.200000000000003</v>
      </c>
      <c r="P1240" s="7">
        <v>5.8</v>
      </c>
      <c r="Q1240" s="7">
        <v>-0.88</v>
      </c>
      <c r="R1240" s="7">
        <v>0.2</v>
      </c>
      <c r="S1240" s="7">
        <v>0.9</v>
      </c>
      <c r="T1240" s="7">
        <v>0.16</v>
      </c>
      <c r="U1240" s="7">
        <v>0.65</v>
      </c>
      <c r="V1240" s="7">
        <v>1.1100000000000001</v>
      </c>
      <c r="W1240" s="7" t="s">
        <v>6</v>
      </c>
      <c r="X1240" s="7" t="s">
        <v>9</v>
      </c>
      <c r="Y1240" s="2" t="s">
        <v>719</v>
      </c>
      <c r="Z1240" s="2" t="s">
        <v>721</v>
      </c>
    </row>
    <row r="1241" spans="1:26" x14ac:dyDescent="0.35">
      <c r="A1241" s="7" t="s">
        <v>1779</v>
      </c>
      <c r="B1241" s="7" t="s">
        <v>1238</v>
      </c>
      <c r="C1241" s="4" t="str">
        <f>_xlfn.XLOOKUP(A1241,[2]Sheet2!$I$2:$I$1273,[2]Sheet2!$D$2:$D$1273,0)</f>
        <v>Q4</v>
      </c>
      <c r="D1241" s="4">
        <f>_xlfn.XLOOKUP(B1241,[4]Sheet2!$B$2:$B$3154,[4]Sheet2!$F$2:$F$3154,0)</f>
        <v>0</v>
      </c>
      <c r="E1241" s="4" t="e">
        <f>_xlfn.XLOOKUP(B1241,[2]Sheet2!$E$2:$E$713,[2]Sheet2!$G$2:$G$713)</f>
        <v>#N/A</v>
      </c>
      <c r="F1241" s="18">
        <v>46135</v>
      </c>
      <c r="G1241" s="14">
        <v>0.73864583333333333</v>
      </c>
      <c r="H1241" s="7" t="s">
        <v>11</v>
      </c>
      <c r="I1241" s="2" t="str">
        <f t="shared" si="98"/>
        <v>Q2</v>
      </c>
      <c r="J1241" s="2" t="str">
        <f t="shared" si="102"/>
        <v>Not Match</v>
      </c>
      <c r="K1241" s="2">
        <f t="shared" si="99"/>
        <v>0.98488578017961048</v>
      </c>
      <c r="L1241" s="2" t="e">
        <f t="shared" si="100"/>
        <v>#N/A</v>
      </c>
      <c r="M1241" s="2" t="str">
        <f t="shared" si="101"/>
        <v>Assign quadrant hit</v>
      </c>
      <c r="N1241" s="7">
        <v>30.3</v>
      </c>
      <c r="O1241" s="7">
        <v>-11.2</v>
      </c>
      <c r="P1241" s="7">
        <v>-20.399999999999999</v>
      </c>
      <c r="Q1241" s="7">
        <v>-0.83</v>
      </c>
      <c r="R1241" s="7">
        <v>-0.4</v>
      </c>
      <c r="S1241" s="7">
        <v>0.9</v>
      </c>
      <c r="T1241" s="7">
        <v>-0.34</v>
      </c>
      <c r="U1241" s="7">
        <v>-0.64</v>
      </c>
      <c r="V1241" s="7">
        <v>1.1000000000000001</v>
      </c>
      <c r="W1241" s="7" t="s">
        <v>6</v>
      </c>
      <c r="X1241" s="7" t="s">
        <v>15</v>
      </c>
      <c r="Y1241" s="2" t="s">
        <v>719</v>
      </c>
      <c r="Z1241" s="2" t="s">
        <v>721</v>
      </c>
    </row>
    <row r="1242" spans="1:26" x14ac:dyDescent="0.35">
      <c r="A1242" s="7" t="s">
        <v>1761</v>
      </c>
      <c r="B1242" s="7" t="s">
        <v>1288</v>
      </c>
      <c r="C1242" s="4" t="str">
        <f>_xlfn.XLOOKUP(A1242,[2]Sheet2!$I$2:$I$1273,[2]Sheet2!$D$2:$D$1273,0)</f>
        <v>Q1</v>
      </c>
      <c r="D1242" s="4">
        <f>_xlfn.XLOOKUP(B1242,[4]Sheet2!$B$2:$B$3154,[4]Sheet2!$F$2:$F$3154,0)</f>
        <v>0</v>
      </c>
      <c r="E1242" s="4" t="e">
        <f>_xlfn.XLOOKUP(B1242,[2]Sheet2!$E$2:$E$713,[2]Sheet2!$G$2:$G$713)</f>
        <v>#N/A</v>
      </c>
      <c r="F1242" s="18">
        <v>46136</v>
      </c>
      <c r="G1242" s="14">
        <v>2.824074074074074E-2</v>
      </c>
      <c r="H1242" s="7" t="s">
        <v>11</v>
      </c>
      <c r="I1242" s="2" t="str">
        <f t="shared" si="98"/>
        <v>Q1</v>
      </c>
      <c r="J1242" s="2" t="str">
        <f t="shared" si="102"/>
        <v>Match</v>
      </c>
      <c r="K1242" s="2">
        <f t="shared" si="99"/>
        <v>0.5</v>
      </c>
      <c r="L1242" s="2" t="e">
        <f t="shared" si="100"/>
        <v>#N/A</v>
      </c>
      <c r="M1242" s="2" t="str">
        <f t="shared" si="101"/>
        <v>Digital Approve Hit</v>
      </c>
      <c r="N1242" s="7">
        <v>27.9</v>
      </c>
      <c r="O1242" s="7">
        <v>-1.8</v>
      </c>
      <c r="P1242" s="7">
        <v>8.3000000000000007</v>
      </c>
      <c r="Q1242" s="7">
        <v>0.1</v>
      </c>
      <c r="R1242" s="7">
        <v>0</v>
      </c>
      <c r="S1242" s="7">
        <v>0.5</v>
      </c>
      <c r="T1242" s="7">
        <v>0.47</v>
      </c>
      <c r="U1242" s="7">
        <v>-0.12</v>
      </c>
      <c r="V1242" s="7">
        <v>0.5</v>
      </c>
      <c r="W1242" s="7" t="s">
        <v>8</v>
      </c>
      <c r="X1242" s="7" t="s">
        <v>12</v>
      </c>
      <c r="Y1242" s="2" t="s">
        <v>719</v>
      </c>
      <c r="Z1242" s="2" t="s">
        <v>721</v>
      </c>
    </row>
    <row r="1243" spans="1:26" x14ac:dyDescent="0.35">
      <c r="A1243" s="7" t="s">
        <v>1652</v>
      </c>
      <c r="B1243" s="7" t="s">
        <v>1289</v>
      </c>
      <c r="C1243" s="4" t="str">
        <f>_xlfn.XLOOKUP(A1243,[2]Sheet2!$I$2:$I$1273,[2]Sheet2!$D$2:$D$1273,0)</f>
        <v>Q2</v>
      </c>
      <c r="D1243" s="4">
        <f>_xlfn.XLOOKUP(B1243,[4]Sheet2!$B$2:$B$3154,[4]Sheet2!$F$2:$F$3154,0)</f>
        <v>0</v>
      </c>
      <c r="E1243" s="4" t="e">
        <f>_xlfn.XLOOKUP(B1243,[2]Sheet2!$E$2:$E$713,[2]Sheet2!$G$2:$G$713)</f>
        <v>#N/A</v>
      </c>
      <c r="F1243" s="18">
        <v>46136</v>
      </c>
      <c r="G1243" s="14">
        <v>3.0659722222222224E-2</v>
      </c>
      <c r="H1243" s="7" t="s">
        <v>5</v>
      </c>
      <c r="I1243" s="2" t="str">
        <f t="shared" si="98"/>
        <v>Q3</v>
      </c>
      <c r="J1243" s="2" t="str">
        <f t="shared" si="102"/>
        <v>Not Match</v>
      </c>
      <c r="K1243" s="2">
        <f t="shared" si="99"/>
        <v>0.44721359549995798</v>
      </c>
      <c r="L1243" s="2" t="e">
        <f t="shared" si="100"/>
        <v>#N/A</v>
      </c>
      <c r="M1243" s="2" t="str">
        <f t="shared" si="101"/>
        <v>Below 0.8 not in assigned quadrant</v>
      </c>
      <c r="N1243" s="7">
        <v>16</v>
      </c>
      <c r="O1243" s="7">
        <v>-1</v>
      </c>
      <c r="P1243" s="7">
        <v>-3.1</v>
      </c>
      <c r="Q1243" s="7">
        <v>0.01</v>
      </c>
      <c r="R1243" s="7">
        <v>-0.2</v>
      </c>
      <c r="S1243" s="7">
        <v>-0.4</v>
      </c>
      <c r="T1243" s="7">
        <v>0.56000000000000005</v>
      </c>
      <c r="U1243" s="7">
        <v>-0.16</v>
      </c>
      <c r="V1243" s="7">
        <v>0.57999999999999996</v>
      </c>
      <c r="W1243" s="7" t="s">
        <v>8</v>
      </c>
      <c r="X1243" s="7" t="s">
        <v>15</v>
      </c>
      <c r="Y1243" s="2" t="s">
        <v>719</v>
      </c>
      <c r="Z1243" s="2" t="s">
        <v>721</v>
      </c>
    </row>
    <row r="1244" spans="1:26" x14ac:dyDescent="0.35">
      <c r="A1244" s="7" t="s">
        <v>1780</v>
      </c>
      <c r="B1244" s="7" t="s">
        <v>1290</v>
      </c>
      <c r="C1244" s="4" t="str">
        <f>_xlfn.XLOOKUP(A1244,[2]Sheet2!$I$2:$I$1273,[2]Sheet2!$D$2:$D$1273,0)</f>
        <v>Q4</v>
      </c>
      <c r="D1244" s="4">
        <f>_xlfn.XLOOKUP(B1244,[4]Sheet2!$B$2:$B$3154,[4]Sheet2!$F$2:$F$3154,0)</f>
        <v>0</v>
      </c>
      <c r="E1244" s="4" t="e">
        <f>_xlfn.XLOOKUP(B1244,[2]Sheet2!$E$2:$E$713,[2]Sheet2!$G$2:$G$713)</f>
        <v>#N/A</v>
      </c>
      <c r="F1244" s="18">
        <v>46136</v>
      </c>
      <c r="G1244" s="14">
        <v>3.3090277777777781E-2</v>
      </c>
      <c r="H1244" s="7" t="s">
        <v>5</v>
      </c>
      <c r="I1244" s="2" t="str">
        <f t="shared" si="98"/>
        <v>Q4</v>
      </c>
      <c r="J1244" s="2" t="str">
        <f t="shared" si="102"/>
        <v>Match</v>
      </c>
      <c r="K1244" s="2">
        <f t="shared" si="99"/>
        <v>0.4</v>
      </c>
      <c r="L1244" s="2" t="e">
        <f t="shared" si="100"/>
        <v>#N/A</v>
      </c>
      <c r="M1244" s="2" t="str">
        <f t="shared" si="101"/>
        <v>Digital Approve Hit</v>
      </c>
      <c r="N1244" s="7">
        <v>20.399999999999999</v>
      </c>
      <c r="O1244" s="7">
        <v>-1.2</v>
      </c>
      <c r="P1244" s="7">
        <v>-14.9</v>
      </c>
      <c r="Q1244" s="7">
        <v>-0.73</v>
      </c>
      <c r="R1244" s="7">
        <v>0</v>
      </c>
      <c r="S1244" s="7">
        <v>-0.4</v>
      </c>
      <c r="T1244" s="7">
        <v>0.32</v>
      </c>
      <c r="U1244" s="7">
        <v>-0.01</v>
      </c>
      <c r="V1244" s="7">
        <v>0.8</v>
      </c>
      <c r="W1244" s="7" t="s">
        <v>13</v>
      </c>
      <c r="X1244" s="7" t="s">
        <v>15</v>
      </c>
      <c r="Y1244" s="2" t="s">
        <v>719</v>
      </c>
      <c r="Z1244" s="2" t="s">
        <v>721</v>
      </c>
    </row>
    <row r="1245" spans="1:26" x14ac:dyDescent="0.35">
      <c r="A1245" s="7" t="s">
        <v>1625</v>
      </c>
      <c r="B1245" s="7" t="s">
        <v>1291</v>
      </c>
      <c r="C1245" s="4" t="str">
        <f>_xlfn.XLOOKUP(A1245,[2]Sheet2!$I$2:$I$1273,[2]Sheet2!$D$2:$D$1273,0)</f>
        <v>Q1</v>
      </c>
      <c r="D1245" s="4">
        <f>_xlfn.XLOOKUP(B1245,[4]Sheet2!$B$2:$B$3154,[4]Sheet2!$F$2:$F$3154,0)</f>
        <v>0</v>
      </c>
      <c r="E1245" s="4" t="e">
        <f>_xlfn.XLOOKUP(B1245,[2]Sheet2!$E$2:$E$713,[2]Sheet2!$G$2:$G$713)</f>
        <v>#N/A</v>
      </c>
      <c r="F1245" s="18">
        <v>46136</v>
      </c>
      <c r="G1245" s="14">
        <v>3.5821759259259262E-2</v>
      </c>
      <c r="H1245" s="7" t="s">
        <v>4</v>
      </c>
      <c r="I1245" s="2" t="str">
        <f t="shared" si="98"/>
        <v>Q1</v>
      </c>
      <c r="J1245" s="2" t="str">
        <f t="shared" si="102"/>
        <v>Match</v>
      </c>
      <c r="K1245" s="2">
        <f t="shared" si="99"/>
        <v>0</v>
      </c>
      <c r="L1245" s="2" t="e">
        <f t="shared" si="100"/>
        <v>#N/A</v>
      </c>
      <c r="M1245" s="2" t="str">
        <f t="shared" si="101"/>
        <v>Digital Approve Hit</v>
      </c>
      <c r="N1245" s="7">
        <v>20.9</v>
      </c>
      <c r="O1245" s="7">
        <v>0.1</v>
      </c>
      <c r="P1245" s="7">
        <v>-2.8</v>
      </c>
      <c r="Q1245" s="7">
        <v>7.0000000000000007E-2</v>
      </c>
      <c r="R1245" s="7">
        <v>0</v>
      </c>
      <c r="S1245" s="7">
        <v>0</v>
      </c>
      <c r="T1245" s="7">
        <v>0.05</v>
      </c>
      <c r="U1245" s="7">
        <v>0.1</v>
      </c>
      <c r="V1245" s="7">
        <v>0.13</v>
      </c>
      <c r="W1245" s="7" t="s">
        <v>8</v>
      </c>
      <c r="X1245" s="7" t="s">
        <v>9</v>
      </c>
      <c r="Y1245" s="2" t="s">
        <v>719</v>
      </c>
      <c r="Z1245" s="2" t="s">
        <v>721</v>
      </c>
    </row>
    <row r="1246" spans="1:26" x14ac:dyDescent="0.35">
      <c r="A1246" s="7" t="s">
        <v>1781</v>
      </c>
      <c r="B1246" s="7" t="s">
        <v>1292</v>
      </c>
      <c r="C1246" s="4" t="str">
        <f>_xlfn.XLOOKUP(A1246,[2]Sheet2!$I$2:$I$1273,[2]Sheet2!$D$2:$D$1273,0)</f>
        <v>Q4</v>
      </c>
      <c r="D1246" s="4">
        <f>_xlfn.XLOOKUP(B1246,[4]Sheet2!$B$2:$B$3154,[4]Sheet2!$F$2:$F$3154,0)</f>
        <v>0</v>
      </c>
      <c r="E1246" s="4" t="e">
        <f>_xlfn.XLOOKUP(B1246,[2]Sheet2!$E$2:$E$713,[2]Sheet2!$G$2:$G$713)</f>
        <v>#N/A</v>
      </c>
      <c r="F1246" s="18">
        <v>46136</v>
      </c>
      <c r="G1246" s="14">
        <v>0.12240740740740741</v>
      </c>
      <c r="H1246" s="7" t="s">
        <v>4</v>
      </c>
      <c r="I1246" s="2" t="str">
        <f t="shared" si="98"/>
        <v>Q3</v>
      </c>
      <c r="J1246" s="2" t="str">
        <f t="shared" si="102"/>
        <v>Not Match</v>
      </c>
      <c r="K1246" s="2">
        <f t="shared" si="99"/>
        <v>0.42426406871192851</v>
      </c>
      <c r="L1246" s="2" t="e">
        <f t="shared" si="100"/>
        <v>#N/A</v>
      </c>
      <c r="M1246" s="2" t="str">
        <f t="shared" si="101"/>
        <v>Below 0.8 not in assigned quadrant</v>
      </c>
      <c r="N1246" s="7">
        <v>23.8</v>
      </c>
      <c r="O1246" s="7">
        <v>-0.4</v>
      </c>
      <c r="P1246" s="7">
        <v>-14.1</v>
      </c>
      <c r="Q1246" s="7">
        <v>-0.09</v>
      </c>
      <c r="R1246" s="7">
        <v>-0.3</v>
      </c>
      <c r="S1246" s="7">
        <v>-0.3</v>
      </c>
      <c r="T1246" s="7">
        <v>0.23</v>
      </c>
      <c r="U1246" s="7">
        <v>-0.38</v>
      </c>
      <c r="V1246" s="7">
        <v>0.45</v>
      </c>
      <c r="W1246" s="7" t="s">
        <v>8</v>
      </c>
      <c r="X1246" s="7" t="s">
        <v>15</v>
      </c>
      <c r="Y1246" s="2" t="s">
        <v>719</v>
      </c>
      <c r="Z1246" s="2" t="s">
        <v>721</v>
      </c>
    </row>
    <row r="1247" spans="1:26" x14ac:dyDescent="0.35">
      <c r="A1247" s="7" t="s">
        <v>1540</v>
      </c>
      <c r="B1247" s="7" t="s">
        <v>1293</v>
      </c>
      <c r="C1247" s="4" t="str">
        <f>_xlfn.XLOOKUP(A1247,[2]Sheet2!$I$2:$I$1273,[2]Sheet2!$D$2:$D$1273,0)</f>
        <v>Q3</v>
      </c>
      <c r="D1247" s="4">
        <f>_xlfn.XLOOKUP(B1247,[4]Sheet2!$B$2:$B$3154,[4]Sheet2!$F$2:$F$3154,0)</f>
        <v>0</v>
      </c>
      <c r="E1247" s="4" t="e">
        <f>_xlfn.XLOOKUP(B1247,[2]Sheet2!$E$2:$E$713,[2]Sheet2!$G$2:$G$713)</f>
        <v>#N/A</v>
      </c>
      <c r="F1247" s="18">
        <v>46136</v>
      </c>
      <c r="G1247" s="14">
        <v>0.12486111111111112</v>
      </c>
      <c r="H1247" s="7" t="s">
        <v>10</v>
      </c>
      <c r="I1247" s="2" t="str">
        <f t="shared" si="98"/>
        <v>Q3</v>
      </c>
      <c r="J1247" s="2" t="str">
        <f t="shared" si="102"/>
        <v>Match</v>
      </c>
      <c r="K1247" s="2">
        <f t="shared" si="99"/>
        <v>0</v>
      </c>
      <c r="L1247" s="2" t="e">
        <f t="shared" si="100"/>
        <v>#N/A</v>
      </c>
      <c r="M1247" s="2" t="str">
        <f t="shared" si="101"/>
        <v>Digital Approve Hit</v>
      </c>
      <c r="N1247" s="7">
        <v>14.8</v>
      </c>
      <c r="O1247" s="7">
        <v>0.4</v>
      </c>
      <c r="P1247" s="7">
        <v>-1.2</v>
      </c>
      <c r="Q1247" s="7">
        <v>0.28000000000000003</v>
      </c>
      <c r="R1247" s="7">
        <v>0</v>
      </c>
      <c r="S1247" s="7">
        <v>0</v>
      </c>
      <c r="T1247" s="7">
        <v>-0.02</v>
      </c>
      <c r="U1247" s="7">
        <v>-0.1</v>
      </c>
      <c r="V1247" s="7">
        <v>0.3</v>
      </c>
      <c r="W1247" s="7" t="s">
        <v>8</v>
      </c>
      <c r="X1247" s="7" t="s">
        <v>15</v>
      </c>
      <c r="Y1247" s="2" t="s">
        <v>719</v>
      </c>
      <c r="Z1247" s="2" t="s">
        <v>721</v>
      </c>
    </row>
    <row r="1248" spans="1:26" x14ac:dyDescent="0.35">
      <c r="A1248" s="7" t="s">
        <v>1782</v>
      </c>
      <c r="B1248" s="7" t="s">
        <v>1294</v>
      </c>
      <c r="C1248" s="4">
        <f>_xlfn.XLOOKUP(A1248,[2]Sheet2!$I$2:$I$1273,[2]Sheet2!$D$2:$D$1273,0)</f>
        <v>0</v>
      </c>
      <c r="D1248" s="4">
        <f>_xlfn.XLOOKUP(B1248,[4]Sheet2!$B$2:$B$3154,[4]Sheet2!$F$2:$F$3154,0)</f>
        <v>0</v>
      </c>
      <c r="E1248" s="4" t="e">
        <f>_xlfn.XLOOKUP(B1248,[2]Sheet2!$E$2:$E$713,[2]Sheet2!$G$2:$G$713)</f>
        <v>#N/A</v>
      </c>
      <c r="F1248" s="18">
        <v>46136</v>
      </c>
      <c r="G1248" s="14">
        <v>0.13733796296296297</v>
      </c>
      <c r="H1248" s="7" t="s">
        <v>5</v>
      </c>
      <c r="I1248" s="2" t="str">
        <f t="shared" si="98"/>
        <v>Q1</v>
      </c>
      <c r="J1248" s="2" t="str">
        <f t="shared" si="102"/>
        <v>Not Found</v>
      </c>
      <c r="K1248" s="2">
        <f t="shared" si="99"/>
        <v>2.1260291625469301</v>
      </c>
      <c r="L1248" s="2" t="e">
        <f t="shared" si="100"/>
        <v>#N/A</v>
      </c>
      <c r="M1248" s="2" t="str">
        <f t="shared" si="101"/>
        <v>Assign quadrant hit</v>
      </c>
      <c r="N1248" s="7">
        <v>39.4</v>
      </c>
      <c r="O1248" s="7">
        <v>48</v>
      </c>
      <c r="P1248" s="7">
        <v>33.6</v>
      </c>
      <c r="Q1248" s="7">
        <v>0.56999999999999995</v>
      </c>
      <c r="R1248" s="7">
        <v>1.4</v>
      </c>
      <c r="S1248" s="7">
        <v>1.6</v>
      </c>
      <c r="T1248" s="7">
        <v>0.78</v>
      </c>
      <c r="U1248" s="7">
        <v>0.35</v>
      </c>
      <c r="V1248" s="7">
        <v>1.03</v>
      </c>
      <c r="W1248" s="7" t="s">
        <v>6</v>
      </c>
      <c r="X1248" s="7" t="s">
        <v>12</v>
      </c>
      <c r="Y1248" s="2" t="s">
        <v>719</v>
      </c>
      <c r="Z1248" s="2" t="s">
        <v>721</v>
      </c>
    </row>
    <row r="1249" spans="1:26" x14ac:dyDescent="0.35">
      <c r="A1249" s="7" t="s">
        <v>1515</v>
      </c>
      <c r="B1249" s="7" t="s">
        <v>1296</v>
      </c>
      <c r="C1249" s="4" t="str">
        <f>_xlfn.XLOOKUP(A1249,[2]Sheet2!$I$2:$I$1273,[2]Sheet2!$D$2:$D$1273,0)</f>
        <v>Q3</v>
      </c>
      <c r="D1249" s="4">
        <f>_xlfn.XLOOKUP(B1249,[4]Sheet2!$B$2:$B$3154,[4]Sheet2!$F$2:$F$3154,0)</f>
        <v>0</v>
      </c>
      <c r="E1249" s="4" t="e">
        <f>_xlfn.XLOOKUP(B1249,[2]Sheet2!$E$2:$E$713,[2]Sheet2!$G$2:$G$713)</f>
        <v>#N/A</v>
      </c>
      <c r="F1249" s="18">
        <v>46136</v>
      </c>
      <c r="G1249" s="14">
        <v>0.28059027777777779</v>
      </c>
      <c r="H1249" s="7" t="s">
        <v>11</v>
      </c>
      <c r="I1249" s="2" t="str">
        <f t="shared" si="98"/>
        <v>Q3</v>
      </c>
      <c r="J1249" s="2" t="str">
        <f t="shared" si="102"/>
        <v>Match</v>
      </c>
      <c r="K1249" s="2">
        <f t="shared" si="99"/>
        <v>0.44721359549995798</v>
      </c>
      <c r="L1249" s="2" t="e">
        <f t="shared" si="100"/>
        <v>#N/A</v>
      </c>
      <c r="M1249" s="2" t="str">
        <f t="shared" si="101"/>
        <v>Failed but within quadrant</v>
      </c>
      <c r="N1249" s="7">
        <v>12.8</v>
      </c>
      <c r="O1249" s="7">
        <v>-0.5</v>
      </c>
      <c r="P1249" s="7">
        <v>-2.5</v>
      </c>
      <c r="Q1249" s="7">
        <v>-1.98</v>
      </c>
      <c r="R1249" s="7">
        <v>-0.2</v>
      </c>
      <c r="S1249" s="7">
        <v>-0.4</v>
      </c>
      <c r="T1249" s="7">
        <v>0.59</v>
      </c>
      <c r="U1249" s="7">
        <v>-0.23</v>
      </c>
      <c r="V1249" s="7">
        <v>2.08</v>
      </c>
      <c r="W1249" s="7" t="s">
        <v>6</v>
      </c>
      <c r="X1249" s="7" t="s">
        <v>15</v>
      </c>
      <c r="Y1249" s="2" t="s">
        <v>719</v>
      </c>
      <c r="Z1249" s="2" t="s">
        <v>721</v>
      </c>
    </row>
    <row r="1250" spans="1:26" x14ac:dyDescent="0.35">
      <c r="A1250" s="7" t="s">
        <v>1545</v>
      </c>
      <c r="B1250" s="7" t="s">
        <v>1297</v>
      </c>
      <c r="C1250" s="4" t="str">
        <f>_xlfn.XLOOKUP(A1250,[2]Sheet2!$I$2:$I$1273,[2]Sheet2!$D$2:$D$1273,0)</f>
        <v>Q2</v>
      </c>
      <c r="D1250" s="4">
        <f>_xlfn.XLOOKUP(B1250,[4]Sheet2!$B$2:$B$3154,[4]Sheet2!$F$2:$F$3154,0)</f>
        <v>0</v>
      </c>
      <c r="E1250" s="4" t="e">
        <f>_xlfn.XLOOKUP(B1250,[2]Sheet2!$E$2:$E$713,[2]Sheet2!$G$2:$G$713)</f>
        <v>#N/A</v>
      </c>
      <c r="F1250" s="18">
        <v>46136</v>
      </c>
      <c r="G1250" s="14">
        <v>0.28266203703703702</v>
      </c>
      <c r="H1250" s="7" t="s">
        <v>5</v>
      </c>
      <c r="I1250" s="2" t="str">
        <f t="shared" si="98"/>
        <v>Q4</v>
      </c>
      <c r="J1250" s="2" t="str">
        <f t="shared" si="102"/>
        <v>Not Match</v>
      </c>
      <c r="K1250" s="2">
        <f t="shared" si="99"/>
        <v>0.22360679774997899</v>
      </c>
      <c r="L1250" s="2" t="e">
        <f t="shared" si="100"/>
        <v>#N/A</v>
      </c>
      <c r="M1250" s="2" t="str">
        <f t="shared" si="101"/>
        <v>Below 0.8 not in assigned quadrant</v>
      </c>
      <c r="N1250" s="7">
        <v>17.899999999999999</v>
      </c>
      <c r="O1250" s="7">
        <v>-0.6</v>
      </c>
      <c r="P1250" s="7">
        <v>-2.6</v>
      </c>
      <c r="Q1250" s="7">
        <v>-0.05</v>
      </c>
      <c r="R1250" s="7">
        <v>0.1</v>
      </c>
      <c r="S1250" s="7">
        <v>-0.2</v>
      </c>
      <c r="T1250" s="7">
        <v>0.3</v>
      </c>
      <c r="U1250" s="7">
        <v>0.22</v>
      </c>
      <c r="V1250" s="7">
        <v>0.37</v>
      </c>
      <c r="W1250" s="7" t="s">
        <v>8</v>
      </c>
      <c r="X1250" s="7" t="s">
        <v>9</v>
      </c>
      <c r="Y1250" s="2" t="s">
        <v>719</v>
      </c>
      <c r="Z1250" s="2" t="s">
        <v>721</v>
      </c>
    </row>
    <row r="1251" spans="1:26" x14ac:dyDescent="0.35">
      <c r="A1251" s="7" t="s">
        <v>1668</v>
      </c>
      <c r="B1251" s="7" t="s">
        <v>1299</v>
      </c>
      <c r="C1251" s="4" t="str">
        <f>_xlfn.XLOOKUP(A1251,[2]Sheet2!$I$2:$I$1273,[2]Sheet2!$D$2:$D$1273,0)</f>
        <v>Q4</v>
      </c>
      <c r="D1251" s="4">
        <f>_xlfn.XLOOKUP(B1251,[4]Sheet2!$B$2:$B$3154,[4]Sheet2!$F$2:$F$3154,0)</f>
        <v>0</v>
      </c>
      <c r="E1251" s="4" t="e">
        <f>_xlfn.XLOOKUP(B1251,[2]Sheet2!$E$2:$E$713,[2]Sheet2!$G$2:$G$713)</f>
        <v>#N/A</v>
      </c>
      <c r="F1251" s="18">
        <v>46136</v>
      </c>
      <c r="G1251" s="14">
        <v>0.36777777777777776</v>
      </c>
      <c r="H1251" s="7" t="s">
        <v>11</v>
      </c>
      <c r="I1251" s="2" t="str">
        <f t="shared" si="98"/>
        <v>Q3</v>
      </c>
      <c r="J1251" s="2" t="str">
        <f t="shared" si="102"/>
        <v>Not Match</v>
      </c>
      <c r="K1251" s="2">
        <f t="shared" si="99"/>
        <v>0.72801098892805172</v>
      </c>
      <c r="L1251" s="2" t="e">
        <f t="shared" si="100"/>
        <v>#N/A</v>
      </c>
      <c r="M1251" s="2" t="str">
        <f t="shared" si="101"/>
        <v>Below 0.8 not in assigned quadrant</v>
      </c>
      <c r="N1251" s="7">
        <v>44.6</v>
      </c>
      <c r="O1251" s="7">
        <v>37.6</v>
      </c>
      <c r="P1251" s="7">
        <v>-17.899999999999999</v>
      </c>
      <c r="Q1251" s="7">
        <v>-0.1</v>
      </c>
      <c r="R1251" s="7">
        <v>-0.2</v>
      </c>
      <c r="S1251" s="7">
        <v>-0.7</v>
      </c>
      <c r="T1251" s="7">
        <v>0.04</v>
      </c>
      <c r="U1251" s="7">
        <v>-0.43</v>
      </c>
      <c r="V1251" s="7">
        <v>0.44</v>
      </c>
      <c r="W1251" s="7" t="s">
        <v>8</v>
      </c>
      <c r="X1251" s="7" t="s">
        <v>7</v>
      </c>
      <c r="Y1251" s="2" t="s">
        <v>719</v>
      </c>
      <c r="Z1251" s="2" t="s">
        <v>721</v>
      </c>
    </row>
    <row r="1252" spans="1:26" x14ac:dyDescent="0.35">
      <c r="A1252" s="7" t="s">
        <v>1620</v>
      </c>
      <c r="B1252" s="7" t="s">
        <v>1300</v>
      </c>
      <c r="C1252" s="4" t="str">
        <f>_xlfn.XLOOKUP(A1252,[2]Sheet2!$I$2:$I$1273,[2]Sheet2!$D$2:$D$1273,0)</f>
        <v>Q2</v>
      </c>
      <c r="D1252" s="4">
        <f>_xlfn.XLOOKUP(B1252,[4]Sheet2!$B$2:$B$3154,[4]Sheet2!$F$2:$F$3154,0)</f>
        <v>0</v>
      </c>
      <c r="E1252" s="4" t="e">
        <f>_xlfn.XLOOKUP(B1252,[2]Sheet2!$E$2:$E$713,[2]Sheet2!$G$2:$G$713)</f>
        <v>#N/A</v>
      </c>
      <c r="F1252" s="18">
        <v>46136</v>
      </c>
      <c r="G1252" s="14">
        <v>0.41511574074074076</v>
      </c>
      <c r="H1252" s="7" t="s">
        <v>5</v>
      </c>
      <c r="I1252" s="2" t="str">
        <f t="shared" si="98"/>
        <v>Q1</v>
      </c>
      <c r="J1252" s="2" t="str">
        <f t="shared" si="102"/>
        <v>Not Match</v>
      </c>
      <c r="K1252" s="2">
        <f t="shared" si="99"/>
        <v>0.28284271247461906</v>
      </c>
      <c r="L1252" s="2" t="e">
        <f t="shared" si="100"/>
        <v>#N/A</v>
      </c>
      <c r="M1252" s="2" t="str">
        <f t="shared" si="101"/>
        <v>Below 0.8 not in assigned quadrant</v>
      </c>
      <c r="N1252" s="7">
        <v>29.9</v>
      </c>
      <c r="O1252" s="7">
        <v>33.200000000000003</v>
      </c>
      <c r="P1252" s="7">
        <v>5.2</v>
      </c>
      <c r="Q1252" s="7">
        <v>-0.74</v>
      </c>
      <c r="R1252" s="7">
        <v>0.2</v>
      </c>
      <c r="S1252" s="7">
        <v>0.2</v>
      </c>
      <c r="T1252" s="7">
        <v>0.12</v>
      </c>
      <c r="U1252" s="7">
        <v>0.18</v>
      </c>
      <c r="V1252" s="7">
        <v>0.77</v>
      </c>
      <c r="W1252" s="7" t="s">
        <v>13</v>
      </c>
      <c r="X1252" s="7" t="s">
        <v>9</v>
      </c>
      <c r="Y1252" s="2" t="s">
        <v>719</v>
      </c>
      <c r="Z1252" s="2" t="s">
        <v>721</v>
      </c>
    </row>
    <row r="1253" spans="1:26" x14ac:dyDescent="0.35">
      <c r="A1253" s="7" t="s">
        <v>1722</v>
      </c>
      <c r="B1253" s="7" t="s">
        <v>1301</v>
      </c>
      <c r="C1253" s="4" t="str">
        <f>_xlfn.XLOOKUP(A1253,[2]Sheet2!$I$2:$I$1273,[2]Sheet2!$D$2:$D$1273,0)</f>
        <v>Q4</v>
      </c>
      <c r="D1253" s="4">
        <f>_xlfn.XLOOKUP(B1253,[4]Sheet2!$B$2:$B$3154,[4]Sheet2!$F$2:$F$3154,0)</f>
        <v>0</v>
      </c>
      <c r="E1253" s="4" t="e">
        <f>_xlfn.XLOOKUP(B1253,[2]Sheet2!$E$2:$E$713,[2]Sheet2!$G$2:$G$713)</f>
        <v>#N/A</v>
      </c>
      <c r="F1253" s="18">
        <v>46136</v>
      </c>
      <c r="G1253" s="14">
        <v>0.47949074074074072</v>
      </c>
      <c r="H1253" s="7" t="s">
        <v>4</v>
      </c>
      <c r="I1253" s="2" t="str">
        <f t="shared" si="98"/>
        <v>Q1</v>
      </c>
      <c r="J1253" s="2" t="str">
        <f t="shared" si="102"/>
        <v>Not Match</v>
      </c>
      <c r="K1253" s="2">
        <f t="shared" si="99"/>
        <v>2.2472205054244232</v>
      </c>
      <c r="L1253" s="2" t="e">
        <f t="shared" si="100"/>
        <v>#N/A</v>
      </c>
      <c r="M1253" s="2" t="str">
        <f t="shared" si="101"/>
        <v>Assign quadrant hit</v>
      </c>
      <c r="N1253" s="7">
        <v>41.3</v>
      </c>
      <c r="O1253" s="7">
        <v>55.3</v>
      </c>
      <c r="P1253" s="7">
        <v>27.9</v>
      </c>
      <c r="Q1253" s="7">
        <v>-0.25</v>
      </c>
      <c r="R1253" s="7">
        <v>0.8</v>
      </c>
      <c r="S1253" s="7">
        <v>2.1</v>
      </c>
      <c r="T1253" s="7">
        <v>0.61</v>
      </c>
      <c r="U1253" s="7">
        <v>0.99</v>
      </c>
      <c r="V1253" s="7">
        <v>1.19</v>
      </c>
      <c r="W1253" s="7" t="s">
        <v>6</v>
      </c>
      <c r="X1253" s="7" t="s">
        <v>12</v>
      </c>
      <c r="Y1253" s="2" t="s">
        <v>719</v>
      </c>
      <c r="Z1253" s="2" t="s">
        <v>721</v>
      </c>
    </row>
    <row r="1254" spans="1:26" x14ac:dyDescent="0.35">
      <c r="A1254" s="7" t="s">
        <v>1773</v>
      </c>
      <c r="B1254" s="7" t="s">
        <v>1302</v>
      </c>
      <c r="C1254" s="4" t="str">
        <f>_xlfn.XLOOKUP(A1254,[2]Sheet2!$I$2:$I$1273,[2]Sheet2!$D$2:$D$1273,0)</f>
        <v>Q3</v>
      </c>
      <c r="D1254" s="4">
        <f>_xlfn.XLOOKUP(B1254,[4]Sheet2!$B$2:$B$3154,[4]Sheet2!$F$2:$F$3154,0)</f>
        <v>0</v>
      </c>
      <c r="E1254" s="4" t="e">
        <f>_xlfn.XLOOKUP(B1254,[2]Sheet2!$E$2:$E$713,[2]Sheet2!$G$2:$G$713)</f>
        <v>#N/A</v>
      </c>
      <c r="F1254" s="18">
        <v>46136</v>
      </c>
      <c r="G1254" s="14">
        <v>0.4959027777777778</v>
      </c>
      <c r="H1254" s="7" t="s">
        <v>5</v>
      </c>
      <c r="I1254" s="2" t="str">
        <f t="shared" si="98"/>
        <v>Q4</v>
      </c>
      <c r="J1254" s="2" t="str">
        <f t="shared" si="102"/>
        <v>Not Match</v>
      </c>
      <c r="K1254" s="2">
        <f t="shared" si="99"/>
        <v>0.1</v>
      </c>
      <c r="L1254" s="2" t="e">
        <f t="shared" si="100"/>
        <v>#N/A</v>
      </c>
      <c r="M1254" s="2" t="str">
        <f t="shared" si="101"/>
        <v>Below 0.8 not in assigned quadrant</v>
      </c>
      <c r="N1254" s="7">
        <v>16.100000000000001</v>
      </c>
      <c r="O1254" s="7">
        <v>-1.3</v>
      </c>
      <c r="P1254" s="7">
        <v>-3.6</v>
      </c>
      <c r="Q1254" s="7">
        <v>0.25</v>
      </c>
      <c r="R1254" s="7">
        <v>0</v>
      </c>
      <c r="S1254" s="7">
        <v>-0.1</v>
      </c>
      <c r="T1254" s="7">
        <v>0.21</v>
      </c>
      <c r="U1254" s="7">
        <v>0.01</v>
      </c>
      <c r="V1254" s="7">
        <v>0.32</v>
      </c>
      <c r="W1254" s="7" t="s">
        <v>8</v>
      </c>
      <c r="X1254" s="7" t="s">
        <v>9</v>
      </c>
      <c r="Y1254" s="2" t="s">
        <v>719</v>
      </c>
      <c r="Z1254" s="2" t="s">
        <v>721</v>
      </c>
    </row>
    <row r="1255" spans="1:26" x14ac:dyDescent="0.35">
      <c r="A1255" s="7" t="s">
        <v>1518</v>
      </c>
      <c r="B1255" s="7" t="s">
        <v>1303</v>
      </c>
      <c r="C1255" s="4" t="str">
        <f>_xlfn.XLOOKUP(A1255,[2]Sheet2!$I$2:$I$1273,[2]Sheet2!$D$2:$D$1273,0)</f>
        <v>Q1</v>
      </c>
      <c r="D1255" s="4">
        <f>_xlfn.XLOOKUP(B1255,[4]Sheet2!$B$2:$B$3154,[4]Sheet2!$F$2:$F$3154,0)</f>
        <v>0</v>
      </c>
      <c r="E1255" s="4" t="e">
        <f>_xlfn.XLOOKUP(B1255,[2]Sheet2!$E$2:$E$713,[2]Sheet2!$G$2:$G$713)</f>
        <v>#N/A</v>
      </c>
      <c r="F1255" s="18">
        <v>46136</v>
      </c>
      <c r="G1255" s="14">
        <v>0.55733796296296301</v>
      </c>
      <c r="H1255" s="7" t="s">
        <v>11</v>
      </c>
      <c r="I1255" s="2" t="str">
        <f t="shared" si="98"/>
        <v>Q1</v>
      </c>
      <c r="J1255" s="2" t="str">
        <f t="shared" si="102"/>
        <v>Match</v>
      </c>
      <c r="K1255" s="2">
        <f t="shared" si="99"/>
        <v>0</v>
      </c>
      <c r="L1255" s="2" t="e">
        <f t="shared" si="100"/>
        <v>#N/A</v>
      </c>
      <c r="M1255" s="2" t="str">
        <f t="shared" si="101"/>
        <v>Digital Approve Hit</v>
      </c>
      <c r="N1255" s="7">
        <v>25.9</v>
      </c>
      <c r="O1255" s="7">
        <v>6.3</v>
      </c>
      <c r="P1255" s="7">
        <v>7.8</v>
      </c>
      <c r="Q1255" s="7">
        <v>-0.38</v>
      </c>
      <c r="R1255" s="7">
        <v>0</v>
      </c>
      <c r="S1255" s="7">
        <v>0</v>
      </c>
      <c r="T1255" s="7">
        <v>-0.04</v>
      </c>
      <c r="U1255" s="7">
        <v>-0.08</v>
      </c>
      <c r="V1255" s="7">
        <v>0.39</v>
      </c>
      <c r="W1255" s="7" t="s">
        <v>8</v>
      </c>
      <c r="X1255" s="7" t="s">
        <v>9</v>
      </c>
      <c r="Y1255" s="2" t="s">
        <v>719</v>
      </c>
      <c r="Z1255" s="2" t="s">
        <v>721</v>
      </c>
    </row>
    <row r="1256" spans="1:26" x14ac:dyDescent="0.35">
      <c r="A1256" s="7" t="s">
        <v>1755</v>
      </c>
      <c r="B1256" s="7" t="s">
        <v>1304</v>
      </c>
      <c r="C1256" s="4" t="str">
        <f>_xlfn.XLOOKUP(A1256,[2]Sheet2!$I$2:$I$1273,[2]Sheet2!$D$2:$D$1273,0)</f>
        <v>Q4</v>
      </c>
      <c r="D1256" s="4">
        <f>_xlfn.XLOOKUP(B1256,[4]Sheet2!$B$2:$B$3154,[4]Sheet2!$F$2:$F$3154,0)</f>
        <v>0</v>
      </c>
      <c r="E1256" s="4" t="e">
        <f>_xlfn.XLOOKUP(B1256,[2]Sheet2!$E$2:$E$713,[2]Sheet2!$G$2:$G$713)</f>
        <v>#N/A</v>
      </c>
      <c r="F1256" s="18">
        <v>46136</v>
      </c>
      <c r="G1256" s="14">
        <v>0.67489583333333336</v>
      </c>
      <c r="H1256" s="7" t="s">
        <v>11</v>
      </c>
      <c r="I1256" s="2" t="str">
        <f t="shared" si="98"/>
        <v>Q1</v>
      </c>
      <c r="J1256" s="2" t="str">
        <f t="shared" si="102"/>
        <v>Not Match</v>
      </c>
      <c r="K1256" s="2">
        <f t="shared" si="99"/>
        <v>0.4</v>
      </c>
      <c r="L1256" s="2" t="e">
        <f t="shared" si="100"/>
        <v>#N/A</v>
      </c>
      <c r="M1256" s="2" t="str">
        <f t="shared" si="101"/>
        <v>Assign quadrant hit</v>
      </c>
      <c r="N1256" s="7">
        <v>25.9</v>
      </c>
      <c r="O1256" s="7">
        <v>10.3</v>
      </c>
      <c r="P1256" s="7">
        <v>-12.1</v>
      </c>
      <c r="Q1256" s="7">
        <v>-0.78</v>
      </c>
      <c r="R1256" s="7">
        <v>0</v>
      </c>
      <c r="S1256" s="7">
        <v>0.4</v>
      </c>
      <c r="T1256" s="7">
        <v>-0.23</v>
      </c>
      <c r="U1256" s="7">
        <v>0.23</v>
      </c>
      <c r="V1256" s="7">
        <v>0.84</v>
      </c>
      <c r="W1256" s="7" t="s">
        <v>13</v>
      </c>
      <c r="X1256" s="7" t="s">
        <v>9</v>
      </c>
      <c r="Y1256" s="2" t="s">
        <v>719</v>
      </c>
      <c r="Z1256" s="2" t="s">
        <v>721</v>
      </c>
    </row>
    <row r="1257" spans="1:26" x14ac:dyDescent="0.35">
      <c r="A1257" s="7" t="s">
        <v>1518</v>
      </c>
      <c r="B1257" s="7" t="s">
        <v>1305</v>
      </c>
      <c r="C1257" s="4" t="str">
        <f>_xlfn.XLOOKUP(A1257,[2]Sheet2!$I$2:$I$1273,[2]Sheet2!$D$2:$D$1273,0)</f>
        <v>Q1</v>
      </c>
      <c r="D1257" s="4">
        <f>_xlfn.XLOOKUP(B1257,[4]Sheet2!$B$2:$B$3154,[4]Sheet2!$F$2:$F$3154,0)</f>
        <v>0</v>
      </c>
      <c r="E1257" s="4" t="e">
        <f>_xlfn.XLOOKUP(B1257,[2]Sheet2!$E$2:$E$713,[2]Sheet2!$G$2:$G$713)</f>
        <v>#N/A</v>
      </c>
      <c r="F1257" s="18">
        <v>46136</v>
      </c>
      <c r="G1257" s="14">
        <v>0.67983796296296295</v>
      </c>
      <c r="H1257" s="7" t="s">
        <v>11</v>
      </c>
      <c r="I1257" s="2" t="str">
        <f t="shared" si="98"/>
        <v>Q1</v>
      </c>
      <c r="J1257" s="2" t="str">
        <f t="shared" si="102"/>
        <v>Match</v>
      </c>
      <c r="K1257" s="2">
        <f t="shared" si="99"/>
        <v>0.5</v>
      </c>
      <c r="L1257" s="2" t="e">
        <f t="shared" si="100"/>
        <v>#N/A</v>
      </c>
      <c r="M1257" s="2" t="str">
        <f t="shared" si="101"/>
        <v>Failed but within quadrant</v>
      </c>
      <c r="N1257" s="7">
        <v>25.8</v>
      </c>
      <c r="O1257" s="7">
        <v>6.2</v>
      </c>
      <c r="P1257" s="7">
        <v>8.4</v>
      </c>
      <c r="Q1257" s="7">
        <v>-0.44</v>
      </c>
      <c r="R1257" s="7">
        <v>0</v>
      </c>
      <c r="S1257" s="7">
        <v>0.5</v>
      </c>
      <c r="T1257" s="7">
        <v>0.35</v>
      </c>
      <c r="U1257" s="7">
        <v>0.71</v>
      </c>
      <c r="V1257" s="7">
        <v>0.91</v>
      </c>
      <c r="W1257" s="7" t="s">
        <v>13</v>
      </c>
      <c r="X1257" s="7" t="s">
        <v>12</v>
      </c>
      <c r="Y1257" s="2" t="s">
        <v>719</v>
      </c>
      <c r="Z1257" s="2" t="s">
        <v>721</v>
      </c>
    </row>
    <row r="1258" spans="1:26" x14ac:dyDescent="0.35">
      <c r="A1258" s="7" t="s">
        <v>1540</v>
      </c>
      <c r="B1258" s="7" t="s">
        <v>1306</v>
      </c>
      <c r="C1258" s="4" t="str">
        <f>_xlfn.XLOOKUP(A1258,[2]Sheet2!$I$2:$I$1273,[2]Sheet2!$D$2:$D$1273,0)</f>
        <v>Q3</v>
      </c>
      <c r="D1258" s="4">
        <f>_xlfn.XLOOKUP(B1258,[4]Sheet2!$B$2:$B$3154,[4]Sheet2!$F$2:$F$3154,0)</f>
        <v>0</v>
      </c>
      <c r="E1258" s="4" t="e">
        <f>_xlfn.XLOOKUP(B1258,[2]Sheet2!$E$2:$E$713,[2]Sheet2!$G$2:$G$713)</f>
        <v>#N/A</v>
      </c>
      <c r="F1258" s="18">
        <v>46136</v>
      </c>
      <c r="G1258" s="14">
        <v>0.70168981481481485</v>
      </c>
      <c r="H1258" s="7" t="s">
        <v>11</v>
      </c>
      <c r="I1258" s="2" t="str">
        <f t="shared" si="98"/>
        <v>Q1</v>
      </c>
      <c r="J1258" s="2" t="str">
        <f t="shared" si="102"/>
        <v>Not Match</v>
      </c>
      <c r="K1258" s="2">
        <f t="shared" si="99"/>
        <v>0.2</v>
      </c>
      <c r="L1258" s="2" t="e">
        <f t="shared" si="100"/>
        <v>#N/A</v>
      </c>
      <c r="M1258" s="2" t="str">
        <f t="shared" si="101"/>
        <v>Below 0.8 not in assigned quadrant</v>
      </c>
      <c r="N1258" s="7">
        <v>13.9</v>
      </c>
      <c r="O1258" s="7">
        <v>-0.5</v>
      </c>
      <c r="P1258" s="7">
        <v>-1.4</v>
      </c>
      <c r="Q1258" s="7">
        <v>-0.28000000000000003</v>
      </c>
      <c r="R1258" s="7">
        <v>0</v>
      </c>
      <c r="S1258" s="7">
        <v>0.2</v>
      </c>
      <c r="T1258" s="7">
        <v>-0.35</v>
      </c>
      <c r="U1258" s="7">
        <v>-0.09</v>
      </c>
      <c r="V1258" s="7">
        <v>0.46</v>
      </c>
      <c r="W1258" s="7" t="s">
        <v>8</v>
      </c>
      <c r="X1258" s="7" t="s">
        <v>15</v>
      </c>
      <c r="Y1258" s="2" t="s">
        <v>719</v>
      </c>
      <c r="Z1258" s="2" t="s">
        <v>721</v>
      </c>
    </row>
    <row r="1259" spans="1:26" x14ac:dyDescent="0.35">
      <c r="A1259" s="7" t="s">
        <v>1751</v>
      </c>
      <c r="B1259" s="7" t="s">
        <v>1307</v>
      </c>
      <c r="C1259" s="4" t="str">
        <f>_xlfn.XLOOKUP(A1259,[2]Sheet2!$I$2:$I$1273,[2]Sheet2!$D$2:$D$1273,0)</f>
        <v>Q1</v>
      </c>
      <c r="D1259" s="4">
        <f>_xlfn.XLOOKUP(B1259,[4]Sheet2!$B$2:$B$3154,[4]Sheet2!$F$2:$F$3154,0)</f>
        <v>0</v>
      </c>
      <c r="E1259" s="4" t="e">
        <f>_xlfn.XLOOKUP(B1259,[2]Sheet2!$E$2:$E$713,[2]Sheet2!$G$2:$G$713)</f>
        <v>#N/A</v>
      </c>
      <c r="F1259" s="18">
        <v>46136</v>
      </c>
      <c r="G1259" s="14">
        <v>0.74144675925925929</v>
      </c>
      <c r="H1259" s="7" t="s">
        <v>4</v>
      </c>
      <c r="I1259" s="2" t="str">
        <f t="shared" si="98"/>
        <v>Q4</v>
      </c>
      <c r="J1259" s="2" t="str">
        <f t="shared" si="102"/>
        <v>Not Match</v>
      </c>
      <c r="K1259" s="2">
        <f t="shared" si="99"/>
        <v>0.6</v>
      </c>
      <c r="L1259" s="2" t="e">
        <f t="shared" si="100"/>
        <v>#N/A</v>
      </c>
      <c r="M1259" s="2" t="str">
        <f t="shared" si="101"/>
        <v>Below 0.8 not in assigned quadrant</v>
      </c>
      <c r="N1259" s="7">
        <v>37.1</v>
      </c>
      <c r="O1259" s="7">
        <v>54.5</v>
      </c>
      <c r="P1259" s="7">
        <v>28.1</v>
      </c>
      <c r="Q1259" s="7">
        <v>0.06</v>
      </c>
      <c r="R1259" s="7">
        <v>0</v>
      </c>
      <c r="S1259" s="7">
        <v>-0.6</v>
      </c>
      <c r="T1259" s="7">
        <v>-0.08</v>
      </c>
      <c r="U1259" s="7">
        <v>-0.39</v>
      </c>
      <c r="V1259" s="7">
        <v>0.4</v>
      </c>
      <c r="W1259" s="7" t="s">
        <v>8</v>
      </c>
      <c r="X1259" s="7" t="s">
        <v>7</v>
      </c>
      <c r="Y1259" s="2" t="s">
        <v>719</v>
      </c>
      <c r="Z1259" s="2" t="s">
        <v>721</v>
      </c>
    </row>
    <row r="1260" spans="1:26" x14ac:dyDescent="0.35">
      <c r="A1260" s="7" t="s">
        <v>1620</v>
      </c>
      <c r="B1260" s="7" t="s">
        <v>1308</v>
      </c>
      <c r="C1260" s="4" t="str">
        <f>_xlfn.XLOOKUP(A1260,[2]Sheet2!$I$2:$I$1273,[2]Sheet2!$D$2:$D$1273,0)</f>
        <v>Q2</v>
      </c>
      <c r="D1260" s="4">
        <f>_xlfn.XLOOKUP(B1260,[4]Sheet2!$B$2:$B$3154,[4]Sheet2!$F$2:$F$3154,0)</f>
        <v>0</v>
      </c>
      <c r="E1260" s="4" t="e">
        <f>_xlfn.XLOOKUP(B1260,[2]Sheet2!$E$2:$E$713,[2]Sheet2!$G$2:$G$713)</f>
        <v>#N/A</v>
      </c>
      <c r="F1260" s="18">
        <v>46136</v>
      </c>
      <c r="G1260" s="14">
        <v>0.74427083333333333</v>
      </c>
      <c r="H1260" s="7" t="s">
        <v>5</v>
      </c>
      <c r="I1260" s="2" t="str">
        <f t="shared" si="98"/>
        <v>Q1</v>
      </c>
      <c r="J1260" s="2" t="str">
        <f t="shared" si="102"/>
        <v>Not Match</v>
      </c>
      <c r="K1260" s="2">
        <f t="shared" si="99"/>
        <v>1.1401754250991381</v>
      </c>
      <c r="L1260" s="2" t="e">
        <f t="shared" si="100"/>
        <v>#N/A</v>
      </c>
      <c r="M1260" s="2" t="str">
        <f t="shared" si="101"/>
        <v>Assign quadrant hit</v>
      </c>
      <c r="N1260" s="7">
        <v>30.2</v>
      </c>
      <c r="O1260" s="7">
        <v>33.799999999999997</v>
      </c>
      <c r="P1260" s="7">
        <v>5.8</v>
      </c>
      <c r="Q1260" s="7">
        <v>-0.56999999999999995</v>
      </c>
      <c r="R1260" s="7">
        <v>0.7</v>
      </c>
      <c r="S1260" s="7">
        <v>0.9</v>
      </c>
      <c r="T1260" s="7">
        <v>0.43</v>
      </c>
      <c r="U1260" s="7">
        <v>0.6</v>
      </c>
      <c r="V1260" s="7">
        <v>0.93</v>
      </c>
      <c r="W1260" s="7" t="s">
        <v>13</v>
      </c>
      <c r="X1260" s="7" t="s">
        <v>9</v>
      </c>
      <c r="Y1260" s="2" t="s">
        <v>719</v>
      </c>
      <c r="Z1260" s="2" t="s">
        <v>721</v>
      </c>
    </row>
    <row r="1261" spans="1:26" x14ac:dyDescent="0.35">
      <c r="A1261" s="7" t="s">
        <v>1655</v>
      </c>
      <c r="B1261" s="7" t="s">
        <v>1309</v>
      </c>
      <c r="C1261" s="4" t="str">
        <f>_xlfn.XLOOKUP(A1261,[2]Sheet2!$I$2:$I$1273,[2]Sheet2!$D$2:$D$1273,0)</f>
        <v>Q3</v>
      </c>
      <c r="D1261" s="4">
        <f>_xlfn.XLOOKUP(B1261,[4]Sheet2!$B$2:$B$3154,[4]Sheet2!$F$2:$F$3154,0)</f>
        <v>0</v>
      </c>
      <c r="E1261" s="4" t="e">
        <f>_xlfn.XLOOKUP(B1261,[2]Sheet2!$E$2:$E$713,[2]Sheet2!$G$2:$G$713)</f>
        <v>#N/A</v>
      </c>
      <c r="F1261" s="18">
        <v>46136</v>
      </c>
      <c r="G1261" s="14">
        <v>0.97065972222222219</v>
      </c>
      <c r="H1261" s="7" t="s">
        <v>11</v>
      </c>
      <c r="I1261" s="2" t="str">
        <f t="shared" si="98"/>
        <v>Q4</v>
      </c>
      <c r="J1261" s="2" t="str">
        <f t="shared" si="102"/>
        <v>Not Match</v>
      </c>
      <c r="K1261" s="2">
        <f t="shared" si="99"/>
        <v>0.3</v>
      </c>
      <c r="L1261" s="2" t="e">
        <f t="shared" si="100"/>
        <v>#N/A</v>
      </c>
      <c r="M1261" s="2" t="str">
        <f t="shared" si="101"/>
        <v>Below 0.8 not in assigned quadrant</v>
      </c>
      <c r="N1261" s="7">
        <v>13.7</v>
      </c>
      <c r="O1261" s="7">
        <v>-0.6</v>
      </c>
      <c r="P1261" s="7">
        <v>-1.5</v>
      </c>
      <c r="Q1261" s="7">
        <v>0.11</v>
      </c>
      <c r="R1261" s="7">
        <v>0.3</v>
      </c>
      <c r="S1261" s="7">
        <v>0</v>
      </c>
      <c r="T1261" s="7">
        <v>-0.14000000000000001</v>
      </c>
      <c r="U1261" s="7">
        <v>0.38</v>
      </c>
      <c r="V1261" s="7">
        <v>0.42</v>
      </c>
      <c r="W1261" s="7" t="s">
        <v>8</v>
      </c>
      <c r="X1261" s="7" t="s">
        <v>9</v>
      </c>
      <c r="Y1261" s="2" t="s">
        <v>719</v>
      </c>
      <c r="Z1261" s="2" t="s">
        <v>721</v>
      </c>
    </row>
    <row r="1262" spans="1:26" x14ac:dyDescent="0.35">
      <c r="A1262" s="7" t="s">
        <v>1545</v>
      </c>
      <c r="B1262" s="7" t="s">
        <v>1274</v>
      </c>
      <c r="C1262" s="4" t="str">
        <f>_xlfn.XLOOKUP(A1262,[2]Sheet2!$I$2:$I$1273,[2]Sheet2!$D$2:$D$1273,0)</f>
        <v>Q2</v>
      </c>
      <c r="D1262" s="4">
        <f>_xlfn.XLOOKUP(B1262,[4]Sheet2!$B$2:$B$3154,[4]Sheet2!$F$2:$F$3154,0)</f>
        <v>0</v>
      </c>
      <c r="E1262" s="4" t="e">
        <f>_xlfn.XLOOKUP(B1262,[2]Sheet2!$E$2:$E$713,[2]Sheet2!$G$2:$G$713)</f>
        <v>#N/A</v>
      </c>
      <c r="F1262" s="18">
        <v>46136</v>
      </c>
      <c r="G1262" s="14">
        <v>0.98401620370370368</v>
      </c>
      <c r="H1262" s="7" t="s">
        <v>5</v>
      </c>
      <c r="I1262" s="2" t="str">
        <f t="shared" si="98"/>
        <v>Q4</v>
      </c>
      <c r="J1262" s="2" t="str">
        <f t="shared" si="102"/>
        <v>Not Match</v>
      </c>
      <c r="K1262" s="2">
        <f t="shared" si="99"/>
        <v>0.4</v>
      </c>
      <c r="L1262" s="2" t="e">
        <f t="shared" si="100"/>
        <v>#N/A</v>
      </c>
      <c r="M1262" s="2" t="str">
        <f t="shared" si="101"/>
        <v>Below 0.8 not in assigned quadrant</v>
      </c>
      <c r="N1262" s="7">
        <v>18.5</v>
      </c>
      <c r="O1262" s="7">
        <v>-0.6</v>
      </c>
      <c r="P1262" s="7">
        <v>-2.7</v>
      </c>
      <c r="Q1262" s="7">
        <v>0.49</v>
      </c>
      <c r="R1262" s="7">
        <v>0</v>
      </c>
      <c r="S1262" s="7">
        <v>-0.4</v>
      </c>
      <c r="T1262" s="7">
        <v>0.53</v>
      </c>
      <c r="U1262" s="7">
        <v>0.18</v>
      </c>
      <c r="V1262" s="7">
        <v>0.74</v>
      </c>
      <c r="W1262" s="7" t="s">
        <v>8</v>
      </c>
      <c r="X1262" s="7" t="s">
        <v>9</v>
      </c>
      <c r="Y1262" s="2" t="s">
        <v>719</v>
      </c>
      <c r="Z1262" s="2" t="s">
        <v>721</v>
      </c>
    </row>
    <row r="1263" spans="1:26" x14ac:dyDescent="0.35">
      <c r="A1263" s="7" t="s">
        <v>1783</v>
      </c>
      <c r="B1263" s="7" t="s">
        <v>1310</v>
      </c>
      <c r="C1263" s="4">
        <f>_xlfn.XLOOKUP(A1263,[2]Sheet2!$I$2:$I$1273,[2]Sheet2!$D$2:$D$1273,0)</f>
        <v>0</v>
      </c>
      <c r="D1263" s="4">
        <f>_xlfn.XLOOKUP(B1263,[4]Sheet2!$B$2:$B$3154,[4]Sheet2!$F$2:$F$3154,0)</f>
        <v>0</v>
      </c>
      <c r="E1263" s="4" t="e">
        <f>_xlfn.XLOOKUP(B1263,[2]Sheet2!$E$2:$E$713,[2]Sheet2!$G$2:$G$713)</f>
        <v>#N/A</v>
      </c>
      <c r="F1263" s="18">
        <v>46137</v>
      </c>
      <c r="G1263" s="14">
        <v>0.12417824074074074</v>
      </c>
      <c r="H1263" s="7" t="s">
        <v>10</v>
      </c>
      <c r="I1263" s="2" t="str">
        <f t="shared" si="98"/>
        <v>Q4</v>
      </c>
      <c r="J1263" s="2" t="str">
        <f t="shared" si="102"/>
        <v>Not Found</v>
      </c>
      <c r="K1263" s="2">
        <f t="shared" si="99"/>
        <v>0.3</v>
      </c>
      <c r="L1263" s="2" t="e">
        <f t="shared" si="100"/>
        <v>#N/A</v>
      </c>
      <c r="M1263" s="2" t="str">
        <f t="shared" si="101"/>
        <v>Assign quadrant hit</v>
      </c>
      <c r="N1263" s="7">
        <v>17.899999999999999</v>
      </c>
      <c r="O1263" s="7">
        <v>0.5</v>
      </c>
      <c r="P1263" s="7">
        <v>-1.4</v>
      </c>
      <c r="Q1263" s="7">
        <v>1.1299999999999999</v>
      </c>
      <c r="R1263" s="7">
        <v>0</v>
      </c>
      <c r="S1263" s="7">
        <v>-0.3</v>
      </c>
      <c r="T1263" s="7">
        <v>0.42</v>
      </c>
      <c r="U1263" s="7">
        <v>-0.08</v>
      </c>
      <c r="V1263" s="7">
        <v>1.21</v>
      </c>
      <c r="W1263" s="7" t="s">
        <v>6</v>
      </c>
      <c r="X1263" s="7" t="s">
        <v>15</v>
      </c>
      <c r="Y1263" s="2" t="s">
        <v>719</v>
      </c>
      <c r="Z1263" s="2" t="s">
        <v>721</v>
      </c>
    </row>
    <row r="1264" spans="1:26" x14ac:dyDescent="0.35">
      <c r="A1264" s="7" t="s">
        <v>1622</v>
      </c>
      <c r="B1264" s="7" t="s">
        <v>1311</v>
      </c>
      <c r="C1264" s="4" t="str">
        <f>_xlfn.XLOOKUP(A1264,[2]Sheet2!$I$2:$I$1273,[2]Sheet2!$D$2:$D$1273,0)</f>
        <v>Q1</v>
      </c>
      <c r="D1264" s="4">
        <f>_xlfn.XLOOKUP(B1264,[4]Sheet2!$B$2:$B$3154,[4]Sheet2!$F$2:$F$3154,0)</f>
        <v>0</v>
      </c>
      <c r="E1264" s="4" t="e">
        <f>_xlfn.XLOOKUP(B1264,[2]Sheet2!$E$2:$E$713,[2]Sheet2!$G$2:$G$713)</f>
        <v>#N/A</v>
      </c>
      <c r="F1264" s="18">
        <v>46137</v>
      </c>
      <c r="G1264" s="14">
        <v>0.13665509259259259</v>
      </c>
      <c r="H1264" s="7" t="s">
        <v>5</v>
      </c>
      <c r="I1264" s="2" t="str">
        <f t="shared" si="98"/>
        <v>Q1</v>
      </c>
      <c r="J1264" s="2" t="str">
        <f t="shared" si="102"/>
        <v>Match</v>
      </c>
      <c r="K1264" s="2">
        <f t="shared" si="99"/>
        <v>0.2</v>
      </c>
      <c r="L1264" s="2" t="e">
        <f t="shared" si="100"/>
        <v>#N/A</v>
      </c>
      <c r="M1264" s="2" t="str">
        <f t="shared" si="101"/>
        <v>Digital Approve Hit</v>
      </c>
      <c r="N1264" s="7">
        <v>16.7</v>
      </c>
      <c r="O1264" s="7">
        <v>-0.3</v>
      </c>
      <c r="P1264" s="7">
        <v>-2.9</v>
      </c>
      <c r="Q1264" s="7">
        <v>-0.24</v>
      </c>
      <c r="R1264" s="7">
        <v>0</v>
      </c>
      <c r="S1264" s="7">
        <v>0.2</v>
      </c>
      <c r="T1264" s="7">
        <v>-0.35</v>
      </c>
      <c r="U1264" s="7">
        <v>0.01</v>
      </c>
      <c r="V1264" s="7">
        <v>0.43</v>
      </c>
      <c r="W1264" s="7" t="s">
        <v>8</v>
      </c>
      <c r="X1264" s="7" t="s">
        <v>9</v>
      </c>
      <c r="Y1264" s="2" t="s">
        <v>719</v>
      </c>
      <c r="Z1264" s="2" t="s">
        <v>721</v>
      </c>
    </row>
    <row r="1265" spans="1:26" x14ac:dyDescent="0.35">
      <c r="A1265" s="7" t="s">
        <v>1518</v>
      </c>
      <c r="B1265" s="7" t="s">
        <v>1312</v>
      </c>
      <c r="C1265" s="4" t="str">
        <f>_xlfn.XLOOKUP(A1265,[2]Sheet2!$I$2:$I$1273,[2]Sheet2!$D$2:$D$1273,0)</f>
        <v>Q1</v>
      </c>
      <c r="D1265" s="4">
        <f>_xlfn.XLOOKUP(B1265,[4]Sheet2!$B$2:$B$3154,[4]Sheet2!$F$2:$F$3154,0)</f>
        <v>0</v>
      </c>
      <c r="E1265" s="4" t="e">
        <f>_xlfn.XLOOKUP(B1265,[2]Sheet2!$E$2:$E$713,[2]Sheet2!$G$2:$G$713)</f>
        <v>#N/A</v>
      </c>
      <c r="F1265" s="18">
        <v>46137</v>
      </c>
      <c r="G1265" s="14">
        <v>0.22795138888888888</v>
      </c>
      <c r="H1265" s="7" t="s">
        <v>10</v>
      </c>
      <c r="I1265" s="2" t="str">
        <f t="shared" si="98"/>
        <v>Q4</v>
      </c>
      <c r="J1265" s="2" t="str">
        <f t="shared" si="102"/>
        <v>Not Match</v>
      </c>
      <c r="K1265" s="2">
        <f t="shared" si="99"/>
        <v>0.2</v>
      </c>
      <c r="L1265" s="2" t="e">
        <f t="shared" si="100"/>
        <v>#N/A</v>
      </c>
      <c r="M1265" s="2" t="str">
        <f t="shared" si="101"/>
        <v>Below 0.8 not in assigned quadrant</v>
      </c>
      <c r="N1265" s="7">
        <v>27.7</v>
      </c>
      <c r="O1265" s="7">
        <v>11.2</v>
      </c>
      <c r="P1265" s="7">
        <v>9.8000000000000007</v>
      </c>
      <c r="Q1265" s="7">
        <v>-0.01</v>
      </c>
      <c r="R1265" s="7">
        <v>0.2</v>
      </c>
      <c r="S1265" s="7">
        <v>0</v>
      </c>
      <c r="T1265" s="7">
        <v>0.08</v>
      </c>
      <c r="U1265" s="7">
        <v>-0.3</v>
      </c>
      <c r="V1265" s="7">
        <v>0.31</v>
      </c>
      <c r="W1265" s="7" t="s">
        <v>8</v>
      </c>
      <c r="X1265" s="7" t="s">
        <v>9</v>
      </c>
      <c r="Y1265" s="2" t="s">
        <v>719</v>
      </c>
      <c r="Z1265" s="2" t="s">
        <v>721</v>
      </c>
    </row>
    <row r="1266" spans="1:26" x14ac:dyDescent="0.35">
      <c r="A1266" s="7" t="s">
        <v>1743</v>
      </c>
      <c r="B1266" s="7" t="s">
        <v>1313</v>
      </c>
      <c r="C1266" s="4" t="str">
        <f>_xlfn.XLOOKUP(A1266,[2]Sheet2!$I$2:$I$1273,[2]Sheet2!$D$2:$D$1273,0)</f>
        <v>Q1</v>
      </c>
      <c r="D1266" s="4">
        <f>_xlfn.XLOOKUP(B1266,[4]Sheet2!$B$2:$B$3154,[4]Sheet2!$F$2:$F$3154,0)</f>
        <v>0</v>
      </c>
      <c r="E1266" s="4" t="e">
        <f>_xlfn.XLOOKUP(B1266,[2]Sheet2!$E$2:$E$713,[2]Sheet2!$G$2:$G$713)</f>
        <v>#N/A</v>
      </c>
      <c r="F1266" s="18">
        <v>46137</v>
      </c>
      <c r="G1266" s="14">
        <v>0.23130787037037037</v>
      </c>
      <c r="H1266" s="7" t="s">
        <v>4</v>
      </c>
      <c r="I1266" s="2" t="str">
        <f t="shared" si="98"/>
        <v>Q4</v>
      </c>
      <c r="J1266" s="2" t="str">
        <f t="shared" si="102"/>
        <v>Not Match</v>
      </c>
      <c r="K1266" s="2">
        <f t="shared" si="99"/>
        <v>0.2</v>
      </c>
      <c r="L1266" s="2" t="e">
        <f t="shared" si="100"/>
        <v>#N/A</v>
      </c>
      <c r="M1266" s="2" t="str">
        <f t="shared" si="101"/>
        <v>Assign quadrant hit</v>
      </c>
      <c r="N1266" s="7">
        <v>33.5</v>
      </c>
      <c r="O1266" s="7">
        <v>10.5</v>
      </c>
      <c r="P1266" s="7">
        <v>11.3</v>
      </c>
      <c r="Q1266" s="7">
        <v>-0.85</v>
      </c>
      <c r="R1266" s="7">
        <v>0.2</v>
      </c>
      <c r="S1266" s="7">
        <v>0</v>
      </c>
      <c r="T1266" s="7">
        <v>0.16</v>
      </c>
      <c r="U1266" s="7">
        <v>-0.24</v>
      </c>
      <c r="V1266" s="7">
        <v>0.9</v>
      </c>
      <c r="W1266" s="7" t="s">
        <v>13</v>
      </c>
      <c r="X1266" s="7" t="s">
        <v>9</v>
      </c>
      <c r="Y1266" s="2" t="s">
        <v>719</v>
      </c>
      <c r="Z1266" s="2" t="s">
        <v>721</v>
      </c>
    </row>
    <row r="1267" spans="1:26" x14ac:dyDescent="0.35">
      <c r="A1267" s="7" t="s">
        <v>1784</v>
      </c>
      <c r="B1267" s="7" t="s">
        <v>1314</v>
      </c>
      <c r="C1267" s="4" t="str">
        <f>_xlfn.XLOOKUP(A1267,[2]Sheet2!$I$2:$I$1273,[2]Sheet2!$D$2:$D$1273,0)</f>
        <v>Q2</v>
      </c>
      <c r="D1267" s="4">
        <f>_xlfn.XLOOKUP(B1267,[4]Sheet2!$B$2:$B$3154,[4]Sheet2!$F$2:$F$3154,0)</f>
        <v>0</v>
      </c>
      <c r="E1267" s="4" t="e">
        <f>_xlfn.XLOOKUP(B1267,[2]Sheet2!$E$2:$E$713,[2]Sheet2!$G$2:$G$713)</f>
        <v>#N/A</v>
      </c>
      <c r="F1267" s="18">
        <v>46137</v>
      </c>
      <c r="G1267" s="14">
        <v>0.26614583333333336</v>
      </c>
      <c r="H1267" s="7" t="s">
        <v>10</v>
      </c>
      <c r="I1267" s="2" t="str">
        <f t="shared" si="98"/>
        <v>Q3</v>
      </c>
      <c r="J1267" s="2" t="str">
        <f t="shared" si="102"/>
        <v>Not Match</v>
      </c>
      <c r="K1267" s="2">
        <f t="shared" si="99"/>
        <v>0.41231056256176613</v>
      </c>
      <c r="L1267" s="2" t="e">
        <f t="shared" si="100"/>
        <v>#N/A</v>
      </c>
      <c r="M1267" s="2" t="str">
        <f t="shared" si="101"/>
        <v>Below 0.8 not in assigned quadrant</v>
      </c>
      <c r="N1267" s="7">
        <v>43.4</v>
      </c>
      <c r="O1267" s="7">
        <v>43.1</v>
      </c>
      <c r="P1267" s="7">
        <v>13.6</v>
      </c>
      <c r="Q1267" s="7">
        <v>-0.05</v>
      </c>
      <c r="R1267" s="7">
        <v>-0.4</v>
      </c>
      <c r="S1267" s="7">
        <v>-0.1</v>
      </c>
      <c r="T1267" s="7">
        <v>-0.2</v>
      </c>
      <c r="U1267" s="7">
        <v>-0.03</v>
      </c>
      <c r="V1267" s="7">
        <v>0.21</v>
      </c>
      <c r="W1267" s="7" t="s">
        <v>8</v>
      </c>
      <c r="X1267" s="7" t="s">
        <v>7</v>
      </c>
      <c r="Y1267" s="2" t="s">
        <v>719</v>
      </c>
      <c r="Z1267" s="2" t="s">
        <v>721</v>
      </c>
    </row>
    <row r="1268" spans="1:26" x14ac:dyDescent="0.35">
      <c r="A1268" s="7" t="s">
        <v>1755</v>
      </c>
      <c r="B1268" s="7" t="s">
        <v>1315</v>
      </c>
      <c r="C1268" s="4" t="str">
        <f>_xlfn.XLOOKUP(A1268,[2]Sheet2!$I$2:$I$1273,[2]Sheet2!$D$2:$D$1273,0)</f>
        <v>Q4</v>
      </c>
      <c r="D1268" s="4">
        <f>_xlfn.XLOOKUP(B1268,[4]Sheet2!$B$2:$B$3154,[4]Sheet2!$F$2:$F$3154,0)</f>
        <v>0</v>
      </c>
      <c r="E1268" s="4" t="e">
        <f>_xlfn.XLOOKUP(B1268,[2]Sheet2!$E$2:$E$713,[2]Sheet2!$G$2:$G$713)</f>
        <v>#N/A</v>
      </c>
      <c r="F1268" s="18">
        <v>46137</v>
      </c>
      <c r="G1268" s="14">
        <v>0.26872685185185186</v>
      </c>
      <c r="H1268" s="7" t="s">
        <v>10</v>
      </c>
      <c r="I1268" s="2" t="str">
        <f t="shared" si="98"/>
        <v>Q1</v>
      </c>
      <c r="J1268" s="2" t="str">
        <f t="shared" si="102"/>
        <v>Not Match</v>
      </c>
      <c r="K1268" s="2">
        <f t="shared" si="99"/>
        <v>0.58309518948452999</v>
      </c>
      <c r="L1268" s="2" t="e">
        <f t="shared" si="100"/>
        <v>#N/A</v>
      </c>
      <c r="M1268" s="2" t="str">
        <f t="shared" si="101"/>
        <v>Assign quadrant hit</v>
      </c>
      <c r="N1268" s="7">
        <v>27.2</v>
      </c>
      <c r="O1268" s="7">
        <v>12.2</v>
      </c>
      <c r="P1268" s="7">
        <v>-7.9</v>
      </c>
      <c r="Q1268" s="7">
        <v>-0.57999999999999996</v>
      </c>
      <c r="R1268" s="7">
        <v>0.3</v>
      </c>
      <c r="S1268" s="7">
        <v>0.5</v>
      </c>
      <c r="T1268" s="7">
        <v>-0.01</v>
      </c>
      <c r="U1268" s="7">
        <v>0.61</v>
      </c>
      <c r="V1268" s="7">
        <v>0.84</v>
      </c>
      <c r="W1268" s="7" t="s">
        <v>13</v>
      </c>
      <c r="X1268" s="7" t="s">
        <v>9</v>
      </c>
      <c r="Y1268" s="2" t="s">
        <v>719</v>
      </c>
      <c r="Z1268" s="2" t="s">
        <v>721</v>
      </c>
    </row>
    <row r="1269" spans="1:26" x14ac:dyDescent="0.35">
      <c r="A1269" s="7" t="s">
        <v>1540</v>
      </c>
      <c r="B1269" s="7" t="s">
        <v>1316</v>
      </c>
      <c r="C1269" s="4" t="str">
        <f>_xlfn.XLOOKUP(A1269,[2]Sheet2!$I$2:$I$1273,[2]Sheet2!$D$2:$D$1273,0)</f>
        <v>Q3</v>
      </c>
      <c r="D1269" s="4">
        <f>_xlfn.XLOOKUP(B1269,[4]Sheet2!$B$2:$B$3154,[4]Sheet2!$F$2:$F$3154,0)</f>
        <v>0</v>
      </c>
      <c r="E1269" s="4" t="e">
        <f>_xlfn.XLOOKUP(B1269,[2]Sheet2!$E$2:$E$713,[2]Sheet2!$G$2:$G$713)</f>
        <v>#N/A</v>
      </c>
      <c r="F1269" s="18">
        <v>46137</v>
      </c>
      <c r="G1269" s="14">
        <v>0.27258101851851851</v>
      </c>
      <c r="H1269" s="7" t="s">
        <v>10</v>
      </c>
      <c r="I1269" s="2" t="str">
        <f t="shared" si="98"/>
        <v>Q1</v>
      </c>
      <c r="J1269" s="2" t="str">
        <f t="shared" si="102"/>
        <v>Not Match</v>
      </c>
      <c r="K1269" s="2">
        <f t="shared" si="99"/>
        <v>0.31622776601683794</v>
      </c>
      <c r="L1269" s="2" t="e">
        <f t="shared" si="100"/>
        <v>#N/A</v>
      </c>
      <c r="M1269" s="2" t="str">
        <f t="shared" si="101"/>
        <v>Assign quadrant hit</v>
      </c>
      <c r="N1269" s="7">
        <v>13.9</v>
      </c>
      <c r="O1269" s="7">
        <v>0.6</v>
      </c>
      <c r="P1269" s="7">
        <v>-0.8</v>
      </c>
      <c r="Q1269" s="7">
        <v>-0.61</v>
      </c>
      <c r="R1269" s="7">
        <v>0.1</v>
      </c>
      <c r="S1269" s="7">
        <v>0.3</v>
      </c>
      <c r="T1269" s="7">
        <v>-0.32</v>
      </c>
      <c r="U1269" s="7">
        <v>0.48</v>
      </c>
      <c r="V1269" s="7">
        <v>0.84</v>
      </c>
      <c r="W1269" s="7" t="s">
        <v>13</v>
      </c>
      <c r="X1269" s="7" t="s">
        <v>9</v>
      </c>
      <c r="Y1269" s="2" t="s">
        <v>719</v>
      </c>
      <c r="Z1269" s="2" t="s">
        <v>721</v>
      </c>
    </row>
    <row r="1270" spans="1:26" x14ac:dyDescent="0.35">
      <c r="A1270" s="7" t="s">
        <v>1762</v>
      </c>
      <c r="B1270" s="7" t="s">
        <v>1317</v>
      </c>
      <c r="C1270" s="4" t="str">
        <f>_xlfn.XLOOKUP(A1270,[2]Sheet2!$I$2:$I$1273,[2]Sheet2!$D$2:$D$1273,0)</f>
        <v>Q3</v>
      </c>
      <c r="D1270" s="4">
        <f>_xlfn.XLOOKUP(B1270,[4]Sheet2!$B$2:$B$3154,[4]Sheet2!$F$2:$F$3154,0)</f>
        <v>0</v>
      </c>
      <c r="E1270" s="4" t="e">
        <f>_xlfn.XLOOKUP(B1270,[2]Sheet2!$E$2:$E$713,[2]Sheet2!$G$2:$G$713)</f>
        <v>#N/A</v>
      </c>
      <c r="F1270" s="18">
        <v>46137</v>
      </c>
      <c r="G1270" s="14">
        <v>0.27535879629629628</v>
      </c>
      <c r="H1270" s="7" t="s">
        <v>4</v>
      </c>
      <c r="I1270" s="2" t="str">
        <f t="shared" si="98"/>
        <v>Q4</v>
      </c>
      <c r="J1270" s="2" t="str">
        <f t="shared" si="102"/>
        <v>Not Match</v>
      </c>
      <c r="K1270" s="2">
        <f t="shared" si="99"/>
        <v>0.2</v>
      </c>
      <c r="L1270" s="2" t="e">
        <f t="shared" si="100"/>
        <v>#N/A</v>
      </c>
      <c r="M1270" s="2" t="str">
        <f t="shared" si="101"/>
        <v>Below 0.8 not in assigned quadrant</v>
      </c>
      <c r="N1270" s="7">
        <v>16.600000000000001</v>
      </c>
      <c r="O1270" s="7">
        <v>-0.7</v>
      </c>
      <c r="P1270" s="7">
        <v>-2.2000000000000002</v>
      </c>
      <c r="Q1270" s="7">
        <v>-0.2</v>
      </c>
      <c r="R1270" s="7">
        <v>0</v>
      </c>
      <c r="S1270" s="7">
        <v>-0.2</v>
      </c>
      <c r="T1270" s="7">
        <v>0.25</v>
      </c>
      <c r="U1270" s="7">
        <v>0.17</v>
      </c>
      <c r="V1270" s="7">
        <v>0.36</v>
      </c>
      <c r="W1270" s="7" t="s">
        <v>8</v>
      </c>
      <c r="X1270" s="7" t="s">
        <v>9</v>
      </c>
      <c r="Y1270" s="2" t="s">
        <v>719</v>
      </c>
      <c r="Z1270" s="2" t="s">
        <v>721</v>
      </c>
    </row>
    <row r="1271" spans="1:26" x14ac:dyDescent="0.35">
      <c r="A1271" s="7" t="s">
        <v>1785</v>
      </c>
      <c r="B1271" s="7" t="s">
        <v>1318</v>
      </c>
      <c r="C1271" s="4" t="str">
        <f>_xlfn.XLOOKUP(A1271,[2]Sheet2!$I$2:$I$1273,[2]Sheet2!$D$2:$D$1273,0)</f>
        <v>Q4</v>
      </c>
      <c r="D1271" s="4">
        <f>_xlfn.XLOOKUP(B1271,[4]Sheet2!$B$2:$B$3154,[4]Sheet2!$F$2:$F$3154,0)</f>
        <v>0</v>
      </c>
      <c r="E1271" s="4" t="e">
        <f>_xlfn.XLOOKUP(B1271,[2]Sheet2!$E$2:$E$713,[2]Sheet2!$G$2:$G$713)</f>
        <v>#N/A</v>
      </c>
      <c r="F1271" s="18">
        <v>46137</v>
      </c>
      <c r="G1271" s="14">
        <v>0.46750000000000003</v>
      </c>
      <c r="H1271" s="7" t="s">
        <v>4</v>
      </c>
      <c r="I1271" s="2" t="str">
        <f t="shared" ref="I1271:I1334" si="103">IF(AND(R1271=0,S1271=0),IF(C1271="","Origin",C1271),
IF(AND(R1271&gt;0,S1271=0),"Q4",
IF(AND(R1271&lt;0,S1271=0),"Q3",
IF(AND(R1271&gt;=0,S1271&lt;0),"Q4",
IF(AND(R1271&gt;=0,S1271&gt;0),"Q1",
IF(AND(R1271&lt;0,S1271&lt;=0),"Q3",
IF(AND(R1271&lt;0,S1271&gt;0),"Q2",
"")))))))</f>
        <v>Q4</v>
      </c>
      <c r="J1271" s="2" t="str">
        <f t="shared" si="102"/>
        <v>Match</v>
      </c>
      <c r="K1271" s="2">
        <f t="shared" si="99"/>
        <v>0.7</v>
      </c>
      <c r="L1271" s="2" t="e">
        <f t="shared" si="100"/>
        <v>#N/A</v>
      </c>
      <c r="M1271" s="2" t="str">
        <f t="shared" si="101"/>
        <v>Failed but within quadrant</v>
      </c>
      <c r="N1271" s="7">
        <v>16.7</v>
      </c>
      <c r="O1271" s="7">
        <v>-0.4</v>
      </c>
      <c r="P1271" s="7">
        <v>-1.4</v>
      </c>
      <c r="Q1271" s="7">
        <v>-0.92</v>
      </c>
      <c r="R1271" s="7">
        <v>0</v>
      </c>
      <c r="S1271" s="7">
        <v>-0.7</v>
      </c>
      <c r="T1271" s="7">
        <v>1.02</v>
      </c>
      <c r="U1271" s="7">
        <v>0.32</v>
      </c>
      <c r="V1271" s="7">
        <v>1.41</v>
      </c>
      <c r="W1271" s="7" t="s">
        <v>6</v>
      </c>
      <c r="X1271" s="7" t="s">
        <v>9</v>
      </c>
      <c r="Y1271" s="2" t="s">
        <v>719</v>
      </c>
      <c r="Z1271" s="2" t="s">
        <v>721</v>
      </c>
    </row>
    <row r="1272" spans="1:26" x14ac:dyDescent="0.35">
      <c r="A1272" s="7" t="s">
        <v>1784</v>
      </c>
      <c r="B1272" s="7" t="s">
        <v>1213</v>
      </c>
      <c r="C1272" s="4" t="str">
        <f>_xlfn.XLOOKUP(A1272,[2]Sheet2!$I$2:$I$1273,[2]Sheet2!$D$2:$D$1273,0)</f>
        <v>Q2</v>
      </c>
      <c r="D1272" s="4">
        <f>_xlfn.XLOOKUP(B1272,[4]Sheet2!$B$2:$B$3154,[4]Sheet2!$F$2:$F$3154,0)</f>
        <v>0</v>
      </c>
      <c r="E1272" s="4" t="e">
        <f>_xlfn.XLOOKUP(B1272,[2]Sheet2!$E$2:$E$713,[2]Sheet2!$G$2:$G$713)</f>
        <v>#N/A</v>
      </c>
      <c r="F1272" s="18">
        <v>46137</v>
      </c>
      <c r="G1272" s="14">
        <v>0.48585648148148147</v>
      </c>
      <c r="H1272" s="7" t="s">
        <v>11</v>
      </c>
      <c r="I1272" s="2" t="str">
        <f t="shared" si="103"/>
        <v>Q4</v>
      </c>
      <c r="J1272" s="2" t="str">
        <f t="shared" si="102"/>
        <v>Not Match</v>
      </c>
      <c r="K1272" s="2">
        <f t="shared" si="99"/>
        <v>1</v>
      </c>
      <c r="L1272" s="2" t="e">
        <f t="shared" si="100"/>
        <v>#N/A</v>
      </c>
      <c r="M1272" s="2" t="str">
        <f t="shared" si="101"/>
        <v>Below 0.8 not in assigned quadrant</v>
      </c>
      <c r="N1272" s="7">
        <v>38.1</v>
      </c>
      <c r="O1272" s="7">
        <v>34.6</v>
      </c>
      <c r="P1272" s="7">
        <v>1.6</v>
      </c>
      <c r="Q1272" s="7">
        <v>0.15</v>
      </c>
      <c r="R1272" s="7">
        <v>0.6</v>
      </c>
      <c r="S1272" s="7">
        <v>-0.8</v>
      </c>
      <c r="T1272" s="7">
        <v>0.26</v>
      </c>
      <c r="U1272" s="7">
        <v>-0.62</v>
      </c>
      <c r="V1272" s="7">
        <v>0.69</v>
      </c>
      <c r="W1272" s="7" t="s">
        <v>8</v>
      </c>
      <c r="X1272" s="7" t="s">
        <v>7</v>
      </c>
      <c r="Y1272" s="2" t="s">
        <v>719</v>
      </c>
      <c r="Z1272" s="2" t="s">
        <v>721</v>
      </c>
    </row>
    <row r="1273" spans="1:26" x14ac:dyDescent="0.35">
      <c r="A1273" s="7" t="s">
        <v>1673</v>
      </c>
      <c r="B1273" s="7" t="s">
        <v>1319</v>
      </c>
      <c r="C1273" s="4" t="str">
        <f>_xlfn.XLOOKUP(A1273,[2]Sheet2!$I$2:$I$1273,[2]Sheet2!$D$2:$D$1273,0)</f>
        <v>Q1</v>
      </c>
      <c r="D1273" s="4">
        <f>_xlfn.XLOOKUP(B1273,[4]Sheet2!$B$2:$B$3154,[4]Sheet2!$F$2:$F$3154,0)</f>
        <v>0</v>
      </c>
      <c r="E1273" s="4" t="e">
        <f>_xlfn.XLOOKUP(B1273,[2]Sheet2!$E$2:$E$713,[2]Sheet2!$G$2:$G$713)</f>
        <v>#N/A</v>
      </c>
      <c r="F1273" s="18">
        <v>46137</v>
      </c>
      <c r="G1273" s="14">
        <v>0.48872685185185183</v>
      </c>
      <c r="H1273" s="7" t="s">
        <v>4</v>
      </c>
      <c r="I1273" s="2" t="str">
        <f t="shared" si="103"/>
        <v>Q4</v>
      </c>
      <c r="J1273" s="2" t="str">
        <f t="shared" si="102"/>
        <v>Not Match</v>
      </c>
      <c r="K1273" s="2">
        <f t="shared" si="99"/>
        <v>0.2</v>
      </c>
      <c r="L1273" s="2" t="e">
        <f t="shared" si="100"/>
        <v>#N/A</v>
      </c>
      <c r="M1273" s="2" t="str">
        <f t="shared" si="101"/>
        <v>Assign quadrant hit</v>
      </c>
      <c r="N1273" s="7">
        <v>15.1</v>
      </c>
      <c r="O1273" s="7">
        <v>-0.6</v>
      </c>
      <c r="P1273" s="7">
        <v>-1.8</v>
      </c>
      <c r="Q1273" s="7">
        <v>-0.86</v>
      </c>
      <c r="R1273" s="7">
        <v>0.2</v>
      </c>
      <c r="S1273" s="7">
        <v>0</v>
      </c>
      <c r="T1273" s="7">
        <v>-0.02</v>
      </c>
      <c r="U1273" s="7">
        <v>0.28999999999999998</v>
      </c>
      <c r="V1273" s="7">
        <v>0.91</v>
      </c>
      <c r="W1273" s="7" t="s">
        <v>13</v>
      </c>
      <c r="X1273" s="7" t="s">
        <v>9</v>
      </c>
      <c r="Y1273" s="2" t="s">
        <v>719</v>
      </c>
      <c r="Z1273" s="2" t="s">
        <v>721</v>
      </c>
    </row>
    <row r="1274" spans="1:26" x14ac:dyDescent="0.35">
      <c r="A1274" s="7" t="s">
        <v>1655</v>
      </c>
      <c r="B1274" s="7" t="s">
        <v>1320</v>
      </c>
      <c r="C1274" s="4" t="str">
        <f>_xlfn.XLOOKUP(A1274,[2]Sheet2!$I$2:$I$1273,[2]Sheet2!$D$2:$D$1273,0)</f>
        <v>Q3</v>
      </c>
      <c r="D1274" s="4">
        <f>_xlfn.XLOOKUP(B1274,[4]Sheet2!$B$2:$B$3154,[4]Sheet2!$F$2:$F$3154,0)</f>
        <v>0</v>
      </c>
      <c r="E1274" s="4" t="e">
        <f>_xlfn.XLOOKUP(B1274,[2]Sheet2!$E$2:$E$713,[2]Sheet2!$G$2:$G$713)</f>
        <v>#N/A</v>
      </c>
      <c r="F1274" s="18">
        <v>46137</v>
      </c>
      <c r="G1274" s="14">
        <v>0.49379629629629629</v>
      </c>
      <c r="H1274" s="7" t="s">
        <v>11</v>
      </c>
      <c r="I1274" s="2" t="str">
        <f t="shared" si="103"/>
        <v>Q4</v>
      </c>
      <c r="J1274" s="2" t="str">
        <f t="shared" si="102"/>
        <v>Not Match</v>
      </c>
      <c r="K1274" s="2">
        <f t="shared" si="99"/>
        <v>0.1</v>
      </c>
      <c r="L1274" s="2" t="e">
        <f t="shared" si="100"/>
        <v>#N/A</v>
      </c>
      <c r="M1274" s="2" t="str">
        <f t="shared" si="101"/>
        <v>Below 0.8 not in assigned quadrant</v>
      </c>
      <c r="N1274" s="7">
        <v>13.7</v>
      </c>
      <c r="O1274" s="7">
        <v>-0.8</v>
      </c>
      <c r="P1274" s="7">
        <v>-1.6</v>
      </c>
      <c r="Q1274" s="7">
        <v>0.06</v>
      </c>
      <c r="R1274" s="7">
        <v>0</v>
      </c>
      <c r="S1274" s="7">
        <v>-0.1</v>
      </c>
      <c r="T1274" s="7">
        <v>0.13</v>
      </c>
      <c r="U1274" s="7">
        <v>0.09</v>
      </c>
      <c r="V1274" s="7">
        <v>0.17</v>
      </c>
      <c r="W1274" s="7" t="s">
        <v>8</v>
      </c>
      <c r="X1274" s="7" t="s">
        <v>9</v>
      </c>
      <c r="Y1274" s="2" t="s">
        <v>719</v>
      </c>
      <c r="Z1274" s="2" t="s">
        <v>721</v>
      </c>
    </row>
    <row r="1275" spans="1:26" x14ac:dyDescent="0.35">
      <c r="A1275" s="7" t="s">
        <v>1715</v>
      </c>
      <c r="B1275" s="7" t="s">
        <v>1321</v>
      </c>
      <c r="C1275" s="4" t="str">
        <f>_xlfn.XLOOKUP(A1275,[2]Sheet2!$I$2:$I$1273,[2]Sheet2!$D$2:$D$1273,0)</f>
        <v>Q1</v>
      </c>
      <c r="D1275" s="4">
        <f>_xlfn.XLOOKUP(B1275,[4]Sheet2!$B$2:$B$3154,[4]Sheet2!$F$2:$F$3154,0)</f>
        <v>0</v>
      </c>
      <c r="E1275" s="4" t="e">
        <f>_xlfn.XLOOKUP(B1275,[2]Sheet2!$E$2:$E$713,[2]Sheet2!$G$2:$G$713)</f>
        <v>#N/A</v>
      </c>
      <c r="F1275" s="18">
        <v>46137</v>
      </c>
      <c r="G1275" s="14">
        <v>0.49668981481481483</v>
      </c>
      <c r="H1275" s="7" t="s">
        <v>5</v>
      </c>
      <c r="I1275" s="2" t="str">
        <f t="shared" si="103"/>
        <v>Q3</v>
      </c>
      <c r="J1275" s="2" t="str">
        <f t="shared" si="102"/>
        <v>Not Match</v>
      </c>
      <c r="K1275" s="2">
        <f t="shared" si="99"/>
        <v>0.72801098892805172</v>
      </c>
      <c r="L1275" s="2" t="e">
        <f t="shared" si="100"/>
        <v>#N/A</v>
      </c>
      <c r="M1275" s="2" t="str">
        <f t="shared" si="101"/>
        <v>Assign quadrant hit</v>
      </c>
      <c r="N1275" s="7">
        <v>12.4</v>
      </c>
      <c r="O1275" s="7">
        <v>-0.3</v>
      </c>
      <c r="P1275" s="7">
        <v>-2.6</v>
      </c>
      <c r="Q1275" s="7">
        <v>-1.82</v>
      </c>
      <c r="R1275" s="7">
        <v>-0.2</v>
      </c>
      <c r="S1275" s="7">
        <v>-0.7</v>
      </c>
      <c r="T1275" s="7">
        <v>0.95</v>
      </c>
      <c r="U1275" s="7">
        <v>-0.19</v>
      </c>
      <c r="V1275" s="7">
        <v>2.06</v>
      </c>
      <c r="W1275" s="7" t="s">
        <v>6</v>
      </c>
      <c r="X1275" s="7" t="s">
        <v>15</v>
      </c>
      <c r="Y1275" s="2" t="s">
        <v>719</v>
      </c>
      <c r="Z1275" s="2" t="s">
        <v>721</v>
      </c>
    </row>
    <row r="1276" spans="1:26" x14ac:dyDescent="0.35">
      <c r="A1276" s="7" t="s">
        <v>1526</v>
      </c>
      <c r="B1276" s="7" t="s">
        <v>1322</v>
      </c>
      <c r="C1276" s="4" t="str">
        <f>_xlfn.XLOOKUP(A1276,[2]Sheet2!$I$2:$I$1273,[2]Sheet2!$D$2:$D$1273,0)</f>
        <v>Q4</v>
      </c>
      <c r="D1276" s="4">
        <f>_xlfn.XLOOKUP(B1276,[4]Sheet2!$B$2:$B$3154,[4]Sheet2!$F$2:$F$3154,0)</f>
        <v>0</v>
      </c>
      <c r="E1276" s="4" t="e">
        <f>_xlfn.XLOOKUP(B1276,[2]Sheet2!$E$2:$E$713,[2]Sheet2!$G$2:$G$713)</f>
        <v>#N/A</v>
      </c>
      <c r="F1276" s="18">
        <v>46137</v>
      </c>
      <c r="G1276" s="14">
        <v>0.57685185185185184</v>
      </c>
      <c r="H1276" s="7" t="s">
        <v>11</v>
      </c>
      <c r="I1276" s="2" t="str">
        <f t="shared" si="103"/>
        <v>Q3</v>
      </c>
      <c r="J1276" s="2" t="str">
        <f t="shared" si="102"/>
        <v>Not Match</v>
      </c>
      <c r="K1276" s="2">
        <f t="shared" si="99"/>
        <v>0.4</v>
      </c>
      <c r="L1276" s="2" t="e">
        <f t="shared" si="100"/>
        <v>#N/A</v>
      </c>
      <c r="M1276" s="2" t="str">
        <f t="shared" si="101"/>
        <v>Below 0.8 not in assigned quadrant</v>
      </c>
      <c r="N1276" s="7">
        <v>32.700000000000003</v>
      </c>
      <c r="O1276" s="7">
        <v>-6</v>
      </c>
      <c r="P1276" s="7">
        <v>-11.2</v>
      </c>
      <c r="Q1276" s="7">
        <v>7.0000000000000007E-2</v>
      </c>
      <c r="R1276" s="7">
        <v>-0.4</v>
      </c>
      <c r="S1276" s="7">
        <v>0</v>
      </c>
      <c r="T1276" s="7">
        <v>0.13</v>
      </c>
      <c r="U1276" s="7">
        <v>-0.48</v>
      </c>
      <c r="V1276" s="7">
        <v>0.5</v>
      </c>
      <c r="W1276" s="7" t="s">
        <v>8</v>
      </c>
      <c r="X1276" s="7" t="s">
        <v>15</v>
      </c>
      <c r="Y1276" s="2" t="s">
        <v>719</v>
      </c>
      <c r="Z1276" s="2" t="s">
        <v>721</v>
      </c>
    </row>
    <row r="1277" spans="1:26" x14ac:dyDescent="0.35">
      <c r="A1277" s="7" t="s">
        <v>1626</v>
      </c>
      <c r="B1277" s="7" t="s">
        <v>1323</v>
      </c>
      <c r="C1277" s="4" t="str">
        <f>_xlfn.XLOOKUP(A1277,[2]Sheet2!$I$2:$I$1273,[2]Sheet2!$D$2:$D$1273,0)</f>
        <v>Q4</v>
      </c>
      <c r="D1277" s="4">
        <f>_xlfn.XLOOKUP(B1277,[4]Sheet2!$B$2:$B$3154,[4]Sheet2!$F$2:$F$3154,0)</f>
        <v>0</v>
      </c>
      <c r="E1277" s="4" t="e">
        <f>_xlfn.XLOOKUP(B1277,[2]Sheet2!$E$2:$E$713,[2]Sheet2!$G$2:$G$713)</f>
        <v>#N/A</v>
      </c>
      <c r="F1277" s="18">
        <v>46137</v>
      </c>
      <c r="G1277" s="14">
        <v>0.57868055555555553</v>
      </c>
      <c r="H1277" s="7" t="s">
        <v>11</v>
      </c>
      <c r="I1277" s="2" t="str">
        <f t="shared" si="103"/>
        <v>Q1</v>
      </c>
      <c r="J1277" s="2" t="str">
        <f t="shared" si="102"/>
        <v>Not Match</v>
      </c>
      <c r="K1277" s="2">
        <f t="shared" si="99"/>
        <v>0.2</v>
      </c>
      <c r="L1277" s="2" t="e">
        <f t="shared" si="100"/>
        <v>#N/A</v>
      </c>
      <c r="M1277" s="2" t="str">
        <f t="shared" si="101"/>
        <v>Below 0.8 not in assigned quadrant</v>
      </c>
      <c r="N1277" s="7">
        <v>16.100000000000001</v>
      </c>
      <c r="O1277" s="7">
        <v>-0.3</v>
      </c>
      <c r="P1277" s="7">
        <v>-2.1</v>
      </c>
      <c r="Q1277" s="7">
        <v>0.26</v>
      </c>
      <c r="R1277" s="7">
        <v>0</v>
      </c>
      <c r="S1277" s="7">
        <v>0.2</v>
      </c>
      <c r="T1277" s="7">
        <v>-0.36</v>
      </c>
      <c r="U1277" s="7">
        <v>0.03</v>
      </c>
      <c r="V1277" s="7">
        <v>0.44</v>
      </c>
      <c r="W1277" s="7" t="s">
        <v>8</v>
      </c>
      <c r="X1277" s="7" t="s">
        <v>9</v>
      </c>
      <c r="Y1277" s="2" t="s">
        <v>719</v>
      </c>
      <c r="Z1277" s="2" t="s">
        <v>721</v>
      </c>
    </row>
    <row r="1278" spans="1:26" x14ac:dyDescent="0.35">
      <c r="A1278" s="7" t="s">
        <v>1734</v>
      </c>
      <c r="B1278" s="7" t="s">
        <v>1324</v>
      </c>
      <c r="C1278" s="4" t="str">
        <f>_xlfn.XLOOKUP(A1278,[2]Sheet2!$I$2:$I$1273,[2]Sheet2!$D$2:$D$1273,0)</f>
        <v>Q4</v>
      </c>
      <c r="D1278" s="4">
        <f>_xlfn.XLOOKUP(B1278,[4]Sheet2!$B$2:$B$3154,[4]Sheet2!$F$2:$F$3154,0)</f>
        <v>0</v>
      </c>
      <c r="E1278" s="4" t="e">
        <f>_xlfn.XLOOKUP(B1278,[2]Sheet2!$E$2:$E$713,[2]Sheet2!$G$2:$G$713)</f>
        <v>#N/A</v>
      </c>
      <c r="F1278" s="18">
        <v>46137</v>
      </c>
      <c r="G1278" s="14">
        <v>0.6877199074074074</v>
      </c>
      <c r="H1278" s="7" t="s">
        <v>4</v>
      </c>
      <c r="I1278" s="2" t="str">
        <f t="shared" si="103"/>
        <v>Q4</v>
      </c>
      <c r="J1278" s="2" t="str">
        <f t="shared" si="102"/>
        <v>Match</v>
      </c>
      <c r="K1278" s="2">
        <f t="shared" si="99"/>
        <v>0.2</v>
      </c>
      <c r="L1278" s="2" t="e">
        <f t="shared" si="100"/>
        <v>#N/A</v>
      </c>
      <c r="M1278" s="2" t="str">
        <f t="shared" si="101"/>
        <v>Failed but within quadrant</v>
      </c>
      <c r="N1278" s="7">
        <v>14.7</v>
      </c>
      <c r="O1278" s="7">
        <v>-0.4</v>
      </c>
      <c r="P1278" s="7">
        <v>-1.5</v>
      </c>
      <c r="Q1278" s="7">
        <v>-1.1299999999999999</v>
      </c>
      <c r="R1278" s="7">
        <v>0.2</v>
      </c>
      <c r="S1278" s="7">
        <v>0</v>
      </c>
      <c r="T1278" s="7">
        <v>-0.03</v>
      </c>
      <c r="U1278" s="7">
        <v>0.34</v>
      </c>
      <c r="V1278" s="7">
        <v>1.18</v>
      </c>
      <c r="W1278" s="7" t="s">
        <v>6</v>
      </c>
      <c r="X1278" s="7" t="s">
        <v>9</v>
      </c>
      <c r="Y1278" s="2" t="s">
        <v>719</v>
      </c>
      <c r="Z1278" s="2" t="s">
        <v>721</v>
      </c>
    </row>
    <row r="1279" spans="1:26" x14ac:dyDescent="0.35">
      <c r="A1279" s="7" t="s">
        <v>1625</v>
      </c>
      <c r="B1279" s="7" t="s">
        <v>1325</v>
      </c>
      <c r="C1279" s="4" t="str">
        <f>_xlfn.XLOOKUP(A1279,[2]Sheet2!$I$2:$I$1273,[2]Sheet2!$D$2:$D$1273,0)</f>
        <v>Q1</v>
      </c>
      <c r="D1279" s="4">
        <f>_xlfn.XLOOKUP(B1279,[4]Sheet2!$B$2:$B$3154,[4]Sheet2!$F$2:$F$3154,0)</f>
        <v>0</v>
      </c>
      <c r="E1279" s="4" t="e">
        <f>_xlfn.XLOOKUP(B1279,[2]Sheet2!$E$2:$E$713,[2]Sheet2!$G$2:$G$713)</f>
        <v>#N/A</v>
      </c>
      <c r="F1279" s="18">
        <v>46137</v>
      </c>
      <c r="G1279" s="14">
        <v>0.69100694444444444</v>
      </c>
      <c r="H1279" s="7" t="s">
        <v>4</v>
      </c>
      <c r="I1279" s="2" t="str">
        <f t="shared" si="103"/>
        <v>Q4</v>
      </c>
      <c r="J1279" s="2" t="str">
        <f t="shared" si="102"/>
        <v>Not Match</v>
      </c>
      <c r="K1279" s="2">
        <f t="shared" si="99"/>
        <v>0.3</v>
      </c>
      <c r="L1279" s="2" t="e">
        <f t="shared" si="100"/>
        <v>#N/A</v>
      </c>
      <c r="M1279" s="2" t="str">
        <f t="shared" si="101"/>
        <v>Below 0.8 not in assigned quadrant</v>
      </c>
      <c r="N1279" s="7">
        <v>20.399999999999999</v>
      </c>
      <c r="O1279" s="7">
        <v>0</v>
      </c>
      <c r="P1279" s="7">
        <v>-3.1</v>
      </c>
      <c r="Q1279" s="7">
        <v>-0.34</v>
      </c>
      <c r="R1279" s="7">
        <v>0</v>
      </c>
      <c r="S1279" s="7">
        <v>-0.3</v>
      </c>
      <c r="T1279" s="7">
        <v>0.4</v>
      </c>
      <c r="U1279" s="7">
        <v>-0.04</v>
      </c>
      <c r="V1279" s="7">
        <v>0.53</v>
      </c>
      <c r="W1279" s="7" t="s">
        <v>8</v>
      </c>
      <c r="X1279" s="7" t="s">
        <v>15</v>
      </c>
      <c r="Y1279" s="2" t="s">
        <v>719</v>
      </c>
      <c r="Z1279" s="2" t="s">
        <v>721</v>
      </c>
    </row>
    <row r="1280" spans="1:26" x14ac:dyDescent="0.35">
      <c r="A1280" s="7" t="s">
        <v>1521</v>
      </c>
      <c r="B1280" s="7" t="s">
        <v>1326</v>
      </c>
      <c r="C1280" s="4" t="str">
        <f>_xlfn.XLOOKUP(A1280,[2]Sheet2!$I$2:$I$1273,[2]Sheet2!$D$2:$D$1273,0)</f>
        <v>Q3</v>
      </c>
      <c r="D1280" s="4">
        <f>_xlfn.XLOOKUP(B1280,[4]Sheet2!$B$2:$B$3154,[4]Sheet2!$F$2:$F$3154,0)</f>
        <v>0</v>
      </c>
      <c r="E1280" s="4" t="e">
        <f>_xlfn.XLOOKUP(B1280,[2]Sheet2!$E$2:$E$713,[2]Sheet2!$G$2:$G$713)</f>
        <v>#N/A</v>
      </c>
      <c r="F1280" s="18">
        <v>46137</v>
      </c>
      <c r="G1280" s="14">
        <v>0.76962962962962966</v>
      </c>
      <c r="H1280" s="7" t="s">
        <v>11</v>
      </c>
      <c r="I1280" s="2" t="str">
        <f t="shared" si="103"/>
        <v>Q3</v>
      </c>
      <c r="J1280" s="2" t="str">
        <f t="shared" si="102"/>
        <v>Match</v>
      </c>
      <c r="K1280" s="2">
        <f t="shared" si="99"/>
        <v>0</v>
      </c>
      <c r="L1280" s="2" t="e">
        <f t="shared" si="100"/>
        <v>#N/A</v>
      </c>
      <c r="M1280" s="2" t="str">
        <f t="shared" si="101"/>
        <v>Digital Approve Hit</v>
      </c>
      <c r="N1280" s="7">
        <v>20.3</v>
      </c>
      <c r="O1280" s="7">
        <v>0.9</v>
      </c>
      <c r="P1280" s="7">
        <v>-8.4</v>
      </c>
      <c r="Q1280" s="7">
        <v>-0.56000000000000005</v>
      </c>
      <c r="R1280" s="7">
        <v>0</v>
      </c>
      <c r="S1280" s="7">
        <v>0</v>
      </c>
      <c r="T1280" s="7">
        <v>-0.01</v>
      </c>
      <c r="U1280" s="7">
        <v>-0.08</v>
      </c>
      <c r="V1280" s="7">
        <v>0.56000000000000005</v>
      </c>
      <c r="W1280" s="7" t="s">
        <v>8</v>
      </c>
      <c r="X1280" s="7" t="s">
        <v>15</v>
      </c>
      <c r="Y1280" s="2" t="s">
        <v>719</v>
      </c>
      <c r="Z1280" s="2" t="s">
        <v>721</v>
      </c>
    </row>
    <row r="1281" spans="1:26" x14ac:dyDescent="0.35">
      <c r="A1281" s="7" t="s">
        <v>1786</v>
      </c>
      <c r="B1281" s="7" t="s">
        <v>1327</v>
      </c>
      <c r="C1281" s="4" t="str">
        <f>_xlfn.XLOOKUP(A1281,[2]Sheet2!$I$2:$I$1273,[2]Sheet2!$D$2:$D$1273,0)</f>
        <v>Q4</v>
      </c>
      <c r="D1281" s="4">
        <f>_xlfn.XLOOKUP(B1281,[4]Sheet2!$B$2:$B$3154,[4]Sheet2!$F$2:$F$3154,0)</f>
        <v>0</v>
      </c>
      <c r="E1281" s="4" t="e">
        <f>_xlfn.XLOOKUP(B1281,[2]Sheet2!$E$2:$E$713,[2]Sheet2!$G$2:$G$713)</f>
        <v>#N/A</v>
      </c>
      <c r="F1281" s="18">
        <v>46139</v>
      </c>
      <c r="G1281" s="14">
        <v>0.62902777777777774</v>
      </c>
      <c r="H1281" s="7" t="s">
        <v>11</v>
      </c>
      <c r="I1281" s="2" t="str">
        <f t="shared" si="103"/>
        <v>Q1</v>
      </c>
      <c r="J1281" s="2" t="str">
        <f t="shared" si="102"/>
        <v>Not Match</v>
      </c>
      <c r="K1281" s="2">
        <f t="shared" ref="K1281:K1344" si="104">SQRT(R1281^2+S1281^2)</f>
        <v>0.6</v>
      </c>
      <c r="L1281" s="2" t="e">
        <f t="shared" ref="L1281:L1344" si="105">IF(K1281&lt;=E1281,"Within Range","Over Range")</f>
        <v>#N/A</v>
      </c>
      <c r="M1281" s="2" t="str">
        <f t="shared" ref="M1281:M1344" si="106">IF(AND(J1281="Match",V1281&lt;=0.8),"Digital Approve Hit",
IF(AND(J1281="Match",V1281&gt;0.8),"Failed but within quadrant",
IF(AND(J1281="Not Match",V1281&lt;=0.8),"Below 0.8 not in assigned quadrant",
"Assign quadrant hit")))</f>
        <v>Below 0.8 not in assigned quadrant</v>
      </c>
      <c r="N1281" s="7">
        <v>24.4</v>
      </c>
      <c r="O1281" s="7">
        <v>9.9</v>
      </c>
      <c r="P1281" s="7">
        <v>-4</v>
      </c>
      <c r="Q1281" s="7">
        <v>-0.16</v>
      </c>
      <c r="R1281" s="7">
        <v>0</v>
      </c>
      <c r="S1281" s="7">
        <v>0.6</v>
      </c>
      <c r="T1281" s="7">
        <v>-0.25</v>
      </c>
      <c r="U1281" s="7">
        <v>0.62</v>
      </c>
      <c r="V1281" s="7">
        <v>0.69</v>
      </c>
      <c r="W1281" s="7" t="s">
        <v>8</v>
      </c>
      <c r="X1281" s="7" t="s">
        <v>9</v>
      </c>
      <c r="Y1281" s="2" t="s">
        <v>719</v>
      </c>
      <c r="Z1281" s="2" t="s">
        <v>721</v>
      </c>
    </row>
    <row r="1282" spans="1:26" x14ac:dyDescent="0.35">
      <c r="A1282" s="7" t="s">
        <v>1593</v>
      </c>
      <c r="B1282" s="7" t="s">
        <v>1329</v>
      </c>
      <c r="C1282" s="4" t="str">
        <f>_xlfn.XLOOKUP(A1282,[2]Sheet2!$I$2:$I$1273,[2]Sheet2!$D$2:$D$1273,0)</f>
        <v>Q3</v>
      </c>
      <c r="D1282" s="4">
        <f>_xlfn.XLOOKUP(B1282,[4]Sheet2!$B$2:$B$3154,[4]Sheet2!$F$2:$F$3154,0)</f>
        <v>0</v>
      </c>
      <c r="E1282" s="4" t="e">
        <f>_xlfn.XLOOKUP(B1282,[2]Sheet2!$E$2:$E$713,[2]Sheet2!$G$2:$G$713)</f>
        <v>#N/A</v>
      </c>
      <c r="F1282" s="18">
        <v>46139</v>
      </c>
      <c r="G1282" s="14">
        <v>0.68356481481481479</v>
      </c>
      <c r="H1282" s="7" t="s">
        <v>5</v>
      </c>
      <c r="I1282" s="2" t="str">
        <f t="shared" si="103"/>
        <v>Q1</v>
      </c>
      <c r="J1282" s="2" t="str">
        <f t="shared" si="102"/>
        <v>Not Match</v>
      </c>
      <c r="K1282" s="2">
        <f t="shared" si="104"/>
        <v>0.36055512754639896</v>
      </c>
      <c r="L1282" s="2" t="e">
        <f t="shared" si="105"/>
        <v>#N/A</v>
      </c>
      <c r="M1282" s="2" t="str">
        <f t="shared" si="106"/>
        <v>Assign quadrant hit</v>
      </c>
      <c r="N1282" s="7">
        <v>22.2</v>
      </c>
      <c r="O1282" s="7">
        <v>3.5</v>
      </c>
      <c r="P1282" s="7">
        <v>2.7</v>
      </c>
      <c r="Q1282" s="7">
        <v>-1.36</v>
      </c>
      <c r="R1282" s="7">
        <v>0.2</v>
      </c>
      <c r="S1282" s="7">
        <v>0.3</v>
      </c>
      <c r="T1282" s="7">
        <v>0.48</v>
      </c>
      <c r="U1282" s="7">
        <v>0.15</v>
      </c>
      <c r="V1282" s="7">
        <v>1.44</v>
      </c>
      <c r="W1282" s="7" t="s">
        <v>6</v>
      </c>
      <c r="X1282" s="7" t="s">
        <v>12</v>
      </c>
      <c r="Y1282" s="2" t="s">
        <v>719</v>
      </c>
      <c r="Z1282" s="2" t="s">
        <v>721</v>
      </c>
    </row>
    <row r="1283" spans="1:26" x14ac:dyDescent="0.35">
      <c r="A1283" s="7" t="s">
        <v>1500</v>
      </c>
      <c r="B1283" s="7" t="s">
        <v>1330</v>
      </c>
      <c r="C1283" s="4" t="str">
        <f>_xlfn.XLOOKUP(A1283,[2]Sheet2!$I$2:$I$1273,[2]Sheet2!$D$2:$D$1273,0)</f>
        <v>Q2</v>
      </c>
      <c r="D1283" s="4">
        <f>_xlfn.XLOOKUP(B1283,[4]Sheet2!$B$2:$B$3154,[4]Sheet2!$F$2:$F$3154,0)</f>
        <v>0</v>
      </c>
      <c r="E1283" s="4" t="e">
        <f>_xlfn.XLOOKUP(B1283,[2]Sheet2!$E$2:$E$713,[2]Sheet2!$G$2:$G$713)</f>
        <v>#N/A</v>
      </c>
      <c r="F1283" s="18">
        <v>46139</v>
      </c>
      <c r="G1283" s="14">
        <v>0.73357638888888888</v>
      </c>
      <c r="H1283" s="7" t="s">
        <v>5</v>
      </c>
      <c r="I1283" s="2" t="str">
        <f t="shared" si="103"/>
        <v>Q4</v>
      </c>
      <c r="J1283" s="2" t="str">
        <f t="shared" ref="J1283:J1346" si="107">IF(I1283=C1283,"Match",IF(C1283=0,"Not Found","Not Match"))</f>
        <v>Not Match</v>
      </c>
      <c r="K1283" s="2">
        <f t="shared" si="104"/>
        <v>0.1</v>
      </c>
      <c r="L1283" s="2" t="e">
        <f t="shared" si="105"/>
        <v>#N/A</v>
      </c>
      <c r="M1283" s="2" t="str">
        <f t="shared" si="106"/>
        <v>Assign quadrant hit</v>
      </c>
      <c r="N1283" s="7">
        <v>16.600000000000001</v>
      </c>
      <c r="O1283" s="7">
        <v>-0.5</v>
      </c>
      <c r="P1283" s="7">
        <v>-1.5</v>
      </c>
      <c r="Q1283" s="7">
        <v>-0.91</v>
      </c>
      <c r="R1283" s="7">
        <v>0.1</v>
      </c>
      <c r="S1283" s="7">
        <v>0</v>
      </c>
      <c r="T1283" s="7">
        <v>-0.16</v>
      </c>
      <c r="U1283" s="7">
        <v>0.12</v>
      </c>
      <c r="V1283" s="7">
        <v>0.93</v>
      </c>
      <c r="W1283" s="7" t="s">
        <v>13</v>
      </c>
      <c r="X1283" s="7" t="s">
        <v>9</v>
      </c>
      <c r="Y1283" s="2" t="s">
        <v>719</v>
      </c>
      <c r="Z1283" s="2" t="s">
        <v>721</v>
      </c>
    </row>
    <row r="1284" spans="1:26" x14ac:dyDescent="0.35">
      <c r="A1284" s="7" t="s">
        <v>1518</v>
      </c>
      <c r="B1284" s="7" t="s">
        <v>1331</v>
      </c>
      <c r="C1284" s="4" t="str">
        <f>_xlfn.XLOOKUP(A1284,[2]Sheet2!$I$2:$I$1273,[2]Sheet2!$D$2:$D$1273,0)</f>
        <v>Q1</v>
      </c>
      <c r="D1284" s="4">
        <f>_xlfn.XLOOKUP(B1284,[4]Sheet2!$B$2:$B$3154,[4]Sheet2!$F$2:$F$3154,0)</f>
        <v>0</v>
      </c>
      <c r="E1284" s="4" t="e">
        <f>_xlfn.XLOOKUP(B1284,[2]Sheet2!$E$2:$E$713,[2]Sheet2!$G$2:$G$713)</f>
        <v>#N/A</v>
      </c>
      <c r="F1284" s="18">
        <v>46139</v>
      </c>
      <c r="G1284" s="14">
        <v>0.73484953703703704</v>
      </c>
      <c r="H1284" s="7" t="s">
        <v>11</v>
      </c>
      <c r="I1284" s="2" t="str">
        <f t="shared" si="103"/>
        <v>Q1</v>
      </c>
      <c r="J1284" s="2" t="str">
        <f t="shared" si="107"/>
        <v>Match</v>
      </c>
      <c r="K1284" s="2">
        <f t="shared" si="104"/>
        <v>1.9235384061671343</v>
      </c>
      <c r="L1284" s="2" t="e">
        <f t="shared" si="105"/>
        <v>#N/A</v>
      </c>
      <c r="M1284" s="2" t="str">
        <f t="shared" si="106"/>
        <v>Failed but within quadrant</v>
      </c>
      <c r="N1284" s="7">
        <v>26.6</v>
      </c>
      <c r="O1284" s="7">
        <v>6.6</v>
      </c>
      <c r="P1284" s="7">
        <v>9.8000000000000007</v>
      </c>
      <c r="Q1284" s="7">
        <v>0.1</v>
      </c>
      <c r="R1284" s="7">
        <v>0.3</v>
      </c>
      <c r="S1284" s="7">
        <v>1.9</v>
      </c>
      <c r="T1284" s="7">
        <v>1.45</v>
      </c>
      <c r="U1284" s="7">
        <v>1.71</v>
      </c>
      <c r="V1284" s="7">
        <v>2.2400000000000002</v>
      </c>
      <c r="W1284" s="7" t="s">
        <v>6</v>
      </c>
      <c r="X1284" s="7" t="s">
        <v>12</v>
      </c>
      <c r="Y1284" s="2" t="s">
        <v>719</v>
      </c>
      <c r="Z1284" s="2" t="s">
        <v>721</v>
      </c>
    </row>
    <row r="1285" spans="1:26" x14ac:dyDescent="0.35">
      <c r="A1285" s="7" t="s">
        <v>1645</v>
      </c>
      <c r="B1285" s="7" t="s">
        <v>1332</v>
      </c>
      <c r="C1285" s="4" t="str">
        <f>_xlfn.XLOOKUP(A1285,[2]Sheet2!$I$2:$I$1273,[2]Sheet2!$D$2:$D$1273,0)</f>
        <v>Q2</v>
      </c>
      <c r="D1285" s="4">
        <f>_xlfn.XLOOKUP(B1285,[4]Sheet2!$B$2:$B$3154,[4]Sheet2!$F$2:$F$3154,0)</f>
        <v>0</v>
      </c>
      <c r="E1285" s="4" t="e">
        <f>_xlfn.XLOOKUP(B1285,[2]Sheet2!$E$2:$E$713,[2]Sheet2!$G$2:$G$713)</f>
        <v>#N/A</v>
      </c>
      <c r="F1285" s="18">
        <v>46139</v>
      </c>
      <c r="G1285" s="14">
        <v>0.73750000000000004</v>
      </c>
      <c r="H1285" s="7" t="s">
        <v>4</v>
      </c>
      <c r="I1285" s="2" t="str">
        <f t="shared" si="103"/>
        <v>Q3</v>
      </c>
      <c r="J1285" s="2" t="str">
        <f t="shared" si="107"/>
        <v>Not Match</v>
      </c>
      <c r="K1285" s="2">
        <f t="shared" si="104"/>
        <v>0.36055512754639896</v>
      </c>
      <c r="L1285" s="2" t="e">
        <f t="shared" si="105"/>
        <v>#N/A</v>
      </c>
      <c r="M1285" s="2" t="str">
        <f t="shared" si="106"/>
        <v>Below 0.8 not in assigned quadrant</v>
      </c>
      <c r="N1285" s="7">
        <v>17.3</v>
      </c>
      <c r="O1285" s="7">
        <v>-1.4</v>
      </c>
      <c r="P1285" s="7">
        <v>-1.6</v>
      </c>
      <c r="Q1285" s="7">
        <v>0.44</v>
      </c>
      <c r="R1285" s="7">
        <v>-0.2</v>
      </c>
      <c r="S1285" s="7">
        <v>-0.3</v>
      </c>
      <c r="T1285" s="7">
        <v>0.49</v>
      </c>
      <c r="U1285" s="7">
        <v>0.08</v>
      </c>
      <c r="V1285" s="7">
        <v>0.67</v>
      </c>
      <c r="W1285" s="7" t="s">
        <v>8</v>
      </c>
      <c r="X1285" s="7" t="s">
        <v>7</v>
      </c>
      <c r="Y1285" s="2" t="s">
        <v>719</v>
      </c>
      <c r="Z1285" s="2" t="s">
        <v>721</v>
      </c>
    </row>
    <row r="1286" spans="1:26" x14ac:dyDescent="0.35">
      <c r="A1286" s="7" t="s">
        <v>1747</v>
      </c>
      <c r="B1286" s="7" t="s">
        <v>1333</v>
      </c>
      <c r="C1286" s="4">
        <f>_xlfn.XLOOKUP(A1286,[2]Sheet2!$I$2:$I$1273,[2]Sheet2!$D$2:$D$1273,0)</f>
        <v>0</v>
      </c>
      <c r="D1286" s="4">
        <f>_xlfn.XLOOKUP(B1286,[4]Sheet2!$B$2:$B$3154,[4]Sheet2!$F$2:$F$3154,0)</f>
        <v>0</v>
      </c>
      <c r="E1286" s="4" t="e">
        <f>_xlfn.XLOOKUP(B1286,[2]Sheet2!$E$2:$E$713,[2]Sheet2!$G$2:$G$713)</f>
        <v>#N/A</v>
      </c>
      <c r="F1286" s="18">
        <v>46139</v>
      </c>
      <c r="G1286" s="14">
        <v>0.76923611111111112</v>
      </c>
      <c r="H1286" s="7" t="s">
        <v>16</v>
      </c>
      <c r="I1286" s="2" t="str">
        <f t="shared" si="103"/>
        <v>Q3</v>
      </c>
      <c r="J1286" s="2" t="str">
        <f t="shared" si="107"/>
        <v>Not Found</v>
      </c>
      <c r="K1286" s="2">
        <f t="shared" si="104"/>
        <v>0.1</v>
      </c>
      <c r="L1286" s="2" t="e">
        <f t="shared" si="105"/>
        <v>#N/A</v>
      </c>
      <c r="M1286" s="2" t="str">
        <f t="shared" si="106"/>
        <v>Assign quadrant hit</v>
      </c>
      <c r="N1286" s="7">
        <v>16.7</v>
      </c>
      <c r="O1286" s="7">
        <v>-0.8</v>
      </c>
      <c r="P1286" s="7">
        <v>-6.1</v>
      </c>
      <c r="Q1286" s="7">
        <v>-0.28999999999999998</v>
      </c>
      <c r="R1286" s="7">
        <v>-0.1</v>
      </c>
      <c r="S1286" s="7">
        <v>0</v>
      </c>
      <c r="T1286" s="7">
        <v>0.11</v>
      </c>
      <c r="U1286" s="7">
        <v>-0.22</v>
      </c>
      <c r="V1286" s="7">
        <v>0.38</v>
      </c>
      <c r="W1286" s="7" t="s">
        <v>8</v>
      </c>
      <c r="X1286" s="7" t="s">
        <v>15</v>
      </c>
      <c r="Y1286" s="2" t="s">
        <v>719</v>
      </c>
      <c r="Z1286" s="2" t="s">
        <v>721</v>
      </c>
    </row>
    <row r="1287" spans="1:26" x14ac:dyDescent="0.35">
      <c r="A1287" s="7" t="s">
        <v>1747</v>
      </c>
      <c r="B1287" s="7" t="s">
        <v>1334</v>
      </c>
      <c r="C1287" s="4">
        <f>_xlfn.XLOOKUP(A1287,[2]Sheet2!$I$2:$I$1273,[2]Sheet2!$D$2:$D$1273,0)</f>
        <v>0</v>
      </c>
      <c r="D1287" s="4">
        <f>_xlfn.XLOOKUP(B1287,[4]Sheet2!$B$2:$B$3154,[4]Sheet2!$F$2:$F$3154,0)</f>
        <v>0</v>
      </c>
      <c r="E1287" s="4" t="e">
        <f>_xlfn.XLOOKUP(B1287,[2]Sheet2!$E$2:$E$713,[2]Sheet2!$G$2:$G$713)</f>
        <v>#N/A</v>
      </c>
      <c r="F1287" s="18">
        <v>46139</v>
      </c>
      <c r="G1287" s="14">
        <v>0.77003472222222225</v>
      </c>
      <c r="H1287" s="7" t="s">
        <v>16</v>
      </c>
      <c r="I1287" s="2" t="str">
        <f t="shared" si="103"/>
        <v>Q1</v>
      </c>
      <c r="J1287" s="2" t="str">
        <f t="shared" si="107"/>
        <v>Not Found</v>
      </c>
      <c r="K1287" s="2">
        <f t="shared" si="104"/>
        <v>0.2</v>
      </c>
      <c r="L1287" s="2" t="e">
        <f t="shared" si="105"/>
        <v>#N/A</v>
      </c>
      <c r="M1287" s="2" t="str">
        <f t="shared" si="106"/>
        <v>Assign quadrant hit</v>
      </c>
      <c r="N1287" s="7">
        <v>16.7</v>
      </c>
      <c r="O1287" s="7">
        <v>-0.7</v>
      </c>
      <c r="P1287" s="7">
        <v>-5.7</v>
      </c>
      <c r="Q1287" s="7">
        <v>-0.27</v>
      </c>
      <c r="R1287" s="7">
        <v>0</v>
      </c>
      <c r="S1287" s="7">
        <v>0.2</v>
      </c>
      <c r="T1287" s="7">
        <v>-0.26</v>
      </c>
      <c r="U1287" s="7">
        <v>-0.16</v>
      </c>
      <c r="V1287" s="7">
        <v>0.41</v>
      </c>
      <c r="W1287" s="7" t="s">
        <v>8</v>
      </c>
      <c r="X1287" s="7" t="s">
        <v>15</v>
      </c>
      <c r="Y1287" s="2" t="s">
        <v>719</v>
      </c>
      <c r="Z1287" s="2" t="s">
        <v>721</v>
      </c>
    </row>
    <row r="1288" spans="1:26" x14ac:dyDescent="0.35">
      <c r="A1288" s="7" t="s">
        <v>1593</v>
      </c>
      <c r="B1288" s="7" t="s">
        <v>1298</v>
      </c>
      <c r="C1288" s="4" t="str">
        <f>_xlfn.XLOOKUP(A1288,[2]Sheet2!$I$2:$I$1273,[2]Sheet2!$D$2:$D$1273,0)</f>
        <v>Q3</v>
      </c>
      <c r="D1288" s="4">
        <f>_xlfn.XLOOKUP(B1288,[4]Sheet2!$B$2:$B$3154,[4]Sheet2!$F$2:$F$3154,0)</f>
        <v>0</v>
      </c>
      <c r="E1288" s="4" t="e">
        <f>_xlfn.XLOOKUP(B1288,[2]Sheet2!$E$2:$E$713,[2]Sheet2!$G$2:$G$713)</f>
        <v>#N/A</v>
      </c>
      <c r="F1288" s="18">
        <v>46139</v>
      </c>
      <c r="G1288" s="14">
        <v>0.97348379629629633</v>
      </c>
      <c r="H1288" s="7" t="s">
        <v>5</v>
      </c>
      <c r="I1288" s="2" t="str">
        <f t="shared" si="103"/>
        <v>Q1</v>
      </c>
      <c r="J1288" s="2" t="str">
        <f t="shared" si="107"/>
        <v>Not Match</v>
      </c>
      <c r="K1288" s="2">
        <f t="shared" si="104"/>
        <v>0.31622776601683794</v>
      </c>
      <c r="L1288" s="2" t="e">
        <f t="shared" si="105"/>
        <v>#N/A</v>
      </c>
      <c r="M1288" s="2" t="str">
        <f t="shared" si="106"/>
        <v>Assign quadrant hit</v>
      </c>
      <c r="N1288" s="7">
        <v>22.5</v>
      </c>
      <c r="O1288" s="7">
        <v>3.5</v>
      </c>
      <c r="P1288" s="7">
        <v>2.5</v>
      </c>
      <c r="Q1288" s="7">
        <v>-1.1599999999999999</v>
      </c>
      <c r="R1288" s="7">
        <v>0.3</v>
      </c>
      <c r="S1288" s="7">
        <v>0.1</v>
      </c>
      <c r="T1288" s="7">
        <v>0.41</v>
      </c>
      <c r="U1288" s="7">
        <v>-0.06</v>
      </c>
      <c r="V1288" s="7">
        <v>1.23</v>
      </c>
      <c r="W1288" s="7" t="s">
        <v>6</v>
      </c>
      <c r="X1288" s="7" t="s">
        <v>7</v>
      </c>
      <c r="Y1288" s="2" t="s">
        <v>719</v>
      </c>
      <c r="Z1288" s="2" t="s">
        <v>721</v>
      </c>
    </row>
    <row r="1289" spans="1:26" x14ac:dyDescent="0.35">
      <c r="A1289" s="7" t="s">
        <v>1787</v>
      </c>
      <c r="B1289" s="7" t="s">
        <v>1336</v>
      </c>
      <c r="C1289" s="4" t="str">
        <f>_xlfn.XLOOKUP(A1289,[2]Sheet2!$I$2:$I$1273,[2]Sheet2!$D$2:$D$1273,0)</f>
        <v>Q1</v>
      </c>
      <c r="D1289" s="4">
        <f>_xlfn.XLOOKUP(B1289,[4]Sheet2!$B$2:$B$3154,[4]Sheet2!$F$2:$F$3154,0)</f>
        <v>0</v>
      </c>
      <c r="E1289" s="4" t="e">
        <f>_xlfn.XLOOKUP(B1289,[2]Sheet2!$E$2:$E$713,[2]Sheet2!$G$2:$G$713)</f>
        <v>#N/A</v>
      </c>
      <c r="F1289" s="18">
        <v>46140</v>
      </c>
      <c r="G1289" s="14">
        <v>3.5567129629629629E-2</v>
      </c>
      <c r="H1289" s="7" t="s">
        <v>14</v>
      </c>
      <c r="I1289" s="2" t="str">
        <f t="shared" si="103"/>
        <v>Q1</v>
      </c>
      <c r="J1289" s="2" t="str">
        <f t="shared" si="107"/>
        <v>Match</v>
      </c>
      <c r="K1289" s="2">
        <f t="shared" si="104"/>
        <v>0.42426406871192851</v>
      </c>
      <c r="L1289" s="2" t="e">
        <f t="shared" si="105"/>
        <v>#N/A</v>
      </c>
      <c r="M1289" s="2" t="str">
        <f t="shared" si="106"/>
        <v>Digital Approve Hit</v>
      </c>
      <c r="N1289" s="7">
        <v>36.5</v>
      </c>
      <c r="O1289" s="7">
        <v>-10.6</v>
      </c>
      <c r="P1289" s="7">
        <v>-22.6</v>
      </c>
      <c r="Q1289" s="7">
        <v>0.56000000000000005</v>
      </c>
      <c r="R1289" s="7">
        <v>0.3</v>
      </c>
      <c r="S1289" s="7">
        <v>0.3</v>
      </c>
      <c r="T1289" s="7">
        <v>-0.26</v>
      </c>
      <c r="U1289" s="7">
        <v>0.1</v>
      </c>
      <c r="V1289" s="7">
        <v>0.63</v>
      </c>
      <c r="W1289" s="7" t="s">
        <v>8</v>
      </c>
      <c r="X1289" s="7" t="s">
        <v>9</v>
      </c>
      <c r="Y1289" s="2" t="s">
        <v>719</v>
      </c>
      <c r="Z1289" s="2" t="s">
        <v>721</v>
      </c>
    </row>
    <row r="1290" spans="1:26" x14ac:dyDescent="0.35">
      <c r="A1290" s="7" t="s">
        <v>1543</v>
      </c>
      <c r="B1290" s="7" t="s">
        <v>1337</v>
      </c>
      <c r="C1290" s="4" t="str">
        <f>_xlfn.XLOOKUP(A1290,[2]Sheet2!$I$2:$I$1273,[2]Sheet2!$D$2:$D$1273,0)</f>
        <v>Q3</v>
      </c>
      <c r="D1290" s="4">
        <f>_xlfn.XLOOKUP(B1290,[4]Sheet2!$B$2:$B$3154,[4]Sheet2!$F$2:$F$3154,0)</f>
        <v>0</v>
      </c>
      <c r="E1290" s="4" t="e">
        <f>_xlfn.XLOOKUP(B1290,[2]Sheet2!$E$2:$E$713,[2]Sheet2!$G$2:$G$713)</f>
        <v>#N/A</v>
      </c>
      <c r="F1290" s="18">
        <v>46140</v>
      </c>
      <c r="G1290" s="14">
        <v>3.9143518518518522E-2</v>
      </c>
      <c r="H1290" s="7" t="s">
        <v>11</v>
      </c>
      <c r="I1290" s="2" t="str">
        <f t="shared" si="103"/>
        <v>Q4</v>
      </c>
      <c r="J1290" s="2" t="str">
        <f t="shared" si="107"/>
        <v>Not Match</v>
      </c>
      <c r="K1290" s="2">
        <f t="shared" si="104"/>
        <v>0.50990195135927852</v>
      </c>
      <c r="L1290" s="2" t="e">
        <f t="shared" si="105"/>
        <v>#N/A</v>
      </c>
      <c r="M1290" s="2" t="str">
        <f t="shared" si="106"/>
        <v>Assign quadrant hit</v>
      </c>
      <c r="N1290" s="7">
        <v>25.5</v>
      </c>
      <c r="O1290" s="7">
        <v>6.8</v>
      </c>
      <c r="P1290" s="7">
        <v>7.3</v>
      </c>
      <c r="Q1290" s="7">
        <v>-0.37</v>
      </c>
      <c r="R1290" s="7">
        <v>0.1</v>
      </c>
      <c r="S1290" s="7">
        <v>-0.5</v>
      </c>
      <c r="T1290" s="7">
        <v>-0.25</v>
      </c>
      <c r="U1290" s="7">
        <v>-0.97</v>
      </c>
      <c r="V1290" s="7">
        <v>1.06</v>
      </c>
      <c r="W1290" s="7" t="s">
        <v>6</v>
      </c>
      <c r="X1290" s="7" t="s">
        <v>9</v>
      </c>
      <c r="Y1290" s="2" t="s">
        <v>719</v>
      </c>
      <c r="Z1290" s="2" t="s">
        <v>721</v>
      </c>
    </row>
    <row r="1291" spans="1:26" x14ac:dyDescent="0.35">
      <c r="A1291" s="7" t="s">
        <v>1783</v>
      </c>
      <c r="B1291" s="7" t="s">
        <v>1338</v>
      </c>
      <c r="C1291" s="4">
        <f>_xlfn.XLOOKUP(A1291,[2]Sheet2!$I$2:$I$1273,[2]Sheet2!$D$2:$D$1273,0)</f>
        <v>0</v>
      </c>
      <c r="D1291" s="4">
        <f>_xlfn.XLOOKUP(B1291,[4]Sheet2!$B$2:$B$3154,[4]Sheet2!$F$2:$F$3154,0)</f>
        <v>0</v>
      </c>
      <c r="E1291" s="4" t="e">
        <f>_xlfn.XLOOKUP(B1291,[2]Sheet2!$E$2:$E$713,[2]Sheet2!$G$2:$G$713)</f>
        <v>#N/A</v>
      </c>
      <c r="F1291" s="18">
        <v>46140</v>
      </c>
      <c r="G1291" s="14">
        <v>6.7071759259259262E-2</v>
      </c>
      <c r="H1291" s="7" t="s">
        <v>10</v>
      </c>
      <c r="I1291" s="2" t="str">
        <f t="shared" si="103"/>
        <v>Q4</v>
      </c>
      <c r="J1291" s="2" t="str">
        <f t="shared" si="107"/>
        <v>Not Found</v>
      </c>
      <c r="K1291" s="2">
        <f t="shared" si="104"/>
        <v>1.1045361017187261</v>
      </c>
      <c r="L1291" s="2" t="e">
        <f t="shared" si="105"/>
        <v>#N/A</v>
      </c>
      <c r="M1291" s="2" t="str">
        <f t="shared" si="106"/>
        <v>Assign quadrant hit</v>
      </c>
      <c r="N1291" s="7">
        <v>19.399999999999999</v>
      </c>
      <c r="O1291" s="7">
        <v>0.8</v>
      </c>
      <c r="P1291" s="7">
        <v>-1.7</v>
      </c>
      <c r="Q1291" s="7">
        <v>1.35</v>
      </c>
      <c r="R1291" s="7">
        <v>0.1</v>
      </c>
      <c r="S1291" s="7">
        <v>-1.1000000000000001</v>
      </c>
      <c r="T1291" s="7">
        <v>1.45</v>
      </c>
      <c r="U1291" s="7">
        <v>-0.76</v>
      </c>
      <c r="V1291" s="7">
        <v>2.12</v>
      </c>
      <c r="W1291" s="7" t="s">
        <v>6</v>
      </c>
      <c r="X1291" s="7" t="s">
        <v>7</v>
      </c>
      <c r="Y1291" s="2" t="s">
        <v>719</v>
      </c>
      <c r="Z1291" s="2" t="s">
        <v>721</v>
      </c>
    </row>
    <row r="1292" spans="1:26" x14ac:dyDescent="0.35">
      <c r="A1292" s="7" t="s">
        <v>1762</v>
      </c>
      <c r="B1292" s="7" t="s">
        <v>1339</v>
      </c>
      <c r="C1292" s="4" t="str">
        <f>_xlfn.XLOOKUP(A1292,[2]Sheet2!$I$2:$I$1273,[2]Sheet2!$D$2:$D$1273,0)</f>
        <v>Q3</v>
      </c>
      <c r="D1292" s="4">
        <f>_xlfn.XLOOKUP(B1292,[4]Sheet2!$B$2:$B$3154,[4]Sheet2!$F$2:$F$3154,0)</f>
        <v>0</v>
      </c>
      <c r="E1292" s="4" t="e">
        <f>_xlfn.XLOOKUP(B1292,[2]Sheet2!$E$2:$E$713,[2]Sheet2!$G$2:$G$713)</f>
        <v>#N/A</v>
      </c>
      <c r="F1292" s="18">
        <v>46140</v>
      </c>
      <c r="G1292" s="14">
        <v>5.8125000000000003E-2</v>
      </c>
      <c r="H1292" s="7" t="s">
        <v>4</v>
      </c>
      <c r="I1292" s="2" t="str">
        <f t="shared" si="103"/>
        <v>Q3</v>
      </c>
      <c r="J1292" s="2" t="str">
        <f t="shared" si="107"/>
        <v>Match</v>
      </c>
      <c r="K1292" s="2">
        <f t="shared" si="104"/>
        <v>0.22360679774997899</v>
      </c>
      <c r="L1292" s="2" t="e">
        <f t="shared" si="105"/>
        <v>#N/A</v>
      </c>
      <c r="M1292" s="2" t="str">
        <f t="shared" si="106"/>
        <v>Digital Approve Hit</v>
      </c>
      <c r="N1292" s="7">
        <v>17.7</v>
      </c>
      <c r="O1292" s="7">
        <v>-1.1000000000000001</v>
      </c>
      <c r="P1292" s="7">
        <v>-2.2000000000000002</v>
      </c>
      <c r="Q1292" s="7">
        <v>0.31</v>
      </c>
      <c r="R1292" s="7">
        <v>-0.2</v>
      </c>
      <c r="S1292" s="7">
        <v>-0.1</v>
      </c>
      <c r="T1292" s="7">
        <v>0.31</v>
      </c>
      <c r="U1292" s="7">
        <v>-0.2</v>
      </c>
      <c r="V1292" s="7">
        <v>0.49</v>
      </c>
      <c r="W1292" s="7" t="s">
        <v>8</v>
      </c>
      <c r="X1292" s="7" t="s">
        <v>15</v>
      </c>
      <c r="Y1292" s="2" t="s">
        <v>719</v>
      </c>
      <c r="Z1292" s="2" t="s">
        <v>721</v>
      </c>
    </row>
    <row r="1293" spans="1:26" x14ac:dyDescent="0.35">
      <c r="A1293" s="7" t="s">
        <v>1776</v>
      </c>
      <c r="B1293" s="7" t="s">
        <v>1276</v>
      </c>
      <c r="C1293" s="4" t="str">
        <f>_xlfn.XLOOKUP(A1293,[2]Sheet2!$I$2:$I$1273,[2]Sheet2!$D$2:$D$1273,0)</f>
        <v>Q1</v>
      </c>
      <c r="D1293" s="4">
        <f>_xlfn.XLOOKUP(B1293,[4]Sheet2!$B$2:$B$3154,[4]Sheet2!$F$2:$F$3154,0)</f>
        <v>0</v>
      </c>
      <c r="E1293" s="4" t="e">
        <f>_xlfn.XLOOKUP(B1293,[2]Sheet2!$E$2:$E$713,[2]Sheet2!$G$2:$G$713)</f>
        <v>#N/A</v>
      </c>
      <c r="F1293" s="18">
        <v>46140</v>
      </c>
      <c r="G1293" s="14">
        <v>0.2682060185185185</v>
      </c>
      <c r="H1293" s="7" t="s">
        <v>14</v>
      </c>
      <c r="I1293" s="2" t="str">
        <f t="shared" si="103"/>
        <v>Q1</v>
      </c>
      <c r="J1293" s="2" t="str">
        <f t="shared" si="107"/>
        <v>Match</v>
      </c>
      <c r="K1293" s="2">
        <f t="shared" si="104"/>
        <v>0.5</v>
      </c>
      <c r="L1293" s="2" t="e">
        <f t="shared" si="105"/>
        <v>#N/A</v>
      </c>
      <c r="M1293" s="2" t="str">
        <f t="shared" si="106"/>
        <v>Digital Approve Hit</v>
      </c>
      <c r="N1293" s="7">
        <v>23.4</v>
      </c>
      <c r="O1293" s="7">
        <v>14.8</v>
      </c>
      <c r="P1293" s="7">
        <v>5.9</v>
      </c>
      <c r="Q1293" s="7">
        <v>0.2</v>
      </c>
      <c r="R1293" s="7">
        <v>0.3</v>
      </c>
      <c r="S1293" s="7">
        <v>0.4</v>
      </c>
      <c r="T1293" s="7">
        <v>0.33</v>
      </c>
      <c r="U1293" s="7">
        <v>0.38</v>
      </c>
      <c r="V1293" s="7">
        <v>0.55000000000000004</v>
      </c>
      <c r="W1293" s="7" t="s">
        <v>8</v>
      </c>
      <c r="X1293" s="7" t="s">
        <v>12</v>
      </c>
      <c r="Y1293" s="2" t="s">
        <v>719</v>
      </c>
      <c r="Z1293" s="2" t="s">
        <v>721</v>
      </c>
    </row>
    <row r="1294" spans="1:26" x14ac:dyDescent="0.35">
      <c r="A1294" s="7" t="s">
        <v>1707</v>
      </c>
      <c r="B1294" s="7" t="s">
        <v>1341</v>
      </c>
      <c r="C1294" s="4" t="str">
        <f>_xlfn.XLOOKUP(A1294,[2]Sheet2!$I$2:$I$1273,[2]Sheet2!$D$2:$D$1273,0)</f>
        <v>Q1</v>
      </c>
      <c r="D1294" s="4">
        <f>_xlfn.XLOOKUP(B1294,[4]Sheet2!$B$2:$B$3154,[4]Sheet2!$F$2:$F$3154,0)</f>
        <v>0</v>
      </c>
      <c r="E1294" s="4" t="e">
        <f>_xlfn.XLOOKUP(B1294,[2]Sheet2!$E$2:$E$713,[2]Sheet2!$G$2:$G$713)</f>
        <v>#N/A</v>
      </c>
      <c r="F1294" s="18">
        <v>46140</v>
      </c>
      <c r="G1294" s="14">
        <v>0.27216435185185184</v>
      </c>
      <c r="H1294" s="7" t="s">
        <v>5</v>
      </c>
      <c r="I1294" s="2" t="str">
        <f t="shared" si="103"/>
        <v>Q3</v>
      </c>
      <c r="J1294" s="2" t="str">
        <f t="shared" si="107"/>
        <v>Not Match</v>
      </c>
      <c r="K1294" s="2">
        <f t="shared" si="104"/>
        <v>0.22360679774997899</v>
      </c>
      <c r="L1294" s="2" t="e">
        <f t="shared" si="105"/>
        <v>#N/A</v>
      </c>
      <c r="M1294" s="2" t="str">
        <f t="shared" si="106"/>
        <v>Below 0.8 not in assigned quadrant</v>
      </c>
      <c r="N1294" s="7">
        <v>17.600000000000001</v>
      </c>
      <c r="O1294" s="7">
        <v>-1.6</v>
      </c>
      <c r="P1294" s="7">
        <v>-9.9</v>
      </c>
      <c r="Q1294" s="7">
        <v>-0.48</v>
      </c>
      <c r="R1294" s="7">
        <v>-0.2</v>
      </c>
      <c r="S1294" s="7">
        <v>-0.1</v>
      </c>
      <c r="T1294" s="7">
        <v>0.13</v>
      </c>
      <c r="U1294" s="7">
        <v>-0.34</v>
      </c>
      <c r="V1294" s="7">
        <v>0.6</v>
      </c>
      <c r="W1294" s="7" t="s">
        <v>8</v>
      </c>
      <c r="X1294" s="7" t="s">
        <v>15</v>
      </c>
      <c r="Y1294" s="2" t="s">
        <v>719</v>
      </c>
      <c r="Z1294" s="2" t="s">
        <v>721</v>
      </c>
    </row>
    <row r="1295" spans="1:26" x14ac:dyDescent="0.35">
      <c r="A1295" s="7" t="s">
        <v>1785</v>
      </c>
      <c r="B1295" s="7" t="s">
        <v>1342</v>
      </c>
      <c r="C1295" s="4" t="str">
        <f>_xlfn.XLOOKUP(A1295,[2]Sheet2!$I$2:$I$1273,[2]Sheet2!$D$2:$D$1273,0)</f>
        <v>Q4</v>
      </c>
      <c r="D1295" s="4">
        <f>_xlfn.XLOOKUP(B1295,[4]Sheet2!$B$2:$B$3154,[4]Sheet2!$F$2:$F$3154,0)</f>
        <v>0</v>
      </c>
      <c r="E1295" s="4" t="e">
        <f>_xlfn.XLOOKUP(B1295,[2]Sheet2!$E$2:$E$713,[2]Sheet2!$G$2:$G$713)</f>
        <v>#N/A</v>
      </c>
      <c r="F1295" s="18">
        <v>46140</v>
      </c>
      <c r="G1295" s="14">
        <v>0.27391203703703704</v>
      </c>
      <c r="H1295" s="7" t="s">
        <v>4</v>
      </c>
      <c r="I1295" s="2" t="str">
        <f t="shared" si="103"/>
        <v>Q3</v>
      </c>
      <c r="J1295" s="2" t="str">
        <f t="shared" si="107"/>
        <v>Not Match</v>
      </c>
      <c r="K1295" s="2">
        <f t="shared" si="104"/>
        <v>0.22360679774997899</v>
      </c>
      <c r="L1295" s="2" t="e">
        <f t="shared" si="105"/>
        <v>#N/A</v>
      </c>
      <c r="M1295" s="2" t="str">
        <f t="shared" si="106"/>
        <v>Below 0.8 not in assigned quadrant</v>
      </c>
      <c r="N1295" s="7">
        <v>17.2</v>
      </c>
      <c r="O1295" s="7">
        <v>-0.6</v>
      </c>
      <c r="P1295" s="7">
        <v>-0.8</v>
      </c>
      <c r="Q1295" s="7">
        <v>-0.44</v>
      </c>
      <c r="R1295" s="7">
        <v>-0.2</v>
      </c>
      <c r="S1295" s="7">
        <v>-0.1</v>
      </c>
      <c r="T1295" s="7">
        <v>0.37</v>
      </c>
      <c r="U1295" s="7">
        <v>-0.19</v>
      </c>
      <c r="V1295" s="7">
        <v>0.61</v>
      </c>
      <c r="W1295" s="7" t="s">
        <v>8</v>
      </c>
      <c r="X1295" s="7" t="s">
        <v>15</v>
      </c>
      <c r="Y1295" s="2" t="s">
        <v>719</v>
      </c>
      <c r="Z1295" s="2" t="s">
        <v>721</v>
      </c>
    </row>
    <row r="1296" spans="1:26" x14ac:dyDescent="0.35">
      <c r="A1296" s="7" t="s">
        <v>1762</v>
      </c>
      <c r="B1296" s="7" t="s">
        <v>1344</v>
      </c>
      <c r="C1296" s="4" t="str">
        <f>_xlfn.XLOOKUP(A1296,[2]Sheet2!$I$2:$I$1273,[2]Sheet2!$D$2:$D$1273,0)</f>
        <v>Q3</v>
      </c>
      <c r="D1296" s="4">
        <f>_xlfn.XLOOKUP(B1296,[4]Sheet2!$B$2:$B$3154,[4]Sheet2!$F$2:$F$3154,0)</f>
        <v>0</v>
      </c>
      <c r="E1296" s="4" t="e">
        <f>_xlfn.XLOOKUP(B1296,[2]Sheet2!$E$2:$E$713,[2]Sheet2!$G$2:$G$713)</f>
        <v>#N/A</v>
      </c>
      <c r="F1296" s="18">
        <v>46140</v>
      </c>
      <c r="G1296" s="14">
        <v>0.28052083333333333</v>
      </c>
      <c r="H1296" s="7" t="s">
        <v>14</v>
      </c>
      <c r="I1296" s="2" t="str">
        <f t="shared" si="103"/>
        <v>Q4</v>
      </c>
      <c r="J1296" s="2" t="str">
        <f t="shared" si="107"/>
        <v>Not Match</v>
      </c>
      <c r="K1296" s="2">
        <f t="shared" si="104"/>
        <v>0.3</v>
      </c>
      <c r="L1296" s="2" t="e">
        <f t="shared" si="105"/>
        <v>#N/A</v>
      </c>
      <c r="M1296" s="2" t="str">
        <f t="shared" si="106"/>
        <v>Below 0.8 not in assigned quadrant</v>
      </c>
      <c r="N1296" s="7">
        <v>16.8</v>
      </c>
      <c r="O1296" s="7">
        <v>-0.8</v>
      </c>
      <c r="P1296" s="7">
        <v>-3.7</v>
      </c>
      <c r="Q1296" s="7">
        <v>0.2</v>
      </c>
      <c r="R1296" s="7">
        <v>0</v>
      </c>
      <c r="S1296" s="7">
        <v>-0.3</v>
      </c>
      <c r="T1296" s="7">
        <v>0.37</v>
      </c>
      <c r="U1296" s="7">
        <v>0</v>
      </c>
      <c r="V1296" s="7">
        <v>0.42</v>
      </c>
      <c r="W1296" s="7" t="s">
        <v>8</v>
      </c>
      <c r="X1296" s="7" t="s">
        <v>15</v>
      </c>
      <c r="Y1296" s="2" t="s">
        <v>719</v>
      </c>
      <c r="Z1296" s="2" t="s">
        <v>721</v>
      </c>
    </row>
    <row r="1297" spans="1:26" x14ac:dyDescent="0.35">
      <c r="A1297" s="7" t="s">
        <v>1788</v>
      </c>
      <c r="B1297" s="7" t="s">
        <v>1345</v>
      </c>
      <c r="C1297" s="4" t="str">
        <f>_xlfn.XLOOKUP(A1297,[2]Sheet2!$I$2:$I$1273,[2]Sheet2!$D$2:$D$1273,0)</f>
        <v>Q4</v>
      </c>
      <c r="D1297" s="4">
        <f>_xlfn.XLOOKUP(B1297,[4]Sheet2!$B$2:$B$3154,[4]Sheet2!$F$2:$F$3154,0)</f>
        <v>0</v>
      </c>
      <c r="E1297" s="4" t="e">
        <f>_xlfn.XLOOKUP(B1297,[2]Sheet2!$E$2:$E$713,[2]Sheet2!$G$2:$G$713)</f>
        <v>#N/A</v>
      </c>
      <c r="F1297" s="18">
        <v>46140</v>
      </c>
      <c r="G1297" s="14">
        <v>0.41685185185185186</v>
      </c>
      <c r="H1297" s="7" t="s">
        <v>5</v>
      </c>
      <c r="I1297" s="2" t="str">
        <f t="shared" si="103"/>
        <v>Q4</v>
      </c>
      <c r="J1297" s="2" t="str">
        <f t="shared" si="107"/>
        <v>Match</v>
      </c>
      <c r="K1297" s="2">
        <f t="shared" si="104"/>
        <v>0.2</v>
      </c>
      <c r="L1297" s="2" t="e">
        <f t="shared" si="105"/>
        <v>#N/A</v>
      </c>
      <c r="M1297" s="2" t="str">
        <f t="shared" si="106"/>
        <v>Digital Approve Hit</v>
      </c>
      <c r="N1297" s="7">
        <v>19.899999999999999</v>
      </c>
      <c r="O1297" s="7">
        <v>5.6</v>
      </c>
      <c r="P1297" s="7">
        <v>-11.1</v>
      </c>
      <c r="Q1297" s="7">
        <v>-0.56999999999999995</v>
      </c>
      <c r="R1297" s="7">
        <v>0.2</v>
      </c>
      <c r="S1297" s="7">
        <v>0</v>
      </c>
      <c r="T1297" s="7">
        <v>0.06</v>
      </c>
      <c r="U1297" s="7">
        <v>0.27</v>
      </c>
      <c r="V1297" s="7">
        <v>0.64</v>
      </c>
      <c r="W1297" s="7" t="s">
        <v>8</v>
      </c>
      <c r="X1297" s="7" t="s">
        <v>9</v>
      </c>
      <c r="Y1297" s="2" t="s">
        <v>719</v>
      </c>
      <c r="Z1297" s="2" t="s">
        <v>721</v>
      </c>
    </row>
    <row r="1298" spans="1:26" x14ac:dyDescent="0.35">
      <c r="A1298" s="7" t="s">
        <v>1789</v>
      </c>
      <c r="B1298" s="7" t="s">
        <v>1346</v>
      </c>
      <c r="C1298" s="4" t="str">
        <f>_xlfn.XLOOKUP(A1298,[2]Sheet2!$I$2:$I$1273,[2]Sheet2!$D$2:$D$1273,0)</f>
        <v>Q2</v>
      </c>
      <c r="D1298" s="4">
        <f>_xlfn.XLOOKUP(B1298,[4]Sheet2!$B$2:$B$3154,[4]Sheet2!$F$2:$F$3154,0)</f>
        <v>0</v>
      </c>
      <c r="E1298" s="4" t="e">
        <f>_xlfn.XLOOKUP(B1298,[2]Sheet2!$E$2:$E$713,[2]Sheet2!$G$2:$G$713)</f>
        <v>#N/A</v>
      </c>
      <c r="F1298" s="18">
        <v>46140</v>
      </c>
      <c r="G1298" s="14">
        <v>0.48153935185185187</v>
      </c>
      <c r="H1298" s="7" t="s">
        <v>4</v>
      </c>
      <c r="I1298" s="2" t="str">
        <f t="shared" si="103"/>
        <v>Q3</v>
      </c>
      <c r="J1298" s="2" t="str">
        <f t="shared" si="107"/>
        <v>Not Match</v>
      </c>
      <c r="K1298" s="2">
        <f t="shared" si="104"/>
        <v>0.3</v>
      </c>
      <c r="L1298" s="2" t="e">
        <f t="shared" si="105"/>
        <v>#N/A</v>
      </c>
      <c r="M1298" s="2" t="str">
        <f t="shared" si="106"/>
        <v>Below 0.8 not in assigned quadrant</v>
      </c>
      <c r="N1298" s="7">
        <v>31.2</v>
      </c>
      <c r="O1298" s="7">
        <v>12.4</v>
      </c>
      <c r="P1298" s="7">
        <v>-47.7</v>
      </c>
      <c r="Q1298" s="7">
        <v>-0.2</v>
      </c>
      <c r="R1298" s="7">
        <v>-0.3</v>
      </c>
      <c r="S1298" s="7">
        <v>0</v>
      </c>
      <c r="T1298" s="7">
        <v>-0.06</v>
      </c>
      <c r="U1298" s="7">
        <v>-0.2</v>
      </c>
      <c r="V1298" s="7">
        <v>0.3</v>
      </c>
      <c r="W1298" s="7" t="s">
        <v>8</v>
      </c>
      <c r="X1298" s="7" t="s">
        <v>15</v>
      </c>
      <c r="Y1298" s="2" t="s">
        <v>719</v>
      </c>
      <c r="Z1298" s="2" t="s">
        <v>721</v>
      </c>
    </row>
    <row r="1299" spans="1:26" x14ac:dyDescent="0.35">
      <c r="A1299" s="7" t="s">
        <v>1597</v>
      </c>
      <c r="B1299" s="7" t="s">
        <v>1348</v>
      </c>
      <c r="C1299" s="4">
        <f>_xlfn.XLOOKUP(A1299,[2]Sheet2!$I$2:$I$1273,[2]Sheet2!$D$2:$D$1273,0)</f>
        <v>0</v>
      </c>
      <c r="D1299" s="4">
        <f>_xlfn.XLOOKUP(B1299,[4]Sheet2!$B$2:$B$3154,[4]Sheet2!$F$2:$F$3154,0)</f>
        <v>0</v>
      </c>
      <c r="E1299" s="4" t="e">
        <f>_xlfn.XLOOKUP(B1299,[2]Sheet2!$E$2:$E$713,[2]Sheet2!$G$2:$G$713)</f>
        <v>#N/A</v>
      </c>
      <c r="F1299" s="18">
        <v>46140</v>
      </c>
      <c r="G1299" s="14">
        <v>0.53248842592592593</v>
      </c>
      <c r="H1299" s="7" t="s">
        <v>5</v>
      </c>
      <c r="I1299" s="2" t="str">
        <f t="shared" si="103"/>
        <v>Q1</v>
      </c>
      <c r="J1299" s="2" t="str">
        <f t="shared" si="107"/>
        <v>Not Found</v>
      </c>
      <c r="K1299" s="2">
        <f t="shared" si="104"/>
        <v>0.1</v>
      </c>
      <c r="L1299" s="2" t="e">
        <f t="shared" si="105"/>
        <v>#N/A</v>
      </c>
      <c r="M1299" s="2" t="str">
        <f t="shared" si="106"/>
        <v>Assign quadrant hit</v>
      </c>
      <c r="N1299" s="7">
        <v>15.1</v>
      </c>
      <c r="O1299" s="7">
        <v>-0.8</v>
      </c>
      <c r="P1299" s="7">
        <v>-2.8</v>
      </c>
      <c r="Q1299" s="7">
        <v>-0.64</v>
      </c>
      <c r="R1299" s="7">
        <v>0</v>
      </c>
      <c r="S1299" s="7">
        <v>0.1</v>
      </c>
      <c r="T1299" s="7">
        <v>-0.16</v>
      </c>
      <c r="U1299" s="7">
        <v>-0.1</v>
      </c>
      <c r="V1299" s="7">
        <v>0.67</v>
      </c>
      <c r="W1299" s="7" t="s">
        <v>8</v>
      </c>
      <c r="X1299" s="7" t="s">
        <v>15</v>
      </c>
      <c r="Y1299" s="2" t="s">
        <v>719</v>
      </c>
      <c r="Z1299" s="2" t="s">
        <v>721</v>
      </c>
    </row>
    <row r="1300" spans="1:26" x14ac:dyDescent="0.35">
      <c r="A1300" s="7" t="s">
        <v>1790</v>
      </c>
      <c r="B1300" s="7" t="s">
        <v>1347</v>
      </c>
      <c r="C1300" s="4" t="str">
        <f>_xlfn.XLOOKUP(A1300,[2]Sheet2!$I$2:$I$1273,[2]Sheet2!$D$2:$D$1273,0)</f>
        <v>Q1</v>
      </c>
      <c r="D1300" s="4">
        <f>_xlfn.XLOOKUP(B1300,[4]Sheet2!$B$2:$B$3154,[4]Sheet2!$F$2:$F$3154,0)</f>
        <v>0</v>
      </c>
      <c r="E1300" s="4" t="e">
        <f>_xlfn.XLOOKUP(B1300,[2]Sheet2!$E$2:$E$713,[2]Sheet2!$G$2:$G$713)</f>
        <v>#N/A</v>
      </c>
      <c r="F1300" s="18">
        <v>46140</v>
      </c>
      <c r="G1300" s="14">
        <v>0.5675</v>
      </c>
      <c r="H1300" s="7" t="s">
        <v>5</v>
      </c>
      <c r="I1300" s="2" t="str">
        <f t="shared" si="103"/>
        <v>Q1</v>
      </c>
      <c r="J1300" s="2" t="str">
        <f t="shared" si="107"/>
        <v>Match</v>
      </c>
      <c r="K1300" s="2">
        <f t="shared" si="104"/>
        <v>0.1</v>
      </c>
      <c r="L1300" s="2" t="e">
        <f t="shared" si="105"/>
        <v>#N/A</v>
      </c>
      <c r="M1300" s="2" t="str">
        <f t="shared" si="106"/>
        <v>Digital Approve Hit</v>
      </c>
      <c r="N1300" s="7">
        <v>21.6</v>
      </c>
      <c r="O1300" s="7">
        <v>4.9000000000000004</v>
      </c>
      <c r="P1300" s="7">
        <v>-11.5</v>
      </c>
      <c r="Q1300" s="7">
        <v>-0.27</v>
      </c>
      <c r="R1300" s="7">
        <v>0</v>
      </c>
      <c r="S1300" s="7">
        <v>0.1</v>
      </c>
      <c r="T1300" s="7">
        <v>-0.09</v>
      </c>
      <c r="U1300" s="7">
        <v>0.16</v>
      </c>
      <c r="V1300" s="7">
        <v>0.33</v>
      </c>
      <c r="W1300" s="7" t="s">
        <v>8</v>
      </c>
      <c r="X1300" s="7" t="s">
        <v>9</v>
      </c>
      <c r="Y1300" s="2" t="s">
        <v>719</v>
      </c>
      <c r="Z1300" s="2" t="s">
        <v>721</v>
      </c>
    </row>
    <row r="1301" spans="1:26" x14ac:dyDescent="0.35">
      <c r="A1301" s="7" t="s">
        <v>1553</v>
      </c>
      <c r="B1301" s="7" t="s">
        <v>1349</v>
      </c>
      <c r="C1301" s="4" t="str">
        <f>_xlfn.XLOOKUP(A1301,[2]Sheet2!$I$2:$I$1273,[2]Sheet2!$D$2:$D$1273,0)</f>
        <v>Q4</v>
      </c>
      <c r="D1301" s="4">
        <f>_xlfn.XLOOKUP(B1301,[4]Sheet2!$B$2:$B$3154,[4]Sheet2!$F$2:$F$3154,0)</f>
        <v>0</v>
      </c>
      <c r="E1301" s="4" t="e">
        <f>_xlfn.XLOOKUP(B1301,[2]Sheet2!$E$2:$E$713,[2]Sheet2!$G$2:$G$713)</f>
        <v>#N/A</v>
      </c>
      <c r="F1301" s="18">
        <v>46140</v>
      </c>
      <c r="G1301" s="14">
        <v>0.58200231481481479</v>
      </c>
      <c r="H1301" s="7" t="s">
        <v>4</v>
      </c>
      <c r="I1301" s="2" t="str">
        <f t="shared" si="103"/>
        <v>Q4</v>
      </c>
      <c r="J1301" s="2" t="str">
        <f t="shared" si="107"/>
        <v>Match</v>
      </c>
      <c r="K1301" s="2">
        <f t="shared" si="104"/>
        <v>0.2</v>
      </c>
      <c r="L1301" s="2" t="e">
        <f t="shared" si="105"/>
        <v>#N/A</v>
      </c>
      <c r="M1301" s="2" t="str">
        <f t="shared" si="106"/>
        <v>Digital Approve Hit</v>
      </c>
      <c r="N1301" s="7">
        <v>15.9</v>
      </c>
      <c r="O1301" s="7">
        <v>0</v>
      </c>
      <c r="P1301" s="7">
        <v>-2.7</v>
      </c>
      <c r="Q1301" s="7">
        <v>-0.43</v>
      </c>
      <c r="R1301" s="7">
        <v>0.2</v>
      </c>
      <c r="S1301" s="7">
        <v>0</v>
      </c>
      <c r="T1301" s="7">
        <v>7.0000000000000007E-2</v>
      </c>
      <c r="U1301" s="7">
        <v>0.27</v>
      </c>
      <c r="V1301" s="7">
        <v>0.51</v>
      </c>
      <c r="W1301" s="7" t="s">
        <v>8</v>
      </c>
      <c r="X1301" s="7" t="s">
        <v>9</v>
      </c>
      <c r="Y1301" s="2" t="s">
        <v>719</v>
      </c>
      <c r="Z1301" s="2" t="s">
        <v>721</v>
      </c>
    </row>
    <row r="1302" spans="1:26" x14ac:dyDescent="0.35">
      <c r="A1302" s="7" t="s">
        <v>1784</v>
      </c>
      <c r="B1302" s="7" t="s">
        <v>1351</v>
      </c>
      <c r="C1302" s="4" t="str">
        <f>_xlfn.XLOOKUP(A1302,[2]Sheet2!$I$2:$I$1273,[2]Sheet2!$D$2:$D$1273,0)</f>
        <v>Q2</v>
      </c>
      <c r="D1302" s="4">
        <f>_xlfn.XLOOKUP(B1302,[4]Sheet2!$B$2:$B$3154,[4]Sheet2!$F$2:$F$3154,0)</f>
        <v>0</v>
      </c>
      <c r="E1302" s="4" t="e">
        <f>_xlfn.XLOOKUP(B1302,[2]Sheet2!$E$2:$E$713,[2]Sheet2!$G$2:$G$713)</f>
        <v>#N/A</v>
      </c>
      <c r="F1302" s="18">
        <v>46140</v>
      </c>
      <c r="G1302" s="14">
        <v>0.63295138888888891</v>
      </c>
      <c r="H1302" s="7" t="s">
        <v>11</v>
      </c>
      <c r="I1302" s="2" t="str">
        <f t="shared" si="103"/>
        <v>Q3</v>
      </c>
      <c r="J1302" s="2" t="str">
        <f t="shared" si="107"/>
        <v>Not Match</v>
      </c>
      <c r="K1302" s="2">
        <f t="shared" si="104"/>
        <v>1.4560219778561034</v>
      </c>
      <c r="L1302" s="2" t="e">
        <f t="shared" si="105"/>
        <v>#N/A</v>
      </c>
      <c r="M1302" s="2" t="str">
        <f t="shared" si="106"/>
        <v>Assign quadrant hit</v>
      </c>
      <c r="N1302" s="7">
        <v>38.299999999999997</v>
      </c>
      <c r="O1302" s="7">
        <v>33.5</v>
      </c>
      <c r="P1302" s="7">
        <v>0.9</v>
      </c>
      <c r="Q1302" s="7">
        <v>0.26</v>
      </c>
      <c r="R1302" s="7">
        <v>-0.4</v>
      </c>
      <c r="S1302" s="7">
        <v>-1.4</v>
      </c>
      <c r="T1302" s="7">
        <v>-0.25</v>
      </c>
      <c r="U1302" s="7">
        <v>-1.02</v>
      </c>
      <c r="V1302" s="7">
        <v>1.08</v>
      </c>
      <c r="W1302" s="7" t="s">
        <v>6</v>
      </c>
      <c r="X1302" s="7" t="s">
        <v>7</v>
      </c>
      <c r="Y1302" s="2" t="s">
        <v>719</v>
      </c>
      <c r="Z1302" s="2" t="s">
        <v>721</v>
      </c>
    </row>
    <row r="1303" spans="1:26" x14ac:dyDescent="0.35">
      <c r="A1303" s="7" t="s">
        <v>1771</v>
      </c>
      <c r="B1303" s="7" t="s">
        <v>1295</v>
      </c>
      <c r="C1303" s="4" t="str">
        <f>_xlfn.XLOOKUP(A1303,[2]Sheet2!$I$2:$I$1273,[2]Sheet2!$D$2:$D$1273,0)</f>
        <v>Q2</v>
      </c>
      <c r="D1303" s="4">
        <f>_xlfn.XLOOKUP(B1303,[4]Sheet2!$B$2:$B$3154,[4]Sheet2!$F$2:$F$3154,0)</f>
        <v>0</v>
      </c>
      <c r="E1303" s="4" t="e">
        <f>_xlfn.XLOOKUP(B1303,[2]Sheet2!$E$2:$E$713,[2]Sheet2!$G$2:$G$713)</f>
        <v>#N/A</v>
      </c>
      <c r="F1303" s="18">
        <v>46140</v>
      </c>
      <c r="G1303" s="14">
        <v>0.69677083333333334</v>
      </c>
      <c r="H1303" s="7" t="s">
        <v>5</v>
      </c>
      <c r="I1303" s="2" t="str">
        <f t="shared" si="103"/>
        <v>Q1</v>
      </c>
      <c r="J1303" s="2" t="str">
        <f t="shared" si="107"/>
        <v>Not Match</v>
      </c>
      <c r="K1303" s="2">
        <f t="shared" si="104"/>
        <v>0.2</v>
      </c>
      <c r="L1303" s="2" t="e">
        <f t="shared" si="105"/>
        <v>#N/A</v>
      </c>
      <c r="M1303" s="2" t="str">
        <f t="shared" si="106"/>
        <v>Below 0.8 not in assigned quadrant</v>
      </c>
      <c r="N1303" s="7">
        <v>21.4</v>
      </c>
      <c r="O1303" s="7">
        <v>5.0999999999999996</v>
      </c>
      <c r="P1303" s="7">
        <v>1.8</v>
      </c>
      <c r="Q1303" s="7">
        <v>0.24</v>
      </c>
      <c r="R1303" s="7">
        <v>0</v>
      </c>
      <c r="S1303" s="7">
        <v>0.2</v>
      </c>
      <c r="T1303" s="7">
        <v>0.13</v>
      </c>
      <c r="U1303" s="7">
        <v>0.32</v>
      </c>
      <c r="V1303" s="7">
        <v>0.42</v>
      </c>
      <c r="W1303" s="7" t="s">
        <v>8</v>
      </c>
      <c r="X1303" s="7" t="s">
        <v>12</v>
      </c>
      <c r="Y1303" s="2" t="s">
        <v>719</v>
      </c>
      <c r="Z1303" s="2" t="s">
        <v>721</v>
      </c>
    </row>
    <row r="1304" spans="1:26" x14ac:dyDescent="0.35">
      <c r="A1304" s="7" t="s">
        <v>1540</v>
      </c>
      <c r="B1304" s="7" t="s">
        <v>1352</v>
      </c>
      <c r="C1304" s="4" t="str">
        <f>_xlfn.XLOOKUP(A1304,[2]Sheet2!$I$2:$I$1273,[2]Sheet2!$D$2:$D$1273,0)</f>
        <v>Q3</v>
      </c>
      <c r="D1304" s="4">
        <f>_xlfn.XLOOKUP(B1304,[4]Sheet2!$B$2:$B$3154,[4]Sheet2!$F$2:$F$3154,0)</f>
        <v>0</v>
      </c>
      <c r="E1304" s="4" t="e">
        <f>_xlfn.XLOOKUP(B1304,[2]Sheet2!$E$2:$E$713,[2]Sheet2!$G$2:$G$713)</f>
        <v>#N/A</v>
      </c>
      <c r="F1304" s="18">
        <v>46141</v>
      </c>
      <c r="G1304" s="14">
        <v>1.4236111111111111E-2</v>
      </c>
      <c r="H1304" s="7" t="s">
        <v>10</v>
      </c>
      <c r="I1304" s="2" t="str">
        <f t="shared" si="103"/>
        <v>Q3</v>
      </c>
      <c r="J1304" s="2" t="str">
        <f t="shared" si="107"/>
        <v>Match</v>
      </c>
      <c r="K1304" s="2">
        <f t="shared" si="104"/>
        <v>0</v>
      </c>
      <c r="L1304" s="2" t="e">
        <f t="shared" si="105"/>
        <v>#N/A</v>
      </c>
      <c r="M1304" s="2" t="str">
        <f t="shared" si="106"/>
        <v>Digital Approve Hit</v>
      </c>
      <c r="N1304" s="7">
        <v>14.5</v>
      </c>
      <c r="O1304" s="7">
        <v>0.5</v>
      </c>
      <c r="P1304" s="7">
        <v>-1.1000000000000001</v>
      </c>
      <c r="Q1304" s="7">
        <v>0</v>
      </c>
      <c r="R1304" s="7">
        <v>0</v>
      </c>
      <c r="S1304" s="7">
        <v>0</v>
      </c>
      <c r="T1304" s="7">
        <v>-0.08</v>
      </c>
      <c r="U1304" s="7">
        <v>0.1</v>
      </c>
      <c r="V1304" s="7">
        <v>0.13</v>
      </c>
      <c r="W1304" s="7" t="s">
        <v>8</v>
      </c>
      <c r="X1304" s="7" t="s">
        <v>9</v>
      </c>
      <c r="Y1304" s="2" t="s">
        <v>719</v>
      </c>
      <c r="Z1304" s="2" t="s">
        <v>721</v>
      </c>
    </row>
    <row r="1305" spans="1:26" x14ac:dyDescent="0.35">
      <c r="A1305" s="7" t="s">
        <v>1500</v>
      </c>
      <c r="B1305" s="7" t="s">
        <v>1353</v>
      </c>
      <c r="C1305" s="4" t="str">
        <f>_xlfn.XLOOKUP(A1305,[2]Sheet2!$I$2:$I$1273,[2]Sheet2!$D$2:$D$1273,0)</f>
        <v>Q2</v>
      </c>
      <c r="D1305" s="4">
        <f>_xlfn.XLOOKUP(B1305,[4]Sheet2!$B$2:$B$3154,[4]Sheet2!$F$2:$F$3154,0)</f>
        <v>0</v>
      </c>
      <c r="E1305" s="4" t="e">
        <f>_xlfn.XLOOKUP(B1305,[2]Sheet2!$E$2:$E$713,[2]Sheet2!$G$2:$G$713)</f>
        <v>#N/A</v>
      </c>
      <c r="F1305" s="18">
        <v>46141</v>
      </c>
      <c r="G1305" s="14">
        <v>1.9675925925925927E-2</v>
      </c>
      <c r="H1305" s="7" t="s">
        <v>5</v>
      </c>
      <c r="I1305" s="2" t="str">
        <f t="shared" si="103"/>
        <v>Q4</v>
      </c>
      <c r="J1305" s="2" t="str">
        <f t="shared" si="107"/>
        <v>Not Match</v>
      </c>
      <c r="K1305" s="2">
        <f t="shared" si="104"/>
        <v>0.22360679774997899</v>
      </c>
      <c r="L1305" s="2" t="e">
        <f t="shared" si="105"/>
        <v>#N/A</v>
      </c>
      <c r="M1305" s="2" t="str">
        <f t="shared" si="106"/>
        <v>Below 0.8 not in assigned quadrant</v>
      </c>
      <c r="N1305" s="7">
        <v>16.899999999999999</v>
      </c>
      <c r="O1305" s="7">
        <v>-0.5</v>
      </c>
      <c r="P1305" s="7">
        <v>-1.8</v>
      </c>
      <c r="Q1305" s="7">
        <v>-0.56000000000000005</v>
      </c>
      <c r="R1305" s="7">
        <v>0.1</v>
      </c>
      <c r="S1305" s="7">
        <v>-0.2</v>
      </c>
      <c r="T1305" s="7">
        <v>0.22</v>
      </c>
      <c r="U1305" s="7">
        <v>0.26</v>
      </c>
      <c r="V1305" s="7">
        <v>0.66</v>
      </c>
      <c r="W1305" s="7" t="s">
        <v>8</v>
      </c>
      <c r="X1305" s="7" t="s">
        <v>9</v>
      </c>
      <c r="Y1305" s="2" t="s">
        <v>719</v>
      </c>
      <c r="Z1305" s="2" t="s">
        <v>721</v>
      </c>
    </row>
    <row r="1306" spans="1:26" x14ac:dyDescent="0.35">
      <c r="A1306" s="7" t="s">
        <v>1516</v>
      </c>
      <c r="B1306" s="7" t="s">
        <v>1354</v>
      </c>
      <c r="C1306" s="4" t="str">
        <f>_xlfn.XLOOKUP(A1306,[2]Sheet2!$I$2:$I$1273,[2]Sheet2!$D$2:$D$1273,0)</f>
        <v>Q2</v>
      </c>
      <c r="D1306" s="4">
        <f>_xlfn.XLOOKUP(B1306,[4]Sheet2!$B$2:$B$3154,[4]Sheet2!$F$2:$F$3154,0)</f>
        <v>0</v>
      </c>
      <c r="E1306" s="4" t="e">
        <f>_xlfn.XLOOKUP(B1306,[2]Sheet2!$E$2:$E$713,[2]Sheet2!$G$2:$G$713)</f>
        <v>#N/A</v>
      </c>
      <c r="F1306" s="18">
        <v>46141</v>
      </c>
      <c r="G1306" s="14">
        <v>0.13306712962962963</v>
      </c>
      <c r="H1306" s="7" t="s">
        <v>14</v>
      </c>
      <c r="I1306" s="2" t="str">
        <f t="shared" si="103"/>
        <v>Q1</v>
      </c>
      <c r="J1306" s="2" t="str">
        <f t="shared" si="107"/>
        <v>Not Match</v>
      </c>
      <c r="K1306" s="2">
        <f t="shared" si="104"/>
        <v>0.31622776601683794</v>
      </c>
      <c r="L1306" s="2" t="e">
        <f t="shared" si="105"/>
        <v>#N/A</v>
      </c>
      <c r="M1306" s="2" t="str">
        <f t="shared" si="106"/>
        <v>Below 0.8 not in assigned quadrant</v>
      </c>
      <c r="N1306" s="7">
        <v>17.3</v>
      </c>
      <c r="O1306" s="7">
        <v>-1.2</v>
      </c>
      <c r="P1306" s="7">
        <v>-2.4</v>
      </c>
      <c r="Q1306" s="7">
        <v>-0.57999999999999996</v>
      </c>
      <c r="R1306" s="7">
        <v>0.3</v>
      </c>
      <c r="S1306" s="7">
        <v>0.1</v>
      </c>
      <c r="T1306" s="7">
        <v>-0.4</v>
      </c>
      <c r="U1306" s="7">
        <v>0.3</v>
      </c>
      <c r="V1306" s="7">
        <v>0.76</v>
      </c>
      <c r="W1306" s="7" t="s">
        <v>13</v>
      </c>
      <c r="X1306" s="7" t="s">
        <v>9</v>
      </c>
      <c r="Y1306" s="2" t="s">
        <v>719</v>
      </c>
      <c r="Z1306" s="2" t="s">
        <v>721</v>
      </c>
    </row>
    <row r="1307" spans="1:26" x14ac:dyDescent="0.35">
      <c r="A1307" s="7" t="s">
        <v>1509</v>
      </c>
      <c r="B1307" s="7" t="s">
        <v>1355</v>
      </c>
      <c r="C1307" s="4" t="str">
        <f>_xlfn.XLOOKUP(A1307,[2]Sheet2!$I$2:$I$1273,[2]Sheet2!$D$2:$D$1273,0)</f>
        <v>Q2</v>
      </c>
      <c r="D1307" s="4">
        <f>_xlfn.XLOOKUP(B1307,[4]Sheet2!$B$2:$B$3154,[4]Sheet2!$F$2:$F$3154,0)</f>
        <v>0</v>
      </c>
      <c r="E1307" s="4" t="e">
        <f>_xlfn.XLOOKUP(B1307,[2]Sheet2!$E$2:$E$713,[2]Sheet2!$G$2:$G$713)</f>
        <v>#N/A</v>
      </c>
      <c r="F1307" s="18">
        <v>46141</v>
      </c>
      <c r="G1307" s="14">
        <v>0.13597222222222222</v>
      </c>
      <c r="H1307" s="7" t="s">
        <v>14</v>
      </c>
      <c r="I1307" s="2" t="str">
        <f t="shared" si="103"/>
        <v>Q3</v>
      </c>
      <c r="J1307" s="2" t="str">
        <f t="shared" si="107"/>
        <v>Not Match</v>
      </c>
      <c r="K1307" s="2">
        <f t="shared" si="104"/>
        <v>0.1</v>
      </c>
      <c r="L1307" s="2" t="e">
        <f t="shared" si="105"/>
        <v>#N/A</v>
      </c>
      <c r="M1307" s="2" t="str">
        <f t="shared" si="106"/>
        <v>Below 0.8 not in assigned quadrant</v>
      </c>
      <c r="N1307" s="7">
        <v>16.399999999999999</v>
      </c>
      <c r="O1307" s="7">
        <v>-0.9</v>
      </c>
      <c r="P1307" s="7">
        <v>-3.2</v>
      </c>
      <c r="Q1307" s="7">
        <v>0.05</v>
      </c>
      <c r="R1307" s="7">
        <v>-0.1</v>
      </c>
      <c r="S1307" s="7">
        <v>0</v>
      </c>
      <c r="T1307" s="7">
        <v>0.08</v>
      </c>
      <c r="U1307" s="7">
        <v>-0.11</v>
      </c>
      <c r="V1307" s="7">
        <v>0.15</v>
      </c>
      <c r="W1307" s="7" t="s">
        <v>8</v>
      </c>
      <c r="X1307" s="7" t="s">
        <v>15</v>
      </c>
      <c r="Y1307" s="2" t="s">
        <v>719</v>
      </c>
      <c r="Z1307" s="2" t="s">
        <v>721</v>
      </c>
    </row>
    <row r="1308" spans="1:26" x14ac:dyDescent="0.35">
      <c r="A1308" s="7" t="s">
        <v>1791</v>
      </c>
      <c r="B1308" s="7" t="s">
        <v>1356</v>
      </c>
      <c r="C1308" s="4" t="str">
        <f>_xlfn.XLOOKUP(A1308,[2]Sheet2!$I$2:$I$1273,[2]Sheet2!$D$2:$D$1273,0)</f>
        <v>Q3</v>
      </c>
      <c r="D1308" s="4">
        <f>_xlfn.XLOOKUP(B1308,[4]Sheet2!$B$2:$B$3154,[4]Sheet2!$F$2:$F$3154,0)</f>
        <v>0</v>
      </c>
      <c r="E1308" s="4" t="e">
        <f>_xlfn.XLOOKUP(B1308,[2]Sheet2!$E$2:$E$713,[2]Sheet2!$G$2:$G$713)</f>
        <v>#N/A</v>
      </c>
      <c r="F1308" s="18">
        <v>46141</v>
      </c>
      <c r="G1308" s="14">
        <v>0.12070601851851852</v>
      </c>
      <c r="H1308" s="7" t="s">
        <v>11</v>
      </c>
      <c r="I1308" s="2" t="str">
        <f t="shared" si="103"/>
        <v>Q2</v>
      </c>
      <c r="J1308" s="2" t="str">
        <f t="shared" si="107"/>
        <v>Not Match</v>
      </c>
      <c r="K1308" s="2">
        <f t="shared" si="104"/>
        <v>0.14142135623730953</v>
      </c>
      <c r="L1308" s="2" t="e">
        <f t="shared" si="105"/>
        <v>#N/A</v>
      </c>
      <c r="M1308" s="2" t="str">
        <f t="shared" si="106"/>
        <v>Below 0.8 not in assigned quadrant</v>
      </c>
      <c r="N1308" s="7">
        <v>37.299999999999997</v>
      </c>
      <c r="O1308" s="7">
        <v>1.6</v>
      </c>
      <c r="P1308" s="7">
        <v>9.6</v>
      </c>
      <c r="Q1308" s="7">
        <v>0.39</v>
      </c>
      <c r="R1308" s="7">
        <v>-0.1</v>
      </c>
      <c r="S1308" s="7">
        <v>0.1</v>
      </c>
      <c r="T1308" s="7">
        <v>0.1</v>
      </c>
      <c r="U1308" s="7">
        <v>0.25</v>
      </c>
      <c r="V1308" s="7">
        <v>0.48</v>
      </c>
      <c r="W1308" s="7" t="s">
        <v>8</v>
      </c>
      <c r="X1308" s="7" t="s">
        <v>15</v>
      </c>
      <c r="Y1308" s="2" t="s">
        <v>719</v>
      </c>
      <c r="Z1308" s="2" t="s">
        <v>721</v>
      </c>
    </row>
    <row r="1309" spans="1:26" x14ac:dyDescent="0.35">
      <c r="A1309" s="7" t="s">
        <v>1792</v>
      </c>
      <c r="B1309" s="7" t="s">
        <v>1357</v>
      </c>
      <c r="C1309" s="4" t="str">
        <f>_xlfn.XLOOKUP(A1309,[2]Sheet2!$I$2:$I$1273,[2]Sheet2!$D$2:$D$1273,0)</f>
        <v>Q2</v>
      </c>
      <c r="D1309" s="4">
        <f>_xlfn.XLOOKUP(B1309,[4]Sheet2!$B$2:$B$3154,[4]Sheet2!$F$2:$F$3154,0)</f>
        <v>0</v>
      </c>
      <c r="E1309" s="4" t="e">
        <f>_xlfn.XLOOKUP(B1309,[2]Sheet2!$E$2:$E$713,[2]Sheet2!$G$2:$G$713)</f>
        <v>#N/A</v>
      </c>
      <c r="F1309" s="18">
        <v>46141</v>
      </c>
      <c r="G1309" s="14">
        <v>9.5497685185185185E-2</v>
      </c>
      <c r="H1309" s="7" t="s">
        <v>11</v>
      </c>
      <c r="I1309" s="2" t="str">
        <f t="shared" si="103"/>
        <v>Q3</v>
      </c>
      <c r="J1309" s="2" t="str">
        <f t="shared" si="107"/>
        <v>Not Match</v>
      </c>
      <c r="K1309" s="2">
        <f t="shared" si="104"/>
        <v>0.1</v>
      </c>
      <c r="L1309" s="2" t="e">
        <f t="shared" si="105"/>
        <v>#N/A</v>
      </c>
      <c r="M1309" s="2" t="str">
        <f t="shared" si="106"/>
        <v>Assign quadrant hit</v>
      </c>
      <c r="N1309" s="7">
        <v>33.299999999999997</v>
      </c>
      <c r="O1309" s="7">
        <v>1.2</v>
      </c>
      <c r="P1309" s="7">
        <v>11</v>
      </c>
      <c r="Q1309" s="7">
        <v>-0.92</v>
      </c>
      <c r="R1309" s="7">
        <v>-0.1</v>
      </c>
      <c r="S1309" s="7">
        <v>0</v>
      </c>
      <c r="T1309" s="7">
        <v>0.05</v>
      </c>
      <c r="U1309" s="7">
        <v>0.14000000000000001</v>
      </c>
      <c r="V1309" s="7">
        <v>0.93</v>
      </c>
      <c r="W1309" s="7" t="s">
        <v>13</v>
      </c>
      <c r="X1309" s="7" t="s">
        <v>15</v>
      </c>
      <c r="Y1309" s="2" t="s">
        <v>719</v>
      </c>
      <c r="Z1309" s="2" t="s">
        <v>721</v>
      </c>
    </row>
    <row r="1310" spans="1:26" x14ac:dyDescent="0.35">
      <c r="A1310" s="7" t="s">
        <v>1651</v>
      </c>
      <c r="B1310" s="7" t="s">
        <v>1358</v>
      </c>
      <c r="C1310" s="4">
        <f>_xlfn.XLOOKUP(A1310,[2]Sheet2!$I$2:$I$1273,[2]Sheet2!$D$2:$D$1273,0)</f>
        <v>0</v>
      </c>
      <c r="D1310" s="4">
        <f>_xlfn.XLOOKUP(B1310,[4]Sheet2!$B$2:$B$3154,[4]Sheet2!$F$2:$F$3154,0)</f>
        <v>0</v>
      </c>
      <c r="E1310" s="4" t="e">
        <f>_xlfn.XLOOKUP(B1310,[2]Sheet2!$E$2:$E$713,[2]Sheet2!$G$2:$G$713)</f>
        <v>#N/A</v>
      </c>
      <c r="F1310" s="18">
        <v>46141</v>
      </c>
      <c r="G1310" s="14">
        <v>9.6481481481481488E-2</v>
      </c>
      <c r="H1310" s="7" t="s">
        <v>5</v>
      </c>
      <c r="I1310" s="2">
        <f t="shared" si="103"/>
        <v>0</v>
      </c>
      <c r="J1310" s="2" t="str">
        <f t="shared" si="107"/>
        <v>Match</v>
      </c>
      <c r="K1310" s="2">
        <f t="shared" si="104"/>
        <v>0</v>
      </c>
      <c r="L1310" s="2" t="e">
        <f t="shared" si="105"/>
        <v>#N/A</v>
      </c>
      <c r="M1310" s="2" t="str">
        <f t="shared" si="106"/>
        <v>Digital Approve Hit</v>
      </c>
      <c r="N1310" s="7">
        <v>18.100000000000001</v>
      </c>
      <c r="O1310" s="7">
        <v>0.1</v>
      </c>
      <c r="P1310" s="7">
        <v>-2.1</v>
      </c>
      <c r="Q1310" s="7">
        <v>0.27</v>
      </c>
      <c r="R1310" s="7">
        <v>0</v>
      </c>
      <c r="S1310" s="7">
        <v>0</v>
      </c>
      <c r="T1310" s="7">
        <v>-7.0000000000000007E-2</v>
      </c>
      <c r="U1310" s="7">
        <v>0</v>
      </c>
      <c r="V1310" s="7">
        <v>0.28000000000000003</v>
      </c>
      <c r="W1310" s="7" t="s">
        <v>8</v>
      </c>
      <c r="X1310" s="7" t="s">
        <v>15</v>
      </c>
      <c r="Y1310" s="2" t="s">
        <v>719</v>
      </c>
      <c r="Z1310" s="2" t="s">
        <v>721</v>
      </c>
    </row>
    <row r="1311" spans="1:26" x14ac:dyDescent="0.35">
      <c r="A1311" s="7" t="s">
        <v>1762</v>
      </c>
      <c r="B1311" s="7" t="s">
        <v>1359</v>
      </c>
      <c r="C1311" s="4" t="str">
        <f>_xlfn.XLOOKUP(A1311,[2]Sheet2!$I$2:$I$1273,[2]Sheet2!$D$2:$D$1273,0)</f>
        <v>Q3</v>
      </c>
      <c r="D1311" s="4">
        <f>_xlfn.XLOOKUP(B1311,[4]Sheet2!$B$2:$B$3154,[4]Sheet2!$F$2:$F$3154,0)</f>
        <v>0</v>
      </c>
      <c r="E1311" s="4" t="e">
        <f>_xlfn.XLOOKUP(B1311,[2]Sheet2!$E$2:$E$713,[2]Sheet2!$G$2:$G$713)</f>
        <v>#N/A</v>
      </c>
      <c r="F1311" s="18">
        <v>46141</v>
      </c>
      <c r="G1311" s="14">
        <v>0.18582175925925926</v>
      </c>
      <c r="H1311" s="7" t="s">
        <v>4</v>
      </c>
      <c r="I1311" s="2" t="str">
        <f t="shared" si="103"/>
        <v>Q4</v>
      </c>
      <c r="J1311" s="2" t="str">
        <f t="shared" si="107"/>
        <v>Not Match</v>
      </c>
      <c r="K1311" s="2">
        <f t="shared" si="104"/>
        <v>0.31622776601683794</v>
      </c>
      <c r="L1311" s="2" t="e">
        <f t="shared" si="105"/>
        <v>#N/A</v>
      </c>
      <c r="M1311" s="2" t="str">
        <f t="shared" si="106"/>
        <v>Assign quadrant hit</v>
      </c>
      <c r="N1311" s="7">
        <v>16.399999999999999</v>
      </c>
      <c r="O1311" s="7">
        <v>-0.8</v>
      </c>
      <c r="P1311" s="7">
        <v>-2.4</v>
      </c>
      <c r="Q1311" s="7">
        <v>-0.85</v>
      </c>
      <c r="R1311" s="7">
        <v>0.1</v>
      </c>
      <c r="S1311" s="7">
        <v>-0.3</v>
      </c>
      <c r="T1311" s="7">
        <v>0.32</v>
      </c>
      <c r="U1311" s="7">
        <v>0.35</v>
      </c>
      <c r="V1311" s="7">
        <v>0.97</v>
      </c>
      <c r="W1311" s="7" t="s">
        <v>13</v>
      </c>
      <c r="X1311" s="7" t="s">
        <v>9</v>
      </c>
      <c r="Y1311" s="2" t="s">
        <v>719</v>
      </c>
      <c r="Z1311" s="2" t="s">
        <v>721</v>
      </c>
    </row>
    <row r="1312" spans="1:26" x14ac:dyDescent="0.35">
      <c r="A1312" s="7" t="s">
        <v>1608</v>
      </c>
      <c r="B1312" s="7" t="s">
        <v>1360</v>
      </c>
      <c r="C1312" s="4">
        <f>_xlfn.XLOOKUP(A1312,[2]Sheet2!$I$2:$I$1273,[2]Sheet2!$D$2:$D$1273,0)</f>
        <v>0</v>
      </c>
      <c r="D1312" s="4">
        <f>_xlfn.XLOOKUP(B1312,[4]Sheet2!$B$2:$B$3154,[4]Sheet2!$F$2:$F$3154,0)</f>
        <v>0</v>
      </c>
      <c r="E1312" s="4" t="e">
        <f>_xlfn.XLOOKUP(B1312,[2]Sheet2!$E$2:$E$713,[2]Sheet2!$G$2:$G$713)</f>
        <v>#N/A</v>
      </c>
      <c r="F1312" s="18">
        <v>46141</v>
      </c>
      <c r="G1312" s="14">
        <v>0.18814814814814815</v>
      </c>
      <c r="H1312" s="7" t="s">
        <v>5</v>
      </c>
      <c r="I1312" s="2" t="str">
        <f t="shared" si="103"/>
        <v>Q1</v>
      </c>
      <c r="J1312" s="2" t="str">
        <f t="shared" si="107"/>
        <v>Not Found</v>
      </c>
      <c r="K1312" s="2">
        <f t="shared" si="104"/>
        <v>0.31622776601683794</v>
      </c>
      <c r="L1312" s="2" t="e">
        <f t="shared" si="105"/>
        <v>#N/A</v>
      </c>
      <c r="M1312" s="2" t="str">
        <f t="shared" si="106"/>
        <v>Assign quadrant hit</v>
      </c>
      <c r="N1312" s="7">
        <v>15.2</v>
      </c>
      <c r="O1312" s="7">
        <v>-0.3</v>
      </c>
      <c r="P1312" s="7">
        <v>-1.1000000000000001</v>
      </c>
      <c r="Q1312" s="7">
        <v>-0.56999999999999995</v>
      </c>
      <c r="R1312" s="7">
        <v>0.1</v>
      </c>
      <c r="S1312" s="7">
        <v>0.3</v>
      </c>
      <c r="T1312" s="7">
        <v>-0.44</v>
      </c>
      <c r="U1312" s="7">
        <v>0.05</v>
      </c>
      <c r="V1312" s="7">
        <v>0.72</v>
      </c>
      <c r="W1312" s="7" t="s">
        <v>8</v>
      </c>
      <c r="X1312" s="7" t="s">
        <v>9</v>
      </c>
      <c r="Y1312" s="2" t="s">
        <v>719</v>
      </c>
      <c r="Z1312" s="2" t="s">
        <v>721</v>
      </c>
    </row>
    <row r="1313" spans="1:26" x14ac:dyDescent="0.35">
      <c r="A1313" s="7" t="s">
        <v>1509</v>
      </c>
      <c r="B1313" s="7" t="s">
        <v>1361</v>
      </c>
      <c r="C1313" s="4" t="str">
        <f>_xlfn.XLOOKUP(A1313,[2]Sheet2!$I$2:$I$1273,[2]Sheet2!$D$2:$D$1273,0)</f>
        <v>Q2</v>
      </c>
      <c r="D1313" s="4">
        <f>_xlfn.XLOOKUP(B1313,[4]Sheet2!$B$2:$B$3154,[4]Sheet2!$F$2:$F$3154,0)</f>
        <v>0</v>
      </c>
      <c r="E1313" s="4" t="e">
        <f>_xlfn.XLOOKUP(B1313,[2]Sheet2!$E$2:$E$713,[2]Sheet2!$G$2:$G$713)</f>
        <v>#N/A</v>
      </c>
      <c r="F1313" s="18">
        <v>46141</v>
      </c>
      <c r="G1313" s="14">
        <v>0.19729166666666667</v>
      </c>
      <c r="H1313" s="7" t="s">
        <v>14</v>
      </c>
      <c r="I1313" s="2" t="str">
        <f t="shared" si="103"/>
        <v>Q2</v>
      </c>
      <c r="J1313" s="2" t="str">
        <f t="shared" si="107"/>
        <v>Match</v>
      </c>
      <c r="K1313" s="2">
        <f t="shared" si="104"/>
        <v>0</v>
      </c>
      <c r="L1313" s="2" t="e">
        <f t="shared" si="105"/>
        <v>#N/A</v>
      </c>
      <c r="M1313" s="2" t="str">
        <f t="shared" si="106"/>
        <v>Digital Approve Hit</v>
      </c>
      <c r="N1313" s="7">
        <v>16.399999999999999</v>
      </c>
      <c r="O1313" s="7">
        <v>-0.7</v>
      </c>
      <c r="P1313" s="7">
        <v>-3.2</v>
      </c>
      <c r="Q1313" s="7">
        <v>0.04</v>
      </c>
      <c r="R1313" s="7">
        <v>0</v>
      </c>
      <c r="S1313" s="7">
        <v>0</v>
      </c>
      <c r="T1313" s="7">
        <v>7.0000000000000007E-2</v>
      </c>
      <c r="U1313" s="7">
        <v>0.14000000000000001</v>
      </c>
      <c r="V1313" s="7">
        <v>0.16</v>
      </c>
      <c r="W1313" s="7" t="s">
        <v>8</v>
      </c>
      <c r="X1313" s="7" t="s">
        <v>9</v>
      </c>
      <c r="Y1313" s="2" t="s">
        <v>719</v>
      </c>
      <c r="Z1313" s="2" t="s">
        <v>721</v>
      </c>
    </row>
    <row r="1314" spans="1:26" x14ac:dyDescent="0.35">
      <c r="A1314" s="7" t="s">
        <v>1793</v>
      </c>
      <c r="B1314" s="7" t="s">
        <v>1362</v>
      </c>
      <c r="C1314" s="4">
        <f>_xlfn.XLOOKUP(A1314,[2]Sheet2!$I$2:$I$1273,[2]Sheet2!$D$2:$D$1273,0)</f>
        <v>0</v>
      </c>
      <c r="D1314" s="4">
        <f>_xlfn.XLOOKUP(B1314,[4]Sheet2!$B$2:$B$3154,[4]Sheet2!$F$2:$F$3154,0)</f>
        <v>0</v>
      </c>
      <c r="E1314" s="4" t="e">
        <f>_xlfn.XLOOKUP(B1314,[2]Sheet2!$E$2:$E$713,[2]Sheet2!$G$2:$G$713)</f>
        <v>#N/A</v>
      </c>
      <c r="F1314" s="18">
        <v>46141</v>
      </c>
      <c r="G1314" s="14">
        <v>0.22387731481481482</v>
      </c>
      <c r="H1314" s="7" t="s">
        <v>5</v>
      </c>
      <c r="I1314" s="2" t="str">
        <f t="shared" si="103"/>
        <v>Q1</v>
      </c>
      <c r="J1314" s="2" t="str">
        <f t="shared" si="107"/>
        <v>Not Found</v>
      </c>
      <c r="K1314" s="2">
        <f t="shared" si="104"/>
        <v>0.14142135623730953</v>
      </c>
      <c r="L1314" s="2" t="e">
        <f t="shared" si="105"/>
        <v>#N/A</v>
      </c>
      <c r="M1314" s="2" t="str">
        <f t="shared" si="106"/>
        <v>Assign quadrant hit</v>
      </c>
      <c r="N1314" s="7">
        <v>16.399999999999999</v>
      </c>
      <c r="O1314" s="7">
        <v>-0.4</v>
      </c>
      <c r="P1314" s="7">
        <v>-1.7</v>
      </c>
      <c r="Q1314" s="7">
        <v>-0.77</v>
      </c>
      <c r="R1314" s="7">
        <v>0.1</v>
      </c>
      <c r="S1314" s="7">
        <v>0.1</v>
      </c>
      <c r="T1314" s="7">
        <v>-0.17</v>
      </c>
      <c r="U1314" s="7">
        <v>0.1</v>
      </c>
      <c r="V1314" s="7">
        <v>0.79</v>
      </c>
      <c r="W1314" s="7" t="s">
        <v>13</v>
      </c>
      <c r="X1314" s="7" t="s">
        <v>9</v>
      </c>
      <c r="Y1314" s="2" t="s">
        <v>719</v>
      </c>
      <c r="Z1314" s="2" t="s">
        <v>721</v>
      </c>
    </row>
    <row r="1315" spans="1:26" x14ac:dyDescent="0.35">
      <c r="A1315" s="7" t="s">
        <v>1784</v>
      </c>
      <c r="B1315" s="7" t="s">
        <v>1363</v>
      </c>
      <c r="C1315" s="4" t="str">
        <f>_xlfn.XLOOKUP(A1315,[2]Sheet2!$I$2:$I$1273,[2]Sheet2!$D$2:$D$1273,0)</f>
        <v>Q2</v>
      </c>
      <c r="D1315" s="4">
        <f>_xlfn.XLOOKUP(B1315,[4]Sheet2!$B$2:$B$3154,[4]Sheet2!$F$2:$F$3154,0)</f>
        <v>0</v>
      </c>
      <c r="E1315" s="4" t="e">
        <f>_xlfn.XLOOKUP(B1315,[2]Sheet2!$E$2:$E$713,[2]Sheet2!$G$2:$G$713)</f>
        <v>#N/A</v>
      </c>
      <c r="F1315" s="18">
        <v>46141</v>
      </c>
      <c r="G1315" s="14">
        <v>0.22686342592592593</v>
      </c>
      <c r="H1315" s="7" t="s">
        <v>11</v>
      </c>
      <c r="I1315" s="2" t="str">
        <f t="shared" si="103"/>
        <v>Q4</v>
      </c>
      <c r="J1315" s="2" t="str">
        <f t="shared" si="107"/>
        <v>Not Match</v>
      </c>
      <c r="K1315" s="2">
        <f t="shared" si="104"/>
        <v>0.44721359549995798</v>
      </c>
      <c r="L1315" s="2" t="e">
        <f t="shared" si="105"/>
        <v>#N/A</v>
      </c>
      <c r="M1315" s="2" t="str">
        <f t="shared" si="106"/>
        <v>Below 0.8 not in assigned quadrant</v>
      </c>
      <c r="N1315" s="7">
        <v>38.799999999999997</v>
      </c>
      <c r="O1315" s="7">
        <v>34.5</v>
      </c>
      <c r="P1315" s="7">
        <v>2.1</v>
      </c>
      <c r="Q1315" s="7">
        <v>0.55000000000000004</v>
      </c>
      <c r="R1315" s="7">
        <v>0.4</v>
      </c>
      <c r="S1315" s="7">
        <v>-0.2</v>
      </c>
      <c r="T1315" s="7">
        <v>0.21</v>
      </c>
      <c r="U1315" s="7">
        <v>-0.22</v>
      </c>
      <c r="V1315" s="7">
        <v>0.62</v>
      </c>
      <c r="W1315" s="7" t="s">
        <v>8</v>
      </c>
      <c r="X1315" s="7" t="s">
        <v>7</v>
      </c>
      <c r="Y1315" s="2" t="s">
        <v>719</v>
      </c>
      <c r="Z1315" s="2" t="s">
        <v>721</v>
      </c>
    </row>
    <row r="1316" spans="1:26" x14ac:dyDescent="0.35">
      <c r="A1316" s="7" t="s">
        <v>1516</v>
      </c>
      <c r="B1316" s="7" t="s">
        <v>1364</v>
      </c>
      <c r="C1316" s="4" t="str">
        <f>_xlfn.XLOOKUP(A1316,[2]Sheet2!$I$2:$I$1273,[2]Sheet2!$D$2:$D$1273,0)</f>
        <v>Q2</v>
      </c>
      <c r="D1316" s="4">
        <f>_xlfn.XLOOKUP(B1316,[4]Sheet2!$B$2:$B$3154,[4]Sheet2!$F$2:$F$3154,0)</f>
        <v>0</v>
      </c>
      <c r="E1316" s="4" t="e">
        <f>_xlfn.XLOOKUP(B1316,[2]Sheet2!$E$2:$E$713,[2]Sheet2!$G$2:$G$713)</f>
        <v>#N/A</v>
      </c>
      <c r="F1316" s="18">
        <v>46141</v>
      </c>
      <c r="G1316" s="14">
        <v>0.27947916666666667</v>
      </c>
      <c r="H1316" s="7" t="s">
        <v>4</v>
      </c>
      <c r="I1316" s="2" t="str">
        <f t="shared" si="103"/>
        <v>Q4</v>
      </c>
      <c r="J1316" s="2" t="str">
        <f t="shared" si="107"/>
        <v>Not Match</v>
      </c>
      <c r="K1316" s="2">
        <f t="shared" si="104"/>
        <v>0.28284271247461906</v>
      </c>
      <c r="L1316" s="2" t="e">
        <f t="shared" si="105"/>
        <v>#N/A</v>
      </c>
      <c r="M1316" s="2" t="str">
        <f t="shared" si="106"/>
        <v>Below 0.8 not in assigned quadrant</v>
      </c>
      <c r="N1316" s="7">
        <v>18.899999999999999</v>
      </c>
      <c r="O1316" s="7">
        <v>-1.1000000000000001</v>
      </c>
      <c r="P1316" s="7">
        <v>-1.8</v>
      </c>
      <c r="Q1316" s="7">
        <v>0.39</v>
      </c>
      <c r="R1316" s="7">
        <v>0.2</v>
      </c>
      <c r="S1316" s="7">
        <v>-0.2</v>
      </c>
      <c r="T1316" s="7">
        <v>0.01</v>
      </c>
      <c r="U1316" s="7">
        <v>0.43</v>
      </c>
      <c r="V1316" s="7">
        <v>0.57999999999999996</v>
      </c>
      <c r="W1316" s="7" t="s">
        <v>8</v>
      </c>
      <c r="X1316" s="7" t="s">
        <v>7</v>
      </c>
      <c r="Y1316" s="2" t="s">
        <v>719</v>
      </c>
      <c r="Z1316" s="2" t="s">
        <v>721</v>
      </c>
    </row>
    <row r="1317" spans="1:26" x14ac:dyDescent="0.35">
      <c r="A1317" s="7" t="s">
        <v>1593</v>
      </c>
      <c r="B1317" s="7" t="s">
        <v>1365</v>
      </c>
      <c r="C1317" s="4" t="str">
        <f>_xlfn.XLOOKUP(A1317,[2]Sheet2!$I$2:$I$1273,[2]Sheet2!$D$2:$D$1273,0)</f>
        <v>Q3</v>
      </c>
      <c r="D1317" s="4">
        <f>_xlfn.XLOOKUP(B1317,[4]Sheet2!$B$2:$B$3154,[4]Sheet2!$F$2:$F$3154,0)</f>
        <v>0</v>
      </c>
      <c r="E1317" s="4" t="e">
        <f>_xlfn.XLOOKUP(B1317,[2]Sheet2!$E$2:$E$713,[2]Sheet2!$G$2:$G$713)</f>
        <v>#N/A</v>
      </c>
      <c r="F1317" s="18">
        <v>46141</v>
      </c>
      <c r="G1317" s="14">
        <v>0.28134259259259259</v>
      </c>
      <c r="H1317" s="7" t="s">
        <v>5</v>
      </c>
      <c r="I1317" s="2" t="str">
        <f t="shared" si="103"/>
        <v>Q3</v>
      </c>
      <c r="J1317" s="2" t="str">
        <f t="shared" si="107"/>
        <v>Match</v>
      </c>
      <c r="K1317" s="2">
        <f t="shared" si="104"/>
        <v>0.1</v>
      </c>
      <c r="L1317" s="2" t="e">
        <f t="shared" si="105"/>
        <v>#N/A</v>
      </c>
      <c r="M1317" s="2" t="str">
        <f t="shared" si="106"/>
        <v>Failed but within quadrant</v>
      </c>
      <c r="N1317" s="7">
        <v>22.2</v>
      </c>
      <c r="O1317" s="7">
        <v>3</v>
      </c>
      <c r="P1317" s="7">
        <v>2.4</v>
      </c>
      <c r="Q1317" s="7">
        <v>-1.41</v>
      </c>
      <c r="R1317" s="7">
        <v>-0.1</v>
      </c>
      <c r="S1317" s="7">
        <v>0</v>
      </c>
      <c r="T1317" s="7">
        <v>-0.11</v>
      </c>
      <c r="U1317" s="7">
        <v>0.24</v>
      </c>
      <c r="V1317" s="7">
        <v>1.43</v>
      </c>
      <c r="W1317" s="7" t="s">
        <v>6</v>
      </c>
      <c r="X1317" s="7" t="s">
        <v>12</v>
      </c>
      <c r="Y1317" s="2" t="s">
        <v>719</v>
      </c>
      <c r="Z1317" s="2" t="s">
        <v>721</v>
      </c>
    </row>
    <row r="1318" spans="1:26" x14ac:dyDescent="0.35">
      <c r="A1318" s="7" t="s">
        <v>1593</v>
      </c>
      <c r="B1318" s="7" t="s">
        <v>1366</v>
      </c>
      <c r="C1318" s="4" t="str">
        <f>_xlfn.XLOOKUP(A1318,[2]Sheet2!$I$2:$I$1273,[2]Sheet2!$D$2:$D$1273,0)</f>
        <v>Q3</v>
      </c>
      <c r="D1318" s="4">
        <f>_xlfn.XLOOKUP(B1318,[4]Sheet2!$B$2:$B$3154,[4]Sheet2!$F$2:$F$3154,0)</f>
        <v>0</v>
      </c>
      <c r="E1318" s="4" t="e">
        <f>_xlfn.XLOOKUP(B1318,[2]Sheet2!$E$2:$E$713,[2]Sheet2!$G$2:$G$713)</f>
        <v>#N/A</v>
      </c>
      <c r="F1318" s="18">
        <v>46141</v>
      </c>
      <c r="G1318" s="14">
        <v>0.28273148148148147</v>
      </c>
      <c r="H1318" s="7" t="s">
        <v>5</v>
      </c>
      <c r="I1318" s="2" t="str">
        <f t="shared" si="103"/>
        <v>Q3</v>
      </c>
      <c r="J1318" s="2" t="str">
        <f t="shared" si="107"/>
        <v>Match</v>
      </c>
      <c r="K1318" s="2">
        <f t="shared" si="104"/>
        <v>0.22360679774997899</v>
      </c>
      <c r="L1318" s="2" t="e">
        <f t="shared" si="105"/>
        <v>#N/A</v>
      </c>
      <c r="M1318" s="2" t="str">
        <f t="shared" si="106"/>
        <v>Failed but within quadrant</v>
      </c>
      <c r="N1318" s="7">
        <v>22.3</v>
      </c>
      <c r="O1318" s="7">
        <v>2.9</v>
      </c>
      <c r="P1318" s="7">
        <v>2.2000000000000002</v>
      </c>
      <c r="Q1318" s="7">
        <v>-1.34</v>
      </c>
      <c r="R1318" s="7">
        <v>-0.2</v>
      </c>
      <c r="S1318" s="7">
        <v>-0.1</v>
      </c>
      <c r="T1318" s="7">
        <v>-0.34</v>
      </c>
      <c r="U1318" s="7">
        <v>0.11</v>
      </c>
      <c r="V1318" s="7">
        <v>1.39</v>
      </c>
      <c r="W1318" s="7" t="s">
        <v>6</v>
      </c>
      <c r="X1318" s="7" t="s">
        <v>12</v>
      </c>
      <c r="Y1318" s="2" t="s">
        <v>719</v>
      </c>
      <c r="Z1318" s="2" t="s">
        <v>721</v>
      </c>
    </row>
    <row r="1319" spans="1:26" x14ac:dyDescent="0.35">
      <c r="A1319" s="7" t="s">
        <v>1540</v>
      </c>
      <c r="B1319" s="7" t="s">
        <v>1368</v>
      </c>
      <c r="C1319" s="4" t="str">
        <f>_xlfn.XLOOKUP(A1319,[2]Sheet2!$I$2:$I$1273,[2]Sheet2!$D$2:$D$1273,0)</f>
        <v>Q3</v>
      </c>
      <c r="D1319" s="4">
        <f>_xlfn.XLOOKUP(B1319,[4]Sheet2!$B$2:$B$3154,[4]Sheet2!$F$2:$F$3154,0)</f>
        <v>0</v>
      </c>
      <c r="E1319" s="4" t="e">
        <f>_xlfn.XLOOKUP(B1319,[2]Sheet2!$E$2:$E$713,[2]Sheet2!$G$2:$G$713)</f>
        <v>#N/A</v>
      </c>
      <c r="F1319" s="18">
        <v>46141</v>
      </c>
      <c r="G1319" s="14">
        <v>0.43231481481481482</v>
      </c>
      <c r="H1319" s="7" t="s">
        <v>11</v>
      </c>
      <c r="I1319" s="2" t="str">
        <f t="shared" si="103"/>
        <v>Q3</v>
      </c>
      <c r="J1319" s="2" t="str">
        <f t="shared" si="107"/>
        <v>Match</v>
      </c>
      <c r="K1319" s="2">
        <f t="shared" si="104"/>
        <v>0</v>
      </c>
      <c r="L1319" s="2" t="e">
        <f t="shared" si="105"/>
        <v>#N/A</v>
      </c>
      <c r="M1319" s="2" t="str">
        <f t="shared" si="106"/>
        <v>Digital Approve Hit</v>
      </c>
      <c r="N1319" s="7">
        <v>14.6</v>
      </c>
      <c r="O1319" s="7">
        <v>-0.5</v>
      </c>
      <c r="P1319" s="7">
        <v>-1.6</v>
      </c>
      <c r="Q1319" s="7">
        <v>0.41</v>
      </c>
      <c r="R1319" s="7">
        <v>0</v>
      </c>
      <c r="S1319" s="7">
        <v>0</v>
      </c>
      <c r="T1319" s="7">
        <v>-0.09</v>
      </c>
      <c r="U1319" s="7">
        <v>-0.05</v>
      </c>
      <c r="V1319" s="7">
        <v>0.42</v>
      </c>
      <c r="W1319" s="7" t="s">
        <v>8</v>
      </c>
      <c r="X1319" s="7" t="s">
        <v>15</v>
      </c>
      <c r="Y1319" s="2" t="s">
        <v>719</v>
      </c>
      <c r="Z1319" s="2" t="s">
        <v>721</v>
      </c>
    </row>
    <row r="1320" spans="1:26" x14ac:dyDescent="0.35">
      <c r="A1320" s="7" t="s">
        <v>1794</v>
      </c>
      <c r="B1320" s="7" t="s">
        <v>1369</v>
      </c>
      <c r="C1320" s="4" t="str">
        <f>_xlfn.XLOOKUP(A1320,[2]Sheet2!$I$2:$I$1273,[2]Sheet2!$D$2:$D$1273,0)</f>
        <v>Q1</v>
      </c>
      <c r="D1320" s="4">
        <f>_xlfn.XLOOKUP(B1320,[4]Sheet2!$B$2:$B$3154,[4]Sheet2!$F$2:$F$3154,0)</f>
        <v>0</v>
      </c>
      <c r="E1320" s="4" t="e">
        <f>_xlfn.XLOOKUP(B1320,[2]Sheet2!$E$2:$E$713,[2]Sheet2!$G$2:$G$713)</f>
        <v>#N/A</v>
      </c>
      <c r="F1320" s="18">
        <v>46141</v>
      </c>
      <c r="G1320" s="14">
        <v>0.45912037037037035</v>
      </c>
      <c r="H1320" s="7" t="s">
        <v>11</v>
      </c>
      <c r="I1320" s="2" t="str">
        <f t="shared" si="103"/>
        <v>Q3</v>
      </c>
      <c r="J1320" s="2" t="str">
        <f t="shared" si="107"/>
        <v>Not Match</v>
      </c>
      <c r="K1320" s="2">
        <f t="shared" si="104"/>
        <v>1.16619037896906</v>
      </c>
      <c r="L1320" s="2" t="e">
        <f t="shared" si="105"/>
        <v>#N/A</v>
      </c>
      <c r="M1320" s="2" t="str">
        <f t="shared" si="106"/>
        <v>Below 0.8 not in assigned quadrant</v>
      </c>
      <c r="N1320" s="7">
        <v>37.6</v>
      </c>
      <c r="O1320" s="7">
        <v>42.9</v>
      </c>
      <c r="P1320" s="7">
        <v>26</v>
      </c>
      <c r="Q1320" s="7">
        <v>0</v>
      </c>
      <c r="R1320" s="7">
        <v>-0.6</v>
      </c>
      <c r="S1320" s="7">
        <v>-1</v>
      </c>
      <c r="T1320" s="7">
        <v>-0.43</v>
      </c>
      <c r="U1320" s="7">
        <v>-0.41</v>
      </c>
      <c r="V1320" s="7">
        <v>0.59</v>
      </c>
      <c r="W1320" s="7" t="s">
        <v>8</v>
      </c>
      <c r="X1320" s="7" t="s">
        <v>7</v>
      </c>
      <c r="Y1320" s="2" t="s">
        <v>719</v>
      </c>
      <c r="Z1320" s="2" t="s">
        <v>721</v>
      </c>
    </row>
    <row r="1321" spans="1:26" x14ac:dyDescent="0.35">
      <c r="A1321" s="7" t="s">
        <v>1795</v>
      </c>
      <c r="B1321" s="7" t="s">
        <v>1370</v>
      </c>
      <c r="C1321" s="4">
        <f>_xlfn.XLOOKUP(A1321,[2]Sheet2!$I$2:$I$1273,[2]Sheet2!$D$2:$D$1273,0)</f>
        <v>0</v>
      </c>
      <c r="D1321" s="4">
        <f>_xlfn.XLOOKUP(B1321,[4]Sheet2!$B$2:$B$3154,[4]Sheet2!$F$2:$F$3154,0)</f>
        <v>0</v>
      </c>
      <c r="E1321" s="4" t="e">
        <f>_xlfn.XLOOKUP(B1321,[2]Sheet2!$E$2:$E$713,[2]Sheet2!$G$2:$G$713)</f>
        <v>#N/A</v>
      </c>
      <c r="F1321" s="18">
        <v>46141</v>
      </c>
      <c r="G1321" s="14">
        <v>0.69452546296296291</v>
      </c>
      <c r="H1321" s="7" t="s">
        <v>5</v>
      </c>
      <c r="I1321" s="2" t="str">
        <f t="shared" si="103"/>
        <v>Q2</v>
      </c>
      <c r="J1321" s="2" t="str">
        <f t="shared" si="107"/>
        <v>Not Found</v>
      </c>
      <c r="K1321" s="2">
        <f t="shared" si="104"/>
        <v>0.67082039324993692</v>
      </c>
      <c r="L1321" s="2" t="e">
        <f t="shared" si="105"/>
        <v>#N/A</v>
      </c>
      <c r="M1321" s="2" t="str">
        <f t="shared" si="106"/>
        <v>Assign quadrant hit</v>
      </c>
      <c r="N1321" s="7">
        <v>30.1</v>
      </c>
      <c r="O1321" s="7">
        <v>-12</v>
      </c>
      <c r="P1321" s="7">
        <v>10.1</v>
      </c>
      <c r="Q1321" s="7">
        <v>-0.6</v>
      </c>
      <c r="R1321" s="7">
        <v>-0.3</v>
      </c>
      <c r="S1321" s="7">
        <v>0.6</v>
      </c>
      <c r="T1321" s="7">
        <v>0.48</v>
      </c>
      <c r="U1321" s="7">
        <v>-0.21</v>
      </c>
      <c r="V1321" s="7">
        <v>0.8</v>
      </c>
      <c r="W1321" s="7" t="s">
        <v>13</v>
      </c>
      <c r="X1321" s="7" t="s">
        <v>12</v>
      </c>
      <c r="Y1321" s="2" t="s">
        <v>719</v>
      </c>
      <c r="Z1321" s="2" t="s">
        <v>721</v>
      </c>
    </row>
    <row r="1322" spans="1:26" x14ac:dyDescent="0.35">
      <c r="A1322" s="7" t="s">
        <v>1520</v>
      </c>
      <c r="B1322" s="7" t="s">
        <v>1372</v>
      </c>
      <c r="C1322" s="4" t="str">
        <f>_xlfn.XLOOKUP(A1322,[2]Sheet2!$I$2:$I$1273,[2]Sheet2!$D$2:$D$1273,0)</f>
        <v>Q1</v>
      </c>
      <c r="D1322" s="4">
        <f>_xlfn.XLOOKUP(B1322,[4]Sheet2!$B$2:$B$3154,[4]Sheet2!$F$2:$F$3154,0)</f>
        <v>0</v>
      </c>
      <c r="E1322" s="4" t="e">
        <f>_xlfn.XLOOKUP(B1322,[2]Sheet2!$E$2:$E$713,[2]Sheet2!$G$2:$G$713)</f>
        <v>#N/A</v>
      </c>
      <c r="F1322" s="18">
        <v>46141</v>
      </c>
      <c r="G1322" s="14">
        <v>0.71081018518518524</v>
      </c>
      <c r="H1322" s="7" t="s">
        <v>11</v>
      </c>
      <c r="I1322" s="2" t="str">
        <f t="shared" si="103"/>
        <v>Q1</v>
      </c>
      <c r="J1322" s="2" t="str">
        <f t="shared" si="107"/>
        <v>Match</v>
      </c>
      <c r="K1322" s="2">
        <f t="shared" si="104"/>
        <v>0.56568542494923812</v>
      </c>
      <c r="L1322" s="2" t="e">
        <f t="shared" si="105"/>
        <v>#N/A</v>
      </c>
      <c r="M1322" s="2" t="str">
        <f t="shared" si="106"/>
        <v>Digital Approve Hit</v>
      </c>
      <c r="N1322" s="7">
        <v>25.6</v>
      </c>
      <c r="O1322" s="7">
        <v>7.1</v>
      </c>
      <c r="P1322" s="7">
        <v>8.4</v>
      </c>
      <c r="Q1322" s="7">
        <v>-0.38</v>
      </c>
      <c r="R1322" s="7">
        <v>0.4</v>
      </c>
      <c r="S1322" s="7">
        <v>0.4</v>
      </c>
      <c r="T1322" s="7">
        <v>0.54</v>
      </c>
      <c r="U1322" s="7">
        <v>-0.12</v>
      </c>
      <c r="V1322" s="7">
        <v>0.67</v>
      </c>
      <c r="W1322" s="7" t="s">
        <v>8</v>
      </c>
      <c r="X1322" s="7" t="s">
        <v>9</v>
      </c>
      <c r="Y1322" s="2" t="s">
        <v>719</v>
      </c>
      <c r="Z1322" s="2" t="s">
        <v>721</v>
      </c>
    </row>
    <row r="1323" spans="1:26" x14ac:dyDescent="0.35">
      <c r="A1323" s="7" t="s">
        <v>1785</v>
      </c>
      <c r="B1323" s="7" t="s">
        <v>1373</v>
      </c>
      <c r="C1323" s="4" t="str">
        <f>_xlfn.XLOOKUP(A1323,[2]Sheet2!$I$2:$I$1273,[2]Sheet2!$D$2:$D$1273,0)</f>
        <v>Q4</v>
      </c>
      <c r="D1323" s="4">
        <f>_xlfn.XLOOKUP(B1323,[4]Sheet2!$B$2:$B$3154,[4]Sheet2!$F$2:$F$3154,0)</f>
        <v>0</v>
      </c>
      <c r="E1323" s="4" t="e">
        <f>_xlfn.XLOOKUP(B1323,[2]Sheet2!$E$2:$E$713,[2]Sheet2!$G$2:$G$713)</f>
        <v>#N/A</v>
      </c>
      <c r="F1323" s="18">
        <v>46141</v>
      </c>
      <c r="G1323" s="14">
        <v>0.71456018518518516</v>
      </c>
      <c r="H1323" s="7" t="s">
        <v>4</v>
      </c>
      <c r="I1323" s="2" t="str">
        <f t="shared" si="103"/>
        <v>Q4</v>
      </c>
      <c r="J1323" s="2" t="str">
        <f t="shared" si="107"/>
        <v>Match</v>
      </c>
      <c r="K1323" s="2">
        <f t="shared" si="104"/>
        <v>0</v>
      </c>
      <c r="L1323" s="2" t="e">
        <f t="shared" si="105"/>
        <v>#N/A</v>
      </c>
      <c r="M1323" s="2" t="str">
        <f t="shared" si="106"/>
        <v>Digital Approve Hit</v>
      </c>
      <c r="N1323" s="7">
        <v>16.899999999999999</v>
      </c>
      <c r="O1323" s="7">
        <v>-0.4</v>
      </c>
      <c r="P1323" s="7">
        <v>-0.7</v>
      </c>
      <c r="Q1323" s="7">
        <v>-0.68</v>
      </c>
      <c r="R1323" s="7">
        <v>0</v>
      </c>
      <c r="S1323" s="7">
        <v>0</v>
      </c>
      <c r="T1323" s="7">
        <v>0.1</v>
      </c>
      <c r="U1323" s="7">
        <v>-0.09</v>
      </c>
      <c r="V1323" s="7">
        <v>0.69</v>
      </c>
      <c r="W1323" s="7" t="s">
        <v>8</v>
      </c>
      <c r="X1323" s="7" t="s">
        <v>15</v>
      </c>
      <c r="Y1323" s="2" t="s">
        <v>719</v>
      </c>
      <c r="Z1323" s="2" t="s">
        <v>721</v>
      </c>
    </row>
    <row r="1324" spans="1:26" x14ac:dyDescent="0.35">
      <c r="A1324" s="7" t="s">
        <v>1756</v>
      </c>
      <c r="B1324" s="7" t="s">
        <v>1374</v>
      </c>
      <c r="C1324" s="4" t="str">
        <f>_xlfn.XLOOKUP(A1324,[2]Sheet2!$I$2:$I$1273,[2]Sheet2!$D$2:$D$1273,0)</f>
        <v>Q1</v>
      </c>
      <c r="D1324" s="4">
        <f>_xlfn.XLOOKUP(B1324,[4]Sheet2!$B$2:$B$3154,[4]Sheet2!$F$2:$F$3154,0)</f>
        <v>0</v>
      </c>
      <c r="E1324" s="4" t="e">
        <f>_xlfn.XLOOKUP(B1324,[2]Sheet2!$E$2:$E$713,[2]Sheet2!$G$2:$G$713)</f>
        <v>#N/A</v>
      </c>
      <c r="F1324" s="18">
        <v>46142</v>
      </c>
      <c r="G1324" s="14">
        <v>0.72534722222222225</v>
      </c>
      <c r="H1324" s="7" t="s">
        <v>11</v>
      </c>
      <c r="I1324" s="2" t="str">
        <f t="shared" si="103"/>
        <v>Q3</v>
      </c>
      <c r="J1324" s="2" t="str">
        <f t="shared" si="107"/>
        <v>Not Match</v>
      </c>
      <c r="K1324" s="2">
        <f t="shared" si="104"/>
        <v>0.22360679774997899</v>
      </c>
      <c r="L1324" s="2" t="e">
        <f t="shared" si="105"/>
        <v>#N/A</v>
      </c>
      <c r="M1324" s="2" t="str">
        <f t="shared" si="106"/>
        <v>Below 0.8 not in assigned quadrant</v>
      </c>
      <c r="N1324" s="7">
        <v>16.3</v>
      </c>
      <c r="O1324" s="7">
        <v>-1.1000000000000001</v>
      </c>
      <c r="P1324" s="7">
        <v>-0.8</v>
      </c>
      <c r="Q1324" s="7">
        <v>0.51</v>
      </c>
      <c r="R1324" s="7">
        <v>-0.2</v>
      </c>
      <c r="S1324" s="7">
        <v>-0.1</v>
      </c>
      <c r="T1324" s="7">
        <v>0.44</v>
      </c>
      <c r="U1324" s="7">
        <v>0.03</v>
      </c>
      <c r="V1324" s="7">
        <v>0.67</v>
      </c>
      <c r="W1324" s="7" t="s">
        <v>8</v>
      </c>
      <c r="X1324" s="7" t="s">
        <v>7</v>
      </c>
      <c r="Y1324" s="2" t="s">
        <v>719</v>
      </c>
      <c r="Z1324" s="2" t="s">
        <v>721</v>
      </c>
    </row>
    <row r="1325" spans="1:26" x14ac:dyDescent="0.35">
      <c r="A1325" s="7" t="s">
        <v>1626</v>
      </c>
      <c r="B1325" s="7" t="s">
        <v>1375</v>
      </c>
      <c r="C1325" s="4" t="str">
        <f>_xlfn.XLOOKUP(A1325,[2]Sheet2!$I$2:$I$1273,[2]Sheet2!$D$2:$D$1273,0)</f>
        <v>Q4</v>
      </c>
      <c r="D1325" s="4">
        <f>_xlfn.XLOOKUP(B1325,[4]Sheet2!$B$2:$B$3154,[4]Sheet2!$F$2:$F$3154,0)</f>
        <v>0</v>
      </c>
      <c r="E1325" s="4" t="e">
        <f>_xlfn.XLOOKUP(B1325,[2]Sheet2!$E$2:$E$713,[2]Sheet2!$G$2:$G$713)</f>
        <v>#N/A</v>
      </c>
      <c r="F1325" s="18">
        <v>46142</v>
      </c>
      <c r="G1325" s="14">
        <v>0.72962962962962963</v>
      </c>
      <c r="H1325" s="7" t="s">
        <v>11</v>
      </c>
      <c r="I1325" s="2" t="str">
        <f t="shared" si="103"/>
        <v>Q1</v>
      </c>
      <c r="J1325" s="2" t="str">
        <f t="shared" si="107"/>
        <v>Not Match</v>
      </c>
      <c r="K1325" s="2">
        <f t="shared" si="104"/>
        <v>0.3</v>
      </c>
      <c r="L1325" s="2" t="e">
        <f t="shared" si="105"/>
        <v>#N/A</v>
      </c>
      <c r="M1325" s="2" t="str">
        <f t="shared" si="106"/>
        <v>Below 0.8 not in assigned quadrant</v>
      </c>
      <c r="N1325" s="7">
        <v>15.2</v>
      </c>
      <c r="O1325" s="7">
        <v>-0.3</v>
      </c>
      <c r="P1325" s="7">
        <v>-2.1</v>
      </c>
      <c r="Q1325" s="7">
        <v>-0.6</v>
      </c>
      <c r="R1325" s="7">
        <v>0</v>
      </c>
      <c r="S1325" s="7">
        <v>0.3</v>
      </c>
      <c r="T1325" s="7">
        <v>-0.37</v>
      </c>
      <c r="U1325" s="7">
        <v>-0.05</v>
      </c>
      <c r="V1325" s="7">
        <v>0.71</v>
      </c>
      <c r="W1325" s="7" t="s">
        <v>8</v>
      </c>
      <c r="X1325" s="7" t="s">
        <v>15</v>
      </c>
      <c r="Y1325" s="2" t="s">
        <v>719</v>
      </c>
      <c r="Z1325" s="2" t="s">
        <v>721</v>
      </c>
    </row>
    <row r="1326" spans="1:26" x14ac:dyDescent="0.35">
      <c r="A1326" s="7" t="s">
        <v>1652</v>
      </c>
      <c r="B1326" s="7" t="s">
        <v>1376</v>
      </c>
      <c r="C1326" s="4" t="str">
        <f>_xlfn.XLOOKUP(A1326,[2]Sheet2!$I$2:$I$1273,[2]Sheet2!$D$2:$D$1273,0)</f>
        <v>Q2</v>
      </c>
      <c r="D1326" s="4">
        <f>_xlfn.XLOOKUP(B1326,[4]Sheet2!$B$2:$B$3154,[4]Sheet2!$F$2:$F$3154,0)</f>
        <v>0</v>
      </c>
      <c r="E1326" s="4" t="e">
        <f>_xlfn.XLOOKUP(B1326,[2]Sheet2!$E$2:$E$713,[2]Sheet2!$G$2:$G$713)</f>
        <v>#N/A</v>
      </c>
      <c r="F1326" s="18">
        <v>46142</v>
      </c>
      <c r="G1326" s="14">
        <v>0.73179398148148145</v>
      </c>
      <c r="H1326" s="7" t="s">
        <v>5</v>
      </c>
      <c r="I1326" s="2" t="str">
        <f t="shared" si="103"/>
        <v>Q3</v>
      </c>
      <c r="J1326" s="2" t="str">
        <f t="shared" si="107"/>
        <v>Not Match</v>
      </c>
      <c r="K1326" s="2">
        <f t="shared" si="104"/>
        <v>0.28284271247461906</v>
      </c>
      <c r="L1326" s="2" t="e">
        <f t="shared" si="105"/>
        <v>#N/A</v>
      </c>
      <c r="M1326" s="2" t="str">
        <f t="shared" si="106"/>
        <v>Assign quadrant hit</v>
      </c>
      <c r="N1326" s="7">
        <v>15.2</v>
      </c>
      <c r="O1326" s="7">
        <v>-1</v>
      </c>
      <c r="P1326" s="7">
        <v>-2.9</v>
      </c>
      <c r="Q1326" s="7">
        <v>-0.73</v>
      </c>
      <c r="R1326" s="7">
        <v>-0.2</v>
      </c>
      <c r="S1326" s="7">
        <v>-0.2</v>
      </c>
      <c r="T1326" s="7">
        <v>0.38</v>
      </c>
      <c r="U1326" s="7">
        <v>-0.23</v>
      </c>
      <c r="V1326" s="7">
        <v>0.85</v>
      </c>
      <c r="W1326" s="7" t="s">
        <v>13</v>
      </c>
      <c r="X1326" s="7" t="s">
        <v>15</v>
      </c>
      <c r="Y1326" s="2" t="s">
        <v>719</v>
      </c>
      <c r="Z1326" s="2" t="s">
        <v>721</v>
      </c>
    </row>
    <row r="1327" spans="1:26" x14ac:dyDescent="0.35">
      <c r="A1327" s="7" t="s">
        <v>1559</v>
      </c>
      <c r="B1327" s="7" t="s">
        <v>1377</v>
      </c>
      <c r="C1327" s="4" t="str">
        <f>_xlfn.XLOOKUP(A1327,[2]Sheet2!$I$2:$I$1273,[2]Sheet2!$D$2:$D$1273,0)</f>
        <v>Q3</v>
      </c>
      <c r="D1327" s="4">
        <f>_xlfn.XLOOKUP(B1327,[4]Sheet2!$B$2:$B$3154,[4]Sheet2!$F$2:$F$3154,0)</f>
        <v>0</v>
      </c>
      <c r="E1327" s="4" t="e">
        <f>_xlfn.XLOOKUP(B1327,[2]Sheet2!$E$2:$E$713,[2]Sheet2!$G$2:$G$713)</f>
        <v>#N/A</v>
      </c>
      <c r="F1327" s="18">
        <v>46142</v>
      </c>
      <c r="G1327" s="14">
        <v>0.77589120370370368</v>
      </c>
      <c r="H1327" s="7" t="s">
        <v>11</v>
      </c>
      <c r="I1327" s="2" t="str">
        <f t="shared" si="103"/>
        <v>Q4</v>
      </c>
      <c r="J1327" s="2" t="str">
        <f t="shared" si="107"/>
        <v>Not Match</v>
      </c>
      <c r="K1327" s="2">
        <f t="shared" si="104"/>
        <v>0.1</v>
      </c>
      <c r="L1327" s="2" t="e">
        <f t="shared" si="105"/>
        <v>#N/A</v>
      </c>
      <c r="M1327" s="2" t="str">
        <f t="shared" si="106"/>
        <v>Below 0.8 not in assigned quadrant</v>
      </c>
      <c r="N1327" s="7">
        <v>17.3</v>
      </c>
      <c r="O1327" s="7">
        <v>-0.6</v>
      </c>
      <c r="P1327" s="7">
        <v>-2.9</v>
      </c>
      <c r="Q1327" s="7">
        <v>-0.38</v>
      </c>
      <c r="R1327" s="7">
        <v>0</v>
      </c>
      <c r="S1327" s="7">
        <v>-0.1</v>
      </c>
      <c r="T1327" s="7">
        <v>0.11</v>
      </c>
      <c r="U1327" s="7">
        <v>7.0000000000000007E-2</v>
      </c>
      <c r="V1327" s="7">
        <v>0.4</v>
      </c>
      <c r="W1327" s="7" t="s">
        <v>8</v>
      </c>
      <c r="X1327" s="7" t="s">
        <v>9</v>
      </c>
      <c r="Y1327" s="2" t="s">
        <v>719</v>
      </c>
      <c r="Z1327" s="2" t="s">
        <v>721</v>
      </c>
    </row>
    <row r="1328" spans="1:26" x14ac:dyDescent="0.35">
      <c r="A1328" s="7" t="s">
        <v>1796</v>
      </c>
      <c r="B1328" s="7" t="s">
        <v>1378</v>
      </c>
      <c r="C1328" s="4" t="str">
        <f>_xlfn.XLOOKUP(A1328,[2]Sheet2!$I$2:$I$1273,[2]Sheet2!$D$2:$D$1273,0)</f>
        <v>Q2</v>
      </c>
      <c r="D1328" s="4">
        <f>_xlfn.XLOOKUP(B1328,[4]Sheet2!$B$2:$B$3154,[4]Sheet2!$F$2:$F$3154,0)</f>
        <v>0</v>
      </c>
      <c r="E1328" s="4" t="e">
        <f>_xlfn.XLOOKUP(B1328,[2]Sheet2!$E$2:$E$713,[2]Sheet2!$G$2:$G$713)</f>
        <v>#N/A</v>
      </c>
      <c r="F1328" s="18">
        <v>46142</v>
      </c>
      <c r="G1328" s="14">
        <v>0.7817708333333333</v>
      </c>
      <c r="H1328" s="7" t="s">
        <v>5</v>
      </c>
      <c r="I1328" s="2" t="str">
        <f t="shared" si="103"/>
        <v>Q4</v>
      </c>
      <c r="J1328" s="2" t="str">
        <f t="shared" si="107"/>
        <v>Not Match</v>
      </c>
      <c r="K1328" s="2">
        <f t="shared" si="104"/>
        <v>0.4</v>
      </c>
      <c r="L1328" s="2" t="e">
        <f t="shared" si="105"/>
        <v>#N/A</v>
      </c>
      <c r="M1328" s="2" t="str">
        <f t="shared" si="106"/>
        <v>Below 0.8 not in assigned quadrant</v>
      </c>
      <c r="N1328" s="7">
        <v>25.3</v>
      </c>
      <c r="O1328" s="7">
        <v>13.3</v>
      </c>
      <c r="P1328" s="7">
        <v>-35.1</v>
      </c>
      <c r="Q1328" s="7">
        <v>-0.25</v>
      </c>
      <c r="R1328" s="7">
        <v>0</v>
      </c>
      <c r="S1328" s="7">
        <v>-0.4</v>
      </c>
      <c r="T1328" s="7">
        <v>0.19</v>
      </c>
      <c r="U1328" s="7">
        <v>-0.05</v>
      </c>
      <c r="V1328" s="7">
        <v>0.31</v>
      </c>
      <c r="W1328" s="7" t="s">
        <v>8</v>
      </c>
      <c r="X1328" s="7" t="s">
        <v>15</v>
      </c>
      <c r="Y1328" s="2" t="s">
        <v>719</v>
      </c>
      <c r="Z1328" s="2" t="s">
        <v>721</v>
      </c>
    </row>
    <row r="1329" spans="1:26" x14ac:dyDescent="0.35">
      <c r="A1329" s="7" t="s">
        <v>1797</v>
      </c>
      <c r="B1329" s="7" t="s">
        <v>1379</v>
      </c>
      <c r="C1329" s="4" t="str">
        <f>_xlfn.XLOOKUP(A1329,[2]Sheet2!$I$2:$I$1273,[2]Sheet2!$D$2:$D$1273,0)</f>
        <v>Q4</v>
      </c>
      <c r="D1329" s="4">
        <f>_xlfn.XLOOKUP(B1329,[4]Sheet2!$B$2:$B$3154,[4]Sheet2!$F$2:$F$3154,0)</f>
        <v>0</v>
      </c>
      <c r="E1329" s="4" t="e">
        <f>_xlfn.XLOOKUP(B1329,[2]Sheet2!$E$2:$E$713,[2]Sheet2!$G$2:$G$713)</f>
        <v>#N/A</v>
      </c>
      <c r="F1329" s="18">
        <v>46142</v>
      </c>
      <c r="G1329" s="14">
        <v>0.78594907407407411</v>
      </c>
      <c r="H1329" s="7" t="s">
        <v>5</v>
      </c>
      <c r="I1329" s="2" t="str">
        <f t="shared" si="103"/>
        <v>Q1</v>
      </c>
      <c r="J1329" s="2" t="str">
        <f t="shared" si="107"/>
        <v>Not Match</v>
      </c>
      <c r="K1329" s="2">
        <f t="shared" si="104"/>
        <v>0.31622776601683794</v>
      </c>
      <c r="L1329" s="2" t="e">
        <f t="shared" si="105"/>
        <v>#N/A</v>
      </c>
      <c r="M1329" s="2" t="str">
        <f t="shared" si="106"/>
        <v>Assign quadrant hit</v>
      </c>
      <c r="N1329" s="7">
        <v>28.2</v>
      </c>
      <c r="O1329" s="7">
        <v>-11.4</v>
      </c>
      <c r="P1329" s="7">
        <v>2.1</v>
      </c>
      <c r="Q1329" s="7">
        <v>-0.73</v>
      </c>
      <c r="R1329" s="7">
        <v>0.3</v>
      </c>
      <c r="S1329" s="7">
        <v>0.1</v>
      </c>
      <c r="T1329" s="7">
        <v>-0.25</v>
      </c>
      <c r="U1329" s="7">
        <v>-0.24</v>
      </c>
      <c r="V1329" s="7">
        <v>0.81</v>
      </c>
      <c r="W1329" s="7" t="s">
        <v>13</v>
      </c>
      <c r="X1329" s="7" t="s">
        <v>12</v>
      </c>
      <c r="Y1329" s="2" t="s">
        <v>719</v>
      </c>
      <c r="Z1329" s="2" t="s">
        <v>721</v>
      </c>
    </row>
    <row r="1330" spans="1:26" x14ac:dyDescent="0.35">
      <c r="A1330" s="7" t="s">
        <v>1790</v>
      </c>
      <c r="B1330" s="7" t="s">
        <v>1380</v>
      </c>
      <c r="C1330" s="4" t="str">
        <f>_xlfn.XLOOKUP(A1330,[2]Sheet2!$I$2:$I$1273,[2]Sheet2!$D$2:$D$1273,0)</f>
        <v>Q1</v>
      </c>
      <c r="D1330" s="4">
        <f>_xlfn.XLOOKUP(B1330,[4]Sheet2!$B$2:$B$3154,[4]Sheet2!$F$2:$F$3154,0)</f>
        <v>0</v>
      </c>
      <c r="E1330" s="4" t="e">
        <f>_xlfn.XLOOKUP(B1330,[2]Sheet2!$E$2:$E$713,[2]Sheet2!$G$2:$G$713)</f>
        <v>#N/A</v>
      </c>
      <c r="F1330" s="18">
        <v>46142</v>
      </c>
      <c r="G1330" s="14">
        <v>0.78768518518518515</v>
      </c>
      <c r="H1330" s="7" t="s">
        <v>5</v>
      </c>
      <c r="I1330" s="2" t="str">
        <f t="shared" si="103"/>
        <v>Q4</v>
      </c>
      <c r="J1330" s="2" t="str">
        <f t="shared" si="107"/>
        <v>Not Match</v>
      </c>
      <c r="K1330" s="2">
        <f t="shared" si="104"/>
        <v>0.3</v>
      </c>
      <c r="L1330" s="2" t="e">
        <f t="shared" si="105"/>
        <v>#N/A</v>
      </c>
      <c r="M1330" s="2" t="str">
        <f t="shared" si="106"/>
        <v>Below 0.8 not in assigned quadrant</v>
      </c>
      <c r="N1330" s="7">
        <v>21.7</v>
      </c>
      <c r="O1330" s="7">
        <v>4.9000000000000004</v>
      </c>
      <c r="P1330" s="7">
        <v>-12</v>
      </c>
      <c r="Q1330" s="7">
        <v>-0.21</v>
      </c>
      <c r="R1330" s="7">
        <v>0</v>
      </c>
      <c r="S1330" s="7">
        <v>-0.3</v>
      </c>
      <c r="T1330" s="7">
        <v>0.24</v>
      </c>
      <c r="U1330" s="7">
        <v>-0.08</v>
      </c>
      <c r="V1330" s="7">
        <v>0.33</v>
      </c>
      <c r="W1330" s="7" t="s">
        <v>8</v>
      </c>
      <c r="X1330" s="7" t="s">
        <v>15</v>
      </c>
      <c r="Y1330" s="2" t="s">
        <v>719</v>
      </c>
      <c r="Z1330" s="2" t="s">
        <v>721</v>
      </c>
    </row>
    <row r="1331" spans="1:26" x14ac:dyDescent="0.35">
      <c r="A1331" s="7" t="s">
        <v>1593</v>
      </c>
      <c r="B1331" s="7" t="s">
        <v>1381</v>
      </c>
      <c r="C1331" s="4" t="str">
        <f>_xlfn.XLOOKUP(A1331,[2]Sheet2!$I$2:$I$1273,[2]Sheet2!$D$2:$D$1273,0)</f>
        <v>Q3</v>
      </c>
      <c r="D1331" s="4">
        <f>_xlfn.XLOOKUP(B1331,[4]Sheet2!$B$2:$B$3154,[4]Sheet2!$F$2:$F$3154,0)</f>
        <v>0</v>
      </c>
      <c r="E1331" s="4" t="e">
        <f>_xlfn.XLOOKUP(B1331,[2]Sheet2!$E$2:$E$713,[2]Sheet2!$G$2:$G$713)</f>
        <v>#N/A</v>
      </c>
      <c r="F1331" s="18">
        <v>46142</v>
      </c>
      <c r="G1331" s="14">
        <v>0.90418981481481486</v>
      </c>
      <c r="H1331" s="7" t="s">
        <v>5</v>
      </c>
      <c r="I1331" s="2" t="str">
        <f t="shared" si="103"/>
        <v>Q2</v>
      </c>
      <c r="J1331" s="2" t="str">
        <f t="shared" si="107"/>
        <v>Not Match</v>
      </c>
      <c r="K1331" s="2">
        <f t="shared" si="104"/>
        <v>0.28284271247461906</v>
      </c>
      <c r="L1331" s="2" t="e">
        <f t="shared" si="105"/>
        <v>#N/A</v>
      </c>
      <c r="M1331" s="2" t="str">
        <f t="shared" si="106"/>
        <v>Assign quadrant hit</v>
      </c>
      <c r="N1331" s="7">
        <v>22.1</v>
      </c>
      <c r="O1331" s="7">
        <v>2.9</v>
      </c>
      <c r="P1331" s="7">
        <v>2.6</v>
      </c>
      <c r="Q1331" s="7">
        <v>-1.44</v>
      </c>
      <c r="R1331" s="7">
        <v>-0.2</v>
      </c>
      <c r="S1331" s="7">
        <v>0.2</v>
      </c>
      <c r="T1331" s="7">
        <v>-0.05</v>
      </c>
      <c r="U1331" s="7">
        <v>0.53</v>
      </c>
      <c r="V1331" s="7">
        <v>1.54</v>
      </c>
      <c r="W1331" s="7" t="s">
        <v>6</v>
      </c>
      <c r="X1331" s="7" t="s">
        <v>12</v>
      </c>
      <c r="Y1331" s="2" t="s">
        <v>719</v>
      </c>
      <c r="Z1331" s="2" t="s">
        <v>721</v>
      </c>
    </row>
    <row r="1332" spans="1:26" x14ac:dyDescent="0.35">
      <c r="A1332" s="7" t="s">
        <v>1798</v>
      </c>
      <c r="B1332" s="7" t="s">
        <v>1382</v>
      </c>
      <c r="C1332" s="4" t="str">
        <f>_xlfn.XLOOKUP(A1332,[2]Sheet2!$I$2:$I$1273,[2]Sheet2!$D$2:$D$1273,0)</f>
        <v>Q2</v>
      </c>
      <c r="D1332" s="4">
        <f>_xlfn.XLOOKUP(B1332,[4]Sheet2!$B$2:$B$3154,[4]Sheet2!$F$2:$F$3154,0)</f>
        <v>0</v>
      </c>
      <c r="E1332" s="4" t="e">
        <f>_xlfn.XLOOKUP(B1332,[2]Sheet2!$E$2:$E$713,[2]Sheet2!$G$2:$G$713)</f>
        <v>#N/A</v>
      </c>
      <c r="F1332" s="18">
        <v>46142</v>
      </c>
      <c r="G1332" s="14">
        <v>0.96402777777777782</v>
      </c>
      <c r="H1332" s="7" t="s">
        <v>5</v>
      </c>
      <c r="I1332" s="2" t="str">
        <f t="shared" si="103"/>
        <v>Q4</v>
      </c>
      <c r="J1332" s="2" t="str">
        <f t="shared" si="107"/>
        <v>Not Match</v>
      </c>
      <c r="K1332" s="2">
        <f t="shared" si="104"/>
        <v>0.2</v>
      </c>
      <c r="L1332" s="2" t="e">
        <f t="shared" si="105"/>
        <v>#N/A</v>
      </c>
      <c r="M1332" s="2" t="str">
        <f t="shared" si="106"/>
        <v>Below 0.8 not in assigned quadrant</v>
      </c>
      <c r="N1332" s="7">
        <v>21.9</v>
      </c>
      <c r="O1332" s="7">
        <v>11.1</v>
      </c>
      <c r="P1332" s="7">
        <v>2.5</v>
      </c>
      <c r="Q1332" s="7">
        <v>0.04</v>
      </c>
      <c r="R1332" s="7">
        <v>0.2</v>
      </c>
      <c r="S1332" s="7">
        <v>0</v>
      </c>
      <c r="T1332" s="7">
        <v>0.21</v>
      </c>
      <c r="U1332" s="7">
        <v>0.01</v>
      </c>
      <c r="V1332" s="7">
        <v>0.21</v>
      </c>
      <c r="W1332" s="7" t="s">
        <v>8</v>
      </c>
      <c r="X1332" s="7" t="s">
        <v>12</v>
      </c>
      <c r="Y1332" s="2" t="s">
        <v>719</v>
      </c>
      <c r="Z1332" s="2" t="s">
        <v>721</v>
      </c>
    </row>
    <row r="1333" spans="1:26" x14ac:dyDescent="0.35">
      <c r="A1333" s="7" t="s">
        <v>1625</v>
      </c>
      <c r="B1333" s="7" t="s">
        <v>1383</v>
      </c>
      <c r="C1333" s="4" t="str">
        <f>_xlfn.XLOOKUP(A1333,[2]Sheet2!$I$2:$I$1273,[2]Sheet2!$D$2:$D$1273,0)</f>
        <v>Q1</v>
      </c>
      <c r="D1333" s="4">
        <f>_xlfn.XLOOKUP(B1333,[4]Sheet2!$B$2:$B$3154,[4]Sheet2!$F$2:$F$3154,0)</f>
        <v>0</v>
      </c>
      <c r="E1333" s="4" t="e">
        <f>_xlfn.XLOOKUP(B1333,[2]Sheet2!$E$2:$E$713,[2]Sheet2!$G$2:$G$713)</f>
        <v>#N/A</v>
      </c>
      <c r="F1333" s="18">
        <v>46142</v>
      </c>
      <c r="G1333" s="14">
        <v>0.98866898148148152</v>
      </c>
      <c r="H1333" s="7" t="s">
        <v>4</v>
      </c>
      <c r="I1333" s="2" t="str">
        <f t="shared" si="103"/>
        <v>Q1</v>
      </c>
      <c r="J1333" s="2" t="str">
        <f t="shared" si="107"/>
        <v>Match</v>
      </c>
      <c r="K1333" s="2">
        <f t="shared" si="104"/>
        <v>0.1</v>
      </c>
      <c r="L1333" s="2" t="e">
        <f t="shared" si="105"/>
        <v>#N/A</v>
      </c>
      <c r="M1333" s="2" t="str">
        <f t="shared" si="106"/>
        <v>Digital Approve Hit</v>
      </c>
      <c r="N1333" s="7">
        <v>20.100000000000001</v>
      </c>
      <c r="O1333" s="7">
        <v>0.1</v>
      </c>
      <c r="P1333" s="7">
        <v>-2.7</v>
      </c>
      <c r="Q1333" s="7">
        <v>-0.56000000000000005</v>
      </c>
      <c r="R1333" s="7">
        <v>0</v>
      </c>
      <c r="S1333" s="7">
        <v>0.1</v>
      </c>
      <c r="T1333" s="7">
        <v>-0.14000000000000001</v>
      </c>
      <c r="U1333" s="7">
        <v>0.1</v>
      </c>
      <c r="V1333" s="7">
        <v>0.59</v>
      </c>
      <c r="W1333" s="7" t="s">
        <v>8</v>
      </c>
      <c r="X1333" s="7" t="s">
        <v>9</v>
      </c>
      <c r="Y1333" s="2" t="s">
        <v>719</v>
      </c>
      <c r="Z1333" s="2" t="s">
        <v>721</v>
      </c>
    </row>
    <row r="1334" spans="1:26" x14ac:dyDescent="0.35">
      <c r="A1334" s="7" t="s">
        <v>1626</v>
      </c>
      <c r="B1334" s="7" t="s">
        <v>1385</v>
      </c>
      <c r="C1334" s="4" t="str">
        <f>_xlfn.XLOOKUP(A1334,[2]Sheet2!$I$2:$I$1273,[2]Sheet2!$D$2:$D$1273,0)</f>
        <v>Q4</v>
      </c>
      <c r="D1334" s="4">
        <f>_xlfn.XLOOKUP(B1334,[4]Sheet2!$B$2:$B$3154,[4]Sheet2!$F$2:$F$3154,0)</f>
        <v>0</v>
      </c>
      <c r="E1334" s="4" t="e">
        <f>_xlfn.XLOOKUP(B1334,[2]Sheet2!$E$2:$E$713,[2]Sheet2!$G$2:$G$713)</f>
        <v>#N/A</v>
      </c>
      <c r="F1334" s="18">
        <v>46143</v>
      </c>
      <c r="G1334" s="14">
        <v>0.17086805555555556</v>
      </c>
      <c r="H1334" s="7" t="s">
        <v>11</v>
      </c>
      <c r="I1334" s="2" t="str">
        <f t="shared" si="103"/>
        <v>Q1</v>
      </c>
      <c r="J1334" s="2" t="str">
        <f t="shared" si="107"/>
        <v>Not Match</v>
      </c>
      <c r="K1334" s="2">
        <f t="shared" si="104"/>
        <v>0.1</v>
      </c>
      <c r="L1334" s="2" t="e">
        <f t="shared" si="105"/>
        <v>#N/A</v>
      </c>
      <c r="M1334" s="2" t="str">
        <f t="shared" si="106"/>
        <v>Below 0.8 not in assigned quadrant</v>
      </c>
      <c r="N1334" s="7">
        <v>15.4</v>
      </c>
      <c r="O1334" s="7">
        <v>-0.3</v>
      </c>
      <c r="P1334" s="7">
        <v>-2.2000000000000002</v>
      </c>
      <c r="Q1334" s="7">
        <v>-0.39</v>
      </c>
      <c r="R1334" s="7">
        <v>0</v>
      </c>
      <c r="S1334" s="7">
        <v>0.1</v>
      </c>
      <c r="T1334" s="7">
        <v>-0.24</v>
      </c>
      <c r="U1334" s="7">
        <v>-0.01</v>
      </c>
      <c r="V1334" s="7">
        <v>0.46</v>
      </c>
      <c r="W1334" s="7" t="s">
        <v>8</v>
      </c>
      <c r="X1334" s="7" t="s">
        <v>15</v>
      </c>
      <c r="Y1334" s="2" t="s">
        <v>719</v>
      </c>
      <c r="Z1334" s="2" t="s">
        <v>721</v>
      </c>
    </row>
    <row r="1335" spans="1:26" x14ac:dyDescent="0.35">
      <c r="A1335" s="7" t="s">
        <v>1516</v>
      </c>
      <c r="B1335" s="7" t="s">
        <v>1386</v>
      </c>
      <c r="C1335" s="4" t="str">
        <f>_xlfn.XLOOKUP(A1335,[2]Sheet2!$I$2:$I$1273,[2]Sheet2!$D$2:$D$1273,0)</f>
        <v>Q2</v>
      </c>
      <c r="D1335" s="4">
        <f>_xlfn.XLOOKUP(B1335,[4]Sheet2!$B$2:$B$3154,[4]Sheet2!$F$2:$F$3154,0)</f>
        <v>0</v>
      </c>
      <c r="E1335" s="4" t="e">
        <f>_xlfn.XLOOKUP(B1335,[2]Sheet2!$E$2:$E$713,[2]Sheet2!$G$2:$G$713)</f>
        <v>#N/A</v>
      </c>
      <c r="F1335" s="18">
        <v>46143</v>
      </c>
      <c r="G1335" s="14">
        <v>0.17917824074074074</v>
      </c>
      <c r="H1335" s="7" t="s">
        <v>4</v>
      </c>
      <c r="I1335" s="2" t="str">
        <f t="shared" ref="I1335:I1397" si="108">IF(AND(R1335=0,S1335=0),IF(C1335="","Origin",C1335),
IF(AND(R1335&gt;0,S1335=0),"Q4",
IF(AND(R1335&lt;0,S1335=0),"Q3",
IF(AND(R1335&gt;=0,S1335&lt;0),"Q4",
IF(AND(R1335&gt;=0,S1335&gt;0),"Q1",
IF(AND(R1335&lt;0,S1335&lt;=0),"Q3",
IF(AND(R1335&lt;0,S1335&gt;0),"Q2",
"")))))))</f>
        <v>Q2</v>
      </c>
      <c r="J1335" s="2" t="str">
        <f t="shared" si="107"/>
        <v>Match</v>
      </c>
      <c r="K1335" s="2">
        <f t="shared" si="104"/>
        <v>0</v>
      </c>
      <c r="L1335" s="2" t="e">
        <f t="shared" si="105"/>
        <v>#N/A</v>
      </c>
      <c r="M1335" s="2" t="str">
        <f t="shared" si="106"/>
        <v>Failed but within quadrant</v>
      </c>
      <c r="N1335" s="7">
        <v>19.399999999999999</v>
      </c>
      <c r="O1335" s="7">
        <v>-1.3</v>
      </c>
      <c r="P1335" s="7">
        <v>-1.6</v>
      </c>
      <c r="Q1335" s="7">
        <v>0.81</v>
      </c>
      <c r="R1335" s="7">
        <v>0</v>
      </c>
      <c r="S1335" s="7">
        <v>0</v>
      </c>
      <c r="T1335" s="7">
        <v>-0.01</v>
      </c>
      <c r="U1335" s="7">
        <v>0.11</v>
      </c>
      <c r="V1335" s="7">
        <v>0.82</v>
      </c>
      <c r="W1335" s="7" t="s">
        <v>13</v>
      </c>
      <c r="X1335" s="7" t="s">
        <v>7</v>
      </c>
      <c r="Y1335" s="2" t="s">
        <v>719</v>
      </c>
      <c r="Z1335" s="2" t="s">
        <v>721</v>
      </c>
    </row>
    <row r="1336" spans="1:26" x14ac:dyDescent="0.35">
      <c r="A1336" s="7" t="s">
        <v>1799</v>
      </c>
      <c r="B1336" s="7" t="s">
        <v>1387</v>
      </c>
      <c r="C1336" s="4" t="str">
        <f>_xlfn.XLOOKUP(A1336,[2]Sheet2!$I$2:$I$1273,[2]Sheet2!$D$2:$D$1273,0)</f>
        <v>Q4</v>
      </c>
      <c r="D1336" s="4">
        <f>_xlfn.XLOOKUP(B1336,[4]Sheet2!$B$2:$B$3154,[4]Sheet2!$F$2:$F$3154,0)</f>
        <v>0</v>
      </c>
      <c r="E1336" s="4" t="e">
        <f>_xlfn.XLOOKUP(B1336,[2]Sheet2!$E$2:$E$713,[2]Sheet2!$G$2:$G$713)</f>
        <v>#N/A</v>
      </c>
      <c r="F1336" s="18">
        <v>46143</v>
      </c>
      <c r="G1336" s="14">
        <v>0.19350694444444444</v>
      </c>
      <c r="H1336" s="7" t="s">
        <v>5</v>
      </c>
      <c r="I1336" s="2" t="str">
        <f t="shared" si="108"/>
        <v>Q4</v>
      </c>
      <c r="J1336" s="2" t="str">
        <f t="shared" si="107"/>
        <v>Match</v>
      </c>
      <c r="K1336" s="2">
        <f t="shared" si="104"/>
        <v>0.7</v>
      </c>
      <c r="L1336" s="2" t="e">
        <f t="shared" si="105"/>
        <v>#N/A</v>
      </c>
      <c r="M1336" s="2" t="str">
        <f t="shared" si="106"/>
        <v>Failed but within quadrant</v>
      </c>
      <c r="N1336" s="7">
        <v>15.6</v>
      </c>
      <c r="O1336" s="7">
        <v>-0.6</v>
      </c>
      <c r="P1336" s="7">
        <v>-3.5</v>
      </c>
      <c r="Q1336" s="7">
        <v>-0.23</v>
      </c>
      <c r="R1336" s="7">
        <v>0</v>
      </c>
      <c r="S1336" s="7">
        <v>-0.7</v>
      </c>
      <c r="T1336" s="7">
        <v>0.9</v>
      </c>
      <c r="U1336" s="7">
        <v>0.14000000000000001</v>
      </c>
      <c r="V1336" s="7">
        <v>0.94</v>
      </c>
      <c r="W1336" s="7" t="s">
        <v>13</v>
      </c>
      <c r="X1336" s="7" t="s">
        <v>9</v>
      </c>
      <c r="Y1336" s="2" t="s">
        <v>719</v>
      </c>
      <c r="Z1336" s="2" t="s">
        <v>721</v>
      </c>
    </row>
    <row r="1337" spans="1:26" x14ac:dyDescent="0.35">
      <c r="A1337" s="7" t="s">
        <v>1800</v>
      </c>
      <c r="B1337" s="7" t="s">
        <v>1388</v>
      </c>
      <c r="C1337" s="4" t="str">
        <f>_xlfn.XLOOKUP(A1337,[2]Sheet2!$I$2:$I$1273,[2]Sheet2!$D$2:$D$1273,0)</f>
        <v>Q1</v>
      </c>
      <c r="D1337" s="4">
        <f>_xlfn.XLOOKUP(B1337,[4]Sheet2!$B$2:$B$3154,[4]Sheet2!$F$2:$F$3154,0)</f>
        <v>0</v>
      </c>
      <c r="E1337" s="4" t="e">
        <f>_xlfn.XLOOKUP(B1337,[2]Sheet2!$E$2:$E$713,[2]Sheet2!$G$2:$G$713)</f>
        <v>#N/A</v>
      </c>
      <c r="F1337" s="18">
        <v>46143</v>
      </c>
      <c r="G1337" s="14">
        <v>0.19653935185185184</v>
      </c>
      <c r="H1337" s="7" t="s">
        <v>11</v>
      </c>
      <c r="I1337" s="2" t="str">
        <f t="shared" si="108"/>
        <v>Q1</v>
      </c>
      <c r="J1337" s="2" t="str">
        <f t="shared" si="107"/>
        <v>Match</v>
      </c>
      <c r="K1337" s="2">
        <f t="shared" si="104"/>
        <v>0.4</v>
      </c>
      <c r="L1337" s="2" t="e">
        <f t="shared" si="105"/>
        <v>#N/A</v>
      </c>
      <c r="M1337" s="2" t="str">
        <f t="shared" si="106"/>
        <v>Digital Approve Hit</v>
      </c>
      <c r="N1337" s="7">
        <v>30.3</v>
      </c>
      <c r="O1337" s="7">
        <v>37.299999999999997</v>
      </c>
      <c r="P1337" s="7">
        <v>18.3</v>
      </c>
      <c r="Q1337" s="7">
        <v>-0.35</v>
      </c>
      <c r="R1337" s="7">
        <v>0</v>
      </c>
      <c r="S1337" s="7">
        <v>0.4</v>
      </c>
      <c r="T1337" s="7">
        <v>7.0000000000000007E-2</v>
      </c>
      <c r="U1337" s="7">
        <v>0.28000000000000003</v>
      </c>
      <c r="V1337" s="7">
        <v>0.46</v>
      </c>
      <c r="W1337" s="7" t="s">
        <v>8</v>
      </c>
      <c r="X1337" s="7" t="s">
        <v>12</v>
      </c>
      <c r="Y1337" s="2" t="s">
        <v>719</v>
      </c>
      <c r="Z1337" s="2" t="s">
        <v>721</v>
      </c>
    </row>
    <row r="1338" spans="1:26" x14ac:dyDescent="0.35">
      <c r="A1338" s="7" t="s">
        <v>1773</v>
      </c>
      <c r="B1338" s="7" t="s">
        <v>1389</v>
      </c>
      <c r="C1338" s="4" t="str">
        <f>_xlfn.XLOOKUP(A1338,[2]Sheet2!$I$2:$I$1273,[2]Sheet2!$D$2:$D$1273,0)</f>
        <v>Q3</v>
      </c>
      <c r="D1338" s="4">
        <f>_xlfn.XLOOKUP(B1338,[4]Sheet2!$B$2:$B$3154,[4]Sheet2!$F$2:$F$3154,0)</f>
        <v>0</v>
      </c>
      <c r="E1338" s="4" t="e">
        <f>_xlfn.XLOOKUP(B1338,[2]Sheet2!$E$2:$E$713,[2]Sheet2!$G$2:$G$713)</f>
        <v>#N/A</v>
      </c>
      <c r="F1338" s="18">
        <v>46143</v>
      </c>
      <c r="G1338" s="14">
        <v>0.19886574074074073</v>
      </c>
      <c r="H1338" s="7" t="s">
        <v>5</v>
      </c>
      <c r="I1338" s="2" t="str">
        <f t="shared" si="108"/>
        <v>Q2</v>
      </c>
      <c r="J1338" s="2" t="str">
        <f t="shared" si="107"/>
        <v>Not Match</v>
      </c>
      <c r="K1338" s="2">
        <f t="shared" si="104"/>
        <v>0.22360679774997899</v>
      </c>
      <c r="L1338" s="2" t="e">
        <f t="shared" si="105"/>
        <v>#N/A</v>
      </c>
      <c r="M1338" s="2" t="str">
        <f t="shared" si="106"/>
        <v>Below 0.8 not in assigned quadrant</v>
      </c>
      <c r="N1338" s="7">
        <v>16.2</v>
      </c>
      <c r="O1338" s="7">
        <v>-1.5</v>
      </c>
      <c r="P1338" s="7">
        <v>-3.3</v>
      </c>
      <c r="Q1338" s="7">
        <v>0.33</v>
      </c>
      <c r="R1338" s="7">
        <v>-0.2</v>
      </c>
      <c r="S1338" s="7">
        <v>0.1</v>
      </c>
      <c r="T1338" s="7">
        <v>-0.04</v>
      </c>
      <c r="U1338" s="7">
        <v>-0.32</v>
      </c>
      <c r="V1338" s="7">
        <v>0.46</v>
      </c>
      <c r="W1338" s="7" t="s">
        <v>8</v>
      </c>
      <c r="X1338" s="7" t="s">
        <v>15</v>
      </c>
      <c r="Y1338" s="2" t="s">
        <v>719</v>
      </c>
      <c r="Z1338" s="2" t="s">
        <v>721</v>
      </c>
    </row>
    <row r="1339" spans="1:26" x14ac:dyDescent="0.35">
      <c r="A1339" s="7" t="s">
        <v>1784</v>
      </c>
      <c r="B1339" s="7" t="s">
        <v>1390</v>
      </c>
      <c r="C1339" s="4" t="str">
        <f>_xlfn.XLOOKUP(A1339,[2]Sheet2!$I$2:$I$1273,[2]Sheet2!$D$2:$D$1273,0)</f>
        <v>Q2</v>
      </c>
      <c r="D1339" s="4">
        <f>_xlfn.XLOOKUP(B1339,[4]Sheet2!$B$2:$B$3154,[4]Sheet2!$F$2:$F$3154,0)</f>
        <v>0</v>
      </c>
      <c r="E1339" s="4" t="e">
        <f>_xlfn.XLOOKUP(B1339,[2]Sheet2!$E$2:$E$713,[2]Sheet2!$G$2:$G$713)</f>
        <v>#N/A</v>
      </c>
      <c r="F1339" s="18">
        <v>46143</v>
      </c>
      <c r="G1339" s="14">
        <v>0.23824074074074075</v>
      </c>
      <c r="H1339" s="7" t="s">
        <v>11</v>
      </c>
      <c r="I1339" s="2" t="str">
        <f t="shared" si="108"/>
        <v>Q3</v>
      </c>
      <c r="J1339" s="2" t="str">
        <f t="shared" si="107"/>
        <v>Not Match</v>
      </c>
      <c r="K1339" s="2">
        <f t="shared" si="104"/>
        <v>1.4560219778561034</v>
      </c>
      <c r="L1339" s="2" t="e">
        <f t="shared" si="105"/>
        <v>#N/A</v>
      </c>
      <c r="M1339" s="2" t="str">
        <f t="shared" si="106"/>
        <v>Assign quadrant hit</v>
      </c>
      <c r="N1339" s="7">
        <v>38.6</v>
      </c>
      <c r="O1339" s="7">
        <v>33.6</v>
      </c>
      <c r="P1339" s="7">
        <v>1</v>
      </c>
      <c r="Q1339" s="7">
        <v>0.4</v>
      </c>
      <c r="R1339" s="7">
        <v>-0.4</v>
      </c>
      <c r="S1339" s="7">
        <v>-1.4</v>
      </c>
      <c r="T1339" s="7">
        <v>-0.23</v>
      </c>
      <c r="U1339" s="7">
        <v>-0.96</v>
      </c>
      <c r="V1339" s="7">
        <v>1.06</v>
      </c>
      <c r="W1339" s="7" t="s">
        <v>6</v>
      </c>
      <c r="X1339" s="7" t="s">
        <v>7</v>
      </c>
      <c r="Y1339" s="2" t="s">
        <v>719</v>
      </c>
      <c r="Z1339" s="2" t="s">
        <v>721</v>
      </c>
    </row>
    <row r="1340" spans="1:26" x14ac:dyDescent="0.35">
      <c r="A1340" s="7" t="s">
        <v>1747</v>
      </c>
      <c r="B1340" s="7" t="s">
        <v>1350</v>
      </c>
      <c r="C1340" s="4">
        <f>_xlfn.XLOOKUP(A1340,[2]Sheet2!$I$2:$I$1273,[2]Sheet2!$D$2:$D$1273,0)</f>
        <v>0</v>
      </c>
      <c r="D1340" s="4">
        <f>_xlfn.XLOOKUP(B1340,[4]Sheet2!$B$2:$B$3154,[4]Sheet2!$F$2:$F$3154,0)</f>
        <v>0</v>
      </c>
      <c r="E1340" s="4" t="e">
        <f>_xlfn.XLOOKUP(B1340,[2]Sheet2!$E$2:$E$713,[2]Sheet2!$G$2:$G$713)</f>
        <v>#N/A</v>
      </c>
      <c r="F1340" s="18">
        <v>46143</v>
      </c>
      <c r="G1340" s="14">
        <v>0.26202546296296297</v>
      </c>
      <c r="H1340" s="7" t="s">
        <v>16</v>
      </c>
      <c r="I1340" s="2" t="str">
        <f t="shared" si="108"/>
        <v>Q3</v>
      </c>
      <c r="J1340" s="2" t="str">
        <f t="shared" si="107"/>
        <v>Not Found</v>
      </c>
      <c r="K1340" s="2">
        <f t="shared" si="104"/>
        <v>0.2</v>
      </c>
      <c r="L1340" s="2" t="e">
        <f t="shared" si="105"/>
        <v>#N/A</v>
      </c>
      <c r="M1340" s="2" t="str">
        <f t="shared" si="106"/>
        <v>Assign quadrant hit</v>
      </c>
      <c r="N1340" s="7">
        <v>16.100000000000001</v>
      </c>
      <c r="O1340" s="7">
        <v>-0.9</v>
      </c>
      <c r="P1340" s="7">
        <v>-6.1</v>
      </c>
      <c r="Q1340" s="7">
        <v>-0.78</v>
      </c>
      <c r="R1340" s="7">
        <v>-0.2</v>
      </c>
      <c r="S1340" s="7">
        <v>0</v>
      </c>
      <c r="T1340" s="7">
        <v>0.13</v>
      </c>
      <c r="U1340" s="7">
        <v>-0.32</v>
      </c>
      <c r="V1340" s="7">
        <v>0.85</v>
      </c>
      <c r="W1340" s="7" t="s">
        <v>13</v>
      </c>
      <c r="X1340" s="7" t="s">
        <v>15</v>
      </c>
      <c r="Y1340" s="2" t="s">
        <v>719</v>
      </c>
      <c r="Z1340" s="2" t="s">
        <v>721</v>
      </c>
    </row>
    <row r="1341" spans="1:26" x14ac:dyDescent="0.35">
      <c r="A1341" s="7" t="s">
        <v>1571</v>
      </c>
      <c r="B1341" s="7" t="s">
        <v>1391</v>
      </c>
      <c r="C1341" s="4" t="str">
        <f>_xlfn.XLOOKUP(A1341,[2]Sheet2!$I$2:$I$1273,[2]Sheet2!$D$2:$D$1273,0)</f>
        <v>Q1</v>
      </c>
      <c r="D1341" s="4">
        <f>_xlfn.XLOOKUP(B1341,[4]Sheet2!$B$2:$B$3154,[4]Sheet2!$F$2:$F$3154,0)</f>
        <v>0</v>
      </c>
      <c r="E1341" s="4" t="e">
        <f>_xlfn.XLOOKUP(B1341,[2]Sheet2!$E$2:$E$713,[2]Sheet2!$G$2:$G$713)</f>
        <v>#N/A</v>
      </c>
      <c r="F1341" s="18">
        <v>46146</v>
      </c>
      <c r="G1341" s="14">
        <v>0.67303240740740744</v>
      </c>
      <c r="H1341" s="7" t="s">
        <v>4</v>
      </c>
      <c r="I1341" s="2" t="str">
        <f t="shared" si="108"/>
        <v>Q1</v>
      </c>
      <c r="J1341" s="2" t="str">
        <f t="shared" si="107"/>
        <v>Match</v>
      </c>
      <c r="K1341" s="2">
        <f t="shared" si="104"/>
        <v>0</v>
      </c>
      <c r="L1341" s="2" t="e">
        <f t="shared" si="105"/>
        <v>#N/A</v>
      </c>
      <c r="M1341" s="2" t="str">
        <f t="shared" si="106"/>
        <v>Failed but within quadrant</v>
      </c>
      <c r="N1341" s="7">
        <v>18.100000000000001</v>
      </c>
      <c r="O1341" s="7">
        <v>0</v>
      </c>
      <c r="P1341" s="7">
        <v>-1.3</v>
      </c>
      <c r="Q1341" s="7">
        <v>-0.82</v>
      </c>
      <c r="R1341" s="7">
        <v>0</v>
      </c>
      <c r="S1341" s="7">
        <v>0</v>
      </c>
      <c r="T1341" s="7">
        <v>-0.06</v>
      </c>
      <c r="U1341" s="7">
        <v>0.12</v>
      </c>
      <c r="V1341" s="7">
        <v>0.83</v>
      </c>
      <c r="W1341" s="7" t="s">
        <v>13</v>
      </c>
      <c r="X1341" s="7" t="s">
        <v>9</v>
      </c>
      <c r="Y1341" s="2" t="s">
        <v>719</v>
      </c>
      <c r="Z1341" s="2" t="s">
        <v>721</v>
      </c>
    </row>
    <row r="1342" spans="1:26" x14ac:dyDescent="0.35">
      <c r="A1342" s="7" t="s">
        <v>1757</v>
      </c>
      <c r="B1342" s="7" t="s">
        <v>1392</v>
      </c>
      <c r="C1342" s="4" t="str">
        <f>_xlfn.XLOOKUP(A1342,[2]Sheet2!$I$2:$I$1273,[2]Sheet2!$D$2:$D$1273,0)</f>
        <v>Q2</v>
      </c>
      <c r="D1342" s="4">
        <f>_xlfn.XLOOKUP(B1342,[4]Sheet2!$B$2:$B$3154,[4]Sheet2!$F$2:$F$3154,0)</f>
        <v>0</v>
      </c>
      <c r="E1342" s="4" t="e">
        <f>_xlfn.XLOOKUP(B1342,[2]Sheet2!$E$2:$E$713,[2]Sheet2!$G$2:$G$713)</f>
        <v>#N/A</v>
      </c>
      <c r="F1342" s="18">
        <v>46146</v>
      </c>
      <c r="G1342" s="14">
        <v>0.7045717592592593</v>
      </c>
      <c r="H1342" s="7" t="s">
        <v>4</v>
      </c>
      <c r="I1342" s="2" t="str">
        <f t="shared" si="108"/>
        <v>Q3</v>
      </c>
      <c r="J1342" s="2" t="str">
        <f t="shared" si="107"/>
        <v>Not Match</v>
      </c>
      <c r="K1342" s="2">
        <f t="shared" si="104"/>
        <v>0.2</v>
      </c>
      <c r="L1342" s="2" t="e">
        <f t="shared" si="105"/>
        <v>#N/A</v>
      </c>
      <c r="M1342" s="2" t="str">
        <f t="shared" si="106"/>
        <v>Below 0.8 not in assigned quadrant</v>
      </c>
      <c r="N1342" s="7">
        <v>16.3</v>
      </c>
      <c r="O1342" s="7">
        <v>-0.6</v>
      </c>
      <c r="P1342" s="7">
        <v>-1.9</v>
      </c>
      <c r="Q1342" s="7">
        <v>0.28999999999999998</v>
      </c>
      <c r="R1342" s="7">
        <v>-0.2</v>
      </c>
      <c r="S1342" s="7">
        <v>0</v>
      </c>
      <c r="T1342" s="7">
        <v>0.13</v>
      </c>
      <c r="U1342" s="7">
        <v>-0.34</v>
      </c>
      <c r="V1342" s="7">
        <v>0.46</v>
      </c>
      <c r="W1342" s="7" t="s">
        <v>8</v>
      </c>
      <c r="X1342" s="7" t="s">
        <v>15</v>
      </c>
      <c r="Y1342" s="2" t="s">
        <v>719</v>
      </c>
      <c r="Z1342" s="2" t="s">
        <v>721</v>
      </c>
    </row>
    <row r="1343" spans="1:26" x14ac:dyDescent="0.35">
      <c r="A1343" s="7" t="s">
        <v>1626</v>
      </c>
      <c r="B1343" s="7" t="s">
        <v>1394</v>
      </c>
      <c r="C1343" s="4" t="str">
        <f>_xlfn.XLOOKUP(A1343,[2]Sheet2!$I$2:$I$1273,[2]Sheet2!$D$2:$D$1273,0)</f>
        <v>Q4</v>
      </c>
      <c r="D1343" s="4">
        <f>_xlfn.XLOOKUP(B1343,[4]Sheet2!$B$2:$B$3154,[4]Sheet2!$F$2:$F$3154,0)</f>
        <v>0</v>
      </c>
      <c r="E1343" s="4" t="e">
        <f>_xlfn.XLOOKUP(B1343,[2]Sheet2!$E$2:$E$713,[2]Sheet2!$G$2:$G$713)</f>
        <v>#N/A</v>
      </c>
      <c r="F1343" s="18">
        <v>46146</v>
      </c>
      <c r="G1343" s="14">
        <v>0.75245370370370368</v>
      </c>
      <c r="H1343" s="7" t="s">
        <v>11</v>
      </c>
      <c r="I1343" s="2" t="str">
        <f t="shared" si="108"/>
        <v>Q1</v>
      </c>
      <c r="J1343" s="2" t="str">
        <f t="shared" si="107"/>
        <v>Not Match</v>
      </c>
      <c r="K1343" s="2">
        <f t="shared" si="104"/>
        <v>0.22360679774997899</v>
      </c>
      <c r="L1343" s="2" t="e">
        <f t="shared" si="105"/>
        <v>#N/A</v>
      </c>
      <c r="M1343" s="2" t="str">
        <f t="shared" si="106"/>
        <v>Below 0.8 not in assigned quadrant</v>
      </c>
      <c r="N1343" s="7">
        <v>15.5</v>
      </c>
      <c r="O1343" s="7">
        <v>-0.2</v>
      </c>
      <c r="P1343" s="7">
        <v>-2.1</v>
      </c>
      <c r="Q1343" s="7">
        <v>-0.35</v>
      </c>
      <c r="R1343" s="7">
        <v>0.1</v>
      </c>
      <c r="S1343" s="7">
        <v>0.2</v>
      </c>
      <c r="T1343" s="7">
        <v>-0.36</v>
      </c>
      <c r="U1343" s="7">
        <v>0.12</v>
      </c>
      <c r="V1343" s="7">
        <v>0.52</v>
      </c>
      <c r="W1343" s="7" t="s">
        <v>8</v>
      </c>
      <c r="X1343" s="7" t="s">
        <v>9</v>
      </c>
      <c r="Y1343" s="2" t="s">
        <v>719</v>
      </c>
      <c r="Z1343" s="2" t="s">
        <v>721</v>
      </c>
    </row>
    <row r="1344" spans="1:26" x14ac:dyDescent="0.35">
      <c r="A1344" s="7" t="s">
        <v>1801</v>
      </c>
      <c r="B1344" s="7" t="s">
        <v>1395</v>
      </c>
      <c r="C1344" s="4" t="str">
        <f>_xlfn.XLOOKUP(A1344,[2]Sheet2!$I$2:$I$1273,[2]Sheet2!$D$2:$D$1273,0)</f>
        <v>Q2</v>
      </c>
      <c r="D1344" s="4">
        <f>_xlfn.XLOOKUP(B1344,[4]Sheet2!$B$2:$B$3154,[4]Sheet2!$F$2:$F$3154,0)</f>
        <v>0</v>
      </c>
      <c r="E1344" s="4" t="e">
        <f>_xlfn.XLOOKUP(B1344,[2]Sheet2!$E$2:$E$713,[2]Sheet2!$G$2:$G$713)</f>
        <v>#N/A</v>
      </c>
      <c r="F1344" s="18">
        <v>46146</v>
      </c>
      <c r="G1344" s="14">
        <v>0.75531250000000005</v>
      </c>
      <c r="H1344" s="7" t="s">
        <v>4</v>
      </c>
      <c r="I1344" s="2" t="str">
        <f t="shared" si="108"/>
        <v>Q4</v>
      </c>
      <c r="J1344" s="2" t="str">
        <f t="shared" si="107"/>
        <v>Not Match</v>
      </c>
      <c r="K1344" s="2">
        <f t="shared" si="104"/>
        <v>0.1</v>
      </c>
      <c r="L1344" s="2" t="e">
        <f t="shared" si="105"/>
        <v>#N/A</v>
      </c>
      <c r="M1344" s="2" t="str">
        <f t="shared" si="106"/>
        <v>Below 0.8 not in assigned quadrant</v>
      </c>
      <c r="N1344" s="7">
        <v>16.8</v>
      </c>
      <c r="O1344" s="7">
        <v>-1.2</v>
      </c>
      <c r="P1344" s="7">
        <v>-1.4</v>
      </c>
      <c r="Q1344" s="7">
        <v>0.01</v>
      </c>
      <c r="R1344" s="7">
        <v>0</v>
      </c>
      <c r="S1344" s="7">
        <v>-0.1</v>
      </c>
      <c r="T1344" s="7">
        <v>0.21</v>
      </c>
      <c r="U1344" s="7">
        <v>0.05</v>
      </c>
      <c r="V1344" s="7">
        <v>0.21</v>
      </c>
      <c r="W1344" s="7" t="s">
        <v>8</v>
      </c>
      <c r="X1344" s="7" t="s">
        <v>7</v>
      </c>
      <c r="Y1344" s="2" t="s">
        <v>719</v>
      </c>
      <c r="Z1344" s="2" t="s">
        <v>721</v>
      </c>
    </row>
    <row r="1345" spans="1:26" x14ac:dyDescent="0.35">
      <c r="A1345" s="7" t="s">
        <v>1572</v>
      </c>
      <c r="B1345" s="7" t="s">
        <v>1396</v>
      </c>
      <c r="C1345" s="4" t="str">
        <f>_xlfn.XLOOKUP(A1345,[2]Sheet2!$I$2:$I$1273,[2]Sheet2!$D$2:$D$1273,0)</f>
        <v>Q3</v>
      </c>
      <c r="D1345" s="4">
        <f>_xlfn.XLOOKUP(B1345,[4]Sheet2!$B$2:$B$3154,[4]Sheet2!$F$2:$F$3154,0)</f>
        <v>0</v>
      </c>
      <c r="E1345" s="4" t="e">
        <f>_xlfn.XLOOKUP(B1345,[2]Sheet2!$E$2:$E$713,[2]Sheet2!$G$2:$G$713)</f>
        <v>#N/A</v>
      </c>
      <c r="F1345" s="18">
        <v>46146</v>
      </c>
      <c r="G1345" s="14">
        <v>0.75817129629629632</v>
      </c>
      <c r="H1345" s="7" t="s">
        <v>4</v>
      </c>
      <c r="I1345" s="2" t="str">
        <f t="shared" si="108"/>
        <v>Q3</v>
      </c>
      <c r="J1345" s="2" t="str">
        <f t="shared" si="107"/>
        <v>Match</v>
      </c>
      <c r="K1345" s="2">
        <f t="shared" ref="K1345:K1407" si="109">SQRT(R1345^2+S1345^2)</f>
        <v>0</v>
      </c>
      <c r="L1345" s="2" t="e">
        <f t="shared" ref="L1345:L1407" si="110">IF(K1345&lt;=E1345,"Within Range","Over Range")</f>
        <v>#N/A</v>
      </c>
      <c r="M1345" s="2" t="str">
        <f t="shared" ref="M1345:M1407" si="111">IF(AND(J1345="Match",V1345&lt;=0.8),"Digital Approve Hit",
IF(AND(J1345="Match",V1345&gt;0.8),"Failed but within quadrant",
IF(AND(J1345="Not Match",V1345&lt;=0.8),"Below 0.8 not in assigned quadrant",
"Assign quadrant hit")))</f>
        <v>Digital Approve Hit</v>
      </c>
      <c r="N1345" s="7">
        <v>16.899999999999999</v>
      </c>
      <c r="O1345" s="7">
        <v>-0.9</v>
      </c>
      <c r="P1345" s="7">
        <v>-1.4</v>
      </c>
      <c r="Q1345" s="7">
        <v>-0.05</v>
      </c>
      <c r="R1345" s="7">
        <v>0</v>
      </c>
      <c r="S1345" s="7">
        <v>0</v>
      </c>
      <c r="T1345" s="7">
        <v>0.05</v>
      </c>
      <c r="U1345" s="7">
        <v>-0.06</v>
      </c>
      <c r="V1345" s="7">
        <v>0.09</v>
      </c>
      <c r="W1345" s="7" t="s">
        <v>8</v>
      </c>
      <c r="X1345" s="7" t="s">
        <v>15</v>
      </c>
      <c r="Y1345" s="2" t="s">
        <v>719</v>
      </c>
      <c r="Z1345" s="2" t="s">
        <v>721</v>
      </c>
    </row>
    <row r="1346" spans="1:26" x14ac:dyDescent="0.35">
      <c r="A1346" s="7" t="s">
        <v>1773</v>
      </c>
      <c r="B1346" s="7" t="s">
        <v>1398</v>
      </c>
      <c r="C1346" s="4" t="str">
        <f>_xlfn.XLOOKUP(A1346,[2]Sheet2!$I$2:$I$1273,[2]Sheet2!$D$2:$D$1273,0)</f>
        <v>Q3</v>
      </c>
      <c r="D1346" s="4">
        <f>_xlfn.XLOOKUP(B1346,[4]Sheet2!$B$2:$B$3154,[4]Sheet2!$F$2:$F$3154,0)</f>
        <v>0</v>
      </c>
      <c r="E1346" s="4" t="e">
        <f>_xlfn.XLOOKUP(B1346,[2]Sheet2!$E$2:$E$713,[2]Sheet2!$G$2:$G$713)</f>
        <v>#N/A</v>
      </c>
      <c r="F1346" s="18">
        <v>46146</v>
      </c>
      <c r="G1346" s="14">
        <v>0.77591435185185187</v>
      </c>
      <c r="H1346" s="7" t="s">
        <v>5</v>
      </c>
      <c r="I1346" s="2" t="str">
        <f t="shared" si="108"/>
        <v>Q2</v>
      </c>
      <c r="J1346" s="2" t="str">
        <f t="shared" si="107"/>
        <v>Not Match</v>
      </c>
      <c r="K1346" s="2">
        <f t="shared" si="109"/>
        <v>0.31622776601683794</v>
      </c>
      <c r="L1346" s="2" t="e">
        <f t="shared" si="110"/>
        <v>#N/A</v>
      </c>
      <c r="M1346" s="2" t="str">
        <f t="shared" si="111"/>
        <v>Below 0.8 not in assigned quadrant</v>
      </c>
      <c r="N1346" s="7">
        <v>16</v>
      </c>
      <c r="O1346" s="7">
        <v>-1.4</v>
      </c>
      <c r="P1346" s="7">
        <v>-3.1</v>
      </c>
      <c r="Q1346" s="7">
        <v>0.11</v>
      </c>
      <c r="R1346" s="7">
        <v>-0.1</v>
      </c>
      <c r="S1346" s="7">
        <v>0.3</v>
      </c>
      <c r="T1346" s="7">
        <v>-0.28999999999999998</v>
      </c>
      <c r="U1346" s="7">
        <v>-0.39</v>
      </c>
      <c r="V1346" s="7">
        <v>0.5</v>
      </c>
      <c r="W1346" s="7" t="s">
        <v>8</v>
      </c>
      <c r="X1346" s="7" t="s">
        <v>15</v>
      </c>
      <c r="Y1346" s="2" t="s">
        <v>719</v>
      </c>
      <c r="Z1346" s="2" t="s">
        <v>721</v>
      </c>
    </row>
    <row r="1347" spans="1:26" x14ac:dyDescent="0.35">
      <c r="A1347" s="7" t="s">
        <v>1652</v>
      </c>
      <c r="B1347" s="7" t="s">
        <v>1399</v>
      </c>
      <c r="C1347" s="4" t="str">
        <f>_xlfn.XLOOKUP(A1347,[2]Sheet2!$I$2:$I$1273,[2]Sheet2!$D$2:$D$1273,0)</f>
        <v>Q2</v>
      </c>
      <c r="D1347" s="4">
        <f>_xlfn.XLOOKUP(B1347,[4]Sheet2!$B$2:$B$3154,[4]Sheet2!$F$2:$F$3154,0)</f>
        <v>0</v>
      </c>
      <c r="E1347" s="4" t="e">
        <f>_xlfn.XLOOKUP(B1347,[2]Sheet2!$E$2:$E$713,[2]Sheet2!$G$2:$G$713)</f>
        <v>#N/A</v>
      </c>
      <c r="F1347" s="18">
        <v>46146</v>
      </c>
      <c r="G1347" s="14">
        <v>0.77837962962962959</v>
      </c>
      <c r="H1347" s="7" t="s">
        <v>5</v>
      </c>
      <c r="I1347" s="2" t="str">
        <f t="shared" si="108"/>
        <v>Q3</v>
      </c>
      <c r="J1347" s="2" t="str">
        <f t="shared" ref="J1347:J1410" si="112">IF(I1347=C1347,"Match",IF(C1347=0,"Not Found","Not Match"))</f>
        <v>Not Match</v>
      </c>
      <c r="K1347" s="2">
        <f t="shared" si="109"/>
        <v>0.41231056256176613</v>
      </c>
      <c r="L1347" s="2" t="e">
        <f t="shared" si="110"/>
        <v>#N/A</v>
      </c>
      <c r="M1347" s="2" t="str">
        <f t="shared" si="111"/>
        <v>Assign quadrant hit</v>
      </c>
      <c r="N1347" s="7">
        <v>15.3</v>
      </c>
      <c r="O1347" s="7">
        <v>-0.9</v>
      </c>
      <c r="P1347" s="7">
        <v>-3.2</v>
      </c>
      <c r="Q1347" s="7">
        <v>-0.65</v>
      </c>
      <c r="R1347" s="7">
        <v>-0.1</v>
      </c>
      <c r="S1347" s="7">
        <v>-0.4</v>
      </c>
      <c r="T1347" s="7">
        <v>0.65</v>
      </c>
      <c r="U1347" s="7">
        <v>-0.05</v>
      </c>
      <c r="V1347" s="7">
        <v>0.92</v>
      </c>
      <c r="W1347" s="7" t="s">
        <v>13</v>
      </c>
      <c r="X1347" s="7" t="s">
        <v>15</v>
      </c>
      <c r="Y1347" s="2" t="s">
        <v>719</v>
      </c>
      <c r="Z1347" s="2" t="s">
        <v>721</v>
      </c>
    </row>
    <row r="1348" spans="1:26" x14ac:dyDescent="0.35">
      <c r="A1348" s="7" t="s">
        <v>1593</v>
      </c>
      <c r="B1348" s="7" t="s">
        <v>1400</v>
      </c>
      <c r="C1348" s="4" t="str">
        <f>_xlfn.XLOOKUP(A1348,[2]Sheet2!$I$2:$I$1273,[2]Sheet2!$D$2:$D$1273,0)</f>
        <v>Q3</v>
      </c>
      <c r="D1348" s="4">
        <f>_xlfn.XLOOKUP(B1348,[4]Sheet2!$B$2:$B$3154,[4]Sheet2!$F$2:$F$3154,0)</f>
        <v>0</v>
      </c>
      <c r="E1348" s="4" t="e">
        <f>_xlfn.XLOOKUP(B1348,[2]Sheet2!$E$2:$E$713,[2]Sheet2!$G$2:$G$713)</f>
        <v>#N/A</v>
      </c>
      <c r="F1348" s="18">
        <v>46146</v>
      </c>
      <c r="G1348" s="14">
        <v>0.90927083333333336</v>
      </c>
      <c r="H1348" s="7" t="s">
        <v>5</v>
      </c>
      <c r="I1348" s="2" t="str">
        <f t="shared" si="108"/>
        <v>Q1</v>
      </c>
      <c r="J1348" s="2" t="str">
        <f t="shared" si="112"/>
        <v>Not Match</v>
      </c>
      <c r="K1348" s="2">
        <f t="shared" si="109"/>
        <v>0.44721359549995798</v>
      </c>
      <c r="L1348" s="2" t="e">
        <f t="shared" si="110"/>
        <v>#N/A</v>
      </c>
      <c r="M1348" s="2" t="str">
        <f t="shared" si="111"/>
        <v>Assign quadrant hit</v>
      </c>
      <c r="N1348" s="7">
        <v>22.8</v>
      </c>
      <c r="O1348" s="7">
        <v>3.4</v>
      </c>
      <c r="P1348" s="7">
        <v>2.7</v>
      </c>
      <c r="Q1348" s="7">
        <v>-0.99</v>
      </c>
      <c r="R1348" s="7">
        <v>0.2</v>
      </c>
      <c r="S1348" s="7">
        <v>0.4</v>
      </c>
      <c r="T1348" s="7">
        <v>0.47</v>
      </c>
      <c r="U1348" s="7">
        <v>0.26</v>
      </c>
      <c r="V1348" s="7">
        <v>1.1200000000000001</v>
      </c>
      <c r="W1348" s="7" t="s">
        <v>6</v>
      </c>
      <c r="X1348" s="7" t="s">
        <v>12</v>
      </c>
      <c r="Y1348" s="2" t="s">
        <v>719</v>
      </c>
      <c r="Z1348" s="2" t="s">
        <v>721</v>
      </c>
    </row>
    <row r="1349" spans="1:26" x14ac:dyDescent="0.35">
      <c r="A1349" s="7" t="s">
        <v>1593</v>
      </c>
      <c r="B1349" s="7" t="s">
        <v>1401</v>
      </c>
      <c r="C1349" s="4" t="str">
        <f>_xlfn.XLOOKUP(A1349,[2]Sheet2!$I$2:$I$1273,[2]Sheet2!$D$2:$D$1273,0)</f>
        <v>Q3</v>
      </c>
      <c r="D1349" s="4">
        <f>_xlfn.XLOOKUP(B1349,[4]Sheet2!$B$2:$B$3154,[4]Sheet2!$F$2:$F$3154,0)</f>
        <v>0</v>
      </c>
      <c r="E1349" s="4" t="e">
        <f>_xlfn.XLOOKUP(B1349,[2]Sheet2!$E$2:$E$713,[2]Sheet2!$G$2:$G$713)</f>
        <v>#N/A</v>
      </c>
      <c r="F1349" s="18">
        <v>46146</v>
      </c>
      <c r="G1349" s="14">
        <v>0.94063657407407408</v>
      </c>
      <c r="H1349" s="7" t="s">
        <v>5</v>
      </c>
      <c r="I1349" s="2" t="str">
        <f t="shared" si="108"/>
        <v>Q1</v>
      </c>
      <c r="J1349" s="2" t="str">
        <f t="shared" si="112"/>
        <v>Not Match</v>
      </c>
      <c r="K1349" s="2">
        <f t="shared" si="109"/>
        <v>0.4</v>
      </c>
      <c r="L1349" s="2" t="e">
        <f t="shared" si="110"/>
        <v>#N/A</v>
      </c>
      <c r="M1349" s="2" t="str">
        <f t="shared" si="111"/>
        <v>Assign quadrant hit</v>
      </c>
      <c r="N1349" s="7">
        <v>22</v>
      </c>
      <c r="O1349" s="7">
        <v>3.2</v>
      </c>
      <c r="P1349" s="7">
        <v>2.7</v>
      </c>
      <c r="Q1349" s="7">
        <v>-1.53</v>
      </c>
      <c r="R1349" s="7">
        <v>0</v>
      </c>
      <c r="S1349" s="7">
        <v>0.4</v>
      </c>
      <c r="T1349" s="7">
        <v>0.28999999999999998</v>
      </c>
      <c r="U1349" s="7">
        <v>0.43</v>
      </c>
      <c r="V1349" s="7">
        <v>1.61</v>
      </c>
      <c r="W1349" s="7" t="s">
        <v>6</v>
      </c>
      <c r="X1349" s="7" t="s">
        <v>12</v>
      </c>
      <c r="Y1349" s="2" t="s">
        <v>719</v>
      </c>
      <c r="Z1349" s="2" t="s">
        <v>721</v>
      </c>
    </row>
    <row r="1350" spans="1:26" x14ac:dyDescent="0.35">
      <c r="A1350" s="7" t="s">
        <v>1784</v>
      </c>
      <c r="B1350" s="7" t="s">
        <v>1371</v>
      </c>
      <c r="C1350" s="4" t="str">
        <f>_xlfn.XLOOKUP(A1350,[2]Sheet2!$I$2:$I$1273,[2]Sheet2!$D$2:$D$1273,0)</f>
        <v>Q2</v>
      </c>
      <c r="D1350" s="4">
        <f>_xlfn.XLOOKUP(B1350,[4]Sheet2!$B$2:$B$3154,[4]Sheet2!$F$2:$F$3154,0)</f>
        <v>0</v>
      </c>
      <c r="E1350" s="4" t="e">
        <f>_xlfn.XLOOKUP(B1350,[2]Sheet2!$E$2:$E$713,[2]Sheet2!$G$2:$G$713)</f>
        <v>#N/A</v>
      </c>
      <c r="F1350" s="18">
        <v>46146</v>
      </c>
      <c r="G1350" s="14">
        <v>0.94840277777777782</v>
      </c>
      <c r="H1350" s="7" t="s">
        <v>11</v>
      </c>
      <c r="I1350" s="2" t="str">
        <f t="shared" si="108"/>
        <v>Q3</v>
      </c>
      <c r="J1350" s="2" t="str">
        <f t="shared" si="112"/>
        <v>Not Match</v>
      </c>
      <c r="K1350" s="2">
        <f t="shared" si="109"/>
        <v>2.0099751242241779</v>
      </c>
      <c r="L1350" s="2" t="e">
        <f t="shared" si="110"/>
        <v>#N/A</v>
      </c>
      <c r="M1350" s="2" t="str">
        <f t="shared" si="111"/>
        <v>Assign quadrant hit</v>
      </c>
      <c r="N1350" s="7">
        <v>38.200000000000003</v>
      </c>
      <c r="O1350" s="7">
        <v>31.9</v>
      </c>
      <c r="P1350" s="7">
        <v>2.2000000000000002</v>
      </c>
      <c r="Q1350" s="7">
        <v>0.2</v>
      </c>
      <c r="R1350" s="7">
        <v>-2</v>
      </c>
      <c r="S1350" s="7">
        <v>-0.2</v>
      </c>
      <c r="T1350" s="7">
        <v>-0.98</v>
      </c>
      <c r="U1350" s="7">
        <v>-7.0000000000000007E-2</v>
      </c>
      <c r="V1350" s="7">
        <v>1</v>
      </c>
      <c r="W1350" s="7" t="s">
        <v>6</v>
      </c>
      <c r="X1350" s="7" t="s">
        <v>7</v>
      </c>
      <c r="Y1350" s="2" t="s">
        <v>719</v>
      </c>
      <c r="Z1350" s="2" t="s">
        <v>721</v>
      </c>
    </row>
    <row r="1351" spans="1:26" x14ac:dyDescent="0.35">
      <c r="A1351" s="7" t="s">
        <v>1545</v>
      </c>
      <c r="B1351" s="7" t="s">
        <v>1402</v>
      </c>
      <c r="C1351" s="4" t="str">
        <f>_xlfn.XLOOKUP(A1351,[2]Sheet2!$I$2:$I$1273,[2]Sheet2!$D$2:$D$1273,0)</f>
        <v>Q2</v>
      </c>
      <c r="D1351" s="4">
        <f>_xlfn.XLOOKUP(B1351,[4]Sheet2!$B$2:$B$3154,[4]Sheet2!$F$2:$F$3154,0)</f>
        <v>0</v>
      </c>
      <c r="E1351" s="4" t="e">
        <f>_xlfn.XLOOKUP(B1351,[2]Sheet2!$E$2:$E$713,[2]Sheet2!$G$2:$G$713)</f>
        <v>#N/A</v>
      </c>
      <c r="F1351" s="18">
        <v>46146</v>
      </c>
      <c r="G1351" s="14">
        <v>0.96656249999999999</v>
      </c>
      <c r="H1351" s="7" t="s">
        <v>5</v>
      </c>
      <c r="I1351" s="2" t="str">
        <f t="shared" si="108"/>
        <v>Q4</v>
      </c>
      <c r="J1351" s="2" t="str">
        <f t="shared" si="112"/>
        <v>Not Match</v>
      </c>
      <c r="K1351" s="2">
        <f t="shared" si="109"/>
        <v>0.4</v>
      </c>
      <c r="L1351" s="2" t="e">
        <f t="shared" si="110"/>
        <v>#N/A</v>
      </c>
      <c r="M1351" s="2" t="str">
        <f t="shared" si="111"/>
        <v>Below 0.8 not in assigned quadrant</v>
      </c>
      <c r="N1351" s="7">
        <v>18.5</v>
      </c>
      <c r="O1351" s="7">
        <v>-0.6</v>
      </c>
      <c r="P1351" s="7">
        <v>-2.8</v>
      </c>
      <c r="Q1351" s="7">
        <v>0.49</v>
      </c>
      <c r="R1351" s="7">
        <v>0</v>
      </c>
      <c r="S1351" s="7">
        <v>-0.4</v>
      </c>
      <c r="T1351" s="7">
        <v>0.53</v>
      </c>
      <c r="U1351" s="7">
        <v>0.24</v>
      </c>
      <c r="V1351" s="7">
        <v>0.76</v>
      </c>
      <c r="W1351" s="7" t="s">
        <v>13</v>
      </c>
      <c r="X1351" s="7" t="s">
        <v>9</v>
      </c>
      <c r="Y1351" s="2" t="s">
        <v>719</v>
      </c>
      <c r="Z1351" s="2" t="s">
        <v>721</v>
      </c>
    </row>
    <row r="1352" spans="1:26" x14ac:dyDescent="0.35">
      <c r="A1352" s="7" t="s">
        <v>1779</v>
      </c>
      <c r="B1352" s="7" t="s">
        <v>1403</v>
      </c>
      <c r="C1352" s="4" t="str">
        <f>_xlfn.XLOOKUP(A1352,[2]Sheet2!$I$2:$I$1273,[2]Sheet2!$D$2:$D$1273,0)</f>
        <v>Q4</v>
      </c>
      <c r="D1352" s="4">
        <f>_xlfn.XLOOKUP(B1352,[4]Sheet2!$B$2:$B$3154,[4]Sheet2!$F$2:$F$3154,0)</f>
        <v>0</v>
      </c>
      <c r="E1352" s="4" t="e">
        <f>_xlfn.XLOOKUP(B1352,[2]Sheet2!$E$2:$E$713,[2]Sheet2!$G$2:$G$713)</f>
        <v>#N/A</v>
      </c>
      <c r="F1352" s="18">
        <v>46147</v>
      </c>
      <c r="G1352" s="14">
        <v>6.2754629629629632E-2</v>
      </c>
      <c r="H1352" s="7" t="s">
        <v>11</v>
      </c>
      <c r="I1352" s="2" t="str">
        <f t="shared" si="108"/>
        <v>Q3</v>
      </c>
      <c r="J1352" s="2" t="str">
        <f t="shared" si="112"/>
        <v>Not Match</v>
      </c>
      <c r="K1352" s="2">
        <f t="shared" si="109"/>
        <v>1.063014581273465</v>
      </c>
      <c r="L1352" s="2" t="e">
        <f t="shared" si="110"/>
        <v>#N/A</v>
      </c>
      <c r="M1352" s="2" t="str">
        <f t="shared" si="111"/>
        <v>Below 0.8 not in assigned quadrant</v>
      </c>
      <c r="N1352" s="7">
        <v>30.5</v>
      </c>
      <c r="O1352" s="7">
        <v>-12</v>
      </c>
      <c r="P1352" s="7">
        <v>-20.8</v>
      </c>
      <c r="Q1352" s="7">
        <v>-0.17</v>
      </c>
      <c r="R1352" s="7">
        <v>-0.8</v>
      </c>
      <c r="S1352" s="7">
        <v>-0.7</v>
      </c>
      <c r="T1352" s="7">
        <v>0.59</v>
      </c>
      <c r="U1352" s="7">
        <v>-0.31</v>
      </c>
      <c r="V1352" s="7">
        <v>0.69</v>
      </c>
      <c r="W1352" s="7" t="s">
        <v>8</v>
      </c>
      <c r="X1352" s="7" t="s">
        <v>15</v>
      </c>
      <c r="Y1352" s="2" t="s">
        <v>719</v>
      </c>
      <c r="Z1352" s="2" t="s">
        <v>721</v>
      </c>
    </row>
    <row r="1353" spans="1:26" x14ac:dyDescent="0.35">
      <c r="A1353" s="7" t="s">
        <v>1625</v>
      </c>
      <c r="B1353" s="7" t="s">
        <v>1404</v>
      </c>
      <c r="C1353" s="4" t="str">
        <f>_xlfn.XLOOKUP(A1353,[2]Sheet2!$I$2:$I$1273,[2]Sheet2!$D$2:$D$1273,0)</f>
        <v>Q1</v>
      </c>
      <c r="D1353" s="4">
        <f>_xlfn.XLOOKUP(B1353,[4]Sheet2!$B$2:$B$3154,[4]Sheet2!$F$2:$F$3154,0)</f>
        <v>0</v>
      </c>
      <c r="E1353" s="4" t="e">
        <f>_xlfn.XLOOKUP(B1353,[2]Sheet2!$E$2:$E$713,[2]Sheet2!$G$2:$G$713)</f>
        <v>#N/A</v>
      </c>
      <c r="F1353" s="18">
        <v>46147</v>
      </c>
      <c r="G1353" s="14">
        <v>0.11863425925925926</v>
      </c>
      <c r="H1353" s="7" t="s">
        <v>4</v>
      </c>
      <c r="I1353" s="2" t="str">
        <f t="shared" si="108"/>
        <v>Q1</v>
      </c>
      <c r="J1353" s="2" t="str">
        <f t="shared" si="112"/>
        <v>Match</v>
      </c>
      <c r="K1353" s="2">
        <f t="shared" si="109"/>
        <v>0.28284271247461906</v>
      </c>
      <c r="L1353" s="2" t="e">
        <f t="shared" si="110"/>
        <v>#N/A</v>
      </c>
      <c r="M1353" s="2" t="str">
        <f t="shared" si="111"/>
        <v>Digital Approve Hit</v>
      </c>
      <c r="N1353" s="7">
        <v>20.2</v>
      </c>
      <c r="O1353" s="7">
        <v>0.2</v>
      </c>
      <c r="P1353" s="7">
        <v>-2.6</v>
      </c>
      <c r="Q1353" s="7">
        <v>-0.53</v>
      </c>
      <c r="R1353" s="7">
        <v>0.2</v>
      </c>
      <c r="S1353" s="7">
        <v>0.2</v>
      </c>
      <c r="T1353" s="7">
        <v>-0.22</v>
      </c>
      <c r="U1353" s="7">
        <v>0.35</v>
      </c>
      <c r="V1353" s="7">
        <v>0.67</v>
      </c>
      <c r="W1353" s="7" t="s">
        <v>8</v>
      </c>
      <c r="X1353" s="7" t="s">
        <v>9</v>
      </c>
      <c r="Y1353" s="2" t="s">
        <v>719</v>
      </c>
      <c r="Z1353" s="2" t="s">
        <v>721</v>
      </c>
    </row>
    <row r="1354" spans="1:26" x14ac:dyDescent="0.35">
      <c r="A1354" s="7" t="s">
        <v>1628</v>
      </c>
      <c r="B1354" s="7" t="s">
        <v>1405</v>
      </c>
      <c r="C1354" s="4" t="str">
        <f>_xlfn.XLOOKUP(A1354,[2]Sheet2!$I$2:$I$1273,[2]Sheet2!$D$2:$D$1273,0)</f>
        <v>Q4</v>
      </c>
      <c r="D1354" s="4">
        <f>_xlfn.XLOOKUP(B1354,[4]Sheet2!$B$2:$B$3154,[4]Sheet2!$F$2:$F$3154,0)</f>
        <v>0</v>
      </c>
      <c r="E1354" s="4" t="e">
        <f>_xlfn.XLOOKUP(B1354,[2]Sheet2!$E$2:$E$713,[2]Sheet2!$G$2:$G$713)</f>
        <v>#N/A</v>
      </c>
      <c r="F1354" s="18">
        <v>46147</v>
      </c>
      <c r="G1354" s="14">
        <v>0.14971064814814813</v>
      </c>
      <c r="H1354" s="7" t="s">
        <v>5</v>
      </c>
      <c r="I1354" s="2" t="str">
        <f t="shared" si="108"/>
        <v>Q4</v>
      </c>
      <c r="J1354" s="2" t="str">
        <f t="shared" si="112"/>
        <v>Match</v>
      </c>
      <c r="K1354" s="2">
        <f t="shared" si="109"/>
        <v>0</v>
      </c>
      <c r="L1354" s="2" t="e">
        <f t="shared" si="110"/>
        <v>#N/A</v>
      </c>
      <c r="M1354" s="2" t="str">
        <f t="shared" si="111"/>
        <v>Digital Approve Hit</v>
      </c>
      <c r="N1354" s="7">
        <v>17.7</v>
      </c>
      <c r="O1354" s="7">
        <v>-0.3</v>
      </c>
      <c r="P1354" s="7">
        <v>-2.7</v>
      </c>
      <c r="Q1354" s="7">
        <v>-0.33</v>
      </c>
      <c r="R1354" s="7">
        <v>0</v>
      </c>
      <c r="S1354" s="7">
        <v>0</v>
      </c>
      <c r="T1354" s="7">
        <v>-0.08</v>
      </c>
      <c r="U1354" s="7">
        <v>-7.0000000000000007E-2</v>
      </c>
      <c r="V1354" s="7">
        <v>0.35</v>
      </c>
      <c r="W1354" s="7" t="s">
        <v>8</v>
      </c>
      <c r="X1354" s="7" t="s">
        <v>15</v>
      </c>
      <c r="Y1354" s="2" t="s">
        <v>719</v>
      </c>
      <c r="Z1354" s="2" t="s">
        <v>721</v>
      </c>
    </row>
    <row r="1355" spans="1:26" x14ac:dyDescent="0.35">
      <c r="A1355" s="7" t="s">
        <v>1802</v>
      </c>
      <c r="B1355" s="7" t="s">
        <v>1397</v>
      </c>
      <c r="C1355" s="4" t="str">
        <f>_xlfn.XLOOKUP(A1355,[2]Sheet2!$I$2:$I$1273,[2]Sheet2!$D$2:$D$1273,0)</f>
        <v>Q3</v>
      </c>
      <c r="D1355" s="4">
        <f>_xlfn.XLOOKUP(B1355,[4]Sheet2!$B$2:$B$3154,[4]Sheet2!$F$2:$F$3154,0)</f>
        <v>0</v>
      </c>
      <c r="E1355" s="4" t="e">
        <f>_xlfn.XLOOKUP(B1355,[2]Sheet2!$E$2:$E$713,[2]Sheet2!$G$2:$G$713)</f>
        <v>#N/A</v>
      </c>
      <c r="F1355" s="18">
        <v>46147</v>
      </c>
      <c r="G1355" s="14">
        <v>0.25239583333333332</v>
      </c>
      <c r="H1355" s="7" t="s">
        <v>5</v>
      </c>
      <c r="I1355" s="2" t="str">
        <f t="shared" si="108"/>
        <v>Q1</v>
      </c>
      <c r="J1355" s="2" t="str">
        <f t="shared" si="112"/>
        <v>Not Match</v>
      </c>
      <c r="K1355" s="2">
        <f t="shared" si="109"/>
        <v>0.50990195135927852</v>
      </c>
      <c r="L1355" s="2" t="e">
        <f t="shared" si="110"/>
        <v>#N/A</v>
      </c>
      <c r="M1355" s="2" t="str">
        <f t="shared" si="111"/>
        <v>Below 0.8 not in assigned quadrant</v>
      </c>
      <c r="N1355" s="7">
        <v>22.5</v>
      </c>
      <c r="O1355" s="7">
        <v>8.1999999999999993</v>
      </c>
      <c r="P1355" s="7">
        <v>1.4</v>
      </c>
      <c r="Q1355" s="7">
        <v>-0.23</v>
      </c>
      <c r="R1355" s="7">
        <v>0.1</v>
      </c>
      <c r="S1355" s="7">
        <v>0.5</v>
      </c>
      <c r="T1355" s="7">
        <v>0.17</v>
      </c>
      <c r="U1355" s="7">
        <v>0.7</v>
      </c>
      <c r="V1355" s="7">
        <v>0.75</v>
      </c>
      <c r="W1355" s="7" t="s">
        <v>13</v>
      </c>
      <c r="X1355" s="7" t="s">
        <v>9</v>
      </c>
      <c r="Y1355" s="2" t="s">
        <v>719</v>
      </c>
      <c r="Z1355" s="2" t="s">
        <v>721</v>
      </c>
    </row>
    <row r="1356" spans="1:26" x14ac:dyDescent="0.35">
      <c r="A1356" s="7" t="s">
        <v>1553</v>
      </c>
      <c r="B1356" s="7" t="s">
        <v>1406</v>
      </c>
      <c r="C1356" s="4" t="str">
        <f>_xlfn.XLOOKUP(A1356,[2]Sheet2!$I$2:$I$1273,[2]Sheet2!$D$2:$D$1273,0)</f>
        <v>Q4</v>
      </c>
      <c r="D1356" s="4">
        <f>_xlfn.XLOOKUP(B1356,[4]Sheet2!$B$2:$B$3154,[4]Sheet2!$F$2:$F$3154,0)</f>
        <v>0</v>
      </c>
      <c r="E1356" s="4" t="e">
        <f>_xlfn.XLOOKUP(B1356,[2]Sheet2!$E$2:$E$713,[2]Sheet2!$G$2:$G$713)</f>
        <v>#N/A</v>
      </c>
      <c r="F1356" s="18">
        <v>46147</v>
      </c>
      <c r="G1356" s="14">
        <v>0.25836805555555553</v>
      </c>
      <c r="H1356" s="7" t="s">
        <v>4</v>
      </c>
      <c r="I1356" s="2" t="str">
        <f t="shared" si="108"/>
        <v>Q4</v>
      </c>
      <c r="J1356" s="2" t="str">
        <f t="shared" si="112"/>
        <v>Match</v>
      </c>
      <c r="K1356" s="2">
        <f t="shared" si="109"/>
        <v>0.1</v>
      </c>
      <c r="L1356" s="2" t="e">
        <f t="shared" si="110"/>
        <v>#N/A</v>
      </c>
      <c r="M1356" s="2" t="str">
        <f t="shared" si="111"/>
        <v>Digital Approve Hit</v>
      </c>
      <c r="N1356" s="7">
        <v>15.8</v>
      </c>
      <c r="O1356" s="7">
        <v>-0.2</v>
      </c>
      <c r="P1356" s="7">
        <v>-2.8</v>
      </c>
      <c r="Q1356" s="7">
        <v>-0.52</v>
      </c>
      <c r="R1356" s="7">
        <v>0</v>
      </c>
      <c r="S1356" s="7">
        <v>-0.1</v>
      </c>
      <c r="T1356" s="7">
        <v>0.13</v>
      </c>
      <c r="U1356" s="7">
        <v>0.1</v>
      </c>
      <c r="V1356" s="7">
        <v>0.54</v>
      </c>
      <c r="W1356" s="7" t="s">
        <v>8</v>
      </c>
      <c r="X1356" s="7" t="s">
        <v>9</v>
      </c>
      <c r="Y1356" s="2" t="s">
        <v>719</v>
      </c>
      <c r="Z1356" s="2" t="s">
        <v>721</v>
      </c>
    </row>
    <row r="1357" spans="1:26" x14ac:dyDescent="0.35">
      <c r="A1357" s="7" t="s">
        <v>1755</v>
      </c>
      <c r="B1357" s="7" t="s">
        <v>1328</v>
      </c>
      <c r="C1357" s="4" t="str">
        <f>_xlfn.XLOOKUP(A1357,[2]Sheet2!$I$2:$I$1273,[2]Sheet2!$D$2:$D$1273,0)</f>
        <v>Q4</v>
      </c>
      <c r="D1357" s="4">
        <f>_xlfn.XLOOKUP(B1357,[4]Sheet2!$B$2:$B$3154,[4]Sheet2!$F$2:$F$3154,0)</f>
        <v>0</v>
      </c>
      <c r="E1357" s="4" t="e">
        <f>_xlfn.XLOOKUP(B1357,[2]Sheet2!$E$2:$E$713,[2]Sheet2!$G$2:$G$713)</f>
        <v>#N/A</v>
      </c>
      <c r="F1357" s="18">
        <v>46147</v>
      </c>
      <c r="G1357" s="14">
        <v>0.26069444444444445</v>
      </c>
      <c r="H1357" s="7" t="s">
        <v>11</v>
      </c>
      <c r="I1357" s="2" t="str">
        <f t="shared" si="108"/>
        <v>Q1</v>
      </c>
      <c r="J1357" s="2" t="str">
        <f t="shared" si="112"/>
        <v>Not Match</v>
      </c>
      <c r="K1357" s="2">
        <f t="shared" si="109"/>
        <v>0.44721359549995798</v>
      </c>
      <c r="L1357" s="2" t="e">
        <f t="shared" si="110"/>
        <v>#N/A</v>
      </c>
      <c r="M1357" s="2" t="str">
        <f t="shared" si="111"/>
        <v>Below 0.8 not in assigned quadrant</v>
      </c>
      <c r="N1357" s="7">
        <v>26.2</v>
      </c>
      <c r="O1357" s="7">
        <v>10.6</v>
      </c>
      <c r="P1357" s="7">
        <v>-12.1</v>
      </c>
      <c r="Q1357" s="7">
        <v>-0.53</v>
      </c>
      <c r="R1357" s="7">
        <v>0.2</v>
      </c>
      <c r="S1357" s="7">
        <v>0.4</v>
      </c>
      <c r="T1357" s="7">
        <v>-0.11</v>
      </c>
      <c r="U1357" s="7">
        <v>0.44</v>
      </c>
      <c r="V1357" s="7">
        <v>0.7</v>
      </c>
      <c r="W1357" s="7" t="s">
        <v>8</v>
      </c>
      <c r="X1357" s="7" t="s">
        <v>9</v>
      </c>
      <c r="Y1357" s="2" t="s">
        <v>719</v>
      </c>
      <c r="Z1357" s="2" t="s">
        <v>721</v>
      </c>
    </row>
    <row r="1358" spans="1:26" x14ac:dyDescent="0.35">
      <c r="A1358" s="7" t="s">
        <v>1515</v>
      </c>
      <c r="B1358" s="7" t="s">
        <v>1407</v>
      </c>
      <c r="C1358" s="4" t="str">
        <f>_xlfn.XLOOKUP(A1358,[2]Sheet2!$I$2:$I$1273,[2]Sheet2!$D$2:$D$1273,0)</f>
        <v>Q3</v>
      </c>
      <c r="D1358" s="4">
        <f>_xlfn.XLOOKUP(B1358,[4]Sheet2!$B$2:$B$3154,[4]Sheet2!$F$2:$F$3154,0)</f>
        <v>0</v>
      </c>
      <c r="E1358" s="4" t="e">
        <f>_xlfn.XLOOKUP(B1358,[2]Sheet2!$E$2:$E$713,[2]Sheet2!$G$2:$G$713)</f>
        <v>#N/A</v>
      </c>
      <c r="F1358" s="18">
        <v>46147</v>
      </c>
      <c r="G1358" s="14">
        <v>0.26193287037037039</v>
      </c>
      <c r="H1358" s="7" t="s">
        <v>11</v>
      </c>
      <c r="I1358" s="2" t="str">
        <f t="shared" si="108"/>
        <v>Q3</v>
      </c>
      <c r="J1358" s="2" t="str">
        <f t="shared" si="112"/>
        <v>Match</v>
      </c>
      <c r="K1358" s="2">
        <f t="shared" si="109"/>
        <v>0.14142135623730953</v>
      </c>
      <c r="L1358" s="2" t="e">
        <f t="shared" si="110"/>
        <v>#N/A</v>
      </c>
      <c r="M1358" s="2" t="str">
        <f t="shared" si="111"/>
        <v>Failed but within quadrant</v>
      </c>
      <c r="N1358" s="7">
        <v>13.2</v>
      </c>
      <c r="O1358" s="7">
        <v>-0.4</v>
      </c>
      <c r="P1358" s="7">
        <v>-2.2000000000000002</v>
      </c>
      <c r="Q1358" s="7">
        <v>-1.57</v>
      </c>
      <c r="R1358" s="7">
        <v>-0.1</v>
      </c>
      <c r="S1358" s="7">
        <v>-0.1</v>
      </c>
      <c r="T1358" s="7">
        <v>0.15</v>
      </c>
      <c r="U1358" s="7">
        <v>-0.16</v>
      </c>
      <c r="V1358" s="7">
        <v>1.59</v>
      </c>
      <c r="W1358" s="7" t="s">
        <v>6</v>
      </c>
      <c r="X1358" s="7" t="s">
        <v>15</v>
      </c>
      <c r="Y1358" s="2" t="s">
        <v>719</v>
      </c>
      <c r="Z1358" s="2" t="s">
        <v>721</v>
      </c>
    </row>
    <row r="1359" spans="1:26" x14ac:dyDescent="0.35">
      <c r="A1359" s="7" t="s">
        <v>1793</v>
      </c>
      <c r="B1359" s="7" t="s">
        <v>1408</v>
      </c>
      <c r="C1359" s="4">
        <f>_xlfn.XLOOKUP(A1359,[2]Sheet2!$I$2:$I$1273,[2]Sheet2!$D$2:$D$1273,0)</f>
        <v>0</v>
      </c>
      <c r="D1359" s="4">
        <f>_xlfn.XLOOKUP(B1359,[4]Sheet2!$B$2:$B$3154,[4]Sheet2!$F$2:$F$3154,0)</f>
        <v>0</v>
      </c>
      <c r="E1359" s="4" t="e">
        <f>_xlfn.XLOOKUP(B1359,[2]Sheet2!$E$2:$E$713,[2]Sheet2!$G$2:$G$713)</f>
        <v>#N/A</v>
      </c>
      <c r="F1359" s="18">
        <v>46147</v>
      </c>
      <c r="G1359" s="14">
        <v>0.47173611111111113</v>
      </c>
      <c r="H1359" s="7" t="s">
        <v>5</v>
      </c>
      <c r="I1359" s="2" t="str">
        <f t="shared" si="108"/>
        <v>Q4</v>
      </c>
      <c r="J1359" s="2" t="str">
        <f t="shared" si="112"/>
        <v>Not Found</v>
      </c>
      <c r="K1359" s="2">
        <f t="shared" si="109"/>
        <v>0.3</v>
      </c>
      <c r="L1359" s="2" t="e">
        <f t="shared" si="110"/>
        <v>#N/A</v>
      </c>
      <c r="M1359" s="2" t="str">
        <f t="shared" si="111"/>
        <v>Assign quadrant hit</v>
      </c>
      <c r="N1359" s="7">
        <v>17</v>
      </c>
      <c r="O1359" s="7">
        <v>-0.5</v>
      </c>
      <c r="P1359" s="7">
        <v>-2.1</v>
      </c>
      <c r="Q1359" s="7">
        <v>-0.23</v>
      </c>
      <c r="R1359" s="7">
        <v>0</v>
      </c>
      <c r="S1359" s="7">
        <v>-0.3</v>
      </c>
      <c r="T1359" s="7">
        <v>0.42</v>
      </c>
      <c r="U1359" s="7">
        <v>0.21</v>
      </c>
      <c r="V1359" s="7">
        <v>0.52</v>
      </c>
      <c r="W1359" s="7" t="s">
        <v>8</v>
      </c>
      <c r="X1359" s="7" t="s">
        <v>9</v>
      </c>
      <c r="Y1359" s="2" t="s">
        <v>719</v>
      </c>
      <c r="Z1359" s="2" t="s">
        <v>721</v>
      </c>
    </row>
    <row r="1360" spans="1:26" x14ac:dyDescent="0.35">
      <c r="A1360" s="7" t="s">
        <v>1803</v>
      </c>
      <c r="B1360" s="7" t="s">
        <v>1216</v>
      </c>
      <c r="C1360" s="4" t="str">
        <f>_xlfn.XLOOKUP(A1360,[2]Sheet2!$I$2:$I$1273,[2]Sheet2!$D$2:$D$1273,0)</f>
        <v>Q2</v>
      </c>
      <c r="D1360" s="4">
        <f>_xlfn.XLOOKUP(B1360,[4]Sheet2!$B$2:$B$3154,[4]Sheet2!$F$2:$F$3154,0)</f>
        <v>0</v>
      </c>
      <c r="E1360" s="4" t="e">
        <f>_xlfn.XLOOKUP(B1360,[2]Sheet2!$E$2:$E$713,[2]Sheet2!$G$2:$G$713)</f>
        <v>#N/A</v>
      </c>
      <c r="F1360" s="18">
        <v>46147</v>
      </c>
      <c r="G1360" s="14">
        <v>0.4748148148148148</v>
      </c>
      <c r="H1360" s="7" t="s">
        <v>5</v>
      </c>
      <c r="I1360" s="2" t="str">
        <f t="shared" si="108"/>
        <v>Q2</v>
      </c>
      <c r="J1360" s="2" t="str">
        <f t="shared" si="112"/>
        <v>Match</v>
      </c>
      <c r="K1360" s="2">
        <f t="shared" si="109"/>
        <v>0.50990195135927852</v>
      </c>
      <c r="L1360" s="2" t="e">
        <f t="shared" si="110"/>
        <v>#N/A</v>
      </c>
      <c r="M1360" s="2" t="str">
        <f t="shared" si="111"/>
        <v>Failed but within quadrant</v>
      </c>
      <c r="N1360" s="7">
        <v>26.4</v>
      </c>
      <c r="O1360" s="7">
        <v>7.3</v>
      </c>
      <c r="P1360" s="7">
        <v>2.2000000000000002</v>
      </c>
      <c r="Q1360" s="7">
        <v>0.55000000000000004</v>
      </c>
      <c r="R1360" s="7">
        <v>-0.1</v>
      </c>
      <c r="S1360" s="7">
        <v>0.5</v>
      </c>
      <c r="T1360" s="7">
        <v>-0.04</v>
      </c>
      <c r="U1360" s="7">
        <v>0.71</v>
      </c>
      <c r="V1360" s="7">
        <v>0.89</v>
      </c>
      <c r="W1360" s="7" t="s">
        <v>13</v>
      </c>
      <c r="X1360" s="7" t="s">
        <v>12</v>
      </c>
      <c r="Y1360" s="2" t="s">
        <v>719</v>
      </c>
      <c r="Z1360" s="2" t="s">
        <v>721</v>
      </c>
    </row>
    <row r="1361" spans="1:26" x14ac:dyDescent="0.35">
      <c r="A1361" s="7" t="s">
        <v>1516</v>
      </c>
      <c r="B1361" s="7" t="s">
        <v>1409</v>
      </c>
      <c r="C1361" s="4" t="str">
        <f>_xlfn.XLOOKUP(A1361,[2]Sheet2!$I$2:$I$1273,[2]Sheet2!$D$2:$D$1273,0)</f>
        <v>Q2</v>
      </c>
      <c r="D1361" s="4">
        <f>_xlfn.XLOOKUP(B1361,[4]Sheet2!$B$2:$B$3154,[4]Sheet2!$F$2:$F$3154,0)</f>
        <v>0</v>
      </c>
      <c r="E1361" s="4" t="e">
        <f>_xlfn.XLOOKUP(B1361,[2]Sheet2!$E$2:$E$713,[2]Sheet2!$G$2:$G$713)</f>
        <v>#N/A</v>
      </c>
      <c r="F1361" s="18">
        <v>46147</v>
      </c>
      <c r="G1361" s="14">
        <v>0.47792824074074075</v>
      </c>
      <c r="H1361" s="7" t="s">
        <v>14</v>
      </c>
      <c r="I1361" s="2" t="str">
        <f t="shared" si="108"/>
        <v>Q4</v>
      </c>
      <c r="J1361" s="2" t="str">
        <f t="shared" si="112"/>
        <v>Not Match</v>
      </c>
      <c r="K1361" s="2">
        <f t="shared" si="109"/>
        <v>0.22360679774997899</v>
      </c>
      <c r="L1361" s="2" t="e">
        <f t="shared" si="110"/>
        <v>#N/A</v>
      </c>
      <c r="M1361" s="2" t="str">
        <f t="shared" si="111"/>
        <v>Below 0.8 not in assigned quadrant</v>
      </c>
      <c r="N1361" s="7">
        <v>18</v>
      </c>
      <c r="O1361" s="7">
        <v>-1.4</v>
      </c>
      <c r="P1361" s="7">
        <v>-2.8</v>
      </c>
      <c r="Q1361" s="7">
        <v>0.09</v>
      </c>
      <c r="R1361" s="7">
        <v>0.1</v>
      </c>
      <c r="S1361" s="7">
        <v>-0.2</v>
      </c>
      <c r="T1361" s="7">
        <v>0.17</v>
      </c>
      <c r="U1361" s="7">
        <v>0.28999999999999998</v>
      </c>
      <c r="V1361" s="7">
        <v>0.35</v>
      </c>
      <c r="W1361" s="7" t="s">
        <v>8</v>
      </c>
      <c r="X1361" s="7" t="s">
        <v>9</v>
      </c>
      <c r="Y1361" s="2" t="s">
        <v>719</v>
      </c>
      <c r="Z1361" s="2" t="s">
        <v>721</v>
      </c>
    </row>
    <row r="1362" spans="1:26" x14ac:dyDescent="0.35">
      <c r="A1362" s="7" t="s">
        <v>1500</v>
      </c>
      <c r="B1362" s="7" t="s">
        <v>1410</v>
      </c>
      <c r="C1362" s="4" t="str">
        <f>_xlfn.XLOOKUP(A1362,[2]Sheet2!$I$2:$I$1273,[2]Sheet2!$D$2:$D$1273,0)</f>
        <v>Q2</v>
      </c>
      <c r="D1362" s="4">
        <f>_xlfn.XLOOKUP(B1362,[4]Sheet2!$B$2:$B$3154,[4]Sheet2!$F$2:$F$3154,0)</f>
        <v>0</v>
      </c>
      <c r="E1362" s="4" t="e">
        <f>_xlfn.XLOOKUP(B1362,[2]Sheet2!$E$2:$E$713,[2]Sheet2!$G$2:$G$713)</f>
        <v>#N/A</v>
      </c>
      <c r="F1362" s="18">
        <v>46147</v>
      </c>
      <c r="G1362" s="14">
        <v>0.47989583333333335</v>
      </c>
      <c r="H1362" s="7" t="s">
        <v>5</v>
      </c>
      <c r="I1362" s="2" t="str">
        <f t="shared" si="108"/>
        <v>Q2</v>
      </c>
      <c r="J1362" s="2" t="str">
        <f t="shared" si="112"/>
        <v>Match</v>
      </c>
      <c r="K1362" s="2">
        <f t="shared" si="109"/>
        <v>0</v>
      </c>
      <c r="L1362" s="2" t="e">
        <f t="shared" si="110"/>
        <v>#N/A</v>
      </c>
      <c r="M1362" s="2" t="str">
        <f t="shared" si="111"/>
        <v>Digital Approve Hit</v>
      </c>
      <c r="N1362" s="7">
        <v>16.7</v>
      </c>
      <c r="O1362" s="7">
        <v>-0.6</v>
      </c>
      <c r="P1362" s="7">
        <v>-1.6</v>
      </c>
      <c r="Q1362" s="7">
        <v>-0.77</v>
      </c>
      <c r="R1362" s="7">
        <v>0</v>
      </c>
      <c r="S1362" s="7">
        <v>0</v>
      </c>
      <c r="T1362" s="7">
        <v>-0.04</v>
      </c>
      <c r="U1362" s="7">
        <v>0.05</v>
      </c>
      <c r="V1362" s="7">
        <v>0.77</v>
      </c>
      <c r="W1362" s="7" t="s">
        <v>13</v>
      </c>
      <c r="X1362" s="7" t="s">
        <v>9</v>
      </c>
      <c r="Y1362" s="2" t="s">
        <v>719</v>
      </c>
      <c r="Z1362" s="2" t="s">
        <v>721</v>
      </c>
    </row>
    <row r="1363" spans="1:26" x14ac:dyDescent="0.35">
      <c r="A1363" s="7" t="s">
        <v>1804</v>
      </c>
      <c r="B1363" s="7" t="s">
        <v>1411</v>
      </c>
      <c r="C1363" s="4" t="str">
        <f>_xlfn.XLOOKUP(A1363,[2]Sheet2!$I$2:$I$1273,[2]Sheet2!$D$2:$D$1273,0)</f>
        <v>Q1</v>
      </c>
      <c r="D1363" s="4">
        <f>_xlfn.XLOOKUP(B1363,[4]Sheet2!$B$2:$B$3154,[4]Sheet2!$F$2:$F$3154,0)</f>
        <v>0</v>
      </c>
      <c r="E1363" s="4" t="e">
        <f>_xlfn.XLOOKUP(B1363,[2]Sheet2!$E$2:$E$713,[2]Sheet2!$G$2:$G$713)</f>
        <v>#N/A</v>
      </c>
      <c r="F1363" s="18">
        <v>46147</v>
      </c>
      <c r="G1363" s="14">
        <v>0.53604166666666664</v>
      </c>
      <c r="H1363" s="7" t="s">
        <v>11</v>
      </c>
      <c r="I1363" s="2" t="str">
        <f t="shared" si="108"/>
        <v>Q4</v>
      </c>
      <c r="J1363" s="2" t="str">
        <f t="shared" si="112"/>
        <v>Not Match</v>
      </c>
      <c r="K1363" s="2">
        <f t="shared" si="109"/>
        <v>0.1</v>
      </c>
      <c r="L1363" s="2" t="e">
        <f t="shared" si="110"/>
        <v>#N/A</v>
      </c>
      <c r="M1363" s="2" t="str">
        <f t="shared" si="111"/>
        <v>Assign quadrant hit</v>
      </c>
      <c r="N1363" s="7">
        <v>19</v>
      </c>
      <c r="O1363" s="7">
        <v>0.1</v>
      </c>
      <c r="P1363" s="7">
        <v>-14.2</v>
      </c>
      <c r="Q1363" s="7">
        <v>-0.84</v>
      </c>
      <c r="R1363" s="7">
        <v>0</v>
      </c>
      <c r="S1363" s="7">
        <v>-0.1</v>
      </c>
      <c r="T1363" s="7">
        <v>7.0000000000000007E-2</v>
      </c>
      <c r="U1363" s="7">
        <v>0.08</v>
      </c>
      <c r="V1363" s="7">
        <v>0.85</v>
      </c>
      <c r="W1363" s="7" t="s">
        <v>13</v>
      </c>
      <c r="X1363" s="7" t="s">
        <v>9</v>
      </c>
      <c r="Y1363" s="2" t="s">
        <v>719</v>
      </c>
      <c r="Z1363" s="2" t="s">
        <v>721</v>
      </c>
    </row>
    <row r="1364" spans="1:26" x14ac:dyDescent="0.35">
      <c r="A1364" s="7" t="s">
        <v>1805</v>
      </c>
      <c r="B1364" s="7" t="s">
        <v>1412</v>
      </c>
      <c r="C1364" s="4" t="str">
        <f>_xlfn.XLOOKUP(A1364,[2]Sheet2!$I$2:$I$1273,[2]Sheet2!$D$2:$D$1273,0)</f>
        <v>Q1</v>
      </c>
      <c r="D1364" s="4">
        <f>_xlfn.XLOOKUP(B1364,[4]Sheet2!$B$2:$B$3154,[4]Sheet2!$F$2:$F$3154,0)</f>
        <v>0</v>
      </c>
      <c r="E1364" s="4" t="e">
        <f>_xlfn.XLOOKUP(B1364,[2]Sheet2!$E$2:$E$713,[2]Sheet2!$G$2:$G$713)</f>
        <v>#N/A</v>
      </c>
      <c r="F1364" s="18">
        <v>46147</v>
      </c>
      <c r="G1364" s="14">
        <v>0.64725694444444448</v>
      </c>
      <c r="H1364" s="7" t="s">
        <v>11</v>
      </c>
      <c r="I1364" s="2" t="str">
        <f t="shared" si="108"/>
        <v>Q4</v>
      </c>
      <c r="J1364" s="2" t="str">
        <f t="shared" si="112"/>
        <v>Not Match</v>
      </c>
      <c r="K1364" s="2">
        <f t="shared" si="109"/>
        <v>0.2</v>
      </c>
      <c r="L1364" s="2" t="e">
        <f t="shared" si="110"/>
        <v>#N/A</v>
      </c>
      <c r="M1364" s="2" t="str">
        <f t="shared" si="111"/>
        <v>Below 0.8 not in assigned quadrant</v>
      </c>
      <c r="N1364" s="7">
        <v>27.3</v>
      </c>
      <c r="O1364" s="7">
        <v>-12.9</v>
      </c>
      <c r="P1364" s="7">
        <v>-12.3</v>
      </c>
      <c r="Q1364" s="7">
        <v>0.05</v>
      </c>
      <c r="R1364" s="7">
        <v>0</v>
      </c>
      <c r="S1364" s="7">
        <v>-0.2</v>
      </c>
      <c r="T1364" s="7">
        <v>0.09</v>
      </c>
      <c r="U1364" s="7">
        <v>0.16</v>
      </c>
      <c r="V1364" s="7">
        <v>0.18</v>
      </c>
      <c r="W1364" s="7" t="s">
        <v>8</v>
      </c>
      <c r="X1364" s="7" t="s">
        <v>7</v>
      </c>
      <c r="Y1364" s="2" t="s">
        <v>719</v>
      </c>
      <c r="Z1364" s="2" t="s">
        <v>721</v>
      </c>
    </row>
    <row r="1365" spans="1:26" x14ac:dyDescent="0.35">
      <c r="A1365" s="7" t="s">
        <v>1587</v>
      </c>
      <c r="B1365" s="7" t="s">
        <v>1413</v>
      </c>
      <c r="C1365" s="4" t="str">
        <f>_xlfn.XLOOKUP(A1365,[2]Sheet2!$I$2:$I$1273,[2]Sheet2!$D$2:$D$1273,0)</f>
        <v>Q4</v>
      </c>
      <c r="D1365" s="4">
        <f>_xlfn.XLOOKUP(B1365,[4]Sheet2!$B$2:$B$3154,[4]Sheet2!$F$2:$F$3154,0)</f>
        <v>0</v>
      </c>
      <c r="E1365" s="4" t="e">
        <f>_xlfn.XLOOKUP(B1365,[2]Sheet2!$E$2:$E$713,[2]Sheet2!$G$2:$G$713)</f>
        <v>#N/A</v>
      </c>
      <c r="F1365" s="18">
        <v>46147</v>
      </c>
      <c r="G1365" s="14">
        <v>0.69601851851851848</v>
      </c>
      <c r="H1365" s="7" t="s">
        <v>5</v>
      </c>
      <c r="I1365" s="2" t="str">
        <f t="shared" si="108"/>
        <v>Q4</v>
      </c>
      <c r="J1365" s="2" t="str">
        <f t="shared" si="112"/>
        <v>Match</v>
      </c>
      <c r="K1365" s="2">
        <f t="shared" si="109"/>
        <v>0</v>
      </c>
      <c r="L1365" s="2" t="e">
        <f t="shared" si="110"/>
        <v>#N/A</v>
      </c>
      <c r="M1365" s="2" t="str">
        <f t="shared" si="111"/>
        <v>Failed but within quadrant</v>
      </c>
      <c r="N1365" s="7">
        <v>16.3</v>
      </c>
      <c r="O1365" s="7">
        <v>-0.8</v>
      </c>
      <c r="P1365" s="7">
        <v>-3.4</v>
      </c>
      <c r="Q1365" s="7">
        <v>-1.36</v>
      </c>
      <c r="R1365" s="7">
        <v>0</v>
      </c>
      <c r="S1365" s="7">
        <v>0</v>
      </c>
      <c r="T1365" s="7">
        <v>-0.05</v>
      </c>
      <c r="U1365" s="7">
        <v>-0.08</v>
      </c>
      <c r="V1365" s="7">
        <v>1.37</v>
      </c>
      <c r="W1365" s="7" t="s">
        <v>6</v>
      </c>
      <c r="X1365" s="7" t="s">
        <v>15</v>
      </c>
      <c r="Y1365" s="2" t="s">
        <v>719</v>
      </c>
      <c r="Z1365" s="2" t="s">
        <v>721</v>
      </c>
    </row>
    <row r="1366" spans="1:26" x14ac:dyDescent="0.35">
      <c r="A1366" s="7" t="s">
        <v>1500</v>
      </c>
      <c r="B1366" s="7" t="s">
        <v>1414</v>
      </c>
      <c r="C1366" s="4" t="str">
        <f>_xlfn.XLOOKUP(A1366,[2]Sheet2!$I$2:$I$1273,[2]Sheet2!$D$2:$D$1273,0)</f>
        <v>Q2</v>
      </c>
      <c r="D1366" s="4">
        <f>_xlfn.XLOOKUP(B1366,[4]Sheet2!$B$2:$B$3154,[4]Sheet2!$F$2:$F$3154,0)</f>
        <v>0</v>
      </c>
      <c r="E1366" s="4" t="e">
        <f>_xlfn.XLOOKUP(B1366,[2]Sheet2!$E$2:$E$713,[2]Sheet2!$G$2:$G$713)</f>
        <v>#N/A</v>
      </c>
      <c r="F1366" s="18">
        <v>46147</v>
      </c>
      <c r="G1366" s="14">
        <v>0.70600694444444445</v>
      </c>
      <c r="H1366" s="7" t="s">
        <v>5</v>
      </c>
      <c r="I1366" s="2" t="str">
        <f t="shared" si="108"/>
        <v>Q2</v>
      </c>
      <c r="J1366" s="2" t="str">
        <f t="shared" si="112"/>
        <v>Match</v>
      </c>
      <c r="K1366" s="2">
        <f t="shared" si="109"/>
        <v>0</v>
      </c>
      <c r="L1366" s="2" t="e">
        <f t="shared" si="110"/>
        <v>#N/A</v>
      </c>
      <c r="M1366" s="2" t="str">
        <f t="shared" si="111"/>
        <v>Failed but within quadrant</v>
      </c>
      <c r="N1366" s="7">
        <v>16.600000000000001</v>
      </c>
      <c r="O1366" s="7">
        <v>-0.7</v>
      </c>
      <c r="P1366" s="7">
        <v>-1.5</v>
      </c>
      <c r="Q1366" s="7">
        <v>-0.87</v>
      </c>
      <c r="R1366" s="7">
        <v>0</v>
      </c>
      <c r="S1366" s="7">
        <v>0</v>
      </c>
      <c r="T1366" s="7">
        <v>-0.1</v>
      </c>
      <c r="U1366" s="7">
        <v>-0.04</v>
      </c>
      <c r="V1366" s="7">
        <v>0.88</v>
      </c>
      <c r="W1366" s="7" t="s">
        <v>13</v>
      </c>
      <c r="X1366" s="7" t="s">
        <v>15</v>
      </c>
      <c r="Y1366" s="2" t="s">
        <v>719</v>
      </c>
      <c r="Z1366" s="2" t="s">
        <v>721</v>
      </c>
    </row>
    <row r="1367" spans="1:26" x14ac:dyDescent="0.35">
      <c r="A1367" s="7" t="s">
        <v>1761</v>
      </c>
      <c r="B1367" s="7" t="s">
        <v>1384</v>
      </c>
      <c r="C1367" s="4" t="str">
        <f>_xlfn.XLOOKUP(A1367,[2]Sheet2!$I$2:$I$1273,[2]Sheet2!$D$2:$D$1273,0)</f>
        <v>Q1</v>
      </c>
      <c r="D1367" s="4">
        <f>_xlfn.XLOOKUP(B1367,[4]Sheet2!$B$2:$B$3154,[4]Sheet2!$F$2:$F$3154,0)</f>
        <v>0</v>
      </c>
      <c r="E1367" s="4" t="e">
        <f>_xlfn.XLOOKUP(B1367,[2]Sheet2!$E$2:$E$713,[2]Sheet2!$G$2:$G$713)</f>
        <v>#N/A</v>
      </c>
      <c r="F1367" s="18">
        <v>46147</v>
      </c>
      <c r="G1367" s="14">
        <v>0.75124999999999997</v>
      </c>
      <c r="H1367" s="7" t="s">
        <v>11</v>
      </c>
      <c r="I1367" s="2" t="str">
        <f t="shared" si="108"/>
        <v>Q4</v>
      </c>
      <c r="J1367" s="2" t="str">
        <f t="shared" si="112"/>
        <v>Not Match</v>
      </c>
      <c r="K1367" s="2">
        <f t="shared" si="109"/>
        <v>0.2</v>
      </c>
      <c r="L1367" s="2" t="e">
        <f t="shared" si="110"/>
        <v>#N/A</v>
      </c>
      <c r="M1367" s="2" t="str">
        <f t="shared" si="111"/>
        <v>Below 0.8 not in assigned quadrant</v>
      </c>
      <c r="N1367" s="7">
        <v>28.1</v>
      </c>
      <c r="O1367" s="7">
        <v>-1.6</v>
      </c>
      <c r="P1367" s="7">
        <v>7.7</v>
      </c>
      <c r="Q1367" s="7">
        <v>0.26</v>
      </c>
      <c r="R1367" s="7">
        <v>0.2</v>
      </c>
      <c r="S1367" s="7">
        <v>0</v>
      </c>
      <c r="T1367" s="7">
        <v>-0.11</v>
      </c>
      <c r="U1367" s="7">
        <v>-0.23</v>
      </c>
      <c r="V1367" s="7">
        <v>0.36</v>
      </c>
      <c r="W1367" s="7" t="s">
        <v>8</v>
      </c>
      <c r="X1367" s="7" t="s">
        <v>12</v>
      </c>
      <c r="Y1367" s="2" t="s">
        <v>719</v>
      </c>
      <c r="Z1367" s="2" t="s">
        <v>721</v>
      </c>
    </row>
    <row r="1368" spans="1:26" x14ac:dyDescent="0.35">
      <c r="A1368" s="7" t="s">
        <v>1781</v>
      </c>
      <c r="B1368" s="7" t="s">
        <v>1416</v>
      </c>
      <c r="C1368" s="4" t="str">
        <f>_xlfn.XLOOKUP(A1368,[2]Sheet2!$I$2:$I$1273,[2]Sheet2!$D$2:$D$1273,0)</f>
        <v>Q4</v>
      </c>
      <c r="D1368" s="4">
        <f>_xlfn.XLOOKUP(B1368,[4]Sheet2!$B$2:$B$3154,[4]Sheet2!$F$2:$F$3154,0)</f>
        <v>0</v>
      </c>
      <c r="E1368" s="4" t="e">
        <f>_xlfn.XLOOKUP(B1368,[2]Sheet2!$E$2:$E$713,[2]Sheet2!$G$2:$G$713)</f>
        <v>#N/A</v>
      </c>
      <c r="F1368" s="18">
        <v>46147</v>
      </c>
      <c r="G1368" s="14">
        <v>0.75400462962962966</v>
      </c>
      <c r="H1368" s="7" t="s">
        <v>4</v>
      </c>
      <c r="I1368" s="2" t="str">
        <f t="shared" si="108"/>
        <v>Q3</v>
      </c>
      <c r="J1368" s="2" t="str">
        <f t="shared" si="112"/>
        <v>Not Match</v>
      </c>
      <c r="K1368" s="2">
        <f t="shared" si="109"/>
        <v>0.36055512754639896</v>
      </c>
      <c r="L1368" s="2" t="e">
        <f t="shared" si="110"/>
        <v>#N/A</v>
      </c>
      <c r="M1368" s="2" t="str">
        <f t="shared" si="111"/>
        <v>Below 0.8 not in assigned quadrant</v>
      </c>
      <c r="N1368" s="7">
        <v>23.6</v>
      </c>
      <c r="O1368" s="7">
        <v>-0.4</v>
      </c>
      <c r="P1368" s="7">
        <v>-14.1</v>
      </c>
      <c r="Q1368" s="7">
        <v>-0.21</v>
      </c>
      <c r="R1368" s="7">
        <v>-0.3</v>
      </c>
      <c r="S1368" s="7">
        <v>-0.2</v>
      </c>
      <c r="T1368" s="7">
        <v>0.2</v>
      </c>
      <c r="U1368" s="7">
        <v>-0.37</v>
      </c>
      <c r="V1368" s="7">
        <v>0.47</v>
      </c>
      <c r="W1368" s="7" t="s">
        <v>8</v>
      </c>
      <c r="X1368" s="7" t="s">
        <v>15</v>
      </c>
      <c r="Y1368" s="2" t="s">
        <v>719</v>
      </c>
      <c r="Z1368" s="2" t="s">
        <v>721</v>
      </c>
    </row>
    <row r="1369" spans="1:26" x14ac:dyDescent="0.35">
      <c r="A1369" s="7" t="s">
        <v>1625</v>
      </c>
      <c r="B1369" s="7" t="s">
        <v>1417</v>
      </c>
      <c r="C1369" s="4" t="str">
        <f>_xlfn.XLOOKUP(A1369,[2]Sheet2!$I$2:$I$1273,[2]Sheet2!$D$2:$D$1273,0)</f>
        <v>Q1</v>
      </c>
      <c r="D1369" s="4">
        <f>_xlfn.XLOOKUP(B1369,[4]Sheet2!$B$2:$B$3154,[4]Sheet2!$F$2:$F$3154,0)</f>
        <v>0</v>
      </c>
      <c r="E1369" s="4" t="e">
        <f>_xlfn.XLOOKUP(B1369,[2]Sheet2!$E$2:$E$713,[2]Sheet2!$G$2:$G$713)</f>
        <v>#N/A</v>
      </c>
      <c r="F1369" s="18">
        <v>46147</v>
      </c>
      <c r="G1369" s="14">
        <v>0.76732638888888893</v>
      </c>
      <c r="H1369" s="7" t="s">
        <v>4</v>
      </c>
      <c r="I1369" s="2" t="str">
        <f t="shared" si="108"/>
        <v>Q1</v>
      </c>
      <c r="J1369" s="2" t="str">
        <f t="shared" si="112"/>
        <v>Match</v>
      </c>
      <c r="K1369" s="2">
        <f t="shared" si="109"/>
        <v>0.6403124237432849</v>
      </c>
      <c r="L1369" s="2" t="e">
        <f t="shared" si="110"/>
        <v>#N/A</v>
      </c>
      <c r="M1369" s="2" t="str">
        <f t="shared" si="111"/>
        <v>Failed but within quadrant</v>
      </c>
      <c r="N1369" s="7">
        <v>20.2</v>
      </c>
      <c r="O1369" s="7">
        <v>0.4</v>
      </c>
      <c r="P1369" s="7">
        <v>-2.2000000000000002</v>
      </c>
      <c r="Q1369" s="7">
        <v>-0.55000000000000004</v>
      </c>
      <c r="R1369" s="7">
        <v>0.4</v>
      </c>
      <c r="S1369" s="7">
        <v>0.5</v>
      </c>
      <c r="T1369" s="7">
        <v>-0.62</v>
      </c>
      <c r="U1369" s="7">
        <v>0.63</v>
      </c>
      <c r="V1369" s="7">
        <v>1.04</v>
      </c>
      <c r="W1369" s="7" t="s">
        <v>6</v>
      </c>
      <c r="X1369" s="7" t="s">
        <v>9</v>
      </c>
      <c r="Y1369" s="2" t="s">
        <v>719</v>
      </c>
      <c r="Z1369" s="2" t="s">
        <v>721</v>
      </c>
    </row>
    <row r="1370" spans="1:26" x14ac:dyDescent="0.35">
      <c r="A1370" s="7" t="s">
        <v>1769</v>
      </c>
      <c r="B1370" s="7" t="s">
        <v>1415</v>
      </c>
      <c r="C1370" s="4">
        <f>_xlfn.XLOOKUP(A1370,[2]Sheet2!$I$2:$I$1273,[2]Sheet2!$D$2:$D$1273,0)</f>
        <v>0</v>
      </c>
      <c r="D1370" s="4">
        <f>_xlfn.XLOOKUP(B1370,[4]Sheet2!$B$2:$B$3154,[4]Sheet2!$F$2:$F$3154,0)</f>
        <v>0</v>
      </c>
      <c r="E1370" s="4" t="e">
        <f>_xlfn.XLOOKUP(B1370,[2]Sheet2!$E$2:$E$713,[2]Sheet2!$G$2:$G$713)</f>
        <v>#N/A</v>
      </c>
      <c r="F1370" s="18">
        <v>46147</v>
      </c>
      <c r="G1370" s="14">
        <v>0.76967592592592593</v>
      </c>
      <c r="H1370" s="7" t="s">
        <v>5</v>
      </c>
      <c r="I1370" s="2" t="str">
        <f t="shared" si="108"/>
        <v>Q1</v>
      </c>
      <c r="J1370" s="2" t="str">
        <f t="shared" si="112"/>
        <v>Not Found</v>
      </c>
      <c r="K1370" s="2">
        <f t="shared" si="109"/>
        <v>0.5</v>
      </c>
      <c r="L1370" s="2" t="e">
        <f t="shared" si="110"/>
        <v>#N/A</v>
      </c>
      <c r="M1370" s="2" t="str">
        <f t="shared" si="111"/>
        <v>Assign quadrant hit</v>
      </c>
      <c r="N1370" s="7">
        <v>24.1</v>
      </c>
      <c r="O1370" s="7">
        <v>2.8</v>
      </c>
      <c r="P1370" s="7">
        <v>-20.3</v>
      </c>
      <c r="Q1370" s="7">
        <v>-1.03</v>
      </c>
      <c r="R1370" s="7">
        <v>0</v>
      </c>
      <c r="S1370" s="7">
        <v>0.5</v>
      </c>
      <c r="T1370" s="7">
        <v>-0.34</v>
      </c>
      <c r="U1370" s="7">
        <v>0.02</v>
      </c>
      <c r="V1370" s="7">
        <v>1.08</v>
      </c>
      <c r="W1370" s="7" t="s">
        <v>6</v>
      </c>
      <c r="X1370" s="7" t="s">
        <v>9</v>
      </c>
      <c r="Y1370" s="2" t="s">
        <v>719</v>
      </c>
      <c r="Z1370" s="2" t="s">
        <v>721</v>
      </c>
    </row>
    <row r="1371" spans="1:26" x14ac:dyDescent="0.35">
      <c r="A1371" s="7" t="s">
        <v>1554</v>
      </c>
      <c r="B1371" s="7" t="s">
        <v>1418</v>
      </c>
      <c r="C1371" s="4" t="str">
        <f>_xlfn.XLOOKUP(A1371,[2]Sheet2!$I$2:$I$1273,[2]Sheet2!$D$2:$D$1273,0)</f>
        <v>Q1</v>
      </c>
      <c r="D1371" s="4">
        <f>_xlfn.XLOOKUP(B1371,[4]Sheet2!$B$2:$B$3154,[4]Sheet2!$F$2:$F$3154,0)</f>
        <v>0</v>
      </c>
      <c r="E1371" s="4" t="e">
        <f>_xlfn.XLOOKUP(B1371,[2]Sheet2!$E$2:$E$713,[2]Sheet2!$G$2:$G$713)</f>
        <v>#N/A</v>
      </c>
      <c r="F1371" s="18">
        <v>46147</v>
      </c>
      <c r="G1371" s="14">
        <v>0.77475694444444443</v>
      </c>
      <c r="H1371" s="7" t="s">
        <v>5</v>
      </c>
      <c r="I1371" s="2" t="str">
        <f t="shared" si="108"/>
        <v>Q1</v>
      </c>
      <c r="J1371" s="2" t="str">
        <f t="shared" si="112"/>
        <v>Match</v>
      </c>
      <c r="K1371" s="2">
        <f t="shared" si="109"/>
        <v>0.58309518948452999</v>
      </c>
      <c r="L1371" s="2" t="e">
        <f t="shared" si="110"/>
        <v>#N/A</v>
      </c>
      <c r="M1371" s="2" t="str">
        <f t="shared" si="111"/>
        <v>Failed but within quadrant</v>
      </c>
      <c r="N1371" s="7">
        <v>15.9</v>
      </c>
      <c r="O1371" s="7">
        <v>-0.4</v>
      </c>
      <c r="P1371" s="7">
        <v>-2.2999999999999998</v>
      </c>
      <c r="Q1371" s="7">
        <v>-1.1200000000000001</v>
      </c>
      <c r="R1371" s="7">
        <v>0.5</v>
      </c>
      <c r="S1371" s="7">
        <v>0.3</v>
      </c>
      <c r="T1371" s="7">
        <v>-0.6</v>
      </c>
      <c r="U1371" s="7">
        <v>0.56999999999999995</v>
      </c>
      <c r="V1371" s="7">
        <v>1.4</v>
      </c>
      <c r="W1371" s="7" t="s">
        <v>6</v>
      </c>
      <c r="X1371" s="7" t="s">
        <v>9</v>
      </c>
      <c r="Y1371" s="2" t="s">
        <v>719</v>
      </c>
      <c r="Z1371" s="2" t="s">
        <v>721</v>
      </c>
    </row>
    <row r="1372" spans="1:26" x14ac:dyDescent="0.35">
      <c r="A1372" s="7" t="s">
        <v>1593</v>
      </c>
      <c r="B1372" s="7" t="s">
        <v>1419</v>
      </c>
      <c r="C1372" s="4" t="str">
        <f>_xlfn.XLOOKUP(A1372,[2]Sheet2!$I$2:$I$1273,[2]Sheet2!$D$2:$D$1273,0)</f>
        <v>Q3</v>
      </c>
      <c r="D1372" s="4">
        <f>_xlfn.XLOOKUP(B1372,[4]Sheet2!$B$2:$B$3154,[4]Sheet2!$F$2:$F$3154,0)</f>
        <v>0</v>
      </c>
      <c r="E1372" s="4" t="e">
        <f>_xlfn.XLOOKUP(B1372,[2]Sheet2!$E$2:$E$713,[2]Sheet2!$G$2:$G$713)</f>
        <v>#N/A</v>
      </c>
      <c r="F1372" s="18">
        <v>46147</v>
      </c>
      <c r="G1372" s="14">
        <v>0.85630787037037037</v>
      </c>
      <c r="H1372" s="7" t="s">
        <v>5</v>
      </c>
      <c r="I1372" s="2" t="str">
        <f t="shared" si="108"/>
        <v>Q4</v>
      </c>
      <c r="J1372" s="2" t="str">
        <f t="shared" si="112"/>
        <v>Not Match</v>
      </c>
      <c r="K1372" s="2">
        <f t="shared" si="109"/>
        <v>0.2</v>
      </c>
      <c r="L1372" s="2" t="e">
        <f t="shared" si="110"/>
        <v>#N/A</v>
      </c>
      <c r="M1372" s="2" t="str">
        <f t="shared" si="111"/>
        <v>Below 0.8 not in assigned quadrant</v>
      </c>
      <c r="N1372" s="7">
        <v>23.3</v>
      </c>
      <c r="O1372" s="7">
        <v>3.3</v>
      </c>
      <c r="P1372" s="7">
        <v>2.1</v>
      </c>
      <c r="Q1372" s="7">
        <v>-0.6</v>
      </c>
      <c r="R1372" s="7">
        <v>0</v>
      </c>
      <c r="S1372" s="7">
        <v>-0.2</v>
      </c>
      <c r="T1372" s="7">
        <v>-7.0000000000000007E-2</v>
      </c>
      <c r="U1372" s="7">
        <v>-0.33</v>
      </c>
      <c r="V1372" s="7">
        <v>0.69</v>
      </c>
      <c r="W1372" s="7" t="s">
        <v>8</v>
      </c>
      <c r="X1372" s="7" t="s">
        <v>7</v>
      </c>
      <c r="Y1372" s="2" t="s">
        <v>719</v>
      </c>
      <c r="Z1372" s="2" t="s">
        <v>721</v>
      </c>
    </row>
    <row r="1373" spans="1:26" x14ac:dyDescent="0.35">
      <c r="A1373" s="7" t="s">
        <v>1593</v>
      </c>
      <c r="B1373" s="7" t="s">
        <v>1420</v>
      </c>
      <c r="C1373" s="4" t="str">
        <f>_xlfn.XLOOKUP(A1373,[2]Sheet2!$I$2:$I$1273,[2]Sheet2!$D$2:$D$1273,0)</f>
        <v>Q3</v>
      </c>
      <c r="D1373" s="4">
        <f>_xlfn.XLOOKUP(B1373,[4]Sheet2!$B$2:$B$3154,[4]Sheet2!$F$2:$F$3154,0)</f>
        <v>0</v>
      </c>
      <c r="E1373" s="4" t="e">
        <f>_xlfn.XLOOKUP(B1373,[2]Sheet2!$E$2:$E$713,[2]Sheet2!$G$2:$G$713)</f>
        <v>#N/A</v>
      </c>
      <c r="F1373" s="18">
        <v>46147</v>
      </c>
      <c r="G1373" s="14">
        <v>0.90165509259259258</v>
      </c>
      <c r="H1373" s="7" t="s">
        <v>5</v>
      </c>
      <c r="I1373" s="2" t="str">
        <f t="shared" si="108"/>
        <v>Q4</v>
      </c>
      <c r="J1373" s="2" t="str">
        <f t="shared" si="112"/>
        <v>Not Match</v>
      </c>
      <c r="K1373" s="2">
        <f t="shared" si="109"/>
        <v>0.1</v>
      </c>
      <c r="L1373" s="2" t="e">
        <f t="shared" si="110"/>
        <v>#N/A</v>
      </c>
      <c r="M1373" s="2" t="str">
        <f t="shared" si="111"/>
        <v>Assign quadrant hit</v>
      </c>
      <c r="N1373" s="7">
        <v>22.6</v>
      </c>
      <c r="O1373" s="7">
        <v>3.1</v>
      </c>
      <c r="P1373" s="7">
        <v>2.2000000000000002</v>
      </c>
      <c r="Q1373" s="7">
        <v>-1.1000000000000001</v>
      </c>
      <c r="R1373" s="7">
        <v>0</v>
      </c>
      <c r="S1373" s="7">
        <v>-0.1</v>
      </c>
      <c r="T1373" s="7">
        <v>-0.15</v>
      </c>
      <c r="U1373" s="7">
        <v>-0.11</v>
      </c>
      <c r="V1373" s="7">
        <v>1.1200000000000001</v>
      </c>
      <c r="W1373" s="7" t="s">
        <v>6</v>
      </c>
      <c r="X1373" s="7" t="s">
        <v>7</v>
      </c>
      <c r="Y1373" s="2" t="s">
        <v>719</v>
      </c>
      <c r="Z1373" s="2" t="s">
        <v>721</v>
      </c>
    </row>
    <row r="1374" spans="1:26" x14ac:dyDescent="0.35">
      <c r="A1374" s="7" t="s">
        <v>1779</v>
      </c>
      <c r="B1374" s="7" t="s">
        <v>1421</v>
      </c>
      <c r="C1374" s="4" t="str">
        <f>_xlfn.XLOOKUP(A1374,[2]Sheet2!$I$2:$I$1273,[2]Sheet2!$D$2:$D$1273,0)</f>
        <v>Q4</v>
      </c>
      <c r="D1374" s="4">
        <f>_xlfn.XLOOKUP(B1374,[4]Sheet2!$B$2:$B$3154,[4]Sheet2!$F$2:$F$3154,0)</f>
        <v>0</v>
      </c>
      <c r="E1374" s="4" t="e">
        <f>_xlfn.XLOOKUP(B1374,[2]Sheet2!$E$2:$E$713,[2]Sheet2!$G$2:$G$713)</f>
        <v>#N/A</v>
      </c>
      <c r="F1374" s="18">
        <v>46147</v>
      </c>
      <c r="G1374" s="14">
        <v>0.9299074074074074</v>
      </c>
      <c r="H1374" s="7" t="s">
        <v>11</v>
      </c>
      <c r="I1374" s="2" t="str">
        <f t="shared" si="108"/>
        <v>Q3</v>
      </c>
      <c r="J1374" s="2" t="str">
        <f t="shared" si="112"/>
        <v>Not Match</v>
      </c>
      <c r="K1374" s="2">
        <f t="shared" si="109"/>
        <v>1.4866068747318506</v>
      </c>
      <c r="L1374" s="2" t="e">
        <f t="shared" si="110"/>
        <v>#N/A</v>
      </c>
      <c r="M1374" s="2" t="str">
        <f t="shared" si="111"/>
        <v>Assign quadrant hit</v>
      </c>
      <c r="N1374" s="7">
        <v>31.3</v>
      </c>
      <c r="O1374" s="7">
        <v>-11.7</v>
      </c>
      <c r="P1374" s="7">
        <v>-21.5</v>
      </c>
      <c r="Q1374" s="7">
        <v>0.28000000000000003</v>
      </c>
      <c r="R1374" s="7">
        <v>-0.5</v>
      </c>
      <c r="S1374" s="7">
        <v>-1.4</v>
      </c>
      <c r="T1374" s="7">
        <v>0.86</v>
      </c>
      <c r="U1374" s="7">
        <v>0.21</v>
      </c>
      <c r="V1374" s="7">
        <v>0.93</v>
      </c>
      <c r="W1374" s="7" t="s">
        <v>13</v>
      </c>
      <c r="X1374" s="7" t="s">
        <v>9</v>
      </c>
      <c r="Y1374" s="2" t="s">
        <v>719</v>
      </c>
      <c r="Z1374" s="2" t="s">
        <v>721</v>
      </c>
    </row>
    <row r="1375" spans="1:26" x14ac:dyDescent="0.35">
      <c r="A1375" s="7" t="s">
        <v>1781</v>
      </c>
      <c r="B1375" s="7" t="s">
        <v>1335</v>
      </c>
      <c r="C1375" s="4" t="str">
        <f>_xlfn.XLOOKUP(A1375,[2]Sheet2!$I$2:$I$1273,[2]Sheet2!$D$2:$D$1273,0)</f>
        <v>Q4</v>
      </c>
      <c r="D1375" s="4">
        <f>_xlfn.XLOOKUP(B1375,[4]Sheet2!$B$2:$B$3154,[4]Sheet2!$F$2:$F$3154,0)</f>
        <v>0</v>
      </c>
      <c r="E1375" s="4" t="e">
        <f>_xlfn.XLOOKUP(B1375,[2]Sheet2!$E$2:$E$713,[2]Sheet2!$G$2:$G$713)</f>
        <v>#N/A</v>
      </c>
      <c r="F1375" s="18">
        <v>46147</v>
      </c>
      <c r="G1375" s="14">
        <v>0.89881944444444439</v>
      </c>
      <c r="H1375" s="7" t="s">
        <v>4</v>
      </c>
      <c r="I1375" s="2" t="str">
        <f t="shared" si="108"/>
        <v>Q2</v>
      </c>
      <c r="J1375" s="2" t="str">
        <f t="shared" si="112"/>
        <v>Not Match</v>
      </c>
      <c r="K1375" s="2">
        <f t="shared" si="109"/>
        <v>0.31622776601683794</v>
      </c>
      <c r="L1375" s="2" t="e">
        <f t="shared" si="110"/>
        <v>#N/A</v>
      </c>
      <c r="M1375" s="2" t="str">
        <f t="shared" si="111"/>
        <v>Assign quadrant hit</v>
      </c>
      <c r="N1375" s="7">
        <v>25.5</v>
      </c>
      <c r="O1375" s="7">
        <v>-0.4</v>
      </c>
      <c r="P1375" s="7">
        <v>-13.7</v>
      </c>
      <c r="Q1375" s="7">
        <v>1.19</v>
      </c>
      <c r="R1375" s="7">
        <v>-0.3</v>
      </c>
      <c r="S1375" s="7">
        <v>0.1</v>
      </c>
      <c r="T1375" s="7">
        <v>-7.0000000000000007E-2</v>
      </c>
      <c r="U1375" s="7">
        <v>-0.43</v>
      </c>
      <c r="V1375" s="7">
        <v>1.27</v>
      </c>
      <c r="W1375" s="7" t="s">
        <v>6</v>
      </c>
      <c r="X1375" s="7" t="s">
        <v>15</v>
      </c>
      <c r="Y1375" s="2" t="s">
        <v>719</v>
      </c>
      <c r="Z1375" s="2" t="s">
        <v>721</v>
      </c>
    </row>
    <row r="1376" spans="1:26" x14ac:dyDescent="0.35">
      <c r="A1376" s="7" t="s">
        <v>1783</v>
      </c>
      <c r="B1376" s="7" t="s">
        <v>1422</v>
      </c>
      <c r="C1376" s="4">
        <f>_xlfn.XLOOKUP(A1376,[2]Sheet2!$I$2:$I$1273,[2]Sheet2!$D$2:$D$1273,0)</f>
        <v>0</v>
      </c>
      <c r="D1376" s="4">
        <f>_xlfn.XLOOKUP(B1376,[4]Sheet2!$B$2:$B$3154,[4]Sheet2!$F$2:$F$3154,0)</f>
        <v>0</v>
      </c>
      <c r="E1376" s="4" t="e">
        <f>_xlfn.XLOOKUP(B1376,[2]Sheet2!$E$2:$E$713,[2]Sheet2!$G$2:$G$713)</f>
        <v>#N/A</v>
      </c>
      <c r="F1376" s="18">
        <v>46148</v>
      </c>
      <c r="G1376" s="14">
        <v>4.7037037037037037E-2</v>
      </c>
      <c r="H1376" s="7" t="s">
        <v>10</v>
      </c>
      <c r="I1376" s="2" t="str">
        <f t="shared" si="108"/>
        <v>Q4</v>
      </c>
      <c r="J1376" s="2" t="str">
        <f t="shared" si="112"/>
        <v>Not Found</v>
      </c>
      <c r="K1376" s="2">
        <f t="shared" si="109"/>
        <v>0.8</v>
      </c>
      <c r="L1376" s="2" t="e">
        <f t="shared" si="110"/>
        <v>#N/A</v>
      </c>
      <c r="M1376" s="2" t="str">
        <f t="shared" si="111"/>
        <v>Assign quadrant hit</v>
      </c>
      <c r="N1376" s="7">
        <v>18.3</v>
      </c>
      <c r="O1376" s="7">
        <v>0.6</v>
      </c>
      <c r="P1376" s="7">
        <v>-1.4</v>
      </c>
      <c r="Q1376" s="7">
        <v>0.33</v>
      </c>
      <c r="R1376" s="7">
        <v>0</v>
      </c>
      <c r="S1376" s="7">
        <v>-0.8</v>
      </c>
      <c r="T1376" s="7">
        <v>0.92</v>
      </c>
      <c r="U1376" s="7">
        <v>-0.72</v>
      </c>
      <c r="V1376" s="7">
        <v>1.22</v>
      </c>
      <c r="W1376" s="7" t="s">
        <v>6</v>
      </c>
      <c r="X1376" s="7" t="s">
        <v>7</v>
      </c>
      <c r="Y1376" s="2" t="s">
        <v>719</v>
      </c>
      <c r="Z1376" s="2" t="s">
        <v>721</v>
      </c>
    </row>
    <row r="1377" spans="1:26" x14ac:dyDescent="0.35">
      <c r="A1377" s="7" t="s">
        <v>1806</v>
      </c>
      <c r="B1377" s="7" t="s">
        <v>1423</v>
      </c>
      <c r="C1377" s="4">
        <f>_xlfn.XLOOKUP(A1377,[2]Sheet2!$I$2:$I$1273,[2]Sheet2!$D$2:$D$1273,0)</f>
        <v>0</v>
      </c>
      <c r="D1377" s="4">
        <f>_xlfn.XLOOKUP(B1377,[4]Sheet2!$B$2:$B$3154,[4]Sheet2!$F$2:$F$3154,0)</f>
        <v>0</v>
      </c>
      <c r="E1377" s="4" t="e">
        <f>_xlfn.XLOOKUP(B1377,[2]Sheet2!$E$2:$E$713,[2]Sheet2!$G$2:$G$713)</f>
        <v>#N/A</v>
      </c>
      <c r="F1377" s="18">
        <v>46148</v>
      </c>
      <c r="G1377" s="14">
        <v>4.9108796296296296E-2</v>
      </c>
      <c r="H1377" s="7" t="s">
        <v>11</v>
      </c>
      <c r="I1377" s="2" t="str">
        <f t="shared" si="108"/>
        <v>Q3</v>
      </c>
      <c r="J1377" s="2" t="str">
        <f t="shared" si="112"/>
        <v>Not Found</v>
      </c>
      <c r="K1377" s="2">
        <f t="shared" si="109"/>
        <v>0.3</v>
      </c>
      <c r="L1377" s="2" t="e">
        <f t="shared" si="110"/>
        <v>#N/A</v>
      </c>
      <c r="M1377" s="2" t="str">
        <f t="shared" si="111"/>
        <v>Assign quadrant hit</v>
      </c>
      <c r="N1377" s="7">
        <v>28.3</v>
      </c>
      <c r="O1377" s="7">
        <v>-10.6</v>
      </c>
      <c r="P1377" s="7">
        <v>5.0999999999999996</v>
      </c>
      <c r="Q1377" s="7">
        <v>-0.47</v>
      </c>
      <c r="R1377" s="7">
        <v>-0.3</v>
      </c>
      <c r="S1377" s="7">
        <v>0</v>
      </c>
      <c r="T1377" s="7">
        <v>0.23</v>
      </c>
      <c r="U1377" s="7">
        <v>0.21</v>
      </c>
      <c r="V1377" s="7">
        <v>0.56000000000000005</v>
      </c>
      <c r="W1377" s="7" t="s">
        <v>8</v>
      </c>
      <c r="X1377" s="7" t="s">
        <v>7</v>
      </c>
      <c r="Y1377" s="2" t="s">
        <v>719</v>
      </c>
      <c r="Z1377" s="2" t="s">
        <v>721</v>
      </c>
    </row>
    <row r="1378" spans="1:26" x14ac:dyDescent="0.35">
      <c r="A1378" s="7" t="s">
        <v>1500</v>
      </c>
      <c r="B1378" s="7" t="s">
        <v>1424</v>
      </c>
      <c r="C1378" s="4" t="str">
        <f>_xlfn.XLOOKUP(A1378,[2]Sheet2!$I$2:$I$1273,[2]Sheet2!$D$2:$D$1273,0)</f>
        <v>Q2</v>
      </c>
      <c r="D1378" s="4">
        <f>_xlfn.XLOOKUP(B1378,[4]Sheet2!$B$2:$B$3154,[4]Sheet2!$F$2:$F$3154,0)</f>
        <v>0</v>
      </c>
      <c r="E1378" s="4" t="e">
        <f>_xlfn.XLOOKUP(B1378,[2]Sheet2!$E$2:$E$713,[2]Sheet2!$G$2:$G$713)</f>
        <v>#N/A</v>
      </c>
      <c r="F1378" s="18">
        <v>46148</v>
      </c>
      <c r="G1378" s="14">
        <v>5.3055555555555557E-2</v>
      </c>
      <c r="H1378" s="7" t="s">
        <v>5</v>
      </c>
      <c r="I1378" s="2" t="str">
        <f t="shared" si="108"/>
        <v>Q2</v>
      </c>
      <c r="J1378" s="2" t="str">
        <f t="shared" si="112"/>
        <v>Match</v>
      </c>
      <c r="K1378" s="2">
        <f t="shared" si="109"/>
        <v>0</v>
      </c>
      <c r="L1378" s="2" t="e">
        <f t="shared" si="110"/>
        <v>#N/A</v>
      </c>
      <c r="M1378" s="2" t="str">
        <f t="shared" si="111"/>
        <v>Digital Approve Hit</v>
      </c>
      <c r="N1378" s="7">
        <v>16.899999999999999</v>
      </c>
      <c r="O1378" s="7">
        <v>-0.6</v>
      </c>
      <c r="P1378" s="7">
        <v>-1.7</v>
      </c>
      <c r="Q1378" s="7">
        <v>-0.64</v>
      </c>
      <c r="R1378" s="7">
        <v>0</v>
      </c>
      <c r="S1378" s="7">
        <v>0</v>
      </c>
      <c r="T1378" s="7">
        <v>0</v>
      </c>
      <c r="U1378" s="7">
        <v>0.13</v>
      </c>
      <c r="V1378" s="7">
        <v>0.65</v>
      </c>
      <c r="W1378" s="7" t="s">
        <v>8</v>
      </c>
      <c r="X1378" s="7" t="s">
        <v>9</v>
      </c>
      <c r="Y1378" s="2" t="s">
        <v>719</v>
      </c>
      <c r="Z1378" s="2" t="s">
        <v>721</v>
      </c>
    </row>
    <row r="1379" spans="1:26" x14ac:dyDescent="0.35">
      <c r="A1379" s="7" t="s">
        <v>1807</v>
      </c>
      <c r="B1379" s="7" t="s">
        <v>1425</v>
      </c>
      <c r="C1379" s="4" t="str">
        <f>_xlfn.XLOOKUP(A1379,[2]Sheet2!$I$2:$I$1273,[2]Sheet2!$D$2:$D$1273,0)</f>
        <v>Q4</v>
      </c>
      <c r="D1379" s="4">
        <f>_xlfn.XLOOKUP(B1379,[4]Sheet2!$B$2:$B$3154,[4]Sheet2!$F$2:$F$3154,0)</f>
        <v>0</v>
      </c>
      <c r="E1379" s="4" t="e">
        <f>_xlfn.XLOOKUP(B1379,[2]Sheet2!$E$2:$E$713,[2]Sheet2!$G$2:$G$713)</f>
        <v>#N/A</v>
      </c>
      <c r="F1379" s="18">
        <v>46148</v>
      </c>
      <c r="G1379" s="14">
        <v>5.5694444444444442E-2</v>
      </c>
      <c r="H1379" s="7" t="s">
        <v>11</v>
      </c>
      <c r="I1379" s="2" t="str">
        <f t="shared" si="108"/>
        <v>Q1</v>
      </c>
      <c r="J1379" s="2" t="str">
        <f t="shared" si="112"/>
        <v>Not Match</v>
      </c>
      <c r="K1379" s="2">
        <f t="shared" si="109"/>
        <v>0.14142135623730953</v>
      </c>
      <c r="L1379" s="2" t="e">
        <f t="shared" si="110"/>
        <v>#N/A</v>
      </c>
      <c r="M1379" s="2" t="str">
        <f t="shared" si="111"/>
        <v>Below 0.8 not in assigned quadrant</v>
      </c>
      <c r="N1379" s="7">
        <v>23.4</v>
      </c>
      <c r="O1379" s="7">
        <v>-0.4</v>
      </c>
      <c r="P1379" s="7">
        <v>-9.4</v>
      </c>
      <c r="Q1379" s="7">
        <v>-0.35</v>
      </c>
      <c r="R1379" s="7">
        <v>0.1</v>
      </c>
      <c r="S1379" s="7">
        <v>0.1</v>
      </c>
      <c r="T1379" s="7">
        <v>-0.16</v>
      </c>
      <c r="U1379" s="7">
        <v>0.21</v>
      </c>
      <c r="V1379" s="7">
        <v>0.44</v>
      </c>
      <c r="W1379" s="7" t="s">
        <v>8</v>
      </c>
      <c r="X1379" s="7" t="s">
        <v>9</v>
      </c>
      <c r="Y1379" s="2" t="s">
        <v>719</v>
      </c>
      <c r="Z1379" s="2" t="s">
        <v>721</v>
      </c>
    </row>
    <row r="1380" spans="1:26" x14ac:dyDescent="0.35">
      <c r="A1380" s="7" t="s">
        <v>1625</v>
      </c>
      <c r="B1380" s="7" t="s">
        <v>1426</v>
      </c>
      <c r="C1380" s="4" t="str">
        <f>_xlfn.XLOOKUP(A1380,[2]Sheet2!$I$2:$I$1273,[2]Sheet2!$D$2:$D$1273,0)</f>
        <v>Q1</v>
      </c>
      <c r="D1380" s="4">
        <f>_xlfn.XLOOKUP(B1380,[4]Sheet2!$B$2:$B$3154,[4]Sheet2!$F$2:$F$3154,0)</f>
        <v>0</v>
      </c>
      <c r="E1380" s="4" t="e">
        <f>_xlfn.XLOOKUP(B1380,[2]Sheet2!$E$2:$E$713,[2]Sheet2!$G$2:$G$713)</f>
        <v>#N/A</v>
      </c>
      <c r="F1380" s="18">
        <v>46148</v>
      </c>
      <c r="G1380" s="14">
        <v>0.10263888888888889</v>
      </c>
      <c r="H1380" s="7" t="s">
        <v>4</v>
      </c>
      <c r="I1380" s="2" t="str">
        <f t="shared" si="108"/>
        <v>Q1</v>
      </c>
      <c r="J1380" s="2" t="str">
        <f t="shared" si="112"/>
        <v>Match</v>
      </c>
      <c r="K1380" s="2">
        <f t="shared" si="109"/>
        <v>0</v>
      </c>
      <c r="L1380" s="2" t="e">
        <f t="shared" si="110"/>
        <v>#N/A</v>
      </c>
      <c r="M1380" s="2" t="str">
        <f t="shared" si="111"/>
        <v>Digital Approve Hit</v>
      </c>
      <c r="N1380" s="7">
        <v>20.7</v>
      </c>
      <c r="O1380" s="7">
        <v>0</v>
      </c>
      <c r="P1380" s="7">
        <v>-2.7</v>
      </c>
      <c r="Q1380" s="7">
        <v>-0.09</v>
      </c>
      <c r="R1380" s="7">
        <v>0</v>
      </c>
      <c r="S1380" s="7">
        <v>0</v>
      </c>
      <c r="T1380" s="7">
        <v>-0.1</v>
      </c>
      <c r="U1380" s="7">
        <v>-0.02</v>
      </c>
      <c r="V1380" s="7">
        <v>0.14000000000000001</v>
      </c>
      <c r="W1380" s="7" t="s">
        <v>8</v>
      </c>
      <c r="X1380" s="7" t="s">
        <v>15</v>
      </c>
      <c r="Y1380" s="2" t="s">
        <v>719</v>
      </c>
      <c r="Z1380" s="2" t="s">
        <v>721</v>
      </c>
    </row>
    <row r="1381" spans="1:26" x14ac:dyDescent="0.35">
      <c r="A1381" s="7" t="s">
        <v>1783</v>
      </c>
      <c r="B1381" s="7" t="s">
        <v>1427</v>
      </c>
      <c r="C1381" s="4">
        <f>_xlfn.XLOOKUP(A1381,[2]Sheet2!$I$2:$I$1273,[2]Sheet2!$D$2:$D$1273,0)</f>
        <v>0</v>
      </c>
      <c r="D1381" s="4">
        <f>_xlfn.XLOOKUP(B1381,[4]Sheet2!$B$2:$B$3154,[4]Sheet2!$F$2:$F$3154,0)</f>
        <v>0</v>
      </c>
      <c r="E1381" s="4" t="e">
        <f>_xlfn.XLOOKUP(B1381,[2]Sheet2!$E$2:$E$713,[2]Sheet2!$G$2:$G$713)</f>
        <v>#N/A</v>
      </c>
      <c r="F1381" s="18">
        <v>46148</v>
      </c>
      <c r="G1381" s="14">
        <v>0.10486111111111111</v>
      </c>
      <c r="H1381" s="7" t="s">
        <v>10</v>
      </c>
      <c r="I1381" s="2" t="str">
        <f t="shared" si="108"/>
        <v>Q4</v>
      </c>
      <c r="J1381" s="2" t="str">
        <f t="shared" si="112"/>
        <v>Not Found</v>
      </c>
      <c r="K1381" s="2">
        <f t="shared" si="109"/>
        <v>0.8</v>
      </c>
      <c r="L1381" s="2" t="e">
        <f t="shared" si="110"/>
        <v>#N/A</v>
      </c>
      <c r="M1381" s="2" t="str">
        <f t="shared" si="111"/>
        <v>Assign quadrant hit</v>
      </c>
      <c r="N1381" s="7">
        <v>18.7</v>
      </c>
      <c r="O1381" s="7">
        <v>0.7</v>
      </c>
      <c r="P1381" s="7">
        <v>-1.4</v>
      </c>
      <c r="Q1381" s="7">
        <v>0.71</v>
      </c>
      <c r="R1381" s="7">
        <v>0</v>
      </c>
      <c r="S1381" s="7">
        <v>-0.8</v>
      </c>
      <c r="T1381" s="7">
        <v>0.96</v>
      </c>
      <c r="U1381" s="7">
        <v>-0.66</v>
      </c>
      <c r="V1381" s="7">
        <v>1.37</v>
      </c>
      <c r="W1381" s="7" t="s">
        <v>6</v>
      </c>
      <c r="X1381" s="7" t="s">
        <v>7</v>
      </c>
      <c r="Y1381" s="2" t="s">
        <v>719</v>
      </c>
      <c r="Z1381" s="2" t="s">
        <v>721</v>
      </c>
    </row>
    <row r="1382" spans="1:26" x14ac:dyDescent="0.35">
      <c r="A1382" s="7" t="s">
        <v>1626</v>
      </c>
      <c r="B1382" s="7" t="s">
        <v>1428</v>
      </c>
      <c r="C1382" s="4" t="str">
        <f>_xlfn.XLOOKUP(A1382,[2]Sheet2!$I$2:$I$1273,[2]Sheet2!$D$2:$D$1273,0)</f>
        <v>Q4</v>
      </c>
      <c r="D1382" s="4">
        <f>_xlfn.XLOOKUP(B1382,[4]Sheet2!$B$2:$B$3154,[4]Sheet2!$F$2:$F$3154,0)</f>
        <v>0</v>
      </c>
      <c r="E1382" s="4" t="e">
        <f>_xlfn.XLOOKUP(B1382,[2]Sheet2!$E$2:$E$713,[2]Sheet2!$G$2:$G$713)</f>
        <v>#N/A</v>
      </c>
      <c r="F1382" s="18">
        <v>46148</v>
      </c>
      <c r="G1382" s="14">
        <v>0.18407407407407408</v>
      </c>
      <c r="H1382" s="7" t="s">
        <v>11</v>
      </c>
      <c r="I1382" s="2" t="str">
        <f t="shared" si="108"/>
        <v>Q1</v>
      </c>
      <c r="J1382" s="2" t="str">
        <f t="shared" si="112"/>
        <v>Not Match</v>
      </c>
      <c r="K1382" s="2">
        <f t="shared" si="109"/>
        <v>0.14142135623730953</v>
      </c>
      <c r="L1382" s="2" t="e">
        <f t="shared" si="110"/>
        <v>#N/A</v>
      </c>
      <c r="M1382" s="2" t="str">
        <f t="shared" si="111"/>
        <v>Below 0.8 not in assigned quadrant</v>
      </c>
      <c r="N1382" s="7">
        <v>15.8</v>
      </c>
      <c r="O1382" s="7">
        <v>-0.2</v>
      </c>
      <c r="P1382" s="7">
        <v>-2.2999999999999998</v>
      </c>
      <c r="Q1382" s="7">
        <v>0.02</v>
      </c>
      <c r="R1382" s="7">
        <v>0.1</v>
      </c>
      <c r="S1382" s="7">
        <v>0.1</v>
      </c>
      <c r="T1382" s="7">
        <v>-0.16</v>
      </c>
      <c r="U1382" s="7">
        <v>0.13</v>
      </c>
      <c r="V1382" s="7">
        <v>0.21</v>
      </c>
      <c r="W1382" s="7" t="s">
        <v>8</v>
      </c>
      <c r="X1382" s="7" t="s">
        <v>9</v>
      </c>
      <c r="Y1382" s="2" t="s">
        <v>719</v>
      </c>
      <c r="Z1382" s="2" t="s">
        <v>721</v>
      </c>
    </row>
    <row r="1383" spans="1:26" x14ac:dyDescent="0.35">
      <c r="A1383" s="7" t="s">
        <v>1662</v>
      </c>
      <c r="B1383" s="7" t="s">
        <v>1429</v>
      </c>
      <c r="C1383" s="4" t="str">
        <f>_xlfn.XLOOKUP(A1383,[2]Sheet2!$I$2:$I$1273,[2]Sheet2!$D$2:$D$1273,0)</f>
        <v>Q1</v>
      </c>
      <c r="D1383" s="4">
        <f>_xlfn.XLOOKUP(B1383,[4]Sheet2!$B$2:$B$3154,[4]Sheet2!$F$2:$F$3154,0)</f>
        <v>0</v>
      </c>
      <c r="E1383" s="4" t="e">
        <f>_xlfn.XLOOKUP(B1383,[2]Sheet2!$E$2:$E$713,[2]Sheet2!$G$2:$G$713)</f>
        <v>#N/A</v>
      </c>
      <c r="F1383" s="18">
        <v>46148</v>
      </c>
      <c r="G1383" s="14">
        <v>0.18768518518518518</v>
      </c>
      <c r="H1383" s="7" t="s">
        <v>4</v>
      </c>
      <c r="I1383" s="2" t="str">
        <f t="shared" si="108"/>
        <v>Q4</v>
      </c>
      <c r="J1383" s="2" t="str">
        <f t="shared" si="112"/>
        <v>Not Match</v>
      </c>
      <c r="K1383" s="2">
        <f t="shared" si="109"/>
        <v>0.28284271247461906</v>
      </c>
      <c r="L1383" s="2" t="e">
        <f t="shared" si="110"/>
        <v>#N/A</v>
      </c>
      <c r="M1383" s="2" t="str">
        <f t="shared" si="111"/>
        <v>Below 0.8 not in assigned quadrant</v>
      </c>
      <c r="N1383" s="7">
        <v>18.100000000000001</v>
      </c>
      <c r="O1383" s="7">
        <v>-1</v>
      </c>
      <c r="P1383" s="7">
        <v>-1.4</v>
      </c>
      <c r="Q1383" s="7">
        <v>0.23</v>
      </c>
      <c r="R1383" s="7">
        <v>0.2</v>
      </c>
      <c r="S1383" s="7">
        <v>-0.2</v>
      </c>
      <c r="T1383" s="7">
        <v>-0.04</v>
      </c>
      <c r="U1383" s="7">
        <v>0.46</v>
      </c>
      <c r="V1383" s="7">
        <v>0.51</v>
      </c>
      <c r="W1383" s="7" t="s">
        <v>8</v>
      </c>
      <c r="X1383" s="7" t="s">
        <v>7</v>
      </c>
      <c r="Y1383" s="2" t="s">
        <v>719</v>
      </c>
      <c r="Z1383" s="2" t="s">
        <v>721</v>
      </c>
    </row>
    <row r="1384" spans="1:26" x14ac:dyDescent="0.35">
      <c r="A1384" s="7" t="s">
        <v>1808</v>
      </c>
      <c r="B1384" s="7" t="s">
        <v>1430</v>
      </c>
      <c r="C1384" s="4" t="str">
        <f>_xlfn.XLOOKUP(A1384,[2]Sheet2!$I$2:$I$1273,[2]Sheet2!$D$2:$D$1273,0)</f>
        <v>Q3</v>
      </c>
      <c r="D1384" s="4">
        <f>_xlfn.XLOOKUP(B1384,[4]Sheet2!$B$2:$B$3154,[4]Sheet2!$F$2:$F$3154,0)</f>
        <v>0</v>
      </c>
      <c r="E1384" s="4" t="e">
        <f>_xlfn.XLOOKUP(B1384,[2]Sheet2!$E$2:$E$713,[2]Sheet2!$G$2:$G$713)</f>
        <v>#N/A</v>
      </c>
      <c r="F1384" s="18">
        <v>46148</v>
      </c>
      <c r="G1384" s="14">
        <v>0.26224537037037038</v>
      </c>
      <c r="H1384" s="7" t="s">
        <v>11</v>
      </c>
      <c r="I1384" s="2" t="str">
        <f t="shared" si="108"/>
        <v>Q4</v>
      </c>
      <c r="J1384" s="2" t="str">
        <f t="shared" si="112"/>
        <v>Not Match</v>
      </c>
      <c r="K1384" s="2">
        <f t="shared" si="109"/>
        <v>0.50990195135927852</v>
      </c>
      <c r="L1384" s="2" t="e">
        <f t="shared" si="110"/>
        <v>#N/A</v>
      </c>
      <c r="M1384" s="2" t="str">
        <f t="shared" si="111"/>
        <v>Assign quadrant hit</v>
      </c>
      <c r="N1384" s="7">
        <v>30.9</v>
      </c>
      <c r="O1384" s="7">
        <v>-1.8</v>
      </c>
      <c r="P1384" s="7">
        <v>-45.7</v>
      </c>
      <c r="Q1384" s="7">
        <v>-0.88</v>
      </c>
      <c r="R1384" s="7">
        <v>0.5</v>
      </c>
      <c r="S1384" s="7">
        <v>-0.1</v>
      </c>
      <c r="T1384" s="7">
        <v>0.03</v>
      </c>
      <c r="U1384" s="7">
        <v>0.38</v>
      </c>
      <c r="V1384" s="7">
        <v>0.96</v>
      </c>
      <c r="W1384" s="7" t="s">
        <v>13</v>
      </c>
      <c r="X1384" s="7" t="s">
        <v>9</v>
      </c>
      <c r="Y1384" s="2" t="s">
        <v>719</v>
      </c>
      <c r="Z1384" s="2" t="s">
        <v>721</v>
      </c>
    </row>
    <row r="1385" spans="1:26" x14ac:dyDescent="0.35">
      <c r="A1385" s="7" t="s">
        <v>1515</v>
      </c>
      <c r="B1385" s="7" t="s">
        <v>1432</v>
      </c>
      <c r="C1385" s="4" t="str">
        <f>_xlfn.XLOOKUP(A1385,[2]Sheet2!$I$2:$I$1273,[2]Sheet2!$D$2:$D$1273,0)</f>
        <v>Q3</v>
      </c>
      <c r="D1385" s="4">
        <f>_xlfn.XLOOKUP(B1385,[4]Sheet2!$B$2:$B$3154,[4]Sheet2!$F$2:$F$3154,0)</f>
        <v>0</v>
      </c>
      <c r="E1385" s="4" t="e">
        <f>_xlfn.XLOOKUP(B1385,[2]Sheet2!$E$2:$E$713,[2]Sheet2!$G$2:$G$713)</f>
        <v>#N/A</v>
      </c>
      <c r="F1385" s="18">
        <v>46148</v>
      </c>
      <c r="G1385" s="14">
        <v>0.27335648148148151</v>
      </c>
      <c r="H1385" s="7" t="s">
        <v>11</v>
      </c>
      <c r="I1385" s="2" t="str">
        <f t="shared" si="108"/>
        <v>Q3</v>
      </c>
      <c r="J1385" s="2" t="str">
        <f t="shared" si="112"/>
        <v>Match</v>
      </c>
      <c r="K1385" s="2">
        <f t="shared" si="109"/>
        <v>0.1</v>
      </c>
      <c r="L1385" s="2" t="e">
        <f t="shared" si="110"/>
        <v>#N/A</v>
      </c>
      <c r="M1385" s="2" t="str">
        <f t="shared" si="111"/>
        <v>Failed but within quadrant</v>
      </c>
      <c r="N1385" s="7">
        <v>13.2</v>
      </c>
      <c r="O1385" s="7">
        <v>-0.4</v>
      </c>
      <c r="P1385" s="7">
        <v>-2.1</v>
      </c>
      <c r="Q1385" s="7">
        <v>-1.62</v>
      </c>
      <c r="R1385" s="7">
        <v>-0.1</v>
      </c>
      <c r="S1385" s="7">
        <v>0</v>
      </c>
      <c r="T1385" s="7">
        <v>0.02</v>
      </c>
      <c r="U1385" s="7">
        <v>-0.25</v>
      </c>
      <c r="V1385" s="7">
        <v>1.64</v>
      </c>
      <c r="W1385" s="7" t="s">
        <v>6</v>
      </c>
      <c r="X1385" s="7" t="s">
        <v>15</v>
      </c>
      <c r="Y1385" s="2" t="s">
        <v>719</v>
      </c>
      <c r="Z1385" s="2" t="s">
        <v>721</v>
      </c>
    </row>
    <row r="1386" spans="1:26" x14ac:dyDescent="0.35">
      <c r="A1386" s="7" t="s">
        <v>1593</v>
      </c>
      <c r="B1386" s="7" t="s">
        <v>1433</v>
      </c>
      <c r="C1386" s="4" t="str">
        <f>_xlfn.XLOOKUP(A1386,[2]Sheet2!$I$2:$I$1273,[2]Sheet2!$D$2:$D$1273,0)</f>
        <v>Q3</v>
      </c>
      <c r="D1386" s="4">
        <f>_xlfn.XLOOKUP(B1386,[4]Sheet2!$B$2:$B$3154,[4]Sheet2!$F$2:$F$3154,0)</f>
        <v>0</v>
      </c>
      <c r="E1386" s="4" t="e">
        <f>_xlfn.XLOOKUP(B1386,[2]Sheet2!$E$2:$E$713,[2]Sheet2!$G$2:$G$713)</f>
        <v>#N/A</v>
      </c>
      <c r="F1386" s="18">
        <v>46148</v>
      </c>
      <c r="G1386" s="14">
        <v>0.33812500000000001</v>
      </c>
      <c r="H1386" s="7" t="s">
        <v>5</v>
      </c>
      <c r="I1386" s="2" t="str">
        <f t="shared" si="108"/>
        <v>Q1</v>
      </c>
      <c r="J1386" s="2" t="str">
        <f t="shared" si="112"/>
        <v>Not Match</v>
      </c>
      <c r="K1386" s="2">
        <f t="shared" si="109"/>
        <v>0.2</v>
      </c>
      <c r="L1386" s="2" t="e">
        <f t="shared" si="110"/>
        <v>#N/A</v>
      </c>
      <c r="M1386" s="2" t="str">
        <f t="shared" si="111"/>
        <v>Assign quadrant hit</v>
      </c>
      <c r="N1386" s="7">
        <v>22.5</v>
      </c>
      <c r="O1386" s="7">
        <v>3.3</v>
      </c>
      <c r="P1386" s="7">
        <v>2.6</v>
      </c>
      <c r="Q1386" s="7">
        <v>-1.1499999999999999</v>
      </c>
      <c r="R1386" s="7">
        <v>0</v>
      </c>
      <c r="S1386" s="7">
        <v>0.2</v>
      </c>
      <c r="T1386" s="7">
        <v>0.24</v>
      </c>
      <c r="U1386" s="7">
        <v>0.18</v>
      </c>
      <c r="V1386" s="7">
        <v>1.19</v>
      </c>
      <c r="W1386" s="7" t="s">
        <v>6</v>
      </c>
      <c r="X1386" s="7" t="s">
        <v>12</v>
      </c>
      <c r="Y1386" s="2" t="s">
        <v>719</v>
      </c>
      <c r="Z1386" s="2" t="s">
        <v>721</v>
      </c>
    </row>
    <row r="1387" spans="1:26" x14ac:dyDescent="0.35">
      <c r="A1387" s="7" t="s">
        <v>1500</v>
      </c>
      <c r="B1387" s="7" t="s">
        <v>1431</v>
      </c>
      <c r="C1387" s="4" t="str">
        <f>_xlfn.XLOOKUP(A1387,[2]Sheet2!$I$2:$I$1273,[2]Sheet2!$D$2:$D$1273,0)</f>
        <v>Q2</v>
      </c>
      <c r="D1387" s="4">
        <f>_xlfn.XLOOKUP(B1387,[4]Sheet2!$B$2:$B$3154,[4]Sheet2!$F$2:$F$3154,0)</f>
        <v>0</v>
      </c>
      <c r="E1387" s="4" t="e">
        <f>_xlfn.XLOOKUP(B1387,[2]Sheet2!$E$2:$E$713,[2]Sheet2!$G$2:$G$713)</f>
        <v>#N/A</v>
      </c>
      <c r="F1387" s="18">
        <v>46148</v>
      </c>
      <c r="G1387" s="14">
        <v>0.45837962962962964</v>
      </c>
      <c r="H1387" s="7" t="s">
        <v>5</v>
      </c>
      <c r="I1387" s="2" t="str">
        <f t="shared" si="108"/>
        <v>Q4</v>
      </c>
      <c r="J1387" s="2" t="str">
        <f t="shared" si="112"/>
        <v>Not Match</v>
      </c>
      <c r="K1387" s="2">
        <f t="shared" si="109"/>
        <v>0.1</v>
      </c>
      <c r="L1387" s="2" t="e">
        <f t="shared" si="110"/>
        <v>#N/A</v>
      </c>
      <c r="M1387" s="2" t="str">
        <f t="shared" si="111"/>
        <v>Below 0.8 not in assigned quadrant</v>
      </c>
      <c r="N1387" s="7">
        <v>18.100000000000001</v>
      </c>
      <c r="O1387" s="7">
        <v>-0.6</v>
      </c>
      <c r="P1387" s="7">
        <v>-1.7</v>
      </c>
      <c r="Q1387" s="7">
        <v>0.47</v>
      </c>
      <c r="R1387" s="7">
        <v>0</v>
      </c>
      <c r="S1387" s="7">
        <v>-0.1</v>
      </c>
      <c r="T1387" s="7">
        <v>0.11</v>
      </c>
      <c r="U1387" s="7">
        <v>0.11</v>
      </c>
      <c r="V1387" s="7">
        <v>0.5</v>
      </c>
      <c r="W1387" s="7" t="s">
        <v>8</v>
      </c>
      <c r="X1387" s="7" t="s">
        <v>9</v>
      </c>
      <c r="Y1387" s="2" t="s">
        <v>719</v>
      </c>
      <c r="Z1387" s="2" t="s">
        <v>721</v>
      </c>
    </row>
    <row r="1388" spans="1:26" x14ac:dyDescent="0.35">
      <c r="A1388" s="7" t="s">
        <v>1626</v>
      </c>
      <c r="B1388" s="7" t="s">
        <v>1435</v>
      </c>
      <c r="C1388" s="4" t="str">
        <f>_xlfn.XLOOKUP(A1388,[2]Sheet2!$I$2:$I$1273,[2]Sheet2!$D$2:$D$1273,0)</f>
        <v>Q4</v>
      </c>
      <c r="D1388" s="4">
        <f>_xlfn.XLOOKUP(B1388,[4]Sheet2!$B$2:$B$3154,[4]Sheet2!$F$2:$F$3154,0)</f>
        <v>0</v>
      </c>
      <c r="E1388" s="4" t="e">
        <f>_xlfn.XLOOKUP(B1388,[2]Sheet2!$E$2:$E$713,[2]Sheet2!$G$2:$G$713)</f>
        <v>#N/A</v>
      </c>
      <c r="F1388" s="18">
        <v>46148</v>
      </c>
      <c r="G1388" s="14">
        <v>0.54710648148148144</v>
      </c>
      <c r="H1388" s="7" t="s">
        <v>11</v>
      </c>
      <c r="I1388" s="2" t="str">
        <f t="shared" si="108"/>
        <v>Q4</v>
      </c>
      <c r="J1388" s="2" t="str">
        <f t="shared" si="112"/>
        <v>Match</v>
      </c>
      <c r="K1388" s="2">
        <f t="shared" si="109"/>
        <v>0</v>
      </c>
      <c r="L1388" s="2" t="e">
        <f t="shared" si="110"/>
        <v>#N/A</v>
      </c>
      <c r="M1388" s="2" t="str">
        <f t="shared" si="111"/>
        <v>Digital Approve Hit</v>
      </c>
      <c r="N1388" s="7">
        <v>15.3</v>
      </c>
      <c r="O1388" s="7">
        <v>-0.2</v>
      </c>
      <c r="P1388" s="7">
        <v>-2.1</v>
      </c>
      <c r="Q1388" s="7">
        <v>-0.66</v>
      </c>
      <c r="R1388" s="7">
        <v>0</v>
      </c>
      <c r="S1388" s="7">
        <v>0</v>
      </c>
      <c r="T1388" s="7">
        <v>-0.08</v>
      </c>
      <c r="U1388" s="7">
        <v>0.04</v>
      </c>
      <c r="V1388" s="7">
        <v>0.66</v>
      </c>
      <c r="W1388" s="7" t="s">
        <v>8</v>
      </c>
      <c r="X1388" s="7" t="s">
        <v>9</v>
      </c>
      <c r="Y1388" s="2" t="s">
        <v>719</v>
      </c>
      <c r="Z1388" s="2" t="s">
        <v>721</v>
      </c>
    </row>
    <row r="1389" spans="1:26" x14ac:dyDescent="0.35">
      <c r="A1389" s="7" t="s">
        <v>1809</v>
      </c>
      <c r="B1389" s="7" t="s">
        <v>1436</v>
      </c>
      <c r="C1389" s="4">
        <f>_xlfn.XLOOKUP(A1389,[2]Sheet2!$I$2:$I$1273,[2]Sheet2!$D$2:$D$1273,0)</f>
        <v>0</v>
      </c>
      <c r="D1389" s="4">
        <f>_xlfn.XLOOKUP(B1389,[4]Sheet2!$B$2:$B$3154,[4]Sheet2!$F$2:$F$3154,0)</f>
        <v>0</v>
      </c>
      <c r="E1389" s="4" t="e">
        <f>_xlfn.XLOOKUP(B1389,[2]Sheet2!$E$2:$E$713,[2]Sheet2!$G$2:$G$713)</f>
        <v>#N/A</v>
      </c>
      <c r="F1389" s="18">
        <v>46148</v>
      </c>
      <c r="G1389" s="14">
        <v>0.55466435185185181</v>
      </c>
      <c r="H1389" s="7" t="s">
        <v>11</v>
      </c>
      <c r="I1389" s="2" t="str">
        <f t="shared" si="108"/>
        <v>Q4</v>
      </c>
      <c r="J1389" s="2" t="str">
        <f t="shared" si="112"/>
        <v>Not Found</v>
      </c>
      <c r="K1389" s="2">
        <f t="shared" si="109"/>
        <v>0.1</v>
      </c>
      <c r="L1389" s="2" t="e">
        <f t="shared" si="110"/>
        <v>#N/A</v>
      </c>
      <c r="M1389" s="2" t="str">
        <f t="shared" si="111"/>
        <v>Assign quadrant hit</v>
      </c>
      <c r="N1389" s="7">
        <v>15.6</v>
      </c>
      <c r="O1389" s="7">
        <v>-0.7</v>
      </c>
      <c r="P1389" s="7">
        <v>-2.1</v>
      </c>
      <c r="Q1389" s="7">
        <v>0.41</v>
      </c>
      <c r="R1389" s="7">
        <v>0</v>
      </c>
      <c r="S1389" s="7">
        <v>-0.1</v>
      </c>
      <c r="T1389" s="7">
        <v>0.21</v>
      </c>
      <c r="U1389" s="7">
        <v>0.12</v>
      </c>
      <c r="V1389" s="7">
        <v>0.48</v>
      </c>
      <c r="W1389" s="7" t="s">
        <v>8</v>
      </c>
      <c r="X1389" s="7" t="s">
        <v>9</v>
      </c>
      <c r="Y1389" s="2" t="s">
        <v>719</v>
      </c>
      <c r="Z1389" s="2" t="s">
        <v>721</v>
      </c>
    </row>
    <row r="1390" spans="1:26" x14ac:dyDescent="0.35">
      <c r="A1390" s="7" t="s">
        <v>1810</v>
      </c>
      <c r="B1390" s="7" t="s">
        <v>1437</v>
      </c>
      <c r="C1390" s="4" t="str">
        <f>_xlfn.XLOOKUP(A1390,[2]Sheet2!$I$2:$I$1273,[2]Sheet2!$D$2:$D$1273,0)</f>
        <v>Q2</v>
      </c>
      <c r="D1390" s="4">
        <f>_xlfn.XLOOKUP(B1390,[4]Sheet2!$B$2:$B$3154,[4]Sheet2!$F$2:$F$3154,0)</f>
        <v>0</v>
      </c>
      <c r="E1390" s="4" t="e">
        <f>_xlfn.XLOOKUP(B1390,[2]Sheet2!$E$2:$E$713,[2]Sheet2!$G$2:$G$713)</f>
        <v>#N/A</v>
      </c>
      <c r="F1390" s="18">
        <v>46148</v>
      </c>
      <c r="G1390" s="14">
        <v>0.55686342592592597</v>
      </c>
      <c r="H1390" s="7" t="s">
        <v>11</v>
      </c>
      <c r="I1390" s="2" t="str">
        <f t="shared" si="108"/>
        <v>Q3</v>
      </c>
      <c r="J1390" s="2" t="str">
        <f t="shared" si="112"/>
        <v>Not Match</v>
      </c>
      <c r="K1390" s="2">
        <f t="shared" si="109"/>
        <v>0.36055512754639896</v>
      </c>
      <c r="L1390" s="2" t="e">
        <f t="shared" si="110"/>
        <v>#N/A</v>
      </c>
      <c r="M1390" s="2" t="str">
        <f t="shared" si="111"/>
        <v>Below 0.8 not in assigned quadrant</v>
      </c>
      <c r="N1390" s="7">
        <v>14</v>
      </c>
      <c r="O1390" s="7">
        <v>-0.8</v>
      </c>
      <c r="P1390" s="7">
        <v>-1.9</v>
      </c>
      <c r="Q1390" s="7">
        <v>-0.57999999999999996</v>
      </c>
      <c r="R1390" s="7">
        <v>-0.2</v>
      </c>
      <c r="S1390" s="7">
        <v>-0.3</v>
      </c>
      <c r="T1390" s="7">
        <v>0.53</v>
      </c>
      <c r="U1390" s="7">
        <v>-0.18</v>
      </c>
      <c r="V1390" s="7">
        <v>0.8</v>
      </c>
      <c r="W1390" s="7" t="s">
        <v>13</v>
      </c>
      <c r="X1390" s="7" t="s">
        <v>15</v>
      </c>
      <c r="Y1390" s="2" t="s">
        <v>719</v>
      </c>
      <c r="Z1390" s="2" t="s">
        <v>721</v>
      </c>
    </row>
    <row r="1391" spans="1:26" x14ac:dyDescent="0.35">
      <c r="A1391" s="7" t="s">
        <v>1811</v>
      </c>
      <c r="B1391" s="7" t="s">
        <v>1438</v>
      </c>
      <c r="C1391" s="4" t="str">
        <f>_xlfn.XLOOKUP(A1391,[2]Sheet2!$I$2:$I$1273,[2]Sheet2!$D$2:$D$1273,0)</f>
        <v>Q2</v>
      </c>
      <c r="D1391" s="4">
        <f>_xlfn.XLOOKUP(B1391,[4]Sheet2!$B$2:$B$3154,[4]Sheet2!$F$2:$F$3154,0)</f>
        <v>0</v>
      </c>
      <c r="E1391" s="4" t="e">
        <f>_xlfn.XLOOKUP(B1391,[2]Sheet2!$E$2:$E$713,[2]Sheet2!$G$2:$G$713)</f>
        <v>#N/A</v>
      </c>
      <c r="F1391" s="18">
        <v>46148</v>
      </c>
      <c r="G1391" s="14">
        <v>0.71846064814814814</v>
      </c>
      <c r="H1391" s="7" t="s">
        <v>11</v>
      </c>
      <c r="I1391" s="2" t="str">
        <f t="shared" si="108"/>
        <v>Q3</v>
      </c>
      <c r="J1391" s="2" t="str">
        <f t="shared" si="112"/>
        <v>Not Match</v>
      </c>
      <c r="K1391" s="2">
        <f t="shared" si="109"/>
        <v>0.2102379604162864</v>
      </c>
      <c r="L1391" s="2" t="e">
        <f t="shared" si="110"/>
        <v>#N/A</v>
      </c>
      <c r="M1391" s="2" t="str">
        <f t="shared" si="111"/>
        <v>Below 0.8 not in assigned quadrant</v>
      </c>
      <c r="N1391" s="7">
        <v>28.55</v>
      </c>
      <c r="O1391" s="7">
        <v>11.22</v>
      </c>
      <c r="P1391" s="7">
        <v>-57.05</v>
      </c>
      <c r="Q1391" s="7">
        <v>-0.19</v>
      </c>
      <c r="R1391" s="7">
        <v>-0.19</v>
      </c>
      <c r="S1391" s="7">
        <v>-0.09</v>
      </c>
      <c r="T1391" s="7">
        <v>0.02</v>
      </c>
      <c r="U1391" s="7">
        <v>-0.13</v>
      </c>
      <c r="V1391" s="7">
        <v>0.23</v>
      </c>
      <c r="W1391" s="7" t="s">
        <v>8</v>
      </c>
      <c r="X1391" s="7" t="s">
        <v>15</v>
      </c>
      <c r="Y1391" s="2" t="s">
        <v>719</v>
      </c>
      <c r="Z1391" s="2" t="s">
        <v>721</v>
      </c>
    </row>
    <row r="1392" spans="1:26" x14ac:dyDescent="0.35">
      <c r="A1392" s="7" t="s">
        <v>1812</v>
      </c>
      <c r="B1392" s="7" t="s">
        <v>1439</v>
      </c>
      <c r="C1392" s="4">
        <f>_xlfn.XLOOKUP(A1392,[2]Sheet2!$I$2:$I$1273,[2]Sheet2!$D$2:$D$1273,0)</f>
        <v>0</v>
      </c>
      <c r="D1392" s="4">
        <f>_xlfn.XLOOKUP(B1392,[4]Sheet2!$B$2:$B$3154,[4]Sheet2!$F$2:$F$3154,0)</f>
        <v>0</v>
      </c>
      <c r="E1392" s="4" t="e">
        <f>_xlfn.XLOOKUP(B1392,[2]Sheet2!$E$2:$E$713,[2]Sheet2!$G$2:$G$713)</f>
        <v>#N/A</v>
      </c>
      <c r="F1392" s="18">
        <v>46148</v>
      </c>
      <c r="G1392" s="14">
        <v>0.74001157407407403</v>
      </c>
      <c r="H1392" s="7" t="s">
        <v>16</v>
      </c>
      <c r="I1392" s="2" t="str">
        <f t="shared" si="108"/>
        <v>Q1</v>
      </c>
      <c r="J1392" s="2" t="str">
        <f t="shared" si="112"/>
        <v>Not Found</v>
      </c>
      <c r="K1392" s="2">
        <f t="shared" si="109"/>
        <v>0.88119237400240813</v>
      </c>
      <c r="L1392" s="2" t="e">
        <f t="shared" si="110"/>
        <v>#N/A</v>
      </c>
      <c r="M1392" s="2" t="str">
        <f t="shared" si="111"/>
        <v>Assign quadrant hit</v>
      </c>
      <c r="N1392" s="7">
        <v>15.58</v>
      </c>
      <c r="O1392" s="7">
        <v>-0.63</v>
      </c>
      <c r="P1392" s="7">
        <v>-5.34</v>
      </c>
      <c r="Q1392" s="7">
        <v>-1.1000000000000001</v>
      </c>
      <c r="R1392" s="7">
        <v>0.14000000000000001</v>
      </c>
      <c r="S1392" s="7">
        <v>0.87</v>
      </c>
      <c r="T1392" s="7">
        <v>-0.88</v>
      </c>
      <c r="U1392" s="7">
        <v>0.05</v>
      </c>
      <c r="V1392" s="7">
        <v>1.4</v>
      </c>
      <c r="W1392" s="7" t="s">
        <v>6</v>
      </c>
      <c r="X1392" s="7" t="s">
        <v>9</v>
      </c>
      <c r="Y1392" s="2" t="s">
        <v>719</v>
      </c>
      <c r="Z1392" s="2" t="s">
        <v>721</v>
      </c>
    </row>
    <row r="1393" spans="1:26" x14ac:dyDescent="0.35">
      <c r="A1393" s="7" t="s">
        <v>1813</v>
      </c>
      <c r="B1393" s="7" t="s">
        <v>1440</v>
      </c>
      <c r="C1393" s="4">
        <f>_xlfn.XLOOKUP(A1393,[2]Sheet2!$I$2:$I$1273,[2]Sheet2!$D$2:$D$1273,0)</f>
        <v>0</v>
      </c>
      <c r="D1393" s="4">
        <f>_xlfn.XLOOKUP(B1393,[4]Sheet2!$B$2:$B$3154,[4]Sheet2!$F$2:$F$3154,0)</f>
        <v>0</v>
      </c>
      <c r="E1393" s="4" t="e">
        <f>_xlfn.XLOOKUP(B1393,[2]Sheet2!$E$2:$E$713,[2]Sheet2!$G$2:$G$713)</f>
        <v>#N/A</v>
      </c>
      <c r="F1393" s="18">
        <v>46148</v>
      </c>
      <c r="G1393" s="14">
        <v>0.74233796296296295</v>
      </c>
      <c r="H1393" s="7" t="s">
        <v>5</v>
      </c>
      <c r="I1393" s="2" t="str">
        <f t="shared" si="108"/>
        <v>Q4</v>
      </c>
      <c r="J1393" s="2" t="str">
        <f t="shared" si="112"/>
        <v>Not Found</v>
      </c>
      <c r="K1393" s="2">
        <f t="shared" si="109"/>
        <v>0.23600847442411893</v>
      </c>
      <c r="L1393" s="2" t="e">
        <f t="shared" si="110"/>
        <v>#N/A</v>
      </c>
      <c r="M1393" s="2" t="str">
        <f t="shared" si="111"/>
        <v>Assign quadrant hit</v>
      </c>
      <c r="N1393" s="7">
        <v>16.03</v>
      </c>
      <c r="O1393" s="7">
        <v>-0.47</v>
      </c>
      <c r="P1393" s="7">
        <v>-2.6</v>
      </c>
      <c r="Q1393" s="7">
        <v>-0.15</v>
      </c>
      <c r="R1393" s="7">
        <v>0.14000000000000001</v>
      </c>
      <c r="S1393" s="7">
        <v>-0.19</v>
      </c>
      <c r="T1393" s="7">
        <v>0.2</v>
      </c>
      <c r="U1393" s="7">
        <v>0.23</v>
      </c>
      <c r="V1393" s="7">
        <v>0.34</v>
      </c>
      <c r="W1393" s="7" t="s">
        <v>8</v>
      </c>
      <c r="X1393" s="7" t="s">
        <v>9</v>
      </c>
      <c r="Y1393" s="2" t="s">
        <v>719</v>
      </c>
      <c r="Z1393" s="2" t="s">
        <v>721</v>
      </c>
    </row>
    <row r="1394" spans="1:26" x14ac:dyDescent="0.35">
      <c r="A1394" s="7" t="s">
        <v>1781</v>
      </c>
      <c r="B1394" s="7" t="s">
        <v>1441</v>
      </c>
      <c r="C1394" s="4" t="str">
        <f>_xlfn.XLOOKUP(A1394,[2]Sheet2!$I$2:$I$1273,[2]Sheet2!$D$2:$D$1273,0)</f>
        <v>Q4</v>
      </c>
      <c r="D1394" s="4">
        <f>_xlfn.XLOOKUP(B1394,[4]Sheet2!$B$2:$B$3154,[4]Sheet2!$F$2:$F$3154,0)</f>
        <v>0</v>
      </c>
      <c r="E1394" s="4" t="e">
        <f>_xlfn.XLOOKUP(B1394,[2]Sheet2!$E$2:$E$713,[2]Sheet2!$G$2:$G$713)</f>
        <v>#N/A</v>
      </c>
      <c r="F1394" s="18">
        <v>46148</v>
      </c>
      <c r="G1394" s="14">
        <v>0.74410879629629634</v>
      </c>
      <c r="H1394" s="7" t="s">
        <v>4</v>
      </c>
      <c r="I1394" s="2" t="str">
        <f t="shared" si="108"/>
        <v>Q2</v>
      </c>
      <c r="J1394" s="2" t="str">
        <f t="shared" si="112"/>
        <v>Not Match</v>
      </c>
      <c r="K1394" s="2">
        <f t="shared" si="109"/>
        <v>0.42426406871192851</v>
      </c>
      <c r="L1394" s="2" t="e">
        <f t="shared" si="110"/>
        <v>#N/A</v>
      </c>
      <c r="M1394" s="2" t="str">
        <f t="shared" si="111"/>
        <v>Below 0.8 not in assigned quadrant</v>
      </c>
      <c r="N1394" s="7">
        <v>23.75</v>
      </c>
      <c r="O1394" s="7">
        <v>-0.41</v>
      </c>
      <c r="P1394" s="7">
        <v>-13.56</v>
      </c>
      <c r="Q1394" s="7">
        <v>-0.12</v>
      </c>
      <c r="R1394" s="7">
        <v>-0.3</v>
      </c>
      <c r="S1394" s="7">
        <v>0.3</v>
      </c>
      <c r="T1394" s="7">
        <v>-0.21</v>
      </c>
      <c r="U1394" s="7">
        <v>-0.35</v>
      </c>
      <c r="V1394" s="7">
        <v>0.43</v>
      </c>
      <c r="W1394" s="7" t="s">
        <v>8</v>
      </c>
      <c r="X1394" s="7" t="s">
        <v>15</v>
      </c>
      <c r="Y1394" s="2" t="s">
        <v>719</v>
      </c>
      <c r="Z1394" s="2" t="s">
        <v>721</v>
      </c>
    </row>
    <row r="1395" spans="1:26" x14ac:dyDescent="0.35">
      <c r="A1395" s="7" t="s">
        <v>1814</v>
      </c>
      <c r="B1395" s="7" t="s">
        <v>1442</v>
      </c>
      <c r="C1395" s="4" t="str">
        <f>_xlfn.XLOOKUP(A1395,[2]Sheet2!$I$2:$I$1273,[2]Sheet2!$D$2:$D$1273,0)</f>
        <v>Q1</v>
      </c>
      <c r="D1395" s="4">
        <f>_xlfn.XLOOKUP(B1395,[4]Sheet2!$B$2:$B$3154,[4]Sheet2!$F$2:$F$3154,0)</f>
        <v>0</v>
      </c>
      <c r="E1395" s="4" t="e">
        <f>_xlfn.XLOOKUP(B1395,[2]Sheet2!$E$2:$E$713,[2]Sheet2!$G$2:$G$713)</f>
        <v>#N/A</v>
      </c>
      <c r="F1395" s="18">
        <v>46148</v>
      </c>
      <c r="G1395" s="14">
        <v>0.74737268518518518</v>
      </c>
      <c r="H1395" s="7" t="s">
        <v>5</v>
      </c>
      <c r="I1395" s="2" t="str">
        <f t="shared" si="108"/>
        <v>Q2</v>
      </c>
      <c r="J1395" s="2" t="str">
        <f t="shared" si="112"/>
        <v>Not Match</v>
      </c>
      <c r="K1395" s="2">
        <f t="shared" si="109"/>
        <v>0.21213203435596423</v>
      </c>
      <c r="L1395" s="2" t="e">
        <f t="shared" si="110"/>
        <v>#N/A</v>
      </c>
      <c r="M1395" s="2" t="str">
        <f t="shared" si="111"/>
        <v>Below 0.8 not in assigned quadrant</v>
      </c>
      <c r="N1395" s="7">
        <v>13.74</v>
      </c>
      <c r="O1395" s="7">
        <v>-0.3</v>
      </c>
      <c r="P1395" s="7">
        <v>-2.84</v>
      </c>
      <c r="Q1395" s="7">
        <v>-0.32</v>
      </c>
      <c r="R1395" s="7">
        <v>-0.03</v>
      </c>
      <c r="S1395" s="7">
        <v>0.21</v>
      </c>
      <c r="T1395" s="7">
        <v>-0.25</v>
      </c>
      <c r="U1395" s="7">
        <v>-7.0000000000000007E-2</v>
      </c>
      <c r="V1395" s="7">
        <v>0.41</v>
      </c>
      <c r="W1395" s="7" t="s">
        <v>8</v>
      </c>
      <c r="X1395" s="7" t="s">
        <v>15</v>
      </c>
      <c r="Y1395" s="2" t="s">
        <v>719</v>
      </c>
      <c r="Z1395" s="2" t="s">
        <v>721</v>
      </c>
    </row>
    <row r="1396" spans="1:26" x14ac:dyDescent="0.35">
      <c r="A1396" s="7" t="s">
        <v>1593</v>
      </c>
      <c r="B1396" s="7" t="s">
        <v>1443</v>
      </c>
      <c r="C1396" s="4" t="str">
        <f>_xlfn.XLOOKUP(A1396,[2]Sheet2!$I$2:$I$1273,[2]Sheet2!$D$2:$D$1273,0)</f>
        <v>Q3</v>
      </c>
      <c r="D1396" s="4">
        <f>_xlfn.XLOOKUP(B1396,[4]Sheet2!$B$2:$B$3154,[4]Sheet2!$F$2:$F$3154,0)</f>
        <v>0</v>
      </c>
      <c r="E1396" s="4" t="e">
        <f>_xlfn.XLOOKUP(B1396,[2]Sheet2!$E$2:$E$713,[2]Sheet2!$G$2:$G$713)</f>
        <v>#N/A</v>
      </c>
      <c r="F1396" s="18">
        <v>46148</v>
      </c>
      <c r="G1396" s="14">
        <v>0.68072916666666672</v>
      </c>
      <c r="H1396" s="7" t="s">
        <v>5</v>
      </c>
      <c r="I1396" s="2" t="str">
        <f t="shared" si="108"/>
        <v>Q1</v>
      </c>
      <c r="J1396" s="2" t="str">
        <f t="shared" si="112"/>
        <v>Not Match</v>
      </c>
      <c r="K1396" s="2">
        <f t="shared" si="109"/>
        <v>0.56364882684167805</v>
      </c>
      <c r="L1396" s="2" t="e">
        <f t="shared" si="110"/>
        <v>#N/A</v>
      </c>
      <c r="M1396" s="2" t="str">
        <f t="shared" si="111"/>
        <v>Assign quadrant hit</v>
      </c>
      <c r="N1396" s="7">
        <v>23.16</v>
      </c>
      <c r="O1396" s="7">
        <v>3.49</v>
      </c>
      <c r="P1396" s="7">
        <v>2.89</v>
      </c>
      <c r="Q1396" s="7">
        <v>-0.73</v>
      </c>
      <c r="R1396" s="7">
        <v>0.24</v>
      </c>
      <c r="S1396" s="7">
        <v>0.51</v>
      </c>
      <c r="T1396" s="7">
        <v>0.56999999999999995</v>
      </c>
      <c r="U1396" s="7">
        <v>0.35</v>
      </c>
      <c r="V1396" s="7">
        <v>0.99</v>
      </c>
      <c r="W1396" s="7" t="s">
        <v>13</v>
      </c>
      <c r="X1396" s="7" t="s">
        <v>12</v>
      </c>
      <c r="Y1396" s="2" t="s">
        <v>719</v>
      </c>
      <c r="Z1396" s="2" t="s">
        <v>721</v>
      </c>
    </row>
    <row r="1397" spans="1:26" x14ac:dyDescent="0.35">
      <c r="A1397" s="7" t="s">
        <v>1787</v>
      </c>
      <c r="B1397" s="7" t="s">
        <v>1444</v>
      </c>
      <c r="C1397" s="4" t="str">
        <f>_xlfn.XLOOKUP(A1397,[2]Sheet2!$I$2:$I$1273,[2]Sheet2!$D$2:$D$1273,0)</f>
        <v>Q1</v>
      </c>
      <c r="D1397" s="4">
        <f>_xlfn.XLOOKUP(B1397,[4]Sheet2!$B$2:$B$3154,[4]Sheet2!$F$2:$F$3154,0)</f>
        <v>0</v>
      </c>
      <c r="E1397" s="4" t="e">
        <f>_xlfn.XLOOKUP(B1397,[2]Sheet2!$E$2:$E$713,[2]Sheet2!$G$2:$G$713)</f>
        <v>#N/A</v>
      </c>
      <c r="F1397" s="18">
        <v>46148</v>
      </c>
      <c r="G1397" s="14">
        <v>0.76287037037037042</v>
      </c>
      <c r="H1397" s="7" t="s">
        <v>4</v>
      </c>
      <c r="I1397" s="2" t="str">
        <f t="shared" si="108"/>
        <v>Q2</v>
      </c>
      <c r="J1397" s="2" t="str">
        <f t="shared" si="112"/>
        <v>Not Match</v>
      </c>
      <c r="K1397" s="2">
        <f t="shared" si="109"/>
        <v>5.385164807134505E-2</v>
      </c>
      <c r="L1397" s="2" t="e">
        <f t="shared" si="110"/>
        <v>#N/A</v>
      </c>
      <c r="M1397" s="2" t="str">
        <f t="shared" si="111"/>
        <v>Below 0.8 not in assigned quadrant</v>
      </c>
      <c r="N1397" s="7">
        <v>38.57</v>
      </c>
      <c r="O1397" s="7">
        <v>-9.3000000000000007</v>
      </c>
      <c r="P1397" s="7">
        <v>-17.75</v>
      </c>
      <c r="Q1397" s="7">
        <v>-0.02</v>
      </c>
      <c r="R1397" s="7">
        <v>-0.02</v>
      </c>
      <c r="S1397" s="7">
        <v>0.05</v>
      </c>
      <c r="T1397" s="7">
        <v>-0.02</v>
      </c>
      <c r="U1397" s="7">
        <v>-0.03</v>
      </c>
      <c r="V1397" s="7">
        <v>0.05</v>
      </c>
      <c r="W1397" s="7" t="s">
        <v>8</v>
      </c>
      <c r="X1397" s="7" t="s">
        <v>15</v>
      </c>
      <c r="Y1397" s="2" t="s">
        <v>719</v>
      </c>
      <c r="Z1397" s="2" t="s">
        <v>721</v>
      </c>
    </row>
    <row r="1398" spans="1:26" x14ac:dyDescent="0.35">
      <c r="A1398" s="7" t="s">
        <v>1552</v>
      </c>
      <c r="B1398" s="7" t="s">
        <v>1445</v>
      </c>
      <c r="C1398" s="4" t="str">
        <f>_xlfn.XLOOKUP(A1398,[2]Sheet2!$I$2:$I$1273,[2]Sheet2!$D$2:$D$1273,0)</f>
        <v>Q1</v>
      </c>
      <c r="D1398" s="4">
        <f>_xlfn.XLOOKUP(B1398,[4]Sheet2!$B$2:$B$3154,[4]Sheet2!$F$2:$F$3154,0)</f>
        <v>0</v>
      </c>
      <c r="E1398" s="4" t="e">
        <f>_xlfn.XLOOKUP(B1398,[2]Sheet2!$E$2:$E$713,[2]Sheet2!$G$2:$G$713)</f>
        <v>#N/A</v>
      </c>
      <c r="F1398" s="18">
        <v>46148</v>
      </c>
      <c r="G1398" s="14">
        <v>0.76548611111111109</v>
      </c>
      <c r="H1398" s="7" t="s">
        <v>5</v>
      </c>
      <c r="I1398" s="2" t="str">
        <f t="shared" ref="I1398:I1457" si="113">IF(AND(R1398=0,S1398=0),IF(C1398="","Origin",C1398),
IF(AND(R1398&gt;0,S1398=0),"Q4",
IF(AND(R1398&lt;0,S1398=0),"Q3",
IF(AND(R1398&gt;=0,S1398&lt;0),"Q4",
IF(AND(R1398&gt;=0,S1398&gt;0),"Q1",
IF(AND(R1398&lt;0,S1398&lt;=0),"Q3",
IF(AND(R1398&lt;0,S1398&gt;0),"Q2",
"")))))))</f>
        <v>Q1</v>
      </c>
      <c r="J1398" s="2" t="str">
        <f t="shared" si="112"/>
        <v>Match</v>
      </c>
      <c r="K1398" s="2">
        <f t="shared" si="109"/>
        <v>0.20591260281974</v>
      </c>
      <c r="L1398" s="2" t="e">
        <f t="shared" si="110"/>
        <v>#N/A</v>
      </c>
      <c r="M1398" s="2" t="str">
        <f t="shared" si="111"/>
        <v>Failed but within quadrant</v>
      </c>
      <c r="N1398" s="7">
        <v>13.78</v>
      </c>
      <c r="O1398" s="7">
        <v>-1.05</v>
      </c>
      <c r="P1398" s="7">
        <v>-1.88</v>
      </c>
      <c r="Q1398" s="7">
        <v>-1.29</v>
      </c>
      <c r="R1398" s="7">
        <v>0.1</v>
      </c>
      <c r="S1398" s="7">
        <v>0.18</v>
      </c>
      <c r="T1398" s="7">
        <v>-0.27</v>
      </c>
      <c r="U1398" s="7">
        <v>0</v>
      </c>
      <c r="V1398" s="7">
        <v>1.32</v>
      </c>
      <c r="W1398" s="7" t="s">
        <v>6</v>
      </c>
      <c r="X1398" s="7" t="s">
        <v>9</v>
      </c>
      <c r="Y1398" s="2" t="s">
        <v>719</v>
      </c>
      <c r="Z1398" s="2" t="s">
        <v>721</v>
      </c>
    </row>
    <row r="1399" spans="1:26" x14ac:dyDescent="0.35">
      <c r="A1399" s="7" t="s">
        <v>1815</v>
      </c>
      <c r="B1399" s="7" t="s">
        <v>1446</v>
      </c>
      <c r="C1399" s="4" t="str">
        <f>_xlfn.XLOOKUP(A1399,[2]Sheet2!$I$2:$I$1273,[2]Sheet2!$D$2:$D$1273,0)</f>
        <v>Q4</v>
      </c>
      <c r="D1399" s="4">
        <f>_xlfn.XLOOKUP(B1399,[4]Sheet2!$B$2:$B$3154,[4]Sheet2!$F$2:$F$3154,0)</f>
        <v>0</v>
      </c>
      <c r="E1399" s="4" t="e">
        <f>_xlfn.XLOOKUP(B1399,[2]Sheet2!$E$2:$E$713,[2]Sheet2!$G$2:$G$713)</f>
        <v>#N/A</v>
      </c>
      <c r="F1399" s="18">
        <v>46148</v>
      </c>
      <c r="G1399" s="14">
        <v>0.76890046296296299</v>
      </c>
      <c r="H1399" s="7" t="s">
        <v>11</v>
      </c>
      <c r="I1399" s="2" t="str">
        <f t="shared" si="113"/>
        <v>Q1</v>
      </c>
      <c r="J1399" s="2" t="str">
        <f t="shared" si="112"/>
        <v>Not Match</v>
      </c>
      <c r="K1399" s="2">
        <f t="shared" si="109"/>
        <v>0.25495097567963926</v>
      </c>
      <c r="L1399" s="2" t="e">
        <f t="shared" si="110"/>
        <v>#N/A</v>
      </c>
      <c r="M1399" s="2" t="str">
        <f t="shared" si="111"/>
        <v>Below 0.8 not in assigned quadrant</v>
      </c>
      <c r="N1399" s="7">
        <v>24.39</v>
      </c>
      <c r="O1399" s="7">
        <v>4.46</v>
      </c>
      <c r="P1399" s="7">
        <v>-38.729999999999997</v>
      </c>
      <c r="Q1399" s="7">
        <v>-0.32</v>
      </c>
      <c r="R1399" s="7">
        <v>0.25</v>
      </c>
      <c r="S1399" s="7">
        <v>0.05</v>
      </c>
      <c r="T1399" s="7">
        <v>-0.01</v>
      </c>
      <c r="U1399" s="7">
        <v>0.19</v>
      </c>
      <c r="V1399" s="7">
        <v>0.37</v>
      </c>
      <c r="W1399" s="7" t="s">
        <v>8</v>
      </c>
      <c r="X1399" s="7" t="s">
        <v>9</v>
      </c>
      <c r="Y1399" s="2" t="s">
        <v>719</v>
      </c>
      <c r="Z1399" s="2" t="s">
        <v>721</v>
      </c>
    </row>
    <row r="1400" spans="1:26" x14ac:dyDescent="0.35">
      <c r="A1400" s="7" t="s">
        <v>1626</v>
      </c>
      <c r="B1400" s="7" t="s">
        <v>1447</v>
      </c>
      <c r="C1400" s="4" t="str">
        <f>_xlfn.XLOOKUP(A1400,[2]Sheet2!$I$2:$I$1273,[2]Sheet2!$D$2:$D$1273,0)</f>
        <v>Q4</v>
      </c>
      <c r="D1400" s="4">
        <f>_xlfn.XLOOKUP(B1400,[4]Sheet2!$B$2:$B$3154,[4]Sheet2!$F$2:$F$3154,0)</f>
        <v>0</v>
      </c>
      <c r="E1400" s="4" t="e">
        <f>_xlfn.XLOOKUP(B1400,[2]Sheet2!$E$2:$E$713,[2]Sheet2!$G$2:$G$713)</f>
        <v>#N/A</v>
      </c>
      <c r="F1400" s="18">
        <v>46148</v>
      </c>
      <c r="G1400" s="14">
        <v>0.77124999999999999</v>
      </c>
      <c r="H1400" s="7" t="s">
        <v>11</v>
      </c>
      <c r="I1400" s="2" t="str">
        <f t="shared" si="113"/>
        <v>Q1</v>
      </c>
      <c r="J1400" s="2" t="str">
        <f t="shared" si="112"/>
        <v>Not Match</v>
      </c>
      <c r="K1400" s="2">
        <f t="shared" si="109"/>
        <v>9.2195444572928872E-2</v>
      </c>
      <c r="L1400" s="2" t="e">
        <f t="shared" si="110"/>
        <v>#N/A</v>
      </c>
      <c r="M1400" s="2" t="str">
        <f t="shared" si="111"/>
        <v>Below 0.8 not in assigned quadrant</v>
      </c>
      <c r="N1400" s="7">
        <v>16.38</v>
      </c>
      <c r="O1400" s="7">
        <v>-0.24</v>
      </c>
      <c r="P1400" s="7">
        <v>-2.16</v>
      </c>
      <c r="Q1400" s="7">
        <v>0.31</v>
      </c>
      <c r="R1400" s="7">
        <v>0.06</v>
      </c>
      <c r="S1400" s="7">
        <v>7.0000000000000007E-2</v>
      </c>
      <c r="T1400" s="7">
        <v>-0.09</v>
      </c>
      <c r="U1400" s="7">
        <v>7.0000000000000007E-2</v>
      </c>
      <c r="V1400" s="7">
        <v>0.33</v>
      </c>
      <c r="W1400" s="7" t="s">
        <v>8</v>
      </c>
      <c r="X1400" s="7" t="s">
        <v>9</v>
      </c>
      <c r="Y1400" s="2" t="s">
        <v>719</v>
      </c>
      <c r="Z1400" s="2" t="s">
        <v>721</v>
      </c>
    </row>
    <row r="1401" spans="1:26" x14ac:dyDescent="0.35">
      <c r="A1401" s="7" t="s">
        <v>1816</v>
      </c>
      <c r="B1401" s="7" t="s">
        <v>1340</v>
      </c>
      <c r="C1401" s="4" t="str">
        <f>_xlfn.XLOOKUP(A1401,[2]Sheet2!$I$2:$I$1273,[2]Sheet2!$D$2:$D$1273,0)</f>
        <v>Q1</v>
      </c>
      <c r="D1401" s="4">
        <f>_xlfn.XLOOKUP(B1401,[4]Sheet2!$B$2:$B$3154,[4]Sheet2!$F$2:$F$3154,0)</f>
        <v>0</v>
      </c>
      <c r="E1401" s="4" t="e">
        <f>_xlfn.XLOOKUP(B1401,[2]Sheet2!$E$2:$E$713,[2]Sheet2!$G$2:$G$713)</f>
        <v>#N/A</v>
      </c>
      <c r="F1401" s="18">
        <v>46148</v>
      </c>
      <c r="G1401" s="14">
        <v>0.77461805555555552</v>
      </c>
      <c r="H1401" s="7" t="s">
        <v>11</v>
      </c>
      <c r="I1401" s="2" t="str">
        <f t="shared" si="113"/>
        <v>Q2</v>
      </c>
      <c r="J1401" s="2" t="str">
        <f t="shared" si="112"/>
        <v>Not Match</v>
      </c>
      <c r="K1401" s="2">
        <f t="shared" si="109"/>
        <v>0.86769810418140247</v>
      </c>
      <c r="L1401" s="2" t="e">
        <f t="shared" si="110"/>
        <v>#N/A</v>
      </c>
      <c r="M1401" s="2" t="str">
        <f t="shared" si="111"/>
        <v>Below 0.8 not in assigned quadrant</v>
      </c>
      <c r="N1401" s="7">
        <v>19.11</v>
      </c>
      <c r="O1401" s="7">
        <v>13.32</v>
      </c>
      <c r="P1401" s="7">
        <v>-12.49</v>
      </c>
      <c r="Q1401" s="7">
        <v>0.17</v>
      </c>
      <c r="R1401" s="7">
        <v>-0.77</v>
      </c>
      <c r="S1401" s="7">
        <v>0.4</v>
      </c>
      <c r="T1401" s="7">
        <v>-0.52</v>
      </c>
      <c r="U1401" s="7">
        <v>-0.2</v>
      </c>
      <c r="V1401" s="7">
        <v>0.57999999999999996</v>
      </c>
      <c r="W1401" s="7" t="s">
        <v>8</v>
      </c>
      <c r="X1401" s="7" t="s">
        <v>7</v>
      </c>
      <c r="Y1401" s="2" t="s">
        <v>719</v>
      </c>
      <c r="Z1401" s="2" t="s">
        <v>721</v>
      </c>
    </row>
    <row r="1402" spans="1:26" x14ac:dyDescent="0.35">
      <c r="A1402" s="7" t="s">
        <v>1540</v>
      </c>
      <c r="B1402" s="7" t="s">
        <v>1448</v>
      </c>
      <c r="C1402" s="4" t="str">
        <f>_xlfn.XLOOKUP(A1402,[2]Sheet2!$I$2:$I$1273,[2]Sheet2!$D$2:$D$1273,0)</f>
        <v>Q3</v>
      </c>
      <c r="D1402" s="4">
        <f>_xlfn.XLOOKUP(B1402,[4]Sheet2!$B$2:$B$3154,[4]Sheet2!$F$2:$F$3154,0)</f>
        <v>0</v>
      </c>
      <c r="E1402" s="4" t="e">
        <f>_xlfn.XLOOKUP(B1402,[2]Sheet2!$E$2:$E$713,[2]Sheet2!$G$2:$G$713)</f>
        <v>#N/A</v>
      </c>
      <c r="F1402" s="18">
        <v>46148</v>
      </c>
      <c r="G1402" s="14">
        <v>0.78517361111111106</v>
      </c>
      <c r="H1402" s="7" t="s">
        <v>11</v>
      </c>
      <c r="I1402" s="2" t="str">
        <f t="shared" si="113"/>
        <v>Q1</v>
      </c>
      <c r="J1402" s="2" t="str">
        <f t="shared" si="112"/>
        <v>Not Match</v>
      </c>
      <c r="K1402" s="2">
        <f t="shared" si="109"/>
        <v>0.16552945357246848</v>
      </c>
      <c r="L1402" s="2" t="e">
        <f t="shared" si="110"/>
        <v>#N/A</v>
      </c>
      <c r="M1402" s="2" t="str">
        <f t="shared" si="111"/>
        <v>Below 0.8 not in assigned quadrant</v>
      </c>
      <c r="N1402" s="7">
        <v>14</v>
      </c>
      <c r="O1402" s="7">
        <v>-0.46</v>
      </c>
      <c r="P1402" s="7">
        <v>-1.61</v>
      </c>
      <c r="Q1402" s="7">
        <v>-0.23</v>
      </c>
      <c r="R1402" s="7">
        <v>7.0000000000000007E-2</v>
      </c>
      <c r="S1402" s="7">
        <v>0.15</v>
      </c>
      <c r="T1402" s="7">
        <v>-0.21</v>
      </c>
      <c r="U1402" s="7">
        <v>0.04</v>
      </c>
      <c r="V1402" s="7">
        <v>0.32</v>
      </c>
      <c r="W1402" s="7" t="s">
        <v>8</v>
      </c>
      <c r="X1402" s="7" t="s">
        <v>9</v>
      </c>
      <c r="Y1402" s="2" t="s">
        <v>719</v>
      </c>
      <c r="Z1402" s="2" t="s">
        <v>721</v>
      </c>
    </row>
    <row r="1403" spans="1:26" x14ac:dyDescent="0.35">
      <c r="A1403" s="7" t="s">
        <v>1812</v>
      </c>
      <c r="B1403" s="7" t="s">
        <v>1449</v>
      </c>
      <c r="C1403" s="4">
        <f>_xlfn.XLOOKUP(A1403,[2]Sheet2!$I$2:$I$1273,[2]Sheet2!$D$2:$D$1273,0)</f>
        <v>0</v>
      </c>
      <c r="D1403" s="4">
        <f>_xlfn.XLOOKUP(B1403,[4]Sheet2!$B$2:$B$3154,[4]Sheet2!$F$2:$F$3154,0)</f>
        <v>0</v>
      </c>
      <c r="E1403" s="4" t="e">
        <f>_xlfn.XLOOKUP(B1403,[2]Sheet2!$E$2:$E$713,[2]Sheet2!$G$2:$G$713)</f>
        <v>#N/A</v>
      </c>
      <c r="F1403" s="18">
        <v>46148</v>
      </c>
      <c r="G1403" s="14">
        <v>0.78863425925925923</v>
      </c>
      <c r="H1403" s="7" t="s">
        <v>16</v>
      </c>
      <c r="I1403" s="2" t="str">
        <f t="shared" si="113"/>
        <v>Q3</v>
      </c>
      <c r="J1403" s="2" t="str">
        <f t="shared" si="112"/>
        <v>Not Found</v>
      </c>
      <c r="K1403" s="2">
        <f t="shared" si="109"/>
        <v>0.47759815745038214</v>
      </c>
      <c r="L1403" s="2" t="e">
        <f t="shared" si="110"/>
        <v>#N/A</v>
      </c>
      <c r="M1403" s="2" t="str">
        <f t="shared" si="111"/>
        <v>Assign quadrant hit</v>
      </c>
      <c r="N1403" s="7">
        <v>16.2</v>
      </c>
      <c r="O1403" s="7">
        <v>-0.94</v>
      </c>
      <c r="P1403" s="7">
        <v>-6.65</v>
      </c>
      <c r="Q1403" s="7">
        <v>-0.5</v>
      </c>
      <c r="R1403" s="7">
        <v>-0.16</v>
      </c>
      <c r="S1403" s="7">
        <v>-0.45</v>
      </c>
      <c r="T1403" s="7">
        <v>0.46</v>
      </c>
      <c r="U1403" s="7">
        <v>-0.13</v>
      </c>
      <c r="V1403" s="7">
        <v>0.7</v>
      </c>
      <c r="W1403" s="7" t="s">
        <v>8</v>
      </c>
      <c r="X1403" s="7" t="s">
        <v>15</v>
      </c>
      <c r="Y1403" s="2" t="s">
        <v>719</v>
      </c>
      <c r="Z1403" s="2" t="s">
        <v>721</v>
      </c>
    </row>
    <row r="1404" spans="1:26" x14ac:dyDescent="0.35">
      <c r="A1404" s="7" t="s">
        <v>1515</v>
      </c>
      <c r="B1404" s="7" t="s">
        <v>1450</v>
      </c>
      <c r="C1404" s="4" t="str">
        <f>_xlfn.XLOOKUP(A1404,[2]Sheet2!$I$2:$I$1273,[2]Sheet2!$D$2:$D$1273,0)</f>
        <v>Q3</v>
      </c>
      <c r="D1404" s="4">
        <f>_xlfn.XLOOKUP(B1404,[4]Sheet2!$B$2:$B$3154,[4]Sheet2!$F$2:$F$3154,0)</f>
        <v>0</v>
      </c>
      <c r="E1404" s="4" t="e">
        <f>_xlfn.XLOOKUP(B1404,[2]Sheet2!$E$2:$E$713,[2]Sheet2!$G$2:$G$713)</f>
        <v>#N/A</v>
      </c>
      <c r="F1404" s="18">
        <v>46149</v>
      </c>
      <c r="G1404" s="14">
        <v>0.59199074074074076</v>
      </c>
      <c r="H1404" s="7" t="s">
        <v>11</v>
      </c>
      <c r="I1404" s="2" t="str">
        <f t="shared" si="113"/>
        <v>Q3</v>
      </c>
      <c r="J1404" s="2" t="str">
        <f t="shared" si="112"/>
        <v>Match</v>
      </c>
      <c r="K1404" s="2">
        <f t="shared" si="109"/>
        <v>0.44598206241955518</v>
      </c>
      <c r="L1404" s="2" t="e">
        <f t="shared" si="110"/>
        <v>#N/A</v>
      </c>
      <c r="M1404" s="2" t="str">
        <f t="shared" si="111"/>
        <v>Failed but within quadrant</v>
      </c>
      <c r="N1404" s="7">
        <v>13.27</v>
      </c>
      <c r="O1404" s="7">
        <v>-0.59</v>
      </c>
      <c r="P1404" s="7">
        <v>-2.48</v>
      </c>
      <c r="Q1404" s="7">
        <v>-1.56</v>
      </c>
      <c r="R1404" s="7">
        <v>-0.3</v>
      </c>
      <c r="S1404" s="7">
        <v>-0.33</v>
      </c>
      <c r="T1404" s="7">
        <v>0.5</v>
      </c>
      <c r="U1404" s="7">
        <v>-0.32</v>
      </c>
      <c r="V1404" s="7">
        <v>1.67</v>
      </c>
      <c r="W1404" s="7" t="s">
        <v>6</v>
      </c>
      <c r="X1404" s="7" t="s">
        <v>15</v>
      </c>
      <c r="Y1404" s="2" t="s">
        <v>719</v>
      </c>
      <c r="Z1404" s="2" t="s">
        <v>721</v>
      </c>
    </row>
    <row r="1405" spans="1:26" x14ac:dyDescent="0.35">
      <c r="A1405" s="7" t="s">
        <v>1628</v>
      </c>
      <c r="B1405" s="7" t="s">
        <v>1451</v>
      </c>
      <c r="C1405" s="4" t="str">
        <f>_xlfn.XLOOKUP(A1405,[2]Sheet2!$I$2:$I$1273,[2]Sheet2!$D$2:$D$1273,0)</f>
        <v>Q4</v>
      </c>
      <c r="D1405" s="4">
        <f>_xlfn.XLOOKUP(B1405,[4]Sheet2!$B$2:$B$3154,[4]Sheet2!$F$2:$F$3154,0)</f>
        <v>0</v>
      </c>
      <c r="E1405" s="4" t="e">
        <f>_xlfn.XLOOKUP(B1405,[2]Sheet2!$E$2:$E$713,[2]Sheet2!$G$2:$G$713)</f>
        <v>#N/A</v>
      </c>
      <c r="F1405" s="18">
        <v>46149</v>
      </c>
      <c r="G1405" s="14">
        <v>0.69745370370370374</v>
      </c>
      <c r="H1405" s="7" t="s">
        <v>5</v>
      </c>
      <c r="I1405" s="2" t="str">
        <f t="shared" si="113"/>
        <v>Q1</v>
      </c>
      <c r="J1405" s="2" t="str">
        <f t="shared" si="112"/>
        <v>Not Match</v>
      </c>
      <c r="K1405" s="2">
        <f t="shared" si="109"/>
        <v>0.14764823060233401</v>
      </c>
      <c r="L1405" s="2" t="e">
        <f t="shared" si="110"/>
        <v>#N/A</v>
      </c>
      <c r="M1405" s="2" t="str">
        <f t="shared" si="111"/>
        <v>Assign quadrant hit</v>
      </c>
      <c r="N1405" s="7">
        <v>16.829999999999998</v>
      </c>
      <c r="O1405" s="7">
        <v>-0.27</v>
      </c>
      <c r="P1405" s="7">
        <v>-2.73</v>
      </c>
      <c r="Q1405" s="7">
        <v>-1.1399999999999999</v>
      </c>
      <c r="R1405" s="7">
        <v>7.0000000000000007E-2</v>
      </c>
      <c r="S1405" s="7">
        <v>0.13</v>
      </c>
      <c r="T1405" s="7">
        <v>-0.17</v>
      </c>
      <c r="U1405" s="7">
        <v>7.0000000000000007E-2</v>
      </c>
      <c r="V1405" s="7">
        <v>1.1599999999999999</v>
      </c>
      <c r="W1405" s="7" t="s">
        <v>6</v>
      </c>
      <c r="X1405" s="7" t="s">
        <v>9</v>
      </c>
      <c r="Y1405" s="2" t="s">
        <v>719</v>
      </c>
      <c r="Z1405" s="2" t="s">
        <v>721</v>
      </c>
    </row>
    <row r="1406" spans="1:26" x14ac:dyDescent="0.35">
      <c r="A1406" s="7" t="s">
        <v>1722</v>
      </c>
      <c r="B1406" s="7" t="s">
        <v>1452</v>
      </c>
      <c r="C1406" s="4" t="str">
        <f>_xlfn.XLOOKUP(A1406,[2]Sheet2!$I$2:$I$1273,[2]Sheet2!$D$2:$D$1273,0)</f>
        <v>Q4</v>
      </c>
      <c r="D1406" s="4">
        <f>_xlfn.XLOOKUP(B1406,[4]Sheet2!$B$2:$B$3154,[4]Sheet2!$F$2:$F$3154,0)</f>
        <v>0</v>
      </c>
      <c r="E1406" s="4" t="e">
        <f>_xlfn.XLOOKUP(B1406,[2]Sheet2!$E$2:$E$713,[2]Sheet2!$G$2:$G$713)</f>
        <v>#N/A</v>
      </c>
      <c r="F1406" s="18">
        <v>46149</v>
      </c>
      <c r="G1406" s="14">
        <v>0.70151620370370371</v>
      </c>
      <c r="H1406" s="7" t="s">
        <v>4</v>
      </c>
      <c r="I1406" s="2" t="str">
        <f t="shared" si="113"/>
        <v>Q1</v>
      </c>
      <c r="J1406" s="2" t="str">
        <f t="shared" si="112"/>
        <v>Not Match</v>
      </c>
      <c r="K1406" s="2">
        <f t="shared" si="109"/>
        <v>0.88119237400240813</v>
      </c>
      <c r="L1406" s="2" t="e">
        <f t="shared" si="110"/>
        <v>#N/A</v>
      </c>
      <c r="M1406" s="2" t="str">
        <f t="shared" si="111"/>
        <v>Below 0.8 not in assigned quadrant</v>
      </c>
      <c r="N1406" s="7">
        <v>40.69</v>
      </c>
      <c r="O1406" s="7">
        <v>54.93</v>
      </c>
      <c r="P1406" s="7">
        <v>26.62</v>
      </c>
      <c r="Q1406" s="7">
        <v>-0.57999999999999996</v>
      </c>
      <c r="R1406" s="7">
        <v>0.41</v>
      </c>
      <c r="S1406" s="7">
        <v>0.78</v>
      </c>
      <c r="T1406" s="7">
        <v>0.25</v>
      </c>
      <c r="U1406" s="7">
        <v>0.34</v>
      </c>
      <c r="V1406" s="7">
        <v>0.71</v>
      </c>
      <c r="W1406" s="7" t="s">
        <v>8</v>
      </c>
      <c r="X1406" s="7" t="s">
        <v>12</v>
      </c>
      <c r="Y1406" s="2" t="s">
        <v>719</v>
      </c>
      <c r="Z1406" s="2" t="s">
        <v>721</v>
      </c>
    </row>
    <row r="1407" spans="1:26" x14ac:dyDescent="0.35">
      <c r="A1407" s="7" t="s">
        <v>1625</v>
      </c>
      <c r="B1407" s="7" t="s">
        <v>1453</v>
      </c>
      <c r="C1407" s="4" t="str">
        <f>_xlfn.XLOOKUP(A1407,[2]Sheet2!$I$2:$I$1273,[2]Sheet2!$D$2:$D$1273,0)</f>
        <v>Q1</v>
      </c>
      <c r="D1407" s="4">
        <f>_xlfn.XLOOKUP(B1407,[4]Sheet2!$B$2:$B$3154,[4]Sheet2!$F$2:$F$3154,0)</f>
        <v>0</v>
      </c>
      <c r="E1407" s="4" t="e">
        <f>_xlfn.XLOOKUP(B1407,[2]Sheet2!$E$2:$E$713,[2]Sheet2!$G$2:$G$713)</f>
        <v>#N/A</v>
      </c>
      <c r="F1407" s="18">
        <v>46149</v>
      </c>
      <c r="G1407" s="14">
        <v>0.70407407407407407</v>
      </c>
      <c r="H1407" s="7" t="s">
        <v>4</v>
      </c>
      <c r="I1407" s="2" t="str">
        <f t="shared" si="113"/>
        <v>Q3</v>
      </c>
      <c r="J1407" s="2" t="str">
        <f t="shared" si="112"/>
        <v>Not Match</v>
      </c>
      <c r="K1407" s="2">
        <f t="shared" si="109"/>
        <v>8.2462112512353219E-2</v>
      </c>
      <c r="L1407" s="2" t="e">
        <f t="shared" si="110"/>
        <v>#N/A</v>
      </c>
      <c r="M1407" s="2" t="str">
        <f t="shared" si="111"/>
        <v>Below 0.8 not in assigned quadrant</v>
      </c>
      <c r="N1407" s="7">
        <v>21.77</v>
      </c>
      <c r="O1407" s="7">
        <v>0.01</v>
      </c>
      <c r="P1407" s="7">
        <v>-2.9</v>
      </c>
      <c r="Q1407" s="7">
        <v>0.71</v>
      </c>
      <c r="R1407" s="7">
        <v>-0.02</v>
      </c>
      <c r="S1407" s="7">
        <v>-0.08</v>
      </c>
      <c r="T1407" s="7">
        <v>0.09</v>
      </c>
      <c r="U1407" s="7">
        <v>-0.03</v>
      </c>
      <c r="V1407" s="7">
        <v>0.72</v>
      </c>
      <c r="W1407" s="7" t="s">
        <v>8</v>
      </c>
      <c r="X1407" s="7" t="s">
        <v>15</v>
      </c>
      <c r="Y1407" s="2" t="s">
        <v>719</v>
      </c>
      <c r="Z1407" s="2" t="s">
        <v>721</v>
      </c>
    </row>
    <row r="1408" spans="1:26" x14ac:dyDescent="0.35">
      <c r="A1408" s="7" t="s">
        <v>1558</v>
      </c>
      <c r="B1408" s="7" t="s">
        <v>1454</v>
      </c>
      <c r="C1408" s="4" t="str">
        <f>_xlfn.XLOOKUP(A1408,[2]Sheet2!$I$2:$I$1273,[2]Sheet2!$D$2:$D$1273,0)</f>
        <v>Q3</v>
      </c>
      <c r="D1408" s="4">
        <f>_xlfn.XLOOKUP(B1408,[4]Sheet2!$B$2:$B$3154,[4]Sheet2!$F$2:$F$3154,0)</f>
        <v>0</v>
      </c>
      <c r="E1408" s="4" t="e">
        <f>_xlfn.XLOOKUP(B1408,[2]Sheet2!$E$2:$E$713,[2]Sheet2!$G$2:$G$713)</f>
        <v>#N/A</v>
      </c>
      <c r="F1408" s="18">
        <v>46149</v>
      </c>
      <c r="G1408" s="14">
        <v>0.76135416666666667</v>
      </c>
      <c r="H1408" s="7" t="s">
        <v>16</v>
      </c>
      <c r="I1408" s="2" t="str">
        <f t="shared" si="113"/>
        <v>Q3</v>
      </c>
      <c r="J1408" s="2" t="str">
        <f t="shared" si="112"/>
        <v>Match</v>
      </c>
      <c r="K1408" s="2">
        <f t="shared" ref="K1408:K1457" si="114">SQRT(R1408^2+S1408^2)</f>
        <v>0.41629316592997295</v>
      </c>
      <c r="L1408" s="2" t="e">
        <f t="shared" ref="L1408:L1457" si="115">IF(K1408&lt;=E1408,"Within Range","Over Range")</f>
        <v>#N/A</v>
      </c>
      <c r="M1408" s="2" t="str">
        <f t="shared" ref="M1408:M1457" si="116">IF(AND(J1408="Match",V1408&lt;=0.8),"Digital Approve Hit",
IF(AND(J1408="Match",V1408&gt;0.8),"Failed but within quadrant",
IF(AND(J1408="Not Match",V1408&lt;=0.8),"Below 0.8 not in assigned quadrant",
"Assign quadrant hit")))</f>
        <v>Digital Approve Hit</v>
      </c>
      <c r="N1408" s="7">
        <v>14.93</v>
      </c>
      <c r="O1408" s="7">
        <v>-0.46</v>
      </c>
      <c r="P1408" s="7">
        <v>-2.15</v>
      </c>
      <c r="Q1408" s="7">
        <v>-0.34</v>
      </c>
      <c r="R1408" s="7">
        <v>-0.17</v>
      </c>
      <c r="S1408" s="7">
        <v>-0.38</v>
      </c>
      <c r="T1408" s="7">
        <v>0.54</v>
      </c>
      <c r="U1408" s="7">
        <v>-0.12</v>
      </c>
      <c r="V1408" s="7">
        <v>0.65</v>
      </c>
      <c r="W1408" s="7" t="s">
        <v>8</v>
      </c>
      <c r="X1408" s="7" t="s">
        <v>15</v>
      </c>
      <c r="Y1408" s="2" t="s">
        <v>719</v>
      </c>
      <c r="Z1408" s="2" t="s">
        <v>721</v>
      </c>
    </row>
    <row r="1409" spans="1:26" x14ac:dyDescent="0.35">
      <c r="A1409" s="7" t="s">
        <v>1540</v>
      </c>
      <c r="B1409" s="7" t="s">
        <v>1455</v>
      </c>
      <c r="C1409" s="4" t="str">
        <f>_xlfn.XLOOKUP(A1409,[2]Sheet2!$I$2:$I$1273,[2]Sheet2!$D$2:$D$1273,0)</f>
        <v>Q3</v>
      </c>
      <c r="D1409" s="4">
        <f>_xlfn.XLOOKUP(B1409,[4]Sheet2!$B$2:$B$3154,[4]Sheet2!$F$2:$F$3154,0)</f>
        <v>0</v>
      </c>
      <c r="E1409" s="4" t="e">
        <f>_xlfn.XLOOKUP(B1409,[2]Sheet2!$E$2:$E$713,[2]Sheet2!$G$2:$G$713)</f>
        <v>#N/A</v>
      </c>
      <c r="F1409" s="18">
        <v>46149</v>
      </c>
      <c r="G1409" s="14">
        <v>0.76380787037037035</v>
      </c>
      <c r="H1409" s="7" t="s">
        <v>11</v>
      </c>
      <c r="I1409" s="2" t="str">
        <f t="shared" si="113"/>
        <v>Q1</v>
      </c>
      <c r="J1409" s="2" t="str">
        <f t="shared" si="112"/>
        <v>Not Match</v>
      </c>
      <c r="K1409" s="2">
        <f t="shared" si="114"/>
        <v>0.1063014581273465</v>
      </c>
      <c r="L1409" s="2" t="e">
        <f t="shared" si="115"/>
        <v>#N/A</v>
      </c>
      <c r="M1409" s="2" t="str">
        <f t="shared" si="116"/>
        <v>Below 0.8 not in assigned quadrant</v>
      </c>
      <c r="N1409" s="7">
        <v>13.89</v>
      </c>
      <c r="O1409" s="7">
        <v>-0.46</v>
      </c>
      <c r="P1409" s="7">
        <v>-1.67</v>
      </c>
      <c r="Q1409" s="7">
        <v>-0.34</v>
      </c>
      <c r="R1409" s="7">
        <v>7.0000000000000007E-2</v>
      </c>
      <c r="S1409" s="7">
        <v>0.08</v>
      </c>
      <c r="T1409" s="7">
        <v>-0.13</v>
      </c>
      <c r="U1409" s="7">
        <v>0.06</v>
      </c>
      <c r="V1409" s="7">
        <v>0.37</v>
      </c>
      <c r="W1409" s="7" t="s">
        <v>8</v>
      </c>
      <c r="X1409" s="7" t="s">
        <v>9</v>
      </c>
      <c r="Y1409" s="2" t="s">
        <v>719</v>
      </c>
      <c r="Z1409" s="2" t="s">
        <v>721</v>
      </c>
    </row>
    <row r="1410" spans="1:26" x14ac:dyDescent="0.35">
      <c r="A1410" s="7" t="s">
        <v>1817</v>
      </c>
      <c r="B1410" s="7" t="s">
        <v>1456</v>
      </c>
      <c r="C1410" s="4" t="str">
        <f>_xlfn.XLOOKUP(A1410,[2]Sheet2!$I$2:$I$1273,[2]Sheet2!$D$2:$D$1273,0)</f>
        <v>Q3</v>
      </c>
      <c r="D1410" s="4">
        <f>_xlfn.XLOOKUP(B1410,[4]Sheet2!$B$2:$B$3154,[4]Sheet2!$F$2:$F$3154,0)</f>
        <v>0</v>
      </c>
      <c r="E1410" s="4" t="e">
        <f>_xlfn.XLOOKUP(B1410,[2]Sheet2!$E$2:$E$713,[2]Sheet2!$G$2:$G$713)</f>
        <v>#N/A</v>
      </c>
      <c r="F1410" s="18">
        <v>46149</v>
      </c>
      <c r="G1410" s="14">
        <v>0.77487268518518515</v>
      </c>
      <c r="H1410" s="7" t="s">
        <v>5</v>
      </c>
      <c r="I1410" s="2" t="str">
        <f t="shared" si="113"/>
        <v>Q2</v>
      </c>
      <c r="J1410" s="2" t="str">
        <f t="shared" si="112"/>
        <v>Not Match</v>
      </c>
      <c r="K1410" s="2">
        <f t="shared" si="114"/>
        <v>0.4632493928760188</v>
      </c>
      <c r="L1410" s="2" t="e">
        <f t="shared" si="115"/>
        <v>#N/A</v>
      </c>
      <c r="M1410" s="2" t="str">
        <f t="shared" si="116"/>
        <v>Below 0.8 not in assigned quadrant</v>
      </c>
      <c r="N1410" s="7">
        <v>33.409999999999997</v>
      </c>
      <c r="O1410" s="7">
        <v>41.17</v>
      </c>
      <c r="P1410" s="7">
        <v>23.75</v>
      </c>
      <c r="Q1410" s="7">
        <v>-0.51</v>
      </c>
      <c r="R1410" s="7">
        <v>-0.39</v>
      </c>
      <c r="S1410" s="7">
        <v>0.25</v>
      </c>
      <c r="T1410" s="7">
        <v>-0.09</v>
      </c>
      <c r="U1410" s="7">
        <v>0.3</v>
      </c>
      <c r="V1410" s="7">
        <v>0.6</v>
      </c>
      <c r="W1410" s="7" t="s">
        <v>8</v>
      </c>
      <c r="X1410" s="7" t="s">
        <v>12</v>
      </c>
      <c r="Y1410" s="2" t="s">
        <v>719</v>
      </c>
      <c r="Z1410" s="2" t="s">
        <v>721</v>
      </c>
    </row>
    <row r="1411" spans="1:26" x14ac:dyDescent="0.35">
      <c r="A1411" s="7" t="s">
        <v>1508</v>
      </c>
      <c r="B1411" s="7" t="s">
        <v>1457</v>
      </c>
      <c r="C1411" s="4" t="str">
        <f>_xlfn.XLOOKUP(A1411,[2]Sheet2!$I$2:$I$1273,[2]Sheet2!$D$2:$D$1273,0)</f>
        <v>Q2</v>
      </c>
      <c r="D1411" s="4">
        <f>_xlfn.XLOOKUP(B1411,[4]Sheet2!$B$2:$B$3154,[4]Sheet2!$F$2:$F$3154,0)</f>
        <v>0</v>
      </c>
      <c r="E1411" s="4" t="e">
        <f>_xlfn.XLOOKUP(B1411,[2]Sheet2!$E$2:$E$713,[2]Sheet2!$G$2:$G$713)</f>
        <v>#N/A</v>
      </c>
      <c r="F1411" s="18">
        <v>46149</v>
      </c>
      <c r="G1411" s="14">
        <v>0.89091435185185186</v>
      </c>
      <c r="H1411" s="7" t="s">
        <v>5</v>
      </c>
      <c r="I1411" s="2" t="str">
        <f t="shared" si="113"/>
        <v>Q3</v>
      </c>
      <c r="J1411" s="2" t="str">
        <f t="shared" ref="J1411:J1457" si="117">IF(I1411=C1411,"Match",IF(C1411=0,"Not Found","Not Match"))</f>
        <v>Not Match</v>
      </c>
      <c r="K1411" s="2">
        <f t="shared" si="114"/>
        <v>0.39849717690342551</v>
      </c>
      <c r="L1411" s="2" t="e">
        <f t="shared" si="115"/>
        <v>#N/A</v>
      </c>
      <c r="M1411" s="2" t="str">
        <f t="shared" si="116"/>
        <v>Assign quadrant hit</v>
      </c>
      <c r="N1411" s="7">
        <v>17.39</v>
      </c>
      <c r="O1411" s="7">
        <v>-0.97</v>
      </c>
      <c r="P1411" s="7">
        <v>-9.43</v>
      </c>
      <c r="Q1411" s="7">
        <v>-0.72</v>
      </c>
      <c r="R1411" s="7">
        <v>-0.12</v>
      </c>
      <c r="S1411" s="7">
        <v>-0.38</v>
      </c>
      <c r="T1411" s="7">
        <v>0.34</v>
      </c>
      <c r="U1411" s="7">
        <v>-0.1</v>
      </c>
      <c r="V1411" s="7">
        <v>0.81</v>
      </c>
      <c r="W1411" s="7" t="s">
        <v>13</v>
      </c>
      <c r="X1411" s="7" t="s">
        <v>15</v>
      </c>
      <c r="Y1411" s="2" t="s">
        <v>719</v>
      </c>
      <c r="Z1411" s="2" t="s">
        <v>721</v>
      </c>
    </row>
    <row r="1412" spans="1:26" x14ac:dyDescent="0.35">
      <c r="A1412" s="7" t="s">
        <v>1673</v>
      </c>
      <c r="B1412" s="7" t="s">
        <v>1458</v>
      </c>
      <c r="C1412" s="4" t="str">
        <f>_xlfn.XLOOKUP(A1412,[2]Sheet2!$I$2:$I$1273,[2]Sheet2!$D$2:$D$1273,0)</f>
        <v>Q1</v>
      </c>
      <c r="D1412" s="4">
        <f>_xlfn.XLOOKUP(B1412,[4]Sheet2!$B$2:$B$3154,[4]Sheet2!$F$2:$F$3154,0)</f>
        <v>0</v>
      </c>
      <c r="E1412" s="4" t="e">
        <f>_xlfn.XLOOKUP(B1412,[2]Sheet2!$E$2:$E$713,[2]Sheet2!$G$2:$G$713)</f>
        <v>#N/A</v>
      </c>
      <c r="F1412" s="18">
        <v>46150</v>
      </c>
      <c r="G1412" s="14">
        <v>0.15211805555555555</v>
      </c>
      <c r="H1412" s="7" t="s">
        <v>11</v>
      </c>
      <c r="I1412" s="2" t="str">
        <f t="shared" si="113"/>
        <v>Q1</v>
      </c>
      <c r="J1412" s="2" t="str">
        <f t="shared" si="117"/>
        <v>Match</v>
      </c>
      <c r="K1412" s="2">
        <f t="shared" si="114"/>
        <v>0.161245154965971</v>
      </c>
      <c r="L1412" s="2" t="e">
        <f t="shared" si="115"/>
        <v>#N/A</v>
      </c>
      <c r="M1412" s="2" t="str">
        <f t="shared" si="116"/>
        <v>Failed but within quadrant</v>
      </c>
      <c r="N1412" s="7">
        <v>14.49</v>
      </c>
      <c r="O1412" s="7">
        <v>-0.73</v>
      </c>
      <c r="P1412" s="7">
        <v>-2.63</v>
      </c>
      <c r="Q1412" s="7">
        <v>-0.93</v>
      </c>
      <c r="R1412" s="7">
        <v>0.14000000000000001</v>
      </c>
      <c r="S1412" s="7">
        <v>0.08</v>
      </c>
      <c r="T1412" s="7">
        <v>-0.14000000000000001</v>
      </c>
      <c r="U1412" s="7">
        <v>0.15</v>
      </c>
      <c r="V1412" s="7">
        <v>0.95</v>
      </c>
      <c r="W1412" s="7" t="s">
        <v>13</v>
      </c>
      <c r="X1412" s="7" t="s">
        <v>9</v>
      </c>
      <c r="Y1412" s="2" t="s">
        <v>719</v>
      </c>
      <c r="Z1412" s="2" t="s">
        <v>721</v>
      </c>
    </row>
    <row r="1413" spans="1:26" x14ac:dyDescent="0.35">
      <c r="A1413" s="7" t="s">
        <v>1628</v>
      </c>
      <c r="B1413" s="7" t="s">
        <v>1459</v>
      </c>
      <c r="C1413" s="4" t="str">
        <f>_xlfn.XLOOKUP(A1413,[2]Sheet2!$I$2:$I$1273,[2]Sheet2!$D$2:$D$1273,0)</f>
        <v>Q4</v>
      </c>
      <c r="D1413" s="4">
        <f>_xlfn.XLOOKUP(B1413,[4]Sheet2!$B$2:$B$3154,[4]Sheet2!$F$2:$F$3154,0)</f>
        <v>0</v>
      </c>
      <c r="E1413" s="4" t="e">
        <f>_xlfn.XLOOKUP(B1413,[2]Sheet2!$E$2:$E$713,[2]Sheet2!$G$2:$G$713)</f>
        <v>#N/A</v>
      </c>
      <c r="F1413" s="18">
        <v>46150</v>
      </c>
      <c r="G1413" s="14">
        <v>0.15489583333333334</v>
      </c>
      <c r="H1413" s="7" t="s">
        <v>5</v>
      </c>
      <c r="I1413" s="2" t="str">
        <f t="shared" si="113"/>
        <v>Q3</v>
      </c>
      <c r="J1413" s="2" t="str">
        <f t="shared" si="117"/>
        <v>Not Match</v>
      </c>
      <c r="K1413" s="2">
        <f t="shared" si="114"/>
        <v>0.18439088914585774</v>
      </c>
      <c r="L1413" s="2" t="e">
        <f t="shared" si="115"/>
        <v>#N/A</v>
      </c>
      <c r="M1413" s="2" t="str">
        <f t="shared" si="116"/>
        <v>Below 0.8 not in assigned quadrant</v>
      </c>
      <c r="N1413" s="7">
        <v>17.579999999999998</v>
      </c>
      <c r="O1413" s="7">
        <v>-0.52</v>
      </c>
      <c r="P1413" s="7">
        <v>-2.9</v>
      </c>
      <c r="Q1413" s="7">
        <v>-0.47</v>
      </c>
      <c r="R1413" s="7">
        <v>-0.18</v>
      </c>
      <c r="S1413" s="7">
        <v>-0.04</v>
      </c>
      <c r="T1413" s="7">
        <v>0.08</v>
      </c>
      <c r="U1413" s="7">
        <v>-0.23</v>
      </c>
      <c r="V1413" s="7">
        <v>0.53</v>
      </c>
      <c r="W1413" s="7" t="s">
        <v>8</v>
      </c>
      <c r="X1413" s="7" t="s">
        <v>15</v>
      </c>
      <c r="Y1413" s="2" t="s">
        <v>719</v>
      </c>
      <c r="Z1413" s="2" t="s">
        <v>721</v>
      </c>
    </row>
    <row r="1414" spans="1:26" x14ac:dyDescent="0.35">
      <c r="A1414" s="7" t="s">
        <v>1773</v>
      </c>
      <c r="B1414" s="7" t="s">
        <v>1460</v>
      </c>
      <c r="C1414" s="4" t="str">
        <f>_xlfn.XLOOKUP(A1414,[2]Sheet2!$I$2:$I$1273,[2]Sheet2!$D$2:$D$1273,0)</f>
        <v>Q3</v>
      </c>
      <c r="D1414" s="4">
        <f>_xlfn.XLOOKUP(B1414,[4]Sheet2!$B$2:$B$3154,[4]Sheet2!$F$2:$F$3154,0)</f>
        <v>0</v>
      </c>
      <c r="E1414" s="4" t="e">
        <f>_xlfn.XLOOKUP(B1414,[2]Sheet2!$E$2:$E$713,[2]Sheet2!$G$2:$G$713)</f>
        <v>#N/A</v>
      </c>
      <c r="F1414" s="18">
        <v>46150</v>
      </c>
      <c r="G1414" s="14">
        <v>0.15675925925925926</v>
      </c>
      <c r="H1414" s="7" t="s">
        <v>5</v>
      </c>
      <c r="I1414" s="2" t="str">
        <f t="shared" si="113"/>
        <v>Q2</v>
      </c>
      <c r="J1414" s="2" t="str">
        <f t="shared" si="117"/>
        <v>Not Match</v>
      </c>
      <c r="K1414" s="2">
        <f t="shared" si="114"/>
        <v>0.28319604517012592</v>
      </c>
      <c r="L1414" s="2" t="e">
        <f t="shared" si="115"/>
        <v>#N/A</v>
      </c>
      <c r="M1414" s="2" t="str">
        <f t="shared" si="116"/>
        <v>Below 0.8 not in assigned quadrant</v>
      </c>
      <c r="N1414" s="7">
        <v>15.88</v>
      </c>
      <c r="O1414" s="7">
        <v>-1.51</v>
      </c>
      <c r="P1414" s="7">
        <v>-3.26</v>
      </c>
      <c r="Q1414" s="7">
        <v>-0.04</v>
      </c>
      <c r="R1414" s="7">
        <v>-0.21</v>
      </c>
      <c r="S1414" s="7">
        <v>0.19</v>
      </c>
      <c r="T1414" s="7">
        <v>-0.11</v>
      </c>
      <c r="U1414" s="7">
        <v>-0.34</v>
      </c>
      <c r="V1414" s="7">
        <v>0.36</v>
      </c>
      <c r="W1414" s="7" t="s">
        <v>8</v>
      </c>
      <c r="X1414" s="7" t="s">
        <v>15</v>
      </c>
      <c r="Y1414" s="2" t="s">
        <v>719</v>
      </c>
      <c r="Z1414" s="2" t="s">
        <v>721</v>
      </c>
    </row>
    <row r="1415" spans="1:26" x14ac:dyDescent="0.35">
      <c r="A1415" s="7" t="s">
        <v>1510</v>
      </c>
      <c r="B1415" s="7" t="s">
        <v>1461</v>
      </c>
      <c r="C1415" s="4">
        <f>_xlfn.XLOOKUP(A1415,[2]Sheet2!$I$2:$I$1273,[2]Sheet2!$D$2:$D$1273,0)</f>
        <v>0</v>
      </c>
      <c r="D1415" s="4">
        <f>_xlfn.XLOOKUP(B1415,[4]Sheet2!$B$2:$B$3154,[4]Sheet2!$F$2:$F$3154,0)</f>
        <v>0</v>
      </c>
      <c r="E1415" s="4" t="e">
        <f>_xlfn.XLOOKUP(B1415,[2]Sheet2!$E$2:$E$713,[2]Sheet2!$G$2:$G$713)</f>
        <v>#N/A</v>
      </c>
      <c r="F1415" s="18">
        <v>46150</v>
      </c>
      <c r="G1415" s="14">
        <v>0.15885416666666666</v>
      </c>
      <c r="H1415" s="7" t="s">
        <v>11</v>
      </c>
      <c r="I1415" s="2" t="str">
        <f t="shared" si="113"/>
        <v>Q4</v>
      </c>
      <c r="J1415" s="2" t="str">
        <f t="shared" si="117"/>
        <v>Not Found</v>
      </c>
      <c r="K1415" s="2">
        <f t="shared" si="114"/>
        <v>0.17117242768623692</v>
      </c>
      <c r="L1415" s="2" t="e">
        <f t="shared" si="115"/>
        <v>#N/A</v>
      </c>
      <c r="M1415" s="2" t="str">
        <f t="shared" si="116"/>
        <v>Assign quadrant hit</v>
      </c>
      <c r="N1415" s="7">
        <v>17.13</v>
      </c>
      <c r="O1415" s="7">
        <v>-0.16</v>
      </c>
      <c r="P1415" s="7">
        <v>-1.29</v>
      </c>
      <c r="Q1415" s="7">
        <v>0.52</v>
      </c>
      <c r="R1415" s="7">
        <v>0.02</v>
      </c>
      <c r="S1415" s="7">
        <v>-0.17</v>
      </c>
      <c r="T1415" s="7">
        <v>0.24</v>
      </c>
      <c r="U1415" s="7">
        <v>0.06</v>
      </c>
      <c r="V1415" s="7">
        <v>0.57999999999999996</v>
      </c>
      <c r="W1415" s="7" t="s">
        <v>8</v>
      </c>
      <c r="X1415" s="7" t="s">
        <v>9</v>
      </c>
      <c r="Y1415" s="2" t="s">
        <v>719</v>
      </c>
      <c r="Z1415" s="2" t="s">
        <v>721</v>
      </c>
    </row>
    <row r="1416" spans="1:26" x14ac:dyDescent="0.35">
      <c r="A1416" s="7" t="s">
        <v>1784</v>
      </c>
      <c r="B1416" s="7" t="s">
        <v>1462</v>
      </c>
      <c r="C1416" s="4" t="str">
        <f>_xlfn.XLOOKUP(A1416,[2]Sheet2!$I$2:$I$1273,[2]Sheet2!$D$2:$D$1273,0)</f>
        <v>Q2</v>
      </c>
      <c r="D1416" s="4">
        <f>_xlfn.XLOOKUP(B1416,[4]Sheet2!$B$2:$B$3154,[4]Sheet2!$F$2:$F$3154,0)</f>
        <v>0</v>
      </c>
      <c r="E1416" s="4" t="e">
        <f>_xlfn.XLOOKUP(B1416,[2]Sheet2!$E$2:$E$713,[2]Sheet2!$G$2:$G$713)</f>
        <v>#N/A</v>
      </c>
      <c r="F1416" s="18">
        <v>46150</v>
      </c>
      <c r="G1416" s="14">
        <v>0.20528935185185185</v>
      </c>
      <c r="H1416" s="7" t="s">
        <v>11</v>
      </c>
      <c r="I1416" s="2" t="str">
        <f t="shared" si="113"/>
        <v>Q4</v>
      </c>
      <c r="J1416" s="2" t="str">
        <f t="shared" si="117"/>
        <v>Not Match</v>
      </c>
      <c r="K1416" s="2">
        <f t="shared" si="114"/>
        <v>0.55154328932550711</v>
      </c>
      <c r="L1416" s="2" t="e">
        <f t="shared" si="115"/>
        <v>#N/A</v>
      </c>
      <c r="M1416" s="2" t="str">
        <f t="shared" si="116"/>
        <v>Below 0.8 not in assigned quadrant</v>
      </c>
      <c r="N1416" s="7">
        <v>38.18</v>
      </c>
      <c r="O1416" s="7">
        <v>33.07</v>
      </c>
      <c r="P1416" s="7">
        <v>1.7</v>
      </c>
      <c r="Q1416" s="7">
        <v>-0.21</v>
      </c>
      <c r="R1416" s="7">
        <v>0.39</v>
      </c>
      <c r="S1416" s="7">
        <v>-0.39</v>
      </c>
      <c r="T1416" s="7">
        <v>0.17</v>
      </c>
      <c r="U1416" s="7">
        <v>-0.28999999999999998</v>
      </c>
      <c r="V1416" s="7">
        <v>0.4</v>
      </c>
      <c r="W1416" s="7" t="s">
        <v>8</v>
      </c>
      <c r="X1416" s="7" t="s">
        <v>7</v>
      </c>
      <c r="Y1416" s="2" t="s">
        <v>719</v>
      </c>
      <c r="Z1416" s="2" t="s">
        <v>721</v>
      </c>
    </row>
    <row r="1417" spans="1:26" x14ac:dyDescent="0.35">
      <c r="A1417" s="7" t="s">
        <v>1818</v>
      </c>
      <c r="B1417" s="7" t="s">
        <v>1464</v>
      </c>
      <c r="C1417" s="4" t="str">
        <f>_xlfn.XLOOKUP(A1417,[2]Sheet2!$I$2:$I$1273,[2]Sheet2!$D$2:$D$1273,0)</f>
        <v>Q2</v>
      </c>
      <c r="D1417" s="4">
        <f>_xlfn.XLOOKUP(B1417,[4]Sheet2!$B$2:$B$3154,[4]Sheet2!$F$2:$F$3154,0)</f>
        <v>0</v>
      </c>
      <c r="E1417" s="4" t="e">
        <f>_xlfn.XLOOKUP(B1417,[2]Sheet2!$E$2:$E$713,[2]Sheet2!$G$2:$G$713)</f>
        <v>#N/A</v>
      </c>
      <c r="F1417" s="18">
        <v>46150</v>
      </c>
      <c r="G1417" s="14">
        <v>0.2697222222222222</v>
      </c>
      <c r="H1417" s="7" t="s">
        <v>4</v>
      </c>
      <c r="I1417" s="2" t="str">
        <f t="shared" si="113"/>
        <v>Q4</v>
      </c>
      <c r="J1417" s="2" t="str">
        <f t="shared" si="117"/>
        <v>Not Match</v>
      </c>
      <c r="K1417" s="2">
        <f t="shared" si="114"/>
        <v>0.48270073544588676</v>
      </c>
      <c r="L1417" s="2" t="e">
        <f t="shared" si="115"/>
        <v>#N/A</v>
      </c>
      <c r="M1417" s="2" t="str">
        <f t="shared" si="116"/>
        <v>Below 0.8 not in assigned quadrant</v>
      </c>
      <c r="N1417" s="7">
        <v>43.5</v>
      </c>
      <c r="O1417" s="7">
        <v>47.87</v>
      </c>
      <c r="P1417" s="7">
        <v>28.04</v>
      </c>
      <c r="Q1417" s="7">
        <v>0.14000000000000001</v>
      </c>
      <c r="R1417" s="7">
        <v>0.37</v>
      </c>
      <c r="S1417" s="7">
        <v>-0.31</v>
      </c>
      <c r="T1417" s="7">
        <v>0.06</v>
      </c>
      <c r="U1417" s="7">
        <v>-0.32</v>
      </c>
      <c r="V1417" s="7">
        <v>0.36</v>
      </c>
      <c r="W1417" s="7" t="s">
        <v>8</v>
      </c>
      <c r="X1417" s="7" t="s">
        <v>7</v>
      </c>
      <c r="Y1417" s="2" t="s">
        <v>719</v>
      </c>
      <c r="Z1417" s="2" t="s">
        <v>721</v>
      </c>
    </row>
    <row r="1418" spans="1:26" x14ac:dyDescent="0.35">
      <c r="A1418" s="7" t="s">
        <v>1540</v>
      </c>
      <c r="B1418" s="7" t="s">
        <v>1465</v>
      </c>
      <c r="C1418" s="4" t="str">
        <f>_xlfn.XLOOKUP(A1418,[2]Sheet2!$I$2:$I$1273,[2]Sheet2!$D$2:$D$1273,0)</f>
        <v>Q3</v>
      </c>
      <c r="D1418" s="4">
        <f>_xlfn.XLOOKUP(B1418,[4]Sheet2!$B$2:$B$3154,[4]Sheet2!$F$2:$F$3154,0)</f>
        <v>0</v>
      </c>
      <c r="E1418" s="4" t="e">
        <f>_xlfn.XLOOKUP(B1418,[2]Sheet2!$E$2:$E$713,[2]Sheet2!$G$2:$G$713)</f>
        <v>#N/A</v>
      </c>
      <c r="F1418" s="18">
        <v>46150</v>
      </c>
      <c r="G1418" s="14">
        <v>0.27196759259259257</v>
      </c>
      <c r="H1418" s="7" t="s">
        <v>11</v>
      </c>
      <c r="I1418" s="2" t="str">
        <f t="shared" si="113"/>
        <v>Q1</v>
      </c>
      <c r="J1418" s="2" t="str">
        <f t="shared" si="117"/>
        <v>Not Match</v>
      </c>
      <c r="K1418" s="2">
        <f t="shared" si="114"/>
        <v>8.2462112512353219E-2</v>
      </c>
      <c r="L1418" s="2" t="e">
        <f t="shared" si="115"/>
        <v>#N/A</v>
      </c>
      <c r="M1418" s="2" t="str">
        <f t="shared" si="116"/>
        <v>Below 0.8 not in assigned quadrant</v>
      </c>
      <c r="N1418" s="7">
        <v>14.4</v>
      </c>
      <c r="O1418" s="7">
        <v>-0.46</v>
      </c>
      <c r="P1418" s="7">
        <v>-1.74</v>
      </c>
      <c r="Q1418" s="7">
        <v>0.16</v>
      </c>
      <c r="R1418" s="7">
        <v>0.08</v>
      </c>
      <c r="S1418" s="7">
        <v>0.02</v>
      </c>
      <c r="T1418" s="7">
        <v>-0.05</v>
      </c>
      <c r="U1418" s="7">
        <v>0.1</v>
      </c>
      <c r="V1418" s="7">
        <v>0.19</v>
      </c>
      <c r="W1418" s="7" t="s">
        <v>8</v>
      </c>
      <c r="X1418" s="7" t="s">
        <v>9</v>
      </c>
      <c r="Y1418" s="2" t="s">
        <v>719</v>
      </c>
      <c r="Z1418" s="2" t="s">
        <v>721</v>
      </c>
    </row>
    <row r="1419" spans="1:26" x14ac:dyDescent="0.35">
      <c r="A1419" s="7" t="s">
        <v>1598</v>
      </c>
      <c r="B1419" s="7" t="s">
        <v>1466</v>
      </c>
      <c r="C1419" s="4" t="str">
        <f>_xlfn.XLOOKUP(A1419,[2]Sheet2!$I$2:$I$1273,[2]Sheet2!$D$2:$D$1273,0)</f>
        <v>Q3</v>
      </c>
      <c r="D1419" s="4">
        <f>_xlfn.XLOOKUP(B1419,[4]Sheet2!$B$2:$B$3154,[4]Sheet2!$F$2:$F$3154,0)</f>
        <v>0</v>
      </c>
      <c r="E1419" s="4" t="e">
        <f>_xlfn.XLOOKUP(B1419,[2]Sheet2!$E$2:$E$713,[2]Sheet2!$G$2:$G$713)</f>
        <v>#N/A</v>
      </c>
      <c r="F1419" s="18">
        <v>46150</v>
      </c>
      <c r="G1419" s="14">
        <v>0.2745023148148148</v>
      </c>
      <c r="H1419" s="7" t="s">
        <v>5</v>
      </c>
      <c r="I1419" s="2" t="str">
        <f t="shared" si="113"/>
        <v>Q4</v>
      </c>
      <c r="J1419" s="2" t="str">
        <f t="shared" si="117"/>
        <v>Not Match</v>
      </c>
      <c r="K1419" s="2">
        <f t="shared" si="114"/>
        <v>0.56089214649520636</v>
      </c>
      <c r="L1419" s="2" t="e">
        <f t="shared" si="115"/>
        <v>#N/A</v>
      </c>
      <c r="M1419" s="2" t="str">
        <f t="shared" si="116"/>
        <v>Below 0.8 not in assigned quadrant</v>
      </c>
      <c r="N1419" s="7">
        <v>21.1</v>
      </c>
      <c r="O1419" s="7">
        <v>-6.54</v>
      </c>
      <c r="P1419" s="7">
        <v>-14.17</v>
      </c>
      <c r="Q1419" s="7">
        <v>0.01</v>
      </c>
      <c r="R1419" s="7">
        <v>0.11</v>
      </c>
      <c r="S1419" s="7">
        <v>-0.55000000000000004</v>
      </c>
      <c r="T1419" s="7">
        <v>0.31</v>
      </c>
      <c r="U1419" s="7">
        <v>0.34</v>
      </c>
      <c r="V1419" s="7">
        <v>0.46</v>
      </c>
      <c r="W1419" s="7" t="s">
        <v>8</v>
      </c>
      <c r="X1419" s="7" t="s">
        <v>9</v>
      </c>
      <c r="Y1419" s="2" t="s">
        <v>719</v>
      </c>
      <c r="Z1419" s="2" t="s">
        <v>721</v>
      </c>
    </row>
    <row r="1420" spans="1:26" x14ac:dyDescent="0.35">
      <c r="A1420" s="7" t="s">
        <v>1819</v>
      </c>
      <c r="B1420" s="7" t="s">
        <v>1467</v>
      </c>
      <c r="C1420" s="4">
        <f>_xlfn.XLOOKUP(A1420,[2]Sheet2!$I$2:$I$1273,[2]Sheet2!$D$2:$D$1273,0)</f>
        <v>0</v>
      </c>
      <c r="D1420" s="4">
        <f>_xlfn.XLOOKUP(B1420,[4]Sheet2!$B$2:$B$3154,[4]Sheet2!$F$2:$F$3154,0)</f>
        <v>0</v>
      </c>
      <c r="E1420" s="4" t="e">
        <f>_xlfn.XLOOKUP(B1420,[2]Sheet2!$E$2:$E$713,[2]Sheet2!$G$2:$G$713)</f>
        <v>#N/A</v>
      </c>
      <c r="F1420" s="18">
        <v>46150</v>
      </c>
      <c r="G1420" s="14">
        <v>0.28030092592592593</v>
      </c>
      <c r="H1420" s="7" t="s">
        <v>16</v>
      </c>
      <c r="I1420" s="2" t="str">
        <f t="shared" si="113"/>
        <v>Q2</v>
      </c>
      <c r="J1420" s="2" t="str">
        <f t="shared" si="117"/>
        <v>Not Found</v>
      </c>
      <c r="K1420" s="2">
        <f t="shared" si="114"/>
        <v>0.1118033988749895</v>
      </c>
      <c r="L1420" s="2" t="e">
        <f t="shared" si="115"/>
        <v>#N/A</v>
      </c>
      <c r="M1420" s="2" t="str">
        <f t="shared" si="116"/>
        <v>Assign quadrant hit</v>
      </c>
      <c r="N1420" s="7">
        <v>16.64</v>
      </c>
      <c r="O1420" s="7">
        <v>-0.83</v>
      </c>
      <c r="P1420" s="7">
        <v>-6.1</v>
      </c>
      <c r="Q1420" s="7">
        <v>-0.09</v>
      </c>
      <c r="R1420" s="7">
        <v>-0.05</v>
      </c>
      <c r="S1420" s="7">
        <v>0.1</v>
      </c>
      <c r="T1420" s="7">
        <v>-0.1</v>
      </c>
      <c r="U1420" s="7">
        <v>-0.08</v>
      </c>
      <c r="V1420" s="7">
        <v>0.16</v>
      </c>
      <c r="W1420" s="7" t="s">
        <v>8</v>
      </c>
      <c r="X1420" s="7" t="s">
        <v>15</v>
      </c>
      <c r="Y1420" s="2" t="s">
        <v>719</v>
      </c>
      <c r="Z1420" s="2" t="s">
        <v>721</v>
      </c>
    </row>
    <row r="1421" spans="1:26" x14ac:dyDescent="0.35">
      <c r="A1421" s="7" t="s">
        <v>1819</v>
      </c>
      <c r="B1421" s="7" t="s">
        <v>1468</v>
      </c>
      <c r="C1421" s="4">
        <f>_xlfn.XLOOKUP(A1421,[2]Sheet2!$I$2:$I$1273,[2]Sheet2!$D$2:$D$1273,0)</f>
        <v>0</v>
      </c>
      <c r="D1421" s="4">
        <f>_xlfn.XLOOKUP(B1421,[4]Sheet2!$B$2:$B$3154,[4]Sheet2!$F$2:$F$3154,0)</f>
        <v>0</v>
      </c>
      <c r="E1421" s="4" t="e">
        <f>_xlfn.XLOOKUP(B1421,[2]Sheet2!$E$2:$E$713,[2]Sheet2!$G$2:$G$713)</f>
        <v>#N/A</v>
      </c>
      <c r="F1421" s="18">
        <v>46150</v>
      </c>
      <c r="G1421" s="14">
        <v>0.28524305555555557</v>
      </c>
      <c r="H1421" s="7" t="s">
        <v>16</v>
      </c>
      <c r="I1421" s="2" t="str">
        <f t="shared" si="113"/>
        <v>Q2</v>
      </c>
      <c r="J1421" s="2" t="str">
        <f t="shared" si="117"/>
        <v>Not Found</v>
      </c>
      <c r="K1421" s="2">
        <f t="shared" si="114"/>
        <v>0.50249378105604448</v>
      </c>
      <c r="L1421" s="2" t="e">
        <f t="shared" si="115"/>
        <v>#N/A</v>
      </c>
      <c r="M1421" s="2" t="str">
        <f t="shared" si="116"/>
        <v>Assign quadrant hit</v>
      </c>
      <c r="N1421" s="7">
        <v>15.99</v>
      </c>
      <c r="O1421" s="7">
        <v>-0.82</v>
      </c>
      <c r="P1421" s="7">
        <v>-5.71</v>
      </c>
      <c r="Q1421" s="7">
        <v>-0.71</v>
      </c>
      <c r="R1421" s="7">
        <v>-0.05</v>
      </c>
      <c r="S1421" s="7">
        <v>0.5</v>
      </c>
      <c r="T1421" s="7">
        <v>-0.48</v>
      </c>
      <c r="U1421" s="7">
        <v>-0.15</v>
      </c>
      <c r="V1421" s="7">
        <v>0.87</v>
      </c>
      <c r="W1421" s="7" t="s">
        <v>13</v>
      </c>
      <c r="X1421" s="7" t="s">
        <v>15</v>
      </c>
      <c r="Y1421" s="2" t="s">
        <v>719</v>
      </c>
      <c r="Z1421" s="2" t="s">
        <v>721</v>
      </c>
    </row>
    <row r="1422" spans="1:26" x14ac:dyDescent="0.35">
      <c r="A1422" s="7" t="s">
        <v>1820</v>
      </c>
      <c r="B1422" s="7" t="s">
        <v>1469</v>
      </c>
      <c r="C1422" s="4" t="str">
        <f>_xlfn.XLOOKUP(A1422,[2]Sheet2!$I$2:$I$1273,[2]Sheet2!$D$2:$D$1273,0)</f>
        <v>Q3</v>
      </c>
      <c r="D1422" s="4">
        <f>_xlfn.XLOOKUP(B1422,[4]Sheet2!$B$2:$B$3154,[4]Sheet2!$F$2:$F$3154,0)</f>
        <v>0</v>
      </c>
      <c r="E1422" s="4" t="e">
        <f>_xlfn.XLOOKUP(B1422,[2]Sheet2!$E$2:$E$713,[2]Sheet2!$G$2:$G$713)</f>
        <v>#N/A</v>
      </c>
      <c r="F1422" s="18">
        <v>46150</v>
      </c>
      <c r="G1422" s="14">
        <v>0.28912037037037036</v>
      </c>
      <c r="H1422" s="7" t="s">
        <v>16</v>
      </c>
      <c r="I1422" s="2" t="str">
        <f t="shared" si="113"/>
        <v>Q3</v>
      </c>
      <c r="J1422" s="2" t="str">
        <f t="shared" si="117"/>
        <v>Match</v>
      </c>
      <c r="K1422" s="2">
        <f t="shared" si="114"/>
        <v>0.87458561616344921</v>
      </c>
      <c r="L1422" s="2" t="e">
        <f t="shared" si="115"/>
        <v>#N/A</v>
      </c>
      <c r="M1422" s="2" t="str">
        <f t="shared" si="116"/>
        <v>Failed but within quadrant</v>
      </c>
      <c r="N1422" s="7">
        <v>25.25</v>
      </c>
      <c r="O1422" s="7">
        <v>7.7</v>
      </c>
      <c r="P1422" s="7">
        <v>3.93</v>
      </c>
      <c r="Q1422" s="7">
        <v>0.27</v>
      </c>
      <c r="R1422" s="7">
        <v>-0.68</v>
      </c>
      <c r="S1422" s="7">
        <v>-0.55000000000000004</v>
      </c>
      <c r="T1422" s="7">
        <v>-0.72</v>
      </c>
      <c r="U1422" s="7">
        <v>-0.25</v>
      </c>
      <c r="V1422" s="7">
        <v>0.81</v>
      </c>
      <c r="W1422" s="7" t="s">
        <v>13</v>
      </c>
      <c r="X1422" s="7" t="s">
        <v>7</v>
      </c>
      <c r="Y1422" s="2" t="s">
        <v>719</v>
      </c>
      <c r="Z1422" s="2" t="s">
        <v>721</v>
      </c>
    </row>
    <row r="1423" spans="1:26" x14ac:dyDescent="0.35">
      <c r="A1423" s="7" t="s">
        <v>1812</v>
      </c>
      <c r="B1423" s="7" t="s">
        <v>1470</v>
      </c>
      <c r="C1423" s="4">
        <f>_xlfn.XLOOKUP(A1423,[2]Sheet2!$I$2:$I$1273,[2]Sheet2!$D$2:$D$1273,0)</f>
        <v>0</v>
      </c>
      <c r="D1423" s="4">
        <f>_xlfn.XLOOKUP(B1423,[4]Sheet2!$B$2:$B$3154,[4]Sheet2!$F$2:$F$3154,0)</f>
        <v>0</v>
      </c>
      <c r="E1423" s="4" t="e">
        <f>_xlfn.XLOOKUP(B1423,[2]Sheet2!$E$2:$E$713,[2]Sheet2!$G$2:$G$713)</f>
        <v>#N/A</v>
      </c>
      <c r="F1423" s="18">
        <v>46150</v>
      </c>
      <c r="G1423" s="14">
        <v>0.36096064814814816</v>
      </c>
      <c r="H1423" s="7" t="s">
        <v>16</v>
      </c>
      <c r="I1423" s="2" t="str">
        <f t="shared" si="113"/>
        <v>Q1</v>
      </c>
      <c r="J1423" s="2" t="str">
        <f t="shared" si="117"/>
        <v>Not Found</v>
      </c>
      <c r="K1423" s="2">
        <f t="shared" si="114"/>
        <v>0.14000000000000001</v>
      </c>
      <c r="L1423" s="2" t="e">
        <f t="shared" si="115"/>
        <v>#N/A</v>
      </c>
      <c r="M1423" s="2" t="str">
        <f t="shared" si="116"/>
        <v>Assign quadrant hit</v>
      </c>
      <c r="N1423" s="7">
        <v>17.04</v>
      </c>
      <c r="O1423" s="7">
        <v>-0.78</v>
      </c>
      <c r="P1423" s="7">
        <v>-6.07</v>
      </c>
      <c r="Q1423" s="7">
        <v>0.28000000000000003</v>
      </c>
      <c r="R1423" s="7">
        <v>0</v>
      </c>
      <c r="S1423" s="7">
        <v>0.14000000000000001</v>
      </c>
      <c r="T1423" s="7">
        <v>-0.13</v>
      </c>
      <c r="U1423" s="7">
        <v>-0.03</v>
      </c>
      <c r="V1423" s="7">
        <v>0.31</v>
      </c>
      <c r="W1423" s="7" t="s">
        <v>8</v>
      </c>
      <c r="X1423" s="7" t="s">
        <v>15</v>
      </c>
      <c r="Y1423" s="2" t="s">
        <v>719</v>
      </c>
      <c r="Z1423" s="2" t="s">
        <v>721</v>
      </c>
    </row>
    <row r="1424" spans="1:26" x14ac:dyDescent="0.35">
      <c r="A1424" s="7" t="s">
        <v>1821</v>
      </c>
      <c r="B1424" s="7" t="s">
        <v>1343</v>
      </c>
      <c r="C1424" s="4" t="str">
        <f>_xlfn.XLOOKUP(A1424,[2]Sheet2!$I$2:$I$1273,[2]Sheet2!$D$2:$D$1273,0)</f>
        <v>Q2</v>
      </c>
      <c r="D1424" s="4">
        <f>_xlfn.XLOOKUP(B1424,[4]Sheet2!$B$2:$B$3154,[4]Sheet2!$F$2:$F$3154,0)</f>
        <v>0</v>
      </c>
      <c r="E1424" s="4" t="e">
        <f>_xlfn.XLOOKUP(B1424,[2]Sheet2!$E$2:$E$713,[2]Sheet2!$G$2:$G$713)</f>
        <v>#N/A</v>
      </c>
      <c r="F1424" s="18">
        <v>46150</v>
      </c>
      <c r="G1424" s="14">
        <v>0.43571759259259257</v>
      </c>
      <c r="H1424" s="7" t="s">
        <v>11</v>
      </c>
      <c r="I1424" s="2" t="str">
        <f t="shared" si="113"/>
        <v>Q1</v>
      </c>
      <c r="J1424" s="2" t="str">
        <f t="shared" si="117"/>
        <v>Not Match</v>
      </c>
      <c r="K1424" s="2">
        <f t="shared" si="114"/>
        <v>0.80006249755878456</v>
      </c>
      <c r="L1424" s="2" t="e">
        <f t="shared" si="115"/>
        <v>#N/A</v>
      </c>
      <c r="M1424" s="2" t="str">
        <f t="shared" si="116"/>
        <v>Assign quadrant hit</v>
      </c>
      <c r="N1424" s="7">
        <v>21.67</v>
      </c>
      <c r="O1424" s="7">
        <v>8.85</v>
      </c>
      <c r="P1424" s="7">
        <v>-2.23</v>
      </c>
      <c r="Q1424" s="7">
        <v>-0.11</v>
      </c>
      <c r="R1424" s="7">
        <v>0.01</v>
      </c>
      <c r="S1424" s="7">
        <v>0.8</v>
      </c>
      <c r="T1424" s="7">
        <v>-0.19</v>
      </c>
      <c r="U1424" s="7">
        <v>0.86</v>
      </c>
      <c r="V1424" s="7">
        <v>0.89</v>
      </c>
      <c r="W1424" s="7" t="s">
        <v>13</v>
      </c>
      <c r="X1424" s="7" t="s">
        <v>9</v>
      </c>
      <c r="Y1424" s="2" t="s">
        <v>719</v>
      </c>
      <c r="Z1424" s="2" t="s">
        <v>721</v>
      </c>
    </row>
    <row r="1425" spans="1:26" x14ac:dyDescent="0.35">
      <c r="A1425" s="7" t="s">
        <v>1593</v>
      </c>
      <c r="B1425" s="7" t="s">
        <v>1463</v>
      </c>
      <c r="C1425" s="4" t="str">
        <f>_xlfn.XLOOKUP(A1425,[2]Sheet2!$I$2:$I$1273,[2]Sheet2!$D$2:$D$1273,0)</f>
        <v>Q3</v>
      </c>
      <c r="D1425" s="4">
        <f>_xlfn.XLOOKUP(B1425,[4]Sheet2!$B$2:$B$3154,[4]Sheet2!$F$2:$F$3154,0)</f>
        <v>0</v>
      </c>
      <c r="E1425" s="4" t="e">
        <f>_xlfn.XLOOKUP(B1425,[2]Sheet2!$E$2:$E$713,[2]Sheet2!$G$2:$G$713)</f>
        <v>#N/A</v>
      </c>
      <c r="F1425" s="18">
        <v>46150</v>
      </c>
      <c r="G1425" s="14">
        <v>0.5169907407407407</v>
      </c>
      <c r="H1425" s="7" t="s">
        <v>5</v>
      </c>
      <c r="I1425" s="2" t="str">
        <f t="shared" si="113"/>
        <v>Q4</v>
      </c>
      <c r="J1425" s="2" t="str">
        <f t="shared" si="117"/>
        <v>Not Match</v>
      </c>
      <c r="K1425" s="2">
        <f t="shared" si="114"/>
        <v>0.30805843601498728</v>
      </c>
      <c r="L1425" s="2" t="e">
        <f t="shared" si="115"/>
        <v>#N/A</v>
      </c>
      <c r="M1425" s="2" t="str">
        <f t="shared" si="116"/>
        <v>Assign quadrant hit</v>
      </c>
      <c r="N1425" s="7">
        <v>22.21</v>
      </c>
      <c r="O1425" s="7">
        <v>3.43</v>
      </c>
      <c r="P1425" s="7">
        <v>2.13</v>
      </c>
      <c r="Q1425" s="7">
        <v>-1.41</v>
      </c>
      <c r="R1425" s="7">
        <v>0.18</v>
      </c>
      <c r="S1425" s="7">
        <v>-0.25</v>
      </c>
      <c r="T1425" s="7">
        <v>0.01</v>
      </c>
      <c r="U1425" s="7">
        <v>-0.42</v>
      </c>
      <c r="V1425" s="7">
        <v>1.47</v>
      </c>
      <c r="W1425" s="7" t="s">
        <v>6</v>
      </c>
      <c r="X1425" s="7" t="s">
        <v>7</v>
      </c>
      <c r="Y1425" s="2" t="s">
        <v>719</v>
      </c>
      <c r="Z1425" s="2" t="s">
        <v>721</v>
      </c>
    </row>
    <row r="1426" spans="1:26" x14ac:dyDescent="0.35">
      <c r="A1426" s="7" t="s">
        <v>1558</v>
      </c>
      <c r="B1426" s="7" t="s">
        <v>1471</v>
      </c>
      <c r="C1426" s="4" t="str">
        <f>_xlfn.XLOOKUP(A1426,[2]Sheet2!$I$2:$I$1273,[2]Sheet2!$D$2:$D$1273,0)</f>
        <v>Q3</v>
      </c>
      <c r="D1426" s="4">
        <f>_xlfn.XLOOKUP(B1426,[4]Sheet2!$B$2:$B$3154,[4]Sheet2!$F$2:$F$3154,0)</f>
        <v>0</v>
      </c>
      <c r="E1426" s="4" t="e">
        <f>_xlfn.XLOOKUP(B1426,[2]Sheet2!$E$2:$E$713,[2]Sheet2!$G$2:$G$713)</f>
        <v>#N/A</v>
      </c>
      <c r="F1426" s="18">
        <v>46150</v>
      </c>
      <c r="G1426" s="14">
        <v>0.58684027777777781</v>
      </c>
      <c r="H1426" s="7" t="s">
        <v>16</v>
      </c>
      <c r="I1426" s="2" t="str">
        <f t="shared" si="113"/>
        <v>Q3</v>
      </c>
      <c r="J1426" s="2" t="str">
        <f t="shared" si="117"/>
        <v>Match</v>
      </c>
      <c r="K1426" s="2">
        <f t="shared" si="114"/>
        <v>0.44384682042344292</v>
      </c>
      <c r="L1426" s="2" t="e">
        <f t="shared" si="115"/>
        <v>#N/A</v>
      </c>
      <c r="M1426" s="2" t="str">
        <f t="shared" si="116"/>
        <v>Digital Approve Hit</v>
      </c>
      <c r="N1426" s="7">
        <v>15.11</v>
      </c>
      <c r="O1426" s="7">
        <v>-0.41</v>
      </c>
      <c r="P1426" s="7">
        <v>-2.19</v>
      </c>
      <c r="Q1426" s="7">
        <v>-0.16</v>
      </c>
      <c r="R1426" s="7">
        <v>-0.11</v>
      </c>
      <c r="S1426" s="7">
        <v>-0.43</v>
      </c>
      <c r="T1426" s="7">
        <v>0.59</v>
      </c>
      <c r="U1426" s="7">
        <v>-0.05</v>
      </c>
      <c r="V1426" s="7">
        <v>0.61</v>
      </c>
      <c r="W1426" s="7" t="s">
        <v>8</v>
      </c>
      <c r="X1426" s="7" t="s">
        <v>15</v>
      </c>
      <c r="Y1426" s="2" t="s">
        <v>719</v>
      </c>
      <c r="Z1426" s="2" t="s">
        <v>721</v>
      </c>
    </row>
    <row r="1427" spans="1:26" x14ac:dyDescent="0.35">
      <c r="A1427" s="7" t="s">
        <v>1543</v>
      </c>
      <c r="B1427" s="7" t="s">
        <v>1434</v>
      </c>
      <c r="C1427" s="4" t="str">
        <f>_xlfn.XLOOKUP(A1427,[2]Sheet2!$I$2:$I$1273,[2]Sheet2!$D$2:$D$1273,0)</f>
        <v>Q3</v>
      </c>
      <c r="D1427" s="4">
        <f>_xlfn.XLOOKUP(B1427,[4]Sheet2!$B$2:$B$3154,[4]Sheet2!$F$2:$F$3154,0)</f>
        <v>0</v>
      </c>
      <c r="E1427" s="4" t="e">
        <f>_xlfn.XLOOKUP(B1427,[2]Sheet2!$E$2:$E$713,[2]Sheet2!$G$2:$G$713)</f>
        <v>#N/A</v>
      </c>
      <c r="F1427" s="18">
        <v>46150</v>
      </c>
      <c r="G1427" s="14">
        <v>0.59890046296296295</v>
      </c>
      <c r="H1427" s="7" t="s">
        <v>11</v>
      </c>
      <c r="I1427" s="2" t="str">
        <f t="shared" si="113"/>
        <v>Q4</v>
      </c>
      <c r="J1427" s="2" t="str">
        <f t="shared" si="117"/>
        <v>Not Match</v>
      </c>
      <c r="K1427" s="2">
        <f t="shared" si="114"/>
        <v>0.64404968752418479</v>
      </c>
      <c r="L1427" s="2" t="e">
        <f t="shared" si="115"/>
        <v>#N/A</v>
      </c>
      <c r="M1427" s="2" t="str">
        <f t="shared" si="116"/>
        <v>Assign quadrant hit</v>
      </c>
      <c r="N1427" s="7">
        <v>25.9</v>
      </c>
      <c r="O1427" s="7">
        <v>7.16</v>
      </c>
      <c r="P1427" s="7">
        <v>7.49</v>
      </c>
      <c r="Q1427" s="7">
        <v>-0.13</v>
      </c>
      <c r="R1427" s="7">
        <v>0.52</v>
      </c>
      <c r="S1427" s="7">
        <v>-0.38</v>
      </c>
      <c r="T1427" s="7">
        <v>0.05</v>
      </c>
      <c r="U1427" s="7">
        <v>-1.19</v>
      </c>
      <c r="V1427" s="7">
        <v>1.2</v>
      </c>
      <c r="W1427" s="7" t="s">
        <v>6</v>
      </c>
      <c r="X1427" s="7" t="s">
        <v>9</v>
      </c>
      <c r="Y1427" s="2" t="s">
        <v>719</v>
      </c>
      <c r="Z1427" s="2" t="s">
        <v>721</v>
      </c>
    </row>
    <row r="1428" spans="1:26" x14ac:dyDescent="0.35">
      <c r="A1428" s="7" t="s">
        <v>1515</v>
      </c>
      <c r="B1428" s="7" t="s">
        <v>1472</v>
      </c>
      <c r="C1428" s="4" t="str">
        <f>_xlfn.XLOOKUP(A1428,[2]Sheet2!$I$2:$I$1273,[2]Sheet2!$D$2:$D$1273,0)</f>
        <v>Q3</v>
      </c>
      <c r="D1428" s="4">
        <f>_xlfn.XLOOKUP(B1428,[4]Sheet2!$B$2:$B$3154,[4]Sheet2!$F$2:$F$3154,0)</f>
        <v>0</v>
      </c>
      <c r="E1428" s="4" t="e">
        <f>_xlfn.XLOOKUP(B1428,[2]Sheet2!$E$2:$E$713,[2]Sheet2!$G$2:$G$713)</f>
        <v>#N/A</v>
      </c>
      <c r="F1428" s="18">
        <v>46150</v>
      </c>
      <c r="G1428" s="14">
        <v>0.60211805555555553</v>
      </c>
      <c r="H1428" s="7" t="s">
        <v>11</v>
      </c>
      <c r="I1428" s="2" t="str">
        <f t="shared" si="113"/>
        <v>Q3</v>
      </c>
      <c r="J1428" s="2" t="str">
        <f t="shared" si="117"/>
        <v>Match</v>
      </c>
      <c r="K1428" s="2">
        <f t="shared" si="114"/>
        <v>0.25238858928247926</v>
      </c>
      <c r="L1428" s="2" t="e">
        <f t="shared" si="115"/>
        <v>#N/A</v>
      </c>
      <c r="M1428" s="2" t="str">
        <f t="shared" si="116"/>
        <v>Failed but within quadrant</v>
      </c>
      <c r="N1428" s="7">
        <v>13.51</v>
      </c>
      <c r="O1428" s="7">
        <v>-0.5</v>
      </c>
      <c r="P1428" s="7">
        <v>-2.29</v>
      </c>
      <c r="Q1428" s="7">
        <v>-1.33</v>
      </c>
      <c r="R1428" s="7">
        <v>-0.21</v>
      </c>
      <c r="S1428" s="7">
        <v>-0.14000000000000001</v>
      </c>
      <c r="T1428" s="7">
        <v>0.23</v>
      </c>
      <c r="U1428" s="7">
        <v>-0.24</v>
      </c>
      <c r="V1428" s="7">
        <v>1.37</v>
      </c>
      <c r="W1428" s="7" t="s">
        <v>6</v>
      </c>
      <c r="X1428" s="7" t="s">
        <v>15</v>
      </c>
      <c r="Y1428" s="2" t="s">
        <v>719</v>
      </c>
      <c r="Z1428" s="2" t="s">
        <v>721</v>
      </c>
    </row>
    <row r="1429" spans="1:26" x14ac:dyDescent="0.35">
      <c r="A1429" s="7" t="s">
        <v>1722</v>
      </c>
      <c r="B1429" s="7" t="s">
        <v>1473</v>
      </c>
      <c r="C1429" s="4" t="str">
        <f>_xlfn.XLOOKUP(A1429,[2]Sheet2!$I$2:$I$1273,[2]Sheet2!$D$2:$D$1273,0)</f>
        <v>Q4</v>
      </c>
      <c r="D1429" s="4">
        <f>_xlfn.XLOOKUP(B1429,[4]Sheet2!$B$2:$B$3154,[4]Sheet2!$F$2:$F$3154,0)</f>
        <v>0</v>
      </c>
      <c r="E1429" s="4" t="e">
        <f>_xlfn.XLOOKUP(B1429,[2]Sheet2!$E$2:$E$713,[2]Sheet2!$G$2:$G$713)</f>
        <v>#N/A</v>
      </c>
      <c r="F1429" s="18">
        <v>46150</v>
      </c>
      <c r="G1429" s="14">
        <v>0.68773148148148144</v>
      </c>
      <c r="H1429" s="7" t="s">
        <v>4</v>
      </c>
      <c r="I1429" s="2" t="str">
        <f t="shared" si="113"/>
        <v>Q1</v>
      </c>
      <c r="J1429" s="2" t="str">
        <f t="shared" si="117"/>
        <v>Not Match</v>
      </c>
      <c r="K1429" s="2">
        <f t="shared" si="114"/>
        <v>1.4720054347725757</v>
      </c>
      <c r="L1429" s="2" t="e">
        <f t="shared" si="115"/>
        <v>#N/A</v>
      </c>
      <c r="M1429" s="2" t="str">
        <f t="shared" si="116"/>
        <v>Below 0.8 not in assigned quadrant</v>
      </c>
      <c r="N1429" s="7">
        <v>41.85</v>
      </c>
      <c r="O1429" s="7">
        <v>55.4</v>
      </c>
      <c r="P1429" s="7">
        <v>27.03</v>
      </c>
      <c r="Q1429" s="7">
        <v>0.01</v>
      </c>
      <c r="R1429" s="7">
        <v>0.88</v>
      </c>
      <c r="S1429" s="7">
        <v>1.18</v>
      </c>
      <c r="T1429" s="7">
        <v>0.47</v>
      </c>
      <c r="U1429" s="7">
        <v>0.44</v>
      </c>
      <c r="V1429" s="7">
        <v>0.64</v>
      </c>
      <c r="W1429" s="7" t="s">
        <v>8</v>
      </c>
      <c r="X1429" s="7" t="s">
        <v>12</v>
      </c>
      <c r="Y1429" s="2" t="s">
        <v>719</v>
      </c>
      <c r="Z1429" s="2" t="s">
        <v>721</v>
      </c>
    </row>
    <row r="1430" spans="1:26" x14ac:dyDescent="0.35">
      <c r="A1430" s="7" t="s">
        <v>1784</v>
      </c>
      <c r="B1430" s="7" t="s">
        <v>1474</v>
      </c>
      <c r="C1430" s="4" t="str">
        <f>_xlfn.XLOOKUP(A1430,[2]Sheet2!$I$2:$I$1273,[2]Sheet2!$D$2:$D$1273,0)</f>
        <v>Q2</v>
      </c>
      <c r="D1430" s="4">
        <f>_xlfn.XLOOKUP(B1430,[4]Sheet2!$B$2:$B$3154,[4]Sheet2!$F$2:$F$3154,0)</f>
        <v>0</v>
      </c>
      <c r="E1430" s="4" t="e">
        <f>_xlfn.XLOOKUP(B1430,[2]Sheet2!$E$2:$E$713,[2]Sheet2!$G$2:$G$713)</f>
        <v>#N/A</v>
      </c>
      <c r="F1430" s="18">
        <v>46150</v>
      </c>
      <c r="G1430" s="14">
        <v>0.69608796296296294</v>
      </c>
      <c r="H1430" s="7" t="s">
        <v>11</v>
      </c>
      <c r="I1430" s="2" t="str">
        <f t="shared" si="113"/>
        <v>Q4</v>
      </c>
      <c r="J1430" s="2" t="str">
        <f t="shared" si="117"/>
        <v>Not Match</v>
      </c>
      <c r="K1430" s="2">
        <f t="shared" si="114"/>
        <v>2.2146105752479373</v>
      </c>
      <c r="L1430" s="2" t="e">
        <f t="shared" si="115"/>
        <v>#N/A</v>
      </c>
      <c r="M1430" s="2" t="str">
        <f t="shared" si="116"/>
        <v>Assign quadrant hit</v>
      </c>
      <c r="N1430" s="7">
        <v>38.42</v>
      </c>
      <c r="O1430" s="7">
        <v>34.06</v>
      </c>
      <c r="P1430" s="7">
        <v>0.35</v>
      </c>
      <c r="Q1430" s="7">
        <v>-0.08</v>
      </c>
      <c r="R1430" s="7">
        <v>1.37</v>
      </c>
      <c r="S1430" s="7">
        <v>-1.74</v>
      </c>
      <c r="T1430" s="7">
        <v>0.62</v>
      </c>
      <c r="U1430" s="7">
        <v>-1.27</v>
      </c>
      <c r="V1430" s="7">
        <v>1.41</v>
      </c>
      <c r="W1430" s="7" t="s">
        <v>6</v>
      </c>
      <c r="X1430" s="7" t="s">
        <v>7</v>
      </c>
      <c r="Y1430" s="2" t="s">
        <v>719</v>
      </c>
      <c r="Z1430" s="2" t="s">
        <v>721</v>
      </c>
    </row>
    <row r="1431" spans="1:26" x14ac:dyDescent="0.35">
      <c r="A1431" s="7" t="s">
        <v>1822</v>
      </c>
      <c r="B1431" s="7" t="s">
        <v>1475</v>
      </c>
      <c r="C1431" s="4" t="str">
        <f>_xlfn.XLOOKUP(A1431,[2]Sheet2!$I$2:$I$1273,[2]Sheet2!$D$2:$D$1273,0)</f>
        <v>Q1</v>
      </c>
      <c r="D1431" s="4">
        <f>_xlfn.XLOOKUP(B1431,[4]Sheet2!$B$2:$B$3154,[4]Sheet2!$F$2:$F$3154,0)</f>
        <v>0</v>
      </c>
      <c r="E1431" s="4" t="e">
        <f>_xlfn.XLOOKUP(B1431,[2]Sheet2!$E$2:$E$713,[2]Sheet2!$G$2:$G$713)</f>
        <v>#N/A</v>
      </c>
      <c r="F1431" s="18">
        <v>46150</v>
      </c>
      <c r="G1431" s="14">
        <v>0.70047453703703699</v>
      </c>
      <c r="H1431" s="7" t="s">
        <v>5</v>
      </c>
      <c r="I1431" s="2" t="str">
        <f t="shared" si="113"/>
        <v>Q2</v>
      </c>
      <c r="J1431" s="2" t="str">
        <f t="shared" si="117"/>
        <v>Not Match</v>
      </c>
      <c r="K1431" s="2">
        <f t="shared" si="114"/>
        <v>0.21587033144922901</v>
      </c>
      <c r="L1431" s="2" t="e">
        <f t="shared" si="115"/>
        <v>#N/A</v>
      </c>
      <c r="M1431" s="2" t="str">
        <f t="shared" si="116"/>
        <v>Assign quadrant hit</v>
      </c>
      <c r="N1431" s="7">
        <v>15.68</v>
      </c>
      <c r="O1431" s="7">
        <v>-0.78</v>
      </c>
      <c r="P1431" s="7">
        <v>-2.54</v>
      </c>
      <c r="Q1431" s="7">
        <v>-0.95</v>
      </c>
      <c r="R1431" s="7">
        <v>-0.21</v>
      </c>
      <c r="S1431" s="7">
        <v>0.05</v>
      </c>
      <c r="T1431" s="7">
        <v>0</v>
      </c>
      <c r="U1431" s="7">
        <v>-0.28999999999999998</v>
      </c>
      <c r="V1431" s="7">
        <v>0.99</v>
      </c>
      <c r="W1431" s="7" t="s">
        <v>13</v>
      </c>
      <c r="X1431" s="7" t="s">
        <v>15</v>
      </c>
      <c r="Y1431" s="2" t="s">
        <v>719</v>
      </c>
      <c r="Z1431" s="2" t="s">
        <v>721</v>
      </c>
    </row>
    <row r="1432" spans="1:26" x14ac:dyDescent="0.35">
      <c r="A1432" s="7" t="s">
        <v>1819</v>
      </c>
      <c r="B1432" s="7" t="s">
        <v>1476</v>
      </c>
      <c r="C1432" s="4">
        <f>_xlfn.XLOOKUP(A1432,[2]Sheet2!$I$2:$I$1273,[2]Sheet2!$D$2:$D$1273,0)</f>
        <v>0</v>
      </c>
      <c r="D1432" s="4">
        <f>_xlfn.XLOOKUP(B1432,[4]Sheet2!$B$2:$B$3154,[4]Sheet2!$F$2:$F$3154,0)</f>
        <v>0</v>
      </c>
      <c r="E1432" s="4" t="e">
        <f>_xlfn.XLOOKUP(B1432,[2]Sheet2!$E$2:$E$713,[2]Sheet2!$G$2:$G$713)</f>
        <v>#N/A</v>
      </c>
      <c r="F1432" s="18">
        <v>46150</v>
      </c>
      <c r="G1432" s="14">
        <v>0.75592592592592589</v>
      </c>
      <c r="H1432" s="7" t="s">
        <v>16</v>
      </c>
      <c r="I1432" s="2" t="str">
        <f t="shared" si="113"/>
        <v>Q1</v>
      </c>
      <c r="J1432" s="2" t="str">
        <f t="shared" si="117"/>
        <v>Not Found</v>
      </c>
      <c r="K1432" s="2">
        <f t="shared" si="114"/>
        <v>0.32015621187164245</v>
      </c>
      <c r="L1432" s="2" t="e">
        <f t="shared" si="115"/>
        <v>#N/A</v>
      </c>
      <c r="M1432" s="2" t="str">
        <f t="shared" si="116"/>
        <v>Assign quadrant hit</v>
      </c>
      <c r="N1432" s="7">
        <v>15.96</v>
      </c>
      <c r="O1432" s="7">
        <v>-0.77</v>
      </c>
      <c r="P1432" s="7">
        <v>-5.88</v>
      </c>
      <c r="Q1432" s="7">
        <v>-0.73</v>
      </c>
      <c r="R1432" s="7">
        <v>0.01</v>
      </c>
      <c r="S1432" s="7">
        <v>0.32</v>
      </c>
      <c r="T1432" s="7">
        <v>-0.32</v>
      </c>
      <c r="U1432" s="7">
        <v>-0.05</v>
      </c>
      <c r="V1432" s="7">
        <v>0.8</v>
      </c>
      <c r="W1432" s="7" t="s">
        <v>13</v>
      </c>
      <c r="X1432" s="7" t="s">
        <v>15</v>
      </c>
      <c r="Y1432" s="2" t="s">
        <v>719</v>
      </c>
      <c r="Z1432" s="2" t="s">
        <v>721</v>
      </c>
    </row>
    <row r="1433" spans="1:26" x14ac:dyDescent="0.35">
      <c r="A1433" s="7" t="s">
        <v>1819</v>
      </c>
      <c r="B1433" s="7" t="s">
        <v>1477</v>
      </c>
      <c r="C1433" s="4">
        <f>_xlfn.XLOOKUP(A1433,[2]Sheet2!$I$2:$I$1273,[2]Sheet2!$D$2:$D$1273,0)</f>
        <v>0</v>
      </c>
      <c r="D1433" s="4">
        <f>_xlfn.XLOOKUP(B1433,[4]Sheet2!$B$2:$B$3154,[4]Sheet2!$F$2:$F$3154,0)</f>
        <v>0</v>
      </c>
      <c r="E1433" s="4" t="e">
        <f>_xlfn.XLOOKUP(B1433,[2]Sheet2!$E$2:$E$713,[2]Sheet2!$G$2:$G$713)</f>
        <v>#N/A</v>
      </c>
      <c r="F1433" s="18">
        <v>46150</v>
      </c>
      <c r="G1433" s="14">
        <v>0.76001157407407405</v>
      </c>
      <c r="H1433" s="7" t="s">
        <v>16</v>
      </c>
      <c r="I1433" s="2" t="str">
        <f t="shared" si="113"/>
        <v>Q2</v>
      </c>
      <c r="J1433" s="2" t="str">
        <f t="shared" si="117"/>
        <v>Not Found</v>
      </c>
      <c r="K1433" s="2">
        <f t="shared" si="114"/>
        <v>0.31064449134018135</v>
      </c>
      <c r="L1433" s="2" t="e">
        <f t="shared" si="115"/>
        <v>#N/A</v>
      </c>
      <c r="M1433" s="2" t="str">
        <f t="shared" si="116"/>
        <v>Assign quadrant hit</v>
      </c>
      <c r="N1433" s="7">
        <v>16.38</v>
      </c>
      <c r="O1433" s="7">
        <v>-0.8</v>
      </c>
      <c r="P1433" s="7">
        <v>-5.9</v>
      </c>
      <c r="Q1433" s="7">
        <v>-0.33</v>
      </c>
      <c r="R1433" s="7">
        <v>-0.02</v>
      </c>
      <c r="S1433" s="7">
        <v>0.31</v>
      </c>
      <c r="T1433" s="7">
        <v>-0.3</v>
      </c>
      <c r="U1433" s="7">
        <v>-7.0000000000000007E-2</v>
      </c>
      <c r="V1433" s="7">
        <v>0.45</v>
      </c>
      <c r="W1433" s="7" t="s">
        <v>8</v>
      </c>
      <c r="X1433" s="7" t="s">
        <v>15</v>
      </c>
      <c r="Y1433" s="2" t="s">
        <v>719</v>
      </c>
      <c r="Z1433" s="2" t="s">
        <v>721</v>
      </c>
    </row>
    <row r="1434" spans="1:26" x14ac:dyDescent="0.35">
      <c r="A1434" s="7" t="s">
        <v>1819</v>
      </c>
      <c r="B1434" s="7" t="s">
        <v>1478</v>
      </c>
      <c r="C1434" s="4">
        <f>_xlfn.XLOOKUP(A1434,[2]Sheet2!$I$2:$I$1273,[2]Sheet2!$D$2:$D$1273,0)</f>
        <v>0</v>
      </c>
      <c r="D1434" s="4">
        <f>_xlfn.XLOOKUP(B1434,[4]Sheet2!$B$2:$B$3154,[4]Sheet2!$F$2:$F$3154,0)</f>
        <v>0</v>
      </c>
      <c r="E1434" s="4" t="e">
        <f>_xlfn.XLOOKUP(B1434,[2]Sheet2!$E$2:$E$713,[2]Sheet2!$G$2:$G$713)</f>
        <v>#N/A</v>
      </c>
      <c r="F1434" s="18">
        <v>46150</v>
      </c>
      <c r="G1434" s="14">
        <v>0.97776620370370371</v>
      </c>
      <c r="H1434" s="7" t="s">
        <v>16</v>
      </c>
      <c r="I1434" s="2" t="str">
        <f t="shared" si="113"/>
        <v>Q2</v>
      </c>
      <c r="J1434" s="2" t="str">
        <f t="shared" si="117"/>
        <v>Not Found</v>
      </c>
      <c r="K1434" s="2">
        <f t="shared" si="114"/>
        <v>0.27018512172212594</v>
      </c>
      <c r="L1434" s="2" t="e">
        <f t="shared" si="115"/>
        <v>#N/A</v>
      </c>
      <c r="M1434" s="2" t="str">
        <f t="shared" si="116"/>
        <v>Assign quadrant hit</v>
      </c>
      <c r="N1434" s="7">
        <v>16.71</v>
      </c>
      <c r="O1434" s="7">
        <v>-0.79</v>
      </c>
      <c r="P1434" s="7">
        <v>-5.93</v>
      </c>
      <c r="Q1434" s="7">
        <v>-0.03</v>
      </c>
      <c r="R1434" s="7">
        <v>-0.01</v>
      </c>
      <c r="S1434" s="7">
        <v>0.27</v>
      </c>
      <c r="T1434" s="7">
        <v>-0.27</v>
      </c>
      <c r="U1434" s="7">
        <v>-0.06</v>
      </c>
      <c r="V1434" s="7">
        <v>0.27</v>
      </c>
      <c r="W1434" s="7" t="s">
        <v>8</v>
      </c>
      <c r="X1434" s="7" t="s">
        <v>15</v>
      </c>
      <c r="Y1434" s="2" t="s">
        <v>719</v>
      </c>
      <c r="Z1434" s="2" t="s">
        <v>721</v>
      </c>
    </row>
    <row r="1435" spans="1:26" x14ac:dyDescent="0.35">
      <c r="A1435" s="7" t="s">
        <v>1823</v>
      </c>
      <c r="B1435" s="7" t="s">
        <v>1479</v>
      </c>
      <c r="C1435" s="4" t="str">
        <f>_xlfn.XLOOKUP(A1435,[2]Sheet2!$I$2:$I$1273,[2]Sheet2!$D$2:$D$1273,0)</f>
        <v>Q3</v>
      </c>
      <c r="D1435" s="4">
        <f>_xlfn.XLOOKUP(B1435,[4]Sheet2!$B$2:$B$3154,[4]Sheet2!$F$2:$F$3154,0)</f>
        <v>0</v>
      </c>
      <c r="E1435" s="4" t="e">
        <f>_xlfn.XLOOKUP(B1435,[2]Sheet2!$E$2:$E$713,[2]Sheet2!$G$2:$G$713)</f>
        <v>#N/A</v>
      </c>
      <c r="F1435" s="18">
        <v>46150</v>
      </c>
      <c r="G1435" s="14">
        <v>0.98189814814814813</v>
      </c>
      <c r="H1435" s="7" t="s">
        <v>14</v>
      </c>
      <c r="I1435" s="2" t="str">
        <f t="shared" si="113"/>
        <v>Q4</v>
      </c>
      <c r="J1435" s="2" t="str">
        <f t="shared" si="117"/>
        <v>Not Match</v>
      </c>
      <c r="K1435" s="2">
        <f t="shared" si="114"/>
        <v>0.40607881008493907</v>
      </c>
      <c r="L1435" s="2" t="e">
        <f t="shared" si="115"/>
        <v>#N/A</v>
      </c>
      <c r="M1435" s="2" t="str">
        <f t="shared" si="116"/>
        <v>Below 0.8 not in assigned quadrant</v>
      </c>
      <c r="N1435" s="7">
        <v>42.18</v>
      </c>
      <c r="O1435" s="7">
        <v>46.44</v>
      </c>
      <c r="P1435" s="7">
        <v>31.23</v>
      </c>
      <c r="Q1435" s="7">
        <v>-0.42</v>
      </c>
      <c r="R1435" s="7">
        <v>7.0000000000000007E-2</v>
      </c>
      <c r="S1435" s="7">
        <v>-0.4</v>
      </c>
      <c r="T1435" s="7">
        <v>-0.06</v>
      </c>
      <c r="U1435" s="7">
        <v>-0.27</v>
      </c>
      <c r="V1435" s="7">
        <v>0.51</v>
      </c>
      <c r="W1435" s="7" t="s">
        <v>8</v>
      </c>
      <c r="X1435" s="7" t="s">
        <v>7</v>
      </c>
      <c r="Y1435" s="2" t="s">
        <v>719</v>
      </c>
      <c r="Z1435" s="2" t="s">
        <v>721</v>
      </c>
    </row>
    <row r="1436" spans="1:26" x14ac:dyDescent="0.35">
      <c r="A1436" s="7" t="s">
        <v>1789</v>
      </c>
      <c r="B1436" s="7" t="s">
        <v>1480</v>
      </c>
      <c r="C1436" s="4" t="str">
        <f>_xlfn.XLOOKUP(A1436,[2]Sheet2!$I$2:$I$1273,[2]Sheet2!$D$2:$D$1273,0)</f>
        <v>Q2</v>
      </c>
      <c r="D1436" s="4">
        <f>_xlfn.XLOOKUP(B1436,[4]Sheet2!$B$2:$B$3154,[4]Sheet2!$F$2:$F$3154,0)</f>
        <v>0</v>
      </c>
      <c r="E1436" s="4" t="e">
        <f>_xlfn.XLOOKUP(B1436,[2]Sheet2!$E$2:$E$713,[2]Sheet2!$G$2:$G$713)</f>
        <v>#N/A</v>
      </c>
      <c r="F1436" s="18">
        <v>46151</v>
      </c>
      <c r="G1436" s="14">
        <v>9.0208333333333335E-2</v>
      </c>
      <c r="H1436" s="7" t="s">
        <v>11</v>
      </c>
      <c r="I1436" s="2" t="str">
        <f t="shared" si="113"/>
        <v>Q4</v>
      </c>
      <c r="J1436" s="2" t="str">
        <f t="shared" si="117"/>
        <v>Not Match</v>
      </c>
      <c r="K1436" s="2">
        <f t="shared" si="114"/>
        <v>0.49040799340956914</v>
      </c>
      <c r="L1436" s="2" t="e">
        <f t="shared" si="115"/>
        <v>#N/A</v>
      </c>
      <c r="M1436" s="2" t="str">
        <f t="shared" si="116"/>
        <v>Below 0.8 not in assigned quadrant</v>
      </c>
      <c r="N1436" s="7">
        <v>26.94</v>
      </c>
      <c r="O1436" s="7">
        <v>12.07</v>
      </c>
      <c r="P1436" s="7">
        <v>-57.31</v>
      </c>
      <c r="Q1436" s="7">
        <v>-0.14000000000000001</v>
      </c>
      <c r="R1436" s="7">
        <v>0.17</v>
      </c>
      <c r="S1436" s="7">
        <v>-0.46</v>
      </c>
      <c r="T1436" s="7">
        <v>0.18</v>
      </c>
      <c r="U1436" s="7">
        <v>0.05</v>
      </c>
      <c r="V1436" s="7">
        <v>0.23</v>
      </c>
      <c r="W1436" s="7" t="s">
        <v>8</v>
      </c>
      <c r="X1436" s="7" t="s">
        <v>9</v>
      </c>
      <c r="Y1436" s="2" t="s">
        <v>719</v>
      </c>
      <c r="Z1436" s="2" t="s">
        <v>721</v>
      </c>
    </row>
    <row r="1437" spans="1:26" x14ac:dyDescent="0.35">
      <c r="A1437" s="7" t="s">
        <v>1625</v>
      </c>
      <c r="B1437" s="7" t="s">
        <v>1481</v>
      </c>
      <c r="C1437" s="4" t="str">
        <f>_xlfn.XLOOKUP(A1437,[2]Sheet2!$I$2:$I$1273,[2]Sheet2!$D$2:$D$1273,0)</f>
        <v>Q1</v>
      </c>
      <c r="D1437" s="4">
        <f>_xlfn.XLOOKUP(B1437,[4]Sheet2!$B$2:$B$3154,[4]Sheet2!$F$2:$F$3154,0)</f>
        <v>0</v>
      </c>
      <c r="E1437" s="4" t="e">
        <f>_xlfn.XLOOKUP(B1437,[2]Sheet2!$E$2:$E$713,[2]Sheet2!$G$2:$G$713)</f>
        <v>#N/A</v>
      </c>
      <c r="F1437" s="18">
        <v>46151</v>
      </c>
      <c r="G1437" s="14">
        <v>0.17219907407407409</v>
      </c>
      <c r="H1437" s="7" t="s">
        <v>4</v>
      </c>
      <c r="I1437" s="2" t="str">
        <f t="shared" si="113"/>
        <v>Q1</v>
      </c>
      <c r="J1437" s="2" t="str">
        <f t="shared" si="117"/>
        <v>Match</v>
      </c>
      <c r="K1437" s="2">
        <f t="shared" si="114"/>
        <v>6.4031242374328487E-2</v>
      </c>
      <c r="L1437" s="2" t="e">
        <f t="shared" si="115"/>
        <v>#N/A</v>
      </c>
      <c r="M1437" s="2" t="str">
        <f t="shared" si="116"/>
        <v>Digital Approve Hit</v>
      </c>
      <c r="N1437" s="7">
        <v>21.2</v>
      </c>
      <c r="O1437" s="7">
        <v>0.08</v>
      </c>
      <c r="P1437" s="7">
        <v>-2.79</v>
      </c>
      <c r="Q1437" s="7">
        <v>0.25</v>
      </c>
      <c r="R1437" s="7">
        <v>0.05</v>
      </c>
      <c r="S1437" s="7">
        <v>0.04</v>
      </c>
      <c r="T1437" s="7">
        <v>-0.05</v>
      </c>
      <c r="U1437" s="7">
        <v>7.0000000000000007E-2</v>
      </c>
      <c r="V1437" s="7">
        <v>0.27</v>
      </c>
      <c r="W1437" s="7" t="s">
        <v>8</v>
      </c>
      <c r="X1437" s="7" t="s">
        <v>9</v>
      </c>
      <c r="Y1437" s="2" t="s">
        <v>719</v>
      </c>
      <c r="Z1437" s="2" t="s">
        <v>721</v>
      </c>
    </row>
    <row r="1438" spans="1:26" x14ac:dyDescent="0.35">
      <c r="A1438" s="7" t="s">
        <v>1516</v>
      </c>
      <c r="B1438" s="7" t="s">
        <v>1482</v>
      </c>
      <c r="C1438" s="4" t="str">
        <f>_xlfn.XLOOKUP(A1438,[2]Sheet2!$I$2:$I$1273,[2]Sheet2!$D$2:$D$1273,0)</f>
        <v>Q2</v>
      </c>
      <c r="D1438" s="4">
        <f>_xlfn.XLOOKUP(B1438,[4]Sheet2!$B$2:$B$3154,[4]Sheet2!$F$2:$F$3154,0)</f>
        <v>0</v>
      </c>
      <c r="E1438" s="4" t="e">
        <f>_xlfn.XLOOKUP(B1438,[2]Sheet2!$E$2:$E$713,[2]Sheet2!$G$2:$G$713)</f>
        <v>#N/A</v>
      </c>
      <c r="F1438" s="18">
        <v>46151</v>
      </c>
      <c r="G1438" s="14">
        <v>0.17399305555555555</v>
      </c>
      <c r="H1438" s="7" t="s">
        <v>14</v>
      </c>
      <c r="I1438" s="2" t="str">
        <f t="shared" si="113"/>
        <v>Q1</v>
      </c>
      <c r="J1438" s="2" t="str">
        <f t="shared" si="117"/>
        <v>Not Match</v>
      </c>
      <c r="K1438" s="2">
        <f t="shared" si="114"/>
        <v>0.29120439557122074</v>
      </c>
      <c r="L1438" s="2" t="e">
        <f t="shared" si="115"/>
        <v>#N/A</v>
      </c>
      <c r="M1438" s="2" t="str">
        <f t="shared" si="116"/>
        <v>Below 0.8 not in assigned quadrant</v>
      </c>
      <c r="N1438" s="7">
        <v>18.23</v>
      </c>
      <c r="O1438" s="7">
        <v>-1.31</v>
      </c>
      <c r="P1438" s="7">
        <v>-2.58</v>
      </c>
      <c r="Q1438" s="7">
        <v>0.24</v>
      </c>
      <c r="R1438" s="7">
        <v>0.28000000000000003</v>
      </c>
      <c r="S1438" s="7">
        <v>0.08</v>
      </c>
      <c r="T1438" s="7">
        <v>-0.24</v>
      </c>
      <c r="U1438" s="7">
        <v>0.27</v>
      </c>
      <c r="V1438" s="7">
        <v>0.44</v>
      </c>
      <c r="W1438" s="7" t="s">
        <v>8</v>
      </c>
      <c r="X1438" s="7" t="s">
        <v>9</v>
      </c>
      <c r="Y1438" s="2" t="s">
        <v>719</v>
      </c>
      <c r="Z1438" s="2" t="s">
        <v>721</v>
      </c>
    </row>
    <row r="1439" spans="1:26" x14ac:dyDescent="0.35">
      <c r="A1439" s="7" t="s">
        <v>1625</v>
      </c>
      <c r="B1439" s="7" t="s">
        <v>1483</v>
      </c>
      <c r="C1439" s="4" t="str">
        <f>_xlfn.XLOOKUP(A1439,[2]Sheet2!$I$2:$I$1273,[2]Sheet2!$D$2:$D$1273,0)</f>
        <v>Q1</v>
      </c>
      <c r="D1439" s="4">
        <f>_xlfn.XLOOKUP(B1439,[4]Sheet2!$B$2:$B$3154,[4]Sheet2!$F$2:$F$3154,0)</f>
        <v>0</v>
      </c>
      <c r="E1439" s="4" t="e">
        <f>_xlfn.XLOOKUP(B1439,[2]Sheet2!$E$2:$E$713,[2]Sheet2!$G$2:$G$713)</f>
        <v>#N/A</v>
      </c>
      <c r="F1439" s="18">
        <v>46151</v>
      </c>
      <c r="G1439" s="14">
        <v>0.21552083333333333</v>
      </c>
      <c r="H1439" s="7" t="s">
        <v>4</v>
      </c>
      <c r="I1439" s="2" t="str">
        <f t="shared" si="113"/>
        <v>Q3</v>
      </c>
      <c r="J1439" s="2" t="str">
        <f t="shared" si="117"/>
        <v>Not Match</v>
      </c>
      <c r="K1439" s="2">
        <f t="shared" si="114"/>
        <v>4.2426406871192854E-2</v>
      </c>
      <c r="L1439" s="2" t="e">
        <f t="shared" si="115"/>
        <v>#N/A</v>
      </c>
      <c r="M1439" s="2" t="str">
        <f t="shared" si="116"/>
        <v>Below 0.8 not in assigned quadrant</v>
      </c>
      <c r="N1439" s="7">
        <v>21.18</v>
      </c>
      <c r="O1439" s="7">
        <v>0</v>
      </c>
      <c r="P1439" s="7">
        <v>-2.86</v>
      </c>
      <c r="Q1439" s="7">
        <v>0.24</v>
      </c>
      <c r="R1439" s="7">
        <v>-0.03</v>
      </c>
      <c r="S1439" s="7">
        <v>-0.03</v>
      </c>
      <c r="T1439" s="7">
        <v>0.04</v>
      </c>
      <c r="U1439" s="7">
        <v>-0.03</v>
      </c>
      <c r="V1439" s="7">
        <v>0.24</v>
      </c>
      <c r="W1439" s="7" t="s">
        <v>8</v>
      </c>
      <c r="X1439" s="7" t="s">
        <v>15</v>
      </c>
      <c r="Y1439" s="2" t="s">
        <v>719</v>
      </c>
      <c r="Z1439" s="2" t="s">
        <v>721</v>
      </c>
    </row>
    <row r="1440" spans="1:26" x14ac:dyDescent="0.35">
      <c r="A1440" s="7" t="s">
        <v>1818</v>
      </c>
      <c r="B1440" s="7" t="s">
        <v>1484</v>
      </c>
      <c r="C1440" s="4" t="str">
        <f>_xlfn.XLOOKUP(A1440,[2]Sheet2!$I$2:$I$1273,[2]Sheet2!$D$2:$D$1273,0)</f>
        <v>Q2</v>
      </c>
      <c r="D1440" s="4">
        <f>_xlfn.XLOOKUP(B1440,[4]Sheet2!$B$2:$B$3154,[4]Sheet2!$F$2:$F$3154,0)</f>
        <v>0</v>
      </c>
      <c r="E1440" s="4" t="e">
        <f>_xlfn.XLOOKUP(B1440,[2]Sheet2!$E$2:$E$713,[2]Sheet2!$G$2:$G$713)</f>
        <v>#N/A</v>
      </c>
      <c r="F1440" s="18">
        <v>46151</v>
      </c>
      <c r="G1440" s="14">
        <v>0.21751157407407407</v>
      </c>
      <c r="H1440" s="7" t="s">
        <v>4</v>
      </c>
      <c r="I1440" s="2" t="str">
        <f t="shared" si="113"/>
        <v>Q4</v>
      </c>
      <c r="J1440" s="2" t="str">
        <f t="shared" si="117"/>
        <v>Not Match</v>
      </c>
      <c r="K1440" s="2">
        <f t="shared" si="114"/>
        <v>0.63890531379853144</v>
      </c>
      <c r="L1440" s="2" t="e">
        <f t="shared" si="115"/>
        <v>#N/A</v>
      </c>
      <c r="M1440" s="2" t="str">
        <f t="shared" si="116"/>
        <v>Assign quadrant hit</v>
      </c>
      <c r="N1440" s="7">
        <v>41.77</v>
      </c>
      <c r="O1440" s="7">
        <v>47.91</v>
      </c>
      <c r="P1440" s="7">
        <v>27.86</v>
      </c>
      <c r="Q1440" s="7">
        <v>-0.72</v>
      </c>
      <c r="R1440" s="7">
        <v>0.41</v>
      </c>
      <c r="S1440" s="7">
        <v>-0.49</v>
      </c>
      <c r="T1440" s="7">
        <v>0.04</v>
      </c>
      <c r="U1440" s="7">
        <v>-0.45</v>
      </c>
      <c r="V1440" s="7">
        <v>0.84</v>
      </c>
      <c r="W1440" s="7" t="s">
        <v>13</v>
      </c>
      <c r="X1440" s="7" t="s">
        <v>7</v>
      </c>
      <c r="Y1440" s="2" t="s">
        <v>719</v>
      </c>
      <c r="Z1440" s="2" t="s">
        <v>721</v>
      </c>
    </row>
    <row r="1441" spans="1:26" x14ac:dyDescent="0.35">
      <c r="A1441" s="7" t="s">
        <v>1773</v>
      </c>
      <c r="B1441" s="7" t="s">
        <v>1485</v>
      </c>
      <c r="C1441" s="4" t="str">
        <f>_xlfn.XLOOKUP(A1441,[2]Sheet2!$I$2:$I$1273,[2]Sheet2!$D$2:$D$1273,0)</f>
        <v>Q3</v>
      </c>
      <c r="D1441" s="4">
        <f>_xlfn.XLOOKUP(B1441,[4]Sheet2!$B$2:$B$3154,[4]Sheet2!$F$2:$F$3154,0)</f>
        <v>0</v>
      </c>
      <c r="E1441" s="4" t="e">
        <f>_xlfn.XLOOKUP(B1441,[2]Sheet2!$E$2:$E$713,[2]Sheet2!$G$2:$G$713)</f>
        <v>#N/A</v>
      </c>
      <c r="F1441" s="18">
        <v>46151</v>
      </c>
      <c r="G1441" s="14">
        <v>0.21958333333333332</v>
      </c>
      <c r="H1441" s="7" t="s">
        <v>5</v>
      </c>
      <c r="I1441" s="2" t="str">
        <f t="shared" si="113"/>
        <v>Q1</v>
      </c>
      <c r="J1441" s="2" t="str">
        <f t="shared" si="117"/>
        <v>Not Match</v>
      </c>
      <c r="K1441" s="2">
        <f t="shared" si="114"/>
        <v>8.2462112512353219E-2</v>
      </c>
      <c r="L1441" s="2" t="e">
        <f t="shared" si="115"/>
        <v>#N/A</v>
      </c>
      <c r="M1441" s="2" t="str">
        <f t="shared" si="116"/>
        <v>Below 0.8 not in assigned quadrant</v>
      </c>
      <c r="N1441" s="7">
        <v>16.079999999999998</v>
      </c>
      <c r="O1441" s="7">
        <v>-1.28</v>
      </c>
      <c r="P1441" s="7">
        <v>-3.37</v>
      </c>
      <c r="Q1441" s="7">
        <v>0.15</v>
      </c>
      <c r="R1441" s="7">
        <v>0.02</v>
      </c>
      <c r="S1441" s="7">
        <v>0.08</v>
      </c>
      <c r="T1441" s="7">
        <v>-0.1</v>
      </c>
      <c r="U1441" s="7">
        <v>-0.02</v>
      </c>
      <c r="V1441" s="7">
        <v>0.18</v>
      </c>
      <c r="W1441" s="7" t="s">
        <v>8</v>
      </c>
      <c r="X1441" s="7" t="s">
        <v>15</v>
      </c>
      <c r="Y1441" s="2" t="s">
        <v>719</v>
      </c>
      <c r="Z1441" s="2" t="s">
        <v>721</v>
      </c>
    </row>
    <row r="1442" spans="1:26" x14ac:dyDescent="0.35">
      <c r="A1442" s="7" t="s">
        <v>1779</v>
      </c>
      <c r="B1442" s="7" t="s">
        <v>1486</v>
      </c>
      <c r="C1442" s="4" t="str">
        <f>_xlfn.XLOOKUP(A1442,[2]Sheet2!$I$2:$I$1273,[2]Sheet2!$D$2:$D$1273,0)</f>
        <v>Q4</v>
      </c>
      <c r="D1442" s="4">
        <f>_xlfn.XLOOKUP(B1442,[4]Sheet2!$B$2:$B$3154,[4]Sheet2!$F$2:$F$3154,0)</f>
        <v>0</v>
      </c>
      <c r="E1442" s="4" t="e">
        <f>_xlfn.XLOOKUP(B1442,[2]Sheet2!$E$2:$E$713,[2]Sheet2!$G$2:$G$713)</f>
        <v>#N/A</v>
      </c>
      <c r="F1442" s="18">
        <v>46151</v>
      </c>
      <c r="G1442" s="14">
        <v>0.22229166666666667</v>
      </c>
      <c r="H1442" s="7" t="s">
        <v>11</v>
      </c>
      <c r="I1442" s="2" t="str">
        <f t="shared" si="113"/>
        <v>Q4</v>
      </c>
      <c r="J1442" s="2" t="str">
        <f t="shared" si="117"/>
        <v>Match</v>
      </c>
      <c r="K1442" s="2">
        <f t="shared" si="114"/>
        <v>0.44418464629025617</v>
      </c>
      <c r="L1442" s="2" t="e">
        <f t="shared" si="115"/>
        <v>#N/A</v>
      </c>
      <c r="M1442" s="2" t="str">
        <f t="shared" si="116"/>
        <v>Digital Approve Hit</v>
      </c>
      <c r="N1442" s="7">
        <v>29.98</v>
      </c>
      <c r="O1442" s="7">
        <v>-10.98</v>
      </c>
      <c r="P1442" s="7">
        <v>-20.48</v>
      </c>
      <c r="Q1442" s="7">
        <v>-0.52</v>
      </c>
      <c r="R1442" s="7">
        <v>0.23</v>
      </c>
      <c r="S1442" s="7">
        <v>-0.38</v>
      </c>
      <c r="T1442" s="7">
        <v>0.13</v>
      </c>
      <c r="U1442" s="7">
        <v>0.32</v>
      </c>
      <c r="V1442" s="7">
        <v>0.63</v>
      </c>
      <c r="W1442" s="7" t="s">
        <v>8</v>
      </c>
      <c r="X1442" s="7" t="s">
        <v>9</v>
      </c>
      <c r="Y1442" s="2" t="s">
        <v>719</v>
      </c>
      <c r="Z1442" s="2" t="s">
        <v>721</v>
      </c>
    </row>
    <row r="1443" spans="1:26" x14ac:dyDescent="0.35">
      <c r="A1443" s="7" t="s">
        <v>1824</v>
      </c>
      <c r="B1443" s="7" t="s">
        <v>1487</v>
      </c>
      <c r="C1443" s="4" t="str">
        <f>_xlfn.XLOOKUP(A1443,[2]Sheet2!$I$2:$I$1273,[2]Sheet2!$D$2:$D$1273,0)</f>
        <v>Q3</v>
      </c>
      <c r="D1443" s="4">
        <f>_xlfn.XLOOKUP(B1443,[4]Sheet2!$B$2:$B$3154,[4]Sheet2!$F$2:$F$3154,0)</f>
        <v>0</v>
      </c>
      <c r="E1443" s="4" t="e">
        <f>_xlfn.XLOOKUP(B1443,[2]Sheet2!$E$2:$E$713,[2]Sheet2!$G$2:$G$713)</f>
        <v>#N/A</v>
      </c>
      <c r="F1443" s="18">
        <v>46151</v>
      </c>
      <c r="G1443" s="14">
        <v>0.2570601851851852</v>
      </c>
      <c r="H1443" s="7" t="s">
        <v>5</v>
      </c>
      <c r="I1443" s="2" t="str">
        <f t="shared" si="113"/>
        <v>Q3</v>
      </c>
      <c r="J1443" s="2" t="str">
        <f t="shared" si="117"/>
        <v>Match</v>
      </c>
      <c r="K1443" s="2">
        <f t="shared" si="114"/>
        <v>1.1513470371699404</v>
      </c>
      <c r="L1443" s="2" t="e">
        <f t="shared" si="115"/>
        <v>#N/A</v>
      </c>
      <c r="M1443" s="2" t="str">
        <f t="shared" si="116"/>
        <v>Failed but within quadrant</v>
      </c>
      <c r="N1443" s="7">
        <v>44.64</v>
      </c>
      <c r="O1443" s="7">
        <v>13.81</v>
      </c>
      <c r="P1443" s="7">
        <v>18.97</v>
      </c>
      <c r="Q1443" s="7">
        <v>-0.61</v>
      </c>
      <c r="R1443" s="7">
        <v>-0.34</v>
      </c>
      <c r="S1443" s="7">
        <v>-1.1000000000000001</v>
      </c>
      <c r="T1443" s="7">
        <v>-0.6</v>
      </c>
      <c r="U1443" s="7">
        <v>-0.55000000000000004</v>
      </c>
      <c r="V1443" s="7">
        <v>1.02</v>
      </c>
      <c r="W1443" s="7" t="s">
        <v>6</v>
      </c>
      <c r="X1443" s="7" t="s">
        <v>9</v>
      </c>
      <c r="Y1443" s="2" t="s">
        <v>719</v>
      </c>
      <c r="Z1443" s="2" t="s">
        <v>721</v>
      </c>
    </row>
    <row r="1444" spans="1:26" x14ac:dyDescent="0.35">
      <c r="A1444" s="7" t="s">
        <v>1638</v>
      </c>
      <c r="B1444" s="7" t="s">
        <v>1488</v>
      </c>
      <c r="C1444" s="4" t="str">
        <f>_xlfn.XLOOKUP(A1444,[2]Sheet2!$I$2:$I$1273,[2]Sheet2!$D$2:$D$1273,0)</f>
        <v>Q1</v>
      </c>
      <c r="D1444" s="4">
        <f>_xlfn.XLOOKUP(B1444,[4]Sheet2!$B$2:$B$3154,[4]Sheet2!$F$2:$F$3154,0)</f>
        <v>0</v>
      </c>
      <c r="E1444" s="4" t="e">
        <f>_xlfn.XLOOKUP(B1444,[2]Sheet2!$E$2:$E$713,[2]Sheet2!$G$2:$G$713)</f>
        <v>#N/A</v>
      </c>
      <c r="F1444" s="18">
        <v>46151</v>
      </c>
      <c r="G1444" s="14">
        <v>0.27075231481481482</v>
      </c>
      <c r="H1444" s="7" t="s">
        <v>4</v>
      </c>
      <c r="I1444" s="2" t="str">
        <f t="shared" si="113"/>
        <v>Q1</v>
      </c>
      <c r="J1444" s="2" t="str">
        <f t="shared" si="117"/>
        <v>Match</v>
      </c>
      <c r="K1444" s="2">
        <f t="shared" si="114"/>
        <v>0.261725046566048</v>
      </c>
      <c r="L1444" s="2" t="e">
        <f t="shared" si="115"/>
        <v>#N/A</v>
      </c>
      <c r="M1444" s="2" t="str">
        <f t="shared" si="116"/>
        <v>Digital Approve Hit</v>
      </c>
      <c r="N1444" s="7">
        <v>14.4</v>
      </c>
      <c r="O1444" s="7">
        <v>-1.1499999999999999</v>
      </c>
      <c r="P1444" s="7">
        <v>-1.84</v>
      </c>
      <c r="Q1444" s="7">
        <v>-0.09</v>
      </c>
      <c r="R1444" s="7">
        <v>0.19</v>
      </c>
      <c r="S1444" s="7">
        <v>0.18</v>
      </c>
      <c r="T1444" s="7">
        <v>-0.32</v>
      </c>
      <c r="U1444" s="7">
        <v>0.08</v>
      </c>
      <c r="V1444" s="7">
        <v>0.34</v>
      </c>
      <c r="W1444" s="7" t="s">
        <v>8</v>
      </c>
      <c r="X1444" s="7" t="s">
        <v>9</v>
      </c>
      <c r="Y1444" s="2" t="s">
        <v>719</v>
      </c>
      <c r="Z1444" s="2" t="s">
        <v>721</v>
      </c>
    </row>
    <row r="1445" spans="1:26" x14ac:dyDescent="0.35">
      <c r="A1445" s="7" t="s">
        <v>1825</v>
      </c>
      <c r="B1445" s="7" t="s">
        <v>1367</v>
      </c>
      <c r="C1445" s="4" t="str">
        <f>_xlfn.XLOOKUP(A1445,[2]Sheet2!$I$2:$I$1273,[2]Sheet2!$D$2:$D$1273,0)</f>
        <v>Q1</v>
      </c>
      <c r="D1445" s="4">
        <f>_xlfn.XLOOKUP(B1445,[4]Sheet2!$B$2:$B$3154,[4]Sheet2!$F$2:$F$3154,0)</f>
        <v>0</v>
      </c>
      <c r="E1445" s="4" t="e">
        <f>_xlfn.XLOOKUP(B1445,[2]Sheet2!$E$2:$E$713,[2]Sheet2!$G$2:$G$713)</f>
        <v>#N/A</v>
      </c>
      <c r="F1445" s="18">
        <v>46151</v>
      </c>
      <c r="G1445" s="14">
        <v>0.5002199074074074</v>
      </c>
      <c r="H1445" s="7" t="s">
        <v>4</v>
      </c>
      <c r="I1445" s="2" t="str">
        <f t="shared" si="113"/>
        <v>Q1</v>
      </c>
      <c r="J1445" s="2" t="str">
        <f t="shared" si="117"/>
        <v>Match</v>
      </c>
      <c r="K1445" s="2">
        <f t="shared" si="114"/>
        <v>0.61983868869246939</v>
      </c>
      <c r="L1445" s="2" t="e">
        <f t="shared" si="115"/>
        <v>#N/A</v>
      </c>
      <c r="M1445" s="2" t="str">
        <f t="shared" si="116"/>
        <v>Digital Approve Hit</v>
      </c>
      <c r="N1445" s="7">
        <v>27.52</v>
      </c>
      <c r="O1445" s="7">
        <v>33.200000000000003</v>
      </c>
      <c r="P1445" s="7">
        <v>4.87</v>
      </c>
      <c r="Q1445" s="7">
        <v>0.4</v>
      </c>
      <c r="R1445" s="7">
        <v>0.59</v>
      </c>
      <c r="S1445" s="7">
        <v>0.19</v>
      </c>
      <c r="T1445" s="7">
        <v>0.28999999999999998</v>
      </c>
      <c r="U1445" s="7">
        <v>7.0000000000000007E-2</v>
      </c>
      <c r="V1445" s="7">
        <v>0.5</v>
      </c>
      <c r="W1445" s="7" t="s">
        <v>8</v>
      </c>
      <c r="X1445" s="7" t="s">
        <v>9</v>
      </c>
      <c r="Y1445" s="2" t="s">
        <v>719</v>
      </c>
      <c r="Z1445" s="2" t="s">
        <v>721</v>
      </c>
    </row>
    <row r="1446" spans="1:26" x14ac:dyDescent="0.35">
      <c r="A1446" s="7" t="s">
        <v>1557</v>
      </c>
      <c r="B1446" s="7" t="s">
        <v>1489</v>
      </c>
      <c r="C1446" s="4" t="str">
        <f>_xlfn.XLOOKUP(A1446,[2]Sheet2!$I$2:$I$1273,[2]Sheet2!$D$2:$D$1273,0)</f>
        <v>Q3</v>
      </c>
      <c r="D1446" s="4">
        <f>_xlfn.XLOOKUP(B1446,[4]Sheet2!$B$2:$B$3154,[4]Sheet2!$F$2:$F$3154,0)</f>
        <v>0</v>
      </c>
      <c r="E1446" s="4" t="e">
        <f>_xlfn.XLOOKUP(B1446,[2]Sheet2!$E$2:$E$713,[2]Sheet2!$G$2:$G$713)</f>
        <v>#N/A</v>
      </c>
      <c r="F1446" s="18">
        <v>46151</v>
      </c>
      <c r="G1446" s="14">
        <v>0.52733796296296298</v>
      </c>
      <c r="H1446" s="7" t="s">
        <v>16</v>
      </c>
      <c r="I1446" s="2" t="str">
        <f t="shared" si="113"/>
        <v>Q3</v>
      </c>
      <c r="J1446" s="2" t="str">
        <f t="shared" si="117"/>
        <v>Match</v>
      </c>
      <c r="K1446" s="2">
        <f t="shared" si="114"/>
        <v>0.26476404589747454</v>
      </c>
      <c r="L1446" s="2" t="e">
        <f t="shared" si="115"/>
        <v>#N/A</v>
      </c>
      <c r="M1446" s="2" t="str">
        <f t="shared" si="116"/>
        <v>Digital Approve Hit</v>
      </c>
      <c r="N1446" s="7">
        <v>14.57</v>
      </c>
      <c r="O1446" s="7">
        <v>-0.38</v>
      </c>
      <c r="P1446" s="7">
        <v>-2.11</v>
      </c>
      <c r="Q1446" s="7">
        <v>-0.69</v>
      </c>
      <c r="R1446" s="7">
        <v>-0.05</v>
      </c>
      <c r="S1446" s="7">
        <v>-0.26</v>
      </c>
      <c r="T1446" s="7">
        <v>0.35</v>
      </c>
      <c r="U1446" s="7">
        <v>-0.01</v>
      </c>
      <c r="V1446" s="7">
        <v>0.77</v>
      </c>
      <c r="W1446" s="7" t="s">
        <v>13</v>
      </c>
      <c r="X1446" s="7" t="s">
        <v>15</v>
      </c>
      <c r="Y1446" s="2" t="s">
        <v>719</v>
      </c>
      <c r="Z1446" s="2" t="s">
        <v>721</v>
      </c>
    </row>
    <row r="1447" spans="1:26" x14ac:dyDescent="0.35">
      <c r="A1447" s="7" t="s">
        <v>1779</v>
      </c>
      <c r="B1447" s="7" t="s">
        <v>1490</v>
      </c>
      <c r="C1447" s="4" t="str">
        <f>_xlfn.XLOOKUP(A1447,[2]Sheet2!$I$2:$I$1273,[2]Sheet2!$D$2:$D$1273,0)</f>
        <v>Q4</v>
      </c>
      <c r="D1447" s="4">
        <f>_xlfn.XLOOKUP(B1447,[4]Sheet2!$B$2:$B$3154,[4]Sheet2!$F$2:$F$3154,0)</f>
        <v>0</v>
      </c>
      <c r="E1447" s="4" t="e">
        <f>_xlfn.XLOOKUP(B1447,[2]Sheet2!$E$2:$E$713,[2]Sheet2!$G$2:$G$713)</f>
        <v>#N/A</v>
      </c>
      <c r="F1447" s="18">
        <v>46151</v>
      </c>
      <c r="G1447" s="14">
        <v>0.57418981481481479</v>
      </c>
      <c r="H1447" s="7" t="s">
        <v>11</v>
      </c>
      <c r="I1447" s="2" t="str">
        <f t="shared" si="113"/>
        <v>Q4</v>
      </c>
      <c r="J1447" s="2" t="str">
        <f t="shared" si="117"/>
        <v>Match</v>
      </c>
      <c r="K1447" s="2">
        <f t="shared" si="114"/>
        <v>0.2353720459187964</v>
      </c>
      <c r="L1447" s="2" t="e">
        <f t="shared" si="115"/>
        <v>#N/A</v>
      </c>
      <c r="M1447" s="2" t="str">
        <f t="shared" si="116"/>
        <v>Digital Approve Hit</v>
      </c>
      <c r="N1447" s="7">
        <v>30.26</v>
      </c>
      <c r="O1447" s="7">
        <v>-11.16</v>
      </c>
      <c r="P1447" s="7">
        <v>-20.329999999999998</v>
      </c>
      <c r="Q1447" s="7">
        <v>-0.36</v>
      </c>
      <c r="R1447" s="7">
        <v>0.05</v>
      </c>
      <c r="S1447" s="7">
        <v>-0.23</v>
      </c>
      <c r="T1447" s="7">
        <v>0.1</v>
      </c>
      <c r="U1447" s="7">
        <v>0.12</v>
      </c>
      <c r="V1447" s="7">
        <v>0.39</v>
      </c>
      <c r="W1447" s="7" t="s">
        <v>8</v>
      </c>
      <c r="X1447" s="7" t="s">
        <v>9</v>
      </c>
      <c r="Y1447" s="2" t="s">
        <v>719</v>
      </c>
      <c r="Z1447" s="2" t="s">
        <v>721</v>
      </c>
    </row>
    <row r="1448" spans="1:26" x14ac:dyDescent="0.35">
      <c r="A1448" s="7" t="s">
        <v>1587</v>
      </c>
      <c r="B1448" s="7" t="s">
        <v>1491</v>
      </c>
      <c r="C1448" s="4" t="str">
        <f>_xlfn.XLOOKUP(A1448,[2]Sheet2!$I$2:$I$1273,[2]Sheet2!$D$2:$D$1273,0)</f>
        <v>Q4</v>
      </c>
      <c r="D1448" s="4">
        <f>_xlfn.XLOOKUP(B1448,[4]Sheet2!$B$2:$B$3154,[4]Sheet2!$F$2:$F$3154,0)</f>
        <v>0</v>
      </c>
      <c r="E1448" s="4" t="e">
        <f>_xlfn.XLOOKUP(B1448,[2]Sheet2!$E$2:$E$713,[2]Sheet2!$G$2:$G$713)</f>
        <v>#N/A</v>
      </c>
      <c r="F1448" s="18">
        <v>46151</v>
      </c>
      <c r="G1448" s="14">
        <v>0.60171296296296295</v>
      </c>
      <c r="H1448" s="7" t="s">
        <v>4</v>
      </c>
      <c r="I1448" s="2" t="str">
        <f t="shared" si="113"/>
        <v>Q2</v>
      </c>
      <c r="J1448" s="2" t="str">
        <f t="shared" si="117"/>
        <v>Not Match</v>
      </c>
      <c r="K1448" s="2">
        <f t="shared" si="114"/>
        <v>3.605551275463989E-2</v>
      </c>
      <c r="L1448" s="2" t="e">
        <f t="shared" si="115"/>
        <v>#N/A</v>
      </c>
      <c r="M1448" s="2" t="str">
        <f t="shared" si="116"/>
        <v>Assign quadrant hit</v>
      </c>
      <c r="N1448" s="7">
        <v>17.059999999999999</v>
      </c>
      <c r="O1448" s="7">
        <v>-1.1399999999999999</v>
      </c>
      <c r="P1448" s="7">
        <v>-2.5299999999999998</v>
      </c>
      <c r="Q1448" s="7">
        <v>-1.22</v>
      </c>
      <c r="R1448" s="7">
        <v>-0.02</v>
      </c>
      <c r="S1448" s="7">
        <v>0.03</v>
      </c>
      <c r="T1448" s="7">
        <v>-0.02</v>
      </c>
      <c r="U1448" s="7">
        <v>-0.03</v>
      </c>
      <c r="V1448" s="7">
        <v>1.22</v>
      </c>
      <c r="W1448" s="7" t="s">
        <v>6</v>
      </c>
      <c r="X1448" s="7" t="s">
        <v>15</v>
      </c>
      <c r="Y1448" s="2" t="s">
        <v>719</v>
      </c>
      <c r="Z1448" s="2" t="s">
        <v>721</v>
      </c>
    </row>
    <row r="1449" spans="1:26" x14ac:dyDescent="0.35">
      <c r="A1449" s="7" t="s">
        <v>1559</v>
      </c>
      <c r="B1449" s="7" t="s">
        <v>1492</v>
      </c>
      <c r="C1449" s="4" t="str">
        <f>_xlfn.XLOOKUP(A1449,[2]Sheet2!$I$2:$I$1273,[2]Sheet2!$D$2:$D$1273,0)</f>
        <v>Q3</v>
      </c>
      <c r="D1449" s="4">
        <f>_xlfn.XLOOKUP(B1449,[4]Sheet2!$B$2:$B$3154,[4]Sheet2!$F$2:$F$3154,0)</f>
        <v>0</v>
      </c>
      <c r="E1449" s="4" t="e">
        <f>_xlfn.XLOOKUP(B1449,[2]Sheet2!$E$2:$E$713,[2]Sheet2!$G$2:$G$713)</f>
        <v>#N/A</v>
      </c>
      <c r="F1449" s="18">
        <v>46151</v>
      </c>
      <c r="G1449" s="14">
        <v>0.60375000000000001</v>
      </c>
      <c r="H1449" s="7" t="s">
        <v>11</v>
      </c>
      <c r="I1449" s="2" t="str">
        <f t="shared" si="113"/>
        <v>Q3</v>
      </c>
      <c r="J1449" s="2" t="str">
        <f t="shared" si="117"/>
        <v>Match</v>
      </c>
      <c r="K1449" s="2">
        <f t="shared" si="114"/>
        <v>0.11045361017187261</v>
      </c>
      <c r="L1449" s="2" t="e">
        <f t="shared" si="115"/>
        <v>#N/A</v>
      </c>
      <c r="M1449" s="2" t="str">
        <f t="shared" si="116"/>
        <v>Digital Approve Hit</v>
      </c>
      <c r="N1449" s="7">
        <v>16.97</v>
      </c>
      <c r="O1449" s="7">
        <v>-0.65</v>
      </c>
      <c r="P1449" s="7">
        <v>-2.96</v>
      </c>
      <c r="Q1449" s="7">
        <v>-0.72</v>
      </c>
      <c r="R1449" s="7">
        <v>-0.01</v>
      </c>
      <c r="S1449" s="7">
        <v>-0.11</v>
      </c>
      <c r="T1449" s="7">
        <v>0.13</v>
      </c>
      <c r="U1449" s="7">
        <v>0.02</v>
      </c>
      <c r="V1449" s="7">
        <v>0.73</v>
      </c>
      <c r="W1449" s="7" t="s">
        <v>8</v>
      </c>
      <c r="X1449" s="7" t="s">
        <v>9</v>
      </c>
      <c r="Y1449" s="2" t="s">
        <v>719</v>
      </c>
      <c r="Z1449" s="2" t="s">
        <v>721</v>
      </c>
    </row>
    <row r="1450" spans="1:26" x14ac:dyDescent="0.35">
      <c r="A1450" s="7" t="s">
        <v>1559</v>
      </c>
      <c r="B1450" s="7" t="s">
        <v>1493</v>
      </c>
      <c r="C1450" s="4" t="str">
        <f>_xlfn.XLOOKUP(A1450,[2]Sheet2!$I$2:$I$1273,[2]Sheet2!$D$2:$D$1273,0)</f>
        <v>Q3</v>
      </c>
      <c r="D1450" s="4">
        <f>_xlfn.XLOOKUP(B1450,[4]Sheet2!$B$2:$B$3154,[4]Sheet2!$F$2:$F$3154,0)</f>
        <v>0</v>
      </c>
      <c r="E1450" s="4" t="e">
        <f>_xlfn.XLOOKUP(B1450,[2]Sheet2!$E$2:$E$713,[2]Sheet2!$G$2:$G$713)</f>
        <v>#N/A</v>
      </c>
      <c r="F1450" s="18">
        <v>46151</v>
      </c>
      <c r="G1450" s="14">
        <v>0.6056597222222222</v>
      </c>
      <c r="H1450" s="7" t="s">
        <v>11</v>
      </c>
      <c r="I1450" s="2" t="str">
        <f t="shared" si="113"/>
        <v>Q4</v>
      </c>
      <c r="J1450" s="2" t="str">
        <f t="shared" si="117"/>
        <v>Not Match</v>
      </c>
      <c r="K1450" s="2">
        <f t="shared" si="114"/>
        <v>0.15811388300841897</v>
      </c>
      <c r="L1450" s="2" t="e">
        <f t="shared" si="115"/>
        <v>#N/A</v>
      </c>
      <c r="M1450" s="2" t="str">
        <f t="shared" si="116"/>
        <v>Assign quadrant hit</v>
      </c>
      <c r="N1450" s="7">
        <v>16.850000000000001</v>
      </c>
      <c r="O1450" s="7">
        <v>-0.49</v>
      </c>
      <c r="P1450" s="7">
        <v>-2.9</v>
      </c>
      <c r="Q1450" s="7">
        <v>-0.82</v>
      </c>
      <c r="R1450" s="7">
        <v>0.15</v>
      </c>
      <c r="S1450" s="7">
        <v>-0.05</v>
      </c>
      <c r="T1450" s="7">
        <v>0.02</v>
      </c>
      <c r="U1450" s="7">
        <v>0.21</v>
      </c>
      <c r="V1450" s="7">
        <v>0.85</v>
      </c>
      <c r="W1450" s="7" t="s">
        <v>13</v>
      </c>
      <c r="X1450" s="7" t="s">
        <v>9</v>
      </c>
      <c r="Y1450" s="2" t="s">
        <v>719</v>
      </c>
      <c r="Z1450" s="2" t="s">
        <v>721</v>
      </c>
    </row>
    <row r="1451" spans="1:26" x14ac:dyDescent="0.35">
      <c r="A1451" s="7" t="s">
        <v>1633</v>
      </c>
      <c r="B1451" s="7" t="s">
        <v>1494</v>
      </c>
      <c r="C1451" s="4" t="str">
        <f>_xlfn.XLOOKUP(A1451,[2]Sheet2!$I$2:$I$1273,[2]Sheet2!$D$2:$D$1273,0)</f>
        <v>Q3</v>
      </c>
      <c r="D1451" s="4">
        <f>_xlfn.XLOOKUP(B1451,[4]Sheet2!$B$2:$B$3154,[4]Sheet2!$F$2:$F$3154,0)</f>
        <v>0</v>
      </c>
      <c r="E1451" s="4" t="e">
        <f>_xlfn.XLOOKUP(B1451,[2]Sheet2!$E$2:$E$713,[2]Sheet2!$G$2:$G$713)</f>
        <v>#N/A</v>
      </c>
      <c r="F1451" s="18">
        <v>46151</v>
      </c>
      <c r="G1451" s="14">
        <v>0.71769675925925924</v>
      </c>
      <c r="H1451" s="7" t="s">
        <v>4</v>
      </c>
      <c r="I1451" s="2" t="str">
        <f t="shared" si="113"/>
        <v>Q2</v>
      </c>
      <c r="J1451" s="2" t="str">
        <f t="shared" si="117"/>
        <v>Not Match</v>
      </c>
      <c r="K1451" s="2">
        <f t="shared" si="114"/>
        <v>0.33015148038438358</v>
      </c>
      <c r="L1451" s="2" t="e">
        <f t="shared" si="115"/>
        <v>#N/A</v>
      </c>
      <c r="M1451" s="2" t="str">
        <f t="shared" si="116"/>
        <v>Assign quadrant hit</v>
      </c>
      <c r="N1451" s="7">
        <v>14.74</v>
      </c>
      <c r="O1451" s="7">
        <v>-1.49</v>
      </c>
      <c r="P1451" s="7">
        <v>-1.85</v>
      </c>
      <c r="Q1451" s="7">
        <v>-0.73</v>
      </c>
      <c r="R1451" s="7">
        <v>-0.01</v>
      </c>
      <c r="S1451" s="7">
        <v>0.33</v>
      </c>
      <c r="T1451" s="7">
        <v>-0.32</v>
      </c>
      <c r="U1451" s="7">
        <v>-0.27</v>
      </c>
      <c r="V1451" s="7">
        <v>0.84</v>
      </c>
      <c r="W1451" s="7" t="s">
        <v>13</v>
      </c>
      <c r="X1451" s="7" t="s">
        <v>15</v>
      </c>
      <c r="Y1451" s="2" t="s">
        <v>719</v>
      </c>
      <c r="Z1451" s="2" t="s">
        <v>721</v>
      </c>
    </row>
    <row r="1452" spans="1:26" x14ac:dyDescent="0.35">
      <c r="A1452" s="7" t="s">
        <v>1559</v>
      </c>
      <c r="B1452" s="7" t="s">
        <v>1495</v>
      </c>
      <c r="C1452" s="4" t="str">
        <f>_xlfn.XLOOKUP(A1452,[2]Sheet2!$I$2:$I$1273,[2]Sheet2!$D$2:$D$1273,0)</f>
        <v>Q3</v>
      </c>
      <c r="D1452" s="4">
        <f>_xlfn.XLOOKUP(B1452,[4]Sheet2!$B$2:$B$3154,[4]Sheet2!$F$2:$F$3154,0)</f>
        <v>0</v>
      </c>
      <c r="E1452" s="4" t="e">
        <f>_xlfn.XLOOKUP(B1452,[2]Sheet2!$E$2:$E$713,[2]Sheet2!$G$2:$G$713)</f>
        <v>#N/A</v>
      </c>
      <c r="F1452" s="18">
        <v>46151</v>
      </c>
      <c r="G1452" s="14">
        <v>0.72112268518518519</v>
      </c>
      <c r="H1452" s="7" t="s">
        <v>11</v>
      </c>
      <c r="I1452" s="2" t="str">
        <f t="shared" si="113"/>
        <v>Q3</v>
      </c>
      <c r="J1452" s="2" t="str">
        <f t="shared" si="117"/>
        <v>Match</v>
      </c>
      <c r="K1452" s="2">
        <f t="shared" si="114"/>
        <v>0.36055512754639896</v>
      </c>
      <c r="L1452" s="2" t="e">
        <f t="shared" si="115"/>
        <v>#N/A</v>
      </c>
      <c r="M1452" s="2" t="str">
        <f t="shared" si="116"/>
        <v>Failed but within quadrant</v>
      </c>
      <c r="N1452" s="7">
        <v>16.54</v>
      </c>
      <c r="O1452" s="7">
        <v>-0.66</v>
      </c>
      <c r="P1452" s="7">
        <v>-3.2</v>
      </c>
      <c r="Q1452" s="7">
        <v>-1.1000000000000001</v>
      </c>
      <c r="R1452" s="7">
        <v>-0.02</v>
      </c>
      <c r="S1452" s="7">
        <v>-0.36</v>
      </c>
      <c r="T1452" s="7">
        <v>0.43</v>
      </c>
      <c r="U1452" s="7">
        <v>7.0000000000000007E-2</v>
      </c>
      <c r="V1452" s="7">
        <v>1.19</v>
      </c>
      <c r="W1452" s="7" t="s">
        <v>6</v>
      </c>
      <c r="X1452" s="7" t="s">
        <v>9</v>
      </c>
      <c r="Y1452" s="2" t="s">
        <v>719</v>
      </c>
      <c r="Z1452" s="2" t="s">
        <v>721</v>
      </c>
    </row>
    <row r="1453" spans="1:26" x14ac:dyDescent="0.35">
      <c r="A1453" s="7" t="s">
        <v>1826</v>
      </c>
      <c r="B1453" s="7" t="s">
        <v>1496</v>
      </c>
      <c r="C1453" s="4" t="str">
        <f>_xlfn.XLOOKUP(A1453,[2]Sheet2!$I$2:$I$1273,[2]Sheet2!$D$2:$D$1273,0)</f>
        <v>Q1</v>
      </c>
      <c r="D1453" s="4">
        <f>_xlfn.XLOOKUP(B1453,[4]Sheet2!$B$2:$B$3154,[4]Sheet2!$F$2:$F$3154,0)</f>
        <v>0</v>
      </c>
      <c r="E1453" s="4" t="e">
        <f>_xlfn.XLOOKUP(B1453,[2]Sheet2!$E$2:$E$713,[2]Sheet2!$G$2:$G$713)</f>
        <v>#N/A</v>
      </c>
      <c r="F1453" s="18">
        <v>46151</v>
      </c>
      <c r="G1453" s="14">
        <v>0.76997685185185183</v>
      </c>
      <c r="H1453" s="7" t="s">
        <v>5</v>
      </c>
      <c r="I1453" s="2" t="str">
        <f t="shared" si="113"/>
        <v>Q4</v>
      </c>
      <c r="J1453" s="2" t="str">
        <f t="shared" si="117"/>
        <v>Not Match</v>
      </c>
      <c r="K1453" s="2">
        <f t="shared" si="114"/>
        <v>1.4142135623730951E-2</v>
      </c>
      <c r="L1453" s="2" t="e">
        <f t="shared" si="115"/>
        <v>#N/A</v>
      </c>
      <c r="M1453" s="2" t="str">
        <f t="shared" si="116"/>
        <v>Below 0.8 not in assigned quadrant</v>
      </c>
      <c r="N1453" s="7">
        <v>23.39</v>
      </c>
      <c r="O1453" s="7">
        <v>13.6</v>
      </c>
      <c r="P1453" s="7">
        <v>3.77</v>
      </c>
      <c r="Q1453" s="7">
        <v>-0.57999999999999996</v>
      </c>
      <c r="R1453" s="7">
        <v>0.01</v>
      </c>
      <c r="S1453" s="7">
        <v>-0.01</v>
      </c>
      <c r="T1453" s="7">
        <v>0</v>
      </c>
      <c r="U1453" s="7">
        <v>-0.01</v>
      </c>
      <c r="V1453" s="7">
        <v>0.57999999999999996</v>
      </c>
      <c r="W1453" s="7" t="s">
        <v>8</v>
      </c>
      <c r="X1453" s="7" t="s">
        <v>7</v>
      </c>
      <c r="Y1453" s="2" t="s">
        <v>719</v>
      </c>
      <c r="Z1453" s="2" t="s">
        <v>721</v>
      </c>
    </row>
    <row r="1454" spans="1:26" x14ac:dyDescent="0.35">
      <c r="A1454" s="7" t="s">
        <v>1803</v>
      </c>
      <c r="B1454" s="7" t="s">
        <v>1393</v>
      </c>
      <c r="C1454" s="4" t="str">
        <f>_xlfn.XLOOKUP(A1454,[2]Sheet2!$I$2:$I$1273,[2]Sheet2!$D$2:$D$1273,0)</f>
        <v>Q2</v>
      </c>
      <c r="D1454" s="4">
        <f>_xlfn.XLOOKUP(B1454,[4]Sheet2!$B$2:$B$3154,[4]Sheet2!$F$2:$F$3154,0)</f>
        <v>0</v>
      </c>
      <c r="E1454" s="4" t="e">
        <f>_xlfn.XLOOKUP(B1454,[2]Sheet2!$E$2:$E$713,[2]Sheet2!$G$2:$G$713)</f>
        <v>#N/A</v>
      </c>
      <c r="F1454" s="18">
        <v>46151</v>
      </c>
      <c r="G1454" s="14">
        <v>0.77142361111111113</v>
      </c>
      <c r="H1454" s="7" t="s">
        <v>4</v>
      </c>
      <c r="I1454" s="2" t="str">
        <f t="shared" si="113"/>
        <v>Q2</v>
      </c>
      <c r="J1454" s="2" t="str">
        <f t="shared" si="117"/>
        <v>Match</v>
      </c>
      <c r="K1454" s="2">
        <f t="shared" si="114"/>
        <v>0.16643316977093239</v>
      </c>
      <c r="L1454" s="2" t="e">
        <f t="shared" si="115"/>
        <v>#N/A</v>
      </c>
      <c r="M1454" s="2" t="str">
        <f t="shared" si="116"/>
        <v>Failed but within quadrant</v>
      </c>
      <c r="N1454" s="7">
        <v>24.11</v>
      </c>
      <c r="O1454" s="7">
        <v>6.98</v>
      </c>
      <c r="P1454" s="7">
        <v>1.5</v>
      </c>
      <c r="Q1454" s="7">
        <v>-0.87</v>
      </c>
      <c r="R1454" s="7">
        <v>-0.09</v>
      </c>
      <c r="S1454" s="7">
        <v>0.14000000000000001</v>
      </c>
      <c r="T1454" s="7">
        <v>-0.06</v>
      </c>
      <c r="U1454" s="7">
        <v>0.21</v>
      </c>
      <c r="V1454" s="7">
        <v>0.9</v>
      </c>
      <c r="W1454" s="7" t="s">
        <v>13</v>
      </c>
      <c r="X1454" s="7" t="s">
        <v>12</v>
      </c>
      <c r="Y1454" s="2" t="s">
        <v>719</v>
      </c>
      <c r="Z1454" s="2" t="s">
        <v>721</v>
      </c>
    </row>
    <row r="1455" spans="1:26" x14ac:dyDescent="0.35">
      <c r="A1455" s="7" t="s">
        <v>1593</v>
      </c>
      <c r="B1455" s="7" t="s">
        <v>1497</v>
      </c>
      <c r="C1455" s="4" t="str">
        <f>_xlfn.XLOOKUP(A1455,[2]Sheet2!$I$2:$I$1273,[2]Sheet2!$D$2:$D$1273,0)</f>
        <v>Q3</v>
      </c>
      <c r="D1455" s="4">
        <f>_xlfn.XLOOKUP(B1455,[4]Sheet2!$B$2:$B$3154,[4]Sheet2!$F$2:$F$3154,0)</f>
        <v>0</v>
      </c>
      <c r="E1455" s="4" t="e">
        <f>_xlfn.XLOOKUP(B1455,[2]Sheet2!$E$2:$E$713,[2]Sheet2!$G$2:$G$713)</f>
        <v>#N/A</v>
      </c>
      <c r="F1455" s="18">
        <v>46153</v>
      </c>
      <c r="G1455" s="14">
        <v>0.49781249999999999</v>
      </c>
      <c r="H1455" s="7" t="s">
        <v>5</v>
      </c>
      <c r="I1455" s="2" t="str">
        <f t="shared" si="113"/>
        <v>Q1</v>
      </c>
      <c r="J1455" s="2" t="str">
        <f t="shared" si="117"/>
        <v>Not Match</v>
      </c>
      <c r="K1455" s="2">
        <f t="shared" si="114"/>
        <v>0.60827625302982191</v>
      </c>
      <c r="L1455" s="2" t="e">
        <f t="shared" si="115"/>
        <v>#N/A</v>
      </c>
      <c r="M1455" s="2" t="str">
        <f t="shared" si="116"/>
        <v>Assign quadrant hit</v>
      </c>
      <c r="N1455" s="7">
        <v>23.21</v>
      </c>
      <c r="O1455" s="7">
        <v>3.7</v>
      </c>
      <c r="P1455" s="7">
        <v>2.8</v>
      </c>
      <c r="Q1455" s="7">
        <v>-0.69</v>
      </c>
      <c r="R1455" s="7">
        <v>0.44</v>
      </c>
      <c r="S1455" s="7">
        <v>0.42</v>
      </c>
      <c r="T1455" s="7">
        <v>0.69</v>
      </c>
      <c r="U1455" s="7">
        <v>0.1</v>
      </c>
      <c r="V1455" s="7">
        <v>0.98</v>
      </c>
      <c r="W1455" s="7" t="s">
        <v>13</v>
      </c>
      <c r="X1455" s="7" t="s">
        <v>12</v>
      </c>
      <c r="Y1455" s="2" t="s">
        <v>719</v>
      </c>
      <c r="Z1455" s="2" t="s">
        <v>721</v>
      </c>
    </row>
    <row r="1456" spans="1:26" x14ac:dyDescent="0.35">
      <c r="A1456" s="7" t="s">
        <v>1668</v>
      </c>
      <c r="B1456" s="7" t="s">
        <v>1498</v>
      </c>
      <c r="C1456" s="4" t="str">
        <f>_xlfn.XLOOKUP(A1456,[2]Sheet2!$I$2:$I$1273,[2]Sheet2!$D$2:$D$1273,0)</f>
        <v>Q4</v>
      </c>
      <c r="D1456" s="4">
        <f>_xlfn.XLOOKUP(B1456,[4]Sheet2!$B$2:$B$3154,[4]Sheet2!$F$2:$F$3154,0)</f>
        <v>0</v>
      </c>
      <c r="E1456" s="4" t="e">
        <f>_xlfn.XLOOKUP(B1456,[2]Sheet2!$E$2:$E$713,[2]Sheet2!$G$2:$G$713)</f>
        <v>#N/A</v>
      </c>
      <c r="F1456" s="18">
        <v>46153</v>
      </c>
      <c r="G1456" s="14">
        <v>0.59518518518518515</v>
      </c>
      <c r="H1456" s="7" t="s">
        <v>11</v>
      </c>
      <c r="I1456" s="2" t="str">
        <f t="shared" si="113"/>
        <v>Q1</v>
      </c>
      <c r="J1456" s="2" t="str">
        <f t="shared" si="117"/>
        <v>Not Match</v>
      </c>
      <c r="K1456" s="2">
        <f t="shared" si="114"/>
        <v>1.3465882815471104</v>
      </c>
      <c r="L1456" s="2" t="e">
        <f t="shared" si="115"/>
        <v>#N/A</v>
      </c>
      <c r="M1456" s="2" t="str">
        <f t="shared" si="116"/>
        <v>Assign quadrant hit</v>
      </c>
      <c r="N1456" s="7">
        <v>43.48</v>
      </c>
      <c r="O1456" s="7">
        <v>39.119999999999997</v>
      </c>
      <c r="P1456" s="7">
        <v>-16.71</v>
      </c>
      <c r="Q1456" s="7">
        <v>-0.69</v>
      </c>
      <c r="R1456" s="7">
        <v>1.22</v>
      </c>
      <c r="S1456" s="7">
        <v>0.56999999999999995</v>
      </c>
      <c r="T1456" s="7">
        <v>0.38</v>
      </c>
      <c r="U1456" s="7">
        <v>0.59</v>
      </c>
      <c r="V1456" s="7">
        <v>0.98</v>
      </c>
      <c r="W1456" s="7" t="s">
        <v>13</v>
      </c>
      <c r="X1456" s="7" t="s">
        <v>9</v>
      </c>
      <c r="Y1456" s="2" t="s">
        <v>719</v>
      </c>
      <c r="Z1456" s="2" t="s">
        <v>721</v>
      </c>
    </row>
    <row r="1457" spans="1:26" x14ac:dyDescent="0.35">
      <c r="A1457" s="7" t="s">
        <v>1811</v>
      </c>
      <c r="B1457" s="7" t="s">
        <v>1499</v>
      </c>
      <c r="C1457" s="4" t="str">
        <f>_xlfn.XLOOKUP(A1457,[2]Sheet2!$I$2:$I$1273,[2]Sheet2!$D$2:$D$1273,0)</f>
        <v>Q2</v>
      </c>
      <c r="D1457" s="4">
        <f>_xlfn.XLOOKUP(B1457,[4]Sheet2!$B$2:$B$3154,[4]Sheet2!$F$2:$F$3154,0)</f>
        <v>0</v>
      </c>
      <c r="E1457" s="4" t="e">
        <f>_xlfn.XLOOKUP(B1457,[2]Sheet2!$E$2:$E$713,[2]Sheet2!$G$2:$G$713)</f>
        <v>#N/A</v>
      </c>
      <c r="F1457" s="18">
        <v>46153</v>
      </c>
      <c r="G1457" s="14">
        <v>0.62216435185185182</v>
      </c>
      <c r="H1457" s="7" t="s">
        <v>11</v>
      </c>
      <c r="I1457" s="2" t="str">
        <f t="shared" si="113"/>
        <v>Q2</v>
      </c>
      <c r="J1457" s="2" t="str">
        <f t="shared" si="117"/>
        <v>Match</v>
      </c>
      <c r="K1457" s="2">
        <f t="shared" si="114"/>
        <v>0.32202484376209239</v>
      </c>
      <c r="L1457" s="2" t="e">
        <f t="shared" si="115"/>
        <v>#N/A</v>
      </c>
      <c r="M1457" s="2" t="str">
        <f t="shared" si="116"/>
        <v>Digital Approve Hit</v>
      </c>
      <c r="N1457" s="7">
        <v>28.61</v>
      </c>
      <c r="O1457" s="7">
        <v>11.12</v>
      </c>
      <c r="P1457" s="7">
        <v>-56.82</v>
      </c>
      <c r="Q1457" s="7">
        <v>-0.15</v>
      </c>
      <c r="R1457" s="7">
        <v>-0.28999999999999998</v>
      </c>
      <c r="S1457" s="7">
        <v>0.14000000000000001</v>
      </c>
      <c r="T1457" s="7">
        <v>-7.0000000000000007E-2</v>
      </c>
      <c r="U1457" s="7">
        <v>-0.16</v>
      </c>
      <c r="V1457" s="7">
        <v>0.23</v>
      </c>
      <c r="W1457" s="7" t="s">
        <v>8</v>
      </c>
      <c r="X1457" s="7" t="s">
        <v>15</v>
      </c>
      <c r="Y1457" s="2" t="s">
        <v>719</v>
      </c>
      <c r="Z1457" s="2" t="s">
        <v>721</v>
      </c>
    </row>
  </sheetData>
  <autoFilter ref="A1:Z1457" xr:uid="{AC619DC9-89A8-4C15-B115-F3F8A3007759}"/>
  <phoneticPr fontId="18" type="noConversion"/>
  <conditionalFormatting sqref="B2:B1457">
    <cfRule type="duplicateValues" dxfId="14" priority="123"/>
    <cfRule type="duplicateValues" dxfId="13" priority="124"/>
  </conditionalFormatting>
  <conditionalFormatting sqref="B1458:B1048576">
    <cfRule type="duplicateValues" dxfId="1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8B48-52FC-49FD-A86F-5A770400649C}">
  <dimension ref="A1:AA1654"/>
  <sheetViews>
    <sheetView tabSelected="1" topLeftCell="L1" zoomScale="85" workbookViewId="0">
      <pane ySplit="1" topLeftCell="A1636" activePane="bottomLeft" state="frozen"/>
      <selection pane="bottomLeft" activeCell="N1652" sqref="N1652"/>
    </sheetView>
  </sheetViews>
  <sheetFormatPr defaultColWidth="8.7265625" defaultRowHeight="14.5" x14ac:dyDescent="0.35"/>
  <cols>
    <col min="1" max="1" width="48.7265625" style="6" customWidth="1"/>
    <col min="2" max="3" width="26" style="1" customWidth="1"/>
    <col min="4" max="4" width="20.26953125" style="5" customWidth="1"/>
    <col min="5" max="6" width="21.08984375" style="5" customWidth="1"/>
    <col min="7" max="7" width="13" style="11" customWidth="1"/>
    <col min="8" max="8" width="17.90625" style="15" customWidth="1"/>
    <col min="9" max="9" width="22" style="5" customWidth="1"/>
    <col min="10" max="10" width="10.90625" style="5" customWidth="1"/>
    <col min="11" max="12" width="16.7265625" style="5" customWidth="1"/>
    <col min="13" max="13" width="23.453125" style="5" customWidth="1"/>
    <col min="14" max="14" width="31" style="5" customWidth="1"/>
    <col min="15" max="15" width="7.81640625" style="5" customWidth="1"/>
    <col min="16" max="18" width="8.7265625" style="5" customWidth="1"/>
    <col min="19" max="19" width="9.81640625" style="5" customWidth="1"/>
    <col min="20" max="20" width="7.81640625" style="21" customWidth="1"/>
    <col min="21" max="24" width="8.7265625" style="5" customWidth="1"/>
    <col min="25" max="25" width="16" style="5" customWidth="1"/>
    <col min="26" max="26" width="13" style="1" customWidth="1"/>
    <col min="27" max="27" width="8.7265625" style="1" customWidth="1"/>
    <col min="28" max="16384" width="8.7265625" style="1"/>
  </cols>
  <sheetData>
    <row r="1" spans="1:27" customFormat="1" x14ac:dyDescent="0.35">
      <c r="A1" s="3" t="s">
        <v>0</v>
      </c>
      <c r="B1" s="3" t="s">
        <v>1</v>
      </c>
      <c r="C1" s="3" t="s">
        <v>2424</v>
      </c>
      <c r="D1" s="3" t="s">
        <v>19</v>
      </c>
      <c r="E1" s="3" t="s">
        <v>20</v>
      </c>
      <c r="F1" s="3" t="s">
        <v>21</v>
      </c>
      <c r="G1" s="9" t="s">
        <v>2</v>
      </c>
      <c r="H1" s="13" t="s">
        <v>3</v>
      </c>
      <c r="I1" s="8" t="s">
        <v>717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8" t="s">
        <v>722</v>
      </c>
      <c r="P1" s="8" t="s">
        <v>723</v>
      </c>
      <c r="Q1" s="8" t="s">
        <v>724</v>
      </c>
      <c r="R1" s="8" t="s">
        <v>725</v>
      </c>
      <c r="S1" s="8" t="s">
        <v>726</v>
      </c>
      <c r="T1" s="19" t="s">
        <v>727</v>
      </c>
      <c r="U1" s="8" t="s">
        <v>728</v>
      </c>
      <c r="V1" s="8" t="s">
        <v>729</v>
      </c>
      <c r="W1" s="8" t="s">
        <v>730</v>
      </c>
      <c r="X1" s="8" t="s">
        <v>731</v>
      </c>
      <c r="Y1" s="8" t="s">
        <v>732</v>
      </c>
      <c r="Z1" s="8" t="s">
        <v>733</v>
      </c>
      <c r="AA1" s="8" t="s">
        <v>720</v>
      </c>
    </row>
    <row r="2" spans="1:27" x14ac:dyDescent="0.35">
      <c r="A2" s="7" t="s">
        <v>1690</v>
      </c>
      <c r="B2" s="7" t="s">
        <v>639</v>
      </c>
      <c r="C2" s="7" t="str">
        <f>_xlfn.XLOOKUP(B2,'[1]Sheet 1'!$A$2:$A$11107,'[1]Sheet 1'!$D$2:$D$11107,"",0)</f>
        <v>LULU</v>
      </c>
      <c r="D2" s="4">
        <v>0</v>
      </c>
      <c r="E2" s="4" t="s">
        <v>1828</v>
      </c>
      <c r="F2" s="4" t="e">
        <f>_xlfn.XLOOKUP(B2,[2]Sheet2!$E$2:$E$713,[2]Sheet2!$G$2:$G$713)</f>
        <v>#N/A</v>
      </c>
      <c r="G2" s="18">
        <v>46084</v>
      </c>
      <c r="H2" s="14">
        <v>0.73072916666666665</v>
      </c>
      <c r="I2" s="7" t="s">
        <v>4</v>
      </c>
      <c r="J2" s="2" t="str">
        <f t="shared" ref="J2:J65" si="0">IF(OR(S2=0,T2=0),D2,IF(AND(S2&gt;0,T2&gt;0),"Q1",IF(AND(S2&lt;0,T2&gt;0),"Q2",IF(AND(S2&lt;0,T2&lt;0),"Q3",IF(AND(S2&gt;0,T2&lt;0),"Q4","")))))</f>
        <v>Q1</v>
      </c>
      <c r="K2" s="2" t="str">
        <f t="shared" ref="K2:K65" si="1">IF(J2=D2,"Match",IF(AND(J2=0,D2="Match"),"da and db 0",IF(D2=0,"Not Found","Not Match")))</f>
        <v>Not Found</v>
      </c>
      <c r="L2" s="2">
        <f t="shared" ref="L2:L65" si="2">SQRT(S2^2+T2^2)</f>
        <v>0.89442719099991597</v>
      </c>
      <c r="M2" s="2" t="e">
        <f t="shared" ref="M2:M65" si="3">IF(L2&lt;=F2,"Within Range","Over Range")</f>
        <v>#N/A</v>
      </c>
      <c r="N2" s="2" t="str">
        <f t="shared" ref="N2:N65" si="4">IF(D2=0,"Quadrant not assigned",IF(AND(K2="Match",W2&lt;=0.8),"Q OK dE&lt;=0.8",IF(AND(K2="Match",W2&gt;0.8),"Q OK dE&gt;0.8",IF(AND(K2="Not Match",W2&lt;=0.8),"Q NOT OK dE&lt;=0.8","Q NOT OK dE&gt;0.8"))))</f>
        <v>Quadrant not assigned</v>
      </c>
      <c r="O2" s="7">
        <v>39.6</v>
      </c>
      <c r="P2" s="7">
        <v>56.5</v>
      </c>
      <c r="Q2" s="7">
        <v>26.4</v>
      </c>
      <c r="R2" s="7">
        <v>-0.23</v>
      </c>
      <c r="S2" s="7">
        <v>0.4</v>
      </c>
      <c r="T2" s="7">
        <v>0.8</v>
      </c>
      <c r="U2" s="7">
        <v>0.28000000000000003</v>
      </c>
      <c r="V2" s="7">
        <v>0.33</v>
      </c>
      <c r="W2" s="7">
        <v>0.49</v>
      </c>
      <c r="X2" s="7" t="s">
        <v>8</v>
      </c>
      <c r="Y2" s="7" t="s">
        <v>12</v>
      </c>
      <c r="Z2" s="2" t="s">
        <v>718</v>
      </c>
      <c r="AA2" s="2" t="s">
        <v>721</v>
      </c>
    </row>
    <row r="3" spans="1:27" x14ac:dyDescent="0.35">
      <c r="A3" s="7" t="s">
        <v>1676</v>
      </c>
      <c r="B3" s="7" t="s">
        <v>635</v>
      </c>
      <c r="C3" s="7" t="str">
        <f>_xlfn.XLOOKUP(B3,'[1]Sheet 1'!$A$2:$A$11107,'[1]Sheet 1'!$D$2:$D$11107,"",0)</f>
        <v>PINK</v>
      </c>
      <c r="D3" s="4" t="str">
        <f>_xlfn.XLOOKUP(A3,[3]Sheet2!$I$2:$I$1623,[3]Sheet2!$D$2:$D$1623,"",0)</f>
        <v>Q2</v>
      </c>
      <c r="E3" s="4" t="s">
        <v>1827</v>
      </c>
      <c r="F3" s="4" t="e">
        <f>_xlfn.XLOOKUP(B3,[2]Sheet2!$E$2:$E$713,[2]Sheet2!$G$2:$G$713)</f>
        <v>#N/A</v>
      </c>
      <c r="G3" s="18">
        <v>46084</v>
      </c>
      <c r="H3" s="14">
        <v>0.64075231481481476</v>
      </c>
      <c r="I3" s="7" t="s">
        <v>10</v>
      </c>
      <c r="J3" s="2" t="str">
        <f t="shared" si="0"/>
        <v>Q4</v>
      </c>
      <c r="K3" s="2" t="str">
        <f t="shared" si="1"/>
        <v>Not Match</v>
      </c>
      <c r="L3" s="2">
        <f t="shared" si="2"/>
        <v>0.44721359549995798</v>
      </c>
      <c r="M3" s="2" t="e">
        <f t="shared" si="3"/>
        <v>#N/A</v>
      </c>
      <c r="N3" s="2" t="str">
        <f t="shared" si="4"/>
        <v>Q NOT OK dE&lt;=0.8</v>
      </c>
      <c r="O3" s="7">
        <v>26.3</v>
      </c>
      <c r="P3" s="7">
        <v>18.100000000000001</v>
      </c>
      <c r="Q3" s="7">
        <v>3.3</v>
      </c>
      <c r="R3" s="7">
        <v>-0.22</v>
      </c>
      <c r="S3" s="7">
        <v>0.4</v>
      </c>
      <c r="T3" s="7">
        <v>-0.2</v>
      </c>
      <c r="U3" s="7">
        <v>0.27</v>
      </c>
      <c r="V3" s="7">
        <v>-0.34</v>
      </c>
      <c r="W3" s="7">
        <v>0.49</v>
      </c>
      <c r="X3" s="7" t="s">
        <v>8</v>
      </c>
      <c r="Y3" s="7" t="s">
        <v>7</v>
      </c>
      <c r="Z3" s="2" t="s">
        <v>718</v>
      </c>
      <c r="AA3" s="2" t="s">
        <v>721</v>
      </c>
    </row>
    <row r="4" spans="1:27" x14ac:dyDescent="0.35">
      <c r="A4" s="7" t="s">
        <v>1692</v>
      </c>
      <c r="B4" s="7" t="s">
        <v>596</v>
      </c>
      <c r="C4" s="7" t="str">
        <f>_xlfn.XLOOKUP(B4,'[1]Sheet 1'!$A$2:$A$11107,'[1]Sheet 1'!$D$2:$D$11107,"",0)</f>
        <v>WACE</v>
      </c>
      <c r="D4" s="4">
        <v>0</v>
      </c>
      <c r="E4" s="4" t="s">
        <v>1828</v>
      </c>
      <c r="F4" s="4" t="e">
        <f>_xlfn.XLOOKUP(B4,[2]Sheet2!$E$2:$E$713,[2]Sheet2!$G$2:$G$713)</f>
        <v>#N/A</v>
      </c>
      <c r="G4" s="18">
        <v>46084</v>
      </c>
      <c r="H4" s="14">
        <v>0.84666666666666668</v>
      </c>
      <c r="I4" s="7" t="s">
        <v>4</v>
      </c>
      <c r="J4" s="2" t="str">
        <f t="shared" si="0"/>
        <v>Q1</v>
      </c>
      <c r="K4" s="2" t="str">
        <f t="shared" si="1"/>
        <v>Not Found</v>
      </c>
      <c r="L4" s="2">
        <f t="shared" si="2"/>
        <v>0.22360679774997899</v>
      </c>
      <c r="M4" s="2" t="e">
        <f t="shared" si="3"/>
        <v>#N/A</v>
      </c>
      <c r="N4" s="2" t="str">
        <f t="shared" si="4"/>
        <v>Quadrant not assigned</v>
      </c>
      <c r="O4" s="7">
        <v>29</v>
      </c>
      <c r="P4" s="7">
        <v>7.9</v>
      </c>
      <c r="Q4" s="7">
        <v>4.5999999999999996</v>
      </c>
      <c r="R4" s="7">
        <v>-0.13</v>
      </c>
      <c r="S4" s="7">
        <v>0.1</v>
      </c>
      <c r="T4" s="7">
        <v>0.2</v>
      </c>
      <c r="U4" s="7">
        <v>0.21</v>
      </c>
      <c r="V4" s="7">
        <v>0.28999999999999998</v>
      </c>
      <c r="W4" s="7">
        <v>0.38</v>
      </c>
      <c r="X4" s="7" t="s">
        <v>8</v>
      </c>
      <c r="Y4" s="7" t="s">
        <v>12</v>
      </c>
      <c r="Z4" s="2" t="s">
        <v>718</v>
      </c>
      <c r="AA4" s="2" t="s">
        <v>721</v>
      </c>
    </row>
    <row r="5" spans="1:27" x14ac:dyDescent="0.35">
      <c r="A5" s="7" t="s">
        <v>1540</v>
      </c>
      <c r="B5" s="7" t="s">
        <v>637</v>
      </c>
      <c r="C5" s="7" t="str">
        <f>_xlfn.XLOOKUP(B5,'[1]Sheet 1'!$A$2:$A$11107,'[1]Sheet 1'!$D$2:$D$11107,"",0)</f>
        <v>VSS</v>
      </c>
      <c r="D5" s="4" t="str">
        <f>_xlfn.XLOOKUP(A5,[3]Sheet2!$I$2:$I$1623,[3]Sheet2!$D$2:$D$1623,"",0)</f>
        <v>Q3</v>
      </c>
      <c r="E5" s="4" t="s">
        <v>1828</v>
      </c>
      <c r="F5" s="4" t="e">
        <f>_xlfn.XLOOKUP(B5,[2]Sheet2!$E$2:$E$713,[2]Sheet2!$G$2:$G$713)</f>
        <v>#N/A</v>
      </c>
      <c r="G5" s="18">
        <v>46084</v>
      </c>
      <c r="H5" s="14">
        <v>0.67918981481481477</v>
      </c>
      <c r="I5" s="7" t="s">
        <v>10</v>
      </c>
      <c r="J5" s="2" t="str">
        <f t="shared" si="0"/>
        <v>Q3</v>
      </c>
      <c r="K5" s="2" t="str">
        <f t="shared" si="1"/>
        <v>Match</v>
      </c>
      <c r="L5" s="2">
        <f t="shared" si="2"/>
        <v>0.2</v>
      </c>
      <c r="M5" s="2" t="e">
        <f t="shared" si="3"/>
        <v>#N/A</v>
      </c>
      <c r="N5" s="2" t="str">
        <f t="shared" si="4"/>
        <v>Q OK dE&gt;0.8</v>
      </c>
      <c r="O5" s="7">
        <v>13.3</v>
      </c>
      <c r="P5" s="7">
        <v>0.4</v>
      </c>
      <c r="Q5" s="7">
        <v>-1</v>
      </c>
      <c r="R5" s="7">
        <v>-1.1599999999999999</v>
      </c>
      <c r="S5" s="7">
        <v>0</v>
      </c>
      <c r="T5" s="7">
        <v>0.2</v>
      </c>
      <c r="U5" s="7">
        <v>-0.32</v>
      </c>
      <c r="V5" s="7">
        <v>0.04</v>
      </c>
      <c r="W5" s="7">
        <v>1.2</v>
      </c>
      <c r="X5" s="7" t="s">
        <v>6</v>
      </c>
      <c r="Y5" s="7" t="s">
        <v>9</v>
      </c>
      <c r="Z5" s="2" t="s">
        <v>718</v>
      </c>
      <c r="AA5" s="2" t="s">
        <v>721</v>
      </c>
    </row>
    <row r="6" spans="1:27" x14ac:dyDescent="0.35">
      <c r="A6" s="7" t="s">
        <v>1543</v>
      </c>
      <c r="B6" s="7" t="s">
        <v>638</v>
      </c>
      <c r="C6" s="7" t="str">
        <f>_xlfn.XLOOKUP(B6,'[1]Sheet 1'!$A$2:$A$11107,'[1]Sheet 1'!$D$2:$D$11107,"",0)</f>
        <v>VSS</v>
      </c>
      <c r="D6" s="4" t="str">
        <f>_xlfn.XLOOKUP(A6,[3]Sheet2!$I$2:$I$1623,[3]Sheet2!$D$2:$D$1623,"",0)</f>
        <v>Q3</v>
      </c>
      <c r="E6" s="4" t="s">
        <v>1828</v>
      </c>
      <c r="F6" s="4" t="e">
        <f>_xlfn.XLOOKUP(B6,[2]Sheet2!$E$2:$E$713,[2]Sheet2!$G$2:$G$713)</f>
        <v>#N/A</v>
      </c>
      <c r="G6" s="18">
        <v>46084</v>
      </c>
      <c r="H6" s="14">
        <v>0.68670138888888888</v>
      </c>
      <c r="I6" s="7" t="s">
        <v>10</v>
      </c>
      <c r="J6" s="2" t="str">
        <f t="shared" si="0"/>
        <v>Q3</v>
      </c>
      <c r="K6" s="2" t="str">
        <f t="shared" si="1"/>
        <v>Match</v>
      </c>
      <c r="L6" s="2">
        <f t="shared" si="2"/>
        <v>0.22360679774997899</v>
      </c>
      <c r="M6" s="2" t="e">
        <f t="shared" si="3"/>
        <v>#N/A</v>
      </c>
      <c r="N6" s="2" t="str">
        <f t="shared" si="4"/>
        <v>Q OK dE&lt;=0.8</v>
      </c>
      <c r="O6" s="7">
        <v>26.8</v>
      </c>
      <c r="P6" s="7">
        <v>11.2</v>
      </c>
      <c r="Q6" s="7">
        <v>9.6999999999999993</v>
      </c>
      <c r="R6" s="7">
        <v>-0.35</v>
      </c>
      <c r="S6" s="7">
        <v>-0.1</v>
      </c>
      <c r="T6" s="7">
        <v>-0.2</v>
      </c>
      <c r="U6" s="7">
        <v>-0.19</v>
      </c>
      <c r="V6" s="7">
        <v>-0.21</v>
      </c>
      <c r="W6" s="7">
        <v>0.45</v>
      </c>
      <c r="X6" s="7" t="s">
        <v>8</v>
      </c>
      <c r="Y6" s="7" t="s">
        <v>9</v>
      </c>
      <c r="Z6" s="2" t="s">
        <v>718</v>
      </c>
      <c r="AA6" s="2" t="s">
        <v>721</v>
      </c>
    </row>
    <row r="7" spans="1:27" x14ac:dyDescent="0.35">
      <c r="A7" s="7" t="s">
        <v>1574</v>
      </c>
      <c r="B7" s="7" t="s">
        <v>636</v>
      </c>
      <c r="C7" s="7" t="str">
        <f>_xlfn.XLOOKUP(B7,'[1]Sheet 1'!$A$2:$A$11107,'[1]Sheet 1'!$D$2:$D$11107,"",0)</f>
        <v>PINK</v>
      </c>
      <c r="D7" s="4" t="str">
        <f>_xlfn.XLOOKUP(A7,[3]Sheet2!$I$2:$I$1623,[3]Sheet2!$D$2:$D$1623,"",0)</f>
        <v>Q2</v>
      </c>
      <c r="E7" s="4" t="s">
        <v>1828</v>
      </c>
      <c r="F7" s="4" t="e">
        <f>_xlfn.XLOOKUP(B7,[2]Sheet2!$E$2:$E$713,[2]Sheet2!$G$2:$G$713)</f>
        <v>#N/A</v>
      </c>
      <c r="G7" s="18">
        <v>46084</v>
      </c>
      <c r="H7" s="14">
        <v>0.67498842592592589</v>
      </c>
      <c r="I7" s="7" t="s">
        <v>10</v>
      </c>
      <c r="J7" s="2" t="str">
        <f t="shared" si="0"/>
        <v>Q2</v>
      </c>
      <c r="K7" s="2" t="str">
        <f t="shared" si="1"/>
        <v>Match</v>
      </c>
      <c r="L7" s="2">
        <f t="shared" si="2"/>
        <v>0.2</v>
      </c>
      <c r="M7" s="2" t="e">
        <f t="shared" si="3"/>
        <v>#N/A</v>
      </c>
      <c r="N7" s="2" t="str">
        <f t="shared" si="4"/>
        <v>Q OK dE&lt;=0.8</v>
      </c>
      <c r="O7" s="7">
        <v>19.2</v>
      </c>
      <c r="P7" s="7">
        <v>-2</v>
      </c>
      <c r="Q7" s="7">
        <v>-11.5</v>
      </c>
      <c r="R7" s="7">
        <v>-0.16</v>
      </c>
      <c r="S7" s="7">
        <v>0</v>
      </c>
      <c r="T7" s="7">
        <v>-0.2</v>
      </c>
      <c r="U7" s="7">
        <v>0.2</v>
      </c>
      <c r="V7" s="7">
        <v>0.08</v>
      </c>
      <c r="W7" s="7">
        <v>0.27</v>
      </c>
      <c r="X7" s="7" t="s">
        <v>8</v>
      </c>
      <c r="Y7" s="7" t="s">
        <v>9</v>
      </c>
      <c r="Z7" s="2" t="s">
        <v>718</v>
      </c>
      <c r="AA7" s="2" t="s">
        <v>721</v>
      </c>
    </row>
    <row r="8" spans="1:27" x14ac:dyDescent="0.35">
      <c r="A8" s="7" t="s">
        <v>1689</v>
      </c>
      <c r="B8" s="7" t="s">
        <v>634</v>
      </c>
      <c r="C8" s="7" t="str">
        <f>_xlfn.XLOOKUP(B8,'[1]Sheet 1'!$A$2:$A$11107,'[1]Sheet 1'!$D$2:$D$11107,"",0)</f>
        <v>M&amp;S</v>
      </c>
      <c r="D8" s="4" t="str">
        <f>_xlfn.XLOOKUP(A8,[3]Sheet2!$I$2:$I$1623,[3]Sheet2!$D$2:$D$1623,"",0)</f>
        <v>Q1</v>
      </c>
      <c r="E8" s="4" t="s">
        <v>1827</v>
      </c>
      <c r="F8" s="4" t="e">
        <f>_xlfn.XLOOKUP(B8,[2]Sheet2!$E$2:$E$713,[2]Sheet2!$G$2:$G$713)</f>
        <v>#N/A</v>
      </c>
      <c r="G8" s="18">
        <v>46084</v>
      </c>
      <c r="H8" s="14">
        <v>0.46854166666666669</v>
      </c>
      <c r="I8" s="7" t="s">
        <v>17</v>
      </c>
      <c r="J8" s="2" t="str">
        <f t="shared" si="0"/>
        <v>Q1</v>
      </c>
      <c r="K8" s="2" t="str">
        <f t="shared" si="1"/>
        <v>Match</v>
      </c>
      <c r="L8" s="2">
        <f t="shared" si="2"/>
        <v>0.63245553203367588</v>
      </c>
      <c r="M8" s="2" t="e">
        <f t="shared" si="3"/>
        <v>#N/A</v>
      </c>
      <c r="N8" s="2" t="str">
        <f t="shared" si="4"/>
        <v>Q OK dE&gt;0.8</v>
      </c>
      <c r="O8" s="7">
        <v>22.4</v>
      </c>
      <c r="P8" s="7">
        <v>7.8</v>
      </c>
      <c r="Q8" s="7">
        <v>2.4</v>
      </c>
      <c r="R8" s="7">
        <v>-1.25</v>
      </c>
      <c r="S8" s="7">
        <v>0.2</v>
      </c>
      <c r="T8" s="7">
        <v>0.6</v>
      </c>
      <c r="U8" s="7">
        <v>0.35</v>
      </c>
      <c r="V8" s="7">
        <v>0.72</v>
      </c>
      <c r="W8" s="7">
        <v>1.48</v>
      </c>
      <c r="X8" s="7" t="s">
        <v>6</v>
      </c>
      <c r="Y8" s="7" t="s">
        <v>12</v>
      </c>
      <c r="Z8" s="2" t="s">
        <v>718</v>
      </c>
      <c r="AA8" s="2" t="s">
        <v>721</v>
      </c>
    </row>
    <row r="9" spans="1:27" x14ac:dyDescent="0.35">
      <c r="A9" s="7" t="s">
        <v>1691</v>
      </c>
      <c r="B9" s="7" t="s">
        <v>640</v>
      </c>
      <c r="C9" s="7" t="str">
        <f>_xlfn.XLOOKUP(B9,'[1]Sheet 1'!$A$2:$A$11107,'[1]Sheet 1'!$D$2:$D$11107,"",0)</f>
        <v>VSS</v>
      </c>
      <c r="D9" s="4" t="str">
        <f>_xlfn.XLOOKUP(A9,[3]Sheet2!$I$2:$I$1623,[3]Sheet2!$D$2:$D$1623,"",0)</f>
        <v>Q1</v>
      </c>
      <c r="E9" s="4" t="s">
        <v>1828</v>
      </c>
      <c r="F9" s="4" t="e">
        <f>_xlfn.XLOOKUP(B9,[2]Sheet2!$E$2:$E$713,[2]Sheet2!$G$2:$G$713)</f>
        <v>#N/A</v>
      </c>
      <c r="G9" s="18">
        <v>46084</v>
      </c>
      <c r="H9" s="14">
        <v>0.7752430555555555</v>
      </c>
      <c r="I9" s="7" t="s">
        <v>10</v>
      </c>
      <c r="J9" s="2" t="str">
        <f t="shared" si="0"/>
        <v>Q3</v>
      </c>
      <c r="K9" s="2" t="str">
        <f t="shared" si="1"/>
        <v>Not Match</v>
      </c>
      <c r="L9" s="2">
        <f t="shared" si="2"/>
        <v>0.85440037453175322</v>
      </c>
      <c r="M9" s="2" t="e">
        <f t="shared" si="3"/>
        <v>#N/A</v>
      </c>
      <c r="N9" s="2" t="str">
        <f t="shared" si="4"/>
        <v>Q NOT OK dE&gt;0.8</v>
      </c>
      <c r="O9" s="7">
        <v>14.3</v>
      </c>
      <c r="P9" s="7">
        <v>0.9</v>
      </c>
      <c r="Q9" s="7">
        <v>-1.3</v>
      </c>
      <c r="R9" s="7">
        <v>-0.48</v>
      </c>
      <c r="S9" s="7">
        <v>-0.3</v>
      </c>
      <c r="T9" s="7">
        <v>-0.8</v>
      </c>
      <c r="U9" s="7">
        <v>0.45</v>
      </c>
      <c r="V9" s="7">
        <v>-1.19</v>
      </c>
      <c r="W9" s="7">
        <v>1.36</v>
      </c>
      <c r="X9" s="7" t="s">
        <v>6</v>
      </c>
      <c r="Y9" s="7" t="s">
        <v>7</v>
      </c>
      <c r="Z9" s="2" t="s">
        <v>718</v>
      </c>
      <c r="AA9" s="2" t="s">
        <v>721</v>
      </c>
    </row>
    <row r="10" spans="1:27" x14ac:dyDescent="0.35">
      <c r="A10" s="7" t="s">
        <v>1545</v>
      </c>
      <c r="B10" s="7" t="s">
        <v>641</v>
      </c>
      <c r="C10" s="7" t="str">
        <f>_xlfn.XLOOKUP(B10,'[1]Sheet 1'!$A$2:$A$11107,'[1]Sheet 1'!$D$2:$D$11107,"",0)</f>
        <v>NIK</v>
      </c>
      <c r="D10" s="4" t="str">
        <f>_xlfn.XLOOKUP(A10,[3]Sheet2!$I$2:$I$1623,[3]Sheet2!$D$2:$D$1623,"",0)</f>
        <v>Q2</v>
      </c>
      <c r="E10" s="4" t="s">
        <v>1828</v>
      </c>
      <c r="F10" s="4" t="e">
        <f>_xlfn.XLOOKUP(B10,[2]Sheet2!$E$2:$E$713,[2]Sheet2!$G$2:$G$713)</f>
        <v>#N/A</v>
      </c>
      <c r="G10" s="18">
        <v>46085</v>
      </c>
      <c r="H10" s="14">
        <v>5.2546296296296299E-2</v>
      </c>
      <c r="I10" s="7" t="s">
        <v>4</v>
      </c>
      <c r="J10" s="2" t="str">
        <f t="shared" si="0"/>
        <v>Q2</v>
      </c>
      <c r="K10" s="2" t="str">
        <f t="shared" si="1"/>
        <v>Match</v>
      </c>
      <c r="L10" s="2">
        <f t="shared" si="2"/>
        <v>0.3</v>
      </c>
      <c r="M10" s="2" t="e">
        <f t="shared" si="3"/>
        <v>#N/A</v>
      </c>
      <c r="N10" s="2" t="str">
        <f t="shared" si="4"/>
        <v>Q OK dE&lt;=0.8</v>
      </c>
      <c r="O10" s="7">
        <v>18.600000000000001</v>
      </c>
      <c r="P10" s="7">
        <v>-0.8</v>
      </c>
      <c r="Q10" s="7">
        <v>-1.9</v>
      </c>
      <c r="R10" s="7">
        <v>0.16</v>
      </c>
      <c r="S10" s="7">
        <v>0</v>
      </c>
      <c r="T10" s="7">
        <v>-0.3</v>
      </c>
      <c r="U10" s="7">
        <v>0.32</v>
      </c>
      <c r="V10" s="7">
        <v>0.26</v>
      </c>
      <c r="W10" s="7">
        <v>0.44</v>
      </c>
      <c r="X10" s="7" t="s">
        <v>8</v>
      </c>
      <c r="Y10" s="7" t="s">
        <v>9</v>
      </c>
      <c r="Z10" s="2" t="s">
        <v>718</v>
      </c>
      <c r="AA10" s="2" t="s">
        <v>721</v>
      </c>
    </row>
    <row r="11" spans="1:27" x14ac:dyDescent="0.35">
      <c r="A11" s="7" t="s">
        <v>1676</v>
      </c>
      <c r="B11" s="7" t="s">
        <v>654</v>
      </c>
      <c r="C11" s="7" t="str">
        <f>_xlfn.XLOOKUP(B11,'[1]Sheet 1'!$A$2:$A$11107,'[1]Sheet 1'!$D$2:$D$11107,"",0)</f>
        <v>PINK</v>
      </c>
      <c r="D11" s="4" t="str">
        <f>_xlfn.XLOOKUP(A11,[3]Sheet2!$I$2:$I$1623,[3]Sheet2!$D$2:$D$1623,"",0)</f>
        <v>Q2</v>
      </c>
      <c r="E11" s="4" t="s">
        <v>1828</v>
      </c>
      <c r="F11" s="4" t="e">
        <f>_xlfn.XLOOKUP(B11,[2]Sheet2!$E$2:$E$713,[2]Sheet2!$G$2:$G$713)</f>
        <v>#N/A</v>
      </c>
      <c r="G11" s="18">
        <v>46085</v>
      </c>
      <c r="H11" s="14">
        <v>0.61421296296296302</v>
      </c>
      <c r="I11" s="7" t="s">
        <v>10</v>
      </c>
      <c r="J11" s="2" t="str">
        <f t="shared" si="0"/>
        <v>Q1</v>
      </c>
      <c r="K11" s="2" t="str">
        <f t="shared" si="1"/>
        <v>Not Match</v>
      </c>
      <c r="L11" s="2">
        <f t="shared" si="2"/>
        <v>0.72111025509279791</v>
      </c>
      <c r="M11" s="2" t="e">
        <f t="shared" si="3"/>
        <v>#N/A</v>
      </c>
      <c r="N11" s="2" t="str">
        <f t="shared" si="4"/>
        <v>Q NOT OK dE&lt;=0.8</v>
      </c>
      <c r="O11" s="7">
        <v>26.2</v>
      </c>
      <c r="P11" s="7">
        <v>18.3</v>
      </c>
      <c r="Q11" s="7">
        <v>4</v>
      </c>
      <c r="R11" s="7">
        <v>-0.33</v>
      </c>
      <c r="S11" s="7">
        <v>0.6</v>
      </c>
      <c r="T11" s="7">
        <v>0.4</v>
      </c>
      <c r="U11" s="7">
        <v>0.44</v>
      </c>
      <c r="V11" s="7">
        <v>0.31</v>
      </c>
      <c r="W11" s="7">
        <v>0.64</v>
      </c>
      <c r="X11" s="7" t="s">
        <v>8</v>
      </c>
      <c r="Y11" s="7" t="s">
        <v>12</v>
      </c>
      <c r="Z11" s="2" t="s">
        <v>718</v>
      </c>
      <c r="AA11" s="2" t="s">
        <v>721</v>
      </c>
    </row>
    <row r="12" spans="1:27" x14ac:dyDescent="0.35">
      <c r="A12" s="7" t="s">
        <v>1676</v>
      </c>
      <c r="B12" s="7" t="s">
        <v>660</v>
      </c>
      <c r="C12" s="7" t="str">
        <f>_xlfn.XLOOKUP(B12,'[1]Sheet 1'!$A$2:$A$11107,'[1]Sheet 1'!$D$2:$D$11107,"",0)</f>
        <v>PINK</v>
      </c>
      <c r="D12" s="4" t="str">
        <f>_xlfn.XLOOKUP(A12,[3]Sheet2!$I$2:$I$1623,[3]Sheet2!$D$2:$D$1623,"",0)</f>
        <v>Q2</v>
      </c>
      <c r="E12" s="4" t="s">
        <v>1828</v>
      </c>
      <c r="F12" s="4" t="e">
        <f>_xlfn.XLOOKUP(B12,[2]Sheet2!$E$2:$E$713,[2]Sheet2!$G$2:$G$713)</f>
        <v>#N/A</v>
      </c>
      <c r="G12" s="18">
        <v>46085</v>
      </c>
      <c r="H12" s="14">
        <v>0.75320601851851854</v>
      </c>
      <c r="I12" s="7" t="s">
        <v>10</v>
      </c>
      <c r="J12" s="2" t="str">
        <f t="shared" si="0"/>
        <v>Q2</v>
      </c>
      <c r="K12" s="2" t="str">
        <f t="shared" si="1"/>
        <v>Match</v>
      </c>
      <c r="L12" s="2">
        <f t="shared" si="2"/>
        <v>0</v>
      </c>
      <c r="M12" s="2" t="e">
        <f t="shared" si="3"/>
        <v>#N/A</v>
      </c>
      <c r="N12" s="2" t="str">
        <f t="shared" si="4"/>
        <v>Q OK dE&lt;=0.8</v>
      </c>
      <c r="O12" s="7">
        <v>26.4</v>
      </c>
      <c r="P12" s="7">
        <v>17.600000000000001</v>
      </c>
      <c r="Q12" s="7">
        <v>3.4</v>
      </c>
      <c r="R12" s="7">
        <v>-0.22</v>
      </c>
      <c r="S12" s="7">
        <v>0</v>
      </c>
      <c r="T12" s="20">
        <v>0</v>
      </c>
      <c r="U12" s="7">
        <v>0</v>
      </c>
      <c r="V12" s="7">
        <v>-0.01</v>
      </c>
      <c r="W12" s="7">
        <v>0.22</v>
      </c>
      <c r="X12" s="7" t="s">
        <v>8</v>
      </c>
      <c r="Y12" s="7" t="s">
        <v>7</v>
      </c>
      <c r="Z12" s="2" t="s">
        <v>718</v>
      </c>
      <c r="AA12" s="2" t="s">
        <v>721</v>
      </c>
    </row>
    <row r="13" spans="1:27" x14ac:dyDescent="0.35">
      <c r="A13" s="7" t="s">
        <v>1693</v>
      </c>
      <c r="B13" s="7" t="s">
        <v>644</v>
      </c>
      <c r="C13" s="7" t="str">
        <f>_xlfn.XLOOKUP(B13,'[1]Sheet 1'!$A$2:$A$11107,'[1]Sheet 1'!$D$2:$D$11107,"",0)</f>
        <v>VSS</v>
      </c>
      <c r="D13" s="4" t="str">
        <f>_xlfn.XLOOKUP(A13,[3]Sheet2!$I$2:$I$1623,[3]Sheet2!$D$2:$D$1623,"",0)</f>
        <v>Q4</v>
      </c>
      <c r="E13" s="4" t="s">
        <v>1828</v>
      </c>
      <c r="F13" s="4" t="e">
        <f>_xlfn.XLOOKUP(B13,[2]Sheet2!$E$2:$E$713,[2]Sheet2!$G$2:$G$713)</f>
        <v>#N/A</v>
      </c>
      <c r="G13" s="18">
        <v>46085</v>
      </c>
      <c r="H13" s="14">
        <v>7.2372685185185179E-2</v>
      </c>
      <c r="I13" s="7" t="s">
        <v>11</v>
      </c>
      <c r="J13" s="2" t="str">
        <f t="shared" si="0"/>
        <v>Q1</v>
      </c>
      <c r="K13" s="2" t="str">
        <f t="shared" si="1"/>
        <v>Not Match</v>
      </c>
      <c r="L13" s="2">
        <f t="shared" si="2"/>
        <v>0.60827625302982191</v>
      </c>
      <c r="M13" s="2" t="e">
        <f t="shared" si="3"/>
        <v>#N/A</v>
      </c>
      <c r="N13" s="2" t="str">
        <f t="shared" si="4"/>
        <v>Q NOT OK dE&lt;=0.8</v>
      </c>
      <c r="O13" s="7">
        <v>37.6</v>
      </c>
      <c r="P13" s="7">
        <v>-1.1000000000000001</v>
      </c>
      <c r="Q13" s="7">
        <v>20.8</v>
      </c>
      <c r="R13" s="7">
        <v>-0.09</v>
      </c>
      <c r="S13" s="7">
        <v>0.1</v>
      </c>
      <c r="T13" s="7">
        <v>0.6</v>
      </c>
      <c r="U13" s="7">
        <v>0.41</v>
      </c>
      <c r="V13" s="7">
        <v>-0.17</v>
      </c>
      <c r="W13" s="7">
        <v>0.46</v>
      </c>
      <c r="X13" s="7" t="s">
        <v>8</v>
      </c>
      <c r="Y13" s="7" t="s">
        <v>9</v>
      </c>
      <c r="Z13" s="2" t="s">
        <v>718</v>
      </c>
      <c r="AA13" s="2" t="s">
        <v>721</v>
      </c>
    </row>
    <row r="14" spans="1:27" x14ac:dyDescent="0.35">
      <c r="A14" s="7" t="s">
        <v>1515</v>
      </c>
      <c r="B14" s="7" t="s">
        <v>651</v>
      </c>
      <c r="C14" s="7" t="str">
        <f>_xlfn.XLOOKUP(B14,'[1]Sheet 1'!$A$2:$A$11107,'[1]Sheet 1'!$D$2:$D$11107,"",0)</f>
        <v>VSS</v>
      </c>
      <c r="D14" s="4" t="str">
        <f>_xlfn.XLOOKUP(A14,[3]Sheet2!$I$2:$I$1623,[3]Sheet2!$D$2:$D$1623,"",0)</f>
        <v>Q3</v>
      </c>
      <c r="E14" s="4" t="s">
        <v>1828</v>
      </c>
      <c r="F14" s="4" t="e">
        <f>_xlfn.XLOOKUP(B14,[2]Sheet2!$E$2:$E$713,[2]Sheet2!$G$2:$G$713)</f>
        <v>#N/A</v>
      </c>
      <c r="G14" s="18">
        <v>46085</v>
      </c>
      <c r="H14" s="14">
        <v>0.560150462962963</v>
      </c>
      <c r="I14" s="7" t="s">
        <v>10</v>
      </c>
      <c r="J14" s="2" t="str">
        <f t="shared" si="0"/>
        <v>Q3</v>
      </c>
      <c r="K14" s="2" t="str">
        <f t="shared" si="1"/>
        <v>Match</v>
      </c>
      <c r="L14" s="2">
        <f t="shared" si="2"/>
        <v>0.1</v>
      </c>
      <c r="M14" s="2" t="e">
        <f t="shared" si="3"/>
        <v>#N/A</v>
      </c>
      <c r="N14" s="2" t="str">
        <f t="shared" si="4"/>
        <v>Q OK dE&gt;0.8</v>
      </c>
      <c r="O14" s="7">
        <v>13.4</v>
      </c>
      <c r="P14" s="7">
        <v>0</v>
      </c>
      <c r="Q14" s="7">
        <v>-1.8</v>
      </c>
      <c r="R14" s="7">
        <v>-1.54</v>
      </c>
      <c r="S14" s="7">
        <v>-0.1</v>
      </c>
      <c r="T14" s="20">
        <v>0</v>
      </c>
      <c r="U14" s="7">
        <v>0.12</v>
      </c>
      <c r="V14" s="7">
        <v>-0.17</v>
      </c>
      <c r="W14" s="7">
        <v>1.55</v>
      </c>
      <c r="X14" s="7" t="s">
        <v>6</v>
      </c>
      <c r="Y14" s="7" t="s">
        <v>15</v>
      </c>
      <c r="Z14" s="2" t="s">
        <v>718</v>
      </c>
      <c r="AA14" s="2" t="s">
        <v>721</v>
      </c>
    </row>
    <row r="15" spans="1:27" x14ac:dyDescent="0.35">
      <c r="A15" s="7" t="s">
        <v>1540</v>
      </c>
      <c r="B15" s="7" t="s">
        <v>645</v>
      </c>
      <c r="C15" s="7" t="str">
        <f>_xlfn.XLOOKUP(B15,'[1]Sheet 1'!$A$2:$A$11107,'[1]Sheet 1'!$D$2:$D$11107,"",0)</f>
        <v>VSS</v>
      </c>
      <c r="D15" s="4" t="str">
        <f>_xlfn.XLOOKUP(A15,[3]Sheet2!$I$2:$I$1623,[3]Sheet2!$D$2:$D$1623,"",0)</f>
        <v>Q3</v>
      </c>
      <c r="E15" s="4" t="s">
        <v>1828</v>
      </c>
      <c r="F15" s="4" t="e">
        <f>_xlfn.XLOOKUP(B15,[2]Sheet2!$E$2:$E$713,[2]Sheet2!$G$2:$G$713)</f>
        <v>#N/A</v>
      </c>
      <c r="G15" s="18">
        <v>46085</v>
      </c>
      <c r="H15" s="14">
        <v>8.8935185185185187E-2</v>
      </c>
      <c r="I15" s="7" t="s">
        <v>11</v>
      </c>
      <c r="J15" s="2" t="str">
        <f t="shared" si="0"/>
        <v>Q3</v>
      </c>
      <c r="K15" s="2" t="str">
        <f t="shared" si="1"/>
        <v>Match</v>
      </c>
      <c r="L15" s="2">
        <f t="shared" si="2"/>
        <v>0.1</v>
      </c>
      <c r="M15" s="2" t="e">
        <f t="shared" si="3"/>
        <v>#N/A</v>
      </c>
      <c r="N15" s="2" t="str">
        <f t="shared" si="4"/>
        <v>Q OK dE&gt;0.8</v>
      </c>
      <c r="O15" s="7">
        <v>13</v>
      </c>
      <c r="P15" s="7">
        <v>-0.4</v>
      </c>
      <c r="Q15" s="7">
        <v>-1.6</v>
      </c>
      <c r="R15" s="7">
        <v>-1.17</v>
      </c>
      <c r="S15" s="7">
        <v>0</v>
      </c>
      <c r="T15" s="7">
        <v>0.1</v>
      </c>
      <c r="U15" s="7">
        <v>-0.17</v>
      </c>
      <c r="V15" s="7">
        <v>0.08</v>
      </c>
      <c r="W15" s="7">
        <v>1.19</v>
      </c>
      <c r="X15" s="7" t="s">
        <v>6</v>
      </c>
      <c r="Y15" s="7" t="s">
        <v>9</v>
      </c>
      <c r="Z15" s="2" t="s">
        <v>718</v>
      </c>
      <c r="AA15" s="2" t="s">
        <v>721</v>
      </c>
    </row>
    <row r="16" spans="1:27" x14ac:dyDescent="0.35">
      <c r="A16" s="7" t="s">
        <v>1548</v>
      </c>
      <c r="B16" s="7" t="s">
        <v>653</v>
      </c>
      <c r="C16" s="7" t="str">
        <f>_xlfn.XLOOKUP(B16,'[1]Sheet 1'!$A$2:$A$11107,'[1]Sheet 1'!$D$2:$D$11107,"",0)</f>
        <v>LULU</v>
      </c>
      <c r="D16" s="4" t="str">
        <f>_xlfn.XLOOKUP(A16,[3]Sheet2!$I$2:$I$1623,[3]Sheet2!$D$2:$D$1623,"",0)</f>
        <v>Q4</v>
      </c>
      <c r="E16" s="4" t="s">
        <v>1828</v>
      </c>
      <c r="F16" s="4" t="e">
        <f>_xlfn.XLOOKUP(B16,[2]Sheet2!$E$2:$E$713,[2]Sheet2!$G$2:$G$713)</f>
        <v>#N/A</v>
      </c>
      <c r="G16" s="18">
        <v>46085</v>
      </c>
      <c r="H16" s="14">
        <v>0.59780092592592593</v>
      </c>
      <c r="I16" s="7" t="s">
        <v>4</v>
      </c>
      <c r="J16" s="2" t="str">
        <f t="shared" si="0"/>
        <v>Q1</v>
      </c>
      <c r="K16" s="2" t="str">
        <f t="shared" si="1"/>
        <v>Not Match</v>
      </c>
      <c r="L16" s="2">
        <f t="shared" si="2"/>
        <v>0.44721359549995798</v>
      </c>
      <c r="M16" s="2" t="e">
        <f t="shared" si="3"/>
        <v>#N/A</v>
      </c>
      <c r="N16" s="2" t="str">
        <f t="shared" si="4"/>
        <v>Q NOT OK dE&lt;=0.8</v>
      </c>
      <c r="O16" s="7">
        <v>25.6</v>
      </c>
      <c r="P16" s="7">
        <v>3.7</v>
      </c>
      <c r="Q16" s="7">
        <v>7.5</v>
      </c>
      <c r="R16" s="7">
        <v>0.06</v>
      </c>
      <c r="S16" s="7">
        <v>0.2</v>
      </c>
      <c r="T16" s="7">
        <v>0.4</v>
      </c>
      <c r="U16" s="7">
        <v>0.42</v>
      </c>
      <c r="V16" s="7">
        <v>-0.01</v>
      </c>
      <c r="W16" s="7">
        <v>0.42</v>
      </c>
      <c r="X16" s="7" t="s">
        <v>8</v>
      </c>
      <c r="Y16" s="7" t="s">
        <v>9</v>
      </c>
      <c r="Z16" s="2" t="s">
        <v>718</v>
      </c>
      <c r="AA16" s="2" t="s">
        <v>721</v>
      </c>
    </row>
    <row r="17" spans="1:27" x14ac:dyDescent="0.35">
      <c r="A17" s="7" t="s">
        <v>1574</v>
      </c>
      <c r="B17" s="7" t="s">
        <v>659</v>
      </c>
      <c r="C17" s="7" t="str">
        <f>_xlfn.XLOOKUP(B17,'[1]Sheet 1'!$A$2:$A$11107,'[1]Sheet 1'!$D$2:$D$11107,"",0)</f>
        <v>PINK</v>
      </c>
      <c r="D17" s="4" t="str">
        <f>_xlfn.XLOOKUP(A17,[3]Sheet2!$I$2:$I$1623,[3]Sheet2!$D$2:$D$1623,"",0)</f>
        <v>Q2</v>
      </c>
      <c r="E17" s="4" t="s">
        <v>1828</v>
      </c>
      <c r="F17" s="4" t="e">
        <f>_xlfn.XLOOKUP(B17,[2]Sheet2!$E$2:$E$713,[2]Sheet2!$G$2:$G$713)</f>
        <v>#N/A</v>
      </c>
      <c r="G17" s="18">
        <v>46085</v>
      </c>
      <c r="H17" s="14">
        <v>0.69412037037037033</v>
      </c>
      <c r="I17" s="7" t="s">
        <v>10</v>
      </c>
      <c r="J17" s="2" t="str">
        <f t="shared" si="0"/>
        <v>Q4</v>
      </c>
      <c r="K17" s="2" t="str">
        <f t="shared" si="1"/>
        <v>Not Match</v>
      </c>
      <c r="L17" s="2">
        <f t="shared" si="2"/>
        <v>0.31622776601683794</v>
      </c>
      <c r="M17" s="2" t="e">
        <f t="shared" si="3"/>
        <v>#N/A</v>
      </c>
      <c r="N17" s="2" t="str">
        <f t="shared" si="4"/>
        <v>Q NOT OK dE&lt;=0.8</v>
      </c>
      <c r="O17" s="7">
        <v>18.8</v>
      </c>
      <c r="P17" s="7">
        <v>-1.9</v>
      </c>
      <c r="Q17" s="7">
        <v>-11.6</v>
      </c>
      <c r="R17" s="7">
        <v>-0.47</v>
      </c>
      <c r="S17" s="7">
        <v>0.1</v>
      </c>
      <c r="T17" s="7">
        <v>-0.3</v>
      </c>
      <c r="U17" s="7">
        <v>0.21</v>
      </c>
      <c r="V17" s="7">
        <v>0.21</v>
      </c>
      <c r="W17" s="7">
        <v>0.55000000000000004</v>
      </c>
      <c r="X17" s="7" t="s">
        <v>8</v>
      </c>
      <c r="Y17" s="7" t="s">
        <v>9</v>
      </c>
      <c r="Z17" s="2" t="s">
        <v>718</v>
      </c>
      <c r="AA17" s="2" t="s">
        <v>721</v>
      </c>
    </row>
    <row r="18" spans="1:27" x14ac:dyDescent="0.35">
      <c r="A18" s="7" t="s">
        <v>1540</v>
      </c>
      <c r="B18" s="7" t="s">
        <v>652</v>
      </c>
      <c r="C18" s="7" t="str">
        <f>_xlfn.XLOOKUP(B18,'[1]Sheet 1'!$A$2:$A$11107,'[1]Sheet 1'!$D$2:$D$11107,"",0)</f>
        <v>VSS</v>
      </c>
      <c r="D18" s="4" t="str">
        <f>_xlfn.XLOOKUP(A18,[3]Sheet2!$I$2:$I$1623,[3]Sheet2!$D$2:$D$1623,"",0)</f>
        <v>Q3</v>
      </c>
      <c r="E18" s="4" t="s">
        <v>1828</v>
      </c>
      <c r="F18" s="4" t="e">
        <f>_xlfn.XLOOKUP(B18,[2]Sheet2!$E$2:$E$713,[2]Sheet2!$G$2:$G$713)</f>
        <v>#N/A</v>
      </c>
      <c r="G18" s="18">
        <v>46085</v>
      </c>
      <c r="H18" s="14">
        <v>0.57844907407407409</v>
      </c>
      <c r="I18" s="7" t="s">
        <v>10</v>
      </c>
      <c r="J18" s="2" t="str">
        <f t="shared" si="0"/>
        <v>Q3</v>
      </c>
      <c r="K18" s="2" t="str">
        <f t="shared" si="1"/>
        <v>Match</v>
      </c>
      <c r="L18" s="2">
        <f t="shared" si="2"/>
        <v>0</v>
      </c>
      <c r="M18" s="2" t="e">
        <f t="shared" si="3"/>
        <v>#N/A</v>
      </c>
      <c r="N18" s="2" t="str">
        <f t="shared" si="4"/>
        <v>Q OK dE&lt;=0.8</v>
      </c>
      <c r="O18" s="7">
        <v>13.8</v>
      </c>
      <c r="P18" s="7">
        <v>0.5</v>
      </c>
      <c r="Q18" s="7">
        <v>-1.2</v>
      </c>
      <c r="R18" s="7">
        <v>-0.66</v>
      </c>
      <c r="S18" s="7">
        <v>0</v>
      </c>
      <c r="T18" s="20">
        <v>0</v>
      </c>
      <c r="U18" s="7">
        <v>-0.02</v>
      </c>
      <c r="V18" s="7">
        <v>0.06</v>
      </c>
      <c r="W18" s="7">
        <v>0.67</v>
      </c>
      <c r="X18" s="7" t="s">
        <v>8</v>
      </c>
      <c r="Y18" s="7" t="s">
        <v>9</v>
      </c>
      <c r="Z18" s="2" t="s">
        <v>718</v>
      </c>
      <c r="AA18" s="2" t="s">
        <v>721</v>
      </c>
    </row>
    <row r="19" spans="1:27" x14ac:dyDescent="0.35">
      <c r="A19" s="7" t="s">
        <v>1540</v>
      </c>
      <c r="B19" s="7" t="s">
        <v>655</v>
      </c>
      <c r="C19" s="7" t="str">
        <f>_xlfn.XLOOKUP(B19,'[1]Sheet 1'!$A$2:$A$11107,'[1]Sheet 1'!$D$2:$D$11107,"",0)</f>
        <v>VSS</v>
      </c>
      <c r="D19" s="4" t="str">
        <f>_xlfn.XLOOKUP(A19,[3]Sheet2!$I$2:$I$1623,[3]Sheet2!$D$2:$D$1623,"",0)</f>
        <v>Q3</v>
      </c>
      <c r="E19" s="4" t="s">
        <v>1828</v>
      </c>
      <c r="F19" s="4" t="e">
        <f>_xlfn.XLOOKUP(B19,[2]Sheet2!$E$2:$E$713,[2]Sheet2!$G$2:$G$713)</f>
        <v>#N/A</v>
      </c>
      <c r="G19" s="18">
        <v>46085</v>
      </c>
      <c r="H19" s="14">
        <v>0.63248842592592591</v>
      </c>
      <c r="I19" s="7" t="s">
        <v>10</v>
      </c>
      <c r="J19" s="2" t="str">
        <f t="shared" si="0"/>
        <v>Q3</v>
      </c>
      <c r="K19" s="2" t="str">
        <f t="shared" si="1"/>
        <v>Match</v>
      </c>
      <c r="L19" s="2">
        <f t="shared" si="2"/>
        <v>0.2</v>
      </c>
      <c r="M19" s="2" t="e">
        <f t="shared" si="3"/>
        <v>#N/A</v>
      </c>
      <c r="N19" s="2" t="str">
        <f t="shared" si="4"/>
        <v>Q OK dE&lt;=0.8</v>
      </c>
      <c r="O19" s="7">
        <v>13.9</v>
      </c>
      <c r="P19" s="7">
        <v>0.5</v>
      </c>
      <c r="Q19" s="7">
        <v>-1</v>
      </c>
      <c r="R19" s="7">
        <v>-0.56999999999999995</v>
      </c>
      <c r="S19" s="7">
        <v>0</v>
      </c>
      <c r="T19" s="7">
        <v>0.2</v>
      </c>
      <c r="U19" s="7">
        <v>-0.24</v>
      </c>
      <c r="V19" s="7">
        <v>0.18</v>
      </c>
      <c r="W19" s="7">
        <v>0.64</v>
      </c>
      <c r="X19" s="7" t="s">
        <v>8</v>
      </c>
      <c r="Y19" s="7" t="s">
        <v>9</v>
      </c>
      <c r="Z19" s="2" t="s">
        <v>718</v>
      </c>
      <c r="AA19" s="2" t="s">
        <v>721</v>
      </c>
    </row>
    <row r="20" spans="1:27" x14ac:dyDescent="0.35">
      <c r="A20" s="7" t="s">
        <v>1612</v>
      </c>
      <c r="B20" s="7" t="s">
        <v>656</v>
      </c>
      <c r="C20" s="7" t="str">
        <f>_xlfn.XLOOKUP(B20,'[1]Sheet 1'!$A$2:$A$11107,'[1]Sheet 1'!$D$2:$D$11107,"",0)</f>
        <v>LULU</v>
      </c>
      <c r="D20" s="4" t="str">
        <f>_xlfn.XLOOKUP(A20,[3]Sheet2!$I$2:$I$1623,[3]Sheet2!$D$2:$D$1623,"",0)</f>
        <v>Q1</v>
      </c>
      <c r="E20" s="4" t="s">
        <v>1827</v>
      </c>
      <c r="F20" s="4" t="e">
        <f>_xlfn.XLOOKUP(B20,[2]Sheet2!$E$2:$E$713,[2]Sheet2!$G$2:$G$713)</f>
        <v>#N/A</v>
      </c>
      <c r="G20" s="18">
        <v>46085</v>
      </c>
      <c r="H20" s="14">
        <v>0.66451388888888885</v>
      </c>
      <c r="I20" s="7" t="s">
        <v>4</v>
      </c>
      <c r="J20" s="2" t="str">
        <f t="shared" si="0"/>
        <v>Q1</v>
      </c>
      <c r="K20" s="2" t="str">
        <f t="shared" si="1"/>
        <v>Match</v>
      </c>
      <c r="L20" s="2">
        <f t="shared" si="2"/>
        <v>0.36055512754639896</v>
      </c>
      <c r="M20" s="2" t="e">
        <f t="shared" si="3"/>
        <v>#N/A</v>
      </c>
      <c r="N20" s="2" t="str">
        <f t="shared" si="4"/>
        <v>Q OK dE&gt;0.8</v>
      </c>
      <c r="O20" s="7">
        <v>16.3</v>
      </c>
      <c r="P20" s="7">
        <v>-0.1</v>
      </c>
      <c r="Q20" s="7">
        <v>-2.2000000000000002</v>
      </c>
      <c r="R20" s="7">
        <v>-1.74</v>
      </c>
      <c r="S20" s="7">
        <v>0.2</v>
      </c>
      <c r="T20" s="7">
        <v>0.3</v>
      </c>
      <c r="U20" s="7">
        <v>-0.5</v>
      </c>
      <c r="V20" s="7">
        <v>0.24</v>
      </c>
      <c r="W20" s="7">
        <v>1.83</v>
      </c>
      <c r="X20" s="7" t="s">
        <v>6</v>
      </c>
      <c r="Y20" s="7" t="s">
        <v>9</v>
      </c>
      <c r="Z20" s="2" t="s">
        <v>718</v>
      </c>
      <c r="AA20" s="2" t="s">
        <v>721</v>
      </c>
    </row>
    <row r="21" spans="1:27" x14ac:dyDescent="0.35">
      <c r="A21" s="7" t="s">
        <v>1612</v>
      </c>
      <c r="B21" s="7" t="s">
        <v>657</v>
      </c>
      <c r="C21" s="7" t="str">
        <f>_xlfn.XLOOKUP(B21,'[1]Sheet 1'!$A$2:$A$11107,'[1]Sheet 1'!$D$2:$D$11107,"",0)</f>
        <v>LULU</v>
      </c>
      <c r="D21" s="4" t="str">
        <f>_xlfn.XLOOKUP(A21,[3]Sheet2!$I$2:$I$1623,[3]Sheet2!$D$2:$D$1623,"",0)</f>
        <v>Q1</v>
      </c>
      <c r="E21" s="4" t="s">
        <v>1828</v>
      </c>
      <c r="F21" s="4" t="e">
        <f>_xlfn.XLOOKUP(B21,[2]Sheet2!$E$2:$E$713,[2]Sheet2!$G$2:$G$713)</f>
        <v>#N/A</v>
      </c>
      <c r="G21" s="18">
        <v>46085</v>
      </c>
      <c r="H21" s="14">
        <v>0.66574074074074074</v>
      </c>
      <c r="I21" s="7" t="s">
        <v>4</v>
      </c>
      <c r="J21" s="2" t="str">
        <f t="shared" si="0"/>
        <v>Q1</v>
      </c>
      <c r="K21" s="2" t="str">
        <f t="shared" si="1"/>
        <v>Match</v>
      </c>
      <c r="L21" s="2">
        <f t="shared" si="2"/>
        <v>0</v>
      </c>
      <c r="M21" s="2" t="e">
        <f t="shared" si="3"/>
        <v>#N/A</v>
      </c>
      <c r="N21" s="2" t="str">
        <f t="shared" si="4"/>
        <v>Q OK dE&lt;=0.8</v>
      </c>
      <c r="O21" s="7">
        <v>17.399999999999999</v>
      </c>
      <c r="P21" s="7">
        <v>-0.3</v>
      </c>
      <c r="Q21" s="7">
        <v>-2.5</v>
      </c>
      <c r="R21" s="7">
        <v>-0.78</v>
      </c>
      <c r="S21" s="7">
        <v>0</v>
      </c>
      <c r="T21" s="20">
        <v>0</v>
      </c>
      <c r="U21" s="7">
        <v>-0.11</v>
      </c>
      <c r="V21" s="7">
        <v>0.11</v>
      </c>
      <c r="W21" s="7">
        <v>0.8</v>
      </c>
      <c r="X21" s="7" t="s">
        <v>13</v>
      </c>
      <c r="Y21" s="7" t="s">
        <v>9</v>
      </c>
      <c r="Z21" s="2" t="s">
        <v>718</v>
      </c>
      <c r="AA21" s="2" t="s">
        <v>721</v>
      </c>
    </row>
    <row r="22" spans="1:27" x14ac:dyDescent="0.35">
      <c r="A22" s="7" t="s">
        <v>1507</v>
      </c>
      <c r="B22" s="7" t="s">
        <v>646</v>
      </c>
      <c r="C22" s="7" t="str">
        <f>_xlfn.XLOOKUP(B22,'[1]Sheet 1'!$A$2:$A$11107,'[1]Sheet 1'!$D$2:$D$11107,"",0)</f>
        <v>VSS</v>
      </c>
      <c r="D22" s="4" t="str">
        <f>_xlfn.XLOOKUP(A22,[3]Sheet2!$I$2:$I$1623,[3]Sheet2!$D$2:$D$1623,"",0)</f>
        <v>Q3</v>
      </c>
      <c r="E22" s="4" t="s">
        <v>1827</v>
      </c>
      <c r="F22" s="4" t="e">
        <f>_xlfn.XLOOKUP(B22,[2]Sheet2!$E$2:$E$713,[2]Sheet2!$G$2:$G$713)</f>
        <v>#N/A</v>
      </c>
      <c r="G22" s="18">
        <v>46085</v>
      </c>
      <c r="H22" s="14">
        <v>0.10971064814814815</v>
      </c>
      <c r="I22" s="7" t="s">
        <v>11</v>
      </c>
      <c r="J22" s="2" t="str">
        <f t="shared" si="0"/>
        <v>Q3</v>
      </c>
      <c r="K22" s="2" t="str">
        <f t="shared" si="1"/>
        <v>Match</v>
      </c>
      <c r="L22" s="2">
        <f t="shared" si="2"/>
        <v>0.3</v>
      </c>
      <c r="M22" s="2" t="e">
        <f t="shared" si="3"/>
        <v>#N/A</v>
      </c>
      <c r="N22" s="2" t="str">
        <f t="shared" si="4"/>
        <v>Q OK dE&gt;0.8</v>
      </c>
      <c r="O22" s="7">
        <v>14.8</v>
      </c>
      <c r="P22" s="7">
        <v>-1</v>
      </c>
      <c r="Q22" s="7">
        <v>-0.4</v>
      </c>
      <c r="R22" s="7">
        <v>-0.91</v>
      </c>
      <c r="S22" s="7">
        <v>0</v>
      </c>
      <c r="T22" s="7">
        <v>0.3</v>
      </c>
      <c r="U22" s="7">
        <v>-0.32</v>
      </c>
      <c r="V22" s="7">
        <v>-0.42</v>
      </c>
      <c r="W22" s="7">
        <v>1.05</v>
      </c>
      <c r="X22" s="7" t="s">
        <v>6</v>
      </c>
      <c r="Y22" s="7" t="s">
        <v>9</v>
      </c>
      <c r="Z22" s="2" t="s">
        <v>718</v>
      </c>
      <c r="AA22" s="2" t="s">
        <v>721</v>
      </c>
    </row>
    <row r="23" spans="1:27" x14ac:dyDescent="0.35">
      <c r="A23" s="7" t="s">
        <v>1574</v>
      </c>
      <c r="B23" s="7" t="s">
        <v>642</v>
      </c>
      <c r="C23" s="7" t="str">
        <f>_xlfn.XLOOKUP(B23,'[1]Sheet 1'!$A$2:$A$11107,'[1]Sheet 1'!$D$2:$D$11107,"",0)</f>
        <v>PINK</v>
      </c>
      <c r="D23" s="4" t="str">
        <f>_xlfn.XLOOKUP(A23,[3]Sheet2!$I$2:$I$1623,[3]Sheet2!$D$2:$D$1623,"",0)</f>
        <v>Q2</v>
      </c>
      <c r="E23" s="4" t="s">
        <v>1828</v>
      </c>
      <c r="F23" s="4" t="e">
        <f>_xlfn.XLOOKUP(B23,[2]Sheet2!$E$2:$E$713,[2]Sheet2!$G$2:$G$713)</f>
        <v>#N/A</v>
      </c>
      <c r="G23" s="18">
        <v>46085</v>
      </c>
      <c r="H23" s="14">
        <v>5.4722222222222221E-2</v>
      </c>
      <c r="I23" s="7" t="s">
        <v>10</v>
      </c>
      <c r="J23" s="2" t="str">
        <f t="shared" si="0"/>
        <v>Q2</v>
      </c>
      <c r="K23" s="2" t="str">
        <f t="shared" si="1"/>
        <v>Match</v>
      </c>
      <c r="L23" s="2">
        <f t="shared" si="2"/>
        <v>0.3</v>
      </c>
      <c r="M23" s="2" t="e">
        <f t="shared" si="3"/>
        <v>#N/A</v>
      </c>
      <c r="N23" s="2" t="str">
        <f t="shared" si="4"/>
        <v>Q OK dE&lt;=0.8</v>
      </c>
      <c r="O23" s="7">
        <v>18.7</v>
      </c>
      <c r="P23" s="7">
        <v>-2</v>
      </c>
      <c r="Q23" s="7">
        <v>-11.6</v>
      </c>
      <c r="R23" s="7">
        <v>-0.57999999999999996</v>
      </c>
      <c r="S23" s="7">
        <v>0</v>
      </c>
      <c r="T23" s="7">
        <v>-0.3</v>
      </c>
      <c r="U23" s="7">
        <v>0.25</v>
      </c>
      <c r="V23" s="7">
        <v>0.17</v>
      </c>
      <c r="W23" s="7">
        <v>0.65</v>
      </c>
      <c r="X23" s="7" t="s">
        <v>8</v>
      </c>
      <c r="Y23" s="7" t="s">
        <v>9</v>
      </c>
      <c r="Z23" s="2" t="s">
        <v>718</v>
      </c>
      <c r="AA23" s="2" t="s">
        <v>721</v>
      </c>
    </row>
    <row r="24" spans="1:27" x14ac:dyDescent="0.35">
      <c r="A24" s="7" t="s">
        <v>1543</v>
      </c>
      <c r="B24" s="7" t="s">
        <v>650</v>
      </c>
      <c r="C24" s="7" t="str">
        <f>_xlfn.XLOOKUP(B24,'[1]Sheet 1'!$A$2:$A$11107,'[1]Sheet 1'!$D$2:$D$11107,"",0)</f>
        <v>VSS</v>
      </c>
      <c r="D24" s="4" t="str">
        <f>_xlfn.XLOOKUP(A24,[3]Sheet2!$I$2:$I$1623,[3]Sheet2!$D$2:$D$1623,"",0)</f>
        <v>Q3</v>
      </c>
      <c r="E24" s="4" t="s">
        <v>1828</v>
      </c>
      <c r="F24" s="4" t="e">
        <f>_xlfn.XLOOKUP(B24,[2]Sheet2!$E$2:$E$713,[2]Sheet2!$G$2:$G$713)</f>
        <v>#N/A</v>
      </c>
      <c r="G24" s="18">
        <v>46085</v>
      </c>
      <c r="H24" s="14">
        <v>0.40987268518518516</v>
      </c>
      <c r="I24" s="7" t="s">
        <v>10</v>
      </c>
      <c r="J24" s="2" t="str">
        <f t="shared" si="0"/>
        <v>Q2</v>
      </c>
      <c r="K24" s="2" t="str">
        <f t="shared" si="1"/>
        <v>Not Match</v>
      </c>
      <c r="L24" s="2">
        <f t="shared" si="2"/>
        <v>0.28284271247461906</v>
      </c>
      <c r="M24" s="2" t="e">
        <f t="shared" si="3"/>
        <v>#N/A</v>
      </c>
      <c r="N24" s="2" t="str">
        <f t="shared" si="4"/>
        <v>Q NOT OK dE&lt;=0.8</v>
      </c>
      <c r="O24" s="7">
        <v>27</v>
      </c>
      <c r="P24" s="7">
        <v>11.1</v>
      </c>
      <c r="Q24" s="7">
        <v>10.199999999999999</v>
      </c>
      <c r="R24" s="7">
        <v>-0.16</v>
      </c>
      <c r="S24" s="7">
        <v>-0.2</v>
      </c>
      <c r="T24" s="7">
        <v>0.2</v>
      </c>
      <c r="U24" s="7">
        <v>-0.02</v>
      </c>
      <c r="V24" s="7">
        <v>0.46</v>
      </c>
      <c r="W24" s="7">
        <v>0.49</v>
      </c>
      <c r="X24" s="7" t="s">
        <v>8</v>
      </c>
      <c r="Y24" s="7" t="s">
        <v>12</v>
      </c>
      <c r="Z24" s="2" t="s">
        <v>718</v>
      </c>
      <c r="AA24" s="2" t="s">
        <v>721</v>
      </c>
    </row>
    <row r="25" spans="1:27" x14ac:dyDescent="0.35">
      <c r="A25" s="7" t="s">
        <v>1552</v>
      </c>
      <c r="B25" s="7" t="s">
        <v>643</v>
      </c>
      <c r="C25" s="7" t="str">
        <f>_xlfn.XLOOKUP(B25,'[1]Sheet 1'!$A$2:$A$11107,'[1]Sheet 1'!$D$2:$D$11107,"",0)</f>
        <v>NIK</v>
      </c>
      <c r="D25" s="4" t="str">
        <f>_xlfn.XLOOKUP(A25,[3]Sheet2!$I$2:$I$1623,[3]Sheet2!$D$2:$D$1623,"",0)</f>
        <v>Q1</v>
      </c>
      <c r="E25" s="4" t="s">
        <v>1828</v>
      </c>
      <c r="F25" s="4" t="e">
        <f>_xlfn.XLOOKUP(B25,[2]Sheet2!$E$2:$E$713,[2]Sheet2!$G$2:$G$713)</f>
        <v>#N/A</v>
      </c>
      <c r="G25" s="18">
        <v>46085</v>
      </c>
      <c r="H25" s="14">
        <v>5.9432870370370372E-2</v>
      </c>
      <c r="I25" s="7" t="s">
        <v>4</v>
      </c>
      <c r="J25" s="2" t="str">
        <f t="shared" si="0"/>
        <v>Q1</v>
      </c>
      <c r="K25" s="2" t="str">
        <f t="shared" si="1"/>
        <v>Match</v>
      </c>
      <c r="L25" s="2">
        <f t="shared" si="2"/>
        <v>0.3</v>
      </c>
      <c r="M25" s="2" t="e">
        <f t="shared" si="3"/>
        <v>#N/A</v>
      </c>
      <c r="N25" s="2" t="str">
        <f t="shared" si="4"/>
        <v>Q OK dE&lt;=0.8</v>
      </c>
      <c r="O25" s="7">
        <v>14.3</v>
      </c>
      <c r="P25" s="7">
        <v>-1.4</v>
      </c>
      <c r="Q25" s="7">
        <v>-1.2</v>
      </c>
      <c r="R25" s="7">
        <v>-0.54</v>
      </c>
      <c r="S25" s="7">
        <v>-0.3</v>
      </c>
      <c r="T25" s="20">
        <v>0</v>
      </c>
      <c r="U25" s="7">
        <v>0.31</v>
      </c>
      <c r="V25" s="7">
        <v>-0.42</v>
      </c>
      <c r="W25" s="7">
        <v>0.75</v>
      </c>
      <c r="X25" s="7" t="s">
        <v>8</v>
      </c>
      <c r="Y25" s="7" t="s">
        <v>12</v>
      </c>
      <c r="Z25" s="2" t="s">
        <v>718</v>
      </c>
      <c r="AA25" s="2" t="s">
        <v>721</v>
      </c>
    </row>
    <row r="26" spans="1:27" x14ac:dyDescent="0.35">
      <c r="A26" s="7" t="s">
        <v>1612</v>
      </c>
      <c r="B26" s="7" t="s">
        <v>647</v>
      </c>
      <c r="C26" s="7" t="str">
        <f>_xlfn.XLOOKUP(B26,'[1]Sheet 1'!$A$2:$A$11107,'[1]Sheet 1'!$D$2:$D$11107,"",0)</f>
        <v>LULU</v>
      </c>
      <c r="D26" s="4" t="str">
        <f>_xlfn.XLOOKUP(A26,[3]Sheet2!$I$2:$I$1623,[3]Sheet2!$D$2:$D$1623,"",0)</f>
        <v>Q1</v>
      </c>
      <c r="E26" s="4" t="s">
        <v>1828</v>
      </c>
      <c r="F26" s="4" t="e">
        <f>_xlfn.XLOOKUP(B26,[2]Sheet2!$E$2:$E$713,[2]Sheet2!$G$2:$G$713)</f>
        <v>#N/A</v>
      </c>
      <c r="G26" s="18">
        <v>46085</v>
      </c>
      <c r="H26" s="14">
        <v>0.2726736111111111</v>
      </c>
      <c r="I26" s="7" t="s">
        <v>4</v>
      </c>
      <c r="J26" s="2" t="str">
        <f t="shared" si="0"/>
        <v>Q1</v>
      </c>
      <c r="K26" s="2" t="str">
        <f t="shared" si="1"/>
        <v>Match</v>
      </c>
      <c r="L26" s="2">
        <f t="shared" si="2"/>
        <v>0.1</v>
      </c>
      <c r="M26" s="2" t="e">
        <f t="shared" si="3"/>
        <v>#N/A</v>
      </c>
      <c r="N26" s="2" t="str">
        <f t="shared" si="4"/>
        <v>Q OK dE&gt;0.8</v>
      </c>
      <c r="O26" s="7">
        <v>16.399999999999999</v>
      </c>
      <c r="P26" s="7">
        <v>-0.3</v>
      </c>
      <c r="Q26" s="7">
        <v>-2.5</v>
      </c>
      <c r="R26" s="7">
        <v>-1.66</v>
      </c>
      <c r="S26" s="7">
        <v>0</v>
      </c>
      <c r="T26" s="7">
        <v>0.1</v>
      </c>
      <c r="U26" s="7">
        <v>-0.15</v>
      </c>
      <c r="V26" s="7">
        <v>0.08</v>
      </c>
      <c r="W26" s="7">
        <v>1.66</v>
      </c>
      <c r="X26" s="7" t="s">
        <v>6</v>
      </c>
      <c r="Y26" s="7" t="s">
        <v>9</v>
      </c>
      <c r="Z26" s="2" t="s">
        <v>718</v>
      </c>
      <c r="AA26" s="2" t="s">
        <v>721</v>
      </c>
    </row>
    <row r="27" spans="1:27" x14ac:dyDescent="0.35">
      <c r="A27" s="7" t="s">
        <v>1687</v>
      </c>
      <c r="B27" s="7" t="s">
        <v>648</v>
      </c>
      <c r="C27" s="7" t="str">
        <f>_xlfn.XLOOKUP(B27,'[1]Sheet 1'!$A$2:$A$11107,'[1]Sheet 1'!$D$2:$D$11107,"",0)</f>
        <v>NIK</v>
      </c>
      <c r="D27" s="4" t="str">
        <f>_xlfn.XLOOKUP(A27,[3]Sheet2!$I$2:$I$1623,[3]Sheet2!$D$2:$D$1623,"",0)</f>
        <v>Q3</v>
      </c>
      <c r="E27" s="4" t="s">
        <v>1827</v>
      </c>
      <c r="F27" s="4" t="e">
        <f>_xlfn.XLOOKUP(B27,[2]Sheet2!$E$2:$E$713,[2]Sheet2!$G$2:$G$713)</f>
        <v>#N/A</v>
      </c>
      <c r="G27" s="18">
        <v>46085</v>
      </c>
      <c r="H27" s="14">
        <v>0.27620370370370373</v>
      </c>
      <c r="I27" s="7" t="s">
        <v>4</v>
      </c>
      <c r="J27" s="2" t="str">
        <f t="shared" si="0"/>
        <v>Q2</v>
      </c>
      <c r="K27" s="2" t="str">
        <f t="shared" si="1"/>
        <v>Not Match</v>
      </c>
      <c r="L27" s="2">
        <f t="shared" si="2"/>
        <v>0.50990195135927852</v>
      </c>
      <c r="M27" s="2" t="e">
        <f t="shared" si="3"/>
        <v>#N/A</v>
      </c>
      <c r="N27" s="2" t="str">
        <f t="shared" si="4"/>
        <v>Q NOT OK dE&lt;=0.8</v>
      </c>
      <c r="O27" s="7">
        <v>33.299999999999997</v>
      </c>
      <c r="P27" s="7">
        <v>11.6</v>
      </c>
      <c r="Q27" s="7">
        <v>11.4</v>
      </c>
      <c r="R27" s="7">
        <v>-0.25</v>
      </c>
      <c r="S27" s="7">
        <v>-0.5</v>
      </c>
      <c r="T27" s="7">
        <v>0.1</v>
      </c>
      <c r="U27" s="7">
        <v>-0.21</v>
      </c>
      <c r="V27" s="7">
        <v>0.71</v>
      </c>
      <c r="W27" s="7">
        <v>0.78</v>
      </c>
      <c r="X27" s="7" t="s">
        <v>13</v>
      </c>
      <c r="Y27" s="7" t="s">
        <v>12</v>
      </c>
      <c r="Z27" s="2" t="s">
        <v>718</v>
      </c>
      <c r="AA27" s="2" t="s">
        <v>721</v>
      </c>
    </row>
    <row r="28" spans="1:27" x14ac:dyDescent="0.35">
      <c r="A28" s="7" t="s">
        <v>1540</v>
      </c>
      <c r="B28" s="7" t="s">
        <v>667</v>
      </c>
      <c r="C28" s="7" t="str">
        <f>_xlfn.XLOOKUP(B28,'[1]Sheet 1'!$A$2:$A$11107,'[1]Sheet 1'!$D$2:$D$11107,"",0)</f>
        <v>VSS</v>
      </c>
      <c r="D28" s="4" t="str">
        <f>_xlfn.XLOOKUP(A28,[3]Sheet2!$I$2:$I$1623,[3]Sheet2!$D$2:$D$1623,"",0)</f>
        <v>Q3</v>
      </c>
      <c r="E28" s="4" t="s">
        <v>1828</v>
      </c>
      <c r="F28" s="4" t="e">
        <f>_xlfn.XLOOKUP(B28,[2]Sheet2!$E$2:$E$713,[2]Sheet2!$G$2:$G$713)</f>
        <v>#N/A</v>
      </c>
      <c r="G28" s="18">
        <v>46086</v>
      </c>
      <c r="H28" s="14">
        <v>0.75064814814814818</v>
      </c>
      <c r="I28" s="7" t="s">
        <v>10</v>
      </c>
      <c r="J28" s="2" t="str">
        <f t="shared" si="0"/>
        <v>Q3</v>
      </c>
      <c r="K28" s="2" t="str">
        <f t="shared" si="1"/>
        <v>Match</v>
      </c>
      <c r="L28" s="2">
        <f t="shared" si="2"/>
        <v>0.1</v>
      </c>
      <c r="M28" s="2" t="e">
        <f t="shared" si="3"/>
        <v>#N/A</v>
      </c>
      <c r="N28" s="2" t="str">
        <f t="shared" si="4"/>
        <v>Q OK dE&lt;=0.8</v>
      </c>
      <c r="O28" s="7">
        <v>14.1</v>
      </c>
      <c r="P28" s="7">
        <v>0.5</v>
      </c>
      <c r="Q28" s="7">
        <v>-1</v>
      </c>
      <c r="R28" s="7">
        <v>-0.42</v>
      </c>
      <c r="S28" s="7">
        <v>0</v>
      </c>
      <c r="T28" s="7">
        <v>0.1</v>
      </c>
      <c r="U28" s="7">
        <v>-0.2</v>
      </c>
      <c r="V28" s="7">
        <v>0.19</v>
      </c>
      <c r="W28" s="7">
        <v>0.5</v>
      </c>
      <c r="X28" s="7" t="s">
        <v>8</v>
      </c>
      <c r="Y28" s="7" t="s">
        <v>9</v>
      </c>
      <c r="Z28" s="2" t="s">
        <v>718</v>
      </c>
      <c r="AA28" s="2" t="s">
        <v>721</v>
      </c>
    </row>
    <row r="29" spans="1:27" x14ac:dyDescent="0.35">
      <c r="A29" s="7" t="s">
        <v>1507</v>
      </c>
      <c r="B29" s="7" t="s">
        <v>671</v>
      </c>
      <c r="C29" s="7" t="str">
        <f>_xlfn.XLOOKUP(B29,'[1]Sheet 1'!$A$2:$A$11107,'[1]Sheet 1'!$D$2:$D$11107,"",0)</f>
        <v>VSS</v>
      </c>
      <c r="D29" s="4" t="str">
        <f>_xlfn.XLOOKUP(A29,[3]Sheet2!$I$2:$I$1623,[3]Sheet2!$D$2:$D$1623,"",0)</f>
        <v>Q3</v>
      </c>
      <c r="E29" s="4" t="s">
        <v>1828</v>
      </c>
      <c r="F29" s="4" t="e">
        <f>_xlfn.XLOOKUP(B29,[2]Sheet2!$E$2:$E$713,[2]Sheet2!$G$2:$G$713)</f>
        <v>#N/A</v>
      </c>
      <c r="G29" s="18">
        <v>46086</v>
      </c>
      <c r="H29" s="14">
        <v>0.95712962962962966</v>
      </c>
      <c r="I29" s="7" t="s">
        <v>10</v>
      </c>
      <c r="J29" s="2" t="str">
        <f t="shared" si="0"/>
        <v>Q1</v>
      </c>
      <c r="K29" s="2" t="str">
        <f t="shared" si="1"/>
        <v>Not Match</v>
      </c>
      <c r="L29" s="2">
        <f t="shared" si="2"/>
        <v>0.22360679774997899</v>
      </c>
      <c r="M29" s="2" t="e">
        <f t="shared" si="3"/>
        <v>#N/A</v>
      </c>
      <c r="N29" s="2" t="str">
        <f t="shared" si="4"/>
        <v>Q NOT OK dE&lt;=0.8</v>
      </c>
      <c r="O29" s="7">
        <v>15.7</v>
      </c>
      <c r="P29" s="7">
        <v>0.9</v>
      </c>
      <c r="Q29" s="7">
        <v>0</v>
      </c>
      <c r="R29" s="7">
        <v>-0.59</v>
      </c>
      <c r="S29" s="7">
        <v>0.1</v>
      </c>
      <c r="T29" s="7">
        <v>0.2</v>
      </c>
      <c r="U29" s="7">
        <v>0.14000000000000001</v>
      </c>
      <c r="V29" s="7">
        <v>0.28999999999999998</v>
      </c>
      <c r="W29" s="7">
        <v>0.67</v>
      </c>
      <c r="X29" s="7" t="s">
        <v>8</v>
      </c>
      <c r="Y29" s="7" t="s">
        <v>9</v>
      </c>
      <c r="Z29" s="2" t="s">
        <v>718</v>
      </c>
      <c r="AA29" s="2" t="s">
        <v>721</v>
      </c>
    </row>
    <row r="30" spans="1:27" x14ac:dyDescent="0.35">
      <c r="A30" s="7" t="s">
        <v>1694</v>
      </c>
      <c r="B30" s="7" t="s">
        <v>662</v>
      </c>
      <c r="C30" s="7" t="str">
        <f>_xlfn.XLOOKUP(B30,'[1]Sheet 1'!$A$2:$A$11107,'[1]Sheet 1'!$D$2:$D$11107,"",0)</f>
        <v>VSS</v>
      </c>
      <c r="D30" s="4" t="str">
        <f>_xlfn.XLOOKUP(A30,[3]Sheet2!$I$2:$I$1623,[3]Sheet2!$D$2:$D$1623,"",0)</f>
        <v>Q3</v>
      </c>
      <c r="E30" s="4" t="s">
        <v>1828</v>
      </c>
      <c r="F30" s="4" t="e">
        <f>_xlfn.XLOOKUP(B30,[2]Sheet2!$E$2:$E$713,[2]Sheet2!$G$2:$G$713)</f>
        <v>#N/A</v>
      </c>
      <c r="G30" s="18">
        <v>46086</v>
      </c>
      <c r="H30" s="14">
        <v>0.73637731481481483</v>
      </c>
      <c r="I30" s="7" t="s">
        <v>10</v>
      </c>
      <c r="J30" s="2" t="str">
        <f t="shared" si="0"/>
        <v>Q3</v>
      </c>
      <c r="K30" s="2" t="str">
        <f t="shared" si="1"/>
        <v>Match</v>
      </c>
      <c r="L30" s="2">
        <f t="shared" si="2"/>
        <v>0.3</v>
      </c>
      <c r="M30" s="2" t="e">
        <f t="shared" si="3"/>
        <v>#N/A</v>
      </c>
      <c r="N30" s="2" t="str">
        <f t="shared" si="4"/>
        <v>Q OK dE&lt;=0.8</v>
      </c>
      <c r="O30" s="7">
        <v>17.5</v>
      </c>
      <c r="P30" s="7">
        <v>0</v>
      </c>
      <c r="Q30" s="7">
        <v>-2.2000000000000002</v>
      </c>
      <c r="R30" s="7">
        <v>0.22</v>
      </c>
      <c r="S30" s="7">
        <v>0</v>
      </c>
      <c r="T30" s="7">
        <v>0.3</v>
      </c>
      <c r="U30" s="7">
        <v>-0.46</v>
      </c>
      <c r="V30" s="7">
        <v>0.11</v>
      </c>
      <c r="W30" s="7">
        <v>0.53</v>
      </c>
      <c r="X30" s="7" t="s">
        <v>8</v>
      </c>
      <c r="Y30" s="7" t="s">
        <v>9</v>
      </c>
      <c r="Z30" s="2" t="s">
        <v>718</v>
      </c>
      <c r="AA30" s="2" t="s">
        <v>721</v>
      </c>
    </row>
    <row r="31" spans="1:27" x14ac:dyDescent="0.35">
      <c r="A31" s="7" t="s">
        <v>1558</v>
      </c>
      <c r="B31" s="7" t="s">
        <v>661</v>
      </c>
      <c r="C31" s="7" t="str">
        <f>_xlfn.XLOOKUP(B31,'[1]Sheet 1'!$A$2:$A$11107,'[1]Sheet 1'!$D$2:$D$11107,"",0)</f>
        <v>M&amp;S</v>
      </c>
      <c r="D31" s="4" t="str">
        <f>_xlfn.XLOOKUP(A31,[3]Sheet2!$I$2:$I$1623,[3]Sheet2!$D$2:$D$1623,"",0)</f>
        <v>Q3</v>
      </c>
      <c r="E31" s="4" t="s">
        <v>1828</v>
      </c>
      <c r="F31" s="4" t="e">
        <f>_xlfn.XLOOKUP(B31,[2]Sheet2!$E$2:$E$713,[2]Sheet2!$G$2:$G$713)</f>
        <v>#N/A</v>
      </c>
      <c r="G31" s="18">
        <v>46086</v>
      </c>
      <c r="H31" s="14">
        <v>0.73390046296296296</v>
      </c>
      <c r="I31" s="7" t="s">
        <v>17</v>
      </c>
      <c r="J31" s="2" t="str">
        <f t="shared" si="0"/>
        <v>Q3</v>
      </c>
      <c r="K31" s="2" t="str">
        <f t="shared" si="1"/>
        <v>Match</v>
      </c>
      <c r="L31" s="2">
        <f t="shared" si="2"/>
        <v>0</v>
      </c>
      <c r="M31" s="2" t="e">
        <f t="shared" si="3"/>
        <v>#N/A</v>
      </c>
      <c r="N31" s="2" t="str">
        <f t="shared" si="4"/>
        <v>Q OK dE&lt;=0.8</v>
      </c>
      <c r="O31" s="7">
        <v>15.6</v>
      </c>
      <c r="P31" s="7">
        <v>-0.5</v>
      </c>
      <c r="Q31" s="7">
        <v>-1.8</v>
      </c>
      <c r="R31" s="7">
        <v>0.01</v>
      </c>
      <c r="S31" s="7">
        <v>0</v>
      </c>
      <c r="T31" s="20">
        <v>0</v>
      </c>
      <c r="U31" s="7">
        <v>0.11</v>
      </c>
      <c r="V31" s="7">
        <v>-0.08</v>
      </c>
      <c r="W31" s="7">
        <v>0.14000000000000001</v>
      </c>
      <c r="X31" s="7" t="s">
        <v>8</v>
      </c>
      <c r="Y31" s="7" t="s">
        <v>15</v>
      </c>
      <c r="Z31" s="2" t="s">
        <v>718</v>
      </c>
      <c r="AA31" s="2" t="s">
        <v>721</v>
      </c>
    </row>
    <row r="32" spans="1:27" x14ac:dyDescent="0.35">
      <c r="A32" s="7" t="s">
        <v>1574</v>
      </c>
      <c r="B32" s="7" t="s">
        <v>664</v>
      </c>
      <c r="C32" s="7" t="str">
        <f>_xlfn.XLOOKUP(B32,'[1]Sheet 1'!$A$2:$A$11107,'[1]Sheet 1'!$D$2:$D$11107,"",0)</f>
        <v>PINK</v>
      </c>
      <c r="D32" s="4" t="str">
        <f>_xlfn.XLOOKUP(A32,[3]Sheet2!$I$2:$I$1623,[3]Sheet2!$D$2:$D$1623,"",0)</f>
        <v>Q2</v>
      </c>
      <c r="E32" s="4" t="s">
        <v>1828</v>
      </c>
      <c r="F32" s="4" t="e">
        <f>_xlfn.XLOOKUP(B32,[2]Sheet2!$E$2:$E$713,[2]Sheet2!$G$2:$G$713)</f>
        <v>#N/A</v>
      </c>
      <c r="G32" s="18">
        <v>46086</v>
      </c>
      <c r="H32" s="14">
        <v>0.74260416666666662</v>
      </c>
      <c r="I32" s="7" t="s">
        <v>10</v>
      </c>
      <c r="J32" s="2" t="str">
        <f t="shared" si="0"/>
        <v>Q4</v>
      </c>
      <c r="K32" s="2" t="str">
        <f t="shared" si="1"/>
        <v>Not Match</v>
      </c>
      <c r="L32" s="2">
        <f t="shared" si="2"/>
        <v>0.22360679774997899</v>
      </c>
      <c r="M32" s="2" t="e">
        <f t="shared" si="3"/>
        <v>#N/A</v>
      </c>
      <c r="N32" s="2" t="str">
        <f t="shared" si="4"/>
        <v>Q NOT OK dE&lt;=0.8</v>
      </c>
      <c r="O32" s="7">
        <v>18.899999999999999</v>
      </c>
      <c r="P32" s="7">
        <v>-1.9</v>
      </c>
      <c r="Q32" s="7">
        <v>-11.5</v>
      </c>
      <c r="R32" s="7">
        <v>-0.35</v>
      </c>
      <c r="S32" s="7">
        <v>0.1</v>
      </c>
      <c r="T32" s="7">
        <v>-0.2</v>
      </c>
      <c r="U32" s="7">
        <v>0.15</v>
      </c>
      <c r="V32" s="7">
        <v>0.22</v>
      </c>
      <c r="W32" s="7">
        <v>0.43</v>
      </c>
      <c r="X32" s="7" t="s">
        <v>8</v>
      </c>
      <c r="Y32" s="7" t="s">
        <v>9</v>
      </c>
      <c r="Z32" s="2" t="s">
        <v>718</v>
      </c>
      <c r="AA32" s="2" t="s">
        <v>721</v>
      </c>
    </row>
    <row r="33" spans="1:27" x14ac:dyDescent="0.35">
      <c r="A33" s="7" t="s">
        <v>1509</v>
      </c>
      <c r="B33" s="7" t="s">
        <v>670</v>
      </c>
      <c r="C33" s="7" t="str">
        <f>_xlfn.XLOOKUP(B33,'[1]Sheet 1'!$A$2:$A$11107,'[1]Sheet 1'!$D$2:$D$11107,"",0)</f>
        <v>LBI</v>
      </c>
      <c r="D33" s="4" t="str">
        <f>_xlfn.XLOOKUP(A33,[3]Sheet2!$I$2:$I$1623,[3]Sheet2!$D$2:$D$1623,"",0)</f>
        <v>Q2</v>
      </c>
      <c r="E33" s="4" t="s">
        <v>1828</v>
      </c>
      <c r="F33" s="4" t="e">
        <f>_xlfn.XLOOKUP(B33,[2]Sheet2!$E$2:$E$713,[2]Sheet2!$G$2:$G$713)</f>
        <v>#N/A</v>
      </c>
      <c r="G33" s="18">
        <v>46086</v>
      </c>
      <c r="H33" s="14">
        <v>0.9249074074074074</v>
      </c>
      <c r="I33" s="7" t="s">
        <v>14</v>
      </c>
      <c r="J33" s="2" t="str">
        <f t="shared" si="0"/>
        <v>Q2</v>
      </c>
      <c r="K33" s="2" t="str">
        <f t="shared" si="1"/>
        <v>Match</v>
      </c>
      <c r="L33" s="2">
        <f t="shared" si="2"/>
        <v>0</v>
      </c>
      <c r="M33" s="2" t="e">
        <f t="shared" si="3"/>
        <v>#N/A</v>
      </c>
      <c r="N33" s="2" t="str">
        <f t="shared" si="4"/>
        <v>Q OK dE&lt;=0.8</v>
      </c>
      <c r="O33" s="7">
        <v>15.8</v>
      </c>
      <c r="P33" s="7">
        <v>-0.8</v>
      </c>
      <c r="Q33" s="7">
        <v>-3.1</v>
      </c>
      <c r="R33" s="7">
        <v>-0.53</v>
      </c>
      <c r="S33" s="7">
        <v>0</v>
      </c>
      <c r="T33" s="20">
        <v>0</v>
      </c>
      <c r="U33" s="7">
        <v>-0.06</v>
      </c>
      <c r="V33" s="7">
        <v>0.05</v>
      </c>
      <c r="W33" s="7">
        <v>0.54</v>
      </c>
      <c r="X33" s="7" t="s">
        <v>8</v>
      </c>
      <c r="Y33" s="7" t="s">
        <v>9</v>
      </c>
      <c r="Z33" s="2" t="s">
        <v>718</v>
      </c>
      <c r="AA33" s="2" t="s">
        <v>721</v>
      </c>
    </row>
    <row r="34" spans="1:27" x14ac:dyDescent="0.35">
      <c r="A34" s="7" t="s">
        <v>1515</v>
      </c>
      <c r="B34" s="7" t="s">
        <v>666</v>
      </c>
      <c r="C34" s="7" t="str">
        <f>_xlfn.XLOOKUP(B34,'[1]Sheet 1'!$A$2:$A$11107,'[1]Sheet 1'!$D$2:$D$11107,"",0)</f>
        <v>VSS</v>
      </c>
      <c r="D34" s="4" t="str">
        <f>_xlfn.XLOOKUP(A34,[3]Sheet2!$I$2:$I$1623,[3]Sheet2!$D$2:$D$1623,"",0)</f>
        <v>Q3</v>
      </c>
      <c r="E34" s="4" t="s">
        <v>1828</v>
      </c>
      <c r="F34" s="4" t="e">
        <f>_xlfn.XLOOKUP(B34,[2]Sheet2!$E$2:$E$713,[2]Sheet2!$G$2:$G$713)</f>
        <v>#N/A</v>
      </c>
      <c r="G34" s="18">
        <v>46086</v>
      </c>
      <c r="H34" s="14">
        <v>0.74875000000000003</v>
      </c>
      <c r="I34" s="7" t="s">
        <v>10</v>
      </c>
      <c r="J34" s="2" t="str">
        <f t="shared" si="0"/>
        <v>Q3</v>
      </c>
      <c r="K34" s="2" t="str">
        <f t="shared" si="1"/>
        <v>Match</v>
      </c>
      <c r="L34" s="2">
        <f t="shared" si="2"/>
        <v>0.4</v>
      </c>
      <c r="M34" s="2" t="e">
        <f t="shared" si="3"/>
        <v>#N/A</v>
      </c>
      <c r="N34" s="2" t="str">
        <f t="shared" si="4"/>
        <v>Q OK dE&gt;0.8</v>
      </c>
      <c r="O34" s="7">
        <v>13.6</v>
      </c>
      <c r="P34" s="7">
        <v>0</v>
      </c>
      <c r="Q34" s="7">
        <v>-2.2000000000000002</v>
      </c>
      <c r="R34" s="7">
        <v>-1.33</v>
      </c>
      <c r="S34" s="7">
        <v>0</v>
      </c>
      <c r="T34" s="7">
        <v>-0.4</v>
      </c>
      <c r="U34" s="7">
        <v>0.61</v>
      </c>
      <c r="V34" s="7">
        <v>-0.12</v>
      </c>
      <c r="W34" s="7">
        <v>1.47</v>
      </c>
      <c r="X34" s="7" t="s">
        <v>6</v>
      </c>
      <c r="Y34" s="7" t="s">
        <v>15</v>
      </c>
      <c r="Z34" s="2" t="s">
        <v>718</v>
      </c>
      <c r="AA34" s="2" t="s">
        <v>721</v>
      </c>
    </row>
    <row r="35" spans="1:27" x14ac:dyDescent="0.35">
      <c r="A35" s="7" t="s">
        <v>1689</v>
      </c>
      <c r="B35" s="7" t="s">
        <v>668</v>
      </c>
      <c r="C35" s="7" t="str">
        <f>_xlfn.XLOOKUP(B35,'[1]Sheet 1'!$A$2:$A$11107,'[1]Sheet 1'!$D$2:$D$11107,"",0)</f>
        <v>M&amp;S</v>
      </c>
      <c r="D35" s="4" t="str">
        <f>_xlfn.XLOOKUP(A35,[3]Sheet2!$I$2:$I$1623,[3]Sheet2!$D$2:$D$1623,"",0)</f>
        <v>Q1</v>
      </c>
      <c r="E35" s="4" t="s">
        <v>1828</v>
      </c>
      <c r="F35" s="4" t="e">
        <f>_xlfn.XLOOKUP(B35,[2]Sheet2!$E$2:$E$713,[2]Sheet2!$G$2:$G$713)</f>
        <v>#N/A</v>
      </c>
      <c r="G35" s="18">
        <v>46086</v>
      </c>
      <c r="H35" s="14">
        <v>0.78210648148148143</v>
      </c>
      <c r="I35" s="7" t="s">
        <v>17</v>
      </c>
      <c r="J35" s="2" t="str">
        <f t="shared" si="0"/>
        <v>Q2</v>
      </c>
      <c r="K35" s="2" t="str">
        <f t="shared" si="1"/>
        <v>Not Match</v>
      </c>
      <c r="L35" s="2">
        <f t="shared" si="2"/>
        <v>0.36055512754639896</v>
      </c>
      <c r="M35" s="2" t="e">
        <f t="shared" si="3"/>
        <v>#N/A</v>
      </c>
      <c r="N35" s="2" t="str">
        <f t="shared" si="4"/>
        <v>Q NOT OK dE&gt;0.8</v>
      </c>
      <c r="O35" s="7">
        <v>23.2</v>
      </c>
      <c r="P35" s="7">
        <v>7.4</v>
      </c>
      <c r="Q35" s="7">
        <v>2.1</v>
      </c>
      <c r="R35" s="7">
        <v>-0.66</v>
      </c>
      <c r="S35" s="7">
        <v>-0.2</v>
      </c>
      <c r="T35" s="7">
        <v>0.3</v>
      </c>
      <c r="U35" s="7">
        <v>-0.15</v>
      </c>
      <c r="V35" s="7">
        <v>0.49</v>
      </c>
      <c r="W35" s="7">
        <v>0.84</v>
      </c>
      <c r="X35" s="7" t="s">
        <v>13</v>
      </c>
      <c r="Y35" s="7" t="s">
        <v>12</v>
      </c>
      <c r="Z35" s="2" t="s">
        <v>718</v>
      </c>
      <c r="AA35" s="2" t="s">
        <v>721</v>
      </c>
    </row>
    <row r="36" spans="1:27" x14ac:dyDescent="0.35">
      <c r="A36" s="7" t="s">
        <v>1515</v>
      </c>
      <c r="B36" s="7" t="s">
        <v>665</v>
      </c>
      <c r="C36" s="7" t="str">
        <f>_xlfn.XLOOKUP(B36,'[1]Sheet 1'!$A$2:$A$11107,'[1]Sheet 1'!$D$2:$D$11107,"",0)</f>
        <v>VSS</v>
      </c>
      <c r="D36" s="4" t="str">
        <f>_xlfn.XLOOKUP(A36,[3]Sheet2!$I$2:$I$1623,[3]Sheet2!$D$2:$D$1623,"",0)</f>
        <v>Q3</v>
      </c>
      <c r="E36" s="4" t="s">
        <v>1827</v>
      </c>
      <c r="F36" s="4" t="e">
        <f>_xlfn.XLOOKUP(B36,[2]Sheet2!$E$2:$E$713,[2]Sheet2!$G$2:$G$713)</f>
        <v>#N/A</v>
      </c>
      <c r="G36" s="18">
        <v>46086</v>
      </c>
      <c r="H36" s="14">
        <v>0.74581018518518516</v>
      </c>
      <c r="I36" s="7" t="s">
        <v>10</v>
      </c>
      <c r="J36" s="2" t="str">
        <f t="shared" si="0"/>
        <v>Q2</v>
      </c>
      <c r="K36" s="2" t="str">
        <f t="shared" si="1"/>
        <v>Not Match</v>
      </c>
      <c r="L36" s="2">
        <f t="shared" si="2"/>
        <v>0.14142135623730953</v>
      </c>
      <c r="M36" s="2" t="e">
        <f t="shared" si="3"/>
        <v>#N/A</v>
      </c>
      <c r="N36" s="2" t="str">
        <f t="shared" si="4"/>
        <v>Q NOT OK dE&gt;0.8</v>
      </c>
      <c r="O36" s="7">
        <v>13.5</v>
      </c>
      <c r="P36" s="7">
        <v>0</v>
      </c>
      <c r="Q36" s="7">
        <v>-1.5</v>
      </c>
      <c r="R36" s="7">
        <v>-1.44</v>
      </c>
      <c r="S36" s="7">
        <v>-0.1</v>
      </c>
      <c r="T36" s="7">
        <v>0.1</v>
      </c>
      <c r="U36" s="7">
        <v>-0.23</v>
      </c>
      <c r="V36" s="7">
        <v>-0.15</v>
      </c>
      <c r="W36" s="7">
        <v>1.46</v>
      </c>
      <c r="X36" s="7" t="s">
        <v>6</v>
      </c>
      <c r="Y36" s="7" t="s">
        <v>15</v>
      </c>
      <c r="Z36" s="2" t="s">
        <v>718</v>
      </c>
      <c r="AA36" s="2" t="s">
        <v>721</v>
      </c>
    </row>
    <row r="37" spans="1:27" x14ac:dyDescent="0.35">
      <c r="A37" s="7" t="s">
        <v>1676</v>
      </c>
      <c r="B37" s="7" t="s">
        <v>674</v>
      </c>
      <c r="C37" s="7" t="str">
        <f>_xlfn.XLOOKUP(B37,'[1]Sheet 1'!$A$2:$A$11107,'[1]Sheet 1'!$D$2:$D$11107,"",0)</f>
        <v>PINK</v>
      </c>
      <c r="D37" s="4" t="str">
        <f>_xlfn.XLOOKUP(A37,[3]Sheet2!$I$2:$I$1623,[3]Sheet2!$D$2:$D$1623,"",0)</f>
        <v>Q2</v>
      </c>
      <c r="E37" s="4" t="s">
        <v>1828</v>
      </c>
      <c r="F37" s="4" t="e">
        <f>_xlfn.XLOOKUP(B37,[2]Sheet2!$E$2:$E$713,[2]Sheet2!$G$2:$G$713)</f>
        <v>#N/A</v>
      </c>
      <c r="G37" s="18">
        <v>46087</v>
      </c>
      <c r="H37" s="14">
        <v>7.4270833333333328E-2</v>
      </c>
      <c r="I37" s="7" t="s">
        <v>10</v>
      </c>
      <c r="J37" s="2" t="str">
        <f t="shared" si="0"/>
        <v>Q3</v>
      </c>
      <c r="K37" s="2" t="str">
        <f t="shared" si="1"/>
        <v>Not Match</v>
      </c>
      <c r="L37" s="2">
        <f t="shared" si="2"/>
        <v>0.22360679774997899</v>
      </c>
      <c r="M37" s="2" t="e">
        <f t="shared" si="3"/>
        <v>#N/A</v>
      </c>
      <c r="N37" s="2" t="str">
        <f t="shared" si="4"/>
        <v>Q NOT OK dE&lt;=0.8</v>
      </c>
      <c r="O37" s="7">
        <v>26.3</v>
      </c>
      <c r="P37" s="7">
        <v>17.5</v>
      </c>
      <c r="Q37" s="7">
        <v>3.3</v>
      </c>
      <c r="R37" s="7">
        <v>-0.25</v>
      </c>
      <c r="S37" s="7">
        <v>-0.1</v>
      </c>
      <c r="T37" s="7">
        <v>-0.2</v>
      </c>
      <c r="U37" s="7">
        <v>-0.11</v>
      </c>
      <c r="V37" s="7">
        <v>-0.24</v>
      </c>
      <c r="W37" s="7">
        <v>0.36</v>
      </c>
      <c r="X37" s="7" t="s">
        <v>8</v>
      </c>
      <c r="Y37" s="7" t="s">
        <v>7</v>
      </c>
      <c r="Z37" s="2" t="s">
        <v>718</v>
      </c>
      <c r="AA37" s="2" t="s">
        <v>721</v>
      </c>
    </row>
    <row r="38" spans="1:27" x14ac:dyDescent="0.35">
      <c r="A38" s="7" t="s">
        <v>1574</v>
      </c>
      <c r="B38" s="7" t="s">
        <v>678</v>
      </c>
      <c r="C38" s="7" t="str">
        <f>_xlfn.XLOOKUP(B38,'[1]Sheet 1'!$A$2:$A$11107,'[1]Sheet 1'!$D$2:$D$11107,"",0)</f>
        <v>PINK</v>
      </c>
      <c r="D38" s="4" t="str">
        <f>_xlfn.XLOOKUP(A38,[3]Sheet2!$I$2:$I$1623,[3]Sheet2!$D$2:$D$1623,"",0)</f>
        <v>Q2</v>
      </c>
      <c r="E38" s="4" t="s">
        <v>1828</v>
      </c>
      <c r="F38" s="4" t="e">
        <f>_xlfn.XLOOKUP(B38,[2]Sheet2!$E$2:$E$713,[2]Sheet2!$G$2:$G$713)</f>
        <v>#N/A</v>
      </c>
      <c r="G38" s="18">
        <v>46087</v>
      </c>
      <c r="H38" s="14">
        <v>0.15841435185185185</v>
      </c>
      <c r="I38" s="7" t="s">
        <v>10</v>
      </c>
      <c r="J38" s="2" t="str">
        <f t="shared" si="0"/>
        <v>Q4</v>
      </c>
      <c r="K38" s="2" t="str">
        <f t="shared" si="1"/>
        <v>Not Match</v>
      </c>
      <c r="L38" s="2">
        <f t="shared" si="2"/>
        <v>0.50990195135927852</v>
      </c>
      <c r="M38" s="2" t="e">
        <f t="shared" si="3"/>
        <v>#N/A</v>
      </c>
      <c r="N38" s="2" t="str">
        <f t="shared" si="4"/>
        <v>Q NOT OK dE&lt;=0.8</v>
      </c>
      <c r="O38" s="7">
        <v>18.7</v>
      </c>
      <c r="P38" s="7">
        <v>-1.9</v>
      </c>
      <c r="Q38" s="7">
        <v>-11.8</v>
      </c>
      <c r="R38" s="7">
        <v>-0.57999999999999996</v>
      </c>
      <c r="S38" s="7">
        <v>0.1</v>
      </c>
      <c r="T38" s="7">
        <v>-0.5</v>
      </c>
      <c r="U38" s="7">
        <v>0.41</v>
      </c>
      <c r="V38" s="7">
        <v>0.34</v>
      </c>
      <c r="W38" s="7">
        <v>0.79</v>
      </c>
      <c r="X38" s="7" t="s">
        <v>13</v>
      </c>
      <c r="Y38" s="7" t="s">
        <v>9</v>
      </c>
      <c r="Z38" s="2" t="s">
        <v>718</v>
      </c>
      <c r="AA38" s="2" t="s">
        <v>721</v>
      </c>
    </row>
    <row r="39" spans="1:27" x14ac:dyDescent="0.35">
      <c r="A39" s="7" t="s">
        <v>1509</v>
      </c>
      <c r="B39" s="7" t="s">
        <v>689</v>
      </c>
      <c r="C39" s="7" t="str">
        <f>_xlfn.XLOOKUP(B39,'[1]Sheet 1'!$A$2:$A$11107,'[1]Sheet 1'!$D$2:$D$11107,"",0)</f>
        <v>LBI</v>
      </c>
      <c r="D39" s="4" t="str">
        <f>_xlfn.XLOOKUP(A39,[3]Sheet2!$I$2:$I$1623,[3]Sheet2!$D$2:$D$1623,"",0)</f>
        <v>Q2</v>
      </c>
      <c r="E39" s="4" t="s">
        <v>1828</v>
      </c>
      <c r="F39" s="4" t="e">
        <f>_xlfn.XLOOKUP(B39,[2]Sheet2!$E$2:$E$713,[2]Sheet2!$G$2:$G$713)</f>
        <v>#N/A</v>
      </c>
      <c r="G39" s="18">
        <v>46087</v>
      </c>
      <c r="H39" s="14">
        <v>0.74471064814814814</v>
      </c>
      <c r="I39" s="7" t="s">
        <v>14</v>
      </c>
      <c r="J39" s="2" t="str">
        <f t="shared" si="0"/>
        <v>Q2</v>
      </c>
      <c r="K39" s="2" t="str">
        <f t="shared" si="1"/>
        <v>Match</v>
      </c>
      <c r="L39" s="2">
        <f t="shared" si="2"/>
        <v>0.1</v>
      </c>
      <c r="M39" s="2" t="e">
        <f t="shared" si="3"/>
        <v>#N/A</v>
      </c>
      <c r="N39" s="2" t="str">
        <f t="shared" si="4"/>
        <v>Q OK dE&gt;0.8</v>
      </c>
      <c r="O39" s="7">
        <v>15.2</v>
      </c>
      <c r="P39" s="7">
        <v>-0.7</v>
      </c>
      <c r="Q39" s="7">
        <v>-3.1</v>
      </c>
      <c r="R39" s="7">
        <v>-1.0900000000000001</v>
      </c>
      <c r="S39" s="7">
        <v>0.1</v>
      </c>
      <c r="T39" s="20">
        <v>0</v>
      </c>
      <c r="U39" s="7">
        <v>-0.04</v>
      </c>
      <c r="V39" s="7">
        <v>0.21</v>
      </c>
      <c r="W39" s="7">
        <v>1.1100000000000001</v>
      </c>
      <c r="X39" s="7" t="s">
        <v>6</v>
      </c>
      <c r="Y39" s="7" t="s">
        <v>9</v>
      </c>
      <c r="Z39" s="2" t="s">
        <v>718</v>
      </c>
      <c r="AA39" s="2" t="s">
        <v>721</v>
      </c>
    </row>
    <row r="40" spans="1:27" x14ac:dyDescent="0.35">
      <c r="A40" s="7" t="s">
        <v>1688</v>
      </c>
      <c r="B40" s="7" t="s">
        <v>675</v>
      </c>
      <c r="C40" s="7" t="str">
        <f>_xlfn.XLOOKUP(B40,'[1]Sheet 1'!$A$2:$A$11107,'[1]Sheet 1'!$D$2:$D$11107,"",0)</f>
        <v>GAP</v>
      </c>
      <c r="D40" s="4" t="str">
        <f>_xlfn.XLOOKUP(A40,[3]Sheet2!$I$2:$I$1623,[3]Sheet2!$D$2:$D$1623,"",0)</f>
        <v>Q4</v>
      </c>
      <c r="E40" s="4" t="s">
        <v>1827</v>
      </c>
      <c r="F40" s="4" t="e">
        <f>_xlfn.XLOOKUP(B40,[2]Sheet2!$E$2:$E$713,[2]Sheet2!$G$2:$G$713)</f>
        <v>#N/A</v>
      </c>
      <c r="G40" s="18">
        <v>46087</v>
      </c>
      <c r="H40" s="14">
        <v>8.0254629629629634E-2</v>
      </c>
      <c r="I40" s="7" t="s">
        <v>18</v>
      </c>
      <c r="J40" s="2" t="str">
        <f t="shared" si="0"/>
        <v>Q3</v>
      </c>
      <c r="K40" s="2" t="str">
        <f t="shared" si="1"/>
        <v>Not Match</v>
      </c>
      <c r="L40" s="2">
        <f t="shared" si="2"/>
        <v>0.58309518948452999</v>
      </c>
      <c r="M40" s="2" t="e">
        <f t="shared" si="3"/>
        <v>#N/A</v>
      </c>
      <c r="N40" s="2" t="str">
        <f t="shared" si="4"/>
        <v>Q NOT OK dE&gt;0.8</v>
      </c>
      <c r="O40" s="7">
        <v>13.2</v>
      </c>
      <c r="P40" s="7">
        <v>-0.7</v>
      </c>
      <c r="Q40" s="7">
        <v>-2.2999999999999998</v>
      </c>
      <c r="R40" s="7">
        <v>0.14000000000000001</v>
      </c>
      <c r="S40" s="7">
        <v>-0.3</v>
      </c>
      <c r="T40" s="7">
        <v>-0.5</v>
      </c>
      <c r="U40" s="7">
        <v>0.9</v>
      </c>
      <c r="V40" s="7">
        <v>-0.3</v>
      </c>
      <c r="W40" s="7">
        <v>0.96</v>
      </c>
      <c r="X40" s="7" t="s">
        <v>13</v>
      </c>
      <c r="Y40" s="7" t="s">
        <v>15</v>
      </c>
      <c r="Z40" s="2" t="s">
        <v>718</v>
      </c>
      <c r="AA40" s="2" t="s">
        <v>721</v>
      </c>
    </row>
    <row r="41" spans="1:27" x14ac:dyDescent="0.35">
      <c r="A41" s="7" t="s">
        <v>1658</v>
      </c>
      <c r="B41" s="7" t="s">
        <v>691</v>
      </c>
      <c r="C41" s="7" t="str">
        <f>_xlfn.XLOOKUP(B41,'[1]Sheet 1'!$A$2:$A$11107,'[1]Sheet 1'!$D$2:$D$11107,"",0)</f>
        <v>LBI</v>
      </c>
      <c r="D41" s="4" t="str">
        <f>_xlfn.XLOOKUP(A41,[3]Sheet2!$I$2:$I$1623,[3]Sheet2!$D$2:$D$1623,"",0)</f>
        <v>Q4</v>
      </c>
      <c r="E41" s="4" t="s">
        <v>1827</v>
      </c>
      <c r="F41" s="4" t="e">
        <f>_xlfn.XLOOKUP(B41,[2]Sheet2!$E$2:$E$713,[2]Sheet2!$G$2:$G$713)</f>
        <v>#N/A</v>
      </c>
      <c r="G41" s="18">
        <v>46087</v>
      </c>
      <c r="H41" s="14">
        <v>0.75107638888888884</v>
      </c>
      <c r="I41" s="7" t="s">
        <v>14</v>
      </c>
      <c r="J41" s="2" t="str">
        <f t="shared" si="0"/>
        <v>Q3</v>
      </c>
      <c r="K41" s="2" t="str">
        <f t="shared" si="1"/>
        <v>Not Match</v>
      </c>
      <c r="L41" s="2">
        <f t="shared" si="2"/>
        <v>0.41231056256176613</v>
      </c>
      <c r="M41" s="2" t="e">
        <f t="shared" si="3"/>
        <v>#N/A</v>
      </c>
      <c r="N41" s="2" t="str">
        <f t="shared" si="4"/>
        <v>Q NOT OK dE&gt;0.8</v>
      </c>
      <c r="O41" s="7">
        <v>41.4</v>
      </c>
      <c r="P41" s="7">
        <v>6.7</v>
      </c>
      <c r="Q41" s="7">
        <v>9.6</v>
      </c>
      <c r="R41" s="7">
        <v>-1.1399999999999999</v>
      </c>
      <c r="S41" s="7">
        <v>-0.4</v>
      </c>
      <c r="T41" s="7">
        <v>-0.1</v>
      </c>
      <c r="U41" s="7">
        <v>-0.26</v>
      </c>
      <c r="V41" s="7">
        <v>0.54</v>
      </c>
      <c r="W41" s="7">
        <v>1.29</v>
      </c>
      <c r="X41" s="7" t="s">
        <v>6</v>
      </c>
      <c r="Y41" s="7" t="s">
        <v>12</v>
      </c>
      <c r="Z41" s="2" t="s">
        <v>718</v>
      </c>
      <c r="AA41" s="2" t="s">
        <v>721</v>
      </c>
    </row>
    <row r="42" spans="1:27" x14ac:dyDescent="0.35">
      <c r="A42" s="7" t="s">
        <v>1516</v>
      </c>
      <c r="B42" s="7" t="s">
        <v>679</v>
      </c>
      <c r="C42" s="7" t="str">
        <f>_xlfn.XLOOKUP(B42,'[1]Sheet 1'!$A$2:$A$11107,'[1]Sheet 1'!$D$2:$D$11107,"",0)</f>
        <v>LBI</v>
      </c>
      <c r="D42" s="4" t="str">
        <f>_xlfn.XLOOKUP(A42,[3]Sheet2!$I$2:$I$1623,[3]Sheet2!$D$2:$D$1623,"",0)</f>
        <v>Q2</v>
      </c>
      <c r="E42" s="4" t="s">
        <v>1828</v>
      </c>
      <c r="F42" s="4" t="e">
        <f>_xlfn.XLOOKUP(B42,[2]Sheet2!$E$2:$E$713,[2]Sheet2!$G$2:$G$713)</f>
        <v>#N/A</v>
      </c>
      <c r="G42" s="18">
        <v>46087</v>
      </c>
      <c r="H42" s="14">
        <v>0.26620370370370372</v>
      </c>
      <c r="I42" s="7" t="s">
        <v>14</v>
      </c>
      <c r="J42" s="2" t="str">
        <f t="shared" si="0"/>
        <v>Q1</v>
      </c>
      <c r="K42" s="2" t="str">
        <f t="shared" si="1"/>
        <v>Not Match</v>
      </c>
      <c r="L42" s="2">
        <f t="shared" si="2"/>
        <v>0.36055512754639896</v>
      </c>
      <c r="M42" s="2" t="e">
        <f t="shared" si="3"/>
        <v>#N/A</v>
      </c>
      <c r="N42" s="2" t="str">
        <f t="shared" si="4"/>
        <v>Q NOT OK dE&gt;0.8</v>
      </c>
      <c r="O42" s="7">
        <v>16.100000000000001</v>
      </c>
      <c r="P42" s="7">
        <v>-1.3</v>
      </c>
      <c r="Q42" s="7">
        <v>-2.2000000000000002</v>
      </c>
      <c r="R42" s="7">
        <v>-1.61</v>
      </c>
      <c r="S42" s="7">
        <v>0.2</v>
      </c>
      <c r="T42" s="7">
        <v>0.3</v>
      </c>
      <c r="U42" s="7">
        <v>-0.51</v>
      </c>
      <c r="V42" s="7">
        <v>-0.03</v>
      </c>
      <c r="W42" s="7">
        <v>1.69</v>
      </c>
      <c r="X42" s="7" t="s">
        <v>6</v>
      </c>
      <c r="Y42" s="7" t="s">
        <v>15</v>
      </c>
      <c r="Z42" s="2" t="s">
        <v>718</v>
      </c>
      <c r="AA42" s="2" t="s">
        <v>721</v>
      </c>
    </row>
    <row r="43" spans="1:27" x14ac:dyDescent="0.35">
      <c r="A43" s="7" t="s">
        <v>1540</v>
      </c>
      <c r="B43" s="7" t="s">
        <v>672</v>
      </c>
      <c r="C43" s="7" t="str">
        <f>_xlfn.XLOOKUP(B43,'[1]Sheet 1'!$A$2:$A$11107,'[1]Sheet 1'!$D$2:$D$11107,"",0)</f>
        <v>VSS</v>
      </c>
      <c r="D43" s="4" t="str">
        <f>_xlfn.XLOOKUP(A43,[3]Sheet2!$I$2:$I$1623,[3]Sheet2!$D$2:$D$1623,"",0)</f>
        <v>Q3</v>
      </c>
      <c r="E43" s="4" t="s">
        <v>1828</v>
      </c>
      <c r="F43" s="4" t="e">
        <f>_xlfn.XLOOKUP(B43,[2]Sheet2!$E$2:$E$713,[2]Sheet2!$G$2:$G$713)</f>
        <v>#N/A</v>
      </c>
      <c r="G43" s="18">
        <v>46087</v>
      </c>
      <c r="H43" s="14">
        <v>6.4351851851851853E-3</v>
      </c>
      <c r="I43" s="7" t="s">
        <v>10</v>
      </c>
      <c r="J43" s="2" t="str">
        <f t="shared" si="0"/>
        <v>Q3</v>
      </c>
      <c r="K43" s="2" t="str">
        <f t="shared" si="1"/>
        <v>Match</v>
      </c>
      <c r="L43" s="2">
        <f t="shared" si="2"/>
        <v>0.2</v>
      </c>
      <c r="M43" s="2" t="e">
        <f t="shared" si="3"/>
        <v>#N/A</v>
      </c>
      <c r="N43" s="2" t="str">
        <f t="shared" si="4"/>
        <v>Q OK dE&lt;=0.8</v>
      </c>
      <c r="O43" s="7">
        <v>13.9</v>
      </c>
      <c r="P43" s="7">
        <v>0.4</v>
      </c>
      <c r="Q43" s="7">
        <v>-1</v>
      </c>
      <c r="R43" s="7">
        <v>-0.59</v>
      </c>
      <c r="S43" s="7">
        <v>0</v>
      </c>
      <c r="T43" s="7">
        <v>0.2</v>
      </c>
      <c r="U43" s="7">
        <v>-0.33</v>
      </c>
      <c r="V43" s="7">
        <v>0.12</v>
      </c>
      <c r="W43" s="7">
        <v>0.68</v>
      </c>
      <c r="X43" s="7" t="s">
        <v>8</v>
      </c>
      <c r="Y43" s="7" t="s">
        <v>9</v>
      </c>
      <c r="Z43" s="2" t="s">
        <v>718</v>
      </c>
      <c r="AA43" s="2" t="s">
        <v>721</v>
      </c>
    </row>
    <row r="44" spans="1:27" x14ac:dyDescent="0.35">
      <c r="A44" s="7" t="s">
        <v>1687</v>
      </c>
      <c r="B44" s="7" t="s">
        <v>685</v>
      </c>
      <c r="C44" s="7" t="str">
        <f>_xlfn.XLOOKUP(B44,'[1]Sheet 1'!$A$2:$A$11107,'[1]Sheet 1'!$D$2:$D$11107,"",0)</f>
        <v>NIK</v>
      </c>
      <c r="D44" s="4" t="str">
        <f>_xlfn.XLOOKUP(A44,[3]Sheet2!$I$2:$I$1623,[3]Sheet2!$D$2:$D$1623,"",0)</f>
        <v>Q3</v>
      </c>
      <c r="E44" s="4" t="s">
        <v>1828</v>
      </c>
      <c r="F44" s="4" t="e">
        <f>_xlfn.XLOOKUP(B44,[2]Sheet2!$E$2:$E$713,[2]Sheet2!$G$2:$G$713)</f>
        <v>#N/A</v>
      </c>
      <c r="G44" s="18">
        <v>46087</v>
      </c>
      <c r="H44" s="14">
        <v>0.5540046296296296</v>
      </c>
      <c r="I44" s="7" t="s">
        <v>4</v>
      </c>
      <c r="J44" s="2" t="str">
        <f t="shared" si="0"/>
        <v>Q3</v>
      </c>
      <c r="K44" s="2" t="str">
        <f t="shared" si="1"/>
        <v>Match</v>
      </c>
      <c r="L44" s="2">
        <f t="shared" si="2"/>
        <v>0.7</v>
      </c>
      <c r="M44" s="2" t="e">
        <f t="shared" si="3"/>
        <v>#N/A</v>
      </c>
      <c r="N44" s="2" t="str">
        <f t="shared" si="4"/>
        <v>Q OK dE&gt;0.8</v>
      </c>
      <c r="O44" s="7">
        <v>33.4</v>
      </c>
      <c r="P44" s="7">
        <v>12</v>
      </c>
      <c r="Q44" s="7">
        <v>12.2</v>
      </c>
      <c r="R44" s="7">
        <v>-0.48</v>
      </c>
      <c r="S44" s="7">
        <v>0</v>
      </c>
      <c r="T44" s="7">
        <v>0.7</v>
      </c>
      <c r="U44" s="7">
        <v>0.33</v>
      </c>
      <c r="V44" s="7">
        <v>0.82</v>
      </c>
      <c r="W44" s="7">
        <v>1</v>
      </c>
      <c r="X44" s="7" t="s">
        <v>6</v>
      </c>
      <c r="Y44" s="7" t="s">
        <v>12</v>
      </c>
      <c r="Z44" s="2" t="s">
        <v>718</v>
      </c>
      <c r="AA44" s="2" t="s">
        <v>721</v>
      </c>
    </row>
    <row r="45" spans="1:27" x14ac:dyDescent="0.35">
      <c r="A45" s="7" t="s">
        <v>1516</v>
      </c>
      <c r="B45" s="7" t="s">
        <v>682</v>
      </c>
      <c r="C45" s="7" t="str">
        <f>_xlfn.XLOOKUP(B45,'[1]Sheet 1'!$A$2:$A$11107,'[1]Sheet 1'!$D$2:$D$11107,"",0)</f>
        <v>LBI</v>
      </c>
      <c r="D45" s="4" t="str">
        <f>_xlfn.XLOOKUP(A45,[3]Sheet2!$I$2:$I$1623,[3]Sheet2!$D$2:$D$1623,"",0)</f>
        <v>Q2</v>
      </c>
      <c r="E45" s="4" t="s">
        <v>1828</v>
      </c>
      <c r="F45" s="4" t="e">
        <f>_xlfn.XLOOKUP(B45,[2]Sheet2!$E$2:$E$713,[2]Sheet2!$G$2:$G$713)</f>
        <v>#N/A</v>
      </c>
      <c r="G45" s="18">
        <v>46087</v>
      </c>
      <c r="H45" s="14">
        <v>0.2799537037037037</v>
      </c>
      <c r="I45" s="7" t="s">
        <v>14</v>
      </c>
      <c r="J45" s="2" t="str">
        <f t="shared" si="0"/>
        <v>Q1</v>
      </c>
      <c r="K45" s="2" t="str">
        <f t="shared" si="1"/>
        <v>Not Match</v>
      </c>
      <c r="L45" s="2">
        <f t="shared" si="2"/>
        <v>0.14142135623730953</v>
      </c>
      <c r="M45" s="2" t="e">
        <f t="shared" si="3"/>
        <v>#N/A</v>
      </c>
      <c r="N45" s="2" t="str">
        <f t="shared" si="4"/>
        <v>Q NOT OK dE&gt;0.8</v>
      </c>
      <c r="O45" s="7">
        <v>16.8</v>
      </c>
      <c r="P45" s="7">
        <v>-1.4</v>
      </c>
      <c r="Q45" s="7">
        <v>-2.5</v>
      </c>
      <c r="R45" s="7">
        <v>-1.02</v>
      </c>
      <c r="S45" s="7">
        <v>0.1</v>
      </c>
      <c r="T45" s="7">
        <v>0.1</v>
      </c>
      <c r="U45" s="7">
        <v>-0.19</v>
      </c>
      <c r="V45" s="7">
        <v>0.05</v>
      </c>
      <c r="W45" s="7">
        <v>1.03</v>
      </c>
      <c r="X45" s="7" t="s">
        <v>6</v>
      </c>
      <c r="Y45" s="7" t="s">
        <v>9</v>
      </c>
      <c r="Z45" s="2" t="s">
        <v>718</v>
      </c>
      <c r="AA45" s="2" t="s">
        <v>721</v>
      </c>
    </row>
    <row r="46" spans="1:27" x14ac:dyDescent="0.35">
      <c r="A46" s="7" t="s">
        <v>1507</v>
      </c>
      <c r="B46" s="7" t="s">
        <v>687</v>
      </c>
      <c r="C46" s="7" t="str">
        <f>_xlfn.XLOOKUP(B46,'[1]Sheet 1'!$A$2:$A$11107,'[1]Sheet 1'!$D$2:$D$11107,"",0)</f>
        <v>VSS</v>
      </c>
      <c r="D46" s="4" t="str">
        <f>_xlfn.XLOOKUP(A46,[3]Sheet2!$I$2:$I$1623,[3]Sheet2!$D$2:$D$1623,"",0)</f>
        <v>Q3</v>
      </c>
      <c r="E46" s="4" t="s">
        <v>1827</v>
      </c>
      <c r="F46" s="4" t="e">
        <f>_xlfn.XLOOKUP(B46,[2]Sheet2!$E$2:$E$713,[2]Sheet2!$G$2:$G$713)</f>
        <v>#N/A</v>
      </c>
      <c r="G46" s="18">
        <v>46087</v>
      </c>
      <c r="H46" s="14">
        <v>0.61719907407407404</v>
      </c>
      <c r="I46" s="7" t="s">
        <v>10</v>
      </c>
      <c r="J46" s="2" t="str">
        <f t="shared" si="0"/>
        <v>Q3</v>
      </c>
      <c r="K46" s="2" t="str">
        <f t="shared" si="1"/>
        <v>Match</v>
      </c>
      <c r="L46" s="2">
        <f t="shared" si="2"/>
        <v>0.4</v>
      </c>
      <c r="M46" s="2" t="e">
        <f t="shared" si="3"/>
        <v>#N/A</v>
      </c>
      <c r="N46" s="2" t="str">
        <f t="shared" si="4"/>
        <v>Q OK dE&gt;0.8</v>
      </c>
      <c r="O46" s="7">
        <v>15.4</v>
      </c>
      <c r="P46" s="7">
        <v>0.9</v>
      </c>
      <c r="Q46" s="7">
        <v>-0.5</v>
      </c>
      <c r="R46" s="7">
        <v>-0.86</v>
      </c>
      <c r="S46" s="7">
        <v>0</v>
      </c>
      <c r="T46" s="7">
        <v>-0.4</v>
      </c>
      <c r="U46" s="7">
        <v>0.28999999999999998</v>
      </c>
      <c r="V46" s="7">
        <v>-0.62</v>
      </c>
      <c r="W46" s="7">
        <v>1.1000000000000001</v>
      </c>
      <c r="X46" s="7" t="s">
        <v>6</v>
      </c>
      <c r="Y46" s="7" t="s">
        <v>7</v>
      </c>
      <c r="Z46" s="2" t="s">
        <v>718</v>
      </c>
      <c r="AA46" s="2" t="s">
        <v>721</v>
      </c>
    </row>
    <row r="47" spans="1:27" x14ac:dyDescent="0.35">
      <c r="A47" s="7" t="s">
        <v>1574</v>
      </c>
      <c r="B47" s="7" t="s">
        <v>683</v>
      </c>
      <c r="C47" s="7" t="str">
        <f>_xlfn.XLOOKUP(B47,'[1]Sheet 1'!$A$2:$A$11107,'[1]Sheet 1'!$D$2:$D$11107,"",0)</f>
        <v>PINK</v>
      </c>
      <c r="D47" s="4" t="str">
        <f>_xlfn.XLOOKUP(A47,[3]Sheet2!$I$2:$I$1623,[3]Sheet2!$D$2:$D$1623,"",0)</f>
        <v>Q2</v>
      </c>
      <c r="E47" s="4" t="s">
        <v>1828</v>
      </c>
      <c r="F47" s="4" t="e">
        <f>_xlfn.XLOOKUP(B47,[2]Sheet2!$E$2:$E$713,[2]Sheet2!$G$2:$G$713)</f>
        <v>#N/A</v>
      </c>
      <c r="G47" s="18">
        <v>46087</v>
      </c>
      <c r="H47" s="14">
        <v>0.40630787037037036</v>
      </c>
      <c r="I47" s="7" t="s">
        <v>10</v>
      </c>
      <c r="J47" s="2" t="str">
        <f t="shared" si="0"/>
        <v>Q4</v>
      </c>
      <c r="K47" s="2" t="str">
        <f t="shared" si="1"/>
        <v>Not Match</v>
      </c>
      <c r="L47" s="2">
        <f t="shared" si="2"/>
        <v>0.50990195135927852</v>
      </c>
      <c r="M47" s="2" t="e">
        <f t="shared" si="3"/>
        <v>#N/A</v>
      </c>
      <c r="N47" s="2" t="str">
        <f t="shared" si="4"/>
        <v>Q NOT OK dE&lt;=0.8</v>
      </c>
      <c r="O47" s="7">
        <v>18.899999999999999</v>
      </c>
      <c r="P47" s="7">
        <v>-1.9</v>
      </c>
      <c r="Q47" s="7">
        <v>-11.9</v>
      </c>
      <c r="R47" s="7">
        <v>-0.39</v>
      </c>
      <c r="S47" s="7">
        <v>0.1</v>
      </c>
      <c r="T47" s="7">
        <v>-0.5</v>
      </c>
      <c r="U47" s="7">
        <v>0.42</v>
      </c>
      <c r="V47" s="7">
        <v>0.31</v>
      </c>
      <c r="W47" s="7">
        <v>0.66</v>
      </c>
      <c r="X47" s="7" t="s">
        <v>8</v>
      </c>
      <c r="Y47" s="7" t="s">
        <v>9</v>
      </c>
      <c r="Z47" s="2" t="s">
        <v>718</v>
      </c>
      <c r="AA47" s="2" t="s">
        <v>721</v>
      </c>
    </row>
    <row r="48" spans="1:27" x14ac:dyDescent="0.35">
      <c r="A48" s="7" t="s">
        <v>1574</v>
      </c>
      <c r="B48" s="7" t="s">
        <v>676</v>
      </c>
      <c r="C48" s="7" t="str">
        <f>_xlfn.XLOOKUP(B48,'[1]Sheet 1'!$A$2:$A$11107,'[1]Sheet 1'!$D$2:$D$11107,"",0)</f>
        <v>PINK</v>
      </c>
      <c r="D48" s="4" t="str">
        <f>_xlfn.XLOOKUP(A48,[3]Sheet2!$I$2:$I$1623,[3]Sheet2!$D$2:$D$1623,"",0)</f>
        <v>Q2</v>
      </c>
      <c r="E48" s="4" t="s">
        <v>1828</v>
      </c>
      <c r="F48" s="4" t="e">
        <f>_xlfn.XLOOKUP(B48,[2]Sheet2!$E$2:$E$713,[2]Sheet2!$G$2:$G$713)</f>
        <v>#N/A</v>
      </c>
      <c r="G48" s="18">
        <v>46087</v>
      </c>
      <c r="H48" s="14">
        <v>8.4108796296296293E-2</v>
      </c>
      <c r="I48" s="7" t="s">
        <v>10</v>
      </c>
      <c r="J48" s="2" t="str">
        <f t="shared" si="0"/>
        <v>Q4</v>
      </c>
      <c r="K48" s="2" t="str">
        <f t="shared" si="1"/>
        <v>Not Match</v>
      </c>
      <c r="L48" s="2">
        <f t="shared" si="2"/>
        <v>0.53851648071345048</v>
      </c>
      <c r="M48" s="2" t="e">
        <f t="shared" si="3"/>
        <v>#N/A</v>
      </c>
      <c r="N48" s="2" t="str">
        <f t="shared" si="4"/>
        <v>Q NOT OK dE&lt;=0.8</v>
      </c>
      <c r="O48" s="7">
        <v>19.100000000000001</v>
      </c>
      <c r="P48" s="7">
        <v>-1.9</v>
      </c>
      <c r="Q48" s="7">
        <v>-11.8</v>
      </c>
      <c r="R48" s="7">
        <v>-0.24</v>
      </c>
      <c r="S48" s="7">
        <v>0.2</v>
      </c>
      <c r="T48" s="7">
        <v>-0.5</v>
      </c>
      <c r="U48" s="7">
        <v>0.38</v>
      </c>
      <c r="V48" s="7">
        <v>0.35</v>
      </c>
      <c r="W48" s="7">
        <v>0.56999999999999995</v>
      </c>
      <c r="X48" s="7" t="s">
        <v>8</v>
      </c>
      <c r="Y48" s="7" t="s">
        <v>9</v>
      </c>
      <c r="Z48" s="2" t="s">
        <v>718</v>
      </c>
      <c r="AA48" s="2" t="s">
        <v>721</v>
      </c>
    </row>
    <row r="49" spans="1:27" x14ac:dyDescent="0.35">
      <c r="A49" s="7" t="s">
        <v>1516</v>
      </c>
      <c r="B49" s="7" t="s">
        <v>680</v>
      </c>
      <c r="C49" s="7" t="str">
        <f>_xlfn.XLOOKUP(B49,'[1]Sheet 1'!$A$2:$A$11107,'[1]Sheet 1'!$D$2:$D$11107,"",0)</f>
        <v>LBI</v>
      </c>
      <c r="D49" s="4" t="str">
        <f>_xlfn.XLOOKUP(A49,[3]Sheet2!$I$2:$I$1623,[3]Sheet2!$D$2:$D$1623,"",0)</f>
        <v>Q2</v>
      </c>
      <c r="E49" s="4" t="s">
        <v>1828</v>
      </c>
      <c r="F49" s="4" t="e">
        <f>_xlfn.XLOOKUP(B49,[2]Sheet2!$E$2:$E$713,[2]Sheet2!$G$2:$G$713)</f>
        <v>#N/A</v>
      </c>
      <c r="G49" s="18">
        <v>46087</v>
      </c>
      <c r="H49" s="14">
        <v>0.26745370370370369</v>
      </c>
      <c r="I49" s="7" t="s">
        <v>14</v>
      </c>
      <c r="J49" s="2" t="str">
        <f t="shared" si="0"/>
        <v>Q2</v>
      </c>
      <c r="K49" s="2" t="str">
        <f t="shared" si="1"/>
        <v>Match</v>
      </c>
      <c r="L49" s="2">
        <f t="shared" si="2"/>
        <v>0.2</v>
      </c>
      <c r="M49" s="2" t="e">
        <f t="shared" si="3"/>
        <v>#N/A</v>
      </c>
      <c r="N49" s="2" t="str">
        <f t="shared" si="4"/>
        <v>Q OK dE&lt;=0.8</v>
      </c>
      <c r="O49" s="7">
        <v>17.3</v>
      </c>
      <c r="P49" s="7">
        <v>-1.5</v>
      </c>
      <c r="Q49" s="7">
        <v>-2.2999999999999998</v>
      </c>
      <c r="R49" s="7">
        <v>-0.5</v>
      </c>
      <c r="S49" s="7">
        <v>0</v>
      </c>
      <c r="T49" s="7">
        <v>0.2</v>
      </c>
      <c r="U49" s="7">
        <v>-0.32</v>
      </c>
      <c r="V49" s="7">
        <v>-0.15</v>
      </c>
      <c r="W49" s="7">
        <v>0.61</v>
      </c>
      <c r="X49" s="7" t="s">
        <v>8</v>
      </c>
      <c r="Y49" s="7" t="s">
        <v>15</v>
      </c>
      <c r="Z49" s="2" t="s">
        <v>718</v>
      </c>
      <c r="AA49" s="2" t="s">
        <v>721</v>
      </c>
    </row>
    <row r="50" spans="1:27" x14ac:dyDescent="0.35">
      <c r="A50" s="7" t="s">
        <v>1509</v>
      </c>
      <c r="B50" s="7" t="s">
        <v>690</v>
      </c>
      <c r="C50" s="7" t="str">
        <f>_xlfn.XLOOKUP(B50,'[1]Sheet 1'!$A$2:$A$11107,'[1]Sheet 1'!$D$2:$D$11107,"",0)</f>
        <v>LBI</v>
      </c>
      <c r="D50" s="4" t="str">
        <f>_xlfn.XLOOKUP(A50,[3]Sheet2!$I$2:$I$1623,[3]Sheet2!$D$2:$D$1623,"",0)</f>
        <v>Q2</v>
      </c>
      <c r="E50" s="4" t="s">
        <v>1828</v>
      </c>
      <c r="F50" s="4" t="e">
        <f>_xlfn.XLOOKUP(B50,[2]Sheet2!$E$2:$E$713,[2]Sheet2!$G$2:$G$713)</f>
        <v>#N/A</v>
      </c>
      <c r="G50" s="18">
        <v>46087</v>
      </c>
      <c r="H50" s="14">
        <v>0.74850694444444443</v>
      </c>
      <c r="I50" s="7" t="s">
        <v>14</v>
      </c>
      <c r="J50" s="2" t="str">
        <f t="shared" si="0"/>
        <v>Q2</v>
      </c>
      <c r="K50" s="2" t="str">
        <f t="shared" si="1"/>
        <v>Match</v>
      </c>
      <c r="L50" s="2">
        <f t="shared" si="2"/>
        <v>0.1</v>
      </c>
      <c r="M50" s="2" t="e">
        <f t="shared" si="3"/>
        <v>#N/A</v>
      </c>
      <c r="N50" s="2" t="str">
        <f t="shared" si="4"/>
        <v>Q OK dE&lt;=0.8</v>
      </c>
      <c r="O50" s="7">
        <v>16</v>
      </c>
      <c r="P50" s="7">
        <v>-0.8</v>
      </c>
      <c r="Q50" s="7">
        <v>-3.2</v>
      </c>
      <c r="R50" s="7">
        <v>-0.37</v>
      </c>
      <c r="S50" s="7">
        <v>0</v>
      </c>
      <c r="T50" s="7">
        <v>-0.1</v>
      </c>
      <c r="U50" s="7">
        <v>0.13</v>
      </c>
      <c r="V50" s="7">
        <v>0.14000000000000001</v>
      </c>
      <c r="W50" s="7">
        <v>0.41</v>
      </c>
      <c r="X50" s="7" t="s">
        <v>8</v>
      </c>
      <c r="Y50" s="7" t="s">
        <v>9</v>
      </c>
      <c r="Z50" s="2" t="s">
        <v>718</v>
      </c>
      <c r="AA50" s="2" t="s">
        <v>721</v>
      </c>
    </row>
    <row r="51" spans="1:27" x14ac:dyDescent="0.35">
      <c r="A51" s="7" t="s">
        <v>1507</v>
      </c>
      <c r="B51" s="7" t="s">
        <v>696</v>
      </c>
      <c r="C51" s="7" t="str">
        <f>_xlfn.XLOOKUP(B51,'[1]Sheet 1'!$A$2:$A$11107,'[1]Sheet 1'!$D$2:$D$11107,"",0)</f>
        <v>VSS</v>
      </c>
      <c r="D51" s="4" t="str">
        <f>_xlfn.XLOOKUP(A51,[3]Sheet2!$I$2:$I$1623,[3]Sheet2!$D$2:$D$1623,"",0)</f>
        <v>Q3</v>
      </c>
      <c r="E51" s="4" t="s">
        <v>1828</v>
      </c>
      <c r="F51" s="4" t="e">
        <f>_xlfn.XLOOKUP(B51,[2]Sheet2!$E$2:$E$713,[2]Sheet2!$G$2:$G$713)</f>
        <v>#N/A</v>
      </c>
      <c r="G51" s="18">
        <v>46087</v>
      </c>
      <c r="H51" s="14">
        <v>0.97424768518518523</v>
      </c>
      <c r="I51" s="7" t="s">
        <v>10</v>
      </c>
      <c r="J51" s="2" t="str">
        <f t="shared" si="0"/>
        <v>Q3</v>
      </c>
      <c r="K51" s="2" t="str">
        <f t="shared" si="1"/>
        <v>Match</v>
      </c>
      <c r="L51" s="2">
        <f t="shared" si="2"/>
        <v>0.22360679774997899</v>
      </c>
      <c r="M51" s="2" t="e">
        <f t="shared" si="3"/>
        <v>#N/A</v>
      </c>
      <c r="N51" s="2" t="str">
        <f t="shared" si="4"/>
        <v>Q OK dE&gt;0.8</v>
      </c>
      <c r="O51" s="7">
        <v>14.9</v>
      </c>
      <c r="P51" s="7">
        <v>0.7</v>
      </c>
      <c r="Q51" s="7">
        <v>-0.3</v>
      </c>
      <c r="R51" s="7">
        <v>-1.34</v>
      </c>
      <c r="S51" s="7">
        <v>-0.1</v>
      </c>
      <c r="T51" s="7">
        <v>-0.2</v>
      </c>
      <c r="U51" s="7">
        <v>-0.05</v>
      </c>
      <c r="V51" s="7">
        <v>-0.42</v>
      </c>
      <c r="W51" s="7">
        <v>1.4</v>
      </c>
      <c r="X51" s="7" t="s">
        <v>6</v>
      </c>
      <c r="Y51" s="7" t="s">
        <v>7</v>
      </c>
      <c r="Z51" s="2" t="s">
        <v>718</v>
      </c>
      <c r="AA51" s="2" t="s">
        <v>721</v>
      </c>
    </row>
    <row r="52" spans="1:27" x14ac:dyDescent="0.35">
      <c r="A52" s="7" t="s">
        <v>1673</v>
      </c>
      <c r="B52" s="7" t="s">
        <v>695</v>
      </c>
      <c r="C52" s="7" t="str">
        <f>_xlfn.XLOOKUP(B52,'[1]Sheet 1'!$A$2:$A$11107,'[1]Sheet 1'!$D$2:$D$11107,"",0)</f>
        <v>CK</v>
      </c>
      <c r="D52" s="4" t="str">
        <f>_xlfn.XLOOKUP(A52,[3]Sheet2!$I$2:$I$1623,[3]Sheet2!$D$2:$D$1623,"",0)</f>
        <v>Q1</v>
      </c>
      <c r="E52" s="4" t="s">
        <v>1828</v>
      </c>
      <c r="F52" s="4" t="e">
        <f>_xlfn.XLOOKUP(B52,[2]Sheet2!$E$2:$E$713,[2]Sheet2!$G$2:$G$713)</f>
        <v>#N/A</v>
      </c>
      <c r="G52" s="18">
        <v>46087</v>
      </c>
      <c r="H52" s="14">
        <v>0.93607638888888889</v>
      </c>
      <c r="I52" s="7" t="s">
        <v>11</v>
      </c>
      <c r="J52" s="2" t="str">
        <f t="shared" si="0"/>
        <v>Q3</v>
      </c>
      <c r="K52" s="2" t="str">
        <f t="shared" si="1"/>
        <v>Not Match</v>
      </c>
      <c r="L52" s="2">
        <f t="shared" si="2"/>
        <v>0.14142135623730953</v>
      </c>
      <c r="M52" s="2" t="e">
        <f t="shared" si="3"/>
        <v>#N/A</v>
      </c>
      <c r="N52" s="2" t="str">
        <f t="shared" si="4"/>
        <v>Q NOT OK dE&lt;=0.8</v>
      </c>
      <c r="O52" s="7">
        <v>14.5</v>
      </c>
      <c r="P52" s="7">
        <v>-0.8</v>
      </c>
      <c r="Q52" s="7">
        <v>-2.6</v>
      </c>
      <c r="R52" s="7">
        <v>-0.41</v>
      </c>
      <c r="S52" s="7">
        <v>-0.1</v>
      </c>
      <c r="T52" s="7">
        <v>-0.1</v>
      </c>
      <c r="U52" s="7">
        <v>0.23</v>
      </c>
      <c r="V52" s="7">
        <v>-0.11</v>
      </c>
      <c r="W52" s="7">
        <v>0.48</v>
      </c>
      <c r="X52" s="7" t="s">
        <v>8</v>
      </c>
      <c r="Y52" s="7" t="s">
        <v>15</v>
      </c>
      <c r="Z52" s="2" t="s">
        <v>718</v>
      </c>
      <c r="AA52" s="2" t="s">
        <v>721</v>
      </c>
    </row>
    <row r="53" spans="1:27" x14ac:dyDescent="0.35">
      <c r="A53" s="7" t="s">
        <v>1545</v>
      </c>
      <c r="B53" s="7" t="s">
        <v>684</v>
      </c>
      <c r="C53" s="7" t="str">
        <f>_xlfn.XLOOKUP(B53,'[1]Sheet 1'!$A$2:$A$11107,'[1]Sheet 1'!$D$2:$D$11107,"",0)</f>
        <v>NIK</v>
      </c>
      <c r="D53" s="4" t="str">
        <f>_xlfn.XLOOKUP(A53,[3]Sheet2!$I$2:$I$1623,[3]Sheet2!$D$2:$D$1623,"",0)</f>
        <v>Q2</v>
      </c>
      <c r="E53" s="4" t="s">
        <v>1828</v>
      </c>
      <c r="F53" s="4" t="e">
        <f>_xlfn.XLOOKUP(B53,[2]Sheet2!$E$2:$E$713,[2]Sheet2!$G$2:$G$713)</f>
        <v>#N/A</v>
      </c>
      <c r="G53" s="18">
        <v>46087</v>
      </c>
      <c r="H53" s="14">
        <v>0.55181712962962959</v>
      </c>
      <c r="I53" s="7" t="s">
        <v>4</v>
      </c>
      <c r="J53" s="2" t="str">
        <f t="shared" si="0"/>
        <v>Q2</v>
      </c>
      <c r="K53" s="2" t="str">
        <f t="shared" si="1"/>
        <v>Match</v>
      </c>
      <c r="L53" s="2">
        <f t="shared" si="2"/>
        <v>0.2</v>
      </c>
      <c r="M53" s="2" t="e">
        <f t="shared" si="3"/>
        <v>#N/A</v>
      </c>
      <c r="N53" s="2" t="str">
        <f t="shared" si="4"/>
        <v>Q OK dE&gt;0.8</v>
      </c>
      <c r="O53" s="7">
        <v>17.3</v>
      </c>
      <c r="P53" s="7">
        <v>-0.8</v>
      </c>
      <c r="Q53" s="7">
        <v>-1.8</v>
      </c>
      <c r="R53" s="7">
        <v>-0.93</v>
      </c>
      <c r="S53" s="7">
        <v>0</v>
      </c>
      <c r="T53" s="7">
        <v>-0.2</v>
      </c>
      <c r="U53" s="7">
        <v>0.28999999999999998</v>
      </c>
      <c r="V53" s="7">
        <v>0.23</v>
      </c>
      <c r="W53" s="7">
        <v>1</v>
      </c>
      <c r="X53" s="7" t="s">
        <v>6</v>
      </c>
      <c r="Y53" s="7" t="s">
        <v>9</v>
      </c>
      <c r="Z53" s="2" t="s">
        <v>718</v>
      </c>
      <c r="AA53" s="2" t="s">
        <v>721</v>
      </c>
    </row>
    <row r="54" spans="1:27" x14ac:dyDescent="0.35">
      <c r="A54" s="7" t="s">
        <v>1596</v>
      </c>
      <c r="B54" s="7" t="s">
        <v>677</v>
      </c>
      <c r="C54" s="7" t="str">
        <f>_xlfn.XLOOKUP(B54,'[1]Sheet 1'!$A$2:$A$11107,'[1]Sheet 1'!$D$2:$D$11107,"",0)</f>
        <v>NIK</v>
      </c>
      <c r="D54" s="4" t="str">
        <f>_xlfn.XLOOKUP(A54,[3]Sheet2!$I$2:$I$1623,[3]Sheet2!$D$2:$D$1623,"",0)</f>
        <v>Q4</v>
      </c>
      <c r="E54" s="4" t="s">
        <v>1828</v>
      </c>
      <c r="F54" s="4" t="e">
        <f>_xlfn.XLOOKUP(B54,[2]Sheet2!$E$2:$E$713,[2]Sheet2!$G$2:$G$713)</f>
        <v>#N/A</v>
      </c>
      <c r="G54" s="18">
        <v>46087</v>
      </c>
      <c r="H54" s="14">
        <v>8.7557870370370369E-2</v>
      </c>
      <c r="I54" s="7" t="s">
        <v>4</v>
      </c>
      <c r="J54" s="2" t="str">
        <f t="shared" si="0"/>
        <v>Q3</v>
      </c>
      <c r="K54" s="2" t="str">
        <f t="shared" si="1"/>
        <v>Not Match</v>
      </c>
      <c r="L54" s="2">
        <f t="shared" si="2"/>
        <v>0.14142135623730953</v>
      </c>
      <c r="M54" s="2" t="e">
        <f t="shared" si="3"/>
        <v>#N/A</v>
      </c>
      <c r="N54" s="2" t="str">
        <f t="shared" si="4"/>
        <v>Q NOT OK dE&gt;0.8</v>
      </c>
      <c r="O54" s="7">
        <v>21.7</v>
      </c>
      <c r="P54" s="7">
        <v>-0.2</v>
      </c>
      <c r="Q54" s="7">
        <v>-9.3000000000000007</v>
      </c>
      <c r="R54" s="7">
        <v>-0.92</v>
      </c>
      <c r="S54" s="7">
        <v>-0.1</v>
      </c>
      <c r="T54" s="7">
        <v>-0.1</v>
      </c>
      <c r="U54" s="7">
        <v>0.13</v>
      </c>
      <c r="V54" s="7">
        <v>-0.2</v>
      </c>
      <c r="W54" s="7">
        <v>0.95</v>
      </c>
      <c r="X54" s="7" t="s">
        <v>13</v>
      </c>
      <c r="Y54" s="7" t="s">
        <v>15</v>
      </c>
      <c r="Z54" s="2" t="s">
        <v>718</v>
      </c>
      <c r="AA54" s="2" t="s">
        <v>721</v>
      </c>
    </row>
    <row r="55" spans="1:27" x14ac:dyDescent="0.35">
      <c r="A55" s="7" t="s">
        <v>1574</v>
      </c>
      <c r="B55" s="7" t="s">
        <v>692</v>
      </c>
      <c r="C55" s="7" t="str">
        <f>_xlfn.XLOOKUP(B55,'[1]Sheet 1'!$A$2:$A$11107,'[1]Sheet 1'!$D$2:$D$11107,"",0)</f>
        <v>PINK</v>
      </c>
      <c r="D55" s="4" t="str">
        <f>_xlfn.XLOOKUP(A55,[3]Sheet2!$I$2:$I$1623,[3]Sheet2!$D$2:$D$1623,"",0)</f>
        <v>Q2</v>
      </c>
      <c r="E55" s="4" t="s">
        <v>1828</v>
      </c>
      <c r="F55" s="4" t="e">
        <f>_xlfn.XLOOKUP(B55,[2]Sheet2!$E$2:$E$713,[2]Sheet2!$G$2:$G$713)</f>
        <v>#N/A</v>
      </c>
      <c r="G55" s="18">
        <v>46087</v>
      </c>
      <c r="H55" s="14">
        <v>0.75307870370370367</v>
      </c>
      <c r="I55" s="7" t="s">
        <v>10</v>
      </c>
      <c r="J55" s="2" t="str">
        <f t="shared" si="0"/>
        <v>Q4</v>
      </c>
      <c r="K55" s="2" t="str">
        <f t="shared" si="1"/>
        <v>Not Match</v>
      </c>
      <c r="L55" s="2">
        <f t="shared" si="2"/>
        <v>0.22360679774997899</v>
      </c>
      <c r="M55" s="2" t="e">
        <f t="shared" si="3"/>
        <v>#N/A</v>
      </c>
      <c r="N55" s="2" t="str">
        <f t="shared" si="4"/>
        <v>Q NOT OK dE&lt;=0.8</v>
      </c>
      <c r="O55" s="7">
        <v>19</v>
      </c>
      <c r="P55" s="7">
        <v>-1.8</v>
      </c>
      <c r="Q55" s="7">
        <v>-11.4</v>
      </c>
      <c r="R55" s="7">
        <v>-0.33</v>
      </c>
      <c r="S55" s="7">
        <v>0.2</v>
      </c>
      <c r="T55" s="7">
        <v>-0.1</v>
      </c>
      <c r="U55" s="7">
        <v>0.06</v>
      </c>
      <c r="V55" s="7">
        <v>0.37</v>
      </c>
      <c r="W55" s="7">
        <v>0.49</v>
      </c>
      <c r="X55" s="7" t="s">
        <v>8</v>
      </c>
      <c r="Y55" s="7" t="s">
        <v>9</v>
      </c>
      <c r="Z55" s="2" t="s">
        <v>718</v>
      </c>
      <c r="AA55" s="2" t="s">
        <v>721</v>
      </c>
    </row>
    <row r="56" spans="1:27" x14ac:dyDescent="0.35">
      <c r="A56" s="7" t="s">
        <v>1574</v>
      </c>
      <c r="B56" s="7" t="s">
        <v>694</v>
      </c>
      <c r="C56" s="7" t="str">
        <f>_xlfn.XLOOKUP(B56,'[1]Sheet 1'!$A$2:$A$11107,'[1]Sheet 1'!$D$2:$D$11107,"",0)</f>
        <v>PINK</v>
      </c>
      <c r="D56" s="4" t="str">
        <f>_xlfn.XLOOKUP(A56,[3]Sheet2!$I$2:$I$1623,[3]Sheet2!$D$2:$D$1623,"",0)</f>
        <v>Q2</v>
      </c>
      <c r="E56" s="4" t="s">
        <v>1828</v>
      </c>
      <c r="F56" s="4" t="e">
        <f>_xlfn.XLOOKUP(B56,[2]Sheet2!$E$2:$E$713,[2]Sheet2!$G$2:$G$713)</f>
        <v>#N/A</v>
      </c>
      <c r="G56" s="18">
        <v>46087</v>
      </c>
      <c r="H56" s="14">
        <v>0.76415509259259262</v>
      </c>
      <c r="I56" s="7" t="s">
        <v>10</v>
      </c>
      <c r="J56" s="2" t="str">
        <f t="shared" si="0"/>
        <v>Q4</v>
      </c>
      <c r="K56" s="2" t="str">
        <f t="shared" si="1"/>
        <v>Not Match</v>
      </c>
      <c r="L56" s="2">
        <f t="shared" si="2"/>
        <v>0.63245553203367588</v>
      </c>
      <c r="M56" s="2" t="e">
        <f t="shared" si="3"/>
        <v>#N/A</v>
      </c>
      <c r="N56" s="2" t="str">
        <f t="shared" si="4"/>
        <v>Q NOT OK dE&gt;0.8</v>
      </c>
      <c r="O56" s="7">
        <v>18.5</v>
      </c>
      <c r="P56" s="7">
        <v>-1.8</v>
      </c>
      <c r="Q56" s="7">
        <v>-11.9</v>
      </c>
      <c r="R56" s="7">
        <v>-0.69</v>
      </c>
      <c r="S56" s="7">
        <v>0.2</v>
      </c>
      <c r="T56" s="7">
        <v>-0.6</v>
      </c>
      <c r="U56" s="7">
        <v>0.46</v>
      </c>
      <c r="V56" s="7">
        <v>0.41</v>
      </c>
      <c r="W56" s="7">
        <v>0.92</v>
      </c>
      <c r="X56" s="7" t="s">
        <v>13</v>
      </c>
      <c r="Y56" s="7" t="s">
        <v>9</v>
      </c>
      <c r="Z56" s="2" t="s">
        <v>718</v>
      </c>
      <c r="AA56" s="2" t="s">
        <v>721</v>
      </c>
    </row>
    <row r="57" spans="1:27" x14ac:dyDescent="0.35">
      <c r="A57" s="7" t="s">
        <v>1695</v>
      </c>
      <c r="B57" s="7" t="s">
        <v>673</v>
      </c>
      <c r="C57" s="7" t="str">
        <f>_xlfn.XLOOKUP(B57,'[1]Sheet 1'!$A$2:$A$11107,'[1]Sheet 1'!$D$2:$D$11107,"",0)</f>
        <v>ODL</v>
      </c>
      <c r="D57" s="4" t="str">
        <f>_xlfn.XLOOKUP(A57,[3]Sheet2!$I$2:$I$1623,[3]Sheet2!$D$2:$D$1623,"",0)</f>
        <v>Q3</v>
      </c>
      <c r="E57" s="4" t="s">
        <v>1828</v>
      </c>
      <c r="F57" s="4" t="e">
        <f>_xlfn.XLOOKUP(B57,[2]Sheet2!$E$2:$E$713,[2]Sheet2!$G$2:$G$713)</f>
        <v>#N/A</v>
      </c>
      <c r="G57" s="18">
        <v>46087</v>
      </c>
      <c r="H57" s="14">
        <v>7.1122685185185192E-2</v>
      </c>
      <c r="I57" s="7" t="s">
        <v>4</v>
      </c>
      <c r="J57" s="2" t="str">
        <f t="shared" si="0"/>
        <v>Q1</v>
      </c>
      <c r="K57" s="2" t="str">
        <f t="shared" si="1"/>
        <v>Not Match</v>
      </c>
      <c r="L57" s="2">
        <f t="shared" si="2"/>
        <v>0.63245553203367588</v>
      </c>
      <c r="M57" s="2" t="e">
        <f t="shared" si="3"/>
        <v>#N/A</v>
      </c>
      <c r="N57" s="2" t="str">
        <f t="shared" si="4"/>
        <v>Q NOT OK dE&gt;0.8</v>
      </c>
      <c r="O57" s="7">
        <v>17.8</v>
      </c>
      <c r="P57" s="7">
        <v>-1</v>
      </c>
      <c r="Q57" s="7">
        <v>-0.9</v>
      </c>
      <c r="R57" s="7">
        <v>-0.93</v>
      </c>
      <c r="S57" s="7">
        <v>0.2</v>
      </c>
      <c r="T57" s="7">
        <v>0.6</v>
      </c>
      <c r="U57" s="7">
        <v>-0.87</v>
      </c>
      <c r="V57" s="7">
        <v>-0.38</v>
      </c>
      <c r="W57" s="7">
        <v>1.33</v>
      </c>
      <c r="X57" s="7" t="s">
        <v>6</v>
      </c>
      <c r="Y57" s="7" t="s">
        <v>12</v>
      </c>
      <c r="Z57" s="2" t="s">
        <v>718</v>
      </c>
      <c r="AA57" s="2" t="s">
        <v>721</v>
      </c>
    </row>
    <row r="58" spans="1:27" x14ac:dyDescent="0.35">
      <c r="A58" s="7" t="s">
        <v>1536</v>
      </c>
      <c r="B58" s="7" t="s">
        <v>697</v>
      </c>
      <c r="C58" s="7" t="str">
        <f>_xlfn.XLOOKUP(B58,'[1]Sheet 1'!$A$2:$A$11107,'[1]Sheet 1'!$D$2:$D$11107,"",0)</f>
        <v>NIK</v>
      </c>
      <c r="D58" s="4" t="str">
        <f>_xlfn.XLOOKUP(A58,[3]Sheet2!$I$2:$I$1623,[3]Sheet2!$D$2:$D$1623,"",0)</f>
        <v>Q2</v>
      </c>
      <c r="E58" s="4" t="s">
        <v>1828</v>
      </c>
      <c r="F58" s="4" t="e">
        <f>_xlfn.XLOOKUP(B58,[2]Sheet2!$E$2:$E$713,[2]Sheet2!$G$2:$G$713)</f>
        <v>#N/A</v>
      </c>
      <c r="G58" s="18">
        <v>46087</v>
      </c>
      <c r="H58" s="14">
        <v>0.97752314814814811</v>
      </c>
      <c r="I58" s="7" t="s">
        <v>4</v>
      </c>
      <c r="J58" s="2" t="str">
        <f t="shared" si="0"/>
        <v>Q2</v>
      </c>
      <c r="K58" s="2" t="str">
        <f t="shared" si="1"/>
        <v>Match</v>
      </c>
      <c r="L58" s="2">
        <f t="shared" si="2"/>
        <v>0</v>
      </c>
      <c r="M58" s="2" t="e">
        <f t="shared" si="3"/>
        <v>#N/A</v>
      </c>
      <c r="N58" s="2" t="str">
        <f t="shared" si="4"/>
        <v>Q OK dE&lt;=0.8</v>
      </c>
      <c r="O58" s="7">
        <v>16.2</v>
      </c>
      <c r="P58" s="7">
        <v>-0.6</v>
      </c>
      <c r="Q58" s="7">
        <v>-1.8</v>
      </c>
      <c r="R58" s="7">
        <v>0.52</v>
      </c>
      <c r="S58" s="7">
        <v>0</v>
      </c>
      <c r="T58" s="20">
        <v>0</v>
      </c>
      <c r="U58" s="7">
        <v>0.04</v>
      </c>
      <c r="V58" s="7">
        <v>-0.01</v>
      </c>
      <c r="W58" s="7">
        <v>0.52</v>
      </c>
      <c r="X58" s="7" t="s">
        <v>8</v>
      </c>
      <c r="Y58" s="7" t="s">
        <v>15</v>
      </c>
      <c r="Z58" s="2" t="s">
        <v>718</v>
      </c>
      <c r="AA58" s="2" t="s">
        <v>721</v>
      </c>
    </row>
    <row r="59" spans="1:27" x14ac:dyDescent="0.35">
      <c r="A59" s="7" t="s">
        <v>1559</v>
      </c>
      <c r="B59" s="7" t="s">
        <v>688</v>
      </c>
      <c r="C59" s="7" t="str">
        <f>_xlfn.XLOOKUP(B59,'[1]Sheet 1'!$A$2:$A$11107,'[1]Sheet 1'!$D$2:$D$11107,"",0)</f>
        <v>VSS</v>
      </c>
      <c r="D59" s="4" t="str">
        <f>_xlfn.XLOOKUP(A59,[3]Sheet2!$I$2:$I$1623,[3]Sheet2!$D$2:$D$1623,"",0)</f>
        <v>Q3</v>
      </c>
      <c r="E59" s="4" t="s">
        <v>1828</v>
      </c>
      <c r="F59" s="4" t="e">
        <f>_xlfn.XLOOKUP(B59,[2]Sheet2!$E$2:$E$713,[2]Sheet2!$G$2:$G$713)</f>
        <v>#N/A</v>
      </c>
      <c r="G59" s="18">
        <v>46087</v>
      </c>
      <c r="H59" s="14">
        <v>0.74280092592592595</v>
      </c>
      <c r="I59" s="7" t="s">
        <v>10</v>
      </c>
      <c r="J59" s="2" t="str">
        <f t="shared" si="0"/>
        <v>Q3</v>
      </c>
      <c r="K59" s="2" t="str">
        <f t="shared" si="1"/>
        <v>Match</v>
      </c>
      <c r="L59" s="2">
        <f t="shared" si="2"/>
        <v>0.1</v>
      </c>
      <c r="M59" s="2" t="e">
        <f t="shared" si="3"/>
        <v>#N/A</v>
      </c>
      <c r="N59" s="2" t="str">
        <f t="shared" si="4"/>
        <v>Q OK dE&lt;=0.8</v>
      </c>
      <c r="O59" s="7">
        <v>17.399999999999999</v>
      </c>
      <c r="P59" s="7">
        <v>-0.1</v>
      </c>
      <c r="Q59" s="7">
        <v>-2.4</v>
      </c>
      <c r="R59" s="7">
        <v>-0.52</v>
      </c>
      <c r="S59" s="7">
        <v>0</v>
      </c>
      <c r="T59" s="7">
        <v>-0.1</v>
      </c>
      <c r="U59" s="7">
        <v>0.12</v>
      </c>
      <c r="V59" s="7">
        <v>-0.06</v>
      </c>
      <c r="W59" s="7">
        <v>0.54</v>
      </c>
      <c r="X59" s="7" t="s">
        <v>8</v>
      </c>
      <c r="Y59" s="7" t="s">
        <v>15</v>
      </c>
      <c r="Z59" s="2" t="s">
        <v>718</v>
      </c>
      <c r="AA59" s="2" t="s">
        <v>721</v>
      </c>
    </row>
    <row r="60" spans="1:27" x14ac:dyDescent="0.35">
      <c r="A60" s="7" t="s">
        <v>1681</v>
      </c>
      <c r="B60" s="7" t="s">
        <v>681</v>
      </c>
      <c r="C60" s="7" t="str">
        <f>_xlfn.XLOOKUP(B60,'[1]Sheet 1'!$A$2:$A$11107,'[1]Sheet 1'!$D$2:$D$11107,"",0)</f>
        <v>CK</v>
      </c>
      <c r="D60" s="4" t="str">
        <f>_xlfn.XLOOKUP(A60,[3]Sheet2!$I$2:$I$1623,[3]Sheet2!$D$2:$D$1623,"",0)</f>
        <v>Q4</v>
      </c>
      <c r="E60" s="4" t="s">
        <v>1828</v>
      </c>
      <c r="F60" s="4" t="e">
        <f>_xlfn.XLOOKUP(B60,[2]Sheet2!$E$2:$E$713,[2]Sheet2!$G$2:$G$713)</f>
        <v>#N/A</v>
      </c>
      <c r="G60" s="18">
        <v>46087</v>
      </c>
      <c r="H60" s="14">
        <v>0.27009259259259261</v>
      </c>
      <c r="I60" s="7" t="s">
        <v>11</v>
      </c>
      <c r="J60" s="2" t="str">
        <f t="shared" si="0"/>
        <v>Q3</v>
      </c>
      <c r="K60" s="2" t="str">
        <f t="shared" si="1"/>
        <v>Not Match</v>
      </c>
      <c r="L60" s="2">
        <f t="shared" si="2"/>
        <v>0.53851648071345048</v>
      </c>
      <c r="M60" s="2" t="e">
        <f t="shared" si="3"/>
        <v>#N/A</v>
      </c>
      <c r="N60" s="2" t="str">
        <f t="shared" si="4"/>
        <v>Q NOT OK dE&gt;0.8</v>
      </c>
      <c r="O60" s="7">
        <v>20.3</v>
      </c>
      <c r="P60" s="7">
        <v>-0.8</v>
      </c>
      <c r="Q60" s="7">
        <v>-9.3000000000000007</v>
      </c>
      <c r="R60" s="7">
        <v>0.77</v>
      </c>
      <c r="S60" s="7">
        <v>-0.2</v>
      </c>
      <c r="T60" s="7">
        <v>-0.5</v>
      </c>
      <c r="U60" s="7">
        <v>0.53</v>
      </c>
      <c r="V60" s="7">
        <v>-0.25</v>
      </c>
      <c r="W60" s="7">
        <v>0.97</v>
      </c>
      <c r="X60" s="7" t="s">
        <v>13</v>
      </c>
      <c r="Y60" s="7" t="s">
        <v>15</v>
      </c>
      <c r="Z60" s="2" t="s">
        <v>718</v>
      </c>
      <c r="AA60" s="2" t="s">
        <v>721</v>
      </c>
    </row>
    <row r="61" spans="1:27" x14ac:dyDescent="0.35">
      <c r="A61" s="7" t="s">
        <v>1676</v>
      </c>
      <c r="B61" s="7" t="s">
        <v>698</v>
      </c>
      <c r="C61" s="7" t="str">
        <f>_xlfn.XLOOKUP(B61,'[1]Sheet 1'!$A$2:$A$11107,'[1]Sheet 1'!$D$2:$D$11107,"",0)</f>
        <v>PINK</v>
      </c>
      <c r="D61" s="4" t="str">
        <f>_xlfn.XLOOKUP(A61,[3]Sheet2!$I$2:$I$1623,[3]Sheet2!$D$2:$D$1623,"",0)</f>
        <v>Q2</v>
      </c>
      <c r="E61" s="4" t="s">
        <v>1828</v>
      </c>
      <c r="F61" s="4" t="e">
        <f>_xlfn.XLOOKUP(B61,[2]Sheet2!$E$2:$E$713,[2]Sheet2!$G$2:$G$713)</f>
        <v>#N/A</v>
      </c>
      <c r="G61" s="18">
        <v>46088</v>
      </c>
      <c r="H61" s="14">
        <v>6.7118055555555556E-2</v>
      </c>
      <c r="I61" s="7" t="s">
        <v>10</v>
      </c>
      <c r="J61" s="2" t="str">
        <f t="shared" si="0"/>
        <v>Q3</v>
      </c>
      <c r="K61" s="2" t="str">
        <f t="shared" si="1"/>
        <v>Not Match</v>
      </c>
      <c r="L61" s="2">
        <f t="shared" si="2"/>
        <v>0.80622577482985502</v>
      </c>
      <c r="M61" s="2" t="e">
        <f t="shared" si="3"/>
        <v>#N/A</v>
      </c>
      <c r="N61" s="2" t="str">
        <f t="shared" si="4"/>
        <v>Q NOT OK dE&gt;0.8</v>
      </c>
      <c r="O61" s="7">
        <v>27</v>
      </c>
      <c r="P61" s="7">
        <v>17.5</v>
      </c>
      <c r="Q61" s="7">
        <v>2.7</v>
      </c>
      <c r="R61" s="7">
        <v>0.22</v>
      </c>
      <c r="S61" s="7">
        <v>-0.1</v>
      </c>
      <c r="T61" s="7">
        <v>-0.8</v>
      </c>
      <c r="U61" s="7">
        <v>-0.2</v>
      </c>
      <c r="V61" s="7">
        <v>-0.77</v>
      </c>
      <c r="W61" s="7">
        <v>0.83</v>
      </c>
      <c r="X61" s="7" t="s">
        <v>13</v>
      </c>
      <c r="Y61" s="7" t="s">
        <v>7</v>
      </c>
      <c r="Z61" s="2" t="s">
        <v>718</v>
      </c>
      <c r="AA61" s="2" t="s">
        <v>721</v>
      </c>
    </row>
    <row r="62" spans="1:27" x14ac:dyDescent="0.35">
      <c r="A62" s="7" t="s">
        <v>1676</v>
      </c>
      <c r="B62" s="7" t="s">
        <v>709</v>
      </c>
      <c r="C62" s="7" t="str">
        <f>_xlfn.XLOOKUP(B62,'[1]Sheet 1'!$A$2:$A$11107,'[1]Sheet 1'!$D$2:$D$11107,"",0)</f>
        <v>PINK</v>
      </c>
      <c r="D62" s="4" t="str">
        <f>_xlfn.XLOOKUP(A62,[3]Sheet2!$I$2:$I$1623,[3]Sheet2!$D$2:$D$1623,"",0)</f>
        <v>Q2</v>
      </c>
      <c r="E62" s="4" t="s">
        <v>1828</v>
      </c>
      <c r="F62" s="4" t="e">
        <f>_xlfn.XLOOKUP(B62,[2]Sheet2!$E$2:$E$713,[2]Sheet2!$G$2:$G$713)</f>
        <v>#N/A</v>
      </c>
      <c r="G62" s="18">
        <v>46088</v>
      </c>
      <c r="H62" s="14">
        <v>0.62796296296296295</v>
      </c>
      <c r="I62" s="7" t="s">
        <v>11</v>
      </c>
      <c r="J62" s="2" t="str">
        <f t="shared" si="0"/>
        <v>Q4</v>
      </c>
      <c r="K62" s="2" t="str">
        <f t="shared" si="1"/>
        <v>Not Match</v>
      </c>
      <c r="L62" s="2">
        <f t="shared" si="2"/>
        <v>0.41231056256176613</v>
      </c>
      <c r="M62" s="2" t="e">
        <f t="shared" si="3"/>
        <v>#N/A</v>
      </c>
      <c r="N62" s="2" t="str">
        <f t="shared" si="4"/>
        <v>Q NOT OK dE&lt;=0.8</v>
      </c>
      <c r="O62" s="7">
        <v>23.7</v>
      </c>
      <c r="P62" s="7">
        <v>11.3</v>
      </c>
      <c r="Q62" s="7">
        <v>-1.7</v>
      </c>
      <c r="R62" s="7">
        <v>-0.48</v>
      </c>
      <c r="S62" s="7">
        <v>0.1</v>
      </c>
      <c r="T62" s="7">
        <v>-0.4</v>
      </c>
      <c r="U62" s="7">
        <v>0.2</v>
      </c>
      <c r="V62" s="7">
        <v>-0.45</v>
      </c>
      <c r="W62" s="7">
        <v>0.69</v>
      </c>
      <c r="X62" s="7" t="s">
        <v>8</v>
      </c>
      <c r="Y62" s="7" t="s">
        <v>7</v>
      </c>
      <c r="Z62" s="2" t="s">
        <v>718</v>
      </c>
      <c r="AA62" s="2" t="s">
        <v>721</v>
      </c>
    </row>
    <row r="63" spans="1:27" x14ac:dyDescent="0.35">
      <c r="A63" s="7" t="s">
        <v>1693</v>
      </c>
      <c r="B63" s="7" t="s">
        <v>708</v>
      </c>
      <c r="C63" s="7" t="str">
        <f>_xlfn.XLOOKUP(B63,'[1]Sheet 1'!$A$2:$A$11107,'[1]Sheet 1'!$D$2:$D$11107,"",0)</f>
        <v>VSS</v>
      </c>
      <c r="D63" s="4" t="str">
        <f>_xlfn.XLOOKUP(A63,[3]Sheet2!$I$2:$I$1623,[3]Sheet2!$D$2:$D$1623,"",0)</f>
        <v>Q4</v>
      </c>
      <c r="E63" s="4" t="s">
        <v>1828</v>
      </c>
      <c r="F63" s="4" t="e">
        <f>_xlfn.XLOOKUP(B63,[2]Sheet2!$E$2:$E$713,[2]Sheet2!$G$2:$G$713)</f>
        <v>#N/A</v>
      </c>
      <c r="G63" s="18">
        <v>46088</v>
      </c>
      <c r="H63" s="14">
        <v>0.54753472222222221</v>
      </c>
      <c r="I63" s="7" t="s">
        <v>11</v>
      </c>
      <c r="J63" s="2" t="str">
        <f t="shared" si="0"/>
        <v>Q4</v>
      </c>
      <c r="K63" s="2" t="str">
        <f t="shared" si="1"/>
        <v>Match</v>
      </c>
      <c r="L63" s="2">
        <f t="shared" si="2"/>
        <v>0.3</v>
      </c>
      <c r="M63" s="2" t="e">
        <f t="shared" si="3"/>
        <v>#N/A</v>
      </c>
      <c r="N63" s="2" t="str">
        <f t="shared" si="4"/>
        <v>Q OK dE&lt;=0.8</v>
      </c>
      <c r="O63" s="7">
        <v>37.700000000000003</v>
      </c>
      <c r="P63" s="7">
        <v>-1.3</v>
      </c>
      <c r="Q63" s="7">
        <v>19.7</v>
      </c>
      <c r="R63" s="7">
        <v>0.01</v>
      </c>
      <c r="S63" s="7">
        <v>0</v>
      </c>
      <c r="T63" s="7">
        <v>-0.3</v>
      </c>
      <c r="U63" s="7">
        <v>-0.2</v>
      </c>
      <c r="V63" s="7">
        <v>7.0000000000000007E-2</v>
      </c>
      <c r="W63" s="7">
        <v>0.21</v>
      </c>
      <c r="X63" s="7" t="s">
        <v>8</v>
      </c>
      <c r="Y63" s="7" t="s">
        <v>9</v>
      </c>
      <c r="Z63" s="2" t="s">
        <v>718</v>
      </c>
      <c r="AA63" s="2" t="s">
        <v>721</v>
      </c>
    </row>
    <row r="64" spans="1:27" x14ac:dyDescent="0.35">
      <c r="A64" s="7" t="s">
        <v>1506</v>
      </c>
      <c r="B64" s="7" t="s">
        <v>699</v>
      </c>
      <c r="C64" s="7" t="str">
        <f>_xlfn.XLOOKUP(B64,'[1]Sheet 1'!$A$2:$A$11107,'[1]Sheet 1'!$D$2:$D$11107,"",0)</f>
        <v>INT1</v>
      </c>
      <c r="D64" s="4" t="str">
        <f>_xlfn.XLOOKUP(A64,[3]Sheet2!$I$2:$I$1623,[3]Sheet2!$D$2:$D$1623,"",0)</f>
        <v>Q1</v>
      </c>
      <c r="E64" s="4" t="s">
        <v>1828</v>
      </c>
      <c r="F64" s="4" t="e">
        <f>_xlfn.XLOOKUP(B64,[2]Sheet2!$E$2:$E$713,[2]Sheet2!$G$2:$G$713)</f>
        <v>#N/A</v>
      </c>
      <c r="G64" s="18">
        <v>46088</v>
      </c>
      <c r="H64" s="14">
        <v>8.4861111111111109E-2</v>
      </c>
      <c r="I64" s="7" t="s">
        <v>5</v>
      </c>
      <c r="J64" s="2" t="str">
        <f t="shared" si="0"/>
        <v>Q1</v>
      </c>
      <c r="K64" s="2" t="str">
        <f t="shared" si="1"/>
        <v>Match</v>
      </c>
      <c r="L64" s="2">
        <f t="shared" si="2"/>
        <v>0.2</v>
      </c>
      <c r="M64" s="2" t="e">
        <f t="shared" si="3"/>
        <v>#N/A</v>
      </c>
      <c r="N64" s="2" t="str">
        <f t="shared" si="4"/>
        <v>Q OK dE&lt;=0.8</v>
      </c>
      <c r="O64" s="7">
        <v>14.6</v>
      </c>
      <c r="P64" s="7">
        <v>-0.5</v>
      </c>
      <c r="Q64" s="7">
        <v>-2.4</v>
      </c>
      <c r="R64" s="7">
        <v>-0.55000000000000004</v>
      </c>
      <c r="S64" s="7">
        <v>0</v>
      </c>
      <c r="T64" s="7">
        <v>0.2</v>
      </c>
      <c r="U64" s="7">
        <v>-0.37</v>
      </c>
      <c r="V64" s="7">
        <v>0.03</v>
      </c>
      <c r="W64" s="7">
        <v>0.67</v>
      </c>
      <c r="X64" s="7" t="s">
        <v>8</v>
      </c>
      <c r="Y64" s="7" t="s">
        <v>9</v>
      </c>
      <c r="Z64" s="2" t="s">
        <v>718</v>
      </c>
      <c r="AA64" s="2" t="s">
        <v>721</v>
      </c>
    </row>
    <row r="65" spans="1:27" x14ac:dyDescent="0.35">
      <c r="A65" s="7" t="s">
        <v>1540</v>
      </c>
      <c r="B65" s="7" t="s">
        <v>702</v>
      </c>
      <c r="C65" s="7" t="str">
        <f>_xlfn.XLOOKUP(B65,'[1]Sheet 1'!$A$2:$A$11107,'[1]Sheet 1'!$D$2:$D$11107,"",0)</f>
        <v>VSS</v>
      </c>
      <c r="D65" s="4" t="str">
        <f>_xlfn.XLOOKUP(A65,[3]Sheet2!$I$2:$I$1623,[3]Sheet2!$D$2:$D$1623,"",0)</f>
        <v>Q3</v>
      </c>
      <c r="E65" s="4" t="s">
        <v>1828</v>
      </c>
      <c r="F65" s="4" t="e">
        <f>_xlfn.XLOOKUP(B65,[2]Sheet2!$E$2:$E$713,[2]Sheet2!$G$2:$G$713)</f>
        <v>#N/A</v>
      </c>
      <c r="G65" s="18">
        <v>46088</v>
      </c>
      <c r="H65" s="14">
        <v>0.26873842592592595</v>
      </c>
      <c r="I65" s="7" t="s">
        <v>10</v>
      </c>
      <c r="J65" s="2" t="str">
        <f t="shared" si="0"/>
        <v>Q1</v>
      </c>
      <c r="K65" s="2" t="str">
        <f t="shared" si="1"/>
        <v>Not Match</v>
      </c>
      <c r="L65" s="2">
        <f t="shared" si="2"/>
        <v>0.28284271247461906</v>
      </c>
      <c r="M65" s="2" t="e">
        <f t="shared" si="3"/>
        <v>#N/A</v>
      </c>
      <c r="N65" s="2" t="str">
        <f t="shared" si="4"/>
        <v>Q NOT OK dE&lt;=0.8</v>
      </c>
      <c r="O65" s="7">
        <v>13.9</v>
      </c>
      <c r="P65" s="7">
        <v>0.7</v>
      </c>
      <c r="Q65" s="7">
        <v>-1</v>
      </c>
      <c r="R65" s="7">
        <v>-0.59</v>
      </c>
      <c r="S65" s="7">
        <v>0.2</v>
      </c>
      <c r="T65" s="7">
        <v>0.2</v>
      </c>
      <c r="U65" s="7">
        <v>-0.12</v>
      </c>
      <c r="V65" s="7">
        <v>0.48</v>
      </c>
      <c r="W65" s="7">
        <v>0.78</v>
      </c>
      <c r="X65" s="7" t="s">
        <v>13</v>
      </c>
      <c r="Y65" s="7" t="s">
        <v>9</v>
      </c>
      <c r="Z65" s="2" t="s">
        <v>718</v>
      </c>
      <c r="AA65" s="2" t="s">
        <v>721</v>
      </c>
    </row>
    <row r="66" spans="1:27" x14ac:dyDescent="0.35">
      <c r="A66" s="7" t="s">
        <v>1540</v>
      </c>
      <c r="B66" s="7" t="s">
        <v>714</v>
      </c>
      <c r="C66" s="7" t="str">
        <f>_xlfn.XLOOKUP(B66,'[1]Sheet 1'!$A$2:$A$11107,'[1]Sheet 1'!$D$2:$D$11107,"",0)</f>
        <v>VSS</v>
      </c>
      <c r="D66" s="4" t="str">
        <f>_xlfn.XLOOKUP(A66,[3]Sheet2!$I$2:$I$1623,[3]Sheet2!$D$2:$D$1623,"",0)</f>
        <v>Q3</v>
      </c>
      <c r="E66" s="4" t="s">
        <v>1828</v>
      </c>
      <c r="F66" s="4" t="e">
        <f>_xlfn.XLOOKUP(B66,[2]Sheet2!$E$2:$E$713,[2]Sheet2!$G$2:$G$713)</f>
        <v>#N/A</v>
      </c>
      <c r="G66" s="18">
        <v>46088</v>
      </c>
      <c r="H66" s="14">
        <v>0.71850694444444441</v>
      </c>
      <c r="I66" s="7" t="s">
        <v>10</v>
      </c>
      <c r="J66" s="2" t="str">
        <f t="shared" ref="J66:J129" si="5">IF(OR(S66=0,T66=0),D66,IF(AND(S66&gt;0,T66&gt;0),"Q1",IF(AND(S66&lt;0,T66&gt;0),"Q2",IF(AND(S66&lt;0,T66&lt;0),"Q3",IF(AND(S66&gt;0,T66&lt;0),"Q4","")))))</f>
        <v>Q3</v>
      </c>
      <c r="K66" s="2" t="str">
        <f t="shared" ref="K66:K129" si="6">IF(J66=D66,"Match",IF(AND(J66=0,D66="Match"),"da and db 0",IF(D66=0,"Not Found","Not Match")))</f>
        <v>Match</v>
      </c>
      <c r="L66" s="2">
        <f t="shared" ref="L66:L129" si="7">SQRT(S66^2+T66^2)</f>
        <v>0.1</v>
      </c>
      <c r="M66" s="2" t="e">
        <f t="shared" ref="M66:M129" si="8">IF(L66&lt;=F66,"Within Range","Over Range")</f>
        <v>#N/A</v>
      </c>
      <c r="N66" s="2" t="str">
        <f t="shared" ref="N66:N129" si="9">IF(D66=0,"Quadrant not assigned",IF(AND(K66="Match",W66&lt;=0.8),"Q OK dE&lt;=0.8",IF(AND(K66="Match",W66&gt;0.8),"Q OK dE&gt;0.8",IF(AND(K66="Not Match",W66&lt;=0.8),"Q NOT OK dE&lt;=0.8","Q NOT OK dE&gt;0.8"))))</f>
        <v>Q OK dE&lt;=0.8</v>
      </c>
      <c r="O66" s="7">
        <v>14.3</v>
      </c>
      <c r="P66" s="7">
        <v>0.4</v>
      </c>
      <c r="Q66" s="7">
        <v>-1.2</v>
      </c>
      <c r="R66" s="7">
        <v>-0.24</v>
      </c>
      <c r="S66" s="7">
        <v>-0.1</v>
      </c>
      <c r="T66" s="20">
        <v>0</v>
      </c>
      <c r="U66" s="7">
        <v>-0.11</v>
      </c>
      <c r="V66" s="7">
        <v>-0.1</v>
      </c>
      <c r="W66" s="7">
        <v>0.28000000000000003</v>
      </c>
      <c r="X66" s="7" t="s">
        <v>8</v>
      </c>
      <c r="Y66" s="7" t="s">
        <v>15</v>
      </c>
      <c r="Z66" s="2" t="s">
        <v>718</v>
      </c>
      <c r="AA66" s="2" t="s">
        <v>721</v>
      </c>
    </row>
    <row r="67" spans="1:27" x14ac:dyDescent="0.35">
      <c r="A67" s="7" t="s">
        <v>1518</v>
      </c>
      <c r="B67" s="7" t="s">
        <v>713</v>
      </c>
      <c r="C67" s="7" t="str">
        <f>_xlfn.XLOOKUP(B67,'[1]Sheet 1'!$A$2:$A$11107,'[1]Sheet 1'!$D$2:$D$11107,"",0)</f>
        <v>VSS</v>
      </c>
      <c r="D67" s="4" t="str">
        <f>_xlfn.XLOOKUP(A67,[3]Sheet2!$I$2:$I$1623,[3]Sheet2!$D$2:$D$1623,"",0)</f>
        <v>Q1</v>
      </c>
      <c r="E67" s="4" t="s">
        <v>1827</v>
      </c>
      <c r="F67" s="4" t="e">
        <f>_xlfn.XLOOKUP(B67,[2]Sheet2!$E$2:$E$713,[2]Sheet2!$G$2:$G$713)</f>
        <v>#N/A</v>
      </c>
      <c r="G67" s="18">
        <v>46088</v>
      </c>
      <c r="H67" s="14">
        <v>0.71474537037037034</v>
      </c>
      <c r="I67" s="7" t="s">
        <v>10</v>
      </c>
      <c r="J67" s="2" t="str">
        <f t="shared" si="5"/>
        <v>Q2</v>
      </c>
      <c r="K67" s="2" t="str">
        <f t="shared" si="6"/>
        <v>Not Match</v>
      </c>
      <c r="L67" s="2">
        <f t="shared" si="7"/>
        <v>1.004987562112089</v>
      </c>
      <c r="M67" s="2" t="e">
        <f t="shared" si="8"/>
        <v>#N/A</v>
      </c>
      <c r="N67" s="2" t="str">
        <f t="shared" si="9"/>
        <v>Q NOT OK dE&gt;0.8</v>
      </c>
      <c r="O67" s="7">
        <v>26.4</v>
      </c>
      <c r="P67" s="7">
        <v>10.8</v>
      </c>
      <c r="Q67" s="7">
        <v>10.9</v>
      </c>
      <c r="R67" s="7">
        <v>-0.85</v>
      </c>
      <c r="S67" s="7">
        <v>-0.1</v>
      </c>
      <c r="T67" s="7">
        <v>1</v>
      </c>
      <c r="U67" s="7">
        <v>0.41</v>
      </c>
      <c r="V67" s="7">
        <v>1.3</v>
      </c>
      <c r="W67" s="7">
        <v>1.61</v>
      </c>
      <c r="X67" s="7" t="s">
        <v>6</v>
      </c>
      <c r="Y67" s="7" t="s">
        <v>12</v>
      </c>
      <c r="Z67" s="2" t="s">
        <v>718</v>
      </c>
      <c r="AA67" s="2" t="s">
        <v>721</v>
      </c>
    </row>
    <row r="68" spans="1:27" x14ac:dyDescent="0.35">
      <c r="A68" s="7" t="s">
        <v>1687</v>
      </c>
      <c r="B68" s="7" t="s">
        <v>693</v>
      </c>
      <c r="C68" s="7" t="str">
        <f>_xlfn.XLOOKUP(B68,'[1]Sheet 1'!$A$2:$A$11107,'[1]Sheet 1'!$D$2:$D$11107,"",0)</f>
        <v>NIK</v>
      </c>
      <c r="D68" s="4" t="str">
        <f>_xlfn.XLOOKUP(A68,[3]Sheet2!$I$2:$I$1623,[3]Sheet2!$D$2:$D$1623,"",0)</f>
        <v>Q3</v>
      </c>
      <c r="E68" s="4" t="s">
        <v>1828</v>
      </c>
      <c r="F68" s="4" t="e">
        <f>_xlfn.XLOOKUP(B68,[2]Sheet2!$E$2:$E$713,[2]Sheet2!$G$2:$G$713)</f>
        <v>#N/A</v>
      </c>
      <c r="G68" s="18">
        <v>46088</v>
      </c>
      <c r="H68" s="14">
        <v>0.77837962962962959</v>
      </c>
      <c r="I68" s="7" t="s">
        <v>4</v>
      </c>
      <c r="J68" s="2" t="str">
        <f t="shared" si="5"/>
        <v>Q2</v>
      </c>
      <c r="K68" s="2" t="str">
        <f t="shared" si="6"/>
        <v>Not Match</v>
      </c>
      <c r="L68" s="2">
        <f t="shared" si="7"/>
        <v>0.72801098892805172</v>
      </c>
      <c r="M68" s="2" t="e">
        <f t="shared" si="8"/>
        <v>#N/A</v>
      </c>
      <c r="N68" s="2" t="str">
        <f t="shared" si="9"/>
        <v>Q NOT OK dE&gt;0.8</v>
      </c>
      <c r="O68" s="7">
        <v>33.1</v>
      </c>
      <c r="P68" s="7">
        <v>11.8</v>
      </c>
      <c r="Q68" s="7">
        <v>12.2</v>
      </c>
      <c r="R68" s="7">
        <v>-0.64</v>
      </c>
      <c r="S68" s="7">
        <v>-0.2</v>
      </c>
      <c r="T68" s="7">
        <v>0.7</v>
      </c>
      <c r="U68" s="7">
        <v>0.26</v>
      </c>
      <c r="V68" s="7">
        <v>1.01</v>
      </c>
      <c r="W68" s="7">
        <v>1.22</v>
      </c>
      <c r="X68" s="7" t="s">
        <v>6</v>
      </c>
      <c r="Y68" s="7" t="s">
        <v>12</v>
      </c>
      <c r="Z68" s="2" t="s">
        <v>718</v>
      </c>
      <c r="AA68" s="2" t="s">
        <v>721</v>
      </c>
    </row>
    <row r="69" spans="1:27" x14ac:dyDescent="0.35">
      <c r="A69" s="7" t="s">
        <v>1574</v>
      </c>
      <c r="B69" s="7" t="s">
        <v>704</v>
      </c>
      <c r="C69" s="7" t="str">
        <f>_xlfn.XLOOKUP(B69,'[1]Sheet 1'!$A$2:$A$11107,'[1]Sheet 1'!$D$2:$D$11107,"",0)</f>
        <v>PINK</v>
      </c>
      <c r="D69" s="4" t="str">
        <f>_xlfn.XLOOKUP(A69,[3]Sheet2!$I$2:$I$1623,[3]Sheet2!$D$2:$D$1623,"",0)</f>
        <v>Q2</v>
      </c>
      <c r="E69" s="4" t="s">
        <v>1828</v>
      </c>
      <c r="F69" s="4" t="e">
        <f>_xlfn.XLOOKUP(B69,[2]Sheet2!$E$2:$E$713,[2]Sheet2!$G$2:$G$713)</f>
        <v>#N/A</v>
      </c>
      <c r="G69" s="18">
        <v>46088</v>
      </c>
      <c r="H69" s="14">
        <v>0.27280092592592592</v>
      </c>
      <c r="I69" s="7" t="s">
        <v>10</v>
      </c>
      <c r="J69" s="2" t="str">
        <f t="shared" si="5"/>
        <v>Q4</v>
      </c>
      <c r="K69" s="2" t="str">
        <f t="shared" si="6"/>
        <v>Not Match</v>
      </c>
      <c r="L69" s="2">
        <f t="shared" si="7"/>
        <v>0.41231056256176613</v>
      </c>
      <c r="M69" s="2" t="e">
        <f t="shared" si="8"/>
        <v>#N/A</v>
      </c>
      <c r="N69" s="2" t="str">
        <f t="shared" si="9"/>
        <v>Q NOT OK dE&lt;=0.8</v>
      </c>
      <c r="O69" s="7">
        <v>19.100000000000001</v>
      </c>
      <c r="P69" s="7">
        <v>-1.9</v>
      </c>
      <c r="Q69" s="7">
        <v>-11.7</v>
      </c>
      <c r="R69" s="7">
        <v>-0.19</v>
      </c>
      <c r="S69" s="7">
        <v>0.1</v>
      </c>
      <c r="T69" s="7">
        <v>-0.4</v>
      </c>
      <c r="U69" s="7">
        <v>0.33</v>
      </c>
      <c r="V69" s="7">
        <v>0.28999999999999998</v>
      </c>
      <c r="W69" s="7">
        <v>0.48</v>
      </c>
      <c r="X69" s="7" t="s">
        <v>8</v>
      </c>
      <c r="Y69" s="7" t="s">
        <v>9</v>
      </c>
      <c r="Z69" s="2" t="s">
        <v>718</v>
      </c>
      <c r="AA69" s="2" t="s">
        <v>721</v>
      </c>
    </row>
    <row r="70" spans="1:27" x14ac:dyDescent="0.35">
      <c r="A70" s="7" t="s">
        <v>1687</v>
      </c>
      <c r="B70" s="7" t="s">
        <v>701</v>
      </c>
      <c r="C70" s="7" t="str">
        <f>_xlfn.XLOOKUP(B70,'[1]Sheet 1'!$A$2:$A$11107,'[1]Sheet 1'!$D$2:$D$11107,"",0)</f>
        <v>NIK</v>
      </c>
      <c r="D70" s="4" t="str">
        <f>_xlfn.XLOOKUP(A70,[3]Sheet2!$I$2:$I$1623,[3]Sheet2!$D$2:$D$1623,"",0)</f>
        <v>Q3</v>
      </c>
      <c r="E70" s="4" t="s">
        <v>1828</v>
      </c>
      <c r="F70" s="4" t="e">
        <f>_xlfn.XLOOKUP(B70,[2]Sheet2!$E$2:$E$713,[2]Sheet2!$G$2:$G$713)</f>
        <v>#N/A</v>
      </c>
      <c r="G70" s="18">
        <v>46088</v>
      </c>
      <c r="H70" s="14">
        <v>0.19819444444444445</v>
      </c>
      <c r="I70" s="7" t="s">
        <v>4</v>
      </c>
      <c r="J70" s="2" t="str">
        <f t="shared" si="5"/>
        <v>Q2</v>
      </c>
      <c r="K70" s="2" t="str">
        <f t="shared" si="6"/>
        <v>Not Match</v>
      </c>
      <c r="L70" s="2">
        <f t="shared" si="7"/>
        <v>0.44721359549995798</v>
      </c>
      <c r="M70" s="2" t="e">
        <f t="shared" si="8"/>
        <v>#N/A</v>
      </c>
      <c r="N70" s="2" t="str">
        <f t="shared" si="9"/>
        <v>Q NOT OK dE&lt;=0.8</v>
      </c>
      <c r="O70" s="7">
        <v>34.1</v>
      </c>
      <c r="P70" s="7">
        <v>11.5</v>
      </c>
      <c r="Q70" s="7">
        <v>11.7</v>
      </c>
      <c r="R70" s="7">
        <v>-0.11</v>
      </c>
      <c r="S70" s="7">
        <v>-0.4</v>
      </c>
      <c r="T70" s="7">
        <v>0.2</v>
      </c>
      <c r="U70" s="7">
        <v>-0.12</v>
      </c>
      <c r="V70" s="7">
        <v>0.75</v>
      </c>
      <c r="W70" s="7">
        <v>0.76</v>
      </c>
      <c r="X70" s="7" t="s">
        <v>13</v>
      </c>
      <c r="Y70" s="7" t="s">
        <v>12</v>
      </c>
      <c r="Z70" s="2" t="s">
        <v>718</v>
      </c>
      <c r="AA70" s="2" t="s">
        <v>721</v>
      </c>
    </row>
    <row r="71" spans="1:27" x14ac:dyDescent="0.35">
      <c r="A71" s="7" t="s">
        <v>1507</v>
      </c>
      <c r="B71" s="7" t="s">
        <v>705</v>
      </c>
      <c r="C71" s="7" t="str">
        <f>_xlfn.XLOOKUP(B71,'[1]Sheet 1'!$A$2:$A$11107,'[1]Sheet 1'!$D$2:$D$11107,"",0)</f>
        <v>VSS</v>
      </c>
      <c r="D71" s="4" t="str">
        <f>_xlfn.XLOOKUP(A71,[3]Sheet2!$I$2:$I$1623,[3]Sheet2!$D$2:$D$1623,"",0)</f>
        <v>Q3</v>
      </c>
      <c r="E71" s="4" t="s">
        <v>1828</v>
      </c>
      <c r="F71" s="4" t="e">
        <f>_xlfn.XLOOKUP(B71,[2]Sheet2!$E$2:$E$713,[2]Sheet2!$G$2:$G$713)</f>
        <v>#N/A</v>
      </c>
      <c r="G71" s="18">
        <v>46088</v>
      </c>
      <c r="H71" s="14">
        <v>0.27459490740740738</v>
      </c>
      <c r="I71" s="7" t="s">
        <v>10</v>
      </c>
      <c r="J71" s="2" t="str">
        <f t="shared" si="5"/>
        <v>Q1</v>
      </c>
      <c r="K71" s="2" t="str">
        <f t="shared" si="6"/>
        <v>Not Match</v>
      </c>
      <c r="L71" s="2">
        <f t="shared" si="7"/>
        <v>0.53851648071345048</v>
      </c>
      <c r="M71" s="2" t="e">
        <f t="shared" si="8"/>
        <v>#N/A</v>
      </c>
      <c r="N71" s="2" t="str">
        <f t="shared" si="9"/>
        <v>Q NOT OK dE&gt;0.8</v>
      </c>
      <c r="O71" s="7">
        <v>15.2</v>
      </c>
      <c r="P71" s="7">
        <v>1.1000000000000001</v>
      </c>
      <c r="Q71" s="7">
        <v>0.4</v>
      </c>
      <c r="R71" s="7">
        <v>-1.07</v>
      </c>
      <c r="S71" s="7">
        <v>0.2</v>
      </c>
      <c r="T71" s="7">
        <v>0.5</v>
      </c>
      <c r="U71" s="7">
        <v>0.41</v>
      </c>
      <c r="V71" s="7">
        <v>0.72</v>
      </c>
      <c r="W71" s="7">
        <v>1.36</v>
      </c>
      <c r="X71" s="7" t="s">
        <v>6</v>
      </c>
      <c r="Y71" s="7" t="s">
        <v>9</v>
      </c>
      <c r="Z71" s="2" t="s">
        <v>718</v>
      </c>
      <c r="AA71" s="2" t="s">
        <v>721</v>
      </c>
    </row>
    <row r="72" spans="1:27" x14ac:dyDescent="0.35">
      <c r="A72" s="7" t="s">
        <v>1697</v>
      </c>
      <c r="B72" s="7" t="s">
        <v>669</v>
      </c>
      <c r="C72" s="7" t="str">
        <f>_xlfn.XLOOKUP(B72,'[1]Sheet 1'!$A$2:$A$11107,'[1]Sheet 1'!$D$2:$D$11107,"",0)</f>
        <v>NIK</v>
      </c>
      <c r="D72" s="4">
        <v>0</v>
      </c>
      <c r="E72" s="4" t="s">
        <v>1827</v>
      </c>
      <c r="F72" s="4" t="e">
        <f>_xlfn.XLOOKUP(B72,[2]Sheet2!$E$2:$E$713,[2]Sheet2!$G$2:$G$713)</f>
        <v>#N/A</v>
      </c>
      <c r="G72" s="18">
        <v>46088</v>
      </c>
      <c r="H72" s="14">
        <v>0.78413194444444445</v>
      </c>
      <c r="I72" s="7" t="s">
        <v>4</v>
      </c>
      <c r="J72" s="2" t="str">
        <f t="shared" si="5"/>
        <v>Q3</v>
      </c>
      <c r="K72" s="2" t="str">
        <f t="shared" si="6"/>
        <v>Not Found</v>
      </c>
      <c r="L72" s="2">
        <f t="shared" si="7"/>
        <v>0.94868329805051377</v>
      </c>
      <c r="M72" s="2" t="e">
        <f t="shared" si="8"/>
        <v>#N/A</v>
      </c>
      <c r="N72" s="2" t="str">
        <f t="shared" si="9"/>
        <v>Quadrant not assigned</v>
      </c>
      <c r="O72" s="7">
        <v>38.5</v>
      </c>
      <c r="P72" s="7">
        <v>56</v>
      </c>
      <c r="Q72" s="7">
        <v>29.2</v>
      </c>
      <c r="R72" s="7">
        <v>-1.07</v>
      </c>
      <c r="S72" s="7">
        <v>-0.9</v>
      </c>
      <c r="T72" s="7">
        <v>-0.3</v>
      </c>
      <c r="U72" s="7">
        <v>-0.35</v>
      </c>
      <c r="V72" s="7">
        <v>0.11</v>
      </c>
      <c r="W72" s="7">
        <v>1.1299999999999999</v>
      </c>
      <c r="X72" s="7" t="s">
        <v>6</v>
      </c>
      <c r="Y72" s="7" t="s">
        <v>12</v>
      </c>
      <c r="Z72" s="2" t="s">
        <v>718</v>
      </c>
      <c r="AA72" s="2" t="s">
        <v>721</v>
      </c>
    </row>
    <row r="73" spans="1:27" x14ac:dyDescent="0.35">
      <c r="A73" s="7" t="s">
        <v>1662</v>
      </c>
      <c r="B73" s="7" t="s">
        <v>711</v>
      </c>
      <c r="C73" s="7" t="str">
        <f>_xlfn.XLOOKUP(B73,'[1]Sheet 1'!$A$2:$A$11107,'[1]Sheet 1'!$D$2:$D$11107,"",0)</f>
        <v>CK</v>
      </c>
      <c r="D73" s="4" t="str">
        <f>_xlfn.XLOOKUP(A73,[3]Sheet2!$I$2:$I$1623,[3]Sheet2!$D$2:$D$1623,"",0)</f>
        <v>Q1</v>
      </c>
      <c r="E73" s="4" t="s">
        <v>1827</v>
      </c>
      <c r="F73" s="4" t="e">
        <f>_xlfn.XLOOKUP(B73,[2]Sheet2!$E$2:$E$713,[2]Sheet2!$G$2:$G$713)</f>
        <v>#N/A</v>
      </c>
      <c r="G73" s="18">
        <v>46088</v>
      </c>
      <c r="H73" s="14">
        <v>0.65787037037037033</v>
      </c>
      <c r="I73" s="7" t="s">
        <v>11</v>
      </c>
      <c r="J73" s="2" t="str">
        <f t="shared" si="5"/>
        <v>Q1</v>
      </c>
      <c r="K73" s="2" t="str">
        <f t="shared" si="6"/>
        <v>Match</v>
      </c>
      <c r="L73" s="2">
        <f t="shared" si="7"/>
        <v>0.22360679774997899</v>
      </c>
      <c r="M73" s="2" t="e">
        <f t="shared" si="8"/>
        <v>#N/A</v>
      </c>
      <c r="N73" s="2" t="str">
        <f t="shared" si="9"/>
        <v>Q OK dE&gt;0.8</v>
      </c>
      <c r="O73" s="7">
        <v>15.9</v>
      </c>
      <c r="P73" s="7">
        <v>-1.1000000000000001</v>
      </c>
      <c r="Q73" s="7">
        <v>-2.5</v>
      </c>
      <c r="R73" s="7">
        <v>-0.93</v>
      </c>
      <c r="S73" s="7">
        <v>0.2</v>
      </c>
      <c r="T73" s="7">
        <v>0.1</v>
      </c>
      <c r="U73" s="7">
        <v>-0.33</v>
      </c>
      <c r="V73" s="7">
        <v>0.22</v>
      </c>
      <c r="W73" s="7">
        <v>1.01</v>
      </c>
      <c r="X73" s="7" t="s">
        <v>6</v>
      </c>
      <c r="Y73" s="7" t="s">
        <v>9</v>
      </c>
      <c r="Z73" s="2" t="s">
        <v>718</v>
      </c>
      <c r="AA73" s="2" t="s">
        <v>721</v>
      </c>
    </row>
    <row r="74" spans="1:27" x14ac:dyDescent="0.35">
      <c r="A74" s="7" t="s">
        <v>1696</v>
      </c>
      <c r="B74" s="7" t="s">
        <v>715</v>
      </c>
      <c r="C74" s="7" t="str">
        <f>_xlfn.XLOOKUP(B74,'[1]Sheet 1'!$A$2:$A$11107,'[1]Sheet 1'!$D$2:$D$11107,"",0)</f>
        <v>GAP</v>
      </c>
      <c r="D74" s="4" t="str">
        <f>_xlfn.XLOOKUP(A74,[3]Sheet2!$I$2:$I$1623,[3]Sheet2!$D$2:$D$1623,"",0)</f>
        <v>Q2</v>
      </c>
      <c r="E74" s="4" t="s">
        <v>1828</v>
      </c>
      <c r="F74" s="4" t="e">
        <f>_xlfn.XLOOKUP(B74,[2]Sheet2!$E$2:$E$713,[2]Sheet2!$G$2:$G$713)</f>
        <v>#N/A</v>
      </c>
      <c r="G74" s="18">
        <v>46088</v>
      </c>
      <c r="H74" s="14">
        <v>0.78122685185185181</v>
      </c>
      <c r="I74" s="7" t="s">
        <v>4</v>
      </c>
      <c r="J74" s="2" t="str">
        <f t="shared" si="5"/>
        <v>Q2</v>
      </c>
      <c r="K74" s="2" t="str">
        <f t="shared" si="6"/>
        <v>Match</v>
      </c>
      <c r="L74" s="2">
        <f t="shared" si="7"/>
        <v>0.1</v>
      </c>
      <c r="M74" s="2" t="e">
        <f t="shared" si="8"/>
        <v>#N/A</v>
      </c>
      <c r="N74" s="2" t="str">
        <f t="shared" si="9"/>
        <v>Q OK dE&gt;0.8</v>
      </c>
      <c r="O74" s="7">
        <v>18.2</v>
      </c>
      <c r="P74" s="7">
        <v>0</v>
      </c>
      <c r="Q74" s="7">
        <v>-1</v>
      </c>
      <c r="R74" s="7">
        <v>1.31</v>
      </c>
      <c r="S74" s="7">
        <v>0</v>
      </c>
      <c r="T74" s="7">
        <v>-0.1</v>
      </c>
      <c r="U74" s="7">
        <v>0.2</v>
      </c>
      <c r="V74" s="7">
        <v>-0.15</v>
      </c>
      <c r="W74" s="7">
        <v>1.34</v>
      </c>
      <c r="X74" s="7" t="s">
        <v>6</v>
      </c>
      <c r="Y74" s="7" t="s">
        <v>15</v>
      </c>
      <c r="Z74" s="2" t="s">
        <v>718</v>
      </c>
      <c r="AA74" s="2" t="s">
        <v>721</v>
      </c>
    </row>
    <row r="75" spans="1:27" x14ac:dyDescent="0.35">
      <c r="A75" s="7" t="s">
        <v>1619</v>
      </c>
      <c r="B75" s="7" t="s">
        <v>700</v>
      </c>
      <c r="C75" s="7" t="str">
        <f>_xlfn.XLOOKUP(B75,'[1]Sheet 1'!$A$2:$A$11107,'[1]Sheet 1'!$D$2:$D$11107,"",0)</f>
        <v>M&amp;S</v>
      </c>
      <c r="D75" s="4" t="str">
        <f>_xlfn.XLOOKUP(A75,[3]Sheet2!$I$2:$I$1623,[3]Sheet2!$D$2:$D$1623,"",0)</f>
        <v>Q4</v>
      </c>
      <c r="E75" s="4" t="s">
        <v>1827</v>
      </c>
      <c r="F75" s="4" t="e">
        <f>_xlfn.XLOOKUP(B75,[2]Sheet2!$E$2:$E$713,[2]Sheet2!$G$2:$G$713)</f>
        <v>#N/A</v>
      </c>
      <c r="G75" s="18">
        <v>46088</v>
      </c>
      <c r="H75" s="14">
        <v>0.19640046296296296</v>
      </c>
      <c r="I75" s="7" t="s">
        <v>17</v>
      </c>
      <c r="J75" s="2" t="str">
        <f t="shared" si="5"/>
        <v>Q4</v>
      </c>
      <c r="K75" s="2" t="str">
        <f t="shared" si="6"/>
        <v>Match</v>
      </c>
      <c r="L75" s="2">
        <f t="shared" si="7"/>
        <v>0.5</v>
      </c>
      <c r="M75" s="2" t="e">
        <f t="shared" si="8"/>
        <v>#N/A</v>
      </c>
      <c r="N75" s="2" t="str">
        <f t="shared" si="9"/>
        <v>Q OK dE&gt;0.8</v>
      </c>
      <c r="O75" s="7">
        <v>27.8</v>
      </c>
      <c r="P75" s="7">
        <v>-1.9</v>
      </c>
      <c r="Q75" s="7">
        <v>-2.1</v>
      </c>
      <c r="R75" s="7">
        <v>-0.82</v>
      </c>
      <c r="S75" s="7">
        <v>0</v>
      </c>
      <c r="T75" s="7">
        <v>0.5</v>
      </c>
      <c r="U75" s="7">
        <v>-0.56000000000000005</v>
      </c>
      <c r="V75" s="7">
        <v>-0.35</v>
      </c>
      <c r="W75" s="7">
        <v>1.06</v>
      </c>
      <c r="X75" s="7" t="s">
        <v>6</v>
      </c>
      <c r="Y75" s="7" t="s">
        <v>12</v>
      </c>
      <c r="Z75" s="2" t="s">
        <v>718</v>
      </c>
      <c r="AA75" s="2" t="s">
        <v>721</v>
      </c>
    </row>
    <row r="76" spans="1:27" x14ac:dyDescent="0.35">
      <c r="A76" s="7" t="s">
        <v>1619</v>
      </c>
      <c r="B76" s="7" t="s">
        <v>710</v>
      </c>
      <c r="C76" s="7" t="str">
        <f>_xlfn.XLOOKUP(B76,'[1]Sheet 1'!$A$2:$A$11107,'[1]Sheet 1'!$D$2:$D$11107,"",0)</f>
        <v>M&amp;S</v>
      </c>
      <c r="D76" s="4" t="str">
        <f>_xlfn.XLOOKUP(A76,[3]Sheet2!$I$2:$I$1623,[3]Sheet2!$D$2:$D$1623,"",0)</f>
        <v>Q4</v>
      </c>
      <c r="E76" s="4" t="s">
        <v>1827</v>
      </c>
      <c r="F76" s="4" t="e">
        <f>_xlfn.XLOOKUP(B76,[2]Sheet2!$E$2:$E$713,[2]Sheet2!$G$2:$G$713)</f>
        <v>#N/A</v>
      </c>
      <c r="G76" s="18">
        <v>46088</v>
      </c>
      <c r="H76" s="14">
        <v>0.65534722222222219</v>
      </c>
      <c r="I76" s="7" t="s">
        <v>17</v>
      </c>
      <c r="J76" s="2" t="str">
        <f t="shared" si="5"/>
        <v>Q4</v>
      </c>
      <c r="K76" s="2" t="str">
        <f t="shared" si="6"/>
        <v>Match</v>
      </c>
      <c r="L76" s="2">
        <f t="shared" si="7"/>
        <v>0.9</v>
      </c>
      <c r="M76" s="2" t="e">
        <f t="shared" si="8"/>
        <v>#N/A</v>
      </c>
      <c r="N76" s="2" t="str">
        <f t="shared" si="9"/>
        <v>Q OK dE&gt;0.8</v>
      </c>
      <c r="O76" s="7">
        <v>27.7</v>
      </c>
      <c r="P76" s="7">
        <v>-2</v>
      </c>
      <c r="Q76" s="7">
        <v>-1.7</v>
      </c>
      <c r="R76" s="7">
        <v>-0.84</v>
      </c>
      <c r="S76" s="7">
        <v>0</v>
      </c>
      <c r="T76" s="7">
        <v>0.9</v>
      </c>
      <c r="U76" s="7">
        <v>-0.85</v>
      </c>
      <c r="V76" s="7">
        <v>-0.83</v>
      </c>
      <c r="W76" s="7">
        <v>1.45</v>
      </c>
      <c r="X76" s="7" t="s">
        <v>6</v>
      </c>
      <c r="Y76" s="7" t="s">
        <v>12</v>
      </c>
      <c r="Z76" s="2" t="s">
        <v>718</v>
      </c>
      <c r="AA76" s="2" t="s">
        <v>721</v>
      </c>
    </row>
    <row r="77" spans="1:27" x14ac:dyDescent="0.35">
      <c r="A77" s="7" t="s">
        <v>1515</v>
      </c>
      <c r="B77" s="7" t="s">
        <v>703</v>
      </c>
      <c r="C77" s="7" t="str">
        <f>_xlfn.XLOOKUP(B77,'[1]Sheet 1'!$A$2:$A$11107,'[1]Sheet 1'!$D$2:$D$11107,"",0)</f>
        <v>VSS</v>
      </c>
      <c r="D77" s="4" t="str">
        <f>_xlfn.XLOOKUP(A77,[3]Sheet2!$I$2:$I$1623,[3]Sheet2!$D$2:$D$1623,"",0)</f>
        <v>Q3</v>
      </c>
      <c r="E77" s="4" t="s">
        <v>1828</v>
      </c>
      <c r="F77" s="4" t="e">
        <f>_xlfn.XLOOKUP(B77,[2]Sheet2!$E$2:$E$713,[2]Sheet2!$G$2:$G$713)</f>
        <v>#N/A</v>
      </c>
      <c r="G77" s="18">
        <v>46088</v>
      </c>
      <c r="H77" s="14">
        <v>0.27108796296296295</v>
      </c>
      <c r="I77" s="7" t="s">
        <v>10</v>
      </c>
      <c r="J77" s="2" t="str">
        <f t="shared" si="5"/>
        <v>Q3</v>
      </c>
      <c r="K77" s="2" t="str">
        <f t="shared" si="6"/>
        <v>Match</v>
      </c>
      <c r="L77" s="2">
        <f t="shared" si="7"/>
        <v>0.31622776601683794</v>
      </c>
      <c r="M77" s="2" t="e">
        <f t="shared" si="8"/>
        <v>#N/A</v>
      </c>
      <c r="N77" s="2" t="str">
        <f t="shared" si="9"/>
        <v>Q OK dE&gt;0.8</v>
      </c>
      <c r="O77" s="7">
        <v>13.5</v>
      </c>
      <c r="P77" s="7">
        <v>0</v>
      </c>
      <c r="Q77" s="7">
        <v>-2</v>
      </c>
      <c r="R77" s="7">
        <v>-1.45</v>
      </c>
      <c r="S77" s="7">
        <v>-0.1</v>
      </c>
      <c r="T77" s="7">
        <v>-0.3</v>
      </c>
      <c r="U77" s="7">
        <v>0.43</v>
      </c>
      <c r="V77" s="7">
        <v>-0.16</v>
      </c>
      <c r="W77" s="7">
        <v>1.52</v>
      </c>
      <c r="X77" s="7" t="s">
        <v>6</v>
      </c>
      <c r="Y77" s="7" t="s">
        <v>15</v>
      </c>
      <c r="Z77" s="2" t="s">
        <v>718</v>
      </c>
      <c r="AA77" s="2" t="s">
        <v>721</v>
      </c>
    </row>
    <row r="78" spans="1:27" x14ac:dyDescent="0.35">
      <c r="A78" s="7" t="s">
        <v>1676</v>
      </c>
      <c r="B78" s="7" t="s">
        <v>707</v>
      </c>
      <c r="C78" s="7" t="str">
        <f>_xlfn.XLOOKUP(B78,'[1]Sheet 1'!$A$2:$A$11107,'[1]Sheet 1'!$D$2:$D$11107,"",0)</f>
        <v>PINK</v>
      </c>
      <c r="D78" s="4" t="str">
        <f>_xlfn.XLOOKUP(A78,[3]Sheet2!$I$2:$I$1623,[3]Sheet2!$D$2:$D$1623,"",0)</f>
        <v>Q2</v>
      </c>
      <c r="E78" s="4" t="s">
        <v>1828</v>
      </c>
      <c r="F78" s="4" t="e">
        <f>_xlfn.XLOOKUP(B78,[2]Sheet2!$E$2:$E$713,[2]Sheet2!$G$2:$G$713)</f>
        <v>#N/A</v>
      </c>
      <c r="G78" s="18">
        <v>46088</v>
      </c>
      <c r="H78" s="14">
        <v>0.54546296296296293</v>
      </c>
      <c r="I78" s="7" t="s">
        <v>11</v>
      </c>
      <c r="J78" s="2" t="str">
        <f t="shared" si="5"/>
        <v>Q4</v>
      </c>
      <c r="K78" s="2" t="str">
        <f t="shared" si="6"/>
        <v>Not Match</v>
      </c>
      <c r="L78" s="2">
        <f t="shared" si="7"/>
        <v>0.86023252670426265</v>
      </c>
      <c r="M78" s="2" t="e">
        <f t="shared" si="8"/>
        <v>#N/A</v>
      </c>
      <c r="N78" s="2" t="str">
        <f t="shared" si="9"/>
        <v>Q NOT OK dE&gt;0.8</v>
      </c>
      <c r="O78" s="7">
        <v>24.6</v>
      </c>
      <c r="P78" s="7">
        <v>11.7</v>
      </c>
      <c r="Q78" s="7">
        <v>-2</v>
      </c>
      <c r="R78" s="7">
        <v>0.22</v>
      </c>
      <c r="S78" s="7">
        <v>0.5</v>
      </c>
      <c r="T78" s="7">
        <v>-0.7</v>
      </c>
      <c r="U78" s="7">
        <v>0.55000000000000004</v>
      </c>
      <c r="V78" s="7">
        <v>-0.73</v>
      </c>
      <c r="W78" s="7">
        <v>0.94</v>
      </c>
      <c r="X78" s="7" t="s">
        <v>13</v>
      </c>
      <c r="Y78" s="7" t="s">
        <v>7</v>
      </c>
      <c r="Z78" s="2" t="s">
        <v>718</v>
      </c>
      <c r="AA78" s="2" t="s">
        <v>721</v>
      </c>
    </row>
    <row r="79" spans="1:27" x14ac:dyDescent="0.35">
      <c r="A79" s="7" t="s">
        <v>1676</v>
      </c>
      <c r="B79" s="7" t="s">
        <v>706</v>
      </c>
      <c r="C79" s="7" t="str">
        <f>_xlfn.XLOOKUP(B79,'[1]Sheet 1'!$A$2:$A$11107,'[1]Sheet 1'!$D$2:$D$11107,"",0)</f>
        <v>PINK</v>
      </c>
      <c r="D79" s="4" t="str">
        <f>_xlfn.XLOOKUP(A79,[3]Sheet2!$I$2:$I$1623,[3]Sheet2!$D$2:$D$1623,"",0)</f>
        <v>Q2</v>
      </c>
      <c r="E79" s="4" t="s">
        <v>1828</v>
      </c>
      <c r="F79" s="4" t="e">
        <f>_xlfn.XLOOKUP(B79,[2]Sheet2!$E$2:$E$713,[2]Sheet2!$G$2:$G$713)</f>
        <v>#N/A</v>
      </c>
      <c r="G79" s="18">
        <v>46088</v>
      </c>
      <c r="H79" s="14">
        <v>0.37797453703703704</v>
      </c>
      <c r="I79" s="7" t="s">
        <v>10</v>
      </c>
      <c r="J79" s="2" t="str">
        <f t="shared" si="5"/>
        <v>Q2</v>
      </c>
      <c r="K79" s="2" t="str">
        <f t="shared" si="6"/>
        <v>Match</v>
      </c>
      <c r="L79" s="2">
        <f t="shared" si="7"/>
        <v>0.8</v>
      </c>
      <c r="M79" s="2" t="e">
        <f t="shared" si="8"/>
        <v>#N/A</v>
      </c>
      <c r="N79" s="2" t="str">
        <f t="shared" si="9"/>
        <v>Q OK dE&gt;0.8</v>
      </c>
      <c r="O79" s="7">
        <v>26.6</v>
      </c>
      <c r="P79" s="7">
        <v>17.600000000000001</v>
      </c>
      <c r="Q79" s="7">
        <v>2.7</v>
      </c>
      <c r="R79" s="7">
        <v>-7.0000000000000007E-2</v>
      </c>
      <c r="S79" s="7">
        <v>0</v>
      </c>
      <c r="T79" s="7">
        <v>-0.8</v>
      </c>
      <c r="U79" s="7">
        <v>-0.12</v>
      </c>
      <c r="V79" s="7">
        <v>-0.83</v>
      </c>
      <c r="W79" s="7">
        <v>0.85</v>
      </c>
      <c r="X79" s="7" t="s">
        <v>13</v>
      </c>
      <c r="Y79" s="7" t="s">
        <v>7</v>
      </c>
      <c r="Z79" s="2" t="s">
        <v>718</v>
      </c>
      <c r="AA79" s="2" t="s">
        <v>721</v>
      </c>
    </row>
    <row r="80" spans="1:27" x14ac:dyDescent="0.35">
      <c r="A80" s="7" t="s">
        <v>1676</v>
      </c>
      <c r="B80" s="7" t="s">
        <v>716</v>
      </c>
      <c r="C80" s="7" t="str">
        <f>_xlfn.XLOOKUP(B80,'[1]Sheet 1'!$A$2:$A$11107,'[1]Sheet 1'!$D$2:$D$11107,"",0)</f>
        <v>PINK</v>
      </c>
      <c r="D80" s="4" t="str">
        <f>_xlfn.XLOOKUP(A80,[3]Sheet2!$I$2:$I$1623,[3]Sheet2!$D$2:$D$1623,"",0)</f>
        <v>Q2</v>
      </c>
      <c r="E80" s="4" t="s">
        <v>1828</v>
      </c>
      <c r="F80" s="4" t="e">
        <f>_xlfn.XLOOKUP(B80,[2]Sheet2!$E$2:$E$713,[2]Sheet2!$G$2:$G$713)</f>
        <v>#N/A</v>
      </c>
      <c r="G80" s="18">
        <v>46088</v>
      </c>
      <c r="H80" s="14">
        <v>0.78658564814814813</v>
      </c>
      <c r="I80" s="7" t="s">
        <v>11</v>
      </c>
      <c r="J80" s="2" t="str">
        <f t="shared" si="5"/>
        <v>Q4</v>
      </c>
      <c r="K80" s="2" t="str">
        <f t="shared" si="6"/>
        <v>Not Match</v>
      </c>
      <c r="L80" s="2">
        <f t="shared" si="7"/>
        <v>0.94339811320566047</v>
      </c>
      <c r="M80" s="2" t="e">
        <f t="shared" si="8"/>
        <v>#N/A</v>
      </c>
      <c r="N80" s="2" t="str">
        <f t="shared" si="9"/>
        <v>Q NOT OK dE&gt;0.8</v>
      </c>
      <c r="O80" s="7">
        <v>24.5</v>
      </c>
      <c r="P80" s="7">
        <v>11.7</v>
      </c>
      <c r="Q80" s="7">
        <v>-2.1</v>
      </c>
      <c r="R80" s="7">
        <v>0.13</v>
      </c>
      <c r="S80" s="7">
        <v>0.5</v>
      </c>
      <c r="T80" s="7">
        <v>-0.8</v>
      </c>
      <c r="U80" s="7">
        <v>0.53</v>
      </c>
      <c r="V80" s="7">
        <v>-0.86</v>
      </c>
      <c r="W80" s="7">
        <v>1.02</v>
      </c>
      <c r="X80" s="7" t="s">
        <v>6</v>
      </c>
      <c r="Y80" s="7" t="s">
        <v>7</v>
      </c>
      <c r="Z80" s="2" t="s">
        <v>718</v>
      </c>
      <c r="AA80" s="2" t="s">
        <v>721</v>
      </c>
    </row>
    <row r="81" spans="1:27" x14ac:dyDescent="0.35">
      <c r="A81" s="7" t="s">
        <v>1606</v>
      </c>
      <c r="B81" s="7" t="s">
        <v>1064</v>
      </c>
      <c r="C81" s="7" t="str">
        <f>_xlfn.XLOOKUP(B81,'[1]Sheet 1'!$A$2:$A$11107,'[1]Sheet 1'!$D$2:$D$11107,"",0)</f>
        <v>INT1</v>
      </c>
      <c r="D81" s="4" t="str">
        <f>_xlfn.XLOOKUP(A81,[3]Sheet2!$I$2:$I$1623,[3]Sheet2!$D$2:$D$1623,"",0)</f>
        <v>Q1</v>
      </c>
      <c r="E81" s="4" t="s">
        <v>1828</v>
      </c>
      <c r="F81" s="4" t="e">
        <f>_xlfn.XLOOKUP(B81,[2]Sheet2!$E$2:$E$713,[2]Sheet2!$G$2:$G$713)</f>
        <v>#N/A</v>
      </c>
      <c r="G81" s="18">
        <v>46090</v>
      </c>
      <c r="H81" s="14">
        <v>0.75526620370370368</v>
      </c>
      <c r="I81" s="7" t="s">
        <v>5</v>
      </c>
      <c r="J81" s="2" t="str">
        <f t="shared" si="5"/>
        <v>Q1</v>
      </c>
      <c r="K81" s="2" t="str">
        <f t="shared" si="6"/>
        <v>Match</v>
      </c>
      <c r="L81" s="2">
        <f t="shared" si="7"/>
        <v>1.2041594578792296</v>
      </c>
      <c r="M81" s="2" t="e">
        <f t="shared" si="8"/>
        <v>#N/A</v>
      </c>
      <c r="N81" s="2" t="str">
        <f t="shared" si="9"/>
        <v>Q OK dE&gt;0.8</v>
      </c>
      <c r="O81" s="7">
        <v>16.899999999999999</v>
      </c>
      <c r="P81" s="7">
        <v>0</v>
      </c>
      <c r="Q81" s="7">
        <v>-9.4</v>
      </c>
      <c r="R81" s="7">
        <v>-0.76</v>
      </c>
      <c r="S81" s="7">
        <v>0.1</v>
      </c>
      <c r="T81" s="7">
        <v>1.2</v>
      </c>
      <c r="U81" s="7">
        <v>-1.02</v>
      </c>
      <c r="V81" s="7">
        <v>0.16</v>
      </c>
      <c r="W81" s="7">
        <v>1.28</v>
      </c>
      <c r="X81" s="7" t="s">
        <v>6</v>
      </c>
      <c r="Y81" s="7" t="s">
        <v>9</v>
      </c>
      <c r="Z81" s="2" t="s">
        <v>718</v>
      </c>
      <c r="AA81" s="2" t="s">
        <v>721</v>
      </c>
    </row>
    <row r="82" spans="1:27" x14ac:dyDescent="0.35">
      <c r="A82" s="7" t="s">
        <v>1540</v>
      </c>
      <c r="B82" s="7" t="s">
        <v>738</v>
      </c>
      <c r="C82" s="7" t="str">
        <f>_xlfn.XLOOKUP(B82,'[1]Sheet 1'!$A$2:$A$11107,'[1]Sheet 1'!$D$2:$D$11107,"",0)</f>
        <v>VSS</v>
      </c>
      <c r="D82" s="4" t="str">
        <f>_xlfn.XLOOKUP(A82,[3]Sheet2!$I$2:$I$1623,[3]Sheet2!$D$2:$D$1623,"",0)</f>
        <v>Q3</v>
      </c>
      <c r="E82" s="4" t="s">
        <v>1828</v>
      </c>
      <c r="F82" s="4" t="e">
        <f>_xlfn.XLOOKUP(B82,[2]Sheet2!$E$2:$E$713,[2]Sheet2!$G$2:$G$713)</f>
        <v>#N/A</v>
      </c>
      <c r="G82" s="18">
        <v>46090</v>
      </c>
      <c r="H82" s="14">
        <v>0.96339120370370368</v>
      </c>
      <c r="I82" s="7" t="s">
        <v>10</v>
      </c>
      <c r="J82" s="2" t="str">
        <f t="shared" si="5"/>
        <v>Q3</v>
      </c>
      <c r="K82" s="2" t="str">
        <f t="shared" si="6"/>
        <v>Match</v>
      </c>
      <c r="L82" s="2">
        <f t="shared" si="7"/>
        <v>0.1</v>
      </c>
      <c r="M82" s="2" t="e">
        <f t="shared" si="8"/>
        <v>#N/A</v>
      </c>
      <c r="N82" s="2" t="str">
        <f t="shared" si="9"/>
        <v>Q OK dE&lt;=0.8</v>
      </c>
      <c r="O82" s="7">
        <v>14.5</v>
      </c>
      <c r="P82" s="7">
        <v>0.6</v>
      </c>
      <c r="Q82" s="7">
        <v>-1.3</v>
      </c>
      <c r="R82" s="7">
        <v>0.04</v>
      </c>
      <c r="S82" s="7">
        <v>0.1</v>
      </c>
      <c r="T82" s="20">
        <v>0</v>
      </c>
      <c r="U82" s="7">
        <v>0.21</v>
      </c>
      <c r="V82" s="7">
        <v>0.17</v>
      </c>
      <c r="W82" s="7">
        <v>0.28000000000000003</v>
      </c>
      <c r="X82" s="7" t="s">
        <v>8</v>
      </c>
      <c r="Y82" s="7" t="s">
        <v>9</v>
      </c>
      <c r="Z82" s="2" t="s">
        <v>718</v>
      </c>
      <c r="AA82" s="2" t="s">
        <v>721</v>
      </c>
    </row>
    <row r="83" spans="1:27" x14ac:dyDescent="0.35">
      <c r="A83" s="7" t="s">
        <v>1701</v>
      </c>
      <c r="B83" s="7" t="s">
        <v>740</v>
      </c>
      <c r="C83" s="7" t="str">
        <f>_xlfn.XLOOKUP(B83,'[1]Sheet 1'!$A$2:$A$11107,'[1]Sheet 1'!$D$2:$D$11107,"",0)</f>
        <v>CK</v>
      </c>
      <c r="D83" s="4" t="str">
        <f>_xlfn.XLOOKUP(A83,[3]Sheet2!$I$2:$I$1623,[3]Sheet2!$D$2:$D$1623,"",0)</f>
        <v>Q3</v>
      </c>
      <c r="E83" s="4" t="s">
        <v>1828</v>
      </c>
      <c r="F83" s="4" t="e">
        <f>_xlfn.XLOOKUP(B83,[2]Sheet2!$E$2:$E$713,[2]Sheet2!$G$2:$G$713)</f>
        <v>#N/A</v>
      </c>
      <c r="G83" s="18">
        <v>46090</v>
      </c>
      <c r="H83" s="14">
        <v>0.99346064814814816</v>
      </c>
      <c r="I83" s="7" t="s">
        <v>11</v>
      </c>
      <c r="J83" s="2" t="str">
        <f t="shared" si="5"/>
        <v>Q2</v>
      </c>
      <c r="K83" s="2" t="str">
        <f t="shared" si="6"/>
        <v>Not Match</v>
      </c>
      <c r="L83" s="2">
        <f t="shared" si="7"/>
        <v>0.89442719099991597</v>
      </c>
      <c r="M83" s="2" t="e">
        <f t="shared" si="8"/>
        <v>#N/A</v>
      </c>
      <c r="N83" s="2" t="str">
        <f t="shared" si="9"/>
        <v>Q NOT OK dE&gt;0.8</v>
      </c>
      <c r="O83" s="7">
        <v>28.6</v>
      </c>
      <c r="P83" s="7">
        <v>20.5</v>
      </c>
      <c r="Q83" s="7">
        <v>5.6</v>
      </c>
      <c r="R83" s="7">
        <v>-0.5</v>
      </c>
      <c r="S83" s="7">
        <v>-0.8</v>
      </c>
      <c r="T83" s="7">
        <v>0.4</v>
      </c>
      <c r="U83" s="7">
        <v>-0.39</v>
      </c>
      <c r="V83" s="7">
        <v>0.56000000000000005</v>
      </c>
      <c r="W83" s="7">
        <v>0.85</v>
      </c>
      <c r="X83" s="7" t="s">
        <v>13</v>
      </c>
      <c r="Y83" s="7" t="s">
        <v>12</v>
      </c>
      <c r="Z83" s="2" t="s">
        <v>718</v>
      </c>
      <c r="AA83" s="2" t="s">
        <v>721</v>
      </c>
    </row>
    <row r="84" spans="1:27" x14ac:dyDescent="0.35">
      <c r="A84" s="7" t="s">
        <v>1699</v>
      </c>
      <c r="B84" s="7" t="s">
        <v>804</v>
      </c>
      <c r="C84" s="7" t="str">
        <f>_xlfn.XLOOKUP(B84,'[1]Sheet 1'!$A$2:$A$11107,'[1]Sheet 1'!$D$2:$D$11107,"",0)</f>
        <v>THEU</v>
      </c>
      <c r="D84" s="4">
        <v>0</v>
      </c>
      <c r="E84" s="4" t="s">
        <v>1828</v>
      </c>
      <c r="F84" s="4" t="e">
        <f>_xlfn.XLOOKUP(B84,[2]Sheet2!$E$2:$E$713,[2]Sheet2!$G$2:$G$713)</f>
        <v>#N/A</v>
      </c>
      <c r="G84" s="18">
        <v>46090</v>
      </c>
      <c r="H84" s="14">
        <v>0.67504629629629631</v>
      </c>
      <c r="I84" s="7" t="s">
        <v>4</v>
      </c>
      <c r="J84" s="2" t="str">
        <f t="shared" si="5"/>
        <v>Q2</v>
      </c>
      <c r="K84" s="2" t="str">
        <f t="shared" si="6"/>
        <v>Not Found</v>
      </c>
      <c r="L84" s="2">
        <f t="shared" si="7"/>
        <v>0.28284271247461906</v>
      </c>
      <c r="M84" s="2" t="e">
        <f t="shared" si="8"/>
        <v>#N/A</v>
      </c>
      <c r="N84" s="2" t="str">
        <f t="shared" si="9"/>
        <v>Quadrant not assigned</v>
      </c>
      <c r="O84" s="7">
        <v>19.8</v>
      </c>
      <c r="P84" s="7">
        <v>-1.9</v>
      </c>
      <c r="Q84" s="7">
        <v>-0.7</v>
      </c>
      <c r="R84" s="7">
        <v>0.28000000000000003</v>
      </c>
      <c r="S84" s="7">
        <v>-0.2</v>
      </c>
      <c r="T84" s="7">
        <v>0.2</v>
      </c>
      <c r="U84" s="7">
        <v>0.16</v>
      </c>
      <c r="V84" s="7">
        <v>-0.37</v>
      </c>
      <c r="W84" s="7">
        <v>0.49</v>
      </c>
      <c r="X84" s="7" t="s">
        <v>8</v>
      </c>
      <c r="Y84" s="7" t="s">
        <v>12</v>
      </c>
      <c r="Z84" s="2" t="s">
        <v>718</v>
      </c>
      <c r="AA84" s="2" t="s">
        <v>721</v>
      </c>
    </row>
    <row r="85" spans="1:27" x14ac:dyDescent="0.35">
      <c r="A85" s="7" t="s">
        <v>1515</v>
      </c>
      <c r="B85" s="7" t="s">
        <v>806</v>
      </c>
      <c r="C85" s="7" t="str">
        <f>_xlfn.XLOOKUP(B85,'[1]Sheet 1'!$A$2:$A$11107,'[1]Sheet 1'!$D$2:$D$11107,"",0)</f>
        <v>VSS</v>
      </c>
      <c r="D85" s="4" t="str">
        <f>_xlfn.XLOOKUP(A85,[3]Sheet2!$I$2:$I$1623,[3]Sheet2!$D$2:$D$1623,"",0)</f>
        <v>Q3</v>
      </c>
      <c r="E85" s="4" t="s">
        <v>1828</v>
      </c>
      <c r="F85" s="4" t="e">
        <f>_xlfn.XLOOKUP(B85,[2]Sheet2!$E$2:$E$713,[2]Sheet2!$G$2:$G$713)</f>
        <v>#N/A</v>
      </c>
      <c r="G85" s="18">
        <v>46090</v>
      </c>
      <c r="H85" s="14">
        <v>0.75278935185185181</v>
      </c>
      <c r="I85" s="7" t="s">
        <v>10</v>
      </c>
      <c r="J85" s="2" t="str">
        <f t="shared" si="5"/>
        <v>Q3</v>
      </c>
      <c r="K85" s="2" t="str">
        <f t="shared" si="6"/>
        <v>Match</v>
      </c>
      <c r="L85" s="2">
        <f t="shared" si="7"/>
        <v>0.2</v>
      </c>
      <c r="M85" s="2" t="e">
        <f t="shared" si="8"/>
        <v>#N/A</v>
      </c>
      <c r="N85" s="2" t="str">
        <f t="shared" si="9"/>
        <v>Q OK dE&gt;0.8</v>
      </c>
      <c r="O85" s="7">
        <v>13.4</v>
      </c>
      <c r="P85" s="7">
        <v>0.1</v>
      </c>
      <c r="Q85" s="7">
        <v>-2</v>
      </c>
      <c r="R85" s="7">
        <v>-1.53</v>
      </c>
      <c r="S85" s="7">
        <v>0</v>
      </c>
      <c r="T85" s="7">
        <v>-0.2</v>
      </c>
      <c r="U85" s="7">
        <v>0.33</v>
      </c>
      <c r="V85" s="7">
        <v>0.01</v>
      </c>
      <c r="W85" s="7">
        <v>1.56</v>
      </c>
      <c r="X85" s="7" t="s">
        <v>6</v>
      </c>
      <c r="Y85" s="7" t="s">
        <v>9</v>
      </c>
      <c r="Z85" s="2" t="s">
        <v>718</v>
      </c>
      <c r="AA85" s="2" t="s">
        <v>721</v>
      </c>
    </row>
    <row r="86" spans="1:27" x14ac:dyDescent="0.35">
      <c r="A86" s="7" t="s">
        <v>1605</v>
      </c>
      <c r="B86" s="7" t="s">
        <v>807</v>
      </c>
      <c r="C86" s="7" t="str">
        <f>_xlfn.XLOOKUP(B86,'[1]Sheet 1'!$A$2:$A$11107,'[1]Sheet 1'!$D$2:$D$11107,"",0)</f>
        <v>LBI</v>
      </c>
      <c r="D86" s="4">
        <v>0</v>
      </c>
      <c r="E86" s="4" t="s">
        <v>1828</v>
      </c>
      <c r="F86" s="4" t="e">
        <f>_xlfn.XLOOKUP(B86,[2]Sheet2!$E$2:$E$713,[2]Sheet2!$G$2:$G$713)</f>
        <v>#N/A</v>
      </c>
      <c r="G86" s="18">
        <v>46090</v>
      </c>
      <c r="H86" s="14">
        <v>0.770625</v>
      </c>
      <c r="I86" s="7" t="s">
        <v>4</v>
      </c>
      <c r="J86" s="2">
        <f t="shared" si="5"/>
        <v>0</v>
      </c>
      <c r="K86" s="2" t="str">
        <f t="shared" si="6"/>
        <v>Match</v>
      </c>
      <c r="L86" s="2">
        <f t="shared" si="7"/>
        <v>0.3</v>
      </c>
      <c r="M86" s="2" t="e">
        <f t="shared" si="8"/>
        <v>#N/A</v>
      </c>
      <c r="N86" s="2" t="str">
        <f t="shared" si="9"/>
        <v>Quadrant not assigned</v>
      </c>
      <c r="O86" s="7">
        <v>18.5</v>
      </c>
      <c r="P86" s="7">
        <v>1.7</v>
      </c>
      <c r="Q86" s="7">
        <v>-11.5</v>
      </c>
      <c r="R86" s="7">
        <v>-0.55000000000000004</v>
      </c>
      <c r="S86" s="7">
        <v>0</v>
      </c>
      <c r="T86" s="7">
        <v>-0.3</v>
      </c>
      <c r="U86" s="7">
        <v>0.27</v>
      </c>
      <c r="V86" s="7">
        <v>-0.1</v>
      </c>
      <c r="W86" s="7">
        <v>0.62</v>
      </c>
      <c r="X86" s="7" t="s">
        <v>8</v>
      </c>
      <c r="Y86" s="7" t="s">
        <v>15</v>
      </c>
      <c r="Z86" s="2" t="s">
        <v>718</v>
      </c>
      <c r="AA86" s="2" t="s">
        <v>721</v>
      </c>
    </row>
    <row r="87" spans="1:27" x14ac:dyDescent="0.35">
      <c r="A87" s="7" t="s">
        <v>1700</v>
      </c>
      <c r="B87" s="7" t="s">
        <v>735</v>
      </c>
      <c r="C87" s="7" t="str">
        <f>_xlfn.XLOOKUP(B87,'[1]Sheet 1'!$A$2:$A$11107,'[1]Sheet 1'!$D$2:$D$11107,"",0)</f>
        <v>LULU</v>
      </c>
      <c r="D87" s="4">
        <v>0</v>
      </c>
      <c r="E87" s="4" t="s">
        <v>1828</v>
      </c>
      <c r="F87" s="4" t="e">
        <f>_xlfn.XLOOKUP(B87,[2]Sheet2!$E$2:$E$713,[2]Sheet2!$G$2:$G$713)</f>
        <v>#N/A</v>
      </c>
      <c r="G87" s="18">
        <v>46090</v>
      </c>
      <c r="H87" s="14">
        <v>0.91883101851851856</v>
      </c>
      <c r="I87" s="7" t="s">
        <v>4</v>
      </c>
      <c r="J87" s="2" t="str">
        <f t="shared" si="5"/>
        <v>Q4</v>
      </c>
      <c r="K87" s="2" t="str">
        <f t="shared" si="6"/>
        <v>Not Found</v>
      </c>
      <c r="L87" s="2">
        <f t="shared" si="7"/>
        <v>0.22360679774997899</v>
      </c>
      <c r="M87" s="2" t="e">
        <f t="shared" si="8"/>
        <v>#N/A</v>
      </c>
      <c r="N87" s="2" t="str">
        <f t="shared" si="9"/>
        <v>Quadrant not assigned</v>
      </c>
      <c r="O87" s="7">
        <v>23.6</v>
      </c>
      <c r="P87" s="7">
        <v>5</v>
      </c>
      <c r="Q87" s="7">
        <v>3</v>
      </c>
      <c r="R87" s="7">
        <v>-0.08</v>
      </c>
      <c r="S87" s="7">
        <v>0.2</v>
      </c>
      <c r="T87" s="7">
        <v>-0.1</v>
      </c>
      <c r="U87" s="7">
        <v>0.11</v>
      </c>
      <c r="V87" s="7">
        <v>-0.39</v>
      </c>
      <c r="W87" s="7">
        <v>0.42</v>
      </c>
      <c r="X87" s="7" t="s">
        <v>8</v>
      </c>
      <c r="Y87" s="7" t="s">
        <v>7</v>
      </c>
      <c r="Z87" s="2" t="s">
        <v>718</v>
      </c>
      <c r="AA87" s="2" t="s">
        <v>721</v>
      </c>
    </row>
    <row r="88" spans="1:27" x14ac:dyDescent="0.35">
      <c r="A88" s="7" t="s">
        <v>1694</v>
      </c>
      <c r="B88" s="7" t="s">
        <v>739</v>
      </c>
      <c r="C88" s="7" t="str">
        <f>_xlfn.XLOOKUP(B88,'[1]Sheet 1'!$A$2:$A$11107,'[1]Sheet 1'!$D$2:$D$11107,"",0)</f>
        <v>VSS</v>
      </c>
      <c r="D88" s="4" t="str">
        <f>_xlfn.XLOOKUP(A88,[3]Sheet2!$I$2:$I$1623,[3]Sheet2!$D$2:$D$1623,"",0)</f>
        <v>Q3</v>
      </c>
      <c r="E88" s="4" t="s">
        <v>1828</v>
      </c>
      <c r="F88" s="4" t="e">
        <f>_xlfn.XLOOKUP(B88,[2]Sheet2!$E$2:$E$713,[2]Sheet2!$G$2:$G$713)</f>
        <v>#N/A</v>
      </c>
      <c r="G88" s="18">
        <v>46090</v>
      </c>
      <c r="H88" s="14">
        <v>0.99025462962962962</v>
      </c>
      <c r="I88" s="7" t="s">
        <v>10</v>
      </c>
      <c r="J88" s="2" t="str">
        <f t="shared" si="5"/>
        <v>Q3</v>
      </c>
      <c r="K88" s="2" t="str">
        <f t="shared" si="6"/>
        <v>Match</v>
      </c>
      <c r="L88" s="2">
        <f t="shared" si="7"/>
        <v>0.3</v>
      </c>
      <c r="M88" s="2" t="e">
        <f t="shared" si="8"/>
        <v>#N/A</v>
      </c>
      <c r="N88" s="2" t="str">
        <f t="shared" si="9"/>
        <v>Q OK dE&lt;=0.8</v>
      </c>
      <c r="O88" s="7">
        <v>17.399999999999999</v>
      </c>
      <c r="P88" s="7">
        <v>-0.1</v>
      </c>
      <c r="Q88" s="7">
        <v>-2.2000000000000002</v>
      </c>
      <c r="R88" s="7">
        <v>0.2</v>
      </c>
      <c r="S88" s="7">
        <v>0</v>
      </c>
      <c r="T88" s="7">
        <v>0.3</v>
      </c>
      <c r="U88" s="7">
        <v>-0.46</v>
      </c>
      <c r="V88" s="7">
        <v>-0.14000000000000001</v>
      </c>
      <c r="W88" s="7">
        <v>0.53</v>
      </c>
      <c r="X88" s="7" t="s">
        <v>8</v>
      </c>
      <c r="Y88" s="7" t="s">
        <v>15</v>
      </c>
      <c r="Z88" s="2" t="s">
        <v>718</v>
      </c>
      <c r="AA88" s="2" t="s">
        <v>721</v>
      </c>
    </row>
    <row r="89" spans="1:27" x14ac:dyDescent="0.35">
      <c r="A89" s="7" t="s">
        <v>1698</v>
      </c>
      <c r="B89" s="7" t="s">
        <v>801</v>
      </c>
      <c r="C89" s="7" t="str">
        <f>_xlfn.XLOOKUP(B89,'[1]Sheet 1'!$A$2:$A$11107,'[1]Sheet 1'!$D$2:$D$11107,"",0)</f>
        <v>LULU</v>
      </c>
      <c r="D89" s="4" t="str">
        <f>_xlfn.XLOOKUP(A89,[3]Sheet2!$I$2:$I$1623,[3]Sheet2!$D$2:$D$1623,"",0)</f>
        <v>Q2</v>
      </c>
      <c r="E89" s="4" t="s">
        <v>1827</v>
      </c>
      <c r="F89" s="4" t="e">
        <f>_xlfn.XLOOKUP(B89,[2]Sheet2!$E$2:$E$713,[2]Sheet2!$G$2:$G$713)</f>
        <v>#N/A</v>
      </c>
      <c r="G89" s="18">
        <v>46090</v>
      </c>
      <c r="H89" s="14">
        <v>0.5435416666666667</v>
      </c>
      <c r="I89" s="7" t="s">
        <v>4</v>
      </c>
      <c r="J89" s="2" t="str">
        <f t="shared" si="5"/>
        <v>Q2</v>
      </c>
      <c r="K89" s="2" t="str">
        <f t="shared" si="6"/>
        <v>Match</v>
      </c>
      <c r="L89" s="2">
        <f t="shared" si="7"/>
        <v>0.3</v>
      </c>
      <c r="M89" s="2" t="e">
        <f t="shared" si="8"/>
        <v>#N/A</v>
      </c>
      <c r="N89" s="2" t="str">
        <f t="shared" si="9"/>
        <v>Q OK dE&gt;0.8</v>
      </c>
      <c r="O89" s="7">
        <v>21.6</v>
      </c>
      <c r="P89" s="7">
        <v>-0.7</v>
      </c>
      <c r="Q89" s="7">
        <v>-8.1999999999999993</v>
      </c>
      <c r="R89" s="7">
        <v>-0.85</v>
      </c>
      <c r="S89" s="7">
        <v>0</v>
      </c>
      <c r="T89" s="7">
        <v>-0.3</v>
      </c>
      <c r="U89" s="7">
        <v>0.31</v>
      </c>
      <c r="V89" s="7">
        <v>0.12</v>
      </c>
      <c r="W89" s="7">
        <v>0.91</v>
      </c>
      <c r="X89" s="7" t="s">
        <v>13</v>
      </c>
      <c r="Y89" s="7" t="s">
        <v>9</v>
      </c>
      <c r="Z89" s="2" t="s">
        <v>718</v>
      </c>
      <c r="AA89" s="2" t="s">
        <v>721</v>
      </c>
    </row>
    <row r="90" spans="1:27" x14ac:dyDescent="0.35">
      <c r="A90" s="7" t="s">
        <v>1545</v>
      </c>
      <c r="B90" s="7" t="s">
        <v>803</v>
      </c>
      <c r="C90" s="7" t="str">
        <f>_xlfn.XLOOKUP(B90,'[1]Sheet 1'!$A$2:$A$11107,'[1]Sheet 1'!$D$2:$D$11107,"",0)</f>
        <v>NIK</v>
      </c>
      <c r="D90" s="4" t="str">
        <f>_xlfn.XLOOKUP(A90,[3]Sheet2!$I$2:$I$1623,[3]Sheet2!$D$2:$D$1623,"",0)</f>
        <v>Q2</v>
      </c>
      <c r="E90" s="4" t="s">
        <v>1828</v>
      </c>
      <c r="F90" s="4" t="e">
        <f>_xlfn.XLOOKUP(B90,[2]Sheet2!$E$2:$E$713,[2]Sheet2!$G$2:$G$713)</f>
        <v>#N/A</v>
      </c>
      <c r="G90" s="18">
        <v>46090</v>
      </c>
      <c r="H90" s="14">
        <v>0.67172453703703705</v>
      </c>
      <c r="I90" s="7" t="s">
        <v>4</v>
      </c>
      <c r="J90" s="2" t="str">
        <f t="shared" si="5"/>
        <v>Q2</v>
      </c>
      <c r="K90" s="2" t="str">
        <f t="shared" si="6"/>
        <v>Match</v>
      </c>
      <c r="L90" s="2">
        <f t="shared" si="7"/>
        <v>0.1</v>
      </c>
      <c r="M90" s="2" t="e">
        <f t="shared" si="8"/>
        <v>#N/A</v>
      </c>
      <c r="N90" s="2" t="str">
        <f t="shared" si="9"/>
        <v>Q OK dE&gt;0.8</v>
      </c>
      <c r="O90" s="7">
        <v>17.5</v>
      </c>
      <c r="P90" s="7">
        <v>-0.8</v>
      </c>
      <c r="Q90" s="7">
        <v>-1.8</v>
      </c>
      <c r="R90" s="7">
        <v>-0.82</v>
      </c>
      <c r="S90" s="7">
        <v>0</v>
      </c>
      <c r="T90" s="7">
        <v>-0.1</v>
      </c>
      <c r="U90" s="7">
        <v>0.22</v>
      </c>
      <c r="V90" s="7">
        <v>0.13</v>
      </c>
      <c r="W90" s="7">
        <v>0.86</v>
      </c>
      <c r="X90" s="7" t="s">
        <v>13</v>
      </c>
      <c r="Y90" s="7" t="s">
        <v>9</v>
      </c>
      <c r="Z90" s="2" t="s">
        <v>718</v>
      </c>
      <c r="AA90" s="2" t="s">
        <v>721</v>
      </c>
    </row>
    <row r="91" spans="1:27" x14ac:dyDescent="0.35">
      <c r="A91" s="7" t="s">
        <v>1676</v>
      </c>
      <c r="B91" s="7" t="s">
        <v>734</v>
      </c>
      <c r="C91" s="7" t="str">
        <f>_xlfn.XLOOKUP(B91,'[1]Sheet 1'!$A$2:$A$11107,'[1]Sheet 1'!$D$2:$D$11107,"",0)</f>
        <v>PINK</v>
      </c>
      <c r="D91" s="4" t="str">
        <f>_xlfn.XLOOKUP(A91,[3]Sheet2!$I$2:$I$1623,[3]Sheet2!$D$2:$D$1623,"",0)</f>
        <v>Q2</v>
      </c>
      <c r="E91" s="4" t="s">
        <v>1828</v>
      </c>
      <c r="F91" s="4" t="e">
        <f>_xlfn.XLOOKUP(B91,[2]Sheet2!$E$2:$E$713,[2]Sheet2!$G$2:$G$713)</f>
        <v>#N/A</v>
      </c>
      <c r="G91" s="18">
        <v>46090</v>
      </c>
      <c r="H91" s="14">
        <v>0.48381944444444447</v>
      </c>
      <c r="I91" s="7" t="s">
        <v>10</v>
      </c>
      <c r="J91" s="2" t="str">
        <f t="shared" si="5"/>
        <v>Q2</v>
      </c>
      <c r="K91" s="2" t="str">
        <f t="shared" si="6"/>
        <v>Match</v>
      </c>
      <c r="L91" s="2">
        <f t="shared" si="7"/>
        <v>0.22360679774997899</v>
      </c>
      <c r="M91" s="2" t="e">
        <f t="shared" si="8"/>
        <v>#N/A</v>
      </c>
      <c r="N91" s="2" t="str">
        <f t="shared" si="9"/>
        <v>Q OK dE&lt;=0.8</v>
      </c>
      <c r="O91" s="7">
        <v>26.8</v>
      </c>
      <c r="P91" s="7">
        <v>17.3</v>
      </c>
      <c r="Q91" s="7">
        <v>3.6</v>
      </c>
      <c r="R91" s="7">
        <v>7.0000000000000007E-2</v>
      </c>
      <c r="S91" s="7">
        <v>-0.2</v>
      </c>
      <c r="T91" s="7">
        <v>0.1</v>
      </c>
      <c r="U91" s="7">
        <v>-0.17</v>
      </c>
      <c r="V91" s="7">
        <v>0.17</v>
      </c>
      <c r="W91" s="7">
        <v>0.25</v>
      </c>
      <c r="X91" s="7" t="s">
        <v>8</v>
      </c>
      <c r="Y91" s="7" t="s">
        <v>12</v>
      </c>
      <c r="Z91" s="2" t="s">
        <v>718</v>
      </c>
      <c r="AA91" s="2" t="s">
        <v>721</v>
      </c>
    </row>
    <row r="92" spans="1:27" x14ac:dyDescent="0.35">
      <c r="A92" s="7" t="s">
        <v>1676</v>
      </c>
      <c r="B92" s="7" t="s">
        <v>737</v>
      </c>
      <c r="C92" s="7" t="str">
        <f>_xlfn.XLOOKUP(B92,'[1]Sheet 1'!$A$2:$A$11107,'[1]Sheet 1'!$D$2:$D$11107,"",0)</f>
        <v>PINK</v>
      </c>
      <c r="D92" s="4" t="str">
        <f>_xlfn.XLOOKUP(A92,[3]Sheet2!$I$2:$I$1623,[3]Sheet2!$D$2:$D$1623,"",0)</f>
        <v>Q2</v>
      </c>
      <c r="E92" s="4" t="s">
        <v>1828</v>
      </c>
      <c r="F92" s="4" t="e">
        <f>_xlfn.XLOOKUP(B92,[2]Sheet2!$E$2:$E$713,[2]Sheet2!$G$2:$G$713)</f>
        <v>#N/A</v>
      </c>
      <c r="G92" s="18">
        <v>46090</v>
      </c>
      <c r="H92" s="14">
        <v>0.96091435185185181</v>
      </c>
      <c r="I92" s="7" t="s">
        <v>10</v>
      </c>
      <c r="J92" s="2" t="str">
        <f t="shared" si="5"/>
        <v>Q4</v>
      </c>
      <c r="K92" s="2" t="str">
        <f t="shared" si="6"/>
        <v>Not Match</v>
      </c>
      <c r="L92" s="2">
        <f t="shared" si="7"/>
        <v>0.44721359549995798</v>
      </c>
      <c r="M92" s="2" t="e">
        <f t="shared" si="8"/>
        <v>#N/A</v>
      </c>
      <c r="N92" s="2" t="str">
        <f t="shared" si="9"/>
        <v>Q NOT OK dE&lt;=0.8</v>
      </c>
      <c r="O92" s="7">
        <v>27.3</v>
      </c>
      <c r="P92" s="7">
        <v>18.100000000000001</v>
      </c>
      <c r="Q92" s="7">
        <v>3.3</v>
      </c>
      <c r="R92" s="7">
        <v>0.45</v>
      </c>
      <c r="S92" s="7">
        <v>0.4</v>
      </c>
      <c r="T92" s="7">
        <v>-0.2</v>
      </c>
      <c r="U92" s="7">
        <v>0.28000000000000003</v>
      </c>
      <c r="V92" s="7">
        <v>-0.34</v>
      </c>
      <c r="W92" s="7">
        <v>0.63</v>
      </c>
      <c r="X92" s="7" t="s">
        <v>8</v>
      </c>
      <c r="Y92" s="7" t="s">
        <v>7</v>
      </c>
      <c r="Z92" s="2" t="s">
        <v>718</v>
      </c>
      <c r="AA92" s="2" t="s">
        <v>721</v>
      </c>
    </row>
    <row r="93" spans="1:27" x14ac:dyDescent="0.35">
      <c r="A93" s="7" t="s">
        <v>1676</v>
      </c>
      <c r="B93" s="7" t="s">
        <v>712</v>
      </c>
      <c r="C93" s="7" t="str">
        <f>_xlfn.XLOOKUP(B93,'[1]Sheet 1'!$A$2:$A$11107,'[1]Sheet 1'!$D$2:$D$11107,"",0)</f>
        <v>PINK</v>
      </c>
      <c r="D93" s="4" t="str">
        <f>_xlfn.XLOOKUP(A93,[3]Sheet2!$I$2:$I$1623,[3]Sheet2!$D$2:$D$1623,"",0)</f>
        <v>Q2</v>
      </c>
      <c r="E93" s="4" t="s">
        <v>1827</v>
      </c>
      <c r="F93" s="4" t="e">
        <f>_xlfn.XLOOKUP(B93,[2]Sheet2!$E$2:$E$713,[2]Sheet2!$G$2:$G$713)</f>
        <v>#N/A</v>
      </c>
      <c r="G93" s="18">
        <v>46090</v>
      </c>
      <c r="H93" s="14">
        <v>0.74385416666666671</v>
      </c>
      <c r="I93" s="7" t="s">
        <v>10</v>
      </c>
      <c r="J93" s="2" t="str">
        <f t="shared" si="5"/>
        <v>Q2</v>
      </c>
      <c r="K93" s="2" t="str">
        <f t="shared" si="6"/>
        <v>Match</v>
      </c>
      <c r="L93" s="2">
        <f t="shared" si="7"/>
        <v>0.8</v>
      </c>
      <c r="M93" s="2" t="e">
        <f t="shared" si="8"/>
        <v>#N/A</v>
      </c>
      <c r="N93" s="2" t="str">
        <f t="shared" si="9"/>
        <v>Q OK dE&lt;=0.8</v>
      </c>
      <c r="O93" s="7">
        <v>26.4</v>
      </c>
      <c r="P93" s="7">
        <v>18.5</v>
      </c>
      <c r="Q93" s="7">
        <v>3.6</v>
      </c>
      <c r="R93" s="7">
        <v>-0.19</v>
      </c>
      <c r="S93" s="7">
        <v>0.8</v>
      </c>
      <c r="T93" s="20">
        <v>0</v>
      </c>
      <c r="U93" s="7">
        <v>0.51</v>
      </c>
      <c r="V93" s="7">
        <v>-0.13</v>
      </c>
      <c r="W93" s="7">
        <v>0.56000000000000005</v>
      </c>
      <c r="X93" s="7" t="s">
        <v>8</v>
      </c>
      <c r="Y93" s="7" t="s">
        <v>7</v>
      </c>
      <c r="Z93" s="2" t="s">
        <v>718</v>
      </c>
      <c r="AA93" s="2" t="s">
        <v>721</v>
      </c>
    </row>
    <row r="94" spans="1:27" x14ac:dyDescent="0.35">
      <c r="A94" s="7" t="s">
        <v>1676</v>
      </c>
      <c r="B94" s="7" t="s">
        <v>802</v>
      </c>
      <c r="C94" s="7" t="str">
        <f>_xlfn.XLOOKUP(B94,'[1]Sheet 1'!$A$2:$A$11107,'[1]Sheet 1'!$D$2:$D$11107,"",0)</f>
        <v>PINK</v>
      </c>
      <c r="D94" s="4" t="str">
        <f>_xlfn.XLOOKUP(A94,[3]Sheet2!$I$2:$I$1623,[3]Sheet2!$D$2:$D$1623,"",0)</f>
        <v>Q2</v>
      </c>
      <c r="E94" s="4" t="s">
        <v>1827</v>
      </c>
      <c r="F94" s="4" t="e">
        <f>_xlfn.XLOOKUP(B94,[2]Sheet2!$E$2:$E$713,[2]Sheet2!$G$2:$G$713)</f>
        <v>#N/A</v>
      </c>
      <c r="G94" s="18">
        <v>46090</v>
      </c>
      <c r="H94" s="14">
        <v>0.54939814814814814</v>
      </c>
      <c r="I94" s="7" t="s">
        <v>10</v>
      </c>
      <c r="J94" s="2" t="str">
        <f t="shared" si="5"/>
        <v>Q3</v>
      </c>
      <c r="K94" s="2" t="str">
        <f t="shared" si="6"/>
        <v>Not Match</v>
      </c>
      <c r="L94" s="2">
        <f t="shared" si="7"/>
        <v>1.9235384061671343</v>
      </c>
      <c r="M94" s="2" t="e">
        <f t="shared" si="8"/>
        <v>#N/A</v>
      </c>
      <c r="N94" s="2" t="str">
        <f t="shared" si="9"/>
        <v>Q NOT OK dE&gt;0.8</v>
      </c>
      <c r="O94" s="7">
        <v>26.9</v>
      </c>
      <c r="P94" s="7">
        <v>17.3</v>
      </c>
      <c r="Q94" s="7">
        <v>1.5</v>
      </c>
      <c r="R94" s="7">
        <v>0.16</v>
      </c>
      <c r="S94" s="7">
        <v>-0.3</v>
      </c>
      <c r="T94" s="7">
        <v>-1.9</v>
      </c>
      <c r="U94" s="7">
        <v>-0.41</v>
      </c>
      <c r="V94" s="7">
        <v>-1.91</v>
      </c>
      <c r="W94" s="7">
        <v>1.96</v>
      </c>
      <c r="X94" s="7" t="s">
        <v>6</v>
      </c>
      <c r="Y94" s="7" t="s">
        <v>7</v>
      </c>
      <c r="Z94" s="2" t="s">
        <v>718</v>
      </c>
      <c r="AA94" s="2" t="s">
        <v>721</v>
      </c>
    </row>
    <row r="95" spans="1:27" x14ac:dyDescent="0.35">
      <c r="A95" s="7" t="s">
        <v>1676</v>
      </c>
      <c r="B95" s="7" t="s">
        <v>805</v>
      </c>
      <c r="C95" s="7" t="str">
        <f>_xlfn.XLOOKUP(B95,'[1]Sheet 1'!$A$2:$A$11107,'[1]Sheet 1'!$D$2:$D$11107,"",0)</f>
        <v>PINK</v>
      </c>
      <c r="D95" s="4" t="str">
        <f>_xlfn.XLOOKUP(A95,[3]Sheet2!$I$2:$I$1623,[3]Sheet2!$D$2:$D$1623,"",0)</f>
        <v>Q2</v>
      </c>
      <c r="E95" s="4" t="s">
        <v>1828</v>
      </c>
      <c r="F95" s="4" t="e">
        <f>_xlfn.XLOOKUP(B95,[2]Sheet2!$E$2:$E$713,[2]Sheet2!$G$2:$G$713)</f>
        <v>#N/A</v>
      </c>
      <c r="G95" s="18">
        <v>46090</v>
      </c>
      <c r="H95" s="14">
        <v>0.75010416666666668</v>
      </c>
      <c r="I95" s="7" t="s">
        <v>10</v>
      </c>
      <c r="J95" s="2" t="str">
        <f t="shared" si="5"/>
        <v>Q4</v>
      </c>
      <c r="K95" s="2" t="str">
        <f t="shared" si="6"/>
        <v>Not Match</v>
      </c>
      <c r="L95" s="2">
        <f t="shared" si="7"/>
        <v>0.76157731058639078</v>
      </c>
      <c r="M95" s="2" t="e">
        <f t="shared" si="8"/>
        <v>#N/A</v>
      </c>
      <c r="N95" s="2" t="str">
        <f t="shared" si="9"/>
        <v>Q NOT OK dE&lt;=0.8</v>
      </c>
      <c r="O95" s="7">
        <v>26.7</v>
      </c>
      <c r="P95" s="7">
        <v>18.399999999999999</v>
      </c>
      <c r="Q95" s="7">
        <v>3.2</v>
      </c>
      <c r="R95" s="7">
        <v>-0.02</v>
      </c>
      <c r="S95" s="7">
        <v>0.7</v>
      </c>
      <c r="T95" s="7">
        <v>-0.3</v>
      </c>
      <c r="U95" s="7">
        <v>0.41</v>
      </c>
      <c r="V95" s="7">
        <v>-0.49</v>
      </c>
      <c r="W95" s="7">
        <v>0.64</v>
      </c>
      <c r="X95" s="7" t="s">
        <v>8</v>
      </c>
      <c r="Y95" s="7" t="s">
        <v>7</v>
      </c>
      <c r="Z95" s="2" t="s">
        <v>718</v>
      </c>
      <c r="AA95" s="2" t="s">
        <v>721</v>
      </c>
    </row>
    <row r="96" spans="1:27" x14ac:dyDescent="0.35">
      <c r="A96" s="7" t="s">
        <v>1704</v>
      </c>
      <c r="B96" s="7" t="s">
        <v>811</v>
      </c>
      <c r="C96" s="7" t="str">
        <f>_xlfn.XLOOKUP(B96,'[1]Sheet 1'!$A$2:$A$11107,'[1]Sheet 1'!$D$2:$D$11107,"",0)</f>
        <v>PINK</v>
      </c>
      <c r="D96" s="4" t="str">
        <f>_xlfn.XLOOKUP(A96,[3]Sheet2!$I$2:$I$1623,[3]Sheet2!$D$2:$D$1623,"",0)</f>
        <v>Q1</v>
      </c>
      <c r="E96" s="4" t="s">
        <v>1827</v>
      </c>
      <c r="F96" s="4" t="e">
        <f>_xlfn.XLOOKUP(B96,[2]Sheet2!$E$2:$E$713,[2]Sheet2!$G$2:$G$713)</f>
        <v>#N/A</v>
      </c>
      <c r="G96" s="18">
        <v>46091</v>
      </c>
      <c r="H96" s="14">
        <v>0.64223379629629629</v>
      </c>
      <c r="I96" s="7" t="s">
        <v>10</v>
      </c>
      <c r="J96" s="2" t="str">
        <f t="shared" si="5"/>
        <v>Q3</v>
      </c>
      <c r="K96" s="2" t="str">
        <f t="shared" si="6"/>
        <v>Not Match</v>
      </c>
      <c r="L96" s="2">
        <f t="shared" si="7"/>
        <v>0.70710678118654757</v>
      </c>
      <c r="M96" s="2" t="e">
        <f t="shared" si="8"/>
        <v>#N/A</v>
      </c>
      <c r="N96" s="2" t="str">
        <f t="shared" si="9"/>
        <v>Q NOT OK dE&lt;=0.8</v>
      </c>
      <c r="O96" s="7">
        <v>40.9</v>
      </c>
      <c r="P96" s="7">
        <v>-27.2</v>
      </c>
      <c r="Q96" s="7">
        <v>-20.6</v>
      </c>
      <c r="R96" s="7">
        <v>-0.35</v>
      </c>
      <c r="S96" s="7">
        <v>-0.5</v>
      </c>
      <c r="T96" s="7">
        <v>-0.5</v>
      </c>
      <c r="U96" s="7">
        <v>0.35</v>
      </c>
      <c r="V96" s="7">
        <v>0.04</v>
      </c>
      <c r="W96" s="7">
        <v>0.5</v>
      </c>
      <c r="X96" s="7" t="s">
        <v>8</v>
      </c>
      <c r="Y96" s="7" t="s">
        <v>7</v>
      </c>
      <c r="Z96" s="2" t="s">
        <v>718</v>
      </c>
      <c r="AA96" s="2" t="s">
        <v>721</v>
      </c>
    </row>
    <row r="97" spans="1:27" x14ac:dyDescent="0.35">
      <c r="A97" s="7" t="s">
        <v>1676</v>
      </c>
      <c r="B97" s="7" t="s">
        <v>663</v>
      </c>
      <c r="C97" s="7" t="str">
        <f>_xlfn.XLOOKUP(B97,'[1]Sheet 1'!$A$2:$A$11107,'[1]Sheet 1'!$D$2:$D$11107,"",0)</f>
        <v>PINK</v>
      </c>
      <c r="D97" s="4" t="str">
        <f>_xlfn.XLOOKUP(A97,[3]Sheet2!$I$2:$I$1623,[3]Sheet2!$D$2:$D$1623,"",0)</f>
        <v>Q2</v>
      </c>
      <c r="E97" s="4" t="s">
        <v>1827</v>
      </c>
      <c r="F97" s="4" t="e">
        <f>_xlfn.XLOOKUP(B97,[2]Sheet2!$E$2:$E$713,[2]Sheet2!$G$2:$G$713)</f>
        <v>#N/A</v>
      </c>
      <c r="G97" s="18">
        <v>46091</v>
      </c>
      <c r="H97" s="14">
        <v>0.19237268518518519</v>
      </c>
      <c r="I97" s="7" t="s">
        <v>10</v>
      </c>
      <c r="J97" s="2" t="str">
        <f t="shared" si="5"/>
        <v>Q3</v>
      </c>
      <c r="K97" s="2" t="str">
        <f t="shared" si="6"/>
        <v>Not Match</v>
      </c>
      <c r="L97" s="2">
        <f t="shared" si="7"/>
        <v>0.86023252670426265</v>
      </c>
      <c r="M97" s="2" t="e">
        <f t="shared" si="8"/>
        <v>#N/A</v>
      </c>
      <c r="N97" s="2" t="str">
        <f t="shared" si="9"/>
        <v>Q NOT OK dE&gt;0.8</v>
      </c>
      <c r="O97" s="7">
        <v>25.5</v>
      </c>
      <c r="P97" s="7">
        <v>17.100000000000001</v>
      </c>
      <c r="Q97" s="7">
        <v>2.8</v>
      </c>
      <c r="R97" s="7">
        <v>-0.8</v>
      </c>
      <c r="S97" s="7">
        <v>-0.5</v>
      </c>
      <c r="T97" s="7">
        <v>-0.7</v>
      </c>
      <c r="U97" s="7">
        <v>-0.4</v>
      </c>
      <c r="V97" s="7">
        <v>-0.63</v>
      </c>
      <c r="W97" s="7">
        <v>1.1000000000000001</v>
      </c>
      <c r="X97" s="7" t="s">
        <v>6</v>
      </c>
      <c r="Y97" s="7" t="s">
        <v>7</v>
      </c>
      <c r="Z97" s="2" t="s">
        <v>718</v>
      </c>
      <c r="AA97" s="2" t="s">
        <v>721</v>
      </c>
    </row>
    <row r="98" spans="1:27" x14ac:dyDescent="0.35">
      <c r="A98" s="7" t="s">
        <v>1653</v>
      </c>
      <c r="B98" s="7" t="s">
        <v>818</v>
      </c>
      <c r="C98" s="7" t="str">
        <f>_xlfn.XLOOKUP(B98,'[1]Sheet 1'!$A$2:$A$11107,'[1]Sheet 1'!$D$2:$D$11107,"",0)</f>
        <v>NEX</v>
      </c>
      <c r="D98" s="4">
        <v>0</v>
      </c>
      <c r="E98" s="4" t="s">
        <v>1828</v>
      </c>
      <c r="F98" s="4" t="e">
        <f>_xlfn.XLOOKUP(B98,[2]Sheet2!$E$2:$E$713,[2]Sheet2!$G$2:$G$713)</f>
        <v>#N/A</v>
      </c>
      <c r="G98" s="18">
        <v>46091</v>
      </c>
      <c r="H98" s="14">
        <v>0.77774305555555556</v>
      </c>
      <c r="I98" s="7" t="s">
        <v>4</v>
      </c>
      <c r="J98" s="2" t="str">
        <f t="shared" si="5"/>
        <v>Q3</v>
      </c>
      <c r="K98" s="2" t="str">
        <f t="shared" si="6"/>
        <v>Not Found</v>
      </c>
      <c r="L98" s="2">
        <f t="shared" si="7"/>
        <v>0.42426406871192851</v>
      </c>
      <c r="M98" s="2" t="e">
        <f t="shared" si="8"/>
        <v>#N/A</v>
      </c>
      <c r="N98" s="2" t="str">
        <f t="shared" si="9"/>
        <v>Quadrant not assigned</v>
      </c>
      <c r="O98" s="7">
        <v>22.5</v>
      </c>
      <c r="P98" s="7">
        <v>5.2</v>
      </c>
      <c r="Q98" s="7">
        <v>4.5999999999999996</v>
      </c>
      <c r="R98" s="7">
        <v>0.15</v>
      </c>
      <c r="S98" s="7">
        <v>-0.3</v>
      </c>
      <c r="T98" s="7">
        <v>-0.3</v>
      </c>
      <c r="U98" s="7">
        <v>-0.42</v>
      </c>
      <c r="V98" s="7">
        <v>-0.02</v>
      </c>
      <c r="W98" s="7">
        <v>0.44</v>
      </c>
      <c r="X98" s="7" t="s">
        <v>8</v>
      </c>
      <c r="Y98" s="7" t="s">
        <v>9</v>
      </c>
      <c r="Z98" s="2" t="s">
        <v>718</v>
      </c>
      <c r="AA98" s="2" t="s">
        <v>721</v>
      </c>
    </row>
    <row r="99" spans="1:27" x14ac:dyDescent="0.35">
      <c r="A99" s="7" t="s">
        <v>1703</v>
      </c>
      <c r="B99" s="7" t="s">
        <v>746</v>
      </c>
      <c r="C99" s="7" t="str">
        <f>_xlfn.XLOOKUP(B99,'[1]Sheet 1'!$A$2:$A$11107,'[1]Sheet 1'!$D$2:$D$11107,"",0)</f>
        <v>AMA</v>
      </c>
      <c r="D99" s="4" t="str">
        <f>_xlfn.XLOOKUP(A99,[3]Sheet2!$I$2:$I$1623,[3]Sheet2!$D$2:$D$1623,"",0)</f>
        <v>Q1</v>
      </c>
      <c r="E99" s="4" t="s">
        <v>1828</v>
      </c>
      <c r="F99" s="4">
        <f>_xlfn.XLOOKUP(B99,[2]Sheet2!$E$2:$E$713,[2]Sheet2!$G$2:$G$713)</f>
        <v>0.8</v>
      </c>
      <c r="G99" s="18">
        <v>46091</v>
      </c>
      <c r="H99" s="14">
        <v>0.27431712962962962</v>
      </c>
      <c r="I99" s="7" t="s">
        <v>4</v>
      </c>
      <c r="J99" s="2" t="str">
        <f t="shared" si="5"/>
        <v>Q1</v>
      </c>
      <c r="K99" s="2" t="str">
        <f t="shared" si="6"/>
        <v>Match</v>
      </c>
      <c r="L99" s="2">
        <f t="shared" si="7"/>
        <v>0.14142135623730953</v>
      </c>
      <c r="M99" s="2" t="str">
        <f t="shared" si="8"/>
        <v>Within Range</v>
      </c>
      <c r="N99" s="2" t="str">
        <f t="shared" si="9"/>
        <v>Q OK dE&lt;=0.8</v>
      </c>
      <c r="O99" s="7">
        <v>19.3</v>
      </c>
      <c r="P99" s="7">
        <v>-0.1</v>
      </c>
      <c r="Q99" s="7">
        <v>-0.1</v>
      </c>
      <c r="R99" s="7">
        <v>-0.14000000000000001</v>
      </c>
      <c r="S99" s="7">
        <v>0.1</v>
      </c>
      <c r="T99" s="7">
        <v>0.1</v>
      </c>
      <c r="U99" s="7">
        <v>-0.28999999999999998</v>
      </c>
      <c r="V99" s="7">
        <v>0.05</v>
      </c>
      <c r="W99" s="7">
        <v>0.33</v>
      </c>
      <c r="X99" s="7" t="s">
        <v>8</v>
      </c>
      <c r="Y99" s="7" t="s">
        <v>7</v>
      </c>
      <c r="Z99" s="2" t="s">
        <v>718</v>
      </c>
      <c r="AA99" s="2" t="s">
        <v>721</v>
      </c>
    </row>
    <row r="100" spans="1:27" x14ac:dyDescent="0.35">
      <c r="A100" s="7" t="s">
        <v>1702</v>
      </c>
      <c r="B100" s="7" t="s">
        <v>658</v>
      </c>
      <c r="C100" s="7" t="str">
        <f>_xlfn.XLOOKUP(B100,'[1]Sheet 1'!$A$2:$A$11107,'[1]Sheet 1'!$D$2:$D$11107,"",0)</f>
        <v>LULU</v>
      </c>
      <c r="D100" s="4" t="str">
        <f>_xlfn.XLOOKUP(A100,[3]Sheet2!$I$2:$I$1623,[3]Sheet2!$D$2:$D$1623,"",0)</f>
        <v>Q2</v>
      </c>
      <c r="E100" s="4" t="s">
        <v>1827</v>
      </c>
      <c r="F100" s="4" t="e">
        <f>_xlfn.XLOOKUP(B100,[2]Sheet2!$E$2:$E$713,[2]Sheet2!$G$2:$G$713)</f>
        <v>#N/A</v>
      </c>
      <c r="G100" s="18">
        <v>46091</v>
      </c>
      <c r="H100" s="14">
        <v>0.24577546296296296</v>
      </c>
      <c r="I100" s="7" t="s">
        <v>4</v>
      </c>
      <c r="J100" s="2" t="str">
        <f t="shared" si="5"/>
        <v>Q4</v>
      </c>
      <c r="K100" s="2" t="str">
        <f t="shared" si="6"/>
        <v>Not Match</v>
      </c>
      <c r="L100" s="2">
        <f t="shared" si="7"/>
        <v>2.1540659228538019</v>
      </c>
      <c r="M100" s="2" t="e">
        <f t="shared" si="8"/>
        <v>#N/A</v>
      </c>
      <c r="N100" s="2" t="str">
        <f t="shared" si="9"/>
        <v>Q NOT OK dE&gt;0.8</v>
      </c>
      <c r="O100" s="7">
        <v>23.3</v>
      </c>
      <c r="P100" s="7">
        <v>7.1</v>
      </c>
      <c r="Q100" s="7">
        <v>-29.6</v>
      </c>
      <c r="R100" s="7">
        <v>0.81</v>
      </c>
      <c r="S100" s="7">
        <v>0.8</v>
      </c>
      <c r="T100" s="7">
        <v>-2</v>
      </c>
      <c r="U100" s="7">
        <v>1.1399999999999999</v>
      </c>
      <c r="V100" s="7">
        <v>0.31</v>
      </c>
      <c r="W100" s="7">
        <v>1.43</v>
      </c>
      <c r="X100" s="7" t="s">
        <v>6</v>
      </c>
      <c r="Y100" s="7" t="s">
        <v>9</v>
      </c>
      <c r="Z100" s="2" t="s">
        <v>718</v>
      </c>
      <c r="AA100" s="2" t="s">
        <v>721</v>
      </c>
    </row>
    <row r="101" spans="1:27" x14ac:dyDescent="0.35">
      <c r="A101" s="7" t="s">
        <v>1540</v>
      </c>
      <c r="B101" s="7" t="s">
        <v>743</v>
      </c>
      <c r="C101" s="7" t="str">
        <f>_xlfn.XLOOKUP(B101,'[1]Sheet 1'!$A$2:$A$11107,'[1]Sheet 1'!$D$2:$D$11107,"",0)</f>
        <v>VSS</v>
      </c>
      <c r="D101" s="4" t="str">
        <f>_xlfn.XLOOKUP(A101,[3]Sheet2!$I$2:$I$1623,[3]Sheet2!$D$2:$D$1623,"",0)</f>
        <v>Q3</v>
      </c>
      <c r="E101" s="4" t="s">
        <v>1828</v>
      </c>
      <c r="F101" s="4" t="e">
        <f>_xlfn.XLOOKUP(B101,[2]Sheet2!$E$2:$E$713,[2]Sheet2!$G$2:$G$713)</f>
        <v>#N/A</v>
      </c>
      <c r="G101" s="18">
        <v>46091</v>
      </c>
      <c r="H101" s="14">
        <v>0.25101851851851853</v>
      </c>
      <c r="I101" s="7" t="s">
        <v>10</v>
      </c>
      <c r="J101" s="2" t="str">
        <f t="shared" si="5"/>
        <v>Q1</v>
      </c>
      <c r="K101" s="2" t="str">
        <f t="shared" si="6"/>
        <v>Not Match</v>
      </c>
      <c r="L101" s="2">
        <f t="shared" si="7"/>
        <v>0.5</v>
      </c>
      <c r="M101" s="2" t="e">
        <f t="shared" si="8"/>
        <v>#N/A</v>
      </c>
      <c r="N101" s="2" t="str">
        <f t="shared" si="9"/>
        <v>Q NOT OK dE&gt;0.8</v>
      </c>
      <c r="O101" s="7">
        <v>14.1</v>
      </c>
      <c r="P101" s="7">
        <v>0.8</v>
      </c>
      <c r="Q101" s="7">
        <v>-0.8</v>
      </c>
      <c r="R101" s="7">
        <v>-0.35</v>
      </c>
      <c r="S101" s="7">
        <v>0.3</v>
      </c>
      <c r="T101" s="7">
        <v>0.4</v>
      </c>
      <c r="U101" s="7">
        <v>-0.22</v>
      </c>
      <c r="V101" s="7">
        <v>0.72</v>
      </c>
      <c r="W101" s="7">
        <v>0.83</v>
      </c>
      <c r="X101" s="7" t="s">
        <v>13</v>
      </c>
      <c r="Y101" s="7" t="s">
        <v>9</v>
      </c>
      <c r="Z101" s="2" t="s">
        <v>718</v>
      </c>
      <c r="AA101" s="2" t="s">
        <v>721</v>
      </c>
    </row>
    <row r="102" spans="1:27" x14ac:dyDescent="0.35">
      <c r="A102" s="7" t="s">
        <v>1612</v>
      </c>
      <c r="B102" s="7" t="s">
        <v>748</v>
      </c>
      <c r="C102" s="7" t="str">
        <f>_xlfn.XLOOKUP(B102,'[1]Sheet 1'!$A$2:$A$11107,'[1]Sheet 1'!$D$2:$D$11107,"",0)</f>
        <v>LULU</v>
      </c>
      <c r="D102" s="4" t="str">
        <f>_xlfn.XLOOKUP(A102,[3]Sheet2!$I$2:$I$1623,[3]Sheet2!$D$2:$D$1623,"",0)</f>
        <v>Q1</v>
      </c>
      <c r="E102" s="4" t="s">
        <v>1827</v>
      </c>
      <c r="F102" s="4" t="e">
        <f>_xlfn.XLOOKUP(B102,[2]Sheet2!$E$2:$E$713,[2]Sheet2!$G$2:$G$713)</f>
        <v>#N/A</v>
      </c>
      <c r="G102" s="18">
        <v>46091</v>
      </c>
      <c r="H102" s="14">
        <v>0.94180555555555556</v>
      </c>
      <c r="I102" s="7" t="s">
        <v>4</v>
      </c>
      <c r="J102" s="2" t="str">
        <f t="shared" si="5"/>
        <v>Q2</v>
      </c>
      <c r="K102" s="2" t="str">
        <f t="shared" si="6"/>
        <v>Not Match</v>
      </c>
      <c r="L102" s="2">
        <f t="shared" si="7"/>
        <v>0.14142135623730953</v>
      </c>
      <c r="M102" s="2" t="e">
        <f t="shared" si="8"/>
        <v>#N/A</v>
      </c>
      <c r="N102" s="2" t="str">
        <f t="shared" si="9"/>
        <v>Q NOT OK dE&lt;=0.8</v>
      </c>
      <c r="O102" s="7">
        <v>17.5</v>
      </c>
      <c r="P102" s="7">
        <v>-0.5</v>
      </c>
      <c r="Q102" s="7">
        <v>-2.5</v>
      </c>
      <c r="R102" s="7">
        <v>-0.66</v>
      </c>
      <c r="S102" s="7">
        <v>-0.1</v>
      </c>
      <c r="T102" s="7">
        <v>0.1</v>
      </c>
      <c r="U102" s="7">
        <v>-0.11</v>
      </c>
      <c r="V102" s="7">
        <v>-0.19</v>
      </c>
      <c r="W102" s="7">
        <v>0.69</v>
      </c>
      <c r="X102" s="7" t="s">
        <v>8</v>
      </c>
      <c r="Y102" s="7" t="s">
        <v>15</v>
      </c>
      <c r="Z102" s="2" t="s">
        <v>718</v>
      </c>
      <c r="AA102" s="2" t="s">
        <v>721</v>
      </c>
    </row>
    <row r="103" spans="1:27" x14ac:dyDescent="0.35">
      <c r="A103" s="7" t="s">
        <v>1656</v>
      </c>
      <c r="B103" s="7" t="s">
        <v>817</v>
      </c>
      <c r="C103" s="7" t="str">
        <f>_xlfn.XLOOKUP(B103,'[1]Sheet 1'!$A$2:$A$11107,'[1]Sheet 1'!$D$2:$D$11107,"",0)</f>
        <v>VSS</v>
      </c>
      <c r="D103" s="4" t="str">
        <f>_xlfn.XLOOKUP(A103,[3]Sheet2!$I$2:$I$1623,[3]Sheet2!$D$2:$D$1623,"",0)</f>
        <v>Q1</v>
      </c>
      <c r="E103" s="4" t="s">
        <v>1828</v>
      </c>
      <c r="F103" s="4" t="e">
        <f>_xlfn.XLOOKUP(B103,[2]Sheet2!$E$2:$E$713,[2]Sheet2!$G$2:$G$713)</f>
        <v>#N/A</v>
      </c>
      <c r="G103" s="18">
        <v>46091</v>
      </c>
      <c r="H103" s="14">
        <v>0.77496527777777779</v>
      </c>
      <c r="I103" s="7" t="s">
        <v>10</v>
      </c>
      <c r="J103" s="2" t="str">
        <f t="shared" si="5"/>
        <v>Q1</v>
      </c>
      <c r="K103" s="2" t="str">
        <f t="shared" si="6"/>
        <v>Match</v>
      </c>
      <c r="L103" s="2">
        <f t="shared" si="7"/>
        <v>0.94339811320566047</v>
      </c>
      <c r="M103" s="2" t="e">
        <f t="shared" si="8"/>
        <v>#N/A</v>
      </c>
      <c r="N103" s="2" t="str">
        <f t="shared" si="9"/>
        <v>Q OK dE&lt;=0.8</v>
      </c>
      <c r="O103" s="7">
        <v>26</v>
      </c>
      <c r="P103" s="7">
        <v>21.1</v>
      </c>
      <c r="Q103" s="7">
        <v>14.1</v>
      </c>
      <c r="R103" s="7">
        <v>0.49</v>
      </c>
      <c r="S103" s="7">
        <v>0.8</v>
      </c>
      <c r="T103" s="7">
        <v>0.5</v>
      </c>
      <c r="U103" s="7">
        <v>0.57999999999999996</v>
      </c>
      <c r="V103" s="7">
        <v>0.01</v>
      </c>
      <c r="W103" s="7">
        <v>0.76</v>
      </c>
      <c r="X103" s="7" t="s">
        <v>13</v>
      </c>
      <c r="Y103" s="7" t="s">
        <v>12</v>
      </c>
      <c r="Z103" s="2" t="s">
        <v>718</v>
      </c>
      <c r="AA103" s="2" t="s">
        <v>721</v>
      </c>
    </row>
    <row r="104" spans="1:27" x14ac:dyDescent="0.35">
      <c r="A104" s="7" t="s">
        <v>1634</v>
      </c>
      <c r="B104" s="7" t="s">
        <v>816</v>
      </c>
      <c r="C104" s="7" t="str">
        <f>_xlfn.XLOOKUP(B104,'[1]Sheet 1'!$A$2:$A$11107,'[1]Sheet 1'!$D$2:$D$11107,"",0)</f>
        <v>PINK</v>
      </c>
      <c r="D104" s="4">
        <v>0</v>
      </c>
      <c r="E104" s="4" t="s">
        <v>1828</v>
      </c>
      <c r="F104" s="4" t="e">
        <f>_xlfn.XLOOKUP(B104,[2]Sheet2!$E$2:$E$713,[2]Sheet2!$G$2:$G$713)</f>
        <v>#N/A</v>
      </c>
      <c r="G104" s="18">
        <v>46091</v>
      </c>
      <c r="H104" s="14">
        <v>0.76451388888888894</v>
      </c>
      <c r="I104" s="7" t="s">
        <v>10</v>
      </c>
      <c r="J104" s="2" t="str">
        <f t="shared" si="5"/>
        <v>Q1</v>
      </c>
      <c r="K104" s="2" t="str">
        <f t="shared" si="6"/>
        <v>Not Found</v>
      </c>
      <c r="L104" s="2">
        <f t="shared" si="7"/>
        <v>2.1023796041628637</v>
      </c>
      <c r="M104" s="2" t="e">
        <f t="shared" si="8"/>
        <v>#N/A</v>
      </c>
      <c r="N104" s="2" t="str">
        <f t="shared" si="9"/>
        <v>Quadrant not assigned</v>
      </c>
      <c r="O104" s="7">
        <v>61.2</v>
      </c>
      <c r="P104" s="7">
        <v>46.7</v>
      </c>
      <c r="Q104" s="7">
        <v>-3.1</v>
      </c>
      <c r="R104" s="7">
        <v>-0.69</v>
      </c>
      <c r="S104" s="7">
        <v>1.9</v>
      </c>
      <c r="T104" s="7">
        <v>0.9</v>
      </c>
      <c r="U104" s="7">
        <v>0.77</v>
      </c>
      <c r="V104" s="7">
        <v>0.66</v>
      </c>
      <c r="W104" s="7">
        <v>1.23</v>
      </c>
      <c r="X104" s="7" t="s">
        <v>6</v>
      </c>
      <c r="Y104" s="7" t="s">
        <v>9</v>
      </c>
      <c r="Z104" s="2" t="s">
        <v>718</v>
      </c>
      <c r="AA104" s="2" t="s">
        <v>721</v>
      </c>
    </row>
    <row r="105" spans="1:27" x14ac:dyDescent="0.35">
      <c r="A105" s="7" t="s">
        <v>1687</v>
      </c>
      <c r="B105" s="7" t="s">
        <v>742</v>
      </c>
      <c r="C105" s="7" t="str">
        <f>_xlfn.XLOOKUP(B105,'[1]Sheet 1'!$A$2:$A$11107,'[1]Sheet 1'!$D$2:$D$11107,"",0)</f>
        <v>NIK</v>
      </c>
      <c r="D105" s="4" t="str">
        <f>_xlfn.XLOOKUP(A105,[3]Sheet2!$I$2:$I$1623,[3]Sheet2!$D$2:$D$1623,"",0)</f>
        <v>Q3</v>
      </c>
      <c r="E105" s="4" t="s">
        <v>1828</v>
      </c>
      <c r="F105" s="4" t="e">
        <f>_xlfn.XLOOKUP(B105,[2]Sheet2!$E$2:$E$713,[2]Sheet2!$G$2:$G$713)</f>
        <v>#N/A</v>
      </c>
      <c r="G105" s="18">
        <v>46091</v>
      </c>
      <c r="H105" s="14">
        <v>8.082175925925926E-2</v>
      </c>
      <c r="I105" s="7" t="s">
        <v>4</v>
      </c>
      <c r="J105" s="2" t="str">
        <f t="shared" si="5"/>
        <v>Q3</v>
      </c>
      <c r="K105" s="2" t="str">
        <f t="shared" si="6"/>
        <v>Match</v>
      </c>
      <c r="L105" s="2">
        <f t="shared" si="7"/>
        <v>0.5</v>
      </c>
      <c r="M105" s="2" t="e">
        <f t="shared" si="8"/>
        <v>#N/A</v>
      </c>
      <c r="N105" s="2" t="str">
        <f t="shared" si="9"/>
        <v>Q OK dE&lt;=0.8</v>
      </c>
      <c r="O105" s="7">
        <v>33.6</v>
      </c>
      <c r="P105" s="7">
        <v>11.4</v>
      </c>
      <c r="Q105" s="7">
        <v>11.4</v>
      </c>
      <c r="R105" s="7">
        <v>-0.36</v>
      </c>
      <c r="S105" s="7">
        <v>-0.5</v>
      </c>
      <c r="T105" s="20">
        <v>0</v>
      </c>
      <c r="U105" s="7">
        <v>-0.3</v>
      </c>
      <c r="V105" s="7">
        <v>0.55000000000000004</v>
      </c>
      <c r="W105" s="7">
        <v>0.72</v>
      </c>
      <c r="X105" s="7" t="s">
        <v>8</v>
      </c>
      <c r="Y105" s="7" t="s">
        <v>12</v>
      </c>
      <c r="Z105" s="2" t="s">
        <v>718</v>
      </c>
      <c r="AA105" s="2" t="s">
        <v>721</v>
      </c>
    </row>
    <row r="106" spans="1:27" x14ac:dyDescent="0.35">
      <c r="A106" s="7" t="s">
        <v>1705</v>
      </c>
      <c r="B106" s="7" t="s">
        <v>813</v>
      </c>
      <c r="C106" s="7" t="str">
        <f>_xlfn.XLOOKUP(B106,'[1]Sheet 1'!$A$2:$A$11107,'[1]Sheet 1'!$D$2:$D$11107,"",0)</f>
        <v>NKSKI</v>
      </c>
      <c r="D106" s="4" t="str">
        <f>_xlfn.XLOOKUP(A106,[3]Sheet2!$I$2:$I$1623,[3]Sheet2!$D$2:$D$1623,"",0)</f>
        <v>Q4</v>
      </c>
      <c r="E106" s="4" t="s">
        <v>1828</v>
      </c>
      <c r="F106" s="4" t="e">
        <f>_xlfn.XLOOKUP(B106,[2]Sheet2!$E$2:$E$713,[2]Sheet2!$G$2:$G$713)</f>
        <v>#N/A</v>
      </c>
      <c r="G106" s="18">
        <v>46091</v>
      </c>
      <c r="H106" s="14">
        <v>0.65837962962962959</v>
      </c>
      <c r="I106" s="7" t="s">
        <v>4</v>
      </c>
      <c r="J106" s="2" t="str">
        <f t="shared" si="5"/>
        <v>Q1</v>
      </c>
      <c r="K106" s="2" t="str">
        <f t="shared" si="6"/>
        <v>Not Match</v>
      </c>
      <c r="L106" s="2">
        <f t="shared" si="7"/>
        <v>1.2649110640673518</v>
      </c>
      <c r="M106" s="2" t="e">
        <f t="shared" si="8"/>
        <v>#N/A</v>
      </c>
      <c r="N106" s="2" t="str">
        <f t="shared" si="9"/>
        <v>Q NOT OK dE&lt;=0.8</v>
      </c>
      <c r="O106" s="7">
        <v>38.700000000000003</v>
      </c>
      <c r="P106" s="7">
        <v>58.7</v>
      </c>
      <c r="Q106" s="7">
        <v>29.6</v>
      </c>
      <c r="R106" s="7">
        <v>-0.23</v>
      </c>
      <c r="S106" s="7">
        <v>1.2</v>
      </c>
      <c r="T106" s="7">
        <v>0.4</v>
      </c>
      <c r="U106" s="7">
        <v>0.47</v>
      </c>
      <c r="V106" s="7">
        <v>-0.11</v>
      </c>
      <c r="W106" s="7">
        <v>0.53</v>
      </c>
      <c r="X106" s="7" t="s">
        <v>8</v>
      </c>
      <c r="Y106" s="7" t="s">
        <v>7</v>
      </c>
      <c r="Z106" s="2" t="s">
        <v>718</v>
      </c>
      <c r="AA106" s="2" t="s">
        <v>721</v>
      </c>
    </row>
    <row r="107" spans="1:27" x14ac:dyDescent="0.35">
      <c r="A107" s="7" t="s">
        <v>1545</v>
      </c>
      <c r="B107" s="7" t="s">
        <v>814</v>
      </c>
      <c r="C107" s="7" t="str">
        <f>_xlfn.XLOOKUP(B107,'[1]Sheet 1'!$A$2:$A$11107,'[1]Sheet 1'!$D$2:$D$11107,"",0)</f>
        <v>NIK</v>
      </c>
      <c r="D107" s="4" t="str">
        <f>_xlfn.XLOOKUP(A107,[3]Sheet2!$I$2:$I$1623,[3]Sheet2!$D$2:$D$1623,"",0)</f>
        <v>Q2</v>
      </c>
      <c r="E107" s="4" t="s">
        <v>1828</v>
      </c>
      <c r="F107" s="4" t="e">
        <f>_xlfn.XLOOKUP(B107,[2]Sheet2!$E$2:$E$713,[2]Sheet2!$G$2:$G$713)</f>
        <v>#N/A</v>
      </c>
      <c r="G107" s="18">
        <v>46091</v>
      </c>
      <c r="H107" s="14">
        <v>0.67623842592592598</v>
      </c>
      <c r="I107" s="7" t="s">
        <v>4</v>
      </c>
      <c r="J107" s="2" t="str">
        <f t="shared" si="5"/>
        <v>Q2</v>
      </c>
      <c r="K107" s="2" t="str">
        <f t="shared" si="6"/>
        <v>Match</v>
      </c>
      <c r="L107" s="2">
        <f t="shared" si="7"/>
        <v>0.2</v>
      </c>
      <c r="M107" s="2" t="e">
        <f t="shared" si="8"/>
        <v>#N/A</v>
      </c>
      <c r="N107" s="2" t="str">
        <f t="shared" si="9"/>
        <v>Q OK dE&lt;=0.8</v>
      </c>
      <c r="O107" s="7">
        <v>18</v>
      </c>
      <c r="P107" s="7">
        <v>-0.9</v>
      </c>
      <c r="Q107" s="7">
        <v>-1.8</v>
      </c>
      <c r="R107" s="7">
        <v>-0.39</v>
      </c>
      <c r="S107" s="7">
        <v>0</v>
      </c>
      <c r="T107" s="7">
        <v>-0.2</v>
      </c>
      <c r="U107" s="7">
        <v>0.32</v>
      </c>
      <c r="V107" s="7">
        <v>0.13</v>
      </c>
      <c r="W107" s="7">
        <v>0.52</v>
      </c>
      <c r="X107" s="7" t="s">
        <v>8</v>
      </c>
      <c r="Y107" s="7" t="s">
        <v>9</v>
      </c>
      <c r="Z107" s="2" t="s">
        <v>718</v>
      </c>
      <c r="AA107" s="2" t="s">
        <v>721</v>
      </c>
    </row>
    <row r="108" spans="1:27" x14ac:dyDescent="0.35">
      <c r="A108" s="7" t="s">
        <v>1634</v>
      </c>
      <c r="B108" s="7" t="s">
        <v>815</v>
      </c>
      <c r="C108" s="7" t="str">
        <f>_xlfn.XLOOKUP(B108,'[1]Sheet 1'!$A$2:$A$11107,'[1]Sheet 1'!$D$2:$D$11107,"",0)</f>
        <v>PINK</v>
      </c>
      <c r="D108" s="4">
        <v>0</v>
      </c>
      <c r="E108" s="4" t="s">
        <v>1827</v>
      </c>
      <c r="F108" s="4" t="e">
        <f>_xlfn.XLOOKUP(B108,[2]Sheet2!$E$2:$E$713,[2]Sheet2!$G$2:$G$713)</f>
        <v>#N/A</v>
      </c>
      <c r="G108" s="18">
        <v>46091</v>
      </c>
      <c r="H108" s="14">
        <v>0.76168981481481479</v>
      </c>
      <c r="I108" s="7" t="s">
        <v>10</v>
      </c>
      <c r="J108" s="2" t="str">
        <f t="shared" si="5"/>
        <v>Q1</v>
      </c>
      <c r="K108" s="2" t="str">
        <f t="shared" si="6"/>
        <v>Not Found</v>
      </c>
      <c r="L108" s="2">
        <f t="shared" si="7"/>
        <v>2.118962010041709</v>
      </c>
      <c r="M108" s="2" t="e">
        <f t="shared" si="8"/>
        <v>#N/A</v>
      </c>
      <c r="N108" s="2" t="str">
        <f t="shared" si="9"/>
        <v>Quadrant not assigned</v>
      </c>
      <c r="O108" s="7">
        <v>61.1</v>
      </c>
      <c r="P108" s="7">
        <v>46.7</v>
      </c>
      <c r="Q108" s="7">
        <v>-3.3</v>
      </c>
      <c r="R108" s="7">
        <v>-0.73</v>
      </c>
      <c r="S108" s="7">
        <v>2</v>
      </c>
      <c r="T108" s="7">
        <v>0.7</v>
      </c>
      <c r="U108" s="7">
        <v>0.8</v>
      </c>
      <c r="V108" s="7">
        <v>0.55000000000000004</v>
      </c>
      <c r="W108" s="7">
        <v>1.21</v>
      </c>
      <c r="X108" s="7" t="s">
        <v>6</v>
      </c>
      <c r="Y108" s="7" t="s">
        <v>9</v>
      </c>
      <c r="Z108" s="2" t="s">
        <v>718</v>
      </c>
      <c r="AA108" s="2" t="s">
        <v>721</v>
      </c>
    </row>
    <row r="109" spans="1:27" x14ac:dyDescent="0.35">
      <c r="A109" s="7" t="s">
        <v>1634</v>
      </c>
      <c r="B109" s="7" t="s">
        <v>809</v>
      </c>
      <c r="C109" s="7" t="str">
        <f>_xlfn.XLOOKUP(B109,'[1]Sheet 1'!$A$2:$A$11107,'[1]Sheet 1'!$D$2:$D$11107,"",0)</f>
        <v>PINK</v>
      </c>
      <c r="D109" s="4">
        <v>0</v>
      </c>
      <c r="E109" s="4" t="s">
        <v>1827</v>
      </c>
      <c r="F109" s="4" t="e">
        <f>_xlfn.XLOOKUP(B109,[2]Sheet2!$E$2:$E$713,[2]Sheet2!$G$2:$G$713)</f>
        <v>#N/A</v>
      </c>
      <c r="G109" s="18">
        <v>46091</v>
      </c>
      <c r="H109" s="14">
        <v>0.46917824074074072</v>
      </c>
      <c r="I109" s="7" t="s">
        <v>10</v>
      </c>
      <c r="J109" s="2" t="str">
        <f t="shared" si="5"/>
        <v>Q1</v>
      </c>
      <c r="K109" s="2" t="str">
        <f t="shared" si="6"/>
        <v>Not Found</v>
      </c>
      <c r="L109" s="2">
        <f t="shared" si="7"/>
        <v>2.0615528128088303</v>
      </c>
      <c r="M109" s="2" t="e">
        <f t="shared" si="8"/>
        <v>#N/A</v>
      </c>
      <c r="N109" s="2" t="str">
        <f t="shared" si="9"/>
        <v>Quadrant not assigned</v>
      </c>
      <c r="O109" s="7">
        <v>61</v>
      </c>
      <c r="P109" s="7">
        <v>46.6</v>
      </c>
      <c r="Q109" s="7">
        <v>-3.3</v>
      </c>
      <c r="R109" s="7">
        <v>-0.78</v>
      </c>
      <c r="S109" s="7">
        <v>1.9</v>
      </c>
      <c r="T109" s="7">
        <v>0.8</v>
      </c>
      <c r="U109" s="7">
        <v>0.75</v>
      </c>
      <c r="V109" s="7">
        <v>0.56999999999999995</v>
      </c>
      <c r="W109" s="7">
        <v>1.22</v>
      </c>
      <c r="X109" s="7" t="s">
        <v>6</v>
      </c>
      <c r="Y109" s="7" t="s">
        <v>9</v>
      </c>
      <c r="Z109" s="2" t="s">
        <v>718</v>
      </c>
      <c r="AA109" s="2" t="s">
        <v>721</v>
      </c>
    </row>
    <row r="110" spans="1:27" x14ac:dyDescent="0.35">
      <c r="A110" s="7" t="s">
        <v>1593</v>
      </c>
      <c r="B110" s="7" t="s">
        <v>812</v>
      </c>
      <c r="C110" s="7" t="str">
        <f>_xlfn.XLOOKUP(B110,'[1]Sheet 1'!$A$2:$A$11107,'[1]Sheet 1'!$D$2:$D$11107,"",0)</f>
        <v>LULU</v>
      </c>
      <c r="D110" s="4" t="str">
        <f>_xlfn.XLOOKUP(A110,[3]Sheet2!$I$2:$I$1623,[3]Sheet2!$D$2:$D$1623,"",0)</f>
        <v>Q3</v>
      </c>
      <c r="E110" s="4" t="s">
        <v>1828</v>
      </c>
      <c r="F110" s="4" t="e">
        <f>_xlfn.XLOOKUP(B110,[2]Sheet2!$E$2:$E$713,[2]Sheet2!$G$2:$G$713)</f>
        <v>#N/A</v>
      </c>
      <c r="G110" s="18">
        <v>46091</v>
      </c>
      <c r="H110" s="14">
        <v>0.64768518518518514</v>
      </c>
      <c r="I110" s="7" t="s">
        <v>4</v>
      </c>
      <c r="J110" s="2" t="str">
        <f t="shared" si="5"/>
        <v>Q3</v>
      </c>
      <c r="K110" s="2" t="str">
        <f t="shared" si="6"/>
        <v>Match</v>
      </c>
      <c r="L110" s="2">
        <f t="shared" si="7"/>
        <v>0.3</v>
      </c>
      <c r="M110" s="2" t="e">
        <f t="shared" si="8"/>
        <v>#N/A</v>
      </c>
      <c r="N110" s="2" t="str">
        <f t="shared" si="9"/>
        <v>Q OK dE&gt;0.8</v>
      </c>
      <c r="O110" s="7">
        <v>22.4</v>
      </c>
      <c r="P110" s="7">
        <v>2.7</v>
      </c>
      <c r="Q110" s="7">
        <v>1.9</v>
      </c>
      <c r="R110" s="7">
        <v>-1.23</v>
      </c>
      <c r="S110" s="7">
        <v>0</v>
      </c>
      <c r="T110" s="7">
        <v>-0.3</v>
      </c>
      <c r="U110" s="7">
        <v>-0.21</v>
      </c>
      <c r="V110" s="7">
        <v>-0.35</v>
      </c>
      <c r="W110" s="7">
        <v>1.3</v>
      </c>
      <c r="X110" s="7" t="s">
        <v>6</v>
      </c>
      <c r="Y110" s="7" t="s">
        <v>7</v>
      </c>
      <c r="Z110" s="2" t="s">
        <v>718</v>
      </c>
      <c r="AA110" s="2" t="s">
        <v>721</v>
      </c>
    </row>
    <row r="111" spans="1:27" x14ac:dyDescent="0.35">
      <c r="A111" s="7" t="s">
        <v>1593</v>
      </c>
      <c r="B111" s="7" t="s">
        <v>749</v>
      </c>
      <c r="C111" s="7" t="str">
        <f>_xlfn.XLOOKUP(B111,'[1]Sheet 1'!$A$2:$A$11107,'[1]Sheet 1'!$D$2:$D$11107,"",0)</f>
        <v>LULU</v>
      </c>
      <c r="D111" s="4" t="str">
        <f>_xlfn.XLOOKUP(A111,[3]Sheet2!$I$2:$I$1623,[3]Sheet2!$D$2:$D$1623,"",0)</f>
        <v>Q3</v>
      </c>
      <c r="E111" s="4" t="s">
        <v>1828</v>
      </c>
      <c r="F111" s="4" t="e">
        <f>_xlfn.XLOOKUP(B111,[2]Sheet2!$E$2:$E$713,[2]Sheet2!$G$2:$G$713)</f>
        <v>#N/A</v>
      </c>
      <c r="G111" s="18">
        <v>46091</v>
      </c>
      <c r="H111" s="14">
        <v>0.98526620370370366</v>
      </c>
      <c r="I111" s="7" t="s">
        <v>4</v>
      </c>
      <c r="J111" s="2" t="str">
        <f t="shared" si="5"/>
        <v>Q3</v>
      </c>
      <c r="K111" s="2" t="str">
        <f t="shared" si="6"/>
        <v>Match</v>
      </c>
      <c r="L111" s="2">
        <f t="shared" si="7"/>
        <v>0.3</v>
      </c>
      <c r="M111" s="2" t="e">
        <f t="shared" si="8"/>
        <v>#N/A</v>
      </c>
      <c r="N111" s="2" t="str">
        <f t="shared" si="9"/>
        <v>Q OK dE&gt;0.8</v>
      </c>
      <c r="O111" s="7">
        <v>21.6</v>
      </c>
      <c r="P111" s="7">
        <v>2.7</v>
      </c>
      <c r="Q111" s="7">
        <v>2.5</v>
      </c>
      <c r="R111" s="7">
        <v>-1.78</v>
      </c>
      <c r="S111" s="7">
        <v>0</v>
      </c>
      <c r="T111" s="7">
        <v>0.3</v>
      </c>
      <c r="U111" s="7">
        <v>0.27</v>
      </c>
      <c r="V111" s="7">
        <v>0.31</v>
      </c>
      <c r="W111" s="7">
        <v>1.83</v>
      </c>
      <c r="X111" s="7" t="s">
        <v>6</v>
      </c>
      <c r="Y111" s="7" t="s">
        <v>12</v>
      </c>
      <c r="Z111" s="2" t="s">
        <v>718</v>
      </c>
      <c r="AA111" s="2" t="s">
        <v>721</v>
      </c>
    </row>
    <row r="112" spans="1:27" x14ac:dyDescent="0.35">
      <c r="A112" s="7" t="s">
        <v>1559</v>
      </c>
      <c r="B112" s="7" t="s">
        <v>744</v>
      </c>
      <c r="C112" s="7" t="str">
        <f>_xlfn.XLOOKUP(B112,'[1]Sheet 1'!$A$2:$A$11107,'[1]Sheet 1'!$D$2:$D$11107,"",0)</f>
        <v>VSS</v>
      </c>
      <c r="D112" s="4" t="str">
        <f>_xlfn.XLOOKUP(A112,[3]Sheet2!$I$2:$I$1623,[3]Sheet2!$D$2:$D$1623,"",0)</f>
        <v>Q3</v>
      </c>
      <c r="E112" s="4" t="s">
        <v>1828</v>
      </c>
      <c r="F112" s="4" t="e">
        <f>_xlfn.XLOOKUP(B112,[2]Sheet2!$E$2:$E$713,[2]Sheet2!$G$2:$G$713)</f>
        <v>#N/A</v>
      </c>
      <c r="G112" s="18">
        <v>46091</v>
      </c>
      <c r="H112" s="14">
        <v>0.26528935185185187</v>
      </c>
      <c r="I112" s="7" t="s">
        <v>10</v>
      </c>
      <c r="J112" s="2" t="str">
        <f t="shared" si="5"/>
        <v>Q1</v>
      </c>
      <c r="K112" s="2" t="str">
        <f t="shared" si="6"/>
        <v>Not Match</v>
      </c>
      <c r="L112" s="2">
        <f t="shared" si="7"/>
        <v>0.14142135623730953</v>
      </c>
      <c r="M112" s="2" t="e">
        <f t="shared" si="8"/>
        <v>#N/A</v>
      </c>
      <c r="N112" s="2" t="str">
        <f t="shared" si="9"/>
        <v>Q NOT OK dE&lt;=0.8</v>
      </c>
      <c r="O112" s="7">
        <v>17.3</v>
      </c>
      <c r="P112" s="7">
        <v>0</v>
      </c>
      <c r="Q112" s="7">
        <v>-2.2000000000000002</v>
      </c>
      <c r="R112" s="7">
        <v>-0.63</v>
      </c>
      <c r="S112" s="7">
        <v>0.1</v>
      </c>
      <c r="T112" s="7">
        <v>0.1</v>
      </c>
      <c r="U112" s="7">
        <v>-0.14000000000000001</v>
      </c>
      <c r="V112" s="7">
        <v>0.18</v>
      </c>
      <c r="W112" s="7">
        <v>0.67</v>
      </c>
      <c r="X112" s="7" t="s">
        <v>8</v>
      </c>
      <c r="Y112" s="7" t="s">
        <v>9</v>
      </c>
      <c r="Z112" s="2" t="s">
        <v>718</v>
      </c>
      <c r="AA112" s="2" t="s">
        <v>721</v>
      </c>
    </row>
    <row r="113" spans="1:27" x14ac:dyDescent="0.35">
      <c r="A113" s="7" t="s">
        <v>1554</v>
      </c>
      <c r="B113" s="7" t="s">
        <v>810</v>
      </c>
      <c r="C113" s="7" t="str">
        <f>_xlfn.XLOOKUP(B113,'[1]Sheet 1'!$A$2:$A$11107,'[1]Sheet 1'!$D$2:$D$11107,"",0)</f>
        <v>NIK</v>
      </c>
      <c r="D113" s="4" t="str">
        <f>_xlfn.XLOOKUP(A113,[3]Sheet2!$I$2:$I$1623,[3]Sheet2!$D$2:$D$1623,"",0)</f>
        <v>Q1</v>
      </c>
      <c r="E113" s="4" t="s">
        <v>1828</v>
      </c>
      <c r="F113" s="4" t="e">
        <f>_xlfn.XLOOKUP(B113,[2]Sheet2!$E$2:$E$713,[2]Sheet2!$G$2:$G$713)</f>
        <v>#N/A</v>
      </c>
      <c r="G113" s="18">
        <v>46091</v>
      </c>
      <c r="H113" s="14">
        <v>0.61540509259259257</v>
      </c>
      <c r="I113" s="7" t="s">
        <v>4</v>
      </c>
      <c r="J113" s="2" t="str">
        <f t="shared" si="5"/>
        <v>Q1</v>
      </c>
      <c r="K113" s="2" t="str">
        <f t="shared" si="6"/>
        <v>Match</v>
      </c>
      <c r="L113" s="2">
        <f t="shared" si="7"/>
        <v>0.78102496759066542</v>
      </c>
      <c r="M113" s="2" t="e">
        <f t="shared" si="8"/>
        <v>#N/A</v>
      </c>
      <c r="N113" s="2" t="str">
        <f t="shared" si="9"/>
        <v>Q OK dE&gt;0.8</v>
      </c>
      <c r="O113" s="7">
        <v>17</v>
      </c>
      <c r="P113" s="7">
        <v>-0.7</v>
      </c>
      <c r="Q113" s="7">
        <v>-1.3</v>
      </c>
      <c r="R113" s="7">
        <v>-0.57999999999999996</v>
      </c>
      <c r="S113" s="7">
        <v>0.6</v>
      </c>
      <c r="T113" s="7">
        <v>0.5</v>
      </c>
      <c r="U113" s="7">
        <v>-1.04</v>
      </c>
      <c r="V113" s="7">
        <v>0.33</v>
      </c>
      <c r="W113" s="7">
        <v>1.23</v>
      </c>
      <c r="X113" s="7" t="s">
        <v>6</v>
      </c>
      <c r="Y113" s="7" t="s">
        <v>7</v>
      </c>
      <c r="Z113" s="2" t="s">
        <v>718</v>
      </c>
      <c r="AA113" s="2" t="s">
        <v>721</v>
      </c>
    </row>
    <row r="114" spans="1:27" x14ac:dyDescent="0.35">
      <c r="A114" s="7" t="s">
        <v>1676</v>
      </c>
      <c r="B114" s="7" t="s">
        <v>745</v>
      </c>
      <c r="C114" s="7" t="str">
        <f>_xlfn.XLOOKUP(B114,'[1]Sheet 1'!$A$2:$A$11107,'[1]Sheet 1'!$D$2:$D$11107,"",0)</f>
        <v>PINK</v>
      </c>
      <c r="D114" s="4" t="str">
        <f>_xlfn.XLOOKUP(A114,[3]Sheet2!$I$2:$I$1623,[3]Sheet2!$D$2:$D$1623,"",0)</f>
        <v>Q2</v>
      </c>
      <c r="E114" s="4" t="s">
        <v>1828</v>
      </c>
      <c r="F114" s="4" t="e">
        <f>_xlfn.XLOOKUP(B114,[2]Sheet2!$E$2:$E$713,[2]Sheet2!$G$2:$G$713)</f>
        <v>#N/A</v>
      </c>
      <c r="G114" s="18">
        <v>46091</v>
      </c>
      <c r="H114" s="14">
        <v>0.27135416666666667</v>
      </c>
      <c r="I114" s="7" t="s">
        <v>10</v>
      </c>
      <c r="J114" s="2" t="str">
        <f t="shared" si="5"/>
        <v>Q1</v>
      </c>
      <c r="K114" s="2" t="str">
        <f t="shared" si="6"/>
        <v>Not Match</v>
      </c>
      <c r="L114" s="2">
        <f t="shared" si="7"/>
        <v>1.16619037896906</v>
      </c>
      <c r="M114" s="2" t="e">
        <f t="shared" si="8"/>
        <v>#N/A</v>
      </c>
      <c r="N114" s="2" t="str">
        <f t="shared" si="9"/>
        <v>Q NOT OK dE&gt;0.8</v>
      </c>
      <c r="O114" s="7">
        <v>26.9</v>
      </c>
      <c r="P114" s="7">
        <v>18.3</v>
      </c>
      <c r="Q114" s="7">
        <v>4.5999999999999996</v>
      </c>
      <c r="R114" s="7">
        <v>0.17</v>
      </c>
      <c r="S114" s="7">
        <v>0.6</v>
      </c>
      <c r="T114" s="7">
        <v>1</v>
      </c>
      <c r="U114" s="7">
        <v>0.56000000000000005</v>
      </c>
      <c r="V114" s="7">
        <v>0.89</v>
      </c>
      <c r="W114" s="7">
        <v>1.06</v>
      </c>
      <c r="X114" s="7" t="s">
        <v>6</v>
      </c>
      <c r="Y114" s="7" t="s">
        <v>12</v>
      </c>
      <c r="Z114" s="2" t="s">
        <v>718</v>
      </c>
      <c r="AA114" s="2" t="s">
        <v>721</v>
      </c>
    </row>
    <row r="115" spans="1:27" x14ac:dyDescent="0.35">
      <c r="A115" s="7" t="s">
        <v>1676</v>
      </c>
      <c r="B115" s="7" t="s">
        <v>741</v>
      </c>
      <c r="C115" s="7" t="str">
        <f>_xlfn.XLOOKUP(B115,'[1]Sheet 1'!$A$2:$A$11107,'[1]Sheet 1'!$D$2:$D$11107,"",0)</f>
        <v>PINK</v>
      </c>
      <c r="D115" s="4" t="str">
        <f>_xlfn.XLOOKUP(A115,[3]Sheet2!$I$2:$I$1623,[3]Sheet2!$D$2:$D$1623,"",0)</f>
        <v>Q2</v>
      </c>
      <c r="E115" s="4" t="s">
        <v>1828</v>
      </c>
      <c r="F115" s="4" t="e">
        <f>_xlfn.XLOOKUP(B115,[2]Sheet2!$E$2:$E$713,[2]Sheet2!$G$2:$G$713)</f>
        <v>#N/A</v>
      </c>
      <c r="G115" s="18">
        <v>46091</v>
      </c>
      <c r="H115" s="14">
        <v>0.46574074074074073</v>
      </c>
      <c r="I115" s="7" t="s">
        <v>10</v>
      </c>
      <c r="J115" s="2" t="str">
        <f t="shared" si="5"/>
        <v>Q1</v>
      </c>
      <c r="K115" s="2" t="str">
        <f t="shared" si="6"/>
        <v>Not Match</v>
      </c>
      <c r="L115" s="2">
        <f t="shared" si="7"/>
        <v>0.76157731058639078</v>
      </c>
      <c r="M115" s="2" t="e">
        <f t="shared" si="8"/>
        <v>#N/A</v>
      </c>
      <c r="N115" s="2" t="str">
        <f t="shared" si="9"/>
        <v>Q NOT OK dE&lt;=0.8</v>
      </c>
      <c r="O115" s="7">
        <v>26.9</v>
      </c>
      <c r="P115" s="7">
        <v>18.399999999999999</v>
      </c>
      <c r="Q115" s="7">
        <v>3.9</v>
      </c>
      <c r="R115" s="7">
        <v>0.17</v>
      </c>
      <c r="S115" s="7">
        <v>0.7</v>
      </c>
      <c r="T115" s="7">
        <v>0.3</v>
      </c>
      <c r="U115" s="7">
        <v>0.53</v>
      </c>
      <c r="V115" s="7">
        <v>0.21</v>
      </c>
      <c r="W115" s="7">
        <v>0.6</v>
      </c>
      <c r="X115" s="7" t="s">
        <v>8</v>
      </c>
      <c r="Y115" s="7" t="s">
        <v>12</v>
      </c>
      <c r="Z115" s="2" t="s">
        <v>718</v>
      </c>
      <c r="AA115" s="2" t="s">
        <v>721</v>
      </c>
    </row>
    <row r="116" spans="1:27" x14ac:dyDescent="0.35">
      <c r="A116" s="7" t="s">
        <v>1676</v>
      </c>
      <c r="B116" s="7" t="s">
        <v>808</v>
      </c>
      <c r="C116" s="7" t="str">
        <f>_xlfn.XLOOKUP(B116,'[1]Sheet 1'!$A$2:$A$11107,'[1]Sheet 1'!$D$2:$D$11107,"",0)</f>
        <v>PINK</v>
      </c>
      <c r="D116" s="4" t="str">
        <f>_xlfn.XLOOKUP(A116,[3]Sheet2!$I$2:$I$1623,[3]Sheet2!$D$2:$D$1623,"",0)</f>
        <v>Q2</v>
      </c>
      <c r="E116" s="4" t="s">
        <v>1828</v>
      </c>
      <c r="F116" s="4" t="e">
        <f>_xlfn.XLOOKUP(B116,[2]Sheet2!$E$2:$E$713,[2]Sheet2!$G$2:$G$713)</f>
        <v>#N/A</v>
      </c>
      <c r="G116" s="18">
        <v>46091</v>
      </c>
      <c r="H116" s="14">
        <v>0.13564814814814816</v>
      </c>
      <c r="I116" s="7" t="s">
        <v>10</v>
      </c>
      <c r="J116" s="2" t="str">
        <f t="shared" si="5"/>
        <v>Q2</v>
      </c>
      <c r="K116" s="2" t="str">
        <f t="shared" si="6"/>
        <v>Match</v>
      </c>
      <c r="L116" s="2">
        <f t="shared" si="7"/>
        <v>0.3</v>
      </c>
      <c r="M116" s="2" t="e">
        <f t="shared" si="8"/>
        <v>#N/A</v>
      </c>
      <c r="N116" s="2" t="str">
        <f t="shared" si="9"/>
        <v>Q OK dE&lt;=0.8</v>
      </c>
      <c r="O116" s="7">
        <v>26.9</v>
      </c>
      <c r="P116" s="7">
        <v>18</v>
      </c>
      <c r="Q116" s="7">
        <v>3.6</v>
      </c>
      <c r="R116" s="7">
        <v>0.12</v>
      </c>
      <c r="S116" s="7">
        <v>0.3</v>
      </c>
      <c r="T116" s="20">
        <v>0</v>
      </c>
      <c r="U116" s="7">
        <v>0.24</v>
      </c>
      <c r="V116" s="7">
        <v>-0.02</v>
      </c>
      <c r="W116" s="7">
        <v>0.27</v>
      </c>
      <c r="X116" s="7" t="s">
        <v>8</v>
      </c>
      <c r="Y116" s="7" t="s">
        <v>7</v>
      </c>
      <c r="Z116" s="2" t="s">
        <v>718</v>
      </c>
      <c r="AA116" s="2" t="s">
        <v>721</v>
      </c>
    </row>
    <row r="117" spans="1:27" x14ac:dyDescent="0.35">
      <c r="A117" s="7" t="s">
        <v>1686</v>
      </c>
      <c r="B117" s="7" t="s">
        <v>747</v>
      </c>
      <c r="C117" s="7" t="str">
        <f>_xlfn.XLOOKUP(B117,'[1]Sheet 1'!$A$2:$A$11107,'[1]Sheet 1'!$D$2:$D$11107,"",0)</f>
        <v>M&amp;S</v>
      </c>
      <c r="D117" s="4" t="str">
        <f>_xlfn.XLOOKUP(A117,[3]Sheet2!$I$2:$I$1623,[3]Sheet2!$D$2:$D$1623,"",0)</f>
        <v>Q4</v>
      </c>
      <c r="E117" s="4" t="s">
        <v>1827</v>
      </c>
      <c r="F117" s="4" t="e">
        <f>_xlfn.XLOOKUP(B117,[2]Sheet2!$E$2:$E$713,[2]Sheet2!$G$2:$G$713)</f>
        <v>#N/A</v>
      </c>
      <c r="G117" s="18">
        <v>46091</v>
      </c>
      <c r="H117" s="14">
        <v>0.83846064814814814</v>
      </c>
      <c r="I117" s="7" t="s">
        <v>17</v>
      </c>
      <c r="J117" s="2" t="str">
        <f t="shared" si="5"/>
        <v>Q3</v>
      </c>
      <c r="K117" s="2" t="str">
        <f t="shared" si="6"/>
        <v>Not Match</v>
      </c>
      <c r="L117" s="2">
        <f t="shared" si="7"/>
        <v>0.94868329805051377</v>
      </c>
      <c r="M117" s="2" t="e">
        <f t="shared" si="8"/>
        <v>#N/A</v>
      </c>
      <c r="N117" s="2" t="str">
        <f t="shared" si="9"/>
        <v>Q NOT OK dE&gt;0.8</v>
      </c>
      <c r="O117" s="7">
        <v>23.5</v>
      </c>
      <c r="P117" s="7">
        <v>24.6</v>
      </c>
      <c r="Q117" s="7">
        <v>9.6999999999999993</v>
      </c>
      <c r="R117" s="7">
        <v>-0.77</v>
      </c>
      <c r="S117" s="7">
        <v>-0.9</v>
      </c>
      <c r="T117" s="7">
        <v>-0.3</v>
      </c>
      <c r="U117" s="7">
        <v>-0.52</v>
      </c>
      <c r="V117" s="7">
        <v>0.01</v>
      </c>
      <c r="W117" s="7">
        <v>0.93</v>
      </c>
      <c r="X117" s="7" t="s">
        <v>13</v>
      </c>
      <c r="Y117" s="7" t="s">
        <v>12</v>
      </c>
      <c r="Z117" s="2" t="s">
        <v>718</v>
      </c>
      <c r="AA117" s="2" t="s">
        <v>721</v>
      </c>
    </row>
    <row r="118" spans="1:27" x14ac:dyDescent="0.35">
      <c r="A118" s="7" t="s">
        <v>1676</v>
      </c>
      <c r="B118" s="7" t="s">
        <v>686</v>
      </c>
      <c r="C118" s="7" t="str">
        <f>_xlfn.XLOOKUP(B118,'[1]Sheet 1'!$A$2:$A$11107,'[1]Sheet 1'!$D$2:$D$11107,"",0)</f>
        <v>PINK</v>
      </c>
      <c r="D118" s="4" t="str">
        <f>_xlfn.XLOOKUP(A118,[3]Sheet2!$I$2:$I$1623,[3]Sheet2!$D$2:$D$1623,"",0)</f>
        <v>Q2</v>
      </c>
      <c r="E118" s="4" t="s">
        <v>1828</v>
      </c>
      <c r="F118" s="4" t="e">
        <f>_xlfn.XLOOKUP(B118,[2]Sheet2!$E$2:$E$713,[2]Sheet2!$G$2:$G$713)</f>
        <v>#N/A</v>
      </c>
      <c r="G118" s="18">
        <v>46092</v>
      </c>
      <c r="H118" s="14">
        <v>0.2751851851851852</v>
      </c>
      <c r="I118" s="7" t="s">
        <v>10</v>
      </c>
      <c r="J118" s="2" t="str">
        <f t="shared" si="5"/>
        <v>Q2</v>
      </c>
      <c r="K118" s="2" t="str">
        <f t="shared" si="6"/>
        <v>Match</v>
      </c>
      <c r="L118" s="2">
        <f t="shared" si="7"/>
        <v>0.9</v>
      </c>
      <c r="M118" s="2" t="e">
        <f t="shared" si="8"/>
        <v>#N/A</v>
      </c>
      <c r="N118" s="2" t="str">
        <f t="shared" si="9"/>
        <v>Q OK dE&gt;0.8</v>
      </c>
      <c r="O118" s="7">
        <v>26.3</v>
      </c>
      <c r="P118" s="7">
        <v>17.7</v>
      </c>
      <c r="Q118" s="7">
        <v>2.6</v>
      </c>
      <c r="R118" s="7">
        <v>-0.28000000000000003</v>
      </c>
      <c r="S118" s="7">
        <v>0</v>
      </c>
      <c r="T118" s="7">
        <v>-0.9</v>
      </c>
      <c r="U118" s="7">
        <v>-7.0000000000000007E-2</v>
      </c>
      <c r="V118" s="7">
        <v>-0.94</v>
      </c>
      <c r="W118" s="7">
        <v>0.98</v>
      </c>
      <c r="X118" s="7" t="s">
        <v>13</v>
      </c>
      <c r="Y118" s="7" t="s">
        <v>7</v>
      </c>
      <c r="Z118" s="2" t="s">
        <v>718</v>
      </c>
      <c r="AA118" s="2" t="s">
        <v>721</v>
      </c>
    </row>
    <row r="119" spans="1:27" x14ac:dyDescent="0.35">
      <c r="A119" s="7" t="s">
        <v>1676</v>
      </c>
      <c r="B119" s="7" t="s">
        <v>649</v>
      </c>
      <c r="C119" s="7" t="str">
        <f>_xlfn.XLOOKUP(B119,'[1]Sheet 1'!$A$2:$A$11107,'[1]Sheet 1'!$D$2:$D$11107,"",0)</f>
        <v>PINK</v>
      </c>
      <c r="D119" s="4" t="str">
        <f>_xlfn.XLOOKUP(A119,[3]Sheet2!$I$2:$I$1623,[3]Sheet2!$D$2:$D$1623,"",0)</f>
        <v>Q2</v>
      </c>
      <c r="E119" s="4" t="s">
        <v>1827</v>
      </c>
      <c r="F119" s="4" t="e">
        <f>_xlfn.XLOOKUP(B119,[2]Sheet2!$E$2:$E$713,[2]Sheet2!$G$2:$G$713)</f>
        <v>#N/A</v>
      </c>
      <c r="G119" s="18">
        <v>46092</v>
      </c>
      <c r="H119" s="14">
        <v>0.77084490740740741</v>
      </c>
      <c r="I119" s="7" t="s">
        <v>11</v>
      </c>
      <c r="J119" s="2" t="str">
        <f t="shared" si="5"/>
        <v>Q4</v>
      </c>
      <c r="K119" s="2" t="str">
        <f t="shared" si="6"/>
        <v>Not Match</v>
      </c>
      <c r="L119" s="2">
        <f t="shared" si="7"/>
        <v>1.2041594578792296</v>
      </c>
      <c r="M119" s="2" t="e">
        <f t="shared" si="8"/>
        <v>#N/A</v>
      </c>
      <c r="N119" s="2" t="str">
        <f t="shared" si="9"/>
        <v>Q NOT OK dE&gt;0.8</v>
      </c>
      <c r="O119" s="7">
        <v>24.1</v>
      </c>
      <c r="P119" s="7">
        <v>11.3</v>
      </c>
      <c r="Q119" s="7">
        <v>-2.5</v>
      </c>
      <c r="R119" s="7">
        <v>-0.16</v>
      </c>
      <c r="S119" s="7">
        <v>0.1</v>
      </c>
      <c r="T119" s="7">
        <v>-1.2</v>
      </c>
      <c r="U119" s="7">
        <v>0.27</v>
      </c>
      <c r="V119" s="7">
        <v>-1.32</v>
      </c>
      <c r="W119" s="7">
        <v>1.36</v>
      </c>
      <c r="X119" s="7" t="s">
        <v>6</v>
      </c>
      <c r="Y119" s="7" t="s">
        <v>7</v>
      </c>
      <c r="Z119" s="2" t="s">
        <v>718</v>
      </c>
      <c r="AA119" s="2" t="s">
        <v>721</v>
      </c>
    </row>
    <row r="120" spans="1:27" x14ac:dyDescent="0.35">
      <c r="A120" s="7" t="s">
        <v>1634</v>
      </c>
      <c r="B120" s="7" t="s">
        <v>825</v>
      </c>
      <c r="C120" s="7" t="str">
        <f>_xlfn.XLOOKUP(B120,'[1]Sheet 1'!$A$2:$A$11107,'[1]Sheet 1'!$D$2:$D$11107,"",0)</f>
        <v>PINK</v>
      </c>
      <c r="D120" s="4">
        <v>0</v>
      </c>
      <c r="E120" s="4" t="s">
        <v>1828</v>
      </c>
      <c r="F120" s="4" t="e">
        <f>_xlfn.XLOOKUP(B120,[2]Sheet2!$E$2:$E$713,[2]Sheet2!$G$2:$G$713)</f>
        <v>#N/A</v>
      </c>
      <c r="G120" s="18">
        <v>46092</v>
      </c>
      <c r="H120" s="14">
        <v>0.73091435185185183</v>
      </c>
      <c r="I120" s="7" t="s">
        <v>11</v>
      </c>
      <c r="J120" s="2" t="str">
        <f t="shared" si="5"/>
        <v>Q1</v>
      </c>
      <c r="K120" s="2" t="str">
        <f t="shared" si="6"/>
        <v>Not Found</v>
      </c>
      <c r="L120" s="2">
        <f t="shared" si="7"/>
        <v>2.5</v>
      </c>
      <c r="M120" s="2" t="e">
        <f t="shared" si="8"/>
        <v>#N/A</v>
      </c>
      <c r="N120" s="2" t="str">
        <f t="shared" si="9"/>
        <v>Quadrant not assigned</v>
      </c>
      <c r="O120" s="7">
        <v>54.7</v>
      </c>
      <c r="P120" s="7">
        <v>37.5</v>
      </c>
      <c r="Q120" s="7">
        <v>-16</v>
      </c>
      <c r="R120" s="7">
        <v>-1.05</v>
      </c>
      <c r="S120" s="7">
        <v>2.4</v>
      </c>
      <c r="T120" s="7">
        <v>0.7</v>
      </c>
      <c r="U120" s="7">
        <v>0.84</v>
      </c>
      <c r="V120" s="7">
        <v>1.03</v>
      </c>
      <c r="W120" s="7">
        <v>1.69</v>
      </c>
      <c r="X120" s="7" t="s">
        <v>6</v>
      </c>
      <c r="Y120" s="7" t="s">
        <v>9</v>
      </c>
      <c r="Z120" s="2" t="s">
        <v>718</v>
      </c>
      <c r="AA120" s="2" t="s">
        <v>721</v>
      </c>
    </row>
    <row r="121" spans="1:27" x14ac:dyDescent="0.35">
      <c r="A121" s="7" t="s">
        <v>1554</v>
      </c>
      <c r="B121" s="7" t="s">
        <v>821</v>
      </c>
      <c r="C121" s="7" t="str">
        <f>_xlfn.XLOOKUP(B121,'[1]Sheet 1'!$A$2:$A$11107,'[1]Sheet 1'!$D$2:$D$11107,"",0)</f>
        <v>NIK</v>
      </c>
      <c r="D121" s="4" t="str">
        <f>_xlfn.XLOOKUP(A121,[3]Sheet2!$I$2:$I$1623,[3]Sheet2!$D$2:$D$1623,"",0)</f>
        <v>Q1</v>
      </c>
      <c r="E121" s="4" t="s">
        <v>1828</v>
      </c>
      <c r="F121" s="4" t="e">
        <f>_xlfn.XLOOKUP(B121,[2]Sheet2!$E$2:$E$713,[2]Sheet2!$G$2:$G$713)</f>
        <v>#N/A</v>
      </c>
      <c r="G121" s="18">
        <v>46092</v>
      </c>
      <c r="H121" s="14">
        <v>0.67486111111111113</v>
      </c>
      <c r="I121" s="7" t="s">
        <v>4</v>
      </c>
      <c r="J121" s="2" t="str">
        <f t="shared" si="5"/>
        <v>Q1</v>
      </c>
      <c r="K121" s="2" t="str">
        <f t="shared" si="6"/>
        <v>Match</v>
      </c>
      <c r="L121" s="2">
        <f t="shared" si="7"/>
        <v>0.85440037453175322</v>
      </c>
      <c r="M121" s="2" t="e">
        <f t="shared" si="8"/>
        <v>#N/A</v>
      </c>
      <c r="N121" s="2" t="str">
        <f t="shared" si="9"/>
        <v>Q OK dE&gt;0.8</v>
      </c>
      <c r="O121" s="7">
        <v>16.8</v>
      </c>
      <c r="P121" s="7">
        <v>-0.4</v>
      </c>
      <c r="Q121" s="7">
        <v>-1.5</v>
      </c>
      <c r="R121" s="7">
        <v>-0.81</v>
      </c>
      <c r="S121" s="7">
        <v>0.8</v>
      </c>
      <c r="T121" s="7">
        <v>0.3</v>
      </c>
      <c r="U121" s="7">
        <v>-0.95</v>
      </c>
      <c r="V121" s="7">
        <v>0.77</v>
      </c>
      <c r="W121" s="7">
        <v>1.46</v>
      </c>
      <c r="X121" s="7" t="s">
        <v>6</v>
      </c>
      <c r="Y121" s="7" t="s">
        <v>7</v>
      </c>
      <c r="Z121" s="2" t="s">
        <v>718</v>
      </c>
      <c r="AA121" s="2" t="s">
        <v>721</v>
      </c>
    </row>
    <row r="122" spans="1:27" x14ac:dyDescent="0.35">
      <c r="A122" s="7" t="s">
        <v>1707</v>
      </c>
      <c r="B122" s="7" t="s">
        <v>831</v>
      </c>
      <c r="C122" s="7" t="str">
        <f>_xlfn.XLOOKUP(B122,'[1]Sheet 1'!$A$2:$A$11107,'[1]Sheet 1'!$D$2:$D$11107,"",0)</f>
        <v>LULU</v>
      </c>
      <c r="D122" s="4" t="str">
        <f>_xlfn.XLOOKUP(A122,[3]Sheet2!$I$2:$I$1623,[3]Sheet2!$D$2:$D$1623,"",0)</f>
        <v>Q1</v>
      </c>
      <c r="E122" s="4" t="s">
        <v>1828</v>
      </c>
      <c r="F122" s="4" t="e">
        <f>_xlfn.XLOOKUP(B122,[2]Sheet2!$E$2:$E$713,[2]Sheet2!$G$2:$G$713)</f>
        <v>#N/A</v>
      </c>
      <c r="G122" s="18">
        <v>46092</v>
      </c>
      <c r="H122" s="14">
        <v>0.77976851851851847</v>
      </c>
      <c r="I122" s="7" t="s">
        <v>4</v>
      </c>
      <c r="J122" s="2" t="str">
        <f t="shared" si="5"/>
        <v>Q1</v>
      </c>
      <c r="K122" s="2" t="str">
        <f t="shared" si="6"/>
        <v>Match</v>
      </c>
      <c r="L122" s="2">
        <f t="shared" si="7"/>
        <v>0</v>
      </c>
      <c r="M122" s="2" t="e">
        <f t="shared" si="8"/>
        <v>#N/A</v>
      </c>
      <c r="N122" s="2" t="str">
        <f t="shared" si="9"/>
        <v>Q OK dE&lt;=0.8</v>
      </c>
      <c r="O122" s="7">
        <v>18.100000000000001</v>
      </c>
      <c r="P122" s="7">
        <v>-1</v>
      </c>
      <c r="Q122" s="7">
        <v>-8.1999999999999993</v>
      </c>
      <c r="R122" s="7">
        <v>-0.72</v>
      </c>
      <c r="S122" s="7">
        <v>0</v>
      </c>
      <c r="T122" s="20">
        <v>0</v>
      </c>
      <c r="U122" s="7">
        <v>-0.03</v>
      </c>
      <c r="V122" s="7">
        <v>0.03</v>
      </c>
      <c r="W122" s="7">
        <v>0.72</v>
      </c>
      <c r="X122" s="7" t="s">
        <v>8</v>
      </c>
      <c r="Y122" s="7" t="s">
        <v>9</v>
      </c>
      <c r="Z122" s="2" t="s">
        <v>718</v>
      </c>
      <c r="AA122" s="2" t="s">
        <v>721</v>
      </c>
    </row>
    <row r="123" spans="1:27" x14ac:dyDescent="0.35">
      <c r="A123" s="7" t="s">
        <v>1558</v>
      </c>
      <c r="B123" s="7" t="s">
        <v>829</v>
      </c>
      <c r="C123" s="7" t="str">
        <f>_xlfn.XLOOKUP(B123,'[1]Sheet 1'!$A$2:$A$11107,'[1]Sheet 1'!$D$2:$D$11107,"",0)</f>
        <v>M&amp;S</v>
      </c>
      <c r="D123" s="4" t="str">
        <f>_xlfn.XLOOKUP(A123,[3]Sheet2!$I$2:$I$1623,[3]Sheet2!$D$2:$D$1623,"",0)</f>
        <v>Q3</v>
      </c>
      <c r="E123" s="4" t="s">
        <v>1828</v>
      </c>
      <c r="F123" s="4" t="e">
        <f>_xlfn.XLOOKUP(B123,[2]Sheet2!$E$2:$E$713,[2]Sheet2!$G$2:$G$713)</f>
        <v>#N/A</v>
      </c>
      <c r="G123" s="18">
        <v>46092</v>
      </c>
      <c r="H123" s="14">
        <v>0.74151620370370375</v>
      </c>
      <c r="I123" s="7" t="s">
        <v>17</v>
      </c>
      <c r="J123" s="2" t="str">
        <f t="shared" si="5"/>
        <v>Q3</v>
      </c>
      <c r="K123" s="2" t="str">
        <f t="shared" si="6"/>
        <v>Match</v>
      </c>
      <c r="L123" s="2">
        <f t="shared" si="7"/>
        <v>0.14142135623730953</v>
      </c>
      <c r="M123" s="2" t="e">
        <f t="shared" si="8"/>
        <v>#N/A</v>
      </c>
      <c r="N123" s="2" t="str">
        <f t="shared" si="9"/>
        <v>Q OK dE&lt;=0.8</v>
      </c>
      <c r="O123" s="7">
        <v>15</v>
      </c>
      <c r="P123" s="7">
        <v>-0.6</v>
      </c>
      <c r="Q123" s="7">
        <v>-1.8</v>
      </c>
      <c r="R123" s="7">
        <v>-0.54</v>
      </c>
      <c r="S123" s="7">
        <v>-0.1</v>
      </c>
      <c r="T123" s="7">
        <v>-0.1</v>
      </c>
      <c r="U123" s="7">
        <v>0.19</v>
      </c>
      <c r="V123" s="7">
        <v>-0.16</v>
      </c>
      <c r="W123" s="7">
        <v>0.59</v>
      </c>
      <c r="X123" s="7" t="s">
        <v>8</v>
      </c>
      <c r="Y123" s="7" t="s">
        <v>15</v>
      </c>
      <c r="Z123" s="2" t="s">
        <v>718</v>
      </c>
      <c r="AA123" s="2" t="s">
        <v>721</v>
      </c>
    </row>
    <row r="124" spans="1:27" x14ac:dyDescent="0.35">
      <c r="A124" s="7" t="s">
        <v>1643</v>
      </c>
      <c r="B124" s="7" t="s">
        <v>823</v>
      </c>
      <c r="C124" s="7" t="str">
        <f>_xlfn.XLOOKUP(B124,'[1]Sheet 1'!$A$2:$A$11107,'[1]Sheet 1'!$D$2:$D$11107,"",0)</f>
        <v>PINK</v>
      </c>
      <c r="D124" s="4" t="str">
        <f>_xlfn.XLOOKUP(A124,[3]Sheet2!$I$2:$I$1623,[3]Sheet2!$D$2:$D$1623,"",0)</f>
        <v>Q3</v>
      </c>
      <c r="E124" s="4" t="s">
        <v>1828</v>
      </c>
      <c r="F124" s="4" t="e">
        <f>_xlfn.XLOOKUP(B124,[2]Sheet2!$E$2:$E$713,[2]Sheet2!$G$2:$G$713)</f>
        <v>#N/A</v>
      </c>
      <c r="G124" s="18">
        <v>46092</v>
      </c>
      <c r="H124" s="14">
        <v>0.72659722222222223</v>
      </c>
      <c r="I124" s="7" t="s">
        <v>11</v>
      </c>
      <c r="J124" s="2" t="str">
        <f t="shared" si="5"/>
        <v>Q1</v>
      </c>
      <c r="K124" s="2" t="str">
        <f t="shared" si="6"/>
        <v>Not Match</v>
      </c>
      <c r="L124" s="2">
        <f t="shared" si="7"/>
        <v>0.22360679774997899</v>
      </c>
      <c r="M124" s="2" t="e">
        <f t="shared" si="8"/>
        <v>#N/A</v>
      </c>
      <c r="N124" s="2" t="str">
        <f t="shared" si="9"/>
        <v>Q NOT OK dE&gt;0.8</v>
      </c>
      <c r="O124" s="7">
        <v>13.6</v>
      </c>
      <c r="P124" s="7">
        <v>-0.5</v>
      </c>
      <c r="Q124" s="7">
        <v>-1.8</v>
      </c>
      <c r="R124" s="7">
        <v>-0.98</v>
      </c>
      <c r="S124" s="7">
        <v>0.1</v>
      </c>
      <c r="T124" s="7">
        <v>0.2</v>
      </c>
      <c r="U124" s="7">
        <v>-0.32</v>
      </c>
      <c r="V124" s="7">
        <v>0.14000000000000001</v>
      </c>
      <c r="W124" s="7">
        <v>1.04</v>
      </c>
      <c r="X124" s="7" t="s">
        <v>6</v>
      </c>
      <c r="Y124" s="7" t="s">
        <v>9</v>
      </c>
      <c r="Z124" s="2" t="s">
        <v>718</v>
      </c>
      <c r="AA124" s="2" t="s">
        <v>721</v>
      </c>
    </row>
    <row r="125" spans="1:27" x14ac:dyDescent="0.35">
      <c r="A125" s="7" t="s">
        <v>1595</v>
      </c>
      <c r="B125" s="7" t="s">
        <v>751</v>
      </c>
      <c r="C125" s="7" t="str">
        <f>_xlfn.XLOOKUP(B125,'[1]Sheet 1'!$A$2:$A$11107,'[1]Sheet 1'!$D$2:$D$11107,"",0)</f>
        <v/>
      </c>
      <c r="D125" s="4" t="str">
        <f>_xlfn.XLOOKUP(A125,[3]Sheet2!$I$2:$I$1623,[3]Sheet2!$D$2:$D$1623,"",0)</f>
        <v>Q4</v>
      </c>
      <c r="E125" s="4" t="s">
        <v>1828</v>
      </c>
      <c r="F125" s="4" t="e">
        <f>_xlfn.XLOOKUP(B125,[2]Sheet2!$E$2:$E$713,[2]Sheet2!$G$2:$G$713)</f>
        <v>#N/A</v>
      </c>
      <c r="G125" s="18">
        <v>46092</v>
      </c>
      <c r="H125" s="14">
        <v>9.8622685185185188E-2</v>
      </c>
      <c r="I125" s="7" t="s">
        <v>17</v>
      </c>
      <c r="J125" s="2" t="str">
        <f t="shared" si="5"/>
        <v>Q4</v>
      </c>
      <c r="K125" s="2" t="str">
        <f t="shared" si="6"/>
        <v>Match</v>
      </c>
      <c r="L125" s="2">
        <f t="shared" si="7"/>
        <v>0.6</v>
      </c>
      <c r="M125" s="2" t="e">
        <f t="shared" si="8"/>
        <v>#N/A</v>
      </c>
      <c r="N125" s="2" t="str">
        <f t="shared" si="9"/>
        <v>Q OK dE&gt;0.8</v>
      </c>
      <c r="O125" s="7">
        <v>28.6</v>
      </c>
      <c r="P125" s="7">
        <v>-2</v>
      </c>
      <c r="Q125" s="7">
        <v>-2</v>
      </c>
      <c r="R125" s="7">
        <v>-0.24</v>
      </c>
      <c r="S125" s="7">
        <v>0</v>
      </c>
      <c r="T125" s="7">
        <v>0.6</v>
      </c>
      <c r="U125" s="7">
        <v>-0.56000000000000005</v>
      </c>
      <c r="V125" s="7">
        <v>-0.59</v>
      </c>
      <c r="W125" s="7">
        <v>0.85</v>
      </c>
      <c r="X125" s="7" t="s">
        <v>13</v>
      </c>
      <c r="Y125" s="7" t="s">
        <v>12</v>
      </c>
      <c r="Z125" s="2" t="s">
        <v>718</v>
      </c>
      <c r="AA125" s="2" t="s">
        <v>721</v>
      </c>
    </row>
    <row r="126" spans="1:27" x14ac:dyDescent="0.35">
      <c r="A126" s="7" t="s">
        <v>1518</v>
      </c>
      <c r="B126" s="7" t="s">
        <v>824</v>
      </c>
      <c r="C126" s="7" t="str">
        <f>_xlfn.XLOOKUP(B126,'[1]Sheet 1'!$A$2:$A$11107,'[1]Sheet 1'!$D$2:$D$11107,"",0)</f>
        <v>VSS</v>
      </c>
      <c r="D126" s="4" t="str">
        <f>_xlfn.XLOOKUP(A126,[3]Sheet2!$I$2:$I$1623,[3]Sheet2!$D$2:$D$1623,"",0)</f>
        <v>Q1</v>
      </c>
      <c r="E126" s="4" t="s">
        <v>1828</v>
      </c>
      <c r="F126" s="4" t="e">
        <f>_xlfn.XLOOKUP(B126,[2]Sheet2!$E$2:$E$713,[2]Sheet2!$G$2:$G$713)</f>
        <v>#N/A</v>
      </c>
      <c r="G126" s="18">
        <v>46092</v>
      </c>
      <c r="H126" s="14">
        <v>0.72849537037037038</v>
      </c>
      <c r="I126" s="7" t="s">
        <v>11</v>
      </c>
      <c r="J126" s="2" t="str">
        <f t="shared" si="5"/>
        <v>Q3</v>
      </c>
      <c r="K126" s="2" t="str">
        <f t="shared" si="6"/>
        <v>Not Match</v>
      </c>
      <c r="L126" s="2">
        <f t="shared" si="7"/>
        <v>0.41231056256176613</v>
      </c>
      <c r="M126" s="2" t="e">
        <f t="shared" si="8"/>
        <v>#N/A</v>
      </c>
      <c r="N126" s="2" t="str">
        <f t="shared" si="9"/>
        <v>Q NOT OK dE&lt;=0.8</v>
      </c>
      <c r="O126" s="7">
        <v>26.6</v>
      </c>
      <c r="P126" s="7">
        <v>6.1</v>
      </c>
      <c r="Q126" s="7">
        <v>7.3</v>
      </c>
      <c r="R126" s="7">
        <v>0.12</v>
      </c>
      <c r="S126" s="7">
        <v>-0.1</v>
      </c>
      <c r="T126" s="7">
        <v>-0.4</v>
      </c>
      <c r="U126" s="7">
        <v>-0.41</v>
      </c>
      <c r="V126" s="7">
        <v>-0.32</v>
      </c>
      <c r="W126" s="7">
        <v>0.54</v>
      </c>
      <c r="X126" s="7" t="s">
        <v>8</v>
      </c>
      <c r="Y126" s="7" t="s">
        <v>9</v>
      </c>
      <c r="Z126" s="2" t="s">
        <v>718</v>
      </c>
      <c r="AA126" s="2" t="s">
        <v>721</v>
      </c>
    </row>
    <row r="127" spans="1:27" x14ac:dyDescent="0.35">
      <c r="A127" s="7" t="s">
        <v>1706</v>
      </c>
      <c r="B127" s="7" t="s">
        <v>828</v>
      </c>
      <c r="C127" s="7" t="str">
        <f>_xlfn.XLOOKUP(B127,'[1]Sheet 1'!$A$2:$A$11107,'[1]Sheet 1'!$D$2:$D$11107,"",0)</f>
        <v>SW</v>
      </c>
      <c r="D127" s="4" t="str">
        <f>_xlfn.XLOOKUP(A127,[3]Sheet2!$I$2:$I$1623,[3]Sheet2!$D$2:$D$1623,"",0)</f>
        <v>Q3</v>
      </c>
      <c r="E127" s="4" t="s">
        <v>1828</v>
      </c>
      <c r="F127" s="4" t="e">
        <f>_xlfn.XLOOKUP(B127,[2]Sheet2!$E$2:$E$713,[2]Sheet2!$G$2:$G$713)</f>
        <v>#N/A</v>
      </c>
      <c r="G127" s="18">
        <v>46092</v>
      </c>
      <c r="H127" s="14">
        <v>0.73782407407407402</v>
      </c>
      <c r="I127" s="7" t="s">
        <v>4</v>
      </c>
      <c r="J127" s="2" t="str">
        <f t="shared" si="5"/>
        <v>Q3</v>
      </c>
      <c r="K127" s="2" t="str">
        <f t="shared" si="6"/>
        <v>Match</v>
      </c>
      <c r="L127" s="2">
        <f t="shared" si="7"/>
        <v>0.28284271247461906</v>
      </c>
      <c r="M127" s="2" t="e">
        <f t="shared" si="8"/>
        <v>#N/A</v>
      </c>
      <c r="N127" s="2" t="str">
        <f t="shared" si="9"/>
        <v>Q OK dE&lt;=0.8</v>
      </c>
      <c r="O127" s="7">
        <v>19.8</v>
      </c>
      <c r="P127" s="7">
        <v>-0.4</v>
      </c>
      <c r="Q127" s="7">
        <v>-8.3000000000000007</v>
      </c>
      <c r="R127" s="7">
        <v>-0.53</v>
      </c>
      <c r="S127" s="7">
        <v>-0.2</v>
      </c>
      <c r="T127" s="7">
        <v>-0.2</v>
      </c>
      <c r="U127" s="7">
        <v>0.26</v>
      </c>
      <c r="V127" s="7">
        <v>-0.26</v>
      </c>
      <c r="W127" s="7">
        <v>0.65</v>
      </c>
      <c r="X127" s="7" t="s">
        <v>8</v>
      </c>
      <c r="Y127" s="7" t="s">
        <v>15</v>
      </c>
      <c r="Z127" s="2" t="s">
        <v>718</v>
      </c>
      <c r="AA127" s="2" t="s">
        <v>721</v>
      </c>
    </row>
    <row r="128" spans="1:27" x14ac:dyDescent="0.35">
      <c r="A128" s="7" t="s">
        <v>1518</v>
      </c>
      <c r="B128" s="7" t="s">
        <v>827</v>
      </c>
      <c r="C128" s="7" t="str">
        <f>_xlfn.XLOOKUP(B128,'[1]Sheet 1'!$A$2:$A$11107,'[1]Sheet 1'!$D$2:$D$11107,"",0)</f>
        <v>VSS</v>
      </c>
      <c r="D128" s="4" t="str">
        <f>_xlfn.XLOOKUP(A128,[3]Sheet2!$I$2:$I$1623,[3]Sheet2!$D$2:$D$1623,"",0)</f>
        <v>Q1</v>
      </c>
      <c r="E128" s="4" t="s">
        <v>1828</v>
      </c>
      <c r="F128" s="4" t="e">
        <f>_xlfn.XLOOKUP(B128,[2]Sheet2!$E$2:$E$713,[2]Sheet2!$G$2:$G$713)</f>
        <v>#N/A</v>
      </c>
      <c r="G128" s="18">
        <v>46092</v>
      </c>
      <c r="H128" s="14">
        <v>0.73539351851851853</v>
      </c>
      <c r="I128" s="7" t="s">
        <v>11</v>
      </c>
      <c r="J128" s="2" t="str">
        <f t="shared" si="5"/>
        <v>Q1</v>
      </c>
      <c r="K128" s="2" t="str">
        <f t="shared" si="6"/>
        <v>Match</v>
      </c>
      <c r="L128" s="2">
        <f t="shared" si="7"/>
        <v>0.22360679774997899</v>
      </c>
      <c r="M128" s="2" t="e">
        <f t="shared" si="8"/>
        <v>#N/A</v>
      </c>
      <c r="N128" s="2" t="str">
        <f t="shared" si="9"/>
        <v>Q OK dE&lt;=0.8</v>
      </c>
      <c r="O128" s="7">
        <v>27</v>
      </c>
      <c r="P128" s="7">
        <v>6.5</v>
      </c>
      <c r="Q128" s="7">
        <v>7.9</v>
      </c>
      <c r="R128" s="7">
        <v>0.39</v>
      </c>
      <c r="S128" s="7">
        <v>0.2</v>
      </c>
      <c r="T128" s="7">
        <v>0.1</v>
      </c>
      <c r="U128" s="7">
        <v>0.2</v>
      </c>
      <c r="V128" s="7">
        <v>-0.26</v>
      </c>
      <c r="W128" s="7">
        <v>0.51</v>
      </c>
      <c r="X128" s="7" t="s">
        <v>8</v>
      </c>
      <c r="Y128" s="7" t="s">
        <v>9</v>
      </c>
      <c r="Z128" s="2" t="s">
        <v>718</v>
      </c>
      <c r="AA128" s="2" t="s">
        <v>721</v>
      </c>
    </row>
    <row r="129" spans="1:27" x14ac:dyDescent="0.35">
      <c r="A129" s="7" t="s">
        <v>1540</v>
      </c>
      <c r="B129" s="7" t="s">
        <v>822</v>
      </c>
      <c r="C129" s="7" t="str">
        <f>_xlfn.XLOOKUP(B129,'[1]Sheet 1'!$A$2:$A$11107,'[1]Sheet 1'!$D$2:$D$11107,"",0)</f>
        <v>VSS</v>
      </c>
      <c r="D129" s="4" t="str">
        <f>_xlfn.XLOOKUP(A129,[3]Sheet2!$I$2:$I$1623,[3]Sheet2!$D$2:$D$1623,"",0)</f>
        <v>Q3</v>
      </c>
      <c r="E129" s="4" t="s">
        <v>1828</v>
      </c>
      <c r="F129" s="4" t="e">
        <f>_xlfn.XLOOKUP(B129,[2]Sheet2!$E$2:$E$713,[2]Sheet2!$G$2:$G$713)</f>
        <v>#N/A</v>
      </c>
      <c r="G129" s="18">
        <v>46092</v>
      </c>
      <c r="H129" s="14">
        <v>0.72432870370370372</v>
      </c>
      <c r="I129" s="7" t="s">
        <v>11</v>
      </c>
      <c r="J129" s="2" t="str">
        <f t="shared" si="5"/>
        <v>Q3</v>
      </c>
      <c r="K129" s="2" t="str">
        <f t="shared" si="6"/>
        <v>Match</v>
      </c>
      <c r="L129" s="2">
        <f t="shared" si="7"/>
        <v>0</v>
      </c>
      <c r="M129" s="2" t="e">
        <f t="shared" si="8"/>
        <v>#N/A</v>
      </c>
      <c r="N129" s="2" t="str">
        <f t="shared" si="9"/>
        <v>Q OK dE&lt;=0.8</v>
      </c>
      <c r="O129" s="7">
        <v>14.4</v>
      </c>
      <c r="P129" s="7">
        <v>-0.4</v>
      </c>
      <c r="Q129" s="7">
        <v>-1.8</v>
      </c>
      <c r="R129" s="7">
        <v>0.2</v>
      </c>
      <c r="S129" s="7">
        <v>0</v>
      </c>
      <c r="T129" s="20">
        <v>0</v>
      </c>
      <c r="U129" s="7">
        <v>0.03</v>
      </c>
      <c r="V129" s="7">
        <v>0.1</v>
      </c>
      <c r="W129" s="7">
        <v>0.23</v>
      </c>
      <c r="X129" s="7" t="s">
        <v>8</v>
      </c>
      <c r="Y129" s="7" t="s">
        <v>15</v>
      </c>
      <c r="Z129" s="2" t="s">
        <v>718</v>
      </c>
      <c r="AA129" s="2" t="s">
        <v>721</v>
      </c>
    </row>
    <row r="130" spans="1:27" x14ac:dyDescent="0.35">
      <c r="A130" s="7" t="s">
        <v>1684</v>
      </c>
      <c r="B130" s="7" t="s">
        <v>830</v>
      </c>
      <c r="C130" s="7" t="str">
        <f>_xlfn.XLOOKUP(B130,'[1]Sheet 1'!$A$2:$A$11107,'[1]Sheet 1'!$D$2:$D$11107,"",0)</f>
        <v>CK</v>
      </c>
      <c r="D130" s="4">
        <v>0</v>
      </c>
      <c r="E130" s="4" t="s">
        <v>1828</v>
      </c>
      <c r="F130" s="4" t="e">
        <f>_xlfn.XLOOKUP(B130,[2]Sheet2!$E$2:$E$713,[2]Sheet2!$G$2:$G$713)</f>
        <v>#N/A</v>
      </c>
      <c r="G130" s="18">
        <v>46092</v>
      </c>
      <c r="H130" s="14">
        <v>0.7447569444444444</v>
      </c>
      <c r="I130" s="7" t="s">
        <v>11</v>
      </c>
      <c r="J130" s="2" t="str">
        <f t="shared" ref="J130:J193" si="10">IF(OR(S130=0,T130=0),D130,IF(AND(S130&gt;0,T130&gt;0),"Q1",IF(AND(S130&lt;0,T130&gt;0),"Q2",IF(AND(S130&lt;0,T130&lt;0),"Q3",IF(AND(S130&gt;0,T130&lt;0),"Q4","")))))</f>
        <v>Q1</v>
      </c>
      <c r="K130" s="2" t="str">
        <f t="shared" ref="K130:K193" si="11">IF(J130=D130,"Match",IF(AND(J130=0,D130="Match"),"da and db 0",IF(D130=0,"Not Found","Not Match")))</f>
        <v>Not Found</v>
      </c>
      <c r="L130" s="2">
        <f t="shared" ref="L130:L193" si="12">SQRT(S130^2+T130^2)</f>
        <v>0.41231056256176613</v>
      </c>
      <c r="M130" s="2" t="e">
        <f t="shared" ref="M130:M193" si="13">IF(L130&lt;=F130,"Within Range","Over Range")</f>
        <v>#N/A</v>
      </c>
      <c r="N130" s="2" t="str">
        <f t="shared" ref="N130:N193" si="14">IF(D130=0,"Quadrant not assigned",IF(AND(K130="Match",W130&lt;=0.8),"Q OK dE&lt;=0.8",IF(AND(K130="Match",W130&gt;0.8),"Q OK dE&gt;0.8",IF(AND(K130="Not Match",W130&lt;=0.8),"Q NOT OK dE&lt;=0.8","Q NOT OK dE&gt;0.8"))))</f>
        <v>Quadrant not assigned</v>
      </c>
      <c r="O130" s="7">
        <v>15.5</v>
      </c>
      <c r="P130" s="7">
        <v>-0.9</v>
      </c>
      <c r="Q130" s="7">
        <v>-0.8</v>
      </c>
      <c r="R130" s="7">
        <v>-0.45</v>
      </c>
      <c r="S130" s="7">
        <v>0.1</v>
      </c>
      <c r="T130" s="7">
        <v>0.4</v>
      </c>
      <c r="U130" s="7">
        <v>-0.56000000000000005</v>
      </c>
      <c r="V130" s="7">
        <v>-0.3</v>
      </c>
      <c r="W130" s="7">
        <v>0.78</v>
      </c>
      <c r="X130" s="7" t="s">
        <v>13</v>
      </c>
      <c r="Y130" s="7" t="s">
        <v>12</v>
      </c>
      <c r="Z130" s="2" t="s">
        <v>718</v>
      </c>
      <c r="AA130" s="2" t="s">
        <v>721</v>
      </c>
    </row>
    <row r="131" spans="1:27" x14ac:dyDescent="0.35">
      <c r="A131" s="7" t="s">
        <v>1559</v>
      </c>
      <c r="B131" s="7" t="s">
        <v>750</v>
      </c>
      <c r="C131" s="7" t="str">
        <f>_xlfn.XLOOKUP(B131,'[1]Sheet 1'!$A$2:$A$11107,'[1]Sheet 1'!$D$2:$D$11107,"",0)</f>
        <v>VSS</v>
      </c>
      <c r="D131" s="4" t="str">
        <f>_xlfn.XLOOKUP(A131,[3]Sheet2!$I$2:$I$1623,[3]Sheet2!$D$2:$D$1623,"",0)</f>
        <v>Q3</v>
      </c>
      <c r="E131" s="4" t="s">
        <v>1828</v>
      </c>
      <c r="F131" s="4" t="e">
        <f>_xlfn.XLOOKUP(B131,[2]Sheet2!$E$2:$E$713,[2]Sheet2!$G$2:$G$713)</f>
        <v>#N/A</v>
      </c>
      <c r="G131" s="18">
        <v>46092</v>
      </c>
      <c r="H131" s="14">
        <v>9.2002314814814815E-2</v>
      </c>
      <c r="I131" s="7" t="s">
        <v>10</v>
      </c>
      <c r="J131" s="2" t="str">
        <f t="shared" si="10"/>
        <v>Q3</v>
      </c>
      <c r="K131" s="2" t="str">
        <f t="shared" si="11"/>
        <v>Match</v>
      </c>
      <c r="L131" s="2">
        <f t="shared" si="12"/>
        <v>0.2</v>
      </c>
      <c r="M131" s="2" t="e">
        <f t="shared" si="13"/>
        <v>#N/A</v>
      </c>
      <c r="N131" s="2" t="str">
        <f t="shared" si="14"/>
        <v>Q OK dE&lt;=0.8</v>
      </c>
      <c r="O131" s="7">
        <v>17.600000000000001</v>
      </c>
      <c r="P131" s="7">
        <v>0</v>
      </c>
      <c r="Q131" s="7">
        <v>-2.5</v>
      </c>
      <c r="R131" s="7">
        <v>-0.38</v>
      </c>
      <c r="S131" s="7">
        <v>0</v>
      </c>
      <c r="T131" s="7">
        <v>-0.2</v>
      </c>
      <c r="U131" s="7">
        <v>0.28999999999999998</v>
      </c>
      <c r="V131" s="7">
        <v>0.03</v>
      </c>
      <c r="W131" s="7">
        <v>0.48</v>
      </c>
      <c r="X131" s="7" t="s">
        <v>8</v>
      </c>
      <c r="Y131" s="7" t="s">
        <v>9</v>
      </c>
      <c r="Z131" s="2" t="s">
        <v>718</v>
      </c>
      <c r="AA131" s="2" t="s">
        <v>721</v>
      </c>
    </row>
    <row r="132" spans="1:27" x14ac:dyDescent="0.35">
      <c r="A132" s="7" t="s">
        <v>1593</v>
      </c>
      <c r="B132" s="7" t="s">
        <v>819</v>
      </c>
      <c r="C132" s="7" t="str">
        <f>_xlfn.XLOOKUP(B132,'[1]Sheet 1'!$A$2:$A$11107,'[1]Sheet 1'!$D$2:$D$11107,"",0)</f>
        <v>LULU</v>
      </c>
      <c r="D132" s="4" t="str">
        <f>_xlfn.XLOOKUP(A132,[3]Sheet2!$I$2:$I$1623,[3]Sheet2!$D$2:$D$1623,"",0)</f>
        <v>Q3</v>
      </c>
      <c r="E132" s="4" t="s">
        <v>1827</v>
      </c>
      <c r="F132" s="4" t="e">
        <f>_xlfn.XLOOKUP(B132,[2]Sheet2!$E$2:$E$713,[2]Sheet2!$G$2:$G$713)</f>
        <v>#N/A</v>
      </c>
      <c r="G132" s="18">
        <v>46092</v>
      </c>
      <c r="H132" s="14">
        <v>0.15607638888888889</v>
      </c>
      <c r="I132" s="7" t="s">
        <v>4</v>
      </c>
      <c r="J132" s="2" t="str">
        <f t="shared" si="10"/>
        <v>Q3</v>
      </c>
      <c r="K132" s="2" t="str">
        <f t="shared" si="11"/>
        <v>Match</v>
      </c>
      <c r="L132" s="2">
        <f t="shared" si="12"/>
        <v>0.22360679774997899</v>
      </c>
      <c r="M132" s="2" t="e">
        <f t="shared" si="13"/>
        <v>#N/A</v>
      </c>
      <c r="N132" s="2" t="str">
        <f t="shared" si="14"/>
        <v>Q OK dE&gt;0.8</v>
      </c>
      <c r="O132" s="7">
        <v>22.1</v>
      </c>
      <c r="P132" s="7">
        <v>2.5</v>
      </c>
      <c r="Q132" s="7">
        <v>2</v>
      </c>
      <c r="R132" s="7">
        <v>-1.38</v>
      </c>
      <c r="S132" s="7">
        <v>-0.2</v>
      </c>
      <c r="T132" s="7">
        <v>-0.1</v>
      </c>
      <c r="U132" s="7">
        <v>-0.33</v>
      </c>
      <c r="V132" s="7">
        <v>-0.01</v>
      </c>
      <c r="W132" s="7">
        <v>1.42</v>
      </c>
      <c r="X132" s="7" t="s">
        <v>6</v>
      </c>
      <c r="Y132" s="7" t="s">
        <v>7</v>
      </c>
      <c r="Z132" s="2" t="s">
        <v>718</v>
      </c>
      <c r="AA132" s="2" t="s">
        <v>721</v>
      </c>
    </row>
    <row r="133" spans="1:27" x14ac:dyDescent="0.35">
      <c r="A133" s="7" t="s">
        <v>1634</v>
      </c>
      <c r="B133" s="7" t="s">
        <v>820</v>
      </c>
      <c r="C133" s="7" t="str">
        <f>_xlfn.XLOOKUP(B133,'[1]Sheet 1'!$A$2:$A$11107,'[1]Sheet 1'!$D$2:$D$11107,"",0)</f>
        <v>PINK</v>
      </c>
      <c r="D133" s="4">
        <v>0</v>
      </c>
      <c r="E133" s="4" t="s">
        <v>1828</v>
      </c>
      <c r="F133" s="4" t="e">
        <f>_xlfn.XLOOKUP(B133,[2]Sheet2!$E$2:$E$713,[2]Sheet2!$G$2:$G$713)</f>
        <v>#N/A</v>
      </c>
      <c r="G133" s="18">
        <v>46092</v>
      </c>
      <c r="H133" s="14">
        <v>0.28725694444444444</v>
      </c>
      <c r="I133" s="7" t="s">
        <v>10</v>
      </c>
      <c r="J133" s="2" t="str">
        <f t="shared" si="10"/>
        <v>Q1</v>
      </c>
      <c r="K133" s="2" t="str">
        <f t="shared" si="11"/>
        <v>Not Found</v>
      </c>
      <c r="L133" s="2">
        <f t="shared" si="12"/>
        <v>1.6031219541881399</v>
      </c>
      <c r="M133" s="2" t="e">
        <f t="shared" si="13"/>
        <v>#N/A</v>
      </c>
      <c r="N133" s="2" t="str">
        <f t="shared" si="14"/>
        <v>Quadrant not assigned</v>
      </c>
      <c r="O133" s="7">
        <v>61.4</v>
      </c>
      <c r="P133" s="7">
        <v>46.3</v>
      </c>
      <c r="Q133" s="7">
        <v>-4</v>
      </c>
      <c r="R133" s="7">
        <v>-0.63</v>
      </c>
      <c r="S133" s="7">
        <v>1.6</v>
      </c>
      <c r="T133" s="7">
        <v>0.1</v>
      </c>
      <c r="U133" s="7">
        <v>0.66</v>
      </c>
      <c r="V133" s="7">
        <v>0.16</v>
      </c>
      <c r="W133" s="7">
        <v>0.93</v>
      </c>
      <c r="X133" s="7" t="s">
        <v>13</v>
      </c>
      <c r="Y133" s="7" t="s">
        <v>9</v>
      </c>
      <c r="Z133" s="2" t="s">
        <v>718</v>
      </c>
      <c r="AA133" s="2" t="s">
        <v>721</v>
      </c>
    </row>
    <row r="134" spans="1:27" x14ac:dyDescent="0.35">
      <c r="A134" s="7" t="s">
        <v>1543</v>
      </c>
      <c r="B134" s="7" t="s">
        <v>752</v>
      </c>
      <c r="C134" s="7" t="str">
        <f>_xlfn.XLOOKUP(B134,'[1]Sheet 1'!$A$2:$A$11107,'[1]Sheet 1'!$D$2:$D$11107,"",0)</f>
        <v>VSS</v>
      </c>
      <c r="D134" s="4" t="str">
        <f>_xlfn.XLOOKUP(A134,[3]Sheet2!$I$2:$I$1623,[3]Sheet2!$D$2:$D$1623,"",0)</f>
        <v>Q3</v>
      </c>
      <c r="E134" s="4" t="s">
        <v>1827</v>
      </c>
      <c r="F134" s="4" t="e">
        <f>_xlfn.XLOOKUP(B134,[2]Sheet2!$E$2:$E$713,[2]Sheet2!$G$2:$G$713)</f>
        <v>#N/A</v>
      </c>
      <c r="G134" s="18">
        <v>46092</v>
      </c>
      <c r="H134" s="14">
        <v>0.26950231481481479</v>
      </c>
      <c r="I134" s="7" t="s">
        <v>10</v>
      </c>
      <c r="J134" s="2" t="str">
        <f t="shared" si="10"/>
        <v>Q4</v>
      </c>
      <c r="K134" s="2" t="str">
        <f t="shared" si="11"/>
        <v>Not Match</v>
      </c>
      <c r="L134" s="2">
        <f t="shared" si="12"/>
        <v>0.60827625302982191</v>
      </c>
      <c r="M134" s="2" t="e">
        <f t="shared" si="13"/>
        <v>#N/A</v>
      </c>
      <c r="N134" s="2" t="str">
        <f t="shared" si="14"/>
        <v>Q NOT OK dE&gt;0.8</v>
      </c>
      <c r="O134" s="7">
        <v>26.9</v>
      </c>
      <c r="P134" s="7">
        <v>11.4</v>
      </c>
      <c r="Q134" s="7">
        <v>9.4</v>
      </c>
      <c r="R134" s="7">
        <v>-0.23</v>
      </c>
      <c r="S134" s="7">
        <v>0.1</v>
      </c>
      <c r="T134" s="7">
        <v>-0.6</v>
      </c>
      <c r="U134" s="7">
        <v>-0.21</v>
      </c>
      <c r="V134" s="7">
        <v>-0.79</v>
      </c>
      <c r="W134" s="7">
        <v>0.85</v>
      </c>
      <c r="X134" s="7" t="s">
        <v>13</v>
      </c>
      <c r="Y134" s="7" t="s">
        <v>9</v>
      </c>
      <c r="Z134" s="2" t="s">
        <v>718</v>
      </c>
      <c r="AA134" s="2" t="s">
        <v>721</v>
      </c>
    </row>
    <row r="135" spans="1:27" x14ac:dyDescent="0.35">
      <c r="A135" s="7" t="s">
        <v>1509</v>
      </c>
      <c r="B135" s="7" t="s">
        <v>754</v>
      </c>
      <c r="C135" s="7" t="str">
        <f>_xlfn.XLOOKUP(B135,'[1]Sheet 1'!$A$2:$A$11107,'[1]Sheet 1'!$D$2:$D$11107,"",0)</f>
        <v>LBI</v>
      </c>
      <c r="D135" s="4" t="str">
        <f>_xlfn.XLOOKUP(A135,[3]Sheet2!$I$2:$I$1623,[3]Sheet2!$D$2:$D$1623,"",0)</f>
        <v>Q2</v>
      </c>
      <c r="E135" s="4" t="s">
        <v>1828</v>
      </c>
      <c r="F135" s="4" t="e">
        <f>_xlfn.XLOOKUP(B135,[2]Sheet2!$E$2:$E$713,[2]Sheet2!$G$2:$G$713)</f>
        <v>#N/A</v>
      </c>
      <c r="G135" s="18">
        <v>46092</v>
      </c>
      <c r="H135" s="14">
        <v>0.28399305555555554</v>
      </c>
      <c r="I135" s="7" t="s">
        <v>14</v>
      </c>
      <c r="J135" s="2" t="str">
        <f t="shared" si="10"/>
        <v>Q2</v>
      </c>
      <c r="K135" s="2" t="str">
        <f t="shared" si="11"/>
        <v>Match</v>
      </c>
      <c r="L135" s="2">
        <f t="shared" si="12"/>
        <v>0.1</v>
      </c>
      <c r="M135" s="2" t="e">
        <f t="shared" si="13"/>
        <v>#N/A</v>
      </c>
      <c r="N135" s="2" t="str">
        <f t="shared" si="14"/>
        <v>Q OK dE&lt;=0.8</v>
      </c>
      <c r="O135" s="7">
        <v>16.100000000000001</v>
      </c>
      <c r="P135" s="7">
        <v>-0.8</v>
      </c>
      <c r="Q135" s="7">
        <v>-3</v>
      </c>
      <c r="R135" s="7">
        <v>-0.22</v>
      </c>
      <c r="S135" s="7">
        <v>0</v>
      </c>
      <c r="T135" s="7">
        <v>0.1</v>
      </c>
      <c r="U135" s="7">
        <v>-0.2</v>
      </c>
      <c r="V135" s="7">
        <v>0.05</v>
      </c>
      <c r="W135" s="7">
        <v>0.3</v>
      </c>
      <c r="X135" s="7" t="s">
        <v>8</v>
      </c>
      <c r="Y135" s="7" t="s">
        <v>9</v>
      </c>
      <c r="Z135" s="2" t="s">
        <v>718</v>
      </c>
      <c r="AA135" s="2" t="s">
        <v>721</v>
      </c>
    </row>
    <row r="136" spans="1:27" x14ac:dyDescent="0.35">
      <c r="A136" s="7" t="s">
        <v>1543</v>
      </c>
      <c r="B136" s="7" t="s">
        <v>826</v>
      </c>
      <c r="C136" s="7" t="str">
        <f>_xlfn.XLOOKUP(B136,'[1]Sheet 1'!$A$2:$A$11107,'[1]Sheet 1'!$D$2:$D$11107,"",0)</f>
        <v>VSS</v>
      </c>
      <c r="D136" s="4" t="str">
        <f>_xlfn.XLOOKUP(A136,[3]Sheet2!$I$2:$I$1623,[3]Sheet2!$D$2:$D$1623,"",0)</f>
        <v>Q3</v>
      </c>
      <c r="E136" s="4" t="s">
        <v>1828</v>
      </c>
      <c r="F136" s="4" t="e">
        <f>_xlfn.XLOOKUP(B136,[2]Sheet2!$E$2:$E$713,[2]Sheet2!$G$2:$G$713)</f>
        <v>#N/A</v>
      </c>
      <c r="G136" s="18">
        <v>46092</v>
      </c>
      <c r="H136" s="14">
        <v>0.7333101851851852</v>
      </c>
      <c r="I136" s="7" t="s">
        <v>11</v>
      </c>
      <c r="J136" s="2" t="str">
        <f t="shared" si="10"/>
        <v>Q3</v>
      </c>
      <c r="K136" s="2" t="str">
        <f t="shared" si="11"/>
        <v>Match</v>
      </c>
      <c r="L136" s="2">
        <f t="shared" si="12"/>
        <v>0.28284271247461906</v>
      </c>
      <c r="M136" s="2" t="e">
        <f t="shared" si="13"/>
        <v>#N/A</v>
      </c>
      <c r="N136" s="2" t="str">
        <f t="shared" si="14"/>
        <v>Q OK dE&lt;=0.8</v>
      </c>
      <c r="O136" s="7">
        <v>25.5</v>
      </c>
      <c r="P136" s="7">
        <v>6.4</v>
      </c>
      <c r="Q136" s="7">
        <v>7.5</v>
      </c>
      <c r="R136" s="7">
        <v>-0.36</v>
      </c>
      <c r="S136" s="7">
        <v>-0.2</v>
      </c>
      <c r="T136" s="7">
        <v>-0.2</v>
      </c>
      <c r="U136" s="7">
        <v>-0.28000000000000003</v>
      </c>
      <c r="V136" s="7">
        <v>-0.05</v>
      </c>
      <c r="W136" s="7">
        <v>0.46</v>
      </c>
      <c r="X136" s="7" t="s">
        <v>8</v>
      </c>
      <c r="Y136" s="7" t="s">
        <v>9</v>
      </c>
      <c r="Z136" s="2" t="s">
        <v>718</v>
      </c>
      <c r="AA136" s="2" t="s">
        <v>721</v>
      </c>
    </row>
    <row r="137" spans="1:27" x14ac:dyDescent="0.35">
      <c r="A137" s="7" t="s">
        <v>1676</v>
      </c>
      <c r="B137" s="7" t="s">
        <v>736</v>
      </c>
      <c r="C137" s="7" t="str">
        <f>_xlfn.XLOOKUP(B137,'[1]Sheet 1'!$A$2:$A$11107,'[1]Sheet 1'!$D$2:$D$11107,"",0)</f>
        <v>PINK</v>
      </c>
      <c r="D137" s="4" t="str">
        <f>_xlfn.XLOOKUP(A137,[3]Sheet2!$I$2:$I$1623,[3]Sheet2!$D$2:$D$1623,"",0)</f>
        <v>Q2</v>
      </c>
      <c r="E137" s="4" t="s">
        <v>1828</v>
      </c>
      <c r="F137" s="4" t="e">
        <f>_xlfn.XLOOKUP(B137,[2]Sheet2!$E$2:$E$713,[2]Sheet2!$G$2:$G$713)</f>
        <v>#N/A</v>
      </c>
      <c r="G137" s="18">
        <v>46092</v>
      </c>
      <c r="H137" s="14">
        <v>0.28126157407407409</v>
      </c>
      <c r="I137" s="7" t="s">
        <v>10</v>
      </c>
      <c r="J137" s="2" t="str">
        <f t="shared" si="10"/>
        <v>Q3</v>
      </c>
      <c r="K137" s="2" t="str">
        <f t="shared" si="11"/>
        <v>Not Match</v>
      </c>
      <c r="L137" s="2">
        <f t="shared" si="12"/>
        <v>0.98488578017961048</v>
      </c>
      <c r="M137" s="2" t="e">
        <f t="shared" si="13"/>
        <v>#N/A</v>
      </c>
      <c r="N137" s="2" t="str">
        <f t="shared" si="14"/>
        <v>Q NOT OK dE&gt;0.8</v>
      </c>
      <c r="O137" s="7">
        <v>27.8</v>
      </c>
      <c r="P137" s="7">
        <v>17.2</v>
      </c>
      <c r="Q137" s="7">
        <v>2.5</v>
      </c>
      <c r="R137" s="7">
        <v>0.76</v>
      </c>
      <c r="S137" s="7">
        <v>-0.4</v>
      </c>
      <c r="T137" s="7">
        <v>-0.9</v>
      </c>
      <c r="U137" s="7">
        <v>-0.4</v>
      </c>
      <c r="V137" s="7">
        <v>-0.88</v>
      </c>
      <c r="W137" s="7">
        <v>1.23</v>
      </c>
      <c r="X137" s="7" t="s">
        <v>6</v>
      </c>
      <c r="Y137" s="7" t="s">
        <v>7</v>
      </c>
      <c r="Z137" s="2" t="s">
        <v>718</v>
      </c>
      <c r="AA137" s="2" t="s">
        <v>721</v>
      </c>
    </row>
    <row r="138" spans="1:27" x14ac:dyDescent="0.35">
      <c r="A138" s="7" t="s">
        <v>1676</v>
      </c>
      <c r="B138" s="7" t="s">
        <v>753</v>
      </c>
      <c r="C138" s="7" t="str">
        <f>_xlfn.XLOOKUP(B138,'[1]Sheet 1'!$A$2:$A$11107,'[1]Sheet 1'!$D$2:$D$11107,"",0)</f>
        <v>PINK</v>
      </c>
      <c r="D138" s="4" t="str">
        <f>_xlfn.XLOOKUP(A138,[3]Sheet2!$I$2:$I$1623,[3]Sheet2!$D$2:$D$1623,"",0)</f>
        <v>Q2</v>
      </c>
      <c r="E138" s="4" t="s">
        <v>1828</v>
      </c>
      <c r="F138" s="4" t="e">
        <f>_xlfn.XLOOKUP(B138,[2]Sheet2!$E$2:$E$713,[2]Sheet2!$G$2:$G$713)</f>
        <v>#N/A</v>
      </c>
      <c r="G138" s="18">
        <v>46092</v>
      </c>
      <c r="H138" s="14">
        <v>0.27858796296296295</v>
      </c>
      <c r="I138" s="7" t="s">
        <v>10</v>
      </c>
      <c r="J138" s="2" t="str">
        <f t="shared" si="10"/>
        <v>Q2</v>
      </c>
      <c r="K138" s="2" t="str">
        <f t="shared" si="11"/>
        <v>Match</v>
      </c>
      <c r="L138" s="2">
        <f t="shared" si="12"/>
        <v>0.63245553203367588</v>
      </c>
      <c r="M138" s="2" t="e">
        <f t="shared" si="13"/>
        <v>#N/A</v>
      </c>
      <c r="N138" s="2" t="str">
        <f t="shared" si="14"/>
        <v>Q OK dE&gt;0.8</v>
      </c>
      <c r="O138" s="7">
        <v>27.3</v>
      </c>
      <c r="P138" s="7">
        <v>17.399999999999999</v>
      </c>
      <c r="Q138" s="7">
        <v>4.2</v>
      </c>
      <c r="R138" s="7">
        <v>0.39</v>
      </c>
      <c r="S138" s="7">
        <v>-0.2</v>
      </c>
      <c r="T138" s="7">
        <v>0.6</v>
      </c>
      <c r="U138" s="7">
        <v>-0.05</v>
      </c>
      <c r="V138" s="7">
        <v>0.71</v>
      </c>
      <c r="W138" s="7">
        <v>0.81</v>
      </c>
      <c r="X138" s="7" t="s">
        <v>13</v>
      </c>
      <c r="Y138" s="7" t="s">
        <v>12</v>
      </c>
      <c r="Z138" s="2" t="s">
        <v>718</v>
      </c>
      <c r="AA138" s="2" t="s">
        <v>721</v>
      </c>
    </row>
    <row r="139" spans="1:27" x14ac:dyDescent="0.35">
      <c r="A139" s="7" t="s">
        <v>1681</v>
      </c>
      <c r="B139" s="7" t="s">
        <v>755</v>
      </c>
      <c r="C139" s="7" t="str">
        <f>_xlfn.XLOOKUP(B139,'[1]Sheet 1'!$A$2:$A$11107,'[1]Sheet 1'!$D$2:$D$11107,"",0)</f>
        <v>CK</v>
      </c>
      <c r="D139" s="4" t="str">
        <f>_xlfn.XLOOKUP(A139,[3]Sheet2!$I$2:$I$1623,[3]Sheet2!$D$2:$D$1623,"",0)</f>
        <v>Q4</v>
      </c>
      <c r="E139" s="4" t="s">
        <v>1827</v>
      </c>
      <c r="F139" s="4" t="e">
        <f>_xlfn.XLOOKUP(B139,[2]Sheet2!$E$2:$E$713,[2]Sheet2!$G$2:$G$713)</f>
        <v>#N/A</v>
      </c>
      <c r="G139" s="18">
        <v>46092</v>
      </c>
      <c r="H139" s="14">
        <v>0.26172453703703702</v>
      </c>
      <c r="I139" s="7" t="s">
        <v>11</v>
      </c>
      <c r="J139" s="2" t="str">
        <f t="shared" si="10"/>
        <v>Q3</v>
      </c>
      <c r="K139" s="2" t="str">
        <f t="shared" si="11"/>
        <v>Not Match</v>
      </c>
      <c r="L139" s="2">
        <f t="shared" si="12"/>
        <v>0.70710678118654746</v>
      </c>
      <c r="M139" s="2" t="e">
        <f t="shared" si="13"/>
        <v>#N/A</v>
      </c>
      <c r="N139" s="2" t="str">
        <f t="shared" si="14"/>
        <v>Q NOT OK dE&gt;0.8</v>
      </c>
      <c r="O139" s="7">
        <v>21</v>
      </c>
      <c r="P139" s="7">
        <v>-0.7</v>
      </c>
      <c r="Q139" s="7">
        <v>-9.4</v>
      </c>
      <c r="R139" s="7">
        <v>1.35</v>
      </c>
      <c r="S139" s="7">
        <v>-0.1</v>
      </c>
      <c r="T139" s="7">
        <v>-0.7</v>
      </c>
      <c r="U139" s="7">
        <v>0.67</v>
      </c>
      <c r="V139" s="7">
        <v>-0.08</v>
      </c>
      <c r="W139" s="7">
        <v>1.51</v>
      </c>
      <c r="X139" s="7" t="s">
        <v>6</v>
      </c>
      <c r="Y139" s="7" t="s">
        <v>15</v>
      </c>
      <c r="Z139" s="2" t="s">
        <v>718</v>
      </c>
      <c r="AA139" s="2" t="s">
        <v>721</v>
      </c>
    </row>
    <row r="140" spans="1:27" x14ac:dyDescent="0.35">
      <c r="A140" s="7" t="s">
        <v>1666</v>
      </c>
      <c r="B140" s="7" t="s">
        <v>833</v>
      </c>
      <c r="C140" s="7" t="str">
        <f>_xlfn.XLOOKUP(B140,'[1]Sheet 1'!$A$2:$A$11107,'[1]Sheet 1'!$D$2:$D$11107,"",0)</f>
        <v>WACE</v>
      </c>
      <c r="D140" s="4" t="str">
        <f>_xlfn.XLOOKUP(A140,[3]Sheet2!$I$2:$I$1623,[3]Sheet2!$D$2:$D$1623,"",0)</f>
        <v>Q3</v>
      </c>
      <c r="E140" s="4" t="s">
        <v>1828</v>
      </c>
      <c r="F140" s="4" t="e">
        <f>_xlfn.XLOOKUP(B140,[2]Sheet2!$E$2:$E$713,[2]Sheet2!$G$2:$G$713)</f>
        <v>#N/A</v>
      </c>
      <c r="G140" s="18">
        <v>46093</v>
      </c>
      <c r="H140" s="14">
        <v>0.60368055555555555</v>
      </c>
      <c r="I140" s="7" t="s">
        <v>4</v>
      </c>
      <c r="J140" s="2" t="str">
        <f t="shared" si="10"/>
        <v>Q3</v>
      </c>
      <c r="K140" s="2" t="str">
        <f t="shared" si="11"/>
        <v>Match</v>
      </c>
      <c r="L140" s="2">
        <f t="shared" si="12"/>
        <v>0.22360679774997899</v>
      </c>
      <c r="M140" s="2" t="e">
        <f t="shared" si="13"/>
        <v>#N/A</v>
      </c>
      <c r="N140" s="2" t="str">
        <f t="shared" si="14"/>
        <v>Q OK dE&lt;=0.8</v>
      </c>
      <c r="O140" s="7">
        <v>16.600000000000001</v>
      </c>
      <c r="P140" s="7">
        <v>0</v>
      </c>
      <c r="Q140" s="7">
        <v>-1.1000000000000001</v>
      </c>
      <c r="R140" s="7">
        <v>-0.06</v>
      </c>
      <c r="S140" s="7">
        <v>-0.1</v>
      </c>
      <c r="T140" s="7">
        <v>-0.2</v>
      </c>
      <c r="U140" s="7">
        <v>0.28000000000000003</v>
      </c>
      <c r="V140" s="7">
        <v>-0.3</v>
      </c>
      <c r="W140" s="7">
        <v>0.41</v>
      </c>
      <c r="X140" s="7" t="s">
        <v>8</v>
      </c>
      <c r="Y140" s="7" t="s">
        <v>15</v>
      </c>
      <c r="Z140" s="2" t="s">
        <v>718</v>
      </c>
      <c r="AA140" s="2" t="s">
        <v>721</v>
      </c>
    </row>
    <row r="141" spans="1:27" x14ac:dyDescent="0.35">
      <c r="A141" s="7" t="s">
        <v>1520</v>
      </c>
      <c r="B141" s="7" t="s">
        <v>835</v>
      </c>
      <c r="C141" s="7" t="str">
        <f>_xlfn.XLOOKUP(B141,'[1]Sheet 1'!$A$2:$A$11107,'[1]Sheet 1'!$D$2:$D$11107,"",0)</f>
        <v>VSS</v>
      </c>
      <c r="D141" s="4" t="str">
        <f>_xlfn.XLOOKUP(A141,[3]Sheet2!$I$2:$I$1623,[3]Sheet2!$D$2:$D$1623,"",0)</f>
        <v>Q1</v>
      </c>
      <c r="E141" s="4" t="s">
        <v>1828</v>
      </c>
      <c r="F141" s="4" t="e">
        <f>_xlfn.XLOOKUP(B141,[2]Sheet2!$E$2:$E$713,[2]Sheet2!$G$2:$G$713)</f>
        <v>#N/A</v>
      </c>
      <c r="G141" s="18">
        <v>46093</v>
      </c>
      <c r="H141" s="14">
        <v>0.85842592592592593</v>
      </c>
      <c r="I141" s="7" t="s">
        <v>10</v>
      </c>
      <c r="J141" s="2" t="str">
        <f t="shared" si="10"/>
        <v>Q1</v>
      </c>
      <c r="K141" s="2" t="str">
        <f t="shared" si="11"/>
        <v>Match</v>
      </c>
      <c r="L141" s="2">
        <f t="shared" si="12"/>
        <v>0.4</v>
      </c>
      <c r="M141" s="2" t="e">
        <f t="shared" si="13"/>
        <v>#N/A</v>
      </c>
      <c r="N141" s="2" t="str">
        <f t="shared" si="14"/>
        <v>Q OK dE&gt;0.8</v>
      </c>
      <c r="O141" s="7">
        <v>26.6</v>
      </c>
      <c r="P141" s="7">
        <v>11.8</v>
      </c>
      <c r="Q141" s="7">
        <v>10.7</v>
      </c>
      <c r="R141" s="7">
        <v>-0.66</v>
      </c>
      <c r="S141" s="7">
        <v>0</v>
      </c>
      <c r="T141" s="7">
        <v>0.4</v>
      </c>
      <c r="U141" s="7">
        <v>0.18</v>
      </c>
      <c r="V141" s="7">
        <v>0.51</v>
      </c>
      <c r="W141" s="7">
        <v>0.85</v>
      </c>
      <c r="X141" s="7" t="s">
        <v>13</v>
      </c>
      <c r="Y141" s="7" t="s">
        <v>12</v>
      </c>
      <c r="Z141" s="2" t="s">
        <v>718</v>
      </c>
      <c r="AA141" s="2" t="s">
        <v>721</v>
      </c>
    </row>
    <row r="142" spans="1:27" x14ac:dyDescent="0.35">
      <c r="A142" s="7" t="s">
        <v>1668</v>
      </c>
      <c r="B142" s="7" t="s">
        <v>760</v>
      </c>
      <c r="C142" s="7" t="str">
        <f>_xlfn.XLOOKUP(B142,'[1]Sheet 1'!$A$2:$A$11107,'[1]Sheet 1'!$D$2:$D$11107,"",0)</f>
        <v>VSS</v>
      </c>
      <c r="D142" s="4" t="str">
        <f>_xlfn.XLOOKUP(A142,[3]Sheet2!$I$2:$I$1623,[3]Sheet2!$D$2:$D$1623,"",0)</f>
        <v>Q4</v>
      </c>
      <c r="E142" s="4" t="s">
        <v>1828</v>
      </c>
      <c r="F142" s="4" t="e">
        <f>_xlfn.XLOOKUP(B142,[2]Sheet2!$E$2:$E$713,[2]Sheet2!$G$2:$G$713)</f>
        <v>#N/A</v>
      </c>
      <c r="G142" s="18">
        <v>46093</v>
      </c>
      <c r="H142" s="14">
        <v>0.73228009259259264</v>
      </c>
      <c r="I142" s="7" t="s">
        <v>10</v>
      </c>
      <c r="J142" s="2" t="str">
        <f t="shared" si="10"/>
        <v>Q1</v>
      </c>
      <c r="K142" s="2" t="str">
        <f t="shared" si="11"/>
        <v>Not Match</v>
      </c>
      <c r="L142" s="2">
        <f t="shared" si="12"/>
        <v>1.0440306508910551</v>
      </c>
      <c r="M142" s="2" t="e">
        <f t="shared" si="13"/>
        <v>#N/A</v>
      </c>
      <c r="N142" s="2" t="str">
        <f t="shared" si="14"/>
        <v>Q NOT OK dE&lt;=0.8</v>
      </c>
      <c r="O142" s="7">
        <v>50.9</v>
      </c>
      <c r="P142" s="7">
        <v>48.2</v>
      </c>
      <c r="Q142" s="7">
        <v>-1</v>
      </c>
      <c r="R142" s="7">
        <v>-0.32</v>
      </c>
      <c r="S142" s="7">
        <v>0.3</v>
      </c>
      <c r="T142" s="7">
        <v>1</v>
      </c>
      <c r="U142" s="7">
        <v>0.11</v>
      </c>
      <c r="V142" s="7">
        <v>0.62</v>
      </c>
      <c r="W142" s="7">
        <v>0.71</v>
      </c>
      <c r="X142" s="7" t="s">
        <v>8</v>
      </c>
      <c r="Y142" s="7" t="s">
        <v>9</v>
      </c>
      <c r="Z142" s="2" t="s">
        <v>718</v>
      </c>
      <c r="AA142" s="2" t="s">
        <v>721</v>
      </c>
    </row>
    <row r="143" spans="1:27" x14ac:dyDescent="0.35">
      <c r="A143" s="7" t="s">
        <v>1642</v>
      </c>
      <c r="B143" s="7" t="s">
        <v>758</v>
      </c>
      <c r="C143" s="7" t="str">
        <f>_xlfn.XLOOKUP(B143,'[1]Sheet 1'!$A$2:$A$11107,'[1]Sheet 1'!$D$2:$D$11107,"",0)</f>
        <v>PINK</v>
      </c>
      <c r="D143" s="4" t="str">
        <f>_xlfn.XLOOKUP(A143,[3]Sheet2!$I$2:$I$1623,[3]Sheet2!$D$2:$D$1623,"",0)</f>
        <v>Q3</v>
      </c>
      <c r="E143" s="4" t="s">
        <v>1828</v>
      </c>
      <c r="F143" s="4" t="e">
        <f>_xlfn.XLOOKUP(B143,[2]Sheet2!$E$2:$E$713,[2]Sheet2!$G$2:$G$713)</f>
        <v>#N/A</v>
      </c>
      <c r="G143" s="18">
        <v>46093</v>
      </c>
      <c r="H143" s="14">
        <v>0.72143518518518523</v>
      </c>
      <c r="I143" s="7" t="s">
        <v>10</v>
      </c>
      <c r="J143" s="2" t="str">
        <f t="shared" si="10"/>
        <v>Q1</v>
      </c>
      <c r="K143" s="2" t="str">
        <f t="shared" si="11"/>
        <v>Not Match</v>
      </c>
      <c r="L143" s="2">
        <f t="shared" si="12"/>
        <v>1.5264337522473748</v>
      </c>
      <c r="M143" s="2" t="e">
        <f t="shared" si="13"/>
        <v>#N/A</v>
      </c>
      <c r="N143" s="2" t="str">
        <f t="shared" si="14"/>
        <v>Q NOT OK dE&gt;0.8</v>
      </c>
      <c r="O143" s="7">
        <v>22.3</v>
      </c>
      <c r="P143" s="7">
        <v>18.100000000000001</v>
      </c>
      <c r="Q143" s="7">
        <v>2.6</v>
      </c>
      <c r="R143" s="7">
        <v>0.12</v>
      </c>
      <c r="S143" s="7">
        <v>1.3</v>
      </c>
      <c r="T143" s="7">
        <v>0.8</v>
      </c>
      <c r="U143" s="7">
        <v>0.92</v>
      </c>
      <c r="V143" s="7">
        <v>0.62</v>
      </c>
      <c r="W143" s="7">
        <v>1.1100000000000001</v>
      </c>
      <c r="X143" s="7" t="s">
        <v>6</v>
      </c>
      <c r="Y143" s="7" t="s">
        <v>9</v>
      </c>
      <c r="Z143" s="2" t="s">
        <v>718</v>
      </c>
      <c r="AA143" s="2" t="s">
        <v>721</v>
      </c>
    </row>
    <row r="144" spans="1:27" x14ac:dyDescent="0.35">
      <c r="A144" s="7" t="s">
        <v>1708</v>
      </c>
      <c r="B144" s="7" t="s">
        <v>832</v>
      </c>
      <c r="C144" s="7" t="str">
        <f>_xlfn.XLOOKUP(B144,'[1]Sheet 1'!$A$2:$A$11107,'[1]Sheet 1'!$D$2:$D$11107,"",0)</f>
        <v>THEU</v>
      </c>
      <c r="D144" s="4" t="str">
        <f>_xlfn.XLOOKUP(A144,[3]Sheet2!$I$2:$I$1623,[3]Sheet2!$D$2:$D$1623,"",0)</f>
        <v>Q1</v>
      </c>
      <c r="E144" s="4" t="s">
        <v>1828</v>
      </c>
      <c r="F144" s="4" t="e">
        <f>_xlfn.XLOOKUP(B144,[2]Sheet2!$E$2:$E$713,[2]Sheet2!$G$2:$G$713)</f>
        <v>#N/A</v>
      </c>
      <c r="G144" s="18">
        <v>46093</v>
      </c>
      <c r="H144" s="14">
        <v>0.39648148148148149</v>
      </c>
      <c r="I144" s="7" t="s">
        <v>11</v>
      </c>
      <c r="J144" s="2" t="str">
        <f t="shared" si="10"/>
        <v>Q1</v>
      </c>
      <c r="K144" s="2" t="str">
        <f t="shared" si="11"/>
        <v>Match</v>
      </c>
      <c r="L144" s="2">
        <f t="shared" si="12"/>
        <v>1.3038404810405297</v>
      </c>
      <c r="M144" s="2" t="e">
        <f t="shared" si="13"/>
        <v>#N/A</v>
      </c>
      <c r="N144" s="2" t="str">
        <f t="shared" si="14"/>
        <v>Q OK dE&lt;=0.8</v>
      </c>
      <c r="O144" s="7">
        <v>33.700000000000003</v>
      </c>
      <c r="P144" s="7">
        <v>40.200000000000003</v>
      </c>
      <c r="Q144" s="7">
        <v>23</v>
      </c>
      <c r="R144" s="7">
        <v>-0.06</v>
      </c>
      <c r="S144" s="7">
        <v>1.3</v>
      </c>
      <c r="T144" s="7">
        <v>0.1</v>
      </c>
      <c r="U144" s="7">
        <v>0.49</v>
      </c>
      <c r="V144" s="7">
        <v>-0.43</v>
      </c>
      <c r="W144" s="7">
        <v>0.65</v>
      </c>
      <c r="X144" s="7" t="s">
        <v>8</v>
      </c>
      <c r="Y144" s="7" t="s">
        <v>7</v>
      </c>
      <c r="Z144" s="2" t="s">
        <v>718</v>
      </c>
      <c r="AA144" s="2" t="s">
        <v>721</v>
      </c>
    </row>
    <row r="145" spans="1:27" x14ac:dyDescent="0.35">
      <c r="A145" s="7" t="s">
        <v>1710</v>
      </c>
      <c r="B145" s="7" t="s">
        <v>759</v>
      </c>
      <c r="C145" s="7" t="str">
        <f>_xlfn.XLOOKUP(B145,'[1]Sheet 1'!$A$2:$A$11107,'[1]Sheet 1'!$D$2:$D$11107,"",0)</f>
        <v>NIK</v>
      </c>
      <c r="D145" s="4" t="str">
        <f>_xlfn.XLOOKUP(A145,[3]Sheet2!$I$2:$I$1623,[3]Sheet2!$D$2:$D$1623,"",0)</f>
        <v>Q2</v>
      </c>
      <c r="E145" s="4" t="s">
        <v>1827</v>
      </c>
      <c r="F145" s="4" t="e">
        <f>_xlfn.XLOOKUP(B145,[2]Sheet2!$E$2:$E$713,[2]Sheet2!$G$2:$G$713)</f>
        <v>#N/A</v>
      </c>
      <c r="G145" s="18">
        <v>46093</v>
      </c>
      <c r="H145" s="14">
        <v>0.72905092592592591</v>
      </c>
      <c r="I145" s="7" t="s">
        <v>4</v>
      </c>
      <c r="J145" s="2" t="str">
        <f t="shared" si="10"/>
        <v>Q2</v>
      </c>
      <c r="K145" s="2" t="str">
        <f t="shared" si="11"/>
        <v>Match</v>
      </c>
      <c r="L145" s="2">
        <f t="shared" si="12"/>
        <v>0.2</v>
      </c>
      <c r="M145" s="2" t="e">
        <f t="shared" si="13"/>
        <v>#N/A</v>
      </c>
      <c r="N145" s="2" t="str">
        <f t="shared" si="14"/>
        <v>Q OK dE&lt;=0.8</v>
      </c>
      <c r="O145" s="7">
        <v>30.4</v>
      </c>
      <c r="P145" s="7">
        <v>9.6</v>
      </c>
      <c r="Q145" s="7">
        <v>-42.1</v>
      </c>
      <c r="R145" s="7">
        <v>0.08</v>
      </c>
      <c r="S145" s="7">
        <v>-0.2</v>
      </c>
      <c r="T145" s="20">
        <v>0</v>
      </c>
      <c r="U145" s="7">
        <v>-0.03</v>
      </c>
      <c r="V145" s="7">
        <v>-0.19</v>
      </c>
      <c r="W145" s="7">
        <v>0.21</v>
      </c>
      <c r="X145" s="7" t="s">
        <v>8</v>
      </c>
      <c r="Y145" s="7" t="s">
        <v>15</v>
      </c>
      <c r="Z145" s="2" t="s">
        <v>718</v>
      </c>
      <c r="AA145" s="2" t="s">
        <v>721</v>
      </c>
    </row>
    <row r="146" spans="1:27" x14ac:dyDescent="0.35">
      <c r="A146" s="7" t="s">
        <v>1662</v>
      </c>
      <c r="B146" s="7" t="s">
        <v>762</v>
      </c>
      <c r="C146" s="7" t="str">
        <f>_xlfn.XLOOKUP(B146,'[1]Sheet 1'!$A$2:$A$11107,'[1]Sheet 1'!$D$2:$D$11107,"",0)</f>
        <v>CK</v>
      </c>
      <c r="D146" s="4" t="str">
        <f>_xlfn.XLOOKUP(A146,[3]Sheet2!$I$2:$I$1623,[3]Sheet2!$D$2:$D$1623,"",0)</f>
        <v>Q1</v>
      </c>
      <c r="E146" s="4" t="s">
        <v>1828</v>
      </c>
      <c r="F146" s="4" t="e">
        <f>_xlfn.XLOOKUP(B146,[2]Sheet2!$E$2:$E$713,[2]Sheet2!$G$2:$G$713)</f>
        <v>#N/A</v>
      </c>
      <c r="G146" s="18">
        <v>46093</v>
      </c>
      <c r="H146" s="14">
        <v>0.76747685185185188</v>
      </c>
      <c r="I146" s="7" t="s">
        <v>11</v>
      </c>
      <c r="J146" s="2" t="str">
        <f t="shared" si="10"/>
        <v>Q1</v>
      </c>
      <c r="K146" s="2" t="str">
        <f t="shared" si="11"/>
        <v>Match</v>
      </c>
      <c r="L146" s="2">
        <f t="shared" si="12"/>
        <v>0.31622776601683794</v>
      </c>
      <c r="M146" s="2" t="e">
        <f t="shared" si="13"/>
        <v>#N/A</v>
      </c>
      <c r="N146" s="2" t="str">
        <f t="shared" si="14"/>
        <v>Q OK dE&lt;=0.8</v>
      </c>
      <c r="O146" s="7">
        <v>17</v>
      </c>
      <c r="P146" s="7">
        <v>-1.2</v>
      </c>
      <c r="Q146" s="7">
        <v>-2.2999999999999998</v>
      </c>
      <c r="R146" s="7">
        <v>0.08</v>
      </c>
      <c r="S146" s="7">
        <v>0.1</v>
      </c>
      <c r="T146" s="7">
        <v>0.3</v>
      </c>
      <c r="U146" s="7">
        <v>-0.41</v>
      </c>
      <c r="V146" s="7">
        <v>-0.02</v>
      </c>
      <c r="W146" s="7">
        <v>0.42</v>
      </c>
      <c r="X146" s="7" t="s">
        <v>8</v>
      </c>
      <c r="Y146" s="7" t="s">
        <v>15</v>
      </c>
      <c r="Z146" s="2" t="s">
        <v>718</v>
      </c>
      <c r="AA146" s="2" t="s">
        <v>721</v>
      </c>
    </row>
    <row r="147" spans="1:27" x14ac:dyDescent="0.35">
      <c r="A147" s="7" t="s">
        <v>1709</v>
      </c>
      <c r="B147" s="7" t="s">
        <v>834</v>
      </c>
      <c r="C147" s="7" t="str">
        <f>_xlfn.XLOOKUP(B147,'[1]Sheet 1'!$A$2:$A$11107,'[1]Sheet 1'!$D$2:$D$11107,"",0)</f>
        <v>GAP</v>
      </c>
      <c r="D147" s="4" t="str">
        <f>_xlfn.XLOOKUP(A147,[3]Sheet2!$I$2:$I$1623,[3]Sheet2!$D$2:$D$1623,"",0)</f>
        <v>Q2</v>
      </c>
      <c r="E147" s="4" t="s">
        <v>1828</v>
      </c>
      <c r="F147" s="4" t="e">
        <f>_xlfn.XLOOKUP(B147,[2]Sheet2!$E$2:$E$713,[2]Sheet2!$G$2:$G$713)</f>
        <v>#N/A</v>
      </c>
      <c r="G147" s="18">
        <v>46093</v>
      </c>
      <c r="H147" s="14">
        <v>0.60516203703703708</v>
      </c>
      <c r="I147" s="7" t="s">
        <v>14</v>
      </c>
      <c r="J147" s="2" t="str">
        <f t="shared" si="10"/>
        <v>Q3</v>
      </c>
      <c r="K147" s="2" t="str">
        <f t="shared" si="11"/>
        <v>Not Match</v>
      </c>
      <c r="L147" s="2">
        <f t="shared" si="12"/>
        <v>0.67082039324993692</v>
      </c>
      <c r="M147" s="2" t="e">
        <f t="shared" si="13"/>
        <v>#N/A</v>
      </c>
      <c r="N147" s="2" t="str">
        <f t="shared" si="14"/>
        <v>Q NOT OK dE&gt;0.8</v>
      </c>
      <c r="O147" s="7">
        <v>13.3</v>
      </c>
      <c r="P147" s="7">
        <v>-0.5</v>
      </c>
      <c r="Q147" s="7">
        <v>-3.5</v>
      </c>
      <c r="R147" s="7">
        <v>0.04</v>
      </c>
      <c r="S147" s="7">
        <v>-0.3</v>
      </c>
      <c r="T147" s="7">
        <v>-0.6</v>
      </c>
      <c r="U147" s="7">
        <v>0.8</v>
      </c>
      <c r="V147" s="7">
        <v>-0.3</v>
      </c>
      <c r="W147" s="7">
        <v>0.86</v>
      </c>
      <c r="X147" s="7" t="s">
        <v>13</v>
      </c>
      <c r="Y147" s="7" t="s">
        <v>15</v>
      </c>
      <c r="Z147" s="2" t="s">
        <v>718</v>
      </c>
      <c r="AA147" s="2" t="s">
        <v>721</v>
      </c>
    </row>
    <row r="148" spans="1:27" x14ac:dyDescent="0.35">
      <c r="A148" s="7" t="s">
        <v>1666</v>
      </c>
      <c r="B148" s="7" t="s">
        <v>763</v>
      </c>
      <c r="C148" s="7" t="str">
        <f>_xlfn.XLOOKUP(B148,'[1]Sheet 1'!$A$2:$A$11107,'[1]Sheet 1'!$D$2:$D$11107,"",0)</f>
        <v>WACE</v>
      </c>
      <c r="D148" s="4" t="str">
        <f>_xlfn.XLOOKUP(A148,[3]Sheet2!$I$2:$I$1623,[3]Sheet2!$D$2:$D$1623,"",0)</f>
        <v>Q3</v>
      </c>
      <c r="E148" s="4" t="s">
        <v>1827</v>
      </c>
      <c r="F148" s="4" t="e">
        <f>_xlfn.XLOOKUP(B148,[2]Sheet2!$E$2:$E$713,[2]Sheet2!$G$2:$G$713)</f>
        <v>#N/A</v>
      </c>
      <c r="G148" s="18">
        <v>46093</v>
      </c>
      <c r="H148" s="14">
        <v>0.77012731481481478</v>
      </c>
      <c r="I148" s="7" t="s">
        <v>4</v>
      </c>
      <c r="J148" s="2" t="str">
        <f t="shared" si="10"/>
        <v>Q2</v>
      </c>
      <c r="K148" s="2" t="str">
        <f t="shared" si="11"/>
        <v>Not Match</v>
      </c>
      <c r="L148" s="2">
        <f t="shared" si="12"/>
        <v>0.31622776601683794</v>
      </c>
      <c r="M148" s="2" t="e">
        <f t="shared" si="13"/>
        <v>#N/A</v>
      </c>
      <c r="N148" s="2" t="str">
        <f t="shared" si="14"/>
        <v>Q NOT OK dE&lt;=0.8</v>
      </c>
      <c r="O148" s="7">
        <v>16.899999999999999</v>
      </c>
      <c r="P148" s="7">
        <v>0</v>
      </c>
      <c r="Q148" s="7">
        <v>-0.5</v>
      </c>
      <c r="R148" s="7">
        <v>0.17</v>
      </c>
      <c r="S148" s="7">
        <v>-0.1</v>
      </c>
      <c r="T148" s="7">
        <v>0.3</v>
      </c>
      <c r="U148" s="7">
        <v>-0.56999999999999995</v>
      </c>
      <c r="V148" s="7">
        <v>-7.0000000000000007E-2</v>
      </c>
      <c r="W148" s="7">
        <v>0.6</v>
      </c>
      <c r="X148" s="7" t="s">
        <v>8</v>
      </c>
      <c r="Y148" s="7" t="s">
        <v>15</v>
      </c>
      <c r="Z148" s="2" t="s">
        <v>718</v>
      </c>
      <c r="AA148" s="2" t="s">
        <v>721</v>
      </c>
    </row>
    <row r="149" spans="1:27" x14ac:dyDescent="0.35">
      <c r="A149" s="7" t="s">
        <v>1539</v>
      </c>
      <c r="B149" s="7" t="s">
        <v>773</v>
      </c>
      <c r="C149" s="7" t="str">
        <f>_xlfn.XLOOKUP(B149,'[1]Sheet 1'!$A$2:$A$11107,'[1]Sheet 1'!$D$2:$D$11107,"",0)</f>
        <v>M&amp;S</v>
      </c>
      <c r="D149" s="4" t="str">
        <f>_xlfn.XLOOKUP(A149,[3]Sheet2!$I$2:$I$1623,[3]Sheet2!$D$2:$D$1623,"",0)</f>
        <v>Q4</v>
      </c>
      <c r="E149" s="4" t="s">
        <v>1827</v>
      </c>
      <c r="F149" s="4" t="e">
        <f>_xlfn.XLOOKUP(B149,[2]Sheet2!$E$2:$E$713,[2]Sheet2!$G$2:$G$713)</f>
        <v>#N/A</v>
      </c>
      <c r="G149" s="18">
        <v>46094</v>
      </c>
      <c r="H149" s="14">
        <v>0.73091435185185183</v>
      </c>
      <c r="I149" s="7" t="s">
        <v>17</v>
      </c>
      <c r="J149" s="2" t="str">
        <f t="shared" si="10"/>
        <v>Q4</v>
      </c>
      <c r="K149" s="2" t="str">
        <f t="shared" si="11"/>
        <v>Match</v>
      </c>
      <c r="L149" s="2">
        <f t="shared" si="12"/>
        <v>1.1000000000000001</v>
      </c>
      <c r="M149" s="2" t="e">
        <f t="shared" si="13"/>
        <v>#N/A</v>
      </c>
      <c r="N149" s="2" t="str">
        <f t="shared" si="14"/>
        <v>Q OK dE&gt;0.8</v>
      </c>
      <c r="O149" s="7">
        <v>33.1</v>
      </c>
      <c r="P149" s="7">
        <v>-1</v>
      </c>
      <c r="Q149" s="7">
        <v>4.0999999999999996</v>
      </c>
      <c r="R149" s="7">
        <v>-0.54</v>
      </c>
      <c r="S149" s="7">
        <v>0</v>
      </c>
      <c r="T149" s="7">
        <v>1.1000000000000001</v>
      </c>
      <c r="U149" s="7">
        <v>1.32</v>
      </c>
      <c r="V149" s="7">
        <v>-0.52</v>
      </c>
      <c r="W149" s="7">
        <v>1.52</v>
      </c>
      <c r="X149" s="7" t="s">
        <v>6</v>
      </c>
      <c r="Y149" s="7" t="s">
        <v>12</v>
      </c>
      <c r="Z149" s="2" t="s">
        <v>718</v>
      </c>
      <c r="AA149" s="2" t="s">
        <v>721</v>
      </c>
    </row>
    <row r="150" spans="1:27" x14ac:dyDescent="0.35">
      <c r="A150" s="7" t="s">
        <v>1559</v>
      </c>
      <c r="B150" s="7" t="s">
        <v>836</v>
      </c>
      <c r="C150" s="7" t="str">
        <f>_xlfn.XLOOKUP(B150,'[1]Sheet 1'!$A$2:$A$11107,'[1]Sheet 1'!$D$2:$D$11107,"",0)</f>
        <v>VSS</v>
      </c>
      <c r="D150" s="4" t="str">
        <f>_xlfn.XLOOKUP(A150,[3]Sheet2!$I$2:$I$1623,[3]Sheet2!$D$2:$D$1623,"",0)</f>
        <v>Q3</v>
      </c>
      <c r="E150" s="4" t="s">
        <v>1828</v>
      </c>
      <c r="F150" s="4" t="e">
        <f>_xlfn.XLOOKUP(B150,[2]Sheet2!$E$2:$E$713,[2]Sheet2!$G$2:$G$713)</f>
        <v>#N/A</v>
      </c>
      <c r="G150" s="18">
        <v>46094</v>
      </c>
      <c r="H150" s="14">
        <v>3.6782407407407409E-2</v>
      </c>
      <c r="I150" s="7" t="s">
        <v>10</v>
      </c>
      <c r="J150" s="2" t="str">
        <f t="shared" si="10"/>
        <v>Q3</v>
      </c>
      <c r="K150" s="2" t="str">
        <f t="shared" si="11"/>
        <v>Match</v>
      </c>
      <c r="L150" s="2">
        <f t="shared" si="12"/>
        <v>0.1</v>
      </c>
      <c r="M150" s="2" t="e">
        <f t="shared" si="13"/>
        <v>#N/A</v>
      </c>
      <c r="N150" s="2" t="str">
        <f t="shared" si="14"/>
        <v>Q OK dE&lt;=0.8</v>
      </c>
      <c r="O150" s="7">
        <v>17.600000000000001</v>
      </c>
      <c r="P150" s="7">
        <v>-0.1</v>
      </c>
      <c r="Q150" s="7">
        <v>-2.4</v>
      </c>
      <c r="R150" s="7">
        <v>-0.31</v>
      </c>
      <c r="S150" s="7">
        <v>0</v>
      </c>
      <c r="T150" s="7">
        <v>-0.1</v>
      </c>
      <c r="U150" s="7">
        <v>0.23</v>
      </c>
      <c r="V150" s="7">
        <v>-0.06</v>
      </c>
      <c r="W150" s="7">
        <v>0.39</v>
      </c>
      <c r="X150" s="7" t="s">
        <v>8</v>
      </c>
      <c r="Y150" s="7" t="s">
        <v>15</v>
      </c>
      <c r="Z150" s="2" t="s">
        <v>718</v>
      </c>
      <c r="AA150" s="2" t="s">
        <v>721</v>
      </c>
    </row>
    <row r="151" spans="1:27" x14ac:dyDescent="0.35">
      <c r="A151" s="7" t="s">
        <v>1559</v>
      </c>
      <c r="B151" s="7" t="s">
        <v>772</v>
      </c>
      <c r="C151" s="7" t="str">
        <f>_xlfn.XLOOKUP(B151,'[1]Sheet 1'!$A$2:$A$11107,'[1]Sheet 1'!$D$2:$D$11107,"",0)</f>
        <v>VSS</v>
      </c>
      <c r="D151" s="4" t="str">
        <f>_xlfn.XLOOKUP(A151,[3]Sheet2!$I$2:$I$1623,[3]Sheet2!$D$2:$D$1623,"",0)</f>
        <v>Q3</v>
      </c>
      <c r="E151" s="4" t="s">
        <v>1828</v>
      </c>
      <c r="F151" s="4" t="e">
        <f>_xlfn.XLOOKUP(B151,[2]Sheet2!$E$2:$E$713,[2]Sheet2!$G$2:$G$713)</f>
        <v>#N/A</v>
      </c>
      <c r="G151" s="18">
        <v>46094</v>
      </c>
      <c r="H151" s="14">
        <v>0.71887731481481476</v>
      </c>
      <c r="I151" s="7" t="s">
        <v>10</v>
      </c>
      <c r="J151" s="2" t="str">
        <f t="shared" si="10"/>
        <v>Q4</v>
      </c>
      <c r="K151" s="2" t="str">
        <f t="shared" si="11"/>
        <v>Not Match</v>
      </c>
      <c r="L151" s="2">
        <f t="shared" si="12"/>
        <v>0.14142135623730953</v>
      </c>
      <c r="M151" s="2" t="e">
        <f t="shared" si="13"/>
        <v>#N/A</v>
      </c>
      <c r="N151" s="2" t="str">
        <f t="shared" si="14"/>
        <v>Q NOT OK dE&gt;0.8</v>
      </c>
      <c r="O151" s="7">
        <v>16.8</v>
      </c>
      <c r="P151" s="7">
        <v>0</v>
      </c>
      <c r="Q151" s="7">
        <v>-2.4</v>
      </c>
      <c r="R151" s="7">
        <v>-1.04</v>
      </c>
      <c r="S151" s="7">
        <v>0.1</v>
      </c>
      <c r="T151" s="7">
        <v>-0.1</v>
      </c>
      <c r="U151" s="7">
        <v>0.14000000000000001</v>
      </c>
      <c r="V151" s="7">
        <v>0.15</v>
      </c>
      <c r="W151" s="7">
        <v>1.06</v>
      </c>
      <c r="X151" s="7" t="s">
        <v>6</v>
      </c>
      <c r="Y151" s="7" t="s">
        <v>9</v>
      </c>
      <c r="Z151" s="2" t="s">
        <v>718</v>
      </c>
      <c r="AA151" s="2" t="s">
        <v>721</v>
      </c>
    </row>
    <row r="152" spans="1:27" x14ac:dyDescent="0.35">
      <c r="A152" s="7" t="s">
        <v>1559</v>
      </c>
      <c r="B152" s="7" t="s">
        <v>846</v>
      </c>
      <c r="C152" s="7" t="str">
        <f>_xlfn.XLOOKUP(B152,'[1]Sheet 1'!$A$2:$A$11107,'[1]Sheet 1'!$D$2:$D$11107,"",0)</f>
        <v>VSS</v>
      </c>
      <c r="D152" s="4" t="str">
        <f>_xlfn.XLOOKUP(A152,[3]Sheet2!$I$2:$I$1623,[3]Sheet2!$D$2:$D$1623,"",0)</f>
        <v>Q3</v>
      </c>
      <c r="E152" s="4" t="s">
        <v>1828</v>
      </c>
      <c r="F152" s="4" t="e">
        <f>_xlfn.XLOOKUP(B152,[2]Sheet2!$E$2:$E$713,[2]Sheet2!$G$2:$G$713)</f>
        <v>#N/A</v>
      </c>
      <c r="G152" s="18">
        <v>46094</v>
      </c>
      <c r="H152" s="14">
        <v>0.6893055555555555</v>
      </c>
      <c r="I152" s="7" t="s">
        <v>10</v>
      </c>
      <c r="J152" s="2" t="str">
        <f t="shared" si="10"/>
        <v>Q3</v>
      </c>
      <c r="K152" s="2" t="str">
        <f t="shared" si="11"/>
        <v>Match</v>
      </c>
      <c r="L152" s="2">
        <f t="shared" si="12"/>
        <v>0.1</v>
      </c>
      <c r="M152" s="2" t="e">
        <f t="shared" si="13"/>
        <v>#N/A</v>
      </c>
      <c r="N152" s="2" t="str">
        <f t="shared" si="14"/>
        <v>Q OK dE&lt;=0.8</v>
      </c>
      <c r="O152" s="7">
        <v>17.5</v>
      </c>
      <c r="P152" s="7">
        <v>0</v>
      </c>
      <c r="Q152" s="7">
        <v>-2.4</v>
      </c>
      <c r="R152" s="7">
        <v>-0.41</v>
      </c>
      <c r="S152" s="7">
        <v>0</v>
      </c>
      <c r="T152" s="7">
        <v>-0.1</v>
      </c>
      <c r="U152" s="7">
        <v>0.13</v>
      </c>
      <c r="V152" s="7">
        <v>0.03</v>
      </c>
      <c r="W152" s="7">
        <v>0.43</v>
      </c>
      <c r="X152" s="7" t="s">
        <v>8</v>
      </c>
      <c r="Y152" s="7" t="s">
        <v>9</v>
      </c>
      <c r="Z152" s="2" t="s">
        <v>718</v>
      </c>
      <c r="AA152" s="2" t="s">
        <v>721</v>
      </c>
    </row>
    <row r="153" spans="1:27" x14ac:dyDescent="0.35">
      <c r="A153" s="7" t="s">
        <v>1554</v>
      </c>
      <c r="B153" s="7" t="s">
        <v>841</v>
      </c>
      <c r="C153" s="7" t="str">
        <f>_xlfn.XLOOKUP(B153,'[1]Sheet 1'!$A$2:$A$11107,'[1]Sheet 1'!$D$2:$D$11107,"",0)</f>
        <v>NIK</v>
      </c>
      <c r="D153" s="4" t="str">
        <f>_xlfn.XLOOKUP(A153,[3]Sheet2!$I$2:$I$1623,[3]Sheet2!$D$2:$D$1623,"",0)</f>
        <v>Q1</v>
      </c>
      <c r="E153" s="4" t="s">
        <v>1828</v>
      </c>
      <c r="F153" s="4" t="e">
        <f>_xlfn.XLOOKUP(B153,[2]Sheet2!$E$2:$E$713,[2]Sheet2!$G$2:$G$713)</f>
        <v>#N/A</v>
      </c>
      <c r="G153" s="18">
        <v>46094</v>
      </c>
      <c r="H153" s="14">
        <v>0.23458333333333334</v>
      </c>
      <c r="I153" s="7" t="s">
        <v>4</v>
      </c>
      <c r="J153" s="2" t="str">
        <f t="shared" si="10"/>
        <v>Q1</v>
      </c>
      <c r="K153" s="2" t="str">
        <f t="shared" si="11"/>
        <v>Match</v>
      </c>
      <c r="L153" s="2">
        <f t="shared" si="12"/>
        <v>0.92195444572928864</v>
      </c>
      <c r="M153" s="2" t="e">
        <f t="shared" si="13"/>
        <v>#N/A</v>
      </c>
      <c r="N153" s="2" t="str">
        <f t="shared" si="14"/>
        <v>Q OK dE&gt;0.8</v>
      </c>
      <c r="O153" s="7">
        <v>16.7</v>
      </c>
      <c r="P153" s="7">
        <v>-0.5</v>
      </c>
      <c r="Q153" s="7">
        <v>-1.2</v>
      </c>
      <c r="R153" s="7">
        <v>-0.89</v>
      </c>
      <c r="S153" s="7">
        <v>0.7</v>
      </c>
      <c r="T153" s="7">
        <v>0.6</v>
      </c>
      <c r="U153" s="7">
        <v>-1.25</v>
      </c>
      <c r="V153" s="7">
        <v>0.39</v>
      </c>
      <c r="W153" s="7">
        <v>1.58</v>
      </c>
      <c r="X153" s="7" t="s">
        <v>6</v>
      </c>
      <c r="Y153" s="7" t="s">
        <v>7</v>
      </c>
      <c r="Z153" s="2" t="s">
        <v>718</v>
      </c>
      <c r="AA153" s="2" t="s">
        <v>721</v>
      </c>
    </row>
    <row r="154" spans="1:27" x14ac:dyDescent="0.35">
      <c r="A154" s="7" t="s">
        <v>1518</v>
      </c>
      <c r="B154" s="7" t="s">
        <v>769</v>
      </c>
      <c r="C154" s="7" t="str">
        <f>_xlfn.XLOOKUP(B154,'[1]Sheet 1'!$A$2:$A$11107,'[1]Sheet 1'!$D$2:$D$11107,"",0)</f>
        <v>VSS</v>
      </c>
      <c r="D154" s="4" t="str">
        <f>_xlfn.XLOOKUP(A154,[3]Sheet2!$I$2:$I$1623,[3]Sheet2!$D$2:$D$1623,"",0)</f>
        <v>Q1</v>
      </c>
      <c r="E154" s="4" t="s">
        <v>1827</v>
      </c>
      <c r="F154" s="4" t="e">
        <f>_xlfn.XLOOKUP(B154,[2]Sheet2!$E$2:$E$713,[2]Sheet2!$G$2:$G$713)</f>
        <v>#N/A</v>
      </c>
      <c r="G154" s="18">
        <v>46094</v>
      </c>
      <c r="H154" s="14">
        <v>0.70642361111111107</v>
      </c>
      <c r="I154" s="7" t="s">
        <v>10</v>
      </c>
      <c r="J154" s="2" t="str">
        <f t="shared" si="10"/>
        <v>Q1</v>
      </c>
      <c r="K154" s="2" t="str">
        <f t="shared" si="11"/>
        <v>Match</v>
      </c>
      <c r="L154" s="2">
        <f t="shared" si="12"/>
        <v>2.1540659228538019</v>
      </c>
      <c r="M154" s="2" t="e">
        <f t="shared" si="13"/>
        <v>#N/A</v>
      </c>
      <c r="N154" s="2" t="str">
        <f t="shared" si="14"/>
        <v>Q OK dE&gt;0.8</v>
      </c>
      <c r="O154" s="7">
        <v>28.9</v>
      </c>
      <c r="P154" s="7">
        <v>11.8</v>
      </c>
      <c r="Q154" s="7">
        <v>11.9</v>
      </c>
      <c r="R154" s="7">
        <v>0.79</v>
      </c>
      <c r="S154" s="7">
        <v>0.8</v>
      </c>
      <c r="T154" s="7">
        <v>2</v>
      </c>
      <c r="U154" s="7">
        <v>1.4</v>
      </c>
      <c r="V154" s="7">
        <v>1.32</v>
      </c>
      <c r="W154" s="7">
        <v>2.08</v>
      </c>
      <c r="X154" s="7" t="s">
        <v>6</v>
      </c>
      <c r="Y154" s="7" t="s">
        <v>12</v>
      </c>
      <c r="Z154" s="2" t="s">
        <v>718</v>
      </c>
      <c r="AA154" s="2" t="s">
        <v>721</v>
      </c>
    </row>
    <row r="155" spans="1:27" x14ac:dyDescent="0.35">
      <c r="A155" s="7" t="s">
        <v>1516</v>
      </c>
      <c r="B155" s="7" t="s">
        <v>776</v>
      </c>
      <c r="C155" s="7" t="str">
        <f>_xlfn.XLOOKUP(B155,'[1]Sheet 1'!$A$2:$A$11107,'[1]Sheet 1'!$D$2:$D$11107,"",0)</f>
        <v>LBI</v>
      </c>
      <c r="D155" s="4" t="str">
        <f>_xlfn.XLOOKUP(A155,[3]Sheet2!$I$2:$I$1623,[3]Sheet2!$D$2:$D$1623,"",0)</f>
        <v>Q2</v>
      </c>
      <c r="E155" s="4" t="s">
        <v>1828</v>
      </c>
      <c r="F155" s="4" t="e">
        <f>_xlfn.XLOOKUP(B155,[2]Sheet2!$E$2:$E$713,[2]Sheet2!$G$2:$G$713)</f>
        <v>#N/A</v>
      </c>
      <c r="G155" s="18">
        <v>46094</v>
      </c>
      <c r="H155" s="14">
        <v>0.96468750000000003</v>
      </c>
      <c r="I155" s="7" t="s">
        <v>14</v>
      </c>
      <c r="J155" s="2" t="str">
        <f t="shared" si="10"/>
        <v>Q2</v>
      </c>
      <c r="K155" s="2" t="str">
        <f t="shared" si="11"/>
        <v>Match</v>
      </c>
      <c r="L155" s="2">
        <f t="shared" si="12"/>
        <v>0.1</v>
      </c>
      <c r="M155" s="2" t="e">
        <f t="shared" si="13"/>
        <v>#N/A</v>
      </c>
      <c r="N155" s="2" t="str">
        <f t="shared" si="14"/>
        <v>Q OK dE&lt;=0.8</v>
      </c>
      <c r="O155" s="7">
        <v>17.3</v>
      </c>
      <c r="P155" s="7">
        <v>-1.5</v>
      </c>
      <c r="Q155" s="7">
        <v>-2.7</v>
      </c>
      <c r="R155" s="7">
        <v>-0.53</v>
      </c>
      <c r="S155" s="7">
        <v>0</v>
      </c>
      <c r="T155" s="7">
        <v>-0.1</v>
      </c>
      <c r="U155" s="7">
        <v>0.1</v>
      </c>
      <c r="V155" s="7">
        <v>0.15</v>
      </c>
      <c r="W155" s="7">
        <v>0.56000000000000005</v>
      </c>
      <c r="X155" s="7" t="s">
        <v>8</v>
      </c>
      <c r="Y155" s="7" t="s">
        <v>9</v>
      </c>
      <c r="Z155" s="2" t="s">
        <v>718</v>
      </c>
      <c r="AA155" s="2" t="s">
        <v>721</v>
      </c>
    </row>
    <row r="156" spans="1:27" x14ac:dyDescent="0.35">
      <c r="A156" s="7" t="s">
        <v>1714</v>
      </c>
      <c r="B156" s="7" t="s">
        <v>770</v>
      </c>
      <c r="C156" s="7" t="str">
        <f>_xlfn.XLOOKUP(B156,'[1]Sheet 1'!$A$2:$A$11107,'[1]Sheet 1'!$D$2:$D$11107,"",0)</f>
        <v>SW</v>
      </c>
      <c r="D156" s="4" t="str">
        <f>_xlfn.XLOOKUP(A156,[3]Sheet2!$I$2:$I$1623,[3]Sheet2!$D$2:$D$1623,"",0)</f>
        <v>Q4</v>
      </c>
      <c r="E156" s="4" t="s">
        <v>1828</v>
      </c>
      <c r="F156" s="4" t="e">
        <f>_xlfn.XLOOKUP(B156,[2]Sheet2!$E$2:$E$713,[2]Sheet2!$G$2:$G$713)</f>
        <v>#N/A</v>
      </c>
      <c r="G156" s="18">
        <v>46094</v>
      </c>
      <c r="H156" s="14">
        <v>0.71083333333333332</v>
      </c>
      <c r="I156" s="7" t="s">
        <v>4</v>
      </c>
      <c r="J156" s="2" t="str">
        <f t="shared" si="10"/>
        <v>Q4</v>
      </c>
      <c r="K156" s="2" t="str">
        <f t="shared" si="11"/>
        <v>Match</v>
      </c>
      <c r="L156" s="2">
        <f t="shared" si="12"/>
        <v>0.4</v>
      </c>
      <c r="M156" s="2" t="e">
        <f t="shared" si="13"/>
        <v>#N/A</v>
      </c>
      <c r="N156" s="2" t="str">
        <f t="shared" si="14"/>
        <v>Q OK dE&lt;=0.8</v>
      </c>
      <c r="O156" s="7">
        <v>19.5</v>
      </c>
      <c r="P156" s="7">
        <v>0.5</v>
      </c>
      <c r="Q156" s="7">
        <v>-9</v>
      </c>
      <c r="R156" s="7">
        <v>-0.56000000000000005</v>
      </c>
      <c r="S156" s="7">
        <v>0</v>
      </c>
      <c r="T156" s="7">
        <v>0.4</v>
      </c>
      <c r="U156" s="7">
        <v>-0.38</v>
      </c>
      <c r="V156" s="7">
        <v>0.04</v>
      </c>
      <c r="W156" s="7">
        <v>0.68</v>
      </c>
      <c r="X156" s="7" t="s">
        <v>8</v>
      </c>
      <c r="Y156" s="7" t="s">
        <v>9</v>
      </c>
      <c r="Z156" s="2" t="s">
        <v>718</v>
      </c>
      <c r="AA156" s="2" t="s">
        <v>721</v>
      </c>
    </row>
    <row r="157" spans="1:27" x14ac:dyDescent="0.35">
      <c r="A157" s="7" t="s">
        <v>1559</v>
      </c>
      <c r="B157" s="7" t="s">
        <v>775</v>
      </c>
      <c r="C157" s="7" t="str">
        <f>_xlfn.XLOOKUP(B157,'[1]Sheet 1'!$A$2:$A$11107,'[1]Sheet 1'!$D$2:$D$11107,"",0)</f>
        <v>VSS</v>
      </c>
      <c r="D157" s="4" t="str">
        <f>_xlfn.XLOOKUP(A157,[3]Sheet2!$I$2:$I$1623,[3]Sheet2!$D$2:$D$1623,"",0)</f>
        <v>Q3</v>
      </c>
      <c r="E157" s="4" t="s">
        <v>1828</v>
      </c>
      <c r="F157" s="4" t="e">
        <f>_xlfn.XLOOKUP(B157,[2]Sheet2!$E$2:$E$713,[2]Sheet2!$G$2:$G$713)</f>
        <v>#N/A</v>
      </c>
      <c r="G157" s="18">
        <v>46094</v>
      </c>
      <c r="H157" s="14">
        <v>0.7620717592592593</v>
      </c>
      <c r="I157" s="7" t="s">
        <v>10</v>
      </c>
      <c r="J157" s="2" t="str">
        <f t="shared" si="10"/>
        <v>Q3</v>
      </c>
      <c r="K157" s="2" t="str">
        <f t="shared" si="11"/>
        <v>Match</v>
      </c>
      <c r="L157" s="2">
        <f t="shared" si="12"/>
        <v>0.1</v>
      </c>
      <c r="M157" s="2" t="e">
        <f t="shared" si="13"/>
        <v>#N/A</v>
      </c>
      <c r="N157" s="2" t="str">
        <f t="shared" si="14"/>
        <v>Q OK dE&gt;0.8</v>
      </c>
      <c r="O157" s="7">
        <v>17</v>
      </c>
      <c r="P157" s="7">
        <v>-0.1</v>
      </c>
      <c r="Q157" s="7">
        <v>-2.4</v>
      </c>
      <c r="R157" s="7">
        <v>-0.83</v>
      </c>
      <c r="S157" s="7">
        <v>0</v>
      </c>
      <c r="T157" s="7">
        <v>-0.1</v>
      </c>
      <c r="U157" s="7">
        <v>0.16</v>
      </c>
      <c r="V157" s="7">
        <v>-7.0000000000000007E-2</v>
      </c>
      <c r="W157" s="7">
        <v>0.85</v>
      </c>
      <c r="X157" s="7" t="s">
        <v>13</v>
      </c>
      <c r="Y157" s="7" t="s">
        <v>15</v>
      </c>
      <c r="Z157" s="2" t="s">
        <v>718</v>
      </c>
      <c r="AA157" s="2" t="s">
        <v>721</v>
      </c>
    </row>
    <row r="158" spans="1:27" x14ac:dyDescent="0.35">
      <c r="A158" s="7" t="s">
        <v>1716</v>
      </c>
      <c r="B158" s="7" t="s">
        <v>774</v>
      </c>
      <c r="C158" s="7" t="str">
        <f>_xlfn.XLOOKUP(B158,'[1]Sheet 1'!$A$2:$A$11107,'[1]Sheet 1'!$D$2:$D$11107,"",0)</f>
        <v>THEU</v>
      </c>
      <c r="D158" s="4" t="str">
        <f>_xlfn.XLOOKUP(A158,[3]Sheet2!$I$2:$I$1623,[3]Sheet2!$D$2:$D$1623,"",0)</f>
        <v>Q3</v>
      </c>
      <c r="E158" s="4" t="s">
        <v>1827</v>
      </c>
      <c r="F158" s="4" t="e">
        <f>_xlfn.XLOOKUP(B158,[2]Sheet2!$E$2:$E$713,[2]Sheet2!$G$2:$G$713)</f>
        <v>#N/A</v>
      </c>
      <c r="G158" s="18">
        <v>46094</v>
      </c>
      <c r="H158" s="14">
        <v>0.76041666666666663</v>
      </c>
      <c r="I158" s="7" t="s">
        <v>11</v>
      </c>
      <c r="J158" s="2" t="str">
        <f t="shared" si="10"/>
        <v>Q3</v>
      </c>
      <c r="K158" s="2" t="str">
        <f t="shared" si="11"/>
        <v>Match</v>
      </c>
      <c r="L158" s="2">
        <f t="shared" si="12"/>
        <v>0.9</v>
      </c>
      <c r="M158" s="2" t="e">
        <f t="shared" si="13"/>
        <v>#N/A</v>
      </c>
      <c r="N158" s="2" t="str">
        <f t="shared" si="14"/>
        <v>Q OK dE&gt;0.8</v>
      </c>
      <c r="O158" s="7">
        <v>18.899999999999999</v>
      </c>
      <c r="P158" s="7">
        <v>-0.4</v>
      </c>
      <c r="Q158" s="7">
        <v>-8.1</v>
      </c>
      <c r="R158" s="7">
        <v>0.72</v>
      </c>
      <c r="S158" s="7">
        <v>0</v>
      </c>
      <c r="T158" s="7">
        <v>-0.9</v>
      </c>
      <c r="U158" s="7">
        <v>0.95</v>
      </c>
      <c r="V158" s="7">
        <v>-0.01</v>
      </c>
      <c r="W158" s="7">
        <v>1.19</v>
      </c>
      <c r="X158" s="7" t="s">
        <v>6</v>
      </c>
      <c r="Y158" s="7" t="s">
        <v>15</v>
      </c>
      <c r="Z158" s="2" t="s">
        <v>718</v>
      </c>
      <c r="AA158" s="2" t="s">
        <v>721</v>
      </c>
    </row>
    <row r="159" spans="1:27" x14ac:dyDescent="0.35">
      <c r="A159" s="7" t="s">
        <v>1587</v>
      </c>
      <c r="B159" s="7" t="s">
        <v>845</v>
      </c>
      <c r="C159" s="7" t="str">
        <f>_xlfn.XLOOKUP(B159,'[1]Sheet 1'!$A$2:$A$11107,'[1]Sheet 1'!$D$2:$D$11107,"",0)</f>
        <v/>
      </c>
      <c r="D159" s="4" t="str">
        <f>_xlfn.XLOOKUP(A159,[3]Sheet2!$I$2:$I$1623,[3]Sheet2!$D$2:$D$1623,"",0)</f>
        <v>Q4</v>
      </c>
      <c r="E159" s="4" t="s">
        <v>1828</v>
      </c>
      <c r="F159" s="4" t="e">
        <f>_xlfn.XLOOKUP(B159,[2]Sheet2!$E$2:$E$713,[2]Sheet2!$G$2:$G$713)</f>
        <v>#N/A</v>
      </c>
      <c r="G159" s="18">
        <v>46094</v>
      </c>
      <c r="H159" s="14">
        <v>0.63366898148148143</v>
      </c>
      <c r="I159" s="7" t="s">
        <v>5</v>
      </c>
      <c r="J159" s="2" t="str">
        <f t="shared" si="10"/>
        <v>Q1</v>
      </c>
      <c r="K159" s="2" t="str">
        <f t="shared" si="11"/>
        <v>Not Match</v>
      </c>
      <c r="L159" s="2">
        <f t="shared" si="12"/>
        <v>0.90553851381374173</v>
      </c>
      <c r="M159" s="2" t="e">
        <f t="shared" si="13"/>
        <v>#N/A</v>
      </c>
      <c r="N159" s="2" t="str">
        <f t="shared" si="14"/>
        <v>Q NOT OK dE&gt;0.8</v>
      </c>
      <c r="O159" s="7">
        <v>14.7</v>
      </c>
      <c r="P159" s="7">
        <v>-0.6</v>
      </c>
      <c r="Q159" s="7">
        <v>-2.5</v>
      </c>
      <c r="R159" s="7">
        <v>-2.84</v>
      </c>
      <c r="S159" s="7">
        <v>0.1</v>
      </c>
      <c r="T159" s="7">
        <v>0.9</v>
      </c>
      <c r="U159" s="7">
        <v>-1.07</v>
      </c>
      <c r="V159" s="7">
        <v>-0.11</v>
      </c>
      <c r="W159" s="7">
        <v>3.03</v>
      </c>
      <c r="X159" s="7" t="s">
        <v>6</v>
      </c>
      <c r="Y159" s="7" t="s">
        <v>15</v>
      </c>
      <c r="Z159" s="2" t="s">
        <v>718</v>
      </c>
      <c r="AA159" s="2" t="s">
        <v>721</v>
      </c>
    </row>
    <row r="160" spans="1:27" x14ac:dyDescent="0.35">
      <c r="A160" s="7" t="s">
        <v>1713</v>
      </c>
      <c r="B160" s="7" t="s">
        <v>766</v>
      </c>
      <c r="C160" s="7" t="str">
        <f>_xlfn.XLOOKUP(B160,'[1]Sheet 1'!$A$2:$A$11107,'[1]Sheet 1'!$D$2:$D$11107,"",0)</f>
        <v>VSS</v>
      </c>
      <c r="D160" s="4" t="str">
        <f>_xlfn.XLOOKUP(A160,[3]Sheet2!$I$2:$I$1623,[3]Sheet2!$D$2:$D$1623,"",0)</f>
        <v>Q3</v>
      </c>
      <c r="E160" s="4" t="s">
        <v>1828</v>
      </c>
      <c r="F160" s="4" t="e">
        <f>_xlfn.XLOOKUP(B160,[2]Sheet2!$E$2:$E$713,[2]Sheet2!$G$2:$G$713)</f>
        <v>#N/A</v>
      </c>
      <c r="G160" s="18">
        <v>46094</v>
      </c>
      <c r="H160" s="14">
        <v>0.45645833333333335</v>
      </c>
      <c r="I160" s="7" t="s">
        <v>10</v>
      </c>
      <c r="J160" s="2" t="str">
        <f t="shared" si="10"/>
        <v>Q2</v>
      </c>
      <c r="K160" s="2" t="str">
        <f t="shared" si="11"/>
        <v>Not Match</v>
      </c>
      <c r="L160" s="2">
        <f t="shared" si="12"/>
        <v>0.53851648071345048</v>
      </c>
      <c r="M160" s="2" t="e">
        <f t="shared" si="13"/>
        <v>#N/A</v>
      </c>
      <c r="N160" s="2" t="str">
        <f t="shared" si="14"/>
        <v>Q NOT OK dE&gt;0.8</v>
      </c>
      <c r="O160" s="7">
        <v>46.8</v>
      </c>
      <c r="P160" s="7">
        <v>17.2</v>
      </c>
      <c r="Q160" s="7">
        <v>21.8</v>
      </c>
      <c r="R160" s="7">
        <v>0.47</v>
      </c>
      <c r="S160" s="7">
        <v>-0.2</v>
      </c>
      <c r="T160" s="7">
        <v>0.5</v>
      </c>
      <c r="U160" s="7">
        <v>0.12</v>
      </c>
      <c r="V160" s="7">
        <v>0.72</v>
      </c>
      <c r="W160" s="7">
        <v>0.87</v>
      </c>
      <c r="X160" s="7" t="s">
        <v>13</v>
      </c>
      <c r="Y160" s="7" t="s">
        <v>12</v>
      </c>
      <c r="Z160" s="2" t="s">
        <v>718</v>
      </c>
      <c r="AA160" s="2" t="s">
        <v>721</v>
      </c>
    </row>
    <row r="161" spans="1:27" x14ac:dyDescent="0.35">
      <c r="A161" s="7" t="s">
        <v>1715</v>
      </c>
      <c r="B161" s="7" t="s">
        <v>771</v>
      </c>
      <c r="C161" s="7" t="str">
        <f>_xlfn.XLOOKUP(B161,'[1]Sheet 1'!$A$2:$A$11107,'[1]Sheet 1'!$D$2:$D$11107,"",0)</f>
        <v/>
      </c>
      <c r="D161" s="4" t="str">
        <f>_xlfn.XLOOKUP(A161,[3]Sheet2!$I$2:$I$1623,[3]Sheet2!$D$2:$D$1623,"",0)</f>
        <v>Q1</v>
      </c>
      <c r="E161" s="4" t="s">
        <v>1828</v>
      </c>
      <c r="F161" s="4" t="e">
        <f>_xlfn.XLOOKUP(B161,[2]Sheet2!$E$2:$E$713,[2]Sheet2!$G$2:$G$713)</f>
        <v>#N/A</v>
      </c>
      <c r="G161" s="18">
        <v>46094</v>
      </c>
      <c r="H161" s="14">
        <v>0.71559027777777773</v>
      </c>
      <c r="I161" s="7" t="s">
        <v>4</v>
      </c>
      <c r="J161" s="2" t="str">
        <f t="shared" si="10"/>
        <v>Q3</v>
      </c>
      <c r="K161" s="2" t="str">
        <f t="shared" si="11"/>
        <v>Not Match</v>
      </c>
      <c r="L161" s="2">
        <f t="shared" si="12"/>
        <v>0.50990195135927852</v>
      </c>
      <c r="M161" s="2" t="e">
        <f t="shared" si="13"/>
        <v>#N/A</v>
      </c>
      <c r="N161" s="2" t="str">
        <f t="shared" si="14"/>
        <v>Q NOT OK dE&gt;0.8</v>
      </c>
      <c r="O161" s="7">
        <v>14</v>
      </c>
      <c r="P161" s="7">
        <v>-0.2</v>
      </c>
      <c r="Q161" s="7">
        <v>-1.9</v>
      </c>
      <c r="R161" s="7">
        <v>-0.62</v>
      </c>
      <c r="S161" s="7">
        <v>-0.1</v>
      </c>
      <c r="T161" s="7">
        <v>-0.5</v>
      </c>
      <c r="U161" s="7">
        <v>0.76</v>
      </c>
      <c r="V161" s="7">
        <v>-0.05</v>
      </c>
      <c r="W161" s="7">
        <v>0.99</v>
      </c>
      <c r="X161" s="7" t="s">
        <v>13</v>
      </c>
      <c r="Y161" s="7" t="s">
        <v>15</v>
      </c>
      <c r="Z161" s="2" t="s">
        <v>718</v>
      </c>
      <c r="AA161" s="2" t="s">
        <v>721</v>
      </c>
    </row>
    <row r="162" spans="1:27" x14ac:dyDescent="0.35">
      <c r="A162" s="7" t="s">
        <v>1559</v>
      </c>
      <c r="B162" s="7" t="s">
        <v>844</v>
      </c>
      <c r="C162" s="7" t="str">
        <f>_xlfn.XLOOKUP(B162,'[1]Sheet 1'!$A$2:$A$11107,'[1]Sheet 1'!$D$2:$D$11107,"",0)</f>
        <v>VSS</v>
      </c>
      <c r="D162" s="4" t="str">
        <f>_xlfn.XLOOKUP(A162,[3]Sheet2!$I$2:$I$1623,[3]Sheet2!$D$2:$D$1623,"",0)</f>
        <v>Q3</v>
      </c>
      <c r="E162" s="4" t="s">
        <v>1828</v>
      </c>
      <c r="F162" s="4" t="e">
        <f>_xlfn.XLOOKUP(B162,[2]Sheet2!$E$2:$E$713,[2]Sheet2!$G$2:$G$713)</f>
        <v>#N/A</v>
      </c>
      <c r="G162" s="18">
        <v>46094</v>
      </c>
      <c r="H162" s="14">
        <v>0.28107638888888886</v>
      </c>
      <c r="I162" s="7" t="s">
        <v>10</v>
      </c>
      <c r="J162" s="2" t="str">
        <f t="shared" si="10"/>
        <v>Q3</v>
      </c>
      <c r="K162" s="2" t="str">
        <f t="shared" si="11"/>
        <v>Match</v>
      </c>
      <c r="L162" s="2">
        <f t="shared" si="12"/>
        <v>0.31622776601683794</v>
      </c>
      <c r="M162" s="2" t="e">
        <f t="shared" si="13"/>
        <v>#N/A</v>
      </c>
      <c r="N162" s="2" t="str">
        <f t="shared" si="14"/>
        <v>Q OK dE&lt;=0.8</v>
      </c>
      <c r="O162" s="7">
        <v>18.100000000000001</v>
      </c>
      <c r="P162" s="7">
        <v>-0.1</v>
      </c>
      <c r="Q162" s="7">
        <v>-2.7</v>
      </c>
      <c r="R162" s="7">
        <v>0.1</v>
      </c>
      <c r="S162" s="7">
        <v>-0.1</v>
      </c>
      <c r="T162" s="7">
        <v>-0.3</v>
      </c>
      <c r="U162" s="7">
        <v>0.51</v>
      </c>
      <c r="V162" s="7">
        <v>-0.11</v>
      </c>
      <c r="W162" s="7">
        <v>0.53</v>
      </c>
      <c r="X162" s="7" t="s">
        <v>8</v>
      </c>
      <c r="Y162" s="7" t="s">
        <v>15</v>
      </c>
      <c r="Z162" s="2" t="s">
        <v>718</v>
      </c>
      <c r="AA162" s="2" t="s">
        <v>721</v>
      </c>
    </row>
    <row r="163" spans="1:27" x14ac:dyDescent="0.35">
      <c r="A163" s="7" t="s">
        <v>1711</v>
      </c>
      <c r="B163" s="7" t="s">
        <v>764</v>
      </c>
      <c r="C163" s="7" t="str">
        <f>_xlfn.XLOOKUP(B163,'[1]Sheet 1'!$A$2:$A$11107,'[1]Sheet 1'!$D$2:$D$11107,"",0)</f>
        <v>TORD</v>
      </c>
      <c r="D163" s="4" t="str">
        <f>_xlfn.XLOOKUP(A163,[3]Sheet2!$I$2:$I$1623,[3]Sheet2!$D$2:$D$1623,"",0)</f>
        <v>Q2</v>
      </c>
      <c r="E163" s="4" t="s">
        <v>1828</v>
      </c>
      <c r="F163" s="4" t="e">
        <f>_xlfn.XLOOKUP(B163,[2]Sheet2!$E$2:$E$713,[2]Sheet2!$G$2:$G$713)</f>
        <v>#N/A</v>
      </c>
      <c r="G163" s="18">
        <v>46094</v>
      </c>
      <c r="H163" s="14">
        <v>0.44184027777777779</v>
      </c>
      <c r="I163" s="7" t="s">
        <v>5</v>
      </c>
      <c r="J163" s="2" t="str">
        <f t="shared" si="10"/>
        <v>Q2</v>
      </c>
      <c r="K163" s="2" t="str">
        <f t="shared" si="11"/>
        <v>Match</v>
      </c>
      <c r="L163" s="2">
        <f t="shared" si="12"/>
        <v>0</v>
      </c>
      <c r="M163" s="2" t="e">
        <f t="shared" si="13"/>
        <v>#N/A</v>
      </c>
      <c r="N163" s="2" t="str">
        <f t="shared" si="14"/>
        <v>Q OK dE&lt;=0.8</v>
      </c>
      <c r="O163" s="7">
        <v>17.2</v>
      </c>
      <c r="P163" s="7">
        <v>-0.2</v>
      </c>
      <c r="Q163" s="7">
        <v>-2.6</v>
      </c>
      <c r="R163" s="7">
        <v>-0.08</v>
      </c>
      <c r="S163" s="7">
        <v>0</v>
      </c>
      <c r="T163" s="20">
        <v>0</v>
      </c>
      <c r="U163" s="7">
        <v>-0.03</v>
      </c>
      <c r="V163" s="7">
        <v>-0.06</v>
      </c>
      <c r="W163" s="7">
        <v>0.1</v>
      </c>
      <c r="X163" s="7" t="s">
        <v>8</v>
      </c>
      <c r="Y163" s="7" t="s">
        <v>15</v>
      </c>
      <c r="Z163" s="2" t="s">
        <v>718</v>
      </c>
      <c r="AA163" s="2" t="s">
        <v>721</v>
      </c>
    </row>
    <row r="164" spans="1:27" x14ac:dyDescent="0.35">
      <c r="A164" s="7" t="s">
        <v>1625</v>
      </c>
      <c r="B164" s="7" t="s">
        <v>847</v>
      </c>
      <c r="C164" s="7" t="str">
        <f>_xlfn.XLOOKUP(B164,'[1]Sheet 1'!$A$2:$A$11107,'[1]Sheet 1'!$D$2:$D$11107,"",0)</f>
        <v>CK</v>
      </c>
      <c r="D164" s="4" t="str">
        <f>_xlfn.XLOOKUP(A164,[3]Sheet2!$I$2:$I$1623,[3]Sheet2!$D$2:$D$1623,"",0)</f>
        <v>Q1</v>
      </c>
      <c r="E164" s="4" t="s">
        <v>1828</v>
      </c>
      <c r="F164" s="4" t="e">
        <f>_xlfn.XLOOKUP(B164,[2]Sheet2!$E$2:$E$713,[2]Sheet2!$G$2:$G$713)</f>
        <v>#N/A</v>
      </c>
      <c r="G164" s="18">
        <v>46094</v>
      </c>
      <c r="H164" s="14">
        <v>0.6947106481481482</v>
      </c>
      <c r="I164" s="7" t="s">
        <v>11</v>
      </c>
      <c r="J164" s="2" t="str">
        <f t="shared" si="10"/>
        <v>Q1</v>
      </c>
      <c r="K164" s="2" t="str">
        <f t="shared" si="11"/>
        <v>Match</v>
      </c>
      <c r="L164" s="2">
        <f t="shared" si="12"/>
        <v>0.1</v>
      </c>
      <c r="M164" s="2" t="e">
        <f t="shared" si="13"/>
        <v>#N/A</v>
      </c>
      <c r="N164" s="2" t="str">
        <f t="shared" si="14"/>
        <v>Q OK dE&lt;=0.8</v>
      </c>
      <c r="O164" s="7">
        <v>20.399999999999999</v>
      </c>
      <c r="P164" s="7">
        <v>-0.3</v>
      </c>
      <c r="Q164" s="7">
        <v>-3.9</v>
      </c>
      <c r="R164" s="7">
        <v>0.26</v>
      </c>
      <c r="S164" s="7">
        <v>0</v>
      </c>
      <c r="T164" s="7">
        <v>0.1</v>
      </c>
      <c r="U164" s="7">
        <v>-0.19</v>
      </c>
      <c r="V164" s="7">
        <v>0.04</v>
      </c>
      <c r="W164" s="7">
        <v>0.32</v>
      </c>
      <c r="X164" s="7" t="s">
        <v>8</v>
      </c>
      <c r="Y164" s="7" t="s">
        <v>9</v>
      </c>
      <c r="Z164" s="2" t="s">
        <v>718</v>
      </c>
      <c r="AA164" s="2" t="s">
        <v>721</v>
      </c>
    </row>
    <row r="165" spans="1:27" x14ac:dyDescent="0.35">
      <c r="A165" s="7" t="s">
        <v>1687</v>
      </c>
      <c r="B165" s="7" t="s">
        <v>768</v>
      </c>
      <c r="C165" s="7" t="str">
        <f>_xlfn.XLOOKUP(B165,'[1]Sheet 1'!$A$2:$A$11107,'[1]Sheet 1'!$D$2:$D$11107,"",0)</f>
        <v>NIK</v>
      </c>
      <c r="D165" s="4" t="str">
        <f>_xlfn.XLOOKUP(A165,[3]Sheet2!$I$2:$I$1623,[3]Sheet2!$D$2:$D$1623,"",0)</f>
        <v>Q3</v>
      </c>
      <c r="E165" s="4" t="s">
        <v>1827</v>
      </c>
      <c r="F165" s="4" t="e">
        <f>_xlfn.XLOOKUP(B165,[2]Sheet2!$E$2:$E$713,[2]Sheet2!$G$2:$G$713)</f>
        <v>#N/A</v>
      </c>
      <c r="G165" s="18">
        <v>46094</v>
      </c>
      <c r="H165" s="14">
        <v>0.70246527777777779</v>
      </c>
      <c r="I165" s="7" t="s">
        <v>4</v>
      </c>
      <c r="J165" s="2" t="str">
        <f t="shared" si="10"/>
        <v>Q3</v>
      </c>
      <c r="K165" s="2" t="str">
        <f t="shared" si="11"/>
        <v>Match</v>
      </c>
      <c r="L165" s="2">
        <f t="shared" si="12"/>
        <v>0.3</v>
      </c>
      <c r="M165" s="2" t="e">
        <f t="shared" si="13"/>
        <v>#N/A</v>
      </c>
      <c r="N165" s="2" t="str">
        <f t="shared" si="14"/>
        <v>Q OK dE&gt;0.8</v>
      </c>
      <c r="O165" s="7">
        <v>35.299999999999997</v>
      </c>
      <c r="P165" s="7">
        <v>11</v>
      </c>
      <c r="Q165" s="7">
        <v>11.1</v>
      </c>
      <c r="R165" s="7">
        <v>0.76</v>
      </c>
      <c r="S165" s="7">
        <v>-0.3</v>
      </c>
      <c r="T165" s="20">
        <v>0</v>
      </c>
      <c r="U165" s="7">
        <v>-0.12</v>
      </c>
      <c r="V165" s="7">
        <v>0.42</v>
      </c>
      <c r="W165" s="7">
        <v>0.88</v>
      </c>
      <c r="X165" s="7" t="s">
        <v>13</v>
      </c>
      <c r="Y165" s="7" t="s">
        <v>12</v>
      </c>
      <c r="Z165" s="2" t="s">
        <v>718</v>
      </c>
      <c r="AA165" s="2" t="s">
        <v>721</v>
      </c>
    </row>
    <row r="166" spans="1:27" x14ac:dyDescent="0.35">
      <c r="A166" s="7" t="s">
        <v>1712</v>
      </c>
      <c r="B166" s="7" t="s">
        <v>765</v>
      </c>
      <c r="C166" s="7" t="str">
        <f>_xlfn.XLOOKUP(B166,'[1]Sheet 1'!$A$2:$A$11107,'[1]Sheet 1'!$D$2:$D$11107,"",0)</f>
        <v>GAP</v>
      </c>
      <c r="D166" s="4" t="str">
        <f>_xlfn.XLOOKUP(A166,[3]Sheet2!$I$2:$I$1623,[3]Sheet2!$D$2:$D$1623,"",0)</f>
        <v>Q4</v>
      </c>
      <c r="E166" s="4" t="s">
        <v>1828</v>
      </c>
      <c r="F166" s="4" t="e">
        <f>_xlfn.XLOOKUP(B166,[2]Sheet2!$E$2:$E$713,[2]Sheet2!$G$2:$G$713)</f>
        <v>#N/A</v>
      </c>
      <c r="G166" s="18">
        <v>46094</v>
      </c>
      <c r="H166" s="14">
        <v>0.44535879629629632</v>
      </c>
      <c r="I166" s="7" t="s">
        <v>14</v>
      </c>
      <c r="J166" s="2" t="str">
        <f t="shared" si="10"/>
        <v>Q4</v>
      </c>
      <c r="K166" s="2" t="str">
        <f t="shared" si="11"/>
        <v>Match</v>
      </c>
      <c r="L166" s="2">
        <f t="shared" si="12"/>
        <v>0.1</v>
      </c>
      <c r="M166" s="2" t="e">
        <f t="shared" si="13"/>
        <v>#N/A</v>
      </c>
      <c r="N166" s="2" t="str">
        <f t="shared" si="14"/>
        <v>Q OK dE&lt;=0.8</v>
      </c>
      <c r="O166" s="7">
        <v>26.5</v>
      </c>
      <c r="P166" s="7">
        <v>-0.3</v>
      </c>
      <c r="Q166" s="7">
        <v>-11.8</v>
      </c>
      <c r="R166" s="7">
        <v>-0.21</v>
      </c>
      <c r="S166" s="7">
        <v>-0.1</v>
      </c>
      <c r="T166" s="20">
        <v>0</v>
      </c>
      <c r="U166" s="7">
        <v>0.04</v>
      </c>
      <c r="V166" s="7">
        <v>-0.13</v>
      </c>
      <c r="W166" s="7">
        <v>0.25</v>
      </c>
      <c r="X166" s="7" t="s">
        <v>8</v>
      </c>
      <c r="Y166" s="7" t="s">
        <v>15</v>
      </c>
      <c r="Z166" s="2" t="s">
        <v>718</v>
      </c>
      <c r="AA166" s="2" t="s">
        <v>721</v>
      </c>
    </row>
    <row r="167" spans="1:27" x14ac:dyDescent="0.35">
      <c r="A167" s="7" t="s">
        <v>1696</v>
      </c>
      <c r="B167" s="7" t="s">
        <v>839</v>
      </c>
      <c r="C167" s="7" t="str">
        <f>_xlfn.XLOOKUP(B167,'[1]Sheet 1'!$A$2:$A$11107,'[1]Sheet 1'!$D$2:$D$11107,"",0)</f>
        <v>GAP</v>
      </c>
      <c r="D167" s="4" t="str">
        <f>_xlfn.XLOOKUP(A167,[3]Sheet2!$I$2:$I$1623,[3]Sheet2!$D$2:$D$1623,"",0)</f>
        <v>Q2</v>
      </c>
      <c r="E167" s="4" t="s">
        <v>1828</v>
      </c>
      <c r="F167" s="4" t="e">
        <f>_xlfn.XLOOKUP(B167,[2]Sheet2!$E$2:$E$713,[2]Sheet2!$G$2:$G$713)</f>
        <v>#N/A</v>
      </c>
      <c r="G167" s="18">
        <v>46094</v>
      </c>
      <c r="H167" s="14">
        <v>8.59375E-2</v>
      </c>
      <c r="I167" s="7" t="s">
        <v>14</v>
      </c>
      <c r="J167" s="2" t="str">
        <f t="shared" si="10"/>
        <v>Q2</v>
      </c>
      <c r="K167" s="2" t="str">
        <f t="shared" si="11"/>
        <v>Match</v>
      </c>
      <c r="L167" s="2">
        <f t="shared" si="12"/>
        <v>0.1</v>
      </c>
      <c r="M167" s="2" t="e">
        <f t="shared" si="13"/>
        <v>#N/A</v>
      </c>
      <c r="N167" s="2" t="str">
        <f t="shared" si="14"/>
        <v>Q OK dE&lt;=0.8</v>
      </c>
      <c r="O167" s="7">
        <v>17</v>
      </c>
      <c r="P167" s="7">
        <v>-0.3</v>
      </c>
      <c r="Q167" s="7">
        <v>-1.2</v>
      </c>
      <c r="R167" s="7">
        <v>0.37</v>
      </c>
      <c r="S167" s="7">
        <v>-0.1</v>
      </c>
      <c r="T167" s="20">
        <v>0</v>
      </c>
      <c r="U167" s="7">
        <v>0.08</v>
      </c>
      <c r="V167" s="7">
        <v>-0.21</v>
      </c>
      <c r="W167" s="7">
        <v>0.43</v>
      </c>
      <c r="X167" s="7" t="s">
        <v>8</v>
      </c>
      <c r="Y167" s="7" t="s">
        <v>15</v>
      </c>
      <c r="Z167" s="2" t="s">
        <v>718</v>
      </c>
      <c r="AA167" s="2" t="s">
        <v>721</v>
      </c>
    </row>
    <row r="168" spans="1:27" x14ac:dyDescent="0.35">
      <c r="A168" s="7" t="s">
        <v>1579</v>
      </c>
      <c r="B168" s="7" t="s">
        <v>843</v>
      </c>
      <c r="C168" s="7" t="str">
        <f>_xlfn.XLOOKUP(B168,'[1]Sheet 1'!$A$2:$A$11107,'[1]Sheet 1'!$D$2:$D$11107,"",0)</f>
        <v>M&amp;S</v>
      </c>
      <c r="D168" s="4" t="str">
        <f>_xlfn.XLOOKUP(A168,[3]Sheet2!$I$2:$I$1623,[3]Sheet2!$D$2:$D$1623,"",0)</f>
        <v>Q4</v>
      </c>
      <c r="E168" s="4" t="s">
        <v>1827</v>
      </c>
      <c r="F168" s="4" t="e">
        <f>_xlfn.XLOOKUP(B168,[2]Sheet2!$E$2:$E$713,[2]Sheet2!$G$2:$G$713)</f>
        <v>#N/A</v>
      </c>
      <c r="G168" s="18">
        <v>46094</v>
      </c>
      <c r="H168" s="14">
        <v>0.27528935185185183</v>
      </c>
      <c r="I168" s="7" t="s">
        <v>17</v>
      </c>
      <c r="J168" s="2" t="str">
        <f t="shared" si="10"/>
        <v>Q2</v>
      </c>
      <c r="K168" s="2" t="str">
        <f t="shared" si="11"/>
        <v>Not Match</v>
      </c>
      <c r="L168" s="2">
        <f t="shared" si="12"/>
        <v>0.44721359549995798</v>
      </c>
      <c r="M168" s="2" t="e">
        <f t="shared" si="13"/>
        <v>#N/A</v>
      </c>
      <c r="N168" s="2" t="str">
        <f t="shared" si="14"/>
        <v>Q NOT OK dE&lt;=0.8</v>
      </c>
      <c r="O168" s="7">
        <v>16</v>
      </c>
      <c r="P168" s="7">
        <v>-0.7</v>
      </c>
      <c r="Q168" s="7">
        <v>-5.6</v>
      </c>
      <c r="R168" s="7">
        <v>0.24</v>
      </c>
      <c r="S168" s="7">
        <v>-0.2</v>
      </c>
      <c r="T168" s="7">
        <v>0.4</v>
      </c>
      <c r="U168" s="7">
        <v>-0.45</v>
      </c>
      <c r="V168" s="7">
        <v>-0.39</v>
      </c>
      <c r="W168" s="7">
        <v>0.64</v>
      </c>
      <c r="X168" s="7" t="s">
        <v>8</v>
      </c>
      <c r="Y168" s="7" t="s">
        <v>15</v>
      </c>
      <c r="Z168" s="2" t="s">
        <v>718</v>
      </c>
      <c r="AA168" s="2" t="s">
        <v>721</v>
      </c>
    </row>
    <row r="169" spans="1:27" x14ac:dyDescent="0.35">
      <c r="A169" s="7" t="s">
        <v>1607</v>
      </c>
      <c r="B169" s="7" t="s">
        <v>767</v>
      </c>
      <c r="C169" s="7" t="str">
        <f>_xlfn.XLOOKUP(B169,'[1]Sheet 1'!$A$2:$A$11107,'[1]Sheet 1'!$D$2:$D$11107,"",0)</f>
        <v>M&amp;S</v>
      </c>
      <c r="D169" s="4" t="str">
        <f>_xlfn.XLOOKUP(A169,[3]Sheet2!$I$2:$I$1623,[3]Sheet2!$D$2:$D$1623,"",0)</f>
        <v>Q2</v>
      </c>
      <c r="E169" s="4" t="s">
        <v>1828</v>
      </c>
      <c r="F169" s="4" t="e">
        <f>_xlfn.XLOOKUP(B169,[2]Sheet2!$E$2:$E$713,[2]Sheet2!$G$2:$G$713)</f>
        <v>#N/A</v>
      </c>
      <c r="G169" s="18">
        <v>46094</v>
      </c>
      <c r="H169" s="14">
        <v>0.46056712962962965</v>
      </c>
      <c r="I169" s="7" t="s">
        <v>17</v>
      </c>
      <c r="J169" s="2" t="str">
        <f t="shared" si="10"/>
        <v>Q2</v>
      </c>
      <c r="K169" s="2" t="str">
        <f t="shared" si="11"/>
        <v>Match</v>
      </c>
      <c r="L169" s="2">
        <f t="shared" si="12"/>
        <v>0</v>
      </c>
      <c r="M169" s="2" t="e">
        <f t="shared" si="13"/>
        <v>#N/A</v>
      </c>
      <c r="N169" s="2" t="str">
        <f t="shared" si="14"/>
        <v>Q OK dE&lt;=0.8</v>
      </c>
      <c r="O169" s="7">
        <v>17.7</v>
      </c>
      <c r="P169" s="7">
        <v>-0.6</v>
      </c>
      <c r="Q169" s="7">
        <v>-9</v>
      </c>
      <c r="R169" s="7">
        <v>-0.21</v>
      </c>
      <c r="S169" s="7">
        <v>0</v>
      </c>
      <c r="T169" s="20">
        <v>0</v>
      </c>
      <c r="U169" s="7">
        <v>0.01</v>
      </c>
      <c r="V169" s="7">
        <v>-0.06</v>
      </c>
      <c r="W169" s="7">
        <v>0.22</v>
      </c>
      <c r="X169" s="7" t="s">
        <v>8</v>
      </c>
      <c r="Y169" s="7" t="s">
        <v>15</v>
      </c>
      <c r="Z169" s="2" t="s">
        <v>718</v>
      </c>
      <c r="AA169" s="2" t="s">
        <v>721</v>
      </c>
    </row>
    <row r="170" spans="1:27" x14ac:dyDescent="0.35">
      <c r="A170" s="7" t="s">
        <v>1531</v>
      </c>
      <c r="B170" s="7" t="s">
        <v>838</v>
      </c>
      <c r="C170" s="7" t="str">
        <f>_xlfn.XLOOKUP(B170,'[1]Sheet 1'!$A$2:$A$11107,'[1]Sheet 1'!$D$2:$D$11107,"",0)</f>
        <v>M&amp;S</v>
      </c>
      <c r="D170" s="4" t="str">
        <f>_xlfn.XLOOKUP(A170,[3]Sheet2!$I$2:$I$1623,[3]Sheet2!$D$2:$D$1623,"",0)</f>
        <v>Q2</v>
      </c>
      <c r="E170" s="4" t="s">
        <v>1827</v>
      </c>
      <c r="F170" s="4" t="e">
        <f>_xlfn.XLOOKUP(B170,[2]Sheet2!$E$2:$E$713,[2]Sheet2!$G$2:$G$713)</f>
        <v>#N/A</v>
      </c>
      <c r="G170" s="18">
        <v>46094</v>
      </c>
      <c r="H170" s="14">
        <v>4.1736111111111113E-2</v>
      </c>
      <c r="I170" s="7" t="s">
        <v>17</v>
      </c>
      <c r="J170" s="2" t="str">
        <f t="shared" si="10"/>
        <v>Q3</v>
      </c>
      <c r="K170" s="2" t="str">
        <f t="shared" si="11"/>
        <v>Not Match</v>
      </c>
      <c r="L170" s="2">
        <f t="shared" si="12"/>
        <v>0.22360679774997899</v>
      </c>
      <c r="M170" s="2" t="e">
        <f t="shared" si="13"/>
        <v>#N/A</v>
      </c>
      <c r="N170" s="2" t="str">
        <f t="shared" si="14"/>
        <v>Q NOT OK dE&lt;=0.8</v>
      </c>
      <c r="O170" s="7">
        <v>17.399999999999999</v>
      </c>
      <c r="P170" s="7">
        <v>-0.9</v>
      </c>
      <c r="Q170" s="7">
        <v>-9.3000000000000007</v>
      </c>
      <c r="R170" s="7">
        <v>-0.33</v>
      </c>
      <c r="S170" s="7">
        <v>-0.2</v>
      </c>
      <c r="T170" s="7">
        <v>-0.1</v>
      </c>
      <c r="U170" s="7">
        <v>0.16</v>
      </c>
      <c r="V170" s="7">
        <v>-0.34</v>
      </c>
      <c r="W170" s="7">
        <v>0.5</v>
      </c>
      <c r="X170" s="7" t="s">
        <v>8</v>
      </c>
      <c r="Y170" s="7" t="s">
        <v>15</v>
      </c>
      <c r="Z170" s="2" t="s">
        <v>718</v>
      </c>
      <c r="AA170" s="2" t="s">
        <v>721</v>
      </c>
    </row>
    <row r="171" spans="1:27" x14ac:dyDescent="0.35">
      <c r="A171" s="7" t="s">
        <v>1718</v>
      </c>
      <c r="B171" s="7" t="s">
        <v>849</v>
      </c>
      <c r="C171" s="7" t="str">
        <f>_xlfn.XLOOKUP(B171,'[1]Sheet 1'!$A$2:$A$11107,'[1]Sheet 1'!$D$2:$D$11107,"",0)</f>
        <v>NKSKI</v>
      </c>
      <c r="D171" s="4" t="str">
        <f>_xlfn.XLOOKUP(A171,[3]Sheet2!$I$2:$I$1623,[3]Sheet2!$D$2:$D$1623,"",0)</f>
        <v>Q1</v>
      </c>
      <c r="E171" s="4" t="s">
        <v>1828</v>
      </c>
      <c r="F171" s="4" t="e">
        <f>_xlfn.XLOOKUP(B171,[2]Sheet2!$E$2:$E$713,[2]Sheet2!$G$2:$G$713)</f>
        <v>#N/A</v>
      </c>
      <c r="G171" s="18">
        <v>46094</v>
      </c>
      <c r="H171" s="14">
        <v>0.96719907407407413</v>
      </c>
      <c r="I171" s="7" t="s">
        <v>4</v>
      </c>
      <c r="J171" s="2" t="str">
        <f t="shared" si="10"/>
        <v>Q1</v>
      </c>
      <c r="K171" s="2" t="str">
        <f t="shared" si="11"/>
        <v>Match</v>
      </c>
      <c r="L171" s="2">
        <f t="shared" si="12"/>
        <v>0.98994949366116647</v>
      </c>
      <c r="M171" s="2" t="e">
        <f t="shared" si="13"/>
        <v>#N/A</v>
      </c>
      <c r="N171" s="2" t="str">
        <f t="shared" si="14"/>
        <v>Q OK dE&lt;=0.8</v>
      </c>
      <c r="O171" s="7">
        <v>37.700000000000003</v>
      </c>
      <c r="P171" s="7">
        <v>56.4</v>
      </c>
      <c r="Q171" s="7">
        <v>29.9</v>
      </c>
      <c r="R171" s="7">
        <v>-0.28000000000000003</v>
      </c>
      <c r="S171" s="7">
        <v>0.7</v>
      </c>
      <c r="T171" s="7">
        <v>0.7</v>
      </c>
      <c r="U171" s="7">
        <v>0.35</v>
      </c>
      <c r="V171" s="7">
        <v>0.17</v>
      </c>
      <c r="W171" s="7">
        <v>0.48</v>
      </c>
      <c r="X171" s="7" t="s">
        <v>8</v>
      </c>
      <c r="Y171" s="7" t="s">
        <v>12</v>
      </c>
      <c r="Z171" s="2" t="s">
        <v>718</v>
      </c>
      <c r="AA171" s="2" t="s">
        <v>721</v>
      </c>
    </row>
    <row r="172" spans="1:27" x14ac:dyDescent="0.35">
      <c r="A172" s="7" t="s">
        <v>1717</v>
      </c>
      <c r="B172" s="7" t="s">
        <v>848</v>
      </c>
      <c r="C172" s="7" t="str">
        <f>_xlfn.XLOOKUP(B172,'[1]Sheet 1'!$A$2:$A$11107,'[1]Sheet 1'!$D$2:$D$11107,"",0)</f>
        <v>WACE</v>
      </c>
      <c r="D172" s="4" t="str">
        <f>_xlfn.XLOOKUP(A172,[3]Sheet2!$I$2:$I$1623,[3]Sheet2!$D$2:$D$1623,"",0)</f>
        <v>Q1</v>
      </c>
      <c r="E172" s="4" t="s">
        <v>1827</v>
      </c>
      <c r="F172" s="4" t="e">
        <f>_xlfn.XLOOKUP(B172,[2]Sheet2!$E$2:$E$713,[2]Sheet2!$G$2:$G$713)</f>
        <v>#N/A</v>
      </c>
      <c r="G172" s="18">
        <v>46094</v>
      </c>
      <c r="H172" s="14">
        <v>0.77219907407407407</v>
      </c>
      <c r="I172" s="7" t="s">
        <v>4</v>
      </c>
      <c r="J172" s="2" t="str">
        <f t="shared" si="10"/>
        <v>Q2</v>
      </c>
      <c r="K172" s="2" t="str">
        <f t="shared" si="11"/>
        <v>Not Match</v>
      </c>
      <c r="L172" s="2">
        <f t="shared" si="12"/>
        <v>0.72801098892805172</v>
      </c>
      <c r="M172" s="2" t="e">
        <f t="shared" si="13"/>
        <v>#N/A</v>
      </c>
      <c r="N172" s="2" t="str">
        <f t="shared" si="14"/>
        <v>Q NOT OK dE&gt;0.8</v>
      </c>
      <c r="O172" s="7">
        <v>19.2</v>
      </c>
      <c r="P172" s="7">
        <v>5.7</v>
      </c>
      <c r="Q172" s="7">
        <v>2.2999999999999998</v>
      </c>
      <c r="R172" s="7">
        <v>-0.83</v>
      </c>
      <c r="S172" s="7">
        <v>-0.2</v>
      </c>
      <c r="T172" s="7">
        <v>0.7</v>
      </c>
      <c r="U172" s="7">
        <v>0.01</v>
      </c>
      <c r="V172" s="7">
        <v>1.02</v>
      </c>
      <c r="W172" s="7">
        <v>1.31</v>
      </c>
      <c r="X172" s="7" t="s">
        <v>6</v>
      </c>
      <c r="Y172" s="7" t="s">
        <v>12</v>
      </c>
      <c r="Z172" s="2" t="s">
        <v>718</v>
      </c>
      <c r="AA172" s="2" t="s">
        <v>721</v>
      </c>
    </row>
    <row r="173" spans="1:27" x14ac:dyDescent="0.35">
      <c r="A173" s="7" t="s">
        <v>1505</v>
      </c>
      <c r="B173" s="7" t="s">
        <v>837</v>
      </c>
      <c r="C173" s="7" t="str">
        <f>_xlfn.XLOOKUP(B173,'[1]Sheet 1'!$A$2:$A$11107,'[1]Sheet 1'!$D$2:$D$11107,"",0)</f>
        <v/>
      </c>
      <c r="D173" s="4" t="str">
        <f>_xlfn.XLOOKUP(A173,[3]Sheet2!$I$2:$I$1623,[3]Sheet2!$D$2:$D$1623,"",0)</f>
        <v>Q4</v>
      </c>
      <c r="E173" s="4" t="s">
        <v>1828</v>
      </c>
      <c r="F173" s="4" t="e">
        <f>_xlfn.XLOOKUP(B173,[2]Sheet2!$E$2:$E$713,[2]Sheet2!$G$2:$G$713)</f>
        <v>#N/A</v>
      </c>
      <c r="G173" s="18">
        <v>46094</v>
      </c>
      <c r="H173" s="14">
        <v>3.9733796296296295E-2</v>
      </c>
      <c r="I173" s="7" t="s">
        <v>5</v>
      </c>
      <c r="J173" s="2" t="str">
        <f t="shared" si="10"/>
        <v>Q2</v>
      </c>
      <c r="K173" s="2" t="str">
        <f t="shared" si="11"/>
        <v>Not Match</v>
      </c>
      <c r="L173" s="2">
        <f t="shared" si="12"/>
        <v>0.14142135623730953</v>
      </c>
      <c r="M173" s="2" t="e">
        <f t="shared" si="13"/>
        <v>#N/A</v>
      </c>
      <c r="N173" s="2" t="str">
        <f t="shared" si="14"/>
        <v>Q NOT OK dE&lt;=0.8</v>
      </c>
      <c r="O173" s="7">
        <v>17.100000000000001</v>
      </c>
      <c r="P173" s="7">
        <v>-1.1000000000000001</v>
      </c>
      <c r="Q173" s="7">
        <v>-2.9</v>
      </c>
      <c r="R173" s="7">
        <v>-0.76</v>
      </c>
      <c r="S173" s="7">
        <v>-0.1</v>
      </c>
      <c r="T173" s="7">
        <v>0.1</v>
      </c>
      <c r="U173" s="7">
        <v>-0.1</v>
      </c>
      <c r="V173" s="7">
        <v>-0.23</v>
      </c>
      <c r="W173" s="7">
        <v>0.8</v>
      </c>
      <c r="X173" s="7" t="s">
        <v>13</v>
      </c>
      <c r="Y173" s="7" t="s">
        <v>15</v>
      </c>
      <c r="Z173" s="2" t="s">
        <v>718</v>
      </c>
      <c r="AA173" s="2" t="s">
        <v>721</v>
      </c>
    </row>
    <row r="174" spans="1:27" x14ac:dyDescent="0.35">
      <c r="A174" s="7" t="s">
        <v>1666</v>
      </c>
      <c r="B174" s="7" t="s">
        <v>850</v>
      </c>
      <c r="C174" s="7" t="str">
        <f>_xlfn.XLOOKUP(B174,'[1]Sheet 1'!$A$2:$A$11107,'[1]Sheet 1'!$D$2:$D$11107,"",0)</f>
        <v>WACE</v>
      </c>
      <c r="D174" s="4" t="str">
        <f>_xlfn.XLOOKUP(A174,[3]Sheet2!$I$2:$I$1623,[3]Sheet2!$D$2:$D$1623,"",0)</f>
        <v>Q3</v>
      </c>
      <c r="E174" s="4" t="s">
        <v>1828</v>
      </c>
      <c r="F174" s="4" t="e">
        <f>_xlfn.XLOOKUP(B174,[2]Sheet2!$E$2:$E$713,[2]Sheet2!$G$2:$G$713)</f>
        <v>#N/A</v>
      </c>
      <c r="G174" s="18">
        <v>46094</v>
      </c>
      <c r="H174" s="14">
        <v>0.97259259259259256</v>
      </c>
      <c r="I174" s="7" t="s">
        <v>4</v>
      </c>
      <c r="J174" s="2" t="str">
        <f t="shared" si="10"/>
        <v>Q3</v>
      </c>
      <c r="K174" s="2" t="str">
        <f t="shared" si="11"/>
        <v>Match</v>
      </c>
      <c r="L174" s="2">
        <f t="shared" si="12"/>
        <v>0.22360679774997899</v>
      </c>
      <c r="M174" s="2" t="e">
        <f t="shared" si="13"/>
        <v>#N/A</v>
      </c>
      <c r="N174" s="2" t="str">
        <f t="shared" si="14"/>
        <v>Q OK dE&lt;=0.8</v>
      </c>
      <c r="O174" s="7">
        <v>16.5</v>
      </c>
      <c r="P174" s="7">
        <v>0</v>
      </c>
      <c r="Q174" s="7">
        <v>-1</v>
      </c>
      <c r="R174" s="7">
        <v>-0.19</v>
      </c>
      <c r="S174" s="7">
        <v>-0.2</v>
      </c>
      <c r="T174" s="7">
        <v>-0.1</v>
      </c>
      <c r="U174" s="7">
        <v>0.14000000000000001</v>
      </c>
      <c r="V174" s="7">
        <v>-0.33</v>
      </c>
      <c r="W174" s="7">
        <v>0.4</v>
      </c>
      <c r="X174" s="7" t="s">
        <v>8</v>
      </c>
      <c r="Y174" s="7" t="s">
        <v>15</v>
      </c>
      <c r="Z174" s="2" t="s">
        <v>718</v>
      </c>
      <c r="AA174" s="2" t="s">
        <v>721</v>
      </c>
    </row>
    <row r="175" spans="1:27" x14ac:dyDescent="0.35">
      <c r="A175" s="7" t="s">
        <v>1666</v>
      </c>
      <c r="B175" s="7" t="s">
        <v>840</v>
      </c>
      <c r="C175" s="7" t="str">
        <f>_xlfn.XLOOKUP(B175,'[1]Sheet 1'!$A$2:$A$11107,'[1]Sheet 1'!$D$2:$D$11107,"",0)</f>
        <v>WACE</v>
      </c>
      <c r="D175" s="4" t="str">
        <f>_xlfn.XLOOKUP(A175,[3]Sheet2!$I$2:$I$1623,[3]Sheet2!$D$2:$D$1623,"",0)</f>
        <v>Q3</v>
      </c>
      <c r="E175" s="4" t="s">
        <v>1828</v>
      </c>
      <c r="F175" s="4" t="e">
        <f>_xlfn.XLOOKUP(B175,[2]Sheet2!$E$2:$E$713,[2]Sheet2!$G$2:$G$713)</f>
        <v>#N/A</v>
      </c>
      <c r="G175" s="18">
        <v>46094</v>
      </c>
      <c r="H175" s="14">
        <v>0.23201388888888888</v>
      </c>
      <c r="I175" s="7" t="s">
        <v>4</v>
      </c>
      <c r="J175" s="2" t="str">
        <f t="shared" si="10"/>
        <v>Q3</v>
      </c>
      <c r="K175" s="2" t="str">
        <f t="shared" si="11"/>
        <v>Match</v>
      </c>
      <c r="L175" s="2">
        <f t="shared" si="12"/>
        <v>0.1</v>
      </c>
      <c r="M175" s="2" t="e">
        <f t="shared" si="13"/>
        <v>#N/A</v>
      </c>
      <c r="N175" s="2" t="str">
        <f t="shared" si="14"/>
        <v>Q OK dE&lt;=0.8</v>
      </c>
      <c r="O175" s="7">
        <v>17.100000000000001</v>
      </c>
      <c r="P175" s="7">
        <v>0</v>
      </c>
      <c r="Q175" s="7">
        <v>-1</v>
      </c>
      <c r="R175" s="7">
        <v>0.4</v>
      </c>
      <c r="S175" s="7">
        <v>-0.1</v>
      </c>
      <c r="T175" s="20">
        <v>0</v>
      </c>
      <c r="U175" s="7">
        <v>7.0000000000000007E-2</v>
      </c>
      <c r="V175" s="7">
        <v>-0.28999999999999998</v>
      </c>
      <c r="W175" s="7">
        <v>0.49</v>
      </c>
      <c r="X175" s="7" t="s">
        <v>8</v>
      </c>
      <c r="Y175" s="7" t="s">
        <v>15</v>
      </c>
      <c r="Z175" s="2" t="s">
        <v>718</v>
      </c>
      <c r="AA175" s="2" t="s">
        <v>721</v>
      </c>
    </row>
    <row r="176" spans="1:27" x14ac:dyDescent="0.35">
      <c r="A176" s="7" t="s">
        <v>1574</v>
      </c>
      <c r="B176" s="7" t="s">
        <v>861</v>
      </c>
      <c r="C176" s="7" t="str">
        <f>_xlfn.XLOOKUP(B176,'[1]Sheet 1'!$A$2:$A$11107,'[1]Sheet 1'!$D$2:$D$11107,"",0)</f>
        <v>PINK</v>
      </c>
      <c r="D176" s="4" t="str">
        <f>_xlfn.XLOOKUP(A176,[3]Sheet2!$I$2:$I$1623,[3]Sheet2!$D$2:$D$1623,"",0)</f>
        <v>Q2</v>
      </c>
      <c r="E176" s="4" t="s">
        <v>1828</v>
      </c>
      <c r="F176" s="4" t="e">
        <f>_xlfn.XLOOKUP(B176,[2]Sheet2!$E$2:$E$713,[2]Sheet2!$G$2:$G$713)</f>
        <v>#N/A</v>
      </c>
      <c r="G176" s="18">
        <v>46095</v>
      </c>
      <c r="H176" s="14">
        <v>0.28020833333333334</v>
      </c>
      <c r="I176" s="7" t="s">
        <v>11</v>
      </c>
      <c r="J176" s="2" t="str">
        <f t="shared" si="10"/>
        <v>Q4</v>
      </c>
      <c r="K176" s="2" t="str">
        <f t="shared" si="11"/>
        <v>Not Match</v>
      </c>
      <c r="L176" s="2">
        <f t="shared" si="12"/>
        <v>0.90553851381374173</v>
      </c>
      <c r="M176" s="2" t="e">
        <f t="shared" si="13"/>
        <v>#N/A</v>
      </c>
      <c r="N176" s="2" t="str">
        <f t="shared" si="14"/>
        <v>Q NOT OK dE&gt;0.8</v>
      </c>
      <c r="O176" s="7">
        <v>18.3</v>
      </c>
      <c r="P176" s="7">
        <v>-0.1</v>
      </c>
      <c r="Q176" s="7">
        <v>-13</v>
      </c>
      <c r="R176" s="7">
        <v>-0.8</v>
      </c>
      <c r="S176" s="7">
        <v>0.1</v>
      </c>
      <c r="T176" s="7">
        <v>-0.9</v>
      </c>
      <c r="U176" s="7">
        <v>0.75</v>
      </c>
      <c r="V176" s="7">
        <v>0.23</v>
      </c>
      <c r="W176" s="7">
        <v>1.1200000000000001</v>
      </c>
      <c r="X176" s="7" t="s">
        <v>6</v>
      </c>
      <c r="Y176" s="7" t="s">
        <v>9</v>
      </c>
      <c r="Z176" s="2" t="s">
        <v>718</v>
      </c>
      <c r="AA176" s="2" t="s">
        <v>721</v>
      </c>
    </row>
    <row r="177" spans="1:27" x14ac:dyDescent="0.35">
      <c r="A177" s="7" t="s">
        <v>1559</v>
      </c>
      <c r="B177" s="7" t="s">
        <v>864</v>
      </c>
      <c r="C177" s="7" t="str">
        <f>_xlfn.XLOOKUP(B177,'[1]Sheet 1'!$A$2:$A$11107,'[1]Sheet 1'!$D$2:$D$11107,"",0)</f>
        <v>VSS</v>
      </c>
      <c r="D177" s="4" t="str">
        <f>_xlfn.XLOOKUP(A177,[3]Sheet2!$I$2:$I$1623,[3]Sheet2!$D$2:$D$1623,"",0)</f>
        <v>Q3</v>
      </c>
      <c r="E177" s="4" t="s">
        <v>1828</v>
      </c>
      <c r="F177" s="4" t="e">
        <f>_xlfn.XLOOKUP(B177,[2]Sheet2!$E$2:$E$713,[2]Sheet2!$G$2:$G$713)</f>
        <v>#N/A</v>
      </c>
      <c r="G177" s="18">
        <v>46095</v>
      </c>
      <c r="H177" s="14">
        <v>0.28721064814814817</v>
      </c>
      <c r="I177" s="7" t="s">
        <v>10</v>
      </c>
      <c r="J177" s="2" t="str">
        <f t="shared" si="10"/>
        <v>Q3</v>
      </c>
      <c r="K177" s="2" t="str">
        <f t="shared" si="11"/>
        <v>Match</v>
      </c>
      <c r="L177" s="2">
        <f t="shared" si="12"/>
        <v>0.1</v>
      </c>
      <c r="M177" s="2" t="e">
        <f t="shared" si="13"/>
        <v>#N/A</v>
      </c>
      <c r="N177" s="2" t="str">
        <f t="shared" si="14"/>
        <v>Q OK dE&lt;=0.8</v>
      </c>
      <c r="O177" s="7">
        <v>17.2</v>
      </c>
      <c r="P177" s="7">
        <v>-0.1</v>
      </c>
      <c r="Q177" s="7">
        <v>-2.5</v>
      </c>
      <c r="R177" s="7">
        <v>-0.67</v>
      </c>
      <c r="S177" s="7">
        <v>0</v>
      </c>
      <c r="T177" s="7">
        <v>-0.1</v>
      </c>
      <c r="U177" s="7">
        <v>0.24</v>
      </c>
      <c r="V177" s="7">
        <v>-0.11</v>
      </c>
      <c r="W177" s="7">
        <v>0.72</v>
      </c>
      <c r="X177" s="7" t="s">
        <v>8</v>
      </c>
      <c r="Y177" s="7" t="s">
        <v>15</v>
      </c>
      <c r="Z177" s="2" t="s">
        <v>718</v>
      </c>
      <c r="AA177" s="2" t="s">
        <v>721</v>
      </c>
    </row>
    <row r="178" spans="1:27" x14ac:dyDescent="0.35">
      <c r="A178" s="7" t="s">
        <v>1559</v>
      </c>
      <c r="B178" s="7" t="s">
        <v>872</v>
      </c>
      <c r="C178" s="7" t="str">
        <f>_xlfn.XLOOKUP(B178,'[1]Sheet 1'!$A$2:$A$11107,'[1]Sheet 1'!$D$2:$D$11107,"",0)</f>
        <v>VSS</v>
      </c>
      <c r="D178" s="4" t="str">
        <f>_xlfn.XLOOKUP(A178,[3]Sheet2!$I$2:$I$1623,[3]Sheet2!$D$2:$D$1623,"",0)</f>
        <v>Q3</v>
      </c>
      <c r="E178" s="4" t="s">
        <v>1828</v>
      </c>
      <c r="F178" s="4" t="e">
        <f>_xlfn.XLOOKUP(B178,[2]Sheet2!$E$2:$E$713,[2]Sheet2!$G$2:$G$713)</f>
        <v>#N/A</v>
      </c>
      <c r="G178" s="18">
        <v>46095</v>
      </c>
      <c r="H178" s="14">
        <v>0.70195601851851852</v>
      </c>
      <c r="I178" s="7" t="s">
        <v>10</v>
      </c>
      <c r="J178" s="2" t="str">
        <f t="shared" si="10"/>
        <v>Q3</v>
      </c>
      <c r="K178" s="2" t="str">
        <f t="shared" si="11"/>
        <v>Match</v>
      </c>
      <c r="L178" s="2">
        <f t="shared" si="12"/>
        <v>0.1</v>
      </c>
      <c r="M178" s="2" t="e">
        <f t="shared" si="13"/>
        <v>#N/A</v>
      </c>
      <c r="N178" s="2" t="str">
        <f t="shared" si="14"/>
        <v>Q OK dE&gt;0.8</v>
      </c>
      <c r="O178" s="7">
        <v>16.8</v>
      </c>
      <c r="P178" s="7">
        <v>0</v>
      </c>
      <c r="Q178" s="7">
        <v>-2.4</v>
      </c>
      <c r="R178" s="7">
        <v>-1.06</v>
      </c>
      <c r="S178" s="7">
        <v>0</v>
      </c>
      <c r="T178" s="7">
        <v>-0.1</v>
      </c>
      <c r="U178" s="7">
        <v>0.17</v>
      </c>
      <c r="V178" s="7">
        <v>0.01</v>
      </c>
      <c r="W178" s="7">
        <v>1.07</v>
      </c>
      <c r="X178" s="7" t="s">
        <v>6</v>
      </c>
      <c r="Y178" s="7" t="s">
        <v>9</v>
      </c>
      <c r="Z178" s="2" t="s">
        <v>718</v>
      </c>
      <c r="AA178" s="2" t="s">
        <v>721</v>
      </c>
    </row>
    <row r="179" spans="1:27" x14ac:dyDescent="0.35">
      <c r="A179" s="7" t="s">
        <v>1559</v>
      </c>
      <c r="B179" s="7" t="s">
        <v>852</v>
      </c>
      <c r="C179" s="7" t="str">
        <f>_xlfn.XLOOKUP(B179,'[1]Sheet 1'!$A$2:$A$11107,'[1]Sheet 1'!$D$2:$D$11107,"",0)</f>
        <v>VSS</v>
      </c>
      <c r="D179" s="4" t="str">
        <f>_xlfn.XLOOKUP(A179,[3]Sheet2!$I$2:$I$1623,[3]Sheet2!$D$2:$D$1623,"",0)</f>
        <v>Q3</v>
      </c>
      <c r="E179" s="4" t="s">
        <v>1828</v>
      </c>
      <c r="F179" s="4" t="e">
        <f>_xlfn.XLOOKUP(B179,[2]Sheet2!$E$2:$E$713,[2]Sheet2!$G$2:$G$713)</f>
        <v>#N/A</v>
      </c>
      <c r="G179" s="18">
        <v>46095</v>
      </c>
      <c r="H179" s="14">
        <v>6.3182870370370375E-2</v>
      </c>
      <c r="I179" s="7" t="s">
        <v>10</v>
      </c>
      <c r="J179" s="2" t="str">
        <f t="shared" si="10"/>
        <v>Q3</v>
      </c>
      <c r="K179" s="2" t="str">
        <f t="shared" si="11"/>
        <v>Match</v>
      </c>
      <c r="L179" s="2">
        <f t="shared" si="12"/>
        <v>0.1</v>
      </c>
      <c r="M179" s="2" t="e">
        <f t="shared" si="13"/>
        <v>#N/A</v>
      </c>
      <c r="N179" s="2" t="str">
        <f t="shared" si="14"/>
        <v>Q OK dE&lt;=0.8</v>
      </c>
      <c r="O179" s="7">
        <v>17.5</v>
      </c>
      <c r="P179" s="7">
        <v>0</v>
      </c>
      <c r="Q179" s="7">
        <v>-2.4</v>
      </c>
      <c r="R179" s="7">
        <v>-0.43</v>
      </c>
      <c r="S179" s="7">
        <v>0</v>
      </c>
      <c r="T179" s="7">
        <v>-0.1</v>
      </c>
      <c r="U179" s="7">
        <v>0.21</v>
      </c>
      <c r="V179" s="7">
        <v>0.04</v>
      </c>
      <c r="W179" s="7">
        <v>0.48</v>
      </c>
      <c r="X179" s="7" t="s">
        <v>8</v>
      </c>
      <c r="Y179" s="7" t="s">
        <v>9</v>
      </c>
      <c r="Z179" s="2" t="s">
        <v>718</v>
      </c>
      <c r="AA179" s="2" t="s">
        <v>721</v>
      </c>
    </row>
    <row r="180" spans="1:27" x14ac:dyDescent="0.35">
      <c r="A180" s="7" t="s">
        <v>1540</v>
      </c>
      <c r="B180" s="7" t="s">
        <v>875</v>
      </c>
      <c r="C180" s="7" t="str">
        <f>_xlfn.XLOOKUP(B180,'[1]Sheet 1'!$A$2:$A$11107,'[1]Sheet 1'!$D$2:$D$11107,"",0)</f>
        <v>VSS</v>
      </c>
      <c r="D180" s="4" t="str">
        <f>_xlfn.XLOOKUP(A180,[3]Sheet2!$I$2:$I$1623,[3]Sheet2!$D$2:$D$1623,"",0)</f>
        <v>Q3</v>
      </c>
      <c r="E180" s="4" t="s">
        <v>1828</v>
      </c>
      <c r="F180" s="4" t="e">
        <f>_xlfn.XLOOKUP(B180,[2]Sheet2!$E$2:$E$713,[2]Sheet2!$G$2:$G$713)</f>
        <v>#N/A</v>
      </c>
      <c r="G180" s="18">
        <v>46095</v>
      </c>
      <c r="H180" s="14">
        <v>0.75557870370370372</v>
      </c>
      <c r="I180" s="7" t="s">
        <v>10</v>
      </c>
      <c r="J180" s="2" t="str">
        <f t="shared" si="10"/>
        <v>Q3</v>
      </c>
      <c r="K180" s="2" t="str">
        <f t="shared" si="11"/>
        <v>Match</v>
      </c>
      <c r="L180" s="2">
        <f t="shared" si="12"/>
        <v>0.1</v>
      </c>
      <c r="M180" s="2" t="e">
        <f t="shared" si="13"/>
        <v>#N/A</v>
      </c>
      <c r="N180" s="2" t="str">
        <f t="shared" si="14"/>
        <v>Q OK dE&lt;=0.8</v>
      </c>
      <c r="O180" s="7">
        <v>14</v>
      </c>
      <c r="P180" s="7">
        <v>0.6</v>
      </c>
      <c r="Q180" s="7">
        <v>-1.1000000000000001</v>
      </c>
      <c r="R180" s="7">
        <v>-0.45</v>
      </c>
      <c r="S180" s="7">
        <v>0.1</v>
      </c>
      <c r="T180" s="20">
        <v>0</v>
      </c>
      <c r="U180" s="7">
        <v>0.01</v>
      </c>
      <c r="V180" s="7">
        <v>0.26</v>
      </c>
      <c r="W180" s="7">
        <v>0.52</v>
      </c>
      <c r="X180" s="7" t="s">
        <v>8</v>
      </c>
      <c r="Y180" s="7" t="s">
        <v>9</v>
      </c>
      <c r="Z180" s="2" t="s">
        <v>718</v>
      </c>
      <c r="AA180" s="2" t="s">
        <v>721</v>
      </c>
    </row>
    <row r="181" spans="1:27" x14ac:dyDescent="0.35">
      <c r="A181" s="7" t="s">
        <v>1671</v>
      </c>
      <c r="B181" s="7" t="s">
        <v>870</v>
      </c>
      <c r="C181" s="7" t="str">
        <f>_xlfn.XLOOKUP(B181,'[1]Sheet 1'!$A$2:$A$11107,'[1]Sheet 1'!$D$2:$D$11107,"",0)</f>
        <v>PINK</v>
      </c>
      <c r="D181" s="4" t="str">
        <f>_xlfn.XLOOKUP(A181,[3]Sheet2!$I$2:$I$1623,[3]Sheet2!$D$2:$D$1623,"",0)</f>
        <v>Q1</v>
      </c>
      <c r="E181" s="4" t="s">
        <v>1828</v>
      </c>
      <c r="F181" s="4" t="e">
        <f>_xlfn.XLOOKUP(B181,[2]Sheet2!$E$2:$E$713,[2]Sheet2!$G$2:$G$713)</f>
        <v>#N/A</v>
      </c>
      <c r="G181" s="18">
        <v>46095</v>
      </c>
      <c r="H181" s="14">
        <v>0.69337962962962962</v>
      </c>
      <c r="I181" s="7" t="s">
        <v>10</v>
      </c>
      <c r="J181" s="2" t="str">
        <f t="shared" si="10"/>
        <v>Q1</v>
      </c>
      <c r="K181" s="2" t="str">
        <f t="shared" si="11"/>
        <v>Match</v>
      </c>
      <c r="L181" s="2">
        <f t="shared" si="12"/>
        <v>1.61245154965971</v>
      </c>
      <c r="M181" s="2" t="e">
        <f t="shared" si="13"/>
        <v>#N/A</v>
      </c>
      <c r="N181" s="2" t="str">
        <f t="shared" si="14"/>
        <v>Q OK dE&gt;0.8</v>
      </c>
      <c r="O181" s="7">
        <v>42.4</v>
      </c>
      <c r="P181" s="7">
        <v>57.2</v>
      </c>
      <c r="Q181" s="7">
        <v>41.7</v>
      </c>
      <c r="R181" s="7">
        <v>-0.41</v>
      </c>
      <c r="S181" s="7">
        <v>0.2</v>
      </c>
      <c r="T181" s="7">
        <v>1.6</v>
      </c>
      <c r="U181" s="7">
        <v>0.39</v>
      </c>
      <c r="V181" s="7">
        <v>0.78</v>
      </c>
      <c r="W181" s="7">
        <v>0.96</v>
      </c>
      <c r="X181" s="7" t="s">
        <v>13</v>
      </c>
      <c r="Y181" s="7" t="s">
        <v>12</v>
      </c>
      <c r="Z181" s="2" t="s">
        <v>718</v>
      </c>
      <c r="AA181" s="2" t="s">
        <v>721</v>
      </c>
    </row>
    <row r="182" spans="1:27" x14ac:dyDescent="0.35">
      <c r="A182" s="7" t="s">
        <v>1614</v>
      </c>
      <c r="B182" s="7" t="s">
        <v>867</v>
      </c>
      <c r="C182" s="7" t="str">
        <f>_xlfn.XLOOKUP(B182,'[1]Sheet 1'!$A$2:$A$11107,'[1]Sheet 1'!$D$2:$D$11107,"",0)</f>
        <v>M&amp;S</v>
      </c>
      <c r="D182" s="4" t="str">
        <f>_xlfn.XLOOKUP(A182,[3]Sheet2!$I$2:$I$1623,[3]Sheet2!$D$2:$D$1623,"",0)</f>
        <v>Q3</v>
      </c>
      <c r="E182" s="4" t="s">
        <v>1828</v>
      </c>
      <c r="F182" s="4" t="e">
        <f>_xlfn.XLOOKUP(B182,[2]Sheet2!$E$2:$E$713,[2]Sheet2!$G$2:$G$713)</f>
        <v>#N/A</v>
      </c>
      <c r="G182" s="18">
        <v>46095</v>
      </c>
      <c r="H182" s="14">
        <v>0.58986111111111106</v>
      </c>
      <c r="I182" s="7" t="s">
        <v>17</v>
      </c>
      <c r="J182" s="2" t="str">
        <f t="shared" si="10"/>
        <v>Q3</v>
      </c>
      <c r="K182" s="2" t="str">
        <f t="shared" si="11"/>
        <v>Match</v>
      </c>
      <c r="L182" s="2">
        <f t="shared" si="12"/>
        <v>0.4</v>
      </c>
      <c r="M182" s="2" t="e">
        <f t="shared" si="13"/>
        <v>#N/A</v>
      </c>
      <c r="N182" s="2" t="str">
        <f t="shared" si="14"/>
        <v>Q OK dE&lt;=0.8</v>
      </c>
      <c r="O182" s="7">
        <v>25.1</v>
      </c>
      <c r="P182" s="7">
        <v>-5.9</v>
      </c>
      <c r="Q182" s="7">
        <v>-7</v>
      </c>
      <c r="R182" s="7">
        <v>0.47</v>
      </c>
      <c r="S182" s="7">
        <v>-0.4</v>
      </c>
      <c r="T182" s="20">
        <v>0</v>
      </c>
      <c r="U182" s="7">
        <v>0.3</v>
      </c>
      <c r="V182" s="7">
        <v>-0.37</v>
      </c>
      <c r="W182" s="7">
        <v>0.67</v>
      </c>
      <c r="X182" s="7" t="s">
        <v>8</v>
      </c>
      <c r="Y182" s="7" t="s">
        <v>12</v>
      </c>
      <c r="Z182" s="2" t="s">
        <v>718</v>
      </c>
      <c r="AA182" s="2" t="s">
        <v>721</v>
      </c>
    </row>
    <row r="183" spans="1:27" x14ac:dyDescent="0.35">
      <c r="A183" s="7" t="s">
        <v>1516</v>
      </c>
      <c r="B183" s="7" t="s">
        <v>855</v>
      </c>
      <c r="C183" s="7" t="str">
        <f>_xlfn.XLOOKUP(B183,'[1]Sheet 1'!$A$2:$A$11107,'[1]Sheet 1'!$D$2:$D$11107,"",0)</f>
        <v>LBI</v>
      </c>
      <c r="D183" s="4" t="str">
        <f>_xlfn.XLOOKUP(A183,[3]Sheet2!$I$2:$I$1623,[3]Sheet2!$D$2:$D$1623,"",0)</f>
        <v>Q2</v>
      </c>
      <c r="E183" s="4" t="s">
        <v>1828</v>
      </c>
      <c r="F183" s="4" t="e">
        <f>_xlfn.XLOOKUP(B183,[2]Sheet2!$E$2:$E$713,[2]Sheet2!$G$2:$G$713)</f>
        <v>#N/A</v>
      </c>
      <c r="G183" s="18">
        <v>46095</v>
      </c>
      <c r="H183" s="14">
        <v>0.27121527777777776</v>
      </c>
      <c r="I183" s="7" t="s">
        <v>14</v>
      </c>
      <c r="J183" s="2" t="str">
        <f t="shared" si="10"/>
        <v>Q1</v>
      </c>
      <c r="K183" s="2" t="str">
        <f t="shared" si="11"/>
        <v>Not Match</v>
      </c>
      <c r="L183" s="2">
        <f t="shared" si="12"/>
        <v>0.36055512754639896</v>
      </c>
      <c r="M183" s="2" t="e">
        <f t="shared" si="13"/>
        <v>#N/A</v>
      </c>
      <c r="N183" s="2" t="str">
        <f t="shared" si="14"/>
        <v>Q NOT OK dE&gt;0.8</v>
      </c>
      <c r="O183" s="7">
        <v>17</v>
      </c>
      <c r="P183" s="7">
        <v>-1.3</v>
      </c>
      <c r="Q183" s="7">
        <v>-2.2999999999999998</v>
      </c>
      <c r="R183" s="7">
        <v>-0.82</v>
      </c>
      <c r="S183" s="7">
        <v>0.2</v>
      </c>
      <c r="T183" s="7">
        <v>0.3</v>
      </c>
      <c r="U183" s="7">
        <v>-0.51</v>
      </c>
      <c r="V183" s="7">
        <v>0.03</v>
      </c>
      <c r="W183" s="7">
        <v>0.96</v>
      </c>
      <c r="X183" s="7" t="s">
        <v>13</v>
      </c>
      <c r="Y183" s="7" t="s">
        <v>9</v>
      </c>
      <c r="Z183" s="2" t="s">
        <v>718</v>
      </c>
      <c r="AA183" s="2" t="s">
        <v>721</v>
      </c>
    </row>
    <row r="184" spans="1:27" x14ac:dyDescent="0.35">
      <c r="A184" s="7" t="s">
        <v>1545</v>
      </c>
      <c r="B184" s="7" t="s">
        <v>871</v>
      </c>
      <c r="C184" s="7" t="str">
        <f>_xlfn.XLOOKUP(B184,'[1]Sheet 1'!$A$2:$A$11107,'[1]Sheet 1'!$D$2:$D$11107,"",0)</f>
        <v>NIK</v>
      </c>
      <c r="D184" s="4" t="str">
        <f>_xlfn.XLOOKUP(A184,[3]Sheet2!$I$2:$I$1623,[3]Sheet2!$D$2:$D$1623,"",0)</f>
        <v>Q2</v>
      </c>
      <c r="E184" s="4" t="s">
        <v>1828</v>
      </c>
      <c r="F184" s="4" t="e">
        <f>_xlfn.XLOOKUP(B184,[2]Sheet2!$E$2:$E$713,[2]Sheet2!$G$2:$G$713)</f>
        <v>#N/A</v>
      </c>
      <c r="G184" s="18">
        <v>46095</v>
      </c>
      <c r="H184" s="14">
        <v>0.69493055555555561</v>
      </c>
      <c r="I184" s="7" t="s">
        <v>4</v>
      </c>
      <c r="J184" s="2" t="str">
        <f t="shared" si="10"/>
        <v>Q2</v>
      </c>
      <c r="K184" s="2" t="str">
        <f t="shared" si="11"/>
        <v>Match</v>
      </c>
      <c r="L184" s="2">
        <f t="shared" si="12"/>
        <v>0.6</v>
      </c>
      <c r="M184" s="2" t="e">
        <f t="shared" si="13"/>
        <v>#N/A</v>
      </c>
      <c r="N184" s="2" t="str">
        <f t="shared" si="14"/>
        <v>Q OK dE&gt;0.8</v>
      </c>
      <c r="O184" s="7">
        <v>18.600000000000001</v>
      </c>
      <c r="P184" s="7">
        <v>-0.9</v>
      </c>
      <c r="Q184" s="7">
        <v>-2.2000000000000002</v>
      </c>
      <c r="R184" s="7">
        <v>0.16</v>
      </c>
      <c r="S184" s="7">
        <v>0</v>
      </c>
      <c r="T184" s="7">
        <v>-0.6</v>
      </c>
      <c r="U184" s="7">
        <v>0.74</v>
      </c>
      <c r="V184" s="7">
        <v>0.31</v>
      </c>
      <c r="W184" s="7">
        <v>0.82</v>
      </c>
      <c r="X184" s="7" t="s">
        <v>13</v>
      </c>
      <c r="Y184" s="7" t="s">
        <v>9</v>
      </c>
      <c r="Z184" s="2" t="s">
        <v>718</v>
      </c>
      <c r="AA184" s="2" t="s">
        <v>721</v>
      </c>
    </row>
    <row r="185" spans="1:27" x14ac:dyDescent="0.35">
      <c r="A185" s="7" t="s">
        <v>1516</v>
      </c>
      <c r="B185" s="7" t="s">
        <v>859</v>
      </c>
      <c r="C185" s="7" t="str">
        <f>_xlfn.XLOOKUP(B185,'[1]Sheet 1'!$A$2:$A$11107,'[1]Sheet 1'!$D$2:$D$11107,"",0)</f>
        <v>LBI</v>
      </c>
      <c r="D185" s="4" t="str">
        <f>_xlfn.XLOOKUP(A185,[3]Sheet2!$I$2:$I$1623,[3]Sheet2!$D$2:$D$1623,"",0)</f>
        <v>Q2</v>
      </c>
      <c r="E185" s="4" t="s">
        <v>1828</v>
      </c>
      <c r="F185" s="4" t="e">
        <f>_xlfn.XLOOKUP(B185,[2]Sheet2!$E$2:$E$713,[2]Sheet2!$G$2:$G$713)</f>
        <v>#N/A</v>
      </c>
      <c r="G185" s="18">
        <v>46095</v>
      </c>
      <c r="H185" s="14">
        <v>0.27734953703703702</v>
      </c>
      <c r="I185" s="7" t="s">
        <v>4</v>
      </c>
      <c r="J185" s="2" t="str">
        <f t="shared" si="10"/>
        <v>Q2</v>
      </c>
      <c r="K185" s="2" t="str">
        <f t="shared" si="11"/>
        <v>Match</v>
      </c>
      <c r="L185" s="2">
        <f t="shared" si="12"/>
        <v>0.3</v>
      </c>
      <c r="M185" s="2" t="e">
        <f t="shared" si="13"/>
        <v>#N/A</v>
      </c>
      <c r="N185" s="2" t="str">
        <f t="shared" si="14"/>
        <v>Q OK dE&lt;=0.8</v>
      </c>
      <c r="O185" s="7">
        <v>18.7</v>
      </c>
      <c r="P185" s="7">
        <v>-1.3</v>
      </c>
      <c r="Q185" s="7">
        <v>-1.9</v>
      </c>
      <c r="R185" s="7">
        <v>0.21</v>
      </c>
      <c r="S185" s="7">
        <v>0</v>
      </c>
      <c r="T185" s="7">
        <v>-0.3</v>
      </c>
      <c r="U185" s="7">
        <v>0.25</v>
      </c>
      <c r="V185" s="7">
        <v>0.34</v>
      </c>
      <c r="W185" s="7">
        <v>0.47</v>
      </c>
      <c r="X185" s="7" t="s">
        <v>8</v>
      </c>
      <c r="Y185" s="7" t="s">
        <v>9</v>
      </c>
      <c r="Z185" s="2" t="s">
        <v>718</v>
      </c>
      <c r="AA185" s="2" t="s">
        <v>721</v>
      </c>
    </row>
    <row r="186" spans="1:27" x14ac:dyDescent="0.35">
      <c r="A186" s="7" t="s">
        <v>1713</v>
      </c>
      <c r="B186" s="7" t="s">
        <v>865</v>
      </c>
      <c r="C186" s="7" t="str">
        <f>_xlfn.XLOOKUP(B186,'[1]Sheet 1'!$A$2:$A$11107,'[1]Sheet 1'!$D$2:$D$11107,"",0)</f>
        <v>VSS</v>
      </c>
      <c r="D186" s="4" t="str">
        <f>_xlfn.XLOOKUP(A186,[3]Sheet2!$I$2:$I$1623,[3]Sheet2!$D$2:$D$1623,"",0)</f>
        <v>Q3</v>
      </c>
      <c r="E186" s="4" t="s">
        <v>1828</v>
      </c>
      <c r="F186" s="4" t="e">
        <f>_xlfn.XLOOKUP(B186,[2]Sheet2!$E$2:$E$713,[2]Sheet2!$G$2:$G$713)</f>
        <v>#N/A</v>
      </c>
      <c r="G186" s="18">
        <v>46095</v>
      </c>
      <c r="H186" s="14">
        <v>0.35994212962962963</v>
      </c>
      <c r="I186" s="7" t="s">
        <v>10</v>
      </c>
      <c r="J186" s="2" t="str">
        <f t="shared" si="10"/>
        <v>Q2</v>
      </c>
      <c r="K186" s="2" t="str">
        <f t="shared" si="11"/>
        <v>Not Match</v>
      </c>
      <c r="L186" s="2">
        <f t="shared" si="12"/>
        <v>0.85440037453175322</v>
      </c>
      <c r="M186" s="2" t="e">
        <f t="shared" si="13"/>
        <v>#N/A</v>
      </c>
      <c r="N186" s="2" t="str">
        <f t="shared" si="14"/>
        <v>Q NOT OK dE&gt;0.8</v>
      </c>
      <c r="O186" s="7">
        <v>44.2</v>
      </c>
      <c r="P186" s="7">
        <v>17.100000000000001</v>
      </c>
      <c r="Q186" s="7">
        <v>22.1</v>
      </c>
      <c r="R186" s="7">
        <v>-0.76</v>
      </c>
      <c r="S186" s="7">
        <v>-0.3</v>
      </c>
      <c r="T186" s="7">
        <v>0.8</v>
      </c>
      <c r="U186" s="7">
        <v>0.2</v>
      </c>
      <c r="V186" s="7">
        <v>1.07</v>
      </c>
      <c r="W186" s="7">
        <v>1.32</v>
      </c>
      <c r="X186" s="7" t="s">
        <v>6</v>
      </c>
      <c r="Y186" s="7" t="s">
        <v>12</v>
      </c>
      <c r="Z186" s="2" t="s">
        <v>718</v>
      </c>
      <c r="AA186" s="2" t="s">
        <v>721</v>
      </c>
    </row>
    <row r="187" spans="1:27" x14ac:dyDescent="0.35">
      <c r="A187" s="7" t="s">
        <v>1685</v>
      </c>
      <c r="B187" s="7" t="s">
        <v>857</v>
      </c>
      <c r="C187" s="7" t="str">
        <f>_xlfn.XLOOKUP(B187,'[1]Sheet 1'!$A$2:$A$11107,'[1]Sheet 1'!$D$2:$D$11107,"",0)</f>
        <v>ESS2</v>
      </c>
      <c r="D187" s="4" t="str">
        <f>_xlfn.XLOOKUP(A187,[3]Sheet2!$I$2:$I$1623,[3]Sheet2!$D$2:$D$1623,"",0)</f>
        <v>Q1</v>
      </c>
      <c r="E187" s="4" t="s">
        <v>1828</v>
      </c>
      <c r="F187" s="4" t="e">
        <f>_xlfn.XLOOKUP(B187,[2]Sheet2!$E$2:$E$713,[2]Sheet2!$G$2:$G$713)</f>
        <v>#N/A</v>
      </c>
      <c r="G187" s="18">
        <v>46095</v>
      </c>
      <c r="H187" s="14">
        <v>0.2745023148148148</v>
      </c>
      <c r="I187" s="7" t="s">
        <v>4</v>
      </c>
      <c r="J187" s="2" t="str">
        <f t="shared" si="10"/>
        <v>Q4</v>
      </c>
      <c r="K187" s="2" t="str">
        <f t="shared" si="11"/>
        <v>Not Match</v>
      </c>
      <c r="L187" s="2">
        <f t="shared" si="12"/>
        <v>0.22360679774997899</v>
      </c>
      <c r="M187" s="2" t="e">
        <f t="shared" si="13"/>
        <v>#N/A</v>
      </c>
      <c r="N187" s="2" t="str">
        <f t="shared" si="14"/>
        <v>Q NOT OK dE&lt;=0.8</v>
      </c>
      <c r="O187" s="7">
        <v>16.2</v>
      </c>
      <c r="P187" s="7">
        <v>-0.7</v>
      </c>
      <c r="Q187" s="7">
        <v>-3.6</v>
      </c>
      <c r="R187" s="7">
        <v>0.02</v>
      </c>
      <c r="S187" s="7">
        <v>0.2</v>
      </c>
      <c r="T187" s="7">
        <v>-0.1</v>
      </c>
      <c r="U187" s="7">
        <v>0.05</v>
      </c>
      <c r="V187" s="7">
        <v>0.34</v>
      </c>
      <c r="W187" s="7">
        <v>0.34</v>
      </c>
      <c r="X187" s="7" t="s">
        <v>8</v>
      </c>
      <c r="Y187" s="7" t="s">
        <v>9</v>
      </c>
      <c r="Z187" s="2" t="s">
        <v>718</v>
      </c>
      <c r="AA187" s="2" t="s">
        <v>721</v>
      </c>
    </row>
    <row r="188" spans="1:27" x14ac:dyDescent="0.35">
      <c r="A188" s="7" t="s">
        <v>1719</v>
      </c>
      <c r="B188" s="7" t="s">
        <v>856</v>
      </c>
      <c r="C188" s="7" t="str">
        <f>_xlfn.XLOOKUP(B188,'[1]Sheet 1'!$A$2:$A$11107,'[1]Sheet 1'!$D$2:$D$11107,"",0)</f>
        <v>NKSKI</v>
      </c>
      <c r="D188" s="4" t="str">
        <f>_xlfn.XLOOKUP(A188,[3]Sheet2!$I$2:$I$1623,[3]Sheet2!$D$2:$D$1623,"",0)</f>
        <v>Q1</v>
      </c>
      <c r="E188" s="4" t="s">
        <v>1828</v>
      </c>
      <c r="F188" s="4" t="e">
        <f>_xlfn.XLOOKUP(B188,[2]Sheet2!$E$2:$E$713,[2]Sheet2!$G$2:$G$713)</f>
        <v>#N/A</v>
      </c>
      <c r="G188" s="18">
        <v>46095</v>
      </c>
      <c r="H188" s="14">
        <v>0.27278935185185182</v>
      </c>
      <c r="I188" s="7" t="s">
        <v>4</v>
      </c>
      <c r="J188" s="2" t="str">
        <f t="shared" si="10"/>
        <v>Q2</v>
      </c>
      <c r="K188" s="2" t="str">
        <f t="shared" si="11"/>
        <v>Not Match</v>
      </c>
      <c r="L188" s="2">
        <f t="shared" si="12"/>
        <v>0.22360679774997899</v>
      </c>
      <c r="M188" s="2" t="e">
        <f t="shared" si="13"/>
        <v>#N/A</v>
      </c>
      <c r="N188" s="2" t="str">
        <f t="shared" si="14"/>
        <v>Q NOT OK dE&lt;=0.8</v>
      </c>
      <c r="O188" s="7">
        <v>19.899999999999999</v>
      </c>
      <c r="P188" s="7">
        <v>0.1</v>
      </c>
      <c r="Q188" s="7">
        <v>-10.199999999999999</v>
      </c>
      <c r="R188" s="7">
        <v>-0.34</v>
      </c>
      <c r="S188" s="7">
        <v>-0.1</v>
      </c>
      <c r="T188" s="7">
        <v>0.2</v>
      </c>
      <c r="U188" s="7">
        <v>-0.2</v>
      </c>
      <c r="V188" s="7">
        <v>-0.14000000000000001</v>
      </c>
      <c r="W188" s="7">
        <v>0.42</v>
      </c>
      <c r="X188" s="7" t="s">
        <v>8</v>
      </c>
      <c r="Y188" s="7" t="s">
        <v>15</v>
      </c>
      <c r="Z188" s="2" t="s">
        <v>718</v>
      </c>
      <c r="AA188" s="2" t="s">
        <v>721</v>
      </c>
    </row>
    <row r="189" spans="1:27" x14ac:dyDescent="0.35">
      <c r="A189" s="7" t="s">
        <v>1559</v>
      </c>
      <c r="B189" s="7" t="s">
        <v>866</v>
      </c>
      <c r="C189" s="7" t="str">
        <f>_xlfn.XLOOKUP(B189,'[1]Sheet 1'!$A$2:$A$11107,'[1]Sheet 1'!$D$2:$D$11107,"",0)</f>
        <v>VSS</v>
      </c>
      <c r="D189" s="4" t="str">
        <f>_xlfn.XLOOKUP(A189,[3]Sheet2!$I$2:$I$1623,[3]Sheet2!$D$2:$D$1623,"",0)</f>
        <v>Q3</v>
      </c>
      <c r="E189" s="4" t="s">
        <v>1828</v>
      </c>
      <c r="F189" s="4" t="e">
        <f>_xlfn.XLOOKUP(B189,[2]Sheet2!$E$2:$E$713,[2]Sheet2!$G$2:$G$713)</f>
        <v>#N/A</v>
      </c>
      <c r="G189" s="18">
        <v>46095</v>
      </c>
      <c r="H189" s="14">
        <v>0.57542824074074073</v>
      </c>
      <c r="I189" s="7" t="s">
        <v>10</v>
      </c>
      <c r="J189" s="2" t="str">
        <f t="shared" si="10"/>
        <v>Q3</v>
      </c>
      <c r="K189" s="2" t="str">
        <f t="shared" si="11"/>
        <v>Match</v>
      </c>
      <c r="L189" s="2">
        <f t="shared" si="12"/>
        <v>0.1</v>
      </c>
      <c r="M189" s="2" t="e">
        <f t="shared" si="13"/>
        <v>#N/A</v>
      </c>
      <c r="N189" s="2" t="str">
        <f t="shared" si="14"/>
        <v>Q OK dE&lt;=0.8</v>
      </c>
      <c r="O189" s="7">
        <v>17.899999999999999</v>
      </c>
      <c r="P189" s="7">
        <v>0</v>
      </c>
      <c r="Q189" s="7">
        <v>-2.4</v>
      </c>
      <c r="R189" s="7">
        <v>-0.06</v>
      </c>
      <c r="S189" s="7">
        <v>0</v>
      </c>
      <c r="T189" s="7">
        <v>-0.1</v>
      </c>
      <c r="U189" s="7">
        <v>0.13</v>
      </c>
      <c r="V189" s="7">
        <v>0</v>
      </c>
      <c r="W189" s="7">
        <v>0.15</v>
      </c>
      <c r="X189" s="7" t="s">
        <v>8</v>
      </c>
      <c r="Y189" s="7" t="s">
        <v>9</v>
      </c>
      <c r="Z189" s="2" t="s">
        <v>718</v>
      </c>
      <c r="AA189" s="2" t="s">
        <v>721</v>
      </c>
    </row>
    <row r="190" spans="1:27" x14ac:dyDescent="0.35">
      <c r="A190" s="7" t="s">
        <v>1716</v>
      </c>
      <c r="B190" s="7" t="s">
        <v>874</v>
      </c>
      <c r="C190" s="7" t="str">
        <f>_xlfn.XLOOKUP(B190,'[1]Sheet 1'!$A$2:$A$11107,'[1]Sheet 1'!$D$2:$D$11107,"",0)</f>
        <v>THEU</v>
      </c>
      <c r="D190" s="4" t="str">
        <f>_xlfn.XLOOKUP(A190,[3]Sheet2!$I$2:$I$1623,[3]Sheet2!$D$2:$D$1623,"",0)</f>
        <v>Q3</v>
      </c>
      <c r="E190" s="4" t="s">
        <v>1828</v>
      </c>
      <c r="F190" s="4" t="e">
        <f>_xlfn.XLOOKUP(B190,[2]Sheet2!$E$2:$E$713,[2]Sheet2!$G$2:$G$713)</f>
        <v>#N/A</v>
      </c>
      <c r="G190" s="18">
        <v>46095</v>
      </c>
      <c r="H190" s="14">
        <v>0.70623842592592589</v>
      </c>
      <c r="I190" s="7" t="s">
        <v>11</v>
      </c>
      <c r="J190" s="2" t="str">
        <f t="shared" si="10"/>
        <v>Q3</v>
      </c>
      <c r="K190" s="2" t="str">
        <f t="shared" si="11"/>
        <v>Match</v>
      </c>
      <c r="L190" s="2">
        <f t="shared" si="12"/>
        <v>0.1</v>
      </c>
      <c r="M190" s="2" t="e">
        <f t="shared" si="13"/>
        <v>#N/A</v>
      </c>
      <c r="N190" s="2" t="str">
        <f t="shared" si="14"/>
        <v>Q OK dE&lt;=0.8</v>
      </c>
      <c r="O190" s="7">
        <v>17.3</v>
      </c>
      <c r="P190" s="7">
        <v>-0.3</v>
      </c>
      <c r="Q190" s="7">
        <v>-7</v>
      </c>
      <c r="R190" s="7">
        <v>-0.65</v>
      </c>
      <c r="S190" s="7">
        <v>0</v>
      </c>
      <c r="T190" s="7">
        <v>0.1</v>
      </c>
      <c r="U190" s="7">
        <v>-0.1</v>
      </c>
      <c r="V190" s="7">
        <v>-0.04</v>
      </c>
      <c r="W190" s="7">
        <v>0.66</v>
      </c>
      <c r="X190" s="7" t="s">
        <v>8</v>
      </c>
      <c r="Y190" s="7" t="s">
        <v>15</v>
      </c>
      <c r="Z190" s="2" t="s">
        <v>718</v>
      </c>
      <c r="AA190" s="2" t="s">
        <v>721</v>
      </c>
    </row>
    <row r="191" spans="1:27" x14ac:dyDescent="0.35">
      <c r="A191" s="7" t="s">
        <v>1631</v>
      </c>
      <c r="B191" s="7" t="s">
        <v>761</v>
      </c>
      <c r="C191" s="7" t="str">
        <f>_xlfn.XLOOKUP(B191,'[1]Sheet 1'!$A$2:$A$11107,'[1]Sheet 1'!$D$2:$D$11107,"",0)</f>
        <v>LULU</v>
      </c>
      <c r="D191" s="4" t="str">
        <f>_xlfn.XLOOKUP(A191,[3]Sheet2!$I$2:$I$1623,[3]Sheet2!$D$2:$D$1623,"",0)</f>
        <v>Q4</v>
      </c>
      <c r="E191" s="4" t="s">
        <v>1827</v>
      </c>
      <c r="F191" s="4" t="e">
        <f>_xlfn.XLOOKUP(B191,[2]Sheet2!$E$2:$E$713,[2]Sheet2!$G$2:$G$713)</f>
        <v>#N/A</v>
      </c>
      <c r="G191" s="18">
        <v>46095</v>
      </c>
      <c r="H191" s="14">
        <v>0.50696759259259261</v>
      </c>
      <c r="I191" s="7" t="s">
        <v>4</v>
      </c>
      <c r="J191" s="2" t="str">
        <f t="shared" si="10"/>
        <v>Q4</v>
      </c>
      <c r="K191" s="2" t="str">
        <f t="shared" si="11"/>
        <v>Match</v>
      </c>
      <c r="L191" s="2">
        <f t="shared" si="12"/>
        <v>0.50990195135927852</v>
      </c>
      <c r="M191" s="2" t="e">
        <f t="shared" si="13"/>
        <v>#N/A</v>
      </c>
      <c r="N191" s="2" t="str">
        <f t="shared" si="14"/>
        <v>Q OK dE&gt;0.8</v>
      </c>
      <c r="O191" s="7">
        <v>22.4</v>
      </c>
      <c r="P191" s="7">
        <v>3.2</v>
      </c>
      <c r="Q191" s="7">
        <v>3.1</v>
      </c>
      <c r="R191" s="7">
        <v>-0.63</v>
      </c>
      <c r="S191" s="7">
        <v>0.5</v>
      </c>
      <c r="T191" s="7">
        <v>-0.1</v>
      </c>
      <c r="U191" s="7">
        <v>0.26</v>
      </c>
      <c r="V191" s="7">
        <v>-0.74</v>
      </c>
      <c r="W191" s="7">
        <v>1.01</v>
      </c>
      <c r="X191" s="7" t="s">
        <v>6</v>
      </c>
      <c r="Y191" s="7" t="s">
        <v>9</v>
      </c>
      <c r="Z191" s="2" t="s">
        <v>718</v>
      </c>
      <c r="AA191" s="2" t="s">
        <v>721</v>
      </c>
    </row>
    <row r="192" spans="1:27" x14ac:dyDescent="0.35">
      <c r="A192" s="7" t="s">
        <v>1508</v>
      </c>
      <c r="B192" s="7" t="s">
        <v>858</v>
      </c>
      <c r="C192" s="7" t="str">
        <f>_xlfn.XLOOKUP(B192,'[1]Sheet 1'!$A$2:$A$11107,'[1]Sheet 1'!$D$2:$D$11107,"",0)</f>
        <v>LULU</v>
      </c>
      <c r="D192" s="4" t="str">
        <f>_xlfn.XLOOKUP(A192,[3]Sheet2!$I$2:$I$1623,[3]Sheet2!$D$2:$D$1623,"",0)</f>
        <v>Q2</v>
      </c>
      <c r="E192" s="4" t="s">
        <v>1828</v>
      </c>
      <c r="F192" s="4" t="e">
        <f>_xlfn.XLOOKUP(B192,[2]Sheet2!$E$2:$E$713,[2]Sheet2!$G$2:$G$713)</f>
        <v>#N/A</v>
      </c>
      <c r="G192" s="18">
        <v>46095</v>
      </c>
      <c r="H192" s="14">
        <v>0.2759490740740741</v>
      </c>
      <c r="I192" s="7" t="s">
        <v>4</v>
      </c>
      <c r="J192" s="2" t="str">
        <f t="shared" si="10"/>
        <v>Q2</v>
      </c>
      <c r="K192" s="2" t="str">
        <f t="shared" si="11"/>
        <v>Match</v>
      </c>
      <c r="L192" s="2">
        <f t="shared" si="12"/>
        <v>0.1</v>
      </c>
      <c r="M192" s="2" t="e">
        <f t="shared" si="13"/>
        <v>#N/A</v>
      </c>
      <c r="N192" s="2" t="str">
        <f t="shared" si="14"/>
        <v>Q OK dE&lt;=0.8</v>
      </c>
      <c r="O192" s="7">
        <v>18.3</v>
      </c>
      <c r="P192" s="7">
        <v>-0.8</v>
      </c>
      <c r="Q192" s="7">
        <v>-7.6</v>
      </c>
      <c r="R192" s="7">
        <v>-0.52</v>
      </c>
      <c r="S192" s="7">
        <v>-0.1</v>
      </c>
      <c r="T192" s="20">
        <v>0</v>
      </c>
      <c r="U192" s="7">
        <v>7.0000000000000007E-2</v>
      </c>
      <c r="V192" s="7">
        <v>-0.17</v>
      </c>
      <c r="W192" s="7">
        <v>0.55000000000000004</v>
      </c>
      <c r="X192" s="7" t="s">
        <v>8</v>
      </c>
      <c r="Y192" s="7" t="s">
        <v>15</v>
      </c>
      <c r="Z192" s="2" t="s">
        <v>718</v>
      </c>
      <c r="AA192" s="2" t="s">
        <v>721</v>
      </c>
    </row>
    <row r="193" spans="1:27" x14ac:dyDescent="0.35">
      <c r="A193" s="7" t="s">
        <v>1521</v>
      </c>
      <c r="B193" s="7" t="s">
        <v>842</v>
      </c>
      <c r="C193" s="7" t="str">
        <f>_xlfn.XLOOKUP(B193,'[1]Sheet 1'!$A$2:$A$11107,'[1]Sheet 1'!$D$2:$D$11107,"",0)</f>
        <v>VSS</v>
      </c>
      <c r="D193" s="4" t="str">
        <f>_xlfn.XLOOKUP(A193,[3]Sheet2!$I$2:$I$1623,[3]Sheet2!$D$2:$D$1623,"",0)</f>
        <v>Q3</v>
      </c>
      <c r="E193" s="4" t="s">
        <v>1827</v>
      </c>
      <c r="F193" s="4" t="e">
        <f>_xlfn.XLOOKUP(B193,[2]Sheet2!$E$2:$E$713,[2]Sheet2!$G$2:$G$713)</f>
        <v>#N/A</v>
      </c>
      <c r="G193" s="18">
        <v>46095</v>
      </c>
      <c r="H193" s="14">
        <v>0.23787037037037037</v>
      </c>
      <c r="I193" s="7" t="s">
        <v>10</v>
      </c>
      <c r="J193" s="2" t="str">
        <f t="shared" si="10"/>
        <v>Q2</v>
      </c>
      <c r="K193" s="2" t="str">
        <f t="shared" si="11"/>
        <v>Not Match</v>
      </c>
      <c r="L193" s="2">
        <f t="shared" si="12"/>
        <v>0.14142135623730953</v>
      </c>
      <c r="M193" s="2" t="e">
        <f t="shared" si="13"/>
        <v>#N/A</v>
      </c>
      <c r="N193" s="2" t="str">
        <f t="shared" si="14"/>
        <v>Q NOT OK dE&lt;=0.8</v>
      </c>
      <c r="O193" s="7">
        <v>20.8</v>
      </c>
      <c r="P193" s="7">
        <v>0.9</v>
      </c>
      <c r="Q193" s="7">
        <v>-7</v>
      </c>
      <c r="R193" s="7">
        <v>-0.49</v>
      </c>
      <c r="S193" s="7">
        <v>-0.1</v>
      </c>
      <c r="T193" s="7">
        <v>0.1</v>
      </c>
      <c r="U193" s="7">
        <v>-0.18</v>
      </c>
      <c r="V193" s="7">
        <v>-0.23</v>
      </c>
      <c r="W193" s="7">
        <v>0.56999999999999995</v>
      </c>
      <c r="X193" s="7" t="s">
        <v>8</v>
      </c>
      <c r="Y193" s="7" t="s">
        <v>15</v>
      </c>
      <c r="Z193" s="2" t="s">
        <v>718</v>
      </c>
      <c r="AA193" s="2" t="s">
        <v>721</v>
      </c>
    </row>
    <row r="194" spans="1:27" x14ac:dyDescent="0.35">
      <c r="A194" s="7" t="s">
        <v>1559</v>
      </c>
      <c r="B194" s="7" t="s">
        <v>873</v>
      </c>
      <c r="C194" s="7" t="str">
        <f>_xlfn.XLOOKUP(B194,'[1]Sheet 1'!$A$2:$A$11107,'[1]Sheet 1'!$D$2:$D$11107,"",0)</f>
        <v>VSS</v>
      </c>
      <c r="D194" s="4" t="str">
        <f>_xlfn.XLOOKUP(A194,[3]Sheet2!$I$2:$I$1623,[3]Sheet2!$D$2:$D$1623,"",0)</f>
        <v>Q3</v>
      </c>
      <c r="E194" s="4" t="s">
        <v>1828</v>
      </c>
      <c r="F194" s="4" t="e">
        <f>_xlfn.XLOOKUP(B194,[2]Sheet2!$E$2:$E$713,[2]Sheet2!$G$2:$G$713)</f>
        <v>#N/A</v>
      </c>
      <c r="G194" s="18">
        <v>46095</v>
      </c>
      <c r="H194" s="14">
        <v>0.70299768518518524</v>
      </c>
      <c r="I194" s="7" t="s">
        <v>10</v>
      </c>
      <c r="J194" s="2" t="str">
        <f t="shared" ref="J194:J257" si="15">IF(OR(S194=0,T194=0),D194,IF(AND(S194&gt;0,T194&gt;0),"Q1",IF(AND(S194&lt;0,T194&gt;0),"Q2",IF(AND(S194&lt;0,T194&lt;0),"Q3",IF(AND(S194&gt;0,T194&lt;0),"Q4","")))))</f>
        <v>Q3</v>
      </c>
      <c r="K194" s="2" t="str">
        <f t="shared" ref="K194:K257" si="16">IF(J194=D194,"Match",IF(AND(J194=0,D194="Match"),"da and db 0",IF(D194=0,"Not Found","Not Match")))</f>
        <v>Match</v>
      </c>
      <c r="L194" s="2">
        <f t="shared" ref="L194:L257" si="17">SQRT(S194^2+T194^2)</f>
        <v>0.1</v>
      </c>
      <c r="M194" s="2" t="e">
        <f t="shared" ref="M194:M257" si="18">IF(L194&lt;=F194,"Within Range","Over Range")</f>
        <v>#N/A</v>
      </c>
      <c r="N194" s="2" t="str">
        <f t="shared" ref="N194:N257" si="19">IF(D194=0,"Quadrant not assigned",IF(AND(K194="Match",W194&lt;=0.8),"Q OK dE&lt;=0.8",IF(AND(K194="Match",W194&gt;0.8),"Q OK dE&gt;0.8",IF(AND(K194="Not Match",W194&lt;=0.8),"Q NOT OK dE&lt;=0.8","Q NOT OK dE&gt;0.8"))))</f>
        <v>Q OK dE&gt;0.8</v>
      </c>
      <c r="O194" s="7">
        <v>16.600000000000001</v>
      </c>
      <c r="P194" s="7">
        <v>0</v>
      </c>
      <c r="Q194" s="7">
        <v>-2.4</v>
      </c>
      <c r="R194" s="7">
        <v>-1.26</v>
      </c>
      <c r="S194" s="7">
        <v>0</v>
      </c>
      <c r="T194" s="7">
        <v>-0.1</v>
      </c>
      <c r="U194" s="7">
        <v>0.13</v>
      </c>
      <c r="V194" s="7">
        <v>0.02</v>
      </c>
      <c r="W194" s="7">
        <v>1.27</v>
      </c>
      <c r="X194" s="7" t="s">
        <v>6</v>
      </c>
      <c r="Y194" s="7" t="s">
        <v>9</v>
      </c>
      <c r="Z194" s="2" t="s">
        <v>718</v>
      </c>
      <c r="AA194" s="2" t="s">
        <v>721</v>
      </c>
    </row>
    <row r="195" spans="1:27" x14ac:dyDescent="0.35">
      <c r="A195" s="7" t="s">
        <v>1526</v>
      </c>
      <c r="B195" s="7" t="s">
        <v>757</v>
      </c>
      <c r="C195" s="7" t="str">
        <f>_xlfn.XLOOKUP(B195,'[1]Sheet 1'!$A$2:$A$11107,'[1]Sheet 1'!$D$2:$D$11107,"",0)</f>
        <v>VSS</v>
      </c>
      <c r="D195" s="4" t="str">
        <f>_xlfn.XLOOKUP(A195,[3]Sheet2!$I$2:$I$1623,[3]Sheet2!$D$2:$D$1623,"",0)</f>
        <v>Q4</v>
      </c>
      <c r="E195" s="4" t="s">
        <v>1827</v>
      </c>
      <c r="F195" s="4" t="e">
        <f>_xlfn.XLOOKUP(B195,[2]Sheet2!$E$2:$E$713,[2]Sheet2!$G$2:$G$713)</f>
        <v>#N/A</v>
      </c>
      <c r="G195" s="18">
        <v>46095</v>
      </c>
      <c r="H195" s="14">
        <v>0.68665509259259261</v>
      </c>
      <c r="I195" s="7" t="s">
        <v>10</v>
      </c>
      <c r="J195" s="2" t="str">
        <f t="shared" si="15"/>
        <v>Q3</v>
      </c>
      <c r="K195" s="2" t="str">
        <f t="shared" si="16"/>
        <v>Not Match</v>
      </c>
      <c r="L195" s="2">
        <f t="shared" si="17"/>
        <v>0.31622776601683794</v>
      </c>
      <c r="M195" s="2" t="e">
        <f t="shared" si="18"/>
        <v>#N/A</v>
      </c>
      <c r="N195" s="2" t="str">
        <f t="shared" si="19"/>
        <v>Q NOT OK dE&lt;=0.8</v>
      </c>
      <c r="O195" s="7">
        <v>32.299999999999997</v>
      </c>
      <c r="P195" s="7">
        <v>-8.6999999999999993</v>
      </c>
      <c r="Q195" s="7">
        <v>-11.3</v>
      </c>
      <c r="R195" s="7">
        <v>-0.2</v>
      </c>
      <c r="S195" s="7">
        <v>-0.3</v>
      </c>
      <c r="T195" s="7">
        <v>-0.1</v>
      </c>
      <c r="U195" s="7">
        <v>0.2</v>
      </c>
      <c r="V195" s="7">
        <v>-0.2</v>
      </c>
      <c r="W195" s="7">
        <v>0.35</v>
      </c>
      <c r="X195" s="7" t="s">
        <v>8</v>
      </c>
      <c r="Y195" s="7" t="s">
        <v>12</v>
      </c>
      <c r="Z195" s="2" t="s">
        <v>718</v>
      </c>
      <c r="AA195" s="2" t="s">
        <v>721</v>
      </c>
    </row>
    <row r="196" spans="1:27" x14ac:dyDescent="0.35">
      <c r="A196" s="7" t="s">
        <v>1533</v>
      </c>
      <c r="B196" s="7" t="s">
        <v>869</v>
      </c>
      <c r="C196" s="7" t="str">
        <f>_xlfn.XLOOKUP(B196,'[1]Sheet 1'!$A$2:$A$11107,'[1]Sheet 1'!$D$2:$D$11107,"",0)</f>
        <v>M&amp;S</v>
      </c>
      <c r="D196" s="4" t="str">
        <f>_xlfn.XLOOKUP(A196,[3]Sheet2!$I$2:$I$1623,[3]Sheet2!$D$2:$D$1623,"",0)</f>
        <v>Q2</v>
      </c>
      <c r="E196" s="4" t="s">
        <v>1828</v>
      </c>
      <c r="F196" s="4" t="e">
        <f>_xlfn.XLOOKUP(B196,[2]Sheet2!$E$2:$E$713,[2]Sheet2!$G$2:$G$713)</f>
        <v>#N/A</v>
      </c>
      <c r="G196" s="18">
        <v>46095</v>
      </c>
      <c r="H196" s="14">
        <v>0.6884837962962963</v>
      </c>
      <c r="I196" s="7" t="s">
        <v>17</v>
      </c>
      <c r="J196" s="2" t="str">
        <f t="shared" si="15"/>
        <v>Q2</v>
      </c>
      <c r="K196" s="2" t="str">
        <f t="shared" si="16"/>
        <v>Match</v>
      </c>
      <c r="L196" s="2">
        <f t="shared" si="17"/>
        <v>0</v>
      </c>
      <c r="M196" s="2" t="e">
        <f t="shared" si="18"/>
        <v>#N/A</v>
      </c>
      <c r="N196" s="2" t="str">
        <f t="shared" si="19"/>
        <v>Q OK dE&lt;=0.8</v>
      </c>
      <c r="O196" s="7">
        <v>24.7</v>
      </c>
      <c r="P196" s="7">
        <v>0.5</v>
      </c>
      <c r="Q196" s="7">
        <v>8.9</v>
      </c>
      <c r="R196" s="7">
        <v>-0.35</v>
      </c>
      <c r="S196" s="7">
        <v>0</v>
      </c>
      <c r="T196" s="20">
        <v>0</v>
      </c>
      <c r="U196" s="7">
        <v>-0.03</v>
      </c>
      <c r="V196" s="7">
        <v>-0.03</v>
      </c>
      <c r="W196" s="7">
        <v>0.35</v>
      </c>
      <c r="X196" s="7" t="s">
        <v>8</v>
      </c>
      <c r="Y196" s="7" t="s">
        <v>9</v>
      </c>
      <c r="Z196" s="2" t="s">
        <v>718</v>
      </c>
      <c r="AA196" s="2" t="s">
        <v>721</v>
      </c>
    </row>
    <row r="197" spans="1:27" x14ac:dyDescent="0.35">
      <c r="A197" s="7" t="s">
        <v>1722</v>
      </c>
      <c r="B197" s="7" t="s">
        <v>868</v>
      </c>
      <c r="C197" s="7" t="str">
        <f>_xlfn.XLOOKUP(B197,'[1]Sheet 1'!$A$2:$A$11107,'[1]Sheet 1'!$D$2:$D$11107,"",0)</f>
        <v>CK</v>
      </c>
      <c r="D197" s="4" t="str">
        <f>_xlfn.XLOOKUP(A197,[3]Sheet2!$I$2:$I$1623,[3]Sheet2!$D$2:$D$1623,"",0)</f>
        <v>Q4</v>
      </c>
      <c r="E197" s="4" t="s">
        <v>1827</v>
      </c>
      <c r="F197" s="4" t="e">
        <f>_xlfn.XLOOKUP(B197,[2]Sheet2!$E$2:$E$713,[2]Sheet2!$G$2:$G$713)</f>
        <v>#N/A</v>
      </c>
      <c r="G197" s="18">
        <v>46095</v>
      </c>
      <c r="H197" s="14">
        <v>0.68262731481481487</v>
      </c>
      <c r="I197" s="7" t="s">
        <v>11</v>
      </c>
      <c r="J197" s="2" t="str">
        <f t="shared" si="15"/>
        <v>Q2</v>
      </c>
      <c r="K197" s="2" t="str">
        <f t="shared" si="16"/>
        <v>Not Match</v>
      </c>
      <c r="L197" s="2">
        <f t="shared" si="17"/>
        <v>0.44721359549995798</v>
      </c>
      <c r="M197" s="2" t="e">
        <f t="shared" si="18"/>
        <v>#N/A</v>
      </c>
      <c r="N197" s="2" t="str">
        <f t="shared" si="19"/>
        <v>Q NOT OK dE&lt;=0.8</v>
      </c>
      <c r="O197" s="7">
        <v>41.1</v>
      </c>
      <c r="P197" s="7">
        <v>40.200000000000003</v>
      </c>
      <c r="Q197" s="7">
        <v>25.7</v>
      </c>
      <c r="R197" s="7">
        <v>-0.37</v>
      </c>
      <c r="S197" s="7">
        <v>-0.4</v>
      </c>
      <c r="T197" s="7">
        <v>0.2</v>
      </c>
      <c r="U197" s="7">
        <v>-0.08</v>
      </c>
      <c r="V197" s="7">
        <v>0.36</v>
      </c>
      <c r="W197" s="7">
        <v>0.52</v>
      </c>
      <c r="X197" s="7" t="s">
        <v>8</v>
      </c>
      <c r="Y197" s="7" t="s">
        <v>12</v>
      </c>
      <c r="Z197" s="2" t="s">
        <v>718</v>
      </c>
      <c r="AA197" s="2" t="s">
        <v>721</v>
      </c>
    </row>
    <row r="198" spans="1:27" x14ac:dyDescent="0.35">
      <c r="A198" s="7" t="s">
        <v>1599</v>
      </c>
      <c r="B198" s="7" t="s">
        <v>863</v>
      </c>
      <c r="C198" s="7" t="str">
        <f>_xlfn.XLOOKUP(B198,'[1]Sheet 1'!$A$2:$A$11107,'[1]Sheet 1'!$D$2:$D$11107,"",0)</f>
        <v>M&amp;S</v>
      </c>
      <c r="D198" s="4">
        <v>0</v>
      </c>
      <c r="E198" s="4" t="s">
        <v>1828</v>
      </c>
      <c r="F198" s="4" t="e">
        <f>_xlfn.XLOOKUP(B198,[2]Sheet2!$E$2:$E$713,[2]Sheet2!$G$2:$G$713)</f>
        <v>#N/A</v>
      </c>
      <c r="G198" s="18">
        <v>46095</v>
      </c>
      <c r="H198" s="14">
        <v>0.28553240740740743</v>
      </c>
      <c r="I198" s="7" t="s">
        <v>17</v>
      </c>
      <c r="J198" s="2">
        <f t="shared" si="15"/>
        <v>0</v>
      </c>
      <c r="K198" s="2" t="str">
        <f t="shared" si="16"/>
        <v>Match</v>
      </c>
      <c r="L198" s="2">
        <f t="shared" si="17"/>
        <v>0</v>
      </c>
      <c r="M198" s="2" t="e">
        <f t="shared" si="18"/>
        <v>#N/A</v>
      </c>
      <c r="N198" s="2" t="str">
        <f t="shared" si="19"/>
        <v>Quadrant not assigned</v>
      </c>
      <c r="O198" s="7">
        <v>25.3</v>
      </c>
      <c r="P198" s="7">
        <v>0.5</v>
      </c>
      <c r="Q198" s="7">
        <v>8.9</v>
      </c>
      <c r="R198" s="7">
        <v>-0.04</v>
      </c>
      <c r="S198" s="7">
        <v>0</v>
      </c>
      <c r="T198" s="20">
        <v>0</v>
      </c>
      <c r="U198" s="7">
        <v>-0.05</v>
      </c>
      <c r="V198" s="7">
        <v>-0.02</v>
      </c>
      <c r="W198" s="7">
        <v>7.0000000000000007E-2</v>
      </c>
      <c r="X198" s="7" t="s">
        <v>8</v>
      </c>
      <c r="Y198" s="7" t="s">
        <v>9</v>
      </c>
      <c r="Z198" s="2" t="s">
        <v>718</v>
      </c>
      <c r="AA198" s="2" t="s">
        <v>721</v>
      </c>
    </row>
    <row r="199" spans="1:27" x14ac:dyDescent="0.35">
      <c r="A199" s="7" t="s">
        <v>1720</v>
      </c>
      <c r="B199" s="7" t="s">
        <v>860</v>
      </c>
      <c r="C199" s="7" t="str">
        <f>_xlfn.XLOOKUP(B199,'[1]Sheet 1'!$A$2:$A$11107,'[1]Sheet 1'!$D$2:$D$11107,"",0)</f>
        <v>GAPO</v>
      </c>
      <c r="D199" s="4" t="str">
        <f>_xlfn.XLOOKUP(A199,[3]Sheet2!$I$2:$I$1623,[3]Sheet2!$D$2:$D$1623,"",0)</f>
        <v>Q3</v>
      </c>
      <c r="E199" s="4" t="s">
        <v>1827</v>
      </c>
      <c r="F199" s="4" t="e">
        <f>_xlfn.XLOOKUP(B199,[2]Sheet2!$E$2:$E$713,[2]Sheet2!$G$2:$G$713)</f>
        <v>#N/A</v>
      </c>
      <c r="G199" s="18">
        <v>46095</v>
      </c>
      <c r="H199" s="14">
        <v>0.27854166666666669</v>
      </c>
      <c r="I199" s="7" t="s">
        <v>14</v>
      </c>
      <c r="J199" s="2" t="str">
        <f t="shared" si="15"/>
        <v>Q3</v>
      </c>
      <c r="K199" s="2" t="str">
        <f t="shared" si="16"/>
        <v>Match</v>
      </c>
      <c r="L199" s="2">
        <f t="shared" si="17"/>
        <v>0.6</v>
      </c>
      <c r="M199" s="2" t="e">
        <f t="shared" si="18"/>
        <v>#N/A</v>
      </c>
      <c r="N199" s="2" t="str">
        <f t="shared" si="19"/>
        <v>Q OK dE&lt;=0.8</v>
      </c>
      <c r="O199" s="7">
        <v>16.399999999999999</v>
      </c>
      <c r="P199" s="7">
        <v>-0.8</v>
      </c>
      <c r="Q199" s="7">
        <v>-9.1</v>
      </c>
      <c r="R199" s="7">
        <v>0.28000000000000003</v>
      </c>
      <c r="S199" s="7">
        <v>0</v>
      </c>
      <c r="T199" s="7">
        <v>0.6</v>
      </c>
      <c r="U199" s="7">
        <v>-0.5</v>
      </c>
      <c r="V199" s="7">
        <v>-0.1</v>
      </c>
      <c r="W199" s="7">
        <v>0.57999999999999996</v>
      </c>
      <c r="X199" s="7" t="s">
        <v>8</v>
      </c>
      <c r="Y199" s="7" t="s">
        <v>15</v>
      </c>
      <c r="Z199" s="2" t="s">
        <v>718</v>
      </c>
      <c r="AA199" s="2" t="s">
        <v>721</v>
      </c>
    </row>
    <row r="200" spans="1:27" x14ac:dyDescent="0.35">
      <c r="A200" s="7" t="s">
        <v>1545</v>
      </c>
      <c r="B200" s="7" t="s">
        <v>862</v>
      </c>
      <c r="C200" s="7" t="str">
        <f>_xlfn.XLOOKUP(B200,'[1]Sheet 1'!$A$2:$A$11107,'[1]Sheet 1'!$D$2:$D$11107,"",0)</f>
        <v>NIK</v>
      </c>
      <c r="D200" s="4" t="str">
        <f>_xlfn.XLOOKUP(A200,[3]Sheet2!$I$2:$I$1623,[3]Sheet2!$D$2:$D$1623,"",0)</f>
        <v>Q2</v>
      </c>
      <c r="E200" s="4" t="s">
        <v>1828</v>
      </c>
      <c r="F200" s="4" t="e">
        <f>_xlfn.XLOOKUP(B200,[2]Sheet2!$E$2:$E$713,[2]Sheet2!$G$2:$G$713)</f>
        <v>#N/A</v>
      </c>
      <c r="G200" s="18">
        <v>46095</v>
      </c>
      <c r="H200" s="14">
        <v>0.28391203703703705</v>
      </c>
      <c r="I200" s="7" t="s">
        <v>4</v>
      </c>
      <c r="J200" s="2" t="str">
        <f t="shared" si="15"/>
        <v>Q2</v>
      </c>
      <c r="K200" s="2" t="str">
        <f t="shared" si="16"/>
        <v>Match</v>
      </c>
      <c r="L200" s="2">
        <f t="shared" si="17"/>
        <v>0</v>
      </c>
      <c r="M200" s="2" t="e">
        <f t="shared" si="18"/>
        <v>#N/A</v>
      </c>
      <c r="N200" s="2" t="str">
        <f t="shared" si="19"/>
        <v>Q OK dE&lt;=0.8</v>
      </c>
      <c r="O200" s="7">
        <v>17.899999999999999</v>
      </c>
      <c r="P200" s="7">
        <v>-0.9</v>
      </c>
      <c r="Q200" s="7">
        <v>-1.7</v>
      </c>
      <c r="R200" s="7">
        <v>-0.43</v>
      </c>
      <c r="S200" s="7">
        <v>0</v>
      </c>
      <c r="T200" s="20">
        <v>0</v>
      </c>
      <c r="U200" s="7">
        <v>0.14000000000000001</v>
      </c>
      <c r="V200" s="7">
        <v>0</v>
      </c>
      <c r="W200" s="7">
        <v>0.45</v>
      </c>
      <c r="X200" s="7" t="s">
        <v>8</v>
      </c>
      <c r="Y200" s="7" t="s">
        <v>9</v>
      </c>
      <c r="Z200" s="2" t="s">
        <v>718</v>
      </c>
      <c r="AA200" s="2" t="s">
        <v>721</v>
      </c>
    </row>
    <row r="201" spans="1:27" x14ac:dyDescent="0.35">
      <c r="A201" s="7" t="s">
        <v>1687</v>
      </c>
      <c r="B201" s="7" t="s">
        <v>851</v>
      </c>
      <c r="C201" s="7" t="str">
        <f>_xlfn.XLOOKUP(B201,'[1]Sheet 1'!$A$2:$A$11107,'[1]Sheet 1'!$D$2:$D$11107,"",0)</f>
        <v>NIK</v>
      </c>
      <c r="D201" s="4" t="str">
        <f>_xlfn.XLOOKUP(A201,[3]Sheet2!$I$2:$I$1623,[3]Sheet2!$D$2:$D$1623,"",0)</f>
        <v>Q3</v>
      </c>
      <c r="E201" s="4" t="s">
        <v>1828</v>
      </c>
      <c r="F201" s="4" t="e">
        <f>_xlfn.XLOOKUP(B201,[2]Sheet2!$E$2:$E$713,[2]Sheet2!$G$2:$G$713)</f>
        <v>#N/A</v>
      </c>
      <c r="G201" s="18">
        <v>46095</v>
      </c>
      <c r="H201" s="14">
        <v>0.58209490740740744</v>
      </c>
      <c r="I201" s="7" t="s">
        <v>4</v>
      </c>
      <c r="J201" s="2" t="str">
        <f t="shared" si="15"/>
        <v>Q3</v>
      </c>
      <c r="K201" s="2" t="str">
        <f t="shared" si="16"/>
        <v>Match</v>
      </c>
      <c r="L201" s="2">
        <f t="shared" si="17"/>
        <v>0.2</v>
      </c>
      <c r="M201" s="2" t="e">
        <f t="shared" si="18"/>
        <v>#N/A</v>
      </c>
      <c r="N201" s="2" t="str">
        <f t="shared" si="19"/>
        <v>Q OK dE&lt;=0.8</v>
      </c>
      <c r="O201" s="7">
        <v>34</v>
      </c>
      <c r="P201" s="7">
        <v>11.4</v>
      </c>
      <c r="Q201" s="7">
        <v>10.8</v>
      </c>
      <c r="R201" s="7">
        <v>0.03</v>
      </c>
      <c r="S201" s="7">
        <v>0</v>
      </c>
      <c r="T201" s="7">
        <v>-0.2</v>
      </c>
      <c r="U201" s="7">
        <v>-7.0000000000000007E-2</v>
      </c>
      <c r="V201" s="7">
        <v>-0.27</v>
      </c>
      <c r="W201" s="7">
        <v>0.28999999999999998</v>
      </c>
      <c r="X201" s="7" t="s">
        <v>8</v>
      </c>
      <c r="Y201" s="7" t="s">
        <v>9</v>
      </c>
      <c r="Z201" s="2" t="s">
        <v>718</v>
      </c>
      <c r="AA201" s="2" t="s">
        <v>721</v>
      </c>
    </row>
    <row r="202" spans="1:27" x14ac:dyDescent="0.35">
      <c r="A202" s="7" t="s">
        <v>1721</v>
      </c>
      <c r="B202" s="7" t="s">
        <v>777</v>
      </c>
      <c r="C202" s="7" t="str">
        <f>_xlfn.XLOOKUP(B202,'[1]Sheet 1'!$A$2:$A$11107,'[1]Sheet 1'!$D$2:$D$11107,"",0)</f>
        <v>LULU</v>
      </c>
      <c r="D202" s="4" t="str">
        <f>_xlfn.XLOOKUP(A202,[3]Sheet2!$I$2:$I$1623,[3]Sheet2!$D$2:$D$1623,"",0)</f>
        <v>Q3</v>
      </c>
      <c r="E202" s="4" t="s">
        <v>1828</v>
      </c>
      <c r="F202" s="4" t="e">
        <f>_xlfn.XLOOKUP(B202,[2]Sheet2!$E$2:$E$713,[2]Sheet2!$G$2:$G$713)</f>
        <v>#N/A</v>
      </c>
      <c r="G202" s="18">
        <v>46095</v>
      </c>
      <c r="H202" s="14">
        <v>0.50885416666666672</v>
      </c>
      <c r="I202" s="7" t="s">
        <v>4</v>
      </c>
      <c r="J202" s="2" t="str">
        <f t="shared" si="15"/>
        <v>Q3</v>
      </c>
      <c r="K202" s="2" t="str">
        <f t="shared" si="16"/>
        <v>Match</v>
      </c>
      <c r="L202" s="2">
        <f t="shared" si="17"/>
        <v>0.3</v>
      </c>
      <c r="M202" s="2" t="e">
        <f t="shared" si="18"/>
        <v>#N/A</v>
      </c>
      <c r="N202" s="2" t="str">
        <f t="shared" si="19"/>
        <v>Q OK dE&lt;=0.8</v>
      </c>
      <c r="O202" s="7">
        <v>17</v>
      </c>
      <c r="P202" s="7">
        <v>-0.5</v>
      </c>
      <c r="Q202" s="7">
        <v>-1.1000000000000001</v>
      </c>
      <c r="R202" s="7">
        <v>-0.39</v>
      </c>
      <c r="S202" s="7">
        <v>-0.3</v>
      </c>
      <c r="T202" s="20">
        <v>0</v>
      </c>
      <c r="U202" s="7">
        <v>0.22</v>
      </c>
      <c r="V202" s="7">
        <v>-0.42</v>
      </c>
      <c r="W202" s="7">
        <v>0.61</v>
      </c>
      <c r="X202" s="7" t="s">
        <v>8</v>
      </c>
      <c r="Y202" s="7" t="s">
        <v>15</v>
      </c>
      <c r="Z202" s="2" t="s">
        <v>718</v>
      </c>
      <c r="AA202" s="2" t="s">
        <v>721</v>
      </c>
    </row>
    <row r="203" spans="1:27" x14ac:dyDescent="0.35">
      <c r="A203" s="7" t="s">
        <v>1516</v>
      </c>
      <c r="B203" s="7" t="s">
        <v>778</v>
      </c>
      <c r="C203" s="7" t="str">
        <f>_xlfn.XLOOKUP(B203,'[1]Sheet 1'!$A$2:$A$11107,'[1]Sheet 1'!$D$2:$D$11107,"",0)</f>
        <v>LBI</v>
      </c>
      <c r="D203" s="4" t="str">
        <f>_xlfn.XLOOKUP(A203,[3]Sheet2!$I$2:$I$1623,[3]Sheet2!$D$2:$D$1623,"",0)</f>
        <v>Q2</v>
      </c>
      <c r="E203" s="4" t="s">
        <v>1828</v>
      </c>
      <c r="F203" s="4" t="e">
        <f>_xlfn.XLOOKUP(B203,[2]Sheet2!$E$2:$E$713,[2]Sheet2!$G$2:$G$713)</f>
        <v>#N/A</v>
      </c>
      <c r="G203" s="18">
        <v>46098</v>
      </c>
      <c r="H203" s="14">
        <v>0.6381134259259259</v>
      </c>
      <c r="I203" s="7" t="s">
        <v>14</v>
      </c>
      <c r="J203" s="2" t="str">
        <f t="shared" si="15"/>
        <v>Q1</v>
      </c>
      <c r="K203" s="2" t="str">
        <f t="shared" si="16"/>
        <v>Not Match</v>
      </c>
      <c r="L203" s="2">
        <f t="shared" si="17"/>
        <v>0.31622776601683794</v>
      </c>
      <c r="M203" s="2" t="e">
        <f t="shared" si="18"/>
        <v>#N/A</v>
      </c>
      <c r="N203" s="2" t="str">
        <f t="shared" si="19"/>
        <v>Q NOT OK dE&gt;0.8</v>
      </c>
      <c r="O203" s="7">
        <v>16.8</v>
      </c>
      <c r="P203" s="7">
        <v>-1.4</v>
      </c>
      <c r="Q203" s="7">
        <v>-2.2000000000000002</v>
      </c>
      <c r="R203" s="7">
        <v>-1.01</v>
      </c>
      <c r="S203" s="7">
        <v>0.1</v>
      </c>
      <c r="T203" s="7">
        <v>0.3</v>
      </c>
      <c r="U203" s="7">
        <v>-0.51</v>
      </c>
      <c r="V203" s="7">
        <v>-0.06</v>
      </c>
      <c r="W203" s="7">
        <v>1.1299999999999999</v>
      </c>
      <c r="X203" s="7" t="s">
        <v>6</v>
      </c>
      <c r="Y203" s="7" t="s">
        <v>15</v>
      </c>
      <c r="Z203" s="2" t="s">
        <v>718</v>
      </c>
      <c r="AA203" s="2" t="s">
        <v>721</v>
      </c>
    </row>
    <row r="204" spans="1:27" x14ac:dyDescent="0.35">
      <c r="A204" s="7" t="s">
        <v>1720</v>
      </c>
      <c r="B204" s="7" t="s">
        <v>779</v>
      </c>
      <c r="C204" s="7" t="str">
        <f>_xlfn.XLOOKUP(B204,'[1]Sheet 1'!$A$2:$A$11107,'[1]Sheet 1'!$D$2:$D$11107,"",0)</f>
        <v>GAPO</v>
      </c>
      <c r="D204" s="4" t="str">
        <f>_xlfn.XLOOKUP(A204,[3]Sheet2!$I$2:$I$1623,[3]Sheet2!$D$2:$D$1623,"",0)</f>
        <v>Q3</v>
      </c>
      <c r="E204" s="4" t="s">
        <v>1827</v>
      </c>
      <c r="F204" s="4" t="e">
        <f>_xlfn.XLOOKUP(B204,[2]Sheet2!$E$2:$E$713,[2]Sheet2!$G$2:$G$713)</f>
        <v>#N/A</v>
      </c>
      <c r="G204" s="18">
        <v>46098</v>
      </c>
      <c r="H204" s="14">
        <v>0.64166666666666672</v>
      </c>
      <c r="I204" s="7" t="s">
        <v>14</v>
      </c>
      <c r="J204" s="2" t="str">
        <f t="shared" si="15"/>
        <v>Q3</v>
      </c>
      <c r="K204" s="2" t="str">
        <f t="shared" si="16"/>
        <v>Match</v>
      </c>
      <c r="L204" s="2">
        <f t="shared" si="17"/>
        <v>0.6</v>
      </c>
      <c r="M204" s="2" t="e">
        <f t="shared" si="18"/>
        <v>#N/A</v>
      </c>
      <c r="N204" s="2" t="str">
        <f t="shared" si="19"/>
        <v>Q OK dE&lt;=0.8</v>
      </c>
      <c r="O204" s="7">
        <v>16.5</v>
      </c>
      <c r="P204" s="7">
        <v>-0.8</v>
      </c>
      <c r="Q204" s="7">
        <v>-9.1</v>
      </c>
      <c r="R204" s="7">
        <v>0.37</v>
      </c>
      <c r="S204" s="7">
        <v>0</v>
      </c>
      <c r="T204" s="7">
        <v>0.6</v>
      </c>
      <c r="U204" s="7">
        <v>-0.54</v>
      </c>
      <c r="V204" s="7">
        <v>-0.09</v>
      </c>
      <c r="W204" s="7">
        <v>0.66</v>
      </c>
      <c r="X204" s="7" t="s">
        <v>8</v>
      </c>
      <c r="Y204" s="7" t="s">
        <v>15</v>
      </c>
      <c r="Z204" s="2" t="s">
        <v>718</v>
      </c>
      <c r="AA204" s="2" t="s">
        <v>721</v>
      </c>
    </row>
    <row r="205" spans="1:27" x14ac:dyDescent="0.35">
      <c r="A205" s="7" t="s">
        <v>1688</v>
      </c>
      <c r="B205" s="7" t="s">
        <v>880</v>
      </c>
      <c r="C205" s="7" t="str">
        <f>_xlfn.XLOOKUP(B205,'[1]Sheet 1'!$A$2:$A$11107,'[1]Sheet 1'!$D$2:$D$11107,"",0)</f>
        <v>GAP</v>
      </c>
      <c r="D205" s="4" t="str">
        <f>_xlfn.XLOOKUP(A205,[3]Sheet2!$I$2:$I$1623,[3]Sheet2!$D$2:$D$1623,"",0)</f>
        <v>Q4</v>
      </c>
      <c r="E205" s="4" t="s">
        <v>1827</v>
      </c>
      <c r="F205" s="4" t="e">
        <f>_xlfn.XLOOKUP(B205,[2]Sheet2!$E$2:$E$713,[2]Sheet2!$G$2:$G$713)</f>
        <v>#N/A</v>
      </c>
      <c r="G205" s="18">
        <v>46099</v>
      </c>
      <c r="H205" s="14">
        <v>0.12423611111111112</v>
      </c>
      <c r="I205" s="7" t="s">
        <v>14</v>
      </c>
      <c r="J205" s="2" t="str">
        <f t="shared" si="15"/>
        <v>Q3</v>
      </c>
      <c r="K205" s="2" t="str">
        <f t="shared" si="16"/>
        <v>Not Match</v>
      </c>
      <c r="L205" s="2">
        <f t="shared" si="17"/>
        <v>0.53851648071345048</v>
      </c>
      <c r="M205" s="2" t="e">
        <f t="shared" si="18"/>
        <v>#N/A</v>
      </c>
      <c r="N205" s="2" t="str">
        <f t="shared" si="19"/>
        <v>Q NOT OK dE&gt;0.8</v>
      </c>
      <c r="O205" s="7">
        <v>13.2</v>
      </c>
      <c r="P205" s="7">
        <v>-0.5</v>
      </c>
      <c r="Q205" s="7">
        <v>-2.2999999999999998</v>
      </c>
      <c r="R205" s="7">
        <v>0.17</v>
      </c>
      <c r="S205" s="7">
        <v>-0.2</v>
      </c>
      <c r="T205" s="7">
        <v>-0.5</v>
      </c>
      <c r="U205" s="7">
        <v>0.79</v>
      </c>
      <c r="V205" s="7">
        <v>-0.25</v>
      </c>
      <c r="W205" s="7">
        <v>0.84</v>
      </c>
      <c r="X205" s="7" t="s">
        <v>13</v>
      </c>
      <c r="Y205" s="7" t="s">
        <v>15</v>
      </c>
      <c r="Z205" s="2" t="s">
        <v>718</v>
      </c>
      <c r="AA205" s="2" t="s">
        <v>721</v>
      </c>
    </row>
    <row r="206" spans="1:27" x14ac:dyDescent="0.35">
      <c r="A206" s="7" t="s">
        <v>1540</v>
      </c>
      <c r="B206" s="7" t="s">
        <v>888</v>
      </c>
      <c r="C206" s="7" t="str">
        <f>_xlfn.XLOOKUP(B206,'[1]Sheet 1'!$A$2:$A$11107,'[1]Sheet 1'!$D$2:$D$11107,"",0)</f>
        <v>VSS</v>
      </c>
      <c r="D206" s="4" t="str">
        <f>_xlfn.XLOOKUP(A206,[3]Sheet2!$I$2:$I$1623,[3]Sheet2!$D$2:$D$1623,"",0)</f>
        <v>Q3</v>
      </c>
      <c r="E206" s="4" t="s">
        <v>1828</v>
      </c>
      <c r="F206" s="4" t="e">
        <f>_xlfn.XLOOKUP(B206,[2]Sheet2!$E$2:$E$713,[2]Sheet2!$G$2:$G$713)</f>
        <v>#N/A</v>
      </c>
      <c r="G206" s="18">
        <v>46099</v>
      </c>
      <c r="H206" s="14">
        <v>0.28271990740740743</v>
      </c>
      <c r="I206" s="7" t="s">
        <v>10</v>
      </c>
      <c r="J206" s="2" t="str">
        <f t="shared" si="15"/>
        <v>Q1</v>
      </c>
      <c r="K206" s="2" t="str">
        <f t="shared" si="16"/>
        <v>Not Match</v>
      </c>
      <c r="L206" s="2">
        <f t="shared" si="17"/>
        <v>0.28284271247461906</v>
      </c>
      <c r="M206" s="2" t="e">
        <f t="shared" si="18"/>
        <v>#N/A</v>
      </c>
      <c r="N206" s="2" t="str">
        <f t="shared" si="19"/>
        <v>Q NOT OK dE&gt;0.8</v>
      </c>
      <c r="O206" s="7">
        <v>13.8</v>
      </c>
      <c r="P206" s="7">
        <v>0.7</v>
      </c>
      <c r="Q206" s="7">
        <v>-1</v>
      </c>
      <c r="R206" s="7">
        <v>-0.69</v>
      </c>
      <c r="S206" s="7">
        <v>0.2</v>
      </c>
      <c r="T206" s="7">
        <v>0.2</v>
      </c>
      <c r="U206" s="7">
        <v>-7.0000000000000007E-2</v>
      </c>
      <c r="V206" s="7">
        <v>0.46</v>
      </c>
      <c r="W206" s="7">
        <v>0.84</v>
      </c>
      <c r="X206" s="7" t="s">
        <v>13</v>
      </c>
      <c r="Y206" s="7" t="s">
        <v>9</v>
      </c>
      <c r="Z206" s="2" t="s">
        <v>718</v>
      </c>
      <c r="AA206" s="2" t="s">
        <v>721</v>
      </c>
    </row>
    <row r="207" spans="1:27" x14ac:dyDescent="0.35">
      <c r="A207" s="7" t="s">
        <v>1726</v>
      </c>
      <c r="B207" s="7" t="s">
        <v>786</v>
      </c>
      <c r="C207" s="7" t="str">
        <f>_xlfn.XLOOKUP(B207,'[1]Sheet 1'!$A$2:$A$11107,'[1]Sheet 1'!$D$2:$D$11107,"",0)</f>
        <v>WACE</v>
      </c>
      <c r="D207" s="4" t="str">
        <f>_xlfn.XLOOKUP(A207,[3]Sheet2!$I$2:$I$1623,[3]Sheet2!$D$2:$D$1623,"",0)</f>
        <v>Q3</v>
      </c>
      <c r="E207" s="4" t="s">
        <v>1828</v>
      </c>
      <c r="F207" s="4" t="e">
        <f>_xlfn.XLOOKUP(B207,[2]Sheet2!$E$2:$E$713,[2]Sheet2!$G$2:$G$713)</f>
        <v>#N/A</v>
      </c>
      <c r="G207" s="18">
        <v>46099</v>
      </c>
      <c r="H207" s="14">
        <v>0.67484953703703698</v>
      </c>
      <c r="I207" s="7" t="s">
        <v>4</v>
      </c>
      <c r="J207" s="2" t="str">
        <f t="shared" si="15"/>
        <v>Q3</v>
      </c>
      <c r="K207" s="2" t="str">
        <f t="shared" si="16"/>
        <v>Match</v>
      </c>
      <c r="L207" s="2">
        <f t="shared" si="17"/>
        <v>1.3</v>
      </c>
      <c r="M207" s="2" t="e">
        <f t="shared" si="18"/>
        <v>#N/A</v>
      </c>
      <c r="N207" s="2" t="str">
        <f t="shared" si="19"/>
        <v>Q OK dE&lt;=0.8</v>
      </c>
      <c r="O207" s="7">
        <v>28.9</v>
      </c>
      <c r="P207" s="7">
        <v>30.3</v>
      </c>
      <c r="Q207" s="7">
        <v>8.1999999999999993</v>
      </c>
      <c r="R207" s="7">
        <v>0.06</v>
      </c>
      <c r="S207" s="7">
        <v>-1.3</v>
      </c>
      <c r="T207" s="20">
        <v>0</v>
      </c>
      <c r="U207" s="7">
        <v>-0.59</v>
      </c>
      <c r="V207" s="7">
        <v>0.3</v>
      </c>
      <c r="W207" s="7">
        <v>0.66</v>
      </c>
      <c r="X207" s="7" t="s">
        <v>8</v>
      </c>
      <c r="Y207" s="7" t="s">
        <v>12</v>
      </c>
      <c r="Z207" s="2" t="s">
        <v>718</v>
      </c>
      <c r="AA207" s="2" t="s">
        <v>721</v>
      </c>
    </row>
    <row r="208" spans="1:27" x14ac:dyDescent="0.35">
      <c r="A208" s="7" t="s">
        <v>1559</v>
      </c>
      <c r="B208" s="7" t="s">
        <v>782</v>
      </c>
      <c r="C208" s="7" t="str">
        <f>_xlfn.XLOOKUP(B208,'[1]Sheet 1'!$A$2:$A$11107,'[1]Sheet 1'!$D$2:$D$11107,"",0)</f>
        <v>VSS</v>
      </c>
      <c r="D208" s="4" t="str">
        <f>_xlfn.XLOOKUP(A208,[3]Sheet2!$I$2:$I$1623,[3]Sheet2!$D$2:$D$1623,"",0)</f>
        <v>Q3</v>
      </c>
      <c r="E208" s="4" t="s">
        <v>1828</v>
      </c>
      <c r="F208" s="4" t="e">
        <f>_xlfn.XLOOKUP(B208,[2]Sheet2!$E$2:$E$713,[2]Sheet2!$G$2:$G$713)</f>
        <v>#N/A</v>
      </c>
      <c r="G208" s="18">
        <v>46099</v>
      </c>
      <c r="H208" s="14">
        <v>0.47136574074074072</v>
      </c>
      <c r="I208" s="7" t="s">
        <v>10</v>
      </c>
      <c r="J208" s="2" t="str">
        <f t="shared" si="15"/>
        <v>Q3</v>
      </c>
      <c r="K208" s="2" t="str">
        <f t="shared" si="16"/>
        <v>Match</v>
      </c>
      <c r="L208" s="2">
        <f t="shared" si="17"/>
        <v>0.1</v>
      </c>
      <c r="M208" s="2" t="e">
        <f t="shared" si="18"/>
        <v>#N/A</v>
      </c>
      <c r="N208" s="2" t="str">
        <f t="shared" si="19"/>
        <v>Q OK dE&lt;=0.8</v>
      </c>
      <c r="O208" s="7">
        <v>17.8</v>
      </c>
      <c r="P208" s="7">
        <v>0</v>
      </c>
      <c r="Q208" s="7">
        <v>-2.4</v>
      </c>
      <c r="R208" s="7">
        <v>-0.14000000000000001</v>
      </c>
      <c r="S208" s="7">
        <v>0</v>
      </c>
      <c r="T208" s="7">
        <v>-0.1</v>
      </c>
      <c r="U208" s="7">
        <v>0.2</v>
      </c>
      <c r="V208" s="7">
        <v>-0.02</v>
      </c>
      <c r="W208" s="7">
        <v>0.24</v>
      </c>
      <c r="X208" s="7" t="s">
        <v>8</v>
      </c>
      <c r="Y208" s="7" t="s">
        <v>15</v>
      </c>
      <c r="Z208" s="2" t="s">
        <v>718</v>
      </c>
      <c r="AA208" s="2" t="s">
        <v>721</v>
      </c>
    </row>
    <row r="209" spans="1:27" x14ac:dyDescent="0.35">
      <c r="A209" s="7" t="s">
        <v>1545</v>
      </c>
      <c r="B209" s="7" t="s">
        <v>884</v>
      </c>
      <c r="C209" s="7" t="str">
        <f>_xlfn.XLOOKUP(B209,'[1]Sheet 1'!$A$2:$A$11107,'[1]Sheet 1'!$D$2:$D$11107,"",0)</f>
        <v>NIK</v>
      </c>
      <c r="D209" s="4" t="str">
        <f>_xlfn.XLOOKUP(A209,[3]Sheet2!$I$2:$I$1623,[3]Sheet2!$D$2:$D$1623,"",0)</f>
        <v>Q2</v>
      </c>
      <c r="E209" s="4" t="s">
        <v>1828</v>
      </c>
      <c r="F209" s="4" t="e">
        <f>_xlfn.XLOOKUP(B209,[2]Sheet2!$E$2:$E$713,[2]Sheet2!$G$2:$G$713)</f>
        <v>#N/A</v>
      </c>
      <c r="G209" s="18">
        <v>46099</v>
      </c>
      <c r="H209" s="14">
        <v>0.27251157407407406</v>
      </c>
      <c r="I209" s="7" t="s">
        <v>4</v>
      </c>
      <c r="J209" s="2" t="str">
        <f t="shared" si="15"/>
        <v>Q2</v>
      </c>
      <c r="K209" s="2" t="str">
        <f t="shared" si="16"/>
        <v>Match</v>
      </c>
      <c r="L209" s="2">
        <f t="shared" si="17"/>
        <v>0.2</v>
      </c>
      <c r="M209" s="2" t="e">
        <f t="shared" si="18"/>
        <v>#N/A</v>
      </c>
      <c r="N209" s="2" t="str">
        <f t="shared" si="19"/>
        <v>Q OK dE&lt;=0.8</v>
      </c>
      <c r="O209" s="7">
        <v>18.3</v>
      </c>
      <c r="P209" s="7">
        <v>-0.8</v>
      </c>
      <c r="Q209" s="7">
        <v>-1.8</v>
      </c>
      <c r="R209" s="7">
        <v>-0.11</v>
      </c>
      <c r="S209" s="7">
        <v>0</v>
      </c>
      <c r="T209" s="7">
        <v>-0.2</v>
      </c>
      <c r="U209" s="7">
        <v>0.31</v>
      </c>
      <c r="V209" s="7">
        <v>0.19</v>
      </c>
      <c r="W209" s="7">
        <v>0.38</v>
      </c>
      <c r="X209" s="7" t="s">
        <v>8</v>
      </c>
      <c r="Y209" s="7" t="s">
        <v>9</v>
      </c>
      <c r="Z209" s="2" t="s">
        <v>718</v>
      </c>
      <c r="AA209" s="2" t="s">
        <v>721</v>
      </c>
    </row>
    <row r="210" spans="1:27" x14ac:dyDescent="0.35">
      <c r="A210" s="7" t="s">
        <v>1508</v>
      </c>
      <c r="B210" s="7" t="s">
        <v>882</v>
      </c>
      <c r="C210" s="7" t="str">
        <f>_xlfn.XLOOKUP(B210,'[1]Sheet 1'!$A$2:$A$11107,'[1]Sheet 1'!$D$2:$D$11107,"",0)</f>
        <v>LULU</v>
      </c>
      <c r="D210" s="4" t="str">
        <f>_xlfn.XLOOKUP(A210,[3]Sheet2!$I$2:$I$1623,[3]Sheet2!$D$2:$D$1623,"",0)</f>
        <v>Q2</v>
      </c>
      <c r="E210" s="4" t="s">
        <v>1828</v>
      </c>
      <c r="F210" s="4" t="e">
        <f>_xlfn.XLOOKUP(B210,[2]Sheet2!$E$2:$E$713,[2]Sheet2!$G$2:$G$713)</f>
        <v>#N/A</v>
      </c>
      <c r="G210" s="18">
        <v>46099</v>
      </c>
      <c r="H210" s="14">
        <v>0.1502199074074074</v>
      </c>
      <c r="I210" s="7" t="s">
        <v>4</v>
      </c>
      <c r="J210" s="2" t="str">
        <f t="shared" si="15"/>
        <v>Q2</v>
      </c>
      <c r="K210" s="2" t="str">
        <f t="shared" si="16"/>
        <v>Match</v>
      </c>
      <c r="L210" s="2">
        <f t="shared" si="17"/>
        <v>0.1</v>
      </c>
      <c r="M210" s="2" t="e">
        <f t="shared" si="18"/>
        <v>#N/A</v>
      </c>
      <c r="N210" s="2" t="str">
        <f t="shared" si="19"/>
        <v>Q OK dE&lt;=0.8</v>
      </c>
      <c r="O210" s="7">
        <v>18.3</v>
      </c>
      <c r="P210" s="7">
        <v>-0.7</v>
      </c>
      <c r="Q210" s="7">
        <v>-7.8</v>
      </c>
      <c r="R210" s="7">
        <v>-0.53</v>
      </c>
      <c r="S210" s="7">
        <v>0</v>
      </c>
      <c r="T210" s="7">
        <v>-0.1</v>
      </c>
      <c r="U210" s="7">
        <v>0.18</v>
      </c>
      <c r="V210" s="7">
        <v>-0.06</v>
      </c>
      <c r="W210" s="7">
        <v>0.56999999999999995</v>
      </c>
      <c r="X210" s="7" t="s">
        <v>8</v>
      </c>
      <c r="Y210" s="7" t="s">
        <v>15</v>
      </c>
      <c r="Z210" s="2" t="s">
        <v>718</v>
      </c>
      <c r="AA210" s="2" t="s">
        <v>721</v>
      </c>
    </row>
    <row r="211" spans="1:27" x14ac:dyDescent="0.35">
      <c r="A211" s="7" t="s">
        <v>1559</v>
      </c>
      <c r="B211" s="7" t="s">
        <v>781</v>
      </c>
      <c r="C211" s="7" t="str">
        <f>_xlfn.XLOOKUP(B211,'[1]Sheet 1'!$A$2:$A$11107,'[1]Sheet 1'!$D$2:$D$11107,"",0)</f>
        <v>VSS</v>
      </c>
      <c r="D211" s="4" t="str">
        <f>_xlfn.XLOOKUP(A211,[3]Sheet2!$I$2:$I$1623,[3]Sheet2!$D$2:$D$1623,"",0)</f>
        <v>Q3</v>
      </c>
      <c r="E211" s="4" t="s">
        <v>1828</v>
      </c>
      <c r="F211" s="4" t="e">
        <f>_xlfn.XLOOKUP(B211,[2]Sheet2!$E$2:$E$713,[2]Sheet2!$G$2:$G$713)</f>
        <v>#N/A</v>
      </c>
      <c r="G211" s="18">
        <v>46099</v>
      </c>
      <c r="H211" s="14">
        <v>0.40751157407407407</v>
      </c>
      <c r="I211" s="7" t="s">
        <v>10</v>
      </c>
      <c r="J211" s="2" t="str">
        <f t="shared" si="15"/>
        <v>Q3</v>
      </c>
      <c r="K211" s="2" t="str">
        <f t="shared" si="16"/>
        <v>Match</v>
      </c>
      <c r="L211" s="2">
        <f t="shared" si="17"/>
        <v>0.14142135623730953</v>
      </c>
      <c r="M211" s="2" t="e">
        <f t="shared" si="18"/>
        <v>#N/A</v>
      </c>
      <c r="N211" s="2" t="str">
        <f t="shared" si="19"/>
        <v>Q OK dE&lt;=0.8</v>
      </c>
      <c r="O211" s="7">
        <v>17.3</v>
      </c>
      <c r="P211" s="7">
        <v>-0.1</v>
      </c>
      <c r="Q211" s="7">
        <v>-2.4</v>
      </c>
      <c r="R211" s="7">
        <v>-0.59</v>
      </c>
      <c r="S211" s="7">
        <v>-0.1</v>
      </c>
      <c r="T211" s="7">
        <v>-0.1</v>
      </c>
      <c r="U211" s="7">
        <v>0.22</v>
      </c>
      <c r="V211" s="7">
        <v>-0.12</v>
      </c>
      <c r="W211" s="7">
        <v>0.64</v>
      </c>
      <c r="X211" s="7" t="s">
        <v>8</v>
      </c>
      <c r="Y211" s="7" t="s">
        <v>15</v>
      </c>
      <c r="Z211" s="2" t="s">
        <v>718</v>
      </c>
      <c r="AA211" s="2" t="s">
        <v>721</v>
      </c>
    </row>
    <row r="212" spans="1:27" x14ac:dyDescent="0.35">
      <c r="A212" s="7" t="s">
        <v>1719</v>
      </c>
      <c r="B212" s="7" t="s">
        <v>887</v>
      </c>
      <c r="C212" s="7" t="str">
        <f>_xlfn.XLOOKUP(B212,'[1]Sheet 1'!$A$2:$A$11107,'[1]Sheet 1'!$D$2:$D$11107,"",0)</f>
        <v>NKSKI</v>
      </c>
      <c r="D212" s="4" t="str">
        <f>_xlfn.XLOOKUP(A212,[3]Sheet2!$I$2:$I$1623,[3]Sheet2!$D$2:$D$1623,"",0)</f>
        <v>Q1</v>
      </c>
      <c r="E212" s="4" t="s">
        <v>1828</v>
      </c>
      <c r="F212" s="4" t="e">
        <f>_xlfn.XLOOKUP(B212,[2]Sheet2!$E$2:$E$713,[2]Sheet2!$G$2:$G$713)</f>
        <v>#N/A</v>
      </c>
      <c r="G212" s="18">
        <v>46099</v>
      </c>
      <c r="H212" s="14">
        <v>0.28083333333333332</v>
      </c>
      <c r="I212" s="7" t="s">
        <v>4</v>
      </c>
      <c r="J212" s="2" t="str">
        <f t="shared" si="15"/>
        <v>Q1</v>
      </c>
      <c r="K212" s="2" t="str">
        <f t="shared" si="16"/>
        <v>Match</v>
      </c>
      <c r="L212" s="2">
        <f t="shared" si="17"/>
        <v>0.1</v>
      </c>
      <c r="M212" s="2" t="e">
        <f t="shared" si="18"/>
        <v>#N/A</v>
      </c>
      <c r="N212" s="2" t="str">
        <f t="shared" si="19"/>
        <v>Q OK dE&lt;=0.8</v>
      </c>
      <c r="O212" s="7">
        <v>20.2</v>
      </c>
      <c r="P212" s="7">
        <v>0.1</v>
      </c>
      <c r="Q212" s="7">
        <v>-10.3</v>
      </c>
      <c r="R212" s="7">
        <v>-0.12</v>
      </c>
      <c r="S212" s="7">
        <v>0</v>
      </c>
      <c r="T212" s="7">
        <v>0.1</v>
      </c>
      <c r="U212" s="7">
        <v>-0.14000000000000001</v>
      </c>
      <c r="V212" s="7">
        <v>-0.04</v>
      </c>
      <c r="W212" s="7">
        <v>0.19</v>
      </c>
      <c r="X212" s="7" t="s">
        <v>8</v>
      </c>
      <c r="Y212" s="7" t="s">
        <v>15</v>
      </c>
      <c r="Z212" s="2" t="s">
        <v>718</v>
      </c>
      <c r="AA212" s="2" t="s">
        <v>721</v>
      </c>
    </row>
    <row r="213" spans="1:27" x14ac:dyDescent="0.35">
      <c r="A213" s="7" t="s">
        <v>1543</v>
      </c>
      <c r="B213" s="7" t="s">
        <v>876</v>
      </c>
      <c r="C213" s="7" t="str">
        <f>_xlfn.XLOOKUP(B213,'[1]Sheet 1'!$A$2:$A$11107,'[1]Sheet 1'!$D$2:$D$11107,"",0)</f>
        <v>VSS</v>
      </c>
      <c r="D213" s="4" t="str">
        <f>_xlfn.XLOOKUP(A213,[3]Sheet2!$I$2:$I$1623,[3]Sheet2!$D$2:$D$1623,"",0)</f>
        <v>Q3</v>
      </c>
      <c r="E213" s="4" t="s">
        <v>1828</v>
      </c>
      <c r="F213" s="4" t="e">
        <f>_xlfn.XLOOKUP(B213,[2]Sheet2!$E$2:$E$713,[2]Sheet2!$G$2:$G$713)</f>
        <v>#N/A</v>
      </c>
      <c r="G213" s="18">
        <v>46099</v>
      </c>
      <c r="H213" s="14">
        <v>1.3032407407407407E-2</v>
      </c>
      <c r="I213" s="7" t="s">
        <v>10</v>
      </c>
      <c r="J213" s="2" t="str">
        <f t="shared" si="15"/>
        <v>Q3</v>
      </c>
      <c r="K213" s="2" t="str">
        <f t="shared" si="16"/>
        <v>Match</v>
      </c>
      <c r="L213" s="2">
        <f t="shared" si="17"/>
        <v>0.31622776601683794</v>
      </c>
      <c r="M213" s="2" t="e">
        <f t="shared" si="18"/>
        <v>#N/A</v>
      </c>
      <c r="N213" s="2" t="str">
        <f t="shared" si="19"/>
        <v>Q OK dE&lt;=0.8</v>
      </c>
      <c r="O213" s="7">
        <v>26.7</v>
      </c>
      <c r="P213" s="7">
        <v>11.1</v>
      </c>
      <c r="Q213" s="7">
        <v>9.6999999999999993</v>
      </c>
      <c r="R213" s="7">
        <v>-0.37</v>
      </c>
      <c r="S213" s="7">
        <v>-0.1</v>
      </c>
      <c r="T213" s="7">
        <v>-0.3</v>
      </c>
      <c r="U213" s="7">
        <v>-0.23</v>
      </c>
      <c r="V213" s="7">
        <v>-0.21</v>
      </c>
      <c r="W213" s="7">
        <v>0.48</v>
      </c>
      <c r="X213" s="7" t="s">
        <v>8</v>
      </c>
      <c r="Y213" s="7" t="s">
        <v>9</v>
      </c>
      <c r="Z213" s="2" t="s">
        <v>718</v>
      </c>
      <c r="AA213" s="2" t="s">
        <v>721</v>
      </c>
    </row>
    <row r="214" spans="1:27" x14ac:dyDescent="0.35">
      <c r="A214" s="7" t="s">
        <v>1559</v>
      </c>
      <c r="B214" s="7" t="s">
        <v>780</v>
      </c>
      <c r="C214" s="7" t="str">
        <f>_xlfn.XLOOKUP(B214,'[1]Sheet 1'!$A$2:$A$11107,'[1]Sheet 1'!$D$2:$D$11107,"",0)</f>
        <v>VSS</v>
      </c>
      <c r="D214" s="4" t="str">
        <f>_xlfn.XLOOKUP(A214,[3]Sheet2!$I$2:$I$1623,[3]Sheet2!$D$2:$D$1623,"",0)</f>
        <v>Q3</v>
      </c>
      <c r="E214" s="4" t="s">
        <v>1828</v>
      </c>
      <c r="F214" s="4" t="e">
        <f>_xlfn.XLOOKUP(B214,[2]Sheet2!$E$2:$E$713,[2]Sheet2!$G$2:$G$713)</f>
        <v>#N/A</v>
      </c>
      <c r="G214" s="18">
        <v>46099</v>
      </c>
      <c r="H214" s="14">
        <v>0.39901620370370372</v>
      </c>
      <c r="I214" s="7" t="s">
        <v>10</v>
      </c>
      <c r="J214" s="2" t="str">
        <f t="shared" si="15"/>
        <v>Q3</v>
      </c>
      <c r="K214" s="2" t="str">
        <f t="shared" si="16"/>
        <v>Match</v>
      </c>
      <c r="L214" s="2">
        <f t="shared" si="17"/>
        <v>0.1</v>
      </c>
      <c r="M214" s="2" t="e">
        <f t="shared" si="18"/>
        <v>#N/A</v>
      </c>
      <c r="N214" s="2" t="str">
        <f t="shared" si="19"/>
        <v>Q OK dE&lt;=0.8</v>
      </c>
      <c r="O214" s="7">
        <v>17.8</v>
      </c>
      <c r="P214" s="7">
        <v>-0.1</v>
      </c>
      <c r="Q214" s="7">
        <v>-2.5</v>
      </c>
      <c r="R214" s="7">
        <v>-0.19</v>
      </c>
      <c r="S214" s="7">
        <v>0</v>
      </c>
      <c r="T214" s="7">
        <v>-0.1</v>
      </c>
      <c r="U214" s="7">
        <v>0.24</v>
      </c>
      <c r="V214" s="7">
        <v>-0.11</v>
      </c>
      <c r="W214" s="7">
        <v>0.33</v>
      </c>
      <c r="X214" s="7" t="s">
        <v>8</v>
      </c>
      <c r="Y214" s="7" t="s">
        <v>15</v>
      </c>
      <c r="Z214" s="2" t="s">
        <v>718</v>
      </c>
      <c r="AA214" s="2" t="s">
        <v>721</v>
      </c>
    </row>
    <row r="215" spans="1:27" x14ac:dyDescent="0.35">
      <c r="A215" s="7" t="s">
        <v>1559</v>
      </c>
      <c r="B215" s="7" t="s">
        <v>893</v>
      </c>
      <c r="C215" s="7" t="str">
        <f>_xlfn.XLOOKUP(B215,'[1]Sheet 1'!$A$2:$A$11107,'[1]Sheet 1'!$D$2:$D$11107,"",0)</f>
        <v>VSS</v>
      </c>
      <c r="D215" s="4" t="str">
        <f>_xlfn.XLOOKUP(A215,[3]Sheet2!$I$2:$I$1623,[3]Sheet2!$D$2:$D$1623,"",0)</f>
        <v>Q3</v>
      </c>
      <c r="E215" s="4" t="s">
        <v>1828</v>
      </c>
      <c r="F215" s="4" t="e">
        <f>_xlfn.XLOOKUP(B215,[2]Sheet2!$E$2:$E$713,[2]Sheet2!$G$2:$G$713)</f>
        <v>#N/A</v>
      </c>
      <c r="G215" s="18">
        <v>46099</v>
      </c>
      <c r="H215" s="14">
        <v>0.76115740740740745</v>
      </c>
      <c r="I215" s="7" t="s">
        <v>10</v>
      </c>
      <c r="J215" s="2" t="str">
        <f t="shared" si="15"/>
        <v>Q3</v>
      </c>
      <c r="K215" s="2" t="str">
        <f t="shared" si="16"/>
        <v>Match</v>
      </c>
      <c r="L215" s="2">
        <f t="shared" si="17"/>
        <v>0.2</v>
      </c>
      <c r="M215" s="2" t="e">
        <f t="shared" si="18"/>
        <v>#N/A</v>
      </c>
      <c r="N215" s="2" t="str">
        <f t="shared" si="19"/>
        <v>Q OK dE&lt;=0.8</v>
      </c>
      <c r="O215" s="7">
        <v>17.5</v>
      </c>
      <c r="P215" s="7">
        <v>0</v>
      </c>
      <c r="Q215" s="7">
        <v>-2.5</v>
      </c>
      <c r="R215" s="7">
        <v>-0.45</v>
      </c>
      <c r="S215" s="7">
        <v>0</v>
      </c>
      <c r="T215" s="7">
        <v>-0.2</v>
      </c>
      <c r="U215" s="7">
        <v>0.34</v>
      </c>
      <c r="V215" s="7">
        <v>0.1</v>
      </c>
      <c r="W215" s="7">
        <v>0.57999999999999996</v>
      </c>
      <c r="X215" s="7" t="s">
        <v>8</v>
      </c>
      <c r="Y215" s="7" t="s">
        <v>9</v>
      </c>
      <c r="Z215" s="2" t="s">
        <v>718</v>
      </c>
      <c r="AA215" s="2" t="s">
        <v>721</v>
      </c>
    </row>
    <row r="216" spans="1:27" x14ac:dyDescent="0.35">
      <c r="A216" s="7" t="s">
        <v>1687</v>
      </c>
      <c r="B216" s="7" t="s">
        <v>894</v>
      </c>
      <c r="C216" s="7" t="str">
        <f>_xlfn.XLOOKUP(B216,'[1]Sheet 1'!$A$2:$A$11107,'[1]Sheet 1'!$D$2:$D$11107,"",0)</f>
        <v>NIK</v>
      </c>
      <c r="D216" s="4" t="str">
        <f>_xlfn.XLOOKUP(A216,[3]Sheet2!$I$2:$I$1623,[3]Sheet2!$D$2:$D$1623,"",0)</f>
        <v>Q3</v>
      </c>
      <c r="E216" s="4" t="s">
        <v>1827</v>
      </c>
      <c r="F216" s="4" t="e">
        <f>_xlfn.XLOOKUP(B216,[2]Sheet2!$E$2:$E$713,[2]Sheet2!$G$2:$G$713)</f>
        <v>#N/A</v>
      </c>
      <c r="G216" s="18">
        <v>46099</v>
      </c>
      <c r="H216" s="14">
        <v>0.76525462962962965</v>
      </c>
      <c r="I216" s="7" t="s">
        <v>4</v>
      </c>
      <c r="J216" s="2" t="str">
        <f t="shared" si="15"/>
        <v>Q3</v>
      </c>
      <c r="K216" s="2" t="str">
        <f t="shared" si="16"/>
        <v>Match</v>
      </c>
      <c r="L216" s="2">
        <f t="shared" si="17"/>
        <v>0.5</v>
      </c>
      <c r="M216" s="2" t="e">
        <f t="shared" si="18"/>
        <v>#N/A</v>
      </c>
      <c r="N216" s="2" t="str">
        <f t="shared" si="19"/>
        <v>Q OK dE&lt;=0.8</v>
      </c>
      <c r="O216" s="7">
        <v>33.6</v>
      </c>
      <c r="P216" s="7">
        <v>11.4</v>
      </c>
      <c r="Q216" s="7">
        <v>11.6</v>
      </c>
      <c r="R216" s="7">
        <v>-0.21</v>
      </c>
      <c r="S216" s="7">
        <v>0</v>
      </c>
      <c r="T216" s="7">
        <v>0.5</v>
      </c>
      <c r="U216" s="7">
        <v>0.3</v>
      </c>
      <c r="V216" s="7">
        <v>0.51</v>
      </c>
      <c r="W216" s="7">
        <v>0.63</v>
      </c>
      <c r="X216" s="7" t="s">
        <v>8</v>
      </c>
      <c r="Y216" s="7" t="s">
        <v>12</v>
      </c>
      <c r="Z216" s="2" t="s">
        <v>718</v>
      </c>
      <c r="AA216" s="2" t="s">
        <v>721</v>
      </c>
    </row>
    <row r="217" spans="1:27" x14ac:dyDescent="0.35">
      <c r="A217" s="7" t="s">
        <v>1559</v>
      </c>
      <c r="B217" s="7" t="s">
        <v>879</v>
      </c>
      <c r="C217" s="7" t="str">
        <f>_xlfn.XLOOKUP(B217,'[1]Sheet 1'!$A$2:$A$11107,'[1]Sheet 1'!$D$2:$D$11107,"",0)</f>
        <v>VSS</v>
      </c>
      <c r="D217" s="4" t="str">
        <f>_xlfn.XLOOKUP(A217,[3]Sheet2!$I$2:$I$1623,[3]Sheet2!$D$2:$D$1623,"",0)</f>
        <v>Q3</v>
      </c>
      <c r="E217" s="4" t="s">
        <v>1828</v>
      </c>
      <c r="F217" s="4" t="e">
        <f>_xlfn.XLOOKUP(B217,[2]Sheet2!$E$2:$E$713,[2]Sheet2!$G$2:$G$713)</f>
        <v>#N/A</v>
      </c>
      <c r="G217" s="18">
        <v>46099</v>
      </c>
      <c r="H217" s="14">
        <v>0.1216087962962963</v>
      </c>
      <c r="I217" s="7" t="s">
        <v>10</v>
      </c>
      <c r="J217" s="2" t="str">
        <f t="shared" si="15"/>
        <v>Q3</v>
      </c>
      <c r="K217" s="2" t="str">
        <f t="shared" si="16"/>
        <v>Match</v>
      </c>
      <c r="L217" s="2">
        <f t="shared" si="17"/>
        <v>0.1</v>
      </c>
      <c r="M217" s="2" t="e">
        <f t="shared" si="18"/>
        <v>#N/A</v>
      </c>
      <c r="N217" s="2" t="str">
        <f t="shared" si="19"/>
        <v>Q OK dE&lt;=0.8</v>
      </c>
      <c r="O217" s="7">
        <v>17.399999999999999</v>
      </c>
      <c r="P217" s="7">
        <v>-0.1</v>
      </c>
      <c r="Q217" s="7">
        <v>-2.4</v>
      </c>
      <c r="R217" s="7">
        <v>-0.49</v>
      </c>
      <c r="S217" s="7">
        <v>0</v>
      </c>
      <c r="T217" s="7">
        <v>-0.1</v>
      </c>
      <c r="U217" s="7">
        <v>0.18</v>
      </c>
      <c r="V217" s="7">
        <v>-0.09</v>
      </c>
      <c r="W217" s="7">
        <v>0.53</v>
      </c>
      <c r="X217" s="7" t="s">
        <v>8</v>
      </c>
      <c r="Y217" s="7" t="s">
        <v>15</v>
      </c>
      <c r="Z217" s="2" t="s">
        <v>718</v>
      </c>
      <c r="AA217" s="2" t="s">
        <v>721</v>
      </c>
    </row>
    <row r="218" spans="1:27" x14ac:dyDescent="0.35">
      <c r="A218" s="7" t="s">
        <v>1603</v>
      </c>
      <c r="B218" s="7" t="s">
        <v>890</v>
      </c>
      <c r="C218" s="7" t="str">
        <f>_xlfn.XLOOKUP(B218,'[1]Sheet 1'!$A$2:$A$11107,'[1]Sheet 1'!$D$2:$D$11107,"",0)</f>
        <v>INT1</v>
      </c>
      <c r="D218" s="4" t="str">
        <f>_xlfn.XLOOKUP(A218,[3]Sheet2!$I$2:$I$1623,[3]Sheet2!$D$2:$D$1623,"",0)</f>
        <v>Q2</v>
      </c>
      <c r="E218" s="4" t="s">
        <v>1828</v>
      </c>
      <c r="F218" s="4" t="e">
        <f>_xlfn.XLOOKUP(B218,[2]Sheet2!$E$2:$E$713,[2]Sheet2!$G$2:$G$713)</f>
        <v>#N/A</v>
      </c>
      <c r="G218" s="18">
        <v>46099</v>
      </c>
      <c r="H218" s="14">
        <v>0.68887731481481485</v>
      </c>
      <c r="I218" s="7" t="s">
        <v>5</v>
      </c>
      <c r="J218" s="2" t="str">
        <f t="shared" si="15"/>
        <v>Q2</v>
      </c>
      <c r="K218" s="2" t="str">
        <f t="shared" si="16"/>
        <v>Match</v>
      </c>
      <c r="L218" s="2">
        <f t="shared" si="17"/>
        <v>0.1</v>
      </c>
      <c r="M218" s="2" t="e">
        <f t="shared" si="18"/>
        <v>#N/A</v>
      </c>
      <c r="N218" s="2" t="str">
        <f t="shared" si="19"/>
        <v>Q OK dE&lt;=0.8</v>
      </c>
      <c r="O218" s="7">
        <v>14.9</v>
      </c>
      <c r="P218" s="7">
        <v>-0.2</v>
      </c>
      <c r="Q218" s="7">
        <v>-0.7</v>
      </c>
      <c r="R218" s="7">
        <v>-0.27</v>
      </c>
      <c r="S218" s="7">
        <v>0</v>
      </c>
      <c r="T218" s="7">
        <v>-0.1</v>
      </c>
      <c r="U218" s="7">
        <v>0.28000000000000003</v>
      </c>
      <c r="V218" s="7">
        <v>-0.05</v>
      </c>
      <c r="W218" s="7">
        <v>0.39</v>
      </c>
      <c r="X218" s="7" t="s">
        <v>8</v>
      </c>
      <c r="Y218" s="7" t="s">
        <v>15</v>
      </c>
      <c r="Z218" s="2" t="s">
        <v>718</v>
      </c>
      <c r="AA218" s="2" t="s">
        <v>721</v>
      </c>
    </row>
    <row r="219" spans="1:27" x14ac:dyDescent="0.35">
      <c r="A219" s="7" t="s">
        <v>1557</v>
      </c>
      <c r="B219" s="7" t="s">
        <v>892</v>
      </c>
      <c r="C219" s="7" t="str">
        <f>_xlfn.XLOOKUP(B219,'[1]Sheet 1'!$A$2:$A$11107,'[1]Sheet 1'!$D$2:$D$11107,"",0)</f>
        <v>M&amp;S</v>
      </c>
      <c r="D219" s="4" t="str">
        <f>_xlfn.XLOOKUP(A219,[3]Sheet2!$I$2:$I$1623,[3]Sheet2!$D$2:$D$1623,"",0)</f>
        <v>Q3</v>
      </c>
      <c r="E219" s="4" t="s">
        <v>1828</v>
      </c>
      <c r="F219" s="4" t="e">
        <f>_xlfn.XLOOKUP(B219,[2]Sheet2!$E$2:$E$713,[2]Sheet2!$G$2:$G$713)</f>
        <v>#N/A</v>
      </c>
      <c r="G219" s="18">
        <v>46099</v>
      </c>
      <c r="H219" s="14">
        <v>0.74085648148148153</v>
      </c>
      <c r="I219" s="7" t="s">
        <v>17</v>
      </c>
      <c r="J219" s="2" t="str">
        <f t="shared" si="15"/>
        <v>Q3</v>
      </c>
      <c r="K219" s="2" t="str">
        <f t="shared" si="16"/>
        <v>Match</v>
      </c>
      <c r="L219" s="2">
        <f t="shared" si="17"/>
        <v>0.28284271247461906</v>
      </c>
      <c r="M219" s="2" t="e">
        <f t="shared" si="18"/>
        <v>#N/A</v>
      </c>
      <c r="N219" s="2" t="str">
        <f t="shared" si="19"/>
        <v>Q OK dE&lt;=0.8</v>
      </c>
      <c r="O219" s="7">
        <v>15.8</v>
      </c>
      <c r="P219" s="7">
        <v>-0.6</v>
      </c>
      <c r="Q219" s="7">
        <v>-1.8</v>
      </c>
      <c r="R219" s="7">
        <v>0.18</v>
      </c>
      <c r="S219" s="7">
        <v>-0.2</v>
      </c>
      <c r="T219" s="7">
        <v>-0.2</v>
      </c>
      <c r="U219" s="7">
        <v>0.36</v>
      </c>
      <c r="V219" s="7">
        <v>-0.26</v>
      </c>
      <c r="W219" s="7">
        <v>0.48</v>
      </c>
      <c r="X219" s="7" t="s">
        <v>8</v>
      </c>
      <c r="Y219" s="7" t="s">
        <v>15</v>
      </c>
      <c r="Z219" s="2" t="s">
        <v>718</v>
      </c>
      <c r="AA219" s="2" t="s">
        <v>721</v>
      </c>
    </row>
    <row r="220" spans="1:27" x14ac:dyDescent="0.35">
      <c r="A220" s="7" t="s">
        <v>1720</v>
      </c>
      <c r="B220" s="7" t="s">
        <v>883</v>
      </c>
      <c r="C220" s="7" t="str">
        <f>_xlfn.XLOOKUP(B220,'[1]Sheet 1'!$A$2:$A$11107,'[1]Sheet 1'!$D$2:$D$11107,"",0)</f>
        <v>GAPO</v>
      </c>
      <c r="D220" s="4" t="str">
        <f>_xlfn.XLOOKUP(A220,[3]Sheet2!$I$2:$I$1623,[3]Sheet2!$D$2:$D$1623,"",0)</f>
        <v>Q3</v>
      </c>
      <c r="E220" s="4" t="s">
        <v>1827</v>
      </c>
      <c r="F220" s="4" t="e">
        <f>_xlfn.XLOOKUP(B220,[2]Sheet2!$E$2:$E$713,[2]Sheet2!$G$2:$G$713)</f>
        <v>#N/A</v>
      </c>
      <c r="G220" s="18">
        <v>46099</v>
      </c>
      <c r="H220" s="14">
        <v>0.15265046296296297</v>
      </c>
      <c r="I220" s="7" t="s">
        <v>14</v>
      </c>
      <c r="J220" s="2" t="str">
        <f t="shared" si="15"/>
        <v>Q3</v>
      </c>
      <c r="K220" s="2" t="str">
        <f t="shared" si="16"/>
        <v>Match</v>
      </c>
      <c r="L220" s="2">
        <f t="shared" si="17"/>
        <v>0.4</v>
      </c>
      <c r="M220" s="2" t="e">
        <f t="shared" si="18"/>
        <v>#N/A</v>
      </c>
      <c r="N220" s="2" t="str">
        <f t="shared" si="19"/>
        <v>Q OK dE&lt;=0.8</v>
      </c>
      <c r="O220" s="7">
        <v>15.8</v>
      </c>
      <c r="P220" s="7">
        <v>-0.8</v>
      </c>
      <c r="Q220" s="7">
        <v>-9.3000000000000007</v>
      </c>
      <c r="R220" s="7">
        <v>-0.31</v>
      </c>
      <c r="S220" s="7">
        <v>0</v>
      </c>
      <c r="T220" s="7">
        <v>0.4</v>
      </c>
      <c r="U220" s="7">
        <v>-0.37</v>
      </c>
      <c r="V220" s="7">
        <v>-0.05</v>
      </c>
      <c r="W220" s="7">
        <v>0.49</v>
      </c>
      <c r="X220" s="7" t="s">
        <v>8</v>
      </c>
      <c r="Y220" s="7" t="s">
        <v>15</v>
      </c>
      <c r="Z220" s="2" t="s">
        <v>718</v>
      </c>
      <c r="AA220" s="2" t="s">
        <v>721</v>
      </c>
    </row>
    <row r="221" spans="1:27" x14ac:dyDescent="0.35">
      <c r="A221" s="7" t="s">
        <v>1533</v>
      </c>
      <c r="B221" s="7" t="s">
        <v>891</v>
      </c>
      <c r="C221" s="7" t="str">
        <f>_xlfn.XLOOKUP(B221,'[1]Sheet 1'!$A$2:$A$11107,'[1]Sheet 1'!$D$2:$D$11107,"",0)</f>
        <v>M&amp;S</v>
      </c>
      <c r="D221" s="4" t="str">
        <f>_xlfn.XLOOKUP(A221,[3]Sheet2!$I$2:$I$1623,[3]Sheet2!$D$2:$D$1623,"",0)</f>
        <v>Q2</v>
      </c>
      <c r="E221" s="4" t="s">
        <v>1827</v>
      </c>
      <c r="F221" s="4" t="e">
        <f>_xlfn.XLOOKUP(B221,[2]Sheet2!$E$2:$E$713,[2]Sheet2!$G$2:$G$713)</f>
        <v>#N/A</v>
      </c>
      <c r="G221" s="18">
        <v>46099</v>
      </c>
      <c r="H221" s="14">
        <v>0.72072916666666664</v>
      </c>
      <c r="I221" s="7" t="s">
        <v>17</v>
      </c>
      <c r="J221" s="2" t="str">
        <f t="shared" si="15"/>
        <v>Q2</v>
      </c>
      <c r="K221" s="2" t="str">
        <f t="shared" si="16"/>
        <v>Match</v>
      </c>
      <c r="L221" s="2">
        <f t="shared" si="17"/>
        <v>1.2</v>
      </c>
      <c r="M221" s="2" t="e">
        <f t="shared" si="18"/>
        <v>#N/A</v>
      </c>
      <c r="N221" s="2" t="str">
        <f t="shared" si="19"/>
        <v>Q OK dE&gt;0.8</v>
      </c>
      <c r="O221" s="7">
        <v>24.5</v>
      </c>
      <c r="P221" s="7">
        <v>0.6</v>
      </c>
      <c r="Q221" s="7">
        <v>7.7</v>
      </c>
      <c r="R221" s="7">
        <v>-0.49</v>
      </c>
      <c r="S221" s="7">
        <v>0</v>
      </c>
      <c r="T221" s="7">
        <v>-1.2</v>
      </c>
      <c r="U221" s="7">
        <v>-1.07</v>
      </c>
      <c r="V221" s="7">
        <v>-0.19</v>
      </c>
      <c r="W221" s="7">
        <v>1.19</v>
      </c>
      <c r="X221" s="7" t="s">
        <v>6</v>
      </c>
      <c r="Y221" s="7" t="s">
        <v>9</v>
      </c>
      <c r="Z221" s="2" t="s">
        <v>718</v>
      </c>
      <c r="AA221" s="2" t="s">
        <v>721</v>
      </c>
    </row>
    <row r="222" spans="1:27" x14ac:dyDescent="0.35">
      <c r="A222" s="7" t="s">
        <v>1579</v>
      </c>
      <c r="B222" s="7" t="s">
        <v>881</v>
      </c>
      <c r="C222" s="7" t="str">
        <f>_xlfn.XLOOKUP(B222,'[1]Sheet 1'!$A$2:$A$11107,'[1]Sheet 1'!$D$2:$D$11107,"",0)</f>
        <v>M&amp;S</v>
      </c>
      <c r="D222" s="4" t="str">
        <f>_xlfn.XLOOKUP(A222,[3]Sheet2!$I$2:$I$1623,[3]Sheet2!$D$2:$D$1623,"",0)</f>
        <v>Q4</v>
      </c>
      <c r="E222" s="4" t="s">
        <v>1827</v>
      </c>
      <c r="F222" s="4" t="e">
        <f>_xlfn.XLOOKUP(B222,[2]Sheet2!$E$2:$E$713,[2]Sheet2!$G$2:$G$713)</f>
        <v>#N/A</v>
      </c>
      <c r="G222" s="18">
        <v>46099</v>
      </c>
      <c r="H222" s="14">
        <v>0.14731481481481482</v>
      </c>
      <c r="I222" s="7" t="s">
        <v>17</v>
      </c>
      <c r="J222" s="2" t="str">
        <f t="shared" si="15"/>
        <v>Q2</v>
      </c>
      <c r="K222" s="2" t="str">
        <f t="shared" si="16"/>
        <v>Not Match</v>
      </c>
      <c r="L222" s="2">
        <f t="shared" si="17"/>
        <v>0.36055512754639896</v>
      </c>
      <c r="M222" s="2" t="e">
        <f t="shared" si="18"/>
        <v>#N/A</v>
      </c>
      <c r="N222" s="2" t="str">
        <f t="shared" si="19"/>
        <v>Q NOT OK dE&gt;0.8</v>
      </c>
      <c r="O222" s="7">
        <v>16.399999999999999</v>
      </c>
      <c r="P222" s="7">
        <v>-0.8</v>
      </c>
      <c r="Q222" s="7">
        <v>-5.9</v>
      </c>
      <c r="R222" s="7">
        <v>0.65</v>
      </c>
      <c r="S222" s="7">
        <v>-0.3</v>
      </c>
      <c r="T222" s="7">
        <v>0.2</v>
      </c>
      <c r="U222" s="7">
        <v>-0.17</v>
      </c>
      <c r="V222" s="7">
        <v>-0.49</v>
      </c>
      <c r="W222" s="7">
        <v>0.83</v>
      </c>
      <c r="X222" s="7" t="s">
        <v>13</v>
      </c>
      <c r="Y222" s="7" t="s">
        <v>15</v>
      </c>
      <c r="Z222" s="2" t="s">
        <v>718</v>
      </c>
      <c r="AA222" s="2" t="s">
        <v>721</v>
      </c>
    </row>
    <row r="223" spans="1:27" x14ac:dyDescent="0.35">
      <c r="A223" s="7" t="s">
        <v>1505</v>
      </c>
      <c r="B223" s="7" t="s">
        <v>885</v>
      </c>
      <c r="C223" s="7" t="str">
        <f>_xlfn.XLOOKUP(B223,'[1]Sheet 1'!$A$2:$A$11107,'[1]Sheet 1'!$D$2:$D$11107,"",0)</f>
        <v/>
      </c>
      <c r="D223" s="4" t="str">
        <f>_xlfn.XLOOKUP(A223,[3]Sheet2!$I$2:$I$1623,[3]Sheet2!$D$2:$D$1623,"",0)</f>
        <v>Q4</v>
      </c>
      <c r="E223" s="4" t="s">
        <v>1828</v>
      </c>
      <c r="F223" s="4" t="e">
        <f>_xlfn.XLOOKUP(B223,[2]Sheet2!$E$2:$E$713,[2]Sheet2!$G$2:$G$713)</f>
        <v>#N/A</v>
      </c>
      <c r="G223" s="18">
        <v>46099</v>
      </c>
      <c r="H223" s="14">
        <v>0.27478009259259262</v>
      </c>
      <c r="I223" s="7" t="s">
        <v>4</v>
      </c>
      <c r="J223" s="2" t="str">
        <f t="shared" si="15"/>
        <v>Q4</v>
      </c>
      <c r="K223" s="2" t="str">
        <f t="shared" si="16"/>
        <v>Match</v>
      </c>
      <c r="L223" s="2">
        <f t="shared" si="17"/>
        <v>0.1</v>
      </c>
      <c r="M223" s="2" t="e">
        <f t="shared" si="18"/>
        <v>#N/A</v>
      </c>
      <c r="N223" s="2" t="str">
        <f t="shared" si="19"/>
        <v>Q OK dE&gt;0.8</v>
      </c>
      <c r="O223" s="7">
        <v>17.600000000000001</v>
      </c>
      <c r="P223" s="7">
        <v>-1.3</v>
      </c>
      <c r="Q223" s="7">
        <v>-2</v>
      </c>
      <c r="R223" s="7">
        <v>-0.82</v>
      </c>
      <c r="S223" s="7">
        <v>0</v>
      </c>
      <c r="T223" s="7">
        <v>0.1</v>
      </c>
      <c r="U223" s="7">
        <v>-0.18</v>
      </c>
      <c r="V223" s="7">
        <v>-0.03</v>
      </c>
      <c r="W223" s="7">
        <v>0.84</v>
      </c>
      <c r="X223" s="7" t="s">
        <v>13</v>
      </c>
      <c r="Y223" s="7" t="s">
        <v>15</v>
      </c>
      <c r="Z223" s="2" t="s">
        <v>718</v>
      </c>
      <c r="AA223" s="2" t="s">
        <v>721</v>
      </c>
    </row>
    <row r="224" spans="1:27" x14ac:dyDescent="0.35">
      <c r="A224" s="7" t="s">
        <v>1723</v>
      </c>
      <c r="B224" s="7" t="s">
        <v>877</v>
      </c>
      <c r="C224" s="7" t="str">
        <f>_xlfn.XLOOKUP(B224,'[1]Sheet 1'!$A$2:$A$11107,'[1]Sheet 1'!$D$2:$D$11107,"",0)</f>
        <v>GAP</v>
      </c>
      <c r="D224" s="4" t="str">
        <f>_xlfn.XLOOKUP(A224,[3]Sheet2!$I$2:$I$1623,[3]Sheet2!$D$2:$D$1623,"",0)</f>
        <v>Q2</v>
      </c>
      <c r="E224" s="4" t="s">
        <v>1828</v>
      </c>
      <c r="F224" s="4" t="e">
        <f>_xlfn.XLOOKUP(B224,[2]Sheet2!$E$2:$E$713,[2]Sheet2!$G$2:$G$713)</f>
        <v>#N/A</v>
      </c>
      <c r="G224" s="18">
        <v>46099</v>
      </c>
      <c r="H224" s="14">
        <v>1.6122685185185184E-2</v>
      </c>
      <c r="I224" s="7" t="s">
        <v>14</v>
      </c>
      <c r="J224" s="2" t="str">
        <f t="shared" si="15"/>
        <v>Q2</v>
      </c>
      <c r="K224" s="2" t="str">
        <f t="shared" si="16"/>
        <v>Match</v>
      </c>
      <c r="L224" s="2">
        <f t="shared" si="17"/>
        <v>0.2</v>
      </c>
      <c r="M224" s="2" t="e">
        <f t="shared" si="18"/>
        <v>#N/A</v>
      </c>
      <c r="N224" s="2" t="str">
        <f t="shared" si="19"/>
        <v>Q OK dE&lt;=0.8</v>
      </c>
      <c r="O224" s="7">
        <v>13.7</v>
      </c>
      <c r="P224" s="7">
        <v>-0.5</v>
      </c>
      <c r="Q224" s="7">
        <v>-2.1</v>
      </c>
      <c r="R224" s="7">
        <v>-0.71</v>
      </c>
      <c r="S224" s="7">
        <v>-0.2</v>
      </c>
      <c r="T224" s="20">
        <v>0</v>
      </c>
      <c r="U224" s="7">
        <v>0.03</v>
      </c>
      <c r="V224" s="7">
        <v>-0.37</v>
      </c>
      <c r="W224" s="7">
        <v>0.8</v>
      </c>
      <c r="X224" s="7" t="s">
        <v>13</v>
      </c>
      <c r="Y224" s="7" t="s">
        <v>15</v>
      </c>
      <c r="Z224" s="2" t="s">
        <v>718</v>
      </c>
      <c r="AA224" s="2" t="s">
        <v>721</v>
      </c>
    </row>
    <row r="225" spans="1:27" x14ac:dyDescent="0.35">
      <c r="A225" s="7" t="s">
        <v>1724</v>
      </c>
      <c r="B225" s="7" t="s">
        <v>886</v>
      </c>
      <c r="C225" s="7" t="str">
        <f>_xlfn.XLOOKUP(B225,'[1]Sheet 1'!$A$2:$A$11107,'[1]Sheet 1'!$D$2:$D$11107,"",0)</f>
        <v>GAP</v>
      </c>
      <c r="D225" s="4">
        <v>0</v>
      </c>
      <c r="E225" s="4" t="s">
        <v>1827</v>
      </c>
      <c r="F225" s="4" t="e">
        <f>_xlfn.XLOOKUP(B225,[2]Sheet2!$E$2:$E$713,[2]Sheet2!$G$2:$G$713)</f>
        <v>#N/A</v>
      </c>
      <c r="G225" s="18">
        <v>46099</v>
      </c>
      <c r="H225" s="14">
        <v>0.2769212962962963</v>
      </c>
      <c r="I225" s="7" t="s">
        <v>4</v>
      </c>
      <c r="J225" s="2" t="str">
        <f t="shared" si="15"/>
        <v>Q1</v>
      </c>
      <c r="K225" s="2" t="str">
        <f t="shared" si="16"/>
        <v>Not Found</v>
      </c>
      <c r="L225" s="2">
        <f t="shared" si="17"/>
        <v>0.22360679774997899</v>
      </c>
      <c r="M225" s="2" t="e">
        <f t="shared" si="18"/>
        <v>#N/A</v>
      </c>
      <c r="N225" s="2" t="str">
        <f t="shared" si="19"/>
        <v>Quadrant not assigned</v>
      </c>
      <c r="O225" s="7">
        <v>24.7</v>
      </c>
      <c r="P225" s="7">
        <v>17.899999999999999</v>
      </c>
      <c r="Q225" s="7">
        <v>3.3</v>
      </c>
      <c r="R225" s="7">
        <v>-0.22</v>
      </c>
      <c r="S225" s="7">
        <v>0.1</v>
      </c>
      <c r="T225" s="7">
        <v>0.2</v>
      </c>
      <c r="U225" s="7">
        <v>0.13</v>
      </c>
      <c r="V225" s="7">
        <v>0.22</v>
      </c>
      <c r="W225" s="7">
        <v>0.33</v>
      </c>
      <c r="X225" s="7" t="s">
        <v>8</v>
      </c>
      <c r="Y225" s="7" t="s">
        <v>12</v>
      </c>
      <c r="Z225" s="2" t="s">
        <v>718</v>
      </c>
      <c r="AA225" s="2" t="s">
        <v>721</v>
      </c>
    </row>
    <row r="226" spans="1:27" x14ac:dyDescent="0.35">
      <c r="A226" s="7" t="s">
        <v>1725</v>
      </c>
      <c r="B226" s="7" t="s">
        <v>785</v>
      </c>
      <c r="C226" s="7" t="str">
        <f>_xlfn.XLOOKUP(B226,'[1]Sheet 1'!$A$2:$A$11107,'[1]Sheet 1'!$D$2:$D$11107,"",0)</f>
        <v>M&amp;S</v>
      </c>
      <c r="D226" s="4" t="str">
        <f>_xlfn.XLOOKUP(A226,[3]Sheet2!$I$2:$I$1623,[3]Sheet2!$D$2:$D$1623,"",0)</f>
        <v>Q2</v>
      </c>
      <c r="E226" s="4" t="s">
        <v>1828</v>
      </c>
      <c r="F226" s="4" t="e">
        <f>_xlfn.XLOOKUP(B226,[2]Sheet2!$E$2:$E$713,[2]Sheet2!$G$2:$G$713)</f>
        <v>#N/A</v>
      </c>
      <c r="G226" s="18">
        <v>46099</v>
      </c>
      <c r="H226" s="14">
        <v>0.67072916666666671</v>
      </c>
      <c r="I226" s="7" t="s">
        <v>17</v>
      </c>
      <c r="J226" s="2" t="str">
        <f t="shared" si="15"/>
        <v>Q2</v>
      </c>
      <c r="K226" s="2" t="str">
        <f t="shared" si="16"/>
        <v>Match</v>
      </c>
      <c r="L226" s="2">
        <f t="shared" si="17"/>
        <v>1.3</v>
      </c>
      <c r="M226" s="2" t="e">
        <f t="shared" si="18"/>
        <v>#N/A</v>
      </c>
      <c r="N226" s="2" t="str">
        <f t="shared" si="19"/>
        <v>Q OK dE&gt;0.8</v>
      </c>
      <c r="O226" s="7">
        <v>19.3</v>
      </c>
      <c r="P226" s="7">
        <v>1</v>
      </c>
      <c r="Q226" s="7">
        <v>-21.2</v>
      </c>
      <c r="R226" s="7">
        <v>-0.85</v>
      </c>
      <c r="S226" s="7">
        <v>0</v>
      </c>
      <c r="T226" s="7">
        <v>1.3</v>
      </c>
      <c r="U226" s="7">
        <v>-0.79</v>
      </c>
      <c r="V226" s="7">
        <v>0.08</v>
      </c>
      <c r="W226" s="7">
        <v>1.1599999999999999</v>
      </c>
      <c r="X226" s="7" t="s">
        <v>6</v>
      </c>
      <c r="Y226" s="7" t="s">
        <v>9</v>
      </c>
      <c r="Z226" s="2" t="s">
        <v>718</v>
      </c>
      <c r="AA226" s="2" t="s">
        <v>721</v>
      </c>
    </row>
    <row r="227" spans="1:27" x14ac:dyDescent="0.35">
      <c r="A227" s="7" t="s">
        <v>1649</v>
      </c>
      <c r="B227" s="7" t="s">
        <v>784</v>
      </c>
      <c r="C227" s="7" t="str">
        <f>_xlfn.XLOOKUP(B227,'[1]Sheet 1'!$A$2:$A$11107,'[1]Sheet 1'!$D$2:$D$11107,"",0)</f>
        <v>CK</v>
      </c>
      <c r="D227" s="4" t="str">
        <f>_xlfn.XLOOKUP(A227,[3]Sheet2!$I$2:$I$1623,[3]Sheet2!$D$2:$D$1623,"",0)</f>
        <v>Q4</v>
      </c>
      <c r="E227" s="4" t="s">
        <v>1827</v>
      </c>
      <c r="F227" s="4" t="e">
        <f>_xlfn.XLOOKUP(B227,[2]Sheet2!$E$2:$E$713,[2]Sheet2!$G$2:$G$713)</f>
        <v>#N/A</v>
      </c>
      <c r="G227" s="18">
        <v>46099</v>
      </c>
      <c r="H227" s="14">
        <v>0.56478009259259254</v>
      </c>
      <c r="I227" s="7" t="s">
        <v>11</v>
      </c>
      <c r="J227" s="2" t="str">
        <f t="shared" si="15"/>
        <v>Q3</v>
      </c>
      <c r="K227" s="2" t="str">
        <f t="shared" si="16"/>
        <v>Not Match</v>
      </c>
      <c r="L227" s="2">
        <f t="shared" si="17"/>
        <v>0.22360679774997899</v>
      </c>
      <c r="M227" s="2" t="e">
        <f t="shared" si="18"/>
        <v>#N/A</v>
      </c>
      <c r="N227" s="2" t="str">
        <f t="shared" si="19"/>
        <v>Q NOT OK dE&gt;0.8</v>
      </c>
      <c r="O227" s="7">
        <v>32.200000000000003</v>
      </c>
      <c r="P227" s="7">
        <v>-2.7</v>
      </c>
      <c r="Q227" s="7">
        <v>-15.9</v>
      </c>
      <c r="R227" s="7">
        <v>1.0900000000000001</v>
      </c>
      <c r="S227" s="7">
        <v>-0.1</v>
      </c>
      <c r="T227" s="7">
        <v>-0.2</v>
      </c>
      <c r="U227" s="7">
        <v>0.2</v>
      </c>
      <c r="V227" s="7">
        <v>-0.09</v>
      </c>
      <c r="W227" s="7">
        <v>1.1100000000000001</v>
      </c>
      <c r="X227" s="7" t="s">
        <v>6</v>
      </c>
      <c r="Y227" s="7" t="s">
        <v>15</v>
      </c>
      <c r="Z227" s="2" t="s">
        <v>718</v>
      </c>
      <c r="AA227" s="2" t="s">
        <v>721</v>
      </c>
    </row>
    <row r="228" spans="1:27" x14ac:dyDescent="0.35">
      <c r="A228" s="7" t="s">
        <v>1728</v>
      </c>
      <c r="B228" s="7" t="s">
        <v>896</v>
      </c>
      <c r="C228" s="7" t="str">
        <f>_xlfn.XLOOKUP(B228,'[1]Sheet 1'!$A$2:$A$11107,'[1]Sheet 1'!$D$2:$D$11107,"",0)</f>
        <v>M&amp;S</v>
      </c>
      <c r="D228" s="4" t="str">
        <f>_xlfn.XLOOKUP(A228,[3]Sheet2!$I$2:$I$1623,[3]Sheet2!$D$2:$D$1623,"",0)</f>
        <v>Q4</v>
      </c>
      <c r="E228" s="4" t="s">
        <v>1828</v>
      </c>
      <c r="F228" s="4" t="e">
        <f>_xlfn.XLOOKUP(B228,[2]Sheet2!$E$2:$E$713,[2]Sheet2!$G$2:$G$713)</f>
        <v>#N/A</v>
      </c>
      <c r="G228" s="18">
        <v>46100</v>
      </c>
      <c r="H228" s="14">
        <v>0.52210648148148153</v>
      </c>
      <c r="I228" s="7" t="s">
        <v>17</v>
      </c>
      <c r="J228" s="2" t="str">
        <f t="shared" si="15"/>
        <v>Q4</v>
      </c>
      <c r="K228" s="2" t="str">
        <f t="shared" si="16"/>
        <v>Match</v>
      </c>
      <c r="L228" s="2">
        <f t="shared" si="17"/>
        <v>1.1000000000000001</v>
      </c>
      <c r="M228" s="2" t="e">
        <f t="shared" si="18"/>
        <v>#N/A</v>
      </c>
      <c r="N228" s="2" t="str">
        <f t="shared" si="19"/>
        <v>Q OK dE&gt;0.8</v>
      </c>
      <c r="O228" s="7">
        <v>32.799999999999997</v>
      </c>
      <c r="P228" s="7">
        <v>-1</v>
      </c>
      <c r="Q228" s="7">
        <v>4.2</v>
      </c>
      <c r="R228" s="7">
        <v>-0.71</v>
      </c>
      <c r="S228" s="7">
        <v>0</v>
      </c>
      <c r="T228" s="7">
        <v>1.1000000000000001</v>
      </c>
      <c r="U228" s="7">
        <v>1.35</v>
      </c>
      <c r="V228" s="7">
        <v>-0.5</v>
      </c>
      <c r="W228" s="7">
        <v>1.6</v>
      </c>
      <c r="X228" s="7" t="s">
        <v>6</v>
      </c>
      <c r="Y228" s="7" t="s">
        <v>12</v>
      </c>
      <c r="Z228" s="2" t="s">
        <v>718</v>
      </c>
      <c r="AA228" s="2" t="s">
        <v>721</v>
      </c>
    </row>
    <row r="229" spans="1:27" x14ac:dyDescent="0.35">
      <c r="A229" s="7" t="s">
        <v>1598</v>
      </c>
      <c r="B229" s="7" t="s">
        <v>903</v>
      </c>
      <c r="C229" s="7" t="str">
        <f>_xlfn.XLOOKUP(B229,'[1]Sheet 1'!$A$2:$A$11107,'[1]Sheet 1'!$D$2:$D$11107,"",0)</f>
        <v>LULU</v>
      </c>
      <c r="D229" s="4" t="str">
        <f>_xlfn.XLOOKUP(A229,[3]Sheet2!$I$2:$I$1623,[3]Sheet2!$D$2:$D$1623,"",0)</f>
        <v>Q3</v>
      </c>
      <c r="E229" s="4" t="s">
        <v>1828</v>
      </c>
      <c r="F229" s="4" t="e">
        <f>_xlfn.XLOOKUP(B229,[2]Sheet2!$E$2:$E$713,[2]Sheet2!$G$2:$G$713)</f>
        <v>#N/A</v>
      </c>
      <c r="G229" s="18">
        <v>46100</v>
      </c>
      <c r="H229" s="14">
        <v>0.77811342592592592</v>
      </c>
      <c r="I229" s="7" t="s">
        <v>4</v>
      </c>
      <c r="J229" s="2" t="str">
        <f t="shared" si="15"/>
        <v>Q4</v>
      </c>
      <c r="K229" s="2" t="str">
        <f t="shared" si="16"/>
        <v>Not Match</v>
      </c>
      <c r="L229" s="2">
        <f t="shared" si="17"/>
        <v>0.28284271247461906</v>
      </c>
      <c r="M229" s="2" t="e">
        <f t="shared" si="18"/>
        <v>#N/A</v>
      </c>
      <c r="N229" s="2" t="str">
        <f t="shared" si="19"/>
        <v>Q NOT OK dE&lt;=0.8</v>
      </c>
      <c r="O229" s="7">
        <v>21.9</v>
      </c>
      <c r="P229" s="7">
        <v>-7.6</v>
      </c>
      <c r="Q229" s="7">
        <v>-11.9</v>
      </c>
      <c r="R229" s="7">
        <v>-0.56999999999999995</v>
      </c>
      <c r="S229" s="7">
        <v>0.2</v>
      </c>
      <c r="T229" s="7">
        <v>-0.2</v>
      </c>
      <c r="U229" s="7">
        <v>0.08</v>
      </c>
      <c r="V229" s="7">
        <v>0.31</v>
      </c>
      <c r="W229" s="7">
        <v>0.65</v>
      </c>
      <c r="X229" s="7" t="s">
        <v>8</v>
      </c>
      <c r="Y229" s="7" t="s">
        <v>9</v>
      </c>
      <c r="Z229" s="2" t="s">
        <v>718</v>
      </c>
      <c r="AA229" s="2" t="s">
        <v>721</v>
      </c>
    </row>
    <row r="230" spans="1:27" x14ac:dyDescent="0.35">
      <c r="A230" s="7" t="s">
        <v>1599</v>
      </c>
      <c r="B230" s="7" t="s">
        <v>905</v>
      </c>
      <c r="C230" s="7" t="str">
        <f>_xlfn.XLOOKUP(B230,'[1]Sheet 1'!$A$2:$A$11107,'[1]Sheet 1'!$D$2:$D$11107,"",0)</f>
        <v>M&amp;S</v>
      </c>
      <c r="D230" s="4">
        <v>0</v>
      </c>
      <c r="E230" s="4" t="s">
        <v>1828</v>
      </c>
      <c r="F230" s="4" t="e">
        <f>_xlfn.XLOOKUP(B230,[2]Sheet2!$E$2:$E$713,[2]Sheet2!$G$2:$G$713)</f>
        <v>#N/A</v>
      </c>
      <c r="G230" s="18">
        <v>46100</v>
      </c>
      <c r="H230" s="14">
        <v>0.9450925925925926</v>
      </c>
      <c r="I230" s="7" t="s">
        <v>17</v>
      </c>
      <c r="J230" s="2">
        <f t="shared" si="15"/>
        <v>0</v>
      </c>
      <c r="K230" s="2" t="str">
        <f t="shared" si="16"/>
        <v>Match</v>
      </c>
      <c r="L230" s="2">
        <f t="shared" si="17"/>
        <v>0</v>
      </c>
      <c r="M230" s="2" t="e">
        <f t="shared" si="18"/>
        <v>#N/A</v>
      </c>
      <c r="N230" s="2" t="str">
        <f t="shared" si="19"/>
        <v>Quadrant not assigned</v>
      </c>
      <c r="O230" s="7">
        <v>24.9</v>
      </c>
      <c r="P230" s="7">
        <v>0.5</v>
      </c>
      <c r="Q230" s="7">
        <v>8.9</v>
      </c>
      <c r="R230" s="7">
        <v>-0.28999999999999998</v>
      </c>
      <c r="S230" s="7">
        <v>0</v>
      </c>
      <c r="T230" s="20">
        <v>0</v>
      </c>
      <c r="U230" s="7">
        <v>-0.02</v>
      </c>
      <c r="V230" s="7">
        <v>0.04</v>
      </c>
      <c r="W230" s="7">
        <v>0.28999999999999998</v>
      </c>
      <c r="X230" s="7" t="s">
        <v>8</v>
      </c>
      <c r="Y230" s="7" t="s">
        <v>15</v>
      </c>
      <c r="Z230" s="2" t="s">
        <v>718</v>
      </c>
      <c r="AA230" s="2" t="s">
        <v>721</v>
      </c>
    </row>
    <row r="231" spans="1:27" x14ac:dyDescent="0.35">
      <c r="A231" s="7" t="s">
        <v>1559</v>
      </c>
      <c r="B231" s="7" t="s">
        <v>878</v>
      </c>
      <c r="C231" s="7" t="str">
        <f>_xlfn.XLOOKUP(B231,'[1]Sheet 1'!$A$2:$A$11107,'[1]Sheet 1'!$D$2:$D$11107,"",0)</f>
        <v>VSS</v>
      </c>
      <c r="D231" s="4" t="str">
        <f>_xlfn.XLOOKUP(A231,[3]Sheet2!$I$2:$I$1623,[3]Sheet2!$D$2:$D$1623,"",0)</f>
        <v>Q3</v>
      </c>
      <c r="E231" s="4" t="s">
        <v>1828</v>
      </c>
      <c r="F231" s="4" t="e">
        <f>_xlfn.XLOOKUP(B231,[2]Sheet2!$E$2:$E$713,[2]Sheet2!$G$2:$G$713)</f>
        <v>#N/A</v>
      </c>
      <c r="G231" s="18">
        <v>46100</v>
      </c>
      <c r="H231" s="14">
        <v>0.74932870370370375</v>
      </c>
      <c r="I231" s="7" t="s">
        <v>10</v>
      </c>
      <c r="J231" s="2" t="str">
        <f t="shared" si="15"/>
        <v>Q3</v>
      </c>
      <c r="K231" s="2" t="str">
        <f t="shared" si="16"/>
        <v>Match</v>
      </c>
      <c r="L231" s="2">
        <f t="shared" si="17"/>
        <v>0.1</v>
      </c>
      <c r="M231" s="2" t="e">
        <f t="shared" si="18"/>
        <v>#N/A</v>
      </c>
      <c r="N231" s="2" t="str">
        <f t="shared" si="19"/>
        <v>Q OK dE&lt;=0.8</v>
      </c>
      <c r="O231" s="7">
        <v>17.5</v>
      </c>
      <c r="P231" s="7">
        <v>0</v>
      </c>
      <c r="Q231" s="7">
        <v>-2.4</v>
      </c>
      <c r="R231" s="7">
        <v>-0.43</v>
      </c>
      <c r="S231" s="7">
        <v>0.1</v>
      </c>
      <c r="T231" s="20">
        <v>0</v>
      </c>
      <c r="U231" s="7">
        <v>0.12</v>
      </c>
      <c r="V231" s="7">
        <v>0.2</v>
      </c>
      <c r="W231" s="7">
        <v>0.49</v>
      </c>
      <c r="X231" s="7" t="s">
        <v>8</v>
      </c>
      <c r="Y231" s="7" t="s">
        <v>9</v>
      </c>
      <c r="Z231" s="2" t="s">
        <v>718</v>
      </c>
      <c r="AA231" s="2" t="s">
        <v>721</v>
      </c>
    </row>
    <row r="232" spans="1:27" x14ac:dyDescent="0.35">
      <c r="A232" s="7" t="s">
        <v>1685</v>
      </c>
      <c r="B232" s="7" t="s">
        <v>897</v>
      </c>
      <c r="C232" s="7" t="str">
        <f>_xlfn.XLOOKUP(B232,'[1]Sheet 1'!$A$2:$A$11107,'[1]Sheet 1'!$D$2:$D$11107,"",0)</f>
        <v>ESS2</v>
      </c>
      <c r="D232" s="4" t="str">
        <f>_xlfn.XLOOKUP(A232,[3]Sheet2!$I$2:$I$1623,[3]Sheet2!$D$2:$D$1623,"",0)</f>
        <v>Q1</v>
      </c>
      <c r="E232" s="4" t="s">
        <v>1827</v>
      </c>
      <c r="F232" s="4" t="e">
        <f>_xlfn.XLOOKUP(B232,[2]Sheet2!$E$2:$E$713,[2]Sheet2!$G$2:$G$713)</f>
        <v>#N/A</v>
      </c>
      <c r="G232" s="18">
        <v>46100</v>
      </c>
      <c r="H232" s="14">
        <v>0.63018518518518518</v>
      </c>
      <c r="I232" s="7" t="s">
        <v>4</v>
      </c>
      <c r="J232" s="2" t="str">
        <f t="shared" si="15"/>
        <v>Q1</v>
      </c>
      <c r="K232" s="2" t="str">
        <f t="shared" si="16"/>
        <v>Match</v>
      </c>
      <c r="L232" s="2">
        <f t="shared" si="17"/>
        <v>0.1</v>
      </c>
      <c r="M232" s="2" t="e">
        <f t="shared" si="18"/>
        <v>#N/A</v>
      </c>
      <c r="N232" s="2" t="str">
        <f t="shared" si="19"/>
        <v>Q OK dE&gt;0.8</v>
      </c>
      <c r="O232" s="7">
        <v>15.3</v>
      </c>
      <c r="P232" s="7">
        <v>-0.8</v>
      </c>
      <c r="Q232" s="7">
        <v>-3.3</v>
      </c>
      <c r="R232" s="7">
        <v>-0.82</v>
      </c>
      <c r="S232" s="7">
        <v>0</v>
      </c>
      <c r="T232" s="7">
        <v>0.1</v>
      </c>
      <c r="U232" s="7">
        <v>-0.22</v>
      </c>
      <c r="V232" s="7">
        <v>0.05</v>
      </c>
      <c r="W232" s="7">
        <v>0.85</v>
      </c>
      <c r="X232" s="7" t="s">
        <v>13</v>
      </c>
      <c r="Y232" s="7" t="s">
        <v>9</v>
      </c>
      <c r="Z232" s="2" t="s">
        <v>718</v>
      </c>
      <c r="AA232" s="2" t="s">
        <v>721</v>
      </c>
    </row>
    <row r="233" spans="1:27" x14ac:dyDescent="0.35">
      <c r="A233" s="7" t="s">
        <v>1662</v>
      </c>
      <c r="B233" s="7" t="s">
        <v>902</v>
      </c>
      <c r="C233" s="7" t="str">
        <f>_xlfn.XLOOKUP(B233,'[1]Sheet 1'!$A$2:$A$11107,'[1]Sheet 1'!$D$2:$D$11107,"",0)</f>
        <v>CK</v>
      </c>
      <c r="D233" s="4" t="str">
        <f>_xlfn.XLOOKUP(A233,[3]Sheet2!$I$2:$I$1623,[3]Sheet2!$D$2:$D$1623,"",0)</f>
        <v>Q1</v>
      </c>
      <c r="E233" s="4" t="s">
        <v>1827</v>
      </c>
      <c r="F233" s="4" t="e">
        <f>_xlfn.XLOOKUP(B233,[2]Sheet2!$E$2:$E$713,[2]Sheet2!$G$2:$G$713)</f>
        <v>#N/A</v>
      </c>
      <c r="G233" s="18">
        <v>46100</v>
      </c>
      <c r="H233" s="14">
        <v>0.76559027777777777</v>
      </c>
      <c r="I233" s="7" t="s">
        <v>11</v>
      </c>
      <c r="J233" s="2" t="str">
        <f t="shared" si="15"/>
        <v>Q4</v>
      </c>
      <c r="K233" s="2" t="str">
        <f t="shared" si="16"/>
        <v>Not Match</v>
      </c>
      <c r="L233" s="2">
        <f t="shared" si="17"/>
        <v>0.22360679774997899</v>
      </c>
      <c r="M233" s="2" t="e">
        <f t="shared" si="18"/>
        <v>#N/A</v>
      </c>
      <c r="N233" s="2" t="str">
        <f t="shared" si="19"/>
        <v>Q NOT OK dE&lt;=0.8</v>
      </c>
      <c r="O233" s="7">
        <v>17</v>
      </c>
      <c r="P233" s="7">
        <v>-1.2</v>
      </c>
      <c r="Q233" s="7">
        <v>-2.8</v>
      </c>
      <c r="R233" s="7">
        <v>0.1</v>
      </c>
      <c r="S233" s="7">
        <v>0.2</v>
      </c>
      <c r="T233" s="7">
        <v>-0.1</v>
      </c>
      <c r="U233" s="7">
        <v>0.03</v>
      </c>
      <c r="V233" s="7">
        <v>0.3</v>
      </c>
      <c r="W233" s="7">
        <v>0.32</v>
      </c>
      <c r="X233" s="7" t="s">
        <v>8</v>
      </c>
      <c r="Y233" s="7" t="s">
        <v>9</v>
      </c>
      <c r="Z233" s="2" t="s">
        <v>718</v>
      </c>
      <c r="AA233" s="2" t="s">
        <v>721</v>
      </c>
    </row>
    <row r="234" spans="1:27" x14ac:dyDescent="0.35">
      <c r="A234" s="7" t="s">
        <v>1696</v>
      </c>
      <c r="B234" s="7" t="s">
        <v>901</v>
      </c>
      <c r="C234" s="7" t="str">
        <f>_xlfn.XLOOKUP(B234,'[1]Sheet 1'!$A$2:$A$11107,'[1]Sheet 1'!$D$2:$D$11107,"",0)</f>
        <v>GAP</v>
      </c>
      <c r="D234" s="4" t="str">
        <f>_xlfn.XLOOKUP(A234,[3]Sheet2!$I$2:$I$1623,[3]Sheet2!$D$2:$D$1623,"",0)</f>
        <v>Q2</v>
      </c>
      <c r="E234" s="4" t="s">
        <v>1828</v>
      </c>
      <c r="F234" s="4" t="e">
        <f>_xlfn.XLOOKUP(B234,[2]Sheet2!$E$2:$E$713,[2]Sheet2!$G$2:$G$713)</f>
        <v>#N/A</v>
      </c>
      <c r="G234" s="18">
        <v>46100</v>
      </c>
      <c r="H234" s="14">
        <v>0.76347222222222222</v>
      </c>
      <c r="I234" s="7" t="s">
        <v>4</v>
      </c>
      <c r="J234" s="2" t="str">
        <f t="shared" si="15"/>
        <v>Q2</v>
      </c>
      <c r="K234" s="2" t="str">
        <f t="shared" si="16"/>
        <v>Match</v>
      </c>
      <c r="L234" s="2">
        <f t="shared" si="17"/>
        <v>0</v>
      </c>
      <c r="M234" s="2" t="e">
        <f t="shared" si="18"/>
        <v>#N/A</v>
      </c>
      <c r="N234" s="2" t="str">
        <f t="shared" si="19"/>
        <v>Q OK dE&lt;=0.8</v>
      </c>
      <c r="O234" s="7">
        <v>17.399999999999999</v>
      </c>
      <c r="P234" s="7">
        <v>0</v>
      </c>
      <c r="Q234" s="7">
        <v>-0.9</v>
      </c>
      <c r="R234" s="7">
        <v>0.57999999999999996</v>
      </c>
      <c r="S234" s="7">
        <v>0</v>
      </c>
      <c r="T234" s="20">
        <v>0</v>
      </c>
      <c r="U234" s="7">
        <v>0.04</v>
      </c>
      <c r="V234" s="7">
        <v>-0.08</v>
      </c>
      <c r="W234" s="7">
        <v>0.59</v>
      </c>
      <c r="X234" s="7" t="s">
        <v>8</v>
      </c>
      <c r="Y234" s="7" t="s">
        <v>15</v>
      </c>
      <c r="Z234" s="2" t="s">
        <v>718</v>
      </c>
      <c r="AA234" s="2" t="s">
        <v>721</v>
      </c>
    </row>
    <row r="235" spans="1:27" x14ac:dyDescent="0.35">
      <c r="A235" s="7" t="s">
        <v>1563</v>
      </c>
      <c r="B235" s="7" t="s">
        <v>895</v>
      </c>
      <c r="C235" s="7" t="str">
        <f>_xlfn.XLOOKUP(B235,'[1]Sheet 1'!$A$2:$A$11107,'[1]Sheet 1'!$D$2:$D$11107,"",0)</f>
        <v>LULU</v>
      </c>
      <c r="D235" s="4" t="str">
        <f>_xlfn.XLOOKUP(A235,[3]Sheet2!$I$2:$I$1623,[3]Sheet2!$D$2:$D$1623,"",0)</f>
        <v>Q2</v>
      </c>
      <c r="E235" s="4" t="s">
        <v>1828</v>
      </c>
      <c r="F235" s="4" t="e">
        <f>_xlfn.XLOOKUP(B235,[2]Sheet2!$E$2:$E$713,[2]Sheet2!$G$2:$G$713)</f>
        <v>#N/A</v>
      </c>
      <c r="G235" s="18">
        <v>46100</v>
      </c>
      <c r="H235" s="14">
        <v>0.48885416666666665</v>
      </c>
      <c r="I235" s="7" t="s">
        <v>4</v>
      </c>
      <c r="J235" s="2" t="str">
        <f t="shared" si="15"/>
        <v>Q3</v>
      </c>
      <c r="K235" s="2" t="str">
        <f t="shared" si="16"/>
        <v>Not Match</v>
      </c>
      <c r="L235" s="2">
        <f t="shared" si="17"/>
        <v>0.89442719099991597</v>
      </c>
      <c r="M235" s="2" t="e">
        <f t="shared" si="18"/>
        <v>#N/A</v>
      </c>
      <c r="N235" s="2" t="str">
        <f t="shared" si="19"/>
        <v>Q NOT OK dE&gt;0.8</v>
      </c>
      <c r="O235" s="7">
        <v>23.5</v>
      </c>
      <c r="P235" s="7">
        <v>-8.1999999999999993</v>
      </c>
      <c r="Q235" s="7">
        <v>-11.3</v>
      </c>
      <c r="R235" s="7">
        <v>0.46</v>
      </c>
      <c r="S235" s="7">
        <v>-0.4</v>
      </c>
      <c r="T235" s="7">
        <v>-0.8</v>
      </c>
      <c r="U235" s="7">
        <v>0.69</v>
      </c>
      <c r="V235" s="7">
        <v>0.2</v>
      </c>
      <c r="W235" s="7">
        <v>0.86</v>
      </c>
      <c r="X235" s="7" t="s">
        <v>13</v>
      </c>
      <c r="Y235" s="7" t="s">
        <v>7</v>
      </c>
      <c r="Z235" s="2" t="s">
        <v>718</v>
      </c>
      <c r="AA235" s="2" t="s">
        <v>721</v>
      </c>
    </row>
    <row r="236" spans="1:27" x14ac:dyDescent="0.35">
      <c r="A236" s="7" t="s">
        <v>1625</v>
      </c>
      <c r="B236" s="7" t="s">
        <v>899</v>
      </c>
      <c r="C236" s="7" t="str">
        <f>_xlfn.XLOOKUP(B236,'[1]Sheet 1'!$A$2:$A$11107,'[1]Sheet 1'!$D$2:$D$11107,"",0)</f>
        <v>CK</v>
      </c>
      <c r="D236" s="4" t="str">
        <f>_xlfn.XLOOKUP(A236,[3]Sheet2!$I$2:$I$1623,[3]Sheet2!$D$2:$D$1623,"",0)</f>
        <v>Q1</v>
      </c>
      <c r="E236" s="4" t="s">
        <v>1828</v>
      </c>
      <c r="F236" s="4" t="e">
        <f>_xlfn.XLOOKUP(B236,[2]Sheet2!$E$2:$E$713,[2]Sheet2!$G$2:$G$713)</f>
        <v>#N/A</v>
      </c>
      <c r="G236" s="18">
        <v>46100</v>
      </c>
      <c r="H236" s="14">
        <v>0.75388888888888894</v>
      </c>
      <c r="I236" s="7" t="s">
        <v>11</v>
      </c>
      <c r="J236" s="2" t="str">
        <f t="shared" si="15"/>
        <v>Q1</v>
      </c>
      <c r="K236" s="2" t="str">
        <f t="shared" si="16"/>
        <v>Match</v>
      </c>
      <c r="L236" s="2">
        <f t="shared" si="17"/>
        <v>0</v>
      </c>
      <c r="M236" s="2" t="e">
        <f t="shared" si="18"/>
        <v>#N/A</v>
      </c>
      <c r="N236" s="2" t="str">
        <f t="shared" si="19"/>
        <v>Q OK dE&lt;=0.8</v>
      </c>
      <c r="O236" s="7">
        <v>20.399999999999999</v>
      </c>
      <c r="P236" s="7">
        <v>-0.4</v>
      </c>
      <c r="Q236" s="7">
        <v>-4.0999999999999996</v>
      </c>
      <c r="R236" s="7">
        <v>0.21</v>
      </c>
      <c r="S236" s="7">
        <v>0</v>
      </c>
      <c r="T236" s="20">
        <v>0</v>
      </c>
      <c r="U236" s="7">
        <v>0</v>
      </c>
      <c r="V236" s="7">
        <v>-0.08</v>
      </c>
      <c r="W236" s="7">
        <v>0.23</v>
      </c>
      <c r="X236" s="7" t="s">
        <v>8</v>
      </c>
      <c r="Y236" s="7" t="s">
        <v>15</v>
      </c>
      <c r="Z236" s="2" t="s">
        <v>718</v>
      </c>
      <c r="AA236" s="2" t="s">
        <v>721</v>
      </c>
    </row>
    <row r="237" spans="1:27" x14ac:dyDescent="0.35">
      <c r="A237" s="7" t="s">
        <v>1673</v>
      </c>
      <c r="B237" s="7" t="s">
        <v>906</v>
      </c>
      <c r="C237" s="7" t="str">
        <f>_xlfn.XLOOKUP(B237,'[1]Sheet 1'!$A$2:$A$11107,'[1]Sheet 1'!$D$2:$D$11107,"",0)</f>
        <v>CK</v>
      </c>
      <c r="D237" s="4" t="str">
        <f>_xlfn.XLOOKUP(A237,[3]Sheet2!$I$2:$I$1623,[3]Sheet2!$D$2:$D$1623,"",0)</f>
        <v>Q1</v>
      </c>
      <c r="E237" s="4" t="s">
        <v>1828</v>
      </c>
      <c r="F237" s="4" t="e">
        <f>_xlfn.XLOOKUP(B237,[2]Sheet2!$E$2:$E$713,[2]Sheet2!$G$2:$G$713)</f>
        <v>#N/A</v>
      </c>
      <c r="G237" s="18">
        <v>46100</v>
      </c>
      <c r="H237" s="14">
        <v>0.95327546296296295</v>
      </c>
      <c r="I237" s="7" t="s">
        <v>11</v>
      </c>
      <c r="J237" s="2" t="str">
        <f t="shared" si="15"/>
        <v>Q1</v>
      </c>
      <c r="K237" s="2" t="str">
        <f t="shared" si="16"/>
        <v>Match</v>
      </c>
      <c r="L237" s="2">
        <f t="shared" si="17"/>
        <v>0.2</v>
      </c>
      <c r="M237" s="2" t="e">
        <f t="shared" si="18"/>
        <v>#N/A</v>
      </c>
      <c r="N237" s="2" t="str">
        <f t="shared" si="19"/>
        <v>Q OK dE&lt;=0.8</v>
      </c>
      <c r="O237" s="7">
        <v>14.3</v>
      </c>
      <c r="P237" s="7">
        <v>-0.7</v>
      </c>
      <c r="Q237" s="7">
        <v>-2.7</v>
      </c>
      <c r="R237" s="7">
        <v>-0.56999999999999995</v>
      </c>
      <c r="S237" s="7">
        <v>0</v>
      </c>
      <c r="T237" s="7">
        <v>-0.2</v>
      </c>
      <c r="U237" s="7">
        <v>0.33</v>
      </c>
      <c r="V237" s="7">
        <v>0.11</v>
      </c>
      <c r="W237" s="7">
        <v>0.67</v>
      </c>
      <c r="X237" s="7" t="s">
        <v>8</v>
      </c>
      <c r="Y237" s="7" t="s">
        <v>9</v>
      </c>
      <c r="Z237" s="2" t="s">
        <v>718</v>
      </c>
      <c r="AA237" s="2" t="s">
        <v>721</v>
      </c>
    </row>
    <row r="238" spans="1:27" x14ac:dyDescent="0.35">
      <c r="A238" s="7" t="s">
        <v>1729</v>
      </c>
      <c r="B238" s="7" t="s">
        <v>908</v>
      </c>
      <c r="C238" s="7" t="str">
        <f>_xlfn.XLOOKUP(B238,'[1]Sheet 1'!$A$2:$A$11107,'[1]Sheet 1'!$D$2:$D$11107,"",0)</f>
        <v>GAP</v>
      </c>
      <c r="D238" s="4" t="str">
        <f>_xlfn.XLOOKUP(A238,[3]Sheet2!$I$2:$I$1623,[3]Sheet2!$D$2:$D$1623,"",0)</f>
        <v>Q4</v>
      </c>
      <c r="E238" s="4" t="s">
        <v>1828</v>
      </c>
      <c r="F238" s="4" t="e">
        <f>_xlfn.XLOOKUP(B238,[2]Sheet2!$E$2:$E$713,[2]Sheet2!$G$2:$G$713)</f>
        <v>#N/A</v>
      </c>
      <c r="G238" s="18">
        <v>46100</v>
      </c>
      <c r="H238" s="14">
        <v>0.97824074074074074</v>
      </c>
      <c r="I238" s="7" t="s">
        <v>14</v>
      </c>
      <c r="J238" s="2" t="str">
        <f t="shared" si="15"/>
        <v>Q2</v>
      </c>
      <c r="K238" s="2" t="str">
        <f t="shared" si="16"/>
        <v>Not Match</v>
      </c>
      <c r="L238" s="2">
        <f t="shared" si="17"/>
        <v>0.22360679774997899</v>
      </c>
      <c r="M238" s="2" t="e">
        <f t="shared" si="18"/>
        <v>#N/A</v>
      </c>
      <c r="N238" s="2" t="str">
        <f t="shared" si="19"/>
        <v>Q NOT OK dE&lt;=0.8</v>
      </c>
      <c r="O238" s="7">
        <v>30.1</v>
      </c>
      <c r="P238" s="7">
        <v>-15.9</v>
      </c>
      <c r="Q238" s="7">
        <v>-6.8</v>
      </c>
      <c r="R238" s="7">
        <v>0.2</v>
      </c>
      <c r="S238" s="7">
        <v>-0.2</v>
      </c>
      <c r="T238" s="7">
        <v>0.1</v>
      </c>
      <c r="U238" s="7">
        <v>0.11</v>
      </c>
      <c r="V238" s="7">
        <v>-0.16</v>
      </c>
      <c r="W238" s="7">
        <v>0.28000000000000003</v>
      </c>
      <c r="X238" s="7" t="s">
        <v>8</v>
      </c>
      <c r="Y238" s="7" t="s">
        <v>12</v>
      </c>
      <c r="Z238" s="2" t="s">
        <v>718</v>
      </c>
      <c r="AA238" s="2" t="s">
        <v>721</v>
      </c>
    </row>
    <row r="239" spans="1:27" x14ac:dyDescent="0.35">
      <c r="A239" s="7" t="s">
        <v>1557</v>
      </c>
      <c r="B239" s="7" t="s">
        <v>787</v>
      </c>
      <c r="C239" s="7" t="str">
        <f>_xlfn.XLOOKUP(B239,'[1]Sheet 1'!$A$2:$A$11107,'[1]Sheet 1'!$D$2:$D$11107,"",0)</f>
        <v>M&amp;S</v>
      </c>
      <c r="D239" s="4" t="str">
        <f>_xlfn.XLOOKUP(A239,[3]Sheet2!$I$2:$I$1623,[3]Sheet2!$D$2:$D$1623,"",0)</f>
        <v>Q3</v>
      </c>
      <c r="E239" s="4" t="s">
        <v>1827</v>
      </c>
      <c r="F239" s="4" t="e">
        <f>_xlfn.XLOOKUP(B239,[2]Sheet2!$E$2:$E$713,[2]Sheet2!$G$2:$G$713)</f>
        <v>#N/A</v>
      </c>
      <c r="G239" s="18">
        <v>46100</v>
      </c>
      <c r="H239" s="14">
        <v>0.90601851851851856</v>
      </c>
      <c r="I239" s="7" t="s">
        <v>17</v>
      </c>
      <c r="J239" s="2" t="str">
        <f t="shared" si="15"/>
        <v>Q3</v>
      </c>
      <c r="K239" s="2" t="str">
        <f t="shared" si="16"/>
        <v>Match</v>
      </c>
      <c r="L239" s="2">
        <f t="shared" si="17"/>
        <v>0.22360679774997899</v>
      </c>
      <c r="M239" s="2" t="e">
        <f t="shared" si="18"/>
        <v>#N/A</v>
      </c>
      <c r="N239" s="2" t="str">
        <f t="shared" si="19"/>
        <v>Q OK dE&gt;0.8</v>
      </c>
      <c r="O239" s="7">
        <v>14.7</v>
      </c>
      <c r="P239" s="7">
        <v>-0.5</v>
      </c>
      <c r="Q239" s="7">
        <v>-1.8</v>
      </c>
      <c r="R239" s="7">
        <v>-0.85</v>
      </c>
      <c r="S239" s="7">
        <v>-0.2</v>
      </c>
      <c r="T239" s="7">
        <v>-0.1</v>
      </c>
      <c r="U239" s="7">
        <v>0.31</v>
      </c>
      <c r="V239" s="7">
        <v>-0.24</v>
      </c>
      <c r="W239" s="7">
        <v>0.94</v>
      </c>
      <c r="X239" s="7" t="s">
        <v>13</v>
      </c>
      <c r="Y239" s="7" t="s">
        <v>15</v>
      </c>
      <c r="Z239" s="2" t="s">
        <v>718</v>
      </c>
      <c r="AA239" s="2" t="s">
        <v>721</v>
      </c>
    </row>
    <row r="240" spans="1:27" x14ac:dyDescent="0.35">
      <c r="A240" s="7" t="s">
        <v>1557</v>
      </c>
      <c r="B240" s="7" t="s">
        <v>909</v>
      </c>
      <c r="C240" s="7" t="str">
        <f>_xlfn.XLOOKUP(B240,'[1]Sheet 1'!$A$2:$A$11107,'[1]Sheet 1'!$D$2:$D$11107,"",0)</f>
        <v>M&amp;S</v>
      </c>
      <c r="D240" s="4" t="str">
        <f>_xlfn.XLOOKUP(A240,[3]Sheet2!$I$2:$I$1623,[3]Sheet2!$D$2:$D$1623,"",0)</f>
        <v>Q3</v>
      </c>
      <c r="E240" s="4" t="s">
        <v>1828</v>
      </c>
      <c r="F240" s="4" t="e">
        <f>_xlfn.XLOOKUP(B240,[2]Sheet2!$E$2:$E$713,[2]Sheet2!$G$2:$G$713)</f>
        <v>#N/A</v>
      </c>
      <c r="G240" s="18">
        <v>46100</v>
      </c>
      <c r="H240" s="14">
        <v>0.9818634259259259</v>
      </c>
      <c r="I240" s="7" t="s">
        <v>17</v>
      </c>
      <c r="J240" s="2" t="str">
        <f t="shared" si="15"/>
        <v>Q3</v>
      </c>
      <c r="K240" s="2" t="str">
        <f t="shared" si="16"/>
        <v>Match</v>
      </c>
      <c r="L240" s="2">
        <f t="shared" si="17"/>
        <v>0.28284271247461906</v>
      </c>
      <c r="M240" s="2" t="e">
        <f t="shared" si="18"/>
        <v>#N/A</v>
      </c>
      <c r="N240" s="2" t="str">
        <f t="shared" si="19"/>
        <v>Q OK dE&lt;=0.8</v>
      </c>
      <c r="O240" s="7">
        <v>15.3</v>
      </c>
      <c r="P240" s="7">
        <v>-0.6</v>
      </c>
      <c r="Q240" s="7">
        <v>-1.8</v>
      </c>
      <c r="R240" s="7">
        <v>-0.28000000000000003</v>
      </c>
      <c r="S240" s="7">
        <v>-0.2</v>
      </c>
      <c r="T240" s="7">
        <v>-0.2</v>
      </c>
      <c r="U240" s="7">
        <v>0.36</v>
      </c>
      <c r="V240" s="7">
        <v>-0.28999999999999998</v>
      </c>
      <c r="W240" s="7">
        <v>0.54</v>
      </c>
      <c r="X240" s="7" t="s">
        <v>8</v>
      </c>
      <c r="Y240" s="7" t="s">
        <v>15</v>
      </c>
      <c r="Z240" s="2" t="s">
        <v>718</v>
      </c>
      <c r="AA240" s="2" t="s">
        <v>721</v>
      </c>
    </row>
    <row r="241" spans="1:27" x14ac:dyDescent="0.35">
      <c r="A241" s="7" t="s">
        <v>1557</v>
      </c>
      <c r="B241" s="7" t="s">
        <v>898</v>
      </c>
      <c r="C241" s="7" t="str">
        <f>_xlfn.XLOOKUP(B241,'[1]Sheet 1'!$A$2:$A$11107,'[1]Sheet 1'!$D$2:$D$11107,"",0)</f>
        <v>M&amp;S</v>
      </c>
      <c r="D241" s="4" t="str">
        <f>_xlfn.XLOOKUP(A241,[3]Sheet2!$I$2:$I$1623,[3]Sheet2!$D$2:$D$1623,"",0)</f>
        <v>Q3</v>
      </c>
      <c r="E241" s="4" t="s">
        <v>1828</v>
      </c>
      <c r="F241" s="4" t="e">
        <f>_xlfn.XLOOKUP(B241,[2]Sheet2!$E$2:$E$713,[2]Sheet2!$G$2:$G$713)</f>
        <v>#N/A</v>
      </c>
      <c r="G241" s="18">
        <v>46100</v>
      </c>
      <c r="H241" s="14">
        <v>0.74693287037037037</v>
      </c>
      <c r="I241" s="7" t="s">
        <v>17</v>
      </c>
      <c r="J241" s="2" t="str">
        <f t="shared" si="15"/>
        <v>Q3</v>
      </c>
      <c r="K241" s="2" t="str">
        <f t="shared" si="16"/>
        <v>Match</v>
      </c>
      <c r="L241" s="2">
        <f t="shared" si="17"/>
        <v>0.42426406871192851</v>
      </c>
      <c r="M241" s="2" t="e">
        <f t="shared" si="18"/>
        <v>#N/A</v>
      </c>
      <c r="N241" s="2" t="str">
        <f t="shared" si="19"/>
        <v>Q OK dE&lt;=0.8</v>
      </c>
      <c r="O241" s="7">
        <v>15.4</v>
      </c>
      <c r="P241" s="7">
        <v>-0.7</v>
      </c>
      <c r="Q241" s="7">
        <v>-1.9</v>
      </c>
      <c r="R241" s="7">
        <v>-0.19</v>
      </c>
      <c r="S241" s="7">
        <v>-0.3</v>
      </c>
      <c r="T241" s="7">
        <v>-0.3</v>
      </c>
      <c r="U241" s="7">
        <v>0.56999999999999995</v>
      </c>
      <c r="V241" s="7">
        <v>-0.33</v>
      </c>
      <c r="W241" s="7">
        <v>0.69</v>
      </c>
      <c r="X241" s="7" t="s">
        <v>8</v>
      </c>
      <c r="Y241" s="7" t="s">
        <v>15</v>
      </c>
      <c r="Z241" s="2" t="s">
        <v>718</v>
      </c>
      <c r="AA241" s="2" t="s">
        <v>721</v>
      </c>
    </row>
    <row r="242" spans="1:27" x14ac:dyDescent="0.35">
      <c r="A242" s="7" t="s">
        <v>1724</v>
      </c>
      <c r="B242" s="7" t="s">
        <v>907</v>
      </c>
      <c r="C242" s="7" t="str">
        <f>_xlfn.XLOOKUP(B242,'[1]Sheet 1'!$A$2:$A$11107,'[1]Sheet 1'!$D$2:$D$11107,"",0)</f>
        <v>GAP</v>
      </c>
      <c r="D242" s="4">
        <v>0</v>
      </c>
      <c r="E242" s="4" t="s">
        <v>1827</v>
      </c>
      <c r="F242" s="4" t="e">
        <f>_xlfn.XLOOKUP(B242,[2]Sheet2!$E$2:$E$713,[2]Sheet2!$G$2:$G$713)</f>
        <v>#N/A</v>
      </c>
      <c r="G242" s="18">
        <v>46100</v>
      </c>
      <c r="H242" s="14">
        <v>0.95482638888888893</v>
      </c>
      <c r="I242" s="7" t="s">
        <v>14</v>
      </c>
      <c r="J242" s="2" t="str">
        <f t="shared" si="15"/>
        <v>Q1</v>
      </c>
      <c r="K242" s="2" t="str">
        <f t="shared" si="16"/>
        <v>Not Found</v>
      </c>
      <c r="L242" s="2">
        <f t="shared" si="17"/>
        <v>0.42426406871192851</v>
      </c>
      <c r="M242" s="2" t="e">
        <f t="shared" si="18"/>
        <v>#N/A</v>
      </c>
      <c r="N242" s="2" t="str">
        <f t="shared" si="19"/>
        <v>Quadrant not assigned</v>
      </c>
      <c r="O242" s="7">
        <v>26.6</v>
      </c>
      <c r="P242" s="7">
        <v>15.8</v>
      </c>
      <c r="Q242" s="7">
        <v>5.7</v>
      </c>
      <c r="R242" s="7">
        <v>-0.09</v>
      </c>
      <c r="S242" s="7">
        <v>0.3</v>
      </c>
      <c r="T242" s="7">
        <v>0.3</v>
      </c>
      <c r="U242" s="7">
        <v>0.31</v>
      </c>
      <c r="V242" s="7">
        <v>0.28000000000000003</v>
      </c>
      <c r="W242" s="7">
        <v>0.43</v>
      </c>
      <c r="X242" s="7" t="s">
        <v>8</v>
      </c>
      <c r="Y242" s="7" t="s">
        <v>12</v>
      </c>
      <c r="Z242" s="2" t="s">
        <v>718</v>
      </c>
      <c r="AA242" s="2" t="s">
        <v>721</v>
      </c>
    </row>
    <row r="243" spans="1:27" x14ac:dyDescent="0.35">
      <c r="A243" s="7" t="s">
        <v>1727</v>
      </c>
      <c r="B243" s="7" t="s">
        <v>783</v>
      </c>
      <c r="C243" s="7" t="str">
        <f>_xlfn.XLOOKUP(B243,'[1]Sheet 1'!$A$2:$A$11107,'[1]Sheet 1'!$D$2:$D$11107,"",0)</f>
        <v>GAP</v>
      </c>
      <c r="D243" s="4" t="str">
        <f>_xlfn.XLOOKUP(A243,[3]Sheet2!$I$2:$I$1623,[3]Sheet2!$D$2:$D$1623,"",0)</f>
        <v>Q2</v>
      </c>
      <c r="E243" s="4" t="s">
        <v>1827</v>
      </c>
      <c r="F243" s="4" t="e">
        <f>_xlfn.XLOOKUP(B243,[2]Sheet2!$E$2:$E$713,[2]Sheet2!$G$2:$G$713)</f>
        <v>#N/A</v>
      </c>
      <c r="G243" s="18">
        <v>46100</v>
      </c>
      <c r="H243" s="14">
        <v>0.50943287037037033</v>
      </c>
      <c r="I243" s="7" t="s">
        <v>4</v>
      </c>
      <c r="J243" s="2" t="str">
        <f t="shared" si="15"/>
        <v>Q2</v>
      </c>
      <c r="K243" s="2" t="str">
        <f t="shared" si="16"/>
        <v>Match</v>
      </c>
      <c r="L243" s="2">
        <f t="shared" si="17"/>
        <v>0.4</v>
      </c>
      <c r="M243" s="2" t="e">
        <f t="shared" si="18"/>
        <v>#N/A</v>
      </c>
      <c r="N243" s="2" t="str">
        <f t="shared" si="19"/>
        <v>Q OK dE&lt;=0.8</v>
      </c>
      <c r="O243" s="7">
        <v>13.9</v>
      </c>
      <c r="P243" s="7">
        <v>-0.4</v>
      </c>
      <c r="Q243" s="7">
        <v>-1.8</v>
      </c>
      <c r="R243" s="7">
        <v>-0.28999999999999998</v>
      </c>
      <c r="S243" s="7">
        <v>-0.4</v>
      </c>
      <c r="T243" s="20">
        <v>0</v>
      </c>
      <c r="U243" s="7">
        <v>-0.02</v>
      </c>
      <c r="V243" s="7">
        <v>-0.62</v>
      </c>
      <c r="W243" s="7">
        <v>0.68</v>
      </c>
      <c r="X243" s="7" t="s">
        <v>8</v>
      </c>
      <c r="Y243" s="7" t="s">
        <v>15</v>
      </c>
      <c r="Z243" s="2" t="s">
        <v>718</v>
      </c>
      <c r="AA243" s="2" t="s">
        <v>721</v>
      </c>
    </row>
    <row r="244" spans="1:27" x14ac:dyDescent="0.35">
      <c r="A244" s="7" t="s">
        <v>1688</v>
      </c>
      <c r="B244" s="7" t="s">
        <v>904</v>
      </c>
      <c r="C244" s="7" t="str">
        <f>_xlfn.XLOOKUP(B244,'[1]Sheet 1'!$A$2:$A$11107,'[1]Sheet 1'!$D$2:$D$11107,"",0)</f>
        <v>GAP</v>
      </c>
      <c r="D244" s="4" t="str">
        <f>_xlfn.XLOOKUP(A244,[3]Sheet2!$I$2:$I$1623,[3]Sheet2!$D$2:$D$1623,"",0)</f>
        <v>Q4</v>
      </c>
      <c r="E244" s="4" t="s">
        <v>1828</v>
      </c>
      <c r="F244" s="4" t="e">
        <f>_xlfn.XLOOKUP(B244,[2]Sheet2!$E$2:$E$713,[2]Sheet2!$G$2:$G$713)</f>
        <v>#N/A</v>
      </c>
      <c r="G244" s="18">
        <v>46100</v>
      </c>
      <c r="H244" s="14">
        <v>0.94306712962962957</v>
      </c>
      <c r="I244" s="7" t="s">
        <v>18</v>
      </c>
      <c r="J244" s="2" t="str">
        <f t="shared" si="15"/>
        <v>Q3</v>
      </c>
      <c r="K244" s="2" t="str">
        <f t="shared" si="16"/>
        <v>Not Match</v>
      </c>
      <c r="L244" s="2">
        <f t="shared" si="17"/>
        <v>0.67082039324993692</v>
      </c>
      <c r="M244" s="2" t="e">
        <f t="shared" si="18"/>
        <v>#N/A</v>
      </c>
      <c r="N244" s="2" t="str">
        <f t="shared" si="19"/>
        <v>Q NOT OK dE&gt;0.8</v>
      </c>
      <c r="O244" s="7">
        <v>13.3</v>
      </c>
      <c r="P244" s="7">
        <v>-0.7</v>
      </c>
      <c r="Q244" s="7">
        <v>-2.4</v>
      </c>
      <c r="R244" s="7">
        <v>0.18</v>
      </c>
      <c r="S244" s="7">
        <v>-0.3</v>
      </c>
      <c r="T244" s="7">
        <v>-0.6</v>
      </c>
      <c r="U244" s="7">
        <v>1.01</v>
      </c>
      <c r="V244" s="7">
        <v>-0.23</v>
      </c>
      <c r="W244" s="7">
        <v>1.05</v>
      </c>
      <c r="X244" s="7" t="s">
        <v>6</v>
      </c>
      <c r="Y244" s="7" t="s">
        <v>15</v>
      </c>
      <c r="Z244" s="2" t="s">
        <v>718</v>
      </c>
      <c r="AA244" s="2" t="s">
        <v>721</v>
      </c>
    </row>
    <row r="245" spans="1:27" x14ac:dyDescent="0.35">
      <c r="A245" s="7" t="s">
        <v>1587</v>
      </c>
      <c r="B245" s="7" t="s">
        <v>900</v>
      </c>
      <c r="C245" s="7" t="str">
        <f>_xlfn.XLOOKUP(B245,'[1]Sheet 1'!$A$2:$A$11107,'[1]Sheet 1'!$D$2:$D$11107,"",0)</f>
        <v/>
      </c>
      <c r="D245" s="4" t="str">
        <f>_xlfn.XLOOKUP(A245,[3]Sheet2!$I$2:$I$1623,[3]Sheet2!$D$2:$D$1623,"",0)</f>
        <v>Q4</v>
      </c>
      <c r="E245" s="4" t="s">
        <v>1828</v>
      </c>
      <c r="F245" s="4" t="e">
        <f>_xlfn.XLOOKUP(B245,[2]Sheet2!$E$2:$E$713,[2]Sheet2!$G$2:$G$713)</f>
        <v>#N/A</v>
      </c>
      <c r="G245" s="18">
        <v>46100</v>
      </c>
      <c r="H245" s="14">
        <v>0.75609953703703703</v>
      </c>
      <c r="I245" s="7" t="s">
        <v>4</v>
      </c>
      <c r="J245" s="2" t="str">
        <f t="shared" si="15"/>
        <v>Q1</v>
      </c>
      <c r="K245" s="2" t="str">
        <f t="shared" si="16"/>
        <v>Not Match</v>
      </c>
      <c r="L245" s="2">
        <f t="shared" si="17"/>
        <v>0.14142135623730953</v>
      </c>
      <c r="M245" s="2" t="e">
        <f t="shared" si="18"/>
        <v>#N/A</v>
      </c>
      <c r="N245" s="2" t="str">
        <f t="shared" si="19"/>
        <v>Q NOT OK dE&gt;0.8</v>
      </c>
      <c r="O245" s="7">
        <v>16.2</v>
      </c>
      <c r="P245" s="7">
        <v>-0.9</v>
      </c>
      <c r="Q245" s="7">
        <v>-2.4</v>
      </c>
      <c r="R245" s="7">
        <v>-1.97</v>
      </c>
      <c r="S245" s="7">
        <v>0.1</v>
      </c>
      <c r="T245" s="7">
        <v>0.1</v>
      </c>
      <c r="U245" s="7">
        <v>-0.22</v>
      </c>
      <c r="V245" s="7">
        <v>0.1</v>
      </c>
      <c r="W245" s="7">
        <v>1.99</v>
      </c>
      <c r="X245" s="7" t="s">
        <v>6</v>
      </c>
      <c r="Y245" s="7" t="s">
        <v>15</v>
      </c>
      <c r="Z245" s="2" t="s">
        <v>718</v>
      </c>
      <c r="AA245" s="2" t="s">
        <v>721</v>
      </c>
    </row>
    <row r="246" spans="1:27" x14ac:dyDescent="0.35">
      <c r="A246" s="7" t="s">
        <v>1567</v>
      </c>
      <c r="B246" s="7" t="s">
        <v>789</v>
      </c>
      <c r="C246" s="7" t="str">
        <f>_xlfn.XLOOKUP(B246,'[1]Sheet 1'!$A$2:$A$11107,'[1]Sheet 1'!$D$2:$D$11107,"",0)</f>
        <v/>
      </c>
      <c r="D246" s="4" t="str">
        <f>_xlfn.XLOOKUP(A246,[3]Sheet2!$I$2:$I$1623,[3]Sheet2!$D$2:$D$1623,"",0)</f>
        <v>Q3</v>
      </c>
      <c r="E246" s="4" t="s">
        <v>1828</v>
      </c>
      <c r="F246" s="4" t="e">
        <f>_xlfn.XLOOKUP(B246,[2]Sheet2!$E$2:$E$713,[2]Sheet2!$G$2:$G$713)</f>
        <v>#N/A</v>
      </c>
      <c r="G246" s="18">
        <v>46101</v>
      </c>
      <c r="H246" s="14">
        <v>7.7604166666666669E-2</v>
      </c>
      <c r="I246" s="7" t="s">
        <v>17</v>
      </c>
      <c r="J246" s="2" t="str">
        <f t="shared" si="15"/>
        <v>Q3</v>
      </c>
      <c r="K246" s="2" t="str">
        <f t="shared" si="16"/>
        <v>Match</v>
      </c>
      <c r="L246" s="2">
        <f t="shared" si="17"/>
        <v>0.6</v>
      </c>
      <c r="M246" s="2" t="e">
        <f t="shared" si="18"/>
        <v>#N/A</v>
      </c>
      <c r="N246" s="2" t="str">
        <f t="shared" si="19"/>
        <v>Q OK dE&gt;0.8</v>
      </c>
      <c r="O246" s="7">
        <v>23.3</v>
      </c>
      <c r="P246" s="7">
        <v>-5.5</v>
      </c>
      <c r="Q246" s="7">
        <v>-7.6</v>
      </c>
      <c r="R246" s="7">
        <v>-0.82</v>
      </c>
      <c r="S246" s="7">
        <v>0</v>
      </c>
      <c r="T246" s="7">
        <v>-0.6</v>
      </c>
      <c r="U246" s="7">
        <v>0.44</v>
      </c>
      <c r="V246" s="7">
        <v>0.4</v>
      </c>
      <c r="W246" s="7">
        <v>1.02</v>
      </c>
      <c r="X246" s="7" t="s">
        <v>6</v>
      </c>
      <c r="Y246" s="7" t="s">
        <v>7</v>
      </c>
      <c r="Z246" s="2" t="s">
        <v>718</v>
      </c>
      <c r="AA246" s="2" t="s">
        <v>721</v>
      </c>
    </row>
    <row r="247" spans="1:27" x14ac:dyDescent="0.35">
      <c r="A247" s="7" t="s">
        <v>1515</v>
      </c>
      <c r="B247" s="7" t="s">
        <v>792</v>
      </c>
      <c r="C247" s="7" t="str">
        <f>_xlfn.XLOOKUP(B247,'[1]Sheet 1'!$A$2:$A$11107,'[1]Sheet 1'!$D$2:$D$11107,"",0)</f>
        <v>VSS</v>
      </c>
      <c r="D247" s="4" t="str">
        <f>_xlfn.XLOOKUP(A247,[3]Sheet2!$I$2:$I$1623,[3]Sheet2!$D$2:$D$1623,"",0)</f>
        <v>Q3</v>
      </c>
      <c r="E247" s="4" t="s">
        <v>1828</v>
      </c>
      <c r="F247" s="4" t="e">
        <f>_xlfn.XLOOKUP(B247,[2]Sheet2!$E$2:$E$713,[2]Sheet2!$G$2:$G$713)</f>
        <v>#N/A</v>
      </c>
      <c r="G247" s="18">
        <v>46101</v>
      </c>
      <c r="H247" s="14">
        <v>0.96089120370370373</v>
      </c>
      <c r="I247" s="7" t="s">
        <v>10</v>
      </c>
      <c r="J247" s="2" t="str">
        <f t="shared" si="15"/>
        <v>Q3</v>
      </c>
      <c r="K247" s="2" t="str">
        <f t="shared" si="16"/>
        <v>Match</v>
      </c>
      <c r="L247" s="2">
        <f t="shared" si="17"/>
        <v>0.28284271247461906</v>
      </c>
      <c r="M247" s="2" t="e">
        <f t="shared" si="18"/>
        <v>#N/A</v>
      </c>
      <c r="N247" s="2" t="str">
        <f t="shared" si="19"/>
        <v>Q OK dE&gt;0.8</v>
      </c>
      <c r="O247" s="7">
        <v>13.9</v>
      </c>
      <c r="P247" s="7">
        <v>-0.1</v>
      </c>
      <c r="Q247" s="7">
        <v>-1.9</v>
      </c>
      <c r="R247" s="7">
        <v>-1.0900000000000001</v>
      </c>
      <c r="S247" s="7">
        <v>-0.2</v>
      </c>
      <c r="T247" s="7">
        <v>-0.2</v>
      </c>
      <c r="U247" s="7">
        <v>0.28000000000000003</v>
      </c>
      <c r="V247" s="7">
        <v>-0.28999999999999998</v>
      </c>
      <c r="W247" s="7">
        <v>1.1599999999999999</v>
      </c>
      <c r="X247" s="7" t="s">
        <v>6</v>
      </c>
      <c r="Y247" s="7" t="s">
        <v>15</v>
      </c>
      <c r="Z247" s="2" t="s">
        <v>718</v>
      </c>
      <c r="AA247" s="2" t="s">
        <v>721</v>
      </c>
    </row>
    <row r="248" spans="1:27" x14ac:dyDescent="0.35">
      <c r="A248" s="7" t="s">
        <v>1586</v>
      </c>
      <c r="B248" s="7" t="s">
        <v>914</v>
      </c>
      <c r="C248" s="7" t="str">
        <f>_xlfn.XLOOKUP(B248,'[1]Sheet 1'!$A$2:$A$11107,'[1]Sheet 1'!$D$2:$D$11107,"",0)</f>
        <v>INT1</v>
      </c>
      <c r="D248" s="4" t="str">
        <f>_xlfn.XLOOKUP(A248,[3]Sheet2!$I$2:$I$1623,[3]Sheet2!$D$2:$D$1623,"",0)</f>
        <v>Q2</v>
      </c>
      <c r="E248" s="4" t="s">
        <v>1828</v>
      </c>
      <c r="F248" s="4" t="e">
        <f>_xlfn.XLOOKUP(B248,[2]Sheet2!$E$2:$E$713,[2]Sheet2!$G$2:$G$713)</f>
        <v>#N/A</v>
      </c>
      <c r="G248" s="18">
        <v>46101</v>
      </c>
      <c r="H248" s="14">
        <v>0.26197916666666665</v>
      </c>
      <c r="I248" s="7" t="s">
        <v>5</v>
      </c>
      <c r="J248" s="2" t="str">
        <f t="shared" si="15"/>
        <v>Q2</v>
      </c>
      <c r="K248" s="2" t="str">
        <f t="shared" si="16"/>
        <v>Match</v>
      </c>
      <c r="L248" s="2">
        <f t="shared" si="17"/>
        <v>0.4</v>
      </c>
      <c r="M248" s="2" t="e">
        <f t="shared" si="18"/>
        <v>#N/A</v>
      </c>
      <c r="N248" s="2" t="str">
        <f t="shared" si="19"/>
        <v>Q OK dE&lt;=0.8</v>
      </c>
      <c r="O248" s="7">
        <v>17.3</v>
      </c>
      <c r="P248" s="7">
        <v>-0.2</v>
      </c>
      <c r="Q248" s="7">
        <v>-1.9</v>
      </c>
      <c r="R248" s="7">
        <v>-0.41</v>
      </c>
      <c r="S248" s="7">
        <v>0</v>
      </c>
      <c r="T248" s="7">
        <v>-0.4</v>
      </c>
      <c r="U248" s="7">
        <v>0.64</v>
      </c>
      <c r="V248" s="7">
        <v>0.05</v>
      </c>
      <c r="W248" s="7">
        <v>0.76</v>
      </c>
      <c r="X248" s="7" t="s">
        <v>13</v>
      </c>
      <c r="Y248" s="7" t="s">
        <v>9</v>
      </c>
      <c r="Z248" s="2" t="s">
        <v>718</v>
      </c>
      <c r="AA248" s="2" t="s">
        <v>721</v>
      </c>
    </row>
    <row r="249" spans="1:27" x14ac:dyDescent="0.35">
      <c r="A249" s="7" t="s">
        <v>1559</v>
      </c>
      <c r="B249" s="7" t="s">
        <v>919</v>
      </c>
      <c r="C249" s="7" t="str">
        <f>_xlfn.XLOOKUP(B249,'[1]Sheet 1'!$A$2:$A$11107,'[1]Sheet 1'!$D$2:$D$11107,"",0)</f>
        <v>VSS</v>
      </c>
      <c r="D249" s="4" t="str">
        <f>_xlfn.XLOOKUP(A249,[3]Sheet2!$I$2:$I$1623,[3]Sheet2!$D$2:$D$1623,"",0)</f>
        <v>Q3</v>
      </c>
      <c r="E249" s="4" t="s">
        <v>1828</v>
      </c>
      <c r="F249" s="4" t="e">
        <f>_xlfn.XLOOKUP(B249,[2]Sheet2!$E$2:$E$713,[2]Sheet2!$G$2:$G$713)</f>
        <v>#N/A</v>
      </c>
      <c r="G249" s="18">
        <v>46101</v>
      </c>
      <c r="H249" s="14">
        <v>0.50659722222222225</v>
      </c>
      <c r="I249" s="7" t="s">
        <v>10</v>
      </c>
      <c r="J249" s="2" t="str">
        <f t="shared" si="15"/>
        <v>Q3</v>
      </c>
      <c r="K249" s="2" t="str">
        <f t="shared" si="16"/>
        <v>Match</v>
      </c>
      <c r="L249" s="2">
        <f t="shared" si="17"/>
        <v>0.1</v>
      </c>
      <c r="M249" s="2" t="e">
        <f t="shared" si="18"/>
        <v>#N/A</v>
      </c>
      <c r="N249" s="2" t="str">
        <f t="shared" si="19"/>
        <v>Q OK dE&lt;=0.8</v>
      </c>
      <c r="O249" s="7">
        <v>17.2</v>
      </c>
      <c r="P249" s="7">
        <v>-0.1</v>
      </c>
      <c r="Q249" s="7">
        <v>-2.4</v>
      </c>
      <c r="R249" s="7">
        <v>-0.69</v>
      </c>
      <c r="S249" s="7">
        <v>0</v>
      </c>
      <c r="T249" s="7">
        <v>-0.1</v>
      </c>
      <c r="U249" s="7">
        <v>0.18</v>
      </c>
      <c r="V249" s="7">
        <v>-0.05</v>
      </c>
      <c r="W249" s="7">
        <v>0.71</v>
      </c>
      <c r="X249" s="7" t="s">
        <v>8</v>
      </c>
      <c r="Y249" s="7" t="s">
        <v>15</v>
      </c>
      <c r="Z249" s="2" t="s">
        <v>718</v>
      </c>
      <c r="AA249" s="2" t="s">
        <v>721</v>
      </c>
    </row>
    <row r="250" spans="1:27" x14ac:dyDescent="0.35">
      <c r="A250" s="7" t="s">
        <v>1559</v>
      </c>
      <c r="B250" s="7" t="s">
        <v>790</v>
      </c>
      <c r="C250" s="7" t="str">
        <f>_xlfn.XLOOKUP(B250,'[1]Sheet 1'!$A$2:$A$11107,'[1]Sheet 1'!$D$2:$D$11107,"",0)</f>
        <v>VSS</v>
      </c>
      <c r="D250" s="4" t="str">
        <f>_xlfn.XLOOKUP(A250,[3]Sheet2!$I$2:$I$1623,[3]Sheet2!$D$2:$D$1623,"",0)</f>
        <v>Q3</v>
      </c>
      <c r="E250" s="4" t="s">
        <v>1828</v>
      </c>
      <c r="F250" s="4" t="e">
        <f>_xlfn.XLOOKUP(B250,[2]Sheet2!$E$2:$E$713,[2]Sheet2!$G$2:$G$713)</f>
        <v>#N/A</v>
      </c>
      <c r="G250" s="18">
        <v>46101</v>
      </c>
      <c r="H250" s="14">
        <v>8.2546296296296298E-2</v>
      </c>
      <c r="I250" s="7" t="s">
        <v>10</v>
      </c>
      <c r="J250" s="2" t="str">
        <f t="shared" si="15"/>
        <v>Q3</v>
      </c>
      <c r="K250" s="2" t="str">
        <f t="shared" si="16"/>
        <v>Match</v>
      </c>
      <c r="L250" s="2">
        <f t="shared" si="17"/>
        <v>0.2</v>
      </c>
      <c r="M250" s="2" t="e">
        <f t="shared" si="18"/>
        <v>#N/A</v>
      </c>
      <c r="N250" s="2" t="str">
        <f t="shared" si="19"/>
        <v>Q OK dE&lt;=0.8</v>
      </c>
      <c r="O250" s="7">
        <v>17.5</v>
      </c>
      <c r="P250" s="7">
        <v>0</v>
      </c>
      <c r="Q250" s="7">
        <v>-2.5</v>
      </c>
      <c r="R250" s="7">
        <v>-0.39</v>
      </c>
      <c r="S250" s="7">
        <v>0</v>
      </c>
      <c r="T250" s="7">
        <v>-0.2</v>
      </c>
      <c r="U250" s="7">
        <v>0.28999999999999998</v>
      </c>
      <c r="V250" s="7">
        <v>0.08</v>
      </c>
      <c r="W250" s="7">
        <v>0.49</v>
      </c>
      <c r="X250" s="7" t="s">
        <v>8</v>
      </c>
      <c r="Y250" s="7" t="s">
        <v>9</v>
      </c>
      <c r="Z250" s="2" t="s">
        <v>718</v>
      </c>
      <c r="AA250" s="2" t="s">
        <v>721</v>
      </c>
    </row>
    <row r="251" spans="1:27" x14ac:dyDescent="0.35">
      <c r="A251" s="7" t="s">
        <v>1559</v>
      </c>
      <c r="B251" s="7" t="s">
        <v>918</v>
      </c>
      <c r="C251" s="7" t="str">
        <f>_xlfn.XLOOKUP(B251,'[1]Sheet 1'!$A$2:$A$11107,'[1]Sheet 1'!$D$2:$D$11107,"",0)</f>
        <v>VSS</v>
      </c>
      <c r="D251" s="4" t="str">
        <f>_xlfn.XLOOKUP(A251,[3]Sheet2!$I$2:$I$1623,[3]Sheet2!$D$2:$D$1623,"",0)</f>
        <v>Q3</v>
      </c>
      <c r="E251" s="4" t="s">
        <v>1828</v>
      </c>
      <c r="F251" s="4" t="e">
        <f>_xlfn.XLOOKUP(B251,[2]Sheet2!$E$2:$E$713,[2]Sheet2!$G$2:$G$713)</f>
        <v>#N/A</v>
      </c>
      <c r="G251" s="18">
        <v>46101</v>
      </c>
      <c r="H251" s="14">
        <v>0.35194444444444445</v>
      </c>
      <c r="I251" s="7" t="s">
        <v>10</v>
      </c>
      <c r="J251" s="2" t="str">
        <f t="shared" si="15"/>
        <v>Q3</v>
      </c>
      <c r="K251" s="2" t="str">
        <f t="shared" si="16"/>
        <v>Match</v>
      </c>
      <c r="L251" s="2">
        <f t="shared" si="17"/>
        <v>0.2</v>
      </c>
      <c r="M251" s="2" t="e">
        <f t="shared" si="18"/>
        <v>#N/A</v>
      </c>
      <c r="N251" s="2" t="str">
        <f t="shared" si="19"/>
        <v>Q OK dE&lt;=0.8</v>
      </c>
      <c r="O251" s="7">
        <v>17.2</v>
      </c>
      <c r="P251" s="7">
        <v>-0.1</v>
      </c>
      <c r="Q251" s="7">
        <v>-2.5</v>
      </c>
      <c r="R251" s="7">
        <v>-0.7</v>
      </c>
      <c r="S251" s="7">
        <v>0</v>
      </c>
      <c r="T251" s="7">
        <v>-0.2</v>
      </c>
      <c r="U251" s="7">
        <v>0.25</v>
      </c>
      <c r="V251" s="7">
        <v>-0.03</v>
      </c>
      <c r="W251" s="7">
        <v>0.75</v>
      </c>
      <c r="X251" s="7" t="s">
        <v>8</v>
      </c>
      <c r="Y251" s="7" t="s">
        <v>15</v>
      </c>
      <c r="Z251" s="2" t="s">
        <v>718</v>
      </c>
      <c r="AA251" s="2" t="s">
        <v>721</v>
      </c>
    </row>
    <row r="252" spans="1:27" x14ac:dyDescent="0.35">
      <c r="A252" s="7" t="s">
        <v>1685</v>
      </c>
      <c r="B252" s="7" t="s">
        <v>929</v>
      </c>
      <c r="C252" s="7" t="str">
        <f>_xlfn.XLOOKUP(B252,'[1]Sheet 1'!$A$2:$A$11107,'[1]Sheet 1'!$D$2:$D$11107,"",0)</f>
        <v>ESS2</v>
      </c>
      <c r="D252" s="4" t="str">
        <f>_xlfn.XLOOKUP(A252,[3]Sheet2!$I$2:$I$1623,[3]Sheet2!$D$2:$D$1623,"",0)</f>
        <v>Q1</v>
      </c>
      <c r="E252" s="4" t="s">
        <v>1828</v>
      </c>
      <c r="F252" s="4" t="e">
        <f>_xlfn.XLOOKUP(B252,[2]Sheet2!$E$2:$E$713,[2]Sheet2!$G$2:$G$713)</f>
        <v>#N/A</v>
      </c>
      <c r="G252" s="18">
        <v>46101</v>
      </c>
      <c r="H252" s="14">
        <v>0.76719907407407406</v>
      </c>
      <c r="I252" s="7" t="s">
        <v>4</v>
      </c>
      <c r="J252" s="2" t="str">
        <f t="shared" si="15"/>
        <v>Q1</v>
      </c>
      <c r="K252" s="2" t="str">
        <f t="shared" si="16"/>
        <v>Match</v>
      </c>
      <c r="L252" s="2">
        <f t="shared" si="17"/>
        <v>0.14142135623730953</v>
      </c>
      <c r="M252" s="2" t="e">
        <f t="shared" si="18"/>
        <v>#N/A</v>
      </c>
      <c r="N252" s="2" t="str">
        <f t="shared" si="19"/>
        <v>Q OK dE&lt;=0.8</v>
      </c>
      <c r="O252" s="7">
        <v>16.2</v>
      </c>
      <c r="P252" s="7">
        <v>-0.7</v>
      </c>
      <c r="Q252" s="7">
        <v>-3.3</v>
      </c>
      <c r="R252" s="7">
        <v>0.03</v>
      </c>
      <c r="S252" s="7">
        <v>0.1</v>
      </c>
      <c r="T252" s="7">
        <v>0.1</v>
      </c>
      <c r="U252" s="7">
        <v>-0.17</v>
      </c>
      <c r="V252" s="7">
        <v>0.2</v>
      </c>
      <c r="W252" s="7">
        <v>0.26</v>
      </c>
      <c r="X252" s="7" t="s">
        <v>8</v>
      </c>
      <c r="Y252" s="7" t="s">
        <v>9</v>
      </c>
      <c r="Z252" s="2" t="s">
        <v>718</v>
      </c>
      <c r="AA252" s="2" t="s">
        <v>721</v>
      </c>
    </row>
    <row r="253" spans="1:27" x14ac:dyDescent="0.35">
      <c r="A253" s="7" t="s">
        <v>1730</v>
      </c>
      <c r="B253" s="7" t="s">
        <v>917</v>
      </c>
      <c r="C253" s="7" t="str">
        <f>_xlfn.XLOOKUP(B253,'[1]Sheet 1'!$A$2:$A$11107,'[1]Sheet 1'!$D$2:$D$11107,"",0)</f>
        <v>THEU</v>
      </c>
      <c r="D253" s="4" t="str">
        <f>_xlfn.XLOOKUP(A253,[3]Sheet2!$I$2:$I$1623,[3]Sheet2!$D$2:$D$1623,"",0)</f>
        <v>Q2</v>
      </c>
      <c r="E253" s="4" t="s">
        <v>1828</v>
      </c>
      <c r="F253" s="4" t="e">
        <f>_xlfn.XLOOKUP(B253,[2]Sheet2!$E$2:$E$713,[2]Sheet2!$G$2:$G$713)</f>
        <v>#N/A</v>
      </c>
      <c r="G253" s="18">
        <v>46101</v>
      </c>
      <c r="H253" s="14">
        <v>0.27991898148148148</v>
      </c>
      <c r="I253" s="7" t="s">
        <v>11</v>
      </c>
      <c r="J253" s="2" t="str">
        <f t="shared" si="15"/>
        <v>Q2</v>
      </c>
      <c r="K253" s="2" t="str">
        <f t="shared" si="16"/>
        <v>Match</v>
      </c>
      <c r="L253" s="2">
        <f t="shared" si="17"/>
        <v>0.5</v>
      </c>
      <c r="M253" s="2" t="e">
        <f t="shared" si="18"/>
        <v>#N/A</v>
      </c>
      <c r="N253" s="2" t="str">
        <f t="shared" si="19"/>
        <v>Q OK dE&lt;=0.8</v>
      </c>
      <c r="O253" s="7">
        <v>14.8</v>
      </c>
      <c r="P253" s="7">
        <v>-0.2</v>
      </c>
      <c r="Q253" s="7">
        <v>-4.9000000000000004</v>
      </c>
      <c r="R253" s="7">
        <v>-0.55000000000000004</v>
      </c>
      <c r="S253" s="7">
        <v>0</v>
      </c>
      <c r="T253" s="7">
        <v>0.5</v>
      </c>
      <c r="U253" s="7">
        <v>-0.51</v>
      </c>
      <c r="V253" s="7">
        <v>-0.12</v>
      </c>
      <c r="W253" s="7">
        <v>0.76</v>
      </c>
      <c r="X253" s="7" t="s">
        <v>13</v>
      </c>
      <c r="Y253" s="7" t="s">
        <v>15</v>
      </c>
      <c r="Z253" s="2" t="s">
        <v>718</v>
      </c>
      <c r="AA253" s="2" t="s">
        <v>721</v>
      </c>
    </row>
    <row r="254" spans="1:27" x14ac:dyDescent="0.35">
      <c r="A254" s="7" t="s">
        <v>1731</v>
      </c>
      <c r="B254" s="7" t="s">
        <v>791</v>
      </c>
      <c r="C254" s="7" t="str">
        <f>_xlfn.XLOOKUP(B254,'[1]Sheet 1'!$A$2:$A$11107,'[1]Sheet 1'!$D$2:$D$11107,"",0)</f>
        <v>WACE</v>
      </c>
      <c r="D254" s="4" t="str">
        <f>_xlfn.XLOOKUP(A254,[3]Sheet2!$I$2:$I$1623,[3]Sheet2!$D$2:$D$1623,"",0)</f>
        <v>Q4</v>
      </c>
      <c r="E254" s="4" t="s">
        <v>1828</v>
      </c>
      <c r="F254" s="4" t="e">
        <f>_xlfn.XLOOKUP(B254,[2]Sheet2!$E$2:$E$713,[2]Sheet2!$G$2:$G$713)</f>
        <v>#N/A</v>
      </c>
      <c r="G254" s="18">
        <v>46101</v>
      </c>
      <c r="H254" s="14">
        <v>0.94231481481481483</v>
      </c>
      <c r="I254" s="7" t="s">
        <v>4</v>
      </c>
      <c r="J254" s="2" t="str">
        <f t="shared" si="15"/>
        <v>Q4</v>
      </c>
      <c r="K254" s="2" t="str">
        <f t="shared" si="16"/>
        <v>Match</v>
      </c>
      <c r="L254" s="2">
        <f t="shared" si="17"/>
        <v>0.6</v>
      </c>
      <c r="M254" s="2" t="e">
        <f t="shared" si="18"/>
        <v>#N/A</v>
      </c>
      <c r="N254" s="2" t="str">
        <f t="shared" si="19"/>
        <v>Q OK dE&lt;=0.8</v>
      </c>
      <c r="O254" s="7">
        <v>24.8</v>
      </c>
      <c r="P254" s="7">
        <v>-0.8</v>
      </c>
      <c r="Q254" s="7">
        <v>-23.5</v>
      </c>
      <c r="R254" s="7">
        <v>0.48</v>
      </c>
      <c r="S254" s="7">
        <v>0</v>
      </c>
      <c r="T254" s="7">
        <v>-0.6</v>
      </c>
      <c r="U254" s="7">
        <v>0.38</v>
      </c>
      <c r="V254" s="7">
        <v>0.06</v>
      </c>
      <c r="W254" s="7">
        <v>0.62</v>
      </c>
      <c r="X254" s="7" t="s">
        <v>8</v>
      </c>
      <c r="Y254" s="7" t="s">
        <v>9</v>
      </c>
      <c r="Z254" s="2" t="s">
        <v>718</v>
      </c>
      <c r="AA254" s="2" t="s">
        <v>721</v>
      </c>
    </row>
    <row r="255" spans="1:27" x14ac:dyDescent="0.35">
      <c r="A255" s="7" t="s">
        <v>1566</v>
      </c>
      <c r="B255" s="7" t="s">
        <v>915</v>
      </c>
      <c r="C255" s="7" t="str">
        <f>_xlfn.XLOOKUP(B255,'[1]Sheet 1'!$A$2:$A$11107,'[1]Sheet 1'!$D$2:$D$11107,"",0)</f>
        <v>M&amp;S</v>
      </c>
      <c r="D255" s="4" t="str">
        <f>_xlfn.XLOOKUP(A255,[3]Sheet2!$I$2:$I$1623,[3]Sheet2!$D$2:$D$1623,"",0)</f>
        <v>Q4</v>
      </c>
      <c r="E255" s="4" t="s">
        <v>1828</v>
      </c>
      <c r="F255" s="4" t="e">
        <f>_xlfn.XLOOKUP(B255,[2]Sheet2!$E$2:$E$713,[2]Sheet2!$G$2:$G$713)</f>
        <v>#N/A</v>
      </c>
      <c r="G255" s="18">
        <v>46101</v>
      </c>
      <c r="H255" s="14">
        <v>0.265625</v>
      </c>
      <c r="I255" s="7" t="s">
        <v>17</v>
      </c>
      <c r="J255" s="2" t="str">
        <f t="shared" si="15"/>
        <v>Q2</v>
      </c>
      <c r="K255" s="2" t="str">
        <f t="shared" si="16"/>
        <v>Not Match</v>
      </c>
      <c r="L255" s="2">
        <f t="shared" si="17"/>
        <v>0.36055512754639896</v>
      </c>
      <c r="M255" s="2" t="e">
        <f t="shared" si="18"/>
        <v>#N/A</v>
      </c>
      <c r="N255" s="2" t="str">
        <f t="shared" si="19"/>
        <v>Q NOT OK dE&lt;=0.8</v>
      </c>
      <c r="O255" s="7">
        <v>16</v>
      </c>
      <c r="P255" s="7">
        <v>-0.8</v>
      </c>
      <c r="Q255" s="7">
        <v>-5.8</v>
      </c>
      <c r="R255" s="7">
        <v>0.19</v>
      </c>
      <c r="S255" s="7">
        <v>-0.3</v>
      </c>
      <c r="T255" s="7">
        <v>0.2</v>
      </c>
      <c r="U255" s="7">
        <v>-0.23</v>
      </c>
      <c r="V255" s="7">
        <v>-0.51</v>
      </c>
      <c r="W255" s="7">
        <v>0.59</v>
      </c>
      <c r="X255" s="7" t="s">
        <v>8</v>
      </c>
      <c r="Y255" s="7" t="s">
        <v>15</v>
      </c>
      <c r="Z255" s="2" t="s">
        <v>718</v>
      </c>
      <c r="AA255" s="2" t="s">
        <v>721</v>
      </c>
    </row>
    <row r="256" spans="1:27" x14ac:dyDescent="0.35">
      <c r="A256" s="7" t="s">
        <v>1567</v>
      </c>
      <c r="B256" s="7" t="s">
        <v>927</v>
      </c>
      <c r="C256" s="7" t="str">
        <f>_xlfn.XLOOKUP(B256,'[1]Sheet 1'!$A$2:$A$11107,'[1]Sheet 1'!$D$2:$D$11107,"",0)</f>
        <v>M&amp;S</v>
      </c>
      <c r="D256" s="4" t="str">
        <f>_xlfn.XLOOKUP(A256,[3]Sheet2!$I$2:$I$1623,[3]Sheet2!$D$2:$D$1623,"",0)</f>
        <v>Q3</v>
      </c>
      <c r="E256" s="4" t="s">
        <v>1828</v>
      </c>
      <c r="F256" s="4" t="e">
        <f>_xlfn.XLOOKUP(B256,[2]Sheet2!$E$2:$E$713,[2]Sheet2!$G$2:$G$713)</f>
        <v>#N/A</v>
      </c>
      <c r="G256" s="18">
        <v>46101</v>
      </c>
      <c r="H256" s="14">
        <v>0.71594907407407404</v>
      </c>
      <c r="I256" s="7" t="s">
        <v>17</v>
      </c>
      <c r="J256" s="2" t="str">
        <f t="shared" si="15"/>
        <v>Q3</v>
      </c>
      <c r="K256" s="2" t="str">
        <f t="shared" si="16"/>
        <v>Match</v>
      </c>
      <c r="L256" s="2">
        <f t="shared" si="17"/>
        <v>0.63245553203367588</v>
      </c>
      <c r="M256" s="2" t="e">
        <f t="shared" si="18"/>
        <v>#N/A</v>
      </c>
      <c r="N256" s="2" t="str">
        <f t="shared" si="19"/>
        <v>Q OK dE&lt;=0.8</v>
      </c>
      <c r="O256" s="7">
        <v>24.6</v>
      </c>
      <c r="P256" s="7">
        <v>-5.7</v>
      </c>
      <c r="Q256" s="7">
        <v>-7.6</v>
      </c>
      <c r="R256" s="7">
        <v>0.1</v>
      </c>
      <c r="S256" s="7">
        <v>-0.2</v>
      </c>
      <c r="T256" s="7">
        <v>-0.6</v>
      </c>
      <c r="U256" s="7">
        <v>0.53</v>
      </c>
      <c r="V256" s="7">
        <v>0.22</v>
      </c>
      <c r="W256" s="7">
        <v>0.57999999999999996</v>
      </c>
      <c r="X256" s="7" t="s">
        <v>8</v>
      </c>
      <c r="Y256" s="7" t="s">
        <v>7</v>
      </c>
      <c r="Z256" s="2" t="s">
        <v>718</v>
      </c>
      <c r="AA256" s="2" t="s">
        <v>721</v>
      </c>
    </row>
    <row r="257" spans="1:27" x14ac:dyDescent="0.35">
      <c r="A257" s="7" t="s">
        <v>1579</v>
      </c>
      <c r="B257" s="7" t="s">
        <v>926</v>
      </c>
      <c r="C257" s="7" t="str">
        <f>_xlfn.XLOOKUP(B257,'[1]Sheet 1'!$A$2:$A$11107,'[1]Sheet 1'!$D$2:$D$11107,"",0)</f>
        <v>M&amp;S</v>
      </c>
      <c r="D257" s="4" t="str">
        <f>_xlfn.XLOOKUP(A257,[3]Sheet2!$I$2:$I$1623,[3]Sheet2!$D$2:$D$1623,"",0)</f>
        <v>Q4</v>
      </c>
      <c r="E257" s="4" t="s">
        <v>1828</v>
      </c>
      <c r="F257" s="4" t="e">
        <f>_xlfn.XLOOKUP(B257,[2]Sheet2!$E$2:$E$713,[2]Sheet2!$G$2:$G$713)</f>
        <v>#N/A</v>
      </c>
      <c r="G257" s="18">
        <v>46101</v>
      </c>
      <c r="H257" s="14">
        <v>0.70182870370370365</v>
      </c>
      <c r="I257" s="7" t="s">
        <v>17</v>
      </c>
      <c r="J257" s="2" t="str">
        <f t="shared" si="15"/>
        <v>Q2</v>
      </c>
      <c r="K257" s="2" t="str">
        <f t="shared" si="16"/>
        <v>Not Match</v>
      </c>
      <c r="L257" s="2">
        <f t="shared" si="17"/>
        <v>0.56568542494923812</v>
      </c>
      <c r="M257" s="2" t="e">
        <f t="shared" si="18"/>
        <v>#N/A</v>
      </c>
      <c r="N257" s="2" t="str">
        <f t="shared" si="19"/>
        <v>Q NOT OK dE&gt;0.8</v>
      </c>
      <c r="O257" s="7">
        <v>16.899999999999999</v>
      </c>
      <c r="P257" s="7">
        <v>-0.9</v>
      </c>
      <c r="Q257" s="7">
        <v>-5.6</v>
      </c>
      <c r="R257" s="7">
        <v>1.1299999999999999</v>
      </c>
      <c r="S257" s="7">
        <v>-0.4</v>
      </c>
      <c r="T257" s="7">
        <v>0.4</v>
      </c>
      <c r="U257" s="7">
        <v>-0.44</v>
      </c>
      <c r="V257" s="7">
        <v>-0.66</v>
      </c>
      <c r="W257" s="7">
        <v>1.38</v>
      </c>
      <c r="X257" s="7" t="s">
        <v>6</v>
      </c>
      <c r="Y257" s="7" t="s">
        <v>15</v>
      </c>
      <c r="Z257" s="2" t="s">
        <v>718</v>
      </c>
      <c r="AA257" s="2" t="s">
        <v>721</v>
      </c>
    </row>
    <row r="258" spans="1:27" x14ac:dyDescent="0.35">
      <c r="A258" s="7" t="s">
        <v>1709</v>
      </c>
      <c r="B258" s="7" t="s">
        <v>912</v>
      </c>
      <c r="C258" s="7" t="str">
        <f>_xlfn.XLOOKUP(B258,'[1]Sheet 1'!$A$2:$A$11107,'[1]Sheet 1'!$D$2:$D$11107,"",0)</f>
        <v>GAP</v>
      </c>
      <c r="D258" s="4" t="str">
        <f>_xlfn.XLOOKUP(A258,[3]Sheet2!$I$2:$I$1623,[3]Sheet2!$D$2:$D$1623,"",0)</f>
        <v>Q2</v>
      </c>
      <c r="E258" s="4" t="s">
        <v>1828</v>
      </c>
      <c r="F258" s="4" t="e">
        <f>_xlfn.XLOOKUP(B258,[2]Sheet2!$E$2:$E$713,[2]Sheet2!$G$2:$G$713)</f>
        <v>#N/A</v>
      </c>
      <c r="G258" s="18">
        <v>46101</v>
      </c>
      <c r="H258" s="14">
        <v>0.25626157407407407</v>
      </c>
      <c r="I258" s="7" t="s">
        <v>14</v>
      </c>
      <c r="J258" s="2" t="str">
        <f t="shared" ref="J258:J321" si="20">IF(OR(S258=0,T258=0),D258,IF(AND(S258&gt;0,T258&gt;0),"Q1",IF(AND(S258&lt;0,T258&gt;0),"Q2",IF(AND(S258&lt;0,T258&lt;0),"Q3",IF(AND(S258&gt;0,T258&lt;0),"Q4","")))))</f>
        <v>Q3</v>
      </c>
      <c r="K258" s="2" t="str">
        <f t="shared" ref="K258:K321" si="21">IF(J258=D258,"Match",IF(AND(J258=0,D258="Match"),"da and db 0",IF(D258=0,"Not Found","Not Match")))</f>
        <v>Not Match</v>
      </c>
      <c r="L258" s="2">
        <f t="shared" ref="L258:L321" si="22">SQRT(S258^2+T258^2)</f>
        <v>0.14142135623730953</v>
      </c>
      <c r="M258" s="2" t="e">
        <f t="shared" ref="M258:M321" si="23">IF(L258&lt;=F258,"Within Range","Over Range")</f>
        <v>#N/A</v>
      </c>
      <c r="N258" s="2" t="str">
        <f t="shared" ref="N258:N321" si="24">IF(D258=0,"Quadrant not assigned",IF(AND(K258="Match",W258&lt;=0.8),"Q OK dE&lt;=0.8",IF(AND(K258="Match",W258&gt;0.8),"Q OK dE&gt;0.8",IF(AND(K258="Not Match",W258&lt;=0.8),"Q NOT OK dE&lt;=0.8","Q NOT OK dE&gt;0.8"))))</f>
        <v>Q NOT OK dE&lt;=0.8</v>
      </c>
      <c r="O258" s="7">
        <v>13.5</v>
      </c>
      <c r="P258" s="7">
        <v>-0.4</v>
      </c>
      <c r="Q258" s="7">
        <v>-3.1</v>
      </c>
      <c r="R258" s="7">
        <v>0.24</v>
      </c>
      <c r="S258" s="7">
        <v>-0.1</v>
      </c>
      <c r="T258" s="7">
        <v>-0.1</v>
      </c>
      <c r="U258" s="7">
        <v>0.26</v>
      </c>
      <c r="V258" s="7">
        <v>-0.22</v>
      </c>
      <c r="W258" s="7">
        <v>0.42</v>
      </c>
      <c r="X258" s="7" t="s">
        <v>8</v>
      </c>
      <c r="Y258" s="7" t="s">
        <v>15</v>
      </c>
      <c r="Z258" s="2" t="s">
        <v>718</v>
      </c>
      <c r="AA258" s="2" t="s">
        <v>721</v>
      </c>
    </row>
    <row r="259" spans="1:27" x14ac:dyDescent="0.35">
      <c r="A259" s="7" t="s">
        <v>1536</v>
      </c>
      <c r="B259" s="7" t="s">
        <v>920</v>
      </c>
      <c r="C259" s="7" t="str">
        <f>_xlfn.XLOOKUP(B259,'[1]Sheet 1'!$A$2:$A$11107,'[1]Sheet 1'!$D$2:$D$11107,"",0)</f>
        <v>NIK</v>
      </c>
      <c r="D259" s="4" t="str">
        <f>_xlfn.XLOOKUP(A259,[3]Sheet2!$I$2:$I$1623,[3]Sheet2!$D$2:$D$1623,"",0)</f>
        <v>Q2</v>
      </c>
      <c r="E259" s="4" t="s">
        <v>1828</v>
      </c>
      <c r="F259" s="4" t="e">
        <f>_xlfn.XLOOKUP(B259,[2]Sheet2!$E$2:$E$713,[2]Sheet2!$G$2:$G$713)</f>
        <v>#N/A</v>
      </c>
      <c r="G259" s="18">
        <v>46101</v>
      </c>
      <c r="H259" s="14">
        <v>0.67902777777777779</v>
      </c>
      <c r="I259" s="7" t="s">
        <v>4</v>
      </c>
      <c r="J259" s="2" t="str">
        <f t="shared" si="20"/>
        <v>Q2</v>
      </c>
      <c r="K259" s="2" t="str">
        <f t="shared" si="21"/>
        <v>Match</v>
      </c>
      <c r="L259" s="2">
        <f t="shared" si="22"/>
        <v>0.1</v>
      </c>
      <c r="M259" s="2" t="e">
        <f t="shared" si="23"/>
        <v>#N/A</v>
      </c>
      <c r="N259" s="2" t="str">
        <f t="shared" si="24"/>
        <v>Q OK dE&lt;=0.8</v>
      </c>
      <c r="O259" s="7">
        <v>16</v>
      </c>
      <c r="P259" s="7">
        <v>-0.5</v>
      </c>
      <c r="Q259" s="7">
        <v>-1.8</v>
      </c>
      <c r="R259" s="7">
        <v>0.31</v>
      </c>
      <c r="S259" s="7">
        <v>0.1</v>
      </c>
      <c r="T259" s="20">
        <v>0</v>
      </c>
      <c r="U259" s="7">
        <v>0.05</v>
      </c>
      <c r="V259" s="7">
        <v>0.15</v>
      </c>
      <c r="W259" s="7">
        <v>0.35</v>
      </c>
      <c r="X259" s="7" t="s">
        <v>8</v>
      </c>
      <c r="Y259" s="7" t="s">
        <v>9</v>
      </c>
      <c r="Z259" s="2" t="s">
        <v>718</v>
      </c>
      <c r="AA259" s="2" t="s">
        <v>721</v>
      </c>
    </row>
    <row r="260" spans="1:27" x14ac:dyDescent="0.35">
      <c r="A260" s="7" t="s">
        <v>1558</v>
      </c>
      <c r="B260" s="7" t="s">
        <v>795</v>
      </c>
      <c r="C260" s="7" t="str">
        <f>_xlfn.XLOOKUP(B260,'[1]Sheet 1'!$A$2:$A$11107,'[1]Sheet 1'!$D$2:$D$11107,"",0)</f>
        <v>M&amp;S</v>
      </c>
      <c r="D260" s="4" t="str">
        <f>_xlfn.XLOOKUP(A260,[3]Sheet2!$I$2:$I$1623,[3]Sheet2!$D$2:$D$1623,"",0)</f>
        <v>Q3</v>
      </c>
      <c r="E260" s="4" t="s">
        <v>1828</v>
      </c>
      <c r="F260" s="4" t="e">
        <f>_xlfn.XLOOKUP(B260,[2]Sheet2!$E$2:$E$713,[2]Sheet2!$G$2:$G$713)</f>
        <v>#N/A</v>
      </c>
      <c r="G260" s="18">
        <v>46101</v>
      </c>
      <c r="H260" s="14">
        <v>0.99763888888888885</v>
      </c>
      <c r="I260" s="7" t="s">
        <v>17</v>
      </c>
      <c r="J260" s="2" t="str">
        <f t="shared" si="20"/>
        <v>Q3</v>
      </c>
      <c r="K260" s="2" t="str">
        <f t="shared" si="21"/>
        <v>Match</v>
      </c>
      <c r="L260" s="2">
        <f t="shared" si="22"/>
        <v>0.1</v>
      </c>
      <c r="M260" s="2" t="e">
        <f t="shared" si="23"/>
        <v>#N/A</v>
      </c>
      <c r="N260" s="2" t="str">
        <f t="shared" si="24"/>
        <v>Q OK dE&lt;=0.8</v>
      </c>
      <c r="O260" s="7">
        <v>14.9</v>
      </c>
      <c r="P260" s="7">
        <v>-0.6</v>
      </c>
      <c r="Q260" s="7">
        <v>-1.7</v>
      </c>
      <c r="R260" s="7">
        <v>-0.63</v>
      </c>
      <c r="S260" s="7">
        <v>-0.1</v>
      </c>
      <c r="T260" s="20">
        <v>0</v>
      </c>
      <c r="U260" s="7">
        <v>-0.03</v>
      </c>
      <c r="V260" s="7">
        <v>-0.21</v>
      </c>
      <c r="W260" s="7">
        <v>0.66</v>
      </c>
      <c r="X260" s="7" t="s">
        <v>8</v>
      </c>
      <c r="Y260" s="7" t="s">
        <v>15</v>
      </c>
      <c r="Z260" s="2" t="s">
        <v>718</v>
      </c>
      <c r="AA260" s="2" t="s">
        <v>721</v>
      </c>
    </row>
    <row r="261" spans="1:27" x14ac:dyDescent="0.35">
      <c r="A261" s="7" t="s">
        <v>1515</v>
      </c>
      <c r="B261" s="7" t="s">
        <v>916</v>
      </c>
      <c r="C261" s="7" t="str">
        <f>_xlfn.XLOOKUP(B261,'[1]Sheet 1'!$A$2:$A$11107,'[1]Sheet 1'!$D$2:$D$11107,"",0)</f>
        <v>VSS</v>
      </c>
      <c r="D261" s="4" t="str">
        <f>_xlfn.XLOOKUP(A261,[3]Sheet2!$I$2:$I$1623,[3]Sheet2!$D$2:$D$1623,"",0)</f>
        <v>Q3</v>
      </c>
      <c r="E261" s="4" t="s">
        <v>1828</v>
      </c>
      <c r="F261" s="4" t="e">
        <f>_xlfn.XLOOKUP(B261,[2]Sheet2!$E$2:$E$713,[2]Sheet2!$G$2:$G$713)</f>
        <v>#N/A</v>
      </c>
      <c r="G261" s="18">
        <v>46101</v>
      </c>
      <c r="H261" s="14">
        <v>0.26962962962962961</v>
      </c>
      <c r="I261" s="7" t="s">
        <v>10</v>
      </c>
      <c r="J261" s="2" t="str">
        <f t="shared" si="20"/>
        <v>Q3</v>
      </c>
      <c r="K261" s="2" t="str">
        <f t="shared" si="21"/>
        <v>Match</v>
      </c>
      <c r="L261" s="2">
        <f t="shared" si="22"/>
        <v>0.3</v>
      </c>
      <c r="M261" s="2" t="e">
        <f t="shared" si="23"/>
        <v>#N/A</v>
      </c>
      <c r="N261" s="2" t="str">
        <f t="shared" si="24"/>
        <v>Q OK dE&gt;0.8</v>
      </c>
      <c r="O261" s="7">
        <v>13.8</v>
      </c>
      <c r="P261" s="7">
        <v>0</v>
      </c>
      <c r="Q261" s="7">
        <v>-2</v>
      </c>
      <c r="R261" s="7">
        <v>-1.2</v>
      </c>
      <c r="S261" s="7">
        <v>0</v>
      </c>
      <c r="T261" s="7">
        <v>-0.3</v>
      </c>
      <c r="U261" s="7">
        <v>0.44</v>
      </c>
      <c r="V261" s="7">
        <v>-0.14000000000000001</v>
      </c>
      <c r="W261" s="7">
        <v>1.29</v>
      </c>
      <c r="X261" s="7" t="s">
        <v>6</v>
      </c>
      <c r="Y261" s="7" t="s">
        <v>15</v>
      </c>
      <c r="Z261" s="2" t="s">
        <v>718</v>
      </c>
      <c r="AA261" s="2" t="s">
        <v>721</v>
      </c>
    </row>
    <row r="262" spans="1:27" x14ac:dyDescent="0.35">
      <c r="A262" s="7" t="s">
        <v>1515</v>
      </c>
      <c r="B262" s="7" t="s">
        <v>922</v>
      </c>
      <c r="C262" s="7" t="str">
        <f>_xlfn.XLOOKUP(B262,'[1]Sheet 1'!$A$2:$A$11107,'[1]Sheet 1'!$D$2:$D$11107,"",0)</f>
        <v>VSS</v>
      </c>
      <c r="D262" s="4" t="str">
        <f>_xlfn.XLOOKUP(A262,[3]Sheet2!$I$2:$I$1623,[3]Sheet2!$D$2:$D$1623,"",0)</f>
        <v>Q3</v>
      </c>
      <c r="E262" s="4" t="s">
        <v>1828</v>
      </c>
      <c r="F262" s="4" t="e">
        <f>_xlfn.XLOOKUP(B262,[2]Sheet2!$E$2:$E$713,[2]Sheet2!$G$2:$G$713)</f>
        <v>#N/A</v>
      </c>
      <c r="G262" s="18">
        <v>46101</v>
      </c>
      <c r="H262" s="14">
        <v>0.69221064814814814</v>
      </c>
      <c r="I262" s="7" t="s">
        <v>11</v>
      </c>
      <c r="J262" s="2" t="str">
        <f t="shared" si="20"/>
        <v>Q3</v>
      </c>
      <c r="K262" s="2" t="str">
        <f t="shared" si="21"/>
        <v>Match</v>
      </c>
      <c r="L262" s="2">
        <f t="shared" si="22"/>
        <v>0.36055512754639896</v>
      </c>
      <c r="M262" s="2" t="e">
        <f t="shared" si="23"/>
        <v>#N/A</v>
      </c>
      <c r="N262" s="2" t="str">
        <f t="shared" si="24"/>
        <v>Q OK dE&lt;=0.8</v>
      </c>
      <c r="O262" s="7">
        <v>14.3</v>
      </c>
      <c r="P262" s="7">
        <v>-0.5</v>
      </c>
      <c r="Q262" s="7">
        <v>-2.5</v>
      </c>
      <c r="R262" s="7">
        <v>-0.47</v>
      </c>
      <c r="S262" s="7">
        <v>-0.2</v>
      </c>
      <c r="T262" s="7">
        <v>-0.3</v>
      </c>
      <c r="U262" s="7">
        <v>0.51</v>
      </c>
      <c r="V262" s="7">
        <v>-0.19</v>
      </c>
      <c r="W262" s="7">
        <v>0.72</v>
      </c>
      <c r="X262" s="7" t="s">
        <v>8</v>
      </c>
      <c r="Y262" s="7" t="s">
        <v>15</v>
      </c>
      <c r="Z262" s="2" t="s">
        <v>718</v>
      </c>
      <c r="AA262" s="2" t="s">
        <v>721</v>
      </c>
    </row>
    <row r="263" spans="1:27" x14ac:dyDescent="0.35">
      <c r="A263" s="7" t="s">
        <v>1598</v>
      </c>
      <c r="B263" s="7" t="s">
        <v>921</v>
      </c>
      <c r="C263" s="7" t="str">
        <f>_xlfn.XLOOKUP(B263,'[1]Sheet 1'!$A$2:$A$11107,'[1]Sheet 1'!$D$2:$D$11107,"",0)</f>
        <v>LULU</v>
      </c>
      <c r="D263" s="4" t="str">
        <f>_xlfn.XLOOKUP(A263,[3]Sheet2!$I$2:$I$1623,[3]Sheet2!$D$2:$D$1623,"",0)</f>
        <v>Q3</v>
      </c>
      <c r="E263" s="4" t="s">
        <v>1828</v>
      </c>
      <c r="F263" s="4" t="e">
        <f>_xlfn.XLOOKUP(B263,[2]Sheet2!$E$2:$E$713,[2]Sheet2!$G$2:$G$713)</f>
        <v>#N/A</v>
      </c>
      <c r="G263" s="18">
        <v>46101</v>
      </c>
      <c r="H263" s="14">
        <v>0.68531249999999999</v>
      </c>
      <c r="I263" s="7" t="s">
        <v>4</v>
      </c>
      <c r="J263" s="2" t="str">
        <f t="shared" si="20"/>
        <v>Q3</v>
      </c>
      <c r="K263" s="2" t="str">
        <f t="shared" si="21"/>
        <v>Match</v>
      </c>
      <c r="L263" s="2">
        <f t="shared" si="22"/>
        <v>0.1</v>
      </c>
      <c r="M263" s="2" t="e">
        <f t="shared" si="23"/>
        <v>#N/A</v>
      </c>
      <c r="N263" s="2" t="str">
        <f t="shared" si="24"/>
        <v>Q OK dE&lt;=0.8</v>
      </c>
      <c r="O263" s="7">
        <v>22</v>
      </c>
      <c r="P263" s="7">
        <v>-7.7</v>
      </c>
      <c r="Q263" s="7">
        <v>-11.7</v>
      </c>
      <c r="R263" s="7">
        <v>-0.46</v>
      </c>
      <c r="S263" s="7">
        <v>0.1</v>
      </c>
      <c r="T263" s="20">
        <v>0</v>
      </c>
      <c r="U263" s="7">
        <v>-0.04</v>
      </c>
      <c r="V263" s="7">
        <v>0.1</v>
      </c>
      <c r="W263" s="7">
        <v>0.47</v>
      </c>
      <c r="X263" s="7" t="s">
        <v>8</v>
      </c>
      <c r="Y263" s="7" t="s">
        <v>9</v>
      </c>
      <c r="Z263" s="2" t="s">
        <v>718</v>
      </c>
      <c r="AA263" s="2" t="s">
        <v>721</v>
      </c>
    </row>
    <row r="264" spans="1:27" x14ac:dyDescent="0.35">
      <c r="A264" s="7" t="s">
        <v>1557</v>
      </c>
      <c r="B264" s="7" t="s">
        <v>794</v>
      </c>
      <c r="C264" s="7" t="str">
        <f>_xlfn.XLOOKUP(B264,'[1]Sheet 1'!$A$2:$A$11107,'[1]Sheet 1'!$D$2:$D$11107,"",0)</f>
        <v>M&amp;S</v>
      </c>
      <c r="D264" s="4" t="str">
        <f>_xlfn.XLOOKUP(A264,[3]Sheet2!$I$2:$I$1623,[3]Sheet2!$D$2:$D$1623,"",0)</f>
        <v>Q3</v>
      </c>
      <c r="E264" s="4" t="s">
        <v>1828</v>
      </c>
      <c r="F264" s="4" t="e">
        <f>_xlfn.XLOOKUP(B264,[2]Sheet2!$E$2:$E$713,[2]Sheet2!$G$2:$G$713)</f>
        <v>#N/A</v>
      </c>
      <c r="G264" s="18">
        <v>46101</v>
      </c>
      <c r="H264" s="14">
        <v>0.98363425925925929</v>
      </c>
      <c r="I264" s="7" t="s">
        <v>17</v>
      </c>
      <c r="J264" s="2" t="str">
        <f t="shared" si="20"/>
        <v>Q3</v>
      </c>
      <c r="K264" s="2" t="str">
        <f t="shared" si="21"/>
        <v>Match</v>
      </c>
      <c r="L264" s="2">
        <f t="shared" si="22"/>
        <v>0.22360679774997899</v>
      </c>
      <c r="M264" s="2" t="e">
        <f t="shared" si="23"/>
        <v>#N/A</v>
      </c>
      <c r="N264" s="2" t="str">
        <f t="shared" si="24"/>
        <v>Q OK dE&lt;=0.8</v>
      </c>
      <c r="O264" s="7">
        <v>15.1</v>
      </c>
      <c r="P264" s="7">
        <v>-0.5</v>
      </c>
      <c r="Q264" s="7">
        <v>-1.8</v>
      </c>
      <c r="R264" s="7">
        <v>-0.45</v>
      </c>
      <c r="S264" s="7">
        <v>-0.2</v>
      </c>
      <c r="T264" s="7">
        <v>-0.1</v>
      </c>
      <c r="U264" s="7">
        <v>0.28999999999999998</v>
      </c>
      <c r="V264" s="7">
        <v>-0.23</v>
      </c>
      <c r="W264" s="7">
        <v>0.57999999999999996</v>
      </c>
      <c r="X264" s="7" t="s">
        <v>8</v>
      </c>
      <c r="Y264" s="7" t="s">
        <v>15</v>
      </c>
      <c r="Z264" s="2" t="s">
        <v>718</v>
      </c>
      <c r="AA264" s="2" t="s">
        <v>721</v>
      </c>
    </row>
    <row r="265" spans="1:27" x14ac:dyDescent="0.35">
      <c r="A265" s="7" t="s">
        <v>1540</v>
      </c>
      <c r="B265" s="7" t="s">
        <v>923</v>
      </c>
      <c r="C265" s="7" t="str">
        <f>_xlfn.XLOOKUP(B265,'[1]Sheet 1'!$A$2:$A$11107,'[1]Sheet 1'!$D$2:$D$11107,"",0)</f>
        <v>VSS</v>
      </c>
      <c r="D265" s="4" t="str">
        <f>_xlfn.XLOOKUP(A265,[3]Sheet2!$I$2:$I$1623,[3]Sheet2!$D$2:$D$1623,"",0)</f>
        <v>Q3</v>
      </c>
      <c r="E265" s="4" t="s">
        <v>1828</v>
      </c>
      <c r="F265" s="4" t="e">
        <f>_xlfn.XLOOKUP(B265,[2]Sheet2!$E$2:$E$713,[2]Sheet2!$G$2:$G$713)</f>
        <v>#N/A</v>
      </c>
      <c r="G265" s="18">
        <v>46101</v>
      </c>
      <c r="H265" s="14">
        <v>0.69525462962962958</v>
      </c>
      <c r="I265" s="7" t="s">
        <v>11</v>
      </c>
      <c r="J265" s="2" t="str">
        <f t="shared" si="20"/>
        <v>Q3</v>
      </c>
      <c r="K265" s="2" t="str">
        <f t="shared" si="21"/>
        <v>Match</v>
      </c>
      <c r="L265" s="2">
        <f t="shared" si="22"/>
        <v>0.1</v>
      </c>
      <c r="M265" s="2" t="e">
        <f t="shared" si="23"/>
        <v>#N/A</v>
      </c>
      <c r="N265" s="2" t="str">
        <f t="shared" si="24"/>
        <v>Q OK dE&lt;=0.8</v>
      </c>
      <c r="O265" s="7">
        <v>13.9</v>
      </c>
      <c r="P265" s="7">
        <v>-0.5</v>
      </c>
      <c r="Q265" s="7">
        <v>-1.6</v>
      </c>
      <c r="R265" s="7">
        <v>-0.34</v>
      </c>
      <c r="S265" s="7">
        <v>0</v>
      </c>
      <c r="T265" s="7">
        <v>0.1</v>
      </c>
      <c r="U265" s="7">
        <v>-0.19</v>
      </c>
      <c r="V265" s="7">
        <v>-0.04</v>
      </c>
      <c r="W265" s="7">
        <v>0.39</v>
      </c>
      <c r="X265" s="7" t="s">
        <v>8</v>
      </c>
      <c r="Y265" s="7" t="s">
        <v>9</v>
      </c>
      <c r="Z265" s="2" t="s">
        <v>718</v>
      </c>
      <c r="AA265" s="2" t="s">
        <v>721</v>
      </c>
    </row>
    <row r="266" spans="1:27" x14ac:dyDescent="0.35">
      <c r="A266" s="7" t="s">
        <v>1728</v>
      </c>
      <c r="B266" s="7" t="s">
        <v>928</v>
      </c>
      <c r="C266" s="7" t="str">
        <f>_xlfn.XLOOKUP(B266,'[1]Sheet 1'!$A$2:$A$11107,'[1]Sheet 1'!$D$2:$D$11107,"",0)</f>
        <v>M&amp;S</v>
      </c>
      <c r="D266" s="4" t="str">
        <f>_xlfn.XLOOKUP(A266,[3]Sheet2!$I$2:$I$1623,[3]Sheet2!$D$2:$D$1623,"",0)</f>
        <v>Q4</v>
      </c>
      <c r="E266" s="4" t="s">
        <v>1828</v>
      </c>
      <c r="F266" s="4" t="e">
        <f>_xlfn.XLOOKUP(B266,[2]Sheet2!$E$2:$E$713,[2]Sheet2!$G$2:$G$713)</f>
        <v>#N/A</v>
      </c>
      <c r="G266" s="18">
        <v>46101</v>
      </c>
      <c r="H266" s="14">
        <v>0.76431712962962961</v>
      </c>
      <c r="I266" s="7" t="s">
        <v>17</v>
      </c>
      <c r="J266" s="2" t="str">
        <f t="shared" si="20"/>
        <v>Q4</v>
      </c>
      <c r="K266" s="2" t="str">
        <f t="shared" si="21"/>
        <v>Match</v>
      </c>
      <c r="L266" s="2">
        <f t="shared" si="22"/>
        <v>1.2</v>
      </c>
      <c r="M266" s="2" t="e">
        <f t="shared" si="23"/>
        <v>#N/A</v>
      </c>
      <c r="N266" s="2" t="str">
        <f t="shared" si="24"/>
        <v>Q OK dE&gt;0.8</v>
      </c>
      <c r="O266" s="7">
        <v>33.299999999999997</v>
      </c>
      <c r="P266" s="7">
        <v>-1.1000000000000001</v>
      </c>
      <c r="Q266" s="7">
        <v>4.2</v>
      </c>
      <c r="R266" s="7">
        <v>-0.39</v>
      </c>
      <c r="S266" s="7">
        <v>0</v>
      </c>
      <c r="T266" s="7">
        <v>1.2</v>
      </c>
      <c r="U266" s="7">
        <v>1.43</v>
      </c>
      <c r="V266" s="7">
        <v>-0.48</v>
      </c>
      <c r="W266" s="7">
        <v>1.56</v>
      </c>
      <c r="X266" s="7" t="s">
        <v>6</v>
      </c>
      <c r="Y266" s="7" t="s">
        <v>12</v>
      </c>
      <c r="Z266" s="2" t="s">
        <v>718</v>
      </c>
      <c r="AA266" s="2" t="s">
        <v>721</v>
      </c>
    </row>
    <row r="267" spans="1:27" x14ac:dyDescent="0.35">
      <c r="A267" s="7" t="s">
        <v>1539</v>
      </c>
      <c r="B267" s="7" t="s">
        <v>913</v>
      </c>
      <c r="C267" s="7" t="str">
        <f>_xlfn.XLOOKUP(B267,'[1]Sheet 1'!$A$2:$A$11107,'[1]Sheet 1'!$D$2:$D$11107,"",0)</f>
        <v>M&amp;S</v>
      </c>
      <c r="D267" s="4" t="str">
        <f>_xlfn.XLOOKUP(A267,[3]Sheet2!$I$2:$I$1623,[3]Sheet2!$D$2:$D$1623,"",0)</f>
        <v>Q4</v>
      </c>
      <c r="E267" s="4" t="s">
        <v>1828</v>
      </c>
      <c r="F267" s="4" t="e">
        <f>_xlfn.XLOOKUP(B267,[2]Sheet2!$E$2:$E$713,[2]Sheet2!$G$2:$G$713)</f>
        <v>#N/A</v>
      </c>
      <c r="G267" s="18">
        <v>46101</v>
      </c>
      <c r="H267" s="14">
        <v>0.25931712962962961</v>
      </c>
      <c r="I267" s="7" t="s">
        <v>17</v>
      </c>
      <c r="J267" s="2" t="str">
        <f t="shared" si="20"/>
        <v>Q4</v>
      </c>
      <c r="K267" s="2" t="str">
        <f t="shared" si="21"/>
        <v>Match</v>
      </c>
      <c r="L267" s="2">
        <f t="shared" si="22"/>
        <v>0.7</v>
      </c>
      <c r="M267" s="2" t="e">
        <f t="shared" si="23"/>
        <v>#N/A</v>
      </c>
      <c r="N267" s="2" t="str">
        <f t="shared" si="24"/>
        <v>Q OK dE&gt;0.8</v>
      </c>
      <c r="O267" s="7">
        <v>33.1</v>
      </c>
      <c r="P267" s="7">
        <v>-1.1000000000000001</v>
      </c>
      <c r="Q267" s="7">
        <v>3.8</v>
      </c>
      <c r="R267" s="7">
        <v>-0.52</v>
      </c>
      <c r="S267" s="7">
        <v>0</v>
      </c>
      <c r="T267" s="7">
        <v>0.7</v>
      </c>
      <c r="U267" s="7">
        <v>0.91</v>
      </c>
      <c r="V267" s="7">
        <v>-0.27</v>
      </c>
      <c r="W267" s="7">
        <v>1.0900000000000001</v>
      </c>
      <c r="X267" s="7" t="s">
        <v>6</v>
      </c>
      <c r="Y267" s="7" t="s">
        <v>12</v>
      </c>
      <c r="Z267" s="2" t="s">
        <v>718</v>
      </c>
      <c r="AA267" s="2" t="s">
        <v>721</v>
      </c>
    </row>
    <row r="268" spans="1:27" x14ac:dyDescent="0.35">
      <c r="A268" s="7" t="s">
        <v>1593</v>
      </c>
      <c r="B268" s="7" t="s">
        <v>925</v>
      </c>
      <c r="C268" s="7" t="str">
        <f>_xlfn.XLOOKUP(B268,'[1]Sheet 1'!$A$2:$A$11107,'[1]Sheet 1'!$D$2:$D$11107,"",0)</f>
        <v>LULU</v>
      </c>
      <c r="D268" s="4" t="str">
        <f>_xlfn.XLOOKUP(A268,[3]Sheet2!$I$2:$I$1623,[3]Sheet2!$D$2:$D$1623,"",0)</f>
        <v>Q3</v>
      </c>
      <c r="E268" s="4" t="s">
        <v>1828</v>
      </c>
      <c r="F268" s="4" t="e">
        <f>_xlfn.XLOOKUP(B268,[2]Sheet2!$E$2:$E$713,[2]Sheet2!$G$2:$G$713)</f>
        <v>#N/A</v>
      </c>
      <c r="G268" s="18">
        <v>46101</v>
      </c>
      <c r="H268" s="14">
        <v>0.69965277777777779</v>
      </c>
      <c r="I268" s="7" t="s">
        <v>4</v>
      </c>
      <c r="J268" s="2" t="str">
        <f t="shared" si="20"/>
        <v>Q3</v>
      </c>
      <c r="K268" s="2" t="str">
        <f t="shared" si="21"/>
        <v>Match</v>
      </c>
      <c r="L268" s="2">
        <f t="shared" si="22"/>
        <v>0.3</v>
      </c>
      <c r="M268" s="2" t="e">
        <f t="shared" si="23"/>
        <v>#N/A</v>
      </c>
      <c r="N268" s="2" t="str">
        <f t="shared" si="24"/>
        <v>Q OK dE&lt;=0.8</v>
      </c>
      <c r="O268" s="7">
        <v>23.3</v>
      </c>
      <c r="P268" s="7">
        <v>2.7</v>
      </c>
      <c r="Q268" s="7">
        <v>2.5</v>
      </c>
      <c r="R268" s="7">
        <v>-0.56000000000000005</v>
      </c>
      <c r="S268" s="7">
        <v>0</v>
      </c>
      <c r="T268" s="7">
        <v>0.3</v>
      </c>
      <c r="U268" s="7">
        <v>0.3</v>
      </c>
      <c r="V268" s="7">
        <v>0.35</v>
      </c>
      <c r="W268" s="7">
        <v>0.72</v>
      </c>
      <c r="X268" s="7" t="s">
        <v>8</v>
      </c>
      <c r="Y268" s="7" t="s">
        <v>12</v>
      </c>
      <c r="Z268" s="2" t="s">
        <v>718</v>
      </c>
      <c r="AA268" s="2" t="s">
        <v>721</v>
      </c>
    </row>
    <row r="269" spans="1:27" x14ac:dyDescent="0.35">
      <c r="A269" s="7" t="s">
        <v>1574</v>
      </c>
      <c r="B269" s="7" t="s">
        <v>924</v>
      </c>
      <c r="C269" s="7" t="str">
        <f>_xlfn.XLOOKUP(B269,'[1]Sheet 1'!$A$2:$A$11107,'[1]Sheet 1'!$D$2:$D$11107,"",0)</f>
        <v>PINK</v>
      </c>
      <c r="D269" s="4" t="str">
        <f>_xlfn.XLOOKUP(A269,[3]Sheet2!$I$2:$I$1623,[3]Sheet2!$D$2:$D$1623,"",0)</f>
        <v>Q2</v>
      </c>
      <c r="E269" s="4" t="s">
        <v>1828</v>
      </c>
      <c r="F269" s="4" t="e">
        <f>_xlfn.XLOOKUP(B269,[2]Sheet2!$E$2:$E$713,[2]Sheet2!$G$2:$G$713)</f>
        <v>#N/A</v>
      </c>
      <c r="G269" s="18">
        <v>46101</v>
      </c>
      <c r="H269" s="14">
        <v>0.69734953703703706</v>
      </c>
      <c r="I269" s="7" t="s">
        <v>11</v>
      </c>
      <c r="J269" s="2" t="str">
        <f t="shared" si="20"/>
        <v>Q2</v>
      </c>
      <c r="K269" s="2" t="str">
        <f t="shared" si="21"/>
        <v>Match</v>
      </c>
      <c r="L269" s="2">
        <f t="shared" si="22"/>
        <v>0.4</v>
      </c>
      <c r="M269" s="2" t="e">
        <f t="shared" si="23"/>
        <v>#N/A</v>
      </c>
      <c r="N269" s="2" t="str">
        <f t="shared" si="24"/>
        <v>Q OK dE&lt;=0.8</v>
      </c>
      <c r="O269" s="7">
        <v>19</v>
      </c>
      <c r="P269" s="7">
        <v>-0.2</v>
      </c>
      <c r="Q269" s="7">
        <v>-11.6</v>
      </c>
      <c r="R269" s="7">
        <v>-0.18</v>
      </c>
      <c r="S269" s="7">
        <v>0</v>
      </c>
      <c r="T269" s="7">
        <v>0.4</v>
      </c>
      <c r="U269" s="7">
        <v>-0.32</v>
      </c>
      <c r="V269" s="7">
        <v>0.02</v>
      </c>
      <c r="W269" s="7">
        <v>0.37</v>
      </c>
      <c r="X269" s="7" t="s">
        <v>8</v>
      </c>
      <c r="Y269" s="7" t="s">
        <v>9</v>
      </c>
      <c r="Z269" s="2" t="s">
        <v>718</v>
      </c>
      <c r="AA269" s="2" t="s">
        <v>721</v>
      </c>
    </row>
    <row r="270" spans="1:27" x14ac:dyDescent="0.35">
      <c r="A270" s="7" t="s">
        <v>1540</v>
      </c>
      <c r="B270" s="7" t="s">
        <v>937</v>
      </c>
      <c r="C270" s="7" t="str">
        <f>_xlfn.XLOOKUP(B270,'[1]Sheet 1'!$A$2:$A$11107,'[1]Sheet 1'!$D$2:$D$11107,"",0)</f>
        <v>VSS</v>
      </c>
      <c r="D270" s="4" t="str">
        <f>_xlfn.XLOOKUP(A270,[3]Sheet2!$I$2:$I$1623,[3]Sheet2!$D$2:$D$1623,"",0)</f>
        <v>Q3</v>
      </c>
      <c r="E270" s="4" t="s">
        <v>1828</v>
      </c>
      <c r="F270" s="4" t="e">
        <f>_xlfn.XLOOKUP(B270,[2]Sheet2!$E$2:$E$713,[2]Sheet2!$G$2:$G$713)</f>
        <v>#N/A</v>
      </c>
      <c r="G270" s="18">
        <v>46102</v>
      </c>
      <c r="H270" s="14">
        <v>0.66370370370370368</v>
      </c>
      <c r="I270" s="7" t="s">
        <v>10</v>
      </c>
      <c r="J270" s="2" t="str">
        <f t="shared" si="20"/>
        <v>Q3</v>
      </c>
      <c r="K270" s="2" t="str">
        <f t="shared" si="21"/>
        <v>Match</v>
      </c>
      <c r="L270" s="2">
        <f t="shared" si="22"/>
        <v>0.1</v>
      </c>
      <c r="M270" s="2" t="e">
        <f t="shared" si="23"/>
        <v>#N/A</v>
      </c>
      <c r="N270" s="2" t="str">
        <f t="shared" si="24"/>
        <v>Q OK dE&lt;=0.8</v>
      </c>
      <c r="O270" s="7">
        <v>14</v>
      </c>
      <c r="P270" s="7">
        <v>0.4</v>
      </c>
      <c r="Q270" s="7">
        <v>-1.2</v>
      </c>
      <c r="R270" s="7">
        <v>-0.52</v>
      </c>
      <c r="S270" s="7">
        <v>-0.1</v>
      </c>
      <c r="T270" s="20">
        <v>0</v>
      </c>
      <c r="U270" s="7">
        <v>-0.05</v>
      </c>
      <c r="V270" s="7">
        <v>-0.13</v>
      </c>
      <c r="W270" s="7">
        <v>0.54</v>
      </c>
      <c r="X270" s="7" t="s">
        <v>8</v>
      </c>
      <c r="Y270" s="7" t="s">
        <v>15</v>
      </c>
      <c r="Z270" s="2" t="s">
        <v>718</v>
      </c>
      <c r="AA270" s="2" t="s">
        <v>721</v>
      </c>
    </row>
    <row r="271" spans="1:27" x14ac:dyDescent="0.35">
      <c r="A271" s="7" t="s">
        <v>1516</v>
      </c>
      <c r="B271" s="7" t="s">
        <v>938</v>
      </c>
      <c r="C271" s="7" t="str">
        <f>_xlfn.XLOOKUP(B271,'[1]Sheet 1'!$A$2:$A$11107,'[1]Sheet 1'!$D$2:$D$11107,"",0)</f>
        <v>LBI</v>
      </c>
      <c r="D271" s="4" t="str">
        <f>_xlfn.XLOOKUP(A271,[3]Sheet2!$I$2:$I$1623,[3]Sheet2!$D$2:$D$1623,"",0)</f>
        <v>Q2</v>
      </c>
      <c r="E271" s="4" t="s">
        <v>1828</v>
      </c>
      <c r="F271" s="4" t="e">
        <f>_xlfn.XLOOKUP(B271,[2]Sheet2!$E$2:$E$713,[2]Sheet2!$G$2:$G$713)</f>
        <v>#N/A</v>
      </c>
      <c r="G271" s="18">
        <v>46102</v>
      </c>
      <c r="H271" s="14">
        <v>0.66578703703703701</v>
      </c>
      <c r="I271" s="7" t="s">
        <v>14</v>
      </c>
      <c r="J271" s="2" t="str">
        <f t="shared" si="20"/>
        <v>Q1</v>
      </c>
      <c r="K271" s="2" t="str">
        <f t="shared" si="21"/>
        <v>Not Match</v>
      </c>
      <c r="L271" s="2">
        <f t="shared" si="22"/>
        <v>0.14142135623730953</v>
      </c>
      <c r="M271" s="2" t="e">
        <f t="shared" si="23"/>
        <v>#N/A</v>
      </c>
      <c r="N271" s="2" t="str">
        <f t="shared" si="24"/>
        <v>Q NOT OK dE&gt;0.8</v>
      </c>
      <c r="O271" s="7">
        <v>16.7</v>
      </c>
      <c r="P271" s="7">
        <v>-1.4</v>
      </c>
      <c r="Q271" s="7">
        <v>-2.4</v>
      </c>
      <c r="R271" s="7">
        <v>-1.1100000000000001</v>
      </c>
      <c r="S271" s="7">
        <v>0.1</v>
      </c>
      <c r="T271" s="7">
        <v>0.1</v>
      </c>
      <c r="U271" s="7">
        <v>-0.26</v>
      </c>
      <c r="V271" s="7">
        <v>0.03</v>
      </c>
      <c r="W271" s="7">
        <v>1.1399999999999999</v>
      </c>
      <c r="X271" s="7" t="s">
        <v>6</v>
      </c>
      <c r="Y271" s="7" t="s">
        <v>9</v>
      </c>
      <c r="Z271" s="2" t="s">
        <v>718</v>
      </c>
      <c r="AA271" s="2" t="s">
        <v>721</v>
      </c>
    </row>
    <row r="272" spans="1:27" x14ac:dyDescent="0.35">
      <c r="A272" s="7" t="s">
        <v>1732</v>
      </c>
      <c r="B272" s="7" t="s">
        <v>800</v>
      </c>
      <c r="C272" s="7" t="str">
        <f>_xlfn.XLOOKUP(B272,'[1]Sheet 1'!$A$2:$A$11107,'[1]Sheet 1'!$D$2:$D$11107,"",0)</f>
        <v>NIK</v>
      </c>
      <c r="D272" s="4" t="str">
        <f>_xlfn.XLOOKUP(A272,[3]Sheet2!$I$2:$I$1623,[3]Sheet2!$D$2:$D$1623,"",0)</f>
        <v>Q4</v>
      </c>
      <c r="E272" s="4" t="s">
        <v>1828</v>
      </c>
      <c r="F272" s="4" t="e">
        <f>_xlfn.XLOOKUP(B272,[2]Sheet2!$E$2:$E$713,[2]Sheet2!$G$2:$G$713)</f>
        <v>#N/A</v>
      </c>
      <c r="G272" s="18">
        <v>46102</v>
      </c>
      <c r="H272" s="14">
        <v>0.21098379629629629</v>
      </c>
      <c r="I272" s="7" t="s">
        <v>4</v>
      </c>
      <c r="J272" s="2" t="str">
        <f t="shared" si="20"/>
        <v>Q1</v>
      </c>
      <c r="K272" s="2" t="str">
        <f t="shared" si="21"/>
        <v>Not Match</v>
      </c>
      <c r="L272" s="2">
        <f t="shared" si="22"/>
        <v>1.4317821063276353</v>
      </c>
      <c r="M272" s="2" t="e">
        <f t="shared" si="23"/>
        <v>#N/A</v>
      </c>
      <c r="N272" s="2" t="str">
        <f t="shared" si="24"/>
        <v>Q NOT OK dE&gt;0.8</v>
      </c>
      <c r="O272" s="7">
        <v>39.5</v>
      </c>
      <c r="P272" s="7">
        <v>55.8</v>
      </c>
      <c r="Q272" s="7">
        <v>28.2</v>
      </c>
      <c r="R272" s="7">
        <v>-0.55000000000000004</v>
      </c>
      <c r="S272" s="7">
        <v>0.3</v>
      </c>
      <c r="T272" s="7">
        <v>1.4</v>
      </c>
      <c r="U272" s="7">
        <v>0.33</v>
      </c>
      <c r="V272" s="7">
        <v>0.74</v>
      </c>
      <c r="W272" s="7">
        <v>0.97</v>
      </c>
      <c r="X272" s="7" t="s">
        <v>13</v>
      </c>
      <c r="Y272" s="7" t="s">
        <v>12</v>
      </c>
      <c r="Z272" s="2" t="s">
        <v>718</v>
      </c>
      <c r="AA272" s="2" t="s">
        <v>721</v>
      </c>
    </row>
    <row r="273" spans="1:27" x14ac:dyDescent="0.35">
      <c r="A273" s="7" t="s">
        <v>1515</v>
      </c>
      <c r="B273" s="7" t="s">
        <v>931</v>
      </c>
      <c r="C273" s="7" t="str">
        <f>_xlfn.XLOOKUP(B273,'[1]Sheet 1'!$A$2:$A$11107,'[1]Sheet 1'!$D$2:$D$11107,"",0)</f>
        <v>VSS</v>
      </c>
      <c r="D273" s="4" t="str">
        <f>_xlfn.XLOOKUP(A273,[3]Sheet2!$I$2:$I$1623,[3]Sheet2!$D$2:$D$1623,"",0)</f>
        <v>Q3</v>
      </c>
      <c r="E273" s="4" t="s">
        <v>1828</v>
      </c>
      <c r="F273" s="4" t="e">
        <f>_xlfn.XLOOKUP(B273,[2]Sheet2!$E$2:$E$713,[2]Sheet2!$G$2:$G$713)</f>
        <v>#N/A</v>
      </c>
      <c r="G273" s="18">
        <v>46102</v>
      </c>
      <c r="H273" s="14">
        <v>0.25780092592592591</v>
      </c>
      <c r="I273" s="7" t="s">
        <v>10</v>
      </c>
      <c r="J273" s="2" t="str">
        <f t="shared" si="20"/>
        <v>Q3</v>
      </c>
      <c r="K273" s="2" t="str">
        <f t="shared" si="21"/>
        <v>Match</v>
      </c>
      <c r="L273" s="2">
        <f t="shared" si="22"/>
        <v>0.22360679774997899</v>
      </c>
      <c r="M273" s="2" t="e">
        <f t="shared" si="23"/>
        <v>#N/A</v>
      </c>
      <c r="N273" s="2" t="str">
        <f t="shared" si="24"/>
        <v>Q OK dE&gt;0.8</v>
      </c>
      <c r="O273" s="7">
        <v>14.2</v>
      </c>
      <c r="P273" s="7">
        <v>0</v>
      </c>
      <c r="Q273" s="7">
        <v>-2</v>
      </c>
      <c r="R273" s="7">
        <v>-0.79</v>
      </c>
      <c r="S273" s="7">
        <v>-0.1</v>
      </c>
      <c r="T273" s="7">
        <v>-0.2</v>
      </c>
      <c r="U273" s="7">
        <v>0.38</v>
      </c>
      <c r="V273" s="7">
        <v>-0.17</v>
      </c>
      <c r="W273" s="7">
        <v>0.89</v>
      </c>
      <c r="X273" s="7" t="s">
        <v>13</v>
      </c>
      <c r="Y273" s="7" t="s">
        <v>15</v>
      </c>
      <c r="Z273" s="2" t="s">
        <v>718</v>
      </c>
      <c r="AA273" s="2" t="s">
        <v>721</v>
      </c>
    </row>
    <row r="274" spans="1:27" x14ac:dyDescent="0.35">
      <c r="A274" s="7" t="s">
        <v>1535</v>
      </c>
      <c r="B274" s="7" t="s">
        <v>944</v>
      </c>
      <c r="C274" s="7" t="str">
        <f>_xlfn.XLOOKUP(B274,'[1]Sheet 1'!$A$2:$A$11107,'[1]Sheet 1'!$D$2:$D$11107,"",0)</f>
        <v>WACE</v>
      </c>
      <c r="D274" s="4" t="str">
        <f>_xlfn.XLOOKUP(A274,[3]Sheet2!$I$2:$I$1623,[3]Sheet2!$D$2:$D$1623,"",0)</f>
        <v>Q3</v>
      </c>
      <c r="E274" s="4" t="s">
        <v>1828</v>
      </c>
      <c r="F274" s="4" t="e">
        <f>_xlfn.XLOOKUP(B274,[2]Sheet2!$E$2:$E$713,[2]Sheet2!$G$2:$G$713)</f>
        <v>#N/A</v>
      </c>
      <c r="G274" s="18">
        <v>46102</v>
      </c>
      <c r="H274" s="14">
        <v>0.76523148148148146</v>
      </c>
      <c r="I274" s="7" t="s">
        <v>4</v>
      </c>
      <c r="J274" s="2" t="str">
        <f t="shared" si="20"/>
        <v>Q1</v>
      </c>
      <c r="K274" s="2" t="str">
        <f t="shared" si="21"/>
        <v>Not Match</v>
      </c>
      <c r="L274" s="2">
        <f t="shared" si="22"/>
        <v>0.60827625302982191</v>
      </c>
      <c r="M274" s="2" t="e">
        <f t="shared" si="23"/>
        <v>#N/A</v>
      </c>
      <c r="N274" s="2" t="str">
        <f t="shared" si="24"/>
        <v>Q NOT OK dE&gt;0.8</v>
      </c>
      <c r="O274" s="7">
        <v>16.8</v>
      </c>
      <c r="P274" s="7">
        <v>-0.9</v>
      </c>
      <c r="Q274" s="7">
        <v>-1.9</v>
      </c>
      <c r="R274" s="7">
        <v>-0.47</v>
      </c>
      <c r="S274" s="7">
        <v>0.1</v>
      </c>
      <c r="T274" s="7">
        <v>0.6</v>
      </c>
      <c r="U274" s="7">
        <v>-0.75</v>
      </c>
      <c r="V274" s="7">
        <v>-0.18</v>
      </c>
      <c r="W274" s="7">
        <v>0.9</v>
      </c>
      <c r="X274" s="7" t="s">
        <v>13</v>
      </c>
      <c r="Y274" s="7" t="s">
        <v>15</v>
      </c>
      <c r="Z274" s="2" t="s">
        <v>718</v>
      </c>
      <c r="AA274" s="2" t="s">
        <v>721</v>
      </c>
    </row>
    <row r="275" spans="1:27" x14ac:dyDescent="0.35">
      <c r="A275" s="7" t="s">
        <v>1733</v>
      </c>
      <c r="B275" s="7" t="s">
        <v>948</v>
      </c>
      <c r="C275" s="7" t="str">
        <f>_xlfn.XLOOKUP(B275,'[1]Sheet 1'!$A$2:$A$11107,'[1]Sheet 1'!$D$2:$D$11107,"",0)</f>
        <v>INT1</v>
      </c>
      <c r="D275" s="4" t="str">
        <f>_xlfn.XLOOKUP(A275,[3]Sheet2!$I$2:$I$1623,[3]Sheet2!$D$2:$D$1623,"",0)</f>
        <v>Q2</v>
      </c>
      <c r="E275" s="4" t="s">
        <v>1828</v>
      </c>
      <c r="F275" s="4" t="e">
        <f>_xlfn.XLOOKUP(B275,[2]Sheet2!$E$2:$E$713,[2]Sheet2!$G$2:$G$713)</f>
        <v>#N/A</v>
      </c>
      <c r="G275" s="18">
        <v>46102</v>
      </c>
      <c r="H275" s="14">
        <v>0.77835648148148151</v>
      </c>
      <c r="I275" s="7" t="s">
        <v>5</v>
      </c>
      <c r="J275" s="2" t="str">
        <f t="shared" si="20"/>
        <v>Q4</v>
      </c>
      <c r="K275" s="2" t="str">
        <f t="shared" si="21"/>
        <v>Not Match</v>
      </c>
      <c r="L275" s="2">
        <f t="shared" si="22"/>
        <v>0.14142135623730953</v>
      </c>
      <c r="M275" s="2" t="e">
        <f t="shared" si="23"/>
        <v>#N/A</v>
      </c>
      <c r="N275" s="2" t="str">
        <f t="shared" si="24"/>
        <v>Q NOT OK dE&lt;=0.8</v>
      </c>
      <c r="O275" s="7">
        <v>15.4</v>
      </c>
      <c r="P275" s="7">
        <v>0</v>
      </c>
      <c r="Q275" s="7">
        <v>-0.6</v>
      </c>
      <c r="R275" s="7">
        <v>-7.0000000000000007E-2</v>
      </c>
      <c r="S275" s="7">
        <v>0.1</v>
      </c>
      <c r="T275" s="7">
        <v>-0.1</v>
      </c>
      <c r="U275" s="7">
        <v>0.14000000000000001</v>
      </c>
      <c r="V275" s="7">
        <v>0.23</v>
      </c>
      <c r="W275" s="7">
        <v>0.28000000000000003</v>
      </c>
      <c r="X275" s="7" t="s">
        <v>8</v>
      </c>
      <c r="Y275" s="7" t="s">
        <v>9</v>
      </c>
      <c r="Z275" s="2" t="s">
        <v>718</v>
      </c>
      <c r="AA275" s="2" t="s">
        <v>721</v>
      </c>
    </row>
    <row r="276" spans="1:27" x14ac:dyDescent="0.35">
      <c r="A276" s="7" t="s">
        <v>1509</v>
      </c>
      <c r="B276" s="7" t="s">
        <v>799</v>
      </c>
      <c r="C276" s="7" t="str">
        <f>_xlfn.XLOOKUP(B276,'[1]Sheet 1'!$A$2:$A$11107,'[1]Sheet 1'!$D$2:$D$11107,"",0)</f>
        <v>LBI</v>
      </c>
      <c r="D276" s="4" t="str">
        <f>_xlfn.XLOOKUP(A276,[3]Sheet2!$I$2:$I$1623,[3]Sheet2!$D$2:$D$1623,"",0)</f>
        <v>Q2</v>
      </c>
      <c r="E276" s="4" t="s">
        <v>1828</v>
      </c>
      <c r="F276" s="4" t="e">
        <f>_xlfn.XLOOKUP(B276,[2]Sheet2!$E$2:$E$713,[2]Sheet2!$G$2:$G$713)</f>
        <v>#N/A</v>
      </c>
      <c r="G276" s="18">
        <v>46102</v>
      </c>
      <c r="H276" s="14">
        <v>0.10526620370370371</v>
      </c>
      <c r="I276" s="7" t="s">
        <v>14</v>
      </c>
      <c r="J276" s="2" t="str">
        <f t="shared" si="20"/>
        <v>Q2</v>
      </c>
      <c r="K276" s="2" t="str">
        <f t="shared" si="21"/>
        <v>Match</v>
      </c>
      <c r="L276" s="2">
        <f t="shared" si="22"/>
        <v>0</v>
      </c>
      <c r="M276" s="2" t="e">
        <f t="shared" si="23"/>
        <v>#N/A</v>
      </c>
      <c r="N276" s="2" t="str">
        <f t="shared" si="24"/>
        <v>Q OK dE&lt;=0.8</v>
      </c>
      <c r="O276" s="7">
        <v>15.7</v>
      </c>
      <c r="P276" s="7">
        <v>-0.8</v>
      </c>
      <c r="Q276" s="7">
        <v>-3</v>
      </c>
      <c r="R276" s="7">
        <v>-0.6</v>
      </c>
      <c r="S276" s="7">
        <v>0</v>
      </c>
      <c r="T276" s="20">
        <v>0</v>
      </c>
      <c r="U276" s="7">
        <v>-0.12</v>
      </c>
      <c r="V276" s="7">
        <v>0.06</v>
      </c>
      <c r="W276" s="7">
        <v>0.62</v>
      </c>
      <c r="X276" s="7" t="s">
        <v>8</v>
      </c>
      <c r="Y276" s="7" t="s">
        <v>9</v>
      </c>
      <c r="Z276" s="2" t="s">
        <v>718</v>
      </c>
      <c r="AA276" s="2" t="s">
        <v>721</v>
      </c>
    </row>
    <row r="277" spans="1:27" x14ac:dyDescent="0.35">
      <c r="A277" s="7" t="s">
        <v>1685</v>
      </c>
      <c r="B277" s="7" t="s">
        <v>936</v>
      </c>
      <c r="C277" s="7" t="str">
        <f>_xlfn.XLOOKUP(B277,'[1]Sheet 1'!$A$2:$A$11107,'[1]Sheet 1'!$D$2:$D$11107,"",0)</f>
        <v>ESS2</v>
      </c>
      <c r="D277" s="4" t="str">
        <f>_xlfn.XLOOKUP(A277,[3]Sheet2!$I$2:$I$1623,[3]Sheet2!$D$2:$D$1623,"",0)</f>
        <v>Q1</v>
      </c>
      <c r="E277" s="4" t="s">
        <v>1828</v>
      </c>
      <c r="F277" s="4" t="e">
        <f>_xlfn.XLOOKUP(B277,[2]Sheet2!$E$2:$E$713,[2]Sheet2!$G$2:$G$713)</f>
        <v>#N/A</v>
      </c>
      <c r="G277" s="18">
        <v>46102</v>
      </c>
      <c r="H277" s="14">
        <v>0.66121527777777778</v>
      </c>
      <c r="I277" s="7" t="s">
        <v>4</v>
      </c>
      <c r="J277" s="2" t="str">
        <f t="shared" si="20"/>
        <v>Q1</v>
      </c>
      <c r="K277" s="2" t="str">
        <f t="shared" si="21"/>
        <v>Match</v>
      </c>
      <c r="L277" s="2">
        <f t="shared" si="22"/>
        <v>0.1</v>
      </c>
      <c r="M277" s="2" t="e">
        <f t="shared" si="23"/>
        <v>#N/A</v>
      </c>
      <c r="N277" s="2" t="str">
        <f t="shared" si="24"/>
        <v>Q OK dE&lt;=0.8</v>
      </c>
      <c r="O277" s="7">
        <v>15.8</v>
      </c>
      <c r="P277" s="7">
        <v>-0.9</v>
      </c>
      <c r="Q277" s="7">
        <v>-3.3</v>
      </c>
      <c r="R277" s="7">
        <v>-0.39</v>
      </c>
      <c r="S277" s="7">
        <v>0</v>
      </c>
      <c r="T277" s="7">
        <v>0.1</v>
      </c>
      <c r="U277" s="7">
        <v>-0.17</v>
      </c>
      <c r="V277" s="7">
        <v>0.03</v>
      </c>
      <c r="W277" s="7">
        <v>0.43</v>
      </c>
      <c r="X277" s="7" t="s">
        <v>8</v>
      </c>
      <c r="Y277" s="7" t="s">
        <v>9</v>
      </c>
      <c r="Z277" s="2" t="s">
        <v>718</v>
      </c>
      <c r="AA277" s="2" t="s">
        <v>721</v>
      </c>
    </row>
    <row r="278" spans="1:27" x14ac:dyDescent="0.35">
      <c r="A278" s="7" t="s">
        <v>1625</v>
      </c>
      <c r="B278" s="7" t="s">
        <v>939</v>
      </c>
      <c r="C278" s="7" t="str">
        <f>_xlfn.XLOOKUP(B278,'[1]Sheet 1'!$A$2:$A$11107,'[1]Sheet 1'!$D$2:$D$11107,"",0)</f>
        <v>CK</v>
      </c>
      <c r="D278" s="4" t="str">
        <f>_xlfn.XLOOKUP(A278,[3]Sheet2!$I$2:$I$1623,[3]Sheet2!$D$2:$D$1623,"",0)</f>
        <v>Q1</v>
      </c>
      <c r="E278" s="4" t="s">
        <v>1828</v>
      </c>
      <c r="F278" s="4" t="e">
        <f>_xlfn.XLOOKUP(B278,[2]Sheet2!$E$2:$E$713,[2]Sheet2!$G$2:$G$713)</f>
        <v>#N/A</v>
      </c>
      <c r="G278" s="18">
        <v>46102</v>
      </c>
      <c r="H278" s="14">
        <v>0.66849537037037032</v>
      </c>
      <c r="I278" s="7" t="s">
        <v>11</v>
      </c>
      <c r="J278" s="2" t="str">
        <f t="shared" si="20"/>
        <v>Q1</v>
      </c>
      <c r="K278" s="2" t="str">
        <f t="shared" si="21"/>
        <v>Match</v>
      </c>
      <c r="L278" s="2">
        <f t="shared" si="22"/>
        <v>0</v>
      </c>
      <c r="M278" s="2" t="e">
        <f t="shared" si="23"/>
        <v>#N/A</v>
      </c>
      <c r="N278" s="2" t="str">
        <f t="shared" si="24"/>
        <v>Q OK dE&lt;=0.8</v>
      </c>
      <c r="O278" s="7">
        <v>19.8</v>
      </c>
      <c r="P278" s="7">
        <v>-0.3</v>
      </c>
      <c r="Q278" s="7">
        <v>-4.0999999999999996</v>
      </c>
      <c r="R278" s="7">
        <v>-0.28000000000000003</v>
      </c>
      <c r="S278" s="7">
        <v>0</v>
      </c>
      <c r="T278" s="20">
        <v>0</v>
      </c>
      <c r="U278" s="7">
        <v>-0.01</v>
      </c>
      <c r="V278" s="7">
        <v>0.12</v>
      </c>
      <c r="W278" s="7">
        <v>0.3</v>
      </c>
      <c r="X278" s="7" t="s">
        <v>8</v>
      </c>
      <c r="Y278" s="7" t="s">
        <v>9</v>
      </c>
      <c r="Z278" s="2" t="s">
        <v>718</v>
      </c>
      <c r="AA278" s="2" t="s">
        <v>721</v>
      </c>
    </row>
    <row r="279" spans="1:27" x14ac:dyDescent="0.35">
      <c r="A279" s="7" t="s">
        <v>1500</v>
      </c>
      <c r="B279" s="7" t="s">
        <v>942</v>
      </c>
      <c r="C279" s="7" t="str">
        <f>_xlfn.XLOOKUP(B279,'[1]Sheet 1'!$A$2:$A$11107,'[1]Sheet 1'!$D$2:$D$11107,"",0)</f>
        <v>LULU</v>
      </c>
      <c r="D279" s="4" t="str">
        <f>_xlfn.XLOOKUP(A279,[3]Sheet2!$I$2:$I$1623,[3]Sheet2!$D$2:$D$1623,"",0)</f>
        <v>Q2</v>
      </c>
      <c r="E279" s="4" t="s">
        <v>1828</v>
      </c>
      <c r="F279" s="4" t="e">
        <f>_xlfn.XLOOKUP(B279,[2]Sheet2!$E$2:$E$713,[2]Sheet2!$G$2:$G$713)</f>
        <v>#N/A</v>
      </c>
      <c r="G279" s="18">
        <v>46102</v>
      </c>
      <c r="H279" s="14">
        <v>0.6752083333333333</v>
      </c>
      <c r="I279" s="7" t="s">
        <v>4</v>
      </c>
      <c r="J279" s="2" t="str">
        <f t="shared" si="20"/>
        <v>Q2</v>
      </c>
      <c r="K279" s="2" t="str">
        <f t="shared" si="21"/>
        <v>Match</v>
      </c>
      <c r="L279" s="2">
        <f t="shared" si="22"/>
        <v>0.1</v>
      </c>
      <c r="M279" s="2" t="e">
        <f t="shared" si="23"/>
        <v>#N/A</v>
      </c>
      <c r="N279" s="2" t="str">
        <f t="shared" si="24"/>
        <v>Q OK dE&gt;0.8</v>
      </c>
      <c r="O279" s="7">
        <v>16.899999999999999</v>
      </c>
      <c r="P279" s="7">
        <v>-0.8</v>
      </c>
      <c r="Q279" s="7">
        <v>-0.9</v>
      </c>
      <c r="R279" s="7">
        <v>-0.98</v>
      </c>
      <c r="S279" s="7">
        <v>0.1</v>
      </c>
      <c r="T279" s="20">
        <v>0</v>
      </c>
      <c r="U279" s="7">
        <v>-0.18</v>
      </c>
      <c r="V279" s="7">
        <v>0.02</v>
      </c>
      <c r="W279" s="7">
        <v>0.99</v>
      </c>
      <c r="X279" s="7" t="s">
        <v>13</v>
      </c>
      <c r="Y279" s="7" t="s">
        <v>7</v>
      </c>
      <c r="Z279" s="2" t="s">
        <v>718</v>
      </c>
      <c r="AA279" s="2" t="s">
        <v>721</v>
      </c>
    </row>
    <row r="280" spans="1:27" x14ac:dyDescent="0.35">
      <c r="A280" s="7" t="s">
        <v>1734</v>
      </c>
      <c r="B280" s="7" t="s">
        <v>949</v>
      </c>
      <c r="C280" s="7" t="str">
        <f>_xlfn.XLOOKUP(B280,'[1]Sheet 1'!$A$2:$A$11107,'[1]Sheet 1'!$D$2:$D$11107,"",0)</f>
        <v>CHICOS</v>
      </c>
      <c r="D280" s="4" t="str">
        <f>_xlfn.XLOOKUP(A280,[3]Sheet2!$I$2:$I$1623,[3]Sheet2!$D$2:$D$1623,"",0)</f>
        <v>Q4</v>
      </c>
      <c r="E280" s="4" t="s">
        <v>1828</v>
      </c>
      <c r="F280" s="4" t="e">
        <f>_xlfn.XLOOKUP(B280,[2]Sheet2!$E$2:$E$713,[2]Sheet2!$G$2:$G$713)</f>
        <v>#N/A</v>
      </c>
      <c r="G280" s="18">
        <v>46102</v>
      </c>
      <c r="H280" s="14">
        <v>0.7802662037037037</v>
      </c>
      <c r="I280" s="7" t="s">
        <v>4</v>
      </c>
      <c r="J280" s="2" t="str">
        <f t="shared" si="20"/>
        <v>Q4</v>
      </c>
      <c r="K280" s="2" t="str">
        <f t="shared" si="21"/>
        <v>Match</v>
      </c>
      <c r="L280" s="2">
        <f t="shared" si="22"/>
        <v>0.22360679774997899</v>
      </c>
      <c r="M280" s="2" t="e">
        <f t="shared" si="23"/>
        <v>#N/A</v>
      </c>
      <c r="N280" s="2" t="str">
        <f t="shared" si="24"/>
        <v>Q OK dE&lt;=0.8</v>
      </c>
      <c r="O280" s="7">
        <v>15.4</v>
      </c>
      <c r="P280" s="7">
        <v>-0.4</v>
      </c>
      <c r="Q280" s="7">
        <v>-1.7</v>
      </c>
      <c r="R280" s="7">
        <v>-0.44</v>
      </c>
      <c r="S280" s="7">
        <v>0.1</v>
      </c>
      <c r="T280" s="7">
        <v>-0.2</v>
      </c>
      <c r="U280" s="7">
        <v>0.17</v>
      </c>
      <c r="V280" s="7">
        <v>0.32</v>
      </c>
      <c r="W280" s="7">
        <v>0.56999999999999995</v>
      </c>
      <c r="X280" s="7" t="s">
        <v>8</v>
      </c>
      <c r="Y280" s="7" t="s">
        <v>9</v>
      </c>
      <c r="Z280" s="2" t="s">
        <v>718</v>
      </c>
      <c r="AA280" s="2" t="s">
        <v>721</v>
      </c>
    </row>
    <row r="281" spans="1:27" x14ac:dyDescent="0.35">
      <c r="A281" s="7" t="s">
        <v>1687</v>
      </c>
      <c r="B281" s="7" t="s">
        <v>932</v>
      </c>
      <c r="C281" s="7" t="str">
        <f>_xlfn.XLOOKUP(B281,'[1]Sheet 1'!$A$2:$A$11107,'[1]Sheet 1'!$D$2:$D$11107,"",0)</f>
        <v>NIK</v>
      </c>
      <c r="D281" s="4" t="str">
        <f>_xlfn.XLOOKUP(A281,[3]Sheet2!$I$2:$I$1623,[3]Sheet2!$D$2:$D$1623,"",0)</f>
        <v>Q3</v>
      </c>
      <c r="E281" s="4" t="s">
        <v>1828</v>
      </c>
      <c r="F281" s="4" t="e">
        <f>_xlfn.XLOOKUP(B281,[2]Sheet2!$E$2:$E$713,[2]Sheet2!$G$2:$G$713)</f>
        <v>#N/A</v>
      </c>
      <c r="G281" s="18">
        <v>46102</v>
      </c>
      <c r="H281" s="14">
        <v>0.50252314814814814</v>
      </c>
      <c r="I281" s="7" t="s">
        <v>4</v>
      </c>
      <c r="J281" s="2" t="str">
        <f t="shared" si="20"/>
        <v>Q3</v>
      </c>
      <c r="K281" s="2" t="str">
        <f t="shared" si="21"/>
        <v>Match</v>
      </c>
      <c r="L281" s="2">
        <f t="shared" si="22"/>
        <v>0.2</v>
      </c>
      <c r="M281" s="2" t="e">
        <f t="shared" si="23"/>
        <v>#N/A</v>
      </c>
      <c r="N281" s="2" t="str">
        <f t="shared" si="24"/>
        <v>Q OK dE&lt;=0.8</v>
      </c>
      <c r="O281" s="7">
        <v>34.6</v>
      </c>
      <c r="P281" s="7">
        <v>11.1</v>
      </c>
      <c r="Q281" s="7">
        <v>11</v>
      </c>
      <c r="R281" s="7">
        <v>0.37</v>
      </c>
      <c r="S281" s="7">
        <v>-0.2</v>
      </c>
      <c r="T281" s="20">
        <v>0</v>
      </c>
      <c r="U281" s="7">
        <v>-0.15</v>
      </c>
      <c r="V281" s="7">
        <v>0.22</v>
      </c>
      <c r="W281" s="7">
        <v>0.45</v>
      </c>
      <c r="X281" s="7" t="s">
        <v>8</v>
      </c>
      <c r="Y281" s="7" t="s">
        <v>12</v>
      </c>
      <c r="Z281" s="2" t="s">
        <v>718</v>
      </c>
      <c r="AA281" s="2" t="s">
        <v>721</v>
      </c>
    </row>
    <row r="282" spans="1:27" x14ac:dyDescent="0.35">
      <c r="A282" s="7" t="s">
        <v>1558</v>
      </c>
      <c r="B282" s="7" t="s">
        <v>933</v>
      </c>
      <c r="C282" s="7" t="str">
        <f>_xlfn.XLOOKUP(B282,'[1]Sheet 1'!$A$2:$A$11107,'[1]Sheet 1'!$D$2:$D$11107,"",0)</f>
        <v>M&amp;S</v>
      </c>
      <c r="D282" s="4" t="str">
        <f>_xlfn.XLOOKUP(A282,[3]Sheet2!$I$2:$I$1623,[3]Sheet2!$D$2:$D$1623,"",0)</f>
        <v>Q3</v>
      </c>
      <c r="E282" s="4" t="s">
        <v>1828</v>
      </c>
      <c r="F282" s="4" t="e">
        <f>_xlfn.XLOOKUP(B282,[2]Sheet2!$E$2:$E$713,[2]Sheet2!$G$2:$G$713)</f>
        <v>#N/A</v>
      </c>
      <c r="G282" s="18">
        <v>46102</v>
      </c>
      <c r="H282" s="14">
        <v>0.53670138888888885</v>
      </c>
      <c r="I282" s="7" t="s">
        <v>17</v>
      </c>
      <c r="J282" s="2" t="str">
        <f t="shared" si="20"/>
        <v>Q3</v>
      </c>
      <c r="K282" s="2" t="str">
        <f t="shared" si="21"/>
        <v>Match</v>
      </c>
      <c r="L282" s="2">
        <f t="shared" si="22"/>
        <v>0.22360679774997899</v>
      </c>
      <c r="M282" s="2" t="e">
        <f t="shared" si="23"/>
        <v>#N/A</v>
      </c>
      <c r="N282" s="2" t="str">
        <f t="shared" si="24"/>
        <v>Q OK dE&lt;=0.8</v>
      </c>
      <c r="O282" s="7">
        <v>15.6</v>
      </c>
      <c r="P282" s="7">
        <v>-0.7</v>
      </c>
      <c r="Q282" s="7">
        <v>-1.9</v>
      </c>
      <c r="R282" s="7">
        <v>0.04</v>
      </c>
      <c r="S282" s="7">
        <v>-0.2</v>
      </c>
      <c r="T282" s="7">
        <v>-0.1</v>
      </c>
      <c r="U282" s="7">
        <v>0.27</v>
      </c>
      <c r="V282" s="7">
        <v>-0.22</v>
      </c>
      <c r="W282" s="7">
        <v>0.35</v>
      </c>
      <c r="X282" s="7" t="s">
        <v>8</v>
      </c>
      <c r="Y282" s="7" t="s">
        <v>15</v>
      </c>
      <c r="Z282" s="2" t="s">
        <v>718</v>
      </c>
      <c r="AA282" s="2" t="s">
        <v>721</v>
      </c>
    </row>
    <row r="283" spans="1:27" x14ac:dyDescent="0.35">
      <c r="A283" s="7" t="s">
        <v>1558</v>
      </c>
      <c r="B283" s="7" t="s">
        <v>935</v>
      </c>
      <c r="C283" s="7" t="str">
        <f>_xlfn.XLOOKUP(B283,'[1]Sheet 1'!$A$2:$A$11107,'[1]Sheet 1'!$D$2:$D$11107,"",0)</f>
        <v>M&amp;S</v>
      </c>
      <c r="D283" s="4" t="str">
        <f>_xlfn.XLOOKUP(A283,[3]Sheet2!$I$2:$I$1623,[3]Sheet2!$D$2:$D$1623,"",0)</f>
        <v>Q3</v>
      </c>
      <c r="E283" s="4" t="s">
        <v>1828</v>
      </c>
      <c r="F283" s="4" t="e">
        <f>_xlfn.XLOOKUP(B283,[2]Sheet2!$E$2:$E$713,[2]Sheet2!$G$2:$G$713)</f>
        <v>#N/A</v>
      </c>
      <c r="G283" s="18">
        <v>46102</v>
      </c>
      <c r="H283" s="14">
        <v>0.65111111111111108</v>
      </c>
      <c r="I283" s="7" t="s">
        <v>17</v>
      </c>
      <c r="J283" s="2" t="str">
        <f t="shared" si="20"/>
        <v>Q3</v>
      </c>
      <c r="K283" s="2" t="str">
        <f t="shared" si="21"/>
        <v>Match</v>
      </c>
      <c r="L283" s="2">
        <f t="shared" si="22"/>
        <v>0.1</v>
      </c>
      <c r="M283" s="2" t="e">
        <f t="shared" si="23"/>
        <v>#N/A</v>
      </c>
      <c r="N283" s="2" t="str">
        <f t="shared" si="24"/>
        <v>Q OK dE&gt;0.8</v>
      </c>
      <c r="O283" s="7">
        <v>14.4</v>
      </c>
      <c r="P283" s="7">
        <v>-0.6</v>
      </c>
      <c r="Q283" s="7">
        <v>-1.8</v>
      </c>
      <c r="R283" s="7">
        <v>-1.17</v>
      </c>
      <c r="S283" s="7">
        <v>-0.1</v>
      </c>
      <c r="T283" s="20">
        <v>0</v>
      </c>
      <c r="U283" s="7">
        <v>0.14000000000000001</v>
      </c>
      <c r="V283" s="7">
        <v>-0.17</v>
      </c>
      <c r="W283" s="7">
        <v>1.19</v>
      </c>
      <c r="X283" s="7" t="s">
        <v>6</v>
      </c>
      <c r="Y283" s="7" t="s">
        <v>15</v>
      </c>
      <c r="Z283" s="2" t="s">
        <v>718</v>
      </c>
      <c r="AA283" s="2" t="s">
        <v>721</v>
      </c>
    </row>
    <row r="284" spans="1:27" x14ac:dyDescent="0.35">
      <c r="A284" s="7" t="s">
        <v>1593</v>
      </c>
      <c r="B284" s="7" t="s">
        <v>797</v>
      </c>
      <c r="C284" s="7" t="str">
        <f>_xlfn.XLOOKUP(B284,'[1]Sheet 1'!$A$2:$A$11107,'[1]Sheet 1'!$D$2:$D$11107,"",0)</f>
        <v>LULU</v>
      </c>
      <c r="D284" s="4" t="str">
        <f>_xlfn.XLOOKUP(A284,[3]Sheet2!$I$2:$I$1623,[3]Sheet2!$D$2:$D$1623,"",0)</f>
        <v>Q3</v>
      </c>
      <c r="E284" s="4" t="s">
        <v>1828</v>
      </c>
      <c r="F284" s="4" t="e">
        <f>_xlfn.XLOOKUP(B284,[2]Sheet2!$E$2:$E$713,[2]Sheet2!$G$2:$G$713)</f>
        <v>#N/A</v>
      </c>
      <c r="G284" s="18">
        <v>46102</v>
      </c>
      <c r="H284" s="14">
        <v>8.953703703703704E-2</v>
      </c>
      <c r="I284" s="7" t="s">
        <v>4</v>
      </c>
      <c r="J284" s="2" t="str">
        <f t="shared" si="20"/>
        <v>Q3</v>
      </c>
      <c r="K284" s="2" t="str">
        <f t="shared" si="21"/>
        <v>Match</v>
      </c>
      <c r="L284" s="2">
        <f t="shared" si="22"/>
        <v>0.3</v>
      </c>
      <c r="M284" s="2" t="e">
        <f t="shared" si="23"/>
        <v>#N/A</v>
      </c>
      <c r="N284" s="2" t="str">
        <f t="shared" si="24"/>
        <v>Q OK dE&gt;0.8</v>
      </c>
      <c r="O284" s="7">
        <v>22.6</v>
      </c>
      <c r="P284" s="7">
        <v>2.7</v>
      </c>
      <c r="Q284" s="7">
        <v>2.5</v>
      </c>
      <c r="R284" s="7">
        <v>-1.05</v>
      </c>
      <c r="S284" s="7">
        <v>0</v>
      </c>
      <c r="T284" s="7">
        <v>0.3</v>
      </c>
      <c r="U284" s="7">
        <v>0.23</v>
      </c>
      <c r="V284" s="7">
        <v>0.39</v>
      </c>
      <c r="W284" s="7">
        <v>1.1499999999999999</v>
      </c>
      <c r="X284" s="7" t="s">
        <v>6</v>
      </c>
      <c r="Y284" s="7" t="s">
        <v>12</v>
      </c>
      <c r="Z284" s="2" t="s">
        <v>718</v>
      </c>
      <c r="AA284" s="2" t="s">
        <v>721</v>
      </c>
    </row>
    <row r="285" spans="1:27" x14ac:dyDescent="0.35">
      <c r="A285" s="7" t="s">
        <v>1540</v>
      </c>
      <c r="B285" s="7" t="s">
        <v>947</v>
      </c>
      <c r="C285" s="7" t="str">
        <f>_xlfn.XLOOKUP(B285,'[1]Sheet 1'!$A$2:$A$11107,'[1]Sheet 1'!$D$2:$D$11107,"",0)</f>
        <v>VSS</v>
      </c>
      <c r="D285" s="4" t="str">
        <f>_xlfn.XLOOKUP(A285,[3]Sheet2!$I$2:$I$1623,[3]Sheet2!$D$2:$D$1623,"",0)</f>
        <v>Q3</v>
      </c>
      <c r="E285" s="4" t="s">
        <v>1828</v>
      </c>
      <c r="F285" s="4" t="e">
        <f>_xlfn.XLOOKUP(B285,[2]Sheet2!$E$2:$E$713,[2]Sheet2!$G$2:$G$713)</f>
        <v>#N/A</v>
      </c>
      <c r="G285" s="18">
        <v>46102</v>
      </c>
      <c r="H285" s="14">
        <v>0.7754050925925926</v>
      </c>
      <c r="I285" s="7" t="s">
        <v>10</v>
      </c>
      <c r="J285" s="2" t="str">
        <f t="shared" si="20"/>
        <v>Q3</v>
      </c>
      <c r="K285" s="2" t="str">
        <f t="shared" si="21"/>
        <v>Match</v>
      </c>
      <c r="L285" s="2">
        <f t="shared" si="22"/>
        <v>0.1</v>
      </c>
      <c r="M285" s="2" t="e">
        <f t="shared" si="23"/>
        <v>#N/A</v>
      </c>
      <c r="N285" s="2" t="str">
        <f t="shared" si="24"/>
        <v>Q OK dE&gt;0.8</v>
      </c>
      <c r="O285" s="7">
        <v>13.6</v>
      </c>
      <c r="P285" s="7">
        <v>0.5</v>
      </c>
      <c r="Q285" s="7">
        <v>-1.1000000000000001</v>
      </c>
      <c r="R285" s="7">
        <v>-0.91</v>
      </c>
      <c r="S285" s="7">
        <v>0</v>
      </c>
      <c r="T285" s="7">
        <v>0.1</v>
      </c>
      <c r="U285" s="7">
        <v>-0.11</v>
      </c>
      <c r="V285" s="7">
        <v>0.11</v>
      </c>
      <c r="W285" s="7">
        <v>0.92</v>
      </c>
      <c r="X285" s="7" t="s">
        <v>13</v>
      </c>
      <c r="Y285" s="7" t="s">
        <v>9</v>
      </c>
      <c r="Z285" s="2" t="s">
        <v>718</v>
      </c>
      <c r="AA285" s="2" t="s">
        <v>721</v>
      </c>
    </row>
    <row r="286" spans="1:27" x14ac:dyDescent="0.35">
      <c r="A286" s="7" t="s">
        <v>1728</v>
      </c>
      <c r="B286" s="7" t="s">
        <v>930</v>
      </c>
      <c r="C286" s="7" t="str">
        <f>_xlfn.XLOOKUP(B286,'[1]Sheet 1'!$A$2:$A$11107,'[1]Sheet 1'!$D$2:$D$11107,"",0)</f>
        <v>M&amp;S</v>
      </c>
      <c r="D286" s="4" t="str">
        <f>_xlfn.XLOOKUP(A286,[3]Sheet2!$I$2:$I$1623,[3]Sheet2!$D$2:$D$1623,"",0)</f>
        <v>Q4</v>
      </c>
      <c r="E286" s="4" t="s">
        <v>1828</v>
      </c>
      <c r="F286" s="4" t="e">
        <f>_xlfn.XLOOKUP(B286,[2]Sheet2!$E$2:$E$713,[2]Sheet2!$G$2:$G$713)</f>
        <v>#N/A</v>
      </c>
      <c r="G286" s="18">
        <v>46102</v>
      </c>
      <c r="H286" s="14">
        <v>0.2061574074074074</v>
      </c>
      <c r="I286" s="7" t="s">
        <v>17</v>
      </c>
      <c r="J286" s="2" t="str">
        <f t="shared" si="20"/>
        <v>Q2</v>
      </c>
      <c r="K286" s="2" t="str">
        <f t="shared" si="21"/>
        <v>Not Match</v>
      </c>
      <c r="L286" s="2">
        <f t="shared" si="22"/>
        <v>0.70710678118654746</v>
      </c>
      <c r="M286" s="2" t="e">
        <f t="shared" si="23"/>
        <v>#N/A</v>
      </c>
      <c r="N286" s="2" t="str">
        <f t="shared" si="24"/>
        <v>Q NOT OK dE&gt;0.8</v>
      </c>
      <c r="O286" s="7">
        <v>33.1</v>
      </c>
      <c r="P286" s="7">
        <v>-1.2</v>
      </c>
      <c r="Q286" s="7">
        <v>3.7</v>
      </c>
      <c r="R286" s="7">
        <v>-0.53</v>
      </c>
      <c r="S286" s="7">
        <v>-0.1</v>
      </c>
      <c r="T286" s="7">
        <v>0.7</v>
      </c>
      <c r="U286" s="7">
        <v>0.83</v>
      </c>
      <c r="V286" s="7">
        <v>-0.17</v>
      </c>
      <c r="W286" s="7">
        <v>1</v>
      </c>
      <c r="X286" s="7" t="s">
        <v>13</v>
      </c>
      <c r="Y286" s="7" t="s">
        <v>12</v>
      </c>
      <c r="Z286" s="2" t="s">
        <v>718</v>
      </c>
      <c r="AA286" s="2" t="s">
        <v>721</v>
      </c>
    </row>
    <row r="287" spans="1:27" x14ac:dyDescent="0.35">
      <c r="A287" s="7" t="s">
        <v>1566</v>
      </c>
      <c r="B287" s="7" t="s">
        <v>946</v>
      </c>
      <c r="C287" s="7" t="str">
        <f>_xlfn.XLOOKUP(B287,'[1]Sheet 1'!$A$2:$A$11107,'[1]Sheet 1'!$D$2:$D$11107,"",0)</f>
        <v>M&amp;S</v>
      </c>
      <c r="D287" s="4" t="str">
        <f>_xlfn.XLOOKUP(A287,[3]Sheet2!$I$2:$I$1623,[3]Sheet2!$D$2:$D$1623,"",0)</f>
        <v>Q4</v>
      </c>
      <c r="E287" s="4" t="s">
        <v>1828</v>
      </c>
      <c r="F287" s="4" t="e">
        <f>_xlfn.XLOOKUP(B287,[2]Sheet2!$E$2:$E$713,[2]Sheet2!$G$2:$G$713)</f>
        <v>#N/A</v>
      </c>
      <c r="G287" s="18">
        <v>46102</v>
      </c>
      <c r="H287" s="14">
        <v>0.77048611111111109</v>
      </c>
      <c r="I287" s="7" t="s">
        <v>17</v>
      </c>
      <c r="J287" s="2" t="str">
        <f t="shared" si="20"/>
        <v>Q2</v>
      </c>
      <c r="K287" s="2" t="str">
        <f t="shared" si="21"/>
        <v>Not Match</v>
      </c>
      <c r="L287" s="2">
        <f t="shared" si="22"/>
        <v>0.42426406871192851</v>
      </c>
      <c r="M287" s="2" t="e">
        <f t="shared" si="23"/>
        <v>#N/A</v>
      </c>
      <c r="N287" s="2" t="str">
        <f t="shared" si="24"/>
        <v>Q NOT OK dE&gt;0.8</v>
      </c>
      <c r="O287" s="7">
        <v>16.899999999999999</v>
      </c>
      <c r="P287" s="7">
        <v>-0.7</v>
      </c>
      <c r="Q287" s="7">
        <v>-5.8</v>
      </c>
      <c r="R287" s="7">
        <v>1.03</v>
      </c>
      <c r="S287" s="7">
        <v>-0.3</v>
      </c>
      <c r="T287" s="7">
        <v>0.3</v>
      </c>
      <c r="U287" s="7">
        <v>-0.26</v>
      </c>
      <c r="V287" s="7">
        <v>-0.45</v>
      </c>
      <c r="W287" s="7">
        <v>1.1499999999999999</v>
      </c>
      <c r="X287" s="7" t="s">
        <v>6</v>
      </c>
      <c r="Y287" s="7" t="s">
        <v>15</v>
      </c>
      <c r="Z287" s="2" t="s">
        <v>718</v>
      </c>
      <c r="AA287" s="2" t="s">
        <v>721</v>
      </c>
    </row>
    <row r="288" spans="1:27" x14ac:dyDescent="0.35">
      <c r="A288" s="7" t="s">
        <v>1557</v>
      </c>
      <c r="B288" s="7" t="s">
        <v>943</v>
      </c>
      <c r="C288" s="7" t="str">
        <f>_xlfn.XLOOKUP(B288,'[1]Sheet 1'!$A$2:$A$11107,'[1]Sheet 1'!$D$2:$D$11107,"",0)</f>
        <v>M&amp;S</v>
      </c>
      <c r="D288" s="4" t="str">
        <f>_xlfn.XLOOKUP(A288,[3]Sheet2!$I$2:$I$1623,[3]Sheet2!$D$2:$D$1623,"",0)</f>
        <v>Q3</v>
      </c>
      <c r="E288" s="4" t="s">
        <v>1828</v>
      </c>
      <c r="F288" s="4" t="e">
        <f>_xlfn.XLOOKUP(B288,[2]Sheet2!$E$2:$E$713,[2]Sheet2!$G$2:$G$713)</f>
        <v>#N/A</v>
      </c>
      <c r="G288" s="18">
        <v>46102</v>
      </c>
      <c r="H288" s="14">
        <v>0.67730324074074078</v>
      </c>
      <c r="I288" s="7" t="s">
        <v>17</v>
      </c>
      <c r="J288" s="2" t="str">
        <f t="shared" si="20"/>
        <v>Q3</v>
      </c>
      <c r="K288" s="2" t="str">
        <f t="shared" si="21"/>
        <v>Match</v>
      </c>
      <c r="L288" s="2">
        <f t="shared" si="22"/>
        <v>0.22360679774997899</v>
      </c>
      <c r="M288" s="2" t="e">
        <f t="shared" si="23"/>
        <v>#N/A</v>
      </c>
      <c r="N288" s="2" t="str">
        <f t="shared" si="24"/>
        <v>Q OK dE&lt;=0.8</v>
      </c>
      <c r="O288" s="7">
        <v>14.9</v>
      </c>
      <c r="P288" s="7">
        <v>-0.6</v>
      </c>
      <c r="Q288" s="7">
        <v>-1.8</v>
      </c>
      <c r="R288" s="7">
        <v>-0.68</v>
      </c>
      <c r="S288" s="7">
        <v>-0.2</v>
      </c>
      <c r="T288" s="7">
        <v>-0.1</v>
      </c>
      <c r="U288" s="7">
        <v>0.32</v>
      </c>
      <c r="V288" s="7">
        <v>-0.25</v>
      </c>
      <c r="W288" s="7">
        <v>0.79</v>
      </c>
      <c r="X288" s="7" t="s">
        <v>13</v>
      </c>
      <c r="Y288" s="7" t="s">
        <v>15</v>
      </c>
      <c r="Z288" s="2" t="s">
        <v>718</v>
      </c>
      <c r="AA288" s="2" t="s">
        <v>721</v>
      </c>
    </row>
    <row r="289" spans="1:27" x14ac:dyDescent="0.35">
      <c r="A289" s="7" t="s">
        <v>1620</v>
      </c>
      <c r="B289" s="7" t="s">
        <v>796</v>
      </c>
      <c r="C289" s="7" t="str">
        <f>_xlfn.XLOOKUP(B289,'[1]Sheet 1'!$A$2:$A$11107,'[1]Sheet 1'!$D$2:$D$11107,"",0)</f>
        <v>LULU</v>
      </c>
      <c r="D289" s="4" t="str">
        <f>_xlfn.XLOOKUP(A289,[3]Sheet2!$I$2:$I$1623,[3]Sheet2!$D$2:$D$1623,"",0)</f>
        <v>Q2</v>
      </c>
      <c r="E289" s="4" t="s">
        <v>1828</v>
      </c>
      <c r="F289" s="4" t="e">
        <f>_xlfn.XLOOKUP(B289,[2]Sheet2!$E$2:$E$713,[2]Sheet2!$G$2:$G$713)</f>
        <v>#N/A</v>
      </c>
      <c r="G289" s="18">
        <v>46102</v>
      </c>
      <c r="H289" s="14">
        <v>8.7314814814814817E-2</v>
      </c>
      <c r="I289" s="7" t="s">
        <v>4</v>
      </c>
      <c r="J289" s="2" t="str">
        <f t="shared" si="20"/>
        <v>Q4</v>
      </c>
      <c r="K289" s="2" t="str">
        <f t="shared" si="21"/>
        <v>Not Match</v>
      </c>
      <c r="L289" s="2">
        <f t="shared" si="22"/>
        <v>1.004987562112089</v>
      </c>
      <c r="M289" s="2" t="e">
        <f t="shared" si="23"/>
        <v>#N/A</v>
      </c>
      <c r="N289" s="2" t="str">
        <f t="shared" si="24"/>
        <v>Q NOT OK dE&lt;=0.8</v>
      </c>
      <c r="O289" s="7">
        <v>29</v>
      </c>
      <c r="P289" s="7">
        <v>35.299999999999997</v>
      </c>
      <c r="Q289" s="7">
        <v>1.5</v>
      </c>
      <c r="R289" s="7">
        <v>7.0000000000000007E-2</v>
      </c>
      <c r="S289" s="7">
        <v>1</v>
      </c>
      <c r="T289" s="7">
        <v>-0.1</v>
      </c>
      <c r="U289" s="7">
        <v>0.46</v>
      </c>
      <c r="V289" s="7">
        <v>-0.12</v>
      </c>
      <c r="W289" s="7">
        <v>0.48</v>
      </c>
      <c r="X289" s="7" t="s">
        <v>8</v>
      </c>
      <c r="Y289" s="7" t="s">
        <v>7</v>
      </c>
      <c r="Z289" s="2" t="s">
        <v>718</v>
      </c>
      <c r="AA289" s="2" t="s">
        <v>721</v>
      </c>
    </row>
    <row r="290" spans="1:27" x14ac:dyDescent="0.35">
      <c r="A290" s="7" t="s">
        <v>1620</v>
      </c>
      <c r="B290" s="7" t="s">
        <v>945</v>
      </c>
      <c r="C290" s="7" t="str">
        <f>_xlfn.XLOOKUP(B290,'[1]Sheet 1'!$A$2:$A$11107,'[1]Sheet 1'!$D$2:$D$11107,"",0)</f>
        <v>LULU</v>
      </c>
      <c r="D290" s="4" t="str">
        <f>_xlfn.XLOOKUP(A290,[3]Sheet2!$I$2:$I$1623,[3]Sheet2!$D$2:$D$1623,"",0)</f>
        <v>Q2</v>
      </c>
      <c r="E290" s="4" t="s">
        <v>1827</v>
      </c>
      <c r="F290" s="4" t="e">
        <f>_xlfn.XLOOKUP(B290,[2]Sheet2!$E$2:$E$713,[2]Sheet2!$G$2:$G$713)</f>
        <v>#N/A</v>
      </c>
      <c r="G290" s="18">
        <v>46102</v>
      </c>
      <c r="H290" s="14">
        <v>0.76829861111111108</v>
      </c>
      <c r="I290" s="7" t="s">
        <v>4</v>
      </c>
      <c r="J290" s="2" t="str">
        <f t="shared" si="20"/>
        <v>Q1</v>
      </c>
      <c r="K290" s="2" t="str">
        <f t="shared" si="21"/>
        <v>Not Match</v>
      </c>
      <c r="L290" s="2">
        <f t="shared" si="22"/>
        <v>0.14142135623730953</v>
      </c>
      <c r="M290" s="2" t="e">
        <f t="shared" si="23"/>
        <v>#N/A</v>
      </c>
      <c r="N290" s="2" t="str">
        <f t="shared" si="24"/>
        <v>Q NOT OK dE&gt;0.8</v>
      </c>
      <c r="O290" s="7">
        <v>27.4</v>
      </c>
      <c r="P290" s="7">
        <v>34.5</v>
      </c>
      <c r="Q290" s="7">
        <v>1.8</v>
      </c>
      <c r="R290" s="7">
        <v>-0.96</v>
      </c>
      <c r="S290" s="7">
        <v>0.1</v>
      </c>
      <c r="T290" s="7">
        <v>0.1</v>
      </c>
      <c r="U290" s="7">
        <v>7.0000000000000007E-2</v>
      </c>
      <c r="V290" s="7">
        <v>0.08</v>
      </c>
      <c r="W290" s="7">
        <v>0.97</v>
      </c>
      <c r="X290" s="7" t="s">
        <v>13</v>
      </c>
      <c r="Y290" s="7" t="s">
        <v>9</v>
      </c>
      <c r="Z290" s="2" t="s">
        <v>718</v>
      </c>
      <c r="AA290" s="2" t="s">
        <v>721</v>
      </c>
    </row>
    <row r="291" spans="1:27" x14ac:dyDescent="0.35">
      <c r="A291" s="7" t="s">
        <v>1593</v>
      </c>
      <c r="B291" s="7" t="s">
        <v>934</v>
      </c>
      <c r="C291" s="7" t="str">
        <f>_xlfn.XLOOKUP(B291,'[1]Sheet 1'!$A$2:$A$11107,'[1]Sheet 1'!$D$2:$D$11107,"",0)</f>
        <v>LULU</v>
      </c>
      <c r="D291" s="4" t="str">
        <f>_xlfn.XLOOKUP(A291,[3]Sheet2!$I$2:$I$1623,[3]Sheet2!$D$2:$D$1623,"",0)</f>
        <v>Q3</v>
      </c>
      <c r="E291" s="4" t="s">
        <v>1828</v>
      </c>
      <c r="F291" s="4" t="e">
        <f>_xlfn.XLOOKUP(B291,[2]Sheet2!$E$2:$E$713,[2]Sheet2!$G$2:$G$713)</f>
        <v>#N/A</v>
      </c>
      <c r="G291" s="18">
        <v>46102</v>
      </c>
      <c r="H291" s="14">
        <v>0.54031249999999997</v>
      </c>
      <c r="I291" s="7" t="s">
        <v>4</v>
      </c>
      <c r="J291" s="2" t="str">
        <f t="shared" si="20"/>
        <v>Q3</v>
      </c>
      <c r="K291" s="2" t="str">
        <f t="shared" si="21"/>
        <v>Match</v>
      </c>
      <c r="L291" s="2">
        <f t="shared" si="22"/>
        <v>0.1</v>
      </c>
      <c r="M291" s="2" t="e">
        <f t="shared" si="23"/>
        <v>#N/A</v>
      </c>
      <c r="N291" s="2" t="str">
        <f t="shared" si="24"/>
        <v>Q OK dE&gt;0.8</v>
      </c>
      <c r="O291" s="7">
        <v>22.3</v>
      </c>
      <c r="P291" s="7">
        <v>2.7</v>
      </c>
      <c r="Q291" s="7">
        <v>2.2999999999999998</v>
      </c>
      <c r="R291" s="7">
        <v>-1.29</v>
      </c>
      <c r="S291" s="7">
        <v>0</v>
      </c>
      <c r="T291" s="7">
        <v>0.1</v>
      </c>
      <c r="U291" s="7">
        <v>0.14000000000000001</v>
      </c>
      <c r="V291" s="7">
        <v>0.12</v>
      </c>
      <c r="W291" s="7">
        <v>1.3</v>
      </c>
      <c r="X291" s="7" t="s">
        <v>6</v>
      </c>
      <c r="Y291" s="7" t="s">
        <v>12</v>
      </c>
      <c r="Z291" s="2" t="s">
        <v>718</v>
      </c>
      <c r="AA291" s="2" t="s">
        <v>721</v>
      </c>
    </row>
    <row r="292" spans="1:27" x14ac:dyDescent="0.35">
      <c r="A292" s="7" t="s">
        <v>1593</v>
      </c>
      <c r="B292" s="7" t="s">
        <v>940</v>
      </c>
      <c r="C292" s="7" t="str">
        <f>_xlfn.XLOOKUP(B292,'[1]Sheet 1'!$A$2:$A$11107,'[1]Sheet 1'!$D$2:$D$11107,"",0)</f>
        <v>LULU</v>
      </c>
      <c r="D292" s="4" t="str">
        <f>_xlfn.XLOOKUP(A292,[3]Sheet2!$I$2:$I$1623,[3]Sheet2!$D$2:$D$1623,"",0)</f>
        <v>Q3</v>
      </c>
      <c r="E292" s="4" t="s">
        <v>1828</v>
      </c>
      <c r="F292" s="4" t="e">
        <f>_xlfn.XLOOKUP(B292,[2]Sheet2!$E$2:$E$713,[2]Sheet2!$G$2:$G$713)</f>
        <v>#N/A</v>
      </c>
      <c r="G292" s="18">
        <v>46102</v>
      </c>
      <c r="H292" s="14">
        <v>0.67071759259259256</v>
      </c>
      <c r="I292" s="7" t="s">
        <v>4</v>
      </c>
      <c r="J292" s="2" t="str">
        <f t="shared" si="20"/>
        <v>Q3</v>
      </c>
      <c r="K292" s="2" t="str">
        <f t="shared" si="21"/>
        <v>Match</v>
      </c>
      <c r="L292" s="2">
        <f t="shared" si="22"/>
        <v>0.1</v>
      </c>
      <c r="M292" s="2" t="e">
        <f t="shared" si="23"/>
        <v>#N/A</v>
      </c>
      <c r="N292" s="2" t="str">
        <f t="shared" si="24"/>
        <v>Q OK dE&gt;0.8</v>
      </c>
      <c r="O292" s="7">
        <v>21.6</v>
      </c>
      <c r="P292" s="7">
        <v>2.6</v>
      </c>
      <c r="Q292" s="7">
        <v>2.2000000000000002</v>
      </c>
      <c r="R292" s="7">
        <v>-1.81</v>
      </c>
      <c r="S292" s="7">
        <v>-0.1</v>
      </c>
      <c r="T292" s="20">
        <v>0</v>
      </c>
      <c r="U292" s="7">
        <v>-0.06</v>
      </c>
      <c r="V292" s="7">
        <v>0.13</v>
      </c>
      <c r="W292" s="7">
        <v>1.82</v>
      </c>
      <c r="X292" s="7" t="s">
        <v>6</v>
      </c>
      <c r="Y292" s="7" t="s">
        <v>12</v>
      </c>
      <c r="Z292" s="2" t="s">
        <v>718</v>
      </c>
      <c r="AA292" s="2" t="s">
        <v>721</v>
      </c>
    </row>
    <row r="293" spans="1:27" x14ac:dyDescent="0.35">
      <c r="A293" s="7" t="s">
        <v>1500</v>
      </c>
      <c r="B293" s="7" t="s">
        <v>798</v>
      </c>
      <c r="C293" s="7" t="str">
        <f>_xlfn.XLOOKUP(B293,'[1]Sheet 1'!$A$2:$A$11107,'[1]Sheet 1'!$D$2:$D$11107,"",0)</f>
        <v>LULU</v>
      </c>
      <c r="D293" s="4" t="str">
        <f>_xlfn.XLOOKUP(A293,[3]Sheet2!$I$2:$I$1623,[3]Sheet2!$D$2:$D$1623,"",0)</f>
        <v>Q2</v>
      </c>
      <c r="E293" s="4" t="s">
        <v>1828</v>
      </c>
      <c r="F293" s="4" t="e">
        <f>_xlfn.XLOOKUP(B293,[2]Sheet2!$E$2:$E$713,[2]Sheet2!$G$2:$G$713)</f>
        <v>#N/A</v>
      </c>
      <c r="G293" s="18">
        <v>46102</v>
      </c>
      <c r="H293" s="14">
        <v>9.150462962962963E-2</v>
      </c>
      <c r="I293" s="7" t="s">
        <v>4</v>
      </c>
      <c r="J293" s="2" t="str">
        <f t="shared" si="20"/>
        <v>Q1</v>
      </c>
      <c r="K293" s="2" t="str">
        <f t="shared" si="21"/>
        <v>Not Match</v>
      </c>
      <c r="L293" s="2">
        <f t="shared" si="22"/>
        <v>0.14142135623730953</v>
      </c>
      <c r="M293" s="2" t="e">
        <f t="shared" si="23"/>
        <v>#N/A</v>
      </c>
      <c r="N293" s="2" t="str">
        <f t="shared" si="24"/>
        <v>Q NOT OK dE&gt;0.8</v>
      </c>
      <c r="O293" s="7">
        <v>17</v>
      </c>
      <c r="P293" s="7">
        <v>-0.8</v>
      </c>
      <c r="Q293" s="7">
        <v>-0.8</v>
      </c>
      <c r="R293" s="7">
        <v>-0.9</v>
      </c>
      <c r="S293" s="7">
        <v>0.1</v>
      </c>
      <c r="T293" s="7">
        <v>0.1</v>
      </c>
      <c r="U293" s="7">
        <v>-0.25</v>
      </c>
      <c r="V293" s="7">
        <v>-0.05</v>
      </c>
      <c r="W293" s="7">
        <v>0.93</v>
      </c>
      <c r="X293" s="7" t="s">
        <v>13</v>
      </c>
      <c r="Y293" s="7" t="s">
        <v>12</v>
      </c>
      <c r="Z293" s="2" t="s">
        <v>718</v>
      </c>
      <c r="AA293" s="2" t="s">
        <v>721</v>
      </c>
    </row>
    <row r="294" spans="1:27" x14ac:dyDescent="0.35">
      <c r="A294" s="7" t="s">
        <v>1500</v>
      </c>
      <c r="B294" s="7" t="s">
        <v>941</v>
      </c>
      <c r="C294" s="7" t="str">
        <f>_xlfn.XLOOKUP(B294,'[1]Sheet 1'!$A$2:$A$11107,'[1]Sheet 1'!$D$2:$D$11107,"",0)</f>
        <v>LULU</v>
      </c>
      <c r="D294" s="4" t="str">
        <f>_xlfn.XLOOKUP(A294,[3]Sheet2!$I$2:$I$1623,[3]Sheet2!$D$2:$D$1623,"",0)</f>
        <v>Q2</v>
      </c>
      <c r="E294" s="4" t="s">
        <v>1828</v>
      </c>
      <c r="F294" s="4" t="e">
        <f>_xlfn.XLOOKUP(B294,[2]Sheet2!$E$2:$E$713,[2]Sheet2!$G$2:$G$713)</f>
        <v>#N/A</v>
      </c>
      <c r="G294" s="18">
        <v>46102</v>
      </c>
      <c r="H294" s="14">
        <v>0.67319444444444443</v>
      </c>
      <c r="I294" s="7" t="s">
        <v>4</v>
      </c>
      <c r="J294" s="2" t="str">
        <f t="shared" si="20"/>
        <v>Q1</v>
      </c>
      <c r="K294" s="2" t="str">
        <f t="shared" si="21"/>
        <v>Not Match</v>
      </c>
      <c r="L294" s="2">
        <f t="shared" si="22"/>
        <v>0.22360679774997899</v>
      </c>
      <c r="M294" s="2" t="e">
        <f t="shared" si="23"/>
        <v>#N/A</v>
      </c>
      <c r="N294" s="2" t="str">
        <f t="shared" si="24"/>
        <v>Q NOT OK dE&gt;0.8</v>
      </c>
      <c r="O294" s="7">
        <v>16.899999999999999</v>
      </c>
      <c r="P294" s="7">
        <v>-0.7</v>
      </c>
      <c r="Q294" s="7">
        <v>-0.8</v>
      </c>
      <c r="R294" s="7">
        <v>-1.03</v>
      </c>
      <c r="S294" s="7">
        <v>0.2</v>
      </c>
      <c r="T294" s="7">
        <v>0.1</v>
      </c>
      <c r="U294" s="7">
        <v>-0.37</v>
      </c>
      <c r="V294" s="7">
        <v>0.17</v>
      </c>
      <c r="W294" s="7">
        <v>1.1100000000000001</v>
      </c>
      <c r="X294" s="7" t="s">
        <v>6</v>
      </c>
      <c r="Y294" s="7" t="s">
        <v>7</v>
      </c>
      <c r="Z294" s="2" t="s">
        <v>718</v>
      </c>
      <c r="AA294" s="2" t="s">
        <v>721</v>
      </c>
    </row>
    <row r="295" spans="1:27" x14ac:dyDescent="0.35">
      <c r="A295" s="7" t="s">
        <v>1685</v>
      </c>
      <c r="B295" s="7" t="s">
        <v>974</v>
      </c>
      <c r="C295" s="7" t="str">
        <f>_xlfn.XLOOKUP(B295,'[1]Sheet 1'!$A$2:$A$11107,'[1]Sheet 1'!$D$2:$D$11107,"",0)</f>
        <v>ESS2</v>
      </c>
      <c r="D295" s="4" t="str">
        <f>_xlfn.XLOOKUP(A295,[3]Sheet2!$I$2:$I$1623,[3]Sheet2!$D$2:$D$1623,"",0)</f>
        <v>Q1</v>
      </c>
      <c r="E295" s="4" t="s">
        <v>1828</v>
      </c>
      <c r="F295" s="4" t="e">
        <f>_xlfn.XLOOKUP(B295,[2]Sheet2!$E$2:$E$713,[2]Sheet2!$G$2:$G$713)</f>
        <v>#N/A</v>
      </c>
      <c r="G295" s="18">
        <v>46105</v>
      </c>
      <c r="H295" s="14">
        <v>0.54053240740740738</v>
      </c>
      <c r="I295" s="7" t="s">
        <v>4</v>
      </c>
      <c r="J295" s="2" t="str">
        <f t="shared" si="20"/>
        <v>Q1</v>
      </c>
      <c r="K295" s="2" t="str">
        <f t="shared" si="21"/>
        <v>Match</v>
      </c>
      <c r="L295" s="2">
        <f t="shared" si="22"/>
        <v>0.36055512754639896</v>
      </c>
      <c r="M295" s="2" t="e">
        <f t="shared" si="23"/>
        <v>#N/A</v>
      </c>
      <c r="N295" s="2" t="str">
        <f t="shared" si="24"/>
        <v>Q OK dE&gt;0.8</v>
      </c>
      <c r="O295" s="7">
        <v>15.4</v>
      </c>
      <c r="P295" s="7">
        <v>-0.7</v>
      </c>
      <c r="Q295" s="7">
        <v>-3.1</v>
      </c>
      <c r="R295" s="7">
        <v>-0.76</v>
      </c>
      <c r="S295" s="7">
        <v>0.2</v>
      </c>
      <c r="T295" s="7">
        <v>0.3</v>
      </c>
      <c r="U295" s="7">
        <v>-0.51</v>
      </c>
      <c r="V295" s="7">
        <v>0.19</v>
      </c>
      <c r="W295" s="7">
        <v>0.94</v>
      </c>
      <c r="X295" s="7" t="s">
        <v>13</v>
      </c>
      <c r="Y295" s="7" t="s">
        <v>9</v>
      </c>
      <c r="Z295" s="2" t="s">
        <v>718</v>
      </c>
      <c r="AA295" s="2" t="s">
        <v>721</v>
      </c>
    </row>
    <row r="296" spans="1:27" x14ac:dyDescent="0.35">
      <c r="A296" s="7" t="s">
        <v>1705</v>
      </c>
      <c r="B296" s="7" t="s">
        <v>978</v>
      </c>
      <c r="C296" s="7" t="str">
        <f>_xlfn.XLOOKUP(B296,'[1]Sheet 1'!$A$2:$A$11107,'[1]Sheet 1'!$D$2:$D$11107,"",0)</f>
        <v>NKSKI</v>
      </c>
      <c r="D296" s="4" t="str">
        <f>_xlfn.XLOOKUP(A296,[3]Sheet2!$I$2:$I$1623,[3]Sheet2!$D$2:$D$1623,"",0)</f>
        <v>Q4</v>
      </c>
      <c r="E296" s="4" t="s">
        <v>1828</v>
      </c>
      <c r="F296" s="4" t="e">
        <f>_xlfn.XLOOKUP(B296,[2]Sheet2!$E$2:$E$713,[2]Sheet2!$G$2:$G$713)</f>
        <v>#N/A</v>
      </c>
      <c r="G296" s="18">
        <v>46105</v>
      </c>
      <c r="H296" s="14">
        <v>0.75937500000000002</v>
      </c>
      <c r="I296" s="7" t="s">
        <v>4</v>
      </c>
      <c r="J296" s="2" t="str">
        <f t="shared" si="20"/>
        <v>Q4</v>
      </c>
      <c r="K296" s="2" t="str">
        <f t="shared" si="21"/>
        <v>Match</v>
      </c>
      <c r="L296" s="2">
        <f t="shared" si="22"/>
        <v>0.72111025509279791</v>
      </c>
      <c r="M296" s="2" t="e">
        <f t="shared" si="23"/>
        <v>#N/A</v>
      </c>
      <c r="N296" s="2" t="str">
        <f t="shared" si="24"/>
        <v>Q OK dE&lt;=0.8</v>
      </c>
      <c r="O296" s="7">
        <v>39.200000000000003</v>
      </c>
      <c r="P296" s="7">
        <v>58.1</v>
      </c>
      <c r="Q296" s="7">
        <v>28.7</v>
      </c>
      <c r="R296" s="7">
        <v>0.02</v>
      </c>
      <c r="S296" s="7">
        <v>0.6</v>
      </c>
      <c r="T296" s="7">
        <v>-0.4</v>
      </c>
      <c r="U296" s="7">
        <v>0.13</v>
      </c>
      <c r="V296" s="7">
        <v>-0.47</v>
      </c>
      <c r="W296" s="7">
        <v>0.49</v>
      </c>
      <c r="X296" s="7" t="s">
        <v>8</v>
      </c>
      <c r="Y296" s="7" t="s">
        <v>7</v>
      </c>
      <c r="Z296" s="2" t="s">
        <v>718</v>
      </c>
      <c r="AA296" s="2" t="s">
        <v>721</v>
      </c>
    </row>
    <row r="297" spans="1:27" x14ac:dyDescent="0.35">
      <c r="A297" s="7" t="s">
        <v>1620</v>
      </c>
      <c r="B297" s="7" t="s">
        <v>981</v>
      </c>
      <c r="C297" s="7" t="str">
        <f>_xlfn.XLOOKUP(B297,'[1]Sheet 1'!$A$2:$A$11107,'[1]Sheet 1'!$D$2:$D$11107,"",0)</f>
        <v>LULU</v>
      </c>
      <c r="D297" s="4" t="str">
        <f>_xlfn.XLOOKUP(A297,[3]Sheet2!$I$2:$I$1623,[3]Sheet2!$D$2:$D$1623,"",0)</f>
        <v>Q2</v>
      </c>
      <c r="E297" s="4" t="s">
        <v>1828</v>
      </c>
      <c r="F297" s="4" t="e">
        <f>_xlfn.XLOOKUP(B297,[2]Sheet2!$E$2:$E$713,[2]Sheet2!$G$2:$G$713)</f>
        <v>#N/A</v>
      </c>
      <c r="G297" s="18">
        <v>46105</v>
      </c>
      <c r="H297" s="14">
        <v>0.77410879629629625</v>
      </c>
      <c r="I297" s="7" t="s">
        <v>4</v>
      </c>
      <c r="J297" s="2" t="str">
        <f t="shared" si="20"/>
        <v>Q1</v>
      </c>
      <c r="K297" s="2" t="str">
        <f t="shared" si="21"/>
        <v>Not Match</v>
      </c>
      <c r="L297" s="2">
        <f t="shared" si="22"/>
        <v>0.70710678118654746</v>
      </c>
      <c r="M297" s="2" t="e">
        <f t="shared" si="23"/>
        <v>#N/A</v>
      </c>
      <c r="N297" s="2" t="str">
        <f t="shared" si="24"/>
        <v>Q NOT OK dE&lt;=0.8</v>
      </c>
      <c r="O297" s="7">
        <v>27.9</v>
      </c>
      <c r="P297" s="7">
        <v>34.4</v>
      </c>
      <c r="Q297" s="7">
        <v>2.4</v>
      </c>
      <c r="R297" s="7">
        <v>-0.6</v>
      </c>
      <c r="S297" s="7">
        <v>0.1</v>
      </c>
      <c r="T297" s="7">
        <v>0.7</v>
      </c>
      <c r="U297" s="7">
        <v>7.0000000000000007E-2</v>
      </c>
      <c r="V297" s="7">
        <v>0.49</v>
      </c>
      <c r="W297" s="7">
        <v>0.78</v>
      </c>
      <c r="X297" s="7" t="s">
        <v>13</v>
      </c>
      <c r="Y297" s="7" t="s">
        <v>9</v>
      </c>
      <c r="Z297" s="2" t="s">
        <v>718</v>
      </c>
      <c r="AA297" s="2" t="s">
        <v>721</v>
      </c>
    </row>
    <row r="298" spans="1:27" x14ac:dyDescent="0.35">
      <c r="A298" s="7" t="s">
        <v>1735</v>
      </c>
      <c r="B298" s="7" t="s">
        <v>983</v>
      </c>
      <c r="C298" s="7" t="str">
        <f>_xlfn.XLOOKUP(B298,'[1]Sheet 1'!$A$2:$A$11107,'[1]Sheet 1'!$D$2:$D$11107,"",0)</f>
        <v>GAP</v>
      </c>
      <c r="D298" s="4" t="str">
        <f>_xlfn.XLOOKUP(A298,[3]Sheet2!$I$2:$I$1623,[3]Sheet2!$D$2:$D$1623,"",0)</f>
        <v>Q4</v>
      </c>
      <c r="E298" s="4" t="s">
        <v>1827</v>
      </c>
      <c r="F298" s="4" t="e">
        <f>_xlfn.XLOOKUP(B298,[2]Sheet2!$E$2:$E$713,[2]Sheet2!$G$2:$G$713)</f>
        <v>#N/A</v>
      </c>
      <c r="G298" s="18">
        <v>46105</v>
      </c>
      <c r="H298" s="14">
        <v>0.92570601851851853</v>
      </c>
      <c r="I298" s="7" t="s">
        <v>14</v>
      </c>
      <c r="J298" s="2" t="str">
        <f t="shared" si="20"/>
        <v>Q4</v>
      </c>
      <c r="K298" s="2" t="str">
        <f t="shared" si="21"/>
        <v>Match</v>
      </c>
      <c r="L298" s="2">
        <f t="shared" si="22"/>
        <v>0.1</v>
      </c>
      <c r="M298" s="2" t="e">
        <f t="shared" si="23"/>
        <v>#N/A</v>
      </c>
      <c r="N298" s="2" t="str">
        <f t="shared" si="24"/>
        <v>Q OK dE&lt;=0.8</v>
      </c>
      <c r="O298" s="7">
        <v>16.899999999999999</v>
      </c>
      <c r="P298" s="7">
        <v>-0.8</v>
      </c>
      <c r="Q298" s="7">
        <v>-10.1</v>
      </c>
      <c r="R298" s="7">
        <v>0.04</v>
      </c>
      <c r="S298" s="7">
        <v>0</v>
      </c>
      <c r="T298" s="7">
        <v>0.1</v>
      </c>
      <c r="U298" s="7">
        <v>-0.13</v>
      </c>
      <c r="V298" s="7">
        <v>7.0000000000000007E-2</v>
      </c>
      <c r="W298" s="7">
        <v>0.15</v>
      </c>
      <c r="X298" s="7" t="s">
        <v>8</v>
      </c>
      <c r="Y298" s="7" t="s">
        <v>9</v>
      </c>
      <c r="Z298" s="2" t="s">
        <v>718</v>
      </c>
      <c r="AA298" s="2" t="s">
        <v>721</v>
      </c>
    </row>
    <row r="299" spans="1:27" x14ac:dyDescent="0.35">
      <c r="A299" s="7" t="s">
        <v>1509</v>
      </c>
      <c r="B299" s="7" t="s">
        <v>985</v>
      </c>
      <c r="C299" s="7" t="str">
        <f>_xlfn.XLOOKUP(B299,'[1]Sheet 1'!$A$2:$A$11107,'[1]Sheet 1'!$D$2:$D$11107,"",0)</f>
        <v>LBI</v>
      </c>
      <c r="D299" s="4" t="str">
        <f>_xlfn.XLOOKUP(A299,[3]Sheet2!$I$2:$I$1623,[3]Sheet2!$D$2:$D$1623,"",0)</f>
        <v>Q2</v>
      </c>
      <c r="E299" s="4" t="s">
        <v>1828</v>
      </c>
      <c r="F299" s="4" t="e">
        <f>_xlfn.XLOOKUP(B299,[2]Sheet2!$E$2:$E$713,[2]Sheet2!$G$2:$G$713)</f>
        <v>#N/A</v>
      </c>
      <c r="G299" s="18">
        <v>46105</v>
      </c>
      <c r="H299" s="14">
        <v>0.96549768518518519</v>
      </c>
      <c r="I299" s="7" t="s">
        <v>14</v>
      </c>
      <c r="J299" s="2" t="str">
        <f t="shared" si="20"/>
        <v>Q2</v>
      </c>
      <c r="K299" s="2" t="str">
        <f t="shared" si="21"/>
        <v>Match</v>
      </c>
      <c r="L299" s="2">
        <f t="shared" si="22"/>
        <v>0</v>
      </c>
      <c r="M299" s="2" t="e">
        <f t="shared" si="23"/>
        <v>#N/A</v>
      </c>
      <c r="N299" s="2" t="str">
        <f t="shared" si="24"/>
        <v>Q OK dE&gt;0.8</v>
      </c>
      <c r="O299" s="7">
        <v>15.4</v>
      </c>
      <c r="P299" s="7">
        <v>-0.8</v>
      </c>
      <c r="Q299" s="7">
        <v>-3</v>
      </c>
      <c r="R299" s="7">
        <v>-0.94</v>
      </c>
      <c r="S299" s="7">
        <v>0</v>
      </c>
      <c r="T299" s="20">
        <v>0</v>
      </c>
      <c r="U299" s="7">
        <v>-0.11</v>
      </c>
      <c r="V299" s="7">
        <v>0.04</v>
      </c>
      <c r="W299" s="7">
        <v>0.95</v>
      </c>
      <c r="X299" s="7" t="s">
        <v>13</v>
      </c>
      <c r="Y299" s="7" t="s">
        <v>9</v>
      </c>
      <c r="Z299" s="2" t="s">
        <v>718</v>
      </c>
      <c r="AA299" s="2" t="s">
        <v>721</v>
      </c>
    </row>
    <row r="300" spans="1:27" x14ac:dyDescent="0.35">
      <c r="A300" s="7" t="s">
        <v>1516</v>
      </c>
      <c r="B300" s="7" t="s">
        <v>976</v>
      </c>
      <c r="C300" s="7" t="str">
        <f>_xlfn.XLOOKUP(B300,'[1]Sheet 1'!$A$2:$A$11107,'[1]Sheet 1'!$D$2:$D$11107,"",0)</f>
        <v>LBI</v>
      </c>
      <c r="D300" s="4" t="str">
        <f>_xlfn.XLOOKUP(A300,[3]Sheet2!$I$2:$I$1623,[3]Sheet2!$D$2:$D$1623,"",0)</f>
        <v>Q2</v>
      </c>
      <c r="E300" s="4" t="s">
        <v>1828</v>
      </c>
      <c r="F300" s="4" t="e">
        <f>_xlfn.XLOOKUP(B300,[2]Sheet2!$E$2:$E$713,[2]Sheet2!$G$2:$G$713)</f>
        <v>#N/A</v>
      </c>
      <c r="G300" s="18">
        <v>46105</v>
      </c>
      <c r="H300" s="14">
        <v>0.65417824074074071</v>
      </c>
      <c r="I300" s="7" t="s">
        <v>4</v>
      </c>
      <c r="J300" s="2" t="str">
        <f t="shared" si="20"/>
        <v>Q2</v>
      </c>
      <c r="K300" s="2" t="str">
        <f t="shared" si="21"/>
        <v>Match</v>
      </c>
      <c r="L300" s="2">
        <f t="shared" si="22"/>
        <v>0.2</v>
      </c>
      <c r="M300" s="2" t="e">
        <f t="shared" si="23"/>
        <v>#N/A</v>
      </c>
      <c r="N300" s="2" t="str">
        <f t="shared" si="24"/>
        <v>Q OK dE&lt;=0.8</v>
      </c>
      <c r="O300" s="7">
        <v>18</v>
      </c>
      <c r="P300" s="7">
        <v>-1.3</v>
      </c>
      <c r="Q300" s="7">
        <v>-1.3</v>
      </c>
      <c r="R300" s="7">
        <v>-0.4</v>
      </c>
      <c r="S300" s="7">
        <v>0</v>
      </c>
      <c r="T300" s="7">
        <v>0.2</v>
      </c>
      <c r="U300" s="7">
        <v>-0.31</v>
      </c>
      <c r="V300" s="7">
        <v>-0.15</v>
      </c>
      <c r="W300" s="7">
        <v>0.53</v>
      </c>
      <c r="X300" s="7" t="s">
        <v>8</v>
      </c>
      <c r="Y300" s="7" t="s">
        <v>9</v>
      </c>
      <c r="Z300" s="2" t="s">
        <v>718</v>
      </c>
      <c r="AA300" s="2" t="s">
        <v>721</v>
      </c>
    </row>
    <row r="301" spans="1:27" x14ac:dyDescent="0.35">
      <c r="A301" s="7" t="s">
        <v>1554</v>
      </c>
      <c r="B301" s="7" t="s">
        <v>975</v>
      </c>
      <c r="C301" s="7" t="str">
        <f>_xlfn.XLOOKUP(B301,'[1]Sheet 1'!$A$2:$A$11107,'[1]Sheet 1'!$D$2:$D$11107,"",0)</f>
        <v>NIK</v>
      </c>
      <c r="D301" s="4" t="str">
        <f>_xlfn.XLOOKUP(A301,[3]Sheet2!$I$2:$I$1623,[3]Sheet2!$D$2:$D$1623,"",0)</f>
        <v>Q1</v>
      </c>
      <c r="E301" s="4" t="s">
        <v>1827</v>
      </c>
      <c r="F301" s="4" t="e">
        <f>_xlfn.XLOOKUP(B301,[2]Sheet2!$E$2:$E$713,[2]Sheet2!$G$2:$G$713)</f>
        <v>#N/A</v>
      </c>
      <c r="G301" s="18">
        <v>46105</v>
      </c>
      <c r="H301" s="14">
        <v>0.59972222222222227</v>
      </c>
      <c r="I301" s="7" t="s">
        <v>4</v>
      </c>
      <c r="J301" s="2" t="str">
        <f t="shared" si="20"/>
        <v>Q1</v>
      </c>
      <c r="K301" s="2" t="str">
        <f t="shared" si="21"/>
        <v>Match</v>
      </c>
      <c r="L301" s="2">
        <f t="shared" si="22"/>
        <v>0.72111025509279791</v>
      </c>
      <c r="M301" s="2" t="e">
        <f t="shared" si="23"/>
        <v>#N/A</v>
      </c>
      <c r="N301" s="2" t="str">
        <f t="shared" si="24"/>
        <v>Q OK dE&gt;0.8</v>
      </c>
      <c r="O301" s="7">
        <v>15.6</v>
      </c>
      <c r="P301" s="7">
        <v>-0.6</v>
      </c>
      <c r="Q301" s="7">
        <v>-1.4</v>
      </c>
      <c r="R301" s="7">
        <v>-1.84</v>
      </c>
      <c r="S301" s="7">
        <v>0.6</v>
      </c>
      <c r="T301" s="7">
        <v>0.4</v>
      </c>
      <c r="U301" s="7">
        <v>-0.9</v>
      </c>
      <c r="V301" s="7">
        <v>0.51</v>
      </c>
      <c r="W301" s="7">
        <v>2.11</v>
      </c>
      <c r="X301" s="7" t="s">
        <v>6</v>
      </c>
      <c r="Y301" s="7" t="s">
        <v>7</v>
      </c>
      <c r="Z301" s="2" t="s">
        <v>718</v>
      </c>
      <c r="AA301" s="2" t="s">
        <v>721</v>
      </c>
    </row>
    <row r="302" spans="1:27" x14ac:dyDescent="0.35">
      <c r="A302" s="7" t="s">
        <v>1545</v>
      </c>
      <c r="B302" s="7" t="s">
        <v>979</v>
      </c>
      <c r="C302" s="7" t="str">
        <f>_xlfn.XLOOKUP(B302,'[1]Sheet 1'!$A$2:$A$11107,'[1]Sheet 1'!$D$2:$D$11107,"",0)</f>
        <v>NIK</v>
      </c>
      <c r="D302" s="4" t="str">
        <f>_xlfn.XLOOKUP(A302,[3]Sheet2!$I$2:$I$1623,[3]Sheet2!$D$2:$D$1623,"",0)</f>
        <v>Q2</v>
      </c>
      <c r="E302" s="4" t="s">
        <v>1828</v>
      </c>
      <c r="F302" s="4" t="e">
        <f>_xlfn.XLOOKUP(B302,[2]Sheet2!$E$2:$E$713,[2]Sheet2!$G$2:$G$713)</f>
        <v>#N/A</v>
      </c>
      <c r="G302" s="18">
        <v>46105</v>
      </c>
      <c r="H302" s="14">
        <v>0.76891203703703703</v>
      </c>
      <c r="I302" s="7" t="s">
        <v>4</v>
      </c>
      <c r="J302" s="2" t="str">
        <f t="shared" si="20"/>
        <v>Q2</v>
      </c>
      <c r="K302" s="2" t="str">
        <f t="shared" si="21"/>
        <v>Match</v>
      </c>
      <c r="L302" s="2">
        <f t="shared" si="22"/>
        <v>0.1</v>
      </c>
      <c r="M302" s="2" t="e">
        <f t="shared" si="23"/>
        <v>#N/A</v>
      </c>
      <c r="N302" s="2" t="str">
        <f t="shared" si="24"/>
        <v>Q OK dE&lt;=0.8</v>
      </c>
      <c r="O302" s="7">
        <v>17.899999999999999</v>
      </c>
      <c r="P302" s="7">
        <v>-0.9</v>
      </c>
      <c r="Q302" s="7">
        <v>-1.7</v>
      </c>
      <c r="R302" s="7">
        <v>-0.42</v>
      </c>
      <c r="S302" s="7">
        <v>0</v>
      </c>
      <c r="T302" s="7">
        <v>-0.1</v>
      </c>
      <c r="U302" s="7">
        <v>0.22</v>
      </c>
      <c r="V302" s="7">
        <v>0.05</v>
      </c>
      <c r="W302" s="7">
        <v>0.48</v>
      </c>
      <c r="X302" s="7" t="s">
        <v>8</v>
      </c>
      <c r="Y302" s="7" t="s">
        <v>9</v>
      </c>
      <c r="Z302" s="2" t="s">
        <v>718</v>
      </c>
      <c r="AA302" s="2" t="s">
        <v>721</v>
      </c>
    </row>
    <row r="303" spans="1:27" x14ac:dyDescent="0.35">
      <c r="A303" s="7" t="s">
        <v>1579</v>
      </c>
      <c r="B303" s="7" t="s">
        <v>977</v>
      </c>
      <c r="C303" s="7" t="str">
        <f>_xlfn.XLOOKUP(B303,'[1]Sheet 1'!$A$2:$A$11107,'[1]Sheet 1'!$D$2:$D$11107,"",0)</f>
        <v>M&amp;S</v>
      </c>
      <c r="D303" s="4" t="str">
        <f>_xlfn.XLOOKUP(A303,[3]Sheet2!$I$2:$I$1623,[3]Sheet2!$D$2:$D$1623,"",0)</f>
        <v>Q4</v>
      </c>
      <c r="E303" s="4" t="s">
        <v>1828</v>
      </c>
      <c r="F303" s="4" t="e">
        <f>_xlfn.XLOOKUP(B303,[2]Sheet2!$E$2:$E$713,[2]Sheet2!$G$2:$G$713)</f>
        <v>#N/A</v>
      </c>
      <c r="G303" s="18">
        <v>46105</v>
      </c>
      <c r="H303" s="14">
        <v>0.69141203703703702</v>
      </c>
      <c r="I303" s="7" t="s">
        <v>17</v>
      </c>
      <c r="J303" s="2" t="str">
        <f t="shared" si="20"/>
        <v>Q2</v>
      </c>
      <c r="K303" s="2" t="str">
        <f t="shared" si="21"/>
        <v>Not Match</v>
      </c>
      <c r="L303" s="2">
        <f t="shared" si="22"/>
        <v>0.36055512754639896</v>
      </c>
      <c r="M303" s="2" t="e">
        <f t="shared" si="23"/>
        <v>#N/A</v>
      </c>
      <c r="N303" s="2" t="str">
        <f t="shared" si="24"/>
        <v>Q NOT OK dE&gt;0.8</v>
      </c>
      <c r="O303" s="7">
        <v>16.600000000000001</v>
      </c>
      <c r="P303" s="7">
        <v>-0.8</v>
      </c>
      <c r="Q303" s="7">
        <v>-5.9</v>
      </c>
      <c r="R303" s="7">
        <v>0.77</v>
      </c>
      <c r="S303" s="7">
        <v>-0.3</v>
      </c>
      <c r="T303" s="7">
        <v>0.2</v>
      </c>
      <c r="U303" s="7">
        <v>-0.19</v>
      </c>
      <c r="V303" s="7">
        <v>-0.47</v>
      </c>
      <c r="W303" s="7">
        <v>0.92</v>
      </c>
      <c r="X303" s="7" t="s">
        <v>13</v>
      </c>
      <c r="Y303" s="7" t="s">
        <v>15</v>
      </c>
      <c r="Z303" s="2" t="s">
        <v>718</v>
      </c>
      <c r="AA303" s="2" t="s">
        <v>721</v>
      </c>
    </row>
    <row r="304" spans="1:27" x14ac:dyDescent="0.35">
      <c r="A304" s="7" t="s">
        <v>1619</v>
      </c>
      <c r="B304" s="7" t="s">
        <v>984</v>
      </c>
      <c r="C304" s="7" t="str">
        <f>_xlfn.XLOOKUP(B304,'[1]Sheet 1'!$A$2:$A$11107,'[1]Sheet 1'!$D$2:$D$11107,"",0)</f>
        <v>M&amp;S</v>
      </c>
      <c r="D304" s="4" t="str">
        <f>_xlfn.XLOOKUP(A304,[3]Sheet2!$I$2:$I$1623,[3]Sheet2!$D$2:$D$1623,"",0)</f>
        <v>Q4</v>
      </c>
      <c r="E304" s="4" t="s">
        <v>1828</v>
      </c>
      <c r="F304" s="4" t="e">
        <f>_xlfn.XLOOKUP(B304,[2]Sheet2!$E$2:$E$713,[2]Sheet2!$G$2:$G$713)</f>
        <v>#N/A</v>
      </c>
      <c r="G304" s="18">
        <v>46105</v>
      </c>
      <c r="H304" s="14">
        <v>0.93583333333333329</v>
      </c>
      <c r="I304" s="7" t="s">
        <v>17</v>
      </c>
      <c r="J304" s="2" t="str">
        <f t="shared" si="20"/>
        <v>Q4</v>
      </c>
      <c r="K304" s="2" t="str">
        <f t="shared" si="21"/>
        <v>Match</v>
      </c>
      <c r="L304" s="2">
        <f t="shared" si="22"/>
        <v>0.3</v>
      </c>
      <c r="M304" s="2" t="e">
        <f t="shared" si="23"/>
        <v>#N/A</v>
      </c>
      <c r="N304" s="2" t="str">
        <f t="shared" si="24"/>
        <v>Q OK dE&lt;=0.8</v>
      </c>
      <c r="O304" s="7">
        <v>28.7</v>
      </c>
      <c r="P304" s="7">
        <v>-1.7</v>
      </c>
      <c r="Q304" s="7">
        <v>-2.6</v>
      </c>
      <c r="R304" s="7">
        <v>-0.2</v>
      </c>
      <c r="S304" s="7">
        <v>0.3</v>
      </c>
      <c r="T304" s="20">
        <v>0</v>
      </c>
      <c r="U304" s="7">
        <v>-0.25</v>
      </c>
      <c r="V304" s="7">
        <v>0.28000000000000003</v>
      </c>
      <c r="W304" s="7">
        <v>0.42</v>
      </c>
      <c r="X304" s="7" t="s">
        <v>8</v>
      </c>
      <c r="Y304" s="7" t="s">
        <v>7</v>
      </c>
      <c r="Z304" s="2" t="s">
        <v>718</v>
      </c>
      <c r="AA304" s="2" t="s">
        <v>721</v>
      </c>
    </row>
    <row r="305" spans="1:27" x14ac:dyDescent="0.35">
      <c r="A305" s="7" t="s">
        <v>1599</v>
      </c>
      <c r="B305" s="7" t="s">
        <v>980</v>
      </c>
      <c r="C305" s="7" t="str">
        <f>_xlfn.XLOOKUP(B305,'[1]Sheet 1'!$A$2:$A$11107,'[1]Sheet 1'!$D$2:$D$11107,"",0)</f>
        <v>M&amp;S</v>
      </c>
      <c r="D305" s="4">
        <v>0</v>
      </c>
      <c r="E305" s="4" t="s">
        <v>1828</v>
      </c>
      <c r="F305" s="4" t="e">
        <f>_xlfn.XLOOKUP(B305,[2]Sheet2!$E$2:$E$713,[2]Sheet2!$G$2:$G$713)</f>
        <v>#N/A</v>
      </c>
      <c r="G305" s="18">
        <v>46105</v>
      </c>
      <c r="H305" s="14">
        <v>0.77196759259259262</v>
      </c>
      <c r="I305" s="7" t="s">
        <v>17</v>
      </c>
      <c r="J305" s="2">
        <f t="shared" si="20"/>
        <v>0</v>
      </c>
      <c r="K305" s="2" t="str">
        <f t="shared" si="21"/>
        <v>Match</v>
      </c>
      <c r="L305" s="2">
        <f t="shared" si="22"/>
        <v>0.4</v>
      </c>
      <c r="M305" s="2" t="e">
        <f t="shared" si="23"/>
        <v>#N/A</v>
      </c>
      <c r="N305" s="2" t="str">
        <f t="shared" si="24"/>
        <v>Quadrant not assigned</v>
      </c>
      <c r="O305" s="7">
        <v>24.9</v>
      </c>
      <c r="P305" s="7">
        <v>0.5</v>
      </c>
      <c r="Q305" s="7">
        <v>8.5</v>
      </c>
      <c r="R305" s="7">
        <v>-0.34</v>
      </c>
      <c r="S305" s="7">
        <v>0</v>
      </c>
      <c r="T305" s="7">
        <v>-0.4</v>
      </c>
      <c r="U305" s="7">
        <v>-0.39</v>
      </c>
      <c r="V305" s="7">
        <v>-0.06</v>
      </c>
      <c r="W305" s="7">
        <v>0.52</v>
      </c>
      <c r="X305" s="7" t="s">
        <v>8</v>
      </c>
      <c r="Y305" s="7" t="s">
        <v>9</v>
      </c>
      <c r="Z305" s="2" t="s">
        <v>718</v>
      </c>
      <c r="AA305" s="2" t="s">
        <v>721</v>
      </c>
    </row>
    <row r="306" spans="1:27" x14ac:dyDescent="0.35">
      <c r="A306" s="7" t="s">
        <v>1721</v>
      </c>
      <c r="B306" s="7" t="s">
        <v>982</v>
      </c>
      <c r="C306" s="7" t="str">
        <f>_xlfn.XLOOKUP(B306,'[1]Sheet 1'!$A$2:$A$11107,'[1]Sheet 1'!$D$2:$D$11107,"",0)</f>
        <v>LULU</v>
      </c>
      <c r="D306" s="4" t="str">
        <f>_xlfn.XLOOKUP(A306,[3]Sheet2!$I$2:$I$1623,[3]Sheet2!$D$2:$D$1623,"",0)</f>
        <v>Q3</v>
      </c>
      <c r="E306" s="4" t="s">
        <v>1828</v>
      </c>
      <c r="F306" s="4" t="e">
        <f>_xlfn.XLOOKUP(B306,[2]Sheet2!$E$2:$E$713,[2]Sheet2!$G$2:$G$713)</f>
        <v>#N/A</v>
      </c>
      <c r="G306" s="18">
        <v>46105</v>
      </c>
      <c r="H306" s="14">
        <v>0.92314814814814816</v>
      </c>
      <c r="I306" s="7" t="s">
        <v>4</v>
      </c>
      <c r="J306" s="2" t="str">
        <f t="shared" si="20"/>
        <v>Q3</v>
      </c>
      <c r="K306" s="2" t="str">
        <f t="shared" si="21"/>
        <v>Match</v>
      </c>
      <c r="L306" s="2">
        <f t="shared" si="22"/>
        <v>0.2</v>
      </c>
      <c r="M306" s="2" t="e">
        <f t="shared" si="23"/>
        <v>#N/A</v>
      </c>
      <c r="N306" s="2" t="str">
        <f t="shared" si="24"/>
        <v>Q OK dE&lt;=0.8</v>
      </c>
      <c r="O306" s="7">
        <v>17.100000000000001</v>
      </c>
      <c r="P306" s="7">
        <v>-0.4</v>
      </c>
      <c r="Q306" s="7">
        <v>-0.9</v>
      </c>
      <c r="R306" s="7">
        <v>-0.33</v>
      </c>
      <c r="S306" s="7">
        <v>-0.2</v>
      </c>
      <c r="T306" s="20">
        <v>0</v>
      </c>
      <c r="U306" s="7">
        <v>-0.04</v>
      </c>
      <c r="V306" s="7">
        <v>-0.34</v>
      </c>
      <c r="W306" s="7">
        <v>0.48</v>
      </c>
      <c r="X306" s="7" t="s">
        <v>8</v>
      </c>
      <c r="Y306" s="7" t="s">
        <v>15</v>
      </c>
      <c r="Z306" s="2" t="s">
        <v>718</v>
      </c>
      <c r="AA306" s="2" t="s">
        <v>721</v>
      </c>
    </row>
    <row r="307" spans="1:27" x14ac:dyDescent="0.35">
      <c r="A307" s="7" t="s">
        <v>1611</v>
      </c>
      <c r="B307" s="7" t="s">
        <v>987</v>
      </c>
      <c r="C307" s="7" t="str">
        <f>_xlfn.XLOOKUP(B307,'[1]Sheet 1'!$A$2:$A$11107,'[1]Sheet 1'!$D$2:$D$11107,"",0)</f>
        <v>ASIC</v>
      </c>
      <c r="D307" s="4" t="str">
        <f>_xlfn.XLOOKUP(A307,[3]Sheet2!$I$2:$I$1623,[3]Sheet2!$D$2:$D$1623,"",0)</f>
        <v>Q2</v>
      </c>
      <c r="E307" s="4" t="s">
        <v>1828</v>
      </c>
      <c r="F307" s="4">
        <f>_xlfn.XLOOKUP(B307,[2]Sheet2!$E$2:$E$713,[2]Sheet2!$G$2:$G$713)</f>
        <v>0.8</v>
      </c>
      <c r="G307" s="18">
        <v>46106</v>
      </c>
      <c r="H307" s="14">
        <v>8.2118055555555555E-2</v>
      </c>
      <c r="I307" s="7" t="s">
        <v>4</v>
      </c>
      <c r="J307" s="2" t="str">
        <f t="shared" si="20"/>
        <v>Q2</v>
      </c>
      <c r="K307" s="2" t="str">
        <f t="shared" si="21"/>
        <v>Match</v>
      </c>
      <c r="L307" s="2">
        <f t="shared" si="22"/>
        <v>0.1</v>
      </c>
      <c r="M307" s="2" t="str">
        <f t="shared" si="23"/>
        <v>Within Range</v>
      </c>
      <c r="N307" s="2" t="str">
        <f t="shared" si="24"/>
        <v>Q OK dE&lt;=0.8</v>
      </c>
      <c r="O307" s="7">
        <v>15.8</v>
      </c>
      <c r="P307" s="7">
        <v>0</v>
      </c>
      <c r="Q307" s="7">
        <v>-0.9</v>
      </c>
      <c r="R307" s="7">
        <v>-0.1</v>
      </c>
      <c r="S307" s="7">
        <v>0.1</v>
      </c>
      <c r="T307" s="20">
        <v>0</v>
      </c>
      <c r="U307" s="7">
        <v>-0.01</v>
      </c>
      <c r="V307" s="7">
        <v>0.26</v>
      </c>
      <c r="W307" s="7">
        <v>0.28000000000000003</v>
      </c>
      <c r="X307" s="7" t="s">
        <v>8</v>
      </c>
      <c r="Y307" s="7" t="s">
        <v>9</v>
      </c>
      <c r="Z307" s="2" t="s">
        <v>718</v>
      </c>
      <c r="AA307" s="2" t="s">
        <v>721</v>
      </c>
    </row>
    <row r="308" spans="1:27" x14ac:dyDescent="0.35">
      <c r="A308" s="7" t="s">
        <v>1678</v>
      </c>
      <c r="B308" s="7" t="s">
        <v>995</v>
      </c>
      <c r="C308" s="7" t="str">
        <f>_xlfn.XLOOKUP(B308,'[1]Sheet 1'!$A$2:$A$11107,'[1]Sheet 1'!$D$2:$D$11107,"",0)</f>
        <v>WACE</v>
      </c>
      <c r="D308" s="4" t="str">
        <f>_xlfn.XLOOKUP(A308,[3]Sheet2!$I$2:$I$1623,[3]Sheet2!$D$2:$D$1623,"",0)</f>
        <v>Q1</v>
      </c>
      <c r="E308" s="4" t="s">
        <v>1828</v>
      </c>
      <c r="F308" s="4" t="e">
        <f>_xlfn.XLOOKUP(B308,[2]Sheet2!$E$2:$E$713,[2]Sheet2!$G$2:$G$713)</f>
        <v>#N/A</v>
      </c>
      <c r="G308" s="18">
        <v>46106</v>
      </c>
      <c r="H308" s="14">
        <v>0.67431712962962964</v>
      </c>
      <c r="I308" s="7" t="s">
        <v>4</v>
      </c>
      <c r="J308" s="2" t="str">
        <f t="shared" si="20"/>
        <v>Q1</v>
      </c>
      <c r="K308" s="2" t="str">
        <f t="shared" si="21"/>
        <v>Match</v>
      </c>
      <c r="L308" s="2">
        <f t="shared" si="22"/>
        <v>0</v>
      </c>
      <c r="M308" s="2" t="e">
        <f t="shared" si="23"/>
        <v>#N/A</v>
      </c>
      <c r="N308" s="2" t="str">
        <f t="shared" si="24"/>
        <v>Q OK dE&lt;=0.8</v>
      </c>
      <c r="O308" s="7">
        <v>17.600000000000001</v>
      </c>
      <c r="P308" s="7">
        <v>-0.5</v>
      </c>
      <c r="Q308" s="7">
        <v>-1.7</v>
      </c>
      <c r="R308" s="7">
        <v>-0.08</v>
      </c>
      <c r="S308" s="7">
        <v>0</v>
      </c>
      <c r="T308" s="20">
        <v>0</v>
      </c>
      <c r="U308" s="7">
        <v>0.14000000000000001</v>
      </c>
      <c r="V308" s="7">
        <v>-0.08</v>
      </c>
      <c r="W308" s="7">
        <v>0.18</v>
      </c>
      <c r="X308" s="7" t="s">
        <v>8</v>
      </c>
      <c r="Y308" s="7" t="s">
        <v>15</v>
      </c>
      <c r="Z308" s="2" t="s">
        <v>718</v>
      </c>
      <c r="AA308" s="2" t="s">
        <v>721</v>
      </c>
    </row>
    <row r="309" spans="1:27" x14ac:dyDescent="0.35">
      <c r="A309" s="7" t="s">
        <v>1509</v>
      </c>
      <c r="B309" s="7" t="s">
        <v>989</v>
      </c>
      <c r="C309" s="7" t="str">
        <f>_xlfn.XLOOKUP(B309,'[1]Sheet 1'!$A$2:$A$11107,'[1]Sheet 1'!$D$2:$D$11107,"",0)</f>
        <v>LBI</v>
      </c>
      <c r="D309" s="4" t="str">
        <f>_xlfn.XLOOKUP(A309,[3]Sheet2!$I$2:$I$1623,[3]Sheet2!$D$2:$D$1623,"",0)</f>
        <v>Q2</v>
      </c>
      <c r="E309" s="4" t="s">
        <v>1828</v>
      </c>
      <c r="F309" s="4" t="e">
        <f>_xlfn.XLOOKUP(B309,[2]Sheet2!$E$2:$E$713,[2]Sheet2!$G$2:$G$713)</f>
        <v>#N/A</v>
      </c>
      <c r="G309" s="18">
        <v>46106</v>
      </c>
      <c r="H309" s="14">
        <v>0.1917824074074074</v>
      </c>
      <c r="I309" s="7" t="s">
        <v>14</v>
      </c>
      <c r="J309" s="2" t="str">
        <f t="shared" si="20"/>
        <v>Q1</v>
      </c>
      <c r="K309" s="2" t="str">
        <f t="shared" si="21"/>
        <v>Not Match</v>
      </c>
      <c r="L309" s="2">
        <f t="shared" si="22"/>
        <v>0.31622776601683794</v>
      </c>
      <c r="M309" s="2" t="e">
        <f t="shared" si="23"/>
        <v>#N/A</v>
      </c>
      <c r="N309" s="2" t="str">
        <f t="shared" si="24"/>
        <v>Q NOT OK dE&gt;0.8</v>
      </c>
      <c r="O309" s="7">
        <v>15.1</v>
      </c>
      <c r="P309" s="7">
        <v>-0.7</v>
      </c>
      <c r="Q309" s="7">
        <v>-2.8</v>
      </c>
      <c r="R309" s="7">
        <v>-1.19</v>
      </c>
      <c r="S309" s="7">
        <v>0.1</v>
      </c>
      <c r="T309" s="7">
        <v>0.3</v>
      </c>
      <c r="U309" s="7">
        <v>-0.4</v>
      </c>
      <c r="V309" s="7">
        <v>0.11</v>
      </c>
      <c r="W309" s="7">
        <v>1.26</v>
      </c>
      <c r="X309" s="7" t="s">
        <v>6</v>
      </c>
      <c r="Y309" s="7" t="s">
        <v>9</v>
      </c>
      <c r="Z309" s="2" t="s">
        <v>718</v>
      </c>
      <c r="AA309" s="2" t="s">
        <v>721</v>
      </c>
    </row>
    <row r="310" spans="1:27" x14ac:dyDescent="0.35">
      <c r="A310" s="7" t="s">
        <v>1516</v>
      </c>
      <c r="B310" s="7" t="s">
        <v>998</v>
      </c>
      <c r="C310" s="7" t="str">
        <f>_xlfn.XLOOKUP(B310,'[1]Sheet 1'!$A$2:$A$11107,'[1]Sheet 1'!$D$2:$D$11107,"",0)</f>
        <v>LBI</v>
      </c>
      <c r="D310" s="4" t="str">
        <f>_xlfn.XLOOKUP(A310,[3]Sheet2!$I$2:$I$1623,[3]Sheet2!$D$2:$D$1623,"",0)</f>
        <v>Q2</v>
      </c>
      <c r="E310" s="4" t="s">
        <v>1828</v>
      </c>
      <c r="F310" s="4" t="e">
        <f>_xlfn.XLOOKUP(B310,[2]Sheet2!$E$2:$E$713,[2]Sheet2!$G$2:$G$713)</f>
        <v>#N/A</v>
      </c>
      <c r="G310" s="18">
        <v>46106</v>
      </c>
      <c r="H310" s="14">
        <v>0.68855324074074076</v>
      </c>
      <c r="I310" s="7" t="s">
        <v>4</v>
      </c>
      <c r="J310" s="2" t="str">
        <f t="shared" si="20"/>
        <v>Q2</v>
      </c>
      <c r="K310" s="2" t="str">
        <f t="shared" si="21"/>
        <v>Match</v>
      </c>
      <c r="L310" s="2">
        <f t="shared" si="22"/>
        <v>0</v>
      </c>
      <c r="M310" s="2" t="e">
        <f t="shared" si="23"/>
        <v>#N/A</v>
      </c>
      <c r="N310" s="2" t="str">
        <f t="shared" si="24"/>
        <v>Q OK dE&lt;=0.8</v>
      </c>
      <c r="O310" s="7">
        <v>18.8</v>
      </c>
      <c r="P310" s="7">
        <v>-1.3</v>
      </c>
      <c r="Q310" s="7">
        <v>-1.5</v>
      </c>
      <c r="R310" s="7">
        <v>0.35</v>
      </c>
      <c r="S310" s="7">
        <v>0</v>
      </c>
      <c r="T310" s="20">
        <v>0</v>
      </c>
      <c r="U310" s="7">
        <v>-0.11</v>
      </c>
      <c r="V310" s="7">
        <v>0.02</v>
      </c>
      <c r="W310" s="7">
        <v>0.37</v>
      </c>
      <c r="X310" s="7" t="s">
        <v>8</v>
      </c>
      <c r="Y310" s="7" t="s">
        <v>9</v>
      </c>
      <c r="Z310" s="2" t="s">
        <v>718</v>
      </c>
      <c r="AA310" s="2" t="s">
        <v>721</v>
      </c>
    </row>
    <row r="311" spans="1:27" x14ac:dyDescent="0.35">
      <c r="A311" s="7" t="s">
        <v>1738</v>
      </c>
      <c r="B311" s="7" t="s">
        <v>993</v>
      </c>
      <c r="C311" s="7" t="str">
        <f>_xlfn.XLOOKUP(B311,'[1]Sheet 1'!$A$2:$A$11107,'[1]Sheet 1'!$D$2:$D$11107,"",0)</f>
        <v>CHICOS</v>
      </c>
      <c r="D311" s="4" t="str">
        <f>_xlfn.XLOOKUP(A311,[3]Sheet2!$I$2:$I$1623,[3]Sheet2!$D$2:$D$1623,"",0)</f>
        <v>Q2</v>
      </c>
      <c r="E311" s="4" t="s">
        <v>1828</v>
      </c>
      <c r="F311" s="4">
        <f>_xlfn.XLOOKUP(B311,[2]Sheet2!$E$2:$E$713,[2]Sheet2!$G$2:$G$713)</f>
        <v>1</v>
      </c>
      <c r="G311" s="18">
        <v>46106</v>
      </c>
      <c r="H311" s="14">
        <v>0.37893518518518521</v>
      </c>
      <c r="I311" s="7" t="s">
        <v>14</v>
      </c>
      <c r="J311" s="2" t="str">
        <f t="shared" si="20"/>
        <v>Q3</v>
      </c>
      <c r="K311" s="2" t="str">
        <f t="shared" si="21"/>
        <v>Not Match</v>
      </c>
      <c r="L311" s="2">
        <f t="shared" si="22"/>
        <v>0.14142135623730953</v>
      </c>
      <c r="M311" s="2" t="str">
        <f t="shared" si="23"/>
        <v>Within Range</v>
      </c>
      <c r="N311" s="2" t="str">
        <f t="shared" si="24"/>
        <v>Q NOT OK dE&lt;=0.8</v>
      </c>
      <c r="O311" s="7">
        <v>14.8</v>
      </c>
      <c r="P311" s="7">
        <v>-0.4</v>
      </c>
      <c r="Q311" s="7">
        <v>-2.5</v>
      </c>
      <c r="R311" s="7">
        <v>0.08</v>
      </c>
      <c r="S311" s="7">
        <v>-0.1</v>
      </c>
      <c r="T311" s="7">
        <v>-0.1</v>
      </c>
      <c r="U311" s="7">
        <v>0.2</v>
      </c>
      <c r="V311" s="7">
        <v>-0.19</v>
      </c>
      <c r="W311" s="7">
        <v>0.28999999999999998</v>
      </c>
      <c r="X311" s="7" t="s">
        <v>8</v>
      </c>
      <c r="Y311" s="7" t="s">
        <v>15</v>
      </c>
      <c r="Z311" s="2" t="s">
        <v>718</v>
      </c>
      <c r="AA311" s="2" t="s">
        <v>721</v>
      </c>
    </row>
    <row r="312" spans="1:27" x14ac:dyDescent="0.35">
      <c r="A312" s="7" t="s">
        <v>1558</v>
      </c>
      <c r="B312" s="7" t="s">
        <v>1004</v>
      </c>
      <c r="C312" s="7" t="str">
        <f>_xlfn.XLOOKUP(B312,'[1]Sheet 1'!$A$2:$A$11107,'[1]Sheet 1'!$D$2:$D$11107,"",0)</f>
        <v>M&amp;S</v>
      </c>
      <c r="D312" s="4" t="str">
        <f>_xlfn.XLOOKUP(A312,[3]Sheet2!$I$2:$I$1623,[3]Sheet2!$D$2:$D$1623,"",0)</f>
        <v>Q3</v>
      </c>
      <c r="E312" s="4" t="s">
        <v>1828</v>
      </c>
      <c r="F312" s="4" t="e">
        <f>_xlfn.XLOOKUP(B312,[2]Sheet2!$E$2:$E$713,[2]Sheet2!$G$2:$G$713)</f>
        <v>#N/A</v>
      </c>
      <c r="G312" s="18">
        <v>46106</v>
      </c>
      <c r="H312" s="14">
        <v>0.76487268518518514</v>
      </c>
      <c r="I312" s="7" t="s">
        <v>17</v>
      </c>
      <c r="J312" s="2" t="str">
        <f t="shared" si="20"/>
        <v>Q3</v>
      </c>
      <c r="K312" s="2" t="str">
        <f t="shared" si="21"/>
        <v>Match</v>
      </c>
      <c r="L312" s="2">
        <f t="shared" si="22"/>
        <v>0.14142135623730953</v>
      </c>
      <c r="M312" s="2" t="e">
        <f t="shared" si="23"/>
        <v>#N/A</v>
      </c>
      <c r="N312" s="2" t="str">
        <f t="shared" si="24"/>
        <v>Q OK dE&gt;0.8</v>
      </c>
      <c r="O312" s="7">
        <v>14.7</v>
      </c>
      <c r="P312" s="7">
        <v>-0.6</v>
      </c>
      <c r="Q312" s="7">
        <v>-1.9</v>
      </c>
      <c r="R312" s="7">
        <v>-0.83</v>
      </c>
      <c r="S312" s="7">
        <v>-0.1</v>
      </c>
      <c r="T312" s="7">
        <v>-0.1</v>
      </c>
      <c r="U312" s="7">
        <v>0.28000000000000003</v>
      </c>
      <c r="V312" s="7">
        <v>-0.1</v>
      </c>
      <c r="W312" s="7">
        <v>0.88</v>
      </c>
      <c r="X312" s="7" t="s">
        <v>13</v>
      </c>
      <c r="Y312" s="7" t="s">
        <v>15</v>
      </c>
      <c r="Z312" s="2" t="s">
        <v>718</v>
      </c>
      <c r="AA312" s="2" t="s">
        <v>721</v>
      </c>
    </row>
    <row r="313" spans="1:27" x14ac:dyDescent="0.35">
      <c r="A313" s="7" t="s">
        <v>1655</v>
      </c>
      <c r="B313" s="7" t="s">
        <v>990</v>
      </c>
      <c r="C313" s="7" t="str">
        <f>_xlfn.XLOOKUP(B313,'[1]Sheet 1'!$A$2:$A$11107,'[1]Sheet 1'!$D$2:$D$11107,"",0)</f>
        <v>PINK</v>
      </c>
      <c r="D313" s="4" t="str">
        <f>_xlfn.XLOOKUP(A313,[3]Sheet2!$I$2:$I$1623,[3]Sheet2!$D$2:$D$1623,"",0)</f>
        <v>Q3</v>
      </c>
      <c r="E313" s="4" t="s">
        <v>1828</v>
      </c>
      <c r="F313" s="4" t="e">
        <f>_xlfn.XLOOKUP(B313,[2]Sheet2!$E$2:$E$713,[2]Sheet2!$G$2:$G$713)</f>
        <v>#N/A</v>
      </c>
      <c r="G313" s="18">
        <v>46106</v>
      </c>
      <c r="H313" s="14">
        <v>0.26148148148148148</v>
      </c>
      <c r="I313" s="7" t="s">
        <v>10</v>
      </c>
      <c r="J313" s="2" t="str">
        <f t="shared" si="20"/>
        <v>Q3</v>
      </c>
      <c r="K313" s="2" t="str">
        <f t="shared" si="21"/>
        <v>Match</v>
      </c>
      <c r="L313" s="2">
        <f t="shared" si="22"/>
        <v>0.1</v>
      </c>
      <c r="M313" s="2" t="e">
        <f t="shared" si="23"/>
        <v>#N/A</v>
      </c>
      <c r="N313" s="2" t="str">
        <f t="shared" si="24"/>
        <v>Q OK dE&lt;=0.8</v>
      </c>
      <c r="O313" s="7">
        <v>14</v>
      </c>
      <c r="P313" s="7">
        <v>0.7</v>
      </c>
      <c r="Q313" s="7">
        <v>-0.8</v>
      </c>
      <c r="R313" s="7">
        <v>-0.03</v>
      </c>
      <c r="S313" s="7">
        <v>0.1</v>
      </c>
      <c r="T313" s="20">
        <v>0</v>
      </c>
      <c r="U313" s="7">
        <v>0.08</v>
      </c>
      <c r="V313" s="7">
        <v>0.19</v>
      </c>
      <c r="W313" s="7">
        <v>0.21</v>
      </c>
      <c r="X313" s="7" t="s">
        <v>8</v>
      </c>
      <c r="Y313" s="7" t="s">
        <v>9</v>
      </c>
      <c r="Z313" s="2" t="s">
        <v>718</v>
      </c>
      <c r="AA313" s="2" t="s">
        <v>721</v>
      </c>
    </row>
    <row r="314" spans="1:27" x14ac:dyDescent="0.35">
      <c r="A314" s="7" t="s">
        <v>1655</v>
      </c>
      <c r="B314" s="7" t="s">
        <v>991</v>
      </c>
      <c r="C314" s="7" t="str">
        <f>_xlfn.XLOOKUP(B314,'[1]Sheet 1'!$A$2:$A$11107,'[1]Sheet 1'!$D$2:$D$11107,"",0)</f>
        <v>PINK</v>
      </c>
      <c r="D314" s="4" t="str">
        <f>_xlfn.XLOOKUP(A314,[3]Sheet2!$I$2:$I$1623,[3]Sheet2!$D$2:$D$1623,"",0)</f>
        <v>Q3</v>
      </c>
      <c r="E314" s="4" t="s">
        <v>1828</v>
      </c>
      <c r="F314" s="4" t="e">
        <f>_xlfn.XLOOKUP(B314,[2]Sheet2!$E$2:$E$713,[2]Sheet2!$G$2:$G$713)</f>
        <v>#N/A</v>
      </c>
      <c r="G314" s="18">
        <v>46106</v>
      </c>
      <c r="H314" s="14">
        <v>0.2643287037037037</v>
      </c>
      <c r="I314" s="7" t="s">
        <v>10</v>
      </c>
      <c r="J314" s="2" t="str">
        <f t="shared" si="20"/>
        <v>Q3</v>
      </c>
      <c r="K314" s="2" t="str">
        <f t="shared" si="21"/>
        <v>Match</v>
      </c>
      <c r="L314" s="2">
        <f t="shared" si="22"/>
        <v>0.1</v>
      </c>
      <c r="M314" s="2" t="e">
        <f t="shared" si="23"/>
        <v>#N/A</v>
      </c>
      <c r="N314" s="2" t="str">
        <f t="shared" si="24"/>
        <v>Q OK dE&lt;=0.8</v>
      </c>
      <c r="O314" s="7">
        <v>14</v>
      </c>
      <c r="P314" s="7">
        <v>0.6</v>
      </c>
      <c r="Q314" s="7">
        <v>-1</v>
      </c>
      <c r="R314" s="7">
        <v>-0.01</v>
      </c>
      <c r="S314" s="7">
        <v>0</v>
      </c>
      <c r="T314" s="7">
        <v>-0.1</v>
      </c>
      <c r="U314" s="7">
        <v>0.25</v>
      </c>
      <c r="V314" s="7">
        <v>-7.0000000000000007E-2</v>
      </c>
      <c r="W314" s="7">
        <v>0.26</v>
      </c>
      <c r="X314" s="7" t="s">
        <v>8</v>
      </c>
      <c r="Y314" s="7" t="s">
        <v>7</v>
      </c>
      <c r="Z314" s="2" t="s">
        <v>718</v>
      </c>
      <c r="AA314" s="2" t="s">
        <v>721</v>
      </c>
    </row>
    <row r="315" spans="1:27" x14ac:dyDescent="0.35">
      <c r="A315" s="7" t="s">
        <v>1723</v>
      </c>
      <c r="B315" s="7" t="s">
        <v>996</v>
      </c>
      <c r="C315" s="7" t="str">
        <f>_xlfn.XLOOKUP(B315,'[1]Sheet 1'!$A$2:$A$11107,'[1]Sheet 1'!$D$2:$D$11107,"",0)</f>
        <v>GAP</v>
      </c>
      <c r="D315" s="4" t="str">
        <f>_xlfn.XLOOKUP(A315,[3]Sheet2!$I$2:$I$1623,[3]Sheet2!$D$2:$D$1623,"",0)</f>
        <v>Q2</v>
      </c>
      <c r="E315" s="4" t="s">
        <v>1827</v>
      </c>
      <c r="F315" s="4" t="e">
        <f>_xlfn.XLOOKUP(B315,[2]Sheet2!$E$2:$E$713,[2]Sheet2!$G$2:$G$713)</f>
        <v>#N/A</v>
      </c>
      <c r="G315" s="18">
        <v>46106</v>
      </c>
      <c r="H315" s="14">
        <v>0.68240740740740746</v>
      </c>
      <c r="I315" s="7" t="s">
        <v>4</v>
      </c>
      <c r="J315" s="2" t="str">
        <f t="shared" si="20"/>
        <v>Q2</v>
      </c>
      <c r="K315" s="2" t="str">
        <f t="shared" si="21"/>
        <v>Match</v>
      </c>
      <c r="L315" s="2">
        <f t="shared" si="22"/>
        <v>0.28284271247461906</v>
      </c>
      <c r="M315" s="2" t="e">
        <f t="shared" si="23"/>
        <v>#N/A</v>
      </c>
      <c r="N315" s="2" t="str">
        <f t="shared" si="24"/>
        <v>Q OK dE&gt;0.8</v>
      </c>
      <c r="O315" s="7">
        <v>13.7</v>
      </c>
      <c r="P315" s="7">
        <v>-0.4</v>
      </c>
      <c r="Q315" s="7">
        <v>-1.2</v>
      </c>
      <c r="R315" s="7">
        <v>-1.17</v>
      </c>
      <c r="S315" s="7">
        <v>-0.2</v>
      </c>
      <c r="T315" s="7">
        <v>0.2</v>
      </c>
      <c r="U315" s="7">
        <v>-0.24</v>
      </c>
      <c r="V315" s="7">
        <v>-0.46</v>
      </c>
      <c r="W315" s="7">
        <v>1.28</v>
      </c>
      <c r="X315" s="7" t="s">
        <v>6</v>
      </c>
      <c r="Y315" s="7" t="s">
        <v>15</v>
      </c>
      <c r="Z315" s="2" t="s">
        <v>718</v>
      </c>
      <c r="AA315" s="2" t="s">
        <v>721</v>
      </c>
    </row>
    <row r="316" spans="1:27" x14ac:dyDescent="0.35">
      <c r="A316" s="7" t="s">
        <v>1574</v>
      </c>
      <c r="B316" s="7" t="s">
        <v>1003</v>
      </c>
      <c r="C316" s="7" t="str">
        <f>_xlfn.XLOOKUP(B316,'[1]Sheet 1'!$A$2:$A$11107,'[1]Sheet 1'!$D$2:$D$11107,"",0)</f>
        <v>PINK</v>
      </c>
      <c r="D316" s="4" t="str">
        <f>_xlfn.XLOOKUP(A316,[3]Sheet2!$I$2:$I$1623,[3]Sheet2!$D$2:$D$1623,"",0)</f>
        <v>Q2</v>
      </c>
      <c r="E316" s="4" t="s">
        <v>1828</v>
      </c>
      <c r="F316" s="4" t="e">
        <f>_xlfn.XLOOKUP(B316,[2]Sheet2!$E$2:$E$713,[2]Sheet2!$G$2:$G$713)</f>
        <v>#N/A</v>
      </c>
      <c r="G316" s="18">
        <v>46106</v>
      </c>
      <c r="H316" s="14">
        <v>0.76290509259259254</v>
      </c>
      <c r="I316" s="7" t="s">
        <v>11</v>
      </c>
      <c r="J316" s="2" t="str">
        <f t="shared" si="20"/>
        <v>Q2</v>
      </c>
      <c r="K316" s="2" t="str">
        <f t="shared" si="21"/>
        <v>Match</v>
      </c>
      <c r="L316" s="2">
        <f t="shared" si="22"/>
        <v>0.1</v>
      </c>
      <c r="M316" s="2" t="e">
        <f t="shared" si="23"/>
        <v>#N/A</v>
      </c>
      <c r="N316" s="2" t="str">
        <f t="shared" si="24"/>
        <v>Q OK dE&lt;=0.8</v>
      </c>
      <c r="O316" s="7">
        <v>19.399999999999999</v>
      </c>
      <c r="P316" s="7">
        <v>-0.2</v>
      </c>
      <c r="Q316" s="7">
        <v>-12.1</v>
      </c>
      <c r="R316" s="7">
        <v>0.16</v>
      </c>
      <c r="S316" s="7">
        <v>0</v>
      </c>
      <c r="T316" s="7">
        <v>-0.1</v>
      </c>
      <c r="U316" s="7">
        <v>0.08</v>
      </c>
      <c r="V316" s="7">
        <v>7.0000000000000007E-2</v>
      </c>
      <c r="W316" s="7">
        <v>0.19</v>
      </c>
      <c r="X316" s="7" t="s">
        <v>8</v>
      </c>
      <c r="Y316" s="7" t="s">
        <v>9</v>
      </c>
      <c r="Z316" s="2" t="s">
        <v>718</v>
      </c>
      <c r="AA316" s="2" t="s">
        <v>721</v>
      </c>
    </row>
    <row r="317" spans="1:27" x14ac:dyDescent="0.35">
      <c r="A317" s="7" t="s">
        <v>1598</v>
      </c>
      <c r="B317" s="7" t="s">
        <v>988</v>
      </c>
      <c r="C317" s="7" t="str">
        <f>_xlfn.XLOOKUP(B317,'[1]Sheet 1'!$A$2:$A$11107,'[1]Sheet 1'!$D$2:$D$11107,"",0)</f>
        <v>LULU</v>
      </c>
      <c r="D317" s="4" t="str">
        <f>_xlfn.XLOOKUP(A317,[3]Sheet2!$I$2:$I$1623,[3]Sheet2!$D$2:$D$1623,"",0)</f>
        <v>Q3</v>
      </c>
      <c r="E317" s="4" t="s">
        <v>1828</v>
      </c>
      <c r="F317" s="4" t="e">
        <f>_xlfn.XLOOKUP(B317,[2]Sheet2!$E$2:$E$713,[2]Sheet2!$G$2:$G$713)</f>
        <v>#N/A</v>
      </c>
      <c r="G317" s="18">
        <v>46106</v>
      </c>
      <c r="H317" s="14">
        <v>0.16939814814814816</v>
      </c>
      <c r="I317" s="7" t="s">
        <v>4</v>
      </c>
      <c r="J317" s="2" t="str">
        <f t="shared" si="20"/>
        <v>Q3</v>
      </c>
      <c r="K317" s="2" t="str">
        <f t="shared" si="21"/>
        <v>Match</v>
      </c>
      <c r="L317" s="2">
        <f t="shared" si="22"/>
        <v>0.2</v>
      </c>
      <c r="M317" s="2" t="e">
        <f t="shared" si="23"/>
        <v>#N/A</v>
      </c>
      <c r="N317" s="2" t="str">
        <f t="shared" si="24"/>
        <v>Q OK dE&lt;=0.8</v>
      </c>
      <c r="O317" s="7">
        <v>22</v>
      </c>
      <c r="P317" s="7">
        <v>-7.8</v>
      </c>
      <c r="Q317" s="7">
        <v>-11.9</v>
      </c>
      <c r="R317" s="7">
        <v>-0.43</v>
      </c>
      <c r="S317" s="7">
        <v>0</v>
      </c>
      <c r="T317" s="7">
        <v>-0.2</v>
      </c>
      <c r="U317" s="7">
        <v>0.15</v>
      </c>
      <c r="V317" s="7">
        <v>0.12</v>
      </c>
      <c r="W317" s="7">
        <v>0.47</v>
      </c>
      <c r="X317" s="7" t="s">
        <v>8</v>
      </c>
      <c r="Y317" s="7" t="s">
        <v>9</v>
      </c>
      <c r="Z317" s="2" t="s">
        <v>718</v>
      </c>
      <c r="AA317" s="2" t="s">
        <v>721</v>
      </c>
    </row>
    <row r="318" spans="1:27" x14ac:dyDescent="0.35">
      <c r="A318" s="7" t="s">
        <v>1695</v>
      </c>
      <c r="B318" s="7" t="s">
        <v>994</v>
      </c>
      <c r="C318" s="7" t="str">
        <f>_xlfn.XLOOKUP(B318,'[1]Sheet 1'!$A$2:$A$11107,'[1]Sheet 1'!$D$2:$D$11107,"",0)</f>
        <v>ODL</v>
      </c>
      <c r="D318" s="4" t="str">
        <f>_xlfn.XLOOKUP(A318,[3]Sheet2!$I$2:$I$1623,[3]Sheet2!$D$2:$D$1623,"",0)</f>
        <v>Q3</v>
      </c>
      <c r="E318" s="4" t="s">
        <v>1827</v>
      </c>
      <c r="F318" s="4" t="e">
        <f>_xlfn.XLOOKUP(B318,[2]Sheet2!$E$2:$E$713,[2]Sheet2!$G$2:$G$713)</f>
        <v>#N/A</v>
      </c>
      <c r="G318" s="18">
        <v>46106</v>
      </c>
      <c r="H318" s="14">
        <v>0.63671296296296298</v>
      </c>
      <c r="I318" s="7" t="s">
        <v>4</v>
      </c>
      <c r="J318" s="2" t="str">
        <f t="shared" si="20"/>
        <v>Q1</v>
      </c>
      <c r="K318" s="2" t="str">
        <f t="shared" si="21"/>
        <v>Not Match</v>
      </c>
      <c r="L318" s="2">
        <f t="shared" si="22"/>
        <v>0.5</v>
      </c>
      <c r="M318" s="2" t="e">
        <f t="shared" si="23"/>
        <v>#N/A</v>
      </c>
      <c r="N318" s="2" t="str">
        <f t="shared" si="24"/>
        <v>Q NOT OK dE&gt;0.8</v>
      </c>
      <c r="O318" s="7">
        <v>18.5</v>
      </c>
      <c r="P318" s="7">
        <v>-0.7</v>
      </c>
      <c r="Q318" s="7">
        <v>-1.2</v>
      </c>
      <c r="R318" s="7">
        <v>-0.28999999999999998</v>
      </c>
      <c r="S318" s="7">
        <v>0.4</v>
      </c>
      <c r="T318" s="7">
        <v>0.3</v>
      </c>
      <c r="U318" s="7">
        <v>-0.77</v>
      </c>
      <c r="V318" s="7">
        <v>0.25</v>
      </c>
      <c r="W318" s="7">
        <v>0.86</v>
      </c>
      <c r="X318" s="7" t="s">
        <v>13</v>
      </c>
      <c r="Y318" s="7" t="s">
        <v>7</v>
      </c>
      <c r="Z318" s="2" t="s">
        <v>718</v>
      </c>
      <c r="AA318" s="2" t="s">
        <v>721</v>
      </c>
    </row>
    <row r="319" spans="1:27" x14ac:dyDescent="0.35">
      <c r="A319" s="7" t="s">
        <v>1741</v>
      </c>
      <c r="B319" s="7" t="s">
        <v>1002</v>
      </c>
      <c r="C319" s="7" t="str">
        <f>_xlfn.XLOOKUP(B319,'[1]Sheet 1'!$A$2:$A$11107,'[1]Sheet 1'!$D$2:$D$11107,"",0)</f>
        <v>THX</v>
      </c>
      <c r="D319" s="4" t="str">
        <f>_xlfn.XLOOKUP(A319,[3]Sheet2!$I$2:$I$1623,[3]Sheet2!$D$2:$D$1623,"",0)</f>
        <v>Q3</v>
      </c>
      <c r="E319" s="4" t="s">
        <v>1828</v>
      </c>
      <c r="F319" s="4" t="e">
        <f>_xlfn.XLOOKUP(B319,[2]Sheet2!$E$2:$E$713,[2]Sheet2!$G$2:$G$713)</f>
        <v>#N/A</v>
      </c>
      <c r="G319" s="18">
        <v>46106</v>
      </c>
      <c r="H319" s="14">
        <v>0.76043981481481482</v>
      </c>
      <c r="I319" s="7" t="s">
        <v>11</v>
      </c>
      <c r="J319" s="2" t="str">
        <f t="shared" si="20"/>
        <v>Q3</v>
      </c>
      <c r="K319" s="2" t="str">
        <f t="shared" si="21"/>
        <v>Match</v>
      </c>
      <c r="L319" s="2">
        <f t="shared" si="22"/>
        <v>0.1</v>
      </c>
      <c r="M319" s="2" t="e">
        <f t="shared" si="23"/>
        <v>#N/A</v>
      </c>
      <c r="N319" s="2" t="str">
        <f t="shared" si="24"/>
        <v>Q OK dE&lt;=0.8</v>
      </c>
      <c r="O319" s="7">
        <v>27.5</v>
      </c>
      <c r="P319" s="7">
        <v>21.5</v>
      </c>
      <c r="Q319" s="7">
        <v>-6.8</v>
      </c>
      <c r="R319" s="7">
        <v>-0.02</v>
      </c>
      <c r="S319" s="7">
        <v>0</v>
      </c>
      <c r="T319" s="7">
        <v>-0.1</v>
      </c>
      <c r="U319" s="7">
        <v>-0.01</v>
      </c>
      <c r="V319" s="7">
        <v>-0.09</v>
      </c>
      <c r="W319" s="7">
        <v>0.1</v>
      </c>
      <c r="X319" s="7" t="s">
        <v>8</v>
      </c>
      <c r="Y319" s="7" t="s">
        <v>7</v>
      </c>
      <c r="Z319" s="2" t="s">
        <v>718</v>
      </c>
      <c r="AA319" s="2" t="s">
        <v>721</v>
      </c>
    </row>
    <row r="320" spans="1:27" x14ac:dyDescent="0.35">
      <c r="A320" s="7" t="s">
        <v>1739</v>
      </c>
      <c r="B320" s="7" t="s">
        <v>999</v>
      </c>
      <c r="C320" s="7" t="str">
        <f>_xlfn.XLOOKUP(B320,'[1]Sheet 1'!$A$2:$A$11107,'[1]Sheet 1'!$D$2:$D$11107,"",0)</f>
        <v>CK</v>
      </c>
      <c r="D320" s="4" t="str">
        <f>_xlfn.XLOOKUP(A320,[3]Sheet2!$I$2:$I$1623,[3]Sheet2!$D$2:$D$1623,"",0)</f>
        <v>Q3</v>
      </c>
      <c r="E320" s="4" t="s">
        <v>1827</v>
      </c>
      <c r="F320" s="4" t="e">
        <f>_xlfn.XLOOKUP(B320,[2]Sheet2!$E$2:$E$713,[2]Sheet2!$G$2:$G$713)</f>
        <v>#N/A</v>
      </c>
      <c r="G320" s="18">
        <v>46106</v>
      </c>
      <c r="H320" s="14">
        <v>0.70600694444444445</v>
      </c>
      <c r="I320" s="7" t="s">
        <v>11</v>
      </c>
      <c r="J320" s="2" t="str">
        <f t="shared" si="20"/>
        <v>Q4</v>
      </c>
      <c r="K320" s="2" t="str">
        <f t="shared" si="21"/>
        <v>Not Match</v>
      </c>
      <c r="L320" s="2">
        <f t="shared" si="22"/>
        <v>0.14142135623730953</v>
      </c>
      <c r="M320" s="2" t="e">
        <f t="shared" si="23"/>
        <v>#N/A</v>
      </c>
      <c r="N320" s="2" t="str">
        <f t="shared" si="24"/>
        <v>Q NOT OK dE&lt;=0.8</v>
      </c>
      <c r="O320" s="7">
        <v>33.200000000000003</v>
      </c>
      <c r="P320" s="7">
        <v>29.7</v>
      </c>
      <c r="Q320" s="7">
        <v>13.7</v>
      </c>
      <c r="R320" s="7">
        <v>0.19</v>
      </c>
      <c r="S320" s="7">
        <v>0.1</v>
      </c>
      <c r="T320" s="7">
        <v>-0.1</v>
      </c>
      <c r="U320" s="7">
        <v>0.04</v>
      </c>
      <c r="V320" s="7">
        <v>-0.19</v>
      </c>
      <c r="W320" s="7">
        <v>0.27</v>
      </c>
      <c r="X320" s="7" t="s">
        <v>8</v>
      </c>
      <c r="Y320" s="7" t="s">
        <v>7</v>
      </c>
      <c r="Z320" s="2" t="s">
        <v>718</v>
      </c>
      <c r="AA320" s="2" t="s">
        <v>721</v>
      </c>
    </row>
    <row r="321" spans="1:27" x14ac:dyDescent="0.35">
      <c r="A321" s="7" t="s">
        <v>1737</v>
      </c>
      <c r="B321" s="7" t="s">
        <v>992</v>
      </c>
      <c r="C321" s="7" t="str">
        <f>_xlfn.XLOOKUP(B321,'[1]Sheet 1'!$A$2:$A$11107,'[1]Sheet 1'!$D$2:$D$11107,"",0)</f>
        <v>M&amp;S</v>
      </c>
      <c r="D321" s="4" t="str">
        <f>_xlfn.XLOOKUP(A321,[3]Sheet2!$I$2:$I$1623,[3]Sheet2!$D$2:$D$1623,"",0)</f>
        <v>Q2</v>
      </c>
      <c r="E321" s="4" t="s">
        <v>1828</v>
      </c>
      <c r="F321" s="4" t="e">
        <f>_xlfn.XLOOKUP(B321,[2]Sheet2!$E$2:$E$713,[2]Sheet2!$G$2:$G$713)</f>
        <v>#N/A</v>
      </c>
      <c r="G321" s="18">
        <v>46106</v>
      </c>
      <c r="H321" s="14">
        <v>0.26802083333333332</v>
      </c>
      <c r="I321" s="7" t="s">
        <v>17</v>
      </c>
      <c r="J321" s="2" t="str">
        <f t="shared" si="20"/>
        <v>Q2</v>
      </c>
      <c r="K321" s="2" t="str">
        <f t="shared" si="21"/>
        <v>Match</v>
      </c>
      <c r="L321" s="2">
        <f t="shared" si="22"/>
        <v>0.2</v>
      </c>
      <c r="M321" s="2" t="e">
        <f t="shared" si="23"/>
        <v>#N/A</v>
      </c>
      <c r="N321" s="2" t="str">
        <f t="shared" si="24"/>
        <v>Q OK dE&lt;=0.8</v>
      </c>
      <c r="O321" s="7">
        <v>20.2</v>
      </c>
      <c r="P321" s="7">
        <v>1</v>
      </c>
      <c r="Q321" s="7">
        <v>-22.2</v>
      </c>
      <c r="R321" s="7">
        <v>-0.26</v>
      </c>
      <c r="S321" s="7">
        <v>0</v>
      </c>
      <c r="T321" s="7">
        <v>0.2</v>
      </c>
      <c r="U321" s="7">
        <v>-0.12</v>
      </c>
      <c r="V321" s="7">
        <v>0.03</v>
      </c>
      <c r="W321" s="7">
        <v>0.28999999999999998</v>
      </c>
      <c r="X321" s="7" t="s">
        <v>8</v>
      </c>
      <c r="Y321" s="7" t="s">
        <v>9</v>
      </c>
      <c r="Z321" s="2" t="s">
        <v>718</v>
      </c>
      <c r="AA321" s="2" t="s">
        <v>721</v>
      </c>
    </row>
    <row r="322" spans="1:27" x14ac:dyDescent="0.35">
      <c r="A322" s="7" t="s">
        <v>1736</v>
      </c>
      <c r="B322" s="7" t="s">
        <v>986</v>
      </c>
      <c r="C322" s="7" t="str">
        <f>_xlfn.XLOOKUP(B322,'[1]Sheet 1'!$A$2:$A$11107,'[1]Sheet 1'!$D$2:$D$11107,"",0)</f>
        <v/>
      </c>
      <c r="D322" s="4" t="str">
        <f>_xlfn.XLOOKUP(A322,[3]Sheet2!$I$2:$I$1623,[3]Sheet2!$D$2:$D$1623,"",0)</f>
        <v>Q3</v>
      </c>
      <c r="E322" s="4" t="s">
        <v>1828</v>
      </c>
      <c r="F322" s="4" t="e">
        <f>_xlfn.XLOOKUP(B322,[2]Sheet2!$E$2:$E$713,[2]Sheet2!$G$2:$G$713)</f>
        <v>#N/A</v>
      </c>
      <c r="G322" s="18">
        <v>46106</v>
      </c>
      <c r="H322" s="14">
        <v>9.571759259259259E-3</v>
      </c>
      <c r="I322" s="7" t="s">
        <v>5</v>
      </c>
      <c r="J322" s="2" t="str">
        <f t="shared" ref="J322:J385" si="25">IF(OR(S322=0,T322=0),D322,IF(AND(S322&gt;0,T322&gt;0),"Q1",IF(AND(S322&lt;0,T322&gt;0),"Q2",IF(AND(S322&lt;0,T322&lt;0),"Q3",IF(AND(S322&gt;0,T322&lt;0),"Q4","")))))</f>
        <v>Q1</v>
      </c>
      <c r="K322" s="2" t="str">
        <f t="shared" ref="K322:K385" si="26">IF(J322=D322,"Match",IF(AND(J322=0,D322="Match"),"da and db 0",IF(D322=0,"Not Found","Not Match")))</f>
        <v>Not Match</v>
      </c>
      <c r="L322" s="2">
        <f t="shared" ref="L322:L385" si="27">SQRT(S322^2+T322^2)</f>
        <v>0.70710678118654746</v>
      </c>
      <c r="M322" s="2" t="e">
        <f t="shared" ref="M322:M385" si="28">IF(L322&lt;=F322,"Within Range","Over Range")</f>
        <v>#N/A</v>
      </c>
      <c r="N322" s="2" t="str">
        <f t="shared" ref="N322:N385" si="29">IF(D322=0,"Quadrant not assigned",IF(AND(K322="Match",W322&lt;=0.8),"Q OK dE&lt;=0.8",IF(AND(K322="Match",W322&gt;0.8),"Q OK dE&gt;0.8",IF(AND(K322="Not Match",W322&lt;=0.8),"Q NOT OK dE&lt;=0.8","Q NOT OK dE&gt;0.8"))))</f>
        <v>Q NOT OK dE&gt;0.8</v>
      </c>
      <c r="O322" s="7">
        <v>22.8</v>
      </c>
      <c r="P322" s="7">
        <v>4.5</v>
      </c>
      <c r="Q322" s="7">
        <v>5.5</v>
      </c>
      <c r="R322" s="7">
        <v>0.15</v>
      </c>
      <c r="S322" s="7">
        <v>0.1</v>
      </c>
      <c r="T322" s="7">
        <v>0.7</v>
      </c>
      <c r="U322" s="7">
        <v>0.64</v>
      </c>
      <c r="V322" s="7">
        <v>0.71</v>
      </c>
      <c r="W322" s="7">
        <v>0.96</v>
      </c>
      <c r="X322" s="7" t="s">
        <v>13</v>
      </c>
      <c r="Y322" s="7" t="s">
        <v>12</v>
      </c>
      <c r="Z322" s="2" t="s">
        <v>718</v>
      </c>
      <c r="AA322" s="2" t="s">
        <v>721</v>
      </c>
    </row>
    <row r="323" spans="1:27" x14ac:dyDescent="0.35">
      <c r="A323" s="7" t="s">
        <v>1740</v>
      </c>
      <c r="B323" s="7" t="s">
        <v>1001</v>
      </c>
      <c r="C323" s="7" t="str">
        <f>_xlfn.XLOOKUP(B323,'[1]Sheet 1'!$A$2:$A$11107,'[1]Sheet 1'!$D$2:$D$11107,"",0)</f>
        <v/>
      </c>
      <c r="D323" s="4" t="str">
        <f>_xlfn.XLOOKUP(A323,[3]Sheet2!$I$2:$I$1623,[3]Sheet2!$D$2:$D$1623,"",0)</f>
        <v>Q2</v>
      </c>
      <c r="E323" s="4" t="s">
        <v>1827</v>
      </c>
      <c r="F323" s="4" t="e">
        <f>_xlfn.XLOOKUP(B323,[2]Sheet2!$E$2:$E$713,[2]Sheet2!$G$2:$G$713)</f>
        <v>#N/A</v>
      </c>
      <c r="G323" s="18">
        <v>46106</v>
      </c>
      <c r="H323" s="14">
        <v>0.75784722222222223</v>
      </c>
      <c r="I323" s="7" t="s">
        <v>4</v>
      </c>
      <c r="J323" s="2" t="str">
        <f t="shared" si="25"/>
        <v>Q2</v>
      </c>
      <c r="K323" s="2" t="str">
        <f t="shared" si="26"/>
        <v>Match</v>
      </c>
      <c r="L323" s="2">
        <f t="shared" si="27"/>
        <v>0.1</v>
      </c>
      <c r="M323" s="2" t="e">
        <f t="shared" si="28"/>
        <v>#N/A</v>
      </c>
      <c r="N323" s="2" t="str">
        <f t="shared" si="29"/>
        <v>Q OK dE&gt;0.8</v>
      </c>
      <c r="O323" s="7">
        <v>13.2</v>
      </c>
      <c r="P323" s="7">
        <v>-0.8</v>
      </c>
      <c r="Q323" s="7">
        <v>-1</v>
      </c>
      <c r="R323" s="7">
        <v>-1.74</v>
      </c>
      <c r="S323" s="7">
        <v>-0.1</v>
      </c>
      <c r="T323" s="20">
        <v>0</v>
      </c>
      <c r="U323" s="7">
        <v>0.19</v>
      </c>
      <c r="V323" s="7">
        <v>-0.1</v>
      </c>
      <c r="W323" s="7">
        <v>1.76</v>
      </c>
      <c r="X323" s="7" t="s">
        <v>6</v>
      </c>
      <c r="Y323" s="7" t="s">
        <v>15</v>
      </c>
      <c r="Z323" s="2" t="s">
        <v>718</v>
      </c>
      <c r="AA323" s="2" t="s">
        <v>721</v>
      </c>
    </row>
    <row r="324" spans="1:27" x14ac:dyDescent="0.35">
      <c r="A324" s="7" t="s">
        <v>1545</v>
      </c>
      <c r="B324" s="7" t="s">
        <v>997</v>
      </c>
      <c r="C324" s="7" t="str">
        <f>_xlfn.XLOOKUP(B324,'[1]Sheet 1'!$A$2:$A$11107,'[1]Sheet 1'!$D$2:$D$11107,"",0)</f>
        <v>NIK</v>
      </c>
      <c r="D324" s="4" t="str">
        <f>_xlfn.XLOOKUP(A324,[3]Sheet2!$I$2:$I$1623,[3]Sheet2!$D$2:$D$1623,"",0)</f>
        <v>Q2</v>
      </c>
      <c r="E324" s="4" t="s">
        <v>1828</v>
      </c>
      <c r="F324" s="4" t="e">
        <f>_xlfn.XLOOKUP(B324,[2]Sheet2!$E$2:$E$713,[2]Sheet2!$G$2:$G$713)</f>
        <v>#N/A</v>
      </c>
      <c r="G324" s="18">
        <v>46106</v>
      </c>
      <c r="H324" s="14">
        <v>0.68615740740740738</v>
      </c>
      <c r="I324" s="7" t="s">
        <v>4</v>
      </c>
      <c r="J324" s="2" t="str">
        <f t="shared" si="25"/>
        <v>Q2</v>
      </c>
      <c r="K324" s="2" t="str">
        <f t="shared" si="26"/>
        <v>Match</v>
      </c>
      <c r="L324" s="2">
        <f t="shared" si="27"/>
        <v>0.2</v>
      </c>
      <c r="M324" s="2" t="e">
        <f t="shared" si="28"/>
        <v>#N/A</v>
      </c>
      <c r="N324" s="2" t="str">
        <f t="shared" si="29"/>
        <v>Q OK dE&lt;=0.8</v>
      </c>
      <c r="O324" s="7">
        <v>18.100000000000001</v>
      </c>
      <c r="P324" s="7">
        <v>-0.8</v>
      </c>
      <c r="Q324" s="7">
        <v>-1.8</v>
      </c>
      <c r="R324" s="7">
        <v>-0.28999999999999998</v>
      </c>
      <c r="S324" s="7">
        <v>0</v>
      </c>
      <c r="T324" s="7">
        <v>-0.2</v>
      </c>
      <c r="U324" s="7">
        <v>0.25</v>
      </c>
      <c r="V324" s="7">
        <v>0.13</v>
      </c>
      <c r="W324" s="7">
        <v>0.4</v>
      </c>
      <c r="X324" s="7" t="s">
        <v>8</v>
      </c>
      <c r="Y324" s="7" t="s">
        <v>9</v>
      </c>
      <c r="Z324" s="2" t="s">
        <v>718</v>
      </c>
      <c r="AA324" s="2" t="s">
        <v>721</v>
      </c>
    </row>
    <row r="325" spans="1:27" x14ac:dyDescent="0.35">
      <c r="A325" s="7" t="s">
        <v>1595</v>
      </c>
      <c r="B325" s="7" t="s">
        <v>1005</v>
      </c>
      <c r="C325" s="7" t="str">
        <f>_xlfn.XLOOKUP(B325,'[1]Sheet 1'!$A$2:$A$11107,'[1]Sheet 1'!$D$2:$D$11107,"",0)</f>
        <v>M&amp;S</v>
      </c>
      <c r="D325" s="4" t="str">
        <f>_xlfn.XLOOKUP(A325,[3]Sheet2!$I$2:$I$1623,[3]Sheet2!$D$2:$D$1623,"",0)</f>
        <v>Q4</v>
      </c>
      <c r="E325" s="4" t="s">
        <v>1828</v>
      </c>
      <c r="F325" s="4" t="e">
        <f>_xlfn.XLOOKUP(B325,[2]Sheet2!$E$2:$E$713,[2]Sheet2!$G$2:$G$713)</f>
        <v>#N/A</v>
      </c>
      <c r="G325" s="18">
        <v>46106</v>
      </c>
      <c r="H325" s="14">
        <v>0.77021990740740742</v>
      </c>
      <c r="I325" s="7" t="s">
        <v>17</v>
      </c>
      <c r="J325" s="2" t="str">
        <f t="shared" si="25"/>
        <v>Q1</v>
      </c>
      <c r="K325" s="2" t="str">
        <f t="shared" si="26"/>
        <v>Not Match</v>
      </c>
      <c r="L325" s="2">
        <f t="shared" si="27"/>
        <v>0.92195444572928875</v>
      </c>
      <c r="M325" s="2" t="e">
        <f t="shared" si="28"/>
        <v>#N/A</v>
      </c>
      <c r="N325" s="2" t="str">
        <f t="shared" si="29"/>
        <v>Q NOT OK dE&gt;0.8</v>
      </c>
      <c r="O325" s="7">
        <v>28.1</v>
      </c>
      <c r="P325" s="7">
        <v>-1.8</v>
      </c>
      <c r="Q325" s="7">
        <v>-1.7</v>
      </c>
      <c r="R325" s="7">
        <v>-0.56000000000000005</v>
      </c>
      <c r="S325" s="7">
        <v>0.2</v>
      </c>
      <c r="T325" s="7">
        <v>0.9</v>
      </c>
      <c r="U325" s="7">
        <v>-1.05</v>
      </c>
      <c r="V325" s="7">
        <v>-0.59</v>
      </c>
      <c r="W325" s="7">
        <v>1.33</v>
      </c>
      <c r="X325" s="7" t="s">
        <v>6</v>
      </c>
      <c r="Y325" s="7" t="s">
        <v>12</v>
      </c>
      <c r="Z325" s="2" t="s">
        <v>718</v>
      </c>
      <c r="AA325" s="2" t="s">
        <v>721</v>
      </c>
    </row>
    <row r="326" spans="1:27" x14ac:dyDescent="0.35">
      <c r="A326" s="7" t="s">
        <v>1681</v>
      </c>
      <c r="B326" s="7" t="s">
        <v>1000</v>
      </c>
      <c r="C326" s="7" t="str">
        <f>_xlfn.XLOOKUP(B326,'[1]Sheet 1'!$A$2:$A$11107,'[1]Sheet 1'!$D$2:$D$11107,"",0)</f>
        <v>CK</v>
      </c>
      <c r="D326" s="4" t="str">
        <f>_xlfn.XLOOKUP(A326,[3]Sheet2!$I$2:$I$1623,[3]Sheet2!$D$2:$D$1623,"",0)</f>
        <v>Q4</v>
      </c>
      <c r="E326" s="4" t="s">
        <v>1828</v>
      </c>
      <c r="F326" s="4" t="e">
        <f>_xlfn.XLOOKUP(B326,[2]Sheet2!$E$2:$E$713,[2]Sheet2!$G$2:$G$713)</f>
        <v>#N/A</v>
      </c>
      <c r="G326" s="18">
        <v>46106</v>
      </c>
      <c r="H326" s="14">
        <v>0.71590277777777778</v>
      </c>
      <c r="I326" s="7" t="s">
        <v>11</v>
      </c>
      <c r="J326" s="2" t="str">
        <f t="shared" si="25"/>
        <v>Q4</v>
      </c>
      <c r="K326" s="2" t="str">
        <f t="shared" si="26"/>
        <v>Match</v>
      </c>
      <c r="L326" s="2">
        <f t="shared" si="27"/>
        <v>0.60827625302982191</v>
      </c>
      <c r="M326" s="2" t="e">
        <f t="shared" si="28"/>
        <v>#N/A</v>
      </c>
      <c r="N326" s="2" t="str">
        <f t="shared" si="29"/>
        <v>Q OK dE&lt;=0.8</v>
      </c>
      <c r="O326" s="7">
        <v>19.899999999999999</v>
      </c>
      <c r="P326" s="7">
        <v>-0.4</v>
      </c>
      <c r="Q326" s="7">
        <v>-9.3000000000000007</v>
      </c>
      <c r="R326" s="7">
        <v>0.43</v>
      </c>
      <c r="S326" s="7">
        <v>0.1</v>
      </c>
      <c r="T326" s="7">
        <v>-0.6</v>
      </c>
      <c r="U326" s="7">
        <v>0.57999999999999996</v>
      </c>
      <c r="V326" s="7">
        <v>0.27</v>
      </c>
      <c r="W326" s="7">
        <v>0.77</v>
      </c>
      <c r="X326" s="7" t="s">
        <v>13</v>
      </c>
      <c r="Y326" s="7" t="s">
        <v>9</v>
      </c>
      <c r="Z326" s="2" t="s">
        <v>718</v>
      </c>
      <c r="AA326" s="2" t="s">
        <v>721</v>
      </c>
    </row>
    <row r="327" spans="1:27" x14ac:dyDescent="0.35">
      <c r="A327" s="7" t="s">
        <v>1536</v>
      </c>
      <c r="B327" s="7" t="s">
        <v>1006</v>
      </c>
      <c r="C327" s="7" t="str">
        <f>_xlfn.XLOOKUP(B327,'[1]Sheet 1'!$A$2:$A$11107,'[1]Sheet 1'!$D$2:$D$11107,"",0)</f>
        <v>NIK</v>
      </c>
      <c r="D327" s="4" t="str">
        <f>_xlfn.XLOOKUP(A327,[3]Sheet2!$I$2:$I$1623,[3]Sheet2!$D$2:$D$1623,"",0)</f>
        <v>Q2</v>
      </c>
      <c r="E327" s="4" t="s">
        <v>1828</v>
      </c>
      <c r="F327" s="4" t="e">
        <f>_xlfn.XLOOKUP(B327,[2]Sheet2!$E$2:$E$713,[2]Sheet2!$G$2:$G$713)</f>
        <v>#N/A</v>
      </c>
      <c r="G327" s="18">
        <v>46107</v>
      </c>
      <c r="H327" s="14">
        <v>0.60600694444444447</v>
      </c>
      <c r="I327" s="7" t="s">
        <v>4</v>
      </c>
      <c r="J327" s="2" t="str">
        <f t="shared" si="25"/>
        <v>Q2</v>
      </c>
      <c r="K327" s="2" t="str">
        <f t="shared" si="26"/>
        <v>Match</v>
      </c>
      <c r="L327" s="2">
        <f t="shared" si="27"/>
        <v>0.1</v>
      </c>
      <c r="M327" s="2" t="e">
        <f t="shared" si="28"/>
        <v>#N/A</v>
      </c>
      <c r="N327" s="2" t="str">
        <f t="shared" si="29"/>
        <v>Q OK dE&gt;0.8</v>
      </c>
      <c r="O327" s="7">
        <v>14.8</v>
      </c>
      <c r="P327" s="7">
        <v>-0.5</v>
      </c>
      <c r="Q327" s="7">
        <v>-1.8</v>
      </c>
      <c r="R327" s="7">
        <v>-0.88</v>
      </c>
      <c r="S327" s="7">
        <v>0.1</v>
      </c>
      <c r="T327" s="20">
        <v>0</v>
      </c>
      <c r="U327" s="7">
        <v>0.04</v>
      </c>
      <c r="V327" s="7">
        <v>0.19</v>
      </c>
      <c r="W327" s="7">
        <v>0.9</v>
      </c>
      <c r="X327" s="7" t="s">
        <v>13</v>
      </c>
      <c r="Y327" s="7" t="s">
        <v>9</v>
      </c>
      <c r="Z327" s="2" t="s">
        <v>718</v>
      </c>
      <c r="AA327" s="2" t="s">
        <v>721</v>
      </c>
    </row>
    <row r="328" spans="1:27" x14ac:dyDescent="0.35">
      <c r="A328" s="7" t="s">
        <v>1586</v>
      </c>
      <c r="B328" s="7" t="s">
        <v>1009</v>
      </c>
      <c r="C328" s="7" t="str">
        <f>_xlfn.XLOOKUP(B328,'[1]Sheet 1'!$A$2:$A$11107,'[1]Sheet 1'!$D$2:$D$11107,"",0)</f>
        <v>INT1</v>
      </c>
      <c r="D328" s="4" t="str">
        <f>_xlfn.XLOOKUP(A328,[3]Sheet2!$I$2:$I$1623,[3]Sheet2!$D$2:$D$1623,"",0)</f>
        <v>Q2</v>
      </c>
      <c r="E328" s="4" t="s">
        <v>1828</v>
      </c>
      <c r="F328" s="4" t="e">
        <f>_xlfn.XLOOKUP(B328,[2]Sheet2!$E$2:$E$713,[2]Sheet2!$G$2:$G$713)</f>
        <v>#N/A</v>
      </c>
      <c r="G328" s="18">
        <v>46107</v>
      </c>
      <c r="H328" s="14">
        <v>0.63730324074074074</v>
      </c>
      <c r="I328" s="7" t="s">
        <v>5</v>
      </c>
      <c r="J328" s="2" t="str">
        <f t="shared" si="25"/>
        <v>Q2</v>
      </c>
      <c r="K328" s="2" t="str">
        <f t="shared" si="26"/>
        <v>Match</v>
      </c>
      <c r="L328" s="2">
        <f t="shared" si="27"/>
        <v>0.3</v>
      </c>
      <c r="M328" s="2" t="e">
        <f t="shared" si="28"/>
        <v>#N/A</v>
      </c>
      <c r="N328" s="2" t="str">
        <f t="shared" si="29"/>
        <v>Q OK dE&lt;=0.8</v>
      </c>
      <c r="O328" s="7">
        <v>17.600000000000001</v>
      </c>
      <c r="P328" s="7">
        <v>-0.3</v>
      </c>
      <c r="Q328" s="7">
        <v>-1.8</v>
      </c>
      <c r="R328" s="7">
        <v>-0.13</v>
      </c>
      <c r="S328" s="7">
        <v>0</v>
      </c>
      <c r="T328" s="7">
        <v>-0.3</v>
      </c>
      <c r="U328" s="7">
        <v>0.45</v>
      </c>
      <c r="V328" s="7">
        <v>-0.03</v>
      </c>
      <c r="W328" s="7">
        <v>0.47</v>
      </c>
      <c r="X328" s="7" t="s">
        <v>8</v>
      </c>
      <c r="Y328" s="7" t="s">
        <v>15</v>
      </c>
      <c r="Z328" s="2" t="s">
        <v>718</v>
      </c>
      <c r="AA328" s="2" t="s">
        <v>721</v>
      </c>
    </row>
    <row r="329" spans="1:27" x14ac:dyDescent="0.35">
      <c r="A329" s="7" t="s">
        <v>1558</v>
      </c>
      <c r="B329" s="7" t="s">
        <v>1008</v>
      </c>
      <c r="C329" s="7" t="str">
        <f>_xlfn.XLOOKUP(B329,'[1]Sheet 1'!$A$2:$A$11107,'[1]Sheet 1'!$D$2:$D$11107,"",0)</f>
        <v>M&amp;S</v>
      </c>
      <c r="D329" s="4" t="str">
        <f>_xlfn.XLOOKUP(A329,[3]Sheet2!$I$2:$I$1623,[3]Sheet2!$D$2:$D$1623,"",0)</f>
        <v>Q3</v>
      </c>
      <c r="E329" s="4" t="s">
        <v>1828</v>
      </c>
      <c r="F329" s="4" t="e">
        <f>_xlfn.XLOOKUP(B329,[2]Sheet2!$E$2:$E$713,[2]Sheet2!$G$2:$G$713)</f>
        <v>#N/A</v>
      </c>
      <c r="G329" s="18">
        <v>46107</v>
      </c>
      <c r="H329" s="14">
        <v>0.6284143518518519</v>
      </c>
      <c r="I329" s="7" t="s">
        <v>17</v>
      </c>
      <c r="J329" s="2" t="str">
        <f t="shared" si="25"/>
        <v>Q3</v>
      </c>
      <c r="K329" s="2" t="str">
        <f t="shared" si="26"/>
        <v>Match</v>
      </c>
      <c r="L329" s="2">
        <f t="shared" si="27"/>
        <v>0</v>
      </c>
      <c r="M329" s="2" t="e">
        <f t="shared" si="28"/>
        <v>#N/A</v>
      </c>
      <c r="N329" s="2" t="str">
        <f t="shared" si="29"/>
        <v>Q OK dE&lt;=0.8</v>
      </c>
      <c r="O329" s="7">
        <v>14.8</v>
      </c>
      <c r="P329" s="7">
        <v>-0.5</v>
      </c>
      <c r="Q329" s="7">
        <v>-1.8</v>
      </c>
      <c r="R329" s="7">
        <v>-0.75</v>
      </c>
      <c r="S329" s="7">
        <v>0</v>
      </c>
      <c r="T329" s="20">
        <v>0</v>
      </c>
      <c r="U329" s="7">
        <v>0.03</v>
      </c>
      <c r="V329" s="7">
        <v>-7.0000000000000007E-2</v>
      </c>
      <c r="W329" s="7">
        <v>0.75</v>
      </c>
      <c r="X329" s="7" t="s">
        <v>8</v>
      </c>
      <c r="Y329" s="7" t="s">
        <v>15</v>
      </c>
      <c r="Z329" s="2" t="s">
        <v>718</v>
      </c>
      <c r="AA329" s="2" t="s">
        <v>721</v>
      </c>
    </row>
    <row r="330" spans="1:27" x14ac:dyDescent="0.35">
      <c r="A330" s="7" t="s">
        <v>1742</v>
      </c>
      <c r="B330" s="7" t="s">
        <v>1011</v>
      </c>
      <c r="C330" s="7" t="str">
        <f>_xlfn.XLOOKUP(B330,'[1]Sheet 1'!$A$2:$A$11107,'[1]Sheet 1'!$D$2:$D$11107,"",0)</f>
        <v>GAP</v>
      </c>
      <c r="D330" s="4" t="str">
        <f>_xlfn.XLOOKUP(A330,[3]Sheet2!$I$2:$I$1623,[3]Sheet2!$D$2:$D$1623,"",0)</f>
        <v>Q1</v>
      </c>
      <c r="E330" s="4" t="s">
        <v>1828</v>
      </c>
      <c r="F330" s="4" t="e">
        <f>_xlfn.XLOOKUP(B330,[2]Sheet2!$E$2:$E$713,[2]Sheet2!$G$2:$G$713)</f>
        <v>#N/A</v>
      </c>
      <c r="G330" s="18">
        <v>46107</v>
      </c>
      <c r="H330" s="14">
        <v>0.71061342592592591</v>
      </c>
      <c r="I330" s="7" t="s">
        <v>14</v>
      </c>
      <c r="J330" s="2" t="str">
        <f t="shared" si="25"/>
        <v>Q1</v>
      </c>
      <c r="K330" s="2" t="str">
        <f t="shared" si="26"/>
        <v>Match</v>
      </c>
      <c r="L330" s="2">
        <f t="shared" si="27"/>
        <v>0.3</v>
      </c>
      <c r="M330" s="2" t="e">
        <f t="shared" si="28"/>
        <v>#N/A</v>
      </c>
      <c r="N330" s="2" t="str">
        <f t="shared" si="29"/>
        <v>Q OK dE&gt;0.8</v>
      </c>
      <c r="O330" s="7">
        <v>25.5</v>
      </c>
      <c r="P330" s="7">
        <v>15.1</v>
      </c>
      <c r="Q330" s="7">
        <v>5.7</v>
      </c>
      <c r="R330" s="7">
        <v>-0.86</v>
      </c>
      <c r="S330" s="7">
        <v>0</v>
      </c>
      <c r="T330" s="7">
        <v>0.3</v>
      </c>
      <c r="U330" s="7">
        <v>0.11</v>
      </c>
      <c r="V330" s="7">
        <v>0.36</v>
      </c>
      <c r="W330" s="7">
        <v>0.93</v>
      </c>
      <c r="X330" s="7" t="s">
        <v>13</v>
      </c>
      <c r="Y330" s="7" t="s">
        <v>12</v>
      </c>
      <c r="Z330" s="2" t="s">
        <v>718</v>
      </c>
      <c r="AA330" s="2" t="s">
        <v>721</v>
      </c>
    </row>
    <row r="331" spans="1:27" x14ac:dyDescent="0.35">
      <c r="A331" s="7" t="s">
        <v>1564</v>
      </c>
      <c r="B331" s="7" t="s">
        <v>1010</v>
      </c>
      <c r="C331" s="7" t="str">
        <f>_xlfn.XLOOKUP(B331,'[1]Sheet 1'!$A$2:$A$11107,'[1]Sheet 1'!$D$2:$D$11107,"",0)</f>
        <v>M&amp;S</v>
      </c>
      <c r="D331" s="4" t="str">
        <f>_xlfn.XLOOKUP(A331,[3]Sheet2!$I$2:$I$1623,[3]Sheet2!$D$2:$D$1623,"",0)</f>
        <v>Q4</v>
      </c>
      <c r="E331" s="4" t="s">
        <v>1828</v>
      </c>
      <c r="F331" s="4" t="e">
        <f>_xlfn.XLOOKUP(B331,[2]Sheet2!$E$2:$E$713,[2]Sheet2!$G$2:$G$713)</f>
        <v>#N/A</v>
      </c>
      <c r="G331" s="18">
        <v>46107</v>
      </c>
      <c r="H331" s="14">
        <v>0.70141203703703703</v>
      </c>
      <c r="I331" s="7" t="s">
        <v>5</v>
      </c>
      <c r="J331" s="2" t="str">
        <f t="shared" si="25"/>
        <v>Q1</v>
      </c>
      <c r="K331" s="2" t="str">
        <f t="shared" si="26"/>
        <v>Not Match</v>
      </c>
      <c r="L331" s="2">
        <f t="shared" si="27"/>
        <v>0.41231056256176613</v>
      </c>
      <c r="M331" s="2" t="e">
        <f t="shared" si="28"/>
        <v>#N/A</v>
      </c>
      <c r="N331" s="2" t="str">
        <f t="shared" si="29"/>
        <v>Q NOT OK dE&gt;0.8</v>
      </c>
      <c r="O331" s="7">
        <v>15.4</v>
      </c>
      <c r="P331" s="7">
        <v>-0.8</v>
      </c>
      <c r="Q331" s="7">
        <v>-1.4</v>
      </c>
      <c r="R331" s="7">
        <v>-0.7</v>
      </c>
      <c r="S331" s="7">
        <v>0.1</v>
      </c>
      <c r="T331" s="7">
        <v>0.4</v>
      </c>
      <c r="U331" s="7">
        <v>-0.56999999999999995</v>
      </c>
      <c r="V331" s="7">
        <v>-0.09</v>
      </c>
      <c r="W331" s="7">
        <v>0.9</v>
      </c>
      <c r="X331" s="7" t="s">
        <v>13</v>
      </c>
      <c r="Y331" s="7" t="s">
        <v>15</v>
      </c>
      <c r="Z331" s="2" t="s">
        <v>718</v>
      </c>
      <c r="AA331" s="2" t="s">
        <v>721</v>
      </c>
    </row>
    <row r="332" spans="1:27" x14ac:dyDescent="0.35">
      <c r="A332" s="7" t="s">
        <v>1574</v>
      </c>
      <c r="B332" s="7" t="s">
        <v>1007</v>
      </c>
      <c r="C332" s="7" t="str">
        <f>_xlfn.XLOOKUP(B332,'[1]Sheet 1'!$A$2:$A$11107,'[1]Sheet 1'!$D$2:$D$11107,"",0)</f>
        <v>PINK</v>
      </c>
      <c r="D332" s="4" t="str">
        <f>_xlfn.XLOOKUP(A332,[3]Sheet2!$I$2:$I$1623,[3]Sheet2!$D$2:$D$1623,"",0)</f>
        <v>Q2</v>
      </c>
      <c r="E332" s="4" t="s">
        <v>1828</v>
      </c>
      <c r="F332" s="4" t="e">
        <f>_xlfn.XLOOKUP(B332,[2]Sheet2!$E$2:$E$713,[2]Sheet2!$G$2:$G$713)</f>
        <v>#N/A</v>
      </c>
      <c r="G332" s="18">
        <v>46107</v>
      </c>
      <c r="H332" s="14">
        <v>0.62475694444444441</v>
      </c>
      <c r="I332" s="7" t="s">
        <v>10</v>
      </c>
      <c r="J332" s="2" t="str">
        <f t="shared" si="25"/>
        <v>Q2</v>
      </c>
      <c r="K332" s="2" t="str">
        <f t="shared" si="26"/>
        <v>Match</v>
      </c>
      <c r="L332" s="2">
        <f t="shared" si="27"/>
        <v>0.6</v>
      </c>
      <c r="M332" s="2" t="e">
        <f t="shared" si="28"/>
        <v>#N/A</v>
      </c>
      <c r="N332" s="2" t="str">
        <f t="shared" si="29"/>
        <v>Q OK dE&gt;0.8</v>
      </c>
      <c r="O332" s="7">
        <v>18.5</v>
      </c>
      <c r="P332" s="7">
        <v>-2.1</v>
      </c>
      <c r="Q332" s="7">
        <v>-11.9</v>
      </c>
      <c r="R332" s="7">
        <v>-0.75</v>
      </c>
      <c r="S332" s="7">
        <v>0</v>
      </c>
      <c r="T332" s="7">
        <v>-0.6</v>
      </c>
      <c r="U332" s="7">
        <v>0.52</v>
      </c>
      <c r="V332" s="7">
        <v>0.09</v>
      </c>
      <c r="W332" s="7">
        <v>0.92</v>
      </c>
      <c r="X332" s="7" t="s">
        <v>13</v>
      </c>
      <c r="Y332" s="7" t="s">
        <v>9</v>
      </c>
      <c r="Z332" s="2" t="s">
        <v>718</v>
      </c>
      <c r="AA332" s="2" t="s">
        <v>721</v>
      </c>
    </row>
    <row r="333" spans="1:27" x14ac:dyDescent="0.35">
      <c r="A333" s="7" t="s">
        <v>1559</v>
      </c>
      <c r="B333" s="7" t="s">
        <v>1013</v>
      </c>
      <c r="C333" s="7" t="str">
        <f>_xlfn.XLOOKUP(B333,'[1]Sheet 1'!$A$2:$A$11107,'[1]Sheet 1'!$D$2:$D$11107,"",0)</f>
        <v>VSS</v>
      </c>
      <c r="D333" s="4" t="str">
        <f>_xlfn.XLOOKUP(A333,[3]Sheet2!$I$2:$I$1623,[3]Sheet2!$D$2:$D$1623,"",0)</f>
        <v>Q3</v>
      </c>
      <c r="E333" s="4" t="s">
        <v>1828</v>
      </c>
      <c r="F333" s="4" t="e">
        <f>_xlfn.XLOOKUP(B333,[2]Sheet2!$E$2:$E$713,[2]Sheet2!$G$2:$G$713)</f>
        <v>#N/A</v>
      </c>
      <c r="G333" s="18">
        <v>46107</v>
      </c>
      <c r="H333" s="14">
        <v>0.92292824074074076</v>
      </c>
      <c r="I333" s="7" t="s">
        <v>10</v>
      </c>
      <c r="J333" s="2" t="str">
        <f t="shared" si="25"/>
        <v>Q3</v>
      </c>
      <c r="K333" s="2" t="str">
        <f t="shared" si="26"/>
        <v>Match</v>
      </c>
      <c r="L333" s="2">
        <f t="shared" si="27"/>
        <v>0.2</v>
      </c>
      <c r="M333" s="2" t="e">
        <f t="shared" si="28"/>
        <v>#N/A</v>
      </c>
      <c r="N333" s="2" t="str">
        <f t="shared" si="29"/>
        <v>Q OK dE&lt;=0.8</v>
      </c>
      <c r="O333" s="7">
        <v>17.2</v>
      </c>
      <c r="P333" s="7">
        <v>0</v>
      </c>
      <c r="Q333" s="7">
        <v>-2.5</v>
      </c>
      <c r="R333" s="7">
        <v>-0.68</v>
      </c>
      <c r="S333" s="7">
        <v>0</v>
      </c>
      <c r="T333" s="7">
        <v>-0.2</v>
      </c>
      <c r="U333" s="7">
        <v>0.26</v>
      </c>
      <c r="V333" s="7">
        <v>0.04</v>
      </c>
      <c r="W333" s="7">
        <v>0.73</v>
      </c>
      <c r="X333" s="7" t="s">
        <v>8</v>
      </c>
      <c r="Y333" s="7" t="s">
        <v>9</v>
      </c>
      <c r="Z333" s="2" t="s">
        <v>718</v>
      </c>
      <c r="AA333" s="2" t="s">
        <v>721</v>
      </c>
    </row>
    <row r="334" spans="1:27" x14ac:dyDescent="0.35">
      <c r="A334" s="7" t="s">
        <v>1559</v>
      </c>
      <c r="B334" s="7" t="s">
        <v>1012</v>
      </c>
      <c r="C334" s="7" t="str">
        <f>_xlfn.XLOOKUP(B334,'[1]Sheet 1'!$A$2:$A$11107,'[1]Sheet 1'!$D$2:$D$11107,"",0)</f>
        <v>VSS</v>
      </c>
      <c r="D334" s="4" t="str">
        <f>_xlfn.XLOOKUP(A334,[3]Sheet2!$I$2:$I$1623,[3]Sheet2!$D$2:$D$1623,"",0)</f>
        <v>Q3</v>
      </c>
      <c r="E334" s="4" t="s">
        <v>1828</v>
      </c>
      <c r="F334" s="4" t="e">
        <f>_xlfn.XLOOKUP(B334,[2]Sheet2!$E$2:$E$713,[2]Sheet2!$G$2:$G$713)</f>
        <v>#N/A</v>
      </c>
      <c r="G334" s="18">
        <v>46107</v>
      </c>
      <c r="H334" s="14">
        <v>0.76739583333333339</v>
      </c>
      <c r="I334" s="7" t="s">
        <v>10</v>
      </c>
      <c r="J334" s="2" t="str">
        <f t="shared" si="25"/>
        <v>Q4</v>
      </c>
      <c r="K334" s="2" t="str">
        <f t="shared" si="26"/>
        <v>Not Match</v>
      </c>
      <c r="L334" s="2">
        <f t="shared" si="27"/>
        <v>0.14142135623730953</v>
      </c>
      <c r="M334" s="2" t="e">
        <f t="shared" si="28"/>
        <v>#N/A</v>
      </c>
      <c r="N334" s="2" t="str">
        <f t="shared" si="29"/>
        <v>Q NOT OK dE&gt;0.8</v>
      </c>
      <c r="O334" s="7">
        <v>17</v>
      </c>
      <c r="P334" s="7">
        <v>0</v>
      </c>
      <c r="Q334" s="7">
        <v>-2.4</v>
      </c>
      <c r="R334" s="7">
        <v>-0.84</v>
      </c>
      <c r="S334" s="7">
        <v>0.1</v>
      </c>
      <c r="T334" s="7">
        <v>-0.1</v>
      </c>
      <c r="U334" s="7">
        <v>0.2</v>
      </c>
      <c r="V334" s="7">
        <v>0.22</v>
      </c>
      <c r="W334" s="7">
        <v>0.89</v>
      </c>
      <c r="X334" s="7" t="s">
        <v>13</v>
      </c>
      <c r="Y334" s="7" t="s">
        <v>9</v>
      </c>
      <c r="Z334" s="2" t="s">
        <v>718</v>
      </c>
      <c r="AA334" s="2" t="s">
        <v>721</v>
      </c>
    </row>
    <row r="335" spans="1:27" x14ac:dyDescent="0.35">
      <c r="A335" s="7" t="s">
        <v>1516</v>
      </c>
      <c r="B335" s="7" t="s">
        <v>1032</v>
      </c>
      <c r="C335" s="7" t="str">
        <f>_xlfn.XLOOKUP(B335,'[1]Sheet 1'!$A$2:$A$11107,'[1]Sheet 1'!$D$2:$D$11107,"",0)</f>
        <v>LBI</v>
      </c>
      <c r="D335" s="4" t="str">
        <f>_xlfn.XLOOKUP(A335,[3]Sheet2!$I$2:$I$1623,[3]Sheet2!$D$2:$D$1623,"",0)</f>
        <v>Q2</v>
      </c>
      <c r="E335" s="4" t="s">
        <v>1828</v>
      </c>
      <c r="F335" s="4" t="e">
        <f>_xlfn.XLOOKUP(B335,[2]Sheet2!$E$2:$E$713,[2]Sheet2!$G$2:$G$713)</f>
        <v>#N/A</v>
      </c>
      <c r="G335" s="18">
        <v>46108</v>
      </c>
      <c r="H335" s="14">
        <v>0.72479166666666661</v>
      </c>
      <c r="I335" s="7" t="s">
        <v>14</v>
      </c>
      <c r="J335" s="2" t="str">
        <f t="shared" si="25"/>
        <v>Q2</v>
      </c>
      <c r="K335" s="2" t="str">
        <f t="shared" si="26"/>
        <v>Match</v>
      </c>
      <c r="L335" s="2">
        <f t="shared" si="27"/>
        <v>0</v>
      </c>
      <c r="M335" s="2" t="e">
        <f t="shared" si="28"/>
        <v>#N/A</v>
      </c>
      <c r="N335" s="2" t="str">
        <f t="shared" si="29"/>
        <v>Q OK dE&lt;=0.8</v>
      </c>
      <c r="O335" s="7">
        <v>18.3</v>
      </c>
      <c r="P335" s="7">
        <v>-1.5</v>
      </c>
      <c r="Q335" s="7">
        <v>-2.7</v>
      </c>
      <c r="R335" s="7">
        <v>0.32</v>
      </c>
      <c r="S335" s="7">
        <v>0</v>
      </c>
      <c r="T335" s="20">
        <v>0</v>
      </c>
      <c r="U335" s="7">
        <v>0.02</v>
      </c>
      <c r="V335" s="7">
        <v>0.09</v>
      </c>
      <c r="W335" s="7">
        <v>0.33</v>
      </c>
      <c r="X335" s="7" t="s">
        <v>8</v>
      </c>
      <c r="Y335" s="7" t="s">
        <v>9</v>
      </c>
      <c r="Z335" s="2" t="s">
        <v>718</v>
      </c>
      <c r="AA335" s="2" t="s">
        <v>721</v>
      </c>
    </row>
    <row r="336" spans="1:27" x14ac:dyDescent="0.35">
      <c r="A336" s="7" t="s">
        <v>1726</v>
      </c>
      <c r="B336" s="7" t="s">
        <v>889</v>
      </c>
      <c r="C336" s="7" t="str">
        <f>_xlfn.XLOOKUP(B336,'[1]Sheet 1'!$A$2:$A$11107,'[1]Sheet 1'!$D$2:$D$11107,"",0)</f>
        <v>WACE</v>
      </c>
      <c r="D336" s="4" t="str">
        <f>_xlfn.XLOOKUP(A336,[3]Sheet2!$I$2:$I$1623,[3]Sheet2!$D$2:$D$1623,"",0)</f>
        <v>Q3</v>
      </c>
      <c r="E336" s="4" t="s">
        <v>1827</v>
      </c>
      <c r="F336" s="4" t="e">
        <f>_xlfn.XLOOKUP(B336,[2]Sheet2!$E$2:$E$713,[2]Sheet2!$G$2:$G$713)</f>
        <v>#N/A</v>
      </c>
      <c r="G336" s="18">
        <v>46108</v>
      </c>
      <c r="H336" s="14">
        <v>0.23670138888888889</v>
      </c>
      <c r="I336" s="7" t="s">
        <v>4</v>
      </c>
      <c r="J336" s="2" t="str">
        <f t="shared" si="25"/>
        <v>Q2</v>
      </c>
      <c r="K336" s="2" t="str">
        <f t="shared" si="26"/>
        <v>Not Match</v>
      </c>
      <c r="L336" s="2">
        <f t="shared" si="27"/>
        <v>0.28284271247461906</v>
      </c>
      <c r="M336" s="2" t="e">
        <f t="shared" si="28"/>
        <v>#N/A</v>
      </c>
      <c r="N336" s="2" t="str">
        <f t="shared" si="29"/>
        <v>Q NOT OK dE&lt;=0.8</v>
      </c>
      <c r="O336" s="7">
        <v>29.2</v>
      </c>
      <c r="P336" s="7">
        <v>31.4</v>
      </c>
      <c r="Q336" s="7">
        <v>8.4</v>
      </c>
      <c r="R336" s="7">
        <v>0.27</v>
      </c>
      <c r="S336" s="7">
        <v>-0.2</v>
      </c>
      <c r="T336" s="7">
        <v>0.2</v>
      </c>
      <c r="U336" s="7">
        <v>-7.0000000000000007E-2</v>
      </c>
      <c r="V336" s="7">
        <v>0.2</v>
      </c>
      <c r="W336" s="7">
        <v>0.34</v>
      </c>
      <c r="X336" s="7" t="s">
        <v>8</v>
      </c>
      <c r="Y336" s="7" t="s">
        <v>12</v>
      </c>
      <c r="Z336" s="2" t="s">
        <v>718</v>
      </c>
      <c r="AA336" s="2" t="s">
        <v>721</v>
      </c>
    </row>
    <row r="337" spans="1:27" x14ac:dyDescent="0.35">
      <c r="A337" s="7" t="s">
        <v>1655</v>
      </c>
      <c r="B337" s="7" t="s">
        <v>1036</v>
      </c>
      <c r="C337" s="7" t="str">
        <f>_xlfn.XLOOKUP(B337,'[1]Sheet 1'!$A$2:$A$11107,'[1]Sheet 1'!$D$2:$D$11107,"",0)</f>
        <v>PINK</v>
      </c>
      <c r="D337" s="4" t="str">
        <f>_xlfn.XLOOKUP(A337,[3]Sheet2!$I$2:$I$1623,[3]Sheet2!$D$2:$D$1623,"",0)</f>
        <v>Q3</v>
      </c>
      <c r="E337" s="4" t="s">
        <v>1828</v>
      </c>
      <c r="F337" s="4" t="e">
        <f>_xlfn.XLOOKUP(B337,[2]Sheet2!$E$2:$E$713,[2]Sheet2!$G$2:$G$713)</f>
        <v>#N/A</v>
      </c>
      <c r="G337" s="18">
        <v>46108</v>
      </c>
      <c r="H337" s="14">
        <v>0.99928240740740737</v>
      </c>
      <c r="I337" s="7" t="s">
        <v>10</v>
      </c>
      <c r="J337" s="2" t="str">
        <f t="shared" si="25"/>
        <v>Q3</v>
      </c>
      <c r="K337" s="2" t="str">
        <f t="shared" si="26"/>
        <v>Match</v>
      </c>
      <c r="L337" s="2">
        <f t="shared" si="27"/>
        <v>0</v>
      </c>
      <c r="M337" s="2" t="e">
        <f t="shared" si="28"/>
        <v>#N/A</v>
      </c>
      <c r="N337" s="2" t="str">
        <f t="shared" si="29"/>
        <v>Q OK dE&lt;=0.8</v>
      </c>
      <c r="O337" s="7">
        <v>14.1</v>
      </c>
      <c r="P337" s="7">
        <v>0.6</v>
      </c>
      <c r="Q337" s="7">
        <v>-0.9</v>
      </c>
      <c r="R337" s="7">
        <v>0.04</v>
      </c>
      <c r="S337" s="7">
        <v>0</v>
      </c>
      <c r="T337" s="20">
        <v>0</v>
      </c>
      <c r="U337" s="7">
        <v>0.06</v>
      </c>
      <c r="V337" s="7">
        <v>0.09</v>
      </c>
      <c r="W337" s="7">
        <v>0.12</v>
      </c>
      <c r="X337" s="7" t="s">
        <v>8</v>
      </c>
      <c r="Y337" s="7" t="s">
        <v>9</v>
      </c>
      <c r="Z337" s="2" t="s">
        <v>718</v>
      </c>
      <c r="AA337" s="2" t="s">
        <v>721</v>
      </c>
    </row>
    <row r="338" spans="1:27" x14ac:dyDescent="0.35">
      <c r="A338" s="7" t="s">
        <v>1743</v>
      </c>
      <c r="B338" s="7" t="s">
        <v>1019</v>
      </c>
      <c r="C338" s="7" t="str">
        <f>_xlfn.XLOOKUP(B338,'[1]Sheet 1'!$A$2:$A$11107,'[1]Sheet 1'!$D$2:$D$11107,"",0)</f>
        <v>CHICOS</v>
      </c>
      <c r="D338" s="4" t="str">
        <f>_xlfn.XLOOKUP(A338,[3]Sheet2!$I$2:$I$1623,[3]Sheet2!$D$2:$D$1623,"",0)</f>
        <v>Q1</v>
      </c>
      <c r="E338" s="4" t="s">
        <v>1828</v>
      </c>
      <c r="F338" s="4" t="e">
        <f>_xlfn.XLOOKUP(B338,[2]Sheet2!$E$2:$E$713,[2]Sheet2!$G$2:$G$713)</f>
        <v>#N/A</v>
      </c>
      <c r="G338" s="18">
        <v>46108</v>
      </c>
      <c r="H338" s="14">
        <v>0.26326388888888891</v>
      </c>
      <c r="I338" s="7" t="s">
        <v>4</v>
      </c>
      <c r="J338" s="2" t="str">
        <f t="shared" si="25"/>
        <v>Q2</v>
      </c>
      <c r="K338" s="2" t="str">
        <f t="shared" si="26"/>
        <v>Not Match</v>
      </c>
      <c r="L338" s="2">
        <f t="shared" si="27"/>
        <v>0.41231056256176613</v>
      </c>
      <c r="M338" s="2" t="e">
        <f t="shared" si="28"/>
        <v>#N/A</v>
      </c>
      <c r="N338" s="2" t="str">
        <f t="shared" si="29"/>
        <v>Q NOT OK dE&gt;0.8</v>
      </c>
      <c r="O338" s="7">
        <v>34</v>
      </c>
      <c r="P338" s="7">
        <v>10.4</v>
      </c>
      <c r="Q338" s="7">
        <v>11.3</v>
      </c>
      <c r="R338" s="7">
        <v>-0.56000000000000005</v>
      </c>
      <c r="S338" s="7">
        <v>-0.1</v>
      </c>
      <c r="T338" s="7">
        <v>0.4</v>
      </c>
      <c r="U338" s="7">
        <v>0.13</v>
      </c>
      <c r="V338" s="7">
        <v>0.68</v>
      </c>
      <c r="W338" s="7">
        <v>0.89</v>
      </c>
      <c r="X338" s="7" t="s">
        <v>13</v>
      </c>
      <c r="Y338" s="7" t="s">
        <v>12</v>
      </c>
      <c r="Z338" s="2" t="s">
        <v>718</v>
      </c>
      <c r="AA338" s="2" t="s">
        <v>721</v>
      </c>
    </row>
    <row r="339" spans="1:27" x14ac:dyDescent="0.35">
      <c r="A339" s="7" t="s">
        <v>1723</v>
      </c>
      <c r="B339" s="7" t="s">
        <v>1018</v>
      </c>
      <c r="C339" s="7" t="str">
        <f>_xlfn.XLOOKUP(B339,'[1]Sheet 1'!$A$2:$A$11107,'[1]Sheet 1'!$D$2:$D$11107,"",0)</f>
        <v>GAP</v>
      </c>
      <c r="D339" s="4" t="str">
        <f>_xlfn.XLOOKUP(A339,[3]Sheet2!$I$2:$I$1623,[3]Sheet2!$D$2:$D$1623,"",0)</f>
        <v>Q2</v>
      </c>
      <c r="E339" s="4" t="s">
        <v>1828</v>
      </c>
      <c r="F339" s="4" t="e">
        <f>_xlfn.XLOOKUP(B339,[2]Sheet2!$E$2:$E$713,[2]Sheet2!$G$2:$G$713)</f>
        <v>#N/A</v>
      </c>
      <c r="G339" s="18">
        <v>46108</v>
      </c>
      <c r="H339" s="14">
        <v>0.26097222222222222</v>
      </c>
      <c r="I339" s="7" t="s">
        <v>4</v>
      </c>
      <c r="J339" s="2" t="str">
        <f t="shared" si="25"/>
        <v>Q2</v>
      </c>
      <c r="K339" s="2" t="str">
        <f t="shared" si="26"/>
        <v>Match</v>
      </c>
      <c r="L339" s="2">
        <f t="shared" si="27"/>
        <v>0.5</v>
      </c>
      <c r="M339" s="2" t="e">
        <f t="shared" si="28"/>
        <v>#N/A</v>
      </c>
      <c r="N339" s="2" t="str">
        <f t="shared" si="29"/>
        <v>Q OK dE&lt;=0.8</v>
      </c>
      <c r="O339" s="7">
        <v>14.9</v>
      </c>
      <c r="P339" s="7">
        <v>-0.6</v>
      </c>
      <c r="Q339" s="7">
        <v>-1.4</v>
      </c>
      <c r="R339" s="7">
        <v>0.05</v>
      </c>
      <c r="S339" s="7">
        <v>-0.5</v>
      </c>
      <c r="T339" s="20">
        <v>0</v>
      </c>
      <c r="U339" s="7">
        <v>0.21</v>
      </c>
      <c r="V339" s="7">
        <v>-0.67</v>
      </c>
      <c r="W339" s="7">
        <v>0.7</v>
      </c>
      <c r="X339" s="7" t="s">
        <v>8</v>
      </c>
      <c r="Y339" s="7" t="s">
        <v>15</v>
      </c>
      <c r="Z339" s="2" t="s">
        <v>718</v>
      </c>
      <c r="AA339" s="2" t="s">
        <v>721</v>
      </c>
    </row>
    <row r="340" spans="1:27" x14ac:dyDescent="0.35">
      <c r="A340" s="7" t="s">
        <v>1727</v>
      </c>
      <c r="B340" s="7" t="s">
        <v>1027</v>
      </c>
      <c r="C340" s="7" t="str">
        <f>_xlfn.XLOOKUP(B340,'[1]Sheet 1'!$A$2:$A$11107,'[1]Sheet 1'!$D$2:$D$11107,"",0)</f>
        <v>GAP</v>
      </c>
      <c r="D340" s="4" t="str">
        <f>_xlfn.XLOOKUP(A340,[3]Sheet2!$I$2:$I$1623,[3]Sheet2!$D$2:$D$1623,"",0)</f>
        <v>Q2</v>
      </c>
      <c r="E340" s="4" t="s">
        <v>1827</v>
      </c>
      <c r="F340" s="4" t="e">
        <f>_xlfn.XLOOKUP(B340,[2]Sheet2!$E$2:$E$713,[2]Sheet2!$G$2:$G$713)</f>
        <v>#N/A</v>
      </c>
      <c r="G340" s="18">
        <v>46108</v>
      </c>
      <c r="H340" s="14">
        <v>0.56206018518518519</v>
      </c>
      <c r="I340" s="7" t="s">
        <v>14</v>
      </c>
      <c r="J340" s="2" t="str">
        <f t="shared" si="25"/>
        <v>Q2</v>
      </c>
      <c r="K340" s="2" t="str">
        <f t="shared" si="26"/>
        <v>Match</v>
      </c>
      <c r="L340" s="2">
        <f t="shared" si="27"/>
        <v>0.1</v>
      </c>
      <c r="M340" s="2" t="e">
        <f t="shared" si="28"/>
        <v>#N/A</v>
      </c>
      <c r="N340" s="2" t="str">
        <f t="shared" si="29"/>
        <v>Q OK dE&lt;=0.8</v>
      </c>
      <c r="O340" s="7">
        <v>13.4</v>
      </c>
      <c r="P340" s="7">
        <v>-0.5</v>
      </c>
      <c r="Q340" s="7">
        <v>-2.7</v>
      </c>
      <c r="R340" s="7">
        <v>-0.37</v>
      </c>
      <c r="S340" s="7">
        <v>-0.1</v>
      </c>
      <c r="T340" s="20">
        <v>0</v>
      </c>
      <c r="U340" s="7">
        <v>0.09</v>
      </c>
      <c r="V340" s="7">
        <v>-0.21</v>
      </c>
      <c r="W340" s="7">
        <v>0.43</v>
      </c>
      <c r="X340" s="7" t="s">
        <v>8</v>
      </c>
      <c r="Y340" s="7" t="s">
        <v>15</v>
      </c>
      <c r="Z340" s="2" t="s">
        <v>718</v>
      </c>
      <c r="AA340" s="2" t="s">
        <v>721</v>
      </c>
    </row>
    <row r="341" spans="1:27" x14ac:dyDescent="0.35">
      <c r="A341" s="7" t="s">
        <v>1545</v>
      </c>
      <c r="B341" s="7" t="s">
        <v>1017</v>
      </c>
      <c r="C341" s="7" t="str">
        <f>_xlfn.XLOOKUP(B341,'[1]Sheet 1'!$A$2:$A$11107,'[1]Sheet 1'!$D$2:$D$11107,"",0)</f>
        <v>NIK</v>
      </c>
      <c r="D341" s="4" t="str">
        <f>_xlfn.XLOOKUP(A341,[3]Sheet2!$I$2:$I$1623,[3]Sheet2!$D$2:$D$1623,"",0)</f>
        <v>Q2</v>
      </c>
      <c r="E341" s="4" t="s">
        <v>1828</v>
      </c>
      <c r="F341" s="4" t="e">
        <f>_xlfn.XLOOKUP(B341,[2]Sheet2!$E$2:$E$713,[2]Sheet2!$G$2:$G$713)</f>
        <v>#N/A</v>
      </c>
      <c r="G341" s="18">
        <v>46108</v>
      </c>
      <c r="H341" s="14">
        <v>0.25865740740740739</v>
      </c>
      <c r="I341" s="7" t="s">
        <v>4</v>
      </c>
      <c r="J341" s="2" t="str">
        <f t="shared" si="25"/>
        <v>Q2</v>
      </c>
      <c r="K341" s="2" t="str">
        <f t="shared" si="26"/>
        <v>Match</v>
      </c>
      <c r="L341" s="2">
        <f t="shared" si="27"/>
        <v>0.1</v>
      </c>
      <c r="M341" s="2" t="e">
        <f t="shared" si="28"/>
        <v>#N/A</v>
      </c>
      <c r="N341" s="2" t="str">
        <f t="shared" si="29"/>
        <v>Q OK dE&lt;=0.8</v>
      </c>
      <c r="O341" s="7">
        <v>17.8</v>
      </c>
      <c r="P341" s="7">
        <v>-0.8</v>
      </c>
      <c r="Q341" s="7">
        <v>-1.8</v>
      </c>
      <c r="R341" s="7">
        <v>-0.53</v>
      </c>
      <c r="S341" s="7">
        <v>0</v>
      </c>
      <c r="T341" s="7">
        <v>-0.1</v>
      </c>
      <c r="U341" s="7">
        <v>0.19</v>
      </c>
      <c r="V341" s="7">
        <v>0.15</v>
      </c>
      <c r="W341" s="7">
        <v>0.57999999999999996</v>
      </c>
      <c r="X341" s="7" t="s">
        <v>8</v>
      </c>
      <c r="Y341" s="7" t="s">
        <v>9</v>
      </c>
      <c r="Z341" s="2" t="s">
        <v>718</v>
      </c>
      <c r="AA341" s="2" t="s">
        <v>721</v>
      </c>
    </row>
    <row r="342" spans="1:27" x14ac:dyDescent="0.35">
      <c r="A342" s="7" t="s">
        <v>1574</v>
      </c>
      <c r="B342" s="7" t="s">
        <v>1028</v>
      </c>
      <c r="C342" s="7" t="str">
        <f>_xlfn.XLOOKUP(B342,'[1]Sheet 1'!$A$2:$A$11107,'[1]Sheet 1'!$D$2:$D$11107,"",0)</f>
        <v>PINK</v>
      </c>
      <c r="D342" s="4" t="str">
        <f>_xlfn.XLOOKUP(A342,[3]Sheet2!$I$2:$I$1623,[3]Sheet2!$D$2:$D$1623,"",0)</f>
        <v>Q2</v>
      </c>
      <c r="E342" s="4" t="s">
        <v>1828</v>
      </c>
      <c r="F342" s="4" t="e">
        <f>_xlfn.XLOOKUP(B342,[2]Sheet2!$E$2:$E$713,[2]Sheet2!$G$2:$G$713)</f>
        <v>#N/A</v>
      </c>
      <c r="G342" s="18">
        <v>46108</v>
      </c>
      <c r="H342" s="14">
        <v>0.62712962962962959</v>
      </c>
      <c r="I342" s="7" t="s">
        <v>10</v>
      </c>
      <c r="J342" s="2" t="str">
        <f t="shared" si="25"/>
        <v>Q2</v>
      </c>
      <c r="K342" s="2" t="str">
        <f t="shared" si="26"/>
        <v>Match</v>
      </c>
      <c r="L342" s="2">
        <f t="shared" si="27"/>
        <v>0.3</v>
      </c>
      <c r="M342" s="2" t="e">
        <f t="shared" si="28"/>
        <v>#N/A</v>
      </c>
      <c r="N342" s="2" t="str">
        <f t="shared" si="29"/>
        <v>Q OK dE&lt;=0.8</v>
      </c>
      <c r="O342" s="7">
        <v>18.899999999999999</v>
      </c>
      <c r="P342" s="7">
        <v>-2</v>
      </c>
      <c r="Q342" s="7">
        <v>-11.6</v>
      </c>
      <c r="R342" s="7">
        <v>-0.37</v>
      </c>
      <c r="S342" s="7">
        <v>0</v>
      </c>
      <c r="T342" s="7">
        <v>-0.3</v>
      </c>
      <c r="U342" s="7">
        <v>0.27</v>
      </c>
      <c r="V342" s="7">
        <v>0.13</v>
      </c>
      <c r="W342" s="7">
        <v>0.47</v>
      </c>
      <c r="X342" s="7" t="s">
        <v>8</v>
      </c>
      <c r="Y342" s="7" t="s">
        <v>9</v>
      </c>
      <c r="Z342" s="2" t="s">
        <v>718</v>
      </c>
      <c r="AA342" s="2" t="s">
        <v>721</v>
      </c>
    </row>
    <row r="343" spans="1:27" x14ac:dyDescent="0.35">
      <c r="A343" s="7" t="s">
        <v>1574</v>
      </c>
      <c r="B343" s="7" t="s">
        <v>1014</v>
      </c>
      <c r="C343" s="7" t="str">
        <f>_xlfn.XLOOKUP(B343,'[1]Sheet 1'!$A$2:$A$11107,'[1]Sheet 1'!$D$2:$D$11107,"",0)</f>
        <v>PINK</v>
      </c>
      <c r="D343" s="4" t="str">
        <f>_xlfn.XLOOKUP(A343,[3]Sheet2!$I$2:$I$1623,[3]Sheet2!$D$2:$D$1623,"",0)</f>
        <v>Q2</v>
      </c>
      <c r="E343" s="4" t="s">
        <v>1828</v>
      </c>
      <c r="F343" s="4" t="e">
        <f>_xlfn.XLOOKUP(B343,[2]Sheet2!$E$2:$E$713,[2]Sheet2!$G$2:$G$713)</f>
        <v>#N/A</v>
      </c>
      <c r="G343" s="18">
        <v>46108</v>
      </c>
      <c r="H343" s="14">
        <v>9.7916666666666673E-3</v>
      </c>
      <c r="I343" s="7" t="s">
        <v>10</v>
      </c>
      <c r="J343" s="2" t="str">
        <f t="shared" si="25"/>
        <v>Q2</v>
      </c>
      <c r="K343" s="2" t="str">
        <f t="shared" si="26"/>
        <v>Match</v>
      </c>
      <c r="L343" s="2">
        <f t="shared" si="27"/>
        <v>0.2</v>
      </c>
      <c r="M343" s="2" t="e">
        <f t="shared" si="28"/>
        <v>#N/A</v>
      </c>
      <c r="N343" s="2" t="str">
        <f t="shared" si="29"/>
        <v>Q OK dE&lt;=0.8</v>
      </c>
      <c r="O343" s="7">
        <v>18.7</v>
      </c>
      <c r="P343" s="7">
        <v>-2</v>
      </c>
      <c r="Q343" s="7">
        <v>-11.5</v>
      </c>
      <c r="R343" s="7">
        <v>-0.57999999999999996</v>
      </c>
      <c r="S343" s="7">
        <v>0</v>
      </c>
      <c r="T343" s="7">
        <v>-0.2</v>
      </c>
      <c r="U343" s="7">
        <v>0.19</v>
      </c>
      <c r="V343" s="7">
        <v>0.13</v>
      </c>
      <c r="W343" s="7">
        <v>0.62</v>
      </c>
      <c r="X343" s="7" t="s">
        <v>8</v>
      </c>
      <c r="Y343" s="7" t="s">
        <v>9</v>
      </c>
      <c r="Z343" s="2" t="s">
        <v>718</v>
      </c>
      <c r="AA343" s="2" t="s">
        <v>721</v>
      </c>
    </row>
    <row r="344" spans="1:27" x14ac:dyDescent="0.35">
      <c r="A344" s="7" t="s">
        <v>1549</v>
      </c>
      <c r="B344" s="7" t="s">
        <v>1023</v>
      </c>
      <c r="C344" s="7" t="str">
        <f>_xlfn.XLOOKUP(B344,'[1]Sheet 1'!$A$2:$A$11107,'[1]Sheet 1'!$D$2:$D$11107,"",0)</f>
        <v>TORD</v>
      </c>
      <c r="D344" s="4" t="str">
        <f>_xlfn.XLOOKUP(A344,[3]Sheet2!$I$2:$I$1623,[3]Sheet2!$D$2:$D$1623,"",0)</f>
        <v>Q1</v>
      </c>
      <c r="E344" s="4" t="s">
        <v>1828</v>
      </c>
      <c r="F344" s="4" t="e">
        <f>_xlfn.XLOOKUP(B344,[2]Sheet2!$E$2:$E$713,[2]Sheet2!$G$2:$G$713)</f>
        <v>#N/A</v>
      </c>
      <c r="G344" s="18">
        <v>46108</v>
      </c>
      <c r="H344" s="14">
        <v>0.28659722222222223</v>
      </c>
      <c r="I344" s="7" t="s">
        <v>5</v>
      </c>
      <c r="J344" s="2" t="str">
        <f t="shared" si="25"/>
        <v>Q1</v>
      </c>
      <c r="K344" s="2" t="str">
        <f t="shared" si="26"/>
        <v>Match</v>
      </c>
      <c r="L344" s="2">
        <f t="shared" si="27"/>
        <v>0.1</v>
      </c>
      <c r="M344" s="2" t="e">
        <f t="shared" si="28"/>
        <v>#N/A</v>
      </c>
      <c r="N344" s="2" t="str">
        <f t="shared" si="29"/>
        <v>Q OK dE&gt;0.8</v>
      </c>
      <c r="O344" s="7">
        <v>16.5</v>
      </c>
      <c r="P344" s="7">
        <v>-0.3</v>
      </c>
      <c r="Q344" s="7">
        <v>-1.9</v>
      </c>
      <c r="R344" s="7">
        <v>-1.46</v>
      </c>
      <c r="S344" s="7">
        <v>-0.1</v>
      </c>
      <c r="T344" s="20">
        <v>0</v>
      </c>
      <c r="U344" s="7">
        <v>0.02</v>
      </c>
      <c r="V344" s="7">
        <v>-0.22</v>
      </c>
      <c r="W344" s="7">
        <v>1.48</v>
      </c>
      <c r="X344" s="7" t="s">
        <v>6</v>
      </c>
      <c r="Y344" s="7" t="s">
        <v>15</v>
      </c>
      <c r="Z344" s="2" t="s">
        <v>718</v>
      </c>
      <c r="AA344" s="2" t="s">
        <v>721</v>
      </c>
    </row>
    <row r="345" spans="1:27" x14ac:dyDescent="0.35">
      <c r="A345" s="7" t="s">
        <v>1586</v>
      </c>
      <c r="B345" s="7" t="s">
        <v>1025</v>
      </c>
      <c r="C345" s="7" t="str">
        <f>_xlfn.XLOOKUP(B345,'[1]Sheet 1'!$A$2:$A$11107,'[1]Sheet 1'!$D$2:$D$11107,"",0)</f>
        <v>INT1</v>
      </c>
      <c r="D345" s="4" t="str">
        <f>_xlfn.XLOOKUP(A345,[3]Sheet2!$I$2:$I$1623,[3]Sheet2!$D$2:$D$1623,"",0)</f>
        <v>Q2</v>
      </c>
      <c r="E345" s="4" t="s">
        <v>1828</v>
      </c>
      <c r="F345" s="4" t="e">
        <f>_xlfn.XLOOKUP(B345,[2]Sheet2!$E$2:$E$713,[2]Sheet2!$G$2:$G$713)</f>
        <v>#N/A</v>
      </c>
      <c r="G345" s="18">
        <v>46108</v>
      </c>
      <c r="H345" s="14">
        <v>0.44597222222222221</v>
      </c>
      <c r="I345" s="7" t="s">
        <v>5</v>
      </c>
      <c r="J345" s="2" t="str">
        <f t="shared" si="25"/>
        <v>Q2</v>
      </c>
      <c r="K345" s="2" t="str">
        <f t="shared" si="26"/>
        <v>Match</v>
      </c>
      <c r="L345" s="2">
        <f t="shared" si="27"/>
        <v>0</v>
      </c>
      <c r="M345" s="2" t="e">
        <f t="shared" si="28"/>
        <v>#N/A</v>
      </c>
      <c r="N345" s="2" t="str">
        <f t="shared" si="29"/>
        <v>Q OK dE&lt;=0.8</v>
      </c>
      <c r="O345" s="7">
        <v>16.899999999999999</v>
      </c>
      <c r="P345" s="7">
        <v>-0.2</v>
      </c>
      <c r="Q345" s="7">
        <v>-1.4</v>
      </c>
      <c r="R345" s="7">
        <v>-0.71</v>
      </c>
      <c r="S345" s="7">
        <v>0</v>
      </c>
      <c r="T345" s="20">
        <v>0</v>
      </c>
      <c r="U345" s="7">
        <v>-0.1</v>
      </c>
      <c r="V345" s="7">
        <v>-0.1</v>
      </c>
      <c r="W345" s="7">
        <v>0.72</v>
      </c>
      <c r="X345" s="7" t="s">
        <v>8</v>
      </c>
      <c r="Y345" s="7" t="s">
        <v>15</v>
      </c>
      <c r="Z345" s="2" t="s">
        <v>718</v>
      </c>
      <c r="AA345" s="2" t="s">
        <v>721</v>
      </c>
    </row>
    <row r="346" spans="1:27" x14ac:dyDescent="0.35">
      <c r="A346" s="7" t="s">
        <v>1557</v>
      </c>
      <c r="B346" s="7" t="s">
        <v>1026</v>
      </c>
      <c r="C346" s="7" t="str">
        <f>_xlfn.XLOOKUP(B346,'[1]Sheet 1'!$A$2:$A$11107,'[1]Sheet 1'!$D$2:$D$11107,"",0)</f>
        <v>M&amp;S</v>
      </c>
      <c r="D346" s="4" t="str">
        <f>_xlfn.XLOOKUP(A346,[3]Sheet2!$I$2:$I$1623,[3]Sheet2!$D$2:$D$1623,"",0)</f>
        <v>Q3</v>
      </c>
      <c r="E346" s="4" t="s">
        <v>1828</v>
      </c>
      <c r="F346" s="4" t="e">
        <f>_xlfn.XLOOKUP(B346,[2]Sheet2!$E$2:$E$713,[2]Sheet2!$G$2:$G$713)</f>
        <v>#N/A</v>
      </c>
      <c r="G346" s="18">
        <v>46108</v>
      </c>
      <c r="H346" s="14">
        <v>0.47520833333333334</v>
      </c>
      <c r="I346" s="7" t="s">
        <v>17</v>
      </c>
      <c r="J346" s="2" t="str">
        <f t="shared" si="25"/>
        <v>Q3</v>
      </c>
      <c r="K346" s="2" t="str">
        <f t="shared" si="26"/>
        <v>Match</v>
      </c>
      <c r="L346" s="2">
        <f t="shared" si="27"/>
        <v>0.28284271247461906</v>
      </c>
      <c r="M346" s="2" t="e">
        <f t="shared" si="28"/>
        <v>#N/A</v>
      </c>
      <c r="N346" s="2" t="str">
        <f t="shared" si="29"/>
        <v>Q OK dE&lt;=0.8</v>
      </c>
      <c r="O346" s="7">
        <v>15.1</v>
      </c>
      <c r="P346" s="7">
        <v>-0.6</v>
      </c>
      <c r="Q346" s="7">
        <v>-1.8</v>
      </c>
      <c r="R346" s="7">
        <v>-0.45</v>
      </c>
      <c r="S346" s="7">
        <v>-0.2</v>
      </c>
      <c r="T346" s="7">
        <v>-0.2</v>
      </c>
      <c r="U346" s="7">
        <v>0.35</v>
      </c>
      <c r="V346" s="7">
        <v>-0.23</v>
      </c>
      <c r="W346" s="7">
        <v>0.61</v>
      </c>
      <c r="X346" s="7" t="s">
        <v>8</v>
      </c>
      <c r="Y346" s="7" t="s">
        <v>15</v>
      </c>
      <c r="Z346" s="2" t="s">
        <v>718</v>
      </c>
      <c r="AA346" s="2" t="s">
        <v>721</v>
      </c>
    </row>
    <row r="347" spans="1:27" x14ac:dyDescent="0.35">
      <c r="A347" s="7" t="s">
        <v>1567</v>
      </c>
      <c r="B347" s="7" t="s">
        <v>1021</v>
      </c>
      <c r="C347" s="7" t="str">
        <f>_xlfn.XLOOKUP(B347,'[1]Sheet 1'!$A$2:$A$11107,'[1]Sheet 1'!$D$2:$D$11107,"",0)</f>
        <v>M&amp;S</v>
      </c>
      <c r="D347" s="4" t="str">
        <f>_xlfn.XLOOKUP(A347,[3]Sheet2!$I$2:$I$1623,[3]Sheet2!$D$2:$D$1623,"",0)</f>
        <v>Q3</v>
      </c>
      <c r="E347" s="4" t="s">
        <v>1828</v>
      </c>
      <c r="F347" s="4" t="e">
        <f>_xlfn.XLOOKUP(B347,[2]Sheet2!$E$2:$E$713,[2]Sheet2!$G$2:$G$713)</f>
        <v>#N/A</v>
      </c>
      <c r="G347" s="18">
        <v>46108</v>
      </c>
      <c r="H347" s="14">
        <v>0.28290509259259261</v>
      </c>
      <c r="I347" s="7" t="s">
        <v>17</v>
      </c>
      <c r="J347" s="2" t="str">
        <f t="shared" si="25"/>
        <v>Q3</v>
      </c>
      <c r="K347" s="2" t="str">
        <f t="shared" si="26"/>
        <v>Match</v>
      </c>
      <c r="L347" s="2">
        <f t="shared" si="27"/>
        <v>0.28284271247461906</v>
      </c>
      <c r="M347" s="2" t="e">
        <f t="shared" si="28"/>
        <v>#N/A</v>
      </c>
      <c r="N347" s="2" t="str">
        <f t="shared" si="29"/>
        <v>Q OK dE&lt;=0.8</v>
      </c>
      <c r="O347" s="7">
        <v>23.9</v>
      </c>
      <c r="P347" s="7">
        <v>-5.8</v>
      </c>
      <c r="Q347" s="7">
        <v>-7.2</v>
      </c>
      <c r="R347" s="7">
        <v>-0.4</v>
      </c>
      <c r="S347" s="7">
        <v>-0.2</v>
      </c>
      <c r="T347" s="7">
        <v>-0.2</v>
      </c>
      <c r="U347" s="7">
        <v>0.31</v>
      </c>
      <c r="V347" s="7">
        <v>-0.11</v>
      </c>
      <c r="W347" s="7">
        <v>0.52</v>
      </c>
      <c r="X347" s="7" t="s">
        <v>8</v>
      </c>
      <c r="Y347" s="7" t="s">
        <v>12</v>
      </c>
      <c r="Z347" s="2" t="s">
        <v>718</v>
      </c>
      <c r="AA347" s="2" t="s">
        <v>721</v>
      </c>
    </row>
    <row r="348" spans="1:27" x14ac:dyDescent="0.35">
      <c r="A348" s="7" t="s">
        <v>1614</v>
      </c>
      <c r="B348" s="7" t="s">
        <v>1034</v>
      </c>
      <c r="C348" s="7" t="str">
        <f>_xlfn.XLOOKUP(B348,'[1]Sheet 1'!$A$2:$A$11107,'[1]Sheet 1'!$D$2:$D$11107,"",0)</f>
        <v>M&amp;S</v>
      </c>
      <c r="D348" s="4" t="str">
        <f>_xlfn.XLOOKUP(A348,[3]Sheet2!$I$2:$I$1623,[3]Sheet2!$D$2:$D$1623,"",0)</f>
        <v>Q3</v>
      </c>
      <c r="E348" s="4" t="s">
        <v>1828</v>
      </c>
      <c r="F348" s="4" t="e">
        <f>_xlfn.XLOOKUP(B348,[2]Sheet2!$E$2:$E$713,[2]Sheet2!$G$2:$G$713)</f>
        <v>#N/A</v>
      </c>
      <c r="G348" s="18">
        <v>46108</v>
      </c>
      <c r="H348" s="14">
        <v>0.76063657407407403</v>
      </c>
      <c r="I348" s="7" t="s">
        <v>17</v>
      </c>
      <c r="J348" s="2" t="str">
        <f t="shared" si="25"/>
        <v>Q3</v>
      </c>
      <c r="K348" s="2" t="str">
        <f t="shared" si="26"/>
        <v>Match</v>
      </c>
      <c r="L348" s="2">
        <f t="shared" si="27"/>
        <v>0.44721359549995798</v>
      </c>
      <c r="M348" s="2" t="e">
        <f t="shared" si="28"/>
        <v>#N/A</v>
      </c>
      <c r="N348" s="2" t="str">
        <f t="shared" si="29"/>
        <v>Q OK dE&lt;=0.8</v>
      </c>
      <c r="O348" s="7">
        <v>24.6</v>
      </c>
      <c r="P348" s="7">
        <v>-5.9</v>
      </c>
      <c r="Q348" s="7">
        <v>-7.2</v>
      </c>
      <c r="R348" s="7">
        <v>0.15</v>
      </c>
      <c r="S348" s="7">
        <v>-0.4</v>
      </c>
      <c r="T348" s="7">
        <v>-0.2</v>
      </c>
      <c r="U348" s="7">
        <v>0.38</v>
      </c>
      <c r="V348" s="7">
        <v>-0.19</v>
      </c>
      <c r="W348" s="7">
        <v>0.45</v>
      </c>
      <c r="X348" s="7" t="s">
        <v>8</v>
      </c>
      <c r="Y348" s="7" t="s">
        <v>12</v>
      </c>
      <c r="Z348" s="2" t="s">
        <v>718</v>
      </c>
      <c r="AA348" s="2" t="s">
        <v>721</v>
      </c>
    </row>
    <row r="349" spans="1:27" x14ac:dyDescent="0.35">
      <c r="A349" s="7" t="s">
        <v>1731</v>
      </c>
      <c r="B349" s="7" t="s">
        <v>1033</v>
      </c>
      <c r="C349" s="7" t="str">
        <f>_xlfn.XLOOKUP(B349,'[1]Sheet 1'!$A$2:$A$11107,'[1]Sheet 1'!$D$2:$D$11107,"",0)</f>
        <v>WACE</v>
      </c>
      <c r="D349" s="4" t="str">
        <f>_xlfn.XLOOKUP(A349,[3]Sheet2!$I$2:$I$1623,[3]Sheet2!$D$2:$D$1623,"",0)</f>
        <v>Q4</v>
      </c>
      <c r="E349" s="4" t="s">
        <v>1827</v>
      </c>
      <c r="F349" s="4" t="e">
        <f>_xlfn.XLOOKUP(B349,[2]Sheet2!$E$2:$E$713,[2]Sheet2!$G$2:$G$713)</f>
        <v>#N/A</v>
      </c>
      <c r="G349" s="18">
        <v>46108</v>
      </c>
      <c r="H349" s="14">
        <v>0.72707175925925926</v>
      </c>
      <c r="I349" s="7" t="s">
        <v>4</v>
      </c>
      <c r="J349" s="2" t="str">
        <f t="shared" si="25"/>
        <v>Q3</v>
      </c>
      <c r="K349" s="2" t="str">
        <f t="shared" si="26"/>
        <v>Not Match</v>
      </c>
      <c r="L349" s="2">
        <f t="shared" si="27"/>
        <v>0.36055512754639896</v>
      </c>
      <c r="M349" s="2" t="e">
        <f t="shared" si="28"/>
        <v>#N/A</v>
      </c>
      <c r="N349" s="2" t="str">
        <f t="shared" si="29"/>
        <v>Q NOT OK dE&lt;=0.8</v>
      </c>
      <c r="O349" s="7">
        <v>24.8</v>
      </c>
      <c r="P349" s="7">
        <v>-1.1000000000000001</v>
      </c>
      <c r="Q349" s="7">
        <v>-23.2</v>
      </c>
      <c r="R349" s="7">
        <v>0.44</v>
      </c>
      <c r="S349" s="7">
        <v>-0.2</v>
      </c>
      <c r="T349" s="7">
        <v>-0.3</v>
      </c>
      <c r="U349" s="7">
        <v>0.22</v>
      </c>
      <c r="V349" s="7">
        <v>-0.19</v>
      </c>
      <c r="W349" s="7">
        <v>0.53</v>
      </c>
      <c r="X349" s="7" t="s">
        <v>8</v>
      </c>
      <c r="Y349" s="7" t="s">
        <v>15</v>
      </c>
      <c r="Z349" s="2" t="s">
        <v>718</v>
      </c>
      <c r="AA349" s="2" t="s">
        <v>721</v>
      </c>
    </row>
    <row r="350" spans="1:27" x14ac:dyDescent="0.35">
      <c r="A350" s="7" t="s">
        <v>1744</v>
      </c>
      <c r="B350" s="7" t="s">
        <v>1030</v>
      </c>
      <c r="C350" s="7" t="str">
        <f>_xlfn.XLOOKUP(B350,'[1]Sheet 1'!$A$2:$A$11107,'[1]Sheet 1'!$D$2:$D$11107,"",0)</f>
        <v>SPA</v>
      </c>
      <c r="D350" s="4" t="str">
        <f>_xlfn.XLOOKUP(A350,[3]Sheet2!$I$2:$I$1623,[3]Sheet2!$D$2:$D$1623,"",0)</f>
        <v>Q2</v>
      </c>
      <c r="E350" s="4" t="s">
        <v>1828</v>
      </c>
      <c r="F350" s="4" t="e">
        <f>_xlfn.XLOOKUP(B350,[2]Sheet2!$E$2:$E$713,[2]Sheet2!$G$2:$G$713)</f>
        <v>#N/A</v>
      </c>
      <c r="G350" s="18">
        <v>46108</v>
      </c>
      <c r="H350" s="14">
        <v>0.69285879629629632</v>
      </c>
      <c r="I350" s="7" t="s">
        <v>4</v>
      </c>
      <c r="J350" s="2" t="str">
        <f t="shared" si="25"/>
        <v>Q2</v>
      </c>
      <c r="K350" s="2" t="str">
        <f t="shared" si="26"/>
        <v>Match</v>
      </c>
      <c r="L350" s="2">
        <f t="shared" si="27"/>
        <v>0.3</v>
      </c>
      <c r="M350" s="2" t="e">
        <f t="shared" si="28"/>
        <v>#N/A</v>
      </c>
      <c r="N350" s="2" t="str">
        <f t="shared" si="29"/>
        <v>Q OK dE&lt;=0.8</v>
      </c>
      <c r="O350" s="7">
        <v>15.2</v>
      </c>
      <c r="P350" s="7">
        <v>0</v>
      </c>
      <c r="Q350" s="7">
        <v>-2.9</v>
      </c>
      <c r="R350" s="7">
        <v>0.56000000000000005</v>
      </c>
      <c r="S350" s="7">
        <v>0.3</v>
      </c>
      <c r="T350" s="20">
        <v>0</v>
      </c>
      <c r="U350" s="7">
        <v>-0.09</v>
      </c>
      <c r="V350" s="7">
        <v>0.49</v>
      </c>
      <c r="W350" s="7">
        <v>0.75</v>
      </c>
      <c r="X350" s="7" t="s">
        <v>13</v>
      </c>
      <c r="Y350" s="7" t="s">
        <v>9</v>
      </c>
      <c r="Z350" s="2" t="s">
        <v>718</v>
      </c>
      <c r="AA350" s="2" t="s">
        <v>721</v>
      </c>
    </row>
    <row r="351" spans="1:27" x14ac:dyDescent="0.35">
      <c r="A351" s="7" t="s">
        <v>1574</v>
      </c>
      <c r="B351" s="7" t="s">
        <v>1022</v>
      </c>
      <c r="C351" s="7" t="str">
        <f>_xlfn.XLOOKUP(B351,'[1]Sheet 1'!$A$2:$A$11107,'[1]Sheet 1'!$D$2:$D$11107,"",0)</f>
        <v>PINK</v>
      </c>
      <c r="D351" s="4" t="str">
        <f>_xlfn.XLOOKUP(A351,[3]Sheet2!$I$2:$I$1623,[3]Sheet2!$D$2:$D$1623,"",0)</f>
        <v>Q2</v>
      </c>
      <c r="E351" s="4" t="s">
        <v>1828</v>
      </c>
      <c r="F351" s="4" t="e">
        <f>_xlfn.XLOOKUP(B351,[2]Sheet2!$E$2:$E$713,[2]Sheet2!$G$2:$G$713)</f>
        <v>#N/A</v>
      </c>
      <c r="G351" s="18">
        <v>46108</v>
      </c>
      <c r="H351" s="14">
        <v>0.2848148148148148</v>
      </c>
      <c r="I351" s="7" t="s">
        <v>10</v>
      </c>
      <c r="J351" s="2" t="str">
        <f t="shared" si="25"/>
        <v>Q2</v>
      </c>
      <c r="K351" s="2" t="str">
        <f t="shared" si="26"/>
        <v>Match</v>
      </c>
      <c r="L351" s="2">
        <f t="shared" si="27"/>
        <v>0.1</v>
      </c>
      <c r="M351" s="2" t="e">
        <f t="shared" si="28"/>
        <v>#N/A</v>
      </c>
      <c r="N351" s="2" t="str">
        <f t="shared" si="29"/>
        <v>Q OK dE&lt;=0.8</v>
      </c>
      <c r="O351" s="7">
        <v>18.600000000000001</v>
      </c>
      <c r="P351" s="7">
        <v>-1.9</v>
      </c>
      <c r="Q351" s="7">
        <v>-11.3</v>
      </c>
      <c r="R351" s="7">
        <v>-0.67</v>
      </c>
      <c r="S351" s="7">
        <v>0.1</v>
      </c>
      <c r="T351" s="20">
        <v>0</v>
      </c>
      <c r="U351" s="7">
        <v>-0.02</v>
      </c>
      <c r="V351" s="7">
        <v>0.14000000000000001</v>
      </c>
      <c r="W351" s="7">
        <v>0.68</v>
      </c>
      <c r="X351" s="7" t="s">
        <v>8</v>
      </c>
      <c r="Y351" s="7" t="s">
        <v>9</v>
      </c>
      <c r="Z351" s="2" t="s">
        <v>718</v>
      </c>
      <c r="AA351" s="2" t="s">
        <v>721</v>
      </c>
    </row>
    <row r="352" spans="1:27" x14ac:dyDescent="0.35">
      <c r="A352" s="7" t="s">
        <v>1545</v>
      </c>
      <c r="B352" s="7" t="s">
        <v>1029</v>
      </c>
      <c r="C352" s="7" t="str">
        <f>_xlfn.XLOOKUP(B352,'[1]Sheet 1'!$A$2:$A$11107,'[1]Sheet 1'!$D$2:$D$11107,"",0)</f>
        <v>NIK</v>
      </c>
      <c r="D352" s="4" t="str">
        <f>_xlfn.XLOOKUP(A352,[3]Sheet2!$I$2:$I$1623,[3]Sheet2!$D$2:$D$1623,"",0)</f>
        <v>Q2</v>
      </c>
      <c r="E352" s="4" t="s">
        <v>1828</v>
      </c>
      <c r="F352" s="4" t="e">
        <f>_xlfn.XLOOKUP(B352,[2]Sheet2!$E$2:$E$713,[2]Sheet2!$G$2:$G$713)</f>
        <v>#N/A</v>
      </c>
      <c r="G352" s="18">
        <v>46108</v>
      </c>
      <c r="H352" s="14">
        <v>0.63846064814814818</v>
      </c>
      <c r="I352" s="7" t="s">
        <v>4</v>
      </c>
      <c r="J352" s="2" t="str">
        <f t="shared" si="25"/>
        <v>Q2</v>
      </c>
      <c r="K352" s="2" t="str">
        <f t="shared" si="26"/>
        <v>Match</v>
      </c>
      <c r="L352" s="2">
        <f t="shared" si="27"/>
        <v>0.2</v>
      </c>
      <c r="M352" s="2" t="e">
        <f t="shared" si="28"/>
        <v>#N/A</v>
      </c>
      <c r="N352" s="2" t="str">
        <f t="shared" si="29"/>
        <v>Q OK dE&lt;=0.8</v>
      </c>
      <c r="O352" s="7">
        <v>18.399999999999999</v>
      </c>
      <c r="P352" s="7">
        <v>-0.8</v>
      </c>
      <c r="Q352" s="7">
        <v>-1.8</v>
      </c>
      <c r="R352" s="7">
        <v>0.02</v>
      </c>
      <c r="S352" s="7">
        <v>0</v>
      </c>
      <c r="T352" s="7">
        <v>-0.2</v>
      </c>
      <c r="U352" s="7">
        <v>0.26</v>
      </c>
      <c r="V352" s="7">
        <v>0.19</v>
      </c>
      <c r="W352" s="7">
        <v>0.32</v>
      </c>
      <c r="X352" s="7" t="s">
        <v>8</v>
      </c>
      <c r="Y352" s="7" t="s">
        <v>9</v>
      </c>
      <c r="Z352" s="2" t="s">
        <v>718</v>
      </c>
      <c r="AA352" s="2" t="s">
        <v>721</v>
      </c>
    </row>
    <row r="353" spans="1:27" x14ac:dyDescent="0.35">
      <c r="A353" s="7" t="s">
        <v>1545</v>
      </c>
      <c r="B353" s="7" t="s">
        <v>1031</v>
      </c>
      <c r="C353" s="7" t="str">
        <f>_xlfn.XLOOKUP(B353,'[1]Sheet 1'!$A$2:$A$11107,'[1]Sheet 1'!$D$2:$D$11107,"",0)</f>
        <v>NIK</v>
      </c>
      <c r="D353" s="4" t="str">
        <f>_xlfn.XLOOKUP(A353,[3]Sheet2!$I$2:$I$1623,[3]Sheet2!$D$2:$D$1623,"",0)</f>
        <v>Q2</v>
      </c>
      <c r="E353" s="4" t="s">
        <v>1828</v>
      </c>
      <c r="F353" s="4" t="e">
        <f>_xlfn.XLOOKUP(B353,[2]Sheet2!$E$2:$E$713,[2]Sheet2!$G$2:$G$713)</f>
        <v>#N/A</v>
      </c>
      <c r="G353" s="18">
        <v>46108</v>
      </c>
      <c r="H353" s="14">
        <v>0.69468750000000001</v>
      </c>
      <c r="I353" s="7" t="s">
        <v>4</v>
      </c>
      <c r="J353" s="2" t="str">
        <f t="shared" si="25"/>
        <v>Q2</v>
      </c>
      <c r="K353" s="2" t="str">
        <f t="shared" si="26"/>
        <v>Match</v>
      </c>
      <c r="L353" s="2">
        <f t="shared" si="27"/>
        <v>0.2</v>
      </c>
      <c r="M353" s="2" t="e">
        <f t="shared" si="28"/>
        <v>#N/A</v>
      </c>
      <c r="N353" s="2" t="str">
        <f t="shared" si="29"/>
        <v>Q OK dE&lt;=0.8</v>
      </c>
      <c r="O353" s="7">
        <v>18.3</v>
      </c>
      <c r="P353" s="7">
        <v>-0.8</v>
      </c>
      <c r="Q353" s="7">
        <v>-1.8</v>
      </c>
      <c r="R353" s="7">
        <v>-0.05</v>
      </c>
      <c r="S353" s="7">
        <v>0</v>
      </c>
      <c r="T353" s="7">
        <v>-0.2</v>
      </c>
      <c r="U353" s="7">
        <v>0.3</v>
      </c>
      <c r="V353" s="7">
        <v>0.19</v>
      </c>
      <c r="W353" s="7">
        <v>0.36</v>
      </c>
      <c r="X353" s="7" t="s">
        <v>8</v>
      </c>
      <c r="Y353" s="7" t="s">
        <v>9</v>
      </c>
      <c r="Z353" s="2" t="s">
        <v>718</v>
      </c>
      <c r="AA353" s="2" t="s">
        <v>721</v>
      </c>
    </row>
    <row r="354" spans="1:27" x14ac:dyDescent="0.35">
      <c r="A354" s="7" t="s">
        <v>1559</v>
      </c>
      <c r="B354" s="7" t="s">
        <v>1020</v>
      </c>
      <c r="C354" s="7" t="str">
        <f>_xlfn.XLOOKUP(B354,'[1]Sheet 1'!$A$2:$A$11107,'[1]Sheet 1'!$D$2:$D$11107,"",0)</f>
        <v>VSS</v>
      </c>
      <c r="D354" s="4" t="str">
        <f>_xlfn.XLOOKUP(A354,[3]Sheet2!$I$2:$I$1623,[3]Sheet2!$D$2:$D$1623,"",0)</f>
        <v>Q3</v>
      </c>
      <c r="E354" s="4" t="s">
        <v>1828</v>
      </c>
      <c r="F354" s="4" t="e">
        <f>_xlfn.XLOOKUP(B354,[2]Sheet2!$E$2:$E$713,[2]Sheet2!$G$2:$G$713)</f>
        <v>#N/A</v>
      </c>
      <c r="G354" s="18">
        <v>46108</v>
      </c>
      <c r="H354" s="14">
        <v>0.2799537037037037</v>
      </c>
      <c r="I354" s="7" t="s">
        <v>4</v>
      </c>
      <c r="J354" s="2" t="str">
        <f t="shared" si="25"/>
        <v>Q4</v>
      </c>
      <c r="K354" s="2" t="str">
        <f t="shared" si="26"/>
        <v>Not Match</v>
      </c>
      <c r="L354" s="2">
        <f t="shared" si="27"/>
        <v>0.14142135623730953</v>
      </c>
      <c r="M354" s="2" t="e">
        <f t="shared" si="28"/>
        <v>#N/A</v>
      </c>
      <c r="N354" s="2" t="str">
        <f t="shared" si="29"/>
        <v>Q NOT OK dE&lt;=0.8</v>
      </c>
      <c r="O354" s="7">
        <v>17.5</v>
      </c>
      <c r="P354" s="7">
        <v>-0.5</v>
      </c>
      <c r="Q354" s="7">
        <v>-2.1</v>
      </c>
      <c r="R354" s="7">
        <v>-0.56000000000000005</v>
      </c>
      <c r="S354" s="7">
        <v>0.1</v>
      </c>
      <c r="T354" s="7">
        <v>-0.1</v>
      </c>
      <c r="U354" s="7">
        <v>0.16</v>
      </c>
      <c r="V354" s="7">
        <v>0.21</v>
      </c>
      <c r="W354" s="7">
        <v>0.62</v>
      </c>
      <c r="X354" s="7" t="s">
        <v>8</v>
      </c>
      <c r="Y354" s="7" t="s">
        <v>9</v>
      </c>
      <c r="Z354" s="2" t="s">
        <v>718</v>
      </c>
      <c r="AA354" s="2" t="s">
        <v>721</v>
      </c>
    </row>
    <row r="355" spans="1:27" x14ac:dyDescent="0.35">
      <c r="A355" s="7" t="s">
        <v>1666</v>
      </c>
      <c r="B355" s="7" t="s">
        <v>1024</v>
      </c>
      <c r="C355" s="7" t="str">
        <f>_xlfn.XLOOKUP(B355,'[1]Sheet 1'!$A$2:$A$11107,'[1]Sheet 1'!$D$2:$D$11107,"",0)</f>
        <v>WACE</v>
      </c>
      <c r="D355" s="4" t="str">
        <f>_xlfn.XLOOKUP(A355,[3]Sheet2!$I$2:$I$1623,[3]Sheet2!$D$2:$D$1623,"",0)</f>
        <v>Q3</v>
      </c>
      <c r="E355" s="4" t="s">
        <v>1828</v>
      </c>
      <c r="F355" s="4" t="e">
        <f>_xlfn.XLOOKUP(B355,[2]Sheet2!$E$2:$E$713,[2]Sheet2!$G$2:$G$713)</f>
        <v>#N/A</v>
      </c>
      <c r="G355" s="18">
        <v>46108</v>
      </c>
      <c r="H355" s="14">
        <v>0.44442129629629629</v>
      </c>
      <c r="I355" s="7" t="s">
        <v>4</v>
      </c>
      <c r="J355" s="2" t="str">
        <f t="shared" si="25"/>
        <v>Q3</v>
      </c>
      <c r="K355" s="2" t="str">
        <f t="shared" si="26"/>
        <v>Match</v>
      </c>
      <c r="L355" s="2">
        <f t="shared" si="27"/>
        <v>0.22360679774997899</v>
      </c>
      <c r="M355" s="2" t="e">
        <f t="shared" si="28"/>
        <v>#N/A</v>
      </c>
      <c r="N355" s="2" t="str">
        <f t="shared" si="29"/>
        <v>Q OK dE&lt;=0.8</v>
      </c>
      <c r="O355" s="7">
        <v>17.399999999999999</v>
      </c>
      <c r="P355" s="7">
        <v>0</v>
      </c>
      <c r="Q355" s="7">
        <v>-1</v>
      </c>
      <c r="R355" s="7">
        <v>0.67</v>
      </c>
      <c r="S355" s="7">
        <v>-0.2</v>
      </c>
      <c r="T355" s="7">
        <v>-0.1</v>
      </c>
      <c r="U355" s="7">
        <v>0.15</v>
      </c>
      <c r="V355" s="7">
        <v>-0.4</v>
      </c>
      <c r="W355" s="7">
        <v>0.79</v>
      </c>
      <c r="X355" s="7" t="s">
        <v>13</v>
      </c>
      <c r="Y355" s="7" t="s">
        <v>15</v>
      </c>
      <c r="Z355" s="2" t="s">
        <v>718</v>
      </c>
      <c r="AA355" s="2" t="s">
        <v>721</v>
      </c>
    </row>
    <row r="356" spans="1:27" x14ac:dyDescent="0.35">
      <c r="A356" s="7" t="s">
        <v>1559</v>
      </c>
      <c r="B356" s="7" t="s">
        <v>1015</v>
      </c>
      <c r="C356" s="7" t="str">
        <f>_xlfn.XLOOKUP(B356,'[1]Sheet 1'!$A$2:$A$11107,'[1]Sheet 1'!$D$2:$D$11107,"",0)</f>
        <v>VSS</v>
      </c>
      <c r="D356" s="4" t="str">
        <f>_xlfn.XLOOKUP(A356,[3]Sheet2!$I$2:$I$1623,[3]Sheet2!$D$2:$D$1623,"",0)</f>
        <v>Q3</v>
      </c>
      <c r="E356" s="4" t="s">
        <v>1828</v>
      </c>
      <c r="F356" s="4" t="e">
        <f>_xlfn.XLOOKUP(B356,[2]Sheet2!$E$2:$E$713,[2]Sheet2!$G$2:$G$713)</f>
        <v>#N/A</v>
      </c>
      <c r="G356" s="18">
        <v>46108</v>
      </c>
      <c r="H356" s="14">
        <v>0.25268518518518518</v>
      </c>
      <c r="I356" s="7" t="s">
        <v>10</v>
      </c>
      <c r="J356" s="2" t="str">
        <f t="shared" si="25"/>
        <v>Q3</v>
      </c>
      <c r="K356" s="2" t="str">
        <f t="shared" si="26"/>
        <v>Match</v>
      </c>
      <c r="L356" s="2">
        <f t="shared" si="27"/>
        <v>0.3</v>
      </c>
      <c r="M356" s="2" t="e">
        <f t="shared" si="28"/>
        <v>#N/A</v>
      </c>
      <c r="N356" s="2" t="str">
        <f t="shared" si="29"/>
        <v>Q OK dE&lt;=0.8</v>
      </c>
      <c r="O356" s="7">
        <v>17.399999999999999</v>
      </c>
      <c r="P356" s="7">
        <v>-0.1</v>
      </c>
      <c r="Q356" s="7">
        <v>-2.6</v>
      </c>
      <c r="R356" s="7">
        <v>-0.53</v>
      </c>
      <c r="S356" s="7">
        <v>0</v>
      </c>
      <c r="T356" s="7">
        <v>-0.3</v>
      </c>
      <c r="U356" s="7">
        <v>0.44</v>
      </c>
      <c r="V356" s="7">
        <v>-0.08</v>
      </c>
      <c r="W356" s="7">
        <v>0.69</v>
      </c>
      <c r="X356" s="7" t="s">
        <v>8</v>
      </c>
      <c r="Y356" s="7" t="s">
        <v>15</v>
      </c>
      <c r="Z356" s="2" t="s">
        <v>718</v>
      </c>
      <c r="AA356" s="2" t="s">
        <v>721</v>
      </c>
    </row>
    <row r="357" spans="1:27" x14ac:dyDescent="0.35">
      <c r="A357" s="7" t="s">
        <v>1559</v>
      </c>
      <c r="B357" s="7" t="s">
        <v>1035</v>
      </c>
      <c r="C357" s="7" t="str">
        <f>_xlfn.XLOOKUP(B357,'[1]Sheet 1'!$A$2:$A$11107,'[1]Sheet 1'!$D$2:$D$11107,"",0)</f>
        <v>VSS</v>
      </c>
      <c r="D357" s="4" t="str">
        <f>_xlfn.XLOOKUP(A357,[3]Sheet2!$I$2:$I$1623,[3]Sheet2!$D$2:$D$1623,"",0)</f>
        <v>Q3</v>
      </c>
      <c r="E357" s="4" t="s">
        <v>1828</v>
      </c>
      <c r="F357" s="4" t="e">
        <f>_xlfn.XLOOKUP(B357,[2]Sheet2!$E$2:$E$713,[2]Sheet2!$G$2:$G$713)</f>
        <v>#N/A</v>
      </c>
      <c r="G357" s="18">
        <v>46108</v>
      </c>
      <c r="H357" s="14">
        <v>0.77784722222222225</v>
      </c>
      <c r="I357" s="7" t="s">
        <v>10</v>
      </c>
      <c r="J357" s="2" t="str">
        <f t="shared" si="25"/>
        <v>Q3</v>
      </c>
      <c r="K357" s="2" t="str">
        <f t="shared" si="26"/>
        <v>Match</v>
      </c>
      <c r="L357" s="2">
        <f t="shared" si="27"/>
        <v>0.2</v>
      </c>
      <c r="M357" s="2" t="e">
        <f t="shared" si="28"/>
        <v>#N/A</v>
      </c>
      <c r="N357" s="2" t="str">
        <f t="shared" si="29"/>
        <v>Q OK dE&lt;=0.8</v>
      </c>
      <c r="O357" s="7">
        <v>17.3</v>
      </c>
      <c r="P357" s="7">
        <v>0</v>
      </c>
      <c r="Q357" s="7">
        <v>-2.5</v>
      </c>
      <c r="R357" s="7">
        <v>-0.57999999999999996</v>
      </c>
      <c r="S357" s="7">
        <v>0</v>
      </c>
      <c r="T357" s="7">
        <v>-0.2</v>
      </c>
      <c r="U357" s="7">
        <v>0.34</v>
      </c>
      <c r="V357" s="7">
        <v>0.01</v>
      </c>
      <c r="W357" s="7">
        <v>0.68</v>
      </c>
      <c r="X357" s="7" t="s">
        <v>8</v>
      </c>
      <c r="Y357" s="7" t="s">
        <v>9</v>
      </c>
      <c r="Z357" s="2" t="s">
        <v>718</v>
      </c>
      <c r="AA357" s="2" t="s">
        <v>721</v>
      </c>
    </row>
    <row r="358" spans="1:27" x14ac:dyDescent="0.35">
      <c r="A358" s="7" t="s">
        <v>1559</v>
      </c>
      <c r="B358" s="7" t="s">
        <v>1016</v>
      </c>
      <c r="C358" s="7" t="str">
        <f>_xlfn.XLOOKUP(B358,'[1]Sheet 1'!$A$2:$A$11107,'[1]Sheet 1'!$D$2:$D$11107,"",0)</f>
        <v>VSS</v>
      </c>
      <c r="D358" s="4" t="str">
        <f>_xlfn.XLOOKUP(A358,[3]Sheet2!$I$2:$I$1623,[3]Sheet2!$D$2:$D$1623,"",0)</f>
        <v>Q3</v>
      </c>
      <c r="E358" s="4" t="s">
        <v>1828</v>
      </c>
      <c r="F358" s="4" t="e">
        <f>_xlfn.XLOOKUP(B358,[2]Sheet2!$E$2:$E$713,[2]Sheet2!$G$2:$G$713)</f>
        <v>#N/A</v>
      </c>
      <c r="G358" s="18">
        <v>46108</v>
      </c>
      <c r="H358" s="14">
        <v>0.2562962962962963</v>
      </c>
      <c r="I358" s="7" t="s">
        <v>10</v>
      </c>
      <c r="J358" s="2" t="str">
        <f t="shared" si="25"/>
        <v>Q3</v>
      </c>
      <c r="K358" s="2" t="str">
        <f t="shared" si="26"/>
        <v>Match</v>
      </c>
      <c r="L358" s="2">
        <f t="shared" si="27"/>
        <v>0.1</v>
      </c>
      <c r="M358" s="2" t="e">
        <f t="shared" si="28"/>
        <v>#N/A</v>
      </c>
      <c r="N358" s="2" t="str">
        <f t="shared" si="29"/>
        <v>Q OK dE&lt;=0.8</v>
      </c>
      <c r="O358" s="7">
        <v>17.399999999999999</v>
      </c>
      <c r="P358" s="7">
        <v>0</v>
      </c>
      <c r="Q358" s="7">
        <v>-2.4</v>
      </c>
      <c r="R358" s="7">
        <v>-0.54</v>
      </c>
      <c r="S358" s="7">
        <v>0</v>
      </c>
      <c r="T358" s="7">
        <v>-0.1</v>
      </c>
      <c r="U358" s="7">
        <v>0.13</v>
      </c>
      <c r="V358" s="7">
        <v>-0.01</v>
      </c>
      <c r="W358" s="7">
        <v>0.56000000000000005</v>
      </c>
      <c r="X358" s="7" t="s">
        <v>8</v>
      </c>
      <c r="Y358" s="7" t="s">
        <v>15</v>
      </c>
      <c r="Z358" s="2" t="s">
        <v>718</v>
      </c>
      <c r="AA358" s="2" t="s">
        <v>721</v>
      </c>
    </row>
    <row r="359" spans="1:27" x14ac:dyDescent="0.35">
      <c r="A359" s="7" t="s">
        <v>1750</v>
      </c>
      <c r="B359" s="7" t="s">
        <v>854</v>
      </c>
      <c r="C359" s="7" t="str">
        <f>_xlfn.XLOOKUP(B359,'[1]Sheet 1'!$A$2:$A$11107,'[1]Sheet 1'!$D$2:$D$11107,"",0)</f>
        <v>WACE</v>
      </c>
      <c r="D359" s="4" t="str">
        <f>_xlfn.XLOOKUP(A359,[3]Sheet2!$I$2:$I$1623,[3]Sheet2!$D$2:$D$1623,"",0)</f>
        <v>Q4</v>
      </c>
      <c r="E359" s="4" t="s">
        <v>1827</v>
      </c>
      <c r="F359" s="4" t="e">
        <f>_xlfn.XLOOKUP(B359,[2]Sheet2!$E$2:$E$713,[2]Sheet2!$G$2:$G$713)</f>
        <v>#N/A</v>
      </c>
      <c r="G359" s="18">
        <v>46109</v>
      </c>
      <c r="H359" s="14">
        <v>0.56724537037037037</v>
      </c>
      <c r="I359" s="7" t="s">
        <v>4</v>
      </c>
      <c r="J359" s="2" t="str">
        <f t="shared" si="25"/>
        <v>Q2</v>
      </c>
      <c r="K359" s="2" t="str">
        <f t="shared" si="26"/>
        <v>Not Match</v>
      </c>
      <c r="L359" s="2">
        <f t="shared" si="27"/>
        <v>0.94868329805051377</v>
      </c>
      <c r="M359" s="2" t="e">
        <f t="shared" si="28"/>
        <v>#N/A</v>
      </c>
      <c r="N359" s="2" t="str">
        <f t="shared" si="29"/>
        <v>Q NOT OK dE&gt;0.8</v>
      </c>
      <c r="O359" s="7">
        <v>29.4</v>
      </c>
      <c r="P359" s="7">
        <v>30.8</v>
      </c>
      <c r="Q359" s="7">
        <v>7.8</v>
      </c>
      <c r="R359" s="7">
        <v>0.57999999999999996</v>
      </c>
      <c r="S359" s="7">
        <v>-0.3</v>
      </c>
      <c r="T359" s="7">
        <v>0.9</v>
      </c>
      <c r="U359" s="7">
        <v>-7.0000000000000007E-2</v>
      </c>
      <c r="V359" s="7">
        <v>0.73</v>
      </c>
      <c r="W359" s="7">
        <v>0.94</v>
      </c>
      <c r="X359" s="7" t="s">
        <v>13</v>
      </c>
      <c r="Y359" s="7" t="s">
        <v>12</v>
      </c>
      <c r="Z359" s="2" t="s">
        <v>718</v>
      </c>
      <c r="AA359" s="2" t="s">
        <v>721</v>
      </c>
    </row>
    <row r="360" spans="1:27" x14ac:dyDescent="0.35">
      <c r="A360" s="7" t="s">
        <v>1733</v>
      </c>
      <c r="B360" s="7" t="s">
        <v>1053</v>
      </c>
      <c r="C360" s="7" t="str">
        <f>_xlfn.XLOOKUP(B360,'[1]Sheet 1'!$A$2:$A$11107,'[1]Sheet 1'!$D$2:$D$11107,"",0)</f>
        <v>INT1</v>
      </c>
      <c r="D360" s="4" t="str">
        <f>_xlfn.XLOOKUP(A360,[3]Sheet2!$I$2:$I$1623,[3]Sheet2!$D$2:$D$1623,"",0)</f>
        <v>Q2</v>
      </c>
      <c r="E360" s="4" t="s">
        <v>1828</v>
      </c>
      <c r="F360" s="4" t="e">
        <f>_xlfn.XLOOKUP(B360,[2]Sheet2!$E$2:$E$713,[2]Sheet2!$G$2:$G$713)</f>
        <v>#N/A</v>
      </c>
      <c r="G360" s="18">
        <v>46109</v>
      </c>
      <c r="H360" s="14">
        <v>0.60901620370370368</v>
      </c>
      <c r="I360" s="7" t="s">
        <v>5</v>
      </c>
      <c r="J360" s="2" t="str">
        <f t="shared" si="25"/>
        <v>Q2</v>
      </c>
      <c r="K360" s="2" t="str">
        <f t="shared" si="26"/>
        <v>Match</v>
      </c>
      <c r="L360" s="2">
        <f t="shared" si="27"/>
        <v>0</v>
      </c>
      <c r="M360" s="2" t="e">
        <f t="shared" si="28"/>
        <v>#N/A</v>
      </c>
      <c r="N360" s="2" t="str">
        <f t="shared" si="29"/>
        <v>Q OK dE&lt;=0.8</v>
      </c>
      <c r="O360" s="7">
        <v>15.5</v>
      </c>
      <c r="P360" s="7">
        <v>-0.1</v>
      </c>
      <c r="Q360" s="7">
        <v>-0.5</v>
      </c>
      <c r="R360" s="7">
        <v>0.12</v>
      </c>
      <c r="S360" s="7">
        <v>0</v>
      </c>
      <c r="T360" s="20">
        <v>0</v>
      </c>
      <c r="U360" s="7">
        <v>-0.01</v>
      </c>
      <c r="V360" s="7">
        <v>0.12</v>
      </c>
      <c r="W360" s="7">
        <v>0.17</v>
      </c>
      <c r="X360" s="7" t="s">
        <v>8</v>
      </c>
      <c r="Y360" s="7" t="s">
        <v>9</v>
      </c>
      <c r="Z360" s="2" t="s">
        <v>718</v>
      </c>
      <c r="AA360" s="2" t="s">
        <v>721</v>
      </c>
    </row>
    <row r="361" spans="1:27" x14ac:dyDescent="0.35">
      <c r="A361" s="7" t="s">
        <v>1558</v>
      </c>
      <c r="B361" s="7" t="s">
        <v>1048</v>
      </c>
      <c r="C361" s="7" t="str">
        <f>_xlfn.XLOOKUP(B361,'[1]Sheet 1'!$A$2:$A$11107,'[1]Sheet 1'!$D$2:$D$11107,"",0)</f>
        <v>M&amp;S</v>
      </c>
      <c r="D361" s="4" t="str">
        <f>_xlfn.XLOOKUP(A361,[3]Sheet2!$I$2:$I$1623,[3]Sheet2!$D$2:$D$1623,"",0)</f>
        <v>Q3</v>
      </c>
      <c r="E361" s="4" t="s">
        <v>1828</v>
      </c>
      <c r="F361" s="4" t="e">
        <f>_xlfn.XLOOKUP(B361,[2]Sheet2!$E$2:$E$713,[2]Sheet2!$G$2:$G$713)</f>
        <v>#N/A</v>
      </c>
      <c r="G361" s="18">
        <v>46109</v>
      </c>
      <c r="H361" s="14">
        <v>0.28017361111111111</v>
      </c>
      <c r="I361" s="7" t="s">
        <v>17</v>
      </c>
      <c r="J361" s="2" t="str">
        <f t="shared" si="25"/>
        <v>Q3</v>
      </c>
      <c r="K361" s="2" t="str">
        <f t="shared" si="26"/>
        <v>Match</v>
      </c>
      <c r="L361" s="2">
        <f t="shared" si="27"/>
        <v>0.22360679774997899</v>
      </c>
      <c r="M361" s="2" t="e">
        <f t="shared" si="28"/>
        <v>#N/A</v>
      </c>
      <c r="N361" s="2" t="str">
        <f t="shared" si="29"/>
        <v>Q OK dE&lt;=0.8</v>
      </c>
      <c r="O361" s="7">
        <v>14.9</v>
      </c>
      <c r="P361" s="7">
        <v>-0.6</v>
      </c>
      <c r="Q361" s="7">
        <v>-1.9</v>
      </c>
      <c r="R361" s="7">
        <v>-0.62</v>
      </c>
      <c r="S361" s="7">
        <v>-0.1</v>
      </c>
      <c r="T361" s="7">
        <v>-0.2</v>
      </c>
      <c r="U361" s="7">
        <v>0.32</v>
      </c>
      <c r="V361" s="7">
        <v>-0.14000000000000001</v>
      </c>
      <c r="W361" s="7">
        <v>0.71</v>
      </c>
      <c r="X361" s="7" t="s">
        <v>8</v>
      </c>
      <c r="Y361" s="7" t="s">
        <v>15</v>
      </c>
      <c r="Z361" s="2" t="s">
        <v>718</v>
      </c>
      <c r="AA361" s="2" t="s">
        <v>721</v>
      </c>
    </row>
    <row r="362" spans="1:27" x14ac:dyDescent="0.35">
      <c r="A362" s="7" t="s">
        <v>1727</v>
      </c>
      <c r="B362" s="7" t="s">
        <v>1045</v>
      </c>
      <c r="C362" s="7" t="str">
        <f>_xlfn.XLOOKUP(B362,'[1]Sheet 1'!$A$2:$A$11107,'[1]Sheet 1'!$D$2:$D$11107,"",0)</f>
        <v>GAP</v>
      </c>
      <c r="D362" s="4" t="str">
        <f>_xlfn.XLOOKUP(A362,[3]Sheet2!$I$2:$I$1623,[3]Sheet2!$D$2:$D$1623,"",0)</f>
        <v>Q2</v>
      </c>
      <c r="E362" s="4" t="s">
        <v>1827</v>
      </c>
      <c r="F362" s="4" t="e">
        <f>_xlfn.XLOOKUP(B362,[2]Sheet2!$E$2:$E$713,[2]Sheet2!$G$2:$G$713)</f>
        <v>#N/A</v>
      </c>
      <c r="G362" s="18">
        <v>46109</v>
      </c>
      <c r="H362" s="14">
        <v>0.27177083333333335</v>
      </c>
      <c r="I362" s="7" t="s">
        <v>4</v>
      </c>
      <c r="J362" s="2" t="str">
        <f t="shared" si="25"/>
        <v>Q3</v>
      </c>
      <c r="K362" s="2" t="str">
        <f t="shared" si="26"/>
        <v>Not Match</v>
      </c>
      <c r="L362" s="2">
        <f t="shared" si="27"/>
        <v>0.41231056256176613</v>
      </c>
      <c r="M362" s="2" t="e">
        <f t="shared" si="28"/>
        <v>#N/A</v>
      </c>
      <c r="N362" s="2" t="str">
        <f t="shared" si="29"/>
        <v>Q NOT OK dE&lt;=0.8</v>
      </c>
      <c r="O362" s="7">
        <v>14</v>
      </c>
      <c r="P362" s="7">
        <v>-0.4</v>
      </c>
      <c r="Q362" s="7">
        <v>-2</v>
      </c>
      <c r="R362" s="7">
        <v>-0.17</v>
      </c>
      <c r="S362" s="7">
        <v>-0.4</v>
      </c>
      <c r="T362" s="7">
        <v>-0.1</v>
      </c>
      <c r="U362" s="7">
        <v>0.28000000000000003</v>
      </c>
      <c r="V362" s="7">
        <v>-0.6</v>
      </c>
      <c r="W362" s="7">
        <v>0.69</v>
      </c>
      <c r="X362" s="7" t="s">
        <v>8</v>
      </c>
      <c r="Y362" s="7" t="s">
        <v>15</v>
      </c>
      <c r="Z362" s="2" t="s">
        <v>718</v>
      </c>
      <c r="AA362" s="2" t="s">
        <v>721</v>
      </c>
    </row>
    <row r="363" spans="1:27" x14ac:dyDescent="0.35">
      <c r="A363" s="7" t="s">
        <v>1558</v>
      </c>
      <c r="B363" s="7" t="s">
        <v>1054</v>
      </c>
      <c r="C363" s="7" t="str">
        <f>_xlfn.XLOOKUP(B363,'[1]Sheet 1'!$A$2:$A$11107,'[1]Sheet 1'!$D$2:$D$11107,"",0)</f>
        <v>M&amp;S</v>
      </c>
      <c r="D363" s="4" t="str">
        <f>_xlfn.XLOOKUP(A363,[3]Sheet2!$I$2:$I$1623,[3]Sheet2!$D$2:$D$1623,"",0)</f>
        <v>Q3</v>
      </c>
      <c r="E363" s="4" t="s">
        <v>1828</v>
      </c>
      <c r="F363" s="4" t="e">
        <f>_xlfn.XLOOKUP(B363,[2]Sheet2!$E$2:$E$713,[2]Sheet2!$G$2:$G$713)</f>
        <v>#N/A</v>
      </c>
      <c r="G363" s="18">
        <v>46109</v>
      </c>
      <c r="H363" s="14">
        <v>0.64679398148148148</v>
      </c>
      <c r="I363" s="7" t="s">
        <v>17</v>
      </c>
      <c r="J363" s="2" t="str">
        <f t="shared" si="25"/>
        <v>Q3</v>
      </c>
      <c r="K363" s="2" t="str">
        <f t="shared" si="26"/>
        <v>Match</v>
      </c>
      <c r="L363" s="2">
        <f t="shared" si="27"/>
        <v>0.14142135623730953</v>
      </c>
      <c r="M363" s="2" t="e">
        <f t="shared" si="28"/>
        <v>#N/A</v>
      </c>
      <c r="N363" s="2" t="str">
        <f t="shared" si="29"/>
        <v>Q OK dE&lt;=0.8</v>
      </c>
      <c r="O363" s="7">
        <v>15.4</v>
      </c>
      <c r="P363" s="7">
        <v>-0.6</v>
      </c>
      <c r="Q363" s="7">
        <v>-1.8</v>
      </c>
      <c r="R363" s="7">
        <v>-0.18</v>
      </c>
      <c r="S363" s="7">
        <v>-0.1</v>
      </c>
      <c r="T363" s="7">
        <v>-0.1</v>
      </c>
      <c r="U363" s="7">
        <v>0.18</v>
      </c>
      <c r="V363" s="7">
        <v>-0.11</v>
      </c>
      <c r="W363" s="7">
        <v>0.27</v>
      </c>
      <c r="X363" s="7" t="s">
        <v>8</v>
      </c>
      <c r="Y363" s="7" t="s">
        <v>15</v>
      </c>
      <c r="Z363" s="2" t="s">
        <v>718</v>
      </c>
      <c r="AA363" s="2" t="s">
        <v>721</v>
      </c>
    </row>
    <row r="364" spans="1:27" x14ac:dyDescent="0.35">
      <c r="A364" s="7" t="s">
        <v>1749</v>
      </c>
      <c r="B364" s="7" t="s">
        <v>1051</v>
      </c>
      <c r="C364" s="7" t="str">
        <f>_xlfn.XLOOKUP(B364,'[1]Sheet 1'!$A$2:$A$11107,'[1]Sheet 1'!$D$2:$D$11107,"",0)</f>
        <v>SPA</v>
      </c>
      <c r="D364" s="4" t="str">
        <f>_xlfn.XLOOKUP(A364,[3]Sheet2!$I$2:$I$1623,[3]Sheet2!$D$2:$D$1623,"",0)</f>
        <v>Q2</v>
      </c>
      <c r="E364" s="4" t="s">
        <v>1827</v>
      </c>
      <c r="F364" s="4" t="e">
        <f>_xlfn.XLOOKUP(B364,[2]Sheet2!$E$2:$E$713,[2]Sheet2!$G$2:$G$713)</f>
        <v>#N/A</v>
      </c>
      <c r="G364" s="18">
        <v>46109</v>
      </c>
      <c r="H364" s="14">
        <v>0.58112268518518517</v>
      </c>
      <c r="I364" s="7" t="s">
        <v>4</v>
      </c>
      <c r="J364" s="2" t="str">
        <f t="shared" si="25"/>
        <v>Q3</v>
      </c>
      <c r="K364" s="2" t="str">
        <f t="shared" si="26"/>
        <v>Not Match</v>
      </c>
      <c r="L364" s="2">
        <f t="shared" si="27"/>
        <v>0.70710678118654746</v>
      </c>
      <c r="M364" s="2" t="e">
        <f t="shared" si="28"/>
        <v>#N/A</v>
      </c>
      <c r="N364" s="2" t="str">
        <f t="shared" si="29"/>
        <v>Q NOT OK dE&gt;0.8</v>
      </c>
      <c r="O364" s="7">
        <v>17.100000000000001</v>
      </c>
      <c r="P364" s="7">
        <v>-0.5</v>
      </c>
      <c r="Q364" s="7">
        <v>-2.5</v>
      </c>
      <c r="R364" s="7">
        <v>-0.49</v>
      </c>
      <c r="S364" s="7">
        <v>-0.1</v>
      </c>
      <c r="T364" s="7">
        <v>-0.7</v>
      </c>
      <c r="U364" s="7">
        <v>1</v>
      </c>
      <c r="V364" s="7">
        <v>0.02</v>
      </c>
      <c r="W364" s="7">
        <v>1.1200000000000001</v>
      </c>
      <c r="X364" s="7" t="s">
        <v>6</v>
      </c>
      <c r="Y364" s="7" t="s">
        <v>9</v>
      </c>
      <c r="Z364" s="2" t="s">
        <v>718</v>
      </c>
      <c r="AA364" s="2" t="s">
        <v>721</v>
      </c>
    </row>
    <row r="365" spans="1:27" x14ac:dyDescent="0.35">
      <c r="A365" s="7" t="s">
        <v>1747</v>
      </c>
      <c r="B365" s="7" t="s">
        <v>1041</v>
      </c>
      <c r="C365" s="7" t="str">
        <f>_xlfn.XLOOKUP(B365,'[1]Sheet 1'!$A$2:$A$11107,'[1]Sheet 1'!$D$2:$D$11107,"",0)</f>
        <v>M&amp;S</v>
      </c>
      <c r="D365" s="4" t="str">
        <f>_xlfn.XLOOKUP(A365,[3]Sheet2!$I$2:$I$1623,[3]Sheet2!$D$2:$D$1623,"",0)</f>
        <v>Q4</v>
      </c>
      <c r="E365" s="4" t="s">
        <v>1827</v>
      </c>
      <c r="F365" s="4" t="e">
        <f>_xlfn.XLOOKUP(B365,[2]Sheet2!$E$2:$E$713,[2]Sheet2!$G$2:$G$713)</f>
        <v>#N/A</v>
      </c>
      <c r="G365" s="18">
        <v>46109</v>
      </c>
      <c r="H365" s="14">
        <v>0.16443287037037038</v>
      </c>
      <c r="I365" s="7" t="s">
        <v>17</v>
      </c>
      <c r="J365" s="2" t="str">
        <f t="shared" si="25"/>
        <v>Q4</v>
      </c>
      <c r="K365" s="2" t="str">
        <f t="shared" si="26"/>
        <v>Match</v>
      </c>
      <c r="L365" s="2">
        <f t="shared" si="27"/>
        <v>0.2</v>
      </c>
      <c r="M365" s="2" t="e">
        <f t="shared" si="28"/>
        <v>#N/A</v>
      </c>
      <c r="N365" s="2" t="str">
        <f t="shared" si="29"/>
        <v>Q OK dE&lt;=0.8</v>
      </c>
      <c r="O365" s="7">
        <v>16.7</v>
      </c>
      <c r="P365" s="7">
        <v>-0.6</v>
      </c>
      <c r="Q365" s="7">
        <v>-5.9</v>
      </c>
      <c r="R365" s="7">
        <v>-0.43</v>
      </c>
      <c r="S365" s="7">
        <v>-0.2</v>
      </c>
      <c r="T365" s="20">
        <v>0</v>
      </c>
      <c r="U365" s="7">
        <v>0</v>
      </c>
      <c r="V365" s="7">
        <v>-0.31</v>
      </c>
      <c r="W365" s="7">
        <v>0.53</v>
      </c>
      <c r="X365" s="7" t="s">
        <v>8</v>
      </c>
      <c r="Y365" s="7" t="s">
        <v>15</v>
      </c>
      <c r="Z365" s="2" t="s">
        <v>718</v>
      </c>
      <c r="AA365" s="2" t="s">
        <v>721</v>
      </c>
    </row>
    <row r="366" spans="1:27" x14ac:dyDescent="0.35">
      <c r="A366" s="7" t="s">
        <v>1727</v>
      </c>
      <c r="B366" s="7" t="s">
        <v>1058</v>
      </c>
      <c r="C366" s="7" t="str">
        <f>_xlfn.XLOOKUP(B366,'[1]Sheet 1'!$A$2:$A$11107,'[1]Sheet 1'!$D$2:$D$11107,"",0)</f>
        <v>GAP</v>
      </c>
      <c r="D366" s="4" t="str">
        <f>_xlfn.XLOOKUP(A366,[3]Sheet2!$I$2:$I$1623,[3]Sheet2!$D$2:$D$1623,"",0)</f>
        <v>Q2</v>
      </c>
      <c r="E366" s="4" t="s">
        <v>1827</v>
      </c>
      <c r="F366" s="4" t="e">
        <f>_xlfn.XLOOKUP(B366,[2]Sheet2!$E$2:$E$713,[2]Sheet2!$G$2:$G$713)</f>
        <v>#N/A</v>
      </c>
      <c r="G366" s="18">
        <v>46109</v>
      </c>
      <c r="H366" s="14">
        <v>0.74072916666666666</v>
      </c>
      <c r="I366" s="7" t="s">
        <v>14</v>
      </c>
      <c r="J366" s="2" t="str">
        <f t="shared" si="25"/>
        <v>Q2</v>
      </c>
      <c r="K366" s="2" t="str">
        <f t="shared" si="26"/>
        <v>Match</v>
      </c>
      <c r="L366" s="2">
        <f t="shared" si="27"/>
        <v>0.1</v>
      </c>
      <c r="M366" s="2" t="e">
        <f t="shared" si="28"/>
        <v>#N/A</v>
      </c>
      <c r="N366" s="2" t="str">
        <f t="shared" si="29"/>
        <v>Q OK dE&lt;=0.8</v>
      </c>
      <c r="O366" s="7">
        <v>13</v>
      </c>
      <c r="P366" s="7">
        <v>-0.5</v>
      </c>
      <c r="Q366" s="7">
        <v>-2.5</v>
      </c>
      <c r="R366" s="7">
        <v>-0.76</v>
      </c>
      <c r="S366" s="7">
        <v>-0.1</v>
      </c>
      <c r="T366" s="20">
        <v>0</v>
      </c>
      <c r="U366" s="7">
        <v>-0.08</v>
      </c>
      <c r="V366" s="7">
        <v>-0.23</v>
      </c>
      <c r="W366" s="7">
        <v>0.8</v>
      </c>
      <c r="X366" s="7" t="s">
        <v>13</v>
      </c>
      <c r="Y366" s="7" t="s">
        <v>15</v>
      </c>
      <c r="Z366" s="2" t="s">
        <v>718</v>
      </c>
      <c r="AA366" s="2" t="s">
        <v>721</v>
      </c>
    </row>
    <row r="367" spans="1:27" x14ac:dyDescent="0.35">
      <c r="A367" s="7" t="s">
        <v>1727</v>
      </c>
      <c r="B367" s="7" t="s">
        <v>1043</v>
      </c>
      <c r="C367" s="7" t="str">
        <f>_xlfn.XLOOKUP(B367,'[1]Sheet 1'!$A$2:$A$11107,'[1]Sheet 1'!$D$2:$D$11107,"",0)</f>
        <v>GAP</v>
      </c>
      <c r="D367" s="4" t="str">
        <f>_xlfn.XLOOKUP(A367,[3]Sheet2!$I$2:$I$1623,[3]Sheet2!$D$2:$D$1623,"",0)</f>
        <v>Q2</v>
      </c>
      <c r="E367" s="4" t="s">
        <v>1827</v>
      </c>
      <c r="F367" s="4" t="e">
        <f>_xlfn.XLOOKUP(B367,[2]Sheet2!$E$2:$E$713,[2]Sheet2!$G$2:$G$713)</f>
        <v>#N/A</v>
      </c>
      <c r="G367" s="18">
        <v>46109</v>
      </c>
      <c r="H367" s="14">
        <v>0.16903935185185184</v>
      </c>
      <c r="I367" s="7" t="s">
        <v>4</v>
      </c>
      <c r="J367" s="2" t="str">
        <f t="shared" si="25"/>
        <v>Q3</v>
      </c>
      <c r="K367" s="2" t="str">
        <f t="shared" si="26"/>
        <v>Not Match</v>
      </c>
      <c r="L367" s="2">
        <f t="shared" si="27"/>
        <v>0.22360679774997899</v>
      </c>
      <c r="M367" s="2" t="e">
        <f t="shared" si="28"/>
        <v>#N/A</v>
      </c>
      <c r="N367" s="2" t="str">
        <f t="shared" si="29"/>
        <v>Q NOT OK dE&lt;=0.8</v>
      </c>
      <c r="O367" s="7">
        <v>14.3</v>
      </c>
      <c r="P367" s="7">
        <v>-0.2</v>
      </c>
      <c r="Q367" s="7">
        <v>-1.9</v>
      </c>
      <c r="R367" s="7">
        <v>0.15</v>
      </c>
      <c r="S367" s="7">
        <v>-0.2</v>
      </c>
      <c r="T367" s="7">
        <v>-0.1</v>
      </c>
      <c r="U367" s="7">
        <v>0.15</v>
      </c>
      <c r="V367" s="7">
        <v>-0.37</v>
      </c>
      <c r="W367" s="7">
        <v>0.43</v>
      </c>
      <c r="X367" s="7" t="s">
        <v>8</v>
      </c>
      <c r="Y367" s="7" t="s">
        <v>15</v>
      </c>
      <c r="Z367" s="2" t="s">
        <v>718</v>
      </c>
      <c r="AA367" s="2" t="s">
        <v>721</v>
      </c>
    </row>
    <row r="368" spans="1:27" x14ac:dyDescent="0.35">
      <c r="A368" s="7" t="s">
        <v>1746</v>
      </c>
      <c r="B368" s="7" t="s">
        <v>1040</v>
      </c>
      <c r="C368" s="7" t="str">
        <f>_xlfn.XLOOKUP(B368,'[1]Sheet 1'!$A$2:$A$11107,'[1]Sheet 1'!$D$2:$D$11107,"",0)</f>
        <v>DUN</v>
      </c>
      <c r="D368" s="4" t="str">
        <f>_xlfn.XLOOKUP(A368,[3]Sheet2!$I$2:$I$1623,[3]Sheet2!$D$2:$D$1623,"",0)</f>
        <v>Q1</v>
      </c>
      <c r="E368" s="4" t="s">
        <v>1828</v>
      </c>
      <c r="F368" s="4" t="e">
        <f>_xlfn.XLOOKUP(B368,[2]Sheet2!$E$2:$E$713,[2]Sheet2!$G$2:$G$713)</f>
        <v>#N/A</v>
      </c>
      <c r="G368" s="18">
        <v>46109</v>
      </c>
      <c r="H368" s="14">
        <v>0.16218750000000001</v>
      </c>
      <c r="I368" s="7" t="s">
        <v>4</v>
      </c>
      <c r="J368" s="2" t="str">
        <f t="shared" si="25"/>
        <v>Q1</v>
      </c>
      <c r="K368" s="2" t="str">
        <f t="shared" si="26"/>
        <v>Match</v>
      </c>
      <c r="L368" s="2">
        <f t="shared" si="27"/>
        <v>0</v>
      </c>
      <c r="M368" s="2" t="e">
        <f t="shared" si="28"/>
        <v>#N/A</v>
      </c>
      <c r="N368" s="2" t="str">
        <f t="shared" si="29"/>
        <v>Q OK dE&lt;=0.8</v>
      </c>
      <c r="O368" s="7">
        <v>16.899999999999999</v>
      </c>
      <c r="P368" s="7">
        <v>-1.1000000000000001</v>
      </c>
      <c r="Q368" s="7">
        <v>-1.5</v>
      </c>
      <c r="R368" s="7">
        <v>0.03</v>
      </c>
      <c r="S368" s="7">
        <v>0</v>
      </c>
      <c r="T368" s="20">
        <v>0</v>
      </c>
      <c r="U368" s="7">
        <v>0.06</v>
      </c>
      <c r="V368" s="7">
        <v>-0.11</v>
      </c>
      <c r="W368" s="7">
        <v>0.13</v>
      </c>
      <c r="X368" s="7" t="s">
        <v>8</v>
      </c>
      <c r="Y368" s="7" t="s">
        <v>15</v>
      </c>
      <c r="Z368" s="2" t="s">
        <v>718</v>
      </c>
      <c r="AA368" s="2" t="s">
        <v>721</v>
      </c>
    </row>
    <row r="369" spans="1:27" x14ac:dyDescent="0.35">
      <c r="A369" s="7" t="s">
        <v>1574</v>
      </c>
      <c r="B369" s="7" t="s">
        <v>1038</v>
      </c>
      <c r="C369" s="7" t="str">
        <f>_xlfn.XLOOKUP(B369,'[1]Sheet 1'!$A$2:$A$11107,'[1]Sheet 1'!$D$2:$D$11107,"",0)</f>
        <v>PINK</v>
      </c>
      <c r="D369" s="4" t="str">
        <f>_xlfn.XLOOKUP(A369,[3]Sheet2!$I$2:$I$1623,[3]Sheet2!$D$2:$D$1623,"",0)</f>
        <v>Q2</v>
      </c>
      <c r="E369" s="4" t="s">
        <v>1828</v>
      </c>
      <c r="F369" s="4" t="e">
        <f>_xlfn.XLOOKUP(B369,[2]Sheet2!$E$2:$E$713,[2]Sheet2!$G$2:$G$713)</f>
        <v>#N/A</v>
      </c>
      <c r="G369" s="18">
        <v>46109</v>
      </c>
      <c r="H369" s="14">
        <v>5.9606481481481481E-3</v>
      </c>
      <c r="I369" s="7" t="s">
        <v>10</v>
      </c>
      <c r="J369" s="2" t="str">
        <f t="shared" si="25"/>
        <v>Q2</v>
      </c>
      <c r="K369" s="2" t="str">
        <f t="shared" si="26"/>
        <v>Match</v>
      </c>
      <c r="L369" s="2">
        <f t="shared" si="27"/>
        <v>0.4</v>
      </c>
      <c r="M369" s="2" t="e">
        <f t="shared" si="28"/>
        <v>#N/A</v>
      </c>
      <c r="N369" s="2" t="str">
        <f t="shared" si="29"/>
        <v>Q OK dE&gt;0.8</v>
      </c>
      <c r="O369" s="7">
        <v>18.399999999999999</v>
      </c>
      <c r="P369" s="7">
        <v>-2.1</v>
      </c>
      <c r="Q369" s="7">
        <v>-11.7</v>
      </c>
      <c r="R369" s="7">
        <v>-0.82</v>
      </c>
      <c r="S369" s="7">
        <v>0</v>
      </c>
      <c r="T369" s="7">
        <v>-0.4</v>
      </c>
      <c r="U369" s="7">
        <v>0.35</v>
      </c>
      <c r="V369" s="7">
        <v>0.1</v>
      </c>
      <c r="W369" s="7">
        <v>0.9</v>
      </c>
      <c r="X369" s="7" t="s">
        <v>13</v>
      </c>
      <c r="Y369" s="7" t="s">
        <v>9</v>
      </c>
      <c r="Z369" s="2" t="s">
        <v>718</v>
      </c>
      <c r="AA369" s="2" t="s">
        <v>721</v>
      </c>
    </row>
    <row r="370" spans="1:27" x14ac:dyDescent="0.35">
      <c r="A370" s="7" t="s">
        <v>1579</v>
      </c>
      <c r="B370" s="7" t="s">
        <v>1056</v>
      </c>
      <c r="C370" s="7" t="str">
        <f>_xlfn.XLOOKUP(B370,'[1]Sheet 1'!$A$2:$A$11107,'[1]Sheet 1'!$D$2:$D$11107,"",0)</f>
        <v>M&amp;S</v>
      </c>
      <c r="D370" s="4" t="str">
        <f>_xlfn.XLOOKUP(A370,[3]Sheet2!$I$2:$I$1623,[3]Sheet2!$D$2:$D$1623,"",0)</f>
        <v>Q4</v>
      </c>
      <c r="E370" s="4" t="s">
        <v>1827</v>
      </c>
      <c r="F370" s="4" t="e">
        <f>_xlfn.XLOOKUP(B370,[2]Sheet2!$E$2:$E$713,[2]Sheet2!$G$2:$G$713)</f>
        <v>#N/A</v>
      </c>
      <c r="G370" s="18">
        <v>46109</v>
      </c>
      <c r="H370" s="14">
        <v>0.69289351851851855</v>
      </c>
      <c r="I370" s="7" t="s">
        <v>17</v>
      </c>
      <c r="J370" s="2" t="str">
        <f t="shared" si="25"/>
        <v>Q2</v>
      </c>
      <c r="K370" s="2" t="str">
        <f t="shared" si="26"/>
        <v>Not Match</v>
      </c>
      <c r="L370" s="2">
        <f t="shared" si="27"/>
        <v>0.36055512754639896</v>
      </c>
      <c r="M370" s="2" t="e">
        <f t="shared" si="28"/>
        <v>#N/A</v>
      </c>
      <c r="N370" s="2" t="str">
        <f t="shared" si="29"/>
        <v>Q NOT OK dE&lt;=0.8</v>
      </c>
      <c r="O370" s="7">
        <v>15.7</v>
      </c>
      <c r="P370" s="7">
        <v>-0.7</v>
      </c>
      <c r="Q370" s="7">
        <v>-5.9</v>
      </c>
      <c r="R370" s="7">
        <v>-0.1</v>
      </c>
      <c r="S370" s="7">
        <v>-0.3</v>
      </c>
      <c r="T370" s="7">
        <v>0.2</v>
      </c>
      <c r="U370" s="7">
        <v>-0.16</v>
      </c>
      <c r="V370" s="7">
        <v>-0.42</v>
      </c>
      <c r="W370" s="7">
        <v>0.46</v>
      </c>
      <c r="X370" s="7" t="s">
        <v>8</v>
      </c>
      <c r="Y370" s="7" t="s">
        <v>15</v>
      </c>
      <c r="Z370" s="2" t="s">
        <v>718</v>
      </c>
      <c r="AA370" s="2" t="s">
        <v>721</v>
      </c>
    </row>
    <row r="371" spans="1:27" x14ac:dyDescent="0.35">
      <c r="A371" s="7" t="s">
        <v>1745</v>
      </c>
      <c r="B371" s="7" t="s">
        <v>1037</v>
      </c>
      <c r="C371" s="7" t="str">
        <f>_xlfn.XLOOKUP(B371,'[1]Sheet 1'!$A$2:$A$11107,'[1]Sheet 1'!$D$2:$D$11107,"",0)</f>
        <v>SW</v>
      </c>
      <c r="D371" s="4" t="str">
        <f>_xlfn.XLOOKUP(A371,[3]Sheet2!$I$2:$I$1623,[3]Sheet2!$D$2:$D$1623,"",0)</f>
        <v>Q1</v>
      </c>
      <c r="E371" s="4" t="s">
        <v>1828</v>
      </c>
      <c r="F371" s="4" t="e">
        <f>_xlfn.XLOOKUP(B371,[2]Sheet2!$E$2:$E$713,[2]Sheet2!$G$2:$G$713)</f>
        <v>#N/A</v>
      </c>
      <c r="G371" s="18">
        <v>46109</v>
      </c>
      <c r="H371" s="14">
        <v>2.3032407407407407E-3</v>
      </c>
      <c r="I371" s="7" t="s">
        <v>4</v>
      </c>
      <c r="J371" s="2" t="str">
        <f t="shared" si="25"/>
        <v>Q1</v>
      </c>
      <c r="K371" s="2" t="str">
        <f t="shared" si="26"/>
        <v>Match</v>
      </c>
      <c r="L371" s="2">
        <f t="shared" si="27"/>
        <v>0.3</v>
      </c>
      <c r="M371" s="2" t="e">
        <f t="shared" si="28"/>
        <v>#N/A</v>
      </c>
      <c r="N371" s="2" t="str">
        <f t="shared" si="29"/>
        <v>Q OK dE&lt;=0.8</v>
      </c>
      <c r="O371" s="7">
        <v>14.6</v>
      </c>
      <c r="P371" s="7">
        <v>-1</v>
      </c>
      <c r="Q371" s="7">
        <v>-2.2000000000000002</v>
      </c>
      <c r="R371" s="7">
        <v>-0.35</v>
      </c>
      <c r="S371" s="7">
        <v>0</v>
      </c>
      <c r="T371" s="7">
        <v>-0.3</v>
      </c>
      <c r="U371" s="7">
        <v>0.41</v>
      </c>
      <c r="V371" s="7">
        <v>0.23</v>
      </c>
      <c r="W371" s="7">
        <v>0.57999999999999996</v>
      </c>
      <c r="X371" s="7" t="s">
        <v>8</v>
      </c>
      <c r="Y371" s="7" t="s">
        <v>9</v>
      </c>
      <c r="Z371" s="2" t="s">
        <v>718</v>
      </c>
      <c r="AA371" s="2" t="s">
        <v>721</v>
      </c>
    </row>
    <row r="372" spans="1:27" x14ac:dyDescent="0.35">
      <c r="A372" s="7" t="s">
        <v>1736</v>
      </c>
      <c r="B372" s="7" t="s">
        <v>1057</v>
      </c>
      <c r="C372" s="7" t="str">
        <f>_xlfn.XLOOKUP(B372,'[1]Sheet 1'!$A$2:$A$11107,'[1]Sheet 1'!$D$2:$D$11107,"",0)</f>
        <v/>
      </c>
      <c r="D372" s="4" t="str">
        <f>_xlfn.XLOOKUP(A372,[3]Sheet2!$I$2:$I$1623,[3]Sheet2!$D$2:$D$1623,"",0)</f>
        <v>Q3</v>
      </c>
      <c r="E372" s="4" t="s">
        <v>1828</v>
      </c>
      <c r="F372" s="4" t="e">
        <f>_xlfn.XLOOKUP(B372,[2]Sheet2!$E$2:$E$713,[2]Sheet2!$G$2:$G$713)</f>
        <v>#N/A</v>
      </c>
      <c r="G372" s="18">
        <v>46109</v>
      </c>
      <c r="H372" s="14">
        <v>0.72320601851851851</v>
      </c>
      <c r="I372" s="7" t="s">
        <v>5</v>
      </c>
      <c r="J372" s="2" t="str">
        <f t="shared" si="25"/>
        <v>Q3</v>
      </c>
      <c r="K372" s="2" t="str">
        <f t="shared" si="26"/>
        <v>Match</v>
      </c>
      <c r="L372" s="2">
        <f t="shared" si="27"/>
        <v>0.2</v>
      </c>
      <c r="M372" s="2" t="e">
        <f t="shared" si="28"/>
        <v>#N/A</v>
      </c>
      <c r="N372" s="2" t="str">
        <f t="shared" si="29"/>
        <v>Q OK dE&lt;=0.8</v>
      </c>
      <c r="O372" s="7">
        <v>22.3</v>
      </c>
      <c r="P372" s="7">
        <v>4.4000000000000004</v>
      </c>
      <c r="Q372" s="7">
        <v>4.4000000000000004</v>
      </c>
      <c r="R372" s="7">
        <v>-0.19</v>
      </c>
      <c r="S372" s="7">
        <v>0</v>
      </c>
      <c r="T372" s="7">
        <v>-0.2</v>
      </c>
      <c r="U372" s="7">
        <v>-0.19</v>
      </c>
      <c r="V372" s="7">
        <v>-0.32</v>
      </c>
      <c r="W372" s="7">
        <v>0.41</v>
      </c>
      <c r="X372" s="7" t="s">
        <v>8</v>
      </c>
      <c r="Y372" s="7" t="s">
        <v>9</v>
      </c>
      <c r="Z372" s="2" t="s">
        <v>718</v>
      </c>
      <c r="AA372" s="2" t="s">
        <v>721</v>
      </c>
    </row>
    <row r="373" spans="1:27" x14ac:dyDescent="0.35">
      <c r="A373" s="7" t="s">
        <v>1748</v>
      </c>
      <c r="B373" s="7" t="s">
        <v>1049</v>
      </c>
      <c r="C373" s="7" t="str">
        <f>_xlfn.XLOOKUP(B373,'[1]Sheet 1'!$A$2:$A$11107,'[1]Sheet 1'!$D$2:$D$11107,"",0)</f>
        <v>SPA</v>
      </c>
      <c r="D373" s="4" t="str">
        <f>_xlfn.XLOOKUP(A373,[3]Sheet2!$I$2:$I$1623,[3]Sheet2!$D$2:$D$1623,"",0)</f>
        <v>Q1</v>
      </c>
      <c r="E373" s="4" t="s">
        <v>1828</v>
      </c>
      <c r="F373" s="4" t="e">
        <f>_xlfn.XLOOKUP(B373,[2]Sheet2!$E$2:$E$713,[2]Sheet2!$G$2:$G$713)</f>
        <v>#N/A</v>
      </c>
      <c r="G373" s="18">
        <v>46109</v>
      </c>
      <c r="H373" s="14">
        <v>0.3785648148148148</v>
      </c>
      <c r="I373" s="7" t="s">
        <v>4</v>
      </c>
      <c r="J373" s="2" t="str">
        <f t="shared" si="25"/>
        <v>Q1</v>
      </c>
      <c r="K373" s="2" t="str">
        <f t="shared" si="26"/>
        <v>Match</v>
      </c>
      <c r="L373" s="2">
        <f t="shared" si="27"/>
        <v>0.4</v>
      </c>
      <c r="M373" s="2" t="e">
        <f t="shared" si="28"/>
        <v>#N/A</v>
      </c>
      <c r="N373" s="2" t="str">
        <f t="shared" si="29"/>
        <v>Q OK dE&gt;0.8</v>
      </c>
      <c r="O373" s="7">
        <v>14.9</v>
      </c>
      <c r="P373" s="7">
        <v>-0.7</v>
      </c>
      <c r="Q373" s="7">
        <v>-2.1</v>
      </c>
      <c r="R373" s="7">
        <v>-0.56999999999999995</v>
      </c>
      <c r="S373" s="7">
        <v>0</v>
      </c>
      <c r="T373" s="7">
        <v>0.4</v>
      </c>
      <c r="U373" s="7">
        <v>-0.55000000000000004</v>
      </c>
      <c r="V373" s="7">
        <v>-0.26</v>
      </c>
      <c r="W373" s="7">
        <v>0.83</v>
      </c>
      <c r="X373" s="7" t="s">
        <v>13</v>
      </c>
      <c r="Y373" s="7" t="s">
        <v>15</v>
      </c>
      <c r="Z373" s="2" t="s">
        <v>718</v>
      </c>
      <c r="AA373" s="2" t="s">
        <v>721</v>
      </c>
    </row>
    <row r="374" spans="1:27" x14ac:dyDescent="0.35">
      <c r="A374" s="7" t="s">
        <v>1748</v>
      </c>
      <c r="B374" s="7" t="s">
        <v>1044</v>
      </c>
      <c r="C374" s="7" t="str">
        <f>_xlfn.XLOOKUP(B374,'[1]Sheet 1'!$A$2:$A$11107,'[1]Sheet 1'!$D$2:$D$11107,"",0)</f>
        <v>SPA</v>
      </c>
      <c r="D374" s="4" t="str">
        <f>_xlfn.XLOOKUP(A374,[3]Sheet2!$I$2:$I$1623,[3]Sheet2!$D$2:$D$1623,"",0)</f>
        <v>Q1</v>
      </c>
      <c r="E374" s="4" t="s">
        <v>1827</v>
      </c>
      <c r="F374" s="4" t="e">
        <f>_xlfn.XLOOKUP(B374,[2]Sheet2!$E$2:$E$713,[2]Sheet2!$G$2:$G$713)</f>
        <v>#N/A</v>
      </c>
      <c r="G374" s="18">
        <v>46109</v>
      </c>
      <c r="H374" s="14">
        <v>0.26968750000000002</v>
      </c>
      <c r="I374" s="7" t="s">
        <v>4</v>
      </c>
      <c r="J374" s="2" t="str">
        <f t="shared" si="25"/>
        <v>Q4</v>
      </c>
      <c r="K374" s="2" t="str">
        <f t="shared" si="26"/>
        <v>Not Match</v>
      </c>
      <c r="L374" s="2">
        <f t="shared" si="27"/>
        <v>0.31622776601683794</v>
      </c>
      <c r="M374" s="2" t="e">
        <f t="shared" si="28"/>
        <v>#N/A</v>
      </c>
      <c r="N374" s="2" t="str">
        <f t="shared" si="29"/>
        <v>Q NOT OK dE&lt;=0.8</v>
      </c>
      <c r="O374" s="7">
        <v>16.100000000000001</v>
      </c>
      <c r="P374" s="7">
        <v>-0.3</v>
      </c>
      <c r="Q374" s="7">
        <v>-2.2999999999999998</v>
      </c>
      <c r="R374" s="7">
        <v>0.48</v>
      </c>
      <c r="S374" s="7">
        <v>0.3</v>
      </c>
      <c r="T374" s="7">
        <v>-0.1</v>
      </c>
      <c r="U374" s="7">
        <v>0.11</v>
      </c>
      <c r="V374" s="7">
        <v>0.43</v>
      </c>
      <c r="W374" s="7">
        <v>0.66</v>
      </c>
      <c r="X374" s="7" t="s">
        <v>8</v>
      </c>
      <c r="Y374" s="7" t="s">
        <v>9</v>
      </c>
      <c r="Z374" s="2" t="s">
        <v>718</v>
      </c>
      <c r="AA374" s="2" t="s">
        <v>721</v>
      </c>
    </row>
    <row r="375" spans="1:27" x14ac:dyDescent="0.35">
      <c r="A375" s="7" t="s">
        <v>1740</v>
      </c>
      <c r="B375" s="7" t="s">
        <v>1039</v>
      </c>
      <c r="C375" s="7" t="str">
        <f>_xlfn.XLOOKUP(B375,'[1]Sheet 1'!$A$2:$A$11107,'[1]Sheet 1'!$D$2:$D$11107,"",0)</f>
        <v/>
      </c>
      <c r="D375" s="4" t="str">
        <f>_xlfn.XLOOKUP(A375,[3]Sheet2!$I$2:$I$1623,[3]Sheet2!$D$2:$D$1623,"",0)</f>
        <v>Q2</v>
      </c>
      <c r="E375" s="4" t="s">
        <v>1828</v>
      </c>
      <c r="F375" s="4" t="e">
        <f>_xlfn.XLOOKUP(B375,[2]Sheet2!$E$2:$E$713,[2]Sheet2!$G$2:$G$713)</f>
        <v>#N/A</v>
      </c>
      <c r="G375" s="18">
        <v>46109</v>
      </c>
      <c r="H375" s="14">
        <v>0.10949074074074074</v>
      </c>
      <c r="I375" s="7" t="s">
        <v>4</v>
      </c>
      <c r="J375" s="2" t="str">
        <f t="shared" si="25"/>
        <v>Q3</v>
      </c>
      <c r="K375" s="2" t="str">
        <f t="shared" si="26"/>
        <v>Not Match</v>
      </c>
      <c r="L375" s="2">
        <f t="shared" si="27"/>
        <v>0.36055512754639896</v>
      </c>
      <c r="M375" s="2" t="e">
        <f t="shared" si="28"/>
        <v>#N/A</v>
      </c>
      <c r="N375" s="2" t="str">
        <f t="shared" si="29"/>
        <v>Q NOT OK dE&lt;=0.8</v>
      </c>
      <c r="O375" s="7">
        <v>14.9</v>
      </c>
      <c r="P375" s="7">
        <v>-0.9</v>
      </c>
      <c r="Q375" s="7">
        <v>-1.3</v>
      </c>
      <c r="R375" s="7">
        <v>-0.04</v>
      </c>
      <c r="S375" s="7">
        <v>-0.2</v>
      </c>
      <c r="T375" s="7">
        <v>-0.3</v>
      </c>
      <c r="U375" s="7">
        <v>0.59</v>
      </c>
      <c r="V375" s="7">
        <v>0.06</v>
      </c>
      <c r="W375" s="7">
        <v>0.6</v>
      </c>
      <c r="X375" s="7" t="s">
        <v>8</v>
      </c>
      <c r="Y375" s="7" t="s">
        <v>9</v>
      </c>
      <c r="Z375" s="2" t="s">
        <v>718</v>
      </c>
      <c r="AA375" s="2" t="s">
        <v>721</v>
      </c>
    </row>
    <row r="376" spans="1:27" x14ac:dyDescent="0.35">
      <c r="A376" s="7" t="s">
        <v>1505</v>
      </c>
      <c r="B376" s="7" t="s">
        <v>1047</v>
      </c>
      <c r="C376" s="7" t="str">
        <f>_xlfn.XLOOKUP(B376,'[1]Sheet 1'!$A$2:$A$11107,'[1]Sheet 1'!$D$2:$D$11107,"",0)</f>
        <v/>
      </c>
      <c r="D376" s="4" t="str">
        <f>_xlfn.XLOOKUP(A376,[3]Sheet2!$I$2:$I$1623,[3]Sheet2!$D$2:$D$1623,"",0)</f>
        <v>Q4</v>
      </c>
      <c r="E376" s="4" t="s">
        <v>1828</v>
      </c>
      <c r="F376" s="4" t="e">
        <f>_xlfn.XLOOKUP(B376,[2]Sheet2!$E$2:$E$713,[2]Sheet2!$G$2:$G$713)</f>
        <v>#N/A</v>
      </c>
      <c r="G376" s="18">
        <v>46109</v>
      </c>
      <c r="H376" s="14">
        <v>0.27807870370370369</v>
      </c>
      <c r="I376" s="7" t="s">
        <v>5</v>
      </c>
      <c r="J376" s="2" t="str">
        <f t="shared" si="25"/>
        <v>Q4</v>
      </c>
      <c r="K376" s="2" t="str">
        <f t="shared" si="26"/>
        <v>Match</v>
      </c>
      <c r="L376" s="2">
        <f t="shared" si="27"/>
        <v>0.1</v>
      </c>
      <c r="M376" s="2" t="e">
        <f t="shared" si="28"/>
        <v>#N/A</v>
      </c>
      <c r="N376" s="2" t="str">
        <f t="shared" si="29"/>
        <v>Q OK dE&lt;=0.8</v>
      </c>
      <c r="O376" s="7">
        <v>18</v>
      </c>
      <c r="P376" s="7">
        <v>-1.1000000000000001</v>
      </c>
      <c r="Q376" s="7">
        <v>-3.1</v>
      </c>
      <c r="R376" s="7">
        <v>0.03</v>
      </c>
      <c r="S376" s="7">
        <v>-0.1</v>
      </c>
      <c r="T376" s="20">
        <v>0</v>
      </c>
      <c r="U376" s="7">
        <v>0.04</v>
      </c>
      <c r="V376" s="7">
        <v>-0.14000000000000001</v>
      </c>
      <c r="W376" s="7">
        <v>0.15</v>
      </c>
      <c r="X376" s="7" t="s">
        <v>8</v>
      </c>
      <c r="Y376" s="7" t="s">
        <v>15</v>
      </c>
      <c r="Z376" s="2" t="s">
        <v>718</v>
      </c>
      <c r="AA376" s="2" t="s">
        <v>721</v>
      </c>
    </row>
    <row r="377" spans="1:27" x14ac:dyDescent="0.35">
      <c r="A377" s="7" t="s">
        <v>1567</v>
      </c>
      <c r="B377" s="7" t="s">
        <v>1050</v>
      </c>
      <c r="C377" s="7" t="str">
        <f>_xlfn.XLOOKUP(B377,'[1]Sheet 1'!$A$2:$A$11107,'[1]Sheet 1'!$D$2:$D$11107,"",0)</f>
        <v>M&amp;S</v>
      </c>
      <c r="D377" s="4" t="str">
        <f>_xlfn.XLOOKUP(A377,[3]Sheet2!$I$2:$I$1623,[3]Sheet2!$D$2:$D$1623,"",0)</f>
        <v>Q3</v>
      </c>
      <c r="E377" s="4" t="s">
        <v>1827</v>
      </c>
      <c r="F377" s="4" t="e">
        <f>_xlfn.XLOOKUP(B377,[2]Sheet2!$E$2:$E$713,[2]Sheet2!$G$2:$G$713)</f>
        <v>#N/A</v>
      </c>
      <c r="G377" s="18">
        <v>46109</v>
      </c>
      <c r="H377" s="14">
        <v>0.50648148148148153</v>
      </c>
      <c r="I377" s="7" t="s">
        <v>17</v>
      </c>
      <c r="J377" s="2" t="str">
        <f t="shared" si="25"/>
        <v>Q2</v>
      </c>
      <c r="K377" s="2" t="str">
        <f t="shared" si="26"/>
        <v>Not Match</v>
      </c>
      <c r="L377" s="2">
        <f t="shared" si="27"/>
        <v>0.41231056256176613</v>
      </c>
      <c r="M377" s="2" t="e">
        <f t="shared" si="28"/>
        <v>#N/A</v>
      </c>
      <c r="N377" s="2" t="str">
        <f t="shared" si="29"/>
        <v>Q NOT OK dE&lt;=0.8</v>
      </c>
      <c r="O377" s="7">
        <v>24.6</v>
      </c>
      <c r="P377" s="7">
        <v>-5.9</v>
      </c>
      <c r="Q377" s="7">
        <v>-6.8</v>
      </c>
      <c r="R377" s="7">
        <v>-0.06</v>
      </c>
      <c r="S377" s="7">
        <v>-0.4</v>
      </c>
      <c r="T377" s="7">
        <v>0.1</v>
      </c>
      <c r="U377" s="7">
        <v>0.13</v>
      </c>
      <c r="V377" s="7">
        <v>-0.51</v>
      </c>
      <c r="W377" s="7">
        <v>0.53</v>
      </c>
      <c r="X377" s="7" t="s">
        <v>8</v>
      </c>
      <c r="Y377" s="7" t="s">
        <v>12</v>
      </c>
      <c r="Z377" s="2" t="s">
        <v>718</v>
      </c>
      <c r="AA377" s="2" t="s">
        <v>721</v>
      </c>
    </row>
    <row r="378" spans="1:27" x14ac:dyDescent="0.35">
      <c r="A378" s="7" t="s">
        <v>1596</v>
      </c>
      <c r="B378" s="7" t="s">
        <v>1042</v>
      </c>
      <c r="C378" s="7" t="str">
        <f>_xlfn.XLOOKUP(B378,'[1]Sheet 1'!$A$2:$A$11107,'[1]Sheet 1'!$D$2:$D$11107,"",0)</f>
        <v>NIK</v>
      </c>
      <c r="D378" s="4" t="str">
        <f>_xlfn.XLOOKUP(A378,[3]Sheet2!$I$2:$I$1623,[3]Sheet2!$D$2:$D$1623,"",0)</f>
        <v>Q4</v>
      </c>
      <c r="E378" s="4" t="s">
        <v>1828</v>
      </c>
      <c r="F378" s="4" t="e">
        <f>_xlfn.XLOOKUP(B378,[2]Sheet2!$E$2:$E$713,[2]Sheet2!$G$2:$G$713)</f>
        <v>#N/A</v>
      </c>
      <c r="G378" s="18">
        <v>46109</v>
      </c>
      <c r="H378" s="14">
        <v>0.1663425925925926</v>
      </c>
      <c r="I378" s="7" t="s">
        <v>4</v>
      </c>
      <c r="J378" s="2" t="str">
        <f t="shared" si="25"/>
        <v>Q4</v>
      </c>
      <c r="K378" s="2" t="str">
        <f t="shared" si="26"/>
        <v>Match</v>
      </c>
      <c r="L378" s="2">
        <f t="shared" si="27"/>
        <v>0.28284271247461906</v>
      </c>
      <c r="M378" s="2" t="e">
        <f t="shared" si="28"/>
        <v>#N/A</v>
      </c>
      <c r="N378" s="2" t="str">
        <f t="shared" si="29"/>
        <v>Q OK dE&lt;=0.8</v>
      </c>
      <c r="O378" s="7">
        <v>22</v>
      </c>
      <c r="P378" s="7">
        <v>0.1</v>
      </c>
      <c r="Q378" s="7">
        <v>-9.4</v>
      </c>
      <c r="R378" s="7">
        <v>-0.67</v>
      </c>
      <c r="S378" s="7">
        <v>0.2</v>
      </c>
      <c r="T378" s="7">
        <v>-0.2</v>
      </c>
      <c r="U378" s="7">
        <v>0.21</v>
      </c>
      <c r="V378" s="7">
        <v>0.32</v>
      </c>
      <c r="W378" s="7">
        <v>0.77</v>
      </c>
      <c r="X378" s="7" t="s">
        <v>13</v>
      </c>
      <c r="Y378" s="7" t="s">
        <v>9</v>
      </c>
      <c r="Z378" s="2" t="s">
        <v>718</v>
      </c>
      <c r="AA378" s="2" t="s">
        <v>721</v>
      </c>
    </row>
    <row r="379" spans="1:27" x14ac:dyDescent="0.35">
      <c r="A379" s="7" t="s">
        <v>1596</v>
      </c>
      <c r="B379" s="7" t="s">
        <v>1052</v>
      </c>
      <c r="C379" s="7" t="str">
        <f>_xlfn.XLOOKUP(B379,'[1]Sheet 1'!$A$2:$A$11107,'[1]Sheet 1'!$D$2:$D$11107,"",0)</f>
        <v>NIK</v>
      </c>
      <c r="D379" s="4" t="str">
        <f>_xlfn.XLOOKUP(A379,[3]Sheet2!$I$2:$I$1623,[3]Sheet2!$D$2:$D$1623,"",0)</f>
        <v>Q4</v>
      </c>
      <c r="E379" s="4" t="s">
        <v>1828</v>
      </c>
      <c r="F379" s="4" t="e">
        <f>_xlfn.XLOOKUP(B379,[2]Sheet2!$E$2:$E$713,[2]Sheet2!$G$2:$G$713)</f>
        <v>#N/A</v>
      </c>
      <c r="G379" s="18">
        <v>46109</v>
      </c>
      <c r="H379" s="14">
        <v>0.59032407407407406</v>
      </c>
      <c r="I379" s="7" t="s">
        <v>4</v>
      </c>
      <c r="J379" s="2" t="str">
        <f t="shared" si="25"/>
        <v>Q4</v>
      </c>
      <c r="K379" s="2" t="str">
        <f t="shared" si="26"/>
        <v>Match</v>
      </c>
      <c r="L379" s="2">
        <f t="shared" si="27"/>
        <v>0.1</v>
      </c>
      <c r="M379" s="2" t="e">
        <f t="shared" si="28"/>
        <v>#N/A</v>
      </c>
      <c r="N379" s="2" t="str">
        <f t="shared" si="29"/>
        <v>Q OK dE&lt;=0.8</v>
      </c>
      <c r="O379" s="7">
        <v>21.9</v>
      </c>
      <c r="P379" s="7">
        <v>0</v>
      </c>
      <c r="Q379" s="7">
        <v>-9.1999999999999993</v>
      </c>
      <c r="R379" s="7">
        <v>-0.75</v>
      </c>
      <c r="S379" s="7">
        <v>0.1</v>
      </c>
      <c r="T379" s="20">
        <v>0</v>
      </c>
      <c r="U379" s="7">
        <v>0.06</v>
      </c>
      <c r="V379" s="7">
        <v>0.19</v>
      </c>
      <c r="W379" s="7">
        <v>0.77</v>
      </c>
      <c r="X379" s="7" t="s">
        <v>13</v>
      </c>
      <c r="Y379" s="7" t="s">
        <v>9</v>
      </c>
      <c r="Z379" s="2" t="s">
        <v>718</v>
      </c>
      <c r="AA379" s="2" t="s">
        <v>721</v>
      </c>
    </row>
    <row r="380" spans="1:27" x14ac:dyDescent="0.35">
      <c r="A380" s="7" t="s">
        <v>1727</v>
      </c>
      <c r="B380" s="7" t="s">
        <v>1055</v>
      </c>
      <c r="C380" s="7" t="str">
        <f>_xlfn.XLOOKUP(B380,'[1]Sheet 1'!$A$2:$A$11107,'[1]Sheet 1'!$D$2:$D$11107,"",0)</f>
        <v>GAP</v>
      </c>
      <c r="D380" s="4" t="str">
        <f>_xlfn.XLOOKUP(A380,[3]Sheet2!$I$2:$I$1623,[3]Sheet2!$D$2:$D$1623,"",0)</f>
        <v>Q2</v>
      </c>
      <c r="E380" s="4" t="s">
        <v>1827</v>
      </c>
      <c r="F380" s="4" t="e">
        <f>_xlfn.XLOOKUP(B380,[2]Sheet2!$E$2:$E$713,[2]Sheet2!$G$2:$G$713)</f>
        <v>#N/A</v>
      </c>
      <c r="G380" s="18">
        <v>46109</v>
      </c>
      <c r="H380" s="14">
        <v>0.68733796296296301</v>
      </c>
      <c r="I380" s="7" t="s">
        <v>14</v>
      </c>
      <c r="J380" s="2" t="str">
        <f t="shared" si="25"/>
        <v>Q2</v>
      </c>
      <c r="K380" s="2" t="str">
        <f t="shared" si="26"/>
        <v>Match</v>
      </c>
      <c r="L380" s="2">
        <f t="shared" si="27"/>
        <v>0.1</v>
      </c>
      <c r="M380" s="2" t="e">
        <f t="shared" si="28"/>
        <v>#N/A</v>
      </c>
      <c r="N380" s="2" t="str">
        <f t="shared" si="29"/>
        <v>Q OK dE&lt;=0.8</v>
      </c>
      <c r="O380" s="7">
        <v>13.2</v>
      </c>
      <c r="P380" s="7">
        <v>-0.4</v>
      </c>
      <c r="Q380" s="7">
        <v>-2.6</v>
      </c>
      <c r="R380" s="7">
        <v>-0.55000000000000004</v>
      </c>
      <c r="S380" s="7">
        <v>-0.1</v>
      </c>
      <c r="T380" s="20">
        <v>0</v>
      </c>
      <c r="U380" s="7">
        <v>-0.05</v>
      </c>
      <c r="V380" s="7">
        <v>-0.15</v>
      </c>
      <c r="W380" s="7">
        <v>0.57999999999999996</v>
      </c>
      <c r="X380" s="7" t="s">
        <v>8</v>
      </c>
      <c r="Y380" s="7" t="s">
        <v>15</v>
      </c>
      <c r="Z380" s="2" t="s">
        <v>718</v>
      </c>
      <c r="AA380" s="2" t="s">
        <v>721</v>
      </c>
    </row>
    <row r="381" spans="1:27" x14ac:dyDescent="0.35">
      <c r="A381" s="7" t="s">
        <v>1586</v>
      </c>
      <c r="B381" s="7" t="s">
        <v>1069</v>
      </c>
      <c r="C381" s="7" t="str">
        <f>_xlfn.XLOOKUP(B381,'[1]Sheet 1'!$A$2:$A$11107,'[1]Sheet 1'!$D$2:$D$11107,"",0)</f>
        <v>INT1</v>
      </c>
      <c r="D381" s="4" t="str">
        <f>_xlfn.XLOOKUP(A381,[3]Sheet2!$I$2:$I$1623,[3]Sheet2!$D$2:$D$1623,"",0)</f>
        <v>Q2</v>
      </c>
      <c r="E381" s="4" t="s">
        <v>1828</v>
      </c>
      <c r="F381" s="4" t="e">
        <f>_xlfn.XLOOKUP(B381,[2]Sheet2!$E$2:$E$713,[2]Sheet2!$G$2:$G$713)</f>
        <v>#N/A</v>
      </c>
      <c r="G381" s="18">
        <v>46111</v>
      </c>
      <c r="H381" s="14">
        <v>0.63207175925925929</v>
      </c>
      <c r="I381" s="7" t="s">
        <v>5</v>
      </c>
      <c r="J381" s="2" t="str">
        <f t="shared" si="25"/>
        <v>Q2</v>
      </c>
      <c r="K381" s="2" t="str">
        <f t="shared" si="26"/>
        <v>Match</v>
      </c>
      <c r="L381" s="2">
        <f t="shared" si="27"/>
        <v>0.2</v>
      </c>
      <c r="M381" s="2" t="e">
        <f t="shared" si="28"/>
        <v>#N/A</v>
      </c>
      <c r="N381" s="2" t="str">
        <f t="shared" si="29"/>
        <v>Q OK dE&lt;=0.8</v>
      </c>
      <c r="O381" s="7">
        <v>17.399999999999999</v>
      </c>
      <c r="P381" s="7">
        <v>-0.2</v>
      </c>
      <c r="Q381" s="7">
        <v>-1.7</v>
      </c>
      <c r="R381" s="7">
        <v>-0.26</v>
      </c>
      <c r="S381" s="7">
        <v>0</v>
      </c>
      <c r="T381" s="7">
        <v>-0.2</v>
      </c>
      <c r="U381" s="7">
        <v>0.35</v>
      </c>
      <c r="V381" s="7">
        <v>0.05</v>
      </c>
      <c r="W381" s="7">
        <v>0.44</v>
      </c>
      <c r="X381" s="7" t="s">
        <v>8</v>
      </c>
      <c r="Y381" s="7" t="s">
        <v>9</v>
      </c>
      <c r="Z381" s="2" t="s">
        <v>718</v>
      </c>
      <c r="AA381" s="2" t="s">
        <v>721</v>
      </c>
    </row>
    <row r="382" spans="1:27" x14ac:dyDescent="0.35">
      <c r="A382" s="7" t="s">
        <v>1727</v>
      </c>
      <c r="B382" s="7" t="s">
        <v>1070</v>
      </c>
      <c r="C382" s="7" t="str">
        <f>_xlfn.XLOOKUP(B382,'[1]Sheet 1'!$A$2:$A$11107,'[1]Sheet 1'!$D$2:$D$11107,"",0)</f>
        <v>GAP</v>
      </c>
      <c r="D382" s="4" t="str">
        <f>_xlfn.XLOOKUP(A382,[3]Sheet2!$I$2:$I$1623,[3]Sheet2!$D$2:$D$1623,"",0)</f>
        <v>Q2</v>
      </c>
      <c r="E382" s="4" t="s">
        <v>1827</v>
      </c>
      <c r="F382" s="4" t="e">
        <f>_xlfn.XLOOKUP(B382,[2]Sheet2!$E$2:$E$713,[2]Sheet2!$G$2:$G$713)</f>
        <v>#N/A</v>
      </c>
      <c r="G382" s="18">
        <v>46111</v>
      </c>
      <c r="H382" s="14">
        <v>0.68765046296296295</v>
      </c>
      <c r="I382" s="7" t="s">
        <v>14</v>
      </c>
      <c r="J382" s="2" t="str">
        <f t="shared" si="25"/>
        <v>Q2</v>
      </c>
      <c r="K382" s="2" t="str">
        <f t="shared" si="26"/>
        <v>Match</v>
      </c>
      <c r="L382" s="2">
        <f t="shared" si="27"/>
        <v>0.1</v>
      </c>
      <c r="M382" s="2" t="e">
        <f t="shared" si="28"/>
        <v>#N/A</v>
      </c>
      <c r="N382" s="2" t="str">
        <f t="shared" si="29"/>
        <v>Q OK dE&lt;=0.8</v>
      </c>
      <c r="O382" s="7">
        <v>13.6</v>
      </c>
      <c r="P382" s="7">
        <v>-0.5</v>
      </c>
      <c r="Q382" s="7">
        <v>-2.7</v>
      </c>
      <c r="R382" s="7">
        <v>-0.13</v>
      </c>
      <c r="S382" s="7">
        <v>-0.1</v>
      </c>
      <c r="T382" s="20">
        <v>0</v>
      </c>
      <c r="U382" s="7">
        <v>0.1</v>
      </c>
      <c r="V382" s="7">
        <v>-0.21</v>
      </c>
      <c r="W382" s="7">
        <v>0.26</v>
      </c>
      <c r="X382" s="7" t="s">
        <v>8</v>
      </c>
      <c r="Y382" s="7" t="s">
        <v>15</v>
      </c>
      <c r="Z382" s="2" t="s">
        <v>718</v>
      </c>
      <c r="AA382" s="2" t="s">
        <v>721</v>
      </c>
    </row>
    <row r="383" spans="1:27" x14ac:dyDescent="0.35">
      <c r="A383" s="7" t="s">
        <v>1727</v>
      </c>
      <c r="B383" s="7" t="s">
        <v>1073</v>
      </c>
      <c r="C383" s="7" t="str">
        <f>_xlfn.XLOOKUP(B383,'[1]Sheet 1'!$A$2:$A$11107,'[1]Sheet 1'!$D$2:$D$11107,"",0)</f>
        <v>GAP</v>
      </c>
      <c r="D383" s="4" t="str">
        <f>_xlfn.XLOOKUP(A383,[3]Sheet2!$I$2:$I$1623,[3]Sheet2!$D$2:$D$1623,"",0)</f>
        <v>Q2</v>
      </c>
      <c r="E383" s="4" t="s">
        <v>1827</v>
      </c>
      <c r="F383" s="4" t="e">
        <f>_xlfn.XLOOKUP(B383,[2]Sheet2!$E$2:$E$713,[2]Sheet2!$G$2:$G$713)</f>
        <v>#N/A</v>
      </c>
      <c r="G383" s="18">
        <v>46111</v>
      </c>
      <c r="H383" s="14">
        <v>0.76424768518518515</v>
      </c>
      <c r="I383" s="7" t="s">
        <v>14</v>
      </c>
      <c r="J383" s="2" t="str">
        <f t="shared" si="25"/>
        <v>Q2</v>
      </c>
      <c r="K383" s="2" t="str">
        <f t="shared" si="26"/>
        <v>Match</v>
      </c>
      <c r="L383" s="2">
        <f t="shared" si="27"/>
        <v>0.14142135623730953</v>
      </c>
      <c r="M383" s="2" t="e">
        <f t="shared" si="28"/>
        <v>#N/A</v>
      </c>
      <c r="N383" s="2" t="str">
        <f t="shared" si="29"/>
        <v>Q OK dE&gt;0.8</v>
      </c>
      <c r="O383" s="7">
        <v>12.9</v>
      </c>
      <c r="P383" s="7">
        <v>-0.5</v>
      </c>
      <c r="Q383" s="7">
        <v>-2.4</v>
      </c>
      <c r="R383" s="7">
        <v>-0.81</v>
      </c>
      <c r="S383" s="7">
        <v>-0.1</v>
      </c>
      <c r="T383" s="7">
        <v>0.1</v>
      </c>
      <c r="U383" s="7">
        <v>-0.18</v>
      </c>
      <c r="V383" s="7">
        <v>-0.22</v>
      </c>
      <c r="W383" s="7">
        <v>0.86</v>
      </c>
      <c r="X383" s="7" t="s">
        <v>13</v>
      </c>
      <c r="Y383" s="7" t="s">
        <v>15</v>
      </c>
      <c r="Z383" s="2" t="s">
        <v>718</v>
      </c>
      <c r="AA383" s="2" t="s">
        <v>721</v>
      </c>
    </row>
    <row r="384" spans="1:27" x14ac:dyDescent="0.35">
      <c r="A384" s="7" t="s">
        <v>1727</v>
      </c>
      <c r="B384" s="7" t="s">
        <v>1065</v>
      </c>
      <c r="C384" s="7" t="str">
        <f>_xlfn.XLOOKUP(B384,'[1]Sheet 1'!$A$2:$A$11107,'[1]Sheet 1'!$D$2:$D$11107,"",0)</f>
        <v>GAP</v>
      </c>
      <c r="D384" s="4" t="str">
        <f>_xlfn.XLOOKUP(A384,[3]Sheet2!$I$2:$I$1623,[3]Sheet2!$D$2:$D$1623,"",0)</f>
        <v>Q2</v>
      </c>
      <c r="E384" s="4" t="s">
        <v>1827</v>
      </c>
      <c r="F384" s="4" t="e">
        <f>_xlfn.XLOOKUP(B384,[2]Sheet2!$E$2:$E$713,[2]Sheet2!$G$2:$G$713)</f>
        <v>#N/A</v>
      </c>
      <c r="G384" s="18">
        <v>46111</v>
      </c>
      <c r="H384" s="14">
        <v>0.4645023148148148</v>
      </c>
      <c r="I384" s="7" t="s">
        <v>14</v>
      </c>
      <c r="J384" s="2" t="str">
        <f t="shared" si="25"/>
        <v>Q2</v>
      </c>
      <c r="K384" s="2" t="str">
        <f t="shared" si="26"/>
        <v>Match</v>
      </c>
      <c r="L384" s="2">
        <f t="shared" si="27"/>
        <v>0.1</v>
      </c>
      <c r="M384" s="2" t="e">
        <f t="shared" si="28"/>
        <v>#N/A</v>
      </c>
      <c r="N384" s="2" t="str">
        <f t="shared" si="29"/>
        <v>Q OK dE&lt;=0.8</v>
      </c>
      <c r="O384" s="7">
        <v>13.4</v>
      </c>
      <c r="P384" s="7">
        <v>-0.5</v>
      </c>
      <c r="Q384" s="7">
        <v>-2.7</v>
      </c>
      <c r="R384" s="7">
        <v>-0.34</v>
      </c>
      <c r="S384" s="7">
        <v>-0.1</v>
      </c>
      <c r="T384" s="20">
        <v>0</v>
      </c>
      <c r="U384" s="7">
        <v>0.08</v>
      </c>
      <c r="V384" s="7">
        <v>-0.21</v>
      </c>
      <c r="W384" s="7">
        <v>0.41</v>
      </c>
      <c r="X384" s="7" t="s">
        <v>8</v>
      </c>
      <c r="Y384" s="7" t="s">
        <v>15</v>
      </c>
      <c r="Z384" s="2" t="s">
        <v>718</v>
      </c>
      <c r="AA384" s="2" t="s">
        <v>721</v>
      </c>
    </row>
    <row r="385" spans="1:27" x14ac:dyDescent="0.35">
      <c r="A385" s="7" t="s">
        <v>1709</v>
      </c>
      <c r="B385" s="7" t="s">
        <v>1071</v>
      </c>
      <c r="C385" s="7" t="str">
        <f>_xlfn.XLOOKUP(B385,'[1]Sheet 1'!$A$2:$A$11107,'[1]Sheet 1'!$D$2:$D$11107,"",0)</f>
        <v>GAP</v>
      </c>
      <c r="D385" s="4" t="str">
        <f>_xlfn.XLOOKUP(A385,[3]Sheet2!$I$2:$I$1623,[3]Sheet2!$D$2:$D$1623,"",0)</f>
        <v>Q2</v>
      </c>
      <c r="E385" s="4" t="s">
        <v>1827</v>
      </c>
      <c r="F385" s="4">
        <f>_xlfn.XLOOKUP(B385,[2]Sheet2!$E$2:$E$713,[2]Sheet2!$G$2:$G$713)</f>
        <v>0.8</v>
      </c>
      <c r="G385" s="18">
        <v>46111</v>
      </c>
      <c r="H385" s="14">
        <v>0.73484953703703704</v>
      </c>
      <c r="I385" s="7" t="s">
        <v>14</v>
      </c>
      <c r="J385" s="2" t="str">
        <f t="shared" si="25"/>
        <v>Q3</v>
      </c>
      <c r="K385" s="2" t="str">
        <f t="shared" si="26"/>
        <v>Not Match</v>
      </c>
      <c r="L385" s="2">
        <f t="shared" si="27"/>
        <v>0.28284271247461906</v>
      </c>
      <c r="M385" s="2" t="str">
        <f t="shared" si="28"/>
        <v>Within Range</v>
      </c>
      <c r="N385" s="2" t="str">
        <f t="shared" si="29"/>
        <v>Q NOT OK dE&lt;=0.8</v>
      </c>
      <c r="O385" s="7">
        <v>12.8</v>
      </c>
      <c r="P385" s="7">
        <v>-0.4</v>
      </c>
      <c r="Q385" s="7">
        <v>-3.1</v>
      </c>
      <c r="R385" s="7">
        <v>-0.45</v>
      </c>
      <c r="S385" s="7">
        <v>-0.2</v>
      </c>
      <c r="T385" s="7">
        <v>-0.2</v>
      </c>
      <c r="U385" s="7">
        <v>0.3</v>
      </c>
      <c r="V385" s="7">
        <v>-0.24</v>
      </c>
      <c r="W385" s="7">
        <v>0.59</v>
      </c>
      <c r="X385" s="7" t="s">
        <v>8</v>
      </c>
      <c r="Y385" s="7" t="s">
        <v>15</v>
      </c>
      <c r="Z385" s="2" t="s">
        <v>718</v>
      </c>
      <c r="AA385" s="2" t="s">
        <v>721</v>
      </c>
    </row>
    <row r="386" spans="1:27" x14ac:dyDescent="0.35">
      <c r="A386" s="7" t="s">
        <v>1516</v>
      </c>
      <c r="B386" s="7" t="s">
        <v>1066</v>
      </c>
      <c r="C386" s="7" t="str">
        <f>_xlfn.XLOOKUP(B386,'[1]Sheet 1'!$A$2:$A$11107,'[1]Sheet 1'!$D$2:$D$11107,"",0)</f>
        <v>LBI</v>
      </c>
      <c r="D386" s="4" t="str">
        <f>_xlfn.XLOOKUP(A386,[3]Sheet2!$I$2:$I$1623,[3]Sheet2!$D$2:$D$1623,"",0)</f>
        <v>Q2</v>
      </c>
      <c r="E386" s="4" t="s">
        <v>1828</v>
      </c>
      <c r="F386" s="4" t="e">
        <f>_xlfn.XLOOKUP(B386,[2]Sheet2!$E$2:$E$713,[2]Sheet2!$G$2:$G$713)</f>
        <v>#N/A</v>
      </c>
      <c r="G386" s="18">
        <v>46111</v>
      </c>
      <c r="H386" s="14">
        <v>0.59354166666666663</v>
      </c>
      <c r="I386" s="7" t="s">
        <v>14</v>
      </c>
      <c r="J386" s="2" t="str">
        <f t="shared" ref="J386:J449" si="30">IF(OR(S386=0,T386=0),D386,IF(AND(S386&gt;0,T386&gt;0),"Q1",IF(AND(S386&lt;0,T386&gt;0),"Q2",IF(AND(S386&lt;0,T386&lt;0),"Q3",IF(AND(S386&gt;0,T386&lt;0),"Q4","")))))</f>
        <v>Q2</v>
      </c>
      <c r="K386" s="2" t="str">
        <f t="shared" ref="K386:K449" si="31">IF(J386=D386,"Match",IF(AND(J386=0,D386="Match"),"da and db 0",IF(D386=0,"Not Found","Not Match")))</f>
        <v>Match</v>
      </c>
      <c r="L386" s="2">
        <f t="shared" ref="L386:L449" si="32">SQRT(S386^2+T386^2)</f>
        <v>0.1</v>
      </c>
      <c r="M386" s="2" t="e">
        <f t="shared" ref="M386:M449" si="33">IF(L386&lt;=F386,"Within Range","Over Range")</f>
        <v>#N/A</v>
      </c>
      <c r="N386" s="2" t="str">
        <f t="shared" ref="N386:N449" si="34">IF(D386=0,"Quadrant not assigned",IF(AND(K386="Match",W386&lt;=0.8),"Q OK dE&lt;=0.8",IF(AND(K386="Match",W386&gt;0.8),"Q OK dE&gt;0.8",IF(AND(K386="Not Match",W386&lt;=0.8),"Q NOT OK dE&lt;=0.8","Q NOT OK dE&gt;0.8"))))</f>
        <v>Q OK dE&gt;0.8</v>
      </c>
      <c r="O386" s="7">
        <v>18.899999999999999</v>
      </c>
      <c r="P386" s="7">
        <v>-1.5</v>
      </c>
      <c r="Q386" s="7">
        <v>-2.7</v>
      </c>
      <c r="R386" s="7">
        <v>0.89</v>
      </c>
      <c r="S386" s="7">
        <v>0</v>
      </c>
      <c r="T386" s="7">
        <v>-0.1</v>
      </c>
      <c r="U386" s="7">
        <v>0.09</v>
      </c>
      <c r="V386" s="7">
        <v>0.09</v>
      </c>
      <c r="W386" s="7">
        <v>0.9</v>
      </c>
      <c r="X386" s="7" t="s">
        <v>13</v>
      </c>
      <c r="Y386" s="7" t="s">
        <v>9</v>
      </c>
      <c r="Z386" s="2" t="s">
        <v>718</v>
      </c>
      <c r="AA386" s="2" t="s">
        <v>721</v>
      </c>
    </row>
    <row r="387" spans="1:27" x14ac:dyDescent="0.35">
      <c r="A387" s="7" t="s">
        <v>1736</v>
      </c>
      <c r="B387" s="7" t="s">
        <v>1074</v>
      </c>
      <c r="C387" s="7" t="str">
        <f>_xlfn.XLOOKUP(B387,'[1]Sheet 1'!$A$2:$A$11107,'[1]Sheet 1'!$D$2:$D$11107,"",0)</f>
        <v/>
      </c>
      <c r="D387" s="4" t="str">
        <f>_xlfn.XLOOKUP(A387,[3]Sheet2!$I$2:$I$1623,[3]Sheet2!$D$2:$D$1623,"",0)</f>
        <v>Q3</v>
      </c>
      <c r="E387" s="4" t="s">
        <v>1828</v>
      </c>
      <c r="F387" s="4" t="e">
        <f>_xlfn.XLOOKUP(B387,[2]Sheet2!$E$2:$E$713,[2]Sheet2!$G$2:$G$713)</f>
        <v>#N/A</v>
      </c>
      <c r="G387" s="18">
        <v>46111</v>
      </c>
      <c r="H387" s="14">
        <v>0.77201388888888889</v>
      </c>
      <c r="I387" s="7" t="s">
        <v>5</v>
      </c>
      <c r="J387" s="2" t="str">
        <f t="shared" si="30"/>
        <v>Q3</v>
      </c>
      <c r="K387" s="2" t="str">
        <f t="shared" si="31"/>
        <v>Match</v>
      </c>
      <c r="L387" s="2">
        <f t="shared" si="32"/>
        <v>0.2</v>
      </c>
      <c r="M387" s="2" t="e">
        <f t="shared" si="33"/>
        <v>#N/A</v>
      </c>
      <c r="N387" s="2" t="str">
        <f t="shared" si="34"/>
        <v>Q OK dE&lt;=0.8</v>
      </c>
      <c r="O387" s="7">
        <v>22.5</v>
      </c>
      <c r="P387" s="7">
        <v>4.5</v>
      </c>
      <c r="Q387" s="7">
        <v>4.5</v>
      </c>
      <c r="R387" s="7">
        <v>-0.1</v>
      </c>
      <c r="S387" s="7">
        <v>0</v>
      </c>
      <c r="T387" s="7">
        <v>-0.2</v>
      </c>
      <c r="U387" s="7">
        <v>-0.12</v>
      </c>
      <c r="V387" s="7">
        <v>-0.35</v>
      </c>
      <c r="W387" s="7">
        <v>0.39</v>
      </c>
      <c r="X387" s="7" t="s">
        <v>8</v>
      </c>
      <c r="Y387" s="7" t="s">
        <v>9</v>
      </c>
      <c r="Z387" s="2" t="s">
        <v>718</v>
      </c>
      <c r="AA387" s="2" t="s">
        <v>721</v>
      </c>
    </row>
    <row r="388" spans="1:27" x14ac:dyDescent="0.35">
      <c r="A388" s="7" t="s">
        <v>1516</v>
      </c>
      <c r="B388" s="7" t="s">
        <v>1068</v>
      </c>
      <c r="C388" s="7" t="str">
        <f>_xlfn.XLOOKUP(B388,'[1]Sheet 1'!$A$2:$A$11107,'[1]Sheet 1'!$D$2:$D$11107,"",0)</f>
        <v>LBI</v>
      </c>
      <c r="D388" s="4" t="str">
        <f>_xlfn.XLOOKUP(A388,[3]Sheet2!$I$2:$I$1623,[3]Sheet2!$D$2:$D$1623,"",0)</f>
        <v>Q2</v>
      </c>
      <c r="E388" s="4" t="s">
        <v>1828</v>
      </c>
      <c r="F388" s="4" t="e">
        <f>_xlfn.XLOOKUP(B388,[2]Sheet2!$E$2:$E$713,[2]Sheet2!$G$2:$G$713)</f>
        <v>#N/A</v>
      </c>
      <c r="G388" s="18">
        <v>46111</v>
      </c>
      <c r="H388" s="14">
        <v>0.63045138888888885</v>
      </c>
      <c r="I388" s="7" t="s">
        <v>14</v>
      </c>
      <c r="J388" s="2" t="str">
        <f t="shared" si="30"/>
        <v>Q1</v>
      </c>
      <c r="K388" s="2" t="str">
        <f t="shared" si="31"/>
        <v>Not Match</v>
      </c>
      <c r="L388" s="2">
        <f t="shared" si="32"/>
        <v>0.22360679774997899</v>
      </c>
      <c r="M388" s="2" t="e">
        <f t="shared" si="33"/>
        <v>#N/A</v>
      </c>
      <c r="N388" s="2" t="str">
        <f t="shared" si="34"/>
        <v>Q NOT OK dE&lt;=0.8</v>
      </c>
      <c r="O388" s="7">
        <v>17.3</v>
      </c>
      <c r="P388" s="7">
        <v>-1.3</v>
      </c>
      <c r="Q388" s="7">
        <v>-2.5</v>
      </c>
      <c r="R388" s="7">
        <v>-0.56000000000000005</v>
      </c>
      <c r="S388" s="7">
        <v>0.2</v>
      </c>
      <c r="T388" s="7">
        <v>0.1</v>
      </c>
      <c r="U388" s="7">
        <v>-0.28000000000000003</v>
      </c>
      <c r="V388" s="7">
        <v>0.14000000000000001</v>
      </c>
      <c r="W388" s="7">
        <v>0.64</v>
      </c>
      <c r="X388" s="7" t="s">
        <v>8</v>
      </c>
      <c r="Y388" s="7" t="s">
        <v>9</v>
      </c>
      <c r="Z388" s="2" t="s">
        <v>718</v>
      </c>
      <c r="AA388" s="2" t="s">
        <v>721</v>
      </c>
    </row>
    <row r="389" spans="1:27" x14ac:dyDescent="0.35">
      <c r="A389" s="7" t="s">
        <v>1521</v>
      </c>
      <c r="B389" s="7" t="s">
        <v>1075</v>
      </c>
      <c r="C389" s="7" t="str">
        <f>_xlfn.XLOOKUP(B389,'[1]Sheet 1'!$A$2:$A$11107,'[1]Sheet 1'!$D$2:$D$11107,"",0)</f>
        <v>VSS</v>
      </c>
      <c r="D389" s="4" t="str">
        <f>_xlfn.XLOOKUP(A389,[3]Sheet2!$I$2:$I$1623,[3]Sheet2!$D$2:$D$1623,"",0)</f>
        <v>Q3</v>
      </c>
      <c r="E389" s="4" t="s">
        <v>1828</v>
      </c>
      <c r="F389" s="4" t="e">
        <f>_xlfn.XLOOKUP(B389,[2]Sheet2!$E$2:$E$713,[2]Sheet2!$G$2:$G$713)</f>
        <v>#N/A</v>
      </c>
      <c r="G389" s="18">
        <v>46111</v>
      </c>
      <c r="H389" s="14">
        <v>0.77351851851851849</v>
      </c>
      <c r="I389" s="7" t="s">
        <v>10</v>
      </c>
      <c r="J389" s="2" t="str">
        <f t="shared" si="30"/>
        <v>Q3</v>
      </c>
      <c r="K389" s="2" t="str">
        <f t="shared" si="31"/>
        <v>Match</v>
      </c>
      <c r="L389" s="2">
        <f t="shared" si="32"/>
        <v>0.2</v>
      </c>
      <c r="M389" s="2" t="e">
        <f t="shared" si="33"/>
        <v>#N/A</v>
      </c>
      <c r="N389" s="2" t="str">
        <f t="shared" si="34"/>
        <v>Q OK dE&gt;0.8</v>
      </c>
      <c r="O389" s="7">
        <v>20.3</v>
      </c>
      <c r="P389" s="7">
        <v>1.1000000000000001</v>
      </c>
      <c r="Q389" s="7">
        <v>-6.9</v>
      </c>
      <c r="R389" s="7">
        <v>-0.9</v>
      </c>
      <c r="S389" s="7">
        <v>0</v>
      </c>
      <c r="T389" s="7">
        <v>0.2</v>
      </c>
      <c r="U389" s="7">
        <v>-0.26</v>
      </c>
      <c r="V389" s="7">
        <v>0.05</v>
      </c>
      <c r="W389" s="7">
        <v>0.93</v>
      </c>
      <c r="X389" s="7" t="s">
        <v>13</v>
      </c>
      <c r="Y389" s="7" t="s">
        <v>9</v>
      </c>
      <c r="Z389" s="2" t="s">
        <v>718</v>
      </c>
      <c r="AA389" s="2" t="s">
        <v>721</v>
      </c>
    </row>
    <row r="390" spans="1:27" x14ac:dyDescent="0.35">
      <c r="A390" s="7" t="s">
        <v>1552</v>
      </c>
      <c r="B390" s="7" t="s">
        <v>1072</v>
      </c>
      <c r="C390" s="7" t="str">
        <f>_xlfn.XLOOKUP(B390,'[1]Sheet 1'!$A$2:$A$11107,'[1]Sheet 1'!$D$2:$D$11107,"",0)</f>
        <v>NIK</v>
      </c>
      <c r="D390" s="4" t="str">
        <f>_xlfn.XLOOKUP(A390,[3]Sheet2!$I$2:$I$1623,[3]Sheet2!$D$2:$D$1623,"",0)</f>
        <v>Q1</v>
      </c>
      <c r="E390" s="4" t="s">
        <v>1828</v>
      </c>
      <c r="F390" s="4" t="e">
        <f>_xlfn.XLOOKUP(B390,[2]Sheet2!$E$2:$E$713,[2]Sheet2!$G$2:$G$713)</f>
        <v>#N/A</v>
      </c>
      <c r="G390" s="18">
        <v>46111</v>
      </c>
      <c r="H390" s="14">
        <v>0.73701388888888886</v>
      </c>
      <c r="I390" s="7" t="s">
        <v>4</v>
      </c>
      <c r="J390" s="2" t="str">
        <f t="shared" si="30"/>
        <v>Q1</v>
      </c>
      <c r="K390" s="2" t="str">
        <f t="shared" si="31"/>
        <v>Match</v>
      </c>
      <c r="L390" s="2">
        <f t="shared" si="32"/>
        <v>0.1</v>
      </c>
      <c r="M390" s="2" t="e">
        <f t="shared" si="33"/>
        <v>#N/A</v>
      </c>
      <c r="N390" s="2" t="str">
        <f t="shared" si="34"/>
        <v>Q OK dE&gt;0.8</v>
      </c>
      <c r="O390" s="7">
        <v>14</v>
      </c>
      <c r="P390" s="7">
        <v>-1.1000000000000001</v>
      </c>
      <c r="Q390" s="7">
        <v>-1.3</v>
      </c>
      <c r="R390" s="7">
        <v>-1.22</v>
      </c>
      <c r="S390" s="7">
        <v>0.1</v>
      </c>
      <c r="T390" s="20">
        <v>0</v>
      </c>
      <c r="U390" s="7">
        <v>-0.13</v>
      </c>
      <c r="V390" s="7">
        <v>0.1</v>
      </c>
      <c r="W390" s="7">
        <v>1.23</v>
      </c>
      <c r="X390" s="7" t="s">
        <v>6</v>
      </c>
      <c r="Y390" s="7" t="s">
        <v>7</v>
      </c>
      <c r="Z390" s="2" t="s">
        <v>718</v>
      </c>
      <c r="AA390" s="2" t="s">
        <v>721</v>
      </c>
    </row>
    <row r="391" spans="1:27" x14ac:dyDescent="0.35">
      <c r="A391" s="7" t="s">
        <v>1596</v>
      </c>
      <c r="B391" s="7" t="s">
        <v>1067</v>
      </c>
      <c r="C391" s="7" t="str">
        <f>_xlfn.XLOOKUP(B391,'[1]Sheet 1'!$A$2:$A$11107,'[1]Sheet 1'!$D$2:$D$11107,"",0)</f>
        <v>NIK</v>
      </c>
      <c r="D391" s="4" t="str">
        <f>_xlfn.XLOOKUP(A391,[3]Sheet2!$I$2:$I$1623,[3]Sheet2!$D$2:$D$1623,"",0)</f>
        <v>Q4</v>
      </c>
      <c r="E391" s="4" t="s">
        <v>1828</v>
      </c>
      <c r="F391" s="4" t="e">
        <f>_xlfn.XLOOKUP(B391,[2]Sheet2!$E$2:$E$713,[2]Sheet2!$G$2:$G$713)</f>
        <v>#N/A</v>
      </c>
      <c r="G391" s="18">
        <v>46111</v>
      </c>
      <c r="H391" s="14">
        <v>0.6018634259259259</v>
      </c>
      <c r="I391" s="7" t="s">
        <v>4</v>
      </c>
      <c r="J391" s="2" t="str">
        <f t="shared" si="30"/>
        <v>Q4</v>
      </c>
      <c r="K391" s="2" t="str">
        <f t="shared" si="31"/>
        <v>Match</v>
      </c>
      <c r="L391" s="2">
        <f t="shared" si="32"/>
        <v>0.31622776601683794</v>
      </c>
      <c r="M391" s="2" t="e">
        <f t="shared" si="33"/>
        <v>#N/A</v>
      </c>
      <c r="N391" s="2" t="str">
        <f t="shared" si="34"/>
        <v>Q OK dE&lt;=0.8</v>
      </c>
      <c r="O391" s="7">
        <v>22.1</v>
      </c>
      <c r="P391" s="7">
        <v>0.1</v>
      </c>
      <c r="Q391" s="7">
        <v>-9.4</v>
      </c>
      <c r="R391" s="7">
        <v>-0.64</v>
      </c>
      <c r="S391" s="7">
        <v>0.1</v>
      </c>
      <c r="T391" s="7">
        <v>-0.3</v>
      </c>
      <c r="U391" s="7">
        <v>0.26</v>
      </c>
      <c r="V391" s="7">
        <v>0.25</v>
      </c>
      <c r="W391" s="7">
        <v>0.74</v>
      </c>
      <c r="X391" s="7" t="s">
        <v>8</v>
      </c>
      <c r="Y391" s="7" t="s">
        <v>9</v>
      </c>
      <c r="Z391" s="2" t="s">
        <v>718</v>
      </c>
      <c r="AA391" s="2" t="s">
        <v>721</v>
      </c>
    </row>
    <row r="392" spans="1:27" x14ac:dyDescent="0.35">
      <c r="A392" s="7" t="s">
        <v>1681</v>
      </c>
      <c r="B392" s="7" t="s">
        <v>1076</v>
      </c>
      <c r="C392" s="7" t="str">
        <f>_xlfn.XLOOKUP(B392,'[1]Sheet 1'!$A$2:$A$11107,'[1]Sheet 1'!$D$2:$D$11107,"",0)</f>
        <v>CK</v>
      </c>
      <c r="D392" s="4" t="str">
        <f>_xlfn.XLOOKUP(A392,[3]Sheet2!$I$2:$I$1623,[3]Sheet2!$D$2:$D$1623,"",0)</f>
        <v>Q4</v>
      </c>
      <c r="E392" s="4" t="s">
        <v>1828</v>
      </c>
      <c r="F392" s="4" t="e">
        <f>_xlfn.XLOOKUP(B392,[2]Sheet2!$E$2:$E$713,[2]Sheet2!$G$2:$G$713)</f>
        <v>#N/A</v>
      </c>
      <c r="G392" s="18">
        <v>46111</v>
      </c>
      <c r="H392" s="14">
        <v>0.7807291666666667</v>
      </c>
      <c r="I392" s="7" t="s">
        <v>11</v>
      </c>
      <c r="J392" s="2" t="str">
        <f t="shared" si="30"/>
        <v>Q4</v>
      </c>
      <c r="K392" s="2" t="str">
        <f t="shared" si="31"/>
        <v>Match</v>
      </c>
      <c r="L392" s="2">
        <f t="shared" si="32"/>
        <v>0.70710678118654746</v>
      </c>
      <c r="M392" s="2" t="e">
        <f t="shared" si="33"/>
        <v>#N/A</v>
      </c>
      <c r="N392" s="2" t="str">
        <f t="shared" si="34"/>
        <v>Q OK dE&gt;0.8</v>
      </c>
      <c r="O392" s="7">
        <v>20.7</v>
      </c>
      <c r="P392" s="7">
        <v>-0.4</v>
      </c>
      <c r="Q392" s="7">
        <v>-9.4</v>
      </c>
      <c r="R392" s="7">
        <v>1.0900000000000001</v>
      </c>
      <c r="S392" s="7">
        <v>0.1</v>
      </c>
      <c r="T392" s="7">
        <v>-0.7</v>
      </c>
      <c r="U392" s="7">
        <v>0.61</v>
      </c>
      <c r="V392" s="7">
        <v>0.23</v>
      </c>
      <c r="W392" s="7">
        <v>1.27</v>
      </c>
      <c r="X392" s="7" t="s">
        <v>6</v>
      </c>
      <c r="Y392" s="7" t="s">
        <v>9</v>
      </c>
      <c r="Z392" s="2" t="s">
        <v>718</v>
      </c>
      <c r="AA392" s="2" t="s">
        <v>721</v>
      </c>
    </row>
    <row r="393" spans="1:27" x14ac:dyDescent="0.35">
      <c r="A393" s="7" t="s">
        <v>1593</v>
      </c>
      <c r="B393" s="7" t="s">
        <v>756</v>
      </c>
      <c r="C393" s="7" t="str">
        <f>_xlfn.XLOOKUP(B393,'[1]Sheet 1'!$A$2:$A$11107,'[1]Sheet 1'!$D$2:$D$11107,"",0)</f>
        <v>LULU</v>
      </c>
      <c r="D393" s="4" t="str">
        <f>_xlfn.XLOOKUP(A393,[3]Sheet2!$I$2:$I$1623,[3]Sheet2!$D$2:$D$1623,"",0)</f>
        <v>Q3</v>
      </c>
      <c r="E393" s="4" t="s">
        <v>1828</v>
      </c>
      <c r="F393" s="4" t="e">
        <f>_xlfn.XLOOKUP(B393,[2]Sheet2!$E$2:$E$713,[2]Sheet2!$G$2:$G$713)</f>
        <v>#N/A</v>
      </c>
      <c r="G393" s="18">
        <v>46112</v>
      </c>
      <c r="H393" s="14">
        <v>0.27803240740740742</v>
      </c>
      <c r="I393" s="7" t="s">
        <v>4</v>
      </c>
      <c r="J393" s="2" t="str">
        <f t="shared" si="30"/>
        <v>Q4</v>
      </c>
      <c r="K393" s="2" t="str">
        <f t="shared" si="31"/>
        <v>Not Match</v>
      </c>
      <c r="L393" s="2">
        <f t="shared" si="32"/>
        <v>0.14142135623730953</v>
      </c>
      <c r="M393" s="2" t="e">
        <f t="shared" si="33"/>
        <v>#N/A</v>
      </c>
      <c r="N393" s="2" t="str">
        <f t="shared" si="34"/>
        <v>Q NOT OK dE&gt;0.8</v>
      </c>
      <c r="O393" s="7">
        <v>23</v>
      </c>
      <c r="P393" s="7">
        <v>2.9</v>
      </c>
      <c r="Q393" s="7">
        <v>2.1</v>
      </c>
      <c r="R393" s="7">
        <v>-0.78</v>
      </c>
      <c r="S393" s="7">
        <v>0.1</v>
      </c>
      <c r="T393" s="7">
        <v>-0.1</v>
      </c>
      <c r="U393" s="7">
        <v>0.08</v>
      </c>
      <c r="V393" s="7">
        <v>-0.28000000000000003</v>
      </c>
      <c r="W393" s="7">
        <v>0.83</v>
      </c>
      <c r="X393" s="7" t="s">
        <v>13</v>
      </c>
      <c r="Y393" s="7" t="s">
        <v>7</v>
      </c>
      <c r="Z393" s="2" t="s">
        <v>718</v>
      </c>
      <c r="AA393" s="2" t="s">
        <v>721</v>
      </c>
    </row>
    <row r="394" spans="1:27" x14ac:dyDescent="0.35">
      <c r="A394" s="7" t="s">
        <v>1723</v>
      </c>
      <c r="B394" s="7" t="s">
        <v>1094</v>
      </c>
      <c r="C394" s="7" t="str">
        <f>_xlfn.XLOOKUP(B394,'[1]Sheet 1'!$A$2:$A$11107,'[1]Sheet 1'!$D$2:$D$11107,"",0)</f>
        <v>GAP</v>
      </c>
      <c r="D394" s="4" t="str">
        <f>_xlfn.XLOOKUP(A394,[3]Sheet2!$I$2:$I$1623,[3]Sheet2!$D$2:$D$1623,"",0)</f>
        <v>Q2</v>
      </c>
      <c r="E394" s="4" t="s">
        <v>1828</v>
      </c>
      <c r="F394" s="4" t="e">
        <f>_xlfn.XLOOKUP(B394,[2]Sheet2!$E$2:$E$713,[2]Sheet2!$G$2:$G$713)</f>
        <v>#N/A</v>
      </c>
      <c r="G394" s="18">
        <v>46112</v>
      </c>
      <c r="H394" s="14">
        <v>0.62791666666666668</v>
      </c>
      <c r="I394" s="7" t="s">
        <v>14</v>
      </c>
      <c r="J394" s="2" t="str">
        <f t="shared" si="30"/>
        <v>Q3</v>
      </c>
      <c r="K394" s="2" t="str">
        <f t="shared" si="31"/>
        <v>Not Match</v>
      </c>
      <c r="L394" s="2">
        <f t="shared" si="32"/>
        <v>0.36055512754639896</v>
      </c>
      <c r="M394" s="2" t="e">
        <f t="shared" si="33"/>
        <v>#N/A</v>
      </c>
      <c r="N394" s="2" t="str">
        <f t="shared" si="34"/>
        <v>Q NOT OK dE&lt;=0.8</v>
      </c>
      <c r="O394" s="7">
        <v>14.9</v>
      </c>
      <c r="P394" s="7">
        <v>-0.5</v>
      </c>
      <c r="Q394" s="7">
        <v>-2.5</v>
      </c>
      <c r="R394" s="7">
        <v>0.47</v>
      </c>
      <c r="S394" s="7">
        <v>-0.2</v>
      </c>
      <c r="T394" s="7">
        <v>-0.3</v>
      </c>
      <c r="U394" s="7">
        <v>0.51</v>
      </c>
      <c r="V394" s="7">
        <v>-0.25</v>
      </c>
      <c r="W394" s="7">
        <v>0.74</v>
      </c>
      <c r="X394" s="7" t="s">
        <v>8</v>
      </c>
      <c r="Y394" s="7" t="s">
        <v>15</v>
      </c>
      <c r="Z394" s="2" t="s">
        <v>718</v>
      </c>
      <c r="AA394" s="2" t="s">
        <v>721</v>
      </c>
    </row>
    <row r="395" spans="1:27" x14ac:dyDescent="0.35">
      <c r="A395" s="7" t="s">
        <v>1586</v>
      </c>
      <c r="B395" s="7" t="s">
        <v>1077</v>
      </c>
      <c r="C395" s="7" t="str">
        <f>_xlfn.XLOOKUP(B395,'[1]Sheet 1'!$A$2:$A$11107,'[1]Sheet 1'!$D$2:$D$11107,"",0)</f>
        <v>INT1</v>
      </c>
      <c r="D395" s="4" t="str">
        <f>_xlfn.XLOOKUP(A395,[3]Sheet2!$I$2:$I$1623,[3]Sheet2!$D$2:$D$1623,"",0)</f>
        <v>Q2</v>
      </c>
      <c r="E395" s="4" t="s">
        <v>1828</v>
      </c>
      <c r="F395" s="4" t="e">
        <f>_xlfn.XLOOKUP(B395,[2]Sheet2!$E$2:$E$713,[2]Sheet2!$G$2:$G$713)</f>
        <v>#N/A</v>
      </c>
      <c r="G395" s="18">
        <v>46112</v>
      </c>
      <c r="H395" s="14">
        <v>1.0648148148148148E-2</v>
      </c>
      <c r="I395" s="7" t="s">
        <v>4</v>
      </c>
      <c r="J395" s="2" t="str">
        <f t="shared" si="30"/>
        <v>Q2</v>
      </c>
      <c r="K395" s="2" t="str">
        <f t="shared" si="31"/>
        <v>Match</v>
      </c>
      <c r="L395" s="2">
        <f t="shared" si="32"/>
        <v>0</v>
      </c>
      <c r="M395" s="2" t="e">
        <f t="shared" si="33"/>
        <v>#N/A</v>
      </c>
      <c r="N395" s="2" t="str">
        <f t="shared" si="34"/>
        <v>Q OK dE&lt;=0.8</v>
      </c>
      <c r="O395" s="7">
        <v>17.8</v>
      </c>
      <c r="P395" s="7">
        <v>0.1</v>
      </c>
      <c r="Q395" s="7">
        <v>-1.1000000000000001</v>
      </c>
      <c r="R395" s="7">
        <v>-0.12</v>
      </c>
      <c r="S395" s="7">
        <v>0</v>
      </c>
      <c r="T395" s="20">
        <v>0</v>
      </c>
      <c r="U395" s="7">
        <v>7.0000000000000007E-2</v>
      </c>
      <c r="V395" s="7">
        <v>-0.09</v>
      </c>
      <c r="W395" s="7">
        <v>0.17</v>
      </c>
      <c r="X395" s="7" t="s">
        <v>8</v>
      </c>
      <c r="Y395" s="7" t="s">
        <v>9</v>
      </c>
      <c r="Z395" s="2" t="s">
        <v>718</v>
      </c>
      <c r="AA395" s="2" t="s">
        <v>721</v>
      </c>
    </row>
    <row r="396" spans="1:27" x14ac:dyDescent="0.35">
      <c r="A396" s="7" t="s">
        <v>1509</v>
      </c>
      <c r="B396" s="7" t="s">
        <v>1096</v>
      </c>
      <c r="C396" s="7" t="str">
        <f>_xlfn.XLOOKUP(B396,'[1]Sheet 1'!$A$2:$A$11107,'[1]Sheet 1'!$D$2:$D$11107,"",0)</f>
        <v>LBI</v>
      </c>
      <c r="D396" s="4" t="str">
        <f>_xlfn.XLOOKUP(A396,[3]Sheet2!$I$2:$I$1623,[3]Sheet2!$D$2:$D$1623,"",0)</f>
        <v>Q2</v>
      </c>
      <c r="E396" s="4" t="s">
        <v>1828</v>
      </c>
      <c r="F396" s="4" t="e">
        <f>_xlfn.XLOOKUP(B396,[2]Sheet2!$E$2:$E$713,[2]Sheet2!$G$2:$G$713)</f>
        <v>#N/A</v>
      </c>
      <c r="G396" s="18">
        <v>46112</v>
      </c>
      <c r="H396" s="14">
        <v>0.72179398148148144</v>
      </c>
      <c r="I396" s="7" t="s">
        <v>14</v>
      </c>
      <c r="J396" s="2" t="str">
        <f t="shared" si="30"/>
        <v>Q1</v>
      </c>
      <c r="K396" s="2" t="str">
        <f t="shared" si="31"/>
        <v>Not Match</v>
      </c>
      <c r="L396" s="2">
        <f t="shared" si="32"/>
        <v>0.14142135623730953</v>
      </c>
      <c r="M396" s="2" t="e">
        <f t="shared" si="33"/>
        <v>#N/A</v>
      </c>
      <c r="N396" s="2" t="str">
        <f t="shared" si="34"/>
        <v>Q NOT OK dE&lt;=0.8</v>
      </c>
      <c r="O396" s="7">
        <v>15.7</v>
      </c>
      <c r="P396" s="7">
        <v>-0.7</v>
      </c>
      <c r="Q396" s="7">
        <v>-3</v>
      </c>
      <c r="R396" s="7">
        <v>-0.68</v>
      </c>
      <c r="S396" s="7">
        <v>0.1</v>
      </c>
      <c r="T396" s="7">
        <v>0.1</v>
      </c>
      <c r="U396" s="7">
        <v>-0.21</v>
      </c>
      <c r="V396" s="7">
        <v>0.14000000000000001</v>
      </c>
      <c r="W396" s="7">
        <v>0.73</v>
      </c>
      <c r="X396" s="7" t="s">
        <v>8</v>
      </c>
      <c r="Y396" s="7" t="s">
        <v>9</v>
      </c>
      <c r="Z396" s="2" t="s">
        <v>718</v>
      </c>
      <c r="AA396" s="2" t="s">
        <v>721</v>
      </c>
    </row>
    <row r="397" spans="1:27" x14ac:dyDescent="0.35">
      <c r="A397" s="7" t="s">
        <v>1602</v>
      </c>
      <c r="B397" s="7" t="s">
        <v>1102</v>
      </c>
      <c r="C397" s="7" t="str">
        <f>_xlfn.XLOOKUP(B397,'[1]Sheet 1'!$A$2:$A$11107,'[1]Sheet 1'!$D$2:$D$11107,"",0)</f>
        <v>M&amp;S</v>
      </c>
      <c r="D397" s="4" t="str">
        <f>_xlfn.XLOOKUP(A397,[3]Sheet2!$I$2:$I$1623,[3]Sheet2!$D$2:$D$1623,"",0)</f>
        <v>Q4</v>
      </c>
      <c r="E397" s="4" t="s">
        <v>1827</v>
      </c>
      <c r="F397" s="4" t="e">
        <f>_xlfn.XLOOKUP(B397,[2]Sheet2!$E$2:$E$713,[2]Sheet2!$G$2:$G$713)</f>
        <v>#N/A</v>
      </c>
      <c r="G397" s="18">
        <v>46112</v>
      </c>
      <c r="H397" s="14">
        <v>0.87160879629629628</v>
      </c>
      <c r="I397" s="7" t="s">
        <v>4</v>
      </c>
      <c r="J397" s="2" t="str">
        <f t="shared" si="30"/>
        <v>Q1</v>
      </c>
      <c r="K397" s="2" t="str">
        <f t="shared" si="31"/>
        <v>Not Match</v>
      </c>
      <c r="L397" s="2">
        <f t="shared" si="32"/>
        <v>0.22360679774997899</v>
      </c>
      <c r="M397" s="2" t="e">
        <f t="shared" si="33"/>
        <v>#N/A</v>
      </c>
      <c r="N397" s="2" t="str">
        <f t="shared" si="34"/>
        <v>Q NOT OK dE&lt;=0.8</v>
      </c>
      <c r="O397" s="7">
        <v>15.8</v>
      </c>
      <c r="P397" s="7">
        <v>-0.9</v>
      </c>
      <c r="Q397" s="7">
        <v>-1.1000000000000001</v>
      </c>
      <c r="R397" s="7">
        <v>-0.51</v>
      </c>
      <c r="S397" s="7">
        <v>0.1</v>
      </c>
      <c r="T397" s="7">
        <v>0.2</v>
      </c>
      <c r="U397" s="7">
        <v>-0.39</v>
      </c>
      <c r="V397" s="7">
        <v>-0.06</v>
      </c>
      <c r="W397" s="7">
        <v>0.64</v>
      </c>
      <c r="X397" s="7" t="s">
        <v>8</v>
      </c>
      <c r="Y397" s="7" t="s">
        <v>15</v>
      </c>
      <c r="Z397" s="2" t="s">
        <v>718</v>
      </c>
      <c r="AA397" s="2" t="s">
        <v>721</v>
      </c>
    </row>
    <row r="398" spans="1:27" x14ac:dyDescent="0.35">
      <c r="A398" s="7" t="s">
        <v>1572</v>
      </c>
      <c r="B398" s="7" t="s">
        <v>1081</v>
      </c>
      <c r="C398" s="7" t="str">
        <f>_xlfn.XLOOKUP(B398,'[1]Sheet 1'!$A$2:$A$11107,'[1]Sheet 1'!$D$2:$D$11107,"",0)</f>
        <v>WACE</v>
      </c>
      <c r="D398" s="4" t="str">
        <f>_xlfn.XLOOKUP(A398,[3]Sheet2!$I$2:$I$1623,[3]Sheet2!$D$2:$D$1623,"",0)</f>
        <v>Q3</v>
      </c>
      <c r="E398" s="4" t="s">
        <v>1828</v>
      </c>
      <c r="F398" s="4" t="e">
        <f>_xlfn.XLOOKUP(B398,[2]Sheet2!$E$2:$E$713,[2]Sheet2!$G$2:$G$713)</f>
        <v>#N/A</v>
      </c>
      <c r="G398" s="18">
        <v>46112</v>
      </c>
      <c r="H398" s="14">
        <v>0.14725694444444445</v>
      </c>
      <c r="I398" s="7" t="s">
        <v>4</v>
      </c>
      <c r="J398" s="2" t="str">
        <f t="shared" si="30"/>
        <v>Q3</v>
      </c>
      <c r="K398" s="2" t="str">
        <f t="shared" si="31"/>
        <v>Match</v>
      </c>
      <c r="L398" s="2">
        <f t="shared" si="32"/>
        <v>0.2</v>
      </c>
      <c r="M398" s="2" t="e">
        <f t="shared" si="33"/>
        <v>#N/A</v>
      </c>
      <c r="N398" s="2" t="str">
        <f t="shared" si="34"/>
        <v>Q OK dE&gt;0.8</v>
      </c>
      <c r="O398" s="7">
        <v>15.5</v>
      </c>
      <c r="P398" s="7">
        <v>-0.8</v>
      </c>
      <c r="Q398" s="7">
        <v>-1.7</v>
      </c>
      <c r="R398" s="7">
        <v>-1.32</v>
      </c>
      <c r="S398" s="7">
        <v>0</v>
      </c>
      <c r="T398" s="7">
        <v>-0.2</v>
      </c>
      <c r="U398" s="7">
        <v>0.26</v>
      </c>
      <c r="V398" s="7">
        <v>0.22</v>
      </c>
      <c r="W398" s="7">
        <v>1.37</v>
      </c>
      <c r="X398" s="7" t="s">
        <v>6</v>
      </c>
      <c r="Y398" s="7" t="s">
        <v>9</v>
      </c>
      <c r="Z398" s="2" t="s">
        <v>718</v>
      </c>
      <c r="AA398" s="2" t="s">
        <v>721</v>
      </c>
    </row>
    <row r="399" spans="1:27" x14ac:dyDescent="0.35">
      <c r="A399" s="7" t="s">
        <v>1586</v>
      </c>
      <c r="B399" s="7" t="s">
        <v>1087</v>
      </c>
      <c r="C399" s="7" t="str">
        <f>_xlfn.XLOOKUP(B399,'[1]Sheet 1'!$A$2:$A$11107,'[1]Sheet 1'!$D$2:$D$11107,"",0)</f>
        <v>INT1</v>
      </c>
      <c r="D399" s="4" t="str">
        <f>_xlfn.XLOOKUP(A399,[3]Sheet2!$I$2:$I$1623,[3]Sheet2!$D$2:$D$1623,"",0)</f>
        <v>Q2</v>
      </c>
      <c r="E399" s="4" t="s">
        <v>1828</v>
      </c>
      <c r="F399" s="4" t="e">
        <f>_xlfn.XLOOKUP(B399,[2]Sheet2!$E$2:$E$713,[2]Sheet2!$G$2:$G$713)</f>
        <v>#N/A</v>
      </c>
      <c r="G399" s="18">
        <v>46112</v>
      </c>
      <c r="H399" s="14">
        <v>0.27539351851851851</v>
      </c>
      <c r="I399" s="7" t="s">
        <v>4</v>
      </c>
      <c r="J399" s="2" t="str">
        <f t="shared" si="30"/>
        <v>Q2</v>
      </c>
      <c r="K399" s="2" t="str">
        <f t="shared" si="31"/>
        <v>Match</v>
      </c>
      <c r="L399" s="2">
        <f t="shared" si="32"/>
        <v>0.1</v>
      </c>
      <c r="M399" s="2" t="e">
        <f t="shared" si="33"/>
        <v>#N/A</v>
      </c>
      <c r="N399" s="2" t="str">
        <f t="shared" si="34"/>
        <v>Q OK dE&lt;=0.8</v>
      </c>
      <c r="O399" s="7">
        <v>17.399999999999999</v>
      </c>
      <c r="P399" s="7">
        <v>0.1</v>
      </c>
      <c r="Q399" s="7">
        <v>-1.2</v>
      </c>
      <c r="R399" s="7">
        <v>-0.55000000000000004</v>
      </c>
      <c r="S399" s="7">
        <v>0</v>
      </c>
      <c r="T399" s="7">
        <v>-0.1</v>
      </c>
      <c r="U399" s="7">
        <v>0.24</v>
      </c>
      <c r="V399" s="7">
        <v>-0.09</v>
      </c>
      <c r="W399" s="7">
        <v>0.61</v>
      </c>
      <c r="X399" s="7" t="s">
        <v>8</v>
      </c>
      <c r="Y399" s="7" t="s">
        <v>9</v>
      </c>
      <c r="Z399" s="2" t="s">
        <v>718</v>
      </c>
      <c r="AA399" s="2" t="s">
        <v>721</v>
      </c>
    </row>
    <row r="400" spans="1:27" x14ac:dyDescent="0.35">
      <c r="A400" s="7" t="s">
        <v>1558</v>
      </c>
      <c r="B400" s="7" t="s">
        <v>1088</v>
      </c>
      <c r="C400" s="7" t="str">
        <f>_xlfn.XLOOKUP(B400,'[1]Sheet 1'!$A$2:$A$11107,'[1]Sheet 1'!$D$2:$D$11107,"",0)</f>
        <v>M&amp;S</v>
      </c>
      <c r="D400" s="4" t="str">
        <f>_xlfn.XLOOKUP(A400,[3]Sheet2!$I$2:$I$1623,[3]Sheet2!$D$2:$D$1623,"",0)</f>
        <v>Q3</v>
      </c>
      <c r="E400" s="4" t="s">
        <v>1828</v>
      </c>
      <c r="F400" s="4" t="e">
        <f>_xlfn.XLOOKUP(B400,[2]Sheet2!$E$2:$E$713,[2]Sheet2!$G$2:$G$713)</f>
        <v>#N/A</v>
      </c>
      <c r="G400" s="18">
        <v>46112</v>
      </c>
      <c r="H400" s="14">
        <v>0.28078703703703706</v>
      </c>
      <c r="I400" s="7" t="s">
        <v>17</v>
      </c>
      <c r="J400" s="2" t="str">
        <f t="shared" si="30"/>
        <v>Q3</v>
      </c>
      <c r="K400" s="2" t="str">
        <f t="shared" si="31"/>
        <v>Match</v>
      </c>
      <c r="L400" s="2">
        <f t="shared" si="32"/>
        <v>0.1</v>
      </c>
      <c r="M400" s="2" t="e">
        <f t="shared" si="33"/>
        <v>#N/A</v>
      </c>
      <c r="N400" s="2" t="str">
        <f t="shared" si="34"/>
        <v>Q OK dE&lt;=0.8</v>
      </c>
      <c r="O400" s="7">
        <v>14.9</v>
      </c>
      <c r="P400" s="7">
        <v>-0.7</v>
      </c>
      <c r="Q400" s="7">
        <v>-1.8</v>
      </c>
      <c r="R400" s="7">
        <v>-0.71</v>
      </c>
      <c r="S400" s="7">
        <v>-0.1</v>
      </c>
      <c r="T400" s="20">
        <v>0</v>
      </c>
      <c r="U400" s="7">
        <v>0.15</v>
      </c>
      <c r="V400" s="7">
        <v>-0.22</v>
      </c>
      <c r="W400" s="7">
        <v>0.76</v>
      </c>
      <c r="X400" s="7" t="s">
        <v>13</v>
      </c>
      <c r="Y400" s="7" t="s">
        <v>15</v>
      </c>
      <c r="Z400" s="2" t="s">
        <v>718</v>
      </c>
      <c r="AA400" s="2" t="s">
        <v>721</v>
      </c>
    </row>
    <row r="401" spans="1:27" x14ac:dyDescent="0.35">
      <c r="A401" s="7" t="s">
        <v>1625</v>
      </c>
      <c r="B401" s="7" t="s">
        <v>1099</v>
      </c>
      <c r="C401" s="7" t="str">
        <f>_xlfn.XLOOKUP(B401,'[1]Sheet 1'!$A$2:$A$11107,'[1]Sheet 1'!$D$2:$D$11107,"",0)</f>
        <v>CK</v>
      </c>
      <c r="D401" s="4" t="str">
        <f>_xlfn.XLOOKUP(A401,[3]Sheet2!$I$2:$I$1623,[3]Sheet2!$D$2:$D$1623,"",0)</f>
        <v>Q1</v>
      </c>
      <c r="E401" s="4" t="s">
        <v>1828</v>
      </c>
      <c r="F401" s="4" t="e">
        <f>_xlfn.XLOOKUP(B401,[2]Sheet2!$E$2:$E$713,[2]Sheet2!$G$2:$G$713)</f>
        <v>#N/A</v>
      </c>
      <c r="G401" s="18">
        <v>46112</v>
      </c>
      <c r="H401" s="14">
        <v>0.75533564814814813</v>
      </c>
      <c r="I401" s="7" t="s">
        <v>11</v>
      </c>
      <c r="J401" s="2" t="str">
        <f t="shared" si="30"/>
        <v>Q1</v>
      </c>
      <c r="K401" s="2" t="str">
        <f t="shared" si="31"/>
        <v>Match</v>
      </c>
      <c r="L401" s="2">
        <f t="shared" si="32"/>
        <v>0.1</v>
      </c>
      <c r="M401" s="2" t="e">
        <f t="shared" si="33"/>
        <v>#N/A</v>
      </c>
      <c r="N401" s="2" t="str">
        <f t="shared" si="34"/>
        <v>Q OK dE&lt;=0.8</v>
      </c>
      <c r="O401" s="7">
        <v>20.3</v>
      </c>
      <c r="P401" s="7">
        <v>-0.4</v>
      </c>
      <c r="Q401" s="7">
        <v>-3.9</v>
      </c>
      <c r="R401" s="7">
        <v>0.11</v>
      </c>
      <c r="S401" s="7">
        <v>0</v>
      </c>
      <c r="T401" s="7">
        <v>0.1</v>
      </c>
      <c r="U401" s="7">
        <v>-0.12</v>
      </c>
      <c r="V401" s="7">
        <v>-0.02</v>
      </c>
      <c r="W401" s="7">
        <v>0.17</v>
      </c>
      <c r="X401" s="7" t="s">
        <v>8</v>
      </c>
      <c r="Y401" s="7" t="s">
        <v>15</v>
      </c>
      <c r="Z401" s="2" t="s">
        <v>718</v>
      </c>
      <c r="AA401" s="2" t="s">
        <v>721</v>
      </c>
    </row>
    <row r="402" spans="1:27" x14ac:dyDescent="0.35">
      <c r="A402" s="7" t="s">
        <v>1751</v>
      </c>
      <c r="B402" s="7" t="s">
        <v>1084</v>
      </c>
      <c r="C402" s="7" t="str">
        <f>_xlfn.XLOOKUP(B402,'[1]Sheet 1'!$A$2:$A$11107,'[1]Sheet 1'!$D$2:$D$11107,"",0)</f>
        <v>CK</v>
      </c>
      <c r="D402" s="4" t="str">
        <f>_xlfn.XLOOKUP(A402,[3]Sheet2!$I$2:$I$1623,[3]Sheet2!$D$2:$D$1623,"",0)</f>
        <v>Q1</v>
      </c>
      <c r="E402" s="4" t="s">
        <v>1827</v>
      </c>
      <c r="F402" s="4" t="e">
        <f>_xlfn.XLOOKUP(B402,[2]Sheet2!$E$2:$E$713,[2]Sheet2!$G$2:$G$713)</f>
        <v>#N/A</v>
      </c>
      <c r="G402" s="18">
        <v>46112</v>
      </c>
      <c r="H402" s="14">
        <v>0.23241898148148149</v>
      </c>
      <c r="I402" s="7" t="s">
        <v>11</v>
      </c>
      <c r="J402" s="2" t="str">
        <f t="shared" si="30"/>
        <v>Q4</v>
      </c>
      <c r="K402" s="2" t="str">
        <f t="shared" si="31"/>
        <v>Not Match</v>
      </c>
      <c r="L402" s="2">
        <f t="shared" si="32"/>
        <v>0.50990195135927852</v>
      </c>
      <c r="M402" s="2" t="e">
        <f t="shared" si="33"/>
        <v>#N/A</v>
      </c>
      <c r="N402" s="2" t="str">
        <f t="shared" si="34"/>
        <v>Q NOT OK dE&lt;=0.8</v>
      </c>
      <c r="O402" s="7">
        <v>36.6</v>
      </c>
      <c r="P402" s="7">
        <v>40.200000000000003</v>
      </c>
      <c r="Q402" s="7">
        <v>27.1</v>
      </c>
      <c r="R402" s="7">
        <v>-0.04</v>
      </c>
      <c r="S402" s="7">
        <v>0.1</v>
      </c>
      <c r="T402" s="7">
        <v>-0.5</v>
      </c>
      <c r="U402" s="7">
        <v>-7.0000000000000007E-2</v>
      </c>
      <c r="V402" s="7">
        <v>-0.37</v>
      </c>
      <c r="W402" s="7">
        <v>0.38</v>
      </c>
      <c r="X402" s="7" t="s">
        <v>8</v>
      </c>
      <c r="Y402" s="7" t="s">
        <v>7</v>
      </c>
      <c r="Z402" s="2" t="s">
        <v>718</v>
      </c>
      <c r="AA402" s="2" t="s">
        <v>721</v>
      </c>
    </row>
    <row r="403" spans="1:27" x14ac:dyDescent="0.35">
      <c r="A403" s="7" t="s">
        <v>1533</v>
      </c>
      <c r="B403" s="7" t="s">
        <v>1095</v>
      </c>
      <c r="C403" s="7" t="str">
        <f>_xlfn.XLOOKUP(B403,'[1]Sheet 1'!$A$2:$A$11107,'[1]Sheet 1'!$D$2:$D$11107,"",0)</f>
        <v>M&amp;S</v>
      </c>
      <c r="D403" s="4" t="str">
        <f>_xlfn.XLOOKUP(A403,[3]Sheet2!$I$2:$I$1623,[3]Sheet2!$D$2:$D$1623,"",0)</f>
        <v>Q2</v>
      </c>
      <c r="E403" s="4" t="s">
        <v>1828</v>
      </c>
      <c r="F403" s="4" t="e">
        <f>_xlfn.XLOOKUP(B403,[2]Sheet2!$E$2:$E$713,[2]Sheet2!$G$2:$G$713)</f>
        <v>#N/A</v>
      </c>
      <c r="G403" s="18">
        <v>46112</v>
      </c>
      <c r="H403" s="14">
        <v>0.71739583333333334</v>
      </c>
      <c r="I403" s="7" t="s">
        <v>17</v>
      </c>
      <c r="J403" s="2" t="str">
        <f t="shared" si="30"/>
        <v>Q4</v>
      </c>
      <c r="K403" s="2" t="str">
        <f t="shared" si="31"/>
        <v>Not Match</v>
      </c>
      <c r="L403" s="2">
        <f t="shared" si="32"/>
        <v>0.60827625302982191</v>
      </c>
      <c r="M403" s="2" t="e">
        <f t="shared" si="33"/>
        <v>#N/A</v>
      </c>
      <c r="N403" s="2" t="str">
        <f t="shared" si="34"/>
        <v>Q NOT OK dE&lt;=0.8</v>
      </c>
      <c r="O403" s="7">
        <v>25.2</v>
      </c>
      <c r="P403" s="7">
        <v>0.6</v>
      </c>
      <c r="Q403" s="7">
        <v>8.1999999999999993</v>
      </c>
      <c r="R403" s="7">
        <v>-0.02</v>
      </c>
      <c r="S403" s="7">
        <v>0.1</v>
      </c>
      <c r="T403" s="7">
        <v>-0.6</v>
      </c>
      <c r="U403" s="7">
        <v>-0.57999999999999996</v>
      </c>
      <c r="V403" s="7">
        <v>-0.22</v>
      </c>
      <c r="W403" s="7">
        <v>0.62</v>
      </c>
      <c r="X403" s="7" t="s">
        <v>8</v>
      </c>
      <c r="Y403" s="7" t="s">
        <v>9</v>
      </c>
      <c r="Z403" s="2" t="s">
        <v>718</v>
      </c>
      <c r="AA403" s="2" t="s">
        <v>721</v>
      </c>
    </row>
    <row r="404" spans="1:27" x14ac:dyDescent="0.35">
      <c r="A404" s="7" t="s">
        <v>1723</v>
      </c>
      <c r="B404" s="7" t="s">
        <v>1079</v>
      </c>
      <c r="C404" s="7" t="str">
        <f>_xlfn.XLOOKUP(B404,'[1]Sheet 1'!$A$2:$A$11107,'[1]Sheet 1'!$D$2:$D$11107,"",0)</f>
        <v>GAP</v>
      </c>
      <c r="D404" s="4" t="str">
        <f>_xlfn.XLOOKUP(A404,[3]Sheet2!$I$2:$I$1623,[3]Sheet2!$D$2:$D$1623,"",0)</f>
        <v>Q2</v>
      </c>
      <c r="E404" s="4" t="s">
        <v>1827</v>
      </c>
      <c r="F404" s="4" t="e">
        <f>_xlfn.XLOOKUP(B404,[2]Sheet2!$E$2:$E$713,[2]Sheet2!$G$2:$G$713)</f>
        <v>#N/A</v>
      </c>
      <c r="G404" s="18">
        <v>46112</v>
      </c>
      <c r="H404" s="14">
        <v>8.1122685185185187E-2</v>
      </c>
      <c r="I404" s="7" t="s">
        <v>4</v>
      </c>
      <c r="J404" s="2" t="str">
        <f t="shared" si="30"/>
        <v>Q3</v>
      </c>
      <c r="K404" s="2" t="str">
        <f t="shared" si="31"/>
        <v>Not Match</v>
      </c>
      <c r="L404" s="2">
        <f t="shared" si="32"/>
        <v>0.50990195135927852</v>
      </c>
      <c r="M404" s="2" t="e">
        <f t="shared" si="33"/>
        <v>#N/A</v>
      </c>
      <c r="N404" s="2" t="str">
        <f t="shared" si="34"/>
        <v>Q NOT OK dE&gt;0.8</v>
      </c>
      <c r="O404" s="7">
        <v>14.5</v>
      </c>
      <c r="P404" s="7">
        <v>-0.7</v>
      </c>
      <c r="Q404" s="7">
        <v>-1.5</v>
      </c>
      <c r="R404" s="7">
        <v>-0.37</v>
      </c>
      <c r="S404" s="7">
        <v>-0.5</v>
      </c>
      <c r="T404" s="7">
        <v>-0.1</v>
      </c>
      <c r="U404" s="7">
        <v>0.34</v>
      </c>
      <c r="V404" s="7">
        <v>-0.68</v>
      </c>
      <c r="W404" s="7">
        <v>0.84</v>
      </c>
      <c r="X404" s="7" t="s">
        <v>13</v>
      </c>
      <c r="Y404" s="7" t="s">
        <v>15</v>
      </c>
      <c r="Z404" s="2" t="s">
        <v>718</v>
      </c>
      <c r="AA404" s="2" t="s">
        <v>721</v>
      </c>
    </row>
    <row r="405" spans="1:27" x14ac:dyDescent="0.35">
      <c r="A405" s="7" t="s">
        <v>1506</v>
      </c>
      <c r="B405" s="7" t="s">
        <v>1080</v>
      </c>
      <c r="C405" s="7" t="str">
        <f>_xlfn.XLOOKUP(B405,'[1]Sheet 1'!$A$2:$A$11107,'[1]Sheet 1'!$D$2:$D$11107,"",0)</f>
        <v>INT1</v>
      </c>
      <c r="D405" s="4" t="str">
        <f>_xlfn.XLOOKUP(A405,[3]Sheet2!$I$2:$I$1623,[3]Sheet2!$D$2:$D$1623,"",0)</f>
        <v>Q1</v>
      </c>
      <c r="E405" s="4" t="s">
        <v>1828</v>
      </c>
      <c r="F405" s="4" t="e">
        <f>_xlfn.XLOOKUP(B405,[2]Sheet2!$E$2:$E$713,[2]Sheet2!$G$2:$G$713)</f>
        <v>#N/A</v>
      </c>
      <c r="G405" s="18">
        <v>46112</v>
      </c>
      <c r="H405" s="14">
        <v>0.14487268518518517</v>
      </c>
      <c r="I405" s="7" t="s">
        <v>4</v>
      </c>
      <c r="J405" s="2" t="str">
        <f t="shared" si="30"/>
        <v>Q1</v>
      </c>
      <c r="K405" s="2" t="str">
        <f t="shared" si="31"/>
        <v>Match</v>
      </c>
      <c r="L405" s="2">
        <f t="shared" si="32"/>
        <v>0.22360679774997899</v>
      </c>
      <c r="M405" s="2" t="e">
        <f t="shared" si="33"/>
        <v>#N/A</v>
      </c>
      <c r="N405" s="2" t="str">
        <f t="shared" si="34"/>
        <v>Q OK dE&lt;=0.8</v>
      </c>
      <c r="O405" s="7">
        <v>15.3</v>
      </c>
      <c r="P405" s="7">
        <v>-0.2</v>
      </c>
      <c r="Q405" s="7">
        <v>-1.8</v>
      </c>
      <c r="R405" s="7">
        <v>-0.26</v>
      </c>
      <c r="S405" s="7">
        <v>0.2</v>
      </c>
      <c r="T405" s="7">
        <v>0.1</v>
      </c>
      <c r="U405" s="7">
        <v>-0.3</v>
      </c>
      <c r="V405" s="7">
        <v>0.28000000000000003</v>
      </c>
      <c r="W405" s="7">
        <v>0.48</v>
      </c>
      <c r="X405" s="7" t="s">
        <v>8</v>
      </c>
      <c r="Y405" s="7" t="s">
        <v>9</v>
      </c>
      <c r="Z405" s="2" t="s">
        <v>718</v>
      </c>
      <c r="AA405" s="2" t="s">
        <v>721</v>
      </c>
    </row>
    <row r="406" spans="1:27" x14ac:dyDescent="0.35">
      <c r="A406" s="7" t="s">
        <v>1740</v>
      </c>
      <c r="B406" s="7" t="s">
        <v>1098</v>
      </c>
      <c r="C406" s="7" t="str">
        <f>_xlfn.XLOOKUP(B406,'[1]Sheet 1'!$A$2:$A$11107,'[1]Sheet 1'!$D$2:$D$11107,"",0)</f>
        <v/>
      </c>
      <c r="D406" s="4" t="str">
        <f>_xlfn.XLOOKUP(A406,[3]Sheet2!$I$2:$I$1623,[3]Sheet2!$D$2:$D$1623,"",0)</f>
        <v>Q2</v>
      </c>
      <c r="E406" s="4" t="s">
        <v>1828</v>
      </c>
      <c r="F406" s="4" t="e">
        <f>_xlfn.XLOOKUP(B406,[2]Sheet2!$E$2:$E$713,[2]Sheet2!$G$2:$G$713)</f>
        <v>#N/A</v>
      </c>
      <c r="G406" s="18">
        <v>46112</v>
      </c>
      <c r="H406" s="14">
        <v>0.73303240740740738</v>
      </c>
      <c r="I406" s="7" t="s">
        <v>5</v>
      </c>
      <c r="J406" s="2" t="str">
        <f t="shared" si="30"/>
        <v>Q3</v>
      </c>
      <c r="K406" s="2" t="str">
        <f t="shared" si="31"/>
        <v>Not Match</v>
      </c>
      <c r="L406" s="2">
        <f t="shared" si="32"/>
        <v>0.41231056256176613</v>
      </c>
      <c r="M406" s="2" t="e">
        <f t="shared" si="33"/>
        <v>#N/A</v>
      </c>
      <c r="N406" s="2" t="str">
        <f t="shared" si="34"/>
        <v>Q NOT OK dE&lt;=0.8</v>
      </c>
      <c r="O406" s="7">
        <v>14.2</v>
      </c>
      <c r="P406" s="7">
        <v>-0.9</v>
      </c>
      <c r="Q406" s="7">
        <v>-1.8</v>
      </c>
      <c r="R406" s="7">
        <v>-0.49</v>
      </c>
      <c r="S406" s="7">
        <v>-0.1</v>
      </c>
      <c r="T406" s="7">
        <v>-0.4</v>
      </c>
      <c r="U406" s="7">
        <v>0.6</v>
      </c>
      <c r="V406" s="7">
        <v>0.02</v>
      </c>
      <c r="W406" s="7">
        <v>0.77</v>
      </c>
      <c r="X406" s="7" t="s">
        <v>13</v>
      </c>
      <c r="Y406" s="7" t="s">
        <v>9</v>
      </c>
      <c r="Z406" s="2" t="s">
        <v>718</v>
      </c>
      <c r="AA406" s="2" t="s">
        <v>721</v>
      </c>
    </row>
    <row r="407" spans="1:27" x14ac:dyDescent="0.35">
      <c r="A407" s="7" t="s">
        <v>1736</v>
      </c>
      <c r="B407" s="7" t="s">
        <v>1093</v>
      </c>
      <c r="C407" s="7" t="str">
        <f>_xlfn.XLOOKUP(B407,'[1]Sheet 1'!$A$2:$A$11107,'[1]Sheet 1'!$D$2:$D$11107,"",0)</f>
        <v/>
      </c>
      <c r="D407" s="4" t="str">
        <f>_xlfn.XLOOKUP(A407,[3]Sheet2!$I$2:$I$1623,[3]Sheet2!$D$2:$D$1623,"",0)</f>
        <v>Q3</v>
      </c>
      <c r="E407" s="4" t="s">
        <v>1828</v>
      </c>
      <c r="F407" s="4" t="e">
        <f>_xlfn.XLOOKUP(B407,[2]Sheet2!$E$2:$E$713,[2]Sheet2!$G$2:$G$713)</f>
        <v>#N/A</v>
      </c>
      <c r="G407" s="18">
        <v>46112</v>
      </c>
      <c r="H407" s="14">
        <v>0.4584259259259259</v>
      </c>
      <c r="I407" s="7" t="s">
        <v>5</v>
      </c>
      <c r="J407" s="2" t="str">
        <f t="shared" si="30"/>
        <v>Q3</v>
      </c>
      <c r="K407" s="2" t="str">
        <f t="shared" si="31"/>
        <v>Match</v>
      </c>
      <c r="L407" s="2">
        <f t="shared" si="32"/>
        <v>0.5</v>
      </c>
      <c r="M407" s="2" t="e">
        <f t="shared" si="33"/>
        <v>#N/A</v>
      </c>
      <c r="N407" s="2" t="str">
        <f t="shared" si="34"/>
        <v>Q OK dE&lt;=0.8</v>
      </c>
      <c r="O407" s="7">
        <v>23.2</v>
      </c>
      <c r="P407" s="7">
        <v>4.4000000000000004</v>
      </c>
      <c r="Q407" s="7">
        <v>5.2</v>
      </c>
      <c r="R407" s="7">
        <v>0.43</v>
      </c>
      <c r="S407" s="7">
        <v>0</v>
      </c>
      <c r="T407" s="7">
        <v>0.5</v>
      </c>
      <c r="U407" s="7">
        <v>0.4</v>
      </c>
      <c r="V407" s="7">
        <v>0.54</v>
      </c>
      <c r="W407" s="7">
        <v>0.79</v>
      </c>
      <c r="X407" s="7" t="s">
        <v>13</v>
      </c>
      <c r="Y407" s="7" t="s">
        <v>12</v>
      </c>
      <c r="Z407" s="2" t="s">
        <v>718</v>
      </c>
      <c r="AA407" s="2" t="s">
        <v>721</v>
      </c>
    </row>
    <row r="408" spans="1:27" x14ac:dyDescent="0.35">
      <c r="A408" s="7" t="s">
        <v>1545</v>
      </c>
      <c r="B408" s="7" t="s">
        <v>1090</v>
      </c>
      <c r="C408" s="7" t="str">
        <f>_xlfn.XLOOKUP(B408,'[1]Sheet 1'!$A$2:$A$11107,'[1]Sheet 1'!$D$2:$D$11107,"",0)</f>
        <v>NIK</v>
      </c>
      <c r="D408" s="4" t="str">
        <f>_xlfn.XLOOKUP(A408,[3]Sheet2!$I$2:$I$1623,[3]Sheet2!$D$2:$D$1623,"",0)</f>
        <v>Q2</v>
      </c>
      <c r="E408" s="4" t="s">
        <v>1828</v>
      </c>
      <c r="F408" s="4" t="e">
        <f>_xlfn.XLOOKUP(B408,[2]Sheet2!$E$2:$E$713,[2]Sheet2!$G$2:$G$713)</f>
        <v>#N/A</v>
      </c>
      <c r="G408" s="18">
        <v>46112</v>
      </c>
      <c r="H408" s="14">
        <v>0.28454861111111113</v>
      </c>
      <c r="I408" s="7" t="s">
        <v>4</v>
      </c>
      <c r="J408" s="2" t="str">
        <f t="shared" si="30"/>
        <v>Q4</v>
      </c>
      <c r="K408" s="2" t="str">
        <f t="shared" si="31"/>
        <v>Not Match</v>
      </c>
      <c r="L408" s="2">
        <f t="shared" si="32"/>
        <v>0.22360679774997899</v>
      </c>
      <c r="M408" s="2" t="e">
        <f t="shared" si="33"/>
        <v>#N/A</v>
      </c>
      <c r="N408" s="2" t="str">
        <f t="shared" si="34"/>
        <v>Q NOT OK dE&lt;=0.8</v>
      </c>
      <c r="O408" s="7">
        <v>18.600000000000001</v>
      </c>
      <c r="P408" s="7">
        <v>-0.7</v>
      </c>
      <c r="Q408" s="7">
        <v>-1.8</v>
      </c>
      <c r="R408" s="7">
        <v>0.15</v>
      </c>
      <c r="S408" s="7">
        <v>0.1</v>
      </c>
      <c r="T408" s="7">
        <v>-0.2</v>
      </c>
      <c r="U408" s="7">
        <v>0.25</v>
      </c>
      <c r="V408" s="7">
        <v>0.28999999999999998</v>
      </c>
      <c r="W408" s="7">
        <v>0.41</v>
      </c>
      <c r="X408" s="7" t="s">
        <v>8</v>
      </c>
      <c r="Y408" s="7" t="s">
        <v>9</v>
      </c>
      <c r="Z408" s="2" t="s">
        <v>718</v>
      </c>
      <c r="AA408" s="2" t="s">
        <v>721</v>
      </c>
    </row>
    <row r="409" spans="1:27" x14ac:dyDescent="0.35">
      <c r="A409" s="7" t="s">
        <v>1545</v>
      </c>
      <c r="B409" s="7" t="s">
        <v>1082</v>
      </c>
      <c r="C409" s="7" t="str">
        <f>_xlfn.XLOOKUP(B409,'[1]Sheet 1'!$A$2:$A$11107,'[1]Sheet 1'!$D$2:$D$11107,"",0)</f>
        <v>NIK</v>
      </c>
      <c r="D409" s="4" t="str">
        <f>_xlfn.XLOOKUP(A409,[3]Sheet2!$I$2:$I$1623,[3]Sheet2!$D$2:$D$1623,"",0)</f>
        <v>Q2</v>
      </c>
      <c r="E409" s="4" t="s">
        <v>1828</v>
      </c>
      <c r="F409" s="4" t="e">
        <f>_xlfn.XLOOKUP(B409,[2]Sheet2!$E$2:$E$713,[2]Sheet2!$G$2:$G$713)</f>
        <v>#N/A</v>
      </c>
      <c r="G409" s="18">
        <v>46112</v>
      </c>
      <c r="H409" s="14">
        <v>0.22657407407407407</v>
      </c>
      <c r="I409" s="7" t="s">
        <v>4</v>
      </c>
      <c r="J409" s="2" t="str">
        <f t="shared" si="30"/>
        <v>Q2</v>
      </c>
      <c r="K409" s="2" t="str">
        <f t="shared" si="31"/>
        <v>Match</v>
      </c>
      <c r="L409" s="2">
        <f t="shared" si="32"/>
        <v>0.3</v>
      </c>
      <c r="M409" s="2" t="e">
        <f t="shared" si="33"/>
        <v>#N/A</v>
      </c>
      <c r="N409" s="2" t="str">
        <f t="shared" si="34"/>
        <v>Q OK dE&lt;=0.8</v>
      </c>
      <c r="O409" s="7">
        <v>18.600000000000001</v>
      </c>
      <c r="P409" s="7">
        <v>-0.8</v>
      </c>
      <c r="Q409" s="7">
        <v>-1.9</v>
      </c>
      <c r="R409" s="7">
        <v>0.14000000000000001</v>
      </c>
      <c r="S409" s="7">
        <v>0</v>
      </c>
      <c r="T409" s="7">
        <v>-0.3</v>
      </c>
      <c r="U409" s="7">
        <v>0.37</v>
      </c>
      <c r="V409" s="7">
        <v>0.24</v>
      </c>
      <c r="W409" s="7">
        <v>0.46</v>
      </c>
      <c r="X409" s="7" t="s">
        <v>8</v>
      </c>
      <c r="Y409" s="7" t="s">
        <v>9</v>
      </c>
      <c r="Z409" s="2" t="s">
        <v>718</v>
      </c>
      <c r="AA409" s="2" t="s">
        <v>721</v>
      </c>
    </row>
    <row r="410" spans="1:27" x14ac:dyDescent="0.35">
      <c r="A410" s="7" t="s">
        <v>1545</v>
      </c>
      <c r="B410" s="7" t="s">
        <v>1097</v>
      </c>
      <c r="C410" s="7" t="str">
        <f>_xlfn.XLOOKUP(B410,'[1]Sheet 1'!$A$2:$A$11107,'[1]Sheet 1'!$D$2:$D$11107,"",0)</f>
        <v>NIK</v>
      </c>
      <c r="D410" s="4" t="str">
        <f>_xlfn.XLOOKUP(A410,[3]Sheet2!$I$2:$I$1623,[3]Sheet2!$D$2:$D$1623,"",0)</f>
        <v>Q2</v>
      </c>
      <c r="E410" s="4" t="s">
        <v>1828</v>
      </c>
      <c r="F410" s="4" t="e">
        <f>_xlfn.XLOOKUP(B410,[2]Sheet2!$E$2:$E$713,[2]Sheet2!$G$2:$G$713)</f>
        <v>#N/A</v>
      </c>
      <c r="G410" s="18">
        <v>46112</v>
      </c>
      <c r="H410" s="14">
        <v>0.72495370370370371</v>
      </c>
      <c r="I410" s="7" t="s">
        <v>4</v>
      </c>
      <c r="J410" s="2" t="str">
        <f t="shared" si="30"/>
        <v>Q2</v>
      </c>
      <c r="K410" s="2" t="str">
        <f t="shared" si="31"/>
        <v>Match</v>
      </c>
      <c r="L410" s="2">
        <f t="shared" si="32"/>
        <v>0.3</v>
      </c>
      <c r="M410" s="2" t="e">
        <f t="shared" si="33"/>
        <v>#N/A</v>
      </c>
      <c r="N410" s="2" t="str">
        <f t="shared" si="34"/>
        <v>Q OK dE&lt;=0.8</v>
      </c>
      <c r="O410" s="7">
        <v>18.2</v>
      </c>
      <c r="P410" s="7">
        <v>-0.8</v>
      </c>
      <c r="Q410" s="7">
        <v>-1.9</v>
      </c>
      <c r="R410" s="7">
        <v>-0.22</v>
      </c>
      <c r="S410" s="7">
        <v>0</v>
      </c>
      <c r="T410" s="7">
        <v>-0.3</v>
      </c>
      <c r="U410" s="7">
        <v>0.34</v>
      </c>
      <c r="V410" s="7">
        <v>0.2</v>
      </c>
      <c r="W410" s="7">
        <v>0.45</v>
      </c>
      <c r="X410" s="7" t="s">
        <v>8</v>
      </c>
      <c r="Y410" s="7" t="s">
        <v>9</v>
      </c>
      <c r="Z410" s="2" t="s">
        <v>718</v>
      </c>
      <c r="AA410" s="2" t="s">
        <v>721</v>
      </c>
    </row>
    <row r="411" spans="1:27" x14ac:dyDescent="0.35">
      <c r="A411" s="7" t="s">
        <v>1688</v>
      </c>
      <c r="B411" s="7" t="s">
        <v>1103</v>
      </c>
      <c r="C411" s="7" t="str">
        <f>_xlfn.XLOOKUP(B411,'[1]Sheet 1'!$A$2:$A$11107,'[1]Sheet 1'!$D$2:$D$11107,"",0)</f>
        <v>GAP</v>
      </c>
      <c r="D411" s="4" t="str">
        <f>_xlfn.XLOOKUP(A411,[3]Sheet2!$I$2:$I$1623,[3]Sheet2!$D$2:$D$1623,"",0)</f>
        <v>Q4</v>
      </c>
      <c r="E411" s="4" t="s">
        <v>1828</v>
      </c>
      <c r="F411" s="4" t="e">
        <f>_xlfn.XLOOKUP(B411,[2]Sheet2!$E$2:$E$713,[2]Sheet2!$G$2:$G$713)</f>
        <v>#N/A</v>
      </c>
      <c r="G411" s="18">
        <v>46112</v>
      </c>
      <c r="H411" s="14">
        <v>0.97576388888888888</v>
      </c>
      <c r="I411" s="7" t="s">
        <v>4</v>
      </c>
      <c r="J411" s="2" t="str">
        <f t="shared" si="30"/>
        <v>Q3</v>
      </c>
      <c r="K411" s="2" t="str">
        <f t="shared" si="31"/>
        <v>Not Match</v>
      </c>
      <c r="L411" s="2">
        <f t="shared" si="32"/>
        <v>0.42426406871192851</v>
      </c>
      <c r="M411" s="2" t="e">
        <f t="shared" si="33"/>
        <v>#N/A</v>
      </c>
      <c r="N411" s="2" t="str">
        <f t="shared" si="34"/>
        <v>Q NOT OK dE&gt;0.8</v>
      </c>
      <c r="O411" s="7">
        <v>14.3</v>
      </c>
      <c r="P411" s="7">
        <v>-0.4</v>
      </c>
      <c r="Q411" s="7">
        <v>-1.5</v>
      </c>
      <c r="R411" s="7">
        <v>0.88</v>
      </c>
      <c r="S411" s="7">
        <v>-0.3</v>
      </c>
      <c r="T411" s="7">
        <v>-0.3</v>
      </c>
      <c r="U411" s="7">
        <v>0.63</v>
      </c>
      <c r="V411" s="7">
        <v>-0.44</v>
      </c>
      <c r="W411" s="7">
        <v>1.17</v>
      </c>
      <c r="X411" s="7" t="s">
        <v>6</v>
      </c>
      <c r="Y411" s="7" t="s">
        <v>15</v>
      </c>
      <c r="Z411" s="2" t="s">
        <v>718</v>
      </c>
      <c r="AA411" s="2" t="s">
        <v>721</v>
      </c>
    </row>
    <row r="412" spans="1:27" x14ac:dyDescent="0.35">
      <c r="A412" s="7" t="s">
        <v>1596</v>
      </c>
      <c r="B412" s="7" t="s">
        <v>1078</v>
      </c>
      <c r="C412" s="7" t="str">
        <f>_xlfn.XLOOKUP(B412,'[1]Sheet 1'!$A$2:$A$11107,'[1]Sheet 1'!$D$2:$D$11107,"",0)</f>
        <v>NIK</v>
      </c>
      <c r="D412" s="4" t="str">
        <f>_xlfn.XLOOKUP(A412,[3]Sheet2!$I$2:$I$1623,[3]Sheet2!$D$2:$D$1623,"",0)</f>
        <v>Q4</v>
      </c>
      <c r="E412" s="4" t="s">
        <v>1828</v>
      </c>
      <c r="F412" s="4" t="e">
        <f>_xlfn.XLOOKUP(B412,[2]Sheet2!$E$2:$E$713,[2]Sheet2!$G$2:$G$713)</f>
        <v>#N/A</v>
      </c>
      <c r="G412" s="18">
        <v>46112</v>
      </c>
      <c r="H412" s="14">
        <v>7.6655092592592594E-2</v>
      </c>
      <c r="I412" s="7" t="s">
        <v>4</v>
      </c>
      <c r="J412" s="2" t="str">
        <f t="shared" si="30"/>
        <v>Q4</v>
      </c>
      <c r="K412" s="2" t="str">
        <f t="shared" si="31"/>
        <v>Match</v>
      </c>
      <c r="L412" s="2">
        <f t="shared" si="32"/>
        <v>0.1</v>
      </c>
      <c r="M412" s="2" t="e">
        <f t="shared" si="33"/>
        <v>#N/A</v>
      </c>
      <c r="N412" s="2" t="str">
        <f t="shared" si="34"/>
        <v>Q OK dE&gt;0.8</v>
      </c>
      <c r="O412" s="7">
        <v>21.6</v>
      </c>
      <c r="P412" s="7">
        <v>0</v>
      </c>
      <c r="Q412" s="7">
        <v>-9.1999999999999993</v>
      </c>
      <c r="R412" s="7">
        <v>-0.99</v>
      </c>
      <c r="S412" s="7">
        <v>0</v>
      </c>
      <c r="T412" s="7">
        <v>-0.1</v>
      </c>
      <c r="U412" s="7">
        <v>0.09</v>
      </c>
      <c r="V412" s="7">
        <v>0.08</v>
      </c>
      <c r="W412" s="7">
        <v>0.99</v>
      </c>
      <c r="X412" s="7" t="s">
        <v>13</v>
      </c>
      <c r="Y412" s="7" t="s">
        <v>9</v>
      </c>
      <c r="Z412" s="2" t="s">
        <v>718</v>
      </c>
      <c r="AA412" s="2" t="s">
        <v>721</v>
      </c>
    </row>
    <row r="413" spans="1:27" x14ac:dyDescent="0.35">
      <c r="A413" s="7" t="s">
        <v>1574</v>
      </c>
      <c r="B413" s="7" t="s">
        <v>1091</v>
      </c>
      <c r="C413" s="7" t="str">
        <f>_xlfn.XLOOKUP(B413,'[1]Sheet 1'!$A$2:$A$11107,'[1]Sheet 1'!$D$2:$D$11107,"",0)</f>
        <v>PINK</v>
      </c>
      <c r="D413" s="4" t="str">
        <f>_xlfn.XLOOKUP(A413,[3]Sheet2!$I$2:$I$1623,[3]Sheet2!$D$2:$D$1623,"",0)</f>
        <v>Q2</v>
      </c>
      <c r="E413" s="4" t="s">
        <v>1828</v>
      </c>
      <c r="F413" s="4" t="e">
        <f>_xlfn.XLOOKUP(B413,[2]Sheet2!$E$2:$E$713,[2]Sheet2!$G$2:$G$713)</f>
        <v>#N/A</v>
      </c>
      <c r="G413" s="18">
        <v>46112</v>
      </c>
      <c r="H413" s="14">
        <v>0.28707175925925926</v>
      </c>
      <c r="I413" s="7" t="s">
        <v>10</v>
      </c>
      <c r="J413" s="2" t="str">
        <f t="shared" si="30"/>
        <v>Q2</v>
      </c>
      <c r="K413" s="2" t="str">
        <f t="shared" si="31"/>
        <v>Match</v>
      </c>
      <c r="L413" s="2">
        <f t="shared" si="32"/>
        <v>0.2</v>
      </c>
      <c r="M413" s="2" t="e">
        <f t="shared" si="33"/>
        <v>#N/A</v>
      </c>
      <c r="N413" s="2" t="str">
        <f t="shared" si="34"/>
        <v>Q OK dE&lt;=0.8</v>
      </c>
      <c r="O413" s="7">
        <v>19</v>
      </c>
      <c r="P413" s="7">
        <v>-1.8</v>
      </c>
      <c r="Q413" s="7">
        <v>-11.3</v>
      </c>
      <c r="R413" s="7">
        <v>-0.3</v>
      </c>
      <c r="S413" s="7">
        <v>0.2</v>
      </c>
      <c r="T413" s="20">
        <v>0</v>
      </c>
      <c r="U413" s="7">
        <v>-0.04</v>
      </c>
      <c r="V413" s="7">
        <v>0.34</v>
      </c>
      <c r="W413" s="7">
        <v>0.45</v>
      </c>
      <c r="X413" s="7" t="s">
        <v>8</v>
      </c>
      <c r="Y413" s="7" t="s">
        <v>9</v>
      </c>
      <c r="Z413" s="2" t="s">
        <v>718</v>
      </c>
      <c r="AA413" s="2" t="s">
        <v>721</v>
      </c>
    </row>
    <row r="414" spans="1:27" x14ac:dyDescent="0.35">
      <c r="A414" s="7" t="s">
        <v>1596</v>
      </c>
      <c r="B414" s="7" t="s">
        <v>1083</v>
      </c>
      <c r="C414" s="7" t="str">
        <f>_xlfn.XLOOKUP(B414,'[1]Sheet 1'!$A$2:$A$11107,'[1]Sheet 1'!$D$2:$D$11107,"",0)</f>
        <v>NIK</v>
      </c>
      <c r="D414" s="4" t="str">
        <f>_xlfn.XLOOKUP(A414,[3]Sheet2!$I$2:$I$1623,[3]Sheet2!$D$2:$D$1623,"",0)</f>
        <v>Q4</v>
      </c>
      <c r="E414" s="4" t="s">
        <v>1828</v>
      </c>
      <c r="F414" s="4" t="e">
        <f>_xlfn.XLOOKUP(B414,[2]Sheet2!$E$2:$E$713,[2]Sheet2!$G$2:$G$713)</f>
        <v>#N/A</v>
      </c>
      <c r="G414" s="18">
        <v>46112</v>
      </c>
      <c r="H414" s="14">
        <v>0.22895833333333335</v>
      </c>
      <c r="I414" s="7" t="s">
        <v>4</v>
      </c>
      <c r="J414" s="2" t="str">
        <f t="shared" si="30"/>
        <v>Q4</v>
      </c>
      <c r="K414" s="2" t="str">
        <f t="shared" si="31"/>
        <v>Match</v>
      </c>
      <c r="L414" s="2">
        <f t="shared" si="32"/>
        <v>0.22360679774997899</v>
      </c>
      <c r="M414" s="2" t="e">
        <f t="shared" si="33"/>
        <v>#N/A</v>
      </c>
      <c r="N414" s="2" t="str">
        <f t="shared" si="34"/>
        <v>Q OK dE&lt;=0.8</v>
      </c>
      <c r="O414" s="7">
        <v>22.6</v>
      </c>
      <c r="P414" s="7">
        <v>0</v>
      </c>
      <c r="Q414" s="7">
        <v>-9.3000000000000007</v>
      </c>
      <c r="R414" s="7">
        <v>-0.26</v>
      </c>
      <c r="S414" s="7">
        <v>0.1</v>
      </c>
      <c r="T414" s="7">
        <v>-0.2</v>
      </c>
      <c r="U414" s="7">
        <v>0.17</v>
      </c>
      <c r="V414" s="7">
        <v>0.21</v>
      </c>
      <c r="W414" s="7">
        <v>0.38</v>
      </c>
      <c r="X414" s="7" t="s">
        <v>8</v>
      </c>
      <c r="Y414" s="7" t="s">
        <v>9</v>
      </c>
      <c r="Z414" s="2" t="s">
        <v>718</v>
      </c>
      <c r="AA414" s="2" t="s">
        <v>721</v>
      </c>
    </row>
    <row r="415" spans="1:27" x14ac:dyDescent="0.35">
      <c r="A415" s="7" t="s">
        <v>1752</v>
      </c>
      <c r="B415" s="7" t="s">
        <v>1085</v>
      </c>
      <c r="C415" s="7" t="str">
        <f>_xlfn.XLOOKUP(B415,'[1]Sheet 1'!$A$2:$A$11107,'[1]Sheet 1'!$D$2:$D$11107,"",0)</f>
        <v>VSS</v>
      </c>
      <c r="D415" s="4" t="str">
        <f>_xlfn.XLOOKUP(A415,[3]Sheet2!$I$2:$I$1623,[3]Sheet2!$D$2:$D$1623,"",0)</f>
        <v>Q3</v>
      </c>
      <c r="E415" s="4" t="s">
        <v>1828</v>
      </c>
      <c r="F415" s="4" t="e">
        <f>_xlfn.XLOOKUP(B415,[2]Sheet2!$E$2:$E$713,[2]Sheet2!$G$2:$G$713)</f>
        <v>#N/A</v>
      </c>
      <c r="G415" s="18">
        <v>46112</v>
      </c>
      <c r="H415" s="14">
        <v>0.23429398148148148</v>
      </c>
      <c r="I415" s="7" t="s">
        <v>11</v>
      </c>
      <c r="J415" s="2" t="str">
        <f t="shared" si="30"/>
        <v>Q3</v>
      </c>
      <c r="K415" s="2" t="str">
        <f t="shared" si="31"/>
        <v>Match</v>
      </c>
      <c r="L415" s="2">
        <f t="shared" si="32"/>
        <v>0</v>
      </c>
      <c r="M415" s="2" t="e">
        <f t="shared" si="33"/>
        <v>#N/A</v>
      </c>
      <c r="N415" s="2" t="str">
        <f t="shared" si="34"/>
        <v>Q OK dE&lt;=0.8</v>
      </c>
      <c r="O415" s="7">
        <v>16.600000000000001</v>
      </c>
      <c r="P415" s="7">
        <v>-0.1</v>
      </c>
      <c r="Q415" s="7">
        <v>-1</v>
      </c>
      <c r="R415" s="7">
        <v>-0.28999999999999998</v>
      </c>
      <c r="S415" s="7">
        <v>0</v>
      </c>
      <c r="T415" s="20">
        <v>0</v>
      </c>
      <c r="U415" s="7">
        <v>-0.09</v>
      </c>
      <c r="V415" s="7">
        <v>0.08</v>
      </c>
      <c r="W415" s="7">
        <v>0.32</v>
      </c>
      <c r="X415" s="7" t="s">
        <v>8</v>
      </c>
      <c r="Y415" s="7" t="s">
        <v>9</v>
      </c>
      <c r="Z415" s="2" t="s">
        <v>718</v>
      </c>
      <c r="AA415" s="2" t="s">
        <v>721</v>
      </c>
    </row>
    <row r="416" spans="1:27" x14ac:dyDescent="0.35">
      <c r="A416" s="7" t="s">
        <v>1752</v>
      </c>
      <c r="B416" s="7" t="s">
        <v>1086</v>
      </c>
      <c r="C416" s="7" t="str">
        <f>_xlfn.XLOOKUP(B416,'[1]Sheet 1'!$A$2:$A$11107,'[1]Sheet 1'!$D$2:$D$11107,"",0)</f>
        <v>VSS</v>
      </c>
      <c r="D416" s="4" t="str">
        <f>_xlfn.XLOOKUP(A416,[3]Sheet2!$I$2:$I$1623,[3]Sheet2!$D$2:$D$1623,"",0)</f>
        <v>Q3</v>
      </c>
      <c r="E416" s="4" t="s">
        <v>1828</v>
      </c>
      <c r="F416" s="4" t="e">
        <f>_xlfn.XLOOKUP(B416,[2]Sheet2!$E$2:$E$713,[2]Sheet2!$G$2:$G$713)</f>
        <v>#N/A</v>
      </c>
      <c r="G416" s="18">
        <v>46112</v>
      </c>
      <c r="H416" s="14">
        <v>0.23594907407407406</v>
      </c>
      <c r="I416" s="7" t="s">
        <v>11</v>
      </c>
      <c r="J416" s="2" t="str">
        <f t="shared" si="30"/>
        <v>Q3</v>
      </c>
      <c r="K416" s="2" t="str">
        <f t="shared" si="31"/>
        <v>Match</v>
      </c>
      <c r="L416" s="2">
        <f t="shared" si="32"/>
        <v>0.1</v>
      </c>
      <c r="M416" s="2" t="e">
        <f t="shared" si="33"/>
        <v>#N/A</v>
      </c>
      <c r="N416" s="2" t="str">
        <f t="shared" si="34"/>
        <v>Q OK dE&lt;=0.8</v>
      </c>
      <c r="O416" s="7">
        <v>16.899999999999999</v>
      </c>
      <c r="P416" s="7">
        <v>-0.1</v>
      </c>
      <c r="Q416" s="7">
        <v>-1</v>
      </c>
      <c r="R416" s="7">
        <v>-0.04</v>
      </c>
      <c r="S416" s="7">
        <v>0.1</v>
      </c>
      <c r="T416" s="20">
        <v>0</v>
      </c>
      <c r="U416" s="7">
        <v>-0.11</v>
      </c>
      <c r="V416" s="7">
        <v>0.13</v>
      </c>
      <c r="W416" s="7">
        <v>0.18</v>
      </c>
      <c r="X416" s="7" t="s">
        <v>8</v>
      </c>
      <c r="Y416" s="7" t="s">
        <v>9</v>
      </c>
      <c r="Z416" s="2" t="s">
        <v>718</v>
      </c>
      <c r="AA416" s="2" t="s">
        <v>721</v>
      </c>
    </row>
    <row r="417" spans="1:27" x14ac:dyDescent="0.35">
      <c r="A417" s="7" t="s">
        <v>1528</v>
      </c>
      <c r="B417" s="7" t="s">
        <v>1092</v>
      </c>
      <c r="C417" s="7" t="str">
        <f>_xlfn.XLOOKUP(B417,'[1]Sheet 1'!$A$2:$A$11107,'[1]Sheet 1'!$D$2:$D$11107,"",0)</f>
        <v>LULU</v>
      </c>
      <c r="D417" s="4" t="str">
        <f>_xlfn.XLOOKUP(A417,[3]Sheet2!$I$2:$I$1623,[3]Sheet2!$D$2:$D$1623,"",0)</f>
        <v>Q1</v>
      </c>
      <c r="E417" s="4" t="s">
        <v>1828</v>
      </c>
      <c r="F417" s="4" t="e">
        <f>_xlfn.XLOOKUP(B417,[2]Sheet2!$E$2:$E$713,[2]Sheet2!$G$2:$G$713)</f>
        <v>#N/A</v>
      </c>
      <c r="G417" s="18">
        <v>46112</v>
      </c>
      <c r="H417" s="14">
        <v>0.43346064814814816</v>
      </c>
      <c r="I417" s="7" t="s">
        <v>4</v>
      </c>
      <c r="J417" s="2" t="str">
        <f t="shared" si="30"/>
        <v>Q2</v>
      </c>
      <c r="K417" s="2" t="str">
        <f t="shared" si="31"/>
        <v>Not Match</v>
      </c>
      <c r="L417" s="2">
        <f t="shared" si="32"/>
        <v>0.70710678118654757</v>
      </c>
      <c r="M417" s="2" t="e">
        <f t="shared" si="33"/>
        <v>#N/A</v>
      </c>
      <c r="N417" s="2" t="str">
        <f t="shared" si="34"/>
        <v>Q NOT OK dE&lt;=0.8</v>
      </c>
      <c r="O417" s="7">
        <v>40.4</v>
      </c>
      <c r="P417" s="7">
        <v>54.9</v>
      </c>
      <c r="Q417" s="7">
        <v>-6.6</v>
      </c>
      <c r="R417" s="7">
        <v>-0.24</v>
      </c>
      <c r="S417" s="7">
        <v>-0.5</v>
      </c>
      <c r="T417" s="7">
        <v>0.5</v>
      </c>
      <c r="U417" s="7">
        <v>-0.23</v>
      </c>
      <c r="V417" s="7">
        <v>0.25</v>
      </c>
      <c r="W417" s="7">
        <v>0.42</v>
      </c>
      <c r="X417" s="7" t="s">
        <v>8</v>
      </c>
      <c r="Y417" s="7" t="s">
        <v>9</v>
      </c>
      <c r="Z417" s="2" t="s">
        <v>718</v>
      </c>
      <c r="AA417" s="2" t="s">
        <v>721</v>
      </c>
    </row>
    <row r="418" spans="1:27" x14ac:dyDescent="0.35">
      <c r="A418" s="7" t="s">
        <v>1722</v>
      </c>
      <c r="B418" s="7" t="s">
        <v>793</v>
      </c>
      <c r="C418" s="7" t="str">
        <f>_xlfn.XLOOKUP(B418,'[1]Sheet 1'!$A$2:$A$11107,'[1]Sheet 1'!$D$2:$D$11107,"",0)</f>
        <v>CK</v>
      </c>
      <c r="D418" s="4" t="str">
        <f>_xlfn.XLOOKUP(A418,[3]Sheet2!$I$2:$I$1623,[3]Sheet2!$D$2:$D$1623,"",0)</f>
        <v>Q4</v>
      </c>
      <c r="E418" s="4" t="s">
        <v>1828</v>
      </c>
      <c r="F418" s="4" t="e">
        <f>_xlfn.XLOOKUP(B418,[2]Sheet2!$E$2:$E$713,[2]Sheet2!$G$2:$G$713)</f>
        <v>#N/A</v>
      </c>
      <c r="G418" s="18">
        <v>46113</v>
      </c>
      <c r="H418" s="14">
        <v>0.2801851851851852</v>
      </c>
      <c r="I418" s="7" t="s">
        <v>11</v>
      </c>
      <c r="J418" s="2" t="str">
        <f t="shared" si="30"/>
        <v>Q4</v>
      </c>
      <c r="K418" s="2" t="str">
        <f t="shared" si="31"/>
        <v>Match</v>
      </c>
      <c r="L418" s="2">
        <f t="shared" si="32"/>
        <v>0.41231056256176613</v>
      </c>
      <c r="M418" s="2" t="e">
        <f t="shared" si="33"/>
        <v>#N/A</v>
      </c>
      <c r="N418" s="2" t="str">
        <f t="shared" si="34"/>
        <v>Q OK dE&lt;=0.8</v>
      </c>
      <c r="O418" s="7">
        <v>42.7</v>
      </c>
      <c r="P418" s="7">
        <v>40.799999999999997</v>
      </c>
      <c r="Q418" s="7">
        <v>25</v>
      </c>
      <c r="R418" s="7">
        <v>0.45</v>
      </c>
      <c r="S418" s="7">
        <v>0.1</v>
      </c>
      <c r="T418" s="7">
        <v>-0.4</v>
      </c>
      <c r="U418" s="7">
        <v>-0.03</v>
      </c>
      <c r="V418" s="7">
        <v>-0.37</v>
      </c>
      <c r="W418" s="7">
        <v>0.57999999999999996</v>
      </c>
      <c r="X418" s="7" t="s">
        <v>8</v>
      </c>
      <c r="Y418" s="7" t="s">
        <v>7</v>
      </c>
      <c r="Z418" s="2" t="s">
        <v>718</v>
      </c>
      <c r="AA418" s="2" t="s">
        <v>721</v>
      </c>
    </row>
    <row r="419" spans="1:27" x14ac:dyDescent="0.35">
      <c r="A419" s="7" t="s">
        <v>1500</v>
      </c>
      <c r="B419" s="7" t="s">
        <v>1113</v>
      </c>
      <c r="C419" s="7" t="str">
        <f>_xlfn.XLOOKUP(B419,'[1]Sheet 1'!$A$2:$A$11107,'[1]Sheet 1'!$D$2:$D$11107,"",0)</f>
        <v>LULU</v>
      </c>
      <c r="D419" s="4" t="str">
        <f>_xlfn.XLOOKUP(A419,[3]Sheet2!$I$2:$I$1623,[3]Sheet2!$D$2:$D$1623,"",0)</f>
        <v>Q2</v>
      </c>
      <c r="E419" s="4" t="s">
        <v>1828</v>
      </c>
      <c r="F419" s="4" t="e">
        <f>_xlfn.XLOOKUP(B419,[2]Sheet2!$E$2:$E$713,[2]Sheet2!$G$2:$G$713)</f>
        <v>#N/A</v>
      </c>
      <c r="G419" s="18">
        <v>46113</v>
      </c>
      <c r="H419" s="14">
        <v>0.26960648148148147</v>
      </c>
      <c r="I419" s="7" t="s">
        <v>4</v>
      </c>
      <c r="J419" s="2" t="str">
        <f t="shared" si="30"/>
        <v>Q2</v>
      </c>
      <c r="K419" s="2" t="str">
        <f t="shared" si="31"/>
        <v>Match</v>
      </c>
      <c r="L419" s="2">
        <f t="shared" si="32"/>
        <v>0.1</v>
      </c>
      <c r="M419" s="2" t="e">
        <f t="shared" si="33"/>
        <v>#N/A</v>
      </c>
      <c r="N419" s="2" t="str">
        <f t="shared" si="34"/>
        <v>Q OK dE&lt;=0.8</v>
      </c>
      <c r="O419" s="7">
        <v>17.5</v>
      </c>
      <c r="P419" s="7">
        <v>-0.8</v>
      </c>
      <c r="Q419" s="7">
        <v>-0.8</v>
      </c>
      <c r="R419" s="7">
        <v>-0.42</v>
      </c>
      <c r="S419" s="7">
        <v>0</v>
      </c>
      <c r="T419" s="7">
        <v>0.1</v>
      </c>
      <c r="U419" s="7">
        <v>-0.23</v>
      </c>
      <c r="V419" s="7">
        <v>-7.0000000000000007E-2</v>
      </c>
      <c r="W419" s="7">
        <v>0.48</v>
      </c>
      <c r="X419" s="7" t="s">
        <v>8</v>
      </c>
      <c r="Y419" s="7" t="s">
        <v>12</v>
      </c>
      <c r="Z419" s="2" t="s">
        <v>718</v>
      </c>
      <c r="AA419" s="2" t="s">
        <v>721</v>
      </c>
    </row>
    <row r="420" spans="1:27" x14ac:dyDescent="0.35">
      <c r="A420" s="7" t="s">
        <v>1500</v>
      </c>
      <c r="B420" s="7" t="s">
        <v>1124</v>
      </c>
      <c r="C420" s="7" t="str">
        <f>_xlfn.XLOOKUP(B420,'[1]Sheet 1'!$A$2:$A$11107,'[1]Sheet 1'!$D$2:$D$11107,"",0)</f>
        <v>LULU</v>
      </c>
      <c r="D420" s="4" t="str">
        <f>_xlfn.XLOOKUP(A420,[3]Sheet2!$I$2:$I$1623,[3]Sheet2!$D$2:$D$1623,"",0)</f>
        <v>Q2</v>
      </c>
      <c r="E420" s="4" t="s">
        <v>1828</v>
      </c>
      <c r="F420" s="4" t="e">
        <f>_xlfn.XLOOKUP(B420,[2]Sheet2!$E$2:$E$713,[2]Sheet2!$G$2:$G$713)</f>
        <v>#N/A</v>
      </c>
      <c r="G420" s="18">
        <v>46113</v>
      </c>
      <c r="H420" s="14">
        <v>0.60730324074074071</v>
      </c>
      <c r="I420" s="7" t="s">
        <v>4</v>
      </c>
      <c r="J420" s="2" t="str">
        <f t="shared" si="30"/>
        <v>Q1</v>
      </c>
      <c r="K420" s="2" t="str">
        <f t="shared" si="31"/>
        <v>Not Match</v>
      </c>
      <c r="L420" s="2">
        <f t="shared" si="32"/>
        <v>0.42426406871192851</v>
      </c>
      <c r="M420" s="2" t="e">
        <f t="shared" si="33"/>
        <v>#N/A</v>
      </c>
      <c r="N420" s="2" t="str">
        <f t="shared" si="34"/>
        <v>Q NOT OK dE&gt;0.8</v>
      </c>
      <c r="O420" s="7">
        <v>16.7</v>
      </c>
      <c r="P420" s="7">
        <v>-0.6</v>
      </c>
      <c r="Q420" s="7">
        <v>-0.6</v>
      </c>
      <c r="R420" s="7">
        <v>-1.22</v>
      </c>
      <c r="S420" s="7">
        <v>0.3</v>
      </c>
      <c r="T420" s="7">
        <v>0.3</v>
      </c>
      <c r="U420" s="7">
        <v>-0.61</v>
      </c>
      <c r="V420" s="7">
        <v>-0.01</v>
      </c>
      <c r="W420" s="7">
        <v>1.36</v>
      </c>
      <c r="X420" s="7" t="s">
        <v>6</v>
      </c>
      <c r="Y420" s="7" t="s">
        <v>12</v>
      </c>
      <c r="Z420" s="2" t="s">
        <v>718</v>
      </c>
      <c r="AA420" s="2" t="s">
        <v>721</v>
      </c>
    </row>
    <row r="421" spans="1:27" x14ac:dyDescent="0.35">
      <c r="A421" s="7" t="s">
        <v>1594</v>
      </c>
      <c r="B421" s="7" t="s">
        <v>1122</v>
      </c>
      <c r="C421" s="7" t="str">
        <f>_xlfn.XLOOKUP(B421,'[1]Sheet 1'!$A$2:$A$11107,'[1]Sheet 1'!$D$2:$D$11107,"",0)</f>
        <v>GLA</v>
      </c>
      <c r="D421" s="4" t="str">
        <f>_xlfn.XLOOKUP(A421,[3]Sheet2!$I$2:$I$1623,[3]Sheet2!$D$2:$D$1623,"",0)</f>
        <v>Q1</v>
      </c>
      <c r="E421" s="4" t="s">
        <v>1828</v>
      </c>
      <c r="F421" s="4" t="e">
        <f>_xlfn.XLOOKUP(B421,[2]Sheet2!$E$2:$E$713,[2]Sheet2!$G$2:$G$713)</f>
        <v>#N/A</v>
      </c>
      <c r="G421" s="18">
        <v>46113</v>
      </c>
      <c r="H421" s="14">
        <v>0.5920023148148148</v>
      </c>
      <c r="I421" s="7" t="s">
        <v>11</v>
      </c>
      <c r="J421" s="2" t="str">
        <f t="shared" si="30"/>
        <v>Q1</v>
      </c>
      <c r="K421" s="2" t="str">
        <f t="shared" si="31"/>
        <v>Match</v>
      </c>
      <c r="L421" s="2">
        <f t="shared" si="32"/>
        <v>0.3</v>
      </c>
      <c r="M421" s="2" t="e">
        <f t="shared" si="33"/>
        <v>#N/A</v>
      </c>
      <c r="N421" s="2" t="str">
        <f t="shared" si="34"/>
        <v>Q OK dE&lt;=0.8</v>
      </c>
      <c r="O421" s="7">
        <v>17.2</v>
      </c>
      <c r="P421" s="7">
        <v>-0.6</v>
      </c>
      <c r="Q421" s="7">
        <v>-4.4000000000000004</v>
      </c>
      <c r="R421" s="7">
        <v>0.51</v>
      </c>
      <c r="S421" s="7">
        <v>0</v>
      </c>
      <c r="T421" s="7">
        <v>-0.3</v>
      </c>
      <c r="U421" s="7">
        <v>0.4</v>
      </c>
      <c r="V421" s="7">
        <v>-0.03</v>
      </c>
      <c r="W421" s="7">
        <v>0.65</v>
      </c>
      <c r="X421" s="7" t="s">
        <v>8</v>
      </c>
      <c r="Y421" s="7" t="s">
        <v>15</v>
      </c>
      <c r="Z421" s="2" t="s">
        <v>718</v>
      </c>
      <c r="AA421" s="2" t="s">
        <v>721</v>
      </c>
    </row>
    <row r="422" spans="1:27" x14ac:dyDescent="0.35">
      <c r="A422" s="7" t="s">
        <v>1515</v>
      </c>
      <c r="B422" s="7" t="s">
        <v>1107</v>
      </c>
      <c r="C422" s="7" t="str">
        <f>_xlfn.XLOOKUP(B422,'[1]Sheet 1'!$A$2:$A$11107,'[1]Sheet 1'!$D$2:$D$11107,"",0)</f>
        <v>VSS</v>
      </c>
      <c r="D422" s="4" t="str">
        <f>_xlfn.XLOOKUP(A422,[3]Sheet2!$I$2:$I$1623,[3]Sheet2!$D$2:$D$1623,"",0)</f>
        <v>Q3</v>
      </c>
      <c r="E422" s="4" t="s">
        <v>1828</v>
      </c>
      <c r="F422" s="4" t="e">
        <f>_xlfn.XLOOKUP(B422,[2]Sheet2!$E$2:$E$713,[2]Sheet2!$G$2:$G$713)</f>
        <v>#N/A</v>
      </c>
      <c r="G422" s="18">
        <v>46113</v>
      </c>
      <c r="H422" s="14">
        <v>1.0960648148148148E-2</v>
      </c>
      <c r="I422" s="7" t="s">
        <v>10</v>
      </c>
      <c r="J422" s="2" t="str">
        <f t="shared" si="30"/>
        <v>Q3</v>
      </c>
      <c r="K422" s="2" t="str">
        <f t="shared" si="31"/>
        <v>Match</v>
      </c>
      <c r="L422" s="2">
        <f t="shared" si="32"/>
        <v>0.22360679774997899</v>
      </c>
      <c r="M422" s="2" t="e">
        <f t="shared" si="33"/>
        <v>#N/A</v>
      </c>
      <c r="N422" s="2" t="str">
        <f t="shared" si="34"/>
        <v>Q OK dE&gt;0.8</v>
      </c>
      <c r="O422" s="7">
        <v>13.9</v>
      </c>
      <c r="P422" s="7">
        <v>0</v>
      </c>
      <c r="Q422" s="7">
        <v>-1.9</v>
      </c>
      <c r="R422" s="7">
        <v>-1.02</v>
      </c>
      <c r="S422" s="7">
        <v>-0.1</v>
      </c>
      <c r="T422" s="7">
        <v>-0.2</v>
      </c>
      <c r="U422" s="7">
        <v>0.3</v>
      </c>
      <c r="V422" s="7">
        <v>-0.15</v>
      </c>
      <c r="W422" s="7">
        <v>1.08</v>
      </c>
      <c r="X422" s="7" t="s">
        <v>6</v>
      </c>
      <c r="Y422" s="7" t="s">
        <v>15</v>
      </c>
      <c r="Z422" s="2" t="s">
        <v>718</v>
      </c>
      <c r="AA422" s="2" t="s">
        <v>721</v>
      </c>
    </row>
    <row r="423" spans="1:27" x14ac:dyDescent="0.35">
      <c r="A423" s="7" t="s">
        <v>1553</v>
      </c>
      <c r="B423" s="7" t="s">
        <v>1111</v>
      </c>
      <c r="C423" s="7" t="str">
        <f>_xlfn.XLOOKUP(B423,'[1]Sheet 1'!$A$2:$A$11107,'[1]Sheet 1'!$D$2:$D$11107,"",0)</f>
        <v>TORD</v>
      </c>
      <c r="D423" s="4" t="str">
        <f>_xlfn.XLOOKUP(A423,[3]Sheet2!$I$2:$I$1623,[3]Sheet2!$D$2:$D$1623,"",0)</f>
        <v>Q4</v>
      </c>
      <c r="E423" s="4" t="s">
        <v>1828</v>
      </c>
      <c r="F423" s="4" t="e">
        <f>_xlfn.XLOOKUP(B423,[2]Sheet2!$E$2:$E$713,[2]Sheet2!$G$2:$G$713)</f>
        <v>#N/A</v>
      </c>
      <c r="G423" s="18">
        <v>46113</v>
      </c>
      <c r="H423" s="14">
        <v>0.19300925925925927</v>
      </c>
      <c r="I423" s="7" t="s">
        <v>5</v>
      </c>
      <c r="J423" s="2" t="str">
        <f t="shared" si="30"/>
        <v>Q3</v>
      </c>
      <c r="K423" s="2" t="str">
        <f t="shared" si="31"/>
        <v>Not Match</v>
      </c>
      <c r="L423" s="2">
        <f t="shared" si="32"/>
        <v>0.22360679774997899</v>
      </c>
      <c r="M423" s="2" t="e">
        <f t="shared" si="33"/>
        <v>#N/A</v>
      </c>
      <c r="N423" s="2" t="str">
        <f t="shared" si="34"/>
        <v>Q NOT OK dE&lt;=0.8</v>
      </c>
      <c r="O423" s="7">
        <v>15</v>
      </c>
      <c r="P423" s="7">
        <v>-0.4</v>
      </c>
      <c r="Q423" s="7">
        <v>-3.6</v>
      </c>
      <c r="R423" s="7">
        <v>-0.48</v>
      </c>
      <c r="S423" s="7">
        <v>-0.2</v>
      </c>
      <c r="T423" s="7">
        <v>-0.1</v>
      </c>
      <c r="U423" s="7">
        <v>0.17</v>
      </c>
      <c r="V423" s="7">
        <v>-0.27</v>
      </c>
      <c r="W423" s="7">
        <v>0.56999999999999995</v>
      </c>
      <c r="X423" s="7" t="s">
        <v>8</v>
      </c>
      <c r="Y423" s="7" t="s">
        <v>15</v>
      </c>
      <c r="Z423" s="2" t="s">
        <v>718</v>
      </c>
      <c r="AA423" s="2" t="s">
        <v>721</v>
      </c>
    </row>
    <row r="424" spans="1:27" x14ac:dyDescent="0.35">
      <c r="A424" s="7" t="s">
        <v>1586</v>
      </c>
      <c r="B424" s="7" t="s">
        <v>1106</v>
      </c>
      <c r="C424" s="7" t="str">
        <f>_xlfn.XLOOKUP(B424,'[1]Sheet 1'!$A$2:$A$11107,'[1]Sheet 1'!$D$2:$D$11107,"",0)</f>
        <v>INT1</v>
      </c>
      <c r="D424" s="4" t="str">
        <f>_xlfn.XLOOKUP(A424,[3]Sheet2!$I$2:$I$1623,[3]Sheet2!$D$2:$D$1623,"",0)</f>
        <v>Q2</v>
      </c>
      <c r="E424" s="4" t="s">
        <v>1828</v>
      </c>
      <c r="F424" s="4" t="e">
        <f>_xlfn.XLOOKUP(B424,[2]Sheet2!$E$2:$E$713,[2]Sheet2!$G$2:$G$713)</f>
        <v>#N/A</v>
      </c>
      <c r="G424" s="18">
        <v>46113</v>
      </c>
      <c r="H424" s="14">
        <v>8.3449074074074068E-3</v>
      </c>
      <c r="I424" s="7" t="s">
        <v>4</v>
      </c>
      <c r="J424" s="2" t="str">
        <f t="shared" si="30"/>
        <v>Q3</v>
      </c>
      <c r="K424" s="2" t="str">
        <f t="shared" si="31"/>
        <v>Not Match</v>
      </c>
      <c r="L424" s="2">
        <f t="shared" si="32"/>
        <v>0.14142135623730953</v>
      </c>
      <c r="M424" s="2" t="e">
        <f t="shared" si="33"/>
        <v>#N/A</v>
      </c>
      <c r="N424" s="2" t="str">
        <f t="shared" si="34"/>
        <v>Q NOT OK dE&lt;=0.8</v>
      </c>
      <c r="O424" s="7">
        <v>17.8</v>
      </c>
      <c r="P424" s="7">
        <v>0</v>
      </c>
      <c r="Q424" s="7">
        <v>-1.2</v>
      </c>
      <c r="R424" s="7">
        <v>-0.2</v>
      </c>
      <c r="S424" s="7">
        <v>-0.1</v>
      </c>
      <c r="T424" s="7">
        <v>-0.1</v>
      </c>
      <c r="U424" s="7">
        <v>0.2</v>
      </c>
      <c r="V424" s="7">
        <v>-0.17</v>
      </c>
      <c r="W424" s="7">
        <v>0.33</v>
      </c>
      <c r="X424" s="7" t="s">
        <v>8</v>
      </c>
      <c r="Y424" s="7" t="s">
        <v>15</v>
      </c>
      <c r="Z424" s="2" t="s">
        <v>718</v>
      </c>
      <c r="AA424" s="2" t="s">
        <v>721</v>
      </c>
    </row>
    <row r="425" spans="1:27" x14ac:dyDescent="0.35">
      <c r="A425" s="7" t="s">
        <v>1500</v>
      </c>
      <c r="B425" s="7" t="s">
        <v>1123</v>
      </c>
      <c r="C425" s="7" t="str">
        <f>_xlfn.XLOOKUP(B425,'[1]Sheet 1'!$A$2:$A$11107,'[1]Sheet 1'!$D$2:$D$11107,"",0)</f>
        <v>LULU</v>
      </c>
      <c r="D425" s="4" t="str">
        <f>_xlfn.XLOOKUP(A425,[3]Sheet2!$I$2:$I$1623,[3]Sheet2!$D$2:$D$1623,"",0)</f>
        <v>Q2</v>
      </c>
      <c r="E425" s="4" t="s">
        <v>1827</v>
      </c>
      <c r="F425" s="4" t="e">
        <f>_xlfn.XLOOKUP(B425,[2]Sheet2!$E$2:$E$713,[2]Sheet2!$G$2:$G$713)</f>
        <v>#N/A</v>
      </c>
      <c r="G425" s="18">
        <v>46113</v>
      </c>
      <c r="H425" s="14">
        <v>0.60209490740740745</v>
      </c>
      <c r="I425" s="7" t="s">
        <v>4</v>
      </c>
      <c r="J425" s="2" t="str">
        <f t="shared" si="30"/>
        <v>Q1</v>
      </c>
      <c r="K425" s="2" t="str">
        <f t="shared" si="31"/>
        <v>Not Match</v>
      </c>
      <c r="L425" s="2">
        <f t="shared" si="32"/>
        <v>0.28284271247461906</v>
      </c>
      <c r="M425" s="2" t="e">
        <f t="shared" si="33"/>
        <v>#N/A</v>
      </c>
      <c r="N425" s="2" t="str">
        <f t="shared" si="34"/>
        <v>Q NOT OK dE&gt;0.8</v>
      </c>
      <c r="O425" s="7">
        <v>16.899999999999999</v>
      </c>
      <c r="P425" s="7">
        <v>-0.7</v>
      </c>
      <c r="Q425" s="7">
        <v>-0.8</v>
      </c>
      <c r="R425" s="7">
        <v>-0.99</v>
      </c>
      <c r="S425" s="7">
        <v>0.2</v>
      </c>
      <c r="T425" s="7">
        <v>0.2</v>
      </c>
      <c r="U425" s="7">
        <v>-0.4</v>
      </c>
      <c r="V425" s="7">
        <v>0.02</v>
      </c>
      <c r="W425" s="7">
        <v>1.07</v>
      </c>
      <c r="X425" s="7" t="s">
        <v>6</v>
      </c>
      <c r="Y425" s="7" t="s">
        <v>7</v>
      </c>
      <c r="Z425" s="2" t="s">
        <v>718</v>
      </c>
      <c r="AA425" s="2" t="s">
        <v>721</v>
      </c>
    </row>
    <row r="426" spans="1:27" x14ac:dyDescent="0.35">
      <c r="A426" s="7" t="s">
        <v>1655</v>
      </c>
      <c r="B426" s="7" t="s">
        <v>1114</v>
      </c>
      <c r="C426" s="7" t="str">
        <f>_xlfn.XLOOKUP(B426,'[1]Sheet 1'!$A$2:$A$11107,'[1]Sheet 1'!$D$2:$D$11107,"",0)</f>
        <v>PINK</v>
      </c>
      <c r="D426" s="4" t="str">
        <f>_xlfn.XLOOKUP(A426,[3]Sheet2!$I$2:$I$1623,[3]Sheet2!$D$2:$D$1623,"",0)</f>
        <v>Q3</v>
      </c>
      <c r="E426" s="4" t="s">
        <v>1828</v>
      </c>
      <c r="F426" s="4" t="e">
        <f>_xlfn.XLOOKUP(B426,[2]Sheet2!$E$2:$E$713,[2]Sheet2!$G$2:$G$713)</f>
        <v>#N/A</v>
      </c>
      <c r="G426" s="18">
        <v>46113</v>
      </c>
      <c r="H426" s="14">
        <v>0.27185185185185184</v>
      </c>
      <c r="I426" s="7" t="s">
        <v>10</v>
      </c>
      <c r="J426" s="2" t="str">
        <f t="shared" si="30"/>
        <v>Q3</v>
      </c>
      <c r="K426" s="2" t="str">
        <f t="shared" si="31"/>
        <v>Match</v>
      </c>
      <c r="L426" s="2">
        <f t="shared" si="32"/>
        <v>0</v>
      </c>
      <c r="M426" s="2" t="e">
        <f t="shared" si="33"/>
        <v>#N/A</v>
      </c>
      <c r="N426" s="2" t="str">
        <f t="shared" si="34"/>
        <v>Q OK dE&lt;=0.8</v>
      </c>
      <c r="O426" s="7">
        <v>14.6</v>
      </c>
      <c r="P426" s="7">
        <v>0.6</v>
      </c>
      <c r="Q426" s="7">
        <v>-0.9</v>
      </c>
      <c r="R426" s="7">
        <v>0.52</v>
      </c>
      <c r="S426" s="7">
        <v>0</v>
      </c>
      <c r="T426" s="20">
        <v>0</v>
      </c>
      <c r="U426" s="7">
        <v>0.1</v>
      </c>
      <c r="V426" s="7">
        <v>-0.06</v>
      </c>
      <c r="W426" s="7">
        <v>0.54</v>
      </c>
      <c r="X426" s="7" t="s">
        <v>8</v>
      </c>
      <c r="Y426" s="7" t="s">
        <v>7</v>
      </c>
      <c r="Z426" s="2" t="s">
        <v>718</v>
      </c>
      <c r="AA426" s="2" t="s">
        <v>721</v>
      </c>
    </row>
    <row r="427" spans="1:27" x14ac:dyDescent="0.35">
      <c r="A427" s="7" t="s">
        <v>1595</v>
      </c>
      <c r="B427" s="7" t="s">
        <v>1128</v>
      </c>
      <c r="C427" s="7" t="str">
        <f>_xlfn.XLOOKUP(B427,'[1]Sheet 1'!$A$2:$A$11107,'[1]Sheet 1'!$D$2:$D$11107,"",0)</f>
        <v>M&amp;S</v>
      </c>
      <c r="D427" s="4" t="str">
        <f>_xlfn.XLOOKUP(A427,[3]Sheet2!$I$2:$I$1623,[3]Sheet2!$D$2:$D$1623,"",0)</f>
        <v>Q4</v>
      </c>
      <c r="E427" s="4" t="s">
        <v>1827</v>
      </c>
      <c r="F427" s="4" t="e">
        <f>_xlfn.XLOOKUP(B427,[2]Sheet2!$E$2:$E$713,[2]Sheet2!$G$2:$G$713)</f>
        <v>#N/A</v>
      </c>
      <c r="G427" s="18">
        <v>46113</v>
      </c>
      <c r="H427" s="14">
        <v>0.75800925925925922</v>
      </c>
      <c r="I427" s="7" t="s">
        <v>17</v>
      </c>
      <c r="J427" s="2" t="str">
        <f t="shared" si="30"/>
        <v>Q1</v>
      </c>
      <c r="K427" s="2" t="str">
        <f t="shared" si="31"/>
        <v>Not Match</v>
      </c>
      <c r="L427" s="2">
        <f t="shared" si="32"/>
        <v>0.41231056256176613</v>
      </c>
      <c r="M427" s="2" t="e">
        <f t="shared" si="33"/>
        <v>#N/A</v>
      </c>
      <c r="N427" s="2" t="str">
        <f t="shared" si="34"/>
        <v>Q NOT OK dE&lt;=0.8</v>
      </c>
      <c r="O427" s="7">
        <v>28.3</v>
      </c>
      <c r="P427" s="7">
        <v>-1.9</v>
      </c>
      <c r="Q427" s="7">
        <v>-2.2000000000000002</v>
      </c>
      <c r="R427" s="7">
        <v>-0.45</v>
      </c>
      <c r="S427" s="7">
        <v>0.1</v>
      </c>
      <c r="T427" s="7">
        <v>0.4</v>
      </c>
      <c r="U427" s="7">
        <v>-0.55000000000000004</v>
      </c>
      <c r="V427" s="7">
        <v>-0.23</v>
      </c>
      <c r="W427" s="7">
        <v>0.74</v>
      </c>
      <c r="X427" s="7" t="s">
        <v>8</v>
      </c>
      <c r="Y427" s="7" t="s">
        <v>12</v>
      </c>
      <c r="Z427" s="2" t="s">
        <v>718</v>
      </c>
      <c r="AA427" s="2" t="s">
        <v>721</v>
      </c>
    </row>
    <row r="428" spans="1:27" x14ac:dyDescent="0.35">
      <c r="A428" s="7" t="s">
        <v>1557</v>
      </c>
      <c r="B428" s="7" t="s">
        <v>1105</v>
      </c>
      <c r="C428" s="7" t="str">
        <f>_xlfn.XLOOKUP(B428,'[1]Sheet 1'!$A$2:$A$11107,'[1]Sheet 1'!$D$2:$D$11107,"",0)</f>
        <v>M&amp;S</v>
      </c>
      <c r="D428" s="4" t="str">
        <f>_xlfn.XLOOKUP(A428,[3]Sheet2!$I$2:$I$1623,[3]Sheet2!$D$2:$D$1623,"",0)</f>
        <v>Q3</v>
      </c>
      <c r="E428" s="4" t="s">
        <v>1828</v>
      </c>
      <c r="F428" s="4" t="e">
        <f>_xlfn.XLOOKUP(B428,[2]Sheet2!$E$2:$E$713,[2]Sheet2!$G$2:$G$713)</f>
        <v>#N/A</v>
      </c>
      <c r="G428" s="18">
        <v>46113</v>
      </c>
      <c r="H428" s="14">
        <v>5.4861111111111109E-3</v>
      </c>
      <c r="I428" s="7" t="s">
        <v>17</v>
      </c>
      <c r="J428" s="2" t="str">
        <f t="shared" si="30"/>
        <v>Q3</v>
      </c>
      <c r="K428" s="2" t="str">
        <f t="shared" si="31"/>
        <v>Match</v>
      </c>
      <c r="L428" s="2">
        <f t="shared" si="32"/>
        <v>0.28284271247461906</v>
      </c>
      <c r="M428" s="2" t="e">
        <f t="shared" si="33"/>
        <v>#N/A</v>
      </c>
      <c r="N428" s="2" t="str">
        <f t="shared" si="34"/>
        <v>Q OK dE&lt;=0.8</v>
      </c>
      <c r="O428" s="7">
        <v>15.3</v>
      </c>
      <c r="P428" s="7">
        <v>-0.6</v>
      </c>
      <c r="Q428" s="7">
        <v>-1.8</v>
      </c>
      <c r="R428" s="7">
        <v>-0.26</v>
      </c>
      <c r="S428" s="7">
        <v>-0.2</v>
      </c>
      <c r="T428" s="7">
        <v>-0.2</v>
      </c>
      <c r="U428" s="7">
        <v>0.38</v>
      </c>
      <c r="V428" s="7">
        <v>-0.3</v>
      </c>
      <c r="W428" s="7">
        <v>0.55000000000000004</v>
      </c>
      <c r="X428" s="7" t="s">
        <v>8</v>
      </c>
      <c r="Y428" s="7" t="s">
        <v>15</v>
      </c>
      <c r="Z428" s="2" t="s">
        <v>718</v>
      </c>
      <c r="AA428" s="2" t="s">
        <v>721</v>
      </c>
    </row>
    <row r="429" spans="1:27" x14ac:dyDescent="0.35">
      <c r="A429" s="7" t="s">
        <v>1597</v>
      </c>
      <c r="B429" s="7" t="s">
        <v>1126</v>
      </c>
      <c r="C429" s="7" t="str">
        <f>_xlfn.XLOOKUP(B429,'[1]Sheet 1'!$A$2:$A$11107,'[1]Sheet 1'!$D$2:$D$11107,"",0)</f>
        <v>WACE</v>
      </c>
      <c r="D429" s="4">
        <v>0</v>
      </c>
      <c r="E429" s="4" t="s">
        <v>1828</v>
      </c>
      <c r="F429" s="4" t="e">
        <f>_xlfn.XLOOKUP(B429,[2]Sheet2!$E$2:$E$713,[2]Sheet2!$G$2:$G$713)</f>
        <v>#N/A</v>
      </c>
      <c r="G429" s="18">
        <v>46113</v>
      </c>
      <c r="H429" s="14">
        <v>0.61484953703703704</v>
      </c>
      <c r="I429" s="7" t="s">
        <v>4</v>
      </c>
      <c r="J429" s="2">
        <f t="shared" si="30"/>
        <v>0</v>
      </c>
      <c r="K429" s="2" t="str">
        <f t="shared" si="31"/>
        <v>Match</v>
      </c>
      <c r="L429" s="2">
        <f t="shared" si="32"/>
        <v>0.2</v>
      </c>
      <c r="M429" s="2" t="e">
        <f t="shared" si="33"/>
        <v>#N/A</v>
      </c>
      <c r="N429" s="2" t="str">
        <f t="shared" si="34"/>
        <v>Quadrant not assigned</v>
      </c>
      <c r="O429" s="7">
        <v>16.2</v>
      </c>
      <c r="P429" s="7">
        <v>-0.7</v>
      </c>
      <c r="Q429" s="7">
        <v>-2</v>
      </c>
      <c r="R429" s="7">
        <v>-0.09</v>
      </c>
      <c r="S429" s="7">
        <v>0.2</v>
      </c>
      <c r="T429" s="20">
        <v>0</v>
      </c>
      <c r="U429" s="7">
        <v>-0.2</v>
      </c>
      <c r="V429" s="7">
        <v>0.2</v>
      </c>
      <c r="W429" s="7">
        <v>0.3</v>
      </c>
      <c r="X429" s="7" t="s">
        <v>8</v>
      </c>
      <c r="Y429" s="7" t="s">
        <v>9</v>
      </c>
      <c r="Z429" s="2" t="s">
        <v>718</v>
      </c>
      <c r="AA429" s="2" t="s">
        <v>721</v>
      </c>
    </row>
    <row r="430" spans="1:27" x14ac:dyDescent="0.35">
      <c r="A430" s="7" t="s">
        <v>1540</v>
      </c>
      <c r="B430" s="7" t="s">
        <v>1127</v>
      </c>
      <c r="C430" s="7" t="str">
        <f>_xlfn.XLOOKUP(B430,'[1]Sheet 1'!$A$2:$A$11107,'[1]Sheet 1'!$D$2:$D$11107,"",0)</f>
        <v>VSS</v>
      </c>
      <c r="D430" s="4" t="str">
        <f>_xlfn.XLOOKUP(A430,[3]Sheet2!$I$2:$I$1623,[3]Sheet2!$D$2:$D$1623,"",0)</f>
        <v>Q3</v>
      </c>
      <c r="E430" s="4" t="s">
        <v>1827</v>
      </c>
      <c r="F430" s="4" t="e">
        <f>_xlfn.XLOOKUP(B430,[2]Sheet2!$E$2:$E$713,[2]Sheet2!$G$2:$G$713)</f>
        <v>#N/A</v>
      </c>
      <c r="G430" s="18">
        <v>46113</v>
      </c>
      <c r="H430" s="14">
        <v>0.69980324074074074</v>
      </c>
      <c r="I430" s="7" t="s">
        <v>10</v>
      </c>
      <c r="J430" s="2" t="str">
        <f t="shared" si="30"/>
        <v>Q1</v>
      </c>
      <c r="K430" s="2" t="str">
        <f t="shared" si="31"/>
        <v>Not Match</v>
      </c>
      <c r="L430" s="2">
        <f t="shared" si="32"/>
        <v>0.41231056256176613</v>
      </c>
      <c r="M430" s="2" t="e">
        <f t="shared" si="33"/>
        <v>#N/A</v>
      </c>
      <c r="N430" s="2" t="str">
        <f t="shared" si="34"/>
        <v>Q NOT OK dE&gt;0.8</v>
      </c>
      <c r="O430" s="7">
        <v>13.4</v>
      </c>
      <c r="P430" s="7">
        <v>0.6</v>
      </c>
      <c r="Q430" s="7">
        <v>-0.7</v>
      </c>
      <c r="R430" s="7">
        <v>-1.1000000000000001</v>
      </c>
      <c r="S430" s="7">
        <v>0.1</v>
      </c>
      <c r="T430" s="7">
        <v>0.4</v>
      </c>
      <c r="U430" s="7">
        <v>-0.45</v>
      </c>
      <c r="V430" s="7">
        <v>0.56999999999999995</v>
      </c>
      <c r="W430" s="7">
        <v>1.32</v>
      </c>
      <c r="X430" s="7" t="s">
        <v>6</v>
      </c>
      <c r="Y430" s="7" t="s">
        <v>9</v>
      </c>
      <c r="Z430" s="2" t="s">
        <v>718</v>
      </c>
      <c r="AA430" s="2" t="s">
        <v>721</v>
      </c>
    </row>
    <row r="431" spans="1:27" x14ac:dyDescent="0.35">
      <c r="A431" s="7" t="s">
        <v>1533</v>
      </c>
      <c r="B431" s="7" t="s">
        <v>1109</v>
      </c>
      <c r="C431" s="7" t="str">
        <f>_xlfn.XLOOKUP(B431,'[1]Sheet 1'!$A$2:$A$11107,'[1]Sheet 1'!$D$2:$D$11107,"",0)</f>
        <v>M&amp;S</v>
      </c>
      <c r="D431" s="4" t="str">
        <f>_xlfn.XLOOKUP(A431,[3]Sheet2!$I$2:$I$1623,[3]Sheet2!$D$2:$D$1623,"",0)</f>
        <v>Q2</v>
      </c>
      <c r="E431" s="4" t="s">
        <v>1828</v>
      </c>
      <c r="F431" s="4" t="e">
        <f>_xlfn.XLOOKUP(B431,[2]Sheet2!$E$2:$E$713,[2]Sheet2!$G$2:$G$713)</f>
        <v>#N/A</v>
      </c>
      <c r="G431" s="18">
        <v>46113</v>
      </c>
      <c r="H431" s="14">
        <v>0.18712962962962962</v>
      </c>
      <c r="I431" s="7" t="s">
        <v>17</v>
      </c>
      <c r="J431" s="2" t="str">
        <f t="shared" si="30"/>
        <v>Q4</v>
      </c>
      <c r="K431" s="2" t="str">
        <f t="shared" si="31"/>
        <v>Not Match</v>
      </c>
      <c r="L431" s="2">
        <f t="shared" si="32"/>
        <v>0.80622577482985502</v>
      </c>
      <c r="M431" s="2" t="e">
        <f t="shared" si="33"/>
        <v>#N/A</v>
      </c>
      <c r="N431" s="2" t="str">
        <f t="shared" si="34"/>
        <v>Q NOT OK dE&lt;=0.8</v>
      </c>
      <c r="O431" s="7">
        <v>25.2</v>
      </c>
      <c r="P431" s="7">
        <v>0.6</v>
      </c>
      <c r="Q431" s="7">
        <v>8.1</v>
      </c>
      <c r="R431" s="7">
        <v>0.02</v>
      </c>
      <c r="S431" s="7">
        <v>0.1</v>
      </c>
      <c r="T431" s="7">
        <v>-0.8</v>
      </c>
      <c r="U431" s="7">
        <v>-0.68</v>
      </c>
      <c r="V431" s="7">
        <v>-0.23</v>
      </c>
      <c r="W431" s="7">
        <v>0.72</v>
      </c>
      <c r="X431" s="7" t="s">
        <v>8</v>
      </c>
      <c r="Y431" s="7" t="s">
        <v>9</v>
      </c>
      <c r="Z431" s="2" t="s">
        <v>718</v>
      </c>
      <c r="AA431" s="2" t="s">
        <v>721</v>
      </c>
    </row>
    <row r="432" spans="1:27" x14ac:dyDescent="0.35">
      <c r="A432" s="7" t="s">
        <v>1753</v>
      </c>
      <c r="B432" s="7" t="s">
        <v>1112</v>
      </c>
      <c r="C432" s="7" t="str">
        <f>_xlfn.XLOOKUP(B432,'[1]Sheet 1'!$A$2:$A$11107,'[1]Sheet 1'!$D$2:$D$11107,"",0)</f>
        <v>M&amp;S</v>
      </c>
      <c r="D432" s="4" t="str">
        <f>_xlfn.XLOOKUP(A432,[3]Sheet2!$I$2:$I$1623,[3]Sheet2!$D$2:$D$1623,"",0)</f>
        <v>Q4</v>
      </c>
      <c r="E432" s="4" t="s">
        <v>1828</v>
      </c>
      <c r="F432" s="4" t="e">
        <f>_xlfn.XLOOKUP(B432,[2]Sheet2!$E$2:$E$713,[2]Sheet2!$G$2:$G$713)</f>
        <v>#N/A</v>
      </c>
      <c r="G432" s="18">
        <v>46113</v>
      </c>
      <c r="H432" s="14">
        <v>0.26797453703703705</v>
      </c>
      <c r="I432" s="7" t="s">
        <v>17</v>
      </c>
      <c r="J432" s="2" t="str">
        <f t="shared" si="30"/>
        <v>Q4</v>
      </c>
      <c r="K432" s="2" t="str">
        <f t="shared" si="31"/>
        <v>Match</v>
      </c>
      <c r="L432" s="2">
        <f t="shared" si="32"/>
        <v>0.1</v>
      </c>
      <c r="M432" s="2" t="e">
        <f t="shared" si="33"/>
        <v>#N/A</v>
      </c>
      <c r="N432" s="2" t="str">
        <f t="shared" si="34"/>
        <v>Q OK dE&gt;0.8</v>
      </c>
      <c r="O432" s="7">
        <v>22.1</v>
      </c>
      <c r="P432" s="7">
        <v>4.9000000000000004</v>
      </c>
      <c r="Q432" s="7">
        <v>3.6</v>
      </c>
      <c r="R432" s="7">
        <v>-0.82</v>
      </c>
      <c r="S432" s="7">
        <v>-0.1</v>
      </c>
      <c r="T432" s="20">
        <v>0</v>
      </c>
      <c r="U432" s="7">
        <v>-0.11</v>
      </c>
      <c r="V432" s="7">
        <v>0.14000000000000001</v>
      </c>
      <c r="W432" s="7">
        <v>0.84</v>
      </c>
      <c r="X432" s="7" t="s">
        <v>13</v>
      </c>
      <c r="Y432" s="7" t="s">
        <v>12</v>
      </c>
      <c r="Z432" s="2" t="s">
        <v>718</v>
      </c>
      <c r="AA432" s="2" t="s">
        <v>721</v>
      </c>
    </row>
    <row r="433" spans="1:27" x14ac:dyDescent="0.35">
      <c r="A433" s="7" t="s">
        <v>1684</v>
      </c>
      <c r="B433" s="7" t="s">
        <v>1116</v>
      </c>
      <c r="C433" s="7" t="str">
        <f>_xlfn.XLOOKUP(B433,'[1]Sheet 1'!$A$2:$A$11107,'[1]Sheet 1'!$D$2:$D$11107,"",0)</f>
        <v>CK</v>
      </c>
      <c r="D433" s="4">
        <v>0</v>
      </c>
      <c r="E433" s="4" t="s">
        <v>1828</v>
      </c>
      <c r="F433" s="4" t="e">
        <f>_xlfn.XLOOKUP(B433,[2]Sheet2!$E$2:$E$713,[2]Sheet2!$G$2:$G$713)</f>
        <v>#N/A</v>
      </c>
      <c r="G433" s="18">
        <v>46113</v>
      </c>
      <c r="H433" s="14">
        <v>0.27611111111111108</v>
      </c>
      <c r="I433" s="7" t="s">
        <v>11</v>
      </c>
      <c r="J433" s="2" t="str">
        <f t="shared" si="30"/>
        <v>Q4</v>
      </c>
      <c r="K433" s="2" t="str">
        <f t="shared" si="31"/>
        <v>Not Found</v>
      </c>
      <c r="L433" s="2">
        <f t="shared" si="32"/>
        <v>0.14142135623730953</v>
      </c>
      <c r="M433" s="2" t="e">
        <f t="shared" si="33"/>
        <v>#N/A</v>
      </c>
      <c r="N433" s="2" t="str">
        <f t="shared" si="34"/>
        <v>Quadrant not assigned</v>
      </c>
      <c r="O433" s="7">
        <v>15.2</v>
      </c>
      <c r="P433" s="7">
        <v>-0.9</v>
      </c>
      <c r="Q433" s="7">
        <v>-1.4</v>
      </c>
      <c r="R433" s="7">
        <v>-0.78</v>
      </c>
      <c r="S433" s="7">
        <v>0.1</v>
      </c>
      <c r="T433" s="7">
        <v>-0.1</v>
      </c>
      <c r="U433" s="7">
        <v>0.03</v>
      </c>
      <c r="V433" s="7">
        <v>0.33</v>
      </c>
      <c r="W433" s="7">
        <v>0.85</v>
      </c>
      <c r="X433" s="7" t="s">
        <v>13</v>
      </c>
      <c r="Y433" s="7" t="s">
        <v>7</v>
      </c>
      <c r="Z433" s="2" t="s">
        <v>718</v>
      </c>
      <c r="AA433" s="2" t="s">
        <v>721</v>
      </c>
    </row>
    <row r="434" spans="1:27" x14ac:dyDescent="0.35">
      <c r="A434" s="7" t="s">
        <v>1535</v>
      </c>
      <c r="B434" s="7" t="s">
        <v>1120</v>
      </c>
      <c r="C434" s="7" t="str">
        <f>_xlfn.XLOOKUP(B434,'[1]Sheet 1'!$A$2:$A$11107,'[1]Sheet 1'!$D$2:$D$11107,"",0)</f>
        <v>WACE</v>
      </c>
      <c r="D434" s="4" t="str">
        <f>_xlfn.XLOOKUP(A434,[3]Sheet2!$I$2:$I$1623,[3]Sheet2!$D$2:$D$1623,"",0)</f>
        <v>Q3</v>
      </c>
      <c r="E434" s="4" t="s">
        <v>1827</v>
      </c>
      <c r="F434" s="4" t="e">
        <f>_xlfn.XLOOKUP(B434,[2]Sheet2!$E$2:$E$713,[2]Sheet2!$G$2:$G$713)</f>
        <v>#N/A</v>
      </c>
      <c r="G434" s="18">
        <v>46113</v>
      </c>
      <c r="H434" s="14">
        <v>0.5662152777777778</v>
      </c>
      <c r="I434" s="7" t="s">
        <v>4</v>
      </c>
      <c r="J434" s="2" t="str">
        <f t="shared" si="30"/>
        <v>Q1</v>
      </c>
      <c r="K434" s="2" t="str">
        <f t="shared" si="31"/>
        <v>Not Match</v>
      </c>
      <c r="L434" s="2">
        <f t="shared" si="32"/>
        <v>0.53851648071345048</v>
      </c>
      <c r="M434" s="2" t="e">
        <f t="shared" si="33"/>
        <v>#N/A</v>
      </c>
      <c r="N434" s="2" t="str">
        <f t="shared" si="34"/>
        <v>Q NOT OK dE&gt;0.8</v>
      </c>
      <c r="O434" s="7">
        <v>16.5</v>
      </c>
      <c r="P434" s="7">
        <v>-0.8</v>
      </c>
      <c r="Q434" s="7">
        <v>-2</v>
      </c>
      <c r="R434" s="7">
        <v>-0.77</v>
      </c>
      <c r="S434" s="7">
        <v>0.2</v>
      </c>
      <c r="T434" s="7">
        <v>0.5</v>
      </c>
      <c r="U434" s="7">
        <v>-0.69</v>
      </c>
      <c r="V434" s="7">
        <v>-0.01</v>
      </c>
      <c r="W434" s="7">
        <v>1.04</v>
      </c>
      <c r="X434" s="7" t="s">
        <v>6</v>
      </c>
      <c r="Y434" s="7" t="s">
        <v>15</v>
      </c>
      <c r="Z434" s="2" t="s">
        <v>718</v>
      </c>
      <c r="AA434" s="2" t="s">
        <v>721</v>
      </c>
    </row>
    <row r="435" spans="1:27" x14ac:dyDescent="0.35">
      <c r="A435" s="7" t="s">
        <v>1667</v>
      </c>
      <c r="B435" s="7" t="s">
        <v>1119</v>
      </c>
      <c r="C435" s="7" t="str">
        <f>_xlfn.XLOOKUP(B435,'[1]Sheet 1'!$A$2:$A$11107,'[1]Sheet 1'!$D$2:$D$11107,"",0)</f>
        <v>VSS</v>
      </c>
      <c r="D435" s="4" t="str">
        <f>_xlfn.XLOOKUP(A435,[3]Sheet2!$I$2:$I$1623,[3]Sheet2!$D$2:$D$1623,"",0)</f>
        <v>Q3</v>
      </c>
      <c r="E435" s="4" t="s">
        <v>1827</v>
      </c>
      <c r="F435" s="4" t="e">
        <f>_xlfn.XLOOKUP(B435,[2]Sheet2!$E$2:$E$713,[2]Sheet2!$G$2:$G$713)</f>
        <v>#N/A</v>
      </c>
      <c r="G435" s="18">
        <v>46113</v>
      </c>
      <c r="H435" s="14">
        <v>0.51355324074074071</v>
      </c>
      <c r="I435" s="7" t="s">
        <v>10</v>
      </c>
      <c r="J435" s="2" t="str">
        <f t="shared" si="30"/>
        <v>Q2</v>
      </c>
      <c r="K435" s="2" t="str">
        <f t="shared" si="31"/>
        <v>Not Match</v>
      </c>
      <c r="L435" s="2">
        <f t="shared" si="32"/>
        <v>0.58309518948452999</v>
      </c>
      <c r="M435" s="2" t="e">
        <f t="shared" si="33"/>
        <v>#N/A</v>
      </c>
      <c r="N435" s="2" t="str">
        <f t="shared" si="34"/>
        <v>Q NOT OK dE&lt;=0.8</v>
      </c>
      <c r="O435" s="7">
        <v>16.899999999999999</v>
      </c>
      <c r="P435" s="7">
        <v>-2.6</v>
      </c>
      <c r="Q435" s="7">
        <v>-11.9</v>
      </c>
      <c r="R435" s="7">
        <v>-0.4</v>
      </c>
      <c r="S435" s="7">
        <v>-0.3</v>
      </c>
      <c r="T435" s="7">
        <v>0.5</v>
      </c>
      <c r="U435" s="7">
        <v>-0.37</v>
      </c>
      <c r="V435" s="7">
        <v>-0.53</v>
      </c>
      <c r="W435" s="7">
        <v>0.76</v>
      </c>
      <c r="X435" s="7" t="s">
        <v>13</v>
      </c>
      <c r="Y435" s="7" t="s">
        <v>15</v>
      </c>
      <c r="Z435" s="2" t="s">
        <v>718</v>
      </c>
      <c r="AA435" s="2" t="s">
        <v>721</v>
      </c>
    </row>
    <row r="436" spans="1:27" x14ac:dyDescent="0.35">
      <c r="A436" s="7" t="s">
        <v>1574</v>
      </c>
      <c r="B436" s="7" t="s">
        <v>1118</v>
      </c>
      <c r="C436" s="7" t="str">
        <f>_xlfn.XLOOKUP(B436,'[1]Sheet 1'!$A$2:$A$11107,'[1]Sheet 1'!$D$2:$D$11107,"",0)</f>
        <v>PINK</v>
      </c>
      <c r="D436" s="4" t="str">
        <f>_xlfn.XLOOKUP(A436,[3]Sheet2!$I$2:$I$1623,[3]Sheet2!$D$2:$D$1623,"",0)</f>
        <v>Q2</v>
      </c>
      <c r="E436" s="4" t="s">
        <v>1828</v>
      </c>
      <c r="F436" s="4" t="e">
        <f>_xlfn.XLOOKUP(B436,[2]Sheet2!$E$2:$E$713,[2]Sheet2!$G$2:$G$713)</f>
        <v>#N/A</v>
      </c>
      <c r="G436" s="18">
        <v>46113</v>
      </c>
      <c r="H436" s="14">
        <v>0.51011574074074073</v>
      </c>
      <c r="I436" s="7" t="s">
        <v>10</v>
      </c>
      <c r="J436" s="2" t="str">
        <f t="shared" si="30"/>
        <v>Q2</v>
      </c>
      <c r="K436" s="2" t="str">
        <f t="shared" si="31"/>
        <v>Match</v>
      </c>
      <c r="L436" s="2">
        <f t="shared" si="32"/>
        <v>0.1</v>
      </c>
      <c r="M436" s="2" t="e">
        <f t="shared" si="33"/>
        <v>#N/A</v>
      </c>
      <c r="N436" s="2" t="str">
        <f t="shared" si="34"/>
        <v>Q OK dE&lt;=0.8</v>
      </c>
      <c r="O436" s="7">
        <v>19.2</v>
      </c>
      <c r="P436" s="7">
        <v>-2</v>
      </c>
      <c r="Q436" s="7">
        <v>-11.3</v>
      </c>
      <c r="R436" s="7">
        <v>-0.15</v>
      </c>
      <c r="S436" s="7">
        <v>0.1</v>
      </c>
      <c r="T436" s="20">
        <v>0</v>
      </c>
      <c r="U436" s="7">
        <v>0.03</v>
      </c>
      <c r="V436" s="7">
        <v>0.14000000000000001</v>
      </c>
      <c r="W436" s="7">
        <v>0.21</v>
      </c>
      <c r="X436" s="7" t="s">
        <v>8</v>
      </c>
      <c r="Y436" s="7" t="s">
        <v>9</v>
      </c>
      <c r="Z436" s="2" t="s">
        <v>718</v>
      </c>
      <c r="AA436" s="2" t="s">
        <v>721</v>
      </c>
    </row>
    <row r="437" spans="1:27" x14ac:dyDescent="0.35">
      <c r="A437" s="7" t="s">
        <v>1755</v>
      </c>
      <c r="B437" s="7" t="s">
        <v>1129</v>
      </c>
      <c r="C437" s="7" t="str">
        <f>_xlfn.XLOOKUP(B437,'[1]Sheet 1'!$A$2:$A$11107,'[1]Sheet 1'!$D$2:$D$11107,"",0)</f>
        <v>VSS</v>
      </c>
      <c r="D437" s="4" t="str">
        <f>_xlfn.XLOOKUP(A437,[3]Sheet2!$I$2:$I$1623,[3]Sheet2!$D$2:$D$1623,"",0)</f>
        <v>Q4</v>
      </c>
      <c r="E437" s="4" t="s">
        <v>1828</v>
      </c>
      <c r="F437" s="4" t="e">
        <f>_xlfn.XLOOKUP(B437,[2]Sheet2!$E$2:$E$713,[2]Sheet2!$G$2:$G$713)</f>
        <v>#N/A</v>
      </c>
      <c r="G437" s="18">
        <v>46113</v>
      </c>
      <c r="H437" s="14">
        <v>0.76313657407407409</v>
      </c>
      <c r="I437" s="7" t="s">
        <v>10</v>
      </c>
      <c r="J437" s="2" t="str">
        <f t="shared" si="30"/>
        <v>Q1</v>
      </c>
      <c r="K437" s="2" t="str">
        <f t="shared" si="31"/>
        <v>Not Match</v>
      </c>
      <c r="L437" s="2">
        <f t="shared" si="32"/>
        <v>0.80622577482985502</v>
      </c>
      <c r="M437" s="2" t="e">
        <f t="shared" si="33"/>
        <v>#N/A</v>
      </c>
      <c r="N437" s="2" t="str">
        <f t="shared" si="34"/>
        <v>Q NOT OK dE&lt;=0.8</v>
      </c>
      <c r="O437" s="7">
        <v>28.1</v>
      </c>
      <c r="P437" s="7">
        <v>12.7</v>
      </c>
      <c r="Q437" s="7">
        <v>-8.1999999999999993</v>
      </c>
      <c r="R437" s="7">
        <v>-0.01</v>
      </c>
      <c r="S437" s="7">
        <v>0.8</v>
      </c>
      <c r="T437" s="7">
        <v>0.1</v>
      </c>
      <c r="U437" s="7">
        <v>0.41</v>
      </c>
      <c r="V437" s="7">
        <v>0.62</v>
      </c>
      <c r="W437" s="7">
        <v>0.74</v>
      </c>
      <c r="X437" s="7" t="s">
        <v>8</v>
      </c>
      <c r="Y437" s="7" t="s">
        <v>9</v>
      </c>
      <c r="Z437" s="2" t="s">
        <v>718</v>
      </c>
      <c r="AA437" s="2" t="s">
        <v>721</v>
      </c>
    </row>
    <row r="438" spans="1:27" x14ac:dyDescent="0.35">
      <c r="A438" s="7" t="s">
        <v>1754</v>
      </c>
      <c r="B438" s="7" t="s">
        <v>1115</v>
      </c>
      <c r="C438" s="7" t="str">
        <f>_xlfn.XLOOKUP(B438,'[1]Sheet 1'!$A$2:$A$11107,'[1]Sheet 1'!$D$2:$D$11107,"",0)</f>
        <v>VSS</v>
      </c>
      <c r="D438" s="4" t="str">
        <f>_xlfn.XLOOKUP(A438,[3]Sheet2!$I$2:$I$1623,[3]Sheet2!$D$2:$D$1623,"",0)</f>
        <v>Q4</v>
      </c>
      <c r="E438" s="4" t="s">
        <v>1828</v>
      </c>
      <c r="F438" s="4" t="e">
        <f>_xlfn.XLOOKUP(B438,[2]Sheet2!$E$2:$E$713,[2]Sheet2!$G$2:$G$713)</f>
        <v>#N/A</v>
      </c>
      <c r="G438" s="18">
        <v>46113</v>
      </c>
      <c r="H438" s="14">
        <v>0.27408564814814818</v>
      </c>
      <c r="I438" s="7" t="s">
        <v>10</v>
      </c>
      <c r="J438" s="2" t="str">
        <f t="shared" si="30"/>
        <v>Q4</v>
      </c>
      <c r="K438" s="2" t="str">
        <f t="shared" si="31"/>
        <v>Match</v>
      </c>
      <c r="L438" s="2">
        <f t="shared" si="32"/>
        <v>0.22360679774997899</v>
      </c>
      <c r="M438" s="2" t="e">
        <f t="shared" si="33"/>
        <v>#N/A</v>
      </c>
      <c r="N438" s="2" t="str">
        <f t="shared" si="34"/>
        <v>Q OK dE&gt;0.8</v>
      </c>
      <c r="O438" s="7">
        <v>28.1</v>
      </c>
      <c r="P438" s="7">
        <v>11.4</v>
      </c>
      <c r="Q438" s="7">
        <v>-8.4</v>
      </c>
      <c r="R438" s="7">
        <v>1.7</v>
      </c>
      <c r="S438" s="7">
        <v>0.1</v>
      </c>
      <c r="T438" s="7">
        <v>-0.2</v>
      </c>
      <c r="U438" s="7">
        <v>0.21</v>
      </c>
      <c r="V438" s="7">
        <v>-0.13</v>
      </c>
      <c r="W438" s="7">
        <v>1.72</v>
      </c>
      <c r="X438" s="7" t="s">
        <v>6</v>
      </c>
      <c r="Y438" s="7" t="s">
        <v>7</v>
      </c>
      <c r="Z438" s="2" t="s">
        <v>718</v>
      </c>
      <c r="AA438" s="2" t="s">
        <v>721</v>
      </c>
    </row>
    <row r="439" spans="1:27" x14ac:dyDescent="0.35">
      <c r="A439" s="7" t="s">
        <v>1742</v>
      </c>
      <c r="B439" s="7" t="s">
        <v>1117</v>
      </c>
      <c r="C439" s="7" t="str">
        <f>_xlfn.XLOOKUP(B439,'[1]Sheet 1'!$A$2:$A$11107,'[1]Sheet 1'!$D$2:$D$11107,"",0)</f>
        <v>GAP</v>
      </c>
      <c r="D439" s="4" t="str">
        <f>_xlfn.XLOOKUP(A439,[3]Sheet2!$I$2:$I$1623,[3]Sheet2!$D$2:$D$1623,"",0)</f>
        <v>Q1</v>
      </c>
      <c r="E439" s="4" t="s">
        <v>1828</v>
      </c>
      <c r="F439" s="4" t="e">
        <f>_xlfn.XLOOKUP(B439,[2]Sheet2!$E$2:$E$713,[2]Sheet2!$G$2:$G$713)</f>
        <v>#N/A</v>
      </c>
      <c r="G439" s="18">
        <v>46113</v>
      </c>
      <c r="H439" s="14">
        <v>0.27783564814814815</v>
      </c>
      <c r="I439" s="7" t="s">
        <v>4</v>
      </c>
      <c r="J439" s="2" t="str">
        <f t="shared" si="30"/>
        <v>Q1</v>
      </c>
      <c r="K439" s="2" t="str">
        <f t="shared" si="31"/>
        <v>Match</v>
      </c>
      <c r="L439" s="2">
        <f t="shared" si="32"/>
        <v>0.1</v>
      </c>
      <c r="M439" s="2" t="e">
        <f t="shared" si="33"/>
        <v>#N/A</v>
      </c>
      <c r="N439" s="2" t="str">
        <f t="shared" si="34"/>
        <v>Q OK dE&lt;=0.8</v>
      </c>
      <c r="O439" s="7">
        <v>24.1</v>
      </c>
      <c r="P439" s="7">
        <v>17.3</v>
      </c>
      <c r="Q439" s="7">
        <v>3.3</v>
      </c>
      <c r="R439" s="7">
        <v>-0.68</v>
      </c>
      <c r="S439" s="7">
        <v>0</v>
      </c>
      <c r="T439" s="7">
        <v>0.1</v>
      </c>
      <c r="U439" s="7">
        <v>7.0000000000000007E-2</v>
      </c>
      <c r="V439" s="7">
        <v>0.12</v>
      </c>
      <c r="W439" s="7">
        <v>0.7</v>
      </c>
      <c r="X439" s="7" t="s">
        <v>8</v>
      </c>
      <c r="Y439" s="7" t="s">
        <v>12</v>
      </c>
      <c r="Z439" s="2" t="s">
        <v>718</v>
      </c>
      <c r="AA439" s="2" t="s">
        <v>721</v>
      </c>
    </row>
    <row r="440" spans="1:27" x14ac:dyDescent="0.35">
      <c r="A440" s="7" t="s">
        <v>1536</v>
      </c>
      <c r="B440" s="7" t="s">
        <v>1125</v>
      </c>
      <c r="C440" s="7" t="str">
        <f>_xlfn.XLOOKUP(B440,'[1]Sheet 1'!$A$2:$A$11107,'[1]Sheet 1'!$D$2:$D$11107,"",0)</f>
        <v>NIK</v>
      </c>
      <c r="D440" s="4" t="str">
        <f>_xlfn.XLOOKUP(A440,[3]Sheet2!$I$2:$I$1623,[3]Sheet2!$D$2:$D$1623,"",0)</f>
        <v>Q2</v>
      </c>
      <c r="E440" s="4" t="s">
        <v>1828</v>
      </c>
      <c r="F440" s="4" t="e">
        <f>_xlfn.XLOOKUP(B440,[2]Sheet2!$E$2:$E$713,[2]Sheet2!$G$2:$G$713)</f>
        <v>#N/A</v>
      </c>
      <c r="G440" s="18">
        <v>46113</v>
      </c>
      <c r="H440" s="14">
        <v>0.61217592592592596</v>
      </c>
      <c r="I440" s="7" t="s">
        <v>4</v>
      </c>
      <c r="J440" s="2" t="str">
        <f t="shared" si="30"/>
        <v>Q4</v>
      </c>
      <c r="K440" s="2" t="str">
        <f t="shared" si="31"/>
        <v>Not Match</v>
      </c>
      <c r="L440" s="2">
        <f t="shared" si="32"/>
        <v>0.28284271247461906</v>
      </c>
      <c r="M440" s="2" t="e">
        <f t="shared" si="33"/>
        <v>#N/A</v>
      </c>
      <c r="N440" s="2" t="str">
        <f t="shared" si="34"/>
        <v>Q NOT OK dE&lt;=0.8</v>
      </c>
      <c r="O440" s="7">
        <v>15.8</v>
      </c>
      <c r="P440" s="7">
        <v>-0.3</v>
      </c>
      <c r="Q440" s="7">
        <v>-2</v>
      </c>
      <c r="R440" s="7">
        <v>0.11</v>
      </c>
      <c r="S440" s="7">
        <v>0.2</v>
      </c>
      <c r="T440" s="7">
        <v>-0.2</v>
      </c>
      <c r="U440" s="7">
        <v>0.26</v>
      </c>
      <c r="V440" s="7">
        <v>0.45</v>
      </c>
      <c r="W440" s="7">
        <v>0.53</v>
      </c>
      <c r="X440" s="7" t="s">
        <v>8</v>
      </c>
      <c r="Y440" s="7" t="s">
        <v>9</v>
      </c>
      <c r="Z440" s="2" t="s">
        <v>718</v>
      </c>
      <c r="AA440" s="2" t="s">
        <v>721</v>
      </c>
    </row>
    <row r="441" spans="1:27" x14ac:dyDescent="0.35">
      <c r="A441" s="7" t="s">
        <v>1727</v>
      </c>
      <c r="B441" s="7" t="s">
        <v>1104</v>
      </c>
      <c r="C441" s="7" t="str">
        <f>_xlfn.XLOOKUP(B441,'[1]Sheet 1'!$A$2:$A$11107,'[1]Sheet 1'!$D$2:$D$11107,"",0)</f>
        <v>GAP</v>
      </c>
      <c r="D441" s="4" t="str">
        <f>_xlfn.XLOOKUP(A441,[3]Sheet2!$I$2:$I$1623,[3]Sheet2!$D$2:$D$1623,"",0)</f>
        <v>Q2</v>
      </c>
      <c r="E441" s="4" t="s">
        <v>1828</v>
      </c>
      <c r="F441" s="4" t="e">
        <f>_xlfn.XLOOKUP(B441,[2]Sheet2!$E$2:$E$713,[2]Sheet2!$G$2:$G$713)</f>
        <v>#N/A</v>
      </c>
      <c r="G441" s="18">
        <v>46113</v>
      </c>
      <c r="H441" s="14">
        <v>0.10597222222222222</v>
      </c>
      <c r="I441" s="7" t="s">
        <v>14</v>
      </c>
      <c r="J441" s="2" t="str">
        <f t="shared" si="30"/>
        <v>Q3</v>
      </c>
      <c r="K441" s="2" t="str">
        <f t="shared" si="31"/>
        <v>Not Match</v>
      </c>
      <c r="L441" s="2">
        <f t="shared" si="32"/>
        <v>0.14142135623730953</v>
      </c>
      <c r="M441" s="2" t="e">
        <f t="shared" si="33"/>
        <v>#N/A</v>
      </c>
      <c r="N441" s="2" t="str">
        <f t="shared" si="34"/>
        <v>Q NOT OK dE&lt;=0.8</v>
      </c>
      <c r="O441" s="7">
        <v>13.7</v>
      </c>
      <c r="P441" s="7">
        <v>-0.4</v>
      </c>
      <c r="Q441" s="7">
        <v>-2.7</v>
      </c>
      <c r="R441" s="7">
        <v>-0.06</v>
      </c>
      <c r="S441" s="7">
        <v>-0.1</v>
      </c>
      <c r="T441" s="7">
        <v>-0.1</v>
      </c>
      <c r="U441" s="7">
        <v>0.16</v>
      </c>
      <c r="V441" s="7">
        <v>-0.11</v>
      </c>
      <c r="W441" s="7">
        <v>0.2</v>
      </c>
      <c r="X441" s="7" t="s">
        <v>8</v>
      </c>
      <c r="Y441" s="7" t="s">
        <v>15</v>
      </c>
      <c r="Z441" s="2" t="s">
        <v>718</v>
      </c>
      <c r="AA441" s="2" t="s">
        <v>721</v>
      </c>
    </row>
    <row r="442" spans="1:27" x14ac:dyDescent="0.35">
      <c r="A442" s="7" t="s">
        <v>1709</v>
      </c>
      <c r="B442" s="7" t="s">
        <v>1108</v>
      </c>
      <c r="C442" s="7" t="str">
        <f>_xlfn.XLOOKUP(B442,'[1]Sheet 1'!$A$2:$A$11107,'[1]Sheet 1'!$D$2:$D$11107,"",0)</f>
        <v>GAP</v>
      </c>
      <c r="D442" s="4" t="str">
        <f>_xlfn.XLOOKUP(A442,[3]Sheet2!$I$2:$I$1623,[3]Sheet2!$D$2:$D$1623,"",0)</f>
        <v>Q2</v>
      </c>
      <c r="E442" s="4" t="s">
        <v>1827</v>
      </c>
      <c r="F442" s="4" t="e">
        <f>_xlfn.XLOOKUP(B442,[2]Sheet2!$E$2:$E$713,[2]Sheet2!$G$2:$G$713)</f>
        <v>#N/A</v>
      </c>
      <c r="G442" s="18">
        <v>46113</v>
      </c>
      <c r="H442" s="14">
        <v>1.8622685185185187E-2</v>
      </c>
      <c r="I442" s="7" t="s">
        <v>4</v>
      </c>
      <c r="J442" s="2" t="str">
        <f t="shared" si="30"/>
        <v>Q3</v>
      </c>
      <c r="K442" s="2" t="str">
        <f t="shared" si="31"/>
        <v>Not Match</v>
      </c>
      <c r="L442" s="2">
        <f t="shared" si="32"/>
        <v>0.36055512754639896</v>
      </c>
      <c r="M442" s="2" t="e">
        <f t="shared" si="33"/>
        <v>#N/A</v>
      </c>
      <c r="N442" s="2" t="str">
        <f t="shared" si="34"/>
        <v>Q NOT OK dE&lt;=0.8</v>
      </c>
      <c r="O442" s="7">
        <v>13.9</v>
      </c>
      <c r="P442" s="7">
        <v>-0.2</v>
      </c>
      <c r="Q442" s="7">
        <v>-2.2999999999999998</v>
      </c>
      <c r="R442" s="7">
        <v>0.18</v>
      </c>
      <c r="S442" s="7">
        <v>-0.3</v>
      </c>
      <c r="T442" s="7">
        <v>-0.2</v>
      </c>
      <c r="U442" s="7">
        <v>0.28000000000000003</v>
      </c>
      <c r="V442" s="7">
        <v>-0.39</v>
      </c>
      <c r="W442" s="7">
        <v>0.52</v>
      </c>
      <c r="X442" s="7" t="s">
        <v>8</v>
      </c>
      <c r="Y442" s="7" t="s">
        <v>15</v>
      </c>
      <c r="Z442" s="2" t="s">
        <v>718</v>
      </c>
      <c r="AA442" s="2" t="s">
        <v>721</v>
      </c>
    </row>
    <row r="443" spans="1:27" x14ac:dyDescent="0.35">
      <c r="A443" s="7" t="s">
        <v>1619</v>
      </c>
      <c r="B443" s="7" t="s">
        <v>1138</v>
      </c>
      <c r="C443" s="7" t="str">
        <f>_xlfn.XLOOKUP(B443,'[1]Sheet 1'!$A$2:$A$11107,'[1]Sheet 1'!$D$2:$D$11107,"",0)</f>
        <v>M&amp;S</v>
      </c>
      <c r="D443" s="4" t="str">
        <f>_xlfn.XLOOKUP(A443,[3]Sheet2!$I$2:$I$1623,[3]Sheet2!$D$2:$D$1623,"",0)</f>
        <v>Q4</v>
      </c>
      <c r="E443" s="4" t="s">
        <v>1827</v>
      </c>
      <c r="F443" s="4" t="e">
        <f>_xlfn.XLOOKUP(B443,[2]Sheet2!$E$2:$E$713,[2]Sheet2!$G$2:$G$713)</f>
        <v>#N/A</v>
      </c>
      <c r="G443" s="18">
        <v>46114</v>
      </c>
      <c r="H443" s="14">
        <v>0.77949074074074076</v>
      </c>
      <c r="I443" s="7" t="s">
        <v>17</v>
      </c>
      <c r="J443" s="2" t="str">
        <f t="shared" si="30"/>
        <v>Q4</v>
      </c>
      <c r="K443" s="2" t="str">
        <f t="shared" si="31"/>
        <v>Match</v>
      </c>
      <c r="L443" s="2">
        <f t="shared" si="32"/>
        <v>1</v>
      </c>
      <c r="M443" s="2" t="e">
        <f t="shared" si="33"/>
        <v>#N/A</v>
      </c>
      <c r="N443" s="2" t="str">
        <f t="shared" si="34"/>
        <v>Q OK dE&gt;0.8</v>
      </c>
      <c r="O443" s="7">
        <v>29</v>
      </c>
      <c r="P443" s="7">
        <v>-2</v>
      </c>
      <c r="Q443" s="7">
        <v>-1.7</v>
      </c>
      <c r="R443" s="7">
        <v>-0.05</v>
      </c>
      <c r="S443" s="7">
        <v>0</v>
      </c>
      <c r="T443" s="7">
        <v>1</v>
      </c>
      <c r="U443" s="7">
        <v>-0.85</v>
      </c>
      <c r="V443" s="7">
        <v>-0.88</v>
      </c>
      <c r="W443" s="7">
        <v>1.23</v>
      </c>
      <c r="X443" s="7" t="s">
        <v>6</v>
      </c>
      <c r="Y443" s="7" t="s">
        <v>12</v>
      </c>
      <c r="Z443" s="2" t="s">
        <v>718</v>
      </c>
      <c r="AA443" s="2" t="s">
        <v>721</v>
      </c>
    </row>
    <row r="444" spans="1:27" x14ac:dyDescent="0.35">
      <c r="A444" s="7" t="s">
        <v>1516</v>
      </c>
      <c r="B444" s="7" t="s">
        <v>1136</v>
      </c>
      <c r="C444" s="7" t="str">
        <f>_xlfn.XLOOKUP(B444,'[1]Sheet 1'!$A$2:$A$11107,'[1]Sheet 1'!$D$2:$D$11107,"",0)</f>
        <v>LBI</v>
      </c>
      <c r="D444" s="4" t="str">
        <f>_xlfn.XLOOKUP(A444,[3]Sheet2!$I$2:$I$1623,[3]Sheet2!$D$2:$D$1623,"",0)</f>
        <v>Q2</v>
      </c>
      <c r="E444" s="4" t="s">
        <v>1828</v>
      </c>
      <c r="F444" s="4" t="e">
        <f>_xlfn.XLOOKUP(B444,[2]Sheet2!$E$2:$E$713,[2]Sheet2!$G$2:$G$713)</f>
        <v>#N/A</v>
      </c>
      <c r="G444" s="18">
        <v>46114</v>
      </c>
      <c r="H444" s="14">
        <v>0.69907407407407407</v>
      </c>
      <c r="I444" s="7" t="s">
        <v>4</v>
      </c>
      <c r="J444" s="2" t="str">
        <f t="shared" si="30"/>
        <v>Q2</v>
      </c>
      <c r="K444" s="2" t="str">
        <f t="shared" si="31"/>
        <v>Match</v>
      </c>
      <c r="L444" s="2">
        <f t="shared" si="32"/>
        <v>0.4</v>
      </c>
      <c r="M444" s="2" t="e">
        <f t="shared" si="33"/>
        <v>#N/A</v>
      </c>
      <c r="N444" s="2" t="str">
        <f t="shared" si="34"/>
        <v>Q OK dE&lt;=0.8</v>
      </c>
      <c r="O444" s="7">
        <v>18.7</v>
      </c>
      <c r="P444" s="7">
        <v>-1.3</v>
      </c>
      <c r="Q444" s="7">
        <v>-1.2</v>
      </c>
      <c r="R444" s="7">
        <v>0.21</v>
      </c>
      <c r="S444" s="7">
        <v>0</v>
      </c>
      <c r="T444" s="7">
        <v>0.4</v>
      </c>
      <c r="U444" s="7">
        <v>-0.4</v>
      </c>
      <c r="V444" s="7">
        <v>-0.34</v>
      </c>
      <c r="W444" s="7">
        <v>0.56000000000000005</v>
      </c>
      <c r="X444" s="7" t="s">
        <v>8</v>
      </c>
      <c r="Y444" s="7" t="s">
        <v>15</v>
      </c>
      <c r="Z444" s="2" t="s">
        <v>718</v>
      </c>
      <c r="AA444" s="2" t="s">
        <v>721</v>
      </c>
    </row>
    <row r="445" spans="1:27" x14ac:dyDescent="0.35">
      <c r="A445" s="7" t="s">
        <v>1749</v>
      </c>
      <c r="B445" s="7" t="s">
        <v>1132</v>
      </c>
      <c r="C445" s="7" t="str">
        <f>_xlfn.XLOOKUP(B445,'[1]Sheet 1'!$A$2:$A$11107,'[1]Sheet 1'!$D$2:$D$11107,"",0)</f>
        <v>SPA</v>
      </c>
      <c r="D445" s="4" t="str">
        <f>_xlfn.XLOOKUP(A445,[3]Sheet2!$I$2:$I$1623,[3]Sheet2!$D$2:$D$1623,"",0)</f>
        <v>Q2</v>
      </c>
      <c r="E445" s="4" t="s">
        <v>1828</v>
      </c>
      <c r="F445" s="4">
        <f>_xlfn.XLOOKUP(B445,[2]Sheet2!$E$2:$E$713,[2]Sheet2!$G$2:$G$713)</f>
        <v>0.8</v>
      </c>
      <c r="G445" s="18">
        <v>46114</v>
      </c>
      <c r="H445" s="14">
        <v>0.67533564814814817</v>
      </c>
      <c r="I445" s="7" t="s">
        <v>4</v>
      </c>
      <c r="J445" s="2" t="str">
        <f t="shared" si="30"/>
        <v>Q2</v>
      </c>
      <c r="K445" s="2" t="str">
        <f t="shared" si="31"/>
        <v>Match</v>
      </c>
      <c r="L445" s="2">
        <f t="shared" si="32"/>
        <v>0.3</v>
      </c>
      <c r="M445" s="2" t="str">
        <f t="shared" si="33"/>
        <v>Within Range</v>
      </c>
      <c r="N445" s="2" t="str">
        <f t="shared" si="34"/>
        <v>Q OK dE&lt;=0.8</v>
      </c>
      <c r="O445" s="7">
        <v>17.2</v>
      </c>
      <c r="P445" s="7">
        <v>-0.3</v>
      </c>
      <c r="Q445" s="7">
        <v>-2.2000000000000002</v>
      </c>
      <c r="R445" s="7">
        <v>-0.41</v>
      </c>
      <c r="S445" s="7">
        <v>0</v>
      </c>
      <c r="T445" s="7">
        <v>-0.3</v>
      </c>
      <c r="U445" s="7">
        <v>0.47</v>
      </c>
      <c r="V445" s="7">
        <v>0.15</v>
      </c>
      <c r="W445" s="7">
        <v>0.64</v>
      </c>
      <c r="X445" s="7" t="s">
        <v>8</v>
      </c>
      <c r="Y445" s="7" t="s">
        <v>9</v>
      </c>
      <c r="Z445" s="2" t="s">
        <v>718</v>
      </c>
      <c r="AA445" s="2" t="s">
        <v>721</v>
      </c>
    </row>
    <row r="446" spans="1:27" x14ac:dyDescent="0.35">
      <c r="A446" s="7" t="s">
        <v>1586</v>
      </c>
      <c r="B446" s="7" t="s">
        <v>1141</v>
      </c>
      <c r="C446" s="7" t="str">
        <f>_xlfn.XLOOKUP(B446,'[1]Sheet 1'!$A$2:$A$11107,'[1]Sheet 1'!$D$2:$D$11107,"",0)</f>
        <v>INT1</v>
      </c>
      <c r="D446" s="4" t="str">
        <f>_xlfn.XLOOKUP(A446,[3]Sheet2!$I$2:$I$1623,[3]Sheet2!$D$2:$D$1623,"",0)</f>
        <v>Q2</v>
      </c>
      <c r="E446" s="4" t="s">
        <v>1828</v>
      </c>
      <c r="F446" s="4" t="e">
        <f>_xlfn.XLOOKUP(B446,[2]Sheet2!$E$2:$E$713,[2]Sheet2!$G$2:$G$713)</f>
        <v>#N/A</v>
      </c>
      <c r="G446" s="18">
        <v>46114</v>
      </c>
      <c r="H446" s="14">
        <v>0.96447916666666667</v>
      </c>
      <c r="I446" s="7" t="s">
        <v>5</v>
      </c>
      <c r="J446" s="2" t="str">
        <f t="shared" si="30"/>
        <v>Q2</v>
      </c>
      <c r="K446" s="2" t="str">
        <f t="shared" si="31"/>
        <v>Match</v>
      </c>
      <c r="L446" s="2">
        <f t="shared" si="32"/>
        <v>0.1</v>
      </c>
      <c r="M446" s="2" t="e">
        <f t="shared" si="33"/>
        <v>#N/A</v>
      </c>
      <c r="N446" s="2" t="str">
        <f t="shared" si="34"/>
        <v>Q OK dE&lt;=0.8</v>
      </c>
      <c r="O446" s="7">
        <v>17.399999999999999</v>
      </c>
      <c r="P446" s="7">
        <v>-0.3</v>
      </c>
      <c r="Q446" s="7">
        <v>-1.6</v>
      </c>
      <c r="R446" s="7">
        <v>-0.32</v>
      </c>
      <c r="S446" s="7">
        <v>0</v>
      </c>
      <c r="T446" s="7">
        <v>-0.1</v>
      </c>
      <c r="U446" s="7">
        <v>0.21</v>
      </c>
      <c r="V446" s="7">
        <v>-0.09</v>
      </c>
      <c r="W446" s="7">
        <v>0.39</v>
      </c>
      <c r="X446" s="7" t="s">
        <v>8</v>
      </c>
      <c r="Y446" s="7" t="s">
        <v>15</v>
      </c>
      <c r="Z446" s="2" t="s">
        <v>718</v>
      </c>
      <c r="AA446" s="2" t="s">
        <v>721</v>
      </c>
    </row>
    <row r="447" spans="1:27" x14ac:dyDescent="0.35">
      <c r="A447" s="7" t="s">
        <v>1619</v>
      </c>
      <c r="B447" s="7" t="s">
        <v>1139</v>
      </c>
      <c r="C447" s="7" t="str">
        <f>_xlfn.XLOOKUP(B447,'[1]Sheet 1'!$A$2:$A$11107,'[1]Sheet 1'!$D$2:$D$11107,"",0)</f>
        <v>M&amp;S</v>
      </c>
      <c r="D447" s="4" t="str">
        <f>_xlfn.XLOOKUP(A447,[3]Sheet2!$I$2:$I$1623,[3]Sheet2!$D$2:$D$1623,"",0)</f>
        <v>Q4</v>
      </c>
      <c r="E447" s="4" t="s">
        <v>1827</v>
      </c>
      <c r="F447" s="4" t="e">
        <f>_xlfn.XLOOKUP(B447,[2]Sheet2!$E$2:$E$713,[2]Sheet2!$G$2:$G$713)</f>
        <v>#N/A</v>
      </c>
      <c r="G447" s="18">
        <v>46114</v>
      </c>
      <c r="H447" s="14">
        <v>0.78172453703703704</v>
      </c>
      <c r="I447" s="7" t="s">
        <v>17</v>
      </c>
      <c r="J447" s="2" t="str">
        <f t="shared" si="30"/>
        <v>Q4</v>
      </c>
      <c r="K447" s="2" t="str">
        <f t="shared" si="31"/>
        <v>Match</v>
      </c>
      <c r="L447" s="2">
        <f t="shared" si="32"/>
        <v>0.2</v>
      </c>
      <c r="M447" s="2" t="e">
        <f t="shared" si="33"/>
        <v>#N/A</v>
      </c>
      <c r="N447" s="2" t="str">
        <f t="shared" si="34"/>
        <v>Q OK dE&lt;=0.8</v>
      </c>
      <c r="O447" s="7">
        <v>29</v>
      </c>
      <c r="P447" s="7">
        <v>-2</v>
      </c>
      <c r="Q447" s="7">
        <v>-2.5</v>
      </c>
      <c r="R447" s="7">
        <v>-0.02</v>
      </c>
      <c r="S447" s="7">
        <v>0</v>
      </c>
      <c r="T447" s="7">
        <v>0.2</v>
      </c>
      <c r="U447" s="7">
        <v>-0.19</v>
      </c>
      <c r="V447" s="7">
        <v>-0.16</v>
      </c>
      <c r="W447" s="7">
        <v>0.25</v>
      </c>
      <c r="X447" s="7" t="s">
        <v>8</v>
      </c>
      <c r="Y447" s="7" t="s">
        <v>12</v>
      </c>
      <c r="Z447" s="2" t="s">
        <v>718</v>
      </c>
      <c r="AA447" s="2" t="s">
        <v>721</v>
      </c>
    </row>
    <row r="448" spans="1:27" x14ac:dyDescent="0.35">
      <c r="A448" s="7" t="s">
        <v>1727</v>
      </c>
      <c r="B448" s="7" t="s">
        <v>1130</v>
      </c>
      <c r="C448" s="7" t="str">
        <f>_xlfn.XLOOKUP(B448,'[1]Sheet 1'!$A$2:$A$11107,'[1]Sheet 1'!$D$2:$D$11107,"",0)</f>
        <v>GAP</v>
      </c>
      <c r="D448" s="4" t="str">
        <f>_xlfn.XLOOKUP(A448,[3]Sheet2!$I$2:$I$1623,[3]Sheet2!$D$2:$D$1623,"",0)</f>
        <v>Q2</v>
      </c>
      <c r="E448" s="4" t="s">
        <v>1828</v>
      </c>
      <c r="F448" s="4" t="e">
        <f>_xlfn.XLOOKUP(B448,[2]Sheet2!$E$2:$E$713,[2]Sheet2!$G$2:$G$713)</f>
        <v>#N/A</v>
      </c>
      <c r="G448" s="18">
        <v>46114</v>
      </c>
      <c r="H448" s="14">
        <v>0.66859953703703701</v>
      </c>
      <c r="I448" s="7" t="s">
        <v>4</v>
      </c>
      <c r="J448" s="2" t="str">
        <f t="shared" si="30"/>
        <v>Q2</v>
      </c>
      <c r="K448" s="2" t="str">
        <f t="shared" si="31"/>
        <v>Match</v>
      </c>
      <c r="L448" s="2">
        <f t="shared" si="32"/>
        <v>0.2</v>
      </c>
      <c r="M448" s="2" t="e">
        <f t="shared" si="33"/>
        <v>#N/A</v>
      </c>
      <c r="N448" s="2" t="str">
        <f t="shared" si="34"/>
        <v>Q OK dE&lt;=0.8</v>
      </c>
      <c r="O448" s="7">
        <v>13.8</v>
      </c>
      <c r="P448" s="7">
        <v>-0.1</v>
      </c>
      <c r="Q448" s="7">
        <v>-1.8</v>
      </c>
      <c r="R448" s="7">
        <v>-0.39</v>
      </c>
      <c r="S448" s="7">
        <v>-0.2</v>
      </c>
      <c r="T448" s="20">
        <v>0</v>
      </c>
      <c r="U448" s="7">
        <v>-7.0000000000000007E-2</v>
      </c>
      <c r="V448" s="7">
        <v>-0.27</v>
      </c>
      <c r="W448" s="7">
        <v>0.48</v>
      </c>
      <c r="X448" s="7" t="s">
        <v>8</v>
      </c>
      <c r="Y448" s="7" t="s">
        <v>15</v>
      </c>
      <c r="Z448" s="2" t="s">
        <v>718</v>
      </c>
      <c r="AA448" s="2" t="s">
        <v>721</v>
      </c>
    </row>
    <row r="449" spans="1:27" x14ac:dyDescent="0.35">
      <c r="A449" s="7" t="s">
        <v>1500</v>
      </c>
      <c r="B449" s="7" t="s">
        <v>1134</v>
      </c>
      <c r="C449" s="7" t="str">
        <f>_xlfn.XLOOKUP(B449,'[1]Sheet 1'!$A$2:$A$11107,'[1]Sheet 1'!$D$2:$D$11107,"",0)</f>
        <v>LULU</v>
      </c>
      <c r="D449" s="4" t="str">
        <f>_xlfn.XLOOKUP(A449,[3]Sheet2!$I$2:$I$1623,[3]Sheet2!$D$2:$D$1623,"",0)</f>
        <v>Q2</v>
      </c>
      <c r="E449" s="4" t="s">
        <v>1828</v>
      </c>
      <c r="F449" s="4" t="e">
        <f>_xlfn.XLOOKUP(B449,[2]Sheet2!$E$2:$E$713,[2]Sheet2!$G$2:$G$713)</f>
        <v>#N/A</v>
      </c>
      <c r="G449" s="18">
        <v>46114</v>
      </c>
      <c r="H449" s="14">
        <v>0.69064814814814812</v>
      </c>
      <c r="I449" s="7" t="s">
        <v>4</v>
      </c>
      <c r="J449" s="2" t="str">
        <f t="shared" si="30"/>
        <v>Q2</v>
      </c>
      <c r="K449" s="2" t="str">
        <f t="shared" si="31"/>
        <v>Match</v>
      </c>
      <c r="L449" s="2">
        <f t="shared" si="32"/>
        <v>0</v>
      </c>
      <c r="M449" s="2" t="e">
        <f t="shared" si="33"/>
        <v>#N/A</v>
      </c>
      <c r="N449" s="2" t="str">
        <f t="shared" si="34"/>
        <v>Q OK dE&lt;=0.8</v>
      </c>
      <c r="O449" s="7">
        <v>17.600000000000001</v>
      </c>
      <c r="P449" s="7">
        <v>-0.9</v>
      </c>
      <c r="Q449" s="7">
        <v>-1</v>
      </c>
      <c r="R449" s="7">
        <v>-0.37</v>
      </c>
      <c r="S449" s="7">
        <v>0</v>
      </c>
      <c r="T449" s="20">
        <v>0</v>
      </c>
      <c r="U449" s="7">
        <v>-0.04</v>
      </c>
      <c r="V449" s="7">
        <v>0.01</v>
      </c>
      <c r="W449" s="7">
        <v>0.37</v>
      </c>
      <c r="X449" s="7" t="s">
        <v>8</v>
      </c>
      <c r="Y449" s="7" t="s">
        <v>7</v>
      </c>
      <c r="Z449" s="2" t="s">
        <v>718</v>
      </c>
      <c r="AA449" s="2" t="s">
        <v>721</v>
      </c>
    </row>
    <row r="450" spans="1:27" x14ac:dyDescent="0.35">
      <c r="A450" s="7" t="s">
        <v>1757</v>
      </c>
      <c r="B450" s="7" t="s">
        <v>1137</v>
      </c>
      <c r="C450" s="7" t="str">
        <f>_xlfn.XLOOKUP(B450,'[1]Sheet 1'!$A$2:$A$11107,'[1]Sheet 1'!$D$2:$D$11107,"",0)</f>
        <v>WACE</v>
      </c>
      <c r="D450" s="4" t="str">
        <f>_xlfn.XLOOKUP(A450,[3]Sheet2!$I$2:$I$1623,[3]Sheet2!$D$2:$D$1623,"",0)</f>
        <v>Q2</v>
      </c>
      <c r="E450" s="4" t="s">
        <v>1828</v>
      </c>
      <c r="F450" s="4" t="e">
        <f>_xlfn.XLOOKUP(B450,[2]Sheet2!$E$2:$E$713,[2]Sheet2!$G$2:$G$713)</f>
        <v>#N/A</v>
      </c>
      <c r="G450" s="18">
        <v>46114</v>
      </c>
      <c r="H450" s="14">
        <v>0.77749999999999997</v>
      </c>
      <c r="I450" s="7" t="s">
        <v>4</v>
      </c>
      <c r="J450" s="2" t="str">
        <f t="shared" ref="J450:J513" si="35">IF(OR(S450=0,T450=0),D450,IF(AND(S450&gt;0,T450&gt;0),"Q1",IF(AND(S450&lt;0,T450&gt;0),"Q2",IF(AND(S450&lt;0,T450&lt;0),"Q3",IF(AND(S450&gt;0,T450&lt;0),"Q4","")))))</f>
        <v>Q3</v>
      </c>
      <c r="K450" s="2" t="str">
        <f t="shared" ref="K450:K513" si="36">IF(J450=D450,"Match",IF(AND(J450=0,D450="Match"),"da and db 0",IF(D450=0,"Not Found","Not Match")))</f>
        <v>Not Match</v>
      </c>
      <c r="L450" s="2">
        <f t="shared" ref="L450:L513" si="37">SQRT(S450^2+T450^2)</f>
        <v>0.22360679774997899</v>
      </c>
      <c r="M450" s="2" t="e">
        <f t="shared" ref="M450:M513" si="38">IF(L450&lt;=F450,"Within Range","Over Range")</f>
        <v>#N/A</v>
      </c>
      <c r="N450" s="2" t="str">
        <f t="shared" ref="N450:N513" si="39">IF(D450=0,"Quadrant not assigned",IF(AND(K450="Match",W450&lt;=0.8),"Q OK dE&lt;=0.8",IF(AND(K450="Match",W450&gt;0.8),"Q OK dE&gt;0.8",IF(AND(K450="Not Match",W450&lt;=0.8),"Q NOT OK dE&lt;=0.8","Q NOT OK dE&gt;0.8"))))</f>
        <v>Q NOT OK dE&lt;=0.8</v>
      </c>
      <c r="O450" s="7">
        <v>16.5</v>
      </c>
      <c r="P450" s="7">
        <v>-0.6</v>
      </c>
      <c r="Q450" s="7">
        <v>-2</v>
      </c>
      <c r="R450" s="7">
        <v>0.49</v>
      </c>
      <c r="S450" s="7">
        <v>-0.2</v>
      </c>
      <c r="T450" s="7">
        <v>-0.1</v>
      </c>
      <c r="U450" s="7">
        <v>0.3</v>
      </c>
      <c r="V450" s="7">
        <v>-0.3</v>
      </c>
      <c r="W450" s="7">
        <v>0.65</v>
      </c>
      <c r="X450" s="7" t="s">
        <v>8</v>
      </c>
      <c r="Y450" s="7" t="s">
        <v>15</v>
      </c>
      <c r="Z450" s="2" t="s">
        <v>718</v>
      </c>
      <c r="AA450" s="2" t="s">
        <v>721</v>
      </c>
    </row>
    <row r="451" spans="1:27" x14ac:dyDescent="0.35">
      <c r="A451" s="7" t="s">
        <v>1557</v>
      </c>
      <c r="B451" s="7" t="s">
        <v>1131</v>
      </c>
      <c r="C451" s="7" t="str">
        <f>_xlfn.XLOOKUP(B451,'[1]Sheet 1'!$A$2:$A$11107,'[1]Sheet 1'!$D$2:$D$11107,"",0)</f>
        <v>M&amp;S</v>
      </c>
      <c r="D451" s="4" t="str">
        <f>_xlfn.XLOOKUP(A451,[3]Sheet2!$I$2:$I$1623,[3]Sheet2!$D$2:$D$1623,"",0)</f>
        <v>Q3</v>
      </c>
      <c r="E451" s="4" t="s">
        <v>1828</v>
      </c>
      <c r="F451" s="4" t="e">
        <f>_xlfn.XLOOKUP(B451,[2]Sheet2!$E$2:$E$713,[2]Sheet2!$G$2:$G$713)</f>
        <v>#N/A</v>
      </c>
      <c r="G451" s="18">
        <v>46114</v>
      </c>
      <c r="H451" s="14">
        <v>0.6733217592592593</v>
      </c>
      <c r="I451" s="7" t="s">
        <v>17</v>
      </c>
      <c r="J451" s="2" t="str">
        <f t="shared" si="35"/>
        <v>Q3</v>
      </c>
      <c r="K451" s="2" t="str">
        <f t="shared" si="36"/>
        <v>Match</v>
      </c>
      <c r="L451" s="2">
        <f t="shared" si="37"/>
        <v>0.36055512754639896</v>
      </c>
      <c r="M451" s="2" t="e">
        <f t="shared" si="38"/>
        <v>#N/A</v>
      </c>
      <c r="N451" s="2" t="str">
        <f t="shared" si="39"/>
        <v>Q OK dE&lt;=0.8</v>
      </c>
      <c r="O451" s="7">
        <v>15.2</v>
      </c>
      <c r="P451" s="7">
        <v>-0.6</v>
      </c>
      <c r="Q451" s="7">
        <v>-2</v>
      </c>
      <c r="R451" s="7">
        <v>-0.32</v>
      </c>
      <c r="S451" s="7">
        <v>-0.2</v>
      </c>
      <c r="T451" s="7">
        <v>-0.3</v>
      </c>
      <c r="U451" s="7">
        <v>0.57999999999999996</v>
      </c>
      <c r="V451" s="7">
        <v>-0.24</v>
      </c>
      <c r="W451" s="7">
        <v>0.7</v>
      </c>
      <c r="X451" s="7" t="s">
        <v>8</v>
      </c>
      <c r="Y451" s="7" t="s">
        <v>15</v>
      </c>
      <c r="Z451" s="2" t="s">
        <v>718</v>
      </c>
      <c r="AA451" s="2" t="s">
        <v>721</v>
      </c>
    </row>
    <row r="452" spans="1:27" x14ac:dyDescent="0.35">
      <c r="A452" s="7" t="s">
        <v>1574</v>
      </c>
      <c r="B452" s="7" t="s">
        <v>1110</v>
      </c>
      <c r="C452" s="7" t="str">
        <f>_xlfn.XLOOKUP(B452,'[1]Sheet 1'!$A$2:$A$11107,'[1]Sheet 1'!$D$2:$D$11107,"",0)</f>
        <v>PINK</v>
      </c>
      <c r="D452" s="4" t="str">
        <f>_xlfn.XLOOKUP(A452,[3]Sheet2!$I$2:$I$1623,[3]Sheet2!$D$2:$D$1623,"",0)</f>
        <v>Q2</v>
      </c>
      <c r="E452" s="4" t="s">
        <v>1828</v>
      </c>
      <c r="F452" s="4" t="e">
        <f>_xlfn.XLOOKUP(B452,[2]Sheet2!$E$2:$E$713,[2]Sheet2!$G$2:$G$713)</f>
        <v>#N/A</v>
      </c>
      <c r="G452" s="18">
        <v>46114</v>
      </c>
      <c r="H452" s="14">
        <v>0.687962962962963</v>
      </c>
      <c r="I452" s="7" t="s">
        <v>10</v>
      </c>
      <c r="J452" s="2" t="str">
        <f t="shared" si="35"/>
        <v>Q2</v>
      </c>
      <c r="K452" s="2" t="str">
        <f t="shared" si="36"/>
        <v>Match</v>
      </c>
      <c r="L452" s="2">
        <f t="shared" si="37"/>
        <v>0.4</v>
      </c>
      <c r="M452" s="2" t="e">
        <f t="shared" si="38"/>
        <v>#N/A</v>
      </c>
      <c r="N452" s="2" t="str">
        <f t="shared" si="39"/>
        <v>Q OK dE&lt;=0.8</v>
      </c>
      <c r="O452" s="7">
        <v>19.7</v>
      </c>
      <c r="P452" s="7">
        <v>-2.1</v>
      </c>
      <c r="Q452" s="7">
        <v>-11.7</v>
      </c>
      <c r="R452" s="7">
        <v>0.32</v>
      </c>
      <c r="S452" s="7">
        <v>0</v>
      </c>
      <c r="T452" s="7">
        <v>-0.4</v>
      </c>
      <c r="U452" s="7">
        <v>0.35</v>
      </c>
      <c r="V452" s="7">
        <v>0.09</v>
      </c>
      <c r="W452" s="7">
        <v>0.48</v>
      </c>
      <c r="X452" s="7" t="s">
        <v>8</v>
      </c>
      <c r="Y452" s="7" t="s">
        <v>9</v>
      </c>
      <c r="Z452" s="2" t="s">
        <v>718</v>
      </c>
      <c r="AA452" s="2" t="s">
        <v>721</v>
      </c>
    </row>
    <row r="453" spans="1:27" x14ac:dyDescent="0.35">
      <c r="A453" s="7" t="s">
        <v>1540</v>
      </c>
      <c r="B453" s="7" t="s">
        <v>1140</v>
      </c>
      <c r="C453" s="7" t="str">
        <f>_xlfn.XLOOKUP(B453,'[1]Sheet 1'!$A$2:$A$11107,'[1]Sheet 1'!$D$2:$D$11107,"",0)</f>
        <v>VSS</v>
      </c>
      <c r="D453" s="4" t="str">
        <f>_xlfn.XLOOKUP(A453,[3]Sheet2!$I$2:$I$1623,[3]Sheet2!$D$2:$D$1623,"",0)</f>
        <v>Q3</v>
      </c>
      <c r="E453" s="4" t="s">
        <v>1828</v>
      </c>
      <c r="F453" s="4" t="e">
        <f>_xlfn.XLOOKUP(B453,[2]Sheet2!$E$2:$E$713,[2]Sheet2!$G$2:$G$713)</f>
        <v>#N/A</v>
      </c>
      <c r="G453" s="18">
        <v>46114</v>
      </c>
      <c r="H453" s="14">
        <v>0.93082175925925925</v>
      </c>
      <c r="I453" s="7" t="s">
        <v>10</v>
      </c>
      <c r="J453" s="2" t="str">
        <f t="shared" si="35"/>
        <v>Q3</v>
      </c>
      <c r="K453" s="2" t="str">
        <f t="shared" si="36"/>
        <v>Match</v>
      </c>
      <c r="L453" s="2">
        <f t="shared" si="37"/>
        <v>0</v>
      </c>
      <c r="M453" s="2" t="e">
        <f t="shared" si="38"/>
        <v>#N/A</v>
      </c>
      <c r="N453" s="2" t="str">
        <f t="shared" si="39"/>
        <v>Q OK dE&lt;=0.8</v>
      </c>
      <c r="O453" s="7">
        <v>14</v>
      </c>
      <c r="P453" s="7">
        <v>0.4</v>
      </c>
      <c r="Q453" s="7">
        <v>-1.2</v>
      </c>
      <c r="R453" s="7">
        <v>-0.46</v>
      </c>
      <c r="S453" s="7">
        <v>0</v>
      </c>
      <c r="T453" s="20">
        <v>0</v>
      </c>
      <c r="U453" s="7">
        <v>-0.04</v>
      </c>
      <c r="V453" s="7">
        <v>-0.03</v>
      </c>
      <c r="W453" s="7">
        <v>0.46</v>
      </c>
      <c r="X453" s="7" t="s">
        <v>8</v>
      </c>
      <c r="Y453" s="7" t="s">
        <v>15</v>
      </c>
      <c r="Z453" s="2" t="s">
        <v>718</v>
      </c>
      <c r="AA453" s="2" t="s">
        <v>721</v>
      </c>
    </row>
    <row r="454" spans="1:27" x14ac:dyDescent="0.35">
      <c r="A454" s="7" t="s">
        <v>1687</v>
      </c>
      <c r="B454" s="7" t="s">
        <v>1121</v>
      </c>
      <c r="C454" s="7" t="str">
        <f>_xlfn.XLOOKUP(B454,'[1]Sheet 1'!$A$2:$A$11107,'[1]Sheet 1'!$D$2:$D$11107,"",0)</f>
        <v>NIK</v>
      </c>
      <c r="D454" s="4" t="str">
        <f>_xlfn.XLOOKUP(A454,[3]Sheet2!$I$2:$I$1623,[3]Sheet2!$D$2:$D$1623,"",0)</f>
        <v>Q3</v>
      </c>
      <c r="E454" s="4" t="s">
        <v>1829</v>
      </c>
      <c r="F454" s="4" t="e">
        <f>_xlfn.XLOOKUP(B454,[2]Sheet2!$E$2:$E$713,[2]Sheet2!$G$2:$G$713)</f>
        <v>#N/A</v>
      </c>
      <c r="G454" s="18">
        <v>46114</v>
      </c>
      <c r="H454" s="14">
        <v>0.85127314814814814</v>
      </c>
      <c r="I454" s="7" t="s">
        <v>4</v>
      </c>
      <c r="J454" s="2" t="str">
        <f t="shared" si="35"/>
        <v>Q3</v>
      </c>
      <c r="K454" s="2" t="str">
        <f t="shared" si="36"/>
        <v>Match</v>
      </c>
      <c r="L454" s="2">
        <f t="shared" si="37"/>
        <v>0.53851648071345048</v>
      </c>
      <c r="M454" s="2" t="e">
        <f t="shared" si="38"/>
        <v>#N/A</v>
      </c>
      <c r="N454" s="2" t="str">
        <f t="shared" si="39"/>
        <v>Q OK dE&lt;=0.8</v>
      </c>
      <c r="O454" s="7">
        <v>33.9</v>
      </c>
      <c r="P454" s="7">
        <v>10.8</v>
      </c>
      <c r="Q454" s="7">
        <v>10.8</v>
      </c>
      <c r="R454" s="7">
        <v>-0.02</v>
      </c>
      <c r="S454" s="7">
        <v>-0.5</v>
      </c>
      <c r="T454" s="7">
        <v>-0.2</v>
      </c>
      <c r="U454" s="7">
        <v>-0.38</v>
      </c>
      <c r="V454" s="7">
        <v>0.23</v>
      </c>
      <c r="W454" s="7">
        <v>0.44</v>
      </c>
      <c r="X454" s="7" t="s">
        <v>8</v>
      </c>
      <c r="Y454" s="7" t="s">
        <v>12</v>
      </c>
      <c r="Z454" s="2" t="s">
        <v>718</v>
      </c>
      <c r="AA454" s="2" t="s">
        <v>721</v>
      </c>
    </row>
    <row r="455" spans="1:27" x14ac:dyDescent="0.35">
      <c r="A455" s="7" t="s">
        <v>1756</v>
      </c>
      <c r="B455" s="7" t="s">
        <v>1133</v>
      </c>
      <c r="C455" s="7" t="str">
        <f>_xlfn.XLOOKUP(B455,'[1]Sheet 1'!$A$2:$A$11107,'[1]Sheet 1'!$D$2:$D$11107,"",0)</f>
        <v>PINK</v>
      </c>
      <c r="D455" s="4" t="str">
        <f>_xlfn.XLOOKUP(A455,[3]Sheet2!$I$2:$I$1623,[3]Sheet2!$D$2:$D$1623,"",0)</f>
        <v>Q1</v>
      </c>
      <c r="E455" s="4" t="s">
        <v>1828</v>
      </c>
      <c r="F455" s="4" t="e">
        <f>_xlfn.XLOOKUP(B455,[2]Sheet2!$E$2:$E$713,[2]Sheet2!$G$2:$G$713)</f>
        <v>#N/A</v>
      </c>
      <c r="G455" s="18">
        <v>46114</v>
      </c>
      <c r="H455" s="14">
        <v>0.68365740740740744</v>
      </c>
      <c r="I455" s="7" t="s">
        <v>10</v>
      </c>
      <c r="J455" s="2" t="str">
        <f t="shared" si="35"/>
        <v>Q1</v>
      </c>
      <c r="K455" s="2" t="str">
        <f t="shared" si="36"/>
        <v>Match</v>
      </c>
      <c r="L455" s="2">
        <f t="shared" si="37"/>
        <v>0.1</v>
      </c>
      <c r="M455" s="2" t="e">
        <f t="shared" si="38"/>
        <v>#N/A</v>
      </c>
      <c r="N455" s="2" t="str">
        <f t="shared" si="39"/>
        <v>Q OK dE&lt;=0.8</v>
      </c>
      <c r="O455" s="7">
        <v>16.100000000000001</v>
      </c>
      <c r="P455" s="7">
        <v>0.3</v>
      </c>
      <c r="Q455" s="7">
        <v>-0.4</v>
      </c>
      <c r="R455" s="7">
        <v>0.01</v>
      </c>
      <c r="S455" s="7">
        <v>0</v>
      </c>
      <c r="T455" s="7">
        <v>-0.1</v>
      </c>
      <c r="U455" s="7">
        <v>0.23</v>
      </c>
      <c r="V455" s="7">
        <v>-7.0000000000000007E-2</v>
      </c>
      <c r="W455" s="7">
        <v>0.24</v>
      </c>
      <c r="X455" s="7" t="s">
        <v>8</v>
      </c>
      <c r="Y455" s="7" t="s">
        <v>7</v>
      </c>
      <c r="Z455" s="2" t="s">
        <v>718</v>
      </c>
      <c r="AA455" s="2" t="s">
        <v>721</v>
      </c>
    </row>
    <row r="456" spans="1:27" x14ac:dyDescent="0.35">
      <c r="A456" s="7" t="s">
        <v>1721</v>
      </c>
      <c r="B456" s="7" t="s">
        <v>1135</v>
      </c>
      <c r="C456" s="7" t="str">
        <f>_xlfn.XLOOKUP(B456,'[1]Sheet 1'!$A$2:$A$11107,'[1]Sheet 1'!$D$2:$D$11107,"",0)</f>
        <v>LULU</v>
      </c>
      <c r="D456" s="4" t="str">
        <f>_xlfn.XLOOKUP(A456,[3]Sheet2!$I$2:$I$1623,[3]Sheet2!$D$2:$D$1623,"",0)</f>
        <v>Q3</v>
      </c>
      <c r="E456" s="4" t="s">
        <v>1829</v>
      </c>
      <c r="F456" s="4" t="e">
        <f>_xlfn.XLOOKUP(B456,[2]Sheet2!$E$2:$E$713,[2]Sheet2!$G$2:$G$713)</f>
        <v>#N/A</v>
      </c>
      <c r="G456" s="18">
        <v>46114</v>
      </c>
      <c r="H456" s="14">
        <v>0.69645833333333329</v>
      </c>
      <c r="I456" s="7" t="s">
        <v>4</v>
      </c>
      <c r="J456" s="2" t="str">
        <f t="shared" si="35"/>
        <v>Q3</v>
      </c>
      <c r="K456" s="2" t="str">
        <f t="shared" si="36"/>
        <v>Match</v>
      </c>
      <c r="L456" s="2">
        <f t="shared" si="37"/>
        <v>0.2</v>
      </c>
      <c r="M456" s="2" t="e">
        <f t="shared" si="38"/>
        <v>#N/A</v>
      </c>
      <c r="N456" s="2" t="str">
        <f t="shared" si="39"/>
        <v>Q OK dE&lt;=0.8</v>
      </c>
      <c r="O456" s="7">
        <v>17.100000000000001</v>
      </c>
      <c r="P456" s="7">
        <v>-0.3</v>
      </c>
      <c r="Q456" s="7">
        <v>-1.1000000000000001</v>
      </c>
      <c r="R456" s="7">
        <v>-0.3</v>
      </c>
      <c r="S456" s="7">
        <v>-0.2</v>
      </c>
      <c r="T456" s="20">
        <v>0</v>
      </c>
      <c r="U456" s="7">
        <v>0.16</v>
      </c>
      <c r="V456" s="7">
        <v>-0.26</v>
      </c>
      <c r="W456" s="7">
        <v>0.42</v>
      </c>
      <c r="X456" s="7" t="s">
        <v>8</v>
      </c>
      <c r="Y456" s="7" t="s">
        <v>15</v>
      </c>
      <c r="Z456" s="2" t="s">
        <v>718</v>
      </c>
      <c r="AA456" s="2" t="s">
        <v>721</v>
      </c>
    </row>
    <row r="457" spans="1:27" x14ac:dyDescent="0.35">
      <c r="A457" s="7" t="s">
        <v>1559</v>
      </c>
      <c r="B457" s="7" t="s">
        <v>1142</v>
      </c>
      <c r="C457" s="7" t="str">
        <f>_xlfn.XLOOKUP(B457,'[1]Sheet 1'!$A$2:$A$11107,'[1]Sheet 1'!$D$2:$D$11107,"",0)</f>
        <v>VSS</v>
      </c>
      <c r="D457" s="4" t="str">
        <f>_xlfn.XLOOKUP(A457,[3]Sheet2!$I$2:$I$1623,[3]Sheet2!$D$2:$D$1623,"",0)</f>
        <v>Q3</v>
      </c>
      <c r="E457" s="4" t="s">
        <v>1827</v>
      </c>
      <c r="F457" s="4" t="e">
        <f>_xlfn.XLOOKUP(B457,[2]Sheet2!$E$2:$E$713,[2]Sheet2!$G$2:$G$713)</f>
        <v>#N/A</v>
      </c>
      <c r="G457" s="18">
        <v>46115</v>
      </c>
      <c r="H457" s="14">
        <v>6.5219907407407407E-2</v>
      </c>
      <c r="I457" s="7" t="s">
        <v>10</v>
      </c>
      <c r="J457" s="2" t="str">
        <f t="shared" si="35"/>
        <v>Q3</v>
      </c>
      <c r="K457" s="2" t="str">
        <f t="shared" si="36"/>
        <v>Match</v>
      </c>
      <c r="L457" s="2">
        <f t="shared" si="37"/>
        <v>0.1</v>
      </c>
      <c r="M457" s="2" t="e">
        <f t="shared" si="38"/>
        <v>#N/A</v>
      </c>
      <c r="N457" s="2" t="str">
        <f t="shared" si="39"/>
        <v>Q OK dE&gt;0.8</v>
      </c>
      <c r="O457" s="7">
        <v>16.8</v>
      </c>
      <c r="P457" s="7">
        <v>-0.1</v>
      </c>
      <c r="Q457" s="7">
        <v>-2.4</v>
      </c>
      <c r="R457" s="7">
        <v>-1.05</v>
      </c>
      <c r="S457" s="7">
        <v>0</v>
      </c>
      <c r="T457" s="7">
        <v>-0.1</v>
      </c>
      <c r="U457" s="7">
        <v>0.16</v>
      </c>
      <c r="V457" s="7">
        <v>-0.09</v>
      </c>
      <c r="W457" s="7">
        <v>1.06</v>
      </c>
      <c r="X457" s="7" t="s">
        <v>6</v>
      </c>
      <c r="Y457" s="7" t="s">
        <v>15</v>
      </c>
      <c r="Z457" s="2" t="s">
        <v>718</v>
      </c>
      <c r="AA457" s="2" t="s">
        <v>721</v>
      </c>
    </row>
    <row r="458" spans="1:27" x14ac:dyDescent="0.35">
      <c r="A458" s="7" t="s">
        <v>1559</v>
      </c>
      <c r="B458" s="7" t="s">
        <v>1144</v>
      </c>
      <c r="C458" s="7" t="str">
        <f>_xlfn.XLOOKUP(B458,'[1]Sheet 1'!$A$2:$A$11107,'[1]Sheet 1'!$D$2:$D$11107,"",0)</f>
        <v>VSS</v>
      </c>
      <c r="D458" s="4" t="str">
        <f>_xlfn.XLOOKUP(A458,[3]Sheet2!$I$2:$I$1623,[3]Sheet2!$D$2:$D$1623,"",0)</f>
        <v>Q3</v>
      </c>
      <c r="E458" s="4" t="s">
        <v>1828</v>
      </c>
      <c r="F458" s="4" t="e">
        <f>_xlfn.XLOOKUP(B458,[2]Sheet2!$E$2:$E$713,[2]Sheet2!$G$2:$G$713)</f>
        <v>#N/A</v>
      </c>
      <c r="G458" s="18">
        <v>46115</v>
      </c>
      <c r="H458" s="14">
        <v>8.3356481481481476E-2</v>
      </c>
      <c r="I458" s="7" t="s">
        <v>10</v>
      </c>
      <c r="J458" s="2" t="str">
        <f t="shared" si="35"/>
        <v>Q3</v>
      </c>
      <c r="K458" s="2" t="str">
        <f t="shared" si="36"/>
        <v>Match</v>
      </c>
      <c r="L458" s="2">
        <f t="shared" si="37"/>
        <v>0.1</v>
      </c>
      <c r="M458" s="2" t="e">
        <f t="shared" si="38"/>
        <v>#N/A</v>
      </c>
      <c r="N458" s="2" t="str">
        <f t="shared" si="39"/>
        <v>Q OK dE&lt;=0.8</v>
      </c>
      <c r="O458" s="7">
        <v>17.100000000000001</v>
      </c>
      <c r="P458" s="7">
        <v>0</v>
      </c>
      <c r="Q458" s="7">
        <v>-2.4</v>
      </c>
      <c r="R458" s="7">
        <v>-0.76</v>
      </c>
      <c r="S458" s="7">
        <v>0</v>
      </c>
      <c r="T458" s="7">
        <v>-0.1</v>
      </c>
      <c r="U458" s="7">
        <v>0.17</v>
      </c>
      <c r="V458" s="7">
        <v>0.01</v>
      </c>
      <c r="W458" s="7">
        <v>0.78</v>
      </c>
      <c r="X458" s="7" t="s">
        <v>13</v>
      </c>
      <c r="Y458" s="7" t="s">
        <v>9</v>
      </c>
      <c r="Z458" s="2" t="s">
        <v>718</v>
      </c>
      <c r="AA458" s="2" t="s">
        <v>721</v>
      </c>
    </row>
    <row r="459" spans="1:27" x14ac:dyDescent="0.35">
      <c r="A459" s="7" t="s">
        <v>1619</v>
      </c>
      <c r="B459" s="7" t="s">
        <v>853</v>
      </c>
      <c r="C459" s="7" t="str">
        <f>_xlfn.XLOOKUP(B459,'[1]Sheet 1'!$A$2:$A$11107,'[1]Sheet 1'!$D$2:$D$11107,"",0)</f>
        <v>M&amp;S</v>
      </c>
      <c r="D459" s="4" t="str">
        <f>_xlfn.XLOOKUP(A459,[3]Sheet2!$I$2:$I$1623,[3]Sheet2!$D$2:$D$1623,"",0)</f>
        <v>Q4</v>
      </c>
      <c r="E459" s="4" t="s">
        <v>1827</v>
      </c>
      <c r="F459" s="4" t="e">
        <f>_xlfn.XLOOKUP(B459,[2]Sheet2!$E$2:$E$713,[2]Sheet2!$G$2:$G$713)</f>
        <v>#N/A</v>
      </c>
      <c r="G459" s="18">
        <v>46115</v>
      </c>
      <c r="H459" s="14">
        <v>0.2618402777777778</v>
      </c>
      <c r="I459" s="7" t="s">
        <v>17</v>
      </c>
      <c r="J459" s="2" t="str">
        <f t="shared" si="35"/>
        <v>Q1</v>
      </c>
      <c r="K459" s="2" t="str">
        <f t="shared" si="36"/>
        <v>Not Match</v>
      </c>
      <c r="L459" s="2">
        <f t="shared" si="37"/>
        <v>0.76157731058639078</v>
      </c>
      <c r="M459" s="2" t="e">
        <f t="shared" si="38"/>
        <v>#N/A</v>
      </c>
      <c r="N459" s="2" t="str">
        <f t="shared" si="39"/>
        <v>Q NOT OK dE&gt;0.8</v>
      </c>
      <c r="O459" s="7">
        <v>28.6</v>
      </c>
      <c r="P459" s="7">
        <v>-1.6</v>
      </c>
      <c r="Q459" s="7">
        <v>-1.9</v>
      </c>
      <c r="R459" s="7">
        <v>-0.26</v>
      </c>
      <c r="S459" s="7">
        <v>0.3</v>
      </c>
      <c r="T459" s="7">
        <v>0.7</v>
      </c>
      <c r="U459" s="7">
        <v>-1</v>
      </c>
      <c r="V459" s="7">
        <v>-0.23</v>
      </c>
      <c r="W459" s="7">
        <v>1.06</v>
      </c>
      <c r="X459" s="7" t="s">
        <v>6</v>
      </c>
      <c r="Y459" s="7" t="s">
        <v>12</v>
      </c>
      <c r="Z459" s="2" t="s">
        <v>718</v>
      </c>
      <c r="AA459" s="2" t="s">
        <v>721</v>
      </c>
    </row>
    <row r="460" spans="1:27" x14ac:dyDescent="0.35">
      <c r="A460" s="7" t="s">
        <v>1688</v>
      </c>
      <c r="B460" s="7" t="s">
        <v>1158</v>
      </c>
      <c r="C460" s="7" t="str">
        <f>_xlfn.XLOOKUP(B460,'[1]Sheet 1'!$A$2:$A$11107,'[1]Sheet 1'!$D$2:$D$11107,"",0)</f>
        <v>GAP</v>
      </c>
      <c r="D460" s="4" t="str">
        <f>_xlfn.XLOOKUP(A460,[3]Sheet2!$I$2:$I$1623,[3]Sheet2!$D$2:$D$1623,"",0)</f>
        <v>Q4</v>
      </c>
      <c r="E460" s="4" t="s">
        <v>1828</v>
      </c>
      <c r="F460" s="4" t="e">
        <f>_xlfn.XLOOKUP(B460,[2]Sheet2!$E$2:$E$713,[2]Sheet2!$G$2:$G$713)</f>
        <v>#N/A</v>
      </c>
      <c r="G460" s="18">
        <v>46115</v>
      </c>
      <c r="H460" s="14">
        <v>0.72721064814814818</v>
      </c>
      <c r="I460" s="7" t="s">
        <v>14</v>
      </c>
      <c r="J460" s="2" t="str">
        <f t="shared" si="35"/>
        <v>Q3</v>
      </c>
      <c r="K460" s="2" t="str">
        <f t="shared" si="36"/>
        <v>Not Match</v>
      </c>
      <c r="L460" s="2">
        <f t="shared" si="37"/>
        <v>0.53851648071345048</v>
      </c>
      <c r="M460" s="2" t="e">
        <f t="shared" si="38"/>
        <v>#N/A</v>
      </c>
      <c r="N460" s="2" t="str">
        <f t="shared" si="39"/>
        <v>Q NOT OK dE&gt;0.8</v>
      </c>
      <c r="O460" s="7">
        <v>13.4</v>
      </c>
      <c r="P460" s="7">
        <v>-0.5</v>
      </c>
      <c r="Q460" s="7">
        <v>-2.2999999999999998</v>
      </c>
      <c r="R460" s="7">
        <v>0.28999999999999998</v>
      </c>
      <c r="S460" s="7">
        <v>-0.2</v>
      </c>
      <c r="T460" s="7">
        <v>-0.5</v>
      </c>
      <c r="U460" s="7">
        <v>0.78</v>
      </c>
      <c r="V460" s="7">
        <v>-0.21</v>
      </c>
      <c r="W460" s="7">
        <v>0.86</v>
      </c>
      <c r="X460" s="7" t="s">
        <v>13</v>
      </c>
      <c r="Y460" s="7" t="s">
        <v>15</v>
      </c>
      <c r="Z460" s="2" t="s">
        <v>718</v>
      </c>
      <c r="AA460" s="2" t="s">
        <v>721</v>
      </c>
    </row>
    <row r="461" spans="1:27" x14ac:dyDescent="0.35">
      <c r="A461" s="7" t="s">
        <v>1723</v>
      </c>
      <c r="B461" s="7" t="s">
        <v>1143</v>
      </c>
      <c r="C461" s="7" t="str">
        <f>_xlfn.XLOOKUP(B461,'[1]Sheet 1'!$A$2:$A$11107,'[1]Sheet 1'!$D$2:$D$11107,"",0)</f>
        <v>GAP</v>
      </c>
      <c r="D461" s="4" t="str">
        <f>_xlfn.XLOOKUP(A461,[3]Sheet2!$I$2:$I$1623,[3]Sheet2!$D$2:$D$1623,"",0)</f>
        <v>Q2</v>
      </c>
      <c r="E461" s="4" t="s">
        <v>1828</v>
      </c>
      <c r="F461" s="4" t="e">
        <f>_xlfn.XLOOKUP(B461,[2]Sheet2!$E$2:$E$713,[2]Sheet2!$G$2:$G$713)</f>
        <v>#N/A</v>
      </c>
      <c r="G461" s="18">
        <v>46115</v>
      </c>
      <c r="H461" s="14">
        <v>7.18287037037037E-2</v>
      </c>
      <c r="I461" s="7" t="s">
        <v>14</v>
      </c>
      <c r="J461" s="2" t="str">
        <f t="shared" si="35"/>
        <v>Q3</v>
      </c>
      <c r="K461" s="2" t="str">
        <f t="shared" si="36"/>
        <v>Not Match</v>
      </c>
      <c r="L461" s="2">
        <f t="shared" si="37"/>
        <v>0.36055512754639896</v>
      </c>
      <c r="M461" s="2" t="e">
        <f t="shared" si="38"/>
        <v>#N/A</v>
      </c>
      <c r="N461" s="2" t="str">
        <f t="shared" si="39"/>
        <v>Q NOT OK dE&lt;=0.8</v>
      </c>
      <c r="O461" s="7">
        <v>13.9</v>
      </c>
      <c r="P461" s="7">
        <v>-0.6</v>
      </c>
      <c r="Q461" s="7">
        <v>-2.4</v>
      </c>
      <c r="R461" s="7">
        <v>-0.55000000000000004</v>
      </c>
      <c r="S461" s="7">
        <v>-0.3</v>
      </c>
      <c r="T461" s="7">
        <v>-0.2</v>
      </c>
      <c r="U461" s="7">
        <v>0.34</v>
      </c>
      <c r="V461" s="7">
        <v>-0.35</v>
      </c>
      <c r="W461" s="7">
        <v>0.74</v>
      </c>
      <c r="X461" s="7" t="s">
        <v>8</v>
      </c>
      <c r="Y461" s="7" t="s">
        <v>15</v>
      </c>
      <c r="Z461" s="2" t="s">
        <v>718</v>
      </c>
      <c r="AA461" s="2" t="s">
        <v>721</v>
      </c>
    </row>
    <row r="462" spans="1:27" x14ac:dyDescent="0.35">
      <c r="A462" s="7" t="s">
        <v>1592</v>
      </c>
      <c r="B462" s="7" t="s">
        <v>1169</v>
      </c>
      <c r="C462" s="7" t="str">
        <f>_xlfn.XLOOKUP(B462,'[1]Sheet 1'!$A$2:$A$11107,'[1]Sheet 1'!$D$2:$D$11107,"",0)</f>
        <v>LULU</v>
      </c>
      <c r="D462" s="4" t="str">
        <f>_xlfn.XLOOKUP(A462,[3]Sheet2!$I$2:$I$1623,[3]Sheet2!$D$2:$D$1623,"",0)</f>
        <v>Q4</v>
      </c>
      <c r="E462" s="4" t="s">
        <v>1827</v>
      </c>
      <c r="F462" s="4" t="e">
        <f>_xlfn.XLOOKUP(B462,[2]Sheet2!$E$2:$E$713,[2]Sheet2!$G$2:$G$713)</f>
        <v>#N/A</v>
      </c>
      <c r="G462" s="18">
        <v>46115</v>
      </c>
      <c r="H462" s="14">
        <v>0.7744212962962963</v>
      </c>
      <c r="I462" s="7" t="s">
        <v>4</v>
      </c>
      <c r="J462" s="2" t="str">
        <f t="shared" si="35"/>
        <v>Q4</v>
      </c>
      <c r="K462" s="2" t="str">
        <f t="shared" si="36"/>
        <v>Match</v>
      </c>
      <c r="L462" s="2">
        <f t="shared" si="37"/>
        <v>0.2</v>
      </c>
      <c r="M462" s="2" t="e">
        <f t="shared" si="38"/>
        <v>#N/A</v>
      </c>
      <c r="N462" s="2" t="str">
        <f t="shared" si="39"/>
        <v>Q OK dE&lt;=0.8</v>
      </c>
      <c r="O462" s="7">
        <v>53</v>
      </c>
      <c r="P462" s="7">
        <v>-17</v>
      </c>
      <c r="Q462" s="7">
        <v>-33.1</v>
      </c>
      <c r="R462" s="7">
        <v>0.27</v>
      </c>
      <c r="S462" s="7">
        <v>0</v>
      </c>
      <c r="T462" s="7">
        <v>0.2</v>
      </c>
      <c r="U462" s="7">
        <v>-0.08</v>
      </c>
      <c r="V462" s="7">
        <v>-0.09</v>
      </c>
      <c r="W462" s="7">
        <v>0.28999999999999998</v>
      </c>
      <c r="X462" s="7" t="s">
        <v>8</v>
      </c>
      <c r="Y462" s="7" t="s">
        <v>15</v>
      </c>
      <c r="Z462" s="2" t="s">
        <v>718</v>
      </c>
      <c r="AA462" s="2" t="s">
        <v>721</v>
      </c>
    </row>
    <row r="463" spans="1:27" x14ac:dyDescent="0.35">
      <c r="A463" s="7" t="s">
        <v>1763</v>
      </c>
      <c r="B463" s="7" t="s">
        <v>1153</v>
      </c>
      <c r="C463" s="7" t="str">
        <f>_xlfn.XLOOKUP(B463,'[1]Sheet 1'!$A$2:$A$11107,'[1]Sheet 1'!$D$2:$D$11107,"",0)</f>
        <v>KOM</v>
      </c>
      <c r="D463" s="4" t="str">
        <f>_xlfn.XLOOKUP(A463,[3]Sheet2!$I$2:$I$1623,[3]Sheet2!$D$2:$D$1623,"",0)</f>
        <v>Q1</v>
      </c>
      <c r="E463" s="4" t="s">
        <v>1828</v>
      </c>
      <c r="F463" s="4" t="e">
        <f>_xlfn.XLOOKUP(B463,[2]Sheet2!$E$2:$E$713,[2]Sheet2!$G$2:$G$713)</f>
        <v>#N/A</v>
      </c>
      <c r="G463" s="18">
        <v>46115</v>
      </c>
      <c r="H463" s="14">
        <v>0.7709259259259259</v>
      </c>
      <c r="I463" s="7" t="s">
        <v>4</v>
      </c>
      <c r="J463" s="2" t="str">
        <f t="shared" si="35"/>
        <v>Q1</v>
      </c>
      <c r="K463" s="2" t="str">
        <f t="shared" si="36"/>
        <v>Match</v>
      </c>
      <c r="L463" s="2">
        <f t="shared" si="37"/>
        <v>0.8</v>
      </c>
      <c r="M463" s="2" t="e">
        <f t="shared" si="38"/>
        <v>#N/A</v>
      </c>
      <c r="N463" s="2" t="str">
        <f t="shared" si="39"/>
        <v>Q OK dE&lt;=0.8</v>
      </c>
      <c r="O463" s="7">
        <v>29</v>
      </c>
      <c r="P463" s="7">
        <v>33.6</v>
      </c>
      <c r="Q463" s="7">
        <v>0.2</v>
      </c>
      <c r="R463" s="7">
        <v>-0.24</v>
      </c>
      <c r="S463" s="7">
        <v>0</v>
      </c>
      <c r="T463" s="7">
        <v>0.8</v>
      </c>
      <c r="U463" s="7">
        <v>-0.04</v>
      </c>
      <c r="V463" s="7">
        <v>0.57999999999999996</v>
      </c>
      <c r="W463" s="7">
        <v>0.63</v>
      </c>
      <c r="X463" s="7" t="s">
        <v>8</v>
      </c>
      <c r="Y463" s="7" t="s">
        <v>9</v>
      </c>
      <c r="Z463" s="2" t="s">
        <v>718</v>
      </c>
      <c r="AA463" s="2" t="s">
        <v>721</v>
      </c>
    </row>
    <row r="464" spans="1:27" x14ac:dyDescent="0.35">
      <c r="A464" s="7" t="s">
        <v>1758</v>
      </c>
      <c r="B464" s="7" t="s">
        <v>1147</v>
      </c>
      <c r="C464" s="7" t="str">
        <f>_xlfn.XLOOKUP(B464,'[1]Sheet 1'!$A$2:$A$11107,'[1]Sheet 1'!$D$2:$D$11107,"",0)</f>
        <v>LULU</v>
      </c>
      <c r="D464" s="4" t="str">
        <f>_xlfn.XLOOKUP(A464,[3]Sheet2!$I$2:$I$1623,[3]Sheet2!$D$2:$D$1623,"",0)</f>
        <v>Q2</v>
      </c>
      <c r="E464" s="4" t="s">
        <v>1828</v>
      </c>
      <c r="F464" s="4" t="e">
        <f>_xlfn.XLOOKUP(B464,[2]Sheet2!$E$2:$E$713,[2]Sheet2!$G$2:$G$713)</f>
        <v>#N/A</v>
      </c>
      <c r="G464" s="18">
        <v>46115</v>
      </c>
      <c r="H464" s="14">
        <v>0.18077546296296296</v>
      </c>
      <c r="I464" s="7" t="s">
        <v>11</v>
      </c>
      <c r="J464" s="2" t="str">
        <f t="shared" si="35"/>
        <v>Q4</v>
      </c>
      <c r="K464" s="2" t="str">
        <f t="shared" si="36"/>
        <v>Not Match</v>
      </c>
      <c r="L464" s="2">
        <f t="shared" si="37"/>
        <v>0.22360679774997899</v>
      </c>
      <c r="M464" s="2" t="e">
        <f t="shared" si="38"/>
        <v>#N/A</v>
      </c>
      <c r="N464" s="2" t="str">
        <f t="shared" si="39"/>
        <v>Q NOT OK dE&lt;=0.8</v>
      </c>
      <c r="O464" s="7">
        <v>25.5</v>
      </c>
      <c r="P464" s="7">
        <v>1.9</v>
      </c>
      <c r="Q464" s="7">
        <v>-37.5</v>
      </c>
      <c r="R464" s="7">
        <v>-0.22</v>
      </c>
      <c r="S464" s="7">
        <v>0.1</v>
      </c>
      <c r="T464" s="7">
        <v>-0.2</v>
      </c>
      <c r="U464" s="7">
        <v>0.1</v>
      </c>
      <c r="V464" s="7">
        <v>0.13</v>
      </c>
      <c r="W464" s="7">
        <v>0.27</v>
      </c>
      <c r="X464" s="7" t="s">
        <v>8</v>
      </c>
      <c r="Y464" s="7" t="s">
        <v>9</v>
      </c>
      <c r="Z464" s="2" t="s">
        <v>718</v>
      </c>
      <c r="AA464" s="2" t="s">
        <v>721</v>
      </c>
    </row>
    <row r="465" spans="1:27" x14ac:dyDescent="0.35">
      <c r="A465" s="7" t="s">
        <v>1504</v>
      </c>
      <c r="B465" s="7" t="s">
        <v>1146</v>
      </c>
      <c r="C465" s="7" t="str">
        <f>_xlfn.XLOOKUP(B465,'[1]Sheet 1'!$A$2:$A$11107,'[1]Sheet 1'!$D$2:$D$11107,"",0)</f>
        <v>WACE</v>
      </c>
      <c r="D465" s="4">
        <v>0</v>
      </c>
      <c r="E465" s="4" t="s">
        <v>1828</v>
      </c>
      <c r="F465" s="4" t="e">
        <f>_xlfn.XLOOKUP(B465,[2]Sheet2!$E$2:$E$713,[2]Sheet2!$G$2:$G$713)</f>
        <v>#N/A</v>
      </c>
      <c r="G465" s="18">
        <v>46115</v>
      </c>
      <c r="H465" s="14">
        <v>0.14796296296296296</v>
      </c>
      <c r="I465" s="7" t="s">
        <v>4</v>
      </c>
      <c r="J465" s="2" t="str">
        <f t="shared" si="35"/>
        <v>Q4</v>
      </c>
      <c r="K465" s="2" t="str">
        <f t="shared" si="36"/>
        <v>Not Found</v>
      </c>
      <c r="L465" s="2">
        <f t="shared" si="37"/>
        <v>0.31622776601683794</v>
      </c>
      <c r="M465" s="2" t="e">
        <f t="shared" si="38"/>
        <v>#N/A</v>
      </c>
      <c r="N465" s="2" t="str">
        <f t="shared" si="39"/>
        <v>Quadrant not assigned</v>
      </c>
      <c r="O465" s="7">
        <v>16.100000000000001</v>
      </c>
      <c r="P465" s="7">
        <v>-0.4</v>
      </c>
      <c r="Q465" s="7">
        <v>-2.5</v>
      </c>
      <c r="R465" s="7">
        <v>-0.66</v>
      </c>
      <c r="S465" s="7">
        <v>0.1</v>
      </c>
      <c r="T465" s="7">
        <v>-0.3</v>
      </c>
      <c r="U465" s="7">
        <v>0.43</v>
      </c>
      <c r="V465" s="7">
        <v>0.22</v>
      </c>
      <c r="W465" s="7">
        <v>0.82</v>
      </c>
      <c r="X465" s="7" t="s">
        <v>13</v>
      </c>
      <c r="Y465" s="7" t="s">
        <v>9</v>
      </c>
      <c r="Z465" s="2" t="s">
        <v>718</v>
      </c>
      <c r="AA465" s="2" t="s">
        <v>721</v>
      </c>
    </row>
    <row r="466" spans="1:27" x14ac:dyDescent="0.35">
      <c r="A466" s="7" t="s">
        <v>1764</v>
      </c>
      <c r="B466" s="7" t="s">
        <v>1171</v>
      </c>
      <c r="C466" s="7" t="str">
        <f>_xlfn.XLOOKUP(B466,'[1]Sheet 1'!$A$2:$A$11107,'[1]Sheet 1'!$D$2:$D$11107,"",0)</f>
        <v>LULU</v>
      </c>
      <c r="D466" s="4" t="str">
        <f>_xlfn.XLOOKUP(A466,[3]Sheet2!$I$2:$I$1623,[3]Sheet2!$D$2:$D$1623,"",0)</f>
        <v>Q1</v>
      </c>
      <c r="E466" s="4" t="s">
        <v>1827</v>
      </c>
      <c r="F466" s="4" t="e">
        <f>_xlfn.XLOOKUP(B466,[2]Sheet2!$E$2:$E$713,[2]Sheet2!$G$2:$G$713)</f>
        <v>#N/A</v>
      </c>
      <c r="G466" s="18">
        <v>46115</v>
      </c>
      <c r="H466" s="14">
        <v>0.87709490740740736</v>
      </c>
      <c r="I466" s="7" t="s">
        <v>4</v>
      </c>
      <c r="J466" s="2" t="str">
        <f t="shared" si="35"/>
        <v>Q1</v>
      </c>
      <c r="K466" s="2" t="str">
        <f t="shared" si="36"/>
        <v>Match</v>
      </c>
      <c r="L466" s="2">
        <f t="shared" si="37"/>
        <v>0.6</v>
      </c>
      <c r="M466" s="2" t="e">
        <f t="shared" si="38"/>
        <v>#N/A</v>
      </c>
      <c r="N466" s="2" t="str">
        <f t="shared" si="39"/>
        <v>Q OK dE&lt;=0.8</v>
      </c>
      <c r="O466" s="7">
        <v>30.9</v>
      </c>
      <c r="P466" s="7">
        <v>32.4</v>
      </c>
      <c r="Q466" s="7">
        <v>16.3</v>
      </c>
      <c r="R466" s="7">
        <v>-0.33</v>
      </c>
      <c r="S466" s="7">
        <v>0.6</v>
      </c>
      <c r="T466" s="20">
        <v>0</v>
      </c>
      <c r="U466" s="7">
        <v>0.26</v>
      </c>
      <c r="V466" s="7">
        <v>-0.32</v>
      </c>
      <c r="W466" s="7">
        <v>0.52</v>
      </c>
      <c r="X466" s="7" t="s">
        <v>8</v>
      </c>
      <c r="Y466" s="7" t="s">
        <v>7</v>
      </c>
      <c r="Z466" s="2" t="s">
        <v>718</v>
      </c>
      <c r="AA466" s="2" t="s">
        <v>721</v>
      </c>
    </row>
    <row r="467" spans="1:27" x14ac:dyDescent="0.35">
      <c r="A467" s="7" t="s">
        <v>1759</v>
      </c>
      <c r="B467" s="7" t="s">
        <v>1149</v>
      </c>
      <c r="C467" s="7" t="str">
        <f>_xlfn.XLOOKUP(B467,'[1]Sheet 1'!$A$2:$A$11107,'[1]Sheet 1'!$D$2:$D$11107,"",0)</f>
        <v>CK</v>
      </c>
      <c r="D467" s="4" t="str">
        <f>_xlfn.XLOOKUP(A467,[3]Sheet2!$I$2:$I$1623,[3]Sheet2!$D$2:$D$1623,"",0)</f>
        <v>Q3</v>
      </c>
      <c r="E467" s="4" t="s">
        <v>1827</v>
      </c>
      <c r="F467" s="4" t="e">
        <f>_xlfn.XLOOKUP(B467,[2]Sheet2!$E$2:$E$713,[2]Sheet2!$G$2:$G$713)</f>
        <v>#N/A</v>
      </c>
      <c r="G467" s="18">
        <v>46115</v>
      </c>
      <c r="H467" s="14">
        <v>0.25755787037037037</v>
      </c>
      <c r="I467" s="7" t="s">
        <v>11</v>
      </c>
      <c r="J467" s="2" t="str">
        <f t="shared" si="35"/>
        <v>Q3</v>
      </c>
      <c r="K467" s="2" t="str">
        <f t="shared" si="36"/>
        <v>Match</v>
      </c>
      <c r="L467" s="2">
        <f t="shared" si="37"/>
        <v>0.1</v>
      </c>
      <c r="M467" s="2" t="e">
        <f t="shared" si="38"/>
        <v>#N/A</v>
      </c>
      <c r="N467" s="2" t="str">
        <f t="shared" si="39"/>
        <v>Q OK dE&lt;=0.8</v>
      </c>
      <c r="O467" s="7">
        <v>29.4</v>
      </c>
      <c r="P467" s="7">
        <v>27.7</v>
      </c>
      <c r="Q467" s="7">
        <v>11.8</v>
      </c>
      <c r="R467" s="7">
        <v>-0.54</v>
      </c>
      <c r="S467" s="7">
        <v>0</v>
      </c>
      <c r="T467" s="7">
        <v>-0.1</v>
      </c>
      <c r="U467" s="7">
        <v>-0.06</v>
      </c>
      <c r="V467" s="7">
        <v>-0.06</v>
      </c>
      <c r="W467" s="7">
        <v>0.55000000000000004</v>
      </c>
      <c r="X467" s="7" t="s">
        <v>8</v>
      </c>
      <c r="Y467" s="7" t="s">
        <v>7</v>
      </c>
      <c r="Z467" s="2" t="s">
        <v>718</v>
      </c>
      <c r="AA467" s="2" t="s">
        <v>721</v>
      </c>
    </row>
    <row r="468" spans="1:27" x14ac:dyDescent="0.35">
      <c r="A468" s="7" t="s">
        <v>1557</v>
      </c>
      <c r="B468" s="7" t="s">
        <v>1167</v>
      </c>
      <c r="C468" s="7" t="str">
        <f>_xlfn.XLOOKUP(B468,'[1]Sheet 1'!$A$2:$A$11107,'[1]Sheet 1'!$D$2:$D$11107,"",0)</f>
        <v>M&amp;S</v>
      </c>
      <c r="D468" s="4" t="str">
        <f>_xlfn.XLOOKUP(A468,[3]Sheet2!$I$2:$I$1623,[3]Sheet2!$D$2:$D$1623,"",0)</f>
        <v>Q3</v>
      </c>
      <c r="E468" s="4" t="s">
        <v>1828</v>
      </c>
      <c r="F468" s="4" t="e">
        <f>_xlfn.XLOOKUP(B468,[2]Sheet2!$E$2:$E$713,[2]Sheet2!$G$2:$G$713)</f>
        <v>#N/A</v>
      </c>
      <c r="G468" s="18">
        <v>46115</v>
      </c>
      <c r="H468" s="14">
        <v>0.75684027777777774</v>
      </c>
      <c r="I468" s="7" t="s">
        <v>17</v>
      </c>
      <c r="J468" s="2" t="str">
        <f t="shared" si="35"/>
        <v>Q3</v>
      </c>
      <c r="K468" s="2" t="str">
        <f t="shared" si="36"/>
        <v>Match</v>
      </c>
      <c r="L468" s="2">
        <f t="shared" si="37"/>
        <v>0.22360679774997899</v>
      </c>
      <c r="M468" s="2" t="e">
        <f t="shared" si="38"/>
        <v>#N/A</v>
      </c>
      <c r="N468" s="2" t="str">
        <f t="shared" si="39"/>
        <v>Q OK dE&lt;=0.8</v>
      </c>
      <c r="O468" s="7">
        <v>15.1</v>
      </c>
      <c r="P468" s="7">
        <v>-0.6</v>
      </c>
      <c r="Q468" s="7">
        <v>-1.8</v>
      </c>
      <c r="R468" s="7">
        <v>-0.45</v>
      </c>
      <c r="S468" s="7">
        <v>-0.2</v>
      </c>
      <c r="T468" s="7">
        <v>-0.1</v>
      </c>
      <c r="U468" s="7">
        <v>0.31</v>
      </c>
      <c r="V468" s="7">
        <v>-0.26</v>
      </c>
      <c r="W468" s="7">
        <v>0.6</v>
      </c>
      <c r="X468" s="7" t="s">
        <v>8</v>
      </c>
      <c r="Y468" s="7" t="s">
        <v>15</v>
      </c>
      <c r="Z468" s="2" t="s">
        <v>718</v>
      </c>
      <c r="AA468" s="2" t="s">
        <v>721</v>
      </c>
    </row>
    <row r="469" spans="1:27" x14ac:dyDescent="0.35">
      <c r="A469" s="7" t="s">
        <v>1761</v>
      </c>
      <c r="B469" s="7" t="s">
        <v>1157</v>
      </c>
      <c r="C469" s="7" t="str">
        <f>_xlfn.XLOOKUP(B469,'[1]Sheet 1'!$A$2:$A$11107,'[1]Sheet 1'!$D$2:$D$11107,"",0)</f>
        <v>VSS</v>
      </c>
      <c r="D469" s="4" t="str">
        <f>_xlfn.XLOOKUP(A469,[3]Sheet2!$I$2:$I$1623,[3]Sheet2!$D$2:$D$1623,"",0)</f>
        <v>Q1</v>
      </c>
      <c r="E469" s="4" t="s">
        <v>1828</v>
      </c>
      <c r="F469" s="4" t="e">
        <f>_xlfn.XLOOKUP(B469,[2]Sheet2!$E$2:$E$713,[2]Sheet2!$G$2:$G$713)</f>
        <v>#N/A</v>
      </c>
      <c r="G469" s="18">
        <v>46115</v>
      </c>
      <c r="H469" s="14">
        <v>0.71934027777777776</v>
      </c>
      <c r="I469" s="7" t="s">
        <v>11</v>
      </c>
      <c r="J469" s="2" t="str">
        <f t="shared" si="35"/>
        <v>Q1</v>
      </c>
      <c r="K469" s="2" t="str">
        <f t="shared" si="36"/>
        <v>Match</v>
      </c>
      <c r="L469" s="2">
        <f t="shared" si="37"/>
        <v>0.1</v>
      </c>
      <c r="M469" s="2" t="e">
        <f t="shared" si="38"/>
        <v>#N/A</v>
      </c>
      <c r="N469" s="2" t="str">
        <f t="shared" si="39"/>
        <v>Q OK dE&lt;=0.8</v>
      </c>
      <c r="O469" s="7">
        <v>28.7</v>
      </c>
      <c r="P469" s="7">
        <v>-1.7</v>
      </c>
      <c r="Q469" s="7">
        <v>7.8</v>
      </c>
      <c r="R469" s="7">
        <v>0.61</v>
      </c>
      <c r="S469" s="7">
        <v>0.1</v>
      </c>
      <c r="T469" s="20">
        <v>0</v>
      </c>
      <c r="U469" s="7">
        <v>-0.01</v>
      </c>
      <c r="V469" s="7">
        <v>-0.15</v>
      </c>
      <c r="W469" s="7">
        <v>0.62</v>
      </c>
      <c r="X469" s="7" t="s">
        <v>8</v>
      </c>
      <c r="Y469" s="7" t="s">
        <v>9</v>
      </c>
      <c r="Z469" s="2" t="s">
        <v>718</v>
      </c>
      <c r="AA469" s="2" t="s">
        <v>721</v>
      </c>
    </row>
    <row r="470" spans="1:27" x14ac:dyDescent="0.35">
      <c r="A470" s="7" t="s">
        <v>1681</v>
      </c>
      <c r="B470" s="7" t="s">
        <v>1161</v>
      </c>
      <c r="C470" s="7" t="str">
        <f>_xlfn.XLOOKUP(B470,'[1]Sheet 1'!$A$2:$A$11107,'[1]Sheet 1'!$D$2:$D$11107,"",0)</f>
        <v>CK</v>
      </c>
      <c r="D470" s="4" t="str">
        <f>_xlfn.XLOOKUP(A470,[3]Sheet2!$I$2:$I$1623,[3]Sheet2!$D$2:$D$1623,"",0)</f>
        <v>Q4</v>
      </c>
      <c r="E470" s="4" t="s">
        <v>1827</v>
      </c>
      <c r="F470" s="4" t="e">
        <f>_xlfn.XLOOKUP(B470,[2]Sheet2!$E$2:$E$713,[2]Sheet2!$G$2:$G$713)</f>
        <v>#N/A</v>
      </c>
      <c r="G470" s="18">
        <v>46115</v>
      </c>
      <c r="H470" s="14">
        <v>0.74244212962962963</v>
      </c>
      <c r="I470" s="7" t="s">
        <v>11</v>
      </c>
      <c r="J470" s="2" t="str">
        <f t="shared" si="35"/>
        <v>Q3</v>
      </c>
      <c r="K470" s="2" t="str">
        <f t="shared" si="36"/>
        <v>Not Match</v>
      </c>
      <c r="L470" s="2">
        <f t="shared" si="37"/>
        <v>0.31622776601683794</v>
      </c>
      <c r="M470" s="2" t="e">
        <f t="shared" si="38"/>
        <v>#N/A</v>
      </c>
      <c r="N470" s="2" t="str">
        <f t="shared" si="39"/>
        <v>Q NOT OK dE&gt;0.8</v>
      </c>
      <c r="O470" s="7">
        <v>20.399999999999999</v>
      </c>
      <c r="P470" s="7">
        <v>-0.7</v>
      </c>
      <c r="Q470" s="7">
        <v>-9</v>
      </c>
      <c r="R470" s="7">
        <v>0.85</v>
      </c>
      <c r="S470" s="7">
        <v>-0.1</v>
      </c>
      <c r="T470" s="7">
        <v>-0.3</v>
      </c>
      <c r="U470" s="7">
        <v>0.31</v>
      </c>
      <c r="V470" s="7">
        <v>-0.17</v>
      </c>
      <c r="W470" s="7">
        <v>0.92</v>
      </c>
      <c r="X470" s="7" t="s">
        <v>13</v>
      </c>
      <c r="Y470" s="7" t="s">
        <v>15</v>
      </c>
      <c r="Z470" s="2" t="s">
        <v>718</v>
      </c>
      <c r="AA470" s="2" t="s">
        <v>721</v>
      </c>
    </row>
    <row r="471" spans="1:27" x14ac:dyDescent="0.35">
      <c r="A471" s="7" t="s">
        <v>1559</v>
      </c>
      <c r="B471" s="7" t="s">
        <v>1154</v>
      </c>
      <c r="C471" s="7" t="str">
        <f>_xlfn.XLOOKUP(B471,'[1]Sheet 1'!$A$2:$A$11107,'[1]Sheet 1'!$D$2:$D$11107,"",0)</f>
        <v>VSS</v>
      </c>
      <c r="D471" s="4" t="str">
        <f>_xlfn.XLOOKUP(A471,[3]Sheet2!$I$2:$I$1623,[3]Sheet2!$D$2:$D$1623,"",0)</f>
        <v>Q3</v>
      </c>
      <c r="E471" s="4" t="s">
        <v>1828</v>
      </c>
      <c r="F471" s="4" t="e">
        <f>_xlfn.XLOOKUP(B471,[2]Sheet2!$E$2:$E$713,[2]Sheet2!$G$2:$G$713)</f>
        <v>#N/A</v>
      </c>
      <c r="G471" s="18">
        <v>46115</v>
      </c>
      <c r="H471" s="14">
        <v>0.38123842592592594</v>
      </c>
      <c r="I471" s="7" t="s">
        <v>10</v>
      </c>
      <c r="J471" s="2" t="str">
        <f t="shared" si="35"/>
        <v>Q3</v>
      </c>
      <c r="K471" s="2" t="str">
        <f t="shared" si="36"/>
        <v>Match</v>
      </c>
      <c r="L471" s="2">
        <f t="shared" si="37"/>
        <v>0.31622776601683794</v>
      </c>
      <c r="M471" s="2" t="e">
        <f t="shared" si="38"/>
        <v>#N/A</v>
      </c>
      <c r="N471" s="2" t="str">
        <f t="shared" si="39"/>
        <v>Q OK dE&lt;=0.8</v>
      </c>
      <c r="O471" s="7">
        <v>17.899999999999999</v>
      </c>
      <c r="P471" s="7">
        <v>-0.2</v>
      </c>
      <c r="Q471" s="7">
        <v>-2.6</v>
      </c>
      <c r="R471" s="7">
        <v>-7.0000000000000007E-2</v>
      </c>
      <c r="S471" s="7">
        <v>-0.1</v>
      </c>
      <c r="T471" s="7">
        <v>-0.3</v>
      </c>
      <c r="U471" s="7">
        <v>0.42</v>
      </c>
      <c r="V471" s="7">
        <v>-0.17</v>
      </c>
      <c r="W471" s="7">
        <v>0.45</v>
      </c>
      <c r="X471" s="7" t="s">
        <v>8</v>
      </c>
      <c r="Y471" s="7" t="s">
        <v>15</v>
      </c>
      <c r="Z471" s="2" t="s">
        <v>718</v>
      </c>
      <c r="AA471" s="2" t="s">
        <v>721</v>
      </c>
    </row>
    <row r="472" spans="1:27" x14ac:dyDescent="0.35">
      <c r="A472" s="7" t="s">
        <v>1520</v>
      </c>
      <c r="B472" s="7" t="s">
        <v>1170</v>
      </c>
      <c r="C472" s="7" t="str">
        <f>_xlfn.XLOOKUP(B472,'[1]Sheet 1'!$A$2:$A$11107,'[1]Sheet 1'!$D$2:$D$11107,"",0)</f>
        <v>VSS</v>
      </c>
      <c r="D472" s="4" t="str">
        <f>_xlfn.XLOOKUP(A472,[3]Sheet2!$I$2:$I$1623,[3]Sheet2!$D$2:$D$1623,"",0)</f>
        <v>Q1</v>
      </c>
      <c r="E472" s="4" t="s">
        <v>1828</v>
      </c>
      <c r="F472" s="4" t="e">
        <f>_xlfn.XLOOKUP(B472,[2]Sheet2!$E$2:$E$713,[2]Sheet2!$G$2:$G$713)</f>
        <v>#N/A</v>
      </c>
      <c r="G472" s="18">
        <v>46115</v>
      </c>
      <c r="H472" s="14">
        <v>0.8744791666666667</v>
      </c>
      <c r="I472" s="7" t="s">
        <v>10</v>
      </c>
      <c r="J472" s="2" t="str">
        <f t="shared" si="35"/>
        <v>Q1</v>
      </c>
      <c r="K472" s="2" t="str">
        <f t="shared" si="36"/>
        <v>Match</v>
      </c>
      <c r="L472" s="2">
        <f t="shared" si="37"/>
        <v>0.63245553203367588</v>
      </c>
      <c r="M472" s="2" t="e">
        <f t="shared" si="38"/>
        <v>#N/A</v>
      </c>
      <c r="N472" s="2" t="str">
        <f t="shared" si="39"/>
        <v>Q OK dE&lt;=0.8</v>
      </c>
      <c r="O472" s="7">
        <v>27.9</v>
      </c>
      <c r="P472" s="7">
        <v>12.4</v>
      </c>
      <c r="Q472" s="7">
        <v>10.6</v>
      </c>
      <c r="R472" s="7">
        <v>0.16</v>
      </c>
      <c r="S472" s="7">
        <v>0.6</v>
      </c>
      <c r="T472" s="7">
        <v>0.2</v>
      </c>
      <c r="U472" s="7">
        <v>0.45</v>
      </c>
      <c r="V472" s="7">
        <v>-0.31</v>
      </c>
      <c r="W472" s="7">
        <v>0.56999999999999995</v>
      </c>
      <c r="X472" s="7" t="s">
        <v>8</v>
      </c>
      <c r="Y472" s="7" t="s">
        <v>9</v>
      </c>
      <c r="Z472" s="2" t="s">
        <v>718</v>
      </c>
      <c r="AA472" s="2" t="s">
        <v>721</v>
      </c>
    </row>
    <row r="473" spans="1:27" x14ac:dyDescent="0.35">
      <c r="A473" s="7" t="s">
        <v>1695</v>
      </c>
      <c r="B473" s="7" t="s">
        <v>1150</v>
      </c>
      <c r="C473" s="7" t="str">
        <f>_xlfn.XLOOKUP(B473,'[1]Sheet 1'!$A$2:$A$11107,'[1]Sheet 1'!$D$2:$D$11107,"",0)</f>
        <v>ODL</v>
      </c>
      <c r="D473" s="4" t="str">
        <f>_xlfn.XLOOKUP(A473,[3]Sheet2!$I$2:$I$1623,[3]Sheet2!$D$2:$D$1623,"",0)</f>
        <v>Q3</v>
      </c>
      <c r="E473" s="4" t="s">
        <v>1828</v>
      </c>
      <c r="F473" s="4" t="e">
        <f>_xlfn.XLOOKUP(B473,[2]Sheet2!$E$2:$E$713,[2]Sheet2!$G$2:$G$713)</f>
        <v>#N/A</v>
      </c>
      <c r="G473" s="18">
        <v>46115</v>
      </c>
      <c r="H473" s="14">
        <v>0.25908564814814816</v>
      </c>
      <c r="I473" s="7" t="s">
        <v>4</v>
      </c>
      <c r="J473" s="2" t="str">
        <f t="shared" si="35"/>
        <v>Q1</v>
      </c>
      <c r="K473" s="2" t="str">
        <f t="shared" si="36"/>
        <v>Not Match</v>
      </c>
      <c r="L473" s="2">
        <f t="shared" si="37"/>
        <v>0.42426406871192851</v>
      </c>
      <c r="M473" s="2" t="e">
        <f t="shared" si="38"/>
        <v>#N/A</v>
      </c>
      <c r="N473" s="2" t="str">
        <f t="shared" si="39"/>
        <v>Q NOT OK dE&lt;=0.8</v>
      </c>
      <c r="O473" s="7">
        <v>18.5</v>
      </c>
      <c r="P473" s="7">
        <v>-0.9</v>
      </c>
      <c r="Q473" s="7">
        <v>-1.2</v>
      </c>
      <c r="R473" s="7">
        <v>-0.32</v>
      </c>
      <c r="S473" s="7">
        <v>0.3</v>
      </c>
      <c r="T473" s="7">
        <v>0.3</v>
      </c>
      <c r="U473" s="7">
        <v>-0.66</v>
      </c>
      <c r="V473" s="7">
        <v>7.0000000000000007E-2</v>
      </c>
      <c r="W473" s="7">
        <v>0.74</v>
      </c>
      <c r="X473" s="7" t="s">
        <v>8</v>
      </c>
      <c r="Y473" s="7" t="s">
        <v>7</v>
      </c>
      <c r="Z473" s="2" t="s">
        <v>718</v>
      </c>
      <c r="AA473" s="2" t="s">
        <v>721</v>
      </c>
    </row>
    <row r="474" spans="1:27" x14ac:dyDescent="0.35">
      <c r="A474" s="7" t="s">
        <v>1559</v>
      </c>
      <c r="B474" s="7" t="s">
        <v>1148</v>
      </c>
      <c r="C474" s="7" t="str">
        <f>_xlfn.XLOOKUP(B474,'[1]Sheet 1'!$A$2:$A$11107,'[1]Sheet 1'!$D$2:$D$11107,"",0)</f>
        <v>VSS</v>
      </c>
      <c r="D474" s="4" t="str">
        <f>_xlfn.XLOOKUP(A474,[3]Sheet2!$I$2:$I$1623,[3]Sheet2!$D$2:$D$1623,"",0)</f>
        <v>Q3</v>
      </c>
      <c r="E474" s="4" t="s">
        <v>1827</v>
      </c>
      <c r="F474" s="4" t="e">
        <f>_xlfn.XLOOKUP(B474,[2]Sheet2!$E$2:$E$713,[2]Sheet2!$G$2:$G$713)</f>
        <v>#N/A</v>
      </c>
      <c r="G474" s="18">
        <v>46115</v>
      </c>
      <c r="H474" s="14">
        <v>0.25449074074074074</v>
      </c>
      <c r="I474" s="7" t="s">
        <v>10</v>
      </c>
      <c r="J474" s="2" t="str">
        <f t="shared" si="35"/>
        <v>Q1</v>
      </c>
      <c r="K474" s="2" t="str">
        <f t="shared" si="36"/>
        <v>Not Match</v>
      </c>
      <c r="L474" s="2">
        <f t="shared" si="37"/>
        <v>0.14142135623730953</v>
      </c>
      <c r="M474" s="2" t="e">
        <f t="shared" si="38"/>
        <v>#N/A</v>
      </c>
      <c r="N474" s="2" t="str">
        <f t="shared" si="39"/>
        <v>Q NOT OK dE&gt;0.8</v>
      </c>
      <c r="O474" s="7">
        <v>16.8</v>
      </c>
      <c r="P474" s="7">
        <v>0.1</v>
      </c>
      <c r="Q474" s="7">
        <v>-2.1</v>
      </c>
      <c r="R474" s="7">
        <v>-1.04</v>
      </c>
      <c r="S474" s="7">
        <v>0.1</v>
      </c>
      <c r="T474" s="7">
        <v>0.1</v>
      </c>
      <c r="U474" s="7">
        <v>-0.2</v>
      </c>
      <c r="V474" s="7">
        <v>0.26</v>
      </c>
      <c r="W474" s="7">
        <v>1.0900000000000001</v>
      </c>
      <c r="X474" s="7" t="s">
        <v>6</v>
      </c>
      <c r="Y474" s="7" t="s">
        <v>9</v>
      </c>
      <c r="Z474" s="2" t="s">
        <v>718</v>
      </c>
      <c r="AA474" s="2" t="s">
        <v>721</v>
      </c>
    </row>
    <row r="475" spans="1:27" x14ac:dyDescent="0.35">
      <c r="A475" s="7" t="s">
        <v>1573</v>
      </c>
      <c r="B475" s="7" t="s">
        <v>1145</v>
      </c>
      <c r="C475" s="7" t="str">
        <f>_xlfn.XLOOKUP(B475,'[1]Sheet 1'!$A$2:$A$11107,'[1]Sheet 1'!$D$2:$D$11107,"",0)</f>
        <v>WACE</v>
      </c>
      <c r="D475" s="4" t="str">
        <f>_xlfn.XLOOKUP(A475,[3]Sheet2!$I$2:$I$1623,[3]Sheet2!$D$2:$D$1623,"",0)</f>
        <v>Q1</v>
      </c>
      <c r="E475" s="4" t="s">
        <v>1828</v>
      </c>
      <c r="F475" s="4" t="e">
        <f>_xlfn.XLOOKUP(B475,[2]Sheet2!$E$2:$E$713,[2]Sheet2!$G$2:$G$713)</f>
        <v>#N/A</v>
      </c>
      <c r="G475" s="18">
        <v>46115</v>
      </c>
      <c r="H475" s="14">
        <v>0.14303240740740741</v>
      </c>
      <c r="I475" s="7" t="s">
        <v>4</v>
      </c>
      <c r="J475" s="2" t="str">
        <f t="shared" si="35"/>
        <v>Q1</v>
      </c>
      <c r="K475" s="2" t="str">
        <f t="shared" si="36"/>
        <v>Match</v>
      </c>
      <c r="L475" s="2">
        <f t="shared" si="37"/>
        <v>0.14142135623730953</v>
      </c>
      <c r="M475" s="2" t="e">
        <f t="shared" si="38"/>
        <v>#N/A</v>
      </c>
      <c r="N475" s="2" t="str">
        <f t="shared" si="39"/>
        <v>Q OK dE&gt;0.8</v>
      </c>
      <c r="O475" s="7">
        <v>18</v>
      </c>
      <c r="P475" s="7">
        <v>0</v>
      </c>
      <c r="Q475" s="7">
        <v>-1.2</v>
      </c>
      <c r="R475" s="7">
        <v>-0.91</v>
      </c>
      <c r="S475" s="7">
        <v>0.1</v>
      </c>
      <c r="T475" s="7">
        <v>0.1</v>
      </c>
      <c r="U475" s="7">
        <v>-0.21</v>
      </c>
      <c r="V475" s="7">
        <v>0.17</v>
      </c>
      <c r="W475" s="7">
        <v>0.95</v>
      </c>
      <c r="X475" s="7" t="s">
        <v>13</v>
      </c>
      <c r="Y475" s="7" t="s">
        <v>9</v>
      </c>
      <c r="Z475" s="2" t="s">
        <v>718</v>
      </c>
      <c r="AA475" s="2" t="s">
        <v>721</v>
      </c>
    </row>
    <row r="476" spans="1:27" x14ac:dyDescent="0.35">
      <c r="A476" s="7" t="s">
        <v>1553</v>
      </c>
      <c r="B476" s="7" t="s">
        <v>1159</v>
      </c>
      <c r="C476" s="7" t="str">
        <f>_xlfn.XLOOKUP(B476,'[1]Sheet 1'!$A$2:$A$11107,'[1]Sheet 1'!$D$2:$D$11107,"",0)</f>
        <v>TORD</v>
      </c>
      <c r="D476" s="4" t="str">
        <f>_xlfn.XLOOKUP(A476,[3]Sheet2!$I$2:$I$1623,[3]Sheet2!$D$2:$D$1623,"",0)</f>
        <v>Q4</v>
      </c>
      <c r="E476" s="4" t="s">
        <v>1828</v>
      </c>
      <c r="F476" s="4" t="e">
        <f>_xlfn.XLOOKUP(B476,[2]Sheet2!$E$2:$E$713,[2]Sheet2!$G$2:$G$713)</f>
        <v>#N/A</v>
      </c>
      <c r="G476" s="18">
        <v>46115</v>
      </c>
      <c r="H476" s="14">
        <v>0.72993055555555553</v>
      </c>
      <c r="I476" s="7" t="s">
        <v>4</v>
      </c>
      <c r="J476" s="2" t="str">
        <f t="shared" si="35"/>
        <v>Q3</v>
      </c>
      <c r="K476" s="2" t="str">
        <f t="shared" si="36"/>
        <v>Not Match</v>
      </c>
      <c r="L476" s="2">
        <f t="shared" si="37"/>
        <v>0.50990195135927852</v>
      </c>
      <c r="M476" s="2" t="e">
        <f t="shared" si="38"/>
        <v>#N/A</v>
      </c>
      <c r="N476" s="2" t="str">
        <f t="shared" si="39"/>
        <v>Q NOT OK dE&lt;=0.8</v>
      </c>
      <c r="O476" s="7">
        <v>16.100000000000001</v>
      </c>
      <c r="P476" s="7">
        <v>-0.3</v>
      </c>
      <c r="Q476" s="7">
        <v>-2.8</v>
      </c>
      <c r="R476" s="7">
        <v>0.15</v>
      </c>
      <c r="S476" s="7">
        <v>-0.5</v>
      </c>
      <c r="T476" s="7">
        <v>-0.1</v>
      </c>
      <c r="U476" s="7">
        <v>0.22</v>
      </c>
      <c r="V476" s="7">
        <v>-0.66</v>
      </c>
      <c r="W476" s="7">
        <v>0.72</v>
      </c>
      <c r="X476" s="7" t="s">
        <v>8</v>
      </c>
      <c r="Y476" s="7" t="s">
        <v>15</v>
      </c>
      <c r="Z476" s="2" t="s">
        <v>718</v>
      </c>
      <c r="AA476" s="2" t="s">
        <v>721</v>
      </c>
    </row>
    <row r="477" spans="1:27" x14ac:dyDescent="0.35">
      <c r="A477" s="7" t="s">
        <v>1559</v>
      </c>
      <c r="B477" s="7" t="s">
        <v>1151</v>
      </c>
      <c r="C477" s="7" t="str">
        <f>_xlfn.XLOOKUP(B477,'[1]Sheet 1'!$A$2:$A$11107,'[1]Sheet 1'!$D$2:$D$11107,"",0)</f>
        <v>VSS</v>
      </c>
      <c r="D477" s="4" t="str">
        <f>_xlfn.XLOOKUP(A477,[3]Sheet2!$I$2:$I$1623,[3]Sheet2!$D$2:$D$1623,"",0)</f>
        <v>Q3</v>
      </c>
      <c r="E477" s="4" t="s">
        <v>1828</v>
      </c>
      <c r="F477" s="4" t="e">
        <f>_xlfn.XLOOKUP(B477,[2]Sheet2!$E$2:$E$713,[2]Sheet2!$G$2:$G$713)</f>
        <v>#N/A</v>
      </c>
      <c r="G477" s="18">
        <v>46115</v>
      </c>
      <c r="H477" s="14">
        <v>0.27310185185185187</v>
      </c>
      <c r="I477" s="7" t="s">
        <v>10</v>
      </c>
      <c r="J477" s="2" t="str">
        <f t="shared" si="35"/>
        <v>Q3</v>
      </c>
      <c r="K477" s="2" t="str">
        <f t="shared" si="36"/>
        <v>Match</v>
      </c>
      <c r="L477" s="2">
        <f t="shared" si="37"/>
        <v>0.2</v>
      </c>
      <c r="M477" s="2" t="e">
        <f t="shared" si="38"/>
        <v>#N/A</v>
      </c>
      <c r="N477" s="2" t="str">
        <f t="shared" si="39"/>
        <v>Q OK dE&lt;=0.8</v>
      </c>
      <c r="O477" s="7">
        <v>18</v>
      </c>
      <c r="P477" s="7">
        <v>-0.1</v>
      </c>
      <c r="Q477" s="7">
        <v>-2.5</v>
      </c>
      <c r="R477" s="7">
        <v>-0.02</v>
      </c>
      <c r="S477" s="7">
        <v>0</v>
      </c>
      <c r="T477" s="7">
        <v>-0.2</v>
      </c>
      <c r="U477" s="7">
        <v>0.28000000000000003</v>
      </c>
      <c r="V477" s="7">
        <v>-0.1</v>
      </c>
      <c r="W477" s="7">
        <v>0.3</v>
      </c>
      <c r="X477" s="7" t="s">
        <v>8</v>
      </c>
      <c r="Y477" s="7" t="s">
        <v>15</v>
      </c>
      <c r="Z477" s="2" t="s">
        <v>718</v>
      </c>
      <c r="AA477" s="2" t="s">
        <v>721</v>
      </c>
    </row>
    <row r="478" spans="1:27" x14ac:dyDescent="0.35">
      <c r="A478" s="7" t="s">
        <v>1762</v>
      </c>
      <c r="B478" s="7" t="s">
        <v>1166</v>
      </c>
      <c r="C478" s="7" t="str">
        <f>_xlfn.XLOOKUP(B478,'[1]Sheet 1'!$A$2:$A$11107,'[1]Sheet 1'!$D$2:$D$11107,"",0)</f>
        <v>CHICOS</v>
      </c>
      <c r="D478" s="4" t="str">
        <f>_xlfn.XLOOKUP(A478,[3]Sheet2!$I$2:$I$1623,[3]Sheet2!$D$2:$D$1623,"",0)</f>
        <v>Q3</v>
      </c>
      <c r="E478" s="4" t="s">
        <v>1828</v>
      </c>
      <c r="F478" s="4" t="e">
        <f>_xlfn.XLOOKUP(B478,[2]Sheet2!$E$2:$E$713,[2]Sheet2!$G$2:$G$713)</f>
        <v>#N/A</v>
      </c>
      <c r="G478" s="18">
        <v>46115</v>
      </c>
      <c r="H478" s="14">
        <v>0.75479166666666664</v>
      </c>
      <c r="I478" s="7" t="s">
        <v>4</v>
      </c>
      <c r="J478" s="2" t="str">
        <f t="shared" si="35"/>
        <v>Q3</v>
      </c>
      <c r="K478" s="2" t="str">
        <f t="shared" si="36"/>
        <v>Match</v>
      </c>
      <c r="L478" s="2">
        <f t="shared" si="37"/>
        <v>0.22360679774997899</v>
      </c>
      <c r="M478" s="2" t="e">
        <f t="shared" si="38"/>
        <v>#N/A</v>
      </c>
      <c r="N478" s="2" t="str">
        <f t="shared" si="39"/>
        <v>Q OK dE&lt;=0.8</v>
      </c>
      <c r="O478" s="7">
        <v>16.8</v>
      </c>
      <c r="P478" s="7">
        <v>-1.1000000000000001</v>
      </c>
      <c r="Q478" s="7">
        <v>-2.1</v>
      </c>
      <c r="R478" s="7">
        <v>0</v>
      </c>
      <c r="S478" s="7">
        <v>-0.2</v>
      </c>
      <c r="T478" s="7">
        <v>-0.1</v>
      </c>
      <c r="U478" s="7">
        <v>0.28000000000000003</v>
      </c>
      <c r="V478" s="7">
        <v>-0.27</v>
      </c>
      <c r="W478" s="7">
        <v>0.39</v>
      </c>
      <c r="X478" s="7" t="s">
        <v>8</v>
      </c>
      <c r="Y478" s="7" t="s">
        <v>15</v>
      </c>
      <c r="Z478" s="2" t="s">
        <v>718</v>
      </c>
      <c r="AA478" s="2" t="s">
        <v>721</v>
      </c>
    </row>
    <row r="479" spans="1:27" x14ac:dyDescent="0.35">
      <c r="A479" s="7" t="s">
        <v>1597</v>
      </c>
      <c r="B479" s="7" t="s">
        <v>1165</v>
      </c>
      <c r="C479" s="7" t="str">
        <f>_xlfn.XLOOKUP(B479,'[1]Sheet 1'!$A$2:$A$11107,'[1]Sheet 1'!$D$2:$D$11107,"",0)</f>
        <v>WACE</v>
      </c>
      <c r="D479" s="4">
        <v>0</v>
      </c>
      <c r="E479" s="4" t="s">
        <v>1828</v>
      </c>
      <c r="F479" s="4" t="e">
        <f>_xlfn.XLOOKUP(B479,[2]Sheet2!$E$2:$E$713,[2]Sheet2!$G$2:$G$713)</f>
        <v>#N/A</v>
      </c>
      <c r="G479" s="18">
        <v>46115</v>
      </c>
      <c r="H479" s="14">
        <v>0.75134259259259262</v>
      </c>
      <c r="I479" s="7" t="s">
        <v>4</v>
      </c>
      <c r="J479" s="2">
        <f t="shared" si="35"/>
        <v>0</v>
      </c>
      <c r="K479" s="2" t="str">
        <f t="shared" si="36"/>
        <v>Match</v>
      </c>
      <c r="L479" s="2">
        <f t="shared" si="37"/>
        <v>0.2</v>
      </c>
      <c r="M479" s="2" t="e">
        <f t="shared" si="38"/>
        <v>#N/A</v>
      </c>
      <c r="N479" s="2" t="str">
        <f t="shared" si="39"/>
        <v>Quadrant not assigned</v>
      </c>
      <c r="O479" s="7">
        <v>16.899999999999999</v>
      </c>
      <c r="P479" s="7">
        <v>-0.6</v>
      </c>
      <c r="Q479" s="7">
        <v>-2</v>
      </c>
      <c r="R479" s="7">
        <v>0.61</v>
      </c>
      <c r="S479" s="7">
        <v>0.2</v>
      </c>
      <c r="T479" s="20">
        <v>0</v>
      </c>
      <c r="U479" s="7">
        <v>-0.22</v>
      </c>
      <c r="V479" s="7">
        <v>0.28999999999999998</v>
      </c>
      <c r="W479" s="7">
        <v>0.71</v>
      </c>
      <c r="X479" s="7" t="s">
        <v>8</v>
      </c>
      <c r="Y479" s="7" t="s">
        <v>9</v>
      </c>
      <c r="Z479" s="2" t="s">
        <v>718</v>
      </c>
      <c r="AA479" s="2" t="s">
        <v>721</v>
      </c>
    </row>
    <row r="480" spans="1:27" x14ac:dyDescent="0.35">
      <c r="A480" s="7" t="s">
        <v>1573</v>
      </c>
      <c r="B480" s="7" t="s">
        <v>1172</v>
      </c>
      <c r="C480" s="7" t="str">
        <f>_xlfn.XLOOKUP(B480,'[1]Sheet 1'!$A$2:$A$11107,'[1]Sheet 1'!$D$2:$D$11107,"",0)</f>
        <v>WACE</v>
      </c>
      <c r="D480" s="4" t="str">
        <f>_xlfn.XLOOKUP(A480,[3]Sheet2!$I$2:$I$1623,[3]Sheet2!$D$2:$D$1623,"",0)</f>
        <v>Q1</v>
      </c>
      <c r="E480" s="4" t="s">
        <v>1828</v>
      </c>
      <c r="F480" s="4" t="e">
        <f>_xlfn.XLOOKUP(B480,[2]Sheet2!$E$2:$E$713,[2]Sheet2!$G$2:$G$713)</f>
        <v>#N/A</v>
      </c>
      <c r="G480" s="18">
        <v>46115</v>
      </c>
      <c r="H480" s="14">
        <v>0.87898148148148147</v>
      </c>
      <c r="I480" s="7" t="s">
        <v>4</v>
      </c>
      <c r="J480" s="2" t="str">
        <f t="shared" si="35"/>
        <v>Q1</v>
      </c>
      <c r="K480" s="2" t="str">
        <f t="shared" si="36"/>
        <v>Match</v>
      </c>
      <c r="L480" s="2">
        <f t="shared" si="37"/>
        <v>0.2</v>
      </c>
      <c r="M480" s="2" t="e">
        <f t="shared" si="38"/>
        <v>#N/A</v>
      </c>
      <c r="N480" s="2" t="str">
        <f t="shared" si="39"/>
        <v>Q OK dE&lt;=0.8</v>
      </c>
      <c r="O480" s="7">
        <v>18.7</v>
      </c>
      <c r="P480" s="7">
        <v>-0.1</v>
      </c>
      <c r="Q480" s="7">
        <v>-1</v>
      </c>
      <c r="R480" s="7">
        <v>-0.3</v>
      </c>
      <c r="S480" s="7">
        <v>0</v>
      </c>
      <c r="T480" s="7">
        <v>0.2</v>
      </c>
      <c r="U480" s="7">
        <v>-0.38</v>
      </c>
      <c r="V480" s="7">
        <v>7.0000000000000007E-2</v>
      </c>
      <c r="W480" s="7">
        <v>0.49</v>
      </c>
      <c r="X480" s="7" t="s">
        <v>8</v>
      </c>
      <c r="Y480" s="7" t="s">
        <v>9</v>
      </c>
      <c r="Z480" s="2" t="s">
        <v>718</v>
      </c>
      <c r="AA480" s="2" t="s">
        <v>721</v>
      </c>
    </row>
    <row r="481" spans="1:27" x14ac:dyDescent="0.35">
      <c r="A481" s="7" t="s">
        <v>1572</v>
      </c>
      <c r="B481" s="7" t="s">
        <v>1163</v>
      </c>
      <c r="C481" s="7" t="str">
        <f>_xlfn.XLOOKUP(B481,'[1]Sheet 1'!$A$2:$A$11107,'[1]Sheet 1'!$D$2:$D$11107,"",0)</f>
        <v>WACE</v>
      </c>
      <c r="D481" s="4" t="str">
        <f>_xlfn.XLOOKUP(A481,[3]Sheet2!$I$2:$I$1623,[3]Sheet2!$D$2:$D$1623,"",0)</f>
        <v>Q3</v>
      </c>
      <c r="E481" s="4" t="s">
        <v>1828</v>
      </c>
      <c r="F481" s="4" t="e">
        <f>_xlfn.XLOOKUP(B481,[2]Sheet2!$E$2:$E$713,[2]Sheet2!$G$2:$G$713)</f>
        <v>#N/A</v>
      </c>
      <c r="G481" s="18">
        <v>46115</v>
      </c>
      <c r="H481" s="14">
        <v>0.74797453703703709</v>
      </c>
      <c r="I481" s="7" t="s">
        <v>4</v>
      </c>
      <c r="J481" s="2" t="str">
        <f t="shared" si="35"/>
        <v>Q3</v>
      </c>
      <c r="K481" s="2" t="str">
        <f t="shared" si="36"/>
        <v>Match</v>
      </c>
      <c r="L481" s="2">
        <f t="shared" si="37"/>
        <v>0.3</v>
      </c>
      <c r="M481" s="2" t="e">
        <f t="shared" si="38"/>
        <v>#N/A</v>
      </c>
      <c r="N481" s="2" t="str">
        <f t="shared" si="39"/>
        <v>Q OK dE&lt;=0.8</v>
      </c>
      <c r="O481" s="7">
        <v>16.8</v>
      </c>
      <c r="P481" s="7">
        <v>-0.8</v>
      </c>
      <c r="Q481" s="7">
        <v>-1.8</v>
      </c>
      <c r="R481" s="7">
        <v>-0.12</v>
      </c>
      <c r="S481" s="7">
        <v>0</v>
      </c>
      <c r="T481" s="7">
        <v>-0.3</v>
      </c>
      <c r="U481" s="7">
        <v>0.36</v>
      </c>
      <c r="V481" s="7">
        <v>0.3</v>
      </c>
      <c r="W481" s="7">
        <v>0.48</v>
      </c>
      <c r="X481" s="7" t="s">
        <v>8</v>
      </c>
      <c r="Y481" s="7" t="s">
        <v>9</v>
      </c>
      <c r="Z481" s="2" t="s">
        <v>718</v>
      </c>
      <c r="AA481" s="2" t="s">
        <v>721</v>
      </c>
    </row>
    <row r="482" spans="1:27" x14ac:dyDescent="0.35">
      <c r="A482" s="7" t="s">
        <v>1558</v>
      </c>
      <c r="B482" s="7" t="s">
        <v>1156</v>
      </c>
      <c r="C482" s="7" t="str">
        <f>_xlfn.XLOOKUP(B482,'[1]Sheet 1'!$A$2:$A$11107,'[1]Sheet 1'!$D$2:$D$11107,"",0)</f>
        <v>M&amp;S</v>
      </c>
      <c r="D482" s="4" t="str">
        <f>_xlfn.XLOOKUP(A482,[3]Sheet2!$I$2:$I$1623,[3]Sheet2!$D$2:$D$1623,"",0)</f>
        <v>Q3</v>
      </c>
      <c r="E482" s="4" t="s">
        <v>1828</v>
      </c>
      <c r="F482" s="4" t="e">
        <f>_xlfn.XLOOKUP(B482,[2]Sheet2!$E$2:$E$713,[2]Sheet2!$G$2:$G$713)</f>
        <v>#N/A</v>
      </c>
      <c r="G482" s="18">
        <v>46115</v>
      </c>
      <c r="H482" s="14">
        <v>0.54668981481481482</v>
      </c>
      <c r="I482" s="7" t="s">
        <v>17</v>
      </c>
      <c r="J482" s="2" t="str">
        <f t="shared" si="35"/>
        <v>Q3</v>
      </c>
      <c r="K482" s="2" t="str">
        <f t="shared" si="36"/>
        <v>Match</v>
      </c>
      <c r="L482" s="2">
        <f t="shared" si="37"/>
        <v>0.1</v>
      </c>
      <c r="M482" s="2" t="e">
        <f t="shared" si="38"/>
        <v>#N/A</v>
      </c>
      <c r="N482" s="2" t="str">
        <f t="shared" si="39"/>
        <v>Q OK dE&lt;=0.8</v>
      </c>
      <c r="O482" s="7">
        <v>15.1</v>
      </c>
      <c r="P482" s="7">
        <v>-0.6</v>
      </c>
      <c r="Q482" s="7">
        <v>-1.8</v>
      </c>
      <c r="R482" s="7">
        <v>-0.45</v>
      </c>
      <c r="S482" s="7">
        <v>-0.1</v>
      </c>
      <c r="T482" s="20">
        <v>0</v>
      </c>
      <c r="U482" s="7">
        <v>0.08</v>
      </c>
      <c r="V482" s="7">
        <v>-0.11</v>
      </c>
      <c r="W482" s="7">
        <v>0.47</v>
      </c>
      <c r="X482" s="7" t="s">
        <v>8</v>
      </c>
      <c r="Y482" s="7" t="s">
        <v>15</v>
      </c>
      <c r="Z482" s="2" t="s">
        <v>718</v>
      </c>
      <c r="AA482" s="2" t="s">
        <v>721</v>
      </c>
    </row>
    <row r="483" spans="1:27" x14ac:dyDescent="0.35">
      <c r="A483" s="7" t="s">
        <v>1757</v>
      </c>
      <c r="B483" s="7" t="s">
        <v>1155</v>
      </c>
      <c r="C483" s="7" t="str">
        <f>_xlfn.XLOOKUP(B483,'[1]Sheet 1'!$A$2:$A$11107,'[1]Sheet 1'!$D$2:$D$11107,"",0)</f>
        <v>WACE</v>
      </c>
      <c r="D483" s="4" t="str">
        <f>_xlfn.XLOOKUP(A483,[3]Sheet2!$I$2:$I$1623,[3]Sheet2!$D$2:$D$1623,"",0)</f>
        <v>Q2</v>
      </c>
      <c r="E483" s="4" t="s">
        <v>1827</v>
      </c>
      <c r="F483" s="4" t="e">
        <f>_xlfn.XLOOKUP(B483,[2]Sheet2!$E$2:$E$713,[2]Sheet2!$G$2:$G$713)</f>
        <v>#N/A</v>
      </c>
      <c r="G483" s="18">
        <v>46115</v>
      </c>
      <c r="H483" s="14">
        <v>0.48864583333333333</v>
      </c>
      <c r="I483" s="7" t="s">
        <v>5</v>
      </c>
      <c r="J483" s="2" t="str">
        <f t="shared" si="35"/>
        <v>Q3</v>
      </c>
      <c r="K483" s="2" t="str">
        <f t="shared" si="36"/>
        <v>Not Match</v>
      </c>
      <c r="L483" s="2">
        <f t="shared" si="37"/>
        <v>0.41231056256176613</v>
      </c>
      <c r="M483" s="2" t="e">
        <f t="shared" si="38"/>
        <v>#N/A</v>
      </c>
      <c r="N483" s="2" t="str">
        <f t="shared" si="39"/>
        <v>Q NOT OK dE&lt;=0.8</v>
      </c>
      <c r="O483" s="7">
        <v>15.7</v>
      </c>
      <c r="P483" s="7">
        <v>-0.6</v>
      </c>
      <c r="Q483" s="7">
        <v>-3</v>
      </c>
      <c r="R483" s="7">
        <v>0.15</v>
      </c>
      <c r="S483" s="7">
        <v>-0.1</v>
      </c>
      <c r="T483" s="7">
        <v>-0.4</v>
      </c>
      <c r="U483" s="7">
        <v>0.56999999999999995</v>
      </c>
      <c r="V483" s="7">
        <v>-0.02</v>
      </c>
      <c r="W483" s="7">
        <v>0.59</v>
      </c>
      <c r="X483" s="7" t="s">
        <v>8</v>
      </c>
      <c r="Y483" s="7" t="s">
        <v>15</v>
      </c>
      <c r="Z483" s="2" t="s">
        <v>718</v>
      </c>
      <c r="AA483" s="2" t="s">
        <v>721</v>
      </c>
    </row>
    <row r="484" spans="1:27" x14ac:dyDescent="0.35">
      <c r="A484" s="7" t="s">
        <v>1738</v>
      </c>
      <c r="B484" s="7" t="s">
        <v>1162</v>
      </c>
      <c r="C484" s="7" t="str">
        <f>_xlfn.XLOOKUP(B484,'[1]Sheet 1'!$A$2:$A$11107,'[1]Sheet 1'!$D$2:$D$11107,"",0)</f>
        <v>CHICOS</v>
      </c>
      <c r="D484" s="4" t="str">
        <f>_xlfn.XLOOKUP(A484,[3]Sheet2!$I$2:$I$1623,[3]Sheet2!$D$2:$D$1623,"",0)</f>
        <v>Q2</v>
      </c>
      <c r="E484" s="4" t="s">
        <v>1828</v>
      </c>
      <c r="F484" s="4" t="e">
        <f>_xlfn.XLOOKUP(B484,[2]Sheet2!$E$2:$E$713,[2]Sheet2!$G$2:$G$713)</f>
        <v>#N/A</v>
      </c>
      <c r="G484" s="18">
        <v>46115</v>
      </c>
      <c r="H484" s="14">
        <v>0.74594907407407407</v>
      </c>
      <c r="I484" s="7" t="s">
        <v>4</v>
      </c>
      <c r="J484" s="2" t="str">
        <f t="shared" si="35"/>
        <v>Q2</v>
      </c>
      <c r="K484" s="2" t="str">
        <f t="shared" si="36"/>
        <v>Match</v>
      </c>
      <c r="L484" s="2">
        <f t="shared" si="37"/>
        <v>0.3</v>
      </c>
      <c r="M484" s="2" t="e">
        <f t="shared" si="38"/>
        <v>#N/A</v>
      </c>
      <c r="N484" s="2" t="str">
        <f t="shared" si="39"/>
        <v>Q OK dE&lt;=0.8</v>
      </c>
      <c r="O484" s="7">
        <v>15.3</v>
      </c>
      <c r="P484" s="7">
        <v>-0.6</v>
      </c>
      <c r="Q484" s="7">
        <v>-1.5</v>
      </c>
      <c r="R484" s="7">
        <v>0.08</v>
      </c>
      <c r="S484" s="7">
        <v>-0.3</v>
      </c>
      <c r="T484" s="20">
        <v>0</v>
      </c>
      <c r="U484" s="7">
        <v>0.14000000000000001</v>
      </c>
      <c r="V484" s="7">
        <v>-0.42</v>
      </c>
      <c r="W484" s="7">
        <v>0.45</v>
      </c>
      <c r="X484" s="7" t="s">
        <v>8</v>
      </c>
      <c r="Y484" s="7" t="s">
        <v>15</v>
      </c>
      <c r="Z484" s="2" t="s">
        <v>718</v>
      </c>
      <c r="AA484" s="2" t="s">
        <v>721</v>
      </c>
    </row>
    <row r="485" spans="1:27" x14ac:dyDescent="0.35">
      <c r="A485" s="7" t="s">
        <v>1684</v>
      </c>
      <c r="B485" s="7" t="s">
        <v>1168</v>
      </c>
      <c r="C485" s="7" t="str">
        <f>_xlfn.XLOOKUP(B485,'[1]Sheet 1'!$A$2:$A$11107,'[1]Sheet 1'!$D$2:$D$11107,"",0)</f>
        <v>CK</v>
      </c>
      <c r="D485" s="4">
        <v>0</v>
      </c>
      <c r="E485" s="4" t="s">
        <v>1828</v>
      </c>
      <c r="F485" s="4" t="e">
        <f>_xlfn.XLOOKUP(B485,[2]Sheet2!$E$2:$E$713,[2]Sheet2!$G$2:$G$713)</f>
        <v>#N/A</v>
      </c>
      <c r="G485" s="18">
        <v>46115</v>
      </c>
      <c r="H485" s="14">
        <v>0.77270833333333333</v>
      </c>
      <c r="I485" s="7" t="s">
        <v>11</v>
      </c>
      <c r="J485" s="2" t="str">
        <f t="shared" si="35"/>
        <v>Q1</v>
      </c>
      <c r="K485" s="2" t="str">
        <f t="shared" si="36"/>
        <v>Not Found</v>
      </c>
      <c r="L485" s="2">
        <f t="shared" si="37"/>
        <v>0.28284271247461906</v>
      </c>
      <c r="M485" s="2" t="e">
        <f t="shared" si="38"/>
        <v>#N/A</v>
      </c>
      <c r="N485" s="2" t="str">
        <f t="shared" si="39"/>
        <v>Quadrant not assigned</v>
      </c>
      <c r="O485" s="7">
        <v>15.6</v>
      </c>
      <c r="P485" s="7">
        <v>-0.8</v>
      </c>
      <c r="Q485" s="7">
        <v>-1</v>
      </c>
      <c r="R485" s="7">
        <v>-0.38</v>
      </c>
      <c r="S485" s="7">
        <v>0.2</v>
      </c>
      <c r="T485" s="7">
        <v>0.2</v>
      </c>
      <c r="U485" s="7">
        <v>-0.46</v>
      </c>
      <c r="V485" s="7">
        <v>0.03</v>
      </c>
      <c r="W485" s="7">
        <v>0.6</v>
      </c>
      <c r="X485" s="7" t="s">
        <v>8</v>
      </c>
      <c r="Y485" s="7" t="s">
        <v>7</v>
      </c>
      <c r="Z485" s="2" t="s">
        <v>718</v>
      </c>
      <c r="AA485" s="2" t="s">
        <v>721</v>
      </c>
    </row>
    <row r="486" spans="1:27" x14ac:dyDescent="0.35">
      <c r="A486" s="7" t="s">
        <v>1557</v>
      </c>
      <c r="B486" s="7" t="s">
        <v>1174</v>
      </c>
      <c r="C486" s="7" t="str">
        <f>_xlfn.XLOOKUP(B486,'[1]Sheet 1'!$A$2:$A$11107,'[1]Sheet 1'!$D$2:$D$11107,"",0)</f>
        <v>M&amp;S</v>
      </c>
      <c r="D486" s="4" t="str">
        <f>_xlfn.XLOOKUP(A486,[3]Sheet2!$I$2:$I$1623,[3]Sheet2!$D$2:$D$1623,"",0)</f>
        <v>Q3</v>
      </c>
      <c r="E486" s="4" t="s">
        <v>1828</v>
      </c>
      <c r="F486" s="4" t="e">
        <f>_xlfn.XLOOKUP(B486,[2]Sheet2!$E$2:$E$713,[2]Sheet2!$G$2:$G$713)</f>
        <v>#N/A</v>
      </c>
      <c r="G486" s="18">
        <v>46115</v>
      </c>
      <c r="H486" s="14">
        <v>0.98729166666666668</v>
      </c>
      <c r="I486" s="7" t="s">
        <v>17</v>
      </c>
      <c r="J486" s="2" t="str">
        <f t="shared" si="35"/>
        <v>Q3</v>
      </c>
      <c r="K486" s="2" t="str">
        <f t="shared" si="36"/>
        <v>Match</v>
      </c>
      <c r="L486" s="2">
        <f t="shared" si="37"/>
        <v>0.42426406871192851</v>
      </c>
      <c r="M486" s="2" t="e">
        <f t="shared" si="38"/>
        <v>#N/A</v>
      </c>
      <c r="N486" s="2" t="str">
        <f t="shared" si="39"/>
        <v>Q OK dE&lt;=0.8</v>
      </c>
      <c r="O486" s="7">
        <v>15.1</v>
      </c>
      <c r="P486" s="7">
        <v>-0.6</v>
      </c>
      <c r="Q486" s="7">
        <v>-1.9</v>
      </c>
      <c r="R486" s="7">
        <v>-0.46</v>
      </c>
      <c r="S486" s="7">
        <v>-0.3</v>
      </c>
      <c r="T486" s="7">
        <v>-0.3</v>
      </c>
      <c r="U486" s="7">
        <v>0.51</v>
      </c>
      <c r="V486" s="7">
        <v>-0.28000000000000003</v>
      </c>
      <c r="W486" s="7">
        <v>0.74</v>
      </c>
      <c r="X486" s="7" t="s">
        <v>8</v>
      </c>
      <c r="Y486" s="7" t="s">
        <v>15</v>
      </c>
      <c r="Z486" s="2" t="s">
        <v>718</v>
      </c>
      <c r="AA486" s="2" t="s">
        <v>721</v>
      </c>
    </row>
    <row r="487" spans="1:27" x14ac:dyDescent="0.35">
      <c r="A487" s="7" t="s">
        <v>1754</v>
      </c>
      <c r="B487" s="7" t="s">
        <v>1160</v>
      </c>
      <c r="C487" s="7" t="str">
        <f>_xlfn.XLOOKUP(B487,'[1]Sheet 1'!$A$2:$A$11107,'[1]Sheet 1'!$D$2:$D$11107,"",0)</f>
        <v>VSS</v>
      </c>
      <c r="D487" s="4" t="str">
        <f>_xlfn.XLOOKUP(A487,[3]Sheet2!$I$2:$I$1623,[3]Sheet2!$D$2:$D$1623,"",0)</f>
        <v>Q4</v>
      </c>
      <c r="E487" s="4" t="s">
        <v>1828</v>
      </c>
      <c r="F487" s="4" t="e">
        <f>_xlfn.XLOOKUP(B487,[2]Sheet2!$E$2:$E$713,[2]Sheet2!$G$2:$G$713)</f>
        <v>#N/A</v>
      </c>
      <c r="G487" s="18">
        <v>46115</v>
      </c>
      <c r="H487" s="14">
        <v>0.74084490740740738</v>
      </c>
      <c r="I487" s="7" t="s">
        <v>10</v>
      </c>
      <c r="J487" s="2" t="str">
        <f t="shared" si="35"/>
        <v>Q4</v>
      </c>
      <c r="K487" s="2" t="str">
        <f t="shared" si="36"/>
        <v>Match</v>
      </c>
      <c r="L487" s="2">
        <f t="shared" si="37"/>
        <v>0.4</v>
      </c>
      <c r="M487" s="2" t="e">
        <f t="shared" si="38"/>
        <v>#N/A</v>
      </c>
      <c r="N487" s="2" t="str">
        <f t="shared" si="39"/>
        <v>Q OK dE&gt;0.8</v>
      </c>
      <c r="O487" s="7">
        <v>28.2</v>
      </c>
      <c r="P487" s="7">
        <v>11.8</v>
      </c>
      <c r="Q487" s="7">
        <v>-8.1</v>
      </c>
      <c r="R487" s="7">
        <v>1.74</v>
      </c>
      <c r="S487" s="7">
        <v>0.4</v>
      </c>
      <c r="T487" s="20">
        <v>0</v>
      </c>
      <c r="U487" s="7">
        <v>0.27</v>
      </c>
      <c r="V487" s="7">
        <v>0.34</v>
      </c>
      <c r="W487" s="7">
        <v>1.79</v>
      </c>
      <c r="X487" s="7" t="s">
        <v>6</v>
      </c>
      <c r="Y487" s="7" t="s">
        <v>9</v>
      </c>
      <c r="Z487" s="2" t="s">
        <v>718</v>
      </c>
      <c r="AA487" s="2" t="s">
        <v>721</v>
      </c>
    </row>
    <row r="488" spans="1:27" x14ac:dyDescent="0.35">
      <c r="A488" s="7" t="s">
        <v>1509</v>
      </c>
      <c r="B488" s="7" t="s">
        <v>1173</v>
      </c>
      <c r="C488" s="7" t="str">
        <f>_xlfn.XLOOKUP(B488,'[1]Sheet 1'!$A$2:$A$11107,'[1]Sheet 1'!$D$2:$D$11107,"",0)</f>
        <v>LBI</v>
      </c>
      <c r="D488" s="4" t="str">
        <f>_xlfn.XLOOKUP(A488,[3]Sheet2!$I$2:$I$1623,[3]Sheet2!$D$2:$D$1623,"",0)</f>
        <v>Q2</v>
      </c>
      <c r="E488" s="4" t="s">
        <v>1828</v>
      </c>
      <c r="F488" s="4" t="e">
        <f>_xlfn.XLOOKUP(B488,[2]Sheet2!$E$2:$E$713,[2]Sheet2!$G$2:$G$713)</f>
        <v>#N/A</v>
      </c>
      <c r="G488" s="18">
        <v>46115</v>
      </c>
      <c r="H488" s="14">
        <v>0.98315972222222225</v>
      </c>
      <c r="I488" s="7" t="s">
        <v>14</v>
      </c>
      <c r="J488" s="2" t="str">
        <f t="shared" si="35"/>
        <v>Q2</v>
      </c>
      <c r="K488" s="2" t="str">
        <f t="shared" si="36"/>
        <v>Match</v>
      </c>
      <c r="L488" s="2">
        <f t="shared" si="37"/>
        <v>0</v>
      </c>
      <c r="M488" s="2" t="e">
        <f t="shared" si="38"/>
        <v>#N/A</v>
      </c>
      <c r="N488" s="2" t="str">
        <f t="shared" si="39"/>
        <v>Q OK dE&lt;=0.8</v>
      </c>
      <c r="O488" s="7">
        <v>15.7</v>
      </c>
      <c r="P488" s="7">
        <v>-0.7</v>
      </c>
      <c r="Q488" s="7">
        <v>-3</v>
      </c>
      <c r="R488" s="7">
        <v>-0.67</v>
      </c>
      <c r="S488" s="7">
        <v>0</v>
      </c>
      <c r="T488" s="20">
        <v>0</v>
      </c>
      <c r="U488" s="7">
        <v>-0.13</v>
      </c>
      <c r="V488" s="7">
        <v>0.09</v>
      </c>
      <c r="W488" s="7">
        <v>0.69</v>
      </c>
      <c r="X488" s="7" t="s">
        <v>8</v>
      </c>
      <c r="Y488" s="7" t="s">
        <v>9</v>
      </c>
      <c r="Z488" s="2" t="s">
        <v>718</v>
      </c>
      <c r="AA488" s="2" t="s">
        <v>721</v>
      </c>
    </row>
    <row r="489" spans="1:27" x14ac:dyDescent="0.35">
      <c r="A489" s="7" t="s">
        <v>1760</v>
      </c>
      <c r="B489" s="7" t="s">
        <v>1152</v>
      </c>
      <c r="C489" s="7" t="str">
        <f>_xlfn.XLOOKUP(B489,'[1]Sheet 1'!$A$2:$A$11107,'[1]Sheet 1'!$D$2:$D$11107,"",0)</f>
        <v>NEWB</v>
      </c>
      <c r="D489" s="4">
        <v>0</v>
      </c>
      <c r="E489" s="4" t="s">
        <v>1827</v>
      </c>
      <c r="F489" s="4" t="e">
        <f>_xlfn.XLOOKUP(B489,[2]Sheet2!$E$2:$E$713,[2]Sheet2!$G$2:$G$713)</f>
        <v>#N/A</v>
      </c>
      <c r="G489" s="18">
        <v>46115</v>
      </c>
      <c r="H489" s="14">
        <v>0.2782175925925926</v>
      </c>
      <c r="I489" s="7" t="s">
        <v>4</v>
      </c>
      <c r="J489" s="2">
        <f t="shared" si="35"/>
        <v>0</v>
      </c>
      <c r="K489" s="2" t="str">
        <f t="shared" si="36"/>
        <v>Match</v>
      </c>
      <c r="L489" s="2">
        <f t="shared" si="37"/>
        <v>0.5</v>
      </c>
      <c r="M489" s="2" t="e">
        <f t="shared" si="38"/>
        <v>#N/A</v>
      </c>
      <c r="N489" s="2" t="str">
        <f t="shared" si="39"/>
        <v>Quadrant not assigned</v>
      </c>
      <c r="O489" s="7">
        <v>28.8</v>
      </c>
      <c r="P489" s="7">
        <v>-10.4</v>
      </c>
      <c r="Q489" s="7">
        <v>-4.9000000000000004</v>
      </c>
      <c r="R489" s="7">
        <v>-0.28000000000000003</v>
      </c>
      <c r="S489" s="7">
        <v>0</v>
      </c>
      <c r="T489" s="7">
        <v>0.5</v>
      </c>
      <c r="U489" s="7">
        <v>-0.15</v>
      </c>
      <c r="V489" s="7">
        <v>-0.52</v>
      </c>
      <c r="W489" s="7">
        <v>0.61</v>
      </c>
      <c r="X489" s="7" t="s">
        <v>8</v>
      </c>
      <c r="Y489" s="7" t="s">
        <v>12</v>
      </c>
      <c r="Z489" s="2" t="s">
        <v>718</v>
      </c>
      <c r="AA489" s="2" t="s">
        <v>721</v>
      </c>
    </row>
    <row r="490" spans="1:27" x14ac:dyDescent="0.35">
      <c r="A490" s="7" t="s">
        <v>1559</v>
      </c>
      <c r="B490" s="7" t="s">
        <v>1196</v>
      </c>
      <c r="C490" s="7" t="str">
        <f>_xlfn.XLOOKUP(B490,'[1]Sheet 1'!$A$2:$A$11107,'[1]Sheet 1'!$D$2:$D$11107,"",0)</f>
        <v>VSS</v>
      </c>
      <c r="D490" s="4" t="str">
        <f>_xlfn.XLOOKUP(A490,[3]Sheet2!$I$2:$I$1623,[3]Sheet2!$D$2:$D$1623,"",0)</f>
        <v>Q3</v>
      </c>
      <c r="E490" s="4" t="s">
        <v>1828</v>
      </c>
      <c r="F490" s="4" t="e">
        <f>_xlfn.XLOOKUP(B490,[2]Sheet2!$E$2:$E$713,[2]Sheet2!$G$2:$G$713)</f>
        <v>#N/A</v>
      </c>
      <c r="G490" s="18">
        <v>46116</v>
      </c>
      <c r="H490" s="14">
        <v>0.65872685185185187</v>
      </c>
      <c r="I490" s="7" t="s">
        <v>10</v>
      </c>
      <c r="J490" s="2" t="str">
        <f t="shared" si="35"/>
        <v>Q4</v>
      </c>
      <c r="K490" s="2" t="str">
        <f t="shared" si="36"/>
        <v>Not Match</v>
      </c>
      <c r="L490" s="2">
        <f t="shared" si="37"/>
        <v>0.14142135623730953</v>
      </c>
      <c r="M490" s="2" t="e">
        <f t="shared" si="38"/>
        <v>#N/A</v>
      </c>
      <c r="N490" s="2" t="str">
        <f t="shared" si="39"/>
        <v>Q NOT OK dE&gt;0.8</v>
      </c>
      <c r="O490" s="7">
        <v>17</v>
      </c>
      <c r="P490" s="7">
        <v>0</v>
      </c>
      <c r="Q490" s="7">
        <v>-2.4</v>
      </c>
      <c r="R490" s="7">
        <v>-0.91</v>
      </c>
      <c r="S490" s="7">
        <v>0.1</v>
      </c>
      <c r="T490" s="7">
        <v>-0.1</v>
      </c>
      <c r="U490" s="7">
        <v>0.18</v>
      </c>
      <c r="V490" s="7">
        <v>0.17</v>
      </c>
      <c r="W490" s="7">
        <v>0.95</v>
      </c>
      <c r="X490" s="7" t="s">
        <v>13</v>
      </c>
      <c r="Y490" s="7" t="s">
        <v>9</v>
      </c>
      <c r="Z490" s="2" t="s">
        <v>718</v>
      </c>
      <c r="AA490" s="2" t="s">
        <v>721</v>
      </c>
    </row>
    <row r="491" spans="1:27" x14ac:dyDescent="0.35">
      <c r="A491" s="7" t="s">
        <v>1688</v>
      </c>
      <c r="B491" s="7" t="s">
        <v>1179</v>
      </c>
      <c r="C491" s="7" t="str">
        <f>_xlfn.XLOOKUP(B491,'[1]Sheet 1'!$A$2:$A$11107,'[1]Sheet 1'!$D$2:$D$11107,"",0)</f>
        <v>GAP</v>
      </c>
      <c r="D491" s="4" t="str">
        <f>_xlfn.XLOOKUP(A491,[3]Sheet2!$I$2:$I$1623,[3]Sheet2!$D$2:$D$1623,"",0)</f>
        <v>Q4</v>
      </c>
      <c r="E491" s="4" t="s">
        <v>1828</v>
      </c>
      <c r="F491" s="4" t="e">
        <f>_xlfn.XLOOKUP(B491,[2]Sheet2!$E$2:$E$713,[2]Sheet2!$G$2:$G$713)</f>
        <v>#N/A</v>
      </c>
      <c r="G491" s="18">
        <v>46116</v>
      </c>
      <c r="H491" s="14">
        <v>0.22415509259259259</v>
      </c>
      <c r="I491" s="7" t="s">
        <v>18</v>
      </c>
      <c r="J491" s="2" t="str">
        <f t="shared" si="35"/>
        <v>Q3</v>
      </c>
      <c r="K491" s="2" t="str">
        <f t="shared" si="36"/>
        <v>Not Match</v>
      </c>
      <c r="L491" s="2">
        <f t="shared" si="37"/>
        <v>0.63245553203367588</v>
      </c>
      <c r="M491" s="2" t="e">
        <f t="shared" si="38"/>
        <v>#N/A</v>
      </c>
      <c r="N491" s="2" t="str">
        <f t="shared" si="39"/>
        <v>Q NOT OK dE&gt;0.8</v>
      </c>
      <c r="O491" s="7">
        <v>13.1</v>
      </c>
      <c r="P491" s="7">
        <v>-0.6</v>
      </c>
      <c r="Q491" s="7">
        <v>-2.2999999999999998</v>
      </c>
      <c r="R491" s="7">
        <v>-0.02</v>
      </c>
      <c r="S491" s="7">
        <v>-0.2</v>
      </c>
      <c r="T491" s="7">
        <v>-0.6</v>
      </c>
      <c r="U491" s="7">
        <v>0.88</v>
      </c>
      <c r="V491" s="7">
        <v>-0.15</v>
      </c>
      <c r="W491" s="7">
        <v>0.89</v>
      </c>
      <c r="X491" s="7" t="s">
        <v>13</v>
      </c>
      <c r="Y491" s="7" t="s">
        <v>15</v>
      </c>
      <c r="Z491" s="2" t="s">
        <v>718</v>
      </c>
      <c r="AA491" s="2" t="s">
        <v>721</v>
      </c>
    </row>
    <row r="492" spans="1:27" x14ac:dyDescent="0.35">
      <c r="A492" s="7" t="s">
        <v>1767</v>
      </c>
      <c r="B492" s="7" t="s">
        <v>911</v>
      </c>
      <c r="C492" s="7" t="str">
        <f>_xlfn.XLOOKUP(B492,'[1]Sheet 1'!$A$2:$A$11107,'[1]Sheet 1'!$D$2:$D$11107,"",0)</f>
        <v>CHICOS</v>
      </c>
      <c r="D492" s="4" t="str">
        <f>_xlfn.XLOOKUP(A492,[3]Sheet2!$I$2:$I$1623,[3]Sheet2!$D$2:$D$1623,"",0)</f>
        <v>Q1</v>
      </c>
      <c r="E492" s="4" t="s">
        <v>1828</v>
      </c>
      <c r="F492" s="4" t="e">
        <f>_xlfn.XLOOKUP(B492,[2]Sheet2!$E$2:$E$713,[2]Sheet2!$G$2:$G$713)</f>
        <v>#N/A</v>
      </c>
      <c r="G492" s="18">
        <v>46116</v>
      </c>
      <c r="H492" s="14">
        <v>0.55565972222222226</v>
      </c>
      <c r="I492" s="7" t="s">
        <v>11</v>
      </c>
      <c r="J492" s="2" t="str">
        <f t="shared" si="35"/>
        <v>Q1</v>
      </c>
      <c r="K492" s="2" t="str">
        <f t="shared" si="36"/>
        <v>Match</v>
      </c>
      <c r="L492" s="2">
        <f t="shared" si="37"/>
        <v>0.42426406871192851</v>
      </c>
      <c r="M492" s="2" t="e">
        <f t="shared" si="38"/>
        <v>#N/A</v>
      </c>
      <c r="N492" s="2" t="str">
        <f t="shared" si="39"/>
        <v>Q OK dE&lt;=0.8</v>
      </c>
      <c r="O492" s="7">
        <v>21.6</v>
      </c>
      <c r="P492" s="7">
        <v>16.899999999999999</v>
      </c>
      <c r="Q492" s="7">
        <v>-12.5</v>
      </c>
      <c r="R492" s="7">
        <v>0</v>
      </c>
      <c r="S492" s="7">
        <v>0.3</v>
      </c>
      <c r="T492" s="7">
        <v>0.3</v>
      </c>
      <c r="U492" s="7">
        <v>7.0000000000000007E-2</v>
      </c>
      <c r="V492" s="7">
        <v>0.4</v>
      </c>
      <c r="W492" s="7">
        <v>0.4</v>
      </c>
      <c r="X492" s="7" t="s">
        <v>8</v>
      </c>
      <c r="Y492" s="7" t="s">
        <v>9</v>
      </c>
      <c r="Z492" s="2" t="s">
        <v>718</v>
      </c>
      <c r="AA492" s="2" t="s">
        <v>721</v>
      </c>
    </row>
    <row r="493" spans="1:27" x14ac:dyDescent="0.35">
      <c r="A493" s="7" t="s">
        <v>1723</v>
      </c>
      <c r="B493" s="7" t="s">
        <v>1180</v>
      </c>
      <c r="C493" s="7" t="str">
        <f>_xlfn.XLOOKUP(B493,'[1]Sheet 1'!$A$2:$A$11107,'[1]Sheet 1'!$D$2:$D$11107,"",0)</f>
        <v>GAP</v>
      </c>
      <c r="D493" s="4" t="str">
        <f>_xlfn.XLOOKUP(A493,[3]Sheet2!$I$2:$I$1623,[3]Sheet2!$D$2:$D$1623,"",0)</f>
        <v>Q2</v>
      </c>
      <c r="E493" s="4" t="s">
        <v>1828</v>
      </c>
      <c r="F493" s="4" t="e">
        <f>_xlfn.XLOOKUP(B493,[2]Sheet2!$E$2:$E$713,[2]Sheet2!$G$2:$G$713)</f>
        <v>#N/A</v>
      </c>
      <c r="G493" s="18">
        <v>46116</v>
      </c>
      <c r="H493" s="14">
        <v>0.22695601851851852</v>
      </c>
      <c r="I493" s="7" t="s">
        <v>14</v>
      </c>
      <c r="J493" s="2" t="str">
        <f t="shared" si="35"/>
        <v>Q3</v>
      </c>
      <c r="K493" s="2" t="str">
        <f t="shared" si="36"/>
        <v>Not Match</v>
      </c>
      <c r="L493" s="2">
        <f t="shared" si="37"/>
        <v>0.31622776601683794</v>
      </c>
      <c r="M493" s="2" t="e">
        <f t="shared" si="38"/>
        <v>#N/A</v>
      </c>
      <c r="N493" s="2" t="str">
        <f t="shared" si="39"/>
        <v>Q NOT OK dE&lt;=0.8</v>
      </c>
      <c r="O493" s="7">
        <v>13.8</v>
      </c>
      <c r="P493" s="7">
        <v>-0.6</v>
      </c>
      <c r="Q493" s="7">
        <v>-2.2999999999999998</v>
      </c>
      <c r="R493" s="7">
        <v>-0.6</v>
      </c>
      <c r="S493" s="7">
        <v>-0.3</v>
      </c>
      <c r="T493" s="7">
        <v>-0.1</v>
      </c>
      <c r="U493" s="7">
        <v>0.3</v>
      </c>
      <c r="V493" s="7">
        <v>-0.38</v>
      </c>
      <c r="W493" s="7">
        <v>0.78</v>
      </c>
      <c r="X493" s="7" t="s">
        <v>13</v>
      </c>
      <c r="Y493" s="7" t="s">
        <v>15</v>
      </c>
      <c r="Z493" s="2" t="s">
        <v>718</v>
      </c>
      <c r="AA493" s="2" t="s">
        <v>721</v>
      </c>
    </row>
    <row r="494" spans="1:27" x14ac:dyDescent="0.35">
      <c r="A494" s="7" t="s">
        <v>1586</v>
      </c>
      <c r="B494" s="7" t="s">
        <v>1186</v>
      </c>
      <c r="C494" s="7" t="str">
        <f>_xlfn.XLOOKUP(B494,'[1]Sheet 1'!$A$2:$A$11107,'[1]Sheet 1'!$D$2:$D$11107,"",0)</f>
        <v>INT1</v>
      </c>
      <c r="D494" s="4" t="str">
        <f>_xlfn.XLOOKUP(A494,[3]Sheet2!$I$2:$I$1623,[3]Sheet2!$D$2:$D$1623,"",0)</f>
        <v>Q2</v>
      </c>
      <c r="E494" s="4" t="s">
        <v>1828</v>
      </c>
      <c r="F494" s="4" t="e">
        <f>_xlfn.XLOOKUP(B494,[2]Sheet2!$E$2:$E$713,[2]Sheet2!$G$2:$G$713)</f>
        <v>#N/A</v>
      </c>
      <c r="G494" s="18">
        <v>46116</v>
      </c>
      <c r="H494" s="14">
        <v>0.47008101851851852</v>
      </c>
      <c r="I494" s="7" t="s">
        <v>5</v>
      </c>
      <c r="J494" s="2" t="str">
        <f t="shared" si="35"/>
        <v>Q2</v>
      </c>
      <c r="K494" s="2" t="str">
        <f t="shared" si="36"/>
        <v>Match</v>
      </c>
      <c r="L494" s="2">
        <f t="shared" si="37"/>
        <v>0.2</v>
      </c>
      <c r="M494" s="2" t="e">
        <f t="shared" si="38"/>
        <v>#N/A</v>
      </c>
      <c r="N494" s="2" t="str">
        <f t="shared" si="39"/>
        <v>Q OK dE&lt;=0.8</v>
      </c>
      <c r="O494" s="7">
        <v>17.3</v>
      </c>
      <c r="P494" s="7">
        <v>-0.2</v>
      </c>
      <c r="Q494" s="7">
        <v>-1.7</v>
      </c>
      <c r="R494" s="7">
        <v>-0.38</v>
      </c>
      <c r="S494" s="7">
        <v>0</v>
      </c>
      <c r="T494" s="7">
        <v>-0.2</v>
      </c>
      <c r="U494" s="7">
        <v>0.38</v>
      </c>
      <c r="V494" s="7">
        <v>0.02</v>
      </c>
      <c r="W494" s="7">
        <v>0.54</v>
      </c>
      <c r="X494" s="7" t="s">
        <v>8</v>
      </c>
      <c r="Y494" s="7" t="s">
        <v>9</v>
      </c>
      <c r="Z494" s="2" t="s">
        <v>718</v>
      </c>
      <c r="AA494" s="2" t="s">
        <v>721</v>
      </c>
    </row>
    <row r="495" spans="1:27" x14ac:dyDescent="0.35">
      <c r="A495" s="7" t="s">
        <v>1599</v>
      </c>
      <c r="B495" s="7" t="s">
        <v>1199</v>
      </c>
      <c r="C495" s="7" t="str">
        <f>_xlfn.XLOOKUP(B495,'[1]Sheet 1'!$A$2:$A$11107,'[1]Sheet 1'!$D$2:$D$11107,"",0)</f>
        <v>M&amp;S</v>
      </c>
      <c r="D495" s="4">
        <v>0</v>
      </c>
      <c r="E495" s="4" t="s">
        <v>1828</v>
      </c>
      <c r="F495" s="4" t="e">
        <f>_xlfn.XLOOKUP(B495,[2]Sheet2!$E$2:$E$713,[2]Sheet2!$G$2:$G$713)</f>
        <v>#N/A</v>
      </c>
      <c r="G495" s="18">
        <v>46116</v>
      </c>
      <c r="H495" s="14">
        <v>0.72715277777777776</v>
      </c>
      <c r="I495" s="7" t="s">
        <v>17</v>
      </c>
      <c r="J495" s="2">
        <f t="shared" si="35"/>
        <v>0</v>
      </c>
      <c r="K495" s="2" t="str">
        <f t="shared" si="36"/>
        <v>Match</v>
      </c>
      <c r="L495" s="2">
        <f t="shared" si="37"/>
        <v>0.2</v>
      </c>
      <c r="M495" s="2" t="e">
        <f t="shared" si="38"/>
        <v>#N/A</v>
      </c>
      <c r="N495" s="2" t="str">
        <f t="shared" si="39"/>
        <v>Quadrant not assigned</v>
      </c>
      <c r="O495" s="7">
        <v>25.4</v>
      </c>
      <c r="P495" s="7">
        <v>0.6</v>
      </c>
      <c r="Q495" s="7">
        <v>8.6999999999999993</v>
      </c>
      <c r="R495" s="7">
        <v>0.03</v>
      </c>
      <c r="S495" s="7">
        <v>0</v>
      </c>
      <c r="T495" s="7">
        <v>-0.2</v>
      </c>
      <c r="U495" s="7">
        <v>-0.23</v>
      </c>
      <c r="V495" s="7">
        <v>-0.12</v>
      </c>
      <c r="W495" s="7">
        <v>0.26</v>
      </c>
      <c r="X495" s="7" t="s">
        <v>8</v>
      </c>
      <c r="Y495" s="7" t="s">
        <v>9</v>
      </c>
      <c r="Z495" s="2" t="s">
        <v>718</v>
      </c>
      <c r="AA495" s="2" t="s">
        <v>721</v>
      </c>
    </row>
    <row r="496" spans="1:27" x14ac:dyDescent="0.35">
      <c r="A496" s="7" t="s">
        <v>1769</v>
      </c>
      <c r="B496" s="7" t="s">
        <v>1200</v>
      </c>
      <c r="C496" s="7" t="str">
        <f>_xlfn.XLOOKUP(B496,'[1]Sheet 1'!$A$2:$A$11107,'[1]Sheet 1'!$D$2:$D$11107,"",0)</f>
        <v>WACE</v>
      </c>
      <c r="D496" s="4" t="str">
        <f>_xlfn.XLOOKUP(A496,[3]Sheet2!$I$2:$I$1623,[3]Sheet2!$D$2:$D$1623,"",0)</f>
        <v>Q4</v>
      </c>
      <c r="E496" s="4" t="s">
        <v>1828</v>
      </c>
      <c r="F496" s="4" t="e">
        <f>_xlfn.XLOOKUP(B496,[2]Sheet2!$E$2:$E$713,[2]Sheet2!$G$2:$G$713)</f>
        <v>#N/A</v>
      </c>
      <c r="G496" s="18">
        <v>46116</v>
      </c>
      <c r="H496" s="14">
        <v>0.7505208333333333</v>
      </c>
      <c r="I496" s="7" t="s">
        <v>4</v>
      </c>
      <c r="J496" s="2" t="str">
        <f t="shared" si="35"/>
        <v>Q2</v>
      </c>
      <c r="K496" s="2" t="str">
        <f t="shared" si="36"/>
        <v>Not Match</v>
      </c>
      <c r="L496" s="2">
        <f t="shared" si="37"/>
        <v>0.90553851381374173</v>
      </c>
      <c r="M496" s="2" t="e">
        <f t="shared" si="38"/>
        <v>#N/A</v>
      </c>
      <c r="N496" s="2" t="str">
        <f t="shared" si="39"/>
        <v>Q NOT OK dE&lt;=0.8</v>
      </c>
      <c r="O496" s="7">
        <v>26.1</v>
      </c>
      <c r="P496" s="7">
        <v>4.7</v>
      </c>
      <c r="Q496" s="7">
        <v>-17.600000000000001</v>
      </c>
      <c r="R496" s="7">
        <v>-0.44</v>
      </c>
      <c r="S496" s="7">
        <v>-0.1</v>
      </c>
      <c r="T496" s="7">
        <v>0.9</v>
      </c>
      <c r="U496" s="7">
        <v>-0.6</v>
      </c>
      <c r="V496" s="7">
        <v>0.1</v>
      </c>
      <c r="W496" s="7">
        <v>0.75</v>
      </c>
      <c r="X496" s="7" t="s">
        <v>8</v>
      </c>
      <c r="Y496" s="7" t="s">
        <v>9</v>
      </c>
      <c r="Z496" s="2" t="s">
        <v>718</v>
      </c>
      <c r="AA496" s="2" t="s">
        <v>721</v>
      </c>
    </row>
    <row r="497" spans="1:27" x14ac:dyDescent="0.35">
      <c r="A497" s="7" t="s">
        <v>1572</v>
      </c>
      <c r="B497" s="7" t="s">
        <v>1187</v>
      </c>
      <c r="C497" s="7" t="str">
        <f>_xlfn.XLOOKUP(B497,'[1]Sheet 1'!$A$2:$A$11107,'[1]Sheet 1'!$D$2:$D$11107,"",0)</f>
        <v>WACE</v>
      </c>
      <c r="D497" s="4" t="str">
        <f>_xlfn.XLOOKUP(A497,[3]Sheet2!$I$2:$I$1623,[3]Sheet2!$D$2:$D$1623,"",0)</f>
        <v>Q3</v>
      </c>
      <c r="E497" s="4" t="s">
        <v>1828</v>
      </c>
      <c r="F497" s="4" t="e">
        <f>_xlfn.XLOOKUP(B497,[2]Sheet2!$E$2:$E$713,[2]Sheet2!$G$2:$G$713)</f>
        <v>#N/A</v>
      </c>
      <c r="G497" s="18">
        <v>46116</v>
      </c>
      <c r="H497" s="14">
        <v>0.47229166666666667</v>
      </c>
      <c r="I497" s="7" t="s">
        <v>5</v>
      </c>
      <c r="J497" s="2" t="str">
        <f t="shared" si="35"/>
        <v>Q3</v>
      </c>
      <c r="K497" s="2" t="str">
        <f t="shared" si="36"/>
        <v>Match</v>
      </c>
      <c r="L497" s="2">
        <f t="shared" si="37"/>
        <v>0.2</v>
      </c>
      <c r="M497" s="2" t="e">
        <f t="shared" si="38"/>
        <v>#N/A</v>
      </c>
      <c r="N497" s="2" t="str">
        <f t="shared" si="39"/>
        <v>Q OK dE&gt;0.8</v>
      </c>
      <c r="O497" s="7">
        <v>15.4</v>
      </c>
      <c r="P497" s="7">
        <v>-0.6</v>
      </c>
      <c r="Q497" s="7">
        <v>-1.9</v>
      </c>
      <c r="R497" s="7">
        <v>-1</v>
      </c>
      <c r="S497" s="7">
        <v>0</v>
      </c>
      <c r="T497" s="7">
        <v>0.2</v>
      </c>
      <c r="U497" s="7">
        <v>-0.39</v>
      </c>
      <c r="V497" s="7">
        <v>-0.02</v>
      </c>
      <c r="W497" s="7">
        <v>1.07</v>
      </c>
      <c r="X497" s="7" t="s">
        <v>6</v>
      </c>
      <c r="Y497" s="7" t="s">
        <v>15</v>
      </c>
      <c r="Z497" s="2" t="s">
        <v>718</v>
      </c>
      <c r="AA497" s="2" t="s">
        <v>721</v>
      </c>
    </row>
    <row r="498" spans="1:27" x14ac:dyDescent="0.35">
      <c r="A498" s="7" t="s">
        <v>1770</v>
      </c>
      <c r="B498" s="7" t="s">
        <v>1201</v>
      </c>
      <c r="C498" s="7" t="str">
        <f>_xlfn.XLOOKUP(B498,'[1]Sheet 1'!$A$2:$A$11107,'[1]Sheet 1'!$D$2:$D$11107,"",0)</f>
        <v>WACE</v>
      </c>
      <c r="D498" s="4">
        <v>0</v>
      </c>
      <c r="E498" s="4" t="s">
        <v>1828</v>
      </c>
      <c r="F498" s="4" t="e">
        <f>_xlfn.XLOOKUP(B498,[2]Sheet2!$E$2:$E$713,[2]Sheet2!$G$2:$G$713)</f>
        <v>#N/A</v>
      </c>
      <c r="G498" s="18">
        <v>46116</v>
      </c>
      <c r="H498" s="14">
        <v>0.76256944444444441</v>
      </c>
      <c r="I498" s="7" t="s">
        <v>4</v>
      </c>
      <c r="J498" s="2" t="str">
        <f t="shared" si="35"/>
        <v>Q1</v>
      </c>
      <c r="K498" s="2" t="str">
        <f t="shared" si="36"/>
        <v>Not Found</v>
      </c>
      <c r="L498" s="2">
        <f t="shared" si="37"/>
        <v>0.31622776601683794</v>
      </c>
      <c r="M498" s="2" t="e">
        <f t="shared" si="38"/>
        <v>#N/A</v>
      </c>
      <c r="N498" s="2" t="str">
        <f t="shared" si="39"/>
        <v>Quadrant not assigned</v>
      </c>
      <c r="O498" s="7">
        <v>19.100000000000001</v>
      </c>
      <c r="P498" s="7">
        <v>-0.8</v>
      </c>
      <c r="Q498" s="7">
        <v>-1.6</v>
      </c>
      <c r="R498" s="7">
        <v>-0.18</v>
      </c>
      <c r="S498" s="7">
        <v>0.3</v>
      </c>
      <c r="T498" s="7">
        <v>0.1</v>
      </c>
      <c r="U498" s="7">
        <v>-0.42</v>
      </c>
      <c r="V498" s="7">
        <v>0.34</v>
      </c>
      <c r="W498" s="7">
        <v>0.56999999999999995</v>
      </c>
      <c r="X498" s="7" t="s">
        <v>8</v>
      </c>
      <c r="Y498" s="7" t="s">
        <v>7</v>
      </c>
      <c r="Z498" s="2" t="s">
        <v>718</v>
      </c>
      <c r="AA498" s="2" t="s">
        <v>721</v>
      </c>
    </row>
    <row r="499" spans="1:27" x14ac:dyDescent="0.35">
      <c r="A499" s="7" t="s">
        <v>1559</v>
      </c>
      <c r="B499" s="7" t="s">
        <v>1191</v>
      </c>
      <c r="C499" s="7" t="str">
        <f>_xlfn.XLOOKUP(B499,'[1]Sheet 1'!$A$2:$A$11107,'[1]Sheet 1'!$D$2:$D$11107,"",0)</f>
        <v>VSS</v>
      </c>
      <c r="D499" s="4" t="str">
        <f>_xlfn.XLOOKUP(A499,[3]Sheet2!$I$2:$I$1623,[3]Sheet2!$D$2:$D$1623,"",0)</f>
        <v>Q3</v>
      </c>
      <c r="E499" s="4" t="s">
        <v>1828</v>
      </c>
      <c r="F499" s="4" t="e">
        <f>_xlfn.XLOOKUP(B499,[2]Sheet2!$E$2:$E$713,[2]Sheet2!$G$2:$G$713)</f>
        <v>#N/A</v>
      </c>
      <c r="G499" s="18">
        <v>46116</v>
      </c>
      <c r="H499" s="14">
        <v>0.70633101851851854</v>
      </c>
      <c r="I499" s="7" t="s">
        <v>10</v>
      </c>
      <c r="J499" s="2" t="str">
        <f t="shared" si="35"/>
        <v>Q3</v>
      </c>
      <c r="K499" s="2" t="str">
        <f t="shared" si="36"/>
        <v>Match</v>
      </c>
      <c r="L499" s="2">
        <f t="shared" si="37"/>
        <v>0.1</v>
      </c>
      <c r="M499" s="2" t="e">
        <f t="shared" si="38"/>
        <v>#N/A</v>
      </c>
      <c r="N499" s="2" t="str">
        <f t="shared" si="39"/>
        <v>Q OK dE&lt;=0.8</v>
      </c>
      <c r="O499" s="7">
        <v>17.8</v>
      </c>
      <c r="P499" s="7">
        <v>0</v>
      </c>
      <c r="Q499" s="7">
        <v>-2.4</v>
      </c>
      <c r="R499" s="7">
        <v>-0.2</v>
      </c>
      <c r="S499" s="7">
        <v>0</v>
      </c>
      <c r="T499" s="7">
        <v>-0.1</v>
      </c>
      <c r="U499" s="7">
        <v>0.23</v>
      </c>
      <c r="V499" s="7">
        <v>0.03</v>
      </c>
      <c r="W499" s="7">
        <v>0.3</v>
      </c>
      <c r="X499" s="7" t="s">
        <v>8</v>
      </c>
      <c r="Y499" s="7" t="s">
        <v>9</v>
      </c>
      <c r="Z499" s="2" t="s">
        <v>718</v>
      </c>
      <c r="AA499" s="2" t="s">
        <v>721</v>
      </c>
    </row>
    <row r="500" spans="1:27" x14ac:dyDescent="0.35">
      <c r="A500" s="7" t="s">
        <v>1768</v>
      </c>
      <c r="B500" s="7" t="s">
        <v>1195</v>
      </c>
      <c r="C500" s="7" t="str">
        <f>_xlfn.XLOOKUP(B500,'[1]Sheet 1'!$A$2:$A$11107,'[1]Sheet 1'!$D$2:$D$11107,"",0)</f>
        <v>CK</v>
      </c>
      <c r="D500" s="4" t="str">
        <f>_xlfn.XLOOKUP(A500,[3]Sheet2!$I$2:$I$1623,[3]Sheet2!$D$2:$D$1623,"",0)</f>
        <v>Q3</v>
      </c>
      <c r="E500" s="4" t="s">
        <v>1828</v>
      </c>
      <c r="F500" s="4" t="e">
        <f>_xlfn.XLOOKUP(B500,[2]Sheet2!$E$2:$E$713,[2]Sheet2!$G$2:$G$713)</f>
        <v>#N/A</v>
      </c>
      <c r="G500" s="18">
        <v>46116</v>
      </c>
      <c r="H500" s="14">
        <v>0.63594907407407408</v>
      </c>
      <c r="I500" s="7" t="s">
        <v>11</v>
      </c>
      <c r="J500" s="2" t="str">
        <f t="shared" si="35"/>
        <v>Q1</v>
      </c>
      <c r="K500" s="2" t="str">
        <f t="shared" si="36"/>
        <v>Not Match</v>
      </c>
      <c r="L500" s="2">
        <f t="shared" si="37"/>
        <v>1.4866068747318506</v>
      </c>
      <c r="M500" s="2" t="e">
        <f t="shared" si="38"/>
        <v>#N/A</v>
      </c>
      <c r="N500" s="2" t="str">
        <f t="shared" si="39"/>
        <v>Q NOT OK dE&gt;0.8</v>
      </c>
      <c r="O500" s="7">
        <v>30.3</v>
      </c>
      <c r="P500" s="7">
        <v>30.1</v>
      </c>
      <c r="Q500" s="7">
        <v>15</v>
      </c>
      <c r="R500" s="7">
        <v>0.77</v>
      </c>
      <c r="S500" s="7">
        <v>1.1000000000000001</v>
      </c>
      <c r="T500" s="7">
        <v>1</v>
      </c>
      <c r="U500" s="7">
        <v>0.72</v>
      </c>
      <c r="V500" s="7">
        <v>0.36</v>
      </c>
      <c r="W500" s="7">
        <v>1.1200000000000001</v>
      </c>
      <c r="X500" s="7" t="s">
        <v>6</v>
      </c>
      <c r="Y500" s="7" t="s">
        <v>12</v>
      </c>
      <c r="Z500" s="2" t="s">
        <v>718</v>
      </c>
      <c r="AA500" s="2" t="s">
        <v>721</v>
      </c>
    </row>
    <row r="501" spans="1:27" x14ac:dyDescent="0.35">
      <c r="A501" s="7" t="s">
        <v>1718</v>
      </c>
      <c r="B501" s="7" t="s">
        <v>1193</v>
      </c>
      <c r="C501" s="7" t="str">
        <f>_xlfn.XLOOKUP(B501,'[1]Sheet 1'!$A$2:$A$11107,'[1]Sheet 1'!$D$2:$D$11107,"",0)</f>
        <v>NKSKI</v>
      </c>
      <c r="D501" s="4" t="str">
        <f>_xlfn.XLOOKUP(A501,[3]Sheet2!$I$2:$I$1623,[3]Sheet2!$D$2:$D$1623,"",0)</f>
        <v>Q1</v>
      </c>
      <c r="E501" s="4" t="s">
        <v>1828</v>
      </c>
      <c r="F501" s="4" t="e">
        <f>_xlfn.XLOOKUP(B501,[2]Sheet2!$E$2:$E$713,[2]Sheet2!$G$2:$G$713)</f>
        <v>#N/A</v>
      </c>
      <c r="G501" s="18">
        <v>46116</v>
      </c>
      <c r="H501" s="14">
        <v>0.5534606481481481</v>
      </c>
      <c r="I501" s="7" t="s">
        <v>11</v>
      </c>
      <c r="J501" s="2" t="str">
        <f t="shared" si="35"/>
        <v>Q1</v>
      </c>
      <c r="K501" s="2" t="str">
        <f t="shared" si="36"/>
        <v>Match</v>
      </c>
      <c r="L501" s="2">
        <f t="shared" si="37"/>
        <v>1.3</v>
      </c>
      <c r="M501" s="2" t="e">
        <f t="shared" si="38"/>
        <v>#N/A</v>
      </c>
      <c r="N501" s="2" t="str">
        <f t="shared" si="39"/>
        <v>Q OK dE&gt;0.8</v>
      </c>
      <c r="O501" s="7">
        <v>36.9</v>
      </c>
      <c r="P501" s="7">
        <v>41.3</v>
      </c>
      <c r="Q501" s="7">
        <v>26.3</v>
      </c>
      <c r="R501" s="7">
        <v>-0.34</v>
      </c>
      <c r="S501" s="7">
        <v>0</v>
      </c>
      <c r="T501" s="7">
        <v>-1.3</v>
      </c>
      <c r="U501" s="7">
        <v>-0.28000000000000003</v>
      </c>
      <c r="V501" s="7">
        <v>-0.91</v>
      </c>
      <c r="W501" s="7">
        <v>1.01</v>
      </c>
      <c r="X501" s="7" t="s">
        <v>6</v>
      </c>
      <c r="Y501" s="7" t="s">
        <v>7</v>
      </c>
      <c r="Z501" s="2" t="s">
        <v>718</v>
      </c>
      <c r="AA501" s="2" t="s">
        <v>721</v>
      </c>
    </row>
    <row r="502" spans="1:27" x14ac:dyDescent="0.35">
      <c r="A502" s="7" t="s">
        <v>1765</v>
      </c>
      <c r="B502" s="7" t="s">
        <v>1176</v>
      </c>
      <c r="C502" s="7" t="str">
        <f>_xlfn.XLOOKUP(B502,'[1]Sheet 1'!$A$2:$A$11107,'[1]Sheet 1'!$D$2:$D$11107,"",0)</f>
        <v/>
      </c>
      <c r="D502" s="4" t="str">
        <f>_xlfn.XLOOKUP(A502,[3]Sheet2!$I$2:$I$1623,[3]Sheet2!$D$2:$D$1623,"",0)</f>
        <v>Q4</v>
      </c>
      <c r="E502" s="4" t="s">
        <v>1828</v>
      </c>
      <c r="F502" s="4" t="e">
        <f>_xlfn.XLOOKUP(B502,[2]Sheet2!$E$2:$E$713,[2]Sheet2!$G$2:$G$713)</f>
        <v>#N/A</v>
      </c>
      <c r="G502" s="18">
        <v>46116</v>
      </c>
      <c r="H502" s="14">
        <v>0.10574074074074075</v>
      </c>
      <c r="I502" s="7" t="s">
        <v>5</v>
      </c>
      <c r="J502" s="2" t="str">
        <f t="shared" si="35"/>
        <v>Q2</v>
      </c>
      <c r="K502" s="2" t="str">
        <f t="shared" si="36"/>
        <v>Not Match</v>
      </c>
      <c r="L502" s="2">
        <f t="shared" si="37"/>
        <v>1.3601470508735443</v>
      </c>
      <c r="M502" s="2" t="e">
        <f t="shared" si="38"/>
        <v>#N/A</v>
      </c>
      <c r="N502" s="2" t="str">
        <f t="shared" si="39"/>
        <v>Q NOT OK dE&gt;0.8</v>
      </c>
      <c r="O502" s="7">
        <v>43.4</v>
      </c>
      <c r="P502" s="7">
        <v>9.6</v>
      </c>
      <c r="Q502" s="7">
        <v>15.8</v>
      </c>
      <c r="R502" s="7">
        <v>0.54</v>
      </c>
      <c r="S502" s="7">
        <v>-0.4</v>
      </c>
      <c r="T502" s="7">
        <v>1.3</v>
      </c>
      <c r="U502" s="7">
        <v>0.54</v>
      </c>
      <c r="V502" s="7">
        <v>2</v>
      </c>
      <c r="W502" s="7">
        <v>2.14</v>
      </c>
      <c r="X502" s="7" t="s">
        <v>6</v>
      </c>
      <c r="Y502" s="7" t="s">
        <v>12</v>
      </c>
      <c r="Z502" s="2" t="s">
        <v>718</v>
      </c>
      <c r="AA502" s="2" t="s">
        <v>721</v>
      </c>
    </row>
    <row r="503" spans="1:27" x14ac:dyDescent="0.35">
      <c r="A503" s="7" t="s">
        <v>1766</v>
      </c>
      <c r="B503" s="7" t="s">
        <v>1181</v>
      </c>
      <c r="C503" s="7" t="str">
        <f>_xlfn.XLOOKUP(B503,'[1]Sheet 1'!$A$2:$A$11107,'[1]Sheet 1'!$D$2:$D$11107,"",0)</f>
        <v>M&amp;S</v>
      </c>
      <c r="D503" s="4" t="str">
        <f>_xlfn.XLOOKUP(A503,[3]Sheet2!$I$2:$I$1623,[3]Sheet2!$D$2:$D$1623,"",0)</f>
        <v>Q1</v>
      </c>
      <c r="E503" s="4" t="s">
        <v>1828</v>
      </c>
      <c r="F503" s="4" t="e">
        <f>_xlfn.XLOOKUP(B503,[2]Sheet2!$E$2:$E$713,[2]Sheet2!$G$2:$G$713)</f>
        <v>#N/A</v>
      </c>
      <c r="G503" s="18">
        <v>46116</v>
      </c>
      <c r="H503" s="14">
        <v>0.22960648148148149</v>
      </c>
      <c r="I503" s="7" t="s">
        <v>17</v>
      </c>
      <c r="J503" s="2" t="str">
        <f t="shared" si="35"/>
        <v>Q1</v>
      </c>
      <c r="K503" s="2" t="str">
        <f t="shared" si="36"/>
        <v>Match</v>
      </c>
      <c r="L503" s="2">
        <f t="shared" si="37"/>
        <v>0.78102496759066542</v>
      </c>
      <c r="M503" s="2" t="e">
        <f t="shared" si="38"/>
        <v>#N/A</v>
      </c>
      <c r="N503" s="2" t="str">
        <f t="shared" si="39"/>
        <v>Q OK dE&lt;=0.8</v>
      </c>
      <c r="O503" s="7">
        <v>38.1</v>
      </c>
      <c r="P503" s="7">
        <v>21.1</v>
      </c>
      <c r="Q503" s="7">
        <v>16</v>
      </c>
      <c r="R503" s="7">
        <v>0.64</v>
      </c>
      <c r="S503" s="7">
        <v>0.5</v>
      </c>
      <c r="T503" s="7">
        <v>0.6</v>
      </c>
      <c r="U503" s="7">
        <v>0.41</v>
      </c>
      <c r="V503" s="7">
        <v>0.19</v>
      </c>
      <c r="W503" s="7">
        <v>0.78</v>
      </c>
      <c r="X503" s="7" t="s">
        <v>13</v>
      </c>
      <c r="Y503" s="7" t="s">
        <v>12</v>
      </c>
      <c r="Z503" s="2" t="s">
        <v>718</v>
      </c>
      <c r="AA503" s="2" t="s">
        <v>721</v>
      </c>
    </row>
    <row r="504" spans="1:27" x14ac:dyDescent="0.35">
      <c r="A504" s="7" t="s">
        <v>1500</v>
      </c>
      <c r="B504" s="7" t="s">
        <v>1185</v>
      </c>
      <c r="C504" s="7" t="str">
        <f>_xlfn.XLOOKUP(B504,'[1]Sheet 1'!$A$2:$A$11107,'[1]Sheet 1'!$D$2:$D$11107,"",0)</f>
        <v>LULU</v>
      </c>
      <c r="D504" s="4" t="str">
        <f>_xlfn.XLOOKUP(A504,[3]Sheet2!$I$2:$I$1623,[3]Sheet2!$D$2:$D$1623,"",0)</f>
        <v>Q2</v>
      </c>
      <c r="E504" s="4" t="s">
        <v>1828</v>
      </c>
      <c r="F504" s="4" t="e">
        <f>_xlfn.XLOOKUP(B504,[2]Sheet2!$E$2:$E$713,[2]Sheet2!$G$2:$G$713)</f>
        <v>#N/A</v>
      </c>
      <c r="G504" s="18">
        <v>46116</v>
      </c>
      <c r="H504" s="14">
        <v>0.27277777777777779</v>
      </c>
      <c r="I504" s="7" t="s">
        <v>4</v>
      </c>
      <c r="J504" s="2" t="str">
        <f t="shared" si="35"/>
        <v>Q2</v>
      </c>
      <c r="K504" s="2" t="str">
        <f t="shared" si="36"/>
        <v>Match</v>
      </c>
      <c r="L504" s="2">
        <f t="shared" si="37"/>
        <v>0.2</v>
      </c>
      <c r="M504" s="2" t="e">
        <f t="shared" si="38"/>
        <v>#N/A</v>
      </c>
      <c r="N504" s="2" t="str">
        <f t="shared" si="39"/>
        <v>Q OK dE&gt;0.8</v>
      </c>
      <c r="O504" s="7">
        <v>16.399999999999999</v>
      </c>
      <c r="P504" s="7">
        <v>-0.7</v>
      </c>
      <c r="Q504" s="7">
        <v>-1</v>
      </c>
      <c r="R504" s="7">
        <v>-1.48</v>
      </c>
      <c r="S504" s="7">
        <v>0.2</v>
      </c>
      <c r="T504" s="20">
        <v>0</v>
      </c>
      <c r="U504" s="7">
        <v>-0.13</v>
      </c>
      <c r="V504" s="7">
        <v>0.32</v>
      </c>
      <c r="W504" s="7">
        <v>1.52</v>
      </c>
      <c r="X504" s="7" t="s">
        <v>6</v>
      </c>
      <c r="Y504" s="7" t="s">
        <v>7</v>
      </c>
      <c r="Z504" s="2" t="s">
        <v>718</v>
      </c>
      <c r="AA504" s="2" t="s">
        <v>721</v>
      </c>
    </row>
    <row r="505" spans="1:27" x14ac:dyDescent="0.35">
      <c r="A505" s="7" t="s">
        <v>1662</v>
      </c>
      <c r="B505" s="7" t="s">
        <v>1198</v>
      </c>
      <c r="C505" s="7" t="str">
        <f>_xlfn.XLOOKUP(B505,'[1]Sheet 1'!$A$2:$A$11107,'[1]Sheet 1'!$D$2:$D$11107,"",0)</f>
        <v>CK</v>
      </c>
      <c r="D505" s="4" t="str">
        <f>_xlfn.XLOOKUP(A505,[3]Sheet2!$I$2:$I$1623,[3]Sheet2!$D$2:$D$1623,"",0)</f>
        <v>Q1</v>
      </c>
      <c r="E505" s="4" t="s">
        <v>1828</v>
      </c>
      <c r="F505" s="4" t="e">
        <f>_xlfn.XLOOKUP(B505,[2]Sheet2!$E$2:$E$713,[2]Sheet2!$G$2:$G$713)</f>
        <v>#N/A</v>
      </c>
      <c r="G505" s="18">
        <v>46116</v>
      </c>
      <c r="H505" s="14">
        <v>0.70336805555555559</v>
      </c>
      <c r="I505" s="7" t="s">
        <v>11</v>
      </c>
      <c r="J505" s="2" t="str">
        <f t="shared" si="35"/>
        <v>Q1</v>
      </c>
      <c r="K505" s="2" t="str">
        <f t="shared" si="36"/>
        <v>Match</v>
      </c>
      <c r="L505" s="2">
        <f t="shared" si="37"/>
        <v>0.2</v>
      </c>
      <c r="M505" s="2" t="e">
        <f t="shared" si="38"/>
        <v>#N/A</v>
      </c>
      <c r="N505" s="2" t="str">
        <f t="shared" si="39"/>
        <v>Q OK dE&lt;=0.8</v>
      </c>
      <c r="O505" s="7">
        <v>16.8</v>
      </c>
      <c r="P505" s="7">
        <v>-1.2</v>
      </c>
      <c r="Q505" s="7">
        <v>-2.7</v>
      </c>
      <c r="R505" s="7">
        <v>-0.1</v>
      </c>
      <c r="S505" s="7">
        <v>0.2</v>
      </c>
      <c r="T505" s="20">
        <v>0</v>
      </c>
      <c r="U505" s="7">
        <v>-0.08</v>
      </c>
      <c r="V505" s="7">
        <v>0.25</v>
      </c>
      <c r="W505" s="7">
        <v>0.28000000000000003</v>
      </c>
      <c r="X505" s="7" t="s">
        <v>8</v>
      </c>
      <c r="Y505" s="7" t="s">
        <v>7</v>
      </c>
      <c r="Z505" s="2" t="s">
        <v>718</v>
      </c>
      <c r="AA505" s="2" t="s">
        <v>721</v>
      </c>
    </row>
    <row r="506" spans="1:27" x14ac:dyDescent="0.35">
      <c r="A506" s="7" t="s">
        <v>1684</v>
      </c>
      <c r="B506" s="7" t="s">
        <v>1177</v>
      </c>
      <c r="C506" s="7" t="str">
        <f>_xlfn.XLOOKUP(B506,'[1]Sheet 1'!$A$2:$A$11107,'[1]Sheet 1'!$D$2:$D$11107,"",0)</f>
        <v>CK</v>
      </c>
      <c r="D506" s="4">
        <v>0</v>
      </c>
      <c r="E506" s="4" t="s">
        <v>1828</v>
      </c>
      <c r="F506" s="4" t="e">
        <f>_xlfn.XLOOKUP(B506,[2]Sheet2!$E$2:$E$713,[2]Sheet2!$G$2:$G$713)</f>
        <v>#N/A</v>
      </c>
      <c r="G506" s="18">
        <v>46116</v>
      </c>
      <c r="H506" s="14">
        <v>0.21805555555555556</v>
      </c>
      <c r="I506" s="7" t="s">
        <v>11</v>
      </c>
      <c r="J506" s="2" t="str">
        <f t="shared" si="35"/>
        <v>Q1</v>
      </c>
      <c r="K506" s="2" t="str">
        <f t="shared" si="36"/>
        <v>Not Found</v>
      </c>
      <c r="L506" s="2">
        <f t="shared" si="37"/>
        <v>0.31622776601683794</v>
      </c>
      <c r="M506" s="2" t="e">
        <f t="shared" si="38"/>
        <v>#N/A</v>
      </c>
      <c r="N506" s="2" t="str">
        <f t="shared" si="39"/>
        <v>Quadrant not assigned</v>
      </c>
      <c r="O506" s="7">
        <v>15</v>
      </c>
      <c r="P506" s="7">
        <v>-0.9</v>
      </c>
      <c r="Q506" s="7">
        <v>-0.9</v>
      </c>
      <c r="R506" s="7">
        <v>-0.93</v>
      </c>
      <c r="S506" s="7">
        <v>0.1</v>
      </c>
      <c r="T506" s="7">
        <v>0.3</v>
      </c>
      <c r="U506" s="7">
        <v>-0.44</v>
      </c>
      <c r="V506" s="7">
        <v>-0.2</v>
      </c>
      <c r="W506" s="7">
        <v>1.05</v>
      </c>
      <c r="X506" s="7" t="s">
        <v>6</v>
      </c>
      <c r="Y506" s="7" t="s">
        <v>12</v>
      </c>
      <c r="Z506" s="2" t="s">
        <v>718</v>
      </c>
      <c r="AA506" s="2" t="s">
        <v>721</v>
      </c>
    </row>
    <row r="507" spans="1:27" x14ac:dyDescent="0.35">
      <c r="A507" s="7" t="s">
        <v>1540</v>
      </c>
      <c r="B507" s="7" t="s">
        <v>1182</v>
      </c>
      <c r="C507" s="7" t="str">
        <f>_xlfn.XLOOKUP(B507,'[1]Sheet 1'!$A$2:$A$11107,'[1]Sheet 1'!$D$2:$D$11107,"",0)</f>
        <v>VSS</v>
      </c>
      <c r="D507" s="4" t="str">
        <f>_xlfn.XLOOKUP(A507,[3]Sheet2!$I$2:$I$1623,[3]Sheet2!$D$2:$D$1623,"",0)</f>
        <v>Q3</v>
      </c>
      <c r="E507" s="4" t="s">
        <v>1828</v>
      </c>
      <c r="F507" s="4" t="e">
        <f>_xlfn.XLOOKUP(B507,[2]Sheet2!$E$2:$E$713,[2]Sheet2!$G$2:$G$713)</f>
        <v>#N/A</v>
      </c>
      <c r="G507" s="18">
        <v>46116</v>
      </c>
      <c r="H507" s="14">
        <v>0.23238425925925926</v>
      </c>
      <c r="I507" s="7" t="s">
        <v>10</v>
      </c>
      <c r="J507" s="2" t="str">
        <f t="shared" si="35"/>
        <v>Q3</v>
      </c>
      <c r="K507" s="2" t="str">
        <f t="shared" si="36"/>
        <v>Match</v>
      </c>
      <c r="L507" s="2">
        <f t="shared" si="37"/>
        <v>0.3</v>
      </c>
      <c r="M507" s="2" t="e">
        <f t="shared" si="38"/>
        <v>#N/A</v>
      </c>
      <c r="N507" s="2" t="str">
        <f t="shared" si="39"/>
        <v>Q OK dE&gt;0.8</v>
      </c>
      <c r="O507" s="7">
        <v>13.7</v>
      </c>
      <c r="P507" s="7">
        <v>0.5</v>
      </c>
      <c r="Q507" s="7">
        <v>-0.9</v>
      </c>
      <c r="R507" s="7">
        <v>-0.78</v>
      </c>
      <c r="S507" s="7">
        <v>0</v>
      </c>
      <c r="T507" s="7">
        <v>0.3</v>
      </c>
      <c r="U507" s="7">
        <v>-0.42</v>
      </c>
      <c r="V507" s="7">
        <v>0.24</v>
      </c>
      <c r="W507" s="7">
        <v>0.91</v>
      </c>
      <c r="X507" s="7" t="s">
        <v>13</v>
      </c>
      <c r="Y507" s="7" t="s">
        <v>9</v>
      </c>
      <c r="Z507" s="2" t="s">
        <v>718</v>
      </c>
      <c r="AA507" s="2" t="s">
        <v>721</v>
      </c>
    </row>
    <row r="508" spans="1:27" x14ac:dyDescent="0.35">
      <c r="A508" s="7" t="s">
        <v>1614</v>
      </c>
      <c r="B508" s="7" t="s">
        <v>1189</v>
      </c>
      <c r="C508" s="7" t="str">
        <f>_xlfn.XLOOKUP(B508,'[1]Sheet 1'!$A$2:$A$11107,'[1]Sheet 1'!$D$2:$D$11107,"",0)</f>
        <v>M&amp;S</v>
      </c>
      <c r="D508" s="4" t="str">
        <f>_xlfn.XLOOKUP(A508,[3]Sheet2!$I$2:$I$1623,[3]Sheet2!$D$2:$D$1623,"",0)</f>
        <v>Q3</v>
      </c>
      <c r="E508" s="4" t="s">
        <v>1828</v>
      </c>
      <c r="F508" s="4" t="e">
        <f>_xlfn.XLOOKUP(B508,[2]Sheet2!$E$2:$E$713,[2]Sheet2!$G$2:$G$713)</f>
        <v>#N/A</v>
      </c>
      <c r="G508" s="18">
        <v>46116</v>
      </c>
      <c r="H508" s="14">
        <v>0.49254629629629632</v>
      </c>
      <c r="I508" s="7" t="s">
        <v>17</v>
      </c>
      <c r="J508" s="2" t="str">
        <f t="shared" si="35"/>
        <v>Q3</v>
      </c>
      <c r="K508" s="2" t="str">
        <f t="shared" si="36"/>
        <v>Match</v>
      </c>
      <c r="L508" s="2">
        <f t="shared" si="37"/>
        <v>0.28284271247461906</v>
      </c>
      <c r="M508" s="2" t="e">
        <f t="shared" si="38"/>
        <v>#N/A</v>
      </c>
      <c r="N508" s="2" t="str">
        <f t="shared" si="39"/>
        <v>Q OK dE&lt;=0.8</v>
      </c>
      <c r="O508" s="7">
        <v>24.7</v>
      </c>
      <c r="P508" s="7">
        <v>-5.7</v>
      </c>
      <c r="Q508" s="7">
        <v>-7.2</v>
      </c>
      <c r="R508" s="7">
        <v>0.17</v>
      </c>
      <c r="S508" s="7">
        <v>-0.2</v>
      </c>
      <c r="T508" s="7">
        <v>-0.2</v>
      </c>
      <c r="U508" s="7">
        <v>0.31</v>
      </c>
      <c r="V508" s="7">
        <v>-0.09</v>
      </c>
      <c r="W508" s="7">
        <v>0.37</v>
      </c>
      <c r="X508" s="7" t="s">
        <v>8</v>
      </c>
      <c r="Y508" s="7" t="s">
        <v>12</v>
      </c>
      <c r="Z508" s="2" t="s">
        <v>718</v>
      </c>
      <c r="AA508" s="2" t="s">
        <v>721</v>
      </c>
    </row>
    <row r="509" spans="1:27" x14ac:dyDescent="0.35">
      <c r="A509" s="7" t="s">
        <v>1558</v>
      </c>
      <c r="B509" s="7" t="s">
        <v>1190</v>
      </c>
      <c r="C509" s="7" t="str">
        <f>_xlfn.XLOOKUP(B509,'[1]Sheet 1'!$A$2:$A$11107,'[1]Sheet 1'!$D$2:$D$11107,"",0)</f>
        <v>M&amp;S</v>
      </c>
      <c r="D509" s="4" t="str">
        <f>_xlfn.XLOOKUP(A509,[3]Sheet2!$I$2:$I$1623,[3]Sheet2!$D$2:$D$1623,"",0)</f>
        <v>Q3</v>
      </c>
      <c r="E509" s="4" t="s">
        <v>1828</v>
      </c>
      <c r="F509" s="4" t="e">
        <f>_xlfn.XLOOKUP(B509,[2]Sheet2!$E$2:$E$713,[2]Sheet2!$G$2:$G$713)</f>
        <v>#N/A</v>
      </c>
      <c r="G509" s="18">
        <v>46116</v>
      </c>
      <c r="H509" s="14">
        <v>0.5105439814814815</v>
      </c>
      <c r="I509" s="7" t="s">
        <v>17</v>
      </c>
      <c r="J509" s="2" t="str">
        <f t="shared" si="35"/>
        <v>Q3</v>
      </c>
      <c r="K509" s="2" t="str">
        <f t="shared" si="36"/>
        <v>Match</v>
      </c>
      <c r="L509" s="2">
        <f t="shared" si="37"/>
        <v>0.14142135623730953</v>
      </c>
      <c r="M509" s="2" t="e">
        <f t="shared" si="38"/>
        <v>#N/A</v>
      </c>
      <c r="N509" s="2" t="str">
        <f t="shared" si="39"/>
        <v>Q OK dE&lt;=0.8</v>
      </c>
      <c r="O509" s="7">
        <v>15.5</v>
      </c>
      <c r="P509" s="7">
        <v>-0.6</v>
      </c>
      <c r="Q509" s="7">
        <v>-1.9</v>
      </c>
      <c r="R509" s="7">
        <v>-0.11</v>
      </c>
      <c r="S509" s="7">
        <v>-0.1</v>
      </c>
      <c r="T509" s="7">
        <v>-0.1</v>
      </c>
      <c r="U509" s="7">
        <v>0.23</v>
      </c>
      <c r="V509" s="7">
        <v>-0.12</v>
      </c>
      <c r="W509" s="7">
        <v>0.28000000000000003</v>
      </c>
      <c r="X509" s="7" t="s">
        <v>8</v>
      </c>
      <c r="Y509" s="7" t="s">
        <v>15</v>
      </c>
      <c r="Z509" s="2" t="s">
        <v>718</v>
      </c>
      <c r="AA509" s="2" t="s">
        <v>721</v>
      </c>
    </row>
    <row r="510" spans="1:27" x14ac:dyDescent="0.35">
      <c r="A510" s="7" t="s">
        <v>1579</v>
      </c>
      <c r="B510" s="7" t="s">
        <v>1188</v>
      </c>
      <c r="C510" s="7" t="str">
        <f>_xlfn.XLOOKUP(B510,'[1]Sheet 1'!$A$2:$A$11107,'[1]Sheet 1'!$D$2:$D$11107,"",0)</f>
        <v>M&amp;S</v>
      </c>
      <c r="D510" s="4" t="str">
        <f>_xlfn.XLOOKUP(A510,[3]Sheet2!$I$2:$I$1623,[3]Sheet2!$D$2:$D$1623,"",0)</f>
        <v>Q4</v>
      </c>
      <c r="E510" s="4" t="s">
        <v>1828</v>
      </c>
      <c r="F510" s="4" t="e">
        <f>_xlfn.XLOOKUP(B510,[2]Sheet2!$E$2:$E$713,[2]Sheet2!$G$2:$G$713)</f>
        <v>#N/A</v>
      </c>
      <c r="G510" s="18">
        <v>46116</v>
      </c>
      <c r="H510" s="14">
        <v>0.48226851851851854</v>
      </c>
      <c r="I510" s="7" t="s">
        <v>17</v>
      </c>
      <c r="J510" s="2" t="str">
        <f t="shared" si="35"/>
        <v>Q2</v>
      </c>
      <c r="K510" s="2" t="str">
        <f t="shared" si="36"/>
        <v>Not Match</v>
      </c>
      <c r="L510" s="2">
        <f t="shared" si="37"/>
        <v>0.22360679774997899</v>
      </c>
      <c r="M510" s="2" t="e">
        <f t="shared" si="38"/>
        <v>#N/A</v>
      </c>
      <c r="N510" s="2" t="str">
        <f t="shared" si="39"/>
        <v>Q NOT OK dE&lt;=0.8</v>
      </c>
      <c r="O510" s="7">
        <v>15.9</v>
      </c>
      <c r="P510" s="7">
        <v>-0.6</v>
      </c>
      <c r="Q510" s="7">
        <v>-5.8</v>
      </c>
      <c r="R510" s="7">
        <v>0.14000000000000001</v>
      </c>
      <c r="S510" s="7">
        <v>-0.1</v>
      </c>
      <c r="T510" s="7">
        <v>0.2</v>
      </c>
      <c r="U510" s="7">
        <v>-0.26</v>
      </c>
      <c r="V510" s="7">
        <v>-0.27</v>
      </c>
      <c r="W510" s="7">
        <v>0.4</v>
      </c>
      <c r="X510" s="7" t="s">
        <v>8</v>
      </c>
      <c r="Y510" s="7" t="s">
        <v>15</v>
      </c>
      <c r="Z510" s="2" t="s">
        <v>718</v>
      </c>
      <c r="AA510" s="2" t="s">
        <v>721</v>
      </c>
    </row>
    <row r="511" spans="1:27" x14ac:dyDescent="0.35">
      <c r="A511" s="7" t="s">
        <v>1625</v>
      </c>
      <c r="B511" s="7" t="s">
        <v>1197</v>
      </c>
      <c r="C511" s="7" t="str">
        <f>_xlfn.XLOOKUP(B511,'[1]Sheet 1'!$A$2:$A$11107,'[1]Sheet 1'!$D$2:$D$11107,"",0)</f>
        <v>CK</v>
      </c>
      <c r="D511" s="4" t="str">
        <f>_xlfn.XLOOKUP(A511,[3]Sheet2!$I$2:$I$1623,[3]Sheet2!$D$2:$D$1623,"",0)</f>
        <v>Q1</v>
      </c>
      <c r="E511" s="4" t="s">
        <v>1828</v>
      </c>
      <c r="F511" s="4" t="e">
        <f>_xlfn.XLOOKUP(B511,[2]Sheet2!$E$2:$E$713,[2]Sheet2!$G$2:$G$713)</f>
        <v>#N/A</v>
      </c>
      <c r="G511" s="18">
        <v>46116</v>
      </c>
      <c r="H511" s="14">
        <v>0.67339120370370376</v>
      </c>
      <c r="I511" s="7" t="s">
        <v>11</v>
      </c>
      <c r="J511" s="2" t="str">
        <f t="shared" si="35"/>
        <v>Q1</v>
      </c>
      <c r="K511" s="2" t="str">
        <f t="shared" si="36"/>
        <v>Match</v>
      </c>
      <c r="L511" s="2">
        <f t="shared" si="37"/>
        <v>0</v>
      </c>
      <c r="M511" s="2" t="e">
        <f t="shared" si="38"/>
        <v>#N/A</v>
      </c>
      <c r="N511" s="2" t="str">
        <f t="shared" si="39"/>
        <v>Q OK dE&lt;=0.8</v>
      </c>
      <c r="O511" s="7">
        <v>20.7</v>
      </c>
      <c r="P511" s="7">
        <v>-0.3</v>
      </c>
      <c r="Q511" s="7">
        <v>-4</v>
      </c>
      <c r="R511" s="7">
        <v>0.51</v>
      </c>
      <c r="S511" s="7">
        <v>0</v>
      </c>
      <c r="T511" s="20">
        <v>0</v>
      </c>
      <c r="U511" s="7">
        <v>-7.0000000000000007E-2</v>
      </c>
      <c r="V511" s="7">
        <v>0.04</v>
      </c>
      <c r="W511" s="7">
        <v>0.52</v>
      </c>
      <c r="X511" s="7" t="s">
        <v>8</v>
      </c>
      <c r="Y511" s="7" t="s">
        <v>9</v>
      </c>
      <c r="Z511" s="2" t="s">
        <v>718</v>
      </c>
      <c r="AA511" s="2" t="s">
        <v>721</v>
      </c>
    </row>
    <row r="512" spans="1:27" x14ac:dyDescent="0.35">
      <c r="A512" s="7" t="s">
        <v>1585</v>
      </c>
      <c r="B512" s="7" t="s">
        <v>1178</v>
      </c>
      <c r="C512" s="7" t="str">
        <f>_xlfn.XLOOKUP(B512,'[1]Sheet 1'!$A$2:$A$11107,'[1]Sheet 1'!$D$2:$D$11107,"",0)</f>
        <v>WACE</v>
      </c>
      <c r="D512" s="4" t="str">
        <f>_xlfn.XLOOKUP(A512,[3]Sheet2!$I$2:$I$1623,[3]Sheet2!$D$2:$D$1623,"",0)</f>
        <v>Q2</v>
      </c>
      <c r="E512" s="4" t="s">
        <v>1828</v>
      </c>
      <c r="F512" s="4" t="e">
        <f>_xlfn.XLOOKUP(B512,[2]Sheet2!$E$2:$E$713,[2]Sheet2!$G$2:$G$713)</f>
        <v>#N/A</v>
      </c>
      <c r="G512" s="18">
        <v>46116</v>
      </c>
      <c r="H512" s="14">
        <v>0.22111111111111112</v>
      </c>
      <c r="I512" s="7" t="s">
        <v>4</v>
      </c>
      <c r="J512" s="2" t="str">
        <f t="shared" si="35"/>
        <v>Q2</v>
      </c>
      <c r="K512" s="2" t="str">
        <f t="shared" si="36"/>
        <v>Match</v>
      </c>
      <c r="L512" s="2">
        <f t="shared" si="37"/>
        <v>0.3</v>
      </c>
      <c r="M512" s="2" t="e">
        <f t="shared" si="38"/>
        <v>#N/A</v>
      </c>
      <c r="N512" s="2" t="str">
        <f t="shared" si="39"/>
        <v>Q OK dE&gt;0.8</v>
      </c>
      <c r="O512" s="7">
        <v>16.3</v>
      </c>
      <c r="P512" s="7">
        <v>-0.6</v>
      </c>
      <c r="Q512" s="7">
        <v>-1.9</v>
      </c>
      <c r="R512" s="7">
        <v>-0.98</v>
      </c>
      <c r="S512" s="7">
        <v>0</v>
      </c>
      <c r="T512" s="7">
        <v>-0.3</v>
      </c>
      <c r="U512" s="7">
        <v>0.38</v>
      </c>
      <c r="V512" s="7">
        <v>0.26</v>
      </c>
      <c r="W512" s="7">
        <v>1.0900000000000001</v>
      </c>
      <c r="X512" s="7" t="s">
        <v>6</v>
      </c>
      <c r="Y512" s="7" t="s">
        <v>9</v>
      </c>
      <c r="Z512" s="2" t="s">
        <v>718</v>
      </c>
      <c r="AA512" s="2" t="s">
        <v>721</v>
      </c>
    </row>
    <row r="513" spans="1:27" x14ac:dyDescent="0.35">
      <c r="A513" s="7" t="s">
        <v>1543</v>
      </c>
      <c r="B513" s="7" t="s">
        <v>1183</v>
      </c>
      <c r="C513" s="7" t="str">
        <f>_xlfn.XLOOKUP(B513,'[1]Sheet 1'!$A$2:$A$11107,'[1]Sheet 1'!$D$2:$D$11107,"",0)</f>
        <v>VSS</v>
      </c>
      <c r="D513" s="4" t="str">
        <f>_xlfn.XLOOKUP(A513,[3]Sheet2!$I$2:$I$1623,[3]Sheet2!$D$2:$D$1623,"",0)</f>
        <v>Q3</v>
      </c>
      <c r="E513" s="4" t="s">
        <v>1828</v>
      </c>
      <c r="F513" s="4" t="e">
        <f>_xlfn.XLOOKUP(B513,[2]Sheet2!$E$2:$E$713,[2]Sheet2!$G$2:$G$713)</f>
        <v>#N/A</v>
      </c>
      <c r="G513" s="18">
        <v>46116</v>
      </c>
      <c r="H513" s="14">
        <v>0.25810185185185186</v>
      </c>
      <c r="I513" s="7" t="s">
        <v>10</v>
      </c>
      <c r="J513" s="2" t="str">
        <f t="shared" si="35"/>
        <v>Q3</v>
      </c>
      <c r="K513" s="2" t="str">
        <f t="shared" si="36"/>
        <v>Match</v>
      </c>
      <c r="L513" s="2">
        <f t="shared" si="37"/>
        <v>0.3</v>
      </c>
      <c r="M513" s="2" t="e">
        <f t="shared" si="38"/>
        <v>#N/A</v>
      </c>
      <c r="N513" s="2" t="str">
        <f t="shared" si="39"/>
        <v>Q OK dE&lt;=0.8</v>
      </c>
      <c r="O513" s="7">
        <v>27.3</v>
      </c>
      <c r="P513" s="7">
        <v>11.6</v>
      </c>
      <c r="Q513" s="7">
        <v>9.9</v>
      </c>
      <c r="R513" s="7">
        <v>-0.01</v>
      </c>
      <c r="S513" s="7">
        <v>0.3</v>
      </c>
      <c r="T513" s="20">
        <v>0</v>
      </c>
      <c r="U513" s="7">
        <v>0.14000000000000001</v>
      </c>
      <c r="V513" s="7">
        <v>-0.36</v>
      </c>
      <c r="W513" s="7">
        <v>0.39</v>
      </c>
      <c r="X513" s="7" t="s">
        <v>8</v>
      </c>
      <c r="Y513" s="7" t="s">
        <v>9</v>
      </c>
      <c r="Z513" s="2" t="s">
        <v>718</v>
      </c>
      <c r="AA513" s="2" t="s">
        <v>721</v>
      </c>
    </row>
    <row r="514" spans="1:27" x14ac:dyDescent="0.35">
      <c r="A514" s="7" t="s">
        <v>1567</v>
      </c>
      <c r="B514" s="7" t="s">
        <v>1184</v>
      </c>
      <c r="C514" s="7" t="str">
        <f>_xlfn.XLOOKUP(B514,'[1]Sheet 1'!$A$2:$A$11107,'[1]Sheet 1'!$D$2:$D$11107,"",0)</f>
        <v>M&amp;S</v>
      </c>
      <c r="D514" s="4" t="str">
        <f>_xlfn.XLOOKUP(A514,[3]Sheet2!$I$2:$I$1623,[3]Sheet2!$D$2:$D$1623,"",0)</f>
        <v>Q3</v>
      </c>
      <c r="E514" s="4" t="s">
        <v>1828</v>
      </c>
      <c r="F514" s="4" t="e">
        <f>_xlfn.XLOOKUP(B514,[2]Sheet2!$E$2:$E$713,[2]Sheet2!$G$2:$G$713)</f>
        <v>#N/A</v>
      </c>
      <c r="G514" s="18">
        <v>46116</v>
      </c>
      <c r="H514" s="14">
        <v>0.26386574074074076</v>
      </c>
      <c r="I514" s="7" t="s">
        <v>17</v>
      </c>
      <c r="J514" s="2" t="str">
        <f t="shared" ref="J514:J577" si="40">IF(OR(S514=0,T514=0),D514,IF(AND(S514&gt;0,T514&gt;0),"Q1",IF(AND(S514&lt;0,T514&gt;0),"Q2",IF(AND(S514&lt;0,T514&lt;0),"Q3",IF(AND(S514&gt;0,T514&lt;0),"Q4","")))))</f>
        <v>Q2</v>
      </c>
      <c r="K514" s="2" t="str">
        <f t="shared" ref="K514:K577" si="41">IF(J514=D514,"Match",IF(AND(J514=0,D514="Match"),"da and db 0",IF(D514=0,"Not Found","Not Match")))</f>
        <v>Not Match</v>
      </c>
      <c r="L514" s="2">
        <f t="shared" ref="L514:L577" si="42">SQRT(S514^2+T514^2)</f>
        <v>0.6403124237432849</v>
      </c>
      <c r="M514" s="2" t="e">
        <f t="shared" ref="M514:M577" si="43">IF(L514&lt;=F514,"Within Range","Over Range")</f>
        <v>#N/A</v>
      </c>
      <c r="N514" s="2" t="str">
        <f t="shared" ref="N514:N577" si="44">IF(D514=0,"Quadrant not assigned",IF(AND(K514="Match",W514&lt;=0.8),"Q OK dE&lt;=0.8",IF(AND(K514="Match",W514&gt;0.8),"Q OK dE&gt;0.8",IF(AND(K514="Not Match",W514&lt;=0.8),"Q NOT OK dE&lt;=0.8","Q NOT OK dE&gt;0.8"))))</f>
        <v>Q NOT OK dE&gt;0.8</v>
      </c>
      <c r="O514" s="7">
        <v>25.2</v>
      </c>
      <c r="P514" s="7">
        <v>-6</v>
      </c>
      <c r="Q514" s="7">
        <v>-6.5</v>
      </c>
      <c r="R514" s="7">
        <v>0.54</v>
      </c>
      <c r="S514" s="7">
        <v>-0.5</v>
      </c>
      <c r="T514" s="7">
        <v>0.4</v>
      </c>
      <c r="U514" s="7">
        <v>-0.02</v>
      </c>
      <c r="V514" s="7">
        <v>-0.78</v>
      </c>
      <c r="W514" s="7">
        <v>0.95</v>
      </c>
      <c r="X514" s="7" t="s">
        <v>13</v>
      </c>
      <c r="Y514" s="7" t="s">
        <v>12</v>
      </c>
      <c r="Z514" s="2" t="s">
        <v>718</v>
      </c>
      <c r="AA514" s="2" t="s">
        <v>721</v>
      </c>
    </row>
    <row r="515" spans="1:27" x14ac:dyDescent="0.35">
      <c r="A515" s="7" t="s">
        <v>1536</v>
      </c>
      <c r="B515" s="7" t="s">
        <v>1192</v>
      </c>
      <c r="C515" s="7" t="str">
        <f>_xlfn.XLOOKUP(B515,'[1]Sheet 1'!$A$2:$A$11107,'[1]Sheet 1'!$D$2:$D$11107,"",0)</f>
        <v>NIK</v>
      </c>
      <c r="D515" s="4" t="str">
        <f>_xlfn.XLOOKUP(A515,[3]Sheet2!$I$2:$I$1623,[3]Sheet2!$D$2:$D$1623,"",0)</f>
        <v>Q2</v>
      </c>
      <c r="E515" s="4" t="s">
        <v>1828</v>
      </c>
      <c r="F515" s="4" t="e">
        <f>_xlfn.XLOOKUP(B515,[2]Sheet2!$E$2:$E$713,[2]Sheet2!$G$2:$G$713)</f>
        <v>#N/A</v>
      </c>
      <c r="G515" s="18">
        <v>46116</v>
      </c>
      <c r="H515" s="14">
        <v>0.54831018518518515</v>
      </c>
      <c r="I515" s="7" t="s">
        <v>4</v>
      </c>
      <c r="J515" s="2" t="str">
        <f t="shared" si="40"/>
        <v>Q2</v>
      </c>
      <c r="K515" s="2" t="str">
        <f t="shared" si="41"/>
        <v>Match</v>
      </c>
      <c r="L515" s="2">
        <f t="shared" si="42"/>
        <v>0.1</v>
      </c>
      <c r="M515" s="2" t="e">
        <f t="shared" si="43"/>
        <v>#N/A</v>
      </c>
      <c r="N515" s="2" t="str">
        <f t="shared" si="44"/>
        <v>Q OK dE&lt;=0.8</v>
      </c>
      <c r="O515" s="7">
        <v>16.3</v>
      </c>
      <c r="P515" s="7">
        <v>-0.6</v>
      </c>
      <c r="Q515" s="7">
        <v>-1.9</v>
      </c>
      <c r="R515" s="7">
        <v>0.61</v>
      </c>
      <c r="S515" s="7">
        <v>0</v>
      </c>
      <c r="T515" s="7">
        <v>-0.1</v>
      </c>
      <c r="U515" s="7">
        <v>0.12</v>
      </c>
      <c r="V515" s="7">
        <v>0.06</v>
      </c>
      <c r="W515" s="7">
        <v>0.62</v>
      </c>
      <c r="X515" s="7" t="s">
        <v>8</v>
      </c>
      <c r="Y515" s="7" t="s">
        <v>9</v>
      </c>
      <c r="Z515" s="2" t="s">
        <v>718</v>
      </c>
      <c r="AA515" s="2" t="s">
        <v>721</v>
      </c>
    </row>
    <row r="516" spans="1:27" x14ac:dyDescent="0.35">
      <c r="A516" s="7" t="s">
        <v>1536</v>
      </c>
      <c r="B516" s="7" t="s">
        <v>1175</v>
      </c>
      <c r="C516" s="7" t="str">
        <f>_xlfn.XLOOKUP(B516,'[1]Sheet 1'!$A$2:$A$11107,'[1]Sheet 1'!$D$2:$D$11107,"",0)</f>
        <v>NIK</v>
      </c>
      <c r="D516" s="4" t="str">
        <f>_xlfn.XLOOKUP(A516,[3]Sheet2!$I$2:$I$1623,[3]Sheet2!$D$2:$D$1623,"",0)</f>
        <v>Q2</v>
      </c>
      <c r="E516" s="4" t="s">
        <v>1828</v>
      </c>
      <c r="F516" s="4" t="e">
        <f>_xlfn.XLOOKUP(B516,[2]Sheet2!$E$2:$E$713,[2]Sheet2!$G$2:$G$713)</f>
        <v>#N/A</v>
      </c>
      <c r="G516" s="18">
        <v>46116</v>
      </c>
      <c r="H516" s="14">
        <v>0.10141203703703704</v>
      </c>
      <c r="I516" s="7" t="s">
        <v>4</v>
      </c>
      <c r="J516" s="2" t="str">
        <f t="shared" si="40"/>
        <v>Q4</v>
      </c>
      <c r="K516" s="2" t="str">
        <f t="shared" si="41"/>
        <v>Not Match</v>
      </c>
      <c r="L516" s="2">
        <f t="shared" si="42"/>
        <v>0.14142135623730953</v>
      </c>
      <c r="M516" s="2" t="e">
        <f t="shared" si="43"/>
        <v>#N/A</v>
      </c>
      <c r="N516" s="2" t="str">
        <f t="shared" si="44"/>
        <v>Q NOT OK dE&lt;=0.8</v>
      </c>
      <c r="O516" s="7">
        <v>16.100000000000001</v>
      </c>
      <c r="P516" s="7">
        <v>-0.5</v>
      </c>
      <c r="Q516" s="7">
        <v>-1.9</v>
      </c>
      <c r="R516" s="7">
        <v>0.39</v>
      </c>
      <c r="S516" s="7">
        <v>0.1</v>
      </c>
      <c r="T516" s="7">
        <v>-0.1</v>
      </c>
      <c r="U516" s="7">
        <v>0.13</v>
      </c>
      <c r="V516" s="7">
        <v>0.18</v>
      </c>
      <c r="W516" s="7">
        <v>0.45</v>
      </c>
      <c r="X516" s="7" t="s">
        <v>8</v>
      </c>
      <c r="Y516" s="7" t="s">
        <v>9</v>
      </c>
      <c r="Z516" s="2" t="s">
        <v>718</v>
      </c>
      <c r="AA516" s="2" t="s">
        <v>721</v>
      </c>
    </row>
    <row r="517" spans="1:27" x14ac:dyDescent="0.35">
      <c r="A517" s="7" t="s">
        <v>1558</v>
      </c>
      <c r="B517" s="7" t="s">
        <v>1194</v>
      </c>
      <c r="C517" s="7" t="str">
        <f>_xlfn.XLOOKUP(B517,'[1]Sheet 1'!$A$2:$A$11107,'[1]Sheet 1'!$D$2:$D$11107,"",0)</f>
        <v>M&amp;S</v>
      </c>
      <c r="D517" s="4" t="str">
        <f>_xlfn.XLOOKUP(A517,[3]Sheet2!$I$2:$I$1623,[3]Sheet2!$D$2:$D$1623,"",0)</f>
        <v>Q3</v>
      </c>
      <c r="E517" s="4" t="s">
        <v>1827</v>
      </c>
      <c r="F517" s="4" t="e">
        <f>_xlfn.XLOOKUP(B517,[2]Sheet2!$E$2:$E$713,[2]Sheet2!$G$2:$G$713)</f>
        <v>#N/A</v>
      </c>
      <c r="G517" s="18">
        <v>46116</v>
      </c>
      <c r="H517" s="14">
        <v>0.63001157407407404</v>
      </c>
      <c r="I517" s="7" t="s">
        <v>17</v>
      </c>
      <c r="J517" s="2" t="str">
        <f t="shared" si="40"/>
        <v>Q3</v>
      </c>
      <c r="K517" s="2" t="str">
        <f t="shared" si="41"/>
        <v>Match</v>
      </c>
      <c r="L517" s="2">
        <f t="shared" si="42"/>
        <v>0.22360679774997899</v>
      </c>
      <c r="M517" s="2" t="e">
        <f t="shared" si="43"/>
        <v>#N/A</v>
      </c>
      <c r="N517" s="2" t="str">
        <f t="shared" si="44"/>
        <v>Q OK dE&gt;0.8</v>
      </c>
      <c r="O517" s="7">
        <v>14.1</v>
      </c>
      <c r="P517" s="7">
        <v>-0.7</v>
      </c>
      <c r="Q517" s="7">
        <v>-1.9</v>
      </c>
      <c r="R517" s="7">
        <v>-1.41</v>
      </c>
      <c r="S517" s="7">
        <v>-0.2</v>
      </c>
      <c r="T517" s="7">
        <v>-0.1</v>
      </c>
      <c r="U517" s="7">
        <v>0.31</v>
      </c>
      <c r="V517" s="7">
        <v>-0.25</v>
      </c>
      <c r="W517" s="7">
        <v>1.47</v>
      </c>
      <c r="X517" s="7" t="s">
        <v>6</v>
      </c>
      <c r="Y517" s="7" t="s">
        <v>15</v>
      </c>
      <c r="Z517" s="2" t="s">
        <v>718</v>
      </c>
      <c r="AA517" s="2" t="s">
        <v>721</v>
      </c>
    </row>
    <row r="518" spans="1:27" x14ac:dyDescent="0.35">
      <c r="A518" s="7" t="s">
        <v>1771</v>
      </c>
      <c r="B518" s="7" t="s">
        <v>1202</v>
      </c>
      <c r="C518" s="7" t="str">
        <f>_xlfn.XLOOKUP(B518,'[1]Sheet 1'!$A$2:$A$11107,'[1]Sheet 1'!$D$2:$D$11107,"",0)</f>
        <v>WACE</v>
      </c>
      <c r="D518" s="4" t="str">
        <f>_xlfn.XLOOKUP(A518,[3]Sheet2!$I$2:$I$1623,[3]Sheet2!$D$2:$D$1623,"",0)</f>
        <v>Q2</v>
      </c>
      <c r="E518" s="4" t="s">
        <v>1828</v>
      </c>
      <c r="F518" s="4" t="e">
        <f>_xlfn.XLOOKUP(B518,[2]Sheet2!$E$2:$E$713,[2]Sheet2!$G$2:$G$713)</f>
        <v>#N/A</v>
      </c>
      <c r="G518" s="18">
        <v>46118</v>
      </c>
      <c r="H518" s="14">
        <v>0.68381944444444442</v>
      </c>
      <c r="I518" s="7" t="s">
        <v>4</v>
      </c>
      <c r="J518" s="2" t="str">
        <f t="shared" si="40"/>
        <v>Q3</v>
      </c>
      <c r="K518" s="2" t="str">
        <f t="shared" si="41"/>
        <v>Not Match</v>
      </c>
      <c r="L518" s="2">
        <f t="shared" si="42"/>
        <v>0.82462112512353225</v>
      </c>
      <c r="M518" s="2" t="e">
        <f t="shared" si="43"/>
        <v>#N/A</v>
      </c>
      <c r="N518" s="2" t="str">
        <f t="shared" si="44"/>
        <v>Q NOT OK dE&gt;0.8</v>
      </c>
      <c r="O518" s="7">
        <v>21</v>
      </c>
      <c r="P518" s="7">
        <v>5.4</v>
      </c>
      <c r="Q518" s="7">
        <v>1.5</v>
      </c>
      <c r="R518" s="7">
        <v>-0.11</v>
      </c>
      <c r="S518" s="7">
        <v>-0.8</v>
      </c>
      <c r="T518" s="7">
        <v>-0.2</v>
      </c>
      <c r="U518" s="7">
        <v>-0.89</v>
      </c>
      <c r="V518" s="7">
        <v>-0.03</v>
      </c>
      <c r="W518" s="7">
        <v>0.9</v>
      </c>
      <c r="X518" s="7" t="s">
        <v>13</v>
      </c>
      <c r="Y518" s="7" t="s">
        <v>7</v>
      </c>
      <c r="Z518" s="2" t="s">
        <v>718</v>
      </c>
      <c r="AA518" s="2" t="s">
        <v>721</v>
      </c>
    </row>
    <row r="519" spans="1:27" x14ac:dyDescent="0.35">
      <c r="A519" s="7" t="s">
        <v>1762</v>
      </c>
      <c r="B519" s="7" t="s">
        <v>1210</v>
      </c>
      <c r="C519" s="7" t="str">
        <f>_xlfn.XLOOKUP(B519,'[1]Sheet 1'!$A$2:$A$11107,'[1]Sheet 1'!$D$2:$D$11107,"",0)</f>
        <v>CHICOS</v>
      </c>
      <c r="D519" s="4" t="str">
        <f>_xlfn.XLOOKUP(A519,[3]Sheet2!$I$2:$I$1623,[3]Sheet2!$D$2:$D$1623,"",0)</f>
        <v>Q3</v>
      </c>
      <c r="E519" s="4" t="s">
        <v>1828</v>
      </c>
      <c r="F519" s="4" t="e">
        <f>_xlfn.XLOOKUP(B519,[2]Sheet2!$E$2:$E$713,[2]Sheet2!$G$2:$G$713)</f>
        <v>#N/A</v>
      </c>
      <c r="G519" s="18">
        <v>46118</v>
      </c>
      <c r="H519" s="14">
        <v>0.77254629629629634</v>
      </c>
      <c r="I519" s="7" t="s">
        <v>4</v>
      </c>
      <c r="J519" s="2" t="str">
        <f t="shared" si="40"/>
        <v>Q3</v>
      </c>
      <c r="K519" s="2" t="str">
        <f t="shared" si="41"/>
        <v>Match</v>
      </c>
      <c r="L519" s="2">
        <f t="shared" si="42"/>
        <v>0.3</v>
      </c>
      <c r="M519" s="2" t="e">
        <f t="shared" si="43"/>
        <v>#N/A</v>
      </c>
      <c r="N519" s="2" t="str">
        <f t="shared" si="44"/>
        <v>Q OK dE&lt;=0.8</v>
      </c>
      <c r="O519" s="7">
        <v>16.7</v>
      </c>
      <c r="P519" s="7">
        <v>-0.9</v>
      </c>
      <c r="Q519" s="7">
        <v>-2.2999999999999998</v>
      </c>
      <c r="R519" s="7">
        <v>-0.12</v>
      </c>
      <c r="S519" s="7">
        <v>0</v>
      </c>
      <c r="T519" s="7">
        <v>-0.3</v>
      </c>
      <c r="U519" s="7">
        <v>0.46</v>
      </c>
      <c r="V519" s="7">
        <v>0.11</v>
      </c>
      <c r="W519" s="7">
        <v>0.49</v>
      </c>
      <c r="X519" s="7" t="s">
        <v>8</v>
      </c>
      <c r="Y519" s="7" t="s">
        <v>9</v>
      </c>
      <c r="Z519" s="2" t="s">
        <v>718</v>
      </c>
      <c r="AA519" s="2" t="s">
        <v>721</v>
      </c>
    </row>
    <row r="520" spans="1:27" x14ac:dyDescent="0.35">
      <c r="A520" s="7" t="s">
        <v>1709</v>
      </c>
      <c r="B520" s="7" t="s">
        <v>1204</v>
      </c>
      <c r="C520" s="7" t="str">
        <f>_xlfn.XLOOKUP(B520,'[1]Sheet 1'!$A$2:$A$11107,'[1]Sheet 1'!$D$2:$D$11107,"",0)</f>
        <v>GAP</v>
      </c>
      <c r="D520" s="4" t="str">
        <f>_xlfn.XLOOKUP(A520,[3]Sheet2!$I$2:$I$1623,[3]Sheet2!$D$2:$D$1623,"",0)</f>
        <v>Q2</v>
      </c>
      <c r="E520" s="4" t="s">
        <v>1827</v>
      </c>
      <c r="F520" s="4" t="e">
        <f>_xlfn.XLOOKUP(B520,[2]Sheet2!$E$2:$E$713,[2]Sheet2!$G$2:$G$713)</f>
        <v>#N/A</v>
      </c>
      <c r="G520" s="18">
        <v>46118</v>
      </c>
      <c r="H520" s="14">
        <v>0.69092592592592594</v>
      </c>
      <c r="I520" s="7" t="s">
        <v>4</v>
      </c>
      <c r="J520" s="2" t="str">
        <f t="shared" si="40"/>
        <v>Q2</v>
      </c>
      <c r="K520" s="2" t="str">
        <f t="shared" si="41"/>
        <v>Match</v>
      </c>
      <c r="L520" s="2">
        <f t="shared" si="42"/>
        <v>0.3</v>
      </c>
      <c r="M520" s="2" t="e">
        <f t="shared" si="43"/>
        <v>#N/A</v>
      </c>
      <c r="N520" s="2" t="str">
        <f t="shared" si="44"/>
        <v>Q OK dE&gt;0.8</v>
      </c>
      <c r="O520" s="7">
        <v>13</v>
      </c>
      <c r="P520" s="7">
        <v>-0.3</v>
      </c>
      <c r="Q520" s="7">
        <v>-2</v>
      </c>
      <c r="R520" s="7">
        <v>-0.69</v>
      </c>
      <c r="S520" s="7">
        <v>-0.3</v>
      </c>
      <c r="T520" s="20">
        <v>0</v>
      </c>
      <c r="U520" s="7">
        <v>-7.0000000000000007E-2</v>
      </c>
      <c r="V520" s="7">
        <v>-0.54</v>
      </c>
      <c r="W520" s="7">
        <v>0.88</v>
      </c>
      <c r="X520" s="7" t="s">
        <v>13</v>
      </c>
      <c r="Y520" s="7" t="s">
        <v>15</v>
      </c>
      <c r="Z520" s="2" t="s">
        <v>718</v>
      </c>
      <c r="AA520" s="2" t="s">
        <v>721</v>
      </c>
    </row>
    <row r="521" spans="1:27" x14ac:dyDescent="0.35">
      <c r="A521" s="7" t="s">
        <v>1772</v>
      </c>
      <c r="B521" s="7" t="s">
        <v>1046</v>
      </c>
      <c r="C521" s="7" t="str">
        <f>_xlfn.XLOOKUP(B521,'[1]Sheet 1'!$A$2:$A$11107,'[1]Sheet 1'!$D$2:$D$11107,"",0)</f>
        <v>PINK</v>
      </c>
      <c r="D521" s="4" t="str">
        <f>_xlfn.XLOOKUP(A521,[3]Sheet2!$I$2:$I$1623,[3]Sheet2!$D$2:$D$1623,"",0)</f>
        <v>Q3</v>
      </c>
      <c r="E521" s="4" t="s">
        <v>1828</v>
      </c>
      <c r="F521" s="4" t="e">
        <f>_xlfn.XLOOKUP(B521,[2]Sheet2!$E$2:$E$713,[2]Sheet2!$G$2:$G$713)</f>
        <v>#N/A</v>
      </c>
      <c r="G521" s="18">
        <v>46118</v>
      </c>
      <c r="H521" s="14">
        <v>0.97070601851851857</v>
      </c>
      <c r="I521" s="7" t="s">
        <v>10</v>
      </c>
      <c r="J521" s="2" t="str">
        <f t="shared" si="40"/>
        <v>Q3</v>
      </c>
      <c r="K521" s="2" t="str">
        <f t="shared" si="41"/>
        <v>Match</v>
      </c>
      <c r="L521" s="2">
        <f t="shared" si="42"/>
        <v>0.2</v>
      </c>
      <c r="M521" s="2" t="e">
        <f t="shared" si="43"/>
        <v>#N/A</v>
      </c>
      <c r="N521" s="2" t="str">
        <f t="shared" si="44"/>
        <v>Q OK dE&lt;=0.8</v>
      </c>
      <c r="O521" s="7">
        <v>17</v>
      </c>
      <c r="P521" s="7">
        <v>-2.4</v>
      </c>
      <c r="Q521" s="7">
        <v>-12.9</v>
      </c>
      <c r="R521" s="7">
        <v>-0.59</v>
      </c>
      <c r="S521" s="7">
        <v>0</v>
      </c>
      <c r="T521" s="7">
        <v>0.2</v>
      </c>
      <c r="U521" s="7">
        <v>-0.16</v>
      </c>
      <c r="V521" s="7">
        <v>-0.11</v>
      </c>
      <c r="W521" s="7">
        <v>0.62</v>
      </c>
      <c r="X521" s="7" t="s">
        <v>8</v>
      </c>
      <c r="Y521" s="7" t="s">
        <v>15</v>
      </c>
      <c r="Z521" s="2" t="s">
        <v>718</v>
      </c>
      <c r="AA521" s="2" t="s">
        <v>721</v>
      </c>
    </row>
    <row r="522" spans="1:27" x14ac:dyDescent="0.35">
      <c r="A522" s="7" t="s">
        <v>1750</v>
      </c>
      <c r="B522" s="7" t="s">
        <v>1212</v>
      </c>
      <c r="C522" s="7" t="str">
        <f>_xlfn.XLOOKUP(B522,'[1]Sheet 1'!$A$2:$A$11107,'[1]Sheet 1'!$D$2:$D$11107,"",0)</f>
        <v>WACE</v>
      </c>
      <c r="D522" s="4" t="str">
        <f>_xlfn.XLOOKUP(A522,[3]Sheet2!$I$2:$I$1623,[3]Sheet2!$D$2:$D$1623,"",0)</f>
        <v>Q4</v>
      </c>
      <c r="E522" s="4" t="s">
        <v>1828</v>
      </c>
      <c r="F522" s="4" t="e">
        <f>_xlfn.XLOOKUP(B522,[2]Sheet2!$E$2:$E$713,[2]Sheet2!$G$2:$G$713)</f>
        <v>#N/A</v>
      </c>
      <c r="G522" s="18">
        <v>46118</v>
      </c>
      <c r="H522" s="14">
        <v>0.96686342592592589</v>
      </c>
      <c r="I522" s="7" t="s">
        <v>4</v>
      </c>
      <c r="J522" s="2" t="str">
        <f t="shared" si="40"/>
        <v>Q1</v>
      </c>
      <c r="K522" s="2" t="str">
        <f t="shared" si="41"/>
        <v>Not Match</v>
      </c>
      <c r="L522" s="2">
        <f t="shared" si="42"/>
        <v>1.6278820596099708</v>
      </c>
      <c r="M522" s="2" t="e">
        <f t="shared" si="43"/>
        <v>#N/A</v>
      </c>
      <c r="N522" s="2" t="str">
        <f t="shared" si="44"/>
        <v>Q NOT OK dE&gt;0.8</v>
      </c>
      <c r="O522" s="7">
        <v>29.1</v>
      </c>
      <c r="P522" s="7">
        <v>32.4</v>
      </c>
      <c r="Q522" s="7">
        <v>8.1999999999999993</v>
      </c>
      <c r="R522" s="7">
        <v>0.38</v>
      </c>
      <c r="S522" s="7">
        <v>1.1000000000000001</v>
      </c>
      <c r="T522" s="7">
        <v>1.2</v>
      </c>
      <c r="U522" s="7">
        <v>0.69</v>
      </c>
      <c r="V522" s="7">
        <v>0.72</v>
      </c>
      <c r="W522" s="7">
        <v>1.06</v>
      </c>
      <c r="X522" s="7" t="s">
        <v>6</v>
      </c>
      <c r="Y522" s="7" t="s">
        <v>12</v>
      </c>
      <c r="Z522" s="2" t="s">
        <v>718</v>
      </c>
      <c r="AA522" s="2" t="s">
        <v>721</v>
      </c>
    </row>
    <row r="523" spans="1:27" x14ac:dyDescent="0.35">
      <c r="A523" s="7" t="s">
        <v>1559</v>
      </c>
      <c r="B523" s="7" t="s">
        <v>1207</v>
      </c>
      <c r="C523" s="7" t="str">
        <f>_xlfn.XLOOKUP(B523,'[1]Sheet 1'!$A$2:$A$11107,'[1]Sheet 1'!$D$2:$D$11107,"",0)</f>
        <v>VSS</v>
      </c>
      <c r="D523" s="4" t="str">
        <f>_xlfn.XLOOKUP(A523,[3]Sheet2!$I$2:$I$1623,[3]Sheet2!$D$2:$D$1623,"",0)</f>
        <v>Q3</v>
      </c>
      <c r="E523" s="4" t="s">
        <v>1828</v>
      </c>
      <c r="F523" s="4" t="e">
        <f>_xlfn.XLOOKUP(B523,[2]Sheet2!$E$2:$E$713,[2]Sheet2!$G$2:$G$713)</f>
        <v>#N/A</v>
      </c>
      <c r="G523" s="18">
        <v>46118</v>
      </c>
      <c r="H523" s="14">
        <v>0.76344907407407403</v>
      </c>
      <c r="I523" s="7" t="s">
        <v>10</v>
      </c>
      <c r="J523" s="2" t="str">
        <f t="shared" si="40"/>
        <v>Q3</v>
      </c>
      <c r="K523" s="2" t="str">
        <f t="shared" si="41"/>
        <v>Match</v>
      </c>
      <c r="L523" s="2">
        <f t="shared" si="42"/>
        <v>0.1</v>
      </c>
      <c r="M523" s="2" t="e">
        <f t="shared" si="43"/>
        <v>#N/A</v>
      </c>
      <c r="N523" s="2" t="str">
        <f t="shared" si="44"/>
        <v>Q OK dE&lt;=0.8</v>
      </c>
      <c r="O523" s="7">
        <v>17.399999999999999</v>
      </c>
      <c r="P523" s="7">
        <v>0</v>
      </c>
      <c r="Q523" s="7">
        <v>-2.4</v>
      </c>
      <c r="R523" s="7">
        <v>-0.54</v>
      </c>
      <c r="S523" s="7">
        <v>0</v>
      </c>
      <c r="T523" s="7">
        <v>-0.1</v>
      </c>
      <c r="U523" s="7">
        <v>0.19</v>
      </c>
      <c r="V523" s="7">
        <v>0.06</v>
      </c>
      <c r="W523" s="7">
        <v>0.56999999999999995</v>
      </c>
      <c r="X523" s="7" t="s">
        <v>8</v>
      </c>
      <c r="Y523" s="7" t="s">
        <v>9</v>
      </c>
      <c r="Z523" s="2" t="s">
        <v>718</v>
      </c>
      <c r="AA523" s="2" t="s">
        <v>721</v>
      </c>
    </row>
    <row r="524" spans="1:27" x14ac:dyDescent="0.35">
      <c r="A524" s="7" t="s">
        <v>1673</v>
      </c>
      <c r="B524" s="7" t="s">
        <v>1203</v>
      </c>
      <c r="C524" s="7" t="str">
        <f>_xlfn.XLOOKUP(B524,'[1]Sheet 1'!$A$2:$A$11107,'[1]Sheet 1'!$D$2:$D$11107,"",0)</f>
        <v>CK</v>
      </c>
      <c r="D524" s="4" t="str">
        <f>_xlfn.XLOOKUP(A524,[3]Sheet2!$I$2:$I$1623,[3]Sheet2!$D$2:$D$1623,"",0)</f>
        <v>Q1</v>
      </c>
      <c r="E524" s="4" t="s">
        <v>1828</v>
      </c>
      <c r="F524" s="4">
        <f>_xlfn.XLOOKUP(B524,[2]Sheet2!$E$2:$E$713,[2]Sheet2!$G$2:$G$713)</f>
        <v>0.8</v>
      </c>
      <c r="G524" s="18">
        <v>46118</v>
      </c>
      <c r="H524" s="14">
        <v>0.68817129629629625</v>
      </c>
      <c r="I524" s="7" t="s">
        <v>11</v>
      </c>
      <c r="J524" s="2" t="str">
        <f t="shared" si="40"/>
        <v>Q3</v>
      </c>
      <c r="K524" s="2" t="str">
        <f t="shared" si="41"/>
        <v>Not Match</v>
      </c>
      <c r="L524" s="2">
        <f t="shared" si="42"/>
        <v>0.14142135623730953</v>
      </c>
      <c r="M524" s="2" t="str">
        <f t="shared" si="43"/>
        <v>Within Range</v>
      </c>
      <c r="N524" s="2" t="str">
        <f t="shared" si="44"/>
        <v>Q NOT OK dE&lt;=0.8</v>
      </c>
      <c r="O524" s="7">
        <v>14.5</v>
      </c>
      <c r="P524" s="7">
        <v>-0.9</v>
      </c>
      <c r="Q524" s="7">
        <v>-2.6</v>
      </c>
      <c r="R524" s="7">
        <v>-0.4</v>
      </c>
      <c r="S524" s="7">
        <v>-0.1</v>
      </c>
      <c r="T524" s="7">
        <v>-0.1</v>
      </c>
      <c r="U524" s="7">
        <v>0.23</v>
      </c>
      <c r="V524" s="7">
        <v>-0.17</v>
      </c>
      <c r="W524" s="7">
        <v>0.5</v>
      </c>
      <c r="X524" s="7" t="s">
        <v>8</v>
      </c>
      <c r="Y524" s="7" t="s">
        <v>15</v>
      </c>
      <c r="Z524" s="2" t="s">
        <v>718</v>
      </c>
      <c r="AA524" s="2" t="s">
        <v>721</v>
      </c>
    </row>
    <row r="525" spans="1:27" x14ac:dyDescent="0.35">
      <c r="A525" s="7" t="s">
        <v>1681</v>
      </c>
      <c r="B525" s="7" t="s">
        <v>1211</v>
      </c>
      <c r="C525" s="7" t="str">
        <f>_xlfn.XLOOKUP(B525,'[1]Sheet 1'!$A$2:$A$11107,'[1]Sheet 1'!$D$2:$D$11107,"",0)</f>
        <v>CK</v>
      </c>
      <c r="D525" s="4" t="str">
        <f>_xlfn.XLOOKUP(A525,[3]Sheet2!$I$2:$I$1623,[3]Sheet2!$D$2:$D$1623,"",0)</f>
        <v>Q4</v>
      </c>
      <c r="E525" s="4" t="s">
        <v>1827</v>
      </c>
      <c r="F525" s="4" t="e">
        <f>_xlfn.XLOOKUP(B525,[2]Sheet2!$E$2:$E$713,[2]Sheet2!$G$2:$G$713)</f>
        <v>#N/A</v>
      </c>
      <c r="G525" s="18">
        <v>46118</v>
      </c>
      <c r="H525" s="14">
        <v>0.7761689814814815</v>
      </c>
      <c r="I525" s="7" t="s">
        <v>11</v>
      </c>
      <c r="J525" s="2" t="str">
        <f t="shared" si="40"/>
        <v>Q2</v>
      </c>
      <c r="K525" s="2" t="str">
        <f t="shared" si="41"/>
        <v>Not Match</v>
      </c>
      <c r="L525" s="2">
        <f t="shared" si="42"/>
        <v>0.60827625302982191</v>
      </c>
      <c r="M525" s="2" t="e">
        <f t="shared" si="43"/>
        <v>#N/A</v>
      </c>
      <c r="N525" s="2" t="str">
        <f t="shared" si="44"/>
        <v>Q NOT OK dE&lt;=0.8</v>
      </c>
      <c r="O525" s="7">
        <v>19.8</v>
      </c>
      <c r="P525" s="7">
        <v>-0.7</v>
      </c>
      <c r="Q525" s="7">
        <v>-8</v>
      </c>
      <c r="R525" s="7">
        <v>0.37</v>
      </c>
      <c r="S525" s="7">
        <v>-0.1</v>
      </c>
      <c r="T525" s="7">
        <v>0.6</v>
      </c>
      <c r="U525" s="7">
        <v>-0.54</v>
      </c>
      <c r="V525" s="7">
        <v>-0.23</v>
      </c>
      <c r="W525" s="7">
        <v>0.69</v>
      </c>
      <c r="X525" s="7" t="s">
        <v>8</v>
      </c>
      <c r="Y525" s="7" t="s">
        <v>15</v>
      </c>
      <c r="Z525" s="2" t="s">
        <v>718</v>
      </c>
      <c r="AA525" s="2" t="s">
        <v>721</v>
      </c>
    </row>
    <row r="526" spans="1:27" x14ac:dyDescent="0.35">
      <c r="A526" s="7" t="s">
        <v>1539</v>
      </c>
      <c r="B526" s="7" t="s">
        <v>1209</v>
      </c>
      <c r="C526" s="7" t="str">
        <f>_xlfn.XLOOKUP(B526,'[1]Sheet 1'!$A$2:$A$11107,'[1]Sheet 1'!$D$2:$D$11107,"",0)</f>
        <v>M&amp;S</v>
      </c>
      <c r="D526" s="4" t="str">
        <f>_xlfn.XLOOKUP(A526,[3]Sheet2!$I$2:$I$1623,[3]Sheet2!$D$2:$D$1623,"",0)</f>
        <v>Q4</v>
      </c>
      <c r="E526" s="4" t="s">
        <v>1828</v>
      </c>
      <c r="F526" s="4" t="e">
        <f>_xlfn.XLOOKUP(B526,[2]Sheet2!$E$2:$E$713,[2]Sheet2!$G$2:$G$713)</f>
        <v>#N/A</v>
      </c>
      <c r="G526" s="18">
        <v>46118</v>
      </c>
      <c r="H526" s="14">
        <v>0.7676736111111111</v>
      </c>
      <c r="I526" s="7" t="s">
        <v>17</v>
      </c>
      <c r="J526" s="2" t="str">
        <f t="shared" si="40"/>
        <v>Q4</v>
      </c>
      <c r="K526" s="2" t="str">
        <f t="shared" si="41"/>
        <v>Match</v>
      </c>
      <c r="L526" s="2">
        <f t="shared" si="42"/>
        <v>0.6</v>
      </c>
      <c r="M526" s="2" t="e">
        <f t="shared" si="43"/>
        <v>#N/A</v>
      </c>
      <c r="N526" s="2" t="str">
        <f t="shared" si="44"/>
        <v>Q OK dE&gt;0.8</v>
      </c>
      <c r="O526" s="7">
        <v>33</v>
      </c>
      <c r="P526" s="7">
        <v>-1.1000000000000001</v>
      </c>
      <c r="Q526" s="7">
        <v>3.6</v>
      </c>
      <c r="R526" s="7">
        <v>-0.6</v>
      </c>
      <c r="S526" s="7">
        <v>0</v>
      </c>
      <c r="T526" s="7">
        <v>0.6</v>
      </c>
      <c r="U526" s="7">
        <v>0.71</v>
      </c>
      <c r="V526" s="7">
        <v>-0.24</v>
      </c>
      <c r="W526" s="7">
        <v>0.96</v>
      </c>
      <c r="X526" s="7" t="s">
        <v>13</v>
      </c>
      <c r="Y526" s="7" t="s">
        <v>12</v>
      </c>
      <c r="Z526" s="2" t="s">
        <v>718</v>
      </c>
      <c r="AA526" s="2" t="s">
        <v>721</v>
      </c>
    </row>
    <row r="527" spans="1:27" x14ac:dyDescent="0.35">
      <c r="A527" s="7" t="s">
        <v>1625</v>
      </c>
      <c r="B527" s="7" t="s">
        <v>1205</v>
      </c>
      <c r="C527" s="7" t="str">
        <f>_xlfn.XLOOKUP(B527,'[1]Sheet 1'!$A$2:$A$11107,'[1]Sheet 1'!$D$2:$D$11107,"",0)</f>
        <v>CK</v>
      </c>
      <c r="D527" s="4" t="str">
        <f>_xlfn.XLOOKUP(A527,[3]Sheet2!$I$2:$I$1623,[3]Sheet2!$D$2:$D$1623,"",0)</f>
        <v>Q1</v>
      </c>
      <c r="E527" s="4" t="s">
        <v>1828</v>
      </c>
      <c r="F527" s="4" t="e">
        <f>_xlfn.XLOOKUP(B527,[2]Sheet2!$E$2:$E$713,[2]Sheet2!$G$2:$G$713)</f>
        <v>#N/A</v>
      </c>
      <c r="G527" s="18">
        <v>46118</v>
      </c>
      <c r="H527" s="14">
        <v>0.69417824074074075</v>
      </c>
      <c r="I527" s="7" t="s">
        <v>11</v>
      </c>
      <c r="J527" s="2" t="str">
        <f t="shared" si="40"/>
        <v>Q1</v>
      </c>
      <c r="K527" s="2" t="str">
        <f t="shared" si="41"/>
        <v>Match</v>
      </c>
      <c r="L527" s="2">
        <f t="shared" si="42"/>
        <v>0.1</v>
      </c>
      <c r="M527" s="2" t="e">
        <f t="shared" si="43"/>
        <v>#N/A</v>
      </c>
      <c r="N527" s="2" t="str">
        <f t="shared" si="44"/>
        <v>Q OK dE&lt;=0.8</v>
      </c>
      <c r="O527" s="7">
        <v>21</v>
      </c>
      <c r="P527" s="7">
        <v>-0.3</v>
      </c>
      <c r="Q527" s="7">
        <v>-4.2</v>
      </c>
      <c r="R527" s="7">
        <v>0.75</v>
      </c>
      <c r="S527" s="7">
        <v>0</v>
      </c>
      <c r="T527" s="7">
        <v>-0.1</v>
      </c>
      <c r="U527" s="7">
        <v>0.17</v>
      </c>
      <c r="V527" s="7">
        <v>0.09</v>
      </c>
      <c r="W527" s="7">
        <v>0.77</v>
      </c>
      <c r="X527" s="7" t="s">
        <v>13</v>
      </c>
      <c r="Y527" s="7" t="s">
        <v>9</v>
      </c>
      <c r="Z527" s="2" t="s">
        <v>718</v>
      </c>
      <c r="AA527" s="2" t="s">
        <v>721</v>
      </c>
    </row>
    <row r="528" spans="1:27" x14ac:dyDescent="0.35">
      <c r="A528" s="7" t="s">
        <v>1539</v>
      </c>
      <c r="B528" s="7" t="s">
        <v>1206</v>
      </c>
      <c r="C528" s="7" t="str">
        <f>_xlfn.XLOOKUP(B528,'[1]Sheet 1'!$A$2:$A$11107,'[1]Sheet 1'!$D$2:$D$11107,"",0)</f>
        <v>M&amp;S</v>
      </c>
      <c r="D528" s="4" t="str">
        <f>_xlfn.XLOOKUP(A528,[3]Sheet2!$I$2:$I$1623,[3]Sheet2!$D$2:$D$1623,"",0)</f>
        <v>Q4</v>
      </c>
      <c r="E528" s="4" t="s">
        <v>1828</v>
      </c>
      <c r="F528" s="4" t="e">
        <f>_xlfn.XLOOKUP(B528,[2]Sheet2!$E$2:$E$713,[2]Sheet2!$G$2:$G$713)</f>
        <v>#N/A</v>
      </c>
      <c r="G528" s="18">
        <v>46118</v>
      </c>
      <c r="H528" s="14">
        <v>0.75722222222222224</v>
      </c>
      <c r="I528" s="7" t="s">
        <v>17</v>
      </c>
      <c r="J528" s="2" t="str">
        <f t="shared" si="40"/>
        <v>Q4</v>
      </c>
      <c r="K528" s="2" t="str">
        <f t="shared" si="41"/>
        <v>Match</v>
      </c>
      <c r="L528" s="2">
        <f t="shared" si="42"/>
        <v>0</v>
      </c>
      <c r="M528" s="2" t="e">
        <f t="shared" si="43"/>
        <v>#N/A</v>
      </c>
      <c r="N528" s="2" t="str">
        <f t="shared" si="44"/>
        <v>Q OK dE&lt;=0.8</v>
      </c>
      <c r="O528" s="7">
        <v>33.299999999999997</v>
      </c>
      <c r="P528" s="7">
        <v>-1</v>
      </c>
      <c r="Q528" s="7">
        <v>3</v>
      </c>
      <c r="R528" s="7">
        <v>-0.38</v>
      </c>
      <c r="S528" s="7">
        <v>0</v>
      </c>
      <c r="T528" s="20">
        <v>0</v>
      </c>
      <c r="U528" s="7">
        <v>-0.02</v>
      </c>
      <c r="V528" s="7">
        <v>-0.06</v>
      </c>
      <c r="W528" s="7">
        <v>0.39</v>
      </c>
      <c r="X528" s="7" t="s">
        <v>8</v>
      </c>
      <c r="Y528" s="7" t="s">
        <v>12</v>
      </c>
      <c r="Z528" s="2" t="s">
        <v>718</v>
      </c>
      <c r="AA528" s="2" t="s">
        <v>721</v>
      </c>
    </row>
    <row r="529" spans="1:27" x14ac:dyDescent="0.35">
      <c r="A529" s="7" t="s">
        <v>1536</v>
      </c>
      <c r="B529" s="7" t="s">
        <v>1208</v>
      </c>
      <c r="C529" s="7" t="str">
        <f>_xlfn.XLOOKUP(B529,'[1]Sheet 1'!$A$2:$A$11107,'[1]Sheet 1'!$D$2:$D$11107,"",0)</f>
        <v>NIK</v>
      </c>
      <c r="D529" s="4" t="str">
        <f>_xlfn.XLOOKUP(A529,[3]Sheet2!$I$2:$I$1623,[3]Sheet2!$D$2:$D$1623,"",0)</f>
        <v>Q2</v>
      </c>
      <c r="E529" s="4" t="s">
        <v>1828</v>
      </c>
      <c r="F529" s="4" t="e">
        <f>_xlfn.XLOOKUP(B529,[2]Sheet2!$E$2:$E$713,[2]Sheet2!$G$2:$G$713)</f>
        <v>#N/A</v>
      </c>
      <c r="G529" s="18">
        <v>46118</v>
      </c>
      <c r="H529" s="14">
        <v>0.76565972222222223</v>
      </c>
      <c r="I529" s="7" t="s">
        <v>4</v>
      </c>
      <c r="J529" s="2" t="str">
        <f t="shared" si="40"/>
        <v>Q2</v>
      </c>
      <c r="K529" s="2" t="str">
        <f t="shared" si="41"/>
        <v>Match</v>
      </c>
      <c r="L529" s="2">
        <f t="shared" si="42"/>
        <v>0.1</v>
      </c>
      <c r="M529" s="2" t="e">
        <f t="shared" si="43"/>
        <v>#N/A</v>
      </c>
      <c r="N529" s="2" t="str">
        <f t="shared" si="44"/>
        <v>Q OK dE&lt;=0.8</v>
      </c>
      <c r="O529" s="7">
        <v>15.7</v>
      </c>
      <c r="P529" s="7">
        <v>-0.5</v>
      </c>
      <c r="Q529" s="7">
        <v>-1.7</v>
      </c>
      <c r="R529" s="7">
        <v>-0.01</v>
      </c>
      <c r="S529" s="7">
        <v>0.1</v>
      </c>
      <c r="T529" s="20">
        <v>0</v>
      </c>
      <c r="U529" s="7">
        <v>-7.0000000000000007E-2</v>
      </c>
      <c r="V529" s="7">
        <v>0.13</v>
      </c>
      <c r="W529" s="7">
        <v>0.15</v>
      </c>
      <c r="X529" s="7" t="s">
        <v>8</v>
      </c>
      <c r="Y529" s="7" t="s">
        <v>9</v>
      </c>
      <c r="Z529" s="2" t="s">
        <v>718</v>
      </c>
      <c r="AA529" s="2" t="s">
        <v>721</v>
      </c>
    </row>
    <row r="530" spans="1:27" x14ac:dyDescent="0.35">
      <c r="A530" s="7" t="s">
        <v>1500</v>
      </c>
      <c r="B530" s="7" t="s">
        <v>1164</v>
      </c>
      <c r="C530" s="7" t="str">
        <f>_xlfn.XLOOKUP(B530,'[1]Sheet 1'!$A$2:$A$11107,'[1]Sheet 1'!$D$2:$D$11107,"",0)</f>
        <v>LULU</v>
      </c>
      <c r="D530" s="4" t="str">
        <f>_xlfn.XLOOKUP(A530,[3]Sheet2!$I$2:$I$1623,[3]Sheet2!$D$2:$D$1623,"",0)</f>
        <v>Q2</v>
      </c>
      <c r="E530" s="4" t="s">
        <v>1828</v>
      </c>
      <c r="F530" s="4" t="e">
        <f>_xlfn.XLOOKUP(B530,[2]Sheet2!$E$2:$E$713,[2]Sheet2!$G$2:$G$713)</f>
        <v>#N/A</v>
      </c>
      <c r="G530" s="18">
        <v>46119</v>
      </c>
      <c r="H530" s="14">
        <v>0.26250000000000001</v>
      </c>
      <c r="I530" s="7" t="s">
        <v>4</v>
      </c>
      <c r="J530" s="2" t="str">
        <f t="shared" si="40"/>
        <v>Q4</v>
      </c>
      <c r="K530" s="2" t="str">
        <f t="shared" si="41"/>
        <v>Not Match</v>
      </c>
      <c r="L530" s="2">
        <f t="shared" si="42"/>
        <v>0.22360679774997899</v>
      </c>
      <c r="M530" s="2" t="e">
        <f t="shared" si="43"/>
        <v>#N/A</v>
      </c>
      <c r="N530" s="2" t="str">
        <f t="shared" si="44"/>
        <v>Q NOT OK dE&lt;=0.8</v>
      </c>
      <c r="O530" s="7">
        <v>17.2</v>
      </c>
      <c r="P530" s="7">
        <v>-0.8</v>
      </c>
      <c r="Q530" s="7">
        <v>-1.2</v>
      </c>
      <c r="R530" s="7">
        <v>-0.69</v>
      </c>
      <c r="S530" s="7">
        <v>0.1</v>
      </c>
      <c r="T530" s="7">
        <v>-0.2</v>
      </c>
      <c r="U530" s="7">
        <v>0.14000000000000001</v>
      </c>
      <c r="V530" s="7">
        <v>0.37</v>
      </c>
      <c r="W530" s="7">
        <v>0.8</v>
      </c>
      <c r="X530" s="7" t="s">
        <v>13</v>
      </c>
      <c r="Y530" s="7" t="s">
        <v>7</v>
      </c>
      <c r="Z530" s="2" t="s">
        <v>718</v>
      </c>
      <c r="AA530" s="2" t="s">
        <v>721</v>
      </c>
    </row>
    <row r="531" spans="1:27" x14ac:dyDescent="0.35">
      <c r="A531" s="7" t="s">
        <v>1723</v>
      </c>
      <c r="B531" s="7" t="s">
        <v>1217</v>
      </c>
      <c r="C531" s="7" t="str">
        <f>_xlfn.XLOOKUP(B531,'[1]Sheet 1'!$A$2:$A$11107,'[1]Sheet 1'!$D$2:$D$11107,"",0)</f>
        <v>GAP</v>
      </c>
      <c r="D531" s="4" t="str">
        <f>_xlfn.XLOOKUP(A531,[3]Sheet2!$I$2:$I$1623,[3]Sheet2!$D$2:$D$1623,"",0)</f>
        <v>Q2</v>
      </c>
      <c r="E531" s="4" t="s">
        <v>1828</v>
      </c>
      <c r="F531" s="4" t="e">
        <f>_xlfn.XLOOKUP(B531,[2]Sheet2!$E$2:$E$713,[2]Sheet2!$G$2:$G$713)</f>
        <v>#N/A</v>
      </c>
      <c r="G531" s="18">
        <v>46119</v>
      </c>
      <c r="H531" s="14">
        <v>0.15630787037037036</v>
      </c>
      <c r="I531" s="7" t="s">
        <v>14</v>
      </c>
      <c r="J531" s="2" t="str">
        <f t="shared" si="40"/>
        <v>Q3</v>
      </c>
      <c r="K531" s="2" t="str">
        <f t="shared" si="41"/>
        <v>Not Match</v>
      </c>
      <c r="L531" s="2">
        <f t="shared" si="42"/>
        <v>0.22360679774997899</v>
      </c>
      <c r="M531" s="2" t="e">
        <f t="shared" si="43"/>
        <v>#N/A</v>
      </c>
      <c r="N531" s="2" t="str">
        <f t="shared" si="44"/>
        <v>Q NOT OK dE&gt;0.8</v>
      </c>
      <c r="O531" s="7">
        <v>13</v>
      </c>
      <c r="P531" s="7">
        <v>-0.5</v>
      </c>
      <c r="Q531" s="7">
        <v>-2.4</v>
      </c>
      <c r="R531" s="7">
        <v>-1.42</v>
      </c>
      <c r="S531" s="7">
        <v>-0.2</v>
      </c>
      <c r="T531" s="7">
        <v>-0.1</v>
      </c>
      <c r="U531" s="7">
        <v>0.28999999999999998</v>
      </c>
      <c r="V531" s="7">
        <v>-0.25</v>
      </c>
      <c r="W531" s="7">
        <v>1.47</v>
      </c>
      <c r="X531" s="7" t="s">
        <v>6</v>
      </c>
      <c r="Y531" s="7" t="s">
        <v>15</v>
      </c>
      <c r="Z531" s="2" t="s">
        <v>718</v>
      </c>
      <c r="AA531" s="2" t="s">
        <v>721</v>
      </c>
    </row>
    <row r="532" spans="1:27" x14ac:dyDescent="0.35">
      <c r="A532" s="7" t="s">
        <v>1739</v>
      </c>
      <c r="B532" s="7" t="s">
        <v>1089</v>
      </c>
      <c r="C532" s="7" t="str">
        <f>_xlfn.XLOOKUP(B532,'[1]Sheet 1'!$A$2:$A$11107,'[1]Sheet 1'!$D$2:$D$11107,"",0)</f>
        <v>CK</v>
      </c>
      <c r="D532" s="4" t="str">
        <f>_xlfn.XLOOKUP(A532,[3]Sheet2!$I$2:$I$1623,[3]Sheet2!$D$2:$D$1623,"",0)</f>
        <v>Q3</v>
      </c>
      <c r="E532" s="4" t="s">
        <v>1827</v>
      </c>
      <c r="F532" s="4" t="e">
        <f>_xlfn.XLOOKUP(B532,[2]Sheet2!$E$2:$E$713,[2]Sheet2!$G$2:$G$713)</f>
        <v>#N/A</v>
      </c>
      <c r="G532" s="18">
        <v>46119</v>
      </c>
      <c r="H532" s="14">
        <v>0.16190972222222222</v>
      </c>
      <c r="I532" s="7" t="s">
        <v>11</v>
      </c>
      <c r="J532" s="2" t="str">
        <f t="shared" si="40"/>
        <v>Q2</v>
      </c>
      <c r="K532" s="2" t="str">
        <f t="shared" si="41"/>
        <v>Not Match</v>
      </c>
      <c r="L532" s="2">
        <f t="shared" si="42"/>
        <v>0.67082039324993692</v>
      </c>
      <c r="M532" s="2" t="e">
        <f t="shared" si="43"/>
        <v>#N/A</v>
      </c>
      <c r="N532" s="2" t="str">
        <f t="shared" si="44"/>
        <v>Q NOT OK dE&lt;=0.8</v>
      </c>
      <c r="O532" s="7">
        <v>33.1</v>
      </c>
      <c r="P532" s="7">
        <v>28.9</v>
      </c>
      <c r="Q532" s="7">
        <v>14.2</v>
      </c>
      <c r="R532" s="7">
        <v>0.13</v>
      </c>
      <c r="S532" s="7">
        <v>-0.6</v>
      </c>
      <c r="T532" s="7">
        <v>0.3</v>
      </c>
      <c r="U532" s="7">
        <v>-0.2</v>
      </c>
      <c r="V532" s="7">
        <v>0.49</v>
      </c>
      <c r="W532" s="7">
        <v>0.55000000000000004</v>
      </c>
      <c r="X532" s="7" t="s">
        <v>8</v>
      </c>
      <c r="Y532" s="7" t="s">
        <v>12</v>
      </c>
      <c r="Z532" s="2" t="s">
        <v>718</v>
      </c>
      <c r="AA532" s="2" t="s">
        <v>721</v>
      </c>
    </row>
    <row r="533" spans="1:27" x14ac:dyDescent="0.35">
      <c r="A533" s="7" t="s">
        <v>1535</v>
      </c>
      <c r="B533" s="7" t="s">
        <v>1232</v>
      </c>
      <c r="C533" s="7" t="str">
        <f>_xlfn.XLOOKUP(B533,'[1]Sheet 1'!$A$2:$A$11107,'[1]Sheet 1'!$D$2:$D$11107,"",0)</f>
        <v>WACE</v>
      </c>
      <c r="D533" s="4" t="str">
        <f>_xlfn.XLOOKUP(A533,[3]Sheet2!$I$2:$I$1623,[3]Sheet2!$D$2:$D$1623,"",0)</f>
        <v>Q3</v>
      </c>
      <c r="E533" s="4" t="s">
        <v>1828</v>
      </c>
      <c r="F533" s="4" t="e">
        <f>_xlfn.XLOOKUP(B533,[2]Sheet2!$E$2:$E$713,[2]Sheet2!$G$2:$G$713)</f>
        <v>#N/A</v>
      </c>
      <c r="G533" s="18">
        <v>46119</v>
      </c>
      <c r="H533" s="14">
        <v>0.78332175925925929</v>
      </c>
      <c r="I533" s="7" t="s">
        <v>4</v>
      </c>
      <c r="J533" s="2" t="str">
        <f t="shared" si="40"/>
        <v>Q1</v>
      </c>
      <c r="K533" s="2" t="str">
        <f t="shared" si="41"/>
        <v>Not Match</v>
      </c>
      <c r="L533" s="2">
        <f t="shared" si="42"/>
        <v>0.58309518948452999</v>
      </c>
      <c r="M533" s="2" t="e">
        <f t="shared" si="43"/>
        <v>#N/A</v>
      </c>
      <c r="N533" s="2" t="str">
        <f t="shared" si="44"/>
        <v>Q NOT OK dE&gt;0.8</v>
      </c>
      <c r="O533" s="7">
        <v>17</v>
      </c>
      <c r="P533" s="7">
        <v>-0.7</v>
      </c>
      <c r="Q533" s="7">
        <v>-1.9</v>
      </c>
      <c r="R533" s="7">
        <v>-0.31</v>
      </c>
      <c r="S533" s="7">
        <v>0.3</v>
      </c>
      <c r="T533" s="7">
        <v>0.5</v>
      </c>
      <c r="U533" s="7">
        <v>-0.78</v>
      </c>
      <c r="V533" s="7">
        <v>0.11</v>
      </c>
      <c r="W533" s="7">
        <v>0.84</v>
      </c>
      <c r="X533" s="7" t="s">
        <v>13</v>
      </c>
      <c r="Y533" s="7" t="s">
        <v>9</v>
      </c>
      <c r="Z533" s="2" t="s">
        <v>718</v>
      </c>
      <c r="AA533" s="2" t="s">
        <v>721</v>
      </c>
    </row>
    <row r="534" spans="1:27" x14ac:dyDescent="0.35">
      <c r="A534" s="7" t="s">
        <v>1586</v>
      </c>
      <c r="B534" s="7" t="s">
        <v>1229</v>
      </c>
      <c r="C534" s="7" t="str">
        <f>_xlfn.XLOOKUP(B534,'[1]Sheet 1'!$A$2:$A$11107,'[1]Sheet 1'!$D$2:$D$11107,"",0)</f>
        <v>INT1</v>
      </c>
      <c r="D534" s="4" t="str">
        <f>_xlfn.XLOOKUP(A534,[3]Sheet2!$I$2:$I$1623,[3]Sheet2!$D$2:$D$1623,"",0)</f>
        <v>Q2</v>
      </c>
      <c r="E534" s="4" t="s">
        <v>1828</v>
      </c>
      <c r="F534" s="4" t="e">
        <f>_xlfn.XLOOKUP(B534,[2]Sheet2!$E$2:$E$713,[2]Sheet2!$G$2:$G$713)</f>
        <v>#N/A</v>
      </c>
      <c r="G534" s="18">
        <v>46119</v>
      </c>
      <c r="H534" s="14">
        <v>0.77096064814814813</v>
      </c>
      <c r="I534" s="7" t="s">
        <v>5</v>
      </c>
      <c r="J534" s="2" t="str">
        <f t="shared" si="40"/>
        <v>Q2</v>
      </c>
      <c r="K534" s="2" t="str">
        <f t="shared" si="41"/>
        <v>Match</v>
      </c>
      <c r="L534" s="2">
        <f t="shared" si="42"/>
        <v>0</v>
      </c>
      <c r="M534" s="2" t="e">
        <f t="shared" si="43"/>
        <v>#N/A</v>
      </c>
      <c r="N534" s="2" t="str">
        <f t="shared" si="44"/>
        <v>Q OK dE&lt;=0.8</v>
      </c>
      <c r="O534" s="7">
        <v>17.399999999999999</v>
      </c>
      <c r="P534" s="7">
        <v>-0.2</v>
      </c>
      <c r="Q534" s="7">
        <v>-1.7</v>
      </c>
      <c r="R534" s="7">
        <v>-0.26</v>
      </c>
      <c r="S534" s="7">
        <v>0</v>
      </c>
      <c r="T534" s="20">
        <v>0</v>
      </c>
      <c r="U534" s="7">
        <v>0.11</v>
      </c>
      <c r="V534" s="7">
        <v>0.06</v>
      </c>
      <c r="W534" s="7">
        <v>0.28999999999999998</v>
      </c>
      <c r="X534" s="7" t="s">
        <v>8</v>
      </c>
      <c r="Y534" s="7" t="s">
        <v>9</v>
      </c>
      <c r="Z534" s="2" t="s">
        <v>718</v>
      </c>
      <c r="AA534" s="2" t="s">
        <v>721</v>
      </c>
    </row>
    <row r="535" spans="1:27" x14ac:dyDescent="0.35">
      <c r="A535" s="7" t="s">
        <v>1549</v>
      </c>
      <c r="B535" s="7" t="s">
        <v>1224</v>
      </c>
      <c r="C535" s="7" t="str">
        <f>_xlfn.XLOOKUP(B535,'[1]Sheet 1'!$A$2:$A$11107,'[1]Sheet 1'!$D$2:$D$11107,"",0)</f>
        <v>TORD</v>
      </c>
      <c r="D535" s="4" t="str">
        <f>_xlfn.XLOOKUP(A535,[3]Sheet2!$I$2:$I$1623,[3]Sheet2!$D$2:$D$1623,"",0)</f>
        <v>Q1</v>
      </c>
      <c r="E535" s="4" t="s">
        <v>1828</v>
      </c>
      <c r="F535" s="4" t="e">
        <f>_xlfn.XLOOKUP(B535,[2]Sheet2!$E$2:$E$713,[2]Sheet2!$G$2:$G$713)</f>
        <v>#N/A</v>
      </c>
      <c r="G535" s="18">
        <v>46119</v>
      </c>
      <c r="H535" s="14">
        <v>0.54527777777777775</v>
      </c>
      <c r="I535" s="7" t="s">
        <v>4</v>
      </c>
      <c r="J535" s="2" t="str">
        <f t="shared" si="40"/>
        <v>Q1</v>
      </c>
      <c r="K535" s="2" t="str">
        <f t="shared" si="41"/>
        <v>Match</v>
      </c>
      <c r="L535" s="2">
        <f t="shared" si="42"/>
        <v>0</v>
      </c>
      <c r="M535" s="2" t="e">
        <f t="shared" si="43"/>
        <v>#N/A</v>
      </c>
      <c r="N535" s="2" t="str">
        <f t="shared" si="44"/>
        <v>Q OK dE&gt;0.8</v>
      </c>
      <c r="O535" s="7">
        <v>17.2</v>
      </c>
      <c r="P535" s="7">
        <v>-0.3</v>
      </c>
      <c r="Q535" s="7">
        <v>-1.1000000000000001</v>
      </c>
      <c r="R535" s="7">
        <v>-1.25</v>
      </c>
      <c r="S535" s="7">
        <v>0</v>
      </c>
      <c r="T535" s="20">
        <v>0</v>
      </c>
      <c r="U535" s="7">
        <v>-0.02</v>
      </c>
      <c r="V535" s="7">
        <v>-0.08</v>
      </c>
      <c r="W535" s="7">
        <v>1.25</v>
      </c>
      <c r="X535" s="7" t="s">
        <v>6</v>
      </c>
      <c r="Y535" s="7" t="s">
        <v>15</v>
      </c>
      <c r="Z535" s="2" t="s">
        <v>718</v>
      </c>
      <c r="AA535" s="2" t="s">
        <v>721</v>
      </c>
    </row>
    <row r="536" spans="1:27" x14ac:dyDescent="0.35">
      <c r="A536" s="7" t="s">
        <v>1500</v>
      </c>
      <c r="B536" s="7" t="s">
        <v>1222</v>
      </c>
      <c r="C536" s="7" t="str">
        <f>_xlfn.XLOOKUP(B536,'[1]Sheet 1'!$A$2:$A$11107,'[1]Sheet 1'!$D$2:$D$11107,"",0)</f>
        <v>LULU</v>
      </c>
      <c r="D536" s="4" t="str">
        <f>_xlfn.XLOOKUP(A536,[3]Sheet2!$I$2:$I$1623,[3]Sheet2!$D$2:$D$1623,"",0)</f>
        <v>Q2</v>
      </c>
      <c r="E536" s="4" t="s">
        <v>1828</v>
      </c>
      <c r="F536" s="4" t="e">
        <f>_xlfn.XLOOKUP(B536,[2]Sheet2!$E$2:$E$713,[2]Sheet2!$G$2:$G$713)</f>
        <v>#N/A</v>
      </c>
      <c r="G536" s="18">
        <v>46119</v>
      </c>
      <c r="H536" s="14">
        <v>0.53965277777777776</v>
      </c>
      <c r="I536" s="7" t="s">
        <v>4</v>
      </c>
      <c r="J536" s="2" t="str">
        <f t="shared" si="40"/>
        <v>Q1</v>
      </c>
      <c r="K536" s="2" t="str">
        <f t="shared" si="41"/>
        <v>Not Match</v>
      </c>
      <c r="L536" s="2">
        <f t="shared" si="42"/>
        <v>0.28284271247461906</v>
      </c>
      <c r="M536" s="2" t="e">
        <f t="shared" si="43"/>
        <v>#N/A</v>
      </c>
      <c r="N536" s="2" t="str">
        <f t="shared" si="44"/>
        <v>Q NOT OK dE&lt;=0.8</v>
      </c>
      <c r="O536" s="7">
        <v>17.600000000000001</v>
      </c>
      <c r="P536" s="7">
        <v>-0.7</v>
      </c>
      <c r="Q536" s="7">
        <v>-0.7</v>
      </c>
      <c r="R536" s="7">
        <v>-0.39</v>
      </c>
      <c r="S536" s="7">
        <v>0.2</v>
      </c>
      <c r="T536" s="7">
        <v>0.2</v>
      </c>
      <c r="U536" s="7">
        <v>-0.46</v>
      </c>
      <c r="V536" s="7">
        <v>-0.06</v>
      </c>
      <c r="W536" s="7">
        <v>0.61</v>
      </c>
      <c r="X536" s="7" t="s">
        <v>8</v>
      </c>
      <c r="Y536" s="7" t="s">
        <v>12</v>
      </c>
      <c r="Z536" s="2" t="s">
        <v>718</v>
      </c>
      <c r="AA536" s="2" t="s">
        <v>721</v>
      </c>
    </row>
    <row r="537" spans="1:27" x14ac:dyDescent="0.35">
      <c r="A537" s="7" t="s">
        <v>1557</v>
      </c>
      <c r="B537" s="7" t="s">
        <v>1234</v>
      </c>
      <c r="C537" s="7" t="str">
        <f>_xlfn.XLOOKUP(B537,'[1]Sheet 1'!$A$2:$A$11107,'[1]Sheet 1'!$D$2:$D$11107,"",0)</f>
        <v>M&amp;S</v>
      </c>
      <c r="D537" s="4" t="str">
        <f>_xlfn.XLOOKUP(A537,[3]Sheet2!$I$2:$I$1623,[3]Sheet2!$D$2:$D$1623,"",0)</f>
        <v>Q3</v>
      </c>
      <c r="E537" s="4" t="s">
        <v>1828</v>
      </c>
      <c r="F537" s="4" t="e">
        <f>_xlfn.XLOOKUP(B537,[2]Sheet2!$E$2:$E$713,[2]Sheet2!$G$2:$G$713)</f>
        <v>#N/A</v>
      </c>
      <c r="G537" s="18">
        <v>46119</v>
      </c>
      <c r="H537" s="14">
        <v>0.99452546296296296</v>
      </c>
      <c r="I537" s="7" t="s">
        <v>17</v>
      </c>
      <c r="J537" s="2" t="str">
        <f t="shared" si="40"/>
        <v>Q3</v>
      </c>
      <c r="K537" s="2" t="str">
        <f t="shared" si="41"/>
        <v>Match</v>
      </c>
      <c r="L537" s="2">
        <f t="shared" si="42"/>
        <v>0.22360679774997899</v>
      </c>
      <c r="M537" s="2" t="e">
        <f t="shared" si="43"/>
        <v>#N/A</v>
      </c>
      <c r="N537" s="2" t="str">
        <f t="shared" si="44"/>
        <v>Q OK dE&lt;=0.8</v>
      </c>
      <c r="O537" s="7">
        <v>15</v>
      </c>
      <c r="P537" s="7">
        <v>-0.6</v>
      </c>
      <c r="Q537" s="7">
        <v>-1.7</v>
      </c>
      <c r="R537" s="7">
        <v>-0.54</v>
      </c>
      <c r="S537" s="7">
        <v>-0.2</v>
      </c>
      <c r="T537" s="7">
        <v>-0.1</v>
      </c>
      <c r="U537" s="7">
        <v>0.24</v>
      </c>
      <c r="V537" s="7">
        <v>-0.31</v>
      </c>
      <c r="W537" s="7">
        <v>0.67</v>
      </c>
      <c r="X537" s="7" t="s">
        <v>8</v>
      </c>
      <c r="Y537" s="7" t="s">
        <v>15</v>
      </c>
      <c r="Z537" s="2" t="s">
        <v>718</v>
      </c>
      <c r="AA537" s="2" t="s">
        <v>721</v>
      </c>
    </row>
    <row r="538" spans="1:27" x14ac:dyDescent="0.35">
      <c r="A538" s="7" t="s">
        <v>1558</v>
      </c>
      <c r="B538" s="7" t="s">
        <v>1215</v>
      </c>
      <c r="C538" s="7" t="str">
        <f>_xlfn.XLOOKUP(B538,'[1]Sheet 1'!$A$2:$A$11107,'[1]Sheet 1'!$D$2:$D$11107,"",0)</f>
        <v>M&amp;S</v>
      </c>
      <c r="D538" s="4" t="str">
        <f>_xlfn.XLOOKUP(A538,[3]Sheet2!$I$2:$I$1623,[3]Sheet2!$D$2:$D$1623,"",0)</f>
        <v>Q3</v>
      </c>
      <c r="E538" s="4" t="s">
        <v>1827</v>
      </c>
      <c r="F538" s="4" t="e">
        <f>_xlfn.XLOOKUP(B538,[2]Sheet2!$E$2:$E$713,[2]Sheet2!$G$2:$G$713)</f>
        <v>#N/A</v>
      </c>
      <c r="G538" s="18">
        <v>46119</v>
      </c>
      <c r="H538" s="14">
        <v>6.0937499999999999E-2</v>
      </c>
      <c r="I538" s="7" t="s">
        <v>17</v>
      </c>
      <c r="J538" s="2" t="str">
        <f t="shared" si="40"/>
        <v>Q3</v>
      </c>
      <c r="K538" s="2" t="str">
        <f t="shared" si="41"/>
        <v>Match</v>
      </c>
      <c r="L538" s="2">
        <f t="shared" si="42"/>
        <v>0.14142135623730953</v>
      </c>
      <c r="M538" s="2" t="e">
        <f t="shared" si="43"/>
        <v>#N/A</v>
      </c>
      <c r="N538" s="2" t="str">
        <f t="shared" si="44"/>
        <v>Q OK dE&gt;0.8</v>
      </c>
      <c r="O538" s="7">
        <v>14</v>
      </c>
      <c r="P538" s="7">
        <v>-0.7</v>
      </c>
      <c r="Q538" s="7">
        <v>-1.9</v>
      </c>
      <c r="R538" s="7">
        <v>-1.57</v>
      </c>
      <c r="S538" s="7">
        <v>-0.1</v>
      </c>
      <c r="T538" s="7">
        <v>-0.1</v>
      </c>
      <c r="U538" s="7">
        <v>0.27</v>
      </c>
      <c r="V538" s="7">
        <v>-0.18</v>
      </c>
      <c r="W538" s="7">
        <v>1.61</v>
      </c>
      <c r="X538" s="7" t="s">
        <v>6</v>
      </c>
      <c r="Y538" s="7" t="s">
        <v>15</v>
      </c>
      <c r="Z538" s="2" t="s">
        <v>718</v>
      </c>
      <c r="AA538" s="2" t="s">
        <v>721</v>
      </c>
    </row>
    <row r="539" spans="1:27" x14ac:dyDescent="0.35">
      <c r="A539" s="7" t="s">
        <v>1505</v>
      </c>
      <c r="B539" s="7" t="s">
        <v>1233</v>
      </c>
      <c r="C539" s="7" t="str">
        <f>_xlfn.XLOOKUP(B539,'[1]Sheet 1'!$A$2:$A$11107,'[1]Sheet 1'!$D$2:$D$11107,"",0)</f>
        <v/>
      </c>
      <c r="D539" s="4" t="str">
        <f>_xlfn.XLOOKUP(A539,[3]Sheet2!$I$2:$I$1623,[3]Sheet2!$D$2:$D$1623,"",0)</f>
        <v>Q4</v>
      </c>
      <c r="E539" s="4" t="s">
        <v>1828</v>
      </c>
      <c r="F539" s="4" t="e">
        <f>_xlfn.XLOOKUP(B539,[2]Sheet2!$E$2:$E$713,[2]Sheet2!$G$2:$G$713)</f>
        <v>#N/A</v>
      </c>
      <c r="G539" s="18">
        <v>46119</v>
      </c>
      <c r="H539" s="14">
        <v>0.78538194444444442</v>
      </c>
      <c r="I539" s="7" t="s">
        <v>4</v>
      </c>
      <c r="J539" s="2" t="str">
        <f t="shared" si="40"/>
        <v>Q4</v>
      </c>
      <c r="K539" s="2" t="str">
        <f t="shared" si="41"/>
        <v>Match</v>
      </c>
      <c r="L539" s="2">
        <f t="shared" si="42"/>
        <v>0.2</v>
      </c>
      <c r="M539" s="2" t="e">
        <f t="shared" si="43"/>
        <v>#N/A</v>
      </c>
      <c r="N539" s="2" t="str">
        <f t="shared" si="44"/>
        <v>Q OK dE&lt;=0.8</v>
      </c>
      <c r="O539" s="7">
        <v>17.7</v>
      </c>
      <c r="P539" s="7">
        <v>-1.3</v>
      </c>
      <c r="Q539" s="7">
        <v>-1.9</v>
      </c>
      <c r="R539" s="7">
        <v>-0.7</v>
      </c>
      <c r="S539" s="7">
        <v>0</v>
      </c>
      <c r="T539" s="7">
        <v>0.2</v>
      </c>
      <c r="U539" s="7">
        <v>-0.3</v>
      </c>
      <c r="V539" s="7">
        <v>-0.13</v>
      </c>
      <c r="W539" s="7">
        <v>0.78</v>
      </c>
      <c r="X539" s="7" t="s">
        <v>13</v>
      </c>
      <c r="Y539" s="7" t="s">
        <v>15</v>
      </c>
      <c r="Z539" s="2" t="s">
        <v>718</v>
      </c>
      <c r="AA539" s="2" t="s">
        <v>721</v>
      </c>
    </row>
    <row r="540" spans="1:27" x14ac:dyDescent="0.35">
      <c r="A540" s="7" t="s">
        <v>1543</v>
      </c>
      <c r="B540" s="7" t="s">
        <v>1225</v>
      </c>
      <c r="C540" s="7" t="str">
        <f>_xlfn.XLOOKUP(B540,'[1]Sheet 1'!$A$2:$A$11107,'[1]Sheet 1'!$D$2:$D$11107,"",0)</f>
        <v>VSS</v>
      </c>
      <c r="D540" s="4" t="str">
        <f>_xlfn.XLOOKUP(A540,[3]Sheet2!$I$2:$I$1623,[3]Sheet2!$D$2:$D$1623,"",0)</f>
        <v>Q3</v>
      </c>
      <c r="E540" s="4" t="s">
        <v>1828</v>
      </c>
      <c r="F540" s="4" t="e">
        <f>_xlfn.XLOOKUP(B540,[2]Sheet2!$E$2:$E$713,[2]Sheet2!$G$2:$G$713)</f>
        <v>#N/A</v>
      </c>
      <c r="G540" s="18">
        <v>46119</v>
      </c>
      <c r="H540" s="14">
        <v>0.60371527777777778</v>
      </c>
      <c r="I540" s="7" t="s">
        <v>10</v>
      </c>
      <c r="J540" s="2" t="str">
        <f t="shared" si="40"/>
        <v>Q1</v>
      </c>
      <c r="K540" s="2" t="str">
        <f t="shared" si="41"/>
        <v>Not Match</v>
      </c>
      <c r="L540" s="2">
        <f t="shared" si="42"/>
        <v>0.36055512754639896</v>
      </c>
      <c r="M540" s="2" t="e">
        <f t="shared" si="43"/>
        <v>#N/A</v>
      </c>
      <c r="N540" s="2" t="str">
        <f t="shared" si="44"/>
        <v>Q NOT OK dE&lt;=0.8</v>
      </c>
      <c r="O540" s="7">
        <v>27</v>
      </c>
      <c r="P540" s="7">
        <v>11.7</v>
      </c>
      <c r="Q540" s="7">
        <v>10.3</v>
      </c>
      <c r="R540" s="7">
        <v>-0.17</v>
      </c>
      <c r="S540" s="7">
        <v>0.3</v>
      </c>
      <c r="T540" s="7">
        <v>0.2</v>
      </c>
      <c r="U540" s="7">
        <v>0.32</v>
      </c>
      <c r="V540" s="7">
        <v>-0.04</v>
      </c>
      <c r="W540" s="7">
        <v>0.37</v>
      </c>
      <c r="X540" s="7" t="s">
        <v>8</v>
      </c>
      <c r="Y540" s="7" t="s">
        <v>9</v>
      </c>
      <c r="Z540" s="2" t="s">
        <v>718</v>
      </c>
      <c r="AA540" s="2" t="s">
        <v>721</v>
      </c>
    </row>
    <row r="541" spans="1:27" x14ac:dyDescent="0.35">
      <c r="A541" s="7" t="s">
        <v>1572</v>
      </c>
      <c r="B541" s="7" t="s">
        <v>1218</v>
      </c>
      <c r="C541" s="7" t="str">
        <f>_xlfn.XLOOKUP(B541,'[1]Sheet 1'!$A$2:$A$11107,'[1]Sheet 1'!$D$2:$D$11107,"",0)</f>
        <v>WACE</v>
      </c>
      <c r="D541" s="4" t="str">
        <f>_xlfn.XLOOKUP(A541,[3]Sheet2!$I$2:$I$1623,[3]Sheet2!$D$2:$D$1623,"",0)</f>
        <v>Q3</v>
      </c>
      <c r="E541" s="4" t="s">
        <v>1828</v>
      </c>
      <c r="F541" s="4" t="e">
        <f>_xlfn.XLOOKUP(B541,[2]Sheet2!$E$2:$E$713,[2]Sheet2!$G$2:$G$713)</f>
        <v>#N/A</v>
      </c>
      <c r="G541" s="18">
        <v>46119</v>
      </c>
      <c r="H541" s="14">
        <v>0.41685185185185186</v>
      </c>
      <c r="I541" s="7" t="s">
        <v>4</v>
      </c>
      <c r="J541" s="2" t="str">
        <f t="shared" si="40"/>
        <v>Q3</v>
      </c>
      <c r="K541" s="2" t="str">
        <f t="shared" si="41"/>
        <v>Match</v>
      </c>
      <c r="L541" s="2">
        <f t="shared" si="42"/>
        <v>0.1</v>
      </c>
      <c r="M541" s="2" t="e">
        <f t="shared" si="43"/>
        <v>#N/A</v>
      </c>
      <c r="N541" s="2" t="str">
        <f t="shared" si="44"/>
        <v>Q OK dE&lt;=0.8</v>
      </c>
      <c r="O541" s="7">
        <v>16.5</v>
      </c>
      <c r="P541" s="7">
        <v>-0.7</v>
      </c>
      <c r="Q541" s="7">
        <v>-1.5</v>
      </c>
      <c r="R541" s="7">
        <v>-0.43</v>
      </c>
      <c r="S541" s="7">
        <v>0.1</v>
      </c>
      <c r="T541" s="20">
        <v>0</v>
      </c>
      <c r="U541" s="7">
        <v>-0.02</v>
      </c>
      <c r="V541" s="7">
        <v>0.2</v>
      </c>
      <c r="W541" s="7">
        <v>0.48</v>
      </c>
      <c r="X541" s="7" t="s">
        <v>8</v>
      </c>
      <c r="Y541" s="7" t="s">
        <v>9</v>
      </c>
      <c r="Z541" s="2" t="s">
        <v>718</v>
      </c>
      <c r="AA541" s="2" t="s">
        <v>721</v>
      </c>
    </row>
    <row r="542" spans="1:27" x14ac:dyDescent="0.35">
      <c r="A542" s="7" t="s">
        <v>1595</v>
      </c>
      <c r="B542" s="7" t="s">
        <v>1223</v>
      </c>
      <c r="C542" s="7" t="str">
        <f>_xlfn.XLOOKUP(B542,'[1]Sheet 1'!$A$2:$A$11107,'[1]Sheet 1'!$D$2:$D$11107,"",0)</f>
        <v>M&amp;S</v>
      </c>
      <c r="D542" s="4" t="str">
        <f>_xlfn.XLOOKUP(A542,[3]Sheet2!$I$2:$I$1623,[3]Sheet2!$D$2:$D$1623,"",0)</f>
        <v>Q4</v>
      </c>
      <c r="E542" s="4" t="s">
        <v>1828</v>
      </c>
      <c r="F542" s="4" t="e">
        <f>_xlfn.XLOOKUP(B542,[2]Sheet2!$E$2:$E$713,[2]Sheet2!$G$2:$G$713)</f>
        <v>#N/A</v>
      </c>
      <c r="G542" s="18">
        <v>46119</v>
      </c>
      <c r="H542" s="14">
        <v>0.54223379629629631</v>
      </c>
      <c r="I542" s="7" t="s">
        <v>17</v>
      </c>
      <c r="J542" s="2" t="str">
        <f t="shared" si="40"/>
        <v>Q4</v>
      </c>
      <c r="K542" s="2" t="str">
        <f t="shared" si="41"/>
        <v>Match</v>
      </c>
      <c r="L542" s="2">
        <f t="shared" si="42"/>
        <v>0.5</v>
      </c>
      <c r="M542" s="2" t="e">
        <f t="shared" si="43"/>
        <v>#N/A</v>
      </c>
      <c r="N542" s="2" t="str">
        <f t="shared" si="44"/>
        <v>Q OK dE&gt;0.8</v>
      </c>
      <c r="O542" s="7">
        <v>27.6</v>
      </c>
      <c r="P542" s="7">
        <v>-2</v>
      </c>
      <c r="Q542" s="7">
        <v>-2.1</v>
      </c>
      <c r="R542" s="7">
        <v>-0.87</v>
      </c>
      <c r="S542" s="7">
        <v>0</v>
      </c>
      <c r="T542" s="7">
        <v>0.5</v>
      </c>
      <c r="U542" s="7">
        <v>-0.55000000000000004</v>
      </c>
      <c r="V542" s="7">
        <v>-0.42</v>
      </c>
      <c r="W542" s="7">
        <v>1.1100000000000001</v>
      </c>
      <c r="X542" s="7" t="s">
        <v>6</v>
      </c>
      <c r="Y542" s="7" t="s">
        <v>12</v>
      </c>
      <c r="Z542" s="2" t="s">
        <v>718</v>
      </c>
      <c r="AA542" s="2" t="s">
        <v>721</v>
      </c>
    </row>
    <row r="543" spans="1:27" x14ac:dyDescent="0.35">
      <c r="A543" s="7" t="s">
        <v>1566</v>
      </c>
      <c r="B543" s="7" t="s">
        <v>1221</v>
      </c>
      <c r="C543" s="7" t="str">
        <f>_xlfn.XLOOKUP(B543,'[1]Sheet 1'!$A$2:$A$11107,'[1]Sheet 1'!$D$2:$D$11107,"",0)</f>
        <v>M&amp;S</v>
      </c>
      <c r="D543" s="4" t="str">
        <f>_xlfn.XLOOKUP(A543,[3]Sheet2!$I$2:$I$1623,[3]Sheet2!$D$2:$D$1623,"",0)</f>
        <v>Q4</v>
      </c>
      <c r="E543" s="4" t="s">
        <v>1828</v>
      </c>
      <c r="F543" s="4" t="e">
        <f>_xlfn.XLOOKUP(B543,[2]Sheet2!$E$2:$E$713,[2]Sheet2!$G$2:$G$713)</f>
        <v>#N/A</v>
      </c>
      <c r="G543" s="18">
        <v>46119</v>
      </c>
      <c r="H543" s="14">
        <v>0.53759259259259262</v>
      </c>
      <c r="I543" s="7" t="s">
        <v>17</v>
      </c>
      <c r="J543" s="2" t="str">
        <f t="shared" si="40"/>
        <v>Q2</v>
      </c>
      <c r="K543" s="2" t="str">
        <f t="shared" si="41"/>
        <v>Not Match</v>
      </c>
      <c r="L543" s="2">
        <f t="shared" si="42"/>
        <v>0.5</v>
      </c>
      <c r="M543" s="2" t="e">
        <f t="shared" si="43"/>
        <v>#N/A</v>
      </c>
      <c r="N543" s="2" t="str">
        <f t="shared" si="44"/>
        <v>Q NOT OK dE&gt;0.8</v>
      </c>
      <c r="O543" s="7">
        <v>16.5</v>
      </c>
      <c r="P543" s="7">
        <v>-0.8</v>
      </c>
      <c r="Q543" s="7">
        <v>-5.7</v>
      </c>
      <c r="R543" s="7">
        <v>0.71</v>
      </c>
      <c r="S543" s="7">
        <v>-0.4</v>
      </c>
      <c r="T543" s="7">
        <v>0.3</v>
      </c>
      <c r="U543" s="7">
        <v>-0.3</v>
      </c>
      <c r="V543" s="7">
        <v>-0.57999999999999996</v>
      </c>
      <c r="W543" s="7">
        <v>0.96</v>
      </c>
      <c r="X543" s="7" t="s">
        <v>13</v>
      </c>
      <c r="Y543" s="7" t="s">
        <v>15</v>
      </c>
      <c r="Z543" s="2" t="s">
        <v>718</v>
      </c>
      <c r="AA543" s="2" t="s">
        <v>721</v>
      </c>
    </row>
    <row r="544" spans="1:27" x14ac:dyDescent="0.35">
      <c r="A544" s="7" t="s">
        <v>1762</v>
      </c>
      <c r="B544" s="7" t="s">
        <v>1230</v>
      </c>
      <c r="C544" s="7" t="str">
        <f>_xlfn.XLOOKUP(B544,'[1]Sheet 1'!$A$2:$A$11107,'[1]Sheet 1'!$D$2:$D$11107,"",0)</f>
        <v>CHICOS</v>
      </c>
      <c r="D544" s="4" t="str">
        <f>_xlfn.XLOOKUP(A544,[3]Sheet2!$I$2:$I$1623,[3]Sheet2!$D$2:$D$1623,"",0)</f>
        <v>Q3</v>
      </c>
      <c r="E544" s="4" t="s">
        <v>1828</v>
      </c>
      <c r="F544" s="4" t="e">
        <f>_xlfn.XLOOKUP(B544,[2]Sheet2!$E$2:$E$713,[2]Sheet2!$G$2:$G$713)</f>
        <v>#N/A</v>
      </c>
      <c r="G544" s="18">
        <v>46119</v>
      </c>
      <c r="H544" s="14">
        <v>0.77615740740740746</v>
      </c>
      <c r="I544" s="7" t="s">
        <v>4</v>
      </c>
      <c r="J544" s="2" t="str">
        <f t="shared" si="40"/>
        <v>Q3</v>
      </c>
      <c r="K544" s="2" t="str">
        <f t="shared" si="41"/>
        <v>Match</v>
      </c>
      <c r="L544" s="2">
        <f t="shared" si="42"/>
        <v>0.22360679774997899</v>
      </c>
      <c r="M544" s="2" t="e">
        <f t="shared" si="43"/>
        <v>#N/A</v>
      </c>
      <c r="N544" s="2" t="str">
        <f t="shared" si="44"/>
        <v>Q OK dE&lt;=0.8</v>
      </c>
      <c r="O544" s="7">
        <v>17.100000000000001</v>
      </c>
      <c r="P544" s="7">
        <v>-1.1000000000000001</v>
      </c>
      <c r="Q544" s="7">
        <v>-2.1</v>
      </c>
      <c r="R544" s="7">
        <v>0.28999999999999998</v>
      </c>
      <c r="S544" s="7">
        <v>-0.2</v>
      </c>
      <c r="T544" s="7">
        <v>-0.1</v>
      </c>
      <c r="U544" s="7">
        <v>0.37</v>
      </c>
      <c r="V544" s="7">
        <v>-0.23</v>
      </c>
      <c r="W544" s="7">
        <v>0.52</v>
      </c>
      <c r="X544" s="7" t="s">
        <v>8</v>
      </c>
      <c r="Y544" s="7" t="s">
        <v>15</v>
      </c>
      <c r="Z544" s="2" t="s">
        <v>718</v>
      </c>
      <c r="AA544" s="2" t="s">
        <v>721</v>
      </c>
    </row>
    <row r="545" spans="1:27" x14ac:dyDescent="0.35">
      <c r="A545" s="7" t="s">
        <v>1558</v>
      </c>
      <c r="B545" s="7" t="s">
        <v>1231</v>
      </c>
      <c r="C545" s="7" t="str">
        <f>_xlfn.XLOOKUP(B545,'[1]Sheet 1'!$A$2:$A$11107,'[1]Sheet 1'!$D$2:$D$11107,"",0)</f>
        <v>M&amp;S</v>
      </c>
      <c r="D545" s="4" t="str">
        <f>_xlfn.XLOOKUP(A545,[3]Sheet2!$I$2:$I$1623,[3]Sheet2!$D$2:$D$1623,"",0)</f>
        <v>Q3</v>
      </c>
      <c r="E545" s="4" t="s">
        <v>1828</v>
      </c>
      <c r="F545" s="4" t="e">
        <f>_xlfn.XLOOKUP(B545,[2]Sheet2!$E$2:$E$713,[2]Sheet2!$G$2:$G$713)</f>
        <v>#N/A</v>
      </c>
      <c r="G545" s="18">
        <v>46119</v>
      </c>
      <c r="H545" s="14">
        <v>0.78077546296296296</v>
      </c>
      <c r="I545" s="7" t="s">
        <v>17</v>
      </c>
      <c r="J545" s="2" t="str">
        <f t="shared" si="40"/>
        <v>Q3</v>
      </c>
      <c r="K545" s="2" t="str">
        <f t="shared" si="41"/>
        <v>Match</v>
      </c>
      <c r="L545" s="2">
        <f t="shared" si="42"/>
        <v>0.14142135623730953</v>
      </c>
      <c r="M545" s="2" t="e">
        <f t="shared" si="43"/>
        <v>#N/A</v>
      </c>
      <c r="N545" s="2" t="str">
        <f t="shared" si="44"/>
        <v>Q OK dE&lt;=0.8</v>
      </c>
      <c r="O545" s="7">
        <v>14.9</v>
      </c>
      <c r="P545" s="7">
        <v>-0.6</v>
      </c>
      <c r="Q545" s="7">
        <v>-1.9</v>
      </c>
      <c r="R545" s="7">
        <v>-0.68</v>
      </c>
      <c r="S545" s="7">
        <v>-0.1</v>
      </c>
      <c r="T545" s="7">
        <v>-0.1</v>
      </c>
      <c r="U545" s="7">
        <v>0.28000000000000003</v>
      </c>
      <c r="V545" s="7">
        <v>-0.15</v>
      </c>
      <c r="W545" s="7">
        <v>0.75</v>
      </c>
      <c r="X545" s="7" t="s">
        <v>13</v>
      </c>
      <c r="Y545" s="7" t="s">
        <v>15</v>
      </c>
      <c r="Z545" s="2" t="s">
        <v>718</v>
      </c>
      <c r="AA545" s="2" t="s">
        <v>721</v>
      </c>
    </row>
    <row r="546" spans="1:27" x14ac:dyDescent="0.35">
      <c r="A546" s="7" t="s">
        <v>1515</v>
      </c>
      <c r="B546" s="7" t="s">
        <v>1228</v>
      </c>
      <c r="C546" s="7" t="str">
        <f>_xlfn.XLOOKUP(B546,'[1]Sheet 1'!$A$2:$A$11107,'[1]Sheet 1'!$D$2:$D$11107,"",0)</f>
        <v>VSS</v>
      </c>
      <c r="D546" s="4" t="str">
        <f>_xlfn.XLOOKUP(A546,[3]Sheet2!$I$2:$I$1623,[3]Sheet2!$D$2:$D$1623,"",0)</f>
        <v>Q3</v>
      </c>
      <c r="E546" s="4" t="s">
        <v>1828</v>
      </c>
      <c r="F546" s="4" t="e">
        <f>_xlfn.XLOOKUP(B546,[2]Sheet2!$E$2:$E$713,[2]Sheet2!$G$2:$G$713)</f>
        <v>#N/A</v>
      </c>
      <c r="G546" s="18">
        <v>46119</v>
      </c>
      <c r="H546" s="14">
        <v>0.76570601851851849</v>
      </c>
      <c r="I546" s="7" t="s">
        <v>10</v>
      </c>
      <c r="J546" s="2" t="str">
        <f t="shared" si="40"/>
        <v>Q3</v>
      </c>
      <c r="K546" s="2" t="str">
        <f t="shared" si="41"/>
        <v>Match</v>
      </c>
      <c r="L546" s="2">
        <f t="shared" si="42"/>
        <v>0.5</v>
      </c>
      <c r="M546" s="2" t="e">
        <f t="shared" si="43"/>
        <v>#N/A</v>
      </c>
      <c r="N546" s="2" t="str">
        <f t="shared" si="44"/>
        <v>Q OK dE&gt;0.8</v>
      </c>
      <c r="O546" s="7">
        <v>13.8</v>
      </c>
      <c r="P546" s="7">
        <v>0</v>
      </c>
      <c r="Q546" s="7">
        <v>-2.2000000000000002</v>
      </c>
      <c r="R546" s="7">
        <v>-1.17</v>
      </c>
      <c r="S546" s="7">
        <v>0</v>
      </c>
      <c r="T546" s="7">
        <v>-0.5</v>
      </c>
      <c r="U546" s="7">
        <v>0.73</v>
      </c>
      <c r="V546" s="7">
        <v>-0.12</v>
      </c>
      <c r="W546" s="7">
        <v>1.38</v>
      </c>
      <c r="X546" s="7" t="s">
        <v>6</v>
      </c>
      <c r="Y546" s="7" t="s">
        <v>15</v>
      </c>
      <c r="Z546" s="2" t="s">
        <v>718</v>
      </c>
      <c r="AA546" s="2" t="s">
        <v>721</v>
      </c>
    </row>
    <row r="547" spans="1:27" x14ac:dyDescent="0.35">
      <c r="A547" s="7" t="s">
        <v>1515</v>
      </c>
      <c r="B547" s="7" t="s">
        <v>1235</v>
      </c>
      <c r="C547" s="7" t="str">
        <f>_xlfn.XLOOKUP(B547,'[1]Sheet 1'!$A$2:$A$11107,'[1]Sheet 1'!$D$2:$D$11107,"",0)</f>
        <v>VSS</v>
      </c>
      <c r="D547" s="4" t="str">
        <f>_xlfn.XLOOKUP(A547,[3]Sheet2!$I$2:$I$1623,[3]Sheet2!$D$2:$D$1623,"",0)</f>
        <v>Q3</v>
      </c>
      <c r="E547" s="4" t="s">
        <v>1828</v>
      </c>
      <c r="F547" s="4" t="e">
        <f>_xlfn.XLOOKUP(B547,[2]Sheet2!$E$2:$E$713,[2]Sheet2!$G$2:$G$713)</f>
        <v>#N/A</v>
      </c>
      <c r="G547" s="18">
        <v>46119</v>
      </c>
      <c r="H547" s="14">
        <v>0.99851851851851847</v>
      </c>
      <c r="I547" s="7" t="s">
        <v>10</v>
      </c>
      <c r="J547" s="2" t="str">
        <f t="shared" si="40"/>
        <v>Q3</v>
      </c>
      <c r="K547" s="2" t="str">
        <f t="shared" si="41"/>
        <v>Match</v>
      </c>
      <c r="L547" s="2">
        <f t="shared" si="42"/>
        <v>0.3</v>
      </c>
      <c r="M547" s="2" t="e">
        <f t="shared" si="43"/>
        <v>#N/A</v>
      </c>
      <c r="N547" s="2" t="str">
        <f t="shared" si="44"/>
        <v>Q OK dE&gt;0.8</v>
      </c>
      <c r="O547" s="7">
        <v>13.8</v>
      </c>
      <c r="P547" s="7">
        <v>0.1</v>
      </c>
      <c r="Q547" s="7">
        <v>-2</v>
      </c>
      <c r="R547" s="7">
        <v>-1.2</v>
      </c>
      <c r="S547" s="7">
        <v>0</v>
      </c>
      <c r="T547" s="7">
        <v>-0.3</v>
      </c>
      <c r="U547" s="7">
        <v>0.44</v>
      </c>
      <c r="V547" s="7">
        <v>-0.01</v>
      </c>
      <c r="W547" s="7">
        <v>1.28</v>
      </c>
      <c r="X547" s="7" t="s">
        <v>6</v>
      </c>
      <c r="Y547" s="7" t="s">
        <v>15</v>
      </c>
      <c r="Z547" s="2" t="s">
        <v>718</v>
      </c>
      <c r="AA547" s="2" t="s">
        <v>721</v>
      </c>
    </row>
    <row r="548" spans="1:27" x14ac:dyDescent="0.35">
      <c r="A548" s="7" t="s">
        <v>1515</v>
      </c>
      <c r="B548" s="7" t="s">
        <v>1227</v>
      </c>
      <c r="C548" s="7" t="str">
        <f>_xlfn.XLOOKUP(B548,'[1]Sheet 1'!$A$2:$A$11107,'[1]Sheet 1'!$D$2:$D$11107,"",0)</f>
        <v>VSS</v>
      </c>
      <c r="D548" s="4" t="str">
        <f>_xlfn.XLOOKUP(A548,[3]Sheet2!$I$2:$I$1623,[3]Sheet2!$D$2:$D$1623,"",0)</f>
        <v>Q3</v>
      </c>
      <c r="E548" s="4" t="s">
        <v>1828</v>
      </c>
      <c r="F548" s="4" t="e">
        <f>_xlfn.XLOOKUP(B548,[2]Sheet2!$E$2:$E$713,[2]Sheet2!$G$2:$G$713)</f>
        <v>#N/A</v>
      </c>
      <c r="G548" s="18">
        <v>46119</v>
      </c>
      <c r="H548" s="14">
        <v>0.76370370370370366</v>
      </c>
      <c r="I548" s="7" t="s">
        <v>10</v>
      </c>
      <c r="J548" s="2" t="str">
        <f t="shared" si="40"/>
        <v>Q3</v>
      </c>
      <c r="K548" s="2" t="str">
        <f t="shared" si="41"/>
        <v>Match</v>
      </c>
      <c r="L548" s="2">
        <f t="shared" si="42"/>
        <v>0</v>
      </c>
      <c r="M548" s="2" t="e">
        <f t="shared" si="43"/>
        <v>#N/A</v>
      </c>
      <c r="N548" s="2" t="str">
        <f t="shared" si="44"/>
        <v>Q OK dE&gt;0.8</v>
      </c>
      <c r="O548" s="7">
        <v>12.9</v>
      </c>
      <c r="P548" s="7">
        <v>0</v>
      </c>
      <c r="Q548" s="7">
        <v>-1.7</v>
      </c>
      <c r="R548" s="7">
        <v>-2</v>
      </c>
      <c r="S548" s="7">
        <v>0</v>
      </c>
      <c r="T548" s="20">
        <v>0</v>
      </c>
      <c r="U548" s="7">
        <v>-7.0000000000000007E-2</v>
      </c>
      <c r="V548" s="7">
        <v>-0.05</v>
      </c>
      <c r="W548" s="7">
        <v>2.0099999999999998</v>
      </c>
      <c r="X548" s="7" t="s">
        <v>6</v>
      </c>
      <c r="Y548" s="7" t="s">
        <v>15</v>
      </c>
      <c r="Z548" s="2" t="s">
        <v>718</v>
      </c>
      <c r="AA548" s="2" t="s">
        <v>721</v>
      </c>
    </row>
    <row r="549" spans="1:27" x14ac:dyDescent="0.35">
      <c r="A549" s="7" t="s">
        <v>1509</v>
      </c>
      <c r="B549" s="7" t="s">
        <v>1219</v>
      </c>
      <c r="C549" s="7" t="str">
        <f>_xlfn.XLOOKUP(B549,'[1]Sheet 1'!$A$2:$A$11107,'[1]Sheet 1'!$D$2:$D$11107,"",0)</f>
        <v>LBI</v>
      </c>
      <c r="D549" s="4" t="str">
        <f>_xlfn.XLOOKUP(A549,[3]Sheet2!$I$2:$I$1623,[3]Sheet2!$D$2:$D$1623,"",0)</f>
        <v>Q2</v>
      </c>
      <c r="E549" s="4" t="s">
        <v>1828</v>
      </c>
      <c r="F549" s="4" t="e">
        <f>_xlfn.XLOOKUP(B549,[2]Sheet2!$E$2:$E$713,[2]Sheet2!$G$2:$G$713)</f>
        <v>#N/A</v>
      </c>
      <c r="G549" s="18">
        <v>46119</v>
      </c>
      <c r="H549" s="14">
        <v>0.41270833333333334</v>
      </c>
      <c r="I549" s="7" t="s">
        <v>14</v>
      </c>
      <c r="J549" s="2" t="str">
        <f t="shared" si="40"/>
        <v>Q1</v>
      </c>
      <c r="K549" s="2" t="str">
        <f t="shared" si="41"/>
        <v>Not Match</v>
      </c>
      <c r="L549" s="2">
        <f t="shared" si="42"/>
        <v>0.14142135623730953</v>
      </c>
      <c r="M549" s="2" t="e">
        <f t="shared" si="43"/>
        <v>#N/A</v>
      </c>
      <c r="N549" s="2" t="str">
        <f t="shared" si="44"/>
        <v>Q NOT OK dE&gt;0.8</v>
      </c>
      <c r="O549" s="7">
        <v>15.3</v>
      </c>
      <c r="P549" s="7">
        <v>-0.7</v>
      </c>
      <c r="Q549" s="7">
        <v>-3</v>
      </c>
      <c r="R549" s="7">
        <v>-1.03</v>
      </c>
      <c r="S549" s="7">
        <v>0.1</v>
      </c>
      <c r="T549" s="7">
        <v>0.1</v>
      </c>
      <c r="U549" s="7">
        <v>-0.2</v>
      </c>
      <c r="V549" s="7">
        <v>0.19</v>
      </c>
      <c r="W549" s="7">
        <v>1.07</v>
      </c>
      <c r="X549" s="7" t="s">
        <v>6</v>
      </c>
      <c r="Y549" s="7" t="s">
        <v>9</v>
      </c>
      <c r="Z549" s="2" t="s">
        <v>718</v>
      </c>
      <c r="AA549" s="2" t="s">
        <v>721</v>
      </c>
    </row>
    <row r="550" spans="1:27" x14ac:dyDescent="0.35">
      <c r="A550" s="7" t="s">
        <v>1558</v>
      </c>
      <c r="B550" s="7" t="s">
        <v>1220</v>
      </c>
      <c r="C550" s="7" t="str">
        <f>_xlfn.XLOOKUP(B550,'[1]Sheet 1'!$A$2:$A$11107,'[1]Sheet 1'!$D$2:$D$11107,"",0)</f>
        <v>M&amp;S</v>
      </c>
      <c r="D550" s="4" t="str">
        <f>_xlfn.XLOOKUP(A550,[3]Sheet2!$I$2:$I$1623,[3]Sheet2!$D$2:$D$1623,"",0)</f>
        <v>Q3</v>
      </c>
      <c r="E550" s="4" t="s">
        <v>1827</v>
      </c>
      <c r="F550" s="4" t="e">
        <f>_xlfn.XLOOKUP(B550,[2]Sheet2!$E$2:$E$713,[2]Sheet2!$G$2:$G$713)</f>
        <v>#N/A</v>
      </c>
      <c r="G550" s="18">
        <v>46119</v>
      </c>
      <c r="H550" s="14">
        <v>0.42145833333333332</v>
      </c>
      <c r="I550" s="7" t="s">
        <v>17</v>
      </c>
      <c r="J550" s="2" t="str">
        <f t="shared" si="40"/>
        <v>Q3</v>
      </c>
      <c r="K550" s="2" t="str">
        <f t="shared" si="41"/>
        <v>Match</v>
      </c>
      <c r="L550" s="2">
        <f t="shared" si="42"/>
        <v>0.28284271247461906</v>
      </c>
      <c r="M550" s="2" t="e">
        <f t="shared" si="43"/>
        <v>#N/A</v>
      </c>
      <c r="N550" s="2" t="str">
        <f t="shared" si="44"/>
        <v>Q OK dE&gt;0.8</v>
      </c>
      <c r="O550" s="7">
        <v>13.8</v>
      </c>
      <c r="P550" s="7">
        <v>-0.7</v>
      </c>
      <c r="Q550" s="7">
        <v>-2</v>
      </c>
      <c r="R550" s="7">
        <v>-1.77</v>
      </c>
      <c r="S550" s="7">
        <v>-0.2</v>
      </c>
      <c r="T550" s="7">
        <v>-0.2</v>
      </c>
      <c r="U550" s="7">
        <v>0.48</v>
      </c>
      <c r="V550" s="7">
        <v>-0.23</v>
      </c>
      <c r="W550" s="7">
        <v>1.84</v>
      </c>
      <c r="X550" s="7" t="s">
        <v>6</v>
      </c>
      <c r="Y550" s="7" t="s">
        <v>15</v>
      </c>
      <c r="Z550" s="2" t="s">
        <v>718</v>
      </c>
      <c r="AA550" s="2" t="s">
        <v>721</v>
      </c>
    </row>
    <row r="551" spans="1:27" x14ac:dyDescent="0.35">
      <c r="A551" s="7" t="s">
        <v>1723</v>
      </c>
      <c r="B551" s="7" t="s">
        <v>1226</v>
      </c>
      <c r="C551" s="7" t="str">
        <f>_xlfn.XLOOKUP(B551,'[1]Sheet 1'!$A$2:$A$11107,'[1]Sheet 1'!$D$2:$D$11107,"",0)</f>
        <v>GAP</v>
      </c>
      <c r="D551" s="4" t="str">
        <f>_xlfn.XLOOKUP(A551,[3]Sheet2!$I$2:$I$1623,[3]Sheet2!$D$2:$D$1623,"",0)</f>
        <v>Q2</v>
      </c>
      <c r="E551" s="4" t="s">
        <v>1828</v>
      </c>
      <c r="F551" s="4" t="e">
        <f>_xlfn.XLOOKUP(B551,[2]Sheet2!$E$2:$E$713,[2]Sheet2!$G$2:$G$713)</f>
        <v>#N/A</v>
      </c>
      <c r="G551" s="18">
        <v>46119</v>
      </c>
      <c r="H551" s="14">
        <v>0.76119212962962968</v>
      </c>
      <c r="I551" s="7" t="s">
        <v>4</v>
      </c>
      <c r="J551" s="2" t="str">
        <f t="shared" si="40"/>
        <v>Q2</v>
      </c>
      <c r="K551" s="2" t="str">
        <f t="shared" si="41"/>
        <v>Match</v>
      </c>
      <c r="L551" s="2">
        <f t="shared" si="42"/>
        <v>0.5</v>
      </c>
      <c r="M551" s="2" t="e">
        <f t="shared" si="43"/>
        <v>#N/A</v>
      </c>
      <c r="N551" s="2" t="str">
        <f t="shared" si="44"/>
        <v>Q OK dE&lt;=0.8</v>
      </c>
      <c r="O551" s="7">
        <v>14.7</v>
      </c>
      <c r="P551" s="7">
        <v>-0.7</v>
      </c>
      <c r="Q551" s="7">
        <v>-1.5</v>
      </c>
      <c r="R551" s="7">
        <v>-0.13</v>
      </c>
      <c r="S551" s="7">
        <v>-0.5</v>
      </c>
      <c r="T551" s="20">
        <v>0</v>
      </c>
      <c r="U551" s="7">
        <v>0.32</v>
      </c>
      <c r="V551" s="7">
        <v>-0.7</v>
      </c>
      <c r="W551" s="7">
        <v>0.79</v>
      </c>
      <c r="X551" s="7" t="s">
        <v>13</v>
      </c>
      <c r="Y551" s="7" t="s">
        <v>15</v>
      </c>
      <c r="Z551" s="2" t="s">
        <v>718</v>
      </c>
      <c r="AA551" s="2" t="s">
        <v>721</v>
      </c>
    </row>
    <row r="552" spans="1:27" x14ac:dyDescent="0.35">
      <c r="A552" s="7" t="s">
        <v>1644</v>
      </c>
      <c r="B552" s="7" t="s">
        <v>1245</v>
      </c>
      <c r="C552" s="7" t="str">
        <f>_xlfn.XLOOKUP(B552,'[1]Sheet 1'!$A$2:$A$11107,'[1]Sheet 1'!$D$2:$D$11107,"",0)</f>
        <v>WACE</v>
      </c>
      <c r="D552" s="4" t="str">
        <f>_xlfn.XLOOKUP(A552,[3]Sheet2!$I$2:$I$1623,[3]Sheet2!$D$2:$D$1623,"",0)</f>
        <v>Q3</v>
      </c>
      <c r="E552" s="4" t="s">
        <v>1828</v>
      </c>
      <c r="F552" s="4" t="e">
        <f>_xlfn.XLOOKUP(B552,[2]Sheet2!$E$2:$E$713,[2]Sheet2!$G$2:$G$713)</f>
        <v>#N/A</v>
      </c>
      <c r="G552" s="18">
        <v>46120</v>
      </c>
      <c r="H552" s="14">
        <v>0.35146990740740741</v>
      </c>
      <c r="I552" s="7" t="s">
        <v>4</v>
      </c>
      <c r="J552" s="2" t="str">
        <f t="shared" si="40"/>
        <v>Q3</v>
      </c>
      <c r="K552" s="2" t="str">
        <f t="shared" si="41"/>
        <v>Match</v>
      </c>
      <c r="L552" s="2">
        <f t="shared" si="42"/>
        <v>0.4</v>
      </c>
      <c r="M552" s="2" t="e">
        <f t="shared" si="43"/>
        <v>#N/A</v>
      </c>
      <c r="N552" s="2" t="str">
        <f t="shared" si="44"/>
        <v>Q OK dE&lt;=0.8</v>
      </c>
      <c r="O552" s="7">
        <v>31.9</v>
      </c>
      <c r="P552" s="7">
        <v>8.9</v>
      </c>
      <c r="Q552" s="7">
        <v>6.1</v>
      </c>
      <c r="R552" s="7">
        <v>0.37</v>
      </c>
      <c r="S552" s="7">
        <v>0</v>
      </c>
      <c r="T552" s="7">
        <v>0.4</v>
      </c>
      <c r="U552" s="7">
        <v>0.22</v>
      </c>
      <c r="V552" s="7">
        <v>0.48</v>
      </c>
      <c r="W552" s="7">
        <v>0.64</v>
      </c>
      <c r="X552" s="7" t="s">
        <v>8</v>
      </c>
      <c r="Y552" s="7" t="s">
        <v>12</v>
      </c>
      <c r="Z552" s="2" t="s">
        <v>718</v>
      </c>
      <c r="AA552" s="2" t="s">
        <v>721</v>
      </c>
    </row>
    <row r="553" spans="1:27" x14ac:dyDescent="0.35">
      <c r="A553" s="7" t="s">
        <v>1773</v>
      </c>
      <c r="B553" s="7" t="s">
        <v>1240</v>
      </c>
      <c r="C553" s="7" t="str">
        <f>_xlfn.XLOOKUP(B553,'[1]Sheet 1'!$A$2:$A$11107,'[1]Sheet 1'!$D$2:$D$11107,"",0)</f>
        <v>NKSKI</v>
      </c>
      <c r="D553" s="4" t="str">
        <f>_xlfn.XLOOKUP(A553,[3]Sheet2!$I$2:$I$1623,[3]Sheet2!$D$2:$D$1623,"",0)</f>
        <v>Q3</v>
      </c>
      <c r="E553" s="4" t="s">
        <v>1829</v>
      </c>
      <c r="F553" s="4" t="e">
        <f>_xlfn.XLOOKUP(B553,[2]Sheet2!$E$2:$E$713,[2]Sheet2!$G$2:$G$713)</f>
        <v>#N/A</v>
      </c>
      <c r="G553" s="18">
        <v>46120</v>
      </c>
      <c r="H553" s="14">
        <v>0.26067129629629632</v>
      </c>
      <c r="I553" s="7" t="s">
        <v>4</v>
      </c>
      <c r="J553" s="2" t="str">
        <f t="shared" si="40"/>
        <v>Q3</v>
      </c>
      <c r="K553" s="2" t="str">
        <f t="shared" si="41"/>
        <v>Match</v>
      </c>
      <c r="L553" s="2">
        <f t="shared" si="42"/>
        <v>0.4</v>
      </c>
      <c r="M553" s="2" t="e">
        <f t="shared" si="43"/>
        <v>#N/A</v>
      </c>
      <c r="N553" s="2" t="str">
        <f t="shared" si="44"/>
        <v>Q OK dE&gt;0.8</v>
      </c>
      <c r="O553" s="7">
        <v>15.3</v>
      </c>
      <c r="P553" s="7">
        <v>-1.2</v>
      </c>
      <c r="Q553" s="7">
        <v>-2.2000000000000002</v>
      </c>
      <c r="R553" s="7">
        <v>-0.93</v>
      </c>
      <c r="S553" s="7">
        <v>0</v>
      </c>
      <c r="T553" s="7">
        <v>0.4</v>
      </c>
      <c r="U553" s="7">
        <v>-0.41</v>
      </c>
      <c r="V553" s="7">
        <v>-0.31</v>
      </c>
      <c r="W553" s="7">
        <v>1.07</v>
      </c>
      <c r="X553" s="7" t="s">
        <v>6</v>
      </c>
      <c r="Y553" s="7" t="s">
        <v>15</v>
      </c>
      <c r="Z553" s="2" t="s">
        <v>718</v>
      </c>
      <c r="AA553" s="2" t="s">
        <v>721</v>
      </c>
    </row>
    <row r="554" spans="1:27" x14ac:dyDescent="0.35">
      <c r="A554" s="7" t="s">
        <v>1572</v>
      </c>
      <c r="B554" s="7" t="s">
        <v>1236</v>
      </c>
      <c r="C554" s="7" t="str">
        <f>_xlfn.XLOOKUP(B554,'[1]Sheet 1'!$A$2:$A$11107,'[1]Sheet 1'!$D$2:$D$11107,"",0)</f>
        <v>WACE</v>
      </c>
      <c r="D554" s="4" t="str">
        <f>_xlfn.XLOOKUP(A554,[3]Sheet2!$I$2:$I$1623,[3]Sheet2!$D$2:$D$1623,"",0)</f>
        <v>Q3</v>
      </c>
      <c r="E554" s="4" t="s">
        <v>1828</v>
      </c>
      <c r="F554" s="4" t="e">
        <f>_xlfn.XLOOKUP(B554,[2]Sheet2!$E$2:$E$713,[2]Sheet2!$G$2:$G$713)</f>
        <v>#N/A</v>
      </c>
      <c r="G554" s="18">
        <v>46120</v>
      </c>
      <c r="H554" s="14">
        <v>7.3877314814814812E-2</v>
      </c>
      <c r="I554" s="7" t="s">
        <v>4</v>
      </c>
      <c r="J554" s="2" t="str">
        <f t="shared" si="40"/>
        <v>Q3</v>
      </c>
      <c r="K554" s="2" t="str">
        <f t="shared" si="41"/>
        <v>Match</v>
      </c>
      <c r="L554" s="2">
        <f t="shared" si="42"/>
        <v>0</v>
      </c>
      <c r="M554" s="2" t="e">
        <f t="shared" si="43"/>
        <v>#N/A</v>
      </c>
      <c r="N554" s="2" t="str">
        <f t="shared" si="44"/>
        <v>Q OK dE&lt;=0.8</v>
      </c>
      <c r="O554" s="7">
        <v>16.7</v>
      </c>
      <c r="P554" s="7">
        <v>-0.8</v>
      </c>
      <c r="Q554" s="7">
        <v>-1.5</v>
      </c>
      <c r="R554" s="7">
        <v>-0.25</v>
      </c>
      <c r="S554" s="7">
        <v>0</v>
      </c>
      <c r="T554" s="20">
        <v>0</v>
      </c>
      <c r="U554" s="7">
        <v>0.01</v>
      </c>
      <c r="V554" s="7">
        <v>0.05</v>
      </c>
      <c r="W554" s="7">
        <v>0.25</v>
      </c>
      <c r="X554" s="7" t="s">
        <v>8</v>
      </c>
      <c r="Y554" s="7" t="s">
        <v>9</v>
      </c>
      <c r="Z554" s="2" t="s">
        <v>718</v>
      </c>
      <c r="AA554" s="2" t="s">
        <v>721</v>
      </c>
    </row>
    <row r="555" spans="1:27" x14ac:dyDescent="0.35">
      <c r="A555" s="7" t="s">
        <v>1586</v>
      </c>
      <c r="B555" s="7" t="s">
        <v>1241</v>
      </c>
      <c r="C555" s="7" t="str">
        <f>_xlfn.XLOOKUP(B555,'[1]Sheet 1'!$A$2:$A$11107,'[1]Sheet 1'!$D$2:$D$11107,"",0)</f>
        <v>INT1</v>
      </c>
      <c r="D555" s="4" t="str">
        <f>_xlfn.XLOOKUP(A555,[3]Sheet2!$I$2:$I$1623,[3]Sheet2!$D$2:$D$1623,"",0)</f>
        <v>Q2</v>
      </c>
      <c r="E555" s="4" t="s">
        <v>1828</v>
      </c>
      <c r="F555" s="4" t="e">
        <f>_xlfn.XLOOKUP(B555,[2]Sheet2!$E$2:$E$713,[2]Sheet2!$G$2:$G$713)</f>
        <v>#N/A</v>
      </c>
      <c r="G555" s="18">
        <v>46120</v>
      </c>
      <c r="H555" s="14">
        <v>0.26337962962962963</v>
      </c>
      <c r="I555" s="7" t="s">
        <v>5</v>
      </c>
      <c r="J555" s="2" t="str">
        <f t="shared" si="40"/>
        <v>Q2</v>
      </c>
      <c r="K555" s="2" t="str">
        <f t="shared" si="41"/>
        <v>Match</v>
      </c>
      <c r="L555" s="2">
        <f t="shared" si="42"/>
        <v>0</v>
      </c>
      <c r="M555" s="2" t="e">
        <f t="shared" si="43"/>
        <v>#N/A</v>
      </c>
      <c r="N555" s="2" t="str">
        <f t="shared" si="44"/>
        <v>Q OK dE&lt;=0.8</v>
      </c>
      <c r="O555" s="7">
        <v>16.899999999999999</v>
      </c>
      <c r="P555" s="7">
        <v>-0.2</v>
      </c>
      <c r="Q555" s="7">
        <v>-1.6</v>
      </c>
      <c r="R555" s="7">
        <v>-0.69</v>
      </c>
      <c r="S555" s="7">
        <v>0</v>
      </c>
      <c r="T555" s="20">
        <v>0</v>
      </c>
      <c r="U555" s="7">
        <v>0.06</v>
      </c>
      <c r="V555" s="7">
        <v>0.11</v>
      </c>
      <c r="W555" s="7">
        <v>0.7</v>
      </c>
      <c r="X555" s="7" t="s">
        <v>8</v>
      </c>
      <c r="Y555" s="7" t="s">
        <v>9</v>
      </c>
      <c r="Z555" s="2" t="s">
        <v>718</v>
      </c>
      <c r="AA555" s="2" t="s">
        <v>721</v>
      </c>
    </row>
    <row r="556" spans="1:27" x14ac:dyDescent="0.35">
      <c r="A556" s="7" t="s">
        <v>1624</v>
      </c>
      <c r="B556" s="7" t="s">
        <v>1242</v>
      </c>
      <c r="C556" s="7" t="str">
        <f>_xlfn.XLOOKUP(B556,'[1]Sheet 1'!$A$2:$A$11107,'[1]Sheet 1'!$D$2:$D$11107,"",0)</f>
        <v>WACE</v>
      </c>
      <c r="D556" s="4" t="str">
        <f>_xlfn.XLOOKUP(A556,[3]Sheet2!$I$2:$I$1623,[3]Sheet2!$D$2:$D$1623,"",0)</f>
        <v>Q4</v>
      </c>
      <c r="E556" s="4" t="s">
        <v>1828</v>
      </c>
      <c r="F556" s="4" t="e">
        <f>_xlfn.XLOOKUP(B556,[2]Sheet2!$E$2:$E$713,[2]Sheet2!$G$2:$G$713)</f>
        <v>#N/A</v>
      </c>
      <c r="G556" s="18">
        <v>46120</v>
      </c>
      <c r="H556" s="14">
        <v>0.26501157407407405</v>
      </c>
      <c r="I556" s="7" t="s">
        <v>4</v>
      </c>
      <c r="J556" s="2" t="str">
        <f t="shared" si="40"/>
        <v>Q4</v>
      </c>
      <c r="K556" s="2" t="str">
        <f t="shared" si="41"/>
        <v>Match</v>
      </c>
      <c r="L556" s="2">
        <f t="shared" si="42"/>
        <v>0.3</v>
      </c>
      <c r="M556" s="2" t="e">
        <f t="shared" si="43"/>
        <v>#N/A</v>
      </c>
      <c r="N556" s="2" t="str">
        <f t="shared" si="44"/>
        <v>Q OK dE&lt;=0.8</v>
      </c>
      <c r="O556" s="7">
        <v>15.9</v>
      </c>
      <c r="P556" s="7">
        <v>-0.6</v>
      </c>
      <c r="Q556" s="7">
        <v>-1.4</v>
      </c>
      <c r="R556" s="7">
        <v>0.09</v>
      </c>
      <c r="S556" s="7">
        <v>0</v>
      </c>
      <c r="T556" s="7">
        <v>-0.3</v>
      </c>
      <c r="U556" s="7">
        <v>0.42</v>
      </c>
      <c r="V556" s="7">
        <v>0.2</v>
      </c>
      <c r="W556" s="7">
        <v>0.48</v>
      </c>
      <c r="X556" s="7" t="s">
        <v>8</v>
      </c>
      <c r="Y556" s="7" t="s">
        <v>9</v>
      </c>
      <c r="Z556" s="2" t="s">
        <v>718</v>
      </c>
      <c r="AA556" s="2" t="s">
        <v>721</v>
      </c>
    </row>
    <row r="557" spans="1:27" x14ac:dyDescent="0.35">
      <c r="A557" s="7" t="s">
        <v>1775</v>
      </c>
      <c r="B557" s="7" t="s">
        <v>1248</v>
      </c>
      <c r="C557" s="7" t="str">
        <f>_xlfn.XLOOKUP(B557,'[1]Sheet 1'!$A$2:$A$11107,'[1]Sheet 1'!$D$2:$D$11107,"",0)</f>
        <v>PEP</v>
      </c>
      <c r="D557" s="4" t="str">
        <f>_xlfn.XLOOKUP(A557,[3]Sheet2!$I$2:$I$1623,[3]Sheet2!$D$2:$D$1623,"",0)</f>
        <v>Q2</v>
      </c>
      <c r="E557" s="4" t="s">
        <v>1828</v>
      </c>
      <c r="F557" s="4" t="e">
        <f>_xlfn.XLOOKUP(B557,[2]Sheet2!$E$2:$E$713,[2]Sheet2!$G$2:$G$713)</f>
        <v>#N/A</v>
      </c>
      <c r="G557" s="18">
        <v>46120</v>
      </c>
      <c r="H557" s="14">
        <v>0.75785879629629627</v>
      </c>
      <c r="I557" s="7" t="s">
        <v>4</v>
      </c>
      <c r="J557" s="2" t="str">
        <f t="shared" si="40"/>
        <v>Q2</v>
      </c>
      <c r="K557" s="2" t="str">
        <f t="shared" si="41"/>
        <v>Match</v>
      </c>
      <c r="L557" s="2">
        <f t="shared" si="42"/>
        <v>0.1</v>
      </c>
      <c r="M557" s="2" t="e">
        <f t="shared" si="43"/>
        <v>#N/A</v>
      </c>
      <c r="N557" s="2" t="str">
        <f t="shared" si="44"/>
        <v>Q OK dE&lt;=0.8</v>
      </c>
      <c r="O557" s="7">
        <v>12.8</v>
      </c>
      <c r="P557" s="7">
        <v>-0.5</v>
      </c>
      <c r="Q557" s="7">
        <v>-1</v>
      </c>
      <c r="R557" s="7">
        <v>-0.1</v>
      </c>
      <c r="S557" s="7">
        <v>-0.1</v>
      </c>
      <c r="T557" s="20">
        <v>0</v>
      </c>
      <c r="U557" s="7">
        <v>0.08</v>
      </c>
      <c r="V557" s="7">
        <v>-0.15</v>
      </c>
      <c r="W557" s="7">
        <v>0.2</v>
      </c>
      <c r="X557" s="7" t="s">
        <v>8</v>
      </c>
      <c r="Y557" s="7" t="s">
        <v>15</v>
      </c>
      <c r="Z557" s="2" t="s">
        <v>718</v>
      </c>
      <c r="AA557" s="2" t="s">
        <v>721</v>
      </c>
    </row>
    <row r="558" spans="1:27" x14ac:dyDescent="0.35">
      <c r="A558" s="7" t="s">
        <v>1631</v>
      </c>
      <c r="B558" s="7" t="s">
        <v>1246</v>
      </c>
      <c r="C558" s="7" t="str">
        <f>_xlfn.XLOOKUP(B558,'[1]Sheet 1'!$A$2:$A$11107,'[1]Sheet 1'!$D$2:$D$11107,"",0)</f>
        <v>LULU</v>
      </c>
      <c r="D558" s="4" t="str">
        <f>_xlfn.XLOOKUP(A558,[3]Sheet2!$I$2:$I$1623,[3]Sheet2!$D$2:$D$1623,"",0)</f>
        <v>Q4</v>
      </c>
      <c r="E558" s="4" t="s">
        <v>1828</v>
      </c>
      <c r="F558" s="4" t="e">
        <f>_xlfn.XLOOKUP(B558,[2]Sheet2!$E$2:$E$713,[2]Sheet2!$G$2:$G$713)</f>
        <v>#N/A</v>
      </c>
      <c r="G558" s="18">
        <v>46120</v>
      </c>
      <c r="H558" s="14">
        <v>0.69407407407407407</v>
      </c>
      <c r="I558" s="7" t="s">
        <v>4</v>
      </c>
      <c r="J558" s="2" t="str">
        <f t="shared" si="40"/>
        <v>Q1</v>
      </c>
      <c r="K558" s="2" t="str">
        <f t="shared" si="41"/>
        <v>Not Match</v>
      </c>
      <c r="L558" s="2">
        <f t="shared" si="42"/>
        <v>0.50990195135927852</v>
      </c>
      <c r="M558" s="2" t="e">
        <f t="shared" si="43"/>
        <v>#N/A</v>
      </c>
      <c r="N558" s="2" t="str">
        <f t="shared" si="44"/>
        <v>Q NOT OK dE&lt;=0.8</v>
      </c>
      <c r="O558" s="7">
        <v>22.8</v>
      </c>
      <c r="P558" s="7">
        <v>3.2</v>
      </c>
      <c r="Q558" s="7">
        <v>3.4</v>
      </c>
      <c r="R558" s="7">
        <v>-0.36</v>
      </c>
      <c r="S558" s="7">
        <v>0.5</v>
      </c>
      <c r="T558" s="7">
        <v>0.1</v>
      </c>
      <c r="U558" s="7">
        <v>0.47</v>
      </c>
      <c r="V558" s="7">
        <v>-0.43</v>
      </c>
      <c r="W558" s="7">
        <v>0.73</v>
      </c>
      <c r="X558" s="7" t="s">
        <v>8</v>
      </c>
      <c r="Y558" s="7" t="s">
        <v>9</v>
      </c>
      <c r="Z558" s="2" t="s">
        <v>718</v>
      </c>
      <c r="AA558" s="2" t="s">
        <v>721</v>
      </c>
    </row>
    <row r="559" spans="1:27" x14ac:dyDescent="0.35">
      <c r="A559" s="7" t="s">
        <v>1557</v>
      </c>
      <c r="B559" s="7" t="s">
        <v>1237</v>
      </c>
      <c r="C559" s="7" t="str">
        <f>_xlfn.XLOOKUP(B559,'[1]Sheet 1'!$A$2:$A$11107,'[1]Sheet 1'!$D$2:$D$11107,"",0)</f>
        <v>M&amp;S</v>
      </c>
      <c r="D559" s="4" t="str">
        <f>_xlfn.XLOOKUP(A559,[3]Sheet2!$I$2:$I$1623,[3]Sheet2!$D$2:$D$1623,"",0)</f>
        <v>Q3</v>
      </c>
      <c r="E559" s="4" t="s">
        <v>1828</v>
      </c>
      <c r="F559" s="4" t="e">
        <f>_xlfn.XLOOKUP(B559,[2]Sheet2!$E$2:$E$713,[2]Sheet2!$G$2:$G$713)</f>
        <v>#N/A</v>
      </c>
      <c r="G559" s="18">
        <v>46120</v>
      </c>
      <c r="H559" s="14">
        <v>8.1423611111111113E-2</v>
      </c>
      <c r="I559" s="7" t="s">
        <v>17</v>
      </c>
      <c r="J559" s="2" t="str">
        <f t="shared" si="40"/>
        <v>Q3</v>
      </c>
      <c r="K559" s="2" t="str">
        <f t="shared" si="41"/>
        <v>Match</v>
      </c>
      <c r="L559" s="2">
        <f t="shared" si="42"/>
        <v>0.28284271247461906</v>
      </c>
      <c r="M559" s="2" t="e">
        <f t="shared" si="43"/>
        <v>#N/A</v>
      </c>
      <c r="N559" s="2" t="str">
        <f t="shared" si="44"/>
        <v>Q OK dE&gt;0.8</v>
      </c>
      <c r="O559" s="7">
        <v>14.6</v>
      </c>
      <c r="P559" s="7">
        <v>-0.6</v>
      </c>
      <c r="Q559" s="7">
        <v>-1.8</v>
      </c>
      <c r="R559" s="7">
        <v>-0.97</v>
      </c>
      <c r="S559" s="7">
        <v>-0.2</v>
      </c>
      <c r="T559" s="7">
        <v>-0.2</v>
      </c>
      <c r="U559" s="7">
        <v>0.39</v>
      </c>
      <c r="V559" s="7">
        <v>-0.22</v>
      </c>
      <c r="W559" s="7">
        <v>1.07</v>
      </c>
      <c r="X559" s="7" t="s">
        <v>6</v>
      </c>
      <c r="Y559" s="7" t="s">
        <v>15</v>
      </c>
      <c r="Z559" s="2" t="s">
        <v>718</v>
      </c>
      <c r="AA559" s="2" t="s">
        <v>721</v>
      </c>
    </row>
    <row r="560" spans="1:27" x14ac:dyDescent="0.35">
      <c r="A560" s="7" t="s">
        <v>1774</v>
      </c>
      <c r="B560" s="7" t="s">
        <v>1244</v>
      </c>
      <c r="C560" s="7" t="str">
        <f>_xlfn.XLOOKUP(B560,'[1]Sheet 1'!$A$2:$A$11107,'[1]Sheet 1'!$D$2:$D$11107,"",0)</f>
        <v>WACE</v>
      </c>
      <c r="D560" s="4" t="str">
        <f>_xlfn.XLOOKUP(A560,[3]Sheet2!$I$2:$I$1623,[3]Sheet2!$D$2:$D$1623,"",0)</f>
        <v>Q4</v>
      </c>
      <c r="E560" s="4" t="s">
        <v>1828</v>
      </c>
      <c r="F560" s="4" t="e">
        <f>_xlfn.XLOOKUP(B560,[2]Sheet2!$E$2:$E$713,[2]Sheet2!$G$2:$G$713)</f>
        <v>#N/A</v>
      </c>
      <c r="G560" s="18">
        <v>46120</v>
      </c>
      <c r="H560" s="14">
        <v>0.50850694444444444</v>
      </c>
      <c r="I560" s="7" t="s">
        <v>4</v>
      </c>
      <c r="J560" s="2" t="str">
        <f t="shared" si="40"/>
        <v>Q4</v>
      </c>
      <c r="K560" s="2" t="str">
        <f t="shared" si="41"/>
        <v>Match</v>
      </c>
      <c r="L560" s="2">
        <f t="shared" si="42"/>
        <v>0</v>
      </c>
      <c r="M560" s="2" t="e">
        <f t="shared" si="43"/>
        <v>#N/A</v>
      </c>
      <c r="N560" s="2" t="str">
        <f t="shared" si="44"/>
        <v>Q OK dE&gt;0.8</v>
      </c>
      <c r="O560" s="7">
        <v>18.7</v>
      </c>
      <c r="P560" s="7">
        <v>-0.5</v>
      </c>
      <c r="Q560" s="7">
        <v>-2.4</v>
      </c>
      <c r="R560" s="7">
        <v>-0.85</v>
      </c>
      <c r="S560" s="7">
        <v>0</v>
      </c>
      <c r="T560" s="20">
        <v>0</v>
      </c>
      <c r="U560" s="7">
        <v>-7.0000000000000007E-2</v>
      </c>
      <c r="V560" s="7">
        <v>-0.14000000000000001</v>
      </c>
      <c r="W560" s="7">
        <v>0.86</v>
      </c>
      <c r="X560" s="7" t="s">
        <v>13</v>
      </c>
      <c r="Y560" s="7" t="s">
        <v>15</v>
      </c>
      <c r="Z560" s="2" t="s">
        <v>718</v>
      </c>
      <c r="AA560" s="2" t="s">
        <v>721</v>
      </c>
    </row>
    <row r="561" spans="1:27" x14ac:dyDescent="0.35">
      <c r="A561" s="7" t="s">
        <v>1515</v>
      </c>
      <c r="B561" s="7" t="s">
        <v>1243</v>
      </c>
      <c r="C561" s="7" t="str">
        <f>_xlfn.XLOOKUP(B561,'[1]Sheet 1'!$A$2:$A$11107,'[1]Sheet 1'!$D$2:$D$11107,"",0)</f>
        <v>VSS</v>
      </c>
      <c r="D561" s="4" t="str">
        <f>_xlfn.XLOOKUP(A561,[3]Sheet2!$I$2:$I$1623,[3]Sheet2!$D$2:$D$1623,"",0)</f>
        <v>Q3</v>
      </c>
      <c r="E561" s="4" t="s">
        <v>1828</v>
      </c>
      <c r="F561" s="4" t="e">
        <f>_xlfn.XLOOKUP(B561,[2]Sheet2!$E$2:$E$713,[2]Sheet2!$G$2:$G$713)</f>
        <v>#N/A</v>
      </c>
      <c r="G561" s="18">
        <v>46120</v>
      </c>
      <c r="H561" s="14">
        <v>0.27149305555555553</v>
      </c>
      <c r="I561" s="7" t="s">
        <v>10</v>
      </c>
      <c r="J561" s="2" t="str">
        <f t="shared" si="40"/>
        <v>Q3</v>
      </c>
      <c r="K561" s="2" t="str">
        <f t="shared" si="41"/>
        <v>Match</v>
      </c>
      <c r="L561" s="2">
        <f t="shared" si="42"/>
        <v>0.1</v>
      </c>
      <c r="M561" s="2" t="e">
        <f t="shared" si="43"/>
        <v>#N/A</v>
      </c>
      <c r="N561" s="2" t="str">
        <f t="shared" si="44"/>
        <v>Q OK dE&gt;0.8</v>
      </c>
      <c r="O561" s="7">
        <v>13.4</v>
      </c>
      <c r="P561" s="7">
        <v>0</v>
      </c>
      <c r="Q561" s="7">
        <v>-1.9</v>
      </c>
      <c r="R561" s="7">
        <v>-1.53</v>
      </c>
      <c r="S561" s="7">
        <v>0</v>
      </c>
      <c r="T561" s="7">
        <v>-0.1</v>
      </c>
      <c r="U561" s="7">
        <v>0.22</v>
      </c>
      <c r="V561" s="7">
        <v>-0.03</v>
      </c>
      <c r="W561" s="7">
        <v>1.54</v>
      </c>
      <c r="X561" s="7" t="s">
        <v>6</v>
      </c>
      <c r="Y561" s="7" t="s">
        <v>15</v>
      </c>
      <c r="Z561" s="2" t="s">
        <v>718</v>
      </c>
      <c r="AA561" s="2" t="s">
        <v>721</v>
      </c>
    </row>
    <row r="562" spans="1:27" x14ac:dyDescent="0.35">
      <c r="A562" s="7" t="s">
        <v>1553</v>
      </c>
      <c r="B562" s="7" t="s">
        <v>1249</v>
      </c>
      <c r="C562" s="7" t="str">
        <f>_xlfn.XLOOKUP(B562,'[1]Sheet 1'!$A$2:$A$11107,'[1]Sheet 1'!$D$2:$D$11107,"",0)</f>
        <v>TORD</v>
      </c>
      <c r="D562" s="4" t="str">
        <f>_xlfn.XLOOKUP(A562,[3]Sheet2!$I$2:$I$1623,[3]Sheet2!$D$2:$D$1623,"",0)</f>
        <v>Q4</v>
      </c>
      <c r="E562" s="4" t="s">
        <v>1828</v>
      </c>
      <c r="F562" s="4" t="e">
        <f>_xlfn.XLOOKUP(B562,[2]Sheet2!$E$2:$E$713,[2]Sheet2!$G$2:$G$713)</f>
        <v>#N/A</v>
      </c>
      <c r="G562" s="18">
        <v>46120</v>
      </c>
      <c r="H562" s="14">
        <v>0.76099537037037035</v>
      </c>
      <c r="I562" s="7" t="s">
        <v>4</v>
      </c>
      <c r="J562" s="2" t="str">
        <f t="shared" si="40"/>
        <v>Q4</v>
      </c>
      <c r="K562" s="2" t="str">
        <f t="shared" si="41"/>
        <v>Match</v>
      </c>
      <c r="L562" s="2">
        <f t="shared" si="42"/>
        <v>0.2</v>
      </c>
      <c r="M562" s="2" t="e">
        <f t="shared" si="43"/>
        <v>#N/A</v>
      </c>
      <c r="N562" s="2" t="str">
        <f t="shared" si="44"/>
        <v>Q OK dE&lt;=0.8</v>
      </c>
      <c r="O562" s="7">
        <v>15.8</v>
      </c>
      <c r="P562" s="7">
        <v>-0.1</v>
      </c>
      <c r="Q562" s="7">
        <v>-2.6</v>
      </c>
      <c r="R562" s="7">
        <v>-0.2</v>
      </c>
      <c r="S562" s="7">
        <v>-0.2</v>
      </c>
      <c r="T562" s="20">
        <v>0</v>
      </c>
      <c r="U562" s="7">
        <v>-0.04</v>
      </c>
      <c r="V562" s="7">
        <v>-0.39</v>
      </c>
      <c r="W562" s="7">
        <v>0.44</v>
      </c>
      <c r="X562" s="7" t="s">
        <v>8</v>
      </c>
      <c r="Y562" s="7" t="s">
        <v>15</v>
      </c>
      <c r="Z562" s="2" t="s">
        <v>718</v>
      </c>
      <c r="AA562" s="2" t="s">
        <v>721</v>
      </c>
    </row>
    <row r="563" spans="1:27" x14ac:dyDescent="0.35">
      <c r="A563" s="7" t="s">
        <v>1688</v>
      </c>
      <c r="B563" s="7" t="s">
        <v>1247</v>
      </c>
      <c r="C563" s="7" t="str">
        <f>_xlfn.XLOOKUP(B563,'[1]Sheet 1'!$A$2:$A$11107,'[1]Sheet 1'!$D$2:$D$11107,"",0)</f>
        <v>GAP</v>
      </c>
      <c r="D563" s="4" t="str">
        <f>_xlfn.XLOOKUP(A563,[3]Sheet2!$I$2:$I$1623,[3]Sheet2!$D$2:$D$1623,"",0)</f>
        <v>Q4</v>
      </c>
      <c r="E563" s="4" t="s">
        <v>1827</v>
      </c>
      <c r="F563" s="4" t="e">
        <f>_xlfn.XLOOKUP(B563,[2]Sheet2!$E$2:$E$713,[2]Sheet2!$G$2:$G$713)</f>
        <v>#N/A</v>
      </c>
      <c r="G563" s="18">
        <v>46120</v>
      </c>
      <c r="H563" s="14">
        <v>0.72593750000000001</v>
      </c>
      <c r="I563" s="7" t="s">
        <v>4</v>
      </c>
      <c r="J563" s="2" t="str">
        <f t="shared" si="40"/>
        <v>Q3</v>
      </c>
      <c r="K563" s="2" t="str">
        <f t="shared" si="41"/>
        <v>Not Match</v>
      </c>
      <c r="L563" s="2">
        <f t="shared" si="42"/>
        <v>0.5</v>
      </c>
      <c r="M563" s="2" t="e">
        <f t="shared" si="43"/>
        <v>#N/A</v>
      </c>
      <c r="N563" s="2" t="str">
        <f t="shared" si="44"/>
        <v>Q NOT OK dE&gt;0.8</v>
      </c>
      <c r="O563" s="7">
        <v>14</v>
      </c>
      <c r="P563" s="7">
        <v>-0.4</v>
      </c>
      <c r="Q563" s="7">
        <v>-1.6</v>
      </c>
      <c r="R563" s="7">
        <v>0.6</v>
      </c>
      <c r="S563" s="7">
        <v>-0.3</v>
      </c>
      <c r="T563" s="7">
        <v>-0.4</v>
      </c>
      <c r="U563" s="7">
        <v>0.67</v>
      </c>
      <c r="V563" s="7">
        <v>-0.39</v>
      </c>
      <c r="W563" s="7">
        <v>0.98</v>
      </c>
      <c r="X563" s="7" t="s">
        <v>13</v>
      </c>
      <c r="Y563" s="7" t="s">
        <v>15</v>
      </c>
      <c r="Z563" s="2" t="s">
        <v>718</v>
      </c>
      <c r="AA563" s="2" t="s">
        <v>721</v>
      </c>
    </row>
    <row r="564" spans="1:27" x14ac:dyDescent="0.35">
      <c r="A564" s="7" t="s">
        <v>1614</v>
      </c>
      <c r="B564" s="7" t="s">
        <v>910</v>
      </c>
      <c r="C564" s="7" t="str">
        <f>_xlfn.XLOOKUP(B564,'[1]Sheet 1'!$A$2:$A$11107,'[1]Sheet 1'!$D$2:$D$11107,"",0)</f>
        <v>M&amp;S</v>
      </c>
      <c r="D564" s="4" t="str">
        <f>_xlfn.XLOOKUP(A564,[3]Sheet2!$I$2:$I$1623,[3]Sheet2!$D$2:$D$1623,"",0)</f>
        <v>Q3</v>
      </c>
      <c r="E564" s="4" t="s">
        <v>1827</v>
      </c>
      <c r="F564" s="4" t="e">
        <f>_xlfn.XLOOKUP(B564,[2]Sheet2!$E$2:$E$713,[2]Sheet2!$G$2:$G$713)</f>
        <v>#N/A</v>
      </c>
      <c r="G564" s="18">
        <v>46121</v>
      </c>
      <c r="H564" s="14">
        <v>0.85329861111111116</v>
      </c>
      <c r="I564" s="7" t="s">
        <v>17</v>
      </c>
      <c r="J564" s="2" t="str">
        <f t="shared" si="40"/>
        <v>Q2</v>
      </c>
      <c r="K564" s="2" t="str">
        <f t="shared" si="41"/>
        <v>Not Match</v>
      </c>
      <c r="L564" s="2">
        <f t="shared" si="42"/>
        <v>0.5</v>
      </c>
      <c r="M564" s="2" t="e">
        <f t="shared" si="43"/>
        <v>#N/A</v>
      </c>
      <c r="N564" s="2" t="str">
        <f t="shared" si="44"/>
        <v>Q NOT OK dE&gt;0.8</v>
      </c>
      <c r="O564" s="7">
        <v>23.4</v>
      </c>
      <c r="P564" s="7">
        <v>-5.9</v>
      </c>
      <c r="Q564" s="7">
        <v>-6.6</v>
      </c>
      <c r="R564" s="7">
        <v>-0.7</v>
      </c>
      <c r="S564" s="7">
        <v>-0.4</v>
      </c>
      <c r="T564" s="7">
        <v>0.3</v>
      </c>
      <c r="U564" s="7">
        <v>0.02</v>
      </c>
      <c r="V564" s="7">
        <v>-0.69</v>
      </c>
      <c r="W564" s="7">
        <v>0.99</v>
      </c>
      <c r="X564" s="7" t="s">
        <v>13</v>
      </c>
      <c r="Y564" s="7" t="s">
        <v>12</v>
      </c>
      <c r="Z564" s="2" t="s">
        <v>718</v>
      </c>
      <c r="AA564" s="2" t="s">
        <v>721</v>
      </c>
    </row>
    <row r="565" spans="1:27" x14ac:dyDescent="0.35">
      <c r="A565" s="7" t="s">
        <v>1731</v>
      </c>
      <c r="B565" s="7" t="s">
        <v>1100</v>
      </c>
      <c r="C565" s="7" t="str">
        <f>_xlfn.XLOOKUP(B565,'[1]Sheet 1'!$A$2:$A$11107,'[1]Sheet 1'!$D$2:$D$11107,"",0)</f>
        <v>WACE</v>
      </c>
      <c r="D565" s="4" t="str">
        <f>_xlfn.XLOOKUP(A565,[3]Sheet2!$I$2:$I$1623,[3]Sheet2!$D$2:$D$1623,"",0)</f>
        <v>Q4</v>
      </c>
      <c r="E565" s="4" t="s">
        <v>1827</v>
      </c>
      <c r="F565" s="4" t="e">
        <f>_xlfn.XLOOKUP(B565,[2]Sheet2!$E$2:$E$713,[2]Sheet2!$G$2:$G$713)</f>
        <v>#N/A</v>
      </c>
      <c r="G565" s="18">
        <v>46121</v>
      </c>
      <c r="H565" s="14">
        <v>0.59236111111111112</v>
      </c>
      <c r="I565" s="7" t="s">
        <v>4</v>
      </c>
      <c r="J565" s="2" t="str">
        <f t="shared" si="40"/>
        <v>Q4</v>
      </c>
      <c r="K565" s="2" t="str">
        <f t="shared" si="41"/>
        <v>Match</v>
      </c>
      <c r="L565" s="2">
        <f t="shared" si="42"/>
        <v>0.5</v>
      </c>
      <c r="M565" s="2" t="e">
        <f t="shared" si="43"/>
        <v>#N/A</v>
      </c>
      <c r="N565" s="2" t="str">
        <f t="shared" si="44"/>
        <v>Q OK dE&lt;=0.8</v>
      </c>
      <c r="O565" s="7">
        <v>24.3</v>
      </c>
      <c r="P565" s="7">
        <v>-0.8</v>
      </c>
      <c r="Q565" s="7">
        <v>-22.3</v>
      </c>
      <c r="R565" s="7">
        <v>0.12</v>
      </c>
      <c r="S565" s="7">
        <v>0</v>
      </c>
      <c r="T565" s="7">
        <v>0.5</v>
      </c>
      <c r="U565" s="7">
        <v>-0.31</v>
      </c>
      <c r="V565" s="7">
        <v>0.03</v>
      </c>
      <c r="W565" s="7">
        <v>0.33</v>
      </c>
      <c r="X565" s="7" t="s">
        <v>8</v>
      </c>
      <c r="Y565" s="7" t="s">
        <v>9</v>
      </c>
      <c r="Z565" s="2" t="s">
        <v>718</v>
      </c>
      <c r="AA565" s="2" t="s">
        <v>721</v>
      </c>
    </row>
    <row r="566" spans="1:27" x14ac:dyDescent="0.35">
      <c r="A566" s="7" t="s">
        <v>1687</v>
      </c>
      <c r="B566" s="7" t="s">
        <v>1101</v>
      </c>
      <c r="C566" s="7" t="str">
        <f>_xlfn.XLOOKUP(B566,'[1]Sheet 1'!$A$2:$A$11107,'[1]Sheet 1'!$D$2:$D$11107,"",0)</f>
        <v>NIK</v>
      </c>
      <c r="D566" s="4" t="str">
        <f>_xlfn.XLOOKUP(A566,[3]Sheet2!$I$2:$I$1623,[3]Sheet2!$D$2:$D$1623,"",0)</f>
        <v>Q3</v>
      </c>
      <c r="E566" s="4" t="s">
        <v>1828</v>
      </c>
      <c r="F566" s="4" t="e">
        <f>_xlfn.XLOOKUP(B566,[2]Sheet2!$E$2:$E$713,[2]Sheet2!$G$2:$G$713)</f>
        <v>#N/A</v>
      </c>
      <c r="G566" s="18">
        <v>46121</v>
      </c>
      <c r="H566" s="14">
        <v>0.52810185185185188</v>
      </c>
      <c r="I566" s="7" t="s">
        <v>4</v>
      </c>
      <c r="J566" s="2" t="str">
        <f t="shared" si="40"/>
        <v>Q2</v>
      </c>
      <c r="K566" s="2" t="str">
        <f t="shared" si="41"/>
        <v>Not Match</v>
      </c>
      <c r="L566" s="2">
        <f t="shared" si="42"/>
        <v>0.53851648071345048</v>
      </c>
      <c r="M566" s="2" t="e">
        <f t="shared" si="43"/>
        <v>#N/A</v>
      </c>
      <c r="N566" s="2" t="str">
        <f t="shared" si="44"/>
        <v>Q NOT OK dE&gt;0.8</v>
      </c>
      <c r="O566" s="7">
        <v>32</v>
      </c>
      <c r="P566" s="7">
        <v>11.1</v>
      </c>
      <c r="Q566" s="7">
        <v>11.6</v>
      </c>
      <c r="R566" s="7">
        <v>-1.1399999999999999</v>
      </c>
      <c r="S566" s="7">
        <v>-0.2</v>
      </c>
      <c r="T566" s="7">
        <v>0.5</v>
      </c>
      <c r="U566" s="7">
        <v>0.15</v>
      </c>
      <c r="V566" s="7">
        <v>0.84</v>
      </c>
      <c r="W566" s="7">
        <v>1.42</v>
      </c>
      <c r="X566" s="7" t="s">
        <v>6</v>
      </c>
      <c r="Y566" s="7" t="s">
        <v>12</v>
      </c>
      <c r="Z566" s="2" t="s">
        <v>718</v>
      </c>
      <c r="AA566" s="2" t="s">
        <v>721</v>
      </c>
    </row>
    <row r="567" spans="1:27" x14ac:dyDescent="0.35">
      <c r="A567" s="7" t="s">
        <v>1762</v>
      </c>
      <c r="B567" s="7" t="s">
        <v>1250</v>
      </c>
      <c r="C567" s="7" t="str">
        <f>_xlfn.XLOOKUP(B567,'[1]Sheet 1'!$A$2:$A$11107,'[1]Sheet 1'!$D$2:$D$11107,"",0)</f>
        <v>CHICOS</v>
      </c>
      <c r="D567" s="4" t="str">
        <f>_xlfn.XLOOKUP(A567,[3]Sheet2!$I$2:$I$1623,[3]Sheet2!$D$2:$D$1623,"",0)</f>
        <v>Q3</v>
      </c>
      <c r="E567" s="4" t="s">
        <v>1828</v>
      </c>
      <c r="F567" s="4" t="e">
        <f>_xlfn.XLOOKUP(B567,[2]Sheet2!$E$2:$E$713,[2]Sheet2!$G$2:$G$713)</f>
        <v>#N/A</v>
      </c>
      <c r="G567" s="18">
        <v>46121</v>
      </c>
      <c r="H567" s="14">
        <v>0.50192129629629634</v>
      </c>
      <c r="I567" s="7" t="s">
        <v>14</v>
      </c>
      <c r="J567" s="2" t="str">
        <f t="shared" si="40"/>
        <v>Q3</v>
      </c>
      <c r="K567" s="2" t="str">
        <f t="shared" si="41"/>
        <v>Match</v>
      </c>
      <c r="L567" s="2">
        <f t="shared" si="42"/>
        <v>0</v>
      </c>
      <c r="M567" s="2" t="e">
        <f t="shared" si="43"/>
        <v>#N/A</v>
      </c>
      <c r="N567" s="2" t="str">
        <f t="shared" si="44"/>
        <v>Q OK dE&lt;=0.8</v>
      </c>
      <c r="O567" s="7">
        <v>16</v>
      </c>
      <c r="P567" s="7">
        <v>-0.7</v>
      </c>
      <c r="Q567" s="7">
        <v>-3.2</v>
      </c>
      <c r="R567" s="7">
        <v>-0.16</v>
      </c>
      <c r="S567" s="7">
        <v>0</v>
      </c>
      <c r="T567" s="20">
        <v>0</v>
      </c>
      <c r="U567" s="7">
        <v>0.03</v>
      </c>
      <c r="V567" s="7">
        <v>0.11</v>
      </c>
      <c r="W567" s="7">
        <v>0.2</v>
      </c>
      <c r="X567" s="7" t="s">
        <v>8</v>
      </c>
      <c r="Y567" s="7" t="s">
        <v>9</v>
      </c>
      <c r="Z567" s="2" t="s">
        <v>718</v>
      </c>
      <c r="AA567" s="2" t="s">
        <v>721</v>
      </c>
    </row>
    <row r="568" spans="1:27" x14ac:dyDescent="0.35">
      <c r="A568" s="7" t="s">
        <v>1662</v>
      </c>
      <c r="B568" s="7" t="s">
        <v>1252</v>
      </c>
      <c r="C568" s="7" t="str">
        <f>_xlfn.XLOOKUP(B568,'[1]Sheet 1'!$A$2:$A$11107,'[1]Sheet 1'!$D$2:$D$11107,"",0)</f>
        <v>CK</v>
      </c>
      <c r="D568" s="4" t="str">
        <f>_xlfn.XLOOKUP(A568,[3]Sheet2!$I$2:$I$1623,[3]Sheet2!$D$2:$D$1623,"",0)</f>
        <v>Q1</v>
      </c>
      <c r="E568" s="4" t="s">
        <v>1828</v>
      </c>
      <c r="F568" s="4" t="e">
        <f>_xlfn.XLOOKUP(B568,[2]Sheet2!$E$2:$E$713,[2]Sheet2!$G$2:$G$713)</f>
        <v>#N/A</v>
      </c>
      <c r="G568" s="18">
        <v>46121</v>
      </c>
      <c r="H568" s="14">
        <v>0.74791666666666667</v>
      </c>
      <c r="I568" s="7" t="s">
        <v>11</v>
      </c>
      <c r="J568" s="2" t="str">
        <f t="shared" si="40"/>
        <v>Q1</v>
      </c>
      <c r="K568" s="2" t="str">
        <f t="shared" si="41"/>
        <v>Match</v>
      </c>
      <c r="L568" s="2">
        <f t="shared" si="42"/>
        <v>0.2</v>
      </c>
      <c r="M568" s="2" t="e">
        <f t="shared" si="43"/>
        <v>#N/A</v>
      </c>
      <c r="N568" s="2" t="str">
        <f t="shared" si="44"/>
        <v>Q OK dE&lt;=0.8</v>
      </c>
      <c r="O568" s="7">
        <v>17.5</v>
      </c>
      <c r="P568" s="7">
        <v>-1.1000000000000001</v>
      </c>
      <c r="Q568" s="7">
        <v>-2.7</v>
      </c>
      <c r="R568" s="7">
        <v>0.56999999999999995</v>
      </c>
      <c r="S568" s="7">
        <v>0.2</v>
      </c>
      <c r="T568" s="20">
        <v>0</v>
      </c>
      <c r="U568" s="7">
        <v>-0.05</v>
      </c>
      <c r="V568" s="7">
        <v>0.27</v>
      </c>
      <c r="W568" s="7">
        <v>0.64</v>
      </c>
      <c r="X568" s="7" t="s">
        <v>8</v>
      </c>
      <c r="Y568" s="7" t="s">
        <v>9</v>
      </c>
      <c r="Z568" s="2" t="s">
        <v>718</v>
      </c>
      <c r="AA568" s="2" t="s">
        <v>721</v>
      </c>
    </row>
    <row r="569" spans="1:27" x14ac:dyDescent="0.35">
      <c r="A569" s="7" t="s">
        <v>1515</v>
      </c>
      <c r="B569" s="7" t="s">
        <v>1253</v>
      </c>
      <c r="C569" s="7" t="str">
        <f>_xlfn.XLOOKUP(B569,'[1]Sheet 1'!$A$2:$A$11107,'[1]Sheet 1'!$D$2:$D$11107,"",0)</f>
        <v>VSS</v>
      </c>
      <c r="D569" s="4" t="str">
        <f>_xlfn.XLOOKUP(A569,[3]Sheet2!$I$2:$I$1623,[3]Sheet2!$D$2:$D$1623,"",0)</f>
        <v>Q3</v>
      </c>
      <c r="E569" s="4" t="s">
        <v>1828</v>
      </c>
      <c r="F569" s="4" t="e">
        <f>_xlfn.XLOOKUP(B569,[2]Sheet2!$E$2:$E$713,[2]Sheet2!$G$2:$G$713)</f>
        <v>#N/A</v>
      </c>
      <c r="G569" s="18">
        <v>46121</v>
      </c>
      <c r="H569" s="14">
        <v>0.75285879629629626</v>
      </c>
      <c r="I569" s="7" t="s">
        <v>10</v>
      </c>
      <c r="J569" s="2" t="str">
        <f t="shared" si="40"/>
        <v>Q4</v>
      </c>
      <c r="K569" s="2" t="str">
        <f t="shared" si="41"/>
        <v>Not Match</v>
      </c>
      <c r="L569" s="2">
        <f t="shared" si="42"/>
        <v>0.44721359549995798</v>
      </c>
      <c r="M569" s="2" t="e">
        <f t="shared" si="43"/>
        <v>#N/A</v>
      </c>
      <c r="N569" s="2" t="str">
        <f t="shared" si="44"/>
        <v>Q NOT OK dE&gt;0.8</v>
      </c>
      <c r="O569" s="7">
        <v>13.9</v>
      </c>
      <c r="P569" s="7">
        <v>0.5</v>
      </c>
      <c r="Q569" s="7">
        <v>-2</v>
      </c>
      <c r="R569" s="7">
        <v>-1.07</v>
      </c>
      <c r="S569" s="7">
        <v>0.4</v>
      </c>
      <c r="T569" s="7">
        <v>-0.2</v>
      </c>
      <c r="U569" s="7">
        <v>0.45</v>
      </c>
      <c r="V569" s="7">
        <v>0.57999999999999996</v>
      </c>
      <c r="W569" s="7">
        <v>1.3</v>
      </c>
      <c r="X569" s="7" t="s">
        <v>6</v>
      </c>
      <c r="Y569" s="7" t="s">
        <v>9</v>
      </c>
      <c r="Z569" s="2" t="s">
        <v>718</v>
      </c>
      <c r="AA569" s="2" t="s">
        <v>721</v>
      </c>
    </row>
    <row r="570" spans="1:27" x14ac:dyDescent="0.35">
      <c r="A570" s="7" t="s">
        <v>1594</v>
      </c>
      <c r="B570" s="7" t="s">
        <v>1251</v>
      </c>
      <c r="C570" s="7" t="str">
        <f>_xlfn.XLOOKUP(B570,'[1]Sheet 1'!$A$2:$A$11107,'[1]Sheet 1'!$D$2:$D$11107,"",0)</f>
        <v>GLA</v>
      </c>
      <c r="D570" s="4" t="str">
        <f>_xlfn.XLOOKUP(A570,[3]Sheet2!$I$2:$I$1623,[3]Sheet2!$D$2:$D$1623,"",0)</f>
        <v>Q1</v>
      </c>
      <c r="E570" s="4" t="s">
        <v>1828</v>
      </c>
      <c r="F570" s="4" t="e">
        <f>_xlfn.XLOOKUP(B570,[2]Sheet2!$E$2:$E$713,[2]Sheet2!$G$2:$G$713)</f>
        <v>#N/A</v>
      </c>
      <c r="G570" s="18">
        <v>46121</v>
      </c>
      <c r="H570" s="14">
        <v>0.63756944444444441</v>
      </c>
      <c r="I570" s="7" t="s">
        <v>11</v>
      </c>
      <c r="J570" s="2" t="str">
        <f t="shared" si="40"/>
        <v>Q4</v>
      </c>
      <c r="K570" s="2" t="str">
        <f t="shared" si="41"/>
        <v>Not Match</v>
      </c>
      <c r="L570" s="2">
        <f t="shared" si="42"/>
        <v>0.60827625302982191</v>
      </c>
      <c r="M570" s="2" t="e">
        <f t="shared" si="43"/>
        <v>#N/A</v>
      </c>
      <c r="N570" s="2" t="str">
        <f t="shared" si="44"/>
        <v>Q NOT OK dE&gt;0.8</v>
      </c>
      <c r="O570" s="7">
        <v>16</v>
      </c>
      <c r="P570" s="7">
        <v>-0.5</v>
      </c>
      <c r="Q570" s="7">
        <v>-4.7</v>
      </c>
      <c r="R570" s="7">
        <v>-0.59</v>
      </c>
      <c r="S570" s="7">
        <v>0.1</v>
      </c>
      <c r="T570" s="7">
        <v>-0.6</v>
      </c>
      <c r="U570" s="7">
        <v>0.73</v>
      </c>
      <c r="V570" s="7">
        <v>0.25</v>
      </c>
      <c r="W570" s="7">
        <v>0.97</v>
      </c>
      <c r="X570" s="7" t="s">
        <v>13</v>
      </c>
      <c r="Y570" s="7" t="s">
        <v>9</v>
      </c>
      <c r="Z570" s="2" t="s">
        <v>718</v>
      </c>
      <c r="AA570" s="2" t="s">
        <v>721</v>
      </c>
    </row>
    <row r="571" spans="1:27" x14ac:dyDescent="0.35">
      <c r="A571" s="7" t="s">
        <v>1540</v>
      </c>
      <c r="B571" s="7" t="s">
        <v>1254</v>
      </c>
      <c r="C571" s="7" t="str">
        <f>_xlfn.XLOOKUP(B571,'[1]Sheet 1'!$A$2:$A$11107,'[1]Sheet 1'!$D$2:$D$11107,"",0)</f>
        <v>VSS</v>
      </c>
      <c r="D571" s="4" t="str">
        <f>_xlfn.XLOOKUP(A571,[3]Sheet2!$I$2:$I$1623,[3]Sheet2!$D$2:$D$1623,"",0)</f>
        <v>Q3</v>
      </c>
      <c r="E571" s="4" t="s">
        <v>1828</v>
      </c>
      <c r="F571" s="4" t="e">
        <f>_xlfn.XLOOKUP(B571,[2]Sheet2!$E$2:$E$713,[2]Sheet2!$G$2:$G$713)</f>
        <v>#N/A</v>
      </c>
      <c r="G571" s="18">
        <v>46121</v>
      </c>
      <c r="H571" s="14">
        <v>0.97267361111111106</v>
      </c>
      <c r="I571" s="7" t="s">
        <v>10</v>
      </c>
      <c r="J571" s="2" t="str">
        <f t="shared" si="40"/>
        <v>Q3</v>
      </c>
      <c r="K571" s="2" t="str">
        <f t="shared" si="41"/>
        <v>Match</v>
      </c>
      <c r="L571" s="2">
        <f t="shared" si="42"/>
        <v>0.2</v>
      </c>
      <c r="M571" s="2" t="e">
        <f t="shared" si="43"/>
        <v>#N/A</v>
      </c>
      <c r="N571" s="2" t="str">
        <f t="shared" si="44"/>
        <v>Q OK dE&lt;=0.8</v>
      </c>
      <c r="O571" s="7">
        <v>14.2</v>
      </c>
      <c r="P571" s="7">
        <v>0.4</v>
      </c>
      <c r="Q571" s="7">
        <v>-1</v>
      </c>
      <c r="R571" s="7">
        <v>-0.31</v>
      </c>
      <c r="S571" s="7">
        <v>0</v>
      </c>
      <c r="T571" s="7">
        <v>0.2</v>
      </c>
      <c r="U571" s="7">
        <v>-0.31</v>
      </c>
      <c r="V571" s="7">
        <v>0.1</v>
      </c>
      <c r="W571" s="7">
        <v>0.45</v>
      </c>
      <c r="X571" s="7" t="s">
        <v>8</v>
      </c>
      <c r="Y571" s="7" t="s">
        <v>9</v>
      </c>
      <c r="Z571" s="2" t="s">
        <v>718</v>
      </c>
      <c r="AA571" s="2" t="s">
        <v>721</v>
      </c>
    </row>
    <row r="572" spans="1:27" x14ac:dyDescent="0.35">
      <c r="A572" s="7" t="s">
        <v>1776</v>
      </c>
      <c r="B572" s="7" t="s">
        <v>788</v>
      </c>
      <c r="C572" s="7" t="str">
        <f>_xlfn.XLOOKUP(B572,'[1]Sheet 1'!$A$2:$A$11107,'[1]Sheet 1'!$D$2:$D$11107,"",0)</f>
        <v>GAP</v>
      </c>
      <c r="D572" s="4" t="str">
        <f>_xlfn.XLOOKUP(A572,[3]Sheet2!$I$2:$I$1623,[3]Sheet2!$D$2:$D$1623,"",0)</f>
        <v>Q1</v>
      </c>
      <c r="E572" s="4" t="s">
        <v>1828</v>
      </c>
      <c r="F572" s="4" t="e">
        <f>_xlfn.XLOOKUP(B572,[2]Sheet2!$E$2:$E$713,[2]Sheet2!$G$2:$G$713)</f>
        <v>#N/A</v>
      </c>
      <c r="G572" s="18">
        <v>46122</v>
      </c>
      <c r="H572" s="14">
        <v>0.25092592592592594</v>
      </c>
      <c r="I572" s="7" t="s">
        <v>14</v>
      </c>
      <c r="J572" s="2" t="str">
        <f t="shared" si="40"/>
        <v>Q1</v>
      </c>
      <c r="K572" s="2" t="str">
        <f t="shared" si="41"/>
        <v>Match</v>
      </c>
      <c r="L572" s="2">
        <f t="shared" si="42"/>
        <v>0.72111025509279791</v>
      </c>
      <c r="M572" s="2" t="e">
        <f t="shared" si="43"/>
        <v>#N/A</v>
      </c>
      <c r="N572" s="2" t="str">
        <f t="shared" si="44"/>
        <v>Q OK dE&gt;0.8</v>
      </c>
      <c r="O572" s="7">
        <v>23.9</v>
      </c>
      <c r="P572" s="7">
        <v>14.9</v>
      </c>
      <c r="Q572" s="7">
        <v>6.1</v>
      </c>
      <c r="R572" s="7">
        <v>0.62</v>
      </c>
      <c r="S572" s="7">
        <v>0.4</v>
      </c>
      <c r="T572" s="7">
        <v>0.6</v>
      </c>
      <c r="U572" s="7">
        <v>0.49</v>
      </c>
      <c r="V572" s="7">
        <v>0.53</v>
      </c>
      <c r="W572" s="7">
        <v>0.95</v>
      </c>
      <c r="X572" s="7" t="s">
        <v>13</v>
      </c>
      <c r="Y572" s="7" t="s">
        <v>12</v>
      </c>
      <c r="Z572" s="2" t="s">
        <v>718</v>
      </c>
      <c r="AA572" s="2" t="s">
        <v>721</v>
      </c>
    </row>
    <row r="573" spans="1:27" x14ac:dyDescent="0.35">
      <c r="A573" s="7" t="s">
        <v>1572</v>
      </c>
      <c r="B573" s="7" t="s">
        <v>1255</v>
      </c>
      <c r="C573" s="7" t="str">
        <f>_xlfn.XLOOKUP(B573,'[1]Sheet 1'!$A$2:$A$11107,'[1]Sheet 1'!$D$2:$D$11107,"",0)</f>
        <v>WACE</v>
      </c>
      <c r="D573" s="4" t="str">
        <f>_xlfn.XLOOKUP(A573,[3]Sheet2!$I$2:$I$1623,[3]Sheet2!$D$2:$D$1623,"",0)</f>
        <v>Q3</v>
      </c>
      <c r="E573" s="4" t="s">
        <v>1828</v>
      </c>
      <c r="F573" s="4" t="e">
        <f>_xlfn.XLOOKUP(B573,[2]Sheet2!$E$2:$E$713,[2]Sheet2!$G$2:$G$713)</f>
        <v>#N/A</v>
      </c>
      <c r="G573" s="18">
        <v>46122</v>
      </c>
      <c r="H573" s="14">
        <v>2.9594907407407407E-2</v>
      </c>
      <c r="I573" s="7" t="s">
        <v>4</v>
      </c>
      <c r="J573" s="2" t="str">
        <f t="shared" si="40"/>
        <v>Q3</v>
      </c>
      <c r="K573" s="2" t="str">
        <f t="shared" si="41"/>
        <v>Match</v>
      </c>
      <c r="L573" s="2">
        <f t="shared" si="42"/>
        <v>0</v>
      </c>
      <c r="M573" s="2" t="e">
        <f t="shared" si="43"/>
        <v>#N/A</v>
      </c>
      <c r="N573" s="2" t="str">
        <f t="shared" si="44"/>
        <v>Q OK dE&gt;0.8</v>
      </c>
      <c r="O573" s="7">
        <v>15.8</v>
      </c>
      <c r="P573" s="7">
        <v>-0.8</v>
      </c>
      <c r="Q573" s="7">
        <v>-1.4</v>
      </c>
      <c r="R573" s="7">
        <v>-1.05</v>
      </c>
      <c r="S573" s="7">
        <v>0</v>
      </c>
      <c r="T573" s="20">
        <v>0</v>
      </c>
      <c r="U573" s="7">
        <v>-0.06</v>
      </c>
      <c r="V573" s="7">
        <v>7.0000000000000007E-2</v>
      </c>
      <c r="W573" s="7">
        <v>1.05</v>
      </c>
      <c r="X573" s="7" t="s">
        <v>6</v>
      </c>
      <c r="Y573" s="7" t="s">
        <v>9</v>
      </c>
      <c r="Z573" s="2" t="s">
        <v>718</v>
      </c>
      <c r="AA573" s="2" t="s">
        <v>721</v>
      </c>
    </row>
    <row r="574" spans="1:27" x14ac:dyDescent="0.35">
      <c r="A574" s="7" t="s">
        <v>1698</v>
      </c>
      <c r="B574" s="7" t="s">
        <v>1214</v>
      </c>
      <c r="C574" s="7" t="str">
        <f>_xlfn.XLOOKUP(B574,'[1]Sheet 1'!$A$2:$A$11107,'[1]Sheet 1'!$D$2:$D$11107,"",0)</f>
        <v>LULU</v>
      </c>
      <c r="D574" s="4" t="str">
        <f>_xlfn.XLOOKUP(A574,[3]Sheet2!$I$2:$I$1623,[3]Sheet2!$D$2:$D$1623,"",0)</f>
        <v>Q2</v>
      </c>
      <c r="E574" s="4" t="s">
        <v>1828</v>
      </c>
      <c r="F574" s="4" t="e">
        <f>_xlfn.XLOOKUP(B574,[2]Sheet2!$E$2:$E$713,[2]Sheet2!$G$2:$G$713)</f>
        <v>#N/A</v>
      </c>
      <c r="G574" s="18">
        <v>46122</v>
      </c>
      <c r="H574" s="14">
        <v>0.2441898148148148</v>
      </c>
      <c r="I574" s="7" t="s">
        <v>4</v>
      </c>
      <c r="J574" s="2" t="str">
        <f t="shared" si="40"/>
        <v>Q4</v>
      </c>
      <c r="K574" s="2" t="str">
        <f t="shared" si="41"/>
        <v>Not Match</v>
      </c>
      <c r="L574" s="2">
        <f t="shared" si="42"/>
        <v>0.70710678118654746</v>
      </c>
      <c r="M574" s="2" t="e">
        <f t="shared" si="43"/>
        <v>#N/A</v>
      </c>
      <c r="N574" s="2" t="str">
        <f t="shared" si="44"/>
        <v>Q NOT OK dE&gt;0.8</v>
      </c>
      <c r="O574" s="7">
        <v>22</v>
      </c>
      <c r="P574" s="7">
        <v>-0.6</v>
      </c>
      <c r="Q574" s="7">
        <v>-8.6</v>
      </c>
      <c r="R574" s="7">
        <v>-0.57999999999999996</v>
      </c>
      <c r="S574" s="7">
        <v>0.1</v>
      </c>
      <c r="T574" s="7">
        <v>-0.7</v>
      </c>
      <c r="U574" s="7">
        <v>0.67</v>
      </c>
      <c r="V574" s="7">
        <v>0.27</v>
      </c>
      <c r="W574" s="7">
        <v>0.93</v>
      </c>
      <c r="X574" s="7" t="s">
        <v>13</v>
      </c>
      <c r="Y574" s="7" t="s">
        <v>9</v>
      </c>
      <c r="Z574" s="2" t="s">
        <v>718</v>
      </c>
      <c r="AA574" s="2" t="s">
        <v>721</v>
      </c>
    </row>
    <row r="575" spans="1:27" x14ac:dyDescent="0.35">
      <c r="A575" s="7" t="s">
        <v>1594</v>
      </c>
      <c r="B575" s="7" t="s">
        <v>1256</v>
      </c>
      <c r="C575" s="7" t="str">
        <f>_xlfn.XLOOKUP(B575,'[1]Sheet 1'!$A$2:$A$11107,'[1]Sheet 1'!$D$2:$D$11107,"",0)</f>
        <v>GLA</v>
      </c>
      <c r="D575" s="4" t="str">
        <f>_xlfn.XLOOKUP(A575,[3]Sheet2!$I$2:$I$1623,[3]Sheet2!$D$2:$D$1623,"",0)</f>
        <v>Q1</v>
      </c>
      <c r="E575" s="4" t="s">
        <v>1828</v>
      </c>
      <c r="F575" s="4" t="e">
        <f>_xlfn.XLOOKUP(B575,[2]Sheet2!$E$2:$E$713,[2]Sheet2!$G$2:$G$713)</f>
        <v>#N/A</v>
      </c>
      <c r="G575" s="18">
        <v>46132</v>
      </c>
      <c r="H575" s="14">
        <v>0.95012731481481483</v>
      </c>
      <c r="I575" s="7" t="s">
        <v>11</v>
      </c>
      <c r="J575" s="2" t="str">
        <f t="shared" si="40"/>
        <v>Q1</v>
      </c>
      <c r="K575" s="2" t="str">
        <f t="shared" si="41"/>
        <v>Match</v>
      </c>
      <c r="L575" s="2">
        <f t="shared" si="42"/>
        <v>0.2</v>
      </c>
      <c r="M575" s="2" t="e">
        <f t="shared" si="43"/>
        <v>#N/A</v>
      </c>
      <c r="N575" s="2" t="str">
        <f t="shared" si="44"/>
        <v>Q OK dE&lt;=0.8</v>
      </c>
      <c r="O575" s="7">
        <v>16.8</v>
      </c>
      <c r="P575" s="7">
        <v>-0.6</v>
      </c>
      <c r="Q575" s="7">
        <v>-4.2</v>
      </c>
      <c r="R575" s="7">
        <v>0.13</v>
      </c>
      <c r="S575" s="7">
        <v>0</v>
      </c>
      <c r="T575" s="7">
        <v>-0.2</v>
      </c>
      <c r="U575" s="7">
        <v>0.23</v>
      </c>
      <c r="V575" s="7">
        <v>-0.01</v>
      </c>
      <c r="W575" s="7">
        <v>0.27</v>
      </c>
      <c r="X575" s="7" t="s">
        <v>8</v>
      </c>
      <c r="Y575" s="7" t="s">
        <v>15</v>
      </c>
      <c r="Z575" s="2" t="s">
        <v>718</v>
      </c>
      <c r="AA575" s="2" t="s">
        <v>721</v>
      </c>
    </row>
    <row r="576" spans="1:27" x14ac:dyDescent="0.35">
      <c r="A576" s="7" t="s">
        <v>1717</v>
      </c>
      <c r="B576" s="7" t="s">
        <v>1258</v>
      </c>
      <c r="C576" s="7" t="str">
        <f>_xlfn.XLOOKUP(B576,'[1]Sheet 1'!$A$2:$A$11107,'[1]Sheet 1'!$D$2:$D$11107,"",0)</f>
        <v>WACE</v>
      </c>
      <c r="D576" s="4" t="str">
        <f>_xlfn.XLOOKUP(A576,[3]Sheet2!$I$2:$I$1623,[3]Sheet2!$D$2:$D$1623,"",0)</f>
        <v>Q1</v>
      </c>
      <c r="E576" s="4" t="s">
        <v>1827</v>
      </c>
      <c r="F576" s="4" t="e">
        <f>_xlfn.XLOOKUP(B576,[2]Sheet2!$E$2:$E$713,[2]Sheet2!$G$2:$G$713)</f>
        <v>#N/A</v>
      </c>
      <c r="G576" s="18">
        <v>46133</v>
      </c>
      <c r="H576" s="14">
        <v>0.14016203703703703</v>
      </c>
      <c r="I576" s="7" t="s">
        <v>4</v>
      </c>
      <c r="J576" s="2" t="str">
        <f t="shared" si="40"/>
        <v>Q2</v>
      </c>
      <c r="K576" s="2" t="str">
        <f t="shared" si="41"/>
        <v>Not Match</v>
      </c>
      <c r="L576" s="2">
        <f t="shared" si="42"/>
        <v>0.14142135623730953</v>
      </c>
      <c r="M576" s="2" t="e">
        <f t="shared" si="43"/>
        <v>#N/A</v>
      </c>
      <c r="N576" s="2" t="str">
        <f t="shared" si="44"/>
        <v>Q NOT OK dE&lt;=0.8</v>
      </c>
      <c r="O576" s="7">
        <v>20</v>
      </c>
      <c r="P576" s="7">
        <v>5.7</v>
      </c>
      <c r="Q576" s="7">
        <v>1.7</v>
      </c>
      <c r="R576" s="7">
        <v>-0.19</v>
      </c>
      <c r="S576" s="7">
        <v>-0.1</v>
      </c>
      <c r="T576" s="7">
        <v>0.1</v>
      </c>
      <c r="U576" s="7">
        <v>-0.13</v>
      </c>
      <c r="V576" s="7">
        <v>0.2</v>
      </c>
      <c r="W576" s="7">
        <v>0.3</v>
      </c>
      <c r="X576" s="7" t="s">
        <v>8</v>
      </c>
      <c r="Y576" s="7" t="s">
        <v>12</v>
      </c>
      <c r="Z576" s="2" t="s">
        <v>718</v>
      </c>
      <c r="AA576" s="2" t="s">
        <v>721</v>
      </c>
    </row>
    <row r="577" spans="1:27" x14ac:dyDescent="0.35">
      <c r="A577" s="7" t="s">
        <v>1777</v>
      </c>
      <c r="B577" s="7" t="s">
        <v>1261</v>
      </c>
      <c r="C577" s="7" t="str">
        <f>_xlfn.XLOOKUP(B577,'[1]Sheet 1'!$A$2:$A$11107,'[1]Sheet 1'!$D$2:$D$11107,"",0)</f>
        <v>PEP</v>
      </c>
      <c r="D577" s="4" t="str">
        <f>_xlfn.XLOOKUP(A577,[3]Sheet2!$I$2:$I$1623,[3]Sheet2!$D$2:$D$1623,"",0)</f>
        <v>Q2</v>
      </c>
      <c r="E577" s="4" t="s">
        <v>1828</v>
      </c>
      <c r="F577" s="4" t="e">
        <f>_xlfn.XLOOKUP(B577,[2]Sheet2!$E$2:$E$713,[2]Sheet2!$G$2:$G$713)</f>
        <v>#N/A</v>
      </c>
      <c r="G577" s="18">
        <v>46133</v>
      </c>
      <c r="H577" s="14">
        <v>0.25730324074074074</v>
      </c>
      <c r="I577" s="7" t="s">
        <v>4</v>
      </c>
      <c r="J577" s="2" t="str">
        <f t="shared" si="40"/>
        <v>Q2</v>
      </c>
      <c r="K577" s="2" t="str">
        <f t="shared" si="41"/>
        <v>Match</v>
      </c>
      <c r="L577" s="2">
        <f t="shared" si="42"/>
        <v>0.2</v>
      </c>
      <c r="M577" s="2" t="e">
        <f t="shared" si="43"/>
        <v>#N/A</v>
      </c>
      <c r="N577" s="2" t="str">
        <f t="shared" si="44"/>
        <v>Q OK dE&lt;=0.8</v>
      </c>
      <c r="O577" s="7">
        <v>16.3</v>
      </c>
      <c r="P577" s="7">
        <v>-0.4</v>
      </c>
      <c r="Q577" s="7">
        <v>-2.1</v>
      </c>
      <c r="R577" s="7">
        <v>-0.56000000000000005</v>
      </c>
      <c r="S577" s="7">
        <v>0.2</v>
      </c>
      <c r="T577" s="20">
        <v>0</v>
      </c>
      <c r="U577" s="7">
        <v>-0.05</v>
      </c>
      <c r="V577" s="7">
        <v>0.27</v>
      </c>
      <c r="W577" s="7">
        <v>0.62</v>
      </c>
      <c r="X577" s="7" t="s">
        <v>8</v>
      </c>
      <c r="Y577" s="7" t="s">
        <v>9</v>
      </c>
      <c r="Z577" s="2" t="s">
        <v>718</v>
      </c>
      <c r="AA577" s="2" t="s">
        <v>721</v>
      </c>
    </row>
    <row r="578" spans="1:27" x14ac:dyDescent="0.35">
      <c r="A578" s="7" t="s">
        <v>1773</v>
      </c>
      <c r="B578" s="7" t="s">
        <v>1257</v>
      </c>
      <c r="C578" s="7" t="str">
        <f>_xlfn.XLOOKUP(B578,'[1]Sheet 1'!$A$2:$A$11107,'[1]Sheet 1'!$D$2:$D$11107,"",0)</f>
        <v>NKSKI</v>
      </c>
      <c r="D578" s="4" t="str">
        <f>_xlfn.XLOOKUP(A578,[3]Sheet2!$I$2:$I$1623,[3]Sheet2!$D$2:$D$1623,"",0)</f>
        <v>Q3</v>
      </c>
      <c r="E578" s="4" t="s">
        <v>1827</v>
      </c>
      <c r="F578" s="4" t="e">
        <f>_xlfn.XLOOKUP(B578,[2]Sheet2!$E$2:$E$713,[2]Sheet2!$G$2:$G$713)</f>
        <v>#N/A</v>
      </c>
      <c r="G578" s="18">
        <v>46133</v>
      </c>
      <c r="H578" s="14">
        <v>5.6712962962962967E-3</v>
      </c>
      <c r="I578" s="7" t="s">
        <v>4</v>
      </c>
      <c r="J578" s="2" t="str">
        <f t="shared" ref="J578:J641" si="45">IF(OR(S578=0,T578=0),D578,IF(AND(S578&gt;0,T578&gt;0),"Q1",IF(AND(S578&lt;0,T578&gt;0),"Q2",IF(AND(S578&lt;0,T578&lt;0),"Q3",IF(AND(S578&gt;0,T578&lt;0),"Q4","")))))</f>
        <v>Q2</v>
      </c>
      <c r="K578" s="2" t="str">
        <f t="shared" ref="K578:K641" si="46">IF(J578=D578,"Match",IF(AND(J578=0,D578="Match"),"da and db 0",IF(D578=0,"Not Found","Not Match")))</f>
        <v>Not Match</v>
      </c>
      <c r="L578" s="2">
        <f t="shared" ref="L578:L641" si="47">SQRT(S578^2+T578^2)</f>
        <v>0.31622776601683794</v>
      </c>
      <c r="M578" s="2" t="e">
        <f t="shared" ref="M578:M641" si="48">IF(L578&lt;=F578,"Within Range","Over Range")</f>
        <v>#N/A</v>
      </c>
      <c r="N578" s="2" t="str">
        <f t="shared" ref="N578:N641" si="49">IF(D578=0,"Quadrant not assigned",IF(AND(K578="Match",W578&lt;=0.8),"Q OK dE&lt;=0.8",IF(AND(K578="Match",W578&gt;0.8),"Q OK dE&gt;0.8",IF(AND(K578="Not Match",W578&lt;=0.8),"Q NOT OK dE&lt;=0.8","Q NOT OK dE&gt;0.8"))))</f>
        <v>Q NOT OK dE&lt;=0.8</v>
      </c>
      <c r="O578" s="7">
        <v>16</v>
      </c>
      <c r="P578" s="7">
        <v>-1.5</v>
      </c>
      <c r="Q578" s="7">
        <v>-2.5</v>
      </c>
      <c r="R578" s="7">
        <v>-0.3</v>
      </c>
      <c r="S578" s="7">
        <v>-0.3</v>
      </c>
      <c r="T578" s="7">
        <v>0.1</v>
      </c>
      <c r="U578" s="7">
        <v>-0.01</v>
      </c>
      <c r="V578" s="7">
        <v>-0.52</v>
      </c>
      <c r="W578" s="7">
        <v>0.6</v>
      </c>
      <c r="X578" s="7" t="s">
        <v>8</v>
      </c>
      <c r="Y578" s="7" t="s">
        <v>15</v>
      </c>
      <c r="Z578" s="2" t="s">
        <v>718</v>
      </c>
      <c r="AA578" s="2" t="s">
        <v>721</v>
      </c>
    </row>
    <row r="579" spans="1:27" x14ac:dyDescent="0.35">
      <c r="A579" s="7" t="s">
        <v>1766</v>
      </c>
      <c r="B579" s="7" t="s">
        <v>1267</v>
      </c>
      <c r="C579" s="7" t="str">
        <f>_xlfn.XLOOKUP(B579,'[1]Sheet 1'!$A$2:$A$11107,'[1]Sheet 1'!$D$2:$D$11107,"",0)</f>
        <v>M&amp;S</v>
      </c>
      <c r="D579" s="4" t="str">
        <f>_xlfn.XLOOKUP(A579,[3]Sheet2!$I$2:$I$1623,[3]Sheet2!$D$2:$D$1623,"",0)</f>
        <v>Q1</v>
      </c>
      <c r="E579" s="4" t="s">
        <v>1827</v>
      </c>
      <c r="F579" s="4" t="e">
        <f>_xlfn.XLOOKUP(B579,[2]Sheet2!$E$2:$E$713,[2]Sheet2!$G$2:$G$713)</f>
        <v>#N/A</v>
      </c>
      <c r="G579" s="18">
        <v>46133</v>
      </c>
      <c r="H579" s="14">
        <v>0.77513888888888893</v>
      </c>
      <c r="I579" s="7" t="s">
        <v>17</v>
      </c>
      <c r="J579" s="2" t="str">
        <f t="shared" si="45"/>
        <v>Q2</v>
      </c>
      <c r="K579" s="2" t="str">
        <f t="shared" si="46"/>
        <v>Not Match</v>
      </c>
      <c r="L579" s="2">
        <f t="shared" si="47"/>
        <v>0.72801098892805172</v>
      </c>
      <c r="M579" s="2" t="e">
        <f t="shared" si="48"/>
        <v>#N/A</v>
      </c>
      <c r="N579" s="2" t="str">
        <f t="shared" si="49"/>
        <v>Q NOT OK dE&gt;0.8</v>
      </c>
      <c r="O579" s="7">
        <v>37.5</v>
      </c>
      <c r="P579" s="7">
        <v>20.399999999999999</v>
      </c>
      <c r="Q579" s="7">
        <v>16.100000000000001</v>
      </c>
      <c r="R579" s="7">
        <v>0.28000000000000003</v>
      </c>
      <c r="S579" s="7">
        <v>-0.2</v>
      </c>
      <c r="T579" s="7">
        <v>0.7</v>
      </c>
      <c r="U579" s="7">
        <v>0.12</v>
      </c>
      <c r="V579" s="7">
        <v>0.82</v>
      </c>
      <c r="W579" s="7">
        <v>0.87</v>
      </c>
      <c r="X579" s="7" t="s">
        <v>13</v>
      </c>
      <c r="Y579" s="7" t="s">
        <v>12</v>
      </c>
      <c r="Z579" s="2" t="s">
        <v>718</v>
      </c>
      <c r="AA579" s="2" t="s">
        <v>721</v>
      </c>
    </row>
    <row r="580" spans="1:27" x14ac:dyDescent="0.35">
      <c r="A580" s="7" t="s">
        <v>1762</v>
      </c>
      <c r="B580" s="7" t="s">
        <v>1266</v>
      </c>
      <c r="C580" s="7" t="str">
        <f>_xlfn.XLOOKUP(B580,'[1]Sheet 1'!$A$2:$A$11107,'[1]Sheet 1'!$D$2:$D$11107,"",0)</f>
        <v>CHICOS</v>
      </c>
      <c r="D580" s="4" t="str">
        <f>_xlfn.XLOOKUP(A580,[3]Sheet2!$I$2:$I$1623,[3]Sheet2!$D$2:$D$1623,"",0)</f>
        <v>Q3</v>
      </c>
      <c r="E580" s="4" t="s">
        <v>1828</v>
      </c>
      <c r="F580" s="4" t="e">
        <f>_xlfn.XLOOKUP(B580,[2]Sheet2!$E$2:$E$713,[2]Sheet2!$G$2:$G$713)</f>
        <v>#N/A</v>
      </c>
      <c r="G580" s="18">
        <v>46133</v>
      </c>
      <c r="H580" s="14">
        <v>0.74826388888888884</v>
      </c>
      <c r="I580" s="7" t="s">
        <v>4</v>
      </c>
      <c r="J580" s="2" t="str">
        <f t="shared" si="45"/>
        <v>Q3</v>
      </c>
      <c r="K580" s="2" t="str">
        <f t="shared" si="46"/>
        <v>Match</v>
      </c>
      <c r="L580" s="2">
        <f t="shared" si="47"/>
        <v>0.3</v>
      </c>
      <c r="M580" s="2" t="e">
        <f t="shared" si="48"/>
        <v>#N/A</v>
      </c>
      <c r="N580" s="2" t="str">
        <f t="shared" si="49"/>
        <v>Q OK dE&lt;=0.8</v>
      </c>
      <c r="O580" s="7">
        <v>16.899999999999999</v>
      </c>
      <c r="P580" s="7">
        <v>-0.7</v>
      </c>
      <c r="Q580" s="7">
        <v>-1.6</v>
      </c>
      <c r="R580" s="7">
        <v>0.1</v>
      </c>
      <c r="S580" s="7">
        <v>0</v>
      </c>
      <c r="T580" s="7">
        <v>0.3</v>
      </c>
      <c r="U580" s="7">
        <v>-0.39</v>
      </c>
      <c r="V580" s="7">
        <v>-0.11</v>
      </c>
      <c r="W580" s="7">
        <v>0.42</v>
      </c>
      <c r="X580" s="7" t="s">
        <v>8</v>
      </c>
      <c r="Y580" s="7" t="s">
        <v>9</v>
      </c>
      <c r="Z580" s="2" t="s">
        <v>718</v>
      </c>
      <c r="AA580" s="2" t="s">
        <v>721</v>
      </c>
    </row>
    <row r="581" spans="1:27" x14ac:dyDescent="0.35">
      <c r="A581" s="7" t="s">
        <v>1549</v>
      </c>
      <c r="B581" s="7" t="s">
        <v>1268</v>
      </c>
      <c r="C581" s="7" t="str">
        <f>_xlfn.XLOOKUP(B581,'[1]Sheet 1'!$A$2:$A$11107,'[1]Sheet 1'!$D$2:$D$11107,"",0)</f>
        <v>TORD</v>
      </c>
      <c r="D581" s="4" t="str">
        <f>_xlfn.XLOOKUP(A581,[3]Sheet2!$I$2:$I$1623,[3]Sheet2!$D$2:$D$1623,"",0)</f>
        <v>Q1</v>
      </c>
      <c r="E581" s="4" t="s">
        <v>1828</v>
      </c>
      <c r="F581" s="4" t="e">
        <f>_xlfn.XLOOKUP(B581,[2]Sheet2!$E$2:$E$713,[2]Sheet2!$G$2:$G$713)</f>
        <v>#N/A</v>
      </c>
      <c r="G581" s="18">
        <v>46133</v>
      </c>
      <c r="H581" s="14">
        <v>0.77872685185185186</v>
      </c>
      <c r="I581" s="7" t="s">
        <v>4</v>
      </c>
      <c r="J581" s="2" t="str">
        <f t="shared" si="45"/>
        <v>Q1</v>
      </c>
      <c r="K581" s="2" t="str">
        <f t="shared" si="46"/>
        <v>Match</v>
      </c>
      <c r="L581" s="2">
        <f t="shared" si="47"/>
        <v>0.2</v>
      </c>
      <c r="M581" s="2" t="e">
        <f t="shared" si="48"/>
        <v>#N/A</v>
      </c>
      <c r="N581" s="2" t="str">
        <f t="shared" si="49"/>
        <v>Q OK dE&gt;0.8</v>
      </c>
      <c r="O581" s="7">
        <v>17.7</v>
      </c>
      <c r="P581" s="7">
        <v>-0.5</v>
      </c>
      <c r="Q581" s="7">
        <v>-1.1000000000000001</v>
      </c>
      <c r="R581" s="7">
        <v>-0.85</v>
      </c>
      <c r="S581" s="7">
        <v>-0.2</v>
      </c>
      <c r="T581" s="20">
        <v>0</v>
      </c>
      <c r="U581" s="7">
        <v>0.1</v>
      </c>
      <c r="V581" s="7">
        <v>-0.28000000000000003</v>
      </c>
      <c r="W581" s="7">
        <v>0.9</v>
      </c>
      <c r="X581" s="7" t="s">
        <v>13</v>
      </c>
      <c r="Y581" s="7" t="s">
        <v>15</v>
      </c>
      <c r="Z581" s="2" t="s">
        <v>718</v>
      </c>
      <c r="AA581" s="2" t="s">
        <v>721</v>
      </c>
    </row>
    <row r="582" spans="1:27" x14ac:dyDescent="0.35">
      <c r="A582" s="7" t="s">
        <v>1729</v>
      </c>
      <c r="B582" s="7" t="s">
        <v>1259</v>
      </c>
      <c r="C582" s="7" t="str">
        <f>_xlfn.XLOOKUP(B582,'[1]Sheet 1'!$A$2:$A$11107,'[1]Sheet 1'!$D$2:$D$11107,"",0)</f>
        <v>GAP</v>
      </c>
      <c r="D582" s="4" t="str">
        <f>_xlfn.XLOOKUP(A582,[3]Sheet2!$I$2:$I$1623,[3]Sheet2!$D$2:$D$1623,"",0)</f>
        <v>Q4</v>
      </c>
      <c r="E582" s="4" t="s">
        <v>1827</v>
      </c>
      <c r="F582" s="4" t="e">
        <f>_xlfn.XLOOKUP(B582,[2]Sheet2!$E$2:$E$713,[2]Sheet2!$G$2:$G$713)</f>
        <v>#N/A</v>
      </c>
      <c r="G582" s="18">
        <v>46133</v>
      </c>
      <c r="H582" s="14">
        <v>0.18734953703703705</v>
      </c>
      <c r="I582" s="7" t="s">
        <v>14</v>
      </c>
      <c r="J582" s="2" t="str">
        <f t="shared" si="45"/>
        <v>Q2</v>
      </c>
      <c r="K582" s="2" t="str">
        <f t="shared" si="46"/>
        <v>Not Match</v>
      </c>
      <c r="L582" s="2">
        <f t="shared" si="47"/>
        <v>0.22360679774997899</v>
      </c>
      <c r="M582" s="2" t="e">
        <f t="shared" si="48"/>
        <v>#N/A</v>
      </c>
      <c r="N582" s="2" t="str">
        <f t="shared" si="49"/>
        <v>Q NOT OK dE&gt;0.8</v>
      </c>
      <c r="O582" s="7">
        <v>31.7</v>
      </c>
      <c r="P582" s="7">
        <v>-15.8</v>
      </c>
      <c r="Q582" s="7">
        <v>-6.7</v>
      </c>
      <c r="R582" s="7">
        <v>1.22</v>
      </c>
      <c r="S582" s="7">
        <v>-0.1</v>
      </c>
      <c r="T582" s="7">
        <v>0.2</v>
      </c>
      <c r="U582" s="7">
        <v>0.04</v>
      </c>
      <c r="V582" s="7">
        <v>-0.22</v>
      </c>
      <c r="W582" s="7">
        <v>1.24</v>
      </c>
      <c r="X582" s="7" t="s">
        <v>6</v>
      </c>
      <c r="Y582" s="7" t="s">
        <v>12</v>
      </c>
      <c r="Z582" s="2" t="s">
        <v>718</v>
      </c>
      <c r="AA582" s="2" t="s">
        <v>721</v>
      </c>
    </row>
    <row r="583" spans="1:27" x14ac:dyDescent="0.35">
      <c r="A583" s="7" t="s">
        <v>1593</v>
      </c>
      <c r="B583" s="7" t="s">
        <v>1260</v>
      </c>
      <c r="C583" s="7" t="str">
        <f>_xlfn.XLOOKUP(B583,'[1]Sheet 1'!$A$2:$A$11107,'[1]Sheet 1'!$D$2:$D$11107,"",0)</f>
        <v>LULU</v>
      </c>
      <c r="D583" s="4" t="str">
        <f>_xlfn.XLOOKUP(A583,[3]Sheet2!$I$2:$I$1623,[3]Sheet2!$D$2:$D$1623,"",0)</f>
        <v>Q3</v>
      </c>
      <c r="E583" s="4" t="s">
        <v>1828</v>
      </c>
      <c r="F583" s="4" t="e">
        <f>_xlfn.XLOOKUP(B583,[2]Sheet2!$E$2:$E$713,[2]Sheet2!$G$2:$G$713)</f>
        <v>#N/A</v>
      </c>
      <c r="G583" s="18">
        <v>46133</v>
      </c>
      <c r="H583" s="14">
        <v>0.18914351851851852</v>
      </c>
      <c r="I583" s="7" t="s">
        <v>4</v>
      </c>
      <c r="J583" s="2" t="str">
        <f t="shared" si="45"/>
        <v>Q3</v>
      </c>
      <c r="K583" s="2" t="str">
        <f t="shared" si="46"/>
        <v>Match</v>
      </c>
      <c r="L583" s="2">
        <f t="shared" si="47"/>
        <v>0.2</v>
      </c>
      <c r="M583" s="2" t="e">
        <f t="shared" si="48"/>
        <v>#N/A</v>
      </c>
      <c r="N583" s="2" t="str">
        <f t="shared" si="49"/>
        <v>Q OK dE&gt;0.8</v>
      </c>
      <c r="O583" s="7">
        <v>22.5</v>
      </c>
      <c r="P583" s="7">
        <v>3</v>
      </c>
      <c r="Q583" s="7">
        <v>2.2999999999999998</v>
      </c>
      <c r="R583" s="7">
        <v>-1.1200000000000001</v>
      </c>
      <c r="S583" s="7">
        <v>0.2</v>
      </c>
      <c r="T583" s="20">
        <v>0</v>
      </c>
      <c r="U583" s="7">
        <v>0.31</v>
      </c>
      <c r="V583" s="7">
        <v>-0.14000000000000001</v>
      </c>
      <c r="W583" s="7">
        <v>1.17</v>
      </c>
      <c r="X583" s="7" t="s">
        <v>6</v>
      </c>
      <c r="Y583" s="7" t="s">
        <v>7</v>
      </c>
      <c r="Z583" s="2" t="s">
        <v>718</v>
      </c>
      <c r="AA583" s="2" t="s">
        <v>721</v>
      </c>
    </row>
    <row r="584" spans="1:27" x14ac:dyDescent="0.35">
      <c r="A584" s="7" t="s">
        <v>1613</v>
      </c>
      <c r="B584" s="7" t="s">
        <v>1264</v>
      </c>
      <c r="C584" s="7" t="str">
        <f>_xlfn.XLOOKUP(B584,'[1]Sheet 1'!$A$2:$A$11107,'[1]Sheet 1'!$D$2:$D$11107,"",0)</f>
        <v>WACE</v>
      </c>
      <c r="D584" s="4" t="str">
        <f>_xlfn.XLOOKUP(A584,[3]Sheet2!$I$2:$I$1623,[3]Sheet2!$D$2:$D$1623,"",0)</f>
        <v>Q2</v>
      </c>
      <c r="E584" s="4" t="s">
        <v>1828</v>
      </c>
      <c r="F584" s="4" t="e">
        <f>_xlfn.XLOOKUP(B584,[2]Sheet2!$E$2:$E$713,[2]Sheet2!$G$2:$G$713)</f>
        <v>#N/A</v>
      </c>
      <c r="G584" s="18">
        <v>46133</v>
      </c>
      <c r="H584" s="14">
        <v>0.66312499999999996</v>
      </c>
      <c r="I584" s="7" t="s">
        <v>4</v>
      </c>
      <c r="J584" s="2" t="str">
        <f t="shared" si="45"/>
        <v>Q1</v>
      </c>
      <c r="K584" s="2" t="str">
        <f t="shared" si="46"/>
        <v>Not Match</v>
      </c>
      <c r="L584" s="2">
        <f t="shared" si="47"/>
        <v>0.22360679774997899</v>
      </c>
      <c r="M584" s="2" t="e">
        <f t="shared" si="48"/>
        <v>#N/A</v>
      </c>
      <c r="N584" s="2" t="str">
        <f t="shared" si="49"/>
        <v>Q NOT OK dE&gt;0.8</v>
      </c>
      <c r="O584" s="7">
        <v>17.600000000000001</v>
      </c>
      <c r="P584" s="7">
        <v>0</v>
      </c>
      <c r="Q584" s="7">
        <v>-1.2</v>
      </c>
      <c r="R584" s="7">
        <v>-0.86</v>
      </c>
      <c r="S584" s="7">
        <v>0.2</v>
      </c>
      <c r="T584" s="7">
        <v>0.1</v>
      </c>
      <c r="U584" s="7">
        <v>-0.2</v>
      </c>
      <c r="V584" s="7">
        <v>0.25</v>
      </c>
      <c r="W584" s="7">
        <v>0.92</v>
      </c>
      <c r="X584" s="7" t="s">
        <v>13</v>
      </c>
      <c r="Y584" s="7" t="s">
        <v>9</v>
      </c>
      <c r="Z584" s="2" t="s">
        <v>718</v>
      </c>
      <c r="AA584" s="2" t="s">
        <v>721</v>
      </c>
    </row>
    <row r="585" spans="1:27" x14ac:dyDescent="0.35">
      <c r="A585" s="7" t="s">
        <v>1768</v>
      </c>
      <c r="B585" s="7" t="s">
        <v>1265</v>
      </c>
      <c r="C585" s="7" t="str">
        <f>_xlfn.XLOOKUP(B585,'[1]Sheet 1'!$A$2:$A$11107,'[1]Sheet 1'!$D$2:$D$11107,"",0)</f>
        <v>CK</v>
      </c>
      <c r="D585" s="4" t="str">
        <f>_xlfn.XLOOKUP(A585,[3]Sheet2!$I$2:$I$1623,[3]Sheet2!$D$2:$D$1623,"",0)</f>
        <v>Q3</v>
      </c>
      <c r="E585" s="4" t="s">
        <v>1829</v>
      </c>
      <c r="F585" s="4" t="e">
        <f>_xlfn.XLOOKUP(B585,[2]Sheet2!$E$2:$E$713,[2]Sheet2!$G$2:$G$713)</f>
        <v>#N/A</v>
      </c>
      <c r="G585" s="18">
        <v>46133</v>
      </c>
      <c r="H585" s="14">
        <v>0.72103009259259254</v>
      </c>
      <c r="I585" s="7" t="s">
        <v>11</v>
      </c>
      <c r="J585" s="2" t="str">
        <f t="shared" si="45"/>
        <v>Q3</v>
      </c>
      <c r="K585" s="2" t="str">
        <f t="shared" si="46"/>
        <v>Match</v>
      </c>
      <c r="L585" s="2">
        <f t="shared" si="47"/>
        <v>0.3</v>
      </c>
      <c r="M585" s="2" t="e">
        <f t="shared" si="48"/>
        <v>#N/A</v>
      </c>
      <c r="N585" s="2" t="str">
        <f t="shared" si="49"/>
        <v>Q OK dE&lt;=0.8</v>
      </c>
      <c r="O585" s="7">
        <v>29.3</v>
      </c>
      <c r="P585" s="7">
        <v>28.6</v>
      </c>
      <c r="Q585" s="7">
        <v>13.9</v>
      </c>
      <c r="R585" s="7">
        <v>0.19</v>
      </c>
      <c r="S585" s="7">
        <v>-0.3</v>
      </c>
      <c r="T585" s="20">
        <v>0</v>
      </c>
      <c r="U585" s="7">
        <v>-0.16</v>
      </c>
      <c r="V585" s="7">
        <v>0.08</v>
      </c>
      <c r="W585" s="7">
        <v>0.26</v>
      </c>
      <c r="X585" s="7" t="s">
        <v>8</v>
      </c>
      <c r="Y585" s="7" t="s">
        <v>12</v>
      </c>
      <c r="Z585" s="2" t="s">
        <v>718</v>
      </c>
      <c r="AA585" s="2" t="s">
        <v>721</v>
      </c>
    </row>
    <row r="586" spans="1:27" x14ac:dyDescent="0.35">
      <c r="A586" s="7" t="s">
        <v>1558</v>
      </c>
      <c r="B586" s="7" t="s">
        <v>1269</v>
      </c>
      <c r="C586" s="7" t="str">
        <f>_xlfn.XLOOKUP(B586,'[1]Sheet 1'!$A$2:$A$11107,'[1]Sheet 1'!$D$2:$D$11107,"",0)</f>
        <v>M&amp;S</v>
      </c>
      <c r="D586" s="4" t="str">
        <f>_xlfn.XLOOKUP(A586,[3]Sheet2!$I$2:$I$1623,[3]Sheet2!$D$2:$D$1623,"",0)</f>
        <v>Q3</v>
      </c>
      <c r="E586" s="4" t="s">
        <v>1828</v>
      </c>
      <c r="F586" s="4" t="e">
        <f>_xlfn.XLOOKUP(B586,[2]Sheet2!$E$2:$E$713,[2]Sheet2!$G$2:$G$713)</f>
        <v>#N/A</v>
      </c>
      <c r="G586" s="18">
        <v>46134</v>
      </c>
      <c r="H586" s="14">
        <v>1.9050925925925926E-2</v>
      </c>
      <c r="I586" s="7" t="s">
        <v>17</v>
      </c>
      <c r="J586" s="2" t="str">
        <f t="shared" si="45"/>
        <v>Q3</v>
      </c>
      <c r="K586" s="2" t="str">
        <f t="shared" si="46"/>
        <v>Match</v>
      </c>
      <c r="L586" s="2">
        <f t="shared" si="47"/>
        <v>0.14142135623730953</v>
      </c>
      <c r="M586" s="2" t="e">
        <f t="shared" si="48"/>
        <v>#N/A</v>
      </c>
      <c r="N586" s="2" t="str">
        <f t="shared" si="49"/>
        <v>Q OK dE&lt;=0.8</v>
      </c>
      <c r="O586" s="7">
        <v>14.9</v>
      </c>
      <c r="P586" s="7">
        <v>-0.6</v>
      </c>
      <c r="Q586" s="7">
        <v>-1.8</v>
      </c>
      <c r="R586" s="7">
        <v>-0.66</v>
      </c>
      <c r="S586" s="7">
        <v>-0.1</v>
      </c>
      <c r="T586" s="7">
        <v>-0.1</v>
      </c>
      <c r="U586" s="7">
        <v>0.17</v>
      </c>
      <c r="V586" s="7">
        <v>-0.11</v>
      </c>
      <c r="W586" s="7">
        <v>0.69</v>
      </c>
      <c r="X586" s="7" t="s">
        <v>8</v>
      </c>
      <c r="Y586" s="7" t="s">
        <v>15</v>
      </c>
      <c r="Z586" s="2" t="s">
        <v>718</v>
      </c>
      <c r="AA586" s="2" t="s">
        <v>721</v>
      </c>
    </row>
    <row r="587" spans="1:27" x14ac:dyDescent="0.35">
      <c r="A587" s="7" t="s">
        <v>1761</v>
      </c>
      <c r="B587" s="7" t="s">
        <v>1279</v>
      </c>
      <c r="C587" s="7" t="str">
        <f>_xlfn.XLOOKUP(B587,'[1]Sheet 1'!$A$2:$A$11107,'[1]Sheet 1'!$D$2:$D$11107,"",0)</f>
        <v>VSS</v>
      </c>
      <c r="D587" s="4" t="str">
        <f>_xlfn.XLOOKUP(A587,[3]Sheet2!$I$2:$I$1623,[3]Sheet2!$D$2:$D$1623,"",0)</f>
        <v>Q1</v>
      </c>
      <c r="E587" s="4" t="s">
        <v>1828</v>
      </c>
      <c r="F587" s="4" t="e">
        <f>_xlfn.XLOOKUP(B587,[2]Sheet2!$E$2:$E$713,[2]Sheet2!$G$2:$G$713)</f>
        <v>#N/A</v>
      </c>
      <c r="G587" s="18">
        <v>46134</v>
      </c>
      <c r="H587" s="14">
        <v>0.74050925925925926</v>
      </c>
      <c r="I587" s="7" t="s">
        <v>10</v>
      </c>
      <c r="J587" s="2" t="str">
        <f t="shared" si="45"/>
        <v>Q1</v>
      </c>
      <c r="K587" s="2" t="str">
        <f t="shared" si="46"/>
        <v>Match</v>
      </c>
      <c r="L587" s="2">
        <f t="shared" si="47"/>
        <v>0.14142135623730953</v>
      </c>
      <c r="M587" s="2" t="e">
        <f t="shared" si="48"/>
        <v>#N/A</v>
      </c>
      <c r="N587" s="2" t="str">
        <f t="shared" si="49"/>
        <v>Q OK dE&lt;=0.8</v>
      </c>
      <c r="O587" s="7">
        <v>28.6</v>
      </c>
      <c r="P587" s="7">
        <v>0.8</v>
      </c>
      <c r="Q587" s="7">
        <v>8.1</v>
      </c>
      <c r="R587" s="7">
        <v>0.45</v>
      </c>
      <c r="S587" s="7">
        <v>0.1</v>
      </c>
      <c r="T587" s="7">
        <v>0.1</v>
      </c>
      <c r="U587" s="7">
        <v>0.12</v>
      </c>
      <c r="V587" s="7">
        <v>-0.17</v>
      </c>
      <c r="W587" s="7">
        <v>0.5</v>
      </c>
      <c r="X587" s="7" t="s">
        <v>8</v>
      </c>
      <c r="Y587" s="7" t="s">
        <v>9</v>
      </c>
      <c r="Z587" s="2" t="s">
        <v>718</v>
      </c>
      <c r="AA587" s="2" t="s">
        <v>721</v>
      </c>
    </row>
    <row r="588" spans="1:27" x14ac:dyDescent="0.35">
      <c r="A588" s="7" t="s">
        <v>1761</v>
      </c>
      <c r="B588" s="7" t="s">
        <v>1263</v>
      </c>
      <c r="C588" s="7" t="str">
        <f>_xlfn.XLOOKUP(B588,'[1]Sheet 1'!$A$2:$A$11107,'[1]Sheet 1'!$D$2:$D$11107,"",0)</f>
        <v>VSS</v>
      </c>
      <c r="D588" s="4" t="str">
        <f>_xlfn.XLOOKUP(A588,[3]Sheet2!$I$2:$I$1623,[3]Sheet2!$D$2:$D$1623,"",0)</f>
        <v>Q1</v>
      </c>
      <c r="E588" s="4" t="s">
        <v>1828</v>
      </c>
      <c r="F588" s="4" t="e">
        <f>_xlfn.XLOOKUP(B588,[2]Sheet2!$E$2:$E$713,[2]Sheet2!$G$2:$G$713)</f>
        <v>#N/A</v>
      </c>
      <c r="G588" s="18">
        <v>46134</v>
      </c>
      <c r="H588" s="14">
        <v>6.0578703703703704E-2</v>
      </c>
      <c r="I588" s="7" t="s">
        <v>10</v>
      </c>
      <c r="J588" s="2" t="str">
        <f t="shared" si="45"/>
        <v>Q2</v>
      </c>
      <c r="K588" s="2" t="str">
        <f t="shared" si="46"/>
        <v>Not Match</v>
      </c>
      <c r="L588" s="2">
        <f t="shared" si="47"/>
        <v>1.004987562112089</v>
      </c>
      <c r="M588" s="2" t="e">
        <f t="shared" si="48"/>
        <v>#N/A</v>
      </c>
      <c r="N588" s="2" t="str">
        <f t="shared" si="49"/>
        <v>Q NOT OK dE&gt;0.8</v>
      </c>
      <c r="O588" s="7">
        <v>28.8</v>
      </c>
      <c r="P588" s="7">
        <v>0.4</v>
      </c>
      <c r="Q588" s="7">
        <v>9</v>
      </c>
      <c r="R588" s="7">
        <v>0.56999999999999995</v>
      </c>
      <c r="S588" s="7">
        <v>-0.1</v>
      </c>
      <c r="T588" s="7">
        <v>1</v>
      </c>
      <c r="U588" s="7">
        <v>0.91</v>
      </c>
      <c r="V588" s="7">
        <v>0.37</v>
      </c>
      <c r="W588" s="7">
        <v>1.1299999999999999</v>
      </c>
      <c r="X588" s="7" t="s">
        <v>6</v>
      </c>
      <c r="Y588" s="7" t="s">
        <v>15</v>
      </c>
      <c r="Z588" s="2" t="s">
        <v>718</v>
      </c>
      <c r="AA588" s="2" t="s">
        <v>721</v>
      </c>
    </row>
    <row r="589" spans="1:27" x14ac:dyDescent="0.35">
      <c r="A589" s="7" t="s">
        <v>1645</v>
      </c>
      <c r="B589" s="7" t="s">
        <v>1281</v>
      </c>
      <c r="C589" s="7" t="str">
        <f>_xlfn.XLOOKUP(B589,'[1]Sheet 1'!$A$2:$A$11107,'[1]Sheet 1'!$D$2:$D$11107,"",0)</f>
        <v>M&amp;S</v>
      </c>
      <c r="D589" s="4" t="str">
        <f>_xlfn.XLOOKUP(A589,[3]Sheet2!$I$2:$I$1623,[3]Sheet2!$D$2:$D$1623,"",0)</f>
        <v>Q2</v>
      </c>
      <c r="E589" s="4" t="s">
        <v>1828</v>
      </c>
      <c r="F589" s="4" t="e">
        <f>_xlfn.XLOOKUP(B589,[2]Sheet2!$E$2:$E$713,[2]Sheet2!$G$2:$G$713)</f>
        <v>#N/A</v>
      </c>
      <c r="G589" s="18">
        <v>46134</v>
      </c>
      <c r="H589" s="14">
        <v>0.76856481481481487</v>
      </c>
      <c r="I589" s="7" t="s">
        <v>5</v>
      </c>
      <c r="J589" s="2" t="str">
        <f t="shared" si="45"/>
        <v>Q3</v>
      </c>
      <c r="K589" s="2" t="str">
        <f t="shared" si="46"/>
        <v>Not Match</v>
      </c>
      <c r="L589" s="2">
        <f t="shared" si="47"/>
        <v>0.36055512754639896</v>
      </c>
      <c r="M589" s="2" t="e">
        <f t="shared" si="48"/>
        <v>#N/A</v>
      </c>
      <c r="N589" s="2" t="str">
        <f t="shared" si="49"/>
        <v>Q NOT OK dE&lt;=0.8</v>
      </c>
      <c r="O589" s="7">
        <v>16.100000000000001</v>
      </c>
      <c r="P589" s="7">
        <v>-1.2</v>
      </c>
      <c r="Q589" s="7">
        <v>-2.2999999999999998</v>
      </c>
      <c r="R589" s="7">
        <v>-0.19</v>
      </c>
      <c r="S589" s="7">
        <v>-0.2</v>
      </c>
      <c r="T589" s="7">
        <v>-0.3</v>
      </c>
      <c r="U589" s="7">
        <v>0.51</v>
      </c>
      <c r="V589" s="7">
        <v>-0.15</v>
      </c>
      <c r="W589" s="7">
        <v>0.56999999999999995</v>
      </c>
      <c r="X589" s="7" t="s">
        <v>8</v>
      </c>
      <c r="Y589" s="7" t="s">
        <v>15</v>
      </c>
      <c r="Z589" s="2" t="s">
        <v>718</v>
      </c>
      <c r="AA589" s="2" t="s">
        <v>721</v>
      </c>
    </row>
    <row r="590" spans="1:27" x14ac:dyDescent="0.35">
      <c r="A590" s="7" t="s">
        <v>1766</v>
      </c>
      <c r="B590" s="7" t="s">
        <v>1282</v>
      </c>
      <c r="C590" s="7" t="str">
        <f>_xlfn.XLOOKUP(B590,'[1]Sheet 1'!$A$2:$A$11107,'[1]Sheet 1'!$D$2:$D$11107,"",0)</f>
        <v>M&amp;S</v>
      </c>
      <c r="D590" s="4" t="str">
        <f>_xlfn.XLOOKUP(A590,[3]Sheet2!$I$2:$I$1623,[3]Sheet2!$D$2:$D$1623,"",0)</f>
        <v>Q1</v>
      </c>
      <c r="E590" s="4" t="s">
        <v>1828</v>
      </c>
      <c r="F590" s="4" t="e">
        <f>_xlfn.XLOOKUP(B590,[2]Sheet2!$E$2:$E$713,[2]Sheet2!$G$2:$G$713)</f>
        <v>#N/A</v>
      </c>
      <c r="G590" s="18">
        <v>46134</v>
      </c>
      <c r="H590" s="14">
        <v>0.77309027777777772</v>
      </c>
      <c r="I590" s="7" t="s">
        <v>17</v>
      </c>
      <c r="J590" s="2" t="str">
        <f t="shared" si="45"/>
        <v>Q1</v>
      </c>
      <c r="K590" s="2" t="str">
        <f t="shared" si="46"/>
        <v>Match</v>
      </c>
      <c r="L590" s="2">
        <f t="shared" si="47"/>
        <v>0.2</v>
      </c>
      <c r="M590" s="2" t="e">
        <f t="shared" si="48"/>
        <v>#N/A</v>
      </c>
      <c r="N590" s="2" t="str">
        <f t="shared" si="49"/>
        <v>Q OK dE&lt;=0.8</v>
      </c>
      <c r="O590" s="7">
        <v>36.799999999999997</v>
      </c>
      <c r="P590" s="7">
        <v>20.7</v>
      </c>
      <c r="Q590" s="7">
        <v>15.6</v>
      </c>
      <c r="R590" s="7">
        <v>-0.09</v>
      </c>
      <c r="S590" s="7">
        <v>0</v>
      </c>
      <c r="T590" s="7">
        <v>0.2</v>
      </c>
      <c r="U590" s="7">
        <v>0.08</v>
      </c>
      <c r="V590" s="7">
        <v>0.16</v>
      </c>
      <c r="W590" s="7">
        <v>0.2</v>
      </c>
      <c r="X590" s="7" t="s">
        <v>8</v>
      </c>
      <c r="Y590" s="7" t="s">
        <v>12</v>
      </c>
      <c r="Z590" s="2" t="s">
        <v>718</v>
      </c>
      <c r="AA590" s="2" t="s">
        <v>721</v>
      </c>
    </row>
    <row r="591" spans="1:27" x14ac:dyDescent="0.35">
      <c r="A591" s="7" t="s">
        <v>1645</v>
      </c>
      <c r="B591" s="7" t="s">
        <v>1280</v>
      </c>
      <c r="C591" s="7" t="str">
        <f>_xlfn.XLOOKUP(B591,'[1]Sheet 1'!$A$2:$A$11107,'[1]Sheet 1'!$D$2:$D$11107,"",0)</f>
        <v>M&amp;S</v>
      </c>
      <c r="D591" s="4" t="str">
        <f>_xlfn.XLOOKUP(A591,[3]Sheet2!$I$2:$I$1623,[3]Sheet2!$D$2:$D$1623,"",0)</f>
        <v>Q2</v>
      </c>
      <c r="E591" s="4" t="s">
        <v>1828</v>
      </c>
      <c r="F591" s="4" t="e">
        <f>_xlfn.XLOOKUP(B591,[2]Sheet2!$E$2:$E$713,[2]Sheet2!$G$2:$G$713)</f>
        <v>#N/A</v>
      </c>
      <c r="G591" s="18">
        <v>46134</v>
      </c>
      <c r="H591" s="14">
        <v>0.74306712962962962</v>
      </c>
      <c r="I591" s="7" t="s">
        <v>5</v>
      </c>
      <c r="J591" s="2" t="str">
        <f t="shared" si="45"/>
        <v>Q2</v>
      </c>
      <c r="K591" s="2" t="str">
        <f t="shared" si="46"/>
        <v>Match</v>
      </c>
      <c r="L591" s="2">
        <f t="shared" si="47"/>
        <v>0.4</v>
      </c>
      <c r="M591" s="2" t="e">
        <f t="shared" si="48"/>
        <v>#N/A</v>
      </c>
      <c r="N591" s="2" t="str">
        <f t="shared" si="49"/>
        <v>Q OK dE&lt;=0.8</v>
      </c>
      <c r="O591" s="7">
        <v>16.5</v>
      </c>
      <c r="P591" s="7">
        <v>-0.9</v>
      </c>
      <c r="Q591" s="7">
        <v>-2.4</v>
      </c>
      <c r="R591" s="7">
        <v>0.21</v>
      </c>
      <c r="S591" s="7">
        <v>0</v>
      </c>
      <c r="T591" s="7">
        <v>-0.4</v>
      </c>
      <c r="U591" s="7">
        <v>0.53</v>
      </c>
      <c r="V591" s="7">
        <v>0.16</v>
      </c>
      <c r="W591" s="7">
        <v>0.59</v>
      </c>
      <c r="X591" s="7" t="s">
        <v>8</v>
      </c>
      <c r="Y591" s="7" t="s">
        <v>9</v>
      </c>
      <c r="Z591" s="2" t="s">
        <v>718</v>
      </c>
      <c r="AA591" s="2" t="s">
        <v>721</v>
      </c>
    </row>
    <row r="592" spans="1:27" x14ac:dyDescent="0.35">
      <c r="A592" s="7" t="s">
        <v>1645</v>
      </c>
      <c r="B592" s="7" t="s">
        <v>1277</v>
      </c>
      <c r="C592" s="7" t="str">
        <f>_xlfn.XLOOKUP(B592,'[1]Sheet 1'!$A$2:$A$11107,'[1]Sheet 1'!$D$2:$D$11107,"",0)</f>
        <v>M&amp;S</v>
      </c>
      <c r="D592" s="4" t="str">
        <f>_xlfn.XLOOKUP(A592,[3]Sheet2!$I$2:$I$1623,[3]Sheet2!$D$2:$D$1623,"",0)</f>
        <v>Q2</v>
      </c>
      <c r="E592" s="4" t="s">
        <v>1828</v>
      </c>
      <c r="F592" s="4" t="e">
        <f>_xlfn.XLOOKUP(B592,[2]Sheet2!$E$2:$E$713,[2]Sheet2!$G$2:$G$713)</f>
        <v>#N/A</v>
      </c>
      <c r="G592" s="18">
        <v>46134</v>
      </c>
      <c r="H592" s="14">
        <v>0.70451388888888888</v>
      </c>
      <c r="I592" s="7" t="s">
        <v>4</v>
      </c>
      <c r="J592" s="2" t="str">
        <f t="shared" si="45"/>
        <v>Q3</v>
      </c>
      <c r="K592" s="2" t="str">
        <f t="shared" si="46"/>
        <v>Not Match</v>
      </c>
      <c r="L592" s="2">
        <f t="shared" si="47"/>
        <v>0.22360679774997899</v>
      </c>
      <c r="M592" s="2" t="e">
        <f t="shared" si="48"/>
        <v>#N/A</v>
      </c>
      <c r="N592" s="2" t="str">
        <f t="shared" si="49"/>
        <v>Q NOT OK dE&lt;=0.8</v>
      </c>
      <c r="O592" s="7">
        <v>17.100000000000001</v>
      </c>
      <c r="P592" s="7">
        <v>-1.3</v>
      </c>
      <c r="Q592" s="7">
        <v>-1.5</v>
      </c>
      <c r="R592" s="7">
        <v>0.3</v>
      </c>
      <c r="S592" s="7">
        <v>-0.1</v>
      </c>
      <c r="T592" s="7">
        <v>-0.2</v>
      </c>
      <c r="U592" s="7">
        <v>0.39</v>
      </c>
      <c r="V592" s="7">
        <v>0.12</v>
      </c>
      <c r="W592" s="7">
        <v>0.5</v>
      </c>
      <c r="X592" s="7" t="s">
        <v>8</v>
      </c>
      <c r="Y592" s="7" t="s">
        <v>15</v>
      </c>
      <c r="Z592" s="2" t="s">
        <v>718</v>
      </c>
      <c r="AA592" s="2" t="s">
        <v>721</v>
      </c>
    </row>
    <row r="593" spans="1:27" x14ac:dyDescent="0.35">
      <c r="A593" s="7" t="s">
        <v>1778</v>
      </c>
      <c r="B593" s="7" t="s">
        <v>1273</v>
      </c>
      <c r="C593" s="7" t="str">
        <f>_xlfn.XLOOKUP(B593,'[1]Sheet 1'!$A$2:$A$11107,'[1]Sheet 1'!$D$2:$D$11107,"",0)</f>
        <v>LULU</v>
      </c>
      <c r="D593" s="4" t="str">
        <f>_xlfn.XLOOKUP(A593,[3]Sheet2!$I$2:$I$1623,[3]Sheet2!$D$2:$D$1623,"",0)</f>
        <v>Q3</v>
      </c>
      <c r="E593" s="4" t="s">
        <v>1828</v>
      </c>
      <c r="F593" s="4" t="e">
        <f>_xlfn.XLOOKUP(B593,[2]Sheet2!$E$2:$E$713,[2]Sheet2!$G$2:$G$713)</f>
        <v>#N/A</v>
      </c>
      <c r="G593" s="18">
        <v>46134</v>
      </c>
      <c r="H593" s="14">
        <v>0.68839120370370366</v>
      </c>
      <c r="I593" s="7" t="s">
        <v>4</v>
      </c>
      <c r="J593" s="2" t="str">
        <f t="shared" si="45"/>
        <v>Q3</v>
      </c>
      <c r="K593" s="2" t="str">
        <f t="shared" si="46"/>
        <v>Match</v>
      </c>
      <c r="L593" s="2">
        <f t="shared" si="47"/>
        <v>0.14142135623730953</v>
      </c>
      <c r="M593" s="2" t="e">
        <f t="shared" si="48"/>
        <v>#N/A</v>
      </c>
      <c r="N593" s="2" t="str">
        <f t="shared" si="49"/>
        <v>Q OK dE&lt;=0.8</v>
      </c>
      <c r="O593" s="7">
        <v>36.799999999999997</v>
      </c>
      <c r="P593" s="7">
        <v>52.6</v>
      </c>
      <c r="Q593" s="7">
        <v>26.7</v>
      </c>
      <c r="R593" s="7">
        <v>0.16</v>
      </c>
      <c r="S593" s="7">
        <v>-0.1</v>
      </c>
      <c r="T593" s="7">
        <v>-0.1</v>
      </c>
      <c r="U593" s="7">
        <v>-0.06</v>
      </c>
      <c r="V593" s="7">
        <v>-7.0000000000000007E-2</v>
      </c>
      <c r="W593" s="7">
        <v>0.18</v>
      </c>
      <c r="X593" s="7" t="s">
        <v>8</v>
      </c>
      <c r="Y593" s="7" t="s">
        <v>7</v>
      </c>
      <c r="Z593" s="2" t="s">
        <v>718</v>
      </c>
      <c r="AA593" s="2" t="s">
        <v>721</v>
      </c>
    </row>
    <row r="594" spans="1:27" x14ac:dyDescent="0.35">
      <c r="A594" s="7" t="s">
        <v>1554</v>
      </c>
      <c r="B594" s="7" t="s">
        <v>1272</v>
      </c>
      <c r="C594" s="7" t="str">
        <f>_xlfn.XLOOKUP(B594,'[1]Sheet 1'!$A$2:$A$11107,'[1]Sheet 1'!$D$2:$D$11107,"",0)</f>
        <v>NIK</v>
      </c>
      <c r="D594" s="4" t="str">
        <f>_xlfn.XLOOKUP(A594,[3]Sheet2!$I$2:$I$1623,[3]Sheet2!$D$2:$D$1623,"",0)</f>
        <v>Q1</v>
      </c>
      <c r="E594" s="4" t="s">
        <v>1828</v>
      </c>
      <c r="F594" s="4" t="e">
        <f>_xlfn.XLOOKUP(B594,[2]Sheet2!$E$2:$E$713,[2]Sheet2!$G$2:$G$713)</f>
        <v>#N/A</v>
      </c>
      <c r="G594" s="18">
        <v>46134</v>
      </c>
      <c r="H594" s="14">
        <v>0.55393518518518514</v>
      </c>
      <c r="I594" s="7" t="s">
        <v>4</v>
      </c>
      <c r="J594" s="2" t="str">
        <f t="shared" si="45"/>
        <v>Q1</v>
      </c>
      <c r="K594" s="2" t="str">
        <f t="shared" si="46"/>
        <v>Match</v>
      </c>
      <c r="L594" s="2">
        <f t="shared" si="47"/>
        <v>0.53851648071345048</v>
      </c>
      <c r="M594" s="2" t="e">
        <f t="shared" si="48"/>
        <v>#N/A</v>
      </c>
      <c r="N594" s="2" t="str">
        <f t="shared" si="49"/>
        <v>Q OK dE&gt;0.8</v>
      </c>
      <c r="O594" s="7">
        <v>17.3</v>
      </c>
      <c r="P594" s="7">
        <v>-0.8</v>
      </c>
      <c r="Q594" s="7">
        <v>-1.6</v>
      </c>
      <c r="R594" s="7">
        <v>-0.35</v>
      </c>
      <c r="S594" s="7">
        <v>0.5</v>
      </c>
      <c r="T594" s="7">
        <v>0.2</v>
      </c>
      <c r="U594" s="7">
        <v>-0.66</v>
      </c>
      <c r="V594" s="7">
        <v>0.44</v>
      </c>
      <c r="W594" s="7">
        <v>0.87</v>
      </c>
      <c r="X594" s="7" t="s">
        <v>13</v>
      </c>
      <c r="Y594" s="7" t="s">
        <v>7</v>
      </c>
      <c r="Z594" s="2" t="s">
        <v>718</v>
      </c>
      <c r="AA594" s="2" t="s">
        <v>721</v>
      </c>
    </row>
    <row r="595" spans="1:27" x14ac:dyDescent="0.35">
      <c r="A595" s="7" t="s">
        <v>1687</v>
      </c>
      <c r="B595" s="7" t="s">
        <v>1262</v>
      </c>
      <c r="C595" s="7" t="str">
        <f>_xlfn.XLOOKUP(B595,'[1]Sheet 1'!$A$2:$A$11107,'[1]Sheet 1'!$D$2:$D$11107,"",0)</f>
        <v>NIK</v>
      </c>
      <c r="D595" s="4" t="str">
        <f>_xlfn.XLOOKUP(A595,[3]Sheet2!$I$2:$I$1623,[3]Sheet2!$D$2:$D$1623,"",0)</f>
        <v>Q3</v>
      </c>
      <c r="E595" s="4" t="s">
        <v>1828</v>
      </c>
      <c r="F595" s="4" t="e">
        <f>_xlfn.XLOOKUP(B595,[2]Sheet2!$E$2:$E$713,[2]Sheet2!$G$2:$G$713)</f>
        <v>#N/A</v>
      </c>
      <c r="G595" s="18">
        <v>46134</v>
      </c>
      <c r="H595" s="14">
        <v>1.5439814814814814E-2</v>
      </c>
      <c r="I595" s="7" t="s">
        <v>4</v>
      </c>
      <c r="J595" s="2" t="str">
        <f t="shared" si="45"/>
        <v>Q3</v>
      </c>
      <c r="K595" s="2" t="str">
        <f t="shared" si="46"/>
        <v>Match</v>
      </c>
      <c r="L595" s="2">
        <f t="shared" si="47"/>
        <v>0.3</v>
      </c>
      <c r="M595" s="2" t="e">
        <f t="shared" si="48"/>
        <v>#N/A</v>
      </c>
      <c r="N595" s="2" t="str">
        <f t="shared" si="49"/>
        <v>Q OK dE&lt;=0.8</v>
      </c>
      <c r="O595" s="7">
        <v>33.5</v>
      </c>
      <c r="P595" s="7">
        <v>11.7</v>
      </c>
      <c r="Q595" s="7">
        <v>11</v>
      </c>
      <c r="R595" s="7">
        <v>-0.28000000000000003</v>
      </c>
      <c r="S595" s="7">
        <v>0.3</v>
      </c>
      <c r="T595" s="20">
        <v>0</v>
      </c>
      <c r="U595" s="7">
        <v>0.13</v>
      </c>
      <c r="V595" s="7">
        <v>-0.41</v>
      </c>
      <c r="W595" s="7">
        <v>0.51</v>
      </c>
      <c r="X595" s="7" t="s">
        <v>8</v>
      </c>
      <c r="Y595" s="7" t="s">
        <v>9</v>
      </c>
      <c r="Z595" s="2" t="s">
        <v>718</v>
      </c>
      <c r="AA595" s="2" t="s">
        <v>721</v>
      </c>
    </row>
    <row r="596" spans="1:27" x14ac:dyDescent="0.35">
      <c r="A596" s="7" t="s">
        <v>1636</v>
      </c>
      <c r="B596" s="7" t="s">
        <v>1278</v>
      </c>
      <c r="C596" s="7" t="str">
        <f>_xlfn.XLOOKUP(B596,'[1]Sheet 1'!$A$2:$A$11107,'[1]Sheet 1'!$D$2:$D$11107,"",0)</f>
        <v>NEWB</v>
      </c>
      <c r="D596" s="4" t="str">
        <f>_xlfn.XLOOKUP(A596,[3]Sheet2!$I$2:$I$1623,[3]Sheet2!$D$2:$D$1623,"",0)</f>
        <v>Q2</v>
      </c>
      <c r="E596" s="4" t="s">
        <v>1828</v>
      </c>
      <c r="F596" s="4" t="e">
        <f>_xlfn.XLOOKUP(B596,[2]Sheet2!$E$2:$E$713,[2]Sheet2!$G$2:$G$713)</f>
        <v>#N/A</v>
      </c>
      <c r="G596" s="18">
        <v>46134</v>
      </c>
      <c r="H596" s="14">
        <v>0.70678240740740739</v>
      </c>
      <c r="I596" s="7" t="s">
        <v>4</v>
      </c>
      <c r="J596" s="2" t="str">
        <f t="shared" si="45"/>
        <v>Q2</v>
      </c>
      <c r="K596" s="2" t="str">
        <f t="shared" si="46"/>
        <v>Match</v>
      </c>
      <c r="L596" s="2">
        <f t="shared" si="47"/>
        <v>0.2</v>
      </c>
      <c r="M596" s="2" t="e">
        <f t="shared" si="48"/>
        <v>#N/A</v>
      </c>
      <c r="N596" s="2" t="str">
        <f t="shared" si="49"/>
        <v>Q OK dE&gt;0.8</v>
      </c>
      <c r="O596" s="7">
        <v>18.8</v>
      </c>
      <c r="P596" s="7">
        <v>-1.7</v>
      </c>
      <c r="Q596" s="7">
        <v>-2.2000000000000002</v>
      </c>
      <c r="R596" s="7">
        <v>-0.89</v>
      </c>
      <c r="S596" s="7">
        <v>-0.2</v>
      </c>
      <c r="T596" s="20">
        <v>0</v>
      </c>
      <c r="U596" s="7">
        <v>0.14000000000000001</v>
      </c>
      <c r="V596" s="7">
        <v>-0.31</v>
      </c>
      <c r="W596" s="7">
        <v>0.95</v>
      </c>
      <c r="X596" s="7" t="s">
        <v>13</v>
      </c>
      <c r="Y596" s="7" t="s">
        <v>15</v>
      </c>
      <c r="Z596" s="2" t="s">
        <v>718</v>
      </c>
      <c r="AA596" s="2" t="s">
        <v>721</v>
      </c>
    </row>
    <row r="597" spans="1:27" x14ac:dyDescent="0.35">
      <c r="A597" s="7" t="s">
        <v>1545</v>
      </c>
      <c r="B597" s="7" t="s">
        <v>1271</v>
      </c>
      <c r="C597" s="7" t="str">
        <f>_xlfn.XLOOKUP(B597,'[1]Sheet 1'!$A$2:$A$11107,'[1]Sheet 1'!$D$2:$D$11107,"",0)</f>
        <v>NIK</v>
      </c>
      <c r="D597" s="4" t="str">
        <f>_xlfn.XLOOKUP(A597,[3]Sheet2!$I$2:$I$1623,[3]Sheet2!$D$2:$D$1623,"",0)</f>
        <v>Q2</v>
      </c>
      <c r="E597" s="4" t="s">
        <v>1828</v>
      </c>
      <c r="F597" s="4" t="e">
        <f>_xlfn.XLOOKUP(B597,[2]Sheet2!$E$2:$E$713,[2]Sheet2!$G$2:$G$713)</f>
        <v>#N/A</v>
      </c>
      <c r="G597" s="18">
        <v>46134</v>
      </c>
      <c r="H597" s="14">
        <v>0.28337962962962965</v>
      </c>
      <c r="I597" s="7" t="s">
        <v>4</v>
      </c>
      <c r="J597" s="2" t="str">
        <f t="shared" si="45"/>
        <v>Q2</v>
      </c>
      <c r="K597" s="2" t="str">
        <f t="shared" si="46"/>
        <v>Match</v>
      </c>
      <c r="L597" s="2">
        <f t="shared" si="47"/>
        <v>0.2</v>
      </c>
      <c r="M597" s="2" t="e">
        <f t="shared" si="48"/>
        <v>#N/A</v>
      </c>
      <c r="N597" s="2" t="str">
        <f t="shared" si="49"/>
        <v>Q OK dE&lt;=0.8</v>
      </c>
      <c r="O597" s="7">
        <v>18.5</v>
      </c>
      <c r="P597" s="7">
        <v>-0.8</v>
      </c>
      <c r="Q597" s="7">
        <v>-1.8</v>
      </c>
      <c r="R597" s="7">
        <v>0.12</v>
      </c>
      <c r="S597" s="7">
        <v>0</v>
      </c>
      <c r="T597" s="7">
        <v>-0.2</v>
      </c>
      <c r="U597" s="7">
        <v>0.31</v>
      </c>
      <c r="V597" s="7">
        <v>0.18</v>
      </c>
      <c r="W597" s="7">
        <v>0.38</v>
      </c>
      <c r="X597" s="7" t="s">
        <v>8</v>
      </c>
      <c r="Y597" s="7" t="s">
        <v>9</v>
      </c>
      <c r="Z597" s="2" t="s">
        <v>718</v>
      </c>
      <c r="AA597" s="2" t="s">
        <v>721</v>
      </c>
    </row>
    <row r="598" spans="1:27" x14ac:dyDescent="0.35">
      <c r="A598" s="7" t="s">
        <v>1761</v>
      </c>
      <c r="B598" s="7" t="s">
        <v>1270</v>
      </c>
      <c r="C598" s="7" t="str">
        <f>_xlfn.XLOOKUP(B598,'[1]Sheet 1'!$A$2:$A$11107,'[1]Sheet 1'!$D$2:$D$11107,"",0)</f>
        <v>VSS</v>
      </c>
      <c r="D598" s="4" t="str">
        <f>_xlfn.XLOOKUP(A598,[3]Sheet2!$I$2:$I$1623,[3]Sheet2!$D$2:$D$1623,"",0)</f>
        <v>Q1</v>
      </c>
      <c r="E598" s="4" t="s">
        <v>1828</v>
      </c>
      <c r="F598" s="4" t="e">
        <f>_xlfn.XLOOKUP(B598,[2]Sheet2!$E$2:$E$713,[2]Sheet2!$G$2:$G$713)</f>
        <v>#N/A</v>
      </c>
      <c r="G598" s="18">
        <v>46134</v>
      </c>
      <c r="H598" s="14">
        <v>7.739583333333333E-2</v>
      </c>
      <c r="I598" s="7" t="s">
        <v>10</v>
      </c>
      <c r="J598" s="2" t="str">
        <f t="shared" si="45"/>
        <v>Q1</v>
      </c>
      <c r="K598" s="2" t="str">
        <f t="shared" si="46"/>
        <v>Match</v>
      </c>
      <c r="L598" s="2">
        <f t="shared" si="47"/>
        <v>0.22360679774997899</v>
      </c>
      <c r="M598" s="2" t="e">
        <f t="shared" si="48"/>
        <v>#N/A</v>
      </c>
      <c r="N598" s="2" t="str">
        <f t="shared" si="49"/>
        <v>Q OK dE&lt;=0.8</v>
      </c>
      <c r="O598" s="7">
        <v>28.8</v>
      </c>
      <c r="P598" s="7">
        <v>0.9</v>
      </c>
      <c r="Q598" s="7">
        <v>8.1</v>
      </c>
      <c r="R598" s="7">
        <v>0.56999999999999995</v>
      </c>
      <c r="S598" s="7">
        <v>0.2</v>
      </c>
      <c r="T598" s="7">
        <v>0.1</v>
      </c>
      <c r="U598" s="7">
        <v>0.14000000000000001</v>
      </c>
      <c r="V598" s="7">
        <v>-0.36</v>
      </c>
      <c r="W598" s="7">
        <v>0.69</v>
      </c>
      <c r="X598" s="7" t="s">
        <v>8</v>
      </c>
      <c r="Y598" s="7" t="s">
        <v>9</v>
      </c>
      <c r="Z598" s="2" t="s">
        <v>718</v>
      </c>
      <c r="AA598" s="2" t="s">
        <v>721</v>
      </c>
    </row>
    <row r="599" spans="1:27" x14ac:dyDescent="0.35">
      <c r="A599" s="7" t="s">
        <v>1754</v>
      </c>
      <c r="B599" s="7" t="s">
        <v>1275</v>
      </c>
      <c r="C599" s="7" t="str">
        <f>_xlfn.XLOOKUP(B599,'[1]Sheet 1'!$A$2:$A$11107,'[1]Sheet 1'!$D$2:$D$11107,"",0)</f>
        <v>VSS</v>
      </c>
      <c r="D599" s="4" t="str">
        <f>_xlfn.XLOOKUP(A599,[3]Sheet2!$I$2:$I$1623,[3]Sheet2!$D$2:$D$1623,"",0)</f>
        <v>Q4</v>
      </c>
      <c r="E599" s="4" t="s">
        <v>1828</v>
      </c>
      <c r="F599" s="4" t="e">
        <f>_xlfn.XLOOKUP(B599,[2]Sheet2!$E$2:$E$713,[2]Sheet2!$G$2:$G$713)</f>
        <v>#N/A</v>
      </c>
      <c r="G599" s="18">
        <v>46134</v>
      </c>
      <c r="H599" s="14">
        <v>0.69626157407407407</v>
      </c>
      <c r="I599" s="7" t="s">
        <v>10</v>
      </c>
      <c r="J599" s="2" t="str">
        <f t="shared" si="45"/>
        <v>Q2</v>
      </c>
      <c r="K599" s="2" t="str">
        <f t="shared" si="46"/>
        <v>Not Match</v>
      </c>
      <c r="L599" s="2">
        <f t="shared" si="47"/>
        <v>0.36055512754639896</v>
      </c>
      <c r="M599" s="2" t="e">
        <f t="shared" si="48"/>
        <v>#N/A</v>
      </c>
      <c r="N599" s="2" t="str">
        <f t="shared" si="49"/>
        <v>Q NOT OK dE&lt;=0.8</v>
      </c>
      <c r="O599" s="7">
        <v>26.2</v>
      </c>
      <c r="P599" s="7">
        <v>11.1</v>
      </c>
      <c r="Q599" s="7">
        <v>-7.8</v>
      </c>
      <c r="R599" s="7">
        <v>0.4</v>
      </c>
      <c r="S599" s="7">
        <v>-0.2</v>
      </c>
      <c r="T599" s="7">
        <v>0.3</v>
      </c>
      <c r="U599" s="7">
        <v>-0.25</v>
      </c>
      <c r="V599" s="7">
        <v>0.13</v>
      </c>
      <c r="W599" s="7">
        <v>0.49</v>
      </c>
      <c r="X599" s="7" t="s">
        <v>8</v>
      </c>
      <c r="Y599" s="7" t="s">
        <v>9</v>
      </c>
      <c r="Z599" s="2" t="s">
        <v>718</v>
      </c>
      <c r="AA599" s="2" t="s">
        <v>721</v>
      </c>
    </row>
    <row r="600" spans="1:27" x14ac:dyDescent="0.35">
      <c r="A600" s="7" t="s">
        <v>1779</v>
      </c>
      <c r="B600" s="7" t="s">
        <v>1238</v>
      </c>
      <c r="C600" s="7" t="str">
        <f>_xlfn.XLOOKUP(B600,'[1]Sheet 1'!$A$2:$A$11107,'[1]Sheet 1'!$D$2:$D$11107,"",0)</f>
        <v>VSS</v>
      </c>
      <c r="D600" s="4" t="str">
        <f>_xlfn.XLOOKUP(A600,[3]Sheet2!$I$2:$I$1623,[3]Sheet2!$D$2:$D$1623,"",0)</f>
        <v>Q4</v>
      </c>
      <c r="E600" s="4" t="s">
        <v>1828</v>
      </c>
      <c r="F600" s="4" t="e">
        <f>_xlfn.XLOOKUP(B600,[2]Sheet2!$E$2:$E$713,[2]Sheet2!$G$2:$G$713)</f>
        <v>#N/A</v>
      </c>
      <c r="G600" s="18">
        <v>46135</v>
      </c>
      <c r="H600" s="14">
        <v>0.73864583333333333</v>
      </c>
      <c r="I600" s="7" t="s">
        <v>10</v>
      </c>
      <c r="J600" s="2" t="str">
        <f t="shared" si="45"/>
        <v>Q2</v>
      </c>
      <c r="K600" s="2" t="str">
        <f t="shared" si="46"/>
        <v>Not Match</v>
      </c>
      <c r="L600" s="2">
        <f t="shared" si="47"/>
        <v>0.85440037453175322</v>
      </c>
      <c r="M600" s="2" t="e">
        <f t="shared" si="48"/>
        <v>#N/A</v>
      </c>
      <c r="N600" s="2" t="str">
        <f t="shared" si="49"/>
        <v>Q NOT OK dE&gt;0.8</v>
      </c>
      <c r="O600" s="7">
        <v>29.9</v>
      </c>
      <c r="P600" s="7">
        <v>-20.100000000000001</v>
      </c>
      <c r="Q600" s="7">
        <v>-22.5</v>
      </c>
      <c r="R600" s="7">
        <v>-0.83</v>
      </c>
      <c r="S600" s="7">
        <v>-0.3</v>
      </c>
      <c r="T600" s="7">
        <v>0.8</v>
      </c>
      <c r="U600" s="7">
        <v>-0.19</v>
      </c>
      <c r="V600" s="7">
        <v>-0.54</v>
      </c>
      <c r="W600" s="7">
        <v>1.01</v>
      </c>
      <c r="X600" s="7" t="s">
        <v>6</v>
      </c>
      <c r="Y600" s="7" t="s">
        <v>12</v>
      </c>
      <c r="Z600" s="2" t="s">
        <v>718</v>
      </c>
      <c r="AA600" s="2" t="s">
        <v>721</v>
      </c>
    </row>
    <row r="601" spans="1:27" x14ac:dyDescent="0.35">
      <c r="A601" s="7" t="s">
        <v>1717</v>
      </c>
      <c r="B601" s="7" t="s">
        <v>1239</v>
      </c>
      <c r="C601" s="7" t="str">
        <f>_xlfn.XLOOKUP(B601,'[1]Sheet 1'!$A$2:$A$11107,'[1]Sheet 1'!$D$2:$D$11107,"",0)</f>
        <v>WACE</v>
      </c>
      <c r="D601" s="4" t="str">
        <f>_xlfn.XLOOKUP(A601,[3]Sheet2!$I$2:$I$1623,[3]Sheet2!$D$2:$D$1623,"",0)</f>
        <v>Q1</v>
      </c>
      <c r="E601" s="4" t="s">
        <v>1828</v>
      </c>
      <c r="F601" s="4" t="e">
        <f>_xlfn.XLOOKUP(B601,[2]Sheet2!$E$2:$E$713,[2]Sheet2!$G$2:$G$713)</f>
        <v>#N/A</v>
      </c>
      <c r="G601" s="18">
        <v>46135</v>
      </c>
      <c r="H601" s="14">
        <v>0.43368055555555557</v>
      </c>
      <c r="I601" s="7" t="s">
        <v>4</v>
      </c>
      <c r="J601" s="2" t="str">
        <f t="shared" si="45"/>
        <v>Q2</v>
      </c>
      <c r="K601" s="2" t="str">
        <f t="shared" si="46"/>
        <v>Not Match</v>
      </c>
      <c r="L601" s="2">
        <f t="shared" si="47"/>
        <v>0.5</v>
      </c>
      <c r="M601" s="2" t="e">
        <f t="shared" si="48"/>
        <v>#N/A</v>
      </c>
      <c r="N601" s="2" t="str">
        <f t="shared" si="49"/>
        <v>Q NOT OK dE&gt;0.8</v>
      </c>
      <c r="O601" s="7">
        <v>19.5</v>
      </c>
      <c r="P601" s="7">
        <v>5.5</v>
      </c>
      <c r="Q601" s="7">
        <v>2</v>
      </c>
      <c r="R601" s="7">
        <v>-0.62</v>
      </c>
      <c r="S601" s="7">
        <v>-0.4</v>
      </c>
      <c r="T601" s="7">
        <v>0.3</v>
      </c>
      <c r="U601" s="7">
        <v>-0.31</v>
      </c>
      <c r="V601" s="7">
        <v>0.68</v>
      </c>
      <c r="W601" s="7">
        <v>0.97</v>
      </c>
      <c r="X601" s="7" t="s">
        <v>13</v>
      </c>
      <c r="Y601" s="7" t="s">
        <v>12</v>
      </c>
      <c r="Z601" s="2" t="s">
        <v>718</v>
      </c>
      <c r="AA601" s="2" t="s">
        <v>721</v>
      </c>
    </row>
    <row r="602" spans="1:27" x14ac:dyDescent="0.35">
      <c r="A602" s="7" t="s">
        <v>1625</v>
      </c>
      <c r="B602" s="7" t="s">
        <v>1283</v>
      </c>
      <c r="C602" s="7" t="str">
        <f>_xlfn.XLOOKUP(B602,'[1]Sheet 1'!$A$2:$A$11107,'[1]Sheet 1'!$D$2:$D$11107,"",0)</f>
        <v>CK</v>
      </c>
      <c r="D602" s="4" t="str">
        <f>_xlfn.XLOOKUP(A602,[3]Sheet2!$I$2:$I$1623,[3]Sheet2!$D$2:$D$1623,"",0)</f>
        <v>Q1</v>
      </c>
      <c r="E602" s="4" t="s">
        <v>1828</v>
      </c>
      <c r="F602" s="4" t="e">
        <f>_xlfn.XLOOKUP(B602,[2]Sheet2!$E$2:$E$713,[2]Sheet2!$G$2:$G$713)</f>
        <v>#N/A</v>
      </c>
      <c r="G602" s="18">
        <v>46135</v>
      </c>
      <c r="H602" s="14">
        <v>0.61361111111111111</v>
      </c>
      <c r="I602" s="7" t="s">
        <v>11</v>
      </c>
      <c r="J602" s="2" t="str">
        <f t="shared" si="45"/>
        <v>Q1</v>
      </c>
      <c r="K602" s="2" t="str">
        <f t="shared" si="46"/>
        <v>Match</v>
      </c>
      <c r="L602" s="2">
        <f t="shared" si="47"/>
        <v>0.1</v>
      </c>
      <c r="M602" s="2" t="e">
        <f t="shared" si="48"/>
        <v>#N/A</v>
      </c>
      <c r="N602" s="2" t="str">
        <f t="shared" si="49"/>
        <v>Q OK dE&lt;=0.8</v>
      </c>
      <c r="O602" s="7">
        <v>20.100000000000001</v>
      </c>
      <c r="P602" s="7">
        <v>-0.3</v>
      </c>
      <c r="Q602" s="7">
        <v>-4.2</v>
      </c>
      <c r="R602" s="7">
        <v>0.01</v>
      </c>
      <c r="S602" s="7">
        <v>0</v>
      </c>
      <c r="T602" s="7">
        <v>-0.1</v>
      </c>
      <c r="U602" s="7">
        <v>0.16</v>
      </c>
      <c r="V602" s="7">
        <v>0.14000000000000001</v>
      </c>
      <c r="W602" s="7">
        <v>0.21</v>
      </c>
      <c r="X602" s="7" t="s">
        <v>8</v>
      </c>
      <c r="Y602" s="7" t="s">
        <v>9</v>
      </c>
      <c r="Z602" s="2" t="s">
        <v>718</v>
      </c>
      <c r="AA602" s="2" t="s">
        <v>721</v>
      </c>
    </row>
    <row r="603" spans="1:27" x14ac:dyDescent="0.35">
      <c r="A603" s="7" t="s">
        <v>1515</v>
      </c>
      <c r="B603" s="7" t="s">
        <v>1286</v>
      </c>
      <c r="C603" s="7" t="str">
        <f>_xlfn.XLOOKUP(B603,'[1]Sheet 1'!$A$2:$A$11107,'[1]Sheet 1'!$D$2:$D$11107,"",0)</f>
        <v>VSS</v>
      </c>
      <c r="D603" s="4" t="str">
        <f>_xlfn.XLOOKUP(A603,[3]Sheet2!$I$2:$I$1623,[3]Sheet2!$D$2:$D$1623,"",0)</f>
        <v>Q3</v>
      </c>
      <c r="E603" s="4" t="s">
        <v>1828</v>
      </c>
      <c r="F603" s="4" t="e">
        <f>_xlfn.XLOOKUP(B603,[2]Sheet2!$E$2:$E$713,[2]Sheet2!$G$2:$G$713)</f>
        <v>#N/A</v>
      </c>
      <c r="G603" s="18">
        <v>46135</v>
      </c>
      <c r="H603" s="14">
        <v>0.69283564814814813</v>
      </c>
      <c r="I603" s="7" t="s">
        <v>10</v>
      </c>
      <c r="J603" s="2" t="str">
        <f t="shared" si="45"/>
        <v>Q3</v>
      </c>
      <c r="K603" s="2" t="str">
        <f t="shared" si="46"/>
        <v>Match</v>
      </c>
      <c r="L603" s="2">
        <f t="shared" si="47"/>
        <v>0</v>
      </c>
      <c r="M603" s="2" t="e">
        <f t="shared" si="48"/>
        <v>#N/A</v>
      </c>
      <c r="N603" s="2" t="str">
        <f t="shared" si="49"/>
        <v>Q OK dE&gt;0.8</v>
      </c>
      <c r="O603" s="7">
        <v>13.3</v>
      </c>
      <c r="P603" s="7">
        <v>0</v>
      </c>
      <c r="Q603" s="7">
        <v>-1.6</v>
      </c>
      <c r="R603" s="7">
        <v>-1.67</v>
      </c>
      <c r="S603" s="7">
        <v>0</v>
      </c>
      <c r="T603" s="20">
        <v>0</v>
      </c>
      <c r="U603" s="7">
        <v>-0.12</v>
      </c>
      <c r="V603" s="7">
        <v>-0.08</v>
      </c>
      <c r="W603" s="7">
        <v>1.68</v>
      </c>
      <c r="X603" s="7" t="s">
        <v>6</v>
      </c>
      <c r="Y603" s="7" t="s">
        <v>15</v>
      </c>
      <c r="Z603" s="2" t="s">
        <v>718</v>
      </c>
      <c r="AA603" s="2" t="s">
        <v>721</v>
      </c>
    </row>
    <row r="604" spans="1:27" x14ac:dyDescent="0.35">
      <c r="A604" s="7" t="s">
        <v>1620</v>
      </c>
      <c r="B604" s="7" t="s">
        <v>1287</v>
      </c>
      <c r="C604" s="7" t="str">
        <f>_xlfn.XLOOKUP(B604,'[1]Sheet 1'!$A$2:$A$11107,'[1]Sheet 1'!$D$2:$D$11107,"",0)</f>
        <v>LULU</v>
      </c>
      <c r="D604" s="4" t="str">
        <f>_xlfn.XLOOKUP(A604,[3]Sheet2!$I$2:$I$1623,[3]Sheet2!$D$2:$D$1623,"",0)</f>
        <v>Q2</v>
      </c>
      <c r="E604" s="4" t="s">
        <v>1828</v>
      </c>
      <c r="F604" s="4" t="e">
        <f>_xlfn.XLOOKUP(B604,[2]Sheet2!$E$2:$E$713,[2]Sheet2!$G$2:$G$713)</f>
        <v>#N/A</v>
      </c>
      <c r="G604" s="18">
        <v>46135</v>
      </c>
      <c r="H604" s="14">
        <v>0.70930555555555552</v>
      </c>
      <c r="I604" s="7" t="s">
        <v>4</v>
      </c>
      <c r="J604" s="2" t="str">
        <f t="shared" si="45"/>
        <v>Q1</v>
      </c>
      <c r="K604" s="2" t="str">
        <f t="shared" si="46"/>
        <v>Not Match</v>
      </c>
      <c r="L604" s="2">
        <f t="shared" si="47"/>
        <v>0.72801098892805172</v>
      </c>
      <c r="M604" s="2" t="e">
        <f t="shared" si="48"/>
        <v>#N/A</v>
      </c>
      <c r="N604" s="2" t="str">
        <f t="shared" si="49"/>
        <v>Q NOT OK dE&gt;0.8</v>
      </c>
      <c r="O604" s="7">
        <v>27.3</v>
      </c>
      <c r="P604" s="7">
        <v>34.6</v>
      </c>
      <c r="Q604" s="7">
        <v>2.4</v>
      </c>
      <c r="R604" s="7">
        <v>-1</v>
      </c>
      <c r="S604" s="7">
        <v>0.2</v>
      </c>
      <c r="T604" s="7">
        <v>0.7</v>
      </c>
      <c r="U604" s="7">
        <v>0.14000000000000001</v>
      </c>
      <c r="V604" s="7">
        <v>0.48</v>
      </c>
      <c r="W604" s="7">
        <v>1.1200000000000001</v>
      </c>
      <c r="X604" s="7" t="s">
        <v>6</v>
      </c>
      <c r="Y604" s="7" t="s">
        <v>9</v>
      </c>
      <c r="Z604" s="2" t="s">
        <v>718</v>
      </c>
      <c r="AA604" s="2" t="s">
        <v>721</v>
      </c>
    </row>
    <row r="605" spans="1:27" x14ac:dyDescent="0.35">
      <c r="A605" s="7" t="s">
        <v>1612</v>
      </c>
      <c r="B605" s="7" t="s">
        <v>1285</v>
      </c>
      <c r="C605" s="7" t="str">
        <f>_xlfn.XLOOKUP(B605,'[1]Sheet 1'!$A$2:$A$11107,'[1]Sheet 1'!$D$2:$D$11107,"",0)</f>
        <v>LULU</v>
      </c>
      <c r="D605" s="4" t="str">
        <f>_xlfn.XLOOKUP(A605,[3]Sheet2!$I$2:$I$1623,[3]Sheet2!$D$2:$D$1623,"",0)</f>
        <v>Q1</v>
      </c>
      <c r="E605" s="4" t="s">
        <v>1828</v>
      </c>
      <c r="F605" s="4" t="e">
        <f>_xlfn.XLOOKUP(B605,[2]Sheet2!$E$2:$E$713,[2]Sheet2!$G$2:$G$713)</f>
        <v>#N/A</v>
      </c>
      <c r="G605" s="18">
        <v>46135</v>
      </c>
      <c r="H605" s="14">
        <v>0.68259259259259264</v>
      </c>
      <c r="I605" s="7" t="s">
        <v>4</v>
      </c>
      <c r="J605" s="2" t="str">
        <f t="shared" si="45"/>
        <v>Q1</v>
      </c>
      <c r="K605" s="2" t="str">
        <f t="shared" si="46"/>
        <v>Match</v>
      </c>
      <c r="L605" s="2">
        <f t="shared" si="47"/>
        <v>0.22360679774997899</v>
      </c>
      <c r="M605" s="2" t="e">
        <f t="shared" si="48"/>
        <v>#N/A</v>
      </c>
      <c r="N605" s="2" t="str">
        <f t="shared" si="49"/>
        <v>Q OK dE&gt;0.8</v>
      </c>
      <c r="O605" s="7">
        <v>17</v>
      </c>
      <c r="P605" s="7">
        <v>-0.3</v>
      </c>
      <c r="Q605" s="7">
        <v>-2.2999999999999998</v>
      </c>
      <c r="R605" s="7">
        <v>-1.1100000000000001</v>
      </c>
      <c r="S605" s="7">
        <v>0.1</v>
      </c>
      <c r="T605" s="7">
        <v>0.2</v>
      </c>
      <c r="U605" s="7">
        <v>-0.34</v>
      </c>
      <c r="V605" s="7">
        <v>0.08</v>
      </c>
      <c r="W605" s="7">
        <v>1.1599999999999999</v>
      </c>
      <c r="X605" s="7" t="s">
        <v>6</v>
      </c>
      <c r="Y605" s="7" t="s">
        <v>9</v>
      </c>
      <c r="Z605" s="2" t="s">
        <v>718</v>
      </c>
      <c r="AA605" s="2" t="s">
        <v>721</v>
      </c>
    </row>
    <row r="606" spans="1:27" x14ac:dyDescent="0.35">
      <c r="A606" s="7" t="s">
        <v>1625</v>
      </c>
      <c r="B606" s="7" t="s">
        <v>1284</v>
      </c>
      <c r="C606" s="7" t="str">
        <f>_xlfn.XLOOKUP(B606,'[1]Sheet 1'!$A$2:$A$11107,'[1]Sheet 1'!$D$2:$D$11107,"",0)</f>
        <v>CK</v>
      </c>
      <c r="D606" s="4" t="str">
        <f>_xlfn.XLOOKUP(A606,[3]Sheet2!$I$2:$I$1623,[3]Sheet2!$D$2:$D$1623,"",0)</f>
        <v>Q1</v>
      </c>
      <c r="E606" s="4" t="s">
        <v>1828</v>
      </c>
      <c r="F606" s="4" t="e">
        <f>_xlfn.XLOOKUP(B606,[2]Sheet2!$E$2:$E$713,[2]Sheet2!$G$2:$G$713)</f>
        <v>#N/A</v>
      </c>
      <c r="G606" s="18">
        <v>46135</v>
      </c>
      <c r="H606" s="14">
        <v>0.63924768518518515</v>
      </c>
      <c r="I606" s="7" t="s">
        <v>11</v>
      </c>
      <c r="J606" s="2" t="str">
        <f t="shared" si="45"/>
        <v>Q1</v>
      </c>
      <c r="K606" s="2" t="str">
        <f t="shared" si="46"/>
        <v>Match</v>
      </c>
      <c r="L606" s="2">
        <f t="shared" si="47"/>
        <v>0.1</v>
      </c>
      <c r="M606" s="2" t="e">
        <f t="shared" si="48"/>
        <v>#N/A</v>
      </c>
      <c r="N606" s="2" t="str">
        <f t="shared" si="49"/>
        <v>Q OK dE&lt;=0.8</v>
      </c>
      <c r="O606" s="7">
        <v>19.8</v>
      </c>
      <c r="P606" s="7">
        <v>-0.3</v>
      </c>
      <c r="Q606" s="7">
        <v>-4.2</v>
      </c>
      <c r="R606" s="7">
        <v>-0.23</v>
      </c>
      <c r="S606" s="7">
        <v>0</v>
      </c>
      <c r="T606" s="7">
        <v>-0.1</v>
      </c>
      <c r="U606" s="7">
        <v>0.11</v>
      </c>
      <c r="V606" s="7">
        <v>0.05</v>
      </c>
      <c r="W606" s="7">
        <v>0.26</v>
      </c>
      <c r="X606" s="7" t="s">
        <v>8</v>
      </c>
      <c r="Y606" s="7" t="s">
        <v>9</v>
      </c>
      <c r="Z606" s="2" t="s">
        <v>718</v>
      </c>
      <c r="AA606" s="2" t="s">
        <v>721</v>
      </c>
    </row>
    <row r="607" spans="1:27" x14ac:dyDescent="0.35">
      <c r="A607" s="7" t="s">
        <v>1761</v>
      </c>
      <c r="B607" s="7" t="s">
        <v>1288</v>
      </c>
      <c r="C607" s="7" t="str">
        <f>_xlfn.XLOOKUP(B607,'[1]Sheet 1'!$A$2:$A$11107,'[1]Sheet 1'!$D$2:$D$11107,"",0)</f>
        <v>VSS</v>
      </c>
      <c r="D607" s="4" t="str">
        <f>_xlfn.XLOOKUP(A607,[3]Sheet2!$I$2:$I$1623,[3]Sheet2!$D$2:$D$1623,"",0)</f>
        <v>Q1</v>
      </c>
      <c r="E607" s="4" t="s">
        <v>1828</v>
      </c>
      <c r="F607" s="4" t="e">
        <f>_xlfn.XLOOKUP(B607,[2]Sheet2!$E$2:$E$713,[2]Sheet2!$G$2:$G$713)</f>
        <v>#N/A</v>
      </c>
      <c r="G607" s="18">
        <v>46136</v>
      </c>
      <c r="H607" s="14">
        <v>2.824074074074074E-2</v>
      </c>
      <c r="I607" s="7" t="s">
        <v>10</v>
      </c>
      <c r="J607" s="2" t="str">
        <f t="shared" si="45"/>
        <v>Q1</v>
      </c>
      <c r="K607" s="2" t="str">
        <f t="shared" si="46"/>
        <v>Match</v>
      </c>
      <c r="L607" s="2">
        <f t="shared" si="47"/>
        <v>0.41231056256176613</v>
      </c>
      <c r="M607" s="2" t="e">
        <f t="shared" si="48"/>
        <v>#N/A</v>
      </c>
      <c r="N607" s="2" t="str">
        <f t="shared" si="49"/>
        <v>Q OK dE&lt;=0.8</v>
      </c>
      <c r="O607" s="7">
        <v>28.1</v>
      </c>
      <c r="P607" s="7">
        <v>0.7</v>
      </c>
      <c r="Q607" s="7">
        <v>8.4</v>
      </c>
      <c r="R607" s="7">
        <v>0.1</v>
      </c>
      <c r="S607" s="7">
        <v>0.1</v>
      </c>
      <c r="T607" s="7">
        <v>0.4</v>
      </c>
      <c r="U607" s="7">
        <v>0.43</v>
      </c>
      <c r="V607" s="7">
        <v>-0.08</v>
      </c>
      <c r="W607" s="7">
        <v>0.45</v>
      </c>
      <c r="X607" s="7" t="s">
        <v>8</v>
      </c>
      <c r="Y607" s="7" t="s">
        <v>9</v>
      </c>
      <c r="Z607" s="2" t="s">
        <v>718</v>
      </c>
      <c r="AA607" s="2" t="s">
        <v>721</v>
      </c>
    </row>
    <row r="608" spans="1:27" x14ac:dyDescent="0.35">
      <c r="A608" s="7" t="s">
        <v>1781</v>
      </c>
      <c r="B608" s="7" t="s">
        <v>1292</v>
      </c>
      <c r="C608" s="7" t="str">
        <f>_xlfn.XLOOKUP(B608,'[1]Sheet 1'!$A$2:$A$11107,'[1]Sheet 1'!$D$2:$D$11107,"",0)</f>
        <v>CK</v>
      </c>
      <c r="D608" s="4" t="str">
        <f>_xlfn.XLOOKUP(A608,[3]Sheet2!$I$2:$I$1623,[3]Sheet2!$D$2:$D$1623,"",0)</f>
        <v>Q4</v>
      </c>
      <c r="E608" s="4" t="s">
        <v>1827</v>
      </c>
      <c r="F608" s="4" t="e">
        <f>_xlfn.XLOOKUP(B608,[2]Sheet2!$E$2:$E$713,[2]Sheet2!$G$2:$G$713)</f>
        <v>#N/A</v>
      </c>
      <c r="G608" s="18">
        <v>46136</v>
      </c>
      <c r="H608" s="14">
        <v>0.12240740740740741</v>
      </c>
      <c r="I608" s="7" t="s">
        <v>11</v>
      </c>
      <c r="J608" s="2" t="str">
        <f t="shared" si="45"/>
        <v>Q3</v>
      </c>
      <c r="K608" s="2" t="str">
        <f t="shared" si="46"/>
        <v>Not Match</v>
      </c>
      <c r="L608" s="2">
        <f t="shared" si="47"/>
        <v>0.41231056256176613</v>
      </c>
      <c r="M608" s="2" t="e">
        <f t="shared" si="48"/>
        <v>#N/A</v>
      </c>
      <c r="N608" s="2" t="str">
        <f t="shared" si="49"/>
        <v>Q NOT OK dE&lt;=0.8</v>
      </c>
      <c r="O608" s="7">
        <v>22.4</v>
      </c>
      <c r="P608" s="7">
        <v>-0.2</v>
      </c>
      <c r="Q608" s="7">
        <v>-16.899999999999999</v>
      </c>
      <c r="R608" s="7">
        <v>-0.12</v>
      </c>
      <c r="S608" s="7">
        <v>-0.1</v>
      </c>
      <c r="T608" s="7">
        <v>-0.4</v>
      </c>
      <c r="U608" s="7">
        <v>0.27</v>
      </c>
      <c r="V608" s="7">
        <v>-0.19</v>
      </c>
      <c r="W608" s="7">
        <v>0.35</v>
      </c>
      <c r="X608" s="7" t="s">
        <v>8</v>
      </c>
      <c r="Y608" s="7" t="s">
        <v>15</v>
      </c>
      <c r="Z608" s="2" t="s">
        <v>718</v>
      </c>
      <c r="AA608" s="2" t="s">
        <v>721</v>
      </c>
    </row>
    <row r="609" spans="1:27" x14ac:dyDescent="0.35">
      <c r="A609" s="7" t="s">
        <v>1751</v>
      </c>
      <c r="B609" s="7" t="s">
        <v>1307</v>
      </c>
      <c r="C609" s="7" t="str">
        <f>_xlfn.XLOOKUP(B609,'[1]Sheet 1'!$A$2:$A$11107,'[1]Sheet 1'!$D$2:$D$11107,"",0)</f>
        <v>CK</v>
      </c>
      <c r="D609" s="4" t="str">
        <f>_xlfn.XLOOKUP(A609,[3]Sheet2!$I$2:$I$1623,[3]Sheet2!$D$2:$D$1623,"",0)</f>
        <v>Q1</v>
      </c>
      <c r="E609" s="4" t="s">
        <v>1828</v>
      </c>
      <c r="F609" s="4" t="e">
        <f>_xlfn.XLOOKUP(B609,[2]Sheet2!$E$2:$E$713,[2]Sheet2!$G$2:$G$713)</f>
        <v>#N/A</v>
      </c>
      <c r="G609" s="18">
        <v>46136</v>
      </c>
      <c r="H609" s="14">
        <v>0.74144675925925929</v>
      </c>
      <c r="I609" s="7" t="s">
        <v>11</v>
      </c>
      <c r="J609" s="2" t="str">
        <f t="shared" si="45"/>
        <v>Q4</v>
      </c>
      <c r="K609" s="2" t="str">
        <f t="shared" si="46"/>
        <v>Not Match</v>
      </c>
      <c r="L609" s="2">
        <f t="shared" si="47"/>
        <v>0.63245553203367588</v>
      </c>
      <c r="M609" s="2" t="e">
        <f t="shared" si="48"/>
        <v>#N/A</v>
      </c>
      <c r="N609" s="2" t="str">
        <f t="shared" si="49"/>
        <v>Q NOT OK dE&lt;=0.8</v>
      </c>
      <c r="O609" s="7">
        <v>36.799999999999997</v>
      </c>
      <c r="P609" s="7">
        <v>40.4</v>
      </c>
      <c r="Q609" s="7">
        <v>26.9</v>
      </c>
      <c r="R609" s="7">
        <v>0.06</v>
      </c>
      <c r="S609" s="7">
        <v>0.2</v>
      </c>
      <c r="T609" s="7">
        <v>-0.6</v>
      </c>
      <c r="U609" s="7">
        <v>-0.05</v>
      </c>
      <c r="V609" s="7">
        <v>-0.54</v>
      </c>
      <c r="W609" s="7">
        <v>0.54</v>
      </c>
      <c r="X609" s="7" t="s">
        <v>8</v>
      </c>
      <c r="Y609" s="7" t="s">
        <v>7</v>
      </c>
      <c r="Z609" s="2" t="s">
        <v>718</v>
      </c>
      <c r="AA609" s="2" t="s">
        <v>721</v>
      </c>
    </row>
    <row r="610" spans="1:27" x14ac:dyDescent="0.35">
      <c r="A610" s="7" t="s">
        <v>1625</v>
      </c>
      <c r="B610" s="7" t="s">
        <v>1291</v>
      </c>
      <c r="C610" s="7" t="str">
        <f>_xlfn.XLOOKUP(B610,'[1]Sheet 1'!$A$2:$A$11107,'[1]Sheet 1'!$D$2:$D$11107,"",0)</f>
        <v>CK</v>
      </c>
      <c r="D610" s="4" t="str">
        <f>_xlfn.XLOOKUP(A610,[3]Sheet2!$I$2:$I$1623,[3]Sheet2!$D$2:$D$1623,"",0)</f>
        <v>Q1</v>
      </c>
      <c r="E610" s="4" t="s">
        <v>1828</v>
      </c>
      <c r="F610" s="4" t="e">
        <f>_xlfn.XLOOKUP(B610,[2]Sheet2!$E$2:$E$713,[2]Sheet2!$G$2:$G$713)</f>
        <v>#N/A</v>
      </c>
      <c r="G610" s="18">
        <v>46136</v>
      </c>
      <c r="H610" s="14">
        <v>3.5821759259259262E-2</v>
      </c>
      <c r="I610" s="7" t="s">
        <v>11</v>
      </c>
      <c r="J610" s="2" t="str">
        <f t="shared" si="45"/>
        <v>Q1</v>
      </c>
      <c r="K610" s="2" t="str">
        <f t="shared" si="46"/>
        <v>Match</v>
      </c>
      <c r="L610" s="2">
        <f t="shared" si="47"/>
        <v>0.1</v>
      </c>
      <c r="M610" s="2" t="e">
        <f t="shared" si="48"/>
        <v>#N/A</v>
      </c>
      <c r="N610" s="2" t="str">
        <f t="shared" si="49"/>
        <v>Q OK dE&lt;=0.8</v>
      </c>
      <c r="O610" s="7">
        <v>20.100000000000001</v>
      </c>
      <c r="P610" s="7">
        <v>-0.3</v>
      </c>
      <c r="Q610" s="7">
        <v>-4.2</v>
      </c>
      <c r="R610" s="7">
        <v>0.03</v>
      </c>
      <c r="S610" s="7">
        <v>0</v>
      </c>
      <c r="T610" s="7">
        <v>-0.1</v>
      </c>
      <c r="U610" s="7">
        <v>0.12</v>
      </c>
      <c r="V610" s="7">
        <v>7.0000000000000007E-2</v>
      </c>
      <c r="W610" s="7">
        <v>0.14000000000000001</v>
      </c>
      <c r="X610" s="7" t="s">
        <v>8</v>
      </c>
      <c r="Y610" s="7" t="s">
        <v>9</v>
      </c>
      <c r="Z610" s="2" t="s">
        <v>718</v>
      </c>
      <c r="AA610" s="2" t="s">
        <v>721</v>
      </c>
    </row>
    <row r="611" spans="1:27" x14ac:dyDescent="0.35">
      <c r="A611" s="7" t="s">
        <v>1755</v>
      </c>
      <c r="B611" s="7" t="s">
        <v>1304</v>
      </c>
      <c r="C611" s="7" t="str">
        <f>_xlfn.XLOOKUP(B611,'[1]Sheet 1'!$A$2:$A$11107,'[1]Sheet 1'!$D$2:$D$11107,"",0)</f>
        <v>VSS</v>
      </c>
      <c r="D611" s="4" t="str">
        <f>_xlfn.XLOOKUP(A611,[3]Sheet2!$I$2:$I$1623,[3]Sheet2!$D$2:$D$1623,"",0)</f>
        <v>Q4</v>
      </c>
      <c r="E611" s="4" t="s">
        <v>1828</v>
      </c>
      <c r="F611" s="4" t="e">
        <f>_xlfn.XLOOKUP(B611,[2]Sheet2!$E$2:$E$713,[2]Sheet2!$G$2:$G$713)</f>
        <v>#N/A</v>
      </c>
      <c r="G611" s="18">
        <v>46136</v>
      </c>
      <c r="H611" s="14">
        <v>0.67489583333333336</v>
      </c>
      <c r="I611" s="7" t="s">
        <v>10</v>
      </c>
      <c r="J611" s="2" t="str">
        <f t="shared" si="45"/>
        <v>Q4</v>
      </c>
      <c r="K611" s="2" t="str">
        <f t="shared" si="46"/>
        <v>Match</v>
      </c>
      <c r="L611" s="2">
        <f t="shared" si="47"/>
        <v>0.4</v>
      </c>
      <c r="M611" s="2" t="e">
        <f t="shared" si="48"/>
        <v>#N/A</v>
      </c>
      <c r="N611" s="2" t="str">
        <f t="shared" si="49"/>
        <v>Q OK dE&gt;0.8</v>
      </c>
      <c r="O611" s="7">
        <v>27</v>
      </c>
      <c r="P611" s="7">
        <v>12</v>
      </c>
      <c r="Q611" s="7">
        <v>-8</v>
      </c>
      <c r="R611" s="7">
        <v>-0.75</v>
      </c>
      <c r="S611" s="7">
        <v>0</v>
      </c>
      <c r="T611" s="7">
        <v>0.4</v>
      </c>
      <c r="U611" s="7">
        <v>-0.13</v>
      </c>
      <c r="V611" s="7">
        <v>0.42</v>
      </c>
      <c r="W611" s="7">
        <v>0.87</v>
      </c>
      <c r="X611" s="7" t="s">
        <v>13</v>
      </c>
      <c r="Y611" s="7" t="s">
        <v>9</v>
      </c>
      <c r="Z611" s="2" t="s">
        <v>718</v>
      </c>
      <c r="AA611" s="2" t="s">
        <v>721</v>
      </c>
    </row>
    <row r="612" spans="1:27" x14ac:dyDescent="0.35">
      <c r="A612" s="7" t="s">
        <v>1515</v>
      </c>
      <c r="B612" s="7" t="s">
        <v>1296</v>
      </c>
      <c r="C612" s="7" t="str">
        <f>_xlfn.XLOOKUP(B612,'[1]Sheet 1'!$A$2:$A$11107,'[1]Sheet 1'!$D$2:$D$11107,"",0)</f>
        <v>VSS</v>
      </c>
      <c r="D612" s="4" t="str">
        <f>_xlfn.XLOOKUP(A612,[3]Sheet2!$I$2:$I$1623,[3]Sheet2!$D$2:$D$1623,"",0)</f>
        <v>Q3</v>
      </c>
      <c r="E612" s="4" t="s">
        <v>1828</v>
      </c>
      <c r="F612" s="4" t="e">
        <f>_xlfn.XLOOKUP(B612,[2]Sheet2!$E$2:$E$713,[2]Sheet2!$G$2:$G$713)</f>
        <v>#N/A</v>
      </c>
      <c r="G612" s="18">
        <v>46136</v>
      </c>
      <c r="H612" s="14">
        <v>0.28059027777777779</v>
      </c>
      <c r="I612" s="7" t="s">
        <v>10</v>
      </c>
      <c r="J612" s="2" t="str">
        <f t="shared" si="45"/>
        <v>Q3</v>
      </c>
      <c r="K612" s="2" t="str">
        <f t="shared" si="46"/>
        <v>Match</v>
      </c>
      <c r="L612" s="2">
        <f t="shared" si="47"/>
        <v>0.3</v>
      </c>
      <c r="M612" s="2" t="e">
        <f t="shared" si="48"/>
        <v>#N/A</v>
      </c>
      <c r="N612" s="2" t="str">
        <f t="shared" si="49"/>
        <v>Q OK dE&gt;0.8</v>
      </c>
      <c r="O612" s="7">
        <v>13</v>
      </c>
      <c r="P612" s="7">
        <v>0.1</v>
      </c>
      <c r="Q612" s="7">
        <v>-2</v>
      </c>
      <c r="R612" s="7">
        <v>-1.9</v>
      </c>
      <c r="S612" s="7">
        <v>0</v>
      </c>
      <c r="T612" s="7">
        <v>-0.3</v>
      </c>
      <c r="U612" s="7">
        <v>0.43</v>
      </c>
      <c r="V612" s="7">
        <v>0.01</v>
      </c>
      <c r="W612" s="7">
        <v>1.95</v>
      </c>
      <c r="X612" s="7" t="s">
        <v>6</v>
      </c>
      <c r="Y612" s="7" t="s">
        <v>9</v>
      </c>
      <c r="Z612" s="2" t="s">
        <v>718</v>
      </c>
      <c r="AA612" s="2" t="s">
        <v>721</v>
      </c>
    </row>
    <row r="613" spans="1:27" x14ac:dyDescent="0.35">
      <c r="A613" s="7" t="s">
        <v>1620</v>
      </c>
      <c r="B613" s="7" t="s">
        <v>1308</v>
      </c>
      <c r="C613" s="7" t="str">
        <f>_xlfn.XLOOKUP(B613,'[1]Sheet 1'!$A$2:$A$11107,'[1]Sheet 1'!$D$2:$D$11107,"",0)</f>
        <v>LULU</v>
      </c>
      <c r="D613" s="4" t="str">
        <f>_xlfn.XLOOKUP(A613,[3]Sheet2!$I$2:$I$1623,[3]Sheet2!$D$2:$D$1623,"",0)</f>
        <v>Q2</v>
      </c>
      <c r="E613" s="4" t="s">
        <v>1828</v>
      </c>
      <c r="F613" s="4" t="e">
        <f>_xlfn.XLOOKUP(B613,[2]Sheet2!$E$2:$E$713,[2]Sheet2!$G$2:$G$713)</f>
        <v>#N/A</v>
      </c>
      <c r="G613" s="18">
        <v>46136</v>
      </c>
      <c r="H613" s="14">
        <v>0.74427083333333333</v>
      </c>
      <c r="I613" s="7" t="s">
        <v>4</v>
      </c>
      <c r="J613" s="2" t="str">
        <f t="shared" si="45"/>
        <v>Q1</v>
      </c>
      <c r="K613" s="2" t="str">
        <f t="shared" si="46"/>
        <v>Not Match</v>
      </c>
      <c r="L613" s="2">
        <f t="shared" si="47"/>
        <v>1.1401754250991381</v>
      </c>
      <c r="M613" s="2" t="e">
        <f t="shared" si="48"/>
        <v>#N/A</v>
      </c>
      <c r="N613" s="2" t="str">
        <f t="shared" si="49"/>
        <v>Q NOT OK dE&gt;0.8</v>
      </c>
      <c r="O613" s="7">
        <v>27.8</v>
      </c>
      <c r="P613" s="7">
        <v>35.200000000000003</v>
      </c>
      <c r="Q613" s="7">
        <v>2.2999999999999998</v>
      </c>
      <c r="R613" s="7">
        <v>-0.71</v>
      </c>
      <c r="S613" s="7">
        <v>0.9</v>
      </c>
      <c r="T613" s="7">
        <v>0.7</v>
      </c>
      <c r="U613" s="7">
        <v>0.44</v>
      </c>
      <c r="V613" s="7">
        <v>0.44</v>
      </c>
      <c r="W613" s="7">
        <v>0.94</v>
      </c>
      <c r="X613" s="7" t="s">
        <v>13</v>
      </c>
      <c r="Y613" s="7" t="s">
        <v>9</v>
      </c>
      <c r="Z613" s="2" t="s">
        <v>718</v>
      </c>
      <c r="AA613" s="2" t="s">
        <v>721</v>
      </c>
    </row>
    <row r="614" spans="1:27" x14ac:dyDescent="0.35">
      <c r="A614" s="7" t="s">
        <v>1620</v>
      </c>
      <c r="B614" s="7" t="s">
        <v>1300</v>
      </c>
      <c r="C614" s="7" t="str">
        <f>_xlfn.XLOOKUP(B614,'[1]Sheet 1'!$A$2:$A$11107,'[1]Sheet 1'!$D$2:$D$11107,"",0)</f>
        <v>LULU</v>
      </c>
      <c r="D614" s="4" t="str">
        <f>_xlfn.XLOOKUP(A614,[3]Sheet2!$I$2:$I$1623,[3]Sheet2!$D$2:$D$1623,"",0)</f>
        <v>Q2</v>
      </c>
      <c r="E614" s="4" t="s">
        <v>1828</v>
      </c>
      <c r="F614" s="4" t="e">
        <f>_xlfn.XLOOKUP(B614,[2]Sheet2!$E$2:$E$713,[2]Sheet2!$G$2:$G$713)</f>
        <v>#N/A</v>
      </c>
      <c r="G614" s="18">
        <v>46136</v>
      </c>
      <c r="H614" s="14">
        <v>0.41511574074074076</v>
      </c>
      <c r="I614" s="7" t="s">
        <v>4</v>
      </c>
      <c r="J614" s="2" t="str">
        <f t="shared" si="45"/>
        <v>Q1</v>
      </c>
      <c r="K614" s="2" t="str">
        <f t="shared" si="46"/>
        <v>Not Match</v>
      </c>
      <c r="L614" s="2">
        <f t="shared" si="47"/>
        <v>0.31622776601683794</v>
      </c>
      <c r="M614" s="2" t="e">
        <f t="shared" si="48"/>
        <v>#N/A</v>
      </c>
      <c r="N614" s="2" t="str">
        <f t="shared" si="49"/>
        <v>Q NOT OK dE&gt;0.8</v>
      </c>
      <c r="O614" s="7">
        <v>27.6</v>
      </c>
      <c r="P614" s="7">
        <v>34.700000000000003</v>
      </c>
      <c r="Q614" s="7">
        <v>1.8</v>
      </c>
      <c r="R614" s="7">
        <v>-0.84</v>
      </c>
      <c r="S614" s="7">
        <v>0.3</v>
      </c>
      <c r="T614" s="7">
        <v>0.1</v>
      </c>
      <c r="U614" s="7">
        <v>0.17</v>
      </c>
      <c r="V614" s="7">
        <v>0.1</v>
      </c>
      <c r="W614" s="7">
        <v>0.87</v>
      </c>
      <c r="X614" s="7" t="s">
        <v>13</v>
      </c>
      <c r="Y614" s="7" t="s">
        <v>9</v>
      </c>
      <c r="Z614" s="2" t="s">
        <v>718</v>
      </c>
      <c r="AA614" s="2" t="s">
        <v>721</v>
      </c>
    </row>
    <row r="615" spans="1:27" x14ac:dyDescent="0.35">
      <c r="A615" s="7" t="s">
        <v>1782</v>
      </c>
      <c r="B615" s="7" t="s">
        <v>1294</v>
      </c>
      <c r="C615" s="7" t="str">
        <f>_xlfn.XLOOKUP(B615,'[1]Sheet 1'!$A$2:$A$11107,'[1]Sheet 1'!$D$2:$D$11107,"",0)</f>
        <v>WACE</v>
      </c>
      <c r="D615" s="4">
        <v>0</v>
      </c>
      <c r="E615" s="4" t="s">
        <v>1828</v>
      </c>
      <c r="F615" s="4" t="e">
        <f>_xlfn.XLOOKUP(B615,[2]Sheet2!$E$2:$E$713,[2]Sheet2!$G$2:$G$713)</f>
        <v>#N/A</v>
      </c>
      <c r="G615" s="18">
        <v>46136</v>
      </c>
      <c r="H615" s="14">
        <v>0.13733796296296297</v>
      </c>
      <c r="I615" s="7" t="s">
        <v>4</v>
      </c>
      <c r="J615" s="2" t="str">
        <f t="shared" si="45"/>
        <v>Q1</v>
      </c>
      <c r="K615" s="2" t="str">
        <f t="shared" si="46"/>
        <v>Not Found</v>
      </c>
      <c r="L615" s="2">
        <f t="shared" si="47"/>
        <v>1.7691806012954132</v>
      </c>
      <c r="M615" s="2" t="e">
        <f t="shared" si="48"/>
        <v>#N/A</v>
      </c>
      <c r="N615" s="2" t="str">
        <f t="shared" si="49"/>
        <v>Quadrant not assigned</v>
      </c>
      <c r="O615" s="7">
        <v>35.1</v>
      </c>
      <c r="P615" s="7">
        <v>50.7</v>
      </c>
      <c r="Q615" s="7">
        <v>26.9</v>
      </c>
      <c r="R615" s="7">
        <v>0.47</v>
      </c>
      <c r="S615" s="7">
        <v>1.3</v>
      </c>
      <c r="T615" s="7">
        <v>1.2</v>
      </c>
      <c r="U615" s="7">
        <v>0.64</v>
      </c>
      <c r="V615" s="7">
        <v>0.32</v>
      </c>
      <c r="W615" s="7">
        <v>0.86</v>
      </c>
      <c r="X615" s="7" t="s">
        <v>13</v>
      </c>
      <c r="Y615" s="7" t="s">
        <v>12</v>
      </c>
      <c r="Z615" s="2" t="s">
        <v>718</v>
      </c>
      <c r="AA615" s="2" t="s">
        <v>721</v>
      </c>
    </row>
    <row r="616" spans="1:27" x14ac:dyDescent="0.35">
      <c r="A616" s="7" t="s">
        <v>1780</v>
      </c>
      <c r="B616" s="7" t="s">
        <v>1290</v>
      </c>
      <c r="C616" s="7" t="str">
        <f>_xlfn.XLOOKUP(B616,'[1]Sheet 1'!$A$2:$A$11107,'[1]Sheet 1'!$D$2:$D$11107,"",0)</f>
        <v>LULU</v>
      </c>
      <c r="D616" s="4" t="str">
        <f>_xlfn.XLOOKUP(A616,[3]Sheet2!$I$2:$I$1623,[3]Sheet2!$D$2:$D$1623,"",0)</f>
        <v>Q4</v>
      </c>
      <c r="E616" s="4" t="s">
        <v>1828</v>
      </c>
      <c r="F616" s="4" t="e">
        <f>_xlfn.XLOOKUP(B616,[2]Sheet2!$E$2:$E$713,[2]Sheet2!$G$2:$G$713)</f>
        <v>#N/A</v>
      </c>
      <c r="G616" s="18">
        <v>46136</v>
      </c>
      <c r="H616" s="14">
        <v>3.3090277777777781E-2</v>
      </c>
      <c r="I616" s="7" t="s">
        <v>4</v>
      </c>
      <c r="J616" s="2" t="str">
        <f t="shared" si="45"/>
        <v>Q4</v>
      </c>
      <c r="K616" s="2" t="str">
        <f t="shared" si="46"/>
        <v>Match</v>
      </c>
      <c r="L616" s="2">
        <f t="shared" si="47"/>
        <v>0.3</v>
      </c>
      <c r="M616" s="2" t="e">
        <f t="shared" si="48"/>
        <v>#N/A</v>
      </c>
      <c r="N616" s="2" t="str">
        <f t="shared" si="49"/>
        <v>Q OK dE&lt;=0.8</v>
      </c>
      <c r="O616" s="7">
        <v>21.5</v>
      </c>
      <c r="P616" s="7">
        <v>-0.8</v>
      </c>
      <c r="Q616" s="7">
        <v>-12.8</v>
      </c>
      <c r="R616" s="7">
        <v>-0.66</v>
      </c>
      <c r="S616" s="7">
        <v>0</v>
      </c>
      <c r="T616" s="7">
        <v>-0.3</v>
      </c>
      <c r="U616" s="7">
        <v>0.25</v>
      </c>
      <c r="V616" s="7">
        <v>0.02</v>
      </c>
      <c r="W616" s="7">
        <v>0.7</v>
      </c>
      <c r="X616" s="7" t="s">
        <v>8</v>
      </c>
      <c r="Y616" s="7" t="s">
        <v>9</v>
      </c>
      <c r="Z616" s="2" t="s">
        <v>718</v>
      </c>
      <c r="AA616" s="2" t="s">
        <v>721</v>
      </c>
    </row>
    <row r="617" spans="1:27" x14ac:dyDescent="0.35">
      <c r="A617" s="7" t="s">
        <v>1540</v>
      </c>
      <c r="B617" s="7" t="s">
        <v>1293</v>
      </c>
      <c r="C617" s="7" t="str">
        <f>_xlfn.XLOOKUP(B617,'[1]Sheet 1'!$A$2:$A$11107,'[1]Sheet 1'!$D$2:$D$11107,"",0)</f>
        <v>VSS</v>
      </c>
      <c r="D617" s="4" t="str">
        <f>_xlfn.XLOOKUP(A617,[3]Sheet2!$I$2:$I$1623,[3]Sheet2!$D$2:$D$1623,"",0)</f>
        <v>Q3</v>
      </c>
      <c r="E617" s="4" t="s">
        <v>1828</v>
      </c>
      <c r="F617" s="4" t="e">
        <f>_xlfn.XLOOKUP(B617,[2]Sheet2!$E$2:$E$713,[2]Sheet2!$G$2:$G$713)</f>
        <v>#N/A</v>
      </c>
      <c r="G617" s="18">
        <v>46136</v>
      </c>
      <c r="H617" s="14">
        <v>0.12486111111111112</v>
      </c>
      <c r="I617" s="7" t="s">
        <v>11</v>
      </c>
      <c r="J617" s="2" t="str">
        <f t="shared" si="45"/>
        <v>Q3</v>
      </c>
      <c r="K617" s="2" t="str">
        <f t="shared" si="46"/>
        <v>Match</v>
      </c>
      <c r="L617" s="2">
        <f t="shared" si="47"/>
        <v>0</v>
      </c>
      <c r="M617" s="2" t="e">
        <f t="shared" si="48"/>
        <v>#N/A</v>
      </c>
      <c r="N617" s="2" t="str">
        <f t="shared" si="49"/>
        <v>Q OK dE&lt;=0.8</v>
      </c>
      <c r="O617" s="7">
        <v>14.5</v>
      </c>
      <c r="P617" s="7">
        <v>-0.5</v>
      </c>
      <c r="Q617" s="7">
        <v>-1.7</v>
      </c>
      <c r="R617" s="7">
        <v>0.3</v>
      </c>
      <c r="S617" s="7">
        <v>0</v>
      </c>
      <c r="T617" s="20">
        <v>0</v>
      </c>
      <c r="U617" s="7">
        <v>-0.08</v>
      </c>
      <c r="V617" s="7">
        <v>0.01</v>
      </c>
      <c r="W617" s="7">
        <v>0.31</v>
      </c>
      <c r="X617" s="7" t="s">
        <v>8</v>
      </c>
      <c r="Y617" s="7" t="s">
        <v>15</v>
      </c>
      <c r="Z617" s="2" t="s">
        <v>718</v>
      </c>
      <c r="AA617" s="2" t="s">
        <v>721</v>
      </c>
    </row>
    <row r="618" spans="1:27" x14ac:dyDescent="0.35">
      <c r="A618" s="7" t="s">
        <v>1668</v>
      </c>
      <c r="B618" s="7" t="s">
        <v>1299</v>
      </c>
      <c r="C618" s="7" t="str">
        <f>_xlfn.XLOOKUP(B618,'[1]Sheet 1'!$A$2:$A$11107,'[1]Sheet 1'!$D$2:$D$11107,"",0)</f>
        <v>VSS</v>
      </c>
      <c r="D618" s="4" t="str">
        <f>_xlfn.XLOOKUP(A618,[3]Sheet2!$I$2:$I$1623,[3]Sheet2!$D$2:$D$1623,"",0)</f>
        <v>Q4</v>
      </c>
      <c r="E618" s="4" t="s">
        <v>1828</v>
      </c>
      <c r="F618" s="4" t="e">
        <f>_xlfn.XLOOKUP(B618,[2]Sheet2!$E$2:$E$713,[2]Sheet2!$G$2:$G$713)</f>
        <v>#N/A</v>
      </c>
      <c r="G618" s="18">
        <v>46136</v>
      </c>
      <c r="H618" s="14">
        <v>0.36777777777777776</v>
      </c>
      <c r="I618" s="7" t="s">
        <v>10</v>
      </c>
      <c r="J618" s="2" t="str">
        <f t="shared" si="45"/>
        <v>Q3</v>
      </c>
      <c r="K618" s="2" t="str">
        <f t="shared" si="46"/>
        <v>Not Match</v>
      </c>
      <c r="L618" s="2">
        <f t="shared" si="47"/>
        <v>1.063014581273465</v>
      </c>
      <c r="M618" s="2" t="e">
        <f t="shared" si="48"/>
        <v>#N/A</v>
      </c>
      <c r="N618" s="2" t="str">
        <f t="shared" si="49"/>
        <v>Q NOT OK dE&lt;=0.8</v>
      </c>
      <c r="O618" s="7">
        <v>51.2</v>
      </c>
      <c r="P618" s="7">
        <v>47.1</v>
      </c>
      <c r="Q618" s="7">
        <v>-2.9</v>
      </c>
      <c r="R618" s="7">
        <v>-0.18</v>
      </c>
      <c r="S618" s="7">
        <v>-0.7</v>
      </c>
      <c r="T618" s="7">
        <v>-0.8</v>
      </c>
      <c r="U618" s="7">
        <v>-0.28999999999999998</v>
      </c>
      <c r="V618" s="7">
        <v>-0.51</v>
      </c>
      <c r="W618" s="7">
        <v>0.61</v>
      </c>
      <c r="X618" s="7" t="s">
        <v>8</v>
      </c>
      <c r="Y618" s="7" t="s">
        <v>7</v>
      </c>
      <c r="Z618" s="2" t="s">
        <v>718</v>
      </c>
      <c r="AA618" s="2" t="s">
        <v>721</v>
      </c>
    </row>
    <row r="619" spans="1:27" x14ac:dyDescent="0.35">
      <c r="A619" s="7" t="s">
        <v>1540</v>
      </c>
      <c r="B619" s="7" t="s">
        <v>1306</v>
      </c>
      <c r="C619" s="7" t="str">
        <f>_xlfn.XLOOKUP(B619,'[1]Sheet 1'!$A$2:$A$11107,'[1]Sheet 1'!$D$2:$D$11107,"",0)</f>
        <v>VSS</v>
      </c>
      <c r="D619" s="4" t="str">
        <f>_xlfn.XLOOKUP(A619,[3]Sheet2!$I$2:$I$1623,[3]Sheet2!$D$2:$D$1623,"",0)</f>
        <v>Q3</v>
      </c>
      <c r="E619" s="4" t="s">
        <v>1828</v>
      </c>
      <c r="F619" s="4" t="e">
        <f>_xlfn.XLOOKUP(B619,[2]Sheet2!$E$2:$E$713,[2]Sheet2!$G$2:$G$713)</f>
        <v>#N/A</v>
      </c>
      <c r="G619" s="18">
        <v>46136</v>
      </c>
      <c r="H619" s="14">
        <v>0.70168981481481485</v>
      </c>
      <c r="I619" s="7" t="s">
        <v>10</v>
      </c>
      <c r="J619" s="2" t="str">
        <f t="shared" si="45"/>
        <v>Q3</v>
      </c>
      <c r="K619" s="2" t="str">
        <f t="shared" si="46"/>
        <v>Match</v>
      </c>
      <c r="L619" s="2">
        <f t="shared" si="47"/>
        <v>0.2</v>
      </c>
      <c r="M619" s="2" t="e">
        <f t="shared" si="48"/>
        <v>#N/A</v>
      </c>
      <c r="N619" s="2" t="str">
        <f t="shared" si="49"/>
        <v>Q OK dE&lt;=0.8</v>
      </c>
      <c r="O619" s="7">
        <v>14.2</v>
      </c>
      <c r="P619" s="7">
        <v>0.5</v>
      </c>
      <c r="Q619" s="7">
        <v>-1</v>
      </c>
      <c r="R619" s="7">
        <v>-0.3</v>
      </c>
      <c r="S619" s="7">
        <v>0</v>
      </c>
      <c r="T619" s="7">
        <v>0.2</v>
      </c>
      <c r="U619" s="7">
        <v>-0.26</v>
      </c>
      <c r="V619" s="7">
        <v>0.14000000000000001</v>
      </c>
      <c r="W619" s="7">
        <v>0.42</v>
      </c>
      <c r="X619" s="7" t="s">
        <v>8</v>
      </c>
      <c r="Y619" s="7" t="s">
        <v>9</v>
      </c>
      <c r="Z619" s="2" t="s">
        <v>718</v>
      </c>
      <c r="AA619" s="2" t="s">
        <v>721</v>
      </c>
    </row>
    <row r="620" spans="1:27" x14ac:dyDescent="0.35">
      <c r="A620" s="7" t="s">
        <v>1722</v>
      </c>
      <c r="B620" s="7" t="s">
        <v>1301</v>
      </c>
      <c r="C620" s="7" t="str">
        <f>_xlfn.XLOOKUP(B620,'[1]Sheet 1'!$A$2:$A$11107,'[1]Sheet 1'!$D$2:$D$11107,"",0)</f>
        <v>CK</v>
      </c>
      <c r="D620" s="4" t="str">
        <f>_xlfn.XLOOKUP(A620,[3]Sheet2!$I$2:$I$1623,[3]Sheet2!$D$2:$D$1623,"",0)</f>
        <v>Q4</v>
      </c>
      <c r="E620" s="4" t="s">
        <v>1827</v>
      </c>
      <c r="F620" s="4" t="e">
        <f>_xlfn.XLOOKUP(B620,[2]Sheet2!$E$2:$E$713,[2]Sheet2!$G$2:$G$713)</f>
        <v>#N/A</v>
      </c>
      <c r="G620" s="18">
        <v>46136</v>
      </c>
      <c r="H620" s="14">
        <v>0.47949074074074072</v>
      </c>
      <c r="I620" s="7" t="s">
        <v>11</v>
      </c>
      <c r="J620" s="2" t="str">
        <f t="shared" si="45"/>
        <v>Q1</v>
      </c>
      <c r="K620" s="2" t="str">
        <f t="shared" si="46"/>
        <v>Not Match</v>
      </c>
      <c r="L620" s="2">
        <f t="shared" si="47"/>
        <v>2.1840329667841556</v>
      </c>
      <c r="M620" s="2" t="e">
        <f t="shared" si="48"/>
        <v>#N/A</v>
      </c>
      <c r="N620" s="2" t="str">
        <f t="shared" si="49"/>
        <v>Q NOT OK dE&gt;0.8</v>
      </c>
      <c r="O620" s="7">
        <v>41.3</v>
      </c>
      <c r="P620" s="7">
        <v>41.3</v>
      </c>
      <c r="Q620" s="7">
        <v>27.6</v>
      </c>
      <c r="R620" s="7">
        <v>-0.24</v>
      </c>
      <c r="S620" s="7">
        <v>0.6</v>
      </c>
      <c r="T620" s="7">
        <v>2.1</v>
      </c>
      <c r="U620" s="7">
        <v>0.69</v>
      </c>
      <c r="V620" s="7">
        <v>1.1100000000000001</v>
      </c>
      <c r="W620" s="7">
        <v>1.32</v>
      </c>
      <c r="X620" s="7" t="s">
        <v>6</v>
      </c>
      <c r="Y620" s="7" t="s">
        <v>12</v>
      </c>
      <c r="Z620" s="2" t="s">
        <v>718</v>
      </c>
      <c r="AA620" s="2" t="s">
        <v>721</v>
      </c>
    </row>
    <row r="621" spans="1:27" x14ac:dyDescent="0.35">
      <c r="A621" s="7" t="s">
        <v>1655</v>
      </c>
      <c r="B621" s="7" t="s">
        <v>1309</v>
      </c>
      <c r="C621" s="7" t="str">
        <f>_xlfn.XLOOKUP(B621,'[1]Sheet 1'!$A$2:$A$11107,'[1]Sheet 1'!$D$2:$D$11107,"",0)</f>
        <v>VSS</v>
      </c>
      <c r="D621" s="4" t="str">
        <f>_xlfn.XLOOKUP(A621,[3]Sheet2!$I$2:$I$1623,[3]Sheet2!$D$2:$D$1623,"",0)</f>
        <v>Q3</v>
      </c>
      <c r="E621" s="4" t="s">
        <v>1828</v>
      </c>
      <c r="F621" s="4" t="e">
        <f>_xlfn.XLOOKUP(B621,[2]Sheet2!$E$2:$E$713,[2]Sheet2!$G$2:$G$713)</f>
        <v>#N/A</v>
      </c>
      <c r="G621" s="18">
        <v>46136</v>
      </c>
      <c r="H621" s="14">
        <v>0.97065972222222219</v>
      </c>
      <c r="I621" s="7" t="s">
        <v>10</v>
      </c>
      <c r="J621" s="2" t="str">
        <f t="shared" si="45"/>
        <v>Q1</v>
      </c>
      <c r="K621" s="2" t="str">
        <f t="shared" si="46"/>
        <v>Not Match</v>
      </c>
      <c r="L621" s="2">
        <f t="shared" si="47"/>
        <v>0.50990195135927852</v>
      </c>
      <c r="M621" s="2" t="e">
        <f t="shared" si="48"/>
        <v>#N/A</v>
      </c>
      <c r="N621" s="2" t="str">
        <f t="shared" si="49"/>
        <v>Q NOT OK dE&gt;0.8</v>
      </c>
      <c r="O621" s="7">
        <v>14.2</v>
      </c>
      <c r="P621" s="7">
        <v>1.1000000000000001</v>
      </c>
      <c r="Q621" s="7">
        <v>-0.8</v>
      </c>
      <c r="R621" s="7">
        <v>0.16</v>
      </c>
      <c r="S621" s="7">
        <v>0.5</v>
      </c>
      <c r="T621" s="7">
        <v>0.1</v>
      </c>
      <c r="U621" s="7">
        <v>0.48</v>
      </c>
      <c r="V621" s="7">
        <v>0.66</v>
      </c>
      <c r="W621" s="7">
        <v>0.83</v>
      </c>
      <c r="X621" s="7" t="s">
        <v>13</v>
      </c>
      <c r="Y621" s="7" t="s">
        <v>9</v>
      </c>
      <c r="Z621" s="2" t="s">
        <v>718</v>
      </c>
      <c r="AA621" s="2" t="s">
        <v>721</v>
      </c>
    </row>
    <row r="622" spans="1:27" x14ac:dyDescent="0.35">
      <c r="A622" s="7" t="s">
        <v>1545</v>
      </c>
      <c r="B622" s="7" t="s">
        <v>1297</v>
      </c>
      <c r="C622" s="7" t="str">
        <f>_xlfn.XLOOKUP(B622,'[1]Sheet 1'!$A$2:$A$11107,'[1]Sheet 1'!$D$2:$D$11107,"",0)</f>
        <v>NIK</v>
      </c>
      <c r="D622" s="4" t="str">
        <f>_xlfn.XLOOKUP(A622,[3]Sheet2!$I$2:$I$1623,[3]Sheet2!$D$2:$D$1623,"",0)</f>
        <v>Q2</v>
      </c>
      <c r="E622" s="4" t="s">
        <v>1828</v>
      </c>
      <c r="F622" s="4" t="e">
        <f>_xlfn.XLOOKUP(B622,[2]Sheet2!$E$2:$E$713,[2]Sheet2!$G$2:$G$713)</f>
        <v>#N/A</v>
      </c>
      <c r="G622" s="18">
        <v>46136</v>
      </c>
      <c r="H622" s="14">
        <v>0.28266203703703702</v>
      </c>
      <c r="I622" s="7" t="s">
        <v>4</v>
      </c>
      <c r="J622" s="2" t="str">
        <f t="shared" si="45"/>
        <v>Q2</v>
      </c>
      <c r="K622" s="2" t="str">
        <f t="shared" si="46"/>
        <v>Match</v>
      </c>
      <c r="L622" s="2">
        <f t="shared" si="47"/>
        <v>0.1</v>
      </c>
      <c r="M622" s="2" t="e">
        <f t="shared" si="48"/>
        <v>#N/A</v>
      </c>
      <c r="N622" s="2" t="str">
        <f t="shared" si="49"/>
        <v>Q OK dE&lt;=0.8</v>
      </c>
      <c r="O622" s="7">
        <v>18.399999999999999</v>
      </c>
      <c r="P622" s="7">
        <v>-0.8</v>
      </c>
      <c r="Q622" s="7">
        <v>-1.7</v>
      </c>
      <c r="R622" s="7">
        <v>0.01</v>
      </c>
      <c r="S622" s="7">
        <v>0</v>
      </c>
      <c r="T622" s="7">
        <v>-0.1</v>
      </c>
      <c r="U622" s="7">
        <v>0.13</v>
      </c>
      <c r="V622" s="7">
        <v>0.19</v>
      </c>
      <c r="W622" s="7">
        <v>0.23</v>
      </c>
      <c r="X622" s="7" t="s">
        <v>8</v>
      </c>
      <c r="Y622" s="7" t="s">
        <v>9</v>
      </c>
      <c r="Z622" s="2" t="s">
        <v>718</v>
      </c>
      <c r="AA622" s="2" t="s">
        <v>721</v>
      </c>
    </row>
    <row r="623" spans="1:27" x14ac:dyDescent="0.35">
      <c r="A623" s="7" t="s">
        <v>1545</v>
      </c>
      <c r="B623" s="7" t="s">
        <v>1274</v>
      </c>
      <c r="C623" s="7" t="str">
        <f>_xlfn.XLOOKUP(B623,'[1]Sheet 1'!$A$2:$A$11107,'[1]Sheet 1'!$D$2:$D$11107,"",0)</f>
        <v>NIK</v>
      </c>
      <c r="D623" s="4" t="str">
        <f>_xlfn.XLOOKUP(A623,[3]Sheet2!$I$2:$I$1623,[3]Sheet2!$D$2:$D$1623,"",0)</f>
        <v>Q2</v>
      </c>
      <c r="E623" s="4" t="s">
        <v>1828</v>
      </c>
      <c r="F623" s="4" t="e">
        <f>_xlfn.XLOOKUP(B623,[2]Sheet2!$E$2:$E$713,[2]Sheet2!$G$2:$G$713)</f>
        <v>#N/A</v>
      </c>
      <c r="G623" s="18">
        <v>46136</v>
      </c>
      <c r="H623" s="14">
        <v>0.98401620370370368</v>
      </c>
      <c r="I623" s="7" t="s">
        <v>4</v>
      </c>
      <c r="J623" s="2" t="str">
        <f t="shared" si="45"/>
        <v>Q2</v>
      </c>
      <c r="K623" s="2" t="str">
        <f t="shared" si="46"/>
        <v>Match</v>
      </c>
      <c r="L623" s="2">
        <f t="shared" si="47"/>
        <v>0.2</v>
      </c>
      <c r="M623" s="2" t="e">
        <f t="shared" si="48"/>
        <v>#N/A</v>
      </c>
      <c r="N623" s="2" t="str">
        <f t="shared" si="49"/>
        <v>Q OK dE&lt;=0.8</v>
      </c>
      <c r="O623" s="7">
        <v>19</v>
      </c>
      <c r="P623" s="7">
        <v>-0.9</v>
      </c>
      <c r="Q623" s="7">
        <v>-1.9</v>
      </c>
      <c r="R623" s="7">
        <v>0.56000000000000005</v>
      </c>
      <c r="S623" s="7">
        <v>0</v>
      </c>
      <c r="T623" s="7">
        <v>-0.2</v>
      </c>
      <c r="U623" s="7">
        <v>0.35</v>
      </c>
      <c r="V623" s="7">
        <v>0.14000000000000001</v>
      </c>
      <c r="W623" s="7">
        <v>0.67</v>
      </c>
      <c r="X623" s="7" t="s">
        <v>8</v>
      </c>
      <c r="Y623" s="7" t="s">
        <v>9</v>
      </c>
      <c r="Z623" s="2" t="s">
        <v>718</v>
      </c>
      <c r="AA623" s="2" t="s">
        <v>721</v>
      </c>
    </row>
    <row r="624" spans="1:27" x14ac:dyDescent="0.35">
      <c r="A624" s="7" t="s">
        <v>1652</v>
      </c>
      <c r="B624" s="7" t="s">
        <v>1289</v>
      </c>
      <c r="C624" s="7" t="str">
        <f>_xlfn.XLOOKUP(B624,'[1]Sheet 1'!$A$2:$A$11107,'[1]Sheet 1'!$D$2:$D$11107,"",0)</f>
        <v>NIK</v>
      </c>
      <c r="D624" s="4" t="str">
        <f>_xlfn.XLOOKUP(A624,[3]Sheet2!$I$2:$I$1623,[3]Sheet2!$D$2:$D$1623,"",0)</f>
        <v>Q2</v>
      </c>
      <c r="E624" s="4" t="s">
        <v>1828</v>
      </c>
      <c r="F624" s="4" t="e">
        <f>_xlfn.XLOOKUP(B624,[2]Sheet2!$E$2:$E$713,[2]Sheet2!$G$2:$G$713)</f>
        <v>#N/A</v>
      </c>
      <c r="G624" s="18">
        <v>46136</v>
      </c>
      <c r="H624" s="14">
        <v>3.0659722222222224E-2</v>
      </c>
      <c r="I624" s="7" t="s">
        <v>4</v>
      </c>
      <c r="J624" s="2" t="str">
        <f t="shared" si="45"/>
        <v>Q3</v>
      </c>
      <c r="K624" s="2" t="str">
        <f t="shared" si="46"/>
        <v>Not Match</v>
      </c>
      <c r="L624" s="2">
        <f t="shared" si="47"/>
        <v>0.42426406871192851</v>
      </c>
      <c r="M624" s="2" t="e">
        <f t="shared" si="48"/>
        <v>#N/A</v>
      </c>
      <c r="N624" s="2" t="str">
        <f t="shared" si="49"/>
        <v>Q NOT OK dE&lt;=0.8</v>
      </c>
      <c r="O624" s="7">
        <v>16.5</v>
      </c>
      <c r="P624" s="7">
        <v>-1.2</v>
      </c>
      <c r="Q624" s="7">
        <v>-2.2999999999999998</v>
      </c>
      <c r="R624" s="7">
        <v>0.05</v>
      </c>
      <c r="S624" s="7">
        <v>-0.3</v>
      </c>
      <c r="T624" s="7">
        <v>-0.3</v>
      </c>
      <c r="U624" s="7">
        <v>0.62</v>
      </c>
      <c r="V624" s="7">
        <v>-0.25</v>
      </c>
      <c r="W624" s="7">
        <v>0.67</v>
      </c>
      <c r="X624" s="7" t="s">
        <v>8</v>
      </c>
      <c r="Y624" s="7" t="s">
        <v>15</v>
      </c>
      <c r="Z624" s="2" t="s">
        <v>718</v>
      </c>
      <c r="AA624" s="2" t="s">
        <v>721</v>
      </c>
    </row>
    <row r="625" spans="1:27" x14ac:dyDescent="0.35">
      <c r="A625" s="7" t="s">
        <v>1773</v>
      </c>
      <c r="B625" s="7" t="s">
        <v>1302</v>
      </c>
      <c r="C625" s="7" t="str">
        <f>_xlfn.XLOOKUP(B625,'[1]Sheet 1'!$A$2:$A$11107,'[1]Sheet 1'!$D$2:$D$11107,"",0)</f>
        <v>NKSKI</v>
      </c>
      <c r="D625" s="4" t="str">
        <f>_xlfn.XLOOKUP(A625,[3]Sheet2!$I$2:$I$1623,[3]Sheet2!$D$2:$D$1623,"",0)</f>
        <v>Q3</v>
      </c>
      <c r="E625" s="4" t="s">
        <v>1828</v>
      </c>
      <c r="F625" s="4" t="e">
        <f>_xlfn.XLOOKUP(B625,[2]Sheet2!$E$2:$E$713,[2]Sheet2!$G$2:$G$713)</f>
        <v>#N/A</v>
      </c>
      <c r="G625" s="18">
        <v>46136</v>
      </c>
      <c r="H625" s="14">
        <v>0.4959027777777778</v>
      </c>
      <c r="I625" s="7" t="s">
        <v>4</v>
      </c>
      <c r="J625" s="2" t="str">
        <f t="shared" si="45"/>
        <v>Q3</v>
      </c>
      <c r="K625" s="2" t="str">
        <f t="shared" si="46"/>
        <v>Match</v>
      </c>
      <c r="L625" s="2">
        <f t="shared" si="47"/>
        <v>0.14142135623730953</v>
      </c>
      <c r="M625" s="2" t="e">
        <f t="shared" si="48"/>
        <v>#N/A</v>
      </c>
      <c r="N625" s="2" t="str">
        <f t="shared" si="49"/>
        <v>Q OK dE&lt;=0.8</v>
      </c>
      <c r="O625" s="7">
        <v>16.5</v>
      </c>
      <c r="P625" s="7">
        <v>-1.3</v>
      </c>
      <c r="Q625" s="7">
        <v>-2.8</v>
      </c>
      <c r="R625" s="7">
        <v>0.28000000000000003</v>
      </c>
      <c r="S625" s="7">
        <v>-0.1</v>
      </c>
      <c r="T625" s="7">
        <v>-0.1</v>
      </c>
      <c r="U625" s="7">
        <v>0.2</v>
      </c>
      <c r="V625" s="7">
        <v>-0.13</v>
      </c>
      <c r="W625" s="7">
        <v>0.37</v>
      </c>
      <c r="X625" s="7" t="s">
        <v>8</v>
      </c>
      <c r="Y625" s="7" t="s">
        <v>15</v>
      </c>
      <c r="Z625" s="2" t="s">
        <v>718</v>
      </c>
      <c r="AA625" s="2" t="s">
        <v>721</v>
      </c>
    </row>
    <row r="626" spans="1:27" x14ac:dyDescent="0.35">
      <c r="A626" s="7" t="s">
        <v>1518</v>
      </c>
      <c r="B626" s="7" t="s">
        <v>1303</v>
      </c>
      <c r="C626" s="7" t="str">
        <f>_xlfn.XLOOKUP(B626,'[1]Sheet 1'!$A$2:$A$11107,'[1]Sheet 1'!$D$2:$D$11107,"",0)</f>
        <v>VSS</v>
      </c>
      <c r="D626" s="4" t="str">
        <f>_xlfn.XLOOKUP(A626,[3]Sheet2!$I$2:$I$1623,[3]Sheet2!$D$2:$D$1623,"",0)</f>
        <v>Q1</v>
      </c>
      <c r="E626" s="4" t="s">
        <v>1828</v>
      </c>
      <c r="F626" s="4" t="e">
        <f>_xlfn.XLOOKUP(B626,[2]Sheet2!$E$2:$E$713,[2]Sheet2!$G$2:$G$713)</f>
        <v>#N/A</v>
      </c>
      <c r="G626" s="18">
        <v>46136</v>
      </c>
      <c r="H626" s="14">
        <v>0.55733796296296301</v>
      </c>
      <c r="I626" s="7" t="s">
        <v>10</v>
      </c>
      <c r="J626" s="2" t="str">
        <f t="shared" si="45"/>
        <v>Q1</v>
      </c>
      <c r="K626" s="2" t="str">
        <f t="shared" si="46"/>
        <v>Match</v>
      </c>
      <c r="L626" s="2">
        <f t="shared" si="47"/>
        <v>0</v>
      </c>
      <c r="M626" s="2" t="e">
        <f t="shared" si="48"/>
        <v>#N/A</v>
      </c>
      <c r="N626" s="2" t="str">
        <f t="shared" si="49"/>
        <v>Q OK dE&lt;=0.8</v>
      </c>
      <c r="O626" s="7">
        <v>27.2</v>
      </c>
      <c r="P626" s="7">
        <v>11</v>
      </c>
      <c r="Q626" s="7">
        <v>9.9</v>
      </c>
      <c r="R626" s="7">
        <v>-0.37</v>
      </c>
      <c r="S626" s="7">
        <v>0</v>
      </c>
      <c r="T626" s="20">
        <v>0</v>
      </c>
      <c r="U626" s="7">
        <v>0</v>
      </c>
      <c r="V626" s="7">
        <v>-7.0000000000000007E-2</v>
      </c>
      <c r="W626" s="7">
        <v>0.37</v>
      </c>
      <c r="X626" s="7" t="s">
        <v>8</v>
      </c>
      <c r="Y626" s="7" t="s">
        <v>9</v>
      </c>
      <c r="Z626" s="2" t="s">
        <v>718</v>
      </c>
      <c r="AA626" s="2" t="s">
        <v>721</v>
      </c>
    </row>
    <row r="627" spans="1:27" x14ac:dyDescent="0.35">
      <c r="A627" s="7" t="s">
        <v>1518</v>
      </c>
      <c r="B627" s="7" t="s">
        <v>1305</v>
      </c>
      <c r="C627" s="7" t="str">
        <f>_xlfn.XLOOKUP(B627,'[1]Sheet 1'!$A$2:$A$11107,'[1]Sheet 1'!$D$2:$D$11107,"",0)</f>
        <v>VSS</v>
      </c>
      <c r="D627" s="4" t="str">
        <f>_xlfn.XLOOKUP(A627,[3]Sheet2!$I$2:$I$1623,[3]Sheet2!$D$2:$D$1623,"",0)</f>
        <v>Q1</v>
      </c>
      <c r="E627" s="4" t="s">
        <v>1828</v>
      </c>
      <c r="F627" s="4" t="e">
        <f>_xlfn.XLOOKUP(B627,[2]Sheet2!$E$2:$E$713,[2]Sheet2!$G$2:$G$713)</f>
        <v>#N/A</v>
      </c>
      <c r="G627" s="18">
        <v>46136</v>
      </c>
      <c r="H627" s="14">
        <v>0.67983796296296295</v>
      </c>
      <c r="I627" s="7" t="s">
        <v>10</v>
      </c>
      <c r="J627" s="2" t="str">
        <f t="shared" si="45"/>
        <v>Q1</v>
      </c>
      <c r="K627" s="2" t="str">
        <f t="shared" si="46"/>
        <v>Match</v>
      </c>
      <c r="L627" s="2">
        <f t="shared" si="47"/>
        <v>0.50990195135927852</v>
      </c>
      <c r="M627" s="2" t="e">
        <f t="shared" si="48"/>
        <v>#N/A</v>
      </c>
      <c r="N627" s="2" t="str">
        <f t="shared" si="49"/>
        <v>Q OK dE&lt;=0.8</v>
      </c>
      <c r="O627" s="7">
        <v>27.1</v>
      </c>
      <c r="P627" s="7">
        <v>11.1</v>
      </c>
      <c r="Q627" s="7">
        <v>10.5</v>
      </c>
      <c r="R627" s="7">
        <v>-0.41</v>
      </c>
      <c r="S627" s="7">
        <v>0.1</v>
      </c>
      <c r="T627" s="7">
        <v>0.5</v>
      </c>
      <c r="U627" s="7">
        <v>0.34</v>
      </c>
      <c r="V627" s="7">
        <v>0.5</v>
      </c>
      <c r="W627" s="7">
        <v>0.73</v>
      </c>
      <c r="X627" s="7" t="s">
        <v>8</v>
      </c>
      <c r="Y627" s="7" t="s">
        <v>12</v>
      </c>
      <c r="Z627" s="2" t="s">
        <v>718</v>
      </c>
      <c r="AA627" s="2" t="s">
        <v>721</v>
      </c>
    </row>
    <row r="628" spans="1:27" x14ac:dyDescent="0.35">
      <c r="A628" s="7" t="s">
        <v>1784</v>
      </c>
      <c r="B628" s="7" t="s">
        <v>1314</v>
      </c>
      <c r="C628" s="7" t="str">
        <f>_xlfn.XLOOKUP(B628,'[1]Sheet 1'!$A$2:$A$11107,'[1]Sheet 1'!$D$2:$D$11107,"",0)</f>
        <v>VSS</v>
      </c>
      <c r="D628" s="4" t="str">
        <f>_xlfn.XLOOKUP(A628,[3]Sheet2!$I$2:$I$1623,[3]Sheet2!$D$2:$D$1623,"",0)</f>
        <v>Q2</v>
      </c>
      <c r="E628" s="4" t="s">
        <v>1828</v>
      </c>
      <c r="F628" s="4" t="e">
        <f>_xlfn.XLOOKUP(B628,[2]Sheet2!$E$2:$E$713,[2]Sheet2!$G$2:$G$713)</f>
        <v>#N/A</v>
      </c>
      <c r="G628" s="18">
        <v>46137</v>
      </c>
      <c r="H628" s="14">
        <v>0.26614583333333336</v>
      </c>
      <c r="I628" s="7" t="s">
        <v>11</v>
      </c>
      <c r="J628" s="2" t="str">
        <f t="shared" si="45"/>
        <v>Q2</v>
      </c>
      <c r="K628" s="2" t="str">
        <f t="shared" si="46"/>
        <v>Match</v>
      </c>
      <c r="L628" s="2">
        <f t="shared" si="47"/>
        <v>0.6</v>
      </c>
      <c r="M628" s="2" t="e">
        <f t="shared" si="48"/>
        <v>#N/A</v>
      </c>
      <c r="N628" s="2" t="str">
        <f t="shared" si="49"/>
        <v>Q OK dE&lt;=0.8</v>
      </c>
      <c r="O628" s="7">
        <v>37.700000000000003</v>
      </c>
      <c r="P628" s="7">
        <v>33.299999999999997</v>
      </c>
      <c r="Q628" s="7">
        <v>2.4</v>
      </c>
      <c r="R628" s="7">
        <v>-0.08</v>
      </c>
      <c r="S628" s="7">
        <v>-0.6</v>
      </c>
      <c r="T628" s="20">
        <v>0</v>
      </c>
      <c r="U628" s="7">
        <v>-0.33</v>
      </c>
      <c r="V628" s="7">
        <v>-0.01</v>
      </c>
      <c r="W628" s="7">
        <v>0.33</v>
      </c>
      <c r="X628" s="7" t="s">
        <v>8</v>
      </c>
      <c r="Y628" s="7" t="s">
        <v>7</v>
      </c>
      <c r="Z628" s="2" t="s">
        <v>718</v>
      </c>
      <c r="AA628" s="2" t="s">
        <v>721</v>
      </c>
    </row>
    <row r="629" spans="1:27" x14ac:dyDescent="0.35">
      <c r="A629" s="7" t="s">
        <v>1784</v>
      </c>
      <c r="B629" s="7" t="s">
        <v>1213</v>
      </c>
      <c r="C629" s="7" t="str">
        <f>_xlfn.XLOOKUP(B629,'[1]Sheet 1'!$A$2:$A$11107,'[1]Sheet 1'!$D$2:$D$11107,"",0)</f>
        <v>VSS</v>
      </c>
      <c r="D629" s="4" t="str">
        <f>_xlfn.XLOOKUP(A629,[3]Sheet2!$I$2:$I$1623,[3]Sheet2!$D$2:$D$1623,"",0)</f>
        <v>Q2</v>
      </c>
      <c r="E629" s="4" t="s">
        <v>1828</v>
      </c>
      <c r="F629" s="4" t="e">
        <f>_xlfn.XLOOKUP(B629,[2]Sheet2!$E$2:$E$713,[2]Sheet2!$G$2:$G$713)</f>
        <v>#N/A</v>
      </c>
      <c r="G629" s="18">
        <v>46137</v>
      </c>
      <c r="H629" s="14">
        <v>0.48585648148148147</v>
      </c>
      <c r="I629" s="7" t="s">
        <v>10</v>
      </c>
      <c r="J629" s="2" t="str">
        <f t="shared" si="45"/>
        <v>Q2</v>
      </c>
      <c r="K629" s="2" t="str">
        <f t="shared" si="46"/>
        <v>Match</v>
      </c>
      <c r="L629" s="2">
        <f t="shared" si="47"/>
        <v>0.6</v>
      </c>
      <c r="M629" s="2" t="e">
        <f t="shared" si="48"/>
        <v>#N/A</v>
      </c>
      <c r="N629" s="2" t="str">
        <f t="shared" si="49"/>
        <v>Q OK dE&lt;=0.8</v>
      </c>
      <c r="O629" s="7">
        <v>43.6</v>
      </c>
      <c r="P629" s="7">
        <v>43.6</v>
      </c>
      <c r="Q629" s="7">
        <v>13.2</v>
      </c>
      <c r="R629" s="7">
        <v>0.02</v>
      </c>
      <c r="S629" s="7">
        <v>0</v>
      </c>
      <c r="T629" s="7">
        <v>-0.6</v>
      </c>
      <c r="U629" s="7">
        <v>-7.0000000000000007E-2</v>
      </c>
      <c r="V629" s="7">
        <v>-0.39</v>
      </c>
      <c r="W629" s="7">
        <v>0.4</v>
      </c>
      <c r="X629" s="7" t="s">
        <v>8</v>
      </c>
      <c r="Y629" s="7" t="s">
        <v>7</v>
      </c>
      <c r="Z629" s="2" t="s">
        <v>718</v>
      </c>
      <c r="AA629" s="2" t="s">
        <v>721</v>
      </c>
    </row>
    <row r="630" spans="1:27" x14ac:dyDescent="0.35">
      <c r="A630" s="7" t="s">
        <v>1622</v>
      </c>
      <c r="B630" s="7" t="s">
        <v>1311</v>
      </c>
      <c r="C630" s="7" t="str">
        <f>_xlfn.XLOOKUP(B630,'[1]Sheet 1'!$A$2:$A$11107,'[1]Sheet 1'!$D$2:$D$11107,"",0)</f>
        <v>PEP</v>
      </c>
      <c r="D630" s="4" t="str">
        <f>_xlfn.XLOOKUP(A630,[3]Sheet2!$I$2:$I$1623,[3]Sheet2!$D$2:$D$1623,"",0)</f>
        <v>Q1</v>
      </c>
      <c r="E630" s="4" t="s">
        <v>1828</v>
      </c>
      <c r="F630" s="4" t="e">
        <f>_xlfn.XLOOKUP(B630,[2]Sheet2!$E$2:$E$713,[2]Sheet2!$G$2:$G$713)</f>
        <v>#N/A</v>
      </c>
      <c r="G630" s="18">
        <v>46137</v>
      </c>
      <c r="H630" s="14">
        <v>0.13665509259259259</v>
      </c>
      <c r="I630" s="7" t="s">
        <v>4</v>
      </c>
      <c r="J630" s="2" t="str">
        <f t="shared" si="45"/>
        <v>Q2</v>
      </c>
      <c r="K630" s="2" t="str">
        <f t="shared" si="46"/>
        <v>Not Match</v>
      </c>
      <c r="L630" s="2">
        <f t="shared" si="47"/>
        <v>0.22360679774997899</v>
      </c>
      <c r="M630" s="2" t="e">
        <f t="shared" si="48"/>
        <v>#N/A</v>
      </c>
      <c r="N630" s="2" t="str">
        <f t="shared" si="49"/>
        <v>Q NOT OK dE&lt;=0.8</v>
      </c>
      <c r="O630" s="7">
        <v>17.2</v>
      </c>
      <c r="P630" s="7">
        <v>-0.2</v>
      </c>
      <c r="Q630" s="7">
        <v>-2.1</v>
      </c>
      <c r="R630" s="7">
        <v>-0.25</v>
      </c>
      <c r="S630" s="7">
        <v>-0.1</v>
      </c>
      <c r="T630" s="7">
        <v>0.2</v>
      </c>
      <c r="U630" s="7">
        <v>-0.3</v>
      </c>
      <c r="V630" s="7">
        <v>-0.22</v>
      </c>
      <c r="W630" s="7">
        <v>0.45</v>
      </c>
      <c r="X630" s="7" t="s">
        <v>8</v>
      </c>
      <c r="Y630" s="7" t="s">
        <v>15</v>
      </c>
      <c r="Z630" s="2" t="s">
        <v>718</v>
      </c>
      <c r="AA630" s="2" t="s">
        <v>721</v>
      </c>
    </row>
    <row r="631" spans="1:27" x14ac:dyDescent="0.35">
      <c r="A631" s="7" t="s">
        <v>1755</v>
      </c>
      <c r="B631" s="7" t="s">
        <v>1315</v>
      </c>
      <c r="C631" s="7" t="str">
        <f>_xlfn.XLOOKUP(B631,'[1]Sheet 1'!$A$2:$A$11107,'[1]Sheet 1'!$D$2:$D$11107,"",0)</f>
        <v>VSS</v>
      </c>
      <c r="D631" s="4" t="str">
        <f>_xlfn.XLOOKUP(A631,[3]Sheet2!$I$2:$I$1623,[3]Sheet2!$D$2:$D$1623,"",0)</f>
        <v>Q4</v>
      </c>
      <c r="E631" s="4" t="s">
        <v>1827</v>
      </c>
      <c r="F631" s="4" t="e">
        <f>_xlfn.XLOOKUP(B631,[2]Sheet2!$E$2:$E$713,[2]Sheet2!$G$2:$G$713)</f>
        <v>#N/A</v>
      </c>
      <c r="G631" s="18">
        <v>46137</v>
      </c>
      <c r="H631" s="14">
        <v>0.26872685185185186</v>
      </c>
      <c r="I631" s="7" t="s">
        <v>11</v>
      </c>
      <c r="J631" s="2" t="str">
        <f t="shared" si="45"/>
        <v>Q1</v>
      </c>
      <c r="K631" s="2" t="str">
        <f t="shared" si="46"/>
        <v>Not Match</v>
      </c>
      <c r="L631" s="2">
        <f t="shared" si="47"/>
        <v>0.41231056256176613</v>
      </c>
      <c r="M631" s="2" t="e">
        <f t="shared" si="48"/>
        <v>#N/A</v>
      </c>
      <c r="N631" s="2" t="str">
        <f t="shared" si="49"/>
        <v>Q NOT OK dE&lt;=0.8</v>
      </c>
      <c r="O631" s="7">
        <v>26.1</v>
      </c>
      <c r="P631" s="7">
        <v>10.5</v>
      </c>
      <c r="Q631" s="7">
        <v>-12.1</v>
      </c>
      <c r="R631" s="7">
        <v>-0.62</v>
      </c>
      <c r="S631" s="7">
        <v>0.1</v>
      </c>
      <c r="T631" s="7">
        <v>0.4</v>
      </c>
      <c r="U631" s="7">
        <v>-0.14000000000000001</v>
      </c>
      <c r="V631" s="7">
        <v>0.38</v>
      </c>
      <c r="W631" s="7">
        <v>0.74</v>
      </c>
      <c r="X631" s="7" t="s">
        <v>8</v>
      </c>
      <c r="Y631" s="7" t="s">
        <v>9</v>
      </c>
      <c r="Z631" s="2" t="s">
        <v>718</v>
      </c>
      <c r="AA631" s="2" t="s">
        <v>721</v>
      </c>
    </row>
    <row r="632" spans="1:27" x14ac:dyDescent="0.35">
      <c r="A632" s="7" t="s">
        <v>1785</v>
      </c>
      <c r="B632" s="7" t="s">
        <v>1318</v>
      </c>
      <c r="C632" s="7" t="str">
        <f>_xlfn.XLOOKUP(B632,'[1]Sheet 1'!$A$2:$A$11107,'[1]Sheet 1'!$D$2:$D$11107,"",0)</f>
        <v>CK</v>
      </c>
      <c r="D632" s="4" t="str">
        <f>_xlfn.XLOOKUP(A632,[3]Sheet2!$I$2:$I$1623,[3]Sheet2!$D$2:$D$1623,"",0)</f>
        <v>Q4</v>
      </c>
      <c r="E632" s="4" t="s">
        <v>1828</v>
      </c>
      <c r="F632" s="4" t="e">
        <f>_xlfn.XLOOKUP(B632,[2]Sheet2!$E$2:$E$713,[2]Sheet2!$G$2:$G$713)</f>
        <v>#N/A</v>
      </c>
      <c r="G632" s="18">
        <v>46137</v>
      </c>
      <c r="H632" s="14">
        <v>0.46750000000000003</v>
      </c>
      <c r="I632" s="7" t="s">
        <v>11</v>
      </c>
      <c r="J632" s="2" t="str">
        <f t="shared" si="45"/>
        <v>Q4</v>
      </c>
      <c r="K632" s="2" t="str">
        <f t="shared" si="46"/>
        <v>Match</v>
      </c>
      <c r="L632" s="2">
        <f t="shared" si="47"/>
        <v>0.8</v>
      </c>
      <c r="M632" s="2" t="e">
        <f t="shared" si="48"/>
        <v>#N/A</v>
      </c>
      <c r="N632" s="2" t="str">
        <f t="shared" si="49"/>
        <v>Q OK dE&gt;0.8</v>
      </c>
      <c r="O632" s="7">
        <v>16</v>
      </c>
      <c r="P632" s="7">
        <v>-0.6</v>
      </c>
      <c r="Q632" s="7">
        <v>-2.5</v>
      </c>
      <c r="R632" s="7">
        <v>-1</v>
      </c>
      <c r="S632" s="7">
        <v>0</v>
      </c>
      <c r="T632" s="7">
        <v>-0.8</v>
      </c>
      <c r="U632" s="7">
        <v>1.0900000000000001</v>
      </c>
      <c r="V632" s="7">
        <v>0.28000000000000003</v>
      </c>
      <c r="W632" s="7">
        <v>1.5</v>
      </c>
      <c r="X632" s="7" t="s">
        <v>6</v>
      </c>
      <c r="Y632" s="7" t="s">
        <v>9</v>
      </c>
      <c r="Z632" s="2" t="s">
        <v>718</v>
      </c>
      <c r="AA632" s="2" t="s">
        <v>721</v>
      </c>
    </row>
    <row r="633" spans="1:27" x14ac:dyDescent="0.35">
      <c r="A633" s="7" t="s">
        <v>1783</v>
      </c>
      <c r="B633" s="7" t="s">
        <v>1310</v>
      </c>
      <c r="C633" s="7" t="str">
        <f>_xlfn.XLOOKUP(B633,'[1]Sheet 1'!$A$2:$A$11107,'[1]Sheet 1'!$D$2:$D$11107,"",0)</f>
        <v>CK</v>
      </c>
      <c r="D633" s="4">
        <v>0</v>
      </c>
      <c r="E633" s="4" t="s">
        <v>1827</v>
      </c>
      <c r="F633" s="4" t="e">
        <f>_xlfn.XLOOKUP(B633,[2]Sheet2!$E$2:$E$713,[2]Sheet2!$G$2:$G$713)</f>
        <v>#N/A</v>
      </c>
      <c r="G633" s="18">
        <v>46137</v>
      </c>
      <c r="H633" s="14">
        <v>0.12417824074074074</v>
      </c>
      <c r="I633" s="7" t="s">
        <v>11</v>
      </c>
      <c r="J633" s="2" t="str">
        <f t="shared" si="45"/>
        <v>Q3</v>
      </c>
      <c r="K633" s="2" t="str">
        <f t="shared" si="46"/>
        <v>Not Found</v>
      </c>
      <c r="L633" s="2">
        <f t="shared" si="47"/>
        <v>0.50990195135927852</v>
      </c>
      <c r="M633" s="2" t="e">
        <f t="shared" si="48"/>
        <v>#N/A</v>
      </c>
      <c r="N633" s="2" t="str">
        <f t="shared" si="49"/>
        <v>Quadrant not assigned</v>
      </c>
      <c r="O633" s="7">
        <v>17.7</v>
      </c>
      <c r="P633" s="7">
        <v>-0.1</v>
      </c>
      <c r="Q633" s="7">
        <v>-2</v>
      </c>
      <c r="R633" s="7">
        <v>1.06</v>
      </c>
      <c r="S633" s="7">
        <v>-0.1</v>
      </c>
      <c r="T633" s="7">
        <v>-0.5</v>
      </c>
      <c r="U633" s="7">
        <v>0.69</v>
      </c>
      <c r="V633" s="7">
        <v>-0.22</v>
      </c>
      <c r="W633" s="7">
        <v>1.28</v>
      </c>
      <c r="X633" s="7" t="s">
        <v>6</v>
      </c>
      <c r="Y633" s="7" t="s">
        <v>15</v>
      </c>
      <c r="Z633" s="2" t="s">
        <v>718</v>
      </c>
      <c r="AA633" s="2" t="s">
        <v>721</v>
      </c>
    </row>
    <row r="634" spans="1:27" x14ac:dyDescent="0.35">
      <c r="A634" s="7" t="s">
        <v>1762</v>
      </c>
      <c r="B634" s="7" t="s">
        <v>1317</v>
      </c>
      <c r="C634" s="7" t="str">
        <f>_xlfn.XLOOKUP(B634,'[1]Sheet 1'!$A$2:$A$11107,'[1]Sheet 1'!$D$2:$D$11107,"",0)</f>
        <v>CHICOS</v>
      </c>
      <c r="D634" s="4" t="str">
        <f>_xlfn.XLOOKUP(A634,[3]Sheet2!$I$2:$I$1623,[3]Sheet2!$D$2:$D$1623,"",0)</f>
        <v>Q3</v>
      </c>
      <c r="E634" s="4" t="s">
        <v>1828</v>
      </c>
      <c r="F634" s="4" t="e">
        <f>_xlfn.XLOOKUP(B634,[2]Sheet2!$E$2:$E$713,[2]Sheet2!$G$2:$G$713)</f>
        <v>#N/A</v>
      </c>
      <c r="G634" s="18">
        <v>46137</v>
      </c>
      <c r="H634" s="14">
        <v>0.27535879629629628</v>
      </c>
      <c r="I634" s="7" t="s">
        <v>14</v>
      </c>
      <c r="J634" s="2" t="str">
        <f t="shared" si="45"/>
        <v>Q3</v>
      </c>
      <c r="K634" s="2" t="str">
        <f t="shared" si="46"/>
        <v>Match</v>
      </c>
      <c r="L634" s="2">
        <f t="shared" si="47"/>
        <v>0.3</v>
      </c>
      <c r="M634" s="2" t="e">
        <f t="shared" si="48"/>
        <v>#N/A</v>
      </c>
      <c r="N634" s="2" t="str">
        <f t="shared" si="49"/>
        <v>Q OK dE&lt;=0.8</v>
      </c>
      <c r="O634" s="7">
        <v>15.9</v>
      </c>
      <c r="P634" s="7">
        <v>-0.7</v>
      </c>
      <c r="Q634" s="7">
        <v>-3.5</v>
      </c>
      <c r="R634" s="7">
        <v>-0.28000000000000003</v>
      </c>
      <c r="S634" s="7">
        <v>0</v>
      </c>
      <c r="T634" s="7">
        <v>-0.3</v>
      </c>
      <c r="U634" s="7">
        <v>0.35</v>
      </c>
      <c r="V634" s="7">
        <v>0.17</v>
      </c>
      <c r="W634" s="7">
        <v>0.48</v>
      </c>
      <c r="X634" s="7" t="s">
        <v>8</v>
      </c>
      <c r="Y634" s="7" t="s">
        <v>9</v>
      </c>
      <c r="Z634" s="2" t="s">
        <v>718</v>
      </c>
      <c r="AA634" s="2" t="s">
        <v>721</v>
      </c>
    </row>
    <row r="635" spans="1:27" x14ac:dyDescent="0.35">
      <c r="A635" s="7" t="s">
        <v>1625</v>
      </c>
      <c r="B635" s="7" t="s">
        <v>1325</v>
      </c>
      <c r="C635" s="7" t="str">
        <f>_xlfn.XLOOKUP(B635,'[1]Sheet 1'!$A$2:$A$11107,'[1]Sheet 1'!$D$2:$D$11107,"",0)</f>
        <v>CK</v>
      </c>
      <c r="D635" s="4" t="str">
        <f>_xlfn.XLOOKUP(A635,[3]Sheet2!$I$2:$I$1623,[3]Sheet2!$D$2:$D$1623,"",0)</f>
        <v>Q1</v>
      </c>
      <c r="E635" s="4" t="s">
        <v>1828</v>
      </c>
      <c r="F635" s="4" t="e">
        <f>_xlfn.XLOOKUP(B635,[2]Sheet2!$E$2:$E$713,[2]Sheet2!$G$2:$G$713)</f>
        <v>#N/A</v>
      </c>
      <c r="G635" s="18">
        <v>46137</v>
      </c>
      <c r="H635" s="14">
        <v>0.69100694444444444</v>
      </c>
      <c r="I635" s="7" t="s">
        <v>11</v>
      </c>
      <c r="J635" s="2" t="str">
        <f t="shared" si="45"/>
        <v>Q1</v>
      </c>
      <c r="K635" s="2" t="str">
        <f t="shared" si="46"/>
        <v>Match</v>
      </c>
      <c r="L635" s="2">
        <f t="shared" si="47"/>
        <v>0.4</v>
      </c>
      <c r="M635" s="2" t="e">
        <f t="shared" si="48"/>
        <v>#N/A</v>
      </c>
      <c r="N635" s="2" t="str">
        <f t="shared" si="49"/>
        <v>Q OK dE&lt;=0.8</v>
      </c>
      <c r="O635" s="7">
        <v>19.600000000000001</v>
      </c>
      <c r="P635" s="7">
        <v>-0.4</v>
      </c>
      <c r="Q635" s="7">
        <v>-4.5</v>
      </c>
      <c r="R635" s="7">
        <v>-0.39</v>
      </c>
      <c r="S635" s="7">
        <v>0</v>
      </c>
      <c r="T635" s="7">
        <v>-0.4</v>
      </c>
      <c r="U635" s="7">
        <v>0.46</v>
      </c>
      <c r="V635" s="7">
        <v>0.04</v>
      </c>
      <c r="W635" s="7">
        <v>0.6</v>
      </c>
      <c r="X635" s="7" t="s">
        <v>8</v>
      </c>
      <c r="Y635" s="7" t="s">
        <v>9</v>
      </c>
      <c r="Z635" s="2" t="s">
        <v>718</v>
      </c>
      <c r="AA635" s="2" t="s">
        <v>721</v>
      </c>
    </row>
    <row r="636" spans="1:27" x14ac:dyDescent="0.35">
      <c r="A636" s="7" t="s">
        <v>1743</v>
      </c>
      <c r="B636" s="7" t="s">
        <v>1313</v>
      </c>
      <c r="C636" s="7" t="str">
        <f>_xlfn.XLOOKUP(B636,'[1]Sheet 1'!$A$2:$A$11107,'[1]Sheet 1'!$D$2:$D$11107,"",0)</f>
        <v>CHICOS</v>
      </c>
      <c r="D636" s="4" t="str">
        <f>_xlfn.XLOOKUP(A636,[3]Sheet2!$I$2:$I$1623,[3]Sheet2!$D$2:$D$1623,"",0)</f>
        <v>Q1</v>
      </c>
      <c r="E636" s="4" t="s">
        <v>1827</v>
      </c>
      <c r="F636" s="4" t="e">
        <f>_xlfn.XLOOKUP(B636,[2]Sheet2!$E$2:$E$713,[2]Sheet2!$G$2:$G$713)</f>
        <v>#N/A</v>
      </c>
      <c r="G636" s="18">
        <v>46137</v>
      </c>
      <c r="H636" s="14">
        <v>0.23130787037037037</v>
      </c>
      <c r="I636" s="7" t="s">
        <v>14</v>
      </c>
      <c r="J636" s="2" t="str">
        <f t="shared" si="45"/>
        <v>Q1</v>
      </c>
      <c r="K636" s="2" t="str">
        <f t="shared" si="46"/>
        <v>Match</v>
      </c>
      <c r="L636" s="2">
        <f t="shared" si="47"/>
        <v>0.22360679774997899</v>
      </c>
      <c r="M636" s="2" t="e">
        <f t="shared" si="48"/>
        <v>#N/A</v>
      </c>
      <c r="N636" s="2" t="str">
        <f t="shared" si="49"/>
        <v>Q OK dE&gt;0.8</v>
      </c>
      <c r="O636" s="7">
        <v>35.200000000000003</v>
      </c>
      <c r="P636" s="7">
        <v>10.4</v>
      </c>
      <c r="Q636" s="7">
        <v>13.5</v>
      </c>
      <c r="R636" s="7">
        <v>-0.82</v>
      </c>
      <c r="S636" s="7">
        <v>0.2</v>
      </c>
      <c r="T636" s="7">
        <v>0.1</v>
      </c>
      <c r="U636" s="7">
        <v>0.15</v>
      </c>
      <c r="V636" s="7">
        <v>-0.15</v>
      </c>
      <c r="W636" s="7">
        <v>0.85</v>
      </c>
      <c r="X636" s="7" t="s">
        <v>13</v>
      </c>
      <c r="Y636" s="7" t="s">
        <v>9</v>
      </c>
      <c r="Z636" s="2" t="s">
        <v>718</v>
      </c>
      <c r="AA636" s="2" t="s">
        <v>721</v>
      </c>
    </row>
    <row r="637" spans="1:27" x14ac:dyDescent="0.35">
      <c r="A637" s="7" t="s">
        <v>1540</v>
      </c>
      <c r="B637" s="7" t="s">
        <v>1316</v>
      </c>
      <c r="C637" s="7" t="str">
        <f>_xlfn.XLOOKUP(B637,'[1]Sheet 1'!$A$2:$A$11107,'[1]Sheet 1'!$D$2:$D$11107,"",0)</f>
        <v>VSS</v>
      </c>
      <c r="D637" s="4" t="str">
        <f>_xlfn.XLOOKUP(A637,[3]Sheet2!$I$2:$I$1623,[3]Sheet2!$D$2:$D$1623,"",0)</f>
        <v>Q3</v>
      </c>
      <c r="E637" s="4" t="s">
        <v>1828</v>
      </c>
      <c r="F637" s="4" t="e">
        <f>_xlfn.XLOOKUP(B637,[2]Sheet2!$E$2:$E$713,[2]Sheet2!$G$2:$G$713)</f>
        <v>#N/A</v>
      </c>
      <c r="G637" s="18">
        <v>46137</v>
      </c>
      <c r="H637" s="14">
        <v>0.27258101851851851</v>
      </c>
      <c r="I637" s="7" t="s">
        <v>11</v>
      </c>
      <c r="J637" s="2" t="str">
        <f t="shared" si="45"/>
        <v>Q3</v>
      </c>
      <c r="K637" s="2" t="str">
        <f t="shared" si="46"/>
        <v>Match</v>
      </c>
      <c r="L637" s="2">
        <f t="shared" si="47"/>
        <v>0.3</v>
      </c>
      <c r="M637" s="2" t="e">
        <f t="shared" si="48"/>
        <v>#N/A</v>
      </c>
      <c r="N637" s="2" t="str">
        <f t="shared" si="49"/>
        <v>Q OK dE&gt;0.8</v>
      </c>
      <c r="O637" s="7">
        <v>13.6</v>
      </c>
      <c r="P637" s="7">
        <v>-0.4</v>
      </c>
      <c r="Q637" s="7">
        <v>-1.3</v>
      </c>
      <c r="R637" s="7">
        <v>-0.63</v>
      </c>
      <c r="S637" s="7">
        <v>0</v>
      </c>
      <c r="T637" s="7">
        <v>0.3</v>
      </c>
      <c r="U637" s="7">
        <v>-0.51</v>
      </c>
      <c r="V637" s="7">
        <v>-0.09</v>
      </c>
      <c r="W637" s="7">
        <v>0.81</v>
      </c>
      <c r="X637" s="7" t="s">
        <v>13</v>
      </c>
      <c r="Y637" s="7" t="s">
        <v>9</v>
      </c>
      <c r="Z637" s="2" t="s">
        <v>718</v>
      </c>
      <c r="AA637" s="2" t="s">
        <v>721</v>
      </c>
    </row>
    <row r="638" spans="1:27" x14ac:dyDescent="0.35">
      <c r="A638" s="7" t="s">
        <v>1626</v>
      </c>
      <c r="B638" s="7" t="s">
        <v>1323</v>
      </c>
      <c r="C638" s="7" t="str">
        <f>_xlfn.XLOOKUP(B638,'[1]Sheet 1'!$A$2:$A$11107,'[1]Sheet 1'!$D$2:$D$11107,"",0)</f>
        <v>PINK</v>
      </c>
      <c r="D638" s="4" t="str">
        <f>_xlfn.XLOOKUP(A638,[3]Sheet2!$I$2:$I$1623,[3]Sheet2!$D$2:$D$1623,"",0)</f>
        <v>Q4</v>
      </c>
      <c r="E638" s="4" t="s">
        <v>1828</v>
      </c>
      <c r="F638" s="4" t="e">
        <f>_xlfn.XLOOKUP(B638,[2]Sheet2!$E$2:$E$713,[2]Sheet2!$G$2:$G$713)</f>
        <v>#N/A</v>
      </c>
      <c r="G638" s="18">
        <v>46137</v>
      </c>
      <c r="H638" s="14">
        <v>0.57868055555555553</v>
      </c>
      <c r="I638" s="7" t="s">
        <v>10</v>
      </c>
      <c r="J638" s="2" t="str">
        <f t="shared" si="45"/>
        <v>Q2</v>
      </c>
      <c r="K638" s="2" t="str">
        <f t="shared" si="46"/>
        <v>Not Match</v>
      </c>
      <c r="L638" s="2">
        <f t="shared" si="47"/>
        <v>0.22360679774997899</v>
      </c>
      <c r="M638" s="2" t="e">
        <f t="shared" si="48"/>
        <v>#N/A</v>
      </c>
      <c r="N638" s="2" t="str">
        <f t="shared" si="49"/>
        <v>Q NOT OK dE&lt;=0.8</v>
      </c>
      <c r="O638" s="7">
        <v>16.399999999999999</v>
      </c>
      <c r="P638" s="7">
        <v>0.6</v>
      </c>
      <c r="Q638" s="7">
        <v>-1.5</v>
      </c>
      <c r="R638" s="7">
        <v>0.17</v>
      </c>
      <c r="S638" s="7">
        <v>-0.2</v>
      </c>
      <c r="T638" s="7">
        <v>0.1</v>
      </c>
      <c r="U638" s="7">
        <v>-0.3</v>
      </c>
      <c r="V638" s="7">
        <v>-0.27</v>
      </c>
      <c r="W638" s="7">
        <v>0.44</v>
      </c>
      <c r="X638" s="7" t="s">
        <v>8</v>
      </c>
      <c r="Y638" s="7" t="s">
        <v>7</v>
      </c>
      <c r="Z638" s="2" t="s">
        <v>718</v>
      </c>
      <c r="AA638" s="2" t="s">
        <v>721</v>
      </c>
    </row>
    <row r="639" spans="1:27" x14ac:dyDescent="0.35">
      <c r="A639" s="7" t="s">
        <v>1673</v>
      </c>
      <c r="B639" s="7" t="s">
        <v>1319</v>
      </c>
      <c r="C639" s="7" t="str">
        <f>_xlfn.XLOOKUP(B639,'[1]Sheet 1'!$A$2:$A$11107,'[1]Sheet 1'!$D$2:$D$11107,"",0)</f>
        <v>CK</v>
      </c>
      <c r="D639" s="4" t="str">
        <f>_xlfn.XLOOKUP(A639,[3]Sheet2!$I$2:$I$1623,[3]Sheet2!$D$2:$D$1623,"",0)</f>
        <v>Q1</v>
      </c>
      <c r="E639" s="4" t="s">
        <v>1828</v>
      </c>
      <c r="F639" s="4" t="e">
        <f>_xlfn.XLOOKUP(B639,[2]Sheet2!$E$2:$E$713,[2]Sheet2!$G$2:$G$713)</f>
        <v>#N/A</v>
      </c>
      <c r="G639" s="18">
        <v>46137</v>
      </c>
      <c r="H639" s="14">
        <v>0.48872685185185183</v>
      </c>
      <c r="I639" s="7" t="s">
        <v>11</v>
      </c>
      <c r="J639" s="2" t="str">
        <f t="shared" si="45"/>
        <v>Q1</v>
      </c>
      <c r="K639" s="2" t="str">
        <f t="shared" si="46"/>
        <v>Match</v>
      </c>
      <c r="L639" s="2">
        <f t="shared" si="47"/>
        <v>0</v>
      </c>
      <c r="M639" s="2" t="e">
        <f t="shared" si="48"/>
        <v>#N/A</v>
      </c>
      <c r="N639" s="2" t="str">
        <f t="shared" si="49"/>
        <v>Q OK dE&gt;0.8</v>
      </c>
      <c r="O639" s="7">
        <v>14.5</v>
      </c>
      <c r="P639" s="7">
        <v>-0.7</v>
      </c>
      <c r="Q639" s="7">
        <v>-2.8</v>
      </c>
      <c r="R639" s="7">
        <v>-0.89</v>
      </c>
      <c r="S639" s="7">
        <v>0</v>
      </c>
      <c r="T639" s="20">
        <v>0</v>
      </c>
      <c r="U639" s="7">
        <v>0.08</v>
      </c>
      <c r="V639" s="7">
        <v>0.15</v>
      </c>
      <c r="W639" s="7">
        <v>0.91</v>
      </c>
      <c r="X639" s="7" t="s">
        <v>13</v>
      </c>
      <c r="Y639" s="7" t="s">
        <v>9</v>
      </c>
      <c r="Z639" s="2" t="s">
        <v>718</v>
      </c>
      <c r="AA639" s="2" t="s">
        <v>721</v>
      </c>
    </row>
    <row r="640" spans="1:27" x14ac:dyDescent="0.35">
      <c r="A640" s="7" t="s">
        <v>1655</v>
      </c>
      <c r="B640" s="7" t="s">
        <v>1320</v>
      </c>
      <c r="C640" s="7" t="str">
        <f>_xlfn.XLOOKUP(B640,'[1]Sheet 1'!$A$2:$A$11107,'[1]Sheet 1'!$D$2:$D$11107,"",0)</f>
        <v>VSS</v>
      </c>
      <c r="D640" s="4" t="str">
        <f>_xlfn.XLOOKUP(A640,[3]Sheet2!$I$2:$I$1623,[3]Sheet2!$D$2:$D$1623,"",0)</f>
        <v>Q3</v>
      </c>
      <c r="E640" s="4" t="s">
        <v>1828</v>
      </c>
      <c r="F640" s="4" t="e">
        <f>_xlfn.XLOOKUP(B640,[2]Sheet2!$E$2:$E$713,[2]Sheet2!$G$2:$G$713)</f>
        <v>#N/A</v>
      </c>
      <c r="G640" s="18">
        <v>46137</v>
      </c>
      <c r="H640" s="14">
        <v>0.49379629629629629</v>
      </c>
      <c r="I640" s="7" t="s">
        <v>10</v>
      </c>
      <c r="J640" s="2" t="str">
        <f t="shared" si="45"/>
        <v>Q3</v>
      </c>
      <c r="K640" s="2" t="str">
        <f t="shared" si="46"/>
        <v>Match</v>
      </c>
      <c r="L640" s="2">
        <f t="shared" si="47"/>
        <v>0.1</v>
      </c>
      <c r="M640" s="2" t="e">
        <f t="shared" si="48"/>
        <v>#N/A</v>
      </c>
      <c r="N640" s="2" t="str">
        <f t="shared" si="49"/>
        <v>Q OK dE&lt;=0.8</v>
      </c>
      <c r="O640" s="7">
        <v>14.1</v>
      </c>
      <c r="P640" s="7">
        <v>0.6</v>
      </c>
      <c r="Q640" s="7">
        <v>-1</v>
      </c>
      <c r="R640" s="7">
        <v>0.06</v>
      </c>
      <c r="S640" s="7">
        <v>0</v>
      </c>
      <c r="T640" s="7">
        <v>-0.1</v>
      </c>
      <c r="U640" s="7">
        <v>0.14000000000000001</v>
      </c>
      <c r="V640" s="7">
        <v>-0.08</v>
      </c>
      <c r="W640" s="7">
        <v>0.17</v>
      </c>
      <c r="X640" s="7" t="s">
        <v>8</v>
      </c>
      <c r="Y640" s="7" t="s">
        <v>7</v>
      </c>
      <c r="Z640" s="2" t="s">
        <v>718</v>
      </c>
      <c r="AA640" s="2" t="s">
        <v>721</v>
      </c>
    </row>
    <row r="641" spans="1:27" x14ac:dyDescent="0.35">
      <c r="A641" s="7" t="s">
        <v>1734</v>
      </c>
      <c r="B641" s="7" t="s">
        <v>1324</v>
      </c>
      <c r="C641" s="7" t="str">
        <f>_xlfn.XLOOKUP(B641,'[1]Sheet 1'!$A$2:$A$11107,'[1]Sheet 1'!$D$2:$D$11107,"",0)</f>
        <v>CHICOS</v>
      </c>
      <c r="D641" s="4" t="str">
        <f>_xlfn.XLOOKUP(A641,[3]Sheet2!$I$2:$I$1623,[3]Sheet2!$D$2:$D$1623,"",0)</f>
        <v>Q4</v>
      </c>
      <c r="E641" s="4" t="s">
        <v>1828</v>
      </c>
      <c r="F641" s="4" t="e">
        <f>_xlfn.XLOOKUP(B641,[2]Sheet2!$E$2:$E$713,[2]Sheet2!$G$2:$G$713)</f>
        <v>#N/A</v>
      </c>
      <c r="G641" s="18">
        <v>46137</v>
      </c>
      <c r="H641" s="14">
        <v>0.6877199074074074</v>
      </c>
      <c r="I641" s="7" t="s">
        <v>14</v>
      </c>
      <c r="J641" s="2" t="str">
        <f t="shared" si="45"/>
        <v>Q4</v>
      </c>
      <c r="K641" s="2" t="str">
        <f t="shared" si="46"/>
        <v>Match</v>
      </c>
      <c r="L641" s="2">
        <f t="shared" si="47"/>
        <v>0.1</v>
      </c>
      <c r="M641" s="2" t="e">
        <f t="shared" si="48"/>
        <v>#N/A</v>
      </c>
      <c r="N641" s="2" t="str">
        <f t="shared" si="49"/>
        <v>Q OK dE&gt;0.8</v>
      </c>
      <c r="O641" s="7">
        <v>14.2</v>
      </c>
      <c r="P641" s="7">
        <v>-0.5</v>
      </c>
      <c r="Q641" s="7">
        <v>-2.4</v>
      </c>
      <c r="R641" s="7">
        <v>-1.19</v>
      </c>
      <c r="S641" s="7">
        <v>0</v>
      </c>
      <c r="T641" s="7">
        <v>-0.1</v>
      </c>
      <c r="U641" s="7">
        <v>0.13</v>
      </c>
      <c r="V641" s="7">
        <v>0.13</v>
      </c>
      <c r="W641" s="7">
        <v>1.2</v>
      </c>
      <c r="X641" s="7" t="s">
        <v>6</v>
      </c>
      <c r="Y641" s="7" t="s">
        <v>9</v>
      </c>
      <c r="Z641" s="2" t="s">
        <v>718</v>
      </c>
      <c r="AA641" s="2" t="s">
        <v>721</v>
      </c>
    </row>
    <row r="642" spans="1:27" x14ac:dyDescent="0.35">
      <c r="A642" s="7" t="s">
        <v>1518</v>
      </c>
      <c r="B642" s="7" t="s">
        <v>1312</v>
      </c>
      <c r="C642" s="7" t="str">
        <f>_xlfn.XLOOKUP(B642,'[1]Sheet 1'!$A$2:$A$11107,'[1]Sheet 1'!$D$2:$D$11107,"",0)</f>
        <v>VSS</v>
      </c>
      <c r="D642" s="4" t="str">
        <f>_xlfn.XLOOKUP(A642,[3]Sheet2!$I$2:$I$1623,[3]Sheet2!$D$2:$D$1623,"",0)</f>
        <v>Q1</v>
      </c>
      <c r="E642" s="4" t="s">
        <v>1827</v>
      </c>
      <c r="F642" s="4" t="e">
        <f>_xlfn.XLOOKUP(B642,[2]Sheet2!$E$2:$E$713,[2]Sheet2!$G$2:$G$713)</f>
        <v>#N/A</v>
      </c>
      <c r="G642" s="18">
        <v>46137</v>
      </c>
      <c r="H642" s="14">
        <v>0.22795138888888888</v>
      </c>
      <c r="I642" s="7" t="s">
        <v>11</v>
      </c>
      <c r="J642" s="2" t="str">
        <f t="shared" ref="J642:J705" si="50">IF(OR(S642=0,T642=0),D642,IF(AND(S642&gt;0,T642&gt;0),"Q1",IF(AND(S642&lt;0,T642&gt;0),"Q2",IF(AND(S642&lt;0,T642&lt;0),"Q3",IF(AND(S642&gt;0,T642&lt;0),"Q4","")))))</f>
        <v>Q4</v>
      </c>
      <c r="K642" s="2" t="str">
        <f t="shared" ref="K642:K705" si="51">IF(J642=D642,"Match",IF(AND(J642=0,D642="Match"),"da and db 0",IF(D642=0,"Not Found","Not Match")))</f>
        <v>Not Match</v>
      </c>
      <c r="L642" s="2">
        <f t="shared" ref="L642:L705" si="52">SQRT(S642^2+T642^2)</f>
        <v>0.14142135623730953</v>
      </c>
      <c r="M642" s="2" t="e">
        <f t="shared" ref="M642:M705" si="53">IF(L642&lt;=F642,"Within Range","Over Range")</f>
        <v>#N/A</v>
      </c>
      <c r="N642" s="2" t="str">
        <f t="shared" ref="N642:N705" si="54">IF(D642=0,"Quadrant not assigned",IF(AND(K642="Match",W642&lt;=0.8),"Q OK dE&lt;=0.8",IF(AND(K642="Match",W642&gt;0.8),"Q OK dE&gt;0.8",IF(AND(K642="Not Match",W642&lt;=0.8),"Q NOT OK dE&lt;=0.8","Q NOT OK dE&gt;0.8"))))</f>
        <v>Q NOT OK dE&lt;=0.8</v>
      </c>
      <c r="O642" s="7">
        <v>26.4</v>
      </c>
      <c r="P642" s="7">
        <v>6.4</v>
      </c>
      <c r="Q642" s="7">
        <v>7.7</v>
      </c>
      <c r="R642" s="7">
        <v>-0.03</v>
      </c>
      <c r="S642" s="7">
        <v>0.1</v>
      </c>
      <c r="T642" s="7">
        <v>-0.1</v>
      </c>
      <c r="U642" s="7">
        <v>-0.01</v>
      </c>
      <c r="V642" s="7">
        <v>-0.33</v>
      </c>
      <c r="W642" s="7">
        <v>0.33</v>
      </c>
      <c r="X642" s="7" t="s">
        <v>8</v>
      </c>
      <c r="Y642" s="7" t="s">
        <v>9</v>
      </c>
      <c r="Z642" s="2" t="s">
        <v>718</v>
      </c>
      <c r="AA642" s="2" t="s">
        <v>721</v>
      </c>
    </row>
    <row r="643" spans="1:27" x14ac:dyDescent="0.35">
      <c r="A643" s="7" t="s">
        <v>1526</v>
      </c>
      <c r="B643" s="7" t="s">
        <v>1322</v>
      </c>
      <c r="C643" s="7" t="str">
        <f>_xlfn.XLOOKUP(B643,'[1]Sheet 1'!$A$2:$A$11107,'[1]Sheet 1'!$D$2:$D$11107,"",0)</f>
        <v>VSS</v>
      </c>
      <c r="D643" s="4" t="str">
        <f>_xlfn.XLOOKUP(A643,[3]Sheet2!$I$2:$I$1623,[3]Sheet2!$D$2:$D$1623,"",0)</f>
        <v>Q4</v>
      </c>
      <c r="E643" s="4" t="s">
        <v>1827</v>
      </c>
      <c r="F643" s="4" t="e">
        <f>_xlfn.XLOOKUP(B643,[2]Sheet2!$E$2:$E$713,[2]Sheet2!$G$2:$G$713)</f>
        <v>#N/A</v>
      </c>
      <c r="G643" s="18">
        <v>46137</v>
      </c>
      <c r="H643" s="14">
        <v>0.57685185185185184</v>
      </c>
      <c r="I643" s="7" t="s">
        <v>10</v>
      </c>
      <c r="J643" s="2" t="str">
        <f t="shared" si="50"/>
        <v>Q4</v>
      </c>
      <c r="K643" s="2" t="str">
        <f t="shared" si="51"/>
        <v>Match</v>
      </c>
      <c r="L643" s="2">
        <f t="shared" si="52"/>
        <v>0.5</v>
      </c>
      <c r="M643" s="2" t="e">
        <f t="shared" si="53"/>
        <v>#N/A</v>
      </c>
      <c r="N643" s="2" t="str">
        <f t="shared" si="54"/>
        <v>Q OK dE&lt;=0.8</v>
      </c>
      <c r="O643" s="7">
        <v>32.700000000000003</v>
      </c>
      <c r="P643" s="7">
        <v>-9</v>
      </c>
      <c r="Q643" s="7">
        <v>-11.2</v>
      </c>
      <c r="R643" s="7">
        <v>7.0000000000000007E-2</v>
      </c>
      <c r="S643" s="7">
        <v>-0.5</v>
      </c>
      <c r="T643" s="20">
        <v>0</v>
      </c>
      <c r="U643" s="7">
        <v>0.26</v>
      </c>
      <c r="V643" s="7">
        <v>-0.44</v>
      </c>
      <c r="W643" s="7">
        <v>0.52</v>
      </c>
      <c r="X643" s="7" t="s">
        <v>8</v>
      </c>
      <c r="Y643" s="7" t="s">
        <v>12</v>
      </c>
      <c r="Z643" s="2" t="s">
        <v>718</v>
      </c>
      <c r="AA643" s="2" t="s">
        <v>721</v>
      </c>
    </row>
    <row r="644" spans="1:27" x14ac:dyDescent="0.35">
      <c r="A644" s="7" t="s">
        <v>1521</v>
      </c>
      <c r="B644" s="7" t="s">
        <v>1326</v>
      </c>
      <c r="C644" s="7" t="str">
        <f>_xlfn.XLOOKUP(B644,'[1]Sheet 1'!$A$2:$A$11107,'[1]Sheet 1'!$D$2:$D$11107,"",0)</f>
        <v>VSS</v>
      </c>
      <c r="D644" s="4" t="str">
        <f>_xlfn.XLOOKUP(A644,[3]Sheet2!$I$2:$I$1623,[3]Sheet2!$D$2:$D$1623,"",0)</f>
        <v>Q3</v>
      </c>
      <c r="E644" s="4" t="s">
        <v>1828</v>
      </c>
      <c r="F644" s="4" t="e">
        <f>_xlfn.XLOOKUP(B644,[2]Sheet2!$E$2:$E$713,[2]Sheet2!$G$2:$G$713)</f>
        <v>#N/A</v>
      </c>
      <c r="G644" s="18">
        <v>46137</v>
      </c>
      <c r="H644" s="14">
        <v>0.76962962962962966</v>
      </c>
      <c r="I644" s="7" t="s">
        <v>10</v>
      </c>
      <c r="J644" s="2" t="str">
        <f t="shared" si="50"/>
        <v>Q3</v>
      </c>
      <c r="K644" s="2" t="str">
        <f t="shared" si="51"/>
        <v>Match</v>
      </c>
      <c r="L644" s="2">
        <f t="shared" si="52"/>
        <v>0.1</v>
      </c>
      <c r="M644" s="2" t="e">
        <f t="shared" si="53"/>
        <v>#N/A</v>
      </c>
      <c r="N644" s="2" t="str">
        <f t="shared" si="54"/>
        <v>Q OK dE&lt;=0.8</v>
      </c>
      <c r="O644" s="7">
        <v>20.7</v>
      </c>
      <c r="P644" s="7">
        <v>0.9</v>
      </c>
      <c r="Q644" s="7">
        <v>-7.2</v>
      </c>
      <c r="R644" s="7">
        <v>-0.56999999999999995</v>
      </c>
      <c r="S644" s="7">
        <v>-0.1</v>
      </c>
      <c r="T644" s="20">
        <v>0</v>
      </c>
      <c r="U644" s="7">
        <v>0</v>
      </c>
      <c r="V644" s="7">
        <v>-0.24</v>
      </c>
      <c r="W644" s="7">
        <v>0.62</v>
      </c>
      <c r="X644" s="7" t="s">
        <v>8</v>
      </c>
      <c r="Y644" s="7" t="s">
        <v>15</v>
      </c>
      <c r="Z644" s="2" t="s">
        <v>718</v>
      </c>
      <c r="AA644" s="2" t="s">
        <v>721</v>
      </c>
    </row>
    <row r="645" spans="1:27" x14ac:dyDescent="0.35">
      <c r="A645" s="7" t="s">
        <v>1715</v>
      </c>
      <c r="B645" s="7" t="s">
        <v>1321</v>
      </c>
      <c r="C645" s="7" t="str">
        <f>_xlfn.XLOOKUP(B645,'[1]Sheet 1'!$A$2:$A$11107,'[1]Sheet 1'!$D$2:$D$11107,"",0)</f>
        <v/>
      </c>
      <c r="D645" s="4" t="str">
        <f>_xlfn.XLOOKUP(A645,[3]Sheet2!$I$2:$I$1623,[3]Sheet2!$D$2:$D$1623,"",0)</f>
        <v>Q1</v>
      </c>
      <c r="E645" s="4" t="s">
        <v>1828</v>
      </c>
      <c r="F645" s="4" t="e">
        <f>_xlfn.XLOOKUP(B645,[2]Sheet2!$E$2:$E$713,[2]Sheet2!$G$2:$G$713)</f>
        <v>#N/A</v>
      </c>
      <c r="G645" s="18">
        <v>46137</v>
      </c>
      <c r="H645" s="14">
        <v>0.49668981481481483</v>
      </c>
      <c r="I645" s="7" t="s">
        <v>4</v>
      </c>
      <c r="J645" s="2" t="str">
        <f t="shared" si="50"/>
        <v>Q1</v>
      </c>
      <c r="K645" s="2" t="str">
        <f t="shared" si="51"/>
        <v>Match</v>
      </c>
      <c r="L645" s="2">
        <f t="shared" si="52"/>
        <v>0.6</v>
      </c>
      <c r="M645" s="2" t="e">
        <f t="shared" si="53"/>
        <v>#N/A</v>
      </c>
      <c r="N645" s="2" t="str">
        <f t="shared" si="54"/>
        <v>Q OK dE&gt;0.8</v>
      </c>
      <c r="O645" s="7">
        <v>12.8</v>
      </c>
      <c r="P645" s="7">
        <v>-0.1</v>
      </c>
      <c r="Q645" s="7">
        <v>-1.9</v>
      </c>
      <c r="R645" s="7">
        <v>-1.78</v>
      </c>
      <c r="S645" s="7">
        <v>0</v>
      </c>
      <c r="T645" s="7">
        <v>-0.6</v>
      </c>
      <c r="U645" s="7">
        <v>0.83</v>
      </c>
      <c r="V645" s="7">
        <v>0.09</v>
      </c>
      <c r="W645" s="7">
        <v>1.97</v>
      </c>
      <c r="X645" s="7" t="s">
        <v>6</v>
      </c>
      <c r="Y645" s="7" t="s">
        <v>9</v>
      </c>
      <c r="Z645" s="2" t="s">
        <v>718</v>
      </c>
      <c r="AA645" s="2" t="s">
        <v>721</v>
      </c>
    </row>
    <row r="646" spans="1:27" x14ac:dyDescent="0.35">
      <c r="A646" s="7" t="s">
        <v>1645</v>
      </c>
      <c r="B646" s="7" t="s">
        <v>1332</v>
      </c>
      <c r="C646" s="7" t="str">
        <f>_xlfn.XLOOKUP(B646,'[1]Sheet 1'!$A$2:$A$11107,'[1]Sheet 1'!$D$2:$D$11107,"",0)</f>
        <v>M&amp;S</v>
      </c>
      <c r="D646" s="4" t="str">
        <f>_xlfn.XLOOKUP(A646,[3]Sheet2!$I$2:$I$1623,[3]Sheet2!$D$2:$D$1623,"",0)</f>
        <v>Q2</v>
      </c>
      <c r="E646" s="4" t="s">
        <v>1827</v>
      </c>
      <c r="F646" s="4" t="e">
        <f>_xlfn.XLOOKUP(B646,[2]Sheet2!$E$2:$E$713,[2]Sheet2!$G$2:$G$713)</f>
        <v>#N/A</v>
      </c>
      <c r="G646" s="18">
        <v>46139</v>
      </c>
      <c r="H646" s="14">
        <v>0.73750000000000004</v>
      </c>
      <c r="I646" s="7" t="s">
        <v>5</v>
      </c>
      <c r="J646" s="2" t="str">
        <f t="shared" si="50"/>
        <v>Q3</v>
      </c>
      <c r="K646" s="2" t="str">
        <f t="shared" si="51"/>
        <v>Not Match</v>
      </c>
      <c r="L646" s="2">
        <f t="shared" si="52"/>
        <v>0.31622776601683794</v>
      </c>
      <c r="M646" s="2" t="e">
        <f t="shared" si="53"/>
        <v>#N/A</v>
      </c>
      <c r="N646" s="2" t="str">
        <f t="shared" si="54"/>
        <v>Q NOT OK dE&lt;=0.8</v>
      </c>
      <c r="O646" s="7">
        <v>16.7</v>
      </c>
      <c r="P646" s="7">
        <v>-1.1000000000000001</v>
      </c>
      <c r="Q646" s="7">
        <v>-2.2999999999999998</v>
      </c>
      <c r="R646" s="7">
        <v>0.42</v>
      </c>
      <c r="S646" s="7">
        <v>-0.1</v>
      </c>
      <c r="T646" s="7">
        <v>-0.3</v>
      </c>
      <c r="U646" s="7">
        <v>0.48</v>
      </c>
      <c r="V646" s="7">
        <v>-0.02</v>
      </c>
      <c r="W646" s="7">
        <v>0.64</v>
      </c>
      <c r="X646" s="7" t="s">
        <v>8</v>
      </c>
      <c r="Y646" s="7" t="s">
        <v>15</v>
      </c>
      <c r="Z646" s="2" t="s">
        <v>718</v>
      </c>
      <c r="AA646" s="2" t="s">
        <v>721</v>
      </c>
    </row>
    <row r="647" spans="1:27" x14ac:dyDescent="0.35">
      <c r="A647" s="7" t="s">
        <v>1593</v>
      </c>
      <c r="B647" s="7" t="s">
        <v>1298</v>
      </c>
      <c r="C647" s="7" t="str">
        <f>_xlfn.XLOOKUP(B647,'[1]Sheet 1'!$A$2:$A$11107,'[1]Sheet 1'!$D$2:$D$11107,"",0)</f>
        <v>LULU</v>
      </c>
      <c r="D647" s="4" t="str">
        <f>_xlfn.XLOOKUP(A647,[3]Sheet2!$I$2:$I$1623,[3]Sheet2!$D$2:$D$1623,"",0)</f>
        <v>Q3</v>
      </c>
      <c r="E647" s="4" t="s">
        <v>1827</v>
      </c>
      <c r="F647" s="4" t="e">
        <f>_xlfn.XLOOKUP(B647,[2]Sheet2!$E$2:$E$713,[2]Sheet2!$G$2:$G$713)</f>
        <v>#N/A</v>
      </c>
      <c r="G647" s="18">
        <v>46139</v>
      </c>
      <c r="H647" s="14">
        <v>0.97348379629629633</v>
      </c>
      <c r="I647" s="7" t="s">
        <v>4</v>
      </c>
      <c r="J647" s="2" t="str">
        <f t="shared" si="50"/>
        <v>Q1</v>
      </c>
      <c r="K647" s="2" t="str">
        <f t="shared" si="51"/>
        <v>Not Match</v>
      </c>
      <c r="L647" s="2">
        <f t="shared" si="52"/>
        <v>0.41231056256176613</v>
      </c>
      <c r="M647" s="2" t="e">
        <f t="shared" si="53"/>
        <v>#N/A</v>
      </c>
      <c r="N647" s="2" t="str">
        <f t="shared" si="54"/>
        <v>Q NOT OK dE&gt;0.8</v>
      </c>
      <c r="O647" s="7">
        <v>22.5</v>
      </c>
      <c r="P647" s="7">
        <v>3.1</v>
      </c>
      <c r="Q647" s="7">
        <v>2.4</v>
      </c>
      <c r="R647" s="7">
        <v>-1.1499999999999999</v>
      </c>
      <c r="S647" s="7">
        <v>0.4</v>
      </c>
      <c r="T647" s="7">
        <v>0.1</v>
      </c>
      <c r="U647" s="7">
        <v>0.49</v>
      </c>
      <c r="V647" s="7">
        <v>-0.15</v>
      </c>
      <c r="W647" s="7">
        <v>1.26</v>
      </c>
      <c r="X647" s="7" t="s">
        <v>6</v>
      </c>
      <c r="Y647" s="7" t="s">
        <v>7</v>
      </c>
      <c r="Z647" s="2" t="s">
        <v>718</v>
      </c>
      <c r="AA647" s="2" t="s">
        <v>721</v>
      </c>
    </row>
    <row r="648" spans="1:27" x14ac:dyDescent="0.35">
      <c r="A648" s="7" t="s">
        <v>1747</v>
      </c>
      <c r="B648" s="7" t="s">
        <v>1334</v>
      </c>
      <c r="C648" s="7" t="str">
        <f>_xlfn.XLOOKUP(B648,'[1]Sheet 1'!$A$2:$A$11107,'[1]Sheet 1'!$D$2:$D$11107,"",0)</f>
        <v>M&amp;S</v>
      </c>
      <c r="D648" s="4" t="str">
        <f>_xlfn.XLOOKUP(A648,[3]Sheet2!$I$2:$I$1623,[3]Sheet2!$D$2:$D$1623,"",0)</f>
        <v>Q4</v>
      </c>
      <c r="E648" s="4" t="s">
        <v>1828</v>
      </c>
      <c r="F648" s="4" t="e">
        <f>_xlfn.XLOOKUP(B648,[2]Sheet2!$E$2:$E$713,[2]Sheet2!$G$2:$G$713)</f>
        <v>#N/A</v>
      </c>
      <c r="G648" s="18">
        <v>46139</v>
      </c>
      <c r="H648" s="14">
        <v>0.77003472222222225</v>
      </c>
      <c r="I648" s="7" t="s">
        <v>17</v>
      </c>
      <c r="J648" s="2" t="str">
        <f t="shared" si="50"/>
        <v>Q2</v>
      </c>
      <c r="K648" s="2" t="str">
        <f t="shared" si="51"/>
        <v>Not Match</v>
      </c>
      <c r="L648" s="2">
        <f t="shared" si="52"/>
        <v>0.22360679774997899</v>
      </c>
      <c r="M648" s="2" t="e">
        <f t="shared" si="53"/>
        <v>#N/A</v>
      </c>
      <c r="N648" s="2" t="str">
        <f t="shared" si="54"/>
        <v>Q NOT OK dE&lt;=0.8</v>
      </c>
      <c r="O648" s="7">
        <v>16.899999999999999</v>
      </c>
      <c r="P648" s="7">
        <v>-0.4</v>
      </c>
      <c r="Q648" s="7">
        <v>-5.6</v>
      </c>
      <c r="R648" s="7">
        <v>-0.27</v>
      </c>
      <c r="S648" s="7">
        <v>-0.1</v>
      </c>
      <c r="T648" s="7">
        <v>0.2</v>
      </c>
      <c r="U648" s="7">
        <v>-0.26</v>
      </c>
      <c r="V648" s="7">
        <v>-0.15</v>
      </c>
      <c r="W648" s="7">
        <v>0.41</v>
      </c>
      <c r="X648" s="7" t="s">
        <v>8</v>
      </c>
      <c r="Y648" s="7" t="s">
        <v>15</v>
      </c>
      <c r="Z648" s="2" t="s">
        <v>718</v>
      </c>
      <c r="AA648" s="2" t="s">
        <v>721</v>
      </c>
    </row>
    <row r="649" spans="1:27" x14ac:dyDescent="0.35">
      <c r="A649" s="7" t="s">
        <v>1747</v>
      </c>
      <c r="B649" s="7" t="s">
        <v>1333</v>
      </c>
      <c r="C649" s="7" t="str">
        <f>_xlfn.XLOOKUP(B649,'[1]Sheet 1'!$A$2:$A$11107,'[1]Sheet 1'!$D$2:$D$11107,"",0)</f>
        <v>M&amp;S</v>
      </c>
      <c r="D649" s="4" t="str">
        <f>_xlfn.XLOOKUP(A649,[3]Sheet2!$I$2:$I$1623,[3]Sheet2!$D$2:$D$1623,"",0)</f>
        <v>Q4</v>
      </c>
      <c r="E649" s="4" t="s">
        <v>1827</v>
      </c>
      <c r="F649" s="4" t="e">
        <f>_xlfn.XLOOKUP(B649,[2]Sheet2!$E$2:$E$713,[2]Sheet2!$G$2:$G$713)</f>
        <v>#N/A</v>
      </c>
      <c r="G649" s="18">
        <v>46139</v>
      </c>
      <c r="H649" s="14">
        <v>0.76923611111111112</v>
      </c>
      <c r="I649" s="7" t="s">
        <v>17</v>
      </c>
      <c r="J649" s="2" t="str">
        <f t="shared" si="50"/>
        <v>Q4</v>
      </c>
      <c r="K649" s="2" t="str">
        <f t="shared" si="51"/>
        <v>Match</v>
      </c>
      <c r="L649" s="2">
        <f t="shared" si="52"/>
        <v>0.1</v>
      </c>
      <c r="M649" s="2" t="e">
        <f t="shared" si="53"/>
        <v>#N/A</v>
      </c>
      <c r="N649" s="2" t="str">
        <f t="shared" si="54"/>
        <v>Q OK dE&lt;=0.8</v>
      </c>
      <c r="O649" s="7">
        <v>16.899999999999999</v>
      </c>
      <c r="P649" s="7">
        <v>-0.5</v>
      </c>
      <c r="Q649" s="7">
        <v>-6</v>
      </c>
      <c r="R649" s="7">
        <v>-0.28000000000000003</v>
      </c>
      <c r="S649" s="7">
        <v>-0.1</v>
      </c>
      <c r="T649" s="20">
        <v>0</v>
      </c>
      <c r="U649" s="7">
        <v>0.1</v>
      </c>
      <c r="V649" s="7">
        <v>-0.22</v>
      </c>
      <c r="W649" s="7">
        <v>0.37</v>
      </c>
      <c r="X649" s="7" t="s">
        <v>8</v>
      </c>
      <c r="Y649" s="7" t="s">
        <v>15</v>
      </c>
      <c r="Z649" s="2" t="s">
        <v>718</v>
      </c>
      <c r="AA649" s="2" t="s">
        <v>721</v>
      </c>
    </row>
    <row r="650" spans="1:27" x14ac:dyDescent="0.35">
      <c r="A650" s="7" t="s">
        <v>1593</v>
      </c>
      <c r="B650" s="7" t="s">
        <v>1329</v>
      </c>
      <c r="C650" s="7" t="str">
        <f>_xlfn.XLOOKUP(B650,'[1]Sheet 1'!$A$2:$A$11107,'[1]Sheet 1'!$D$2:$D$11107,"",0)</f>
        <v>LULU</v>
      </c>
      <c r="D650" s="4" t="str">
        <f>_xlfn.XLOOKUP(A650,[3]Sheet2!$I$2:$I$1623,[3]Sheet2!$D$2:$D$1623,"",0)</f>
        <v>Q3</v>
      </c>
      <c r="E650" s="4" t="s">
        <v>1828</v>
      </c>
      <c r="F650" s="4" t="e">
        <f>_xlfn.XLOOKUP(B650,[2]Sheet2!$E$2:$E$713,[2]Sheet2!$G$2:$G$713)</f>
        <v>#N/A</v>
      </c>
      <c r="G650" s="18">
        <v>46139</v>
      </c>
      <c r="H650" s="14">
        <v>0.68356481481481479</v>
      </c>
      <c r="I650" s="7" t="s">
        <v>4</v>
      </c>
      <c r="J650" s="2" t="str">
        <f t="shared" si="50"/>
        <v>Q1</v>
      </c>
      <c r="K650" s="2" t="str">
        <f t="shared" si="51"/>
        <v>Not Match</v>
      </c>
      <c r="L650" s="2">
        <f t="shared" si="52"/>
        <v>0.42426406871192851</v>
      </c>
      <c r="M650" s="2" t="e">
        <f t="shared" si="53"/>
        <v>#N/A</v>
      </c>
      <c r="N650" s="2" t="str">
        <f t="shared" si="54"/>
        <v>Q NOT OK dE&gt;0.8</v>
      </c>
      <c r="O650" s="7">
        <v>22.2</v>
      </c>
      <c r="P650" s="7">
        <v>3</v>
      </c>
      <c r="Q650" s="7">
        <v>2.5</v>
      </c>
      <c r="R650" s="7">
        <v>-1.36</v>
      </c>
      <c r="S650" s="7">
        <v>0.3</v>
      </c>
      <c r="T650" s="7">
        <v>0.3</v>
      </c>
      <c r="U650" s="7">
        <v>0.55000000000000004</v>
      </c>
      <c r="V650" s="7">
        <v>0.05</v>
      </c>
      <c r="W650" s="7">
        <v>1.46</v>
      </c>
      <c r="X650" s="7" t="s">
        <v>6</v>
      </c>
      <c r="Y650" s="7" t="s">
        <v>12</v>
      </c>
      <c r="Z650" s="2" t="s">
        <v>718</v>
      </c>
      <c r="AA650" s="2" t="s">
        <v>721</v>
      </c>
    </row>
    <row r="651" spans="1:27" x14ac:dyDescent="0.35">
      <c r="A651" s="7" t="s">
        <v>1500</v>
      </c>
      <c r="B651" s="7" t="s">
        <v>1330</v>
      </c>
      <c r="C651" s="7" t="str">
        <f>_xlfn.XLOOKUP(B651,'[1]Sheet 1'!$A$2:$A$11107,'[1]Sheet 1'!$D$2:$D$11107,"",0)</f>
        <v>LULU</v>
      </c>
      <c r="D651" s="4" t="str">
        <f>_xlfn.XLOOKUP(A651,[3]Sheet2!$I$2:$I$1623,[3]Sheet2!$D$2:$D$1623,"",0)</f>
        <v>Q2</v>
      </c>
      <c r="E651" s="4" t="s">
        <v>1828</v>
      </c>
      <c r="F651" s="4" t="e">
        <f>_xlfn.XLOOKUP(B651,[2]Sheet2!$E$2:$E$713,[2]Sheet2!$G$2:$G$713)</f>
        <v>#N/A</v>
      </c>
      <c r="G651" s="18">
        <v>46139</v>
      </c>
      <c r="H651" s="14">
        <v>0.73357638888888888</v>
      </c>
      <c r="I651" s="7" t="s">
        <v>4</v>
      </c>
      <c r="J651" s="2" t="str">
        <f t="shared" si="50"/>
        <v>Q1</v>
      </c>
      <c r="K651" s="2" t="str">
        <f t="shared" si="51"/>
        <v>Not Match</v>
      </c>
      <c r="L651" s="2">
        <f t="shared" si="52"/>
        <v>0.22360679774997899</v>
      </c>
      <c r="M651" s="2" t="e">
        <f t="shared" si="53"/>
        <v>#N/A</v>
      </c>
      <c r="N651" s="2" t="str">
        <f t="shared" si="54"/>
        <v>Q NOT OK dE&gt;0.8</v>
      </c>
      <c r="O651" s="7">
        <v>17.100000000000001</v>
      </c>
      <c r="P651" s="7">
        <v>-0.7</v>
      </c>
      <c r="Q651" s="7">
        <v>-0.8</v>
      </c>
      <c r="R651" s="7">
        <v>-0.83</v>
      </c>
      <c r="S651" s="7">
        <v>0.2</v>
      </c>
      <c r="T651" s="7">
        <v>0.1</v>
      </c>
      <c r="U651" s="7">
        <v>-0.37</v>
      </c>
      <c r="V651" s="7">
        <v>0.06</v>
      </c>
      <c r="W651" s="7">
        <v>0.91</v>
      </c>
      <c r="X651" s="7" t="s">
        <v>13</v>
      </c>
      <c r="Y651" s="7" t="s">
        <v>7</v>
      </c>
      <c r="Z651" s="2" t="s">
        <v>718</v>
      </c>
      <c r="AA651" s="2" t="s">
        <v>721</v>
      </c>
    </row>
    <row r="652" spans="1:27" x14ac:dyDescent="0.35">
      <c r="A652" s="7" t="s">
        <v>1518</v>
      </c>
      <c r="B652" s="7" t="s">
        <v>1331</v>
      </c>
      <c r="C652" s="7" t="str">
        <f>_xlfn.XLOOKUP(B652,'[1]Sheet 1'!$A$2:$A$11107,'[1]Sheet 1'!$D$2:$D$11107,"",0)</f>
        <v>VSS</v>
      </c>
      <c r="D652" s="4" t="str">
        <f>_xlfn.XLOOKUP(A652,[3]Sheet2!$I$2:$I$1623,[3]Sheet2!$D$2:$D$1623,"",0)</f>
        <v>Q1</v>
      </c>
      <c r="E652" s="4" t="s">
        <v>1828</v>
      </c>
      <c r="F652" s="4" t="e">
        <f>_xlfn.XLOOKUP(B652,[2]Sheet2!$E$2:$E$713,[2]Sheet2!$G$2:$G$713)</f>
        <v>#N/A</v>
      </c>
      <c r="G652" s="18">
        <v>46139</v>
      </c>
      <c r="H652" s="14">
        <v>0.73484953703703704</v>
      </c>
      <c r="I652" s="7" t="s">
        <v>10</v>
      </c>
      <c r="J652" s="2" t="str">
        <f t="shared" si="50"/>
        <v>Q1</v>
      </c>
      <c r="K652" s="2" t="str">
        <f t="shared" si="51"/>
        <v>Match</v>
      </c>
      <c r="L652" s="2">
        <f t="shared" si="52"/>
        <v>2.0248456731316584</v>
      </c>
      <c r="M652" s="2" t="e">
        <f t="shared" si="53"/>
        <v>#N/A</v>
      </c>
      <c r="N652" s="2" t="str">
        <f t="shared" si="54"/>
        <v>Q OK dE&gt;0.8</v>
      </c>
      <c r="O652" s="7">
        <v>27.9</v>
      </c>
      <c r="P652" s="7">
        <v>11.7</v>
      </c>
      <c r="Q652" s="7">
        <v>11.9</v>
      </c>
      <c r="R652" s="7">
        <v>0.14000000000000001</v>
      </c>
      <c r="S652" s="7">
        <v>0.7</v>
      </c>
      <c r="T652" s="7">
        <v>1.9</v>
      </c>
      <c r="U652" s="7">
        <v>1.3</v>
      </c>
      <c r="V652" s="7">
        <v>1.4</v>
      </c>
      <c r="W652" s="7">
        <v>1.91</v>
      </c>
      <c r="X652" s="7" t="s">
        <v>6</v>
      </c>
      <c r="Y652" s="7" t="s">
        <v>12</v>
      </c>
      <c r="Z652" s="2" t="s">
        <v>718</v>
      </c>
      <c r="AA652" s="2" t="s">
        <v>721</v>
      </c>
    </row>
    <row r="653" spans="1:27" x14ac:dyDescent="0.35">
      <c r="A653" s="7" t="s">
        <v>1786</v>
      </c>
      <c r="B653" s="7" t="s">
        <v>1327</v>
      </c>
      <c r="C653" s="7" t="str">
        <f>_xlfn.XLOOKUP(B653,'[1]Sheet 1'!$A$2:$A$11107,'[1]Sheet 1'!$D$2:$D$11107,"",0)</f>
        <v>NEWB</v>
      </c>
      <c r="D653" s="4" t="str">
        <f>_xlfn.XLOOKUP(A653,[3]Sheet2!$I$2:$I$1623,[3]Sheet2!$D$2:$D$1623,"",0)</f>
        <v>Q4</v>
      </c>
      <c r="E653" s="4" t="s">
        <v>1827</v>
      </c>
      <c r="F653" s="4" t="e">
        <f>_xlfn.XLOOKUP(B653,[2]Sheet2!$E$2:$E$713,[2]Sheet2!$G$2:$G$713)</f>
        <v>#N/A</v>
      </c>
      <c r="G653" s="18">
        <v>46139</v>
      </c>
      <c r="H653" s="14">
        <v>0.62902777777777774</v>
      </c>
      <c r="I653" s="7" t="s">
        <v>4</v>
      </c>
      <c r="J653" s="2" t="str">
        <f t="shared" si="50"/>
        <v>Q4</v>
      </c>
      <c r="K653" s="2" t="str">
        <f t="shared" si="51"/>
        <v>Match</v>
      </c>
      <c r="L653" s="2">
        <f t="shared" si="52"/>
        <v>0.5</v>
      </c>
      <c r="M653" s="2" t="e">
        <f t="shared" si="53"/>
        <v>#N/A</v>
      </c>
      <c r="N653" s="2" t="str">
        <f t="shared" si="54"/>
        <v>Q OK dE&lt;=0.8</v>
      </c>
      <c r="O653" s="7">
        <v>24</v>
      </c>
      <c r="P653" s="7">
        <v>13.8</v>
      </c>
      <c r="Q653" s="7">
        <v>-3.7</v>
      </c>
      <c r="R653" s="7">
        <v>-0.21</v>
      </c>
      <c r="S653" s="7">
        <v>0</v>
      </c>
      <c r="T653" s="7">
        <v>0.5</v>
      </c>
      <c r="U653" s="7">
        <v>-0.14000000000000001</v>
      </c>
      <c r="V653" s="7">
        <v>0.49</v>
      </c>
      <c r="W653" s="7">
        <v>0.55000000000000004</v>
      </c>
      <c r="X653" s="7" t="s">
        <v>8</v>
      </c>
      <c r="Y653" s="7" t="s">
        <v>9</v>
      </c>
      <c r="Z653" s="2" t="s">
        <v>718</v>
      </c>
      <c r="AA653" s="2" t="s">
        <v>721</v>
      </c>
    </row>
    <row r="654" spans="1:27" x14ac:dyDescent="0.35">
      <c r="A654" s="7" t="s">
        <v>1776</v>
      </c>
      <c r="B654" s="7" t="s">
        <v>1276</v>
      </c>
      <c r="C654" s="7" t="str">
        <f>_xlfn.XLOOKUP(B654,'[1]Sheet 1'!$A$2:$A$11107,'[1]Sheet 1'!$D$2:$D$11107,"",0)</f>
        <v>GAP</v>
      </c>
      <c r="D654" s="4" t="str">
        <f>_xlfn.XLOOKUP(A654,[3]Sheet2!$I$2:$I$1623,[3]Sheet2!$D$2:$D$1623,"",0)</f>
        <v>Q1</v>
      </c>
      <c r="E654" s="4" t="s">
        <v>1828</v>
      </c>
      <c r="F654" s="4" t="e">
        <f>_xlfn.XLOOKUP(B654,[2]Sheet2!$E$2:$E$713,[2]Sheet2!$G$2:$G$713)</f>
        <v>#N/A</v>
      </c>
      <c r="G654" s="18">
        <v>46140</v>
      </c>
      <c r="H654" s="14">
        <v>0.2682060185185185</v>
      </c>
      <c r="I654" s="7" t="s">
        <v>4</v>
      </c>
      <c r="J654" s="2" t="str">
        <f t="shared" si="50"/>
        <v>Q1</v>
      </c>
      <c r="K654" s="2" t="str">
        <f t="shared" si="51"/>
        <v>Match</v>
      </c>
      <c r="L654" s="2">
        <f t="shared" si="52"/>
        <v>0.36055512754639896</v>
      </c>
      <c r="M654" s="2" t="e">
        <f t="shared" si="53"/>
        <v>#N/A</v>
      </c>
      <c r="N654" s="2" t="str">
        <f t="shared" si="54"/>
        <v>Q OK dE&lt;=0.8</v>
      </c>
      <c r="O654" s="7">
        <v>21.8</v>
      </c>
      <c r="P654" s="7">
        <v>17.100000000000001</v>
      </c>
      <c r="Q654" s="7">
        <v>3.8</v>
      </c>
      <c r="R654" s="7">
        <v>0.15</v>
      </c>
      <c r="S654" s="7">
        <v>0.2</v>
      </c>
      <c r="T654" s="7">
        <v>0.3</v>
      </c>
      <c r="U654" s="7">
        <v>0.21</v>
      </c>
      <c r="V654" s="7">
        <v>0.27</v>
      </c>
      <c r="W654" s="7">
        <v>0.38</v>
      </c>
      <c r="X654" s="7" t="s">
        <v>8</v>
      </c>
      <c r="Y654" s="7" t="s">
        <v>12</v>
      </c>
      <c r="Z654" s="2" t="s">
        <v>718</v>
      </c>
      <c r="AA654" s="2" t="s">
        <v>721</v>
      </c>
    </row>
    <row r="655" spans="1:27" x14ac:dyDescent="0.35">
      <c r="A655" s="7" t="s">
        <v>1784</v>
      </c>
      <c r="B655" s="7" t="s">
        <v>1351</v>
      </c>
      <c r="C655" s="7" t="str">
        <f>_xlfn.XLOOKUP(B655,'[1]Sheet 1'!$A$2:$A$11107,'[1]Sheet 1'!$D$2:$D$11107,"",0)</f>
        <v>VSS</v>
      </c>
      <c r="D655" s="4" t="str">
        <f>_xlfn.XLOOKUP(A655,[3]Sheet2!$I$2:$I$1623,[3]Sheet2!$D$2:$D$1623,"",0)</f>
        <v>Q2</v>
      </c>
      <c r="E655" s="4" t="s">
        <v>1827</v>
      </c>
      <c r="F655" s="4" t="e">
        <f>_xlfn.XLOOKUP(B655,[2]Sheet2!$E$2:$E$713,[2]Sheet2!$G$2:$G$713)</f>
        <v>#N/A</v>
      </c>
      <c r="G655" s="18">
        <v>46140</v>
      </c>
      <c r="H655" s="14">
        <v>0.63295138888888891</v>
      </c>
      <c r="I655" s="7" t="s">
        <v>10</v>
      </c>
      <c r="J655" s="2" t="str">
        <f t="shared" si="50"/>
        <v>Q3</v>
      </c>
      <c r="K655" s="2" t="str">
        <f t="shared" si="51"/>
        <v>Not Match</v>
      </c>
      <c r="L655" s="2">
        <f t="shared" si="52"/>
        <v>1.7464249196572981</v>
      </c>
      <c r="M655" s="2" t="e">
        <f t="shared" si="53"/>
        <v>#N/A</v>
      </c>
      <c r="N655" s="2" t="str">
        <f t="shared" si="54"/>
        <v>Q NOT OK dE&gt;0.8</v>
      </c>
      <c r="O655" s="7">
        <v>43.8</v>
      </c>
      <c r="P655" s="7">
        <v>42.8</v>
      </c>
      <c r="Q655" s="7">
        <v>12.1</v>
      </c>
      <c r="R655" s="7">
        <v>0.13</v>
      </c>
      <c r="S655" s="7">
        <v>-0.7</v>
      </c>
      <c r="T655" s="7">
        <v>-1.6</v>
      </c>
      <c r="U655" s="7">
        <v>-0.5</v>
      </c>
      <c r="V655" s="7">
        <v>-0.93</v>
      </c>
      <c r="W655" s="7">
        <v>1.06</v>
      </c>
      <c r="X655" s="7" t="s">
        <v>6</v>
      </c>
      <c r="Y655" s="7" t="s">
        <v>7</v>
      </c>
      <c r="Z655" s="2" t="s">
        <v>718</v>
      </c>
      <c r="AA655" s="2" t="s">
        <v>721</v>
      </c>
    </row>
    <row r="656" spans="1:27" x14ac:dyDescent="0.35">
      <c r="A656" s="7" t="s">
        <v>1771</v>
      </c>
      <c r="B656" s="7" t="s">
        <v>1295</v>
      </c>
      <c r="C656" s="7" t="str">
        <f>_xlfn.XLOOKUP(B656,'[1]Sheet 1'!$A$2:$A$11107,'[1]Sheet 1'!$D$2:$D$11107,"",0)</f>
        <v>WACE</v>
      </c>
      <c r="D656" s="4" t="str">
        <f>_xlfn.XLOOKUP(A656,[3]Sheet2!$I$2:$I$1623,[3]Sheet2!$D$2:$D$1623,"",0)</f>
        <v>Q2</v>
      </c>
      <c r="E656" s="4" t="s">
        <v>1828</v>
      </c>
      <c r="F656" s="4" t="e">
        <f>_xlfn.XLOOKUP(B656,[2]Sheet2!$E$2:$E$713,[2]Sheet2!$G$2:$G$713)</f>
        <v>#N/A</v>
      </c>
      <c r="G656" s="18">
        <v>46140</v>
      </c>
      <c r="H656" s="14">
        <v>0.69677083333333334</v>
      </c>
      <c r="I656" s="7" t="s">
        <v>4</v>
      </c>
      <c r="J656" s="2" t="str">
        <f t="shared" si="50"/>
        <v>Q2</v>
      </c>
      <c r="K656" s="2" t="str">
        <f t="shared" si="51"/>
        <v>Match</v>
      </c>
      <c r="L656" s="2">
        <f t="shared" si="52"/>
        <v>0.60827625302982191</v>
      </c>
      <c r="M656" s="2" t="e">
        <f t="shared" si="53"/>
        <v>#N/A</v>
      </c>
      <c r="N656" s="2" t="str">
        <f t="shared" si="54"/>
        <v>Q OK dE&lt;=0.8</v>
      </c>
      <c r="O656" s="7">
        <v>21.4</v>
      </c>
      <c r="P656" s="7">
        <v>5.7</v>
      </c>
      <c r="Q656" s="7">
        <v>1.9</v>
      </c>
      <c r="R656" s="7">
        <v>0.2</v>
      </c>
      <c r="S656" s="7">
        <v>-0.6</v>
      </c>
      <c r="T656" s="7">
        <v>0.1</v>
      </c>
      <c r="U656" s="7">
        <v>-0.52</v>
      </c>
      <c r="V656" s="7">
        <v>0.42</v>
      </c>
      <c r="W656" s="7">
        <v>0.7</v>
      </c>
      <c r="X656" s="7" t="s">
        <v>8</v>
      </c>
      <c r="Y656" s="7" t="s">
        <v>12</v>
      </c>
      <c r="Z656" s="2" t="s">
        <v>718</v>
      </c>
      <c r="AA656" s="2" t="s">
        <v>721</v>
      </c>
    </row>
    <row r="657" spans="1:27" x14ac:dyDescent="0.35">
      <c r="A657" s="7" t="s">
        <v>1597</v>
      </c>
      <c r="B657" s="7" t="s">
        <v>1348</v>
      </c>
      <c r="C657" s="7" t="str">
        <f>_xlfn.XLOOKUP(B657,'[1]Sheet 1'!$A$2:$A$11107,'[1]Sheet 1'!$D$2:$D$11107,"",0)</f>
        <v>WACE</v>
      </c>
      <c r="D657" s="4">
        <v>0</v>
      </c>
      <c r="E657" s="4" t="s">
        <v>1828</v>
      </c>
      <c r="F657" s="4" t="e">
        <f>_xlfn.XLOOKUP(B657,[2]Sheet2!$E$2:$E$713,[2]Sheet2!$G$2:$G$713)</f>
        <v>#N/A</v>
      </c>
      <c r="G657" s="18">
        <v>46140</v>
      </c>
      <c r="H657" s="14">
        <v>0.53248842592592593</v>
      </c>
      <c r="I657" s="7" t="s">
        <v>4</v>
      </c>
      <c r="J657" s="2" t="str">
        <f t="shared" si="50"/>
        <v>Q1</v>
      </c>
      <c r="K657" s="2" t="str">
        <f t="shared" si="51"/>
        <v>Not Found</v>
      </c>
      <c r="L657" s="2">
        <f t="shared" si="52"/>
        <v>0.22360679774997899</v>
      </c>
      <c r="M657" s="2" t="e">
        <f t="shared" si="53"/>
        <v>#N/A</v>
      </c>
      <c r="N657" s="2" t="str">
        <f t="shared" si="54"/>
        <v>Quadrant not assigned</v>
      </c>
      <c r="O657" s="7">
        <v>15.7</v>
      </c>
      <c r="P657" s="7">
        <v>-0.8</v>
      </c>
      <c r="Q657" s="7">
        <v>-1.8</v>
      </c>
      <c r="R657" s="7">
        <v>-0.59</v>
      </c>
      <c r="S657" s="7">
        <v>0.1</v>
      </c>
      <c r="T657" s="7">
        <v>0.2</v>
      </c>
      <c r="U657" s="7">
        <v>-0.32</v>
      </c>
      <c r="V657" s="7">
        <v>0.02</v>
      </c>
      <c r="W657" s="7">
        <v>0.67</v>
      </c>
      <c r="X657" s="7" t="s">
        <v>8</v>
      </c>
      <c r="Y657" s="7" t="s">
        <v>9</v>
      </c>
      <c r="Z657" s="2" t="s">
        <v>718</v>
      </c>
      <c r="AA657" s="2" t="s">
        <v>721</v>
      </c>
    </row>
    <row r="658" spans="1:27" x14ac:dyDescent="0.35">
      <c r="A658" s="7" t="s">
        <v>1707</v>
      </c>
      <c r="B658" s="7" t="s">
        <v>1341</v>
      </c>
      <c r="C658" s="7" t="str">
        <f>_xlfn.XLOOKUP(B658,'[1]Sheet 1'!$A$2:$A$11107,'[1]Sheet 1'!$D$2:$D$11107,"",0)</f>
        <v>LULU</v>
      </c>
      <c r="D658" s="4" t="str">
        <f>_xlfn.XLOOKUP(A658,[3]Sheet2!$I$2:$I$1623,[3]Sheet2!$D$2:$D$1623,"",0)</f>
        <v>Q1</v>
      </c>
      <c r="E658" s="4" t="s">
        <v>1828</v>
      </c>
      <c r="F658" s="4" t="e">
        <f>_xlfn.XLOOKUP(B658,[2]Sheet2!$E$2:$E$713,[2]Sheet2!$G$2:$G$713)</f>
        <v>#N/A</v>
      </c>
      <c r="G658" s="18">
        <v>46140</v>
      </c>
      <c r="H658" s="14">
        <v>0.27216435185185184</v>
      </c>
      <c r="I658" s="7" t="s">
        <v>4</v>
      </c>
      <c r="J658" s="2" t="str">
        <f t="shared" si="50"/>
        <v>Q1</v>
      </c>
      <c r="K658" s="2" t="str">
        <f t="shared" si="51"/>
        <v>Match</v>
      </c>
      <c r="L658" s="2">
        <f t="shared" si="52"/>
        <v>0.3</v>
      </c>
      <c r="M658" s="2" t="e">
        <f t="shared" si="53"/>
        <v>#N/A</v>
      </c>
      <c r="N658" s="2" t="str">
        <f t="shared" si="54"/>
        <v>Q OK dE&lt;=0.8</v>
      </c>
      <c r="O658" s="7">
        <v>18.399999999999999</v>
      </c>
      <c r="P658" s="7">
        <v>-1.5</v>
      </c>
      <c r="Q658" s="7">
        <v>-8.3000000000000007</v>
      </c>
      <c r="R658" s="7">
        <v>-0.42</v>
      </c>
      <c r="S658" s="7">
        <v>-0.3</v>
      </c>
      <c r="T658" s="20">
        <v>0</v>
      </c>
      <c r="U658" s="7">
        <v>7.0000000000000007E-2</v>
      </c>
      <c r="V658" s="7">
        <v>-0.48</v>
      </c>
      <c r="W658" s="7">
        <v>0.64</v>
      </c>
      <c r="X658" s="7" t="s">
        <v>8</v>
      </c>
      <c r="Y658" s="7" t="s">
        <v>15</v>
      </c>
      <c r="Z658" s="2" t="s">
        <v>718</v>
      </c>
      <c r="AA658" s="2" t="s">
        <v>721</v>
      </c>
    </row>
    <row r="659" spans="1:27" x14ac:dyDescent="0.35">
      <c r="A659" s="7" t="s">
        <v>1787</v>
      </c>
      <c r="B659" s="7" t="s">
        <v>1336</v>
      </c>
      <c r="C659" s="7" t="str">
        <f>_xlfn.XLOOKUP(B659,'[1]Sheet 1'!$A$2:$A$11107,'[1]Sheet 1'!$D$2:$D$11107,"",0)</f>
        <v>LBI</v>
      </c>
      <c r="D659" s="4" t="str">
        <f>_xlfn.XLOOKUP(A659,[3]Sheet2!$I$2:$I$1623,[3]Sheet2!$D$2:$D$1623,"",0)</f>
        <v>Q1</v>
      </c>
      <c r="E659" s="4" t="s">
        <v>1828</v>
      </c>
      <c r="F659" s="4" t="e">
        <f>_xlfn.XLOOKUP(B659,[2]Sheet2!$E$2:$E$713,[2]Sheet2!$G$2:$G$713)</f>
        <v>#N/A</v>
      </c>
      <c r="G659" s="18">
        <v>46140</v>
      </c>
      <c r="H659" s="14">
        <v>3.5567129629629629E-2</v>
      </c>
      <c r="I659" s="7" t="s">
        <v>4</v>
      </c>
      <c r="J659" s="2" t="str">
        <f t="shared" si="50"/>
        <v>Q1</v>
      </c>
      <c r="K659" s="2" t="str">
        <f t="shared" si="51"/>
        <v>Match</v>
      </c>
      <c r="L659" s="2">
        <f t="shared" si="52"/>
        <v>0.44721359549995798</v>
      </c>
      <c r="M659" s="2" t="e">
        <f t="shared" si="53"/>
        <v>#N/A</v>
      </c>
      <c r="N659" s="2" t="str">
        <f t="shared" si="54"/>
        <v>Q OK dE&lt;=0.8</v>
      </c>
      <c r="O659" s="7">
        <v>39.5</v>
      </c>
      <c r="P659" s="7">
        <v>-9</v>
      </c>
      <c r="Q659" s="7">
        <v>-17.3</v>
      </c>
      <c r="R659" s="7">
        <v>0.49</v>
      </c>
      <c r="S659" s="7">
        <v>0.2</v>
      </c>
      <c r="T659" s="7">
        <v>0.4</v>
      </c>
      <c r="U659" s="7">
        <v>-0.28999999999999998</v>
      </c>
      <c r="V659" s="7">
        <v>0.03</v>
      </c>
      <c r="W659" s="7">
        <v>0.56999999999999995</v>
      </c>
      <c r="X659" s="7" t="s">
        <v>8</v>
      </c>
      <c r="Y659" s="7" t="s">
        <v>9</v>
      </c>
      <c r="Z659" s="2" t="s">
        <v>718</v>
      </c>
      <c r="AA659" s="2" t="s">
        <v>721</v>
      </c>
    </row>
    <row r="660" spans="1:27" x14ac:dyDescent="0.35">
      <c r="A660" s="7" t="s">
        <v>1783</v>
      </c>
      <c r="B660" s="7" t="s">
        <v>1338</v>
      </c>
      <c r="C660" s="7" t="str">
        <f>_xlfn.XLOOKUP(B660,'[1]Sheet 1'!$A$2:$A$11107,'[1]Sheet 1'!$D$2:$D$11107,"",0)</f>
        <v>CK</v>
      </c>
      <c r="D660" s="4">
        <v>0</v>
      </c>
      <c r="E660" s="4" t="s">
        <v>1827</v>
      </c>
      <c r="F660" s="4" t="e">
        <f>_xlfn.XLOOKUP(B660,[2]Sheet2!$E$2:$E$713,[2]Sheet2!$G$2:$G$713)</f>
        <v>#N/A</v>
      </c>
      <c r="G660" s="18">
        <v>46140</v>
      </c>
      <c r="H660" s="14">
        <v>6.7071759259259262E-2</v>
      </c>
      <c r="I660" s="7" t="s">
        <v>11</v>
      </c>
      <c r="J660" s="2" t="str">
        <f t="shared" si="50"/>
        <v>Q3</v>
      </c>
      <c r="K660" s="2" t="str">
        <f t="shared" si="51"/>
        <v>Not Found</v>
      </c>
      <c r="L660" s="2">
        <f t="shared" si="52"/>
        <v>1.5811388300841898</v>
      </c>
      <c r="M660" s="2" t="e">
        <f t="shared" si="53"/>
        <v>#N/A</v>
      </c>
      <c r="N660" s="2" t="str">
        <f t="shared" si="54"/>
        <v>Quadrant not assigned</v>
      </c>
      <c r="O660" s="7">
        <v>19.100000000000001</v>
      </c>
      <c r="P660" s="7">
        <v>-0.2</v>
      </c>
      <c r="Q660" s="7">
        <v>-2.5</v>
      </c>
      <c r="R660" s="7">
        <v>1.1299999999999999</v>
      </c>
      <c r="S660" s="7">
        <v>-0.5</v>
      </c>
      <c r="T660" s="7">
        <v>-1.5</v>
      </c>
      <c r="U660" s="7">
        <v>2.21</v>
      </c>
      <c r="V660" s="7">
        <v>-0.75</v>
      </c>
      <c r="W660" s="7">
        <v>2.59</v>
      </c>
      <c r="X660" s="7" t="s">
        <v>6</v>
      </c>
      <c r="Y660" s="7" t="s">
        <v>15</v>
      </c>
      <c r="Z660" s="2" t="s">
        <v>718</v>
      </c>
      <c r="AA660" s="2" t="s">
        <v>721</v>
      </c>
    </row>
    <row r="661" spans="1:27" x14ac:dyDescent="0.35">
      <c r="A661" s="7" t="s">
        <v>1762</v>
      </c>
      <c r="B661" s="7" t="s">
        <v>1339</v>
      </c>
      <c r="C661" s="7" t="str">
        <f>_xlfn.XLOOKUP(B661,'[1]Sheet 1'!$A$2:$A$11107,'[1]Sheet 1'!$D$2:$D$11107,"",0)</f>
        <v>CHICOS</v>
      </c>
      <c r="D661" s="4" t="str">
        <f>_xlfn.XLOOKUP(A661,[3]Sheet2!$I$2:$I$1623,[3]Sheet2!$D$2:$D$1623,"",0)</f>
        <v>Q3</v>
      </c>
      <c r="E661" s="4" t="s">
        <v>1828</v>
      </c>
      <c r="F661" s="4" t="e">
        <f>_xlfn.XLOOKUP(B661,[2]Sheet2!$E$2:$E$713,[2]Sheet2!$G$2:$G$713)</f>
        <v>#N/A</v>
      </c>
      <c r="G661" s="18">
        <v>46140</v>
      </c>
      <c r="H661" s="14">
        <v>5.8125000000000003E-2</v>
      </c>
      <c r="I661" s="7" t="s">
        <v>14</v>
      </c>
      <c r="J661" s="2" t="str">
        <f t="shared" si="50"/>
        <v>Q3</v>
      </c>
      <c r="K661" s="2" t="str">
        <f t="shared" si="51"/>
        <v>Match</v>
      </c>
      <c r="L661" s="2">
        <f t="shared" si="52"/>
        <v>0.31622776601683794</v>
      </c>
      <c r="M661" s="2" t="e">
        <f t="shared" si="53"/>
        <v>#N/A</v>
      </c>
      <c r="N661" s="2" t="str">
        <f t="shared" si="54"/>
        <v>Q OK dE&lt;=0.8</v>
      </c>
      <c r="O661" s="7">
        <v>16.8</v>
      </c>
      <c r="P661" s="7">
        <v>-0.8</v>
      </c>
      <c r="Q661" s="7">
        <v>-3.7</v>
      </c>
      <c r="R661" s="7">
        <v>0.22</v>
      </c>
      <c r="S661" s="7">
        <v>-0.1</v>
      </c>
      <c r="T661" s="7">
        <v>-0.3</v>
      </c>
      <c r="U661" s="7">
        <v>0.38</v>
      </c>
      <c r="V661" s="7">
        <v>-0.06</v>
      </c>
      <c r="W661" s="7">
        <v>0.45</v>
      </c>
      <c r="X661" s="7" t="s">
        <v>8</v>
      </c>
      <c r="Y661" s="7" t="s">
        <v>15</v>
      </c>
      <c r="Z661" s="2" t="s">
        <v>718</v>
      </c>
      <c r="AA661" s="2" t="s">
        <v>721</v>
      </c>
    </row>
    <row r="662" spans="1:27" x14ac:dyDescent="0.35">
      <c r="A662" s="7" t="s">
        <v>1762</v>
      </c>
      <c r="B662" s="7" t="s">
        <v>1344</v>
      </c>
      <c r="C662" s="7" t="str">
        <f>_xlfn.XLOOKUP(B662,'[1]Sheet 1'!$A$2:$A$11107,'[1]Sheet 1'!$D$2:$D$11107,"",0)</f>
        <v>CHICOS</v>
      </c>
      <c r="D662" s="4" t="str">
        <f>_xlfn.XLOOKUP(A662,[3]Sheet2!$I$2:$I$1623,[3]Sheet2!$D$2:$D$1623,"",0)</f>
        <v>Q3</v>
      </c>
      <c r="E662" s="4" t="s">
        <v>1828</v>
      </c>
      <c r="F662" s="4" t="e">
        <f>_xlfn.XLOOKUP(B662,[2]Sheet2!$E$2:$E$713,[2]Sheet2!$G$2:$G$713)</f>
        <v>#N/A</v>
      </c>
      <c r="G662" s="18">
        <v>46140</v>
      </c>
      <c r="H662" s="14">
        <v>0.28052083333333333</v>
      </c>
      <c r="I662" s="7" t="s">
        <v>4</v>
      </c>
      <c r="J662" s="2" t="str">
        <f t="shared" si="50"/>
        <v>Q3</v>
      </c>
      <c r="K662" s="2" t="str">
        <f t="shared" si="51"/>
        <v>Match</v>
      </c>
      <c r="L662" s="2">
        <f t="shared" si="52"/>
        <v>0.2</v>
      </c>
      <c r="M662" s="2" t="e">
        <f t="shared" si="53"/>
        <v>#N/A</v>
      </c>
      <c r="N662" s="2" t="str">
        <f t="shared" si="54"/>
        <v>Q OK dE&lt;=0.8</v>
      </c>
      <c r="O662" s="7">
        <v>17.600000000000001</v>
      </c>
      <c r="P662" s="7">
        <v>-0.9</v>
      </c>
      <c r="Q662" s="7">
        <v>-2.2999999999999998</v>
      </c>
      <c r="R662" s="7">
        <v>0.26</v>
      </c>
      <c r="S662" s="7">
        <v>0</v>
      </c>
      <c r="T662" s="7">
        <v>-0.2</v>
      </c>
      <c r="U662" s="7">
        <v>0.25</v>
      </c>
      <c r="V662" s="7">
        <v>0.06</v>
      </c>
      <c r="W662" s="7">
        <v>0.37</v>
      </c>
      <c r="X662" s="7" t="s">
        <v>8</v>
      </c>
      <c r="Y662" s="7" t="s">
        <v>15</v>
      </c>
      <c r="Z662" s="2" t="s">
        <v>718</v>
      </c>
      <c r="AA662" s="2" t="s">
        <v>721</v>
      </c>
    </row>
    <row r="663" spans="1:27" x14ac:dyDescent="0.35">
      <c r="A663" s="7" t="s">
        <v>1790</v>
      </c>
      <c r="B663" s="7" t="s">
        <v>1347</v>
      </c>
      <c r="C663" s="7" t="str">
        <f>_xlfn.XLOOKUP(B663,'[1]Sheet 1'!$A$2:$A$11107,'[1]Sheet 1'!$D$2:$D$11107,"",0)</f>
        <v>LULU</v>
      </c>
      <c r="D663" s="4" t="str">
        <f>_xlfn.XLOOKUP(A663,[3]Sheet2!$I$2:$I$1623,[3]Sheet2!$D$2:$D$1623,"",0)</f>
        <v>Q1</v>
      </c>
      <c r="E663" s="4" t="s">
        <v>1828</v>
      </c>
      <c r="F663" s="4" t="e">
        <f>_xlfn.XLOOKUP(B663,[2]Sheet2!$E$2:$E$713,[2]Sheet2!$G$2:$G$713)</f>
        <v>#N/A</v>
      </c>
      <c r="G663" s="18">
        <v>46140</v>
      </c>
      <c r="H663" s="14">
        <v>0.5675</v>
      </c>
      <c r="I663" s="7" t="s">
        <v>4</v>
      </c>
      <c r="J663" s="2" t="str">
        <f t="shared" si="50"/>
        <v>Q1</v>
      </c>
      <c r="K663" s="2" t="str">
        <f t="shared" si="51"/>
        <v>Match</v>
      </c>
      <c r="L663" s="2">
        <f t="shared" si="52"/>
        <v>0.14142135623730953</v>
      </c>
      <c r="M663" s="2" t="e">
        <f t="shared" si="53"/>
        <v>#N/A</v>
      </c>
      <c r="N663" s="2" t="str">
        <f t="shared" si="54"/>
        <v>Q OK dE&lt;=0.8</v>
      </c>
      <c r="O663" s="7">
        <v>21.9</v>
      </c>
      <c r="P663" s="7">
        <v>6.4</v>
      </c>
      <c r="Q663" s="7">
        <v>-10.1</v>
      </c>
      <c r="R663" s="7">
        <v>-0.28999999999999998</v>
      </c>
      <c r="S663" s="7">
        <v>0.1</v>
      </c>
      <c r="T663" s="7">
        <v>0.1</v>
      </c>
      <c r="U663" s="7">
        <v>-0.06</v>
      </c>
      <c r="V663" s="7">
        <v>0.22</v>
      </c>
      <c r="W663" s="7">
        <v>0.37</v>
      </c>
      <c r="X663" s="7" t="s">
        <v>8</v>
      </c>
      <c r="Y663" s="7" t="s">
        <v>9</v>
      </c>
      <c r="Z663" s="2" t="s">
        <v>718</v>
      </c>
      <c r="AA663" s="2" t="s">
        <v>721</v>
      </c>
    </row>
    <row r="664" spans="1:27" x14ac:dyDescent="0.35">
      <c r="A664" s="7" t="s">
        <v>1788</v>
      </c>
      <c r="B664" s="7" t="s">
        <v>1345</v>
      </c>
      <c r="C664" s="7" t="str">
        <f>_xlfn.XLOOKUP(B664,'[1]Sheet 1'!$A$2:$A$11107,'[1]Sheet 1'!$D$2:$D$11107,"",0)</f>
        <v>LULU</v>
      </c>
      <c r="D664" s="4" t="str">
        <f>_xlfn.XLOOKUP(A664,[3]Sheet2!$I$2:$I$1623,[3]Sheet2!$D$2:$D$1623,"",0)</f>
        <v>Q4</v>
      </c>
      <c r="E664" s="4" t="s">
        <v>1828</v>
      </c>
      <c r="F664" s="4" t="e">
        <f>_xlfn.XLOOKUP(B664,[2]Sheet2!$E$2:$E$713,[2]Sheet2!$G$2:$G$713)</f>
        <v>#N/A</v>
      </c>
      <c r="G664" s="18">
        <v>46140</v>
      </c>
      <c r="H664" s="14">
        <v>0.41685185185185186</v>
      </c>
      <c r="I664" s="7" t="s">
        <v>4</v>
      </c>
      <c r="J664" s="2" t="str">
        <f t="shared" si="50"/>
        <v>Q4</v>
      </c>
      <c r="K664" s="2" t="str">
        <f t="shared" si="51"/>
        <v>Match</v>
      </c>
      <c r="L664" s="2">
        <f t="shared" si="52"/>
        <v>0.2</v>
      </c>
      <c r="M664" s="2" t="e">
        <f t="shared" si="53"/>
        <v>#N/A</v>
      </c>
      <c r="N664" s="2" t="str">
        <f t="shared" si="54"/>
        <v>Q OK dE&lt;=0.8</v>
      </c>
      <c r="O664" s="7">
        <v>20.3</v>
      </c>
      <c r="P664" s="7">
        <v>6.4</v>
      </c>
      <c r="Q664" s="7">
        <v>-9.9</v>
      </c>
      <c r="R664" s="7">
        <v>-0.56999999999999995</v>
      </c>
      <c r="S664" s="7">
        <v>0.2</v>
      </c>
      <c r="T664" s="20">
        <v>0</v>
      </c>
      <c r="U664" s="7">
        <v>0.06</v>
      </c>
      <c r="V664" s="7">
        <v>0.3</v>
      </c>
      <c r="W664" s="7">
        <v>0.64</v>
      </c>
      <c r="X664" s="7" t="s">
        <v>8</v>
      </c>
      <c r="Y664" s="7" t="s">
        <v>9</v>
      </c>
      <c r="Z664" s="2" t="s">
        <v>718</v>
      </c>
      <c r="AA664" s="2" t="s">
        <v>721</v>
      </c>
    </row>
    <row r="665" spans="1:27" x14ac:dyDescent="0.35">
      <c r="A665" s="7" t="s">
        <v>1785</v>
      </c>
      <c r="B665" s="7" t="s">
        <v>1342</v>
      </c>
      <c r="C665" s="7" t="str">
        <f>_xlfn.XLOOKUP(B665,'[1]Sheet 1'!$A$2:$A$11107,'[1]Sheet 1'!$D$2:$D$11107,"",0)</f>
        <v>CK</v>
      </c>
      <c r="D665" s="4" t="str">
        <f>_xlfn.XLOOKUP(A665,[3]Sheet2!$I$2:$I$1623,[3]Sheet2!$D$2:$D$1623,"",0)</f>
        <v>Q4</v>
      </c>
      <c r="E665" s="4" t="s">
        <v>1828</v>
      </c>
      <c r="F665" s="4" t="e">
        <f>_xlfn.XLOOKUP(B665,[2]Sheet2!$E$2:$E$713,[2]Sheet2!$G$2:$G$713)</f>
        <v>#N/A</v>
      </c>
      <c r="G665" s="18">
        <v>46140</v>
      </c>
      <c r="H665" s="14">
        <v>0.27391203703703704</v>
      </c>
      <c r="I665" s="7" t="s">
        <v>11</v>
      </c>
      <c r="J665" s="2" t="str">
        <f t="shared" si="50"/>
        <v>Q3</v>
      </c>
      <c r="K665" s="2" t="str">
        <f t="shared" si="51"/>
        <v>Not Match</v>
      </c>
      <c r="L665" s="2">
        <f t="shared" si="52"/>
        <v>0.28284271247461906</v>
      </c>
      <c r="M665" s="2" t="e">
        <f t="shared" si="53"/>
        <v>#N/A</v>
      </c>
      <c r="N665" s="2" t="str">
        <f t="shared" si="54"/>
        <v>Q NOT OK dE&lt;=0.8</v>
      </c>
      <c r="O665" s="7">
        <v>16.5</v>
      </c>
      <c r="P665" s="7">
        <v>-0.7</v>
      </c>
      <c r="Q665" s="7">
        <v>-2</v>
      </c>
      <c r="R665" s="7">
        <v>-0.54</v>
      </c>
      <c r="S665" s="7">
        <v>-0.2</v>
      </c>
      <c r="T665" s="7">
        <v>-0.2</v>
      </c>
      <c r="U665" s="7">
        <v>0.43</v>
      </c>
      <c r="V665" s="7">
        <v>-0.13</v>
      </c>
      <c r="W665" s="7">
        <v>0.7</v>
      </c>
      <c r="X665" s="7" t="s">
        <v>8</v>
      </c>
      <c r="Y665" s="7" t="s">
        <v>15</v>
      </c>
      <c r="Z665" s="2" t="s">
        <v>718</v>
      </c>
      <c r="AA665" s="2" t="s">
        <v>721</v>
      </c>
    </row>
    <row r="666" spans="1:27" x14ac:dyDescent="0.35">
      <c r="A666" s="7" t="s">
        <v>1543</v>
      </c>
      <c r="B666" s="7" t="s">
        <v>1337</v>
      </c>
      <c r="C666" s="7" t="str">
        <f>_xlfn.XLOOKUP(B666,'[1]Sheet 1'!$A$2:$A$11107,'[1]Sheet 1'!$D$2:$D$11107,"",0)</f>
        <v>VSS</v>
      </c>
      <c r="D666" s="4" t="str">
        <f>_xlfn.XLOOKUP(A666,[3]Sheet2!$I$2:$I$1623,[3]Sheet2!$D$2:$D$1623,"",0)</f>
        <v>Q3</v>
      </c>
      <c r="E666" s="4" t="s">
        <v>1828</v>
      </c>
      <c r="F666" s="4" t="e">
        <f>_xlfn.XLOOKUP(B666,[2]Sheet2!$E$2:$E$713,[2]Sheet2!$G$2:$G$713)</f>
        <v>#N/A</v>
      </c>
      <c r="G666" s="18">
        <v>46140</v>
      </c>
      <c r="H666" s="14">
        <v>3.9143518518518522E-2</v>
      </c>
      <c r="I666" s="7" t="s">
        <v>10</v>
      </c>
      <c r="J666" s="2" t="str">
        <f t="shared" si="50"/>
        <v>Q4</v>
      </c>
      <c r="K666" s="2" t="str">
        <f t="shared" si="51"/>
        <v>Not Match</v>
      </c>
      <c r="L666" s="2">
        <f t="shared" si="52"/>
        <v>0.50990195135927852</v>
      </c>
      <c r="M666" s="2" t="e">
        <f t="shared" si="53"/>
        <v>#N/A</v>
      </c>
      <c r="N666" s="2" t="str">
        <f t="shared" si="54"/>
        <v>Q NOT OK dE&lt;=0.8</v>
      </c>
      <c r="O666" s="7">
        <v>26.7</v>
      </c>
      <c r="P666" s="7">
        <v>11.4</v>
      </c>
      <c r="Q666" s="7">
        <v>9.5</v>
      </c>
      <c r="R666" s="7">
        <v>-0.37</v>
      </c>
      <c r="S666" s="7">
        <v>0.1</v>
      </c>
      <c r="T666" s="7">
        <v>-0.5</v>
      </c>
      <c r="U666" s="7">
        <v>-0.16</v>
      </c>
      <c r="V666" s="7">
        <v>-0.69</v>
      </c>
      <c r="W666" s="7">
        <v>0.8</v>
      </c>
      <c r="X666" s="7" t="s">
        <v>13</v>
      </c>
      <c r="Y666" s="7" t="s">
        <v>9</v>
      </c>
      <c r="Z666" s="2" t="s">
        <v>718</v>
      </c>
      <c r="AA666" s="2" t="s">
        <v>721</v>
      </c>
    </row>
    <row r="667" spans="1:27" x14ac:dyDescent="0.35">
      <c r="A667" s="7" t="s">
        <v>1789</v>
      </c>
      <c r="B667" s="7" t="s">
        <v>1346</v>
      </c>
      <c r="C667" s="7" t="str">
        <f>_xlfn.XLOOKUP(B667,'[1]Sheet 1'!$A$2:$A$11107,'[1]Sheet 1'!$D$2:$D$11107,"",0)</f>
        <v>NEWB</v>
      </c>
      <c r="D667" s="4" t="str">
        <f>_xlfn.XLOOKUP(A667,[3]Sheet2!$I$2:$I$1623,[3]Sheet2!$D$2:$D$1623,"",0)</f>
        <v>Q2</v>
      </c>
      <c r="E667" s="4" t="s">
        <v>1827</v>
      </c>
      <c r="F667" s="4" t="e">
        <f>_xlfn.XLOOKUP(B667,[2]Sheet2!$E$2:$E$713,[2]Sheet2!$G$2:$G$713)</f>
        <v>#N/A</v>
      </c>
      <c r="G667" s="18">
        <v>46140</v>
      </c>
      <c r="H667" s="14">
        <v>0.48153935185185187</v>
      </c>
      <c r="I667" s="7" t="s">
        <v>11</v>
      </c>
      <c r="J667" s="2" t="str">
        <f t="shared" si="50"/>
        <v>Q2</v>
      </c>
      <c r="K667" s="2" t="str">
        <f t="shared" si="51"/>
        <v>Match</v>
      </c>
      <c r="L667" s="2">
        <f t="shared" si="52"/>
        <v>0.1</v>
      </c>
      <c r="M667" s="2" t="e">
        <f t="shared" si="53"/>
        <v>#N/A</v>
      </c>
      <c r="N667" s="2" t="str">
        <f t="shared" si="54"/>
        <v>Q OK dE&lt;=0.8</v>
      </c>
      <c r="O667" s="7">
        <v>26.7</v>
      </c>
      <c r="P667" s="7">
        <v>11.7</v>
      </c>
      <c r="Q667" s="7">
        <v>-56.8</v>
      </c>
      <c r="R667" s="7">
        <v>-0.24</v>
      </c>
      <c r="S667" s="7">
        <v>-0.1</v>
      </c>
      <c r="T667" s="20">
        <v>0</v>
      </c>
      <c r="U667" s="7">
        <v>-0.01</v>
      </c>
      <c r="V667" s="7">
        <v>-0.1</v>
      </c>
      <c r="W667" s="7">
        <v>0.26</v>
      </c>
      <c r="X667" s="7" t="s">
        <v>8</v>
      </c>
      <c r="Y667" s="7" t="s">
        <v>15</v>
      </c>
      <c r="Z667" s="2" t="s">
        <v>718</v>
      </c>
      <c r="AA667" s="2" t="s">
        <v>721</v>
      </c>
    </row>
    <row r="668" spans="1:27" x14ac:dyDescent="0.35">
      <c r="A668" s="7" t="s">
        <v>1553</v>
      </c>
      <c r="B668" s="7" t="s">
        <v>1349</v>
      </c>
      <c r="C668" s="7" t="str">
        <f>_xlfn.XLOOKUP(B668,'[1]Sheet 1'!$A$2:$A$11107,'[1]Sheet 1'!$D$2:$D$11107,"",0)</f>
        <v>TORD</v>
      </c>
      <c r="D668" s="4" t="str">
        <f>_xlfn.XLOOKUP(A668,[3]Sheet2!$I$2:$I$1623,[3]Sheet2!$D$2:$D$1623,"",0)</f>
        <v>Q4</v>
      </c>
      <c r="E668" s="4" t="s">
        <v>1828</v>
      </c>
      <c r="F668" s="4" t="e">
        <f>_xlfn.XLOOKUP(B668,[2]Sheet2!$E$2:$E$713,[2]Sheet2!$G$2:$G$713)</f>
        <v>#N/A</v>
      </c>
      <c r="G668" s="18">
        <v>46140</v>
      </c>
      <c r="H668" s="14">
        <v>0.58200231481481479</v>
      </c>
      <c r="I668" s="7" t="s">
        <v>5</v>
      </c>
      <c r="J668" s="2" t="str">
        <f t="shared" si="50"/>
        <v>Q4</v>
      </c>
      <c r="K668" s="2" t="str">
        <f t="shared" si="51"/>
        <v>Match</v>
      </c>
      <c r="L668" s="2">
        <f t="shared" si="52"/>
        <v>0.14142135623730953</v>
      </c>
      <c r="M668" s="2" t="e">
        <f t="shared" si="53"/>
        <v>#N/A</v>
      </c>
      <c r="N668" s="2" t="str">
        <f t="shared" si="54"/>
        <v>Q OK dE&lt;=0.8</v>
      </c>
      <c r="O668" s="7">
        <v>15.3</v>
      </c>
      <c r="P668" s="7">
        <v>-0.4</v>
      </c>
      <c r="Q668" s="7">
        <v>-3.7</v>
      </c>
      <c r="R668" s="7">
        <v>-0.5</v>
      </c>
      <c r="S668" s="7">
        <v>0.1</v>
      </c>
      <c r="T668" s="7">
        <v>-0.1</v>
      </c>
      <c r="U668" s="7">
        <v>0.15</v>
      </c>
      <c r="V668" s="7">
        <v>0.21</v>
      </c>
      <c r="W668" s="7">
        <v>0.56000000000000005</v>
      </c>
      <c r="X668" s="7" t="s">
        <v>8</v>
      </c>
      <c r="Y668" s="7" t="s">
        <v>9</v>
      </c>
      <c r="Z668" s="2" t="s">
        <v>718</v>
      </c>
      <c r="AA668" s="2" t="s">
        <v>721</v>
      </c>
    </row>
    <row r="669" spans="1:27" x14ac:dyDescent="0.35">
      <c r="A669" s="7" t="s">
        <v>1784</v>
      </c>
      <c r="B669" s="7" t="s">
        <v>1363</v>
      </c>
      <c r="C669" s="7" t="str">
        <f>_xlfn.XLOOKUP(B669,'[1]Sheet 1'!$A$2:$A$11107,'[1]Sheet 1'!$D$2:$D$11107,"",0)</f>
        <v>VSS</v>
      </c>
      <c r="D669" s="4" t="str">
        <f>_xlfn.XLOOKUP(A669,[3]Sheet2!$I$2:$I$1623,[3]Sheet2!$D$2:$D$1623,"",0)</f>
        <v>Q2</v>
      </c>
      <c r="E669" s="4" t="s">
        <v>1828</v>
      </c>
      <c r="F669" s="4" t="e">
        <f>_xlfn.XLOOKUP(B669,[2]Sheet2!$E$2:$E$713,[2]Sheet2!$G$2:$G$713)</f>
        <v>#N/A</v>
      </c>
      <c r="G669" s="18">
        <v>46141</v>
      </c>
      <c r="H669" s="14">
        <v>0.22686342592592593</v>
      </c>
      <c r="I669" s="7" t="s">
        <v>10</v>
      </c>
      <c r="J669" s="2" t="str">
        <f t="shared" si="50"/>
        <v>Q4</v>
      </c>
      <c r="K669" s="2" t="str">
        <f t="shared" si="51"/>
        <v>Not Match</v>
      </c>
      <c r="L669" s="2">
        <f t="shared" si="52"/>
        <v>0.41231056256176613</v>
      </c>
      <c r="M669" s="2" t="e">
        <f t="shared" si="53"/>
        <v>#N/A</v>
      </c>
      <c r="N669" s="2" t="str">
        <f t="shared" si="54"/>
        <v>Q NOT OK dE&lt;=0.8</v>
      </c>
      <c r="O669" s="7">
        <v>44.5</v>
      </c>
      <c r="P669" s="7">
        <v>44</v>
      </c>
      <c r="Q669" s="7">
        <v>13.6</v>
      </c>
      <c r="R669" s="7">
        <v>0.5</v>
      </c>
      <c r="S669" s="7">
        <v>0.4</v>
      </c>
      <c r="T669" s="7">
        <v>-0.1</v>
      </c>
      <c r="U669" s="7">
        <v>0.13</v>
      </c>
      <c r="V669" s="7">
        <v>-0.19</v>
      </c>
      <c r="W669" s="7">
        <v>0.55000000000000004</v>
      </c>
      <c r="X669" s="7" t="s">
        <v>8</v>
      </c>
      <c r="Y669" s="7" t="s">
        <v>7</v>
      </c>
      <c r="Z669" s="2" t="s">
        <v>718</v>
      </c>
      <c r="AA669" s="2" t="s">
        <v>721</v>
      </c>
    </row>
    <row r="670" spans="1:27" x14ac:dyDescent="0.35">
      <c r="A670" s="7" t="s">
        <v>1794</v>
      </c>
      <c r="B670" s="7" t="s">
        <v>1369</v>
      </c>
      <c r="C670" s="7" t="str">
        <f>_xlfn.XLOOKUP(B670,'[1]Sheet 1'!$A$2:$A$11107,'[1]Sheet 1'!$D$2:$D$11107,"",0)</f>
        <v>VSS</v>
      </c>
      <c r="D670" s="4" t="str">
        <f>_xlfn.XLOOKUP(A670,[3]Sheet2!$I$2:$I$1623,[3]Sheet2!$D$2:$D$1623,"",0)</f>
        <v>Q1</v>
      </c>
      <c r="E670" s="4" t="s">
        <v>1828</v>
      </c>
      <c r="F670" s="4" t="e">
        <f>_xlfn.XLOOKUP(B670,[2]Sheet2!$E$2:$E$713,[2]Sheet2!$G$2:$G$713)</f>
        <v>#N/A</v>
      </c>
      <c r="G670" s="18">
        <v>46141</v>
      </c>
      <c r="H670" s="14">
        <v>0.45912037037037035</v>
      </c>
      <c r="I670" s="7" t="s">
        <v>10</v>
      </c>
      <c r="J670" s="2" t="str">
        <f t="shared" si="50"/>
        <v>Q3</v>
      </c>
      <c r="K670" s="2" t="str">
        <f t="shared" si="51"/>
        <v>Not Match</v>
      </c>
      <c r="L670" s="2">
        <f t="shared" si="52"/>
        <v>1.4764823060233401</v>
      </c>
      <c r="M670" s="2" t="e">
        <f t="shared" si="53"/>
        <v>#N/A</v>
      </c>
      <c r="N670" s="2" t="str">
        <f t="shared" si="54"/>
        <v>Q NOT OK dE&lt;=0.8</v>
      </c>
      <c r="O670" s="7">
        <v>46.7</v>
      </c>
      <c r="P670" s="7">
        <v>57</v>
      </c>
      <c r="Q670" s="7">
        <v>43.3</v>
      </c>
      <c r="R670" s="7">
        <v>-0.11</v>
      </c>
      <c r="S670" s="7">
        <v>-0.7</v>
      </c>
      <c r="T670" s="7">
        <v>-1.3</v>
      </c>
      <c r="U670" s="7">
        <v>-0.47</v>
      </c>
      <c r="V670" s="7">
        <v>-0.41</v>
      </c>
      <c r="W670" s="7">
        <v>0.63</v>
      </c>
      <c r="X670" s="7" t="s">
        <v>8</v>
      </c>
      <c r="Y670" s="7" t="s">
        <v>7</v>
      </c>
      <c r="Z670" s="2" t="s">
        <v>718</v>
      </c>
      <c r="AA670" s="2" t="s">
        <v>721</v>
      </c>
    </row>
    <row r="671" spans="1:27" x14ac:dyDescent="0.35">
      <c r="A671" s="7" t="s">
        <v>1509</v>
      </c>
      <c r="B671" s="7" t="s">
        <v>1361</v>
      </c>
      <c r="C671" s="7" t="str">
        <f>_xlfn.XLOOKUP(B671,'[1]Sheet 1'!$A$2:$A$11107,'[1]Sheet 1'!$D$2:$D$11107,"",0)</f>
        <v>LBI</v>
      </c>
      <c r="D671" s="4" t="str">
        <f>_xlfn.XLOOKUP(A671,[3]Sheet2!$I$2:$I$1623,[3]Sheet2!$D$2:$D$1623,"",0)</f>
        <v>Q2</v>
      </c>
      <c r="E671" s="4" t="s">
        <v>1828</v>
      </c>
      <c r="F671" s="4" t="e">
        <f>_xlfn.XLOOKUP(B671,[2]Sheet2!$E$2:$E$713,[2]Sheet2!$G$2:$G$713)</f>
        <v>#N/A</v>
      </c>
      <c r="G671" s="18">
        <v>46141</v>
      </c>
      <c r="H671" s="14">
        <v>0.19729166666666667</v>
      </c>
      <c r="I671" s="7" t="s">
        <v>4</v>
      </c>
      <c r="J671" s="2" t="str">
        <f t="shared" si="50"/>
        <v>Q2</v>
      </c>
      <c r="K671" s="2" t="str">
        <f t="shared" si="51"/>
        <v>Match</v>
      </c>
      <c r="L671" s="2">
        <f t="shared" si="52"/>
        <v>0.1</v>
      </c>
      <c r="M671" s="2" t="e">
        <f t="shared" si="53"/>
        <v>#N/A</v>
      </c>
      <c r="N671" s="2" t="str">
        <f t="shared" si="54"/>
        <v>Q OK dE&lt;=0.8</v>
      </c>
      <c r="O671" s="7">
        <v>17.100000000000001</v>
      </c>
      <c r="P671" s="7">
        <v>-1</v>
      </c>
      <c r="Q671" s="7">
        <v>-2</v>
      </c>
      <c r="R671" s="7">
        <v>0.08</v>
      </c>
      <c r="S671" s="7">
        <v>0.1</v>
      </c>
      <c r="T671" s="20">
        <v>0</v>
      </c>
      <c r="U671" s="7">
        <v>-0.09</v>
      </c>
      <c r="V671" s="7">
        <v>0.22</v>
      </c>
      <c r="W671" s="7">
        <v>0.25</v>
      </c>
      <c r="X671" s="7" t="s">
        <v>8</v>
      </c>
      <c r="Y671" s="7" t="s">
        <v>9</v>
      </c>
      <c r="Z671" s="2" t="s">
        <v>718</v>
      </c>
      <c r="AA671" s="2" t="s">
        <v>721</v>
      </c>
    </row>
    <row r="672" spans="1:27" x14ac:dyDescent="0.35">
      <c r="A672" s="7" t="s">
        <v>1509</v>
      </c>
      <c r="B672" s="7" t="s">
        <v>1355</v>
      </c>
      <c r="C672" s="7" t="str">
        <f>_xlfn.XLOOKUP(B672,'[1]Sheet 1'!$A$2:$A$11107,'[1]Sheet 1'!$D$2:$D$11107,"",0)</f>
        <v>LBI</v>
      </c>
      <c r="D672" s="4" t="str">
        <f>_xlfn.XLOOKUP(A672,[3]Sheet2!$I$2:$I$1623,[3]Sheet2!$D$2:$D$1623,"",0)</f>
        <v>Q2</v>
      </c>
      <c r="E672" s="4" t="s">
        <v>1828</v>
      </c>
      <c r="F672" s="4" t="e">
        <f>_xlfn.XLOOKUP(B672,[2]Sheet2!$E$2:$E$713,[2]Sheet2!$G$2:$G$713)</f>
        <v>#N/A</v>
      </c>
      <c r="G672" s="18">
        <v>46141</v>
      </c>
      <c r="H672" s="14">
        <v>0.13597222222222222</v>
      </c>
      <c r="I672" s="7" t="s">
        <v>4</v>
      </c>
      <c r="J672" s="2" t="str">
        <f t="shared" si="50"/>
        <v>Q2</v>
      </c>
      <c r="K672" s="2" t="str">
        <f t="shared" si="51"/>
        <v>Match</v>
      </c>
      <c r="L672" s="2">
        <f t="shared" si="52"/>
        <v>0.1</v>
      </c>
      <c r="M672" s="2" t="e">
        <f t="shared" si="53"/>
        <v>#N/A</v>
      </c>
      <c r="N672" s="2" t="str">
        <f t="shared" si="54"/>
        <v>Q OK dE&lt;=0.8</v>
      </c>
      <c r="O672" s="7">
        <v>17.2</v>
      </c>
      <c r="P672" s="7">
        <v>-1.3</v>
      </c>
      <c r="Q672" s="7">
        <v>-1.9</v>
      </c>
      <c r="R672" s="7">
        <v>0.13</v>
      </c>
      <c r="S672" s="7">
        <v>-0.1</v>
      </c>
      <c r="T672" s="20">
        <v>0</v>
      </c>
      <c r="U672" s="7">
        <v>0.04</v>
      </c>
      <c r="V672" s="7">
        <v>-0.18</v>
      </c>
      <c r="W672" s="7">
        <v>0.22</v>
      </c>
      <c r="X672" s="7" t="s">
        <v>8</v>
      </c>
      <c r="Y672" s="7" t="s">
        <v>15</v>
      </c>
      <c r="Z672" s="2" t="s">
        <v>718</v>
      </c>
      <c r="AA672" s="2" t="s">
        <v>721</v>
      </c>
    </row>
    <row r="673" spans="1:27" x14ac:dyDescent="0.35">
      <c r="A673" s="7" t="s">
        <v>1762</v>
      </c>
      <c r="B673" s="7" t="s">
        <v>1359</v>
      </c>
      <c r="C673" s="7" t="str">
        <f>_xlfn.XLOOKUP(B673,'[1]Sheet 1'!$A$2:$A$11107,'[1]Sheet 1'!$D$2:$D$11107,"",0)</f>
        <v>CHICOS</v>
      </c>
      <c r="D673" s="4" t="str">
        <f>_xlfn.XLOOKUP(A673,[3]Sheet2!$I$2:$I$1623,[3]Sheet2!$D$2:$D$1623,"",0)</f>
        <v>Q3</v>
      </c>
      <c r="E673" s="4" t="s">
        <v>1828</v>
      </c>
      <c r="F673" s="4" t="e">
        <f>_xlfn.XLOOKUP(B673,[2]Sheet2!$E$2:$E$713,[2]Sheet2!$G$2:$G$713)</f>
        <v>#N/A</v>
      </c>
      <c r="G673" s="18">
        <v>46141</v>
      </c>
      <c r="H673" s="14">
        <v>0.18582175925925926</v>
      </c>
      <c r="I673" s="7" t="s">
        <v>14</v>
      </c>
      <c r="J673" s="2" t="str">
        <f t="shared" si="50"/>
        <v>Q3</v>
      </c>
      <c r="K673" s="2" t="str">
        <f t="shared" si="51"/>
        <v>Match</v>
      </c>
      <c r="L673" s="2">
        <f t="shared" si="52"/>
        <v>0.4</v>
      </c>
      <c r="M673" s="2" t="e">
        <f t="shared" si="53"/>
        <v>#N/A</v>
      </c>
      <c r="N673" s="2" t="str">
        <f t="shared" si="54"/>
        <v>Q OK dE&gt;0.8</v>
      </c>
      <c r="O673" s="7">
        <v>15.6</v>
      </c>
      <c r="P673" s="7">
        <v>-0.6</v>
      </c>
      <c r="Q673" s="7">
        <v>-3.8</v>
      </c>
      <c r="R673" s="7">
        <v>-0.94</v>
      </c>
      <c r="S673" s="7">
        <v>0</v>
      </c>
      <c r="T673" s="7">
        <v>-0.4</v>
      </c>
      <c r="U673" s="7">
        <v>0.5</v>
      </c>
      <c r="V673" s="7">
        <v>0.21</v>
      </c>
      <c r="W673" s="7">
        <v>1.08</v>
      </c>
      <c r="X673" s="7" t="s">
        <v>6</v>
      </c>
      <c r="Y673" s="7" t="s">
        <v>9</v>
      </c>
      <c r="Z673" s="2" t="s">
        <v>718</v>
      </c>
      <c r="AA673" s="2" t="s">
        <v>721</v>
      </c>
    </row>
    <row r="674" spans="1:27" x14ac:dyDescent="0.35">
      <c r="A674" s="7" t="s">
        <v>1593</v>
      </c>
      <c r="B674" s="7" t="s">
        <v>1366</v>
      </c>
      <c r="C674" s="7" t="str">
        <f>_xlfn.XLOOKUP(B674,'[1]Sheet 1'!$A$2:$A$11107,'[1]Sheet 1'!$D$2:$D$11107,"",0)</f>
        <v>LULU</v>
      </c>
      <c r="D674" s="4" t="str">
        <f>_xlfn.XLOOKUP(A674,[3]Sheet2!$I$2:$I$1623,[3]Sheet2!$D$2:$D$1623,"",0)</f>
        <v>Q3</v>
      </c>
      <c r="E674" s="4" t="s">
        <v>1827</v>
      </c>
      <c r="F674" s="4" t="e">
        <f>_xlfn.XLOOKUP(B674,[2]Sheet2!$E$2:$E$713,[2]Sheet2!$G$2:$G$713)</f>
        <v>#N/A</v>
      </c>
      <c r="G674" s="18">
        <v>46141</v>
      </c>
      <c r="H674" s="14">
        <v>0.28273148148148147</v>
      </c>
      <c r="I674" s="7" t="s">
        <v>4</v>
      </c>
      <c r="J674" s="2" t="str">
        <f t="shared" si="50"/>
        <v>Q3</v>
      </c>
      <c r="K674" s="2" t="str">
        <f t="shared" si="51"/>
        <v>Match</v>
      </c>
      <c r="L674" s="2">
        <f t="shared" si="52"/>
        <v>0.2</v>
      </c>
      <c r="M674" s="2" t="e">
        <f t="shared" si="53"/>
        <v>#N/A</v>
      </c>
      <c r="N674" s="2" t="str">
        <f t="shared" si="54"/>
        <v>Q OK dE&gt;0.8</v>
      </c>
      <c r="O674" s="7">
        <v>22.3</v>
      </c>
      <c r="P674" s="7">
        <v>2.5</v>
      </c>
      <c r="Q674" s="7">
        <v>2.2000000000000002</v>
      </c>
      <c r="R674" s="7">
        <v>-1.3</v>
      </c>
      <c r="S674" s="7">
        <v>-0.2</v>
      </c>
      <c r="T674" s="20">
        <v>0</v>
      </c>
      <c r="U674" s="7">
        <v>-0.21</v>
      </c>
      <c r="V674" s="7">
        <v>0.18</v>
      </c>
      <c r="W674" s="7">
        <v>1.32</v>
      </c>
      <c r="X674" s="7" t="s">
        <v>6</v>
      </c>
      <c r="Y674" s="7" t="s">
        <v>12</v>
      </c>
      <c r="Z674" s="2" t="s">
        <v>718</v>
      </c>
      <c r="AA674" s="2" t="s">
        <v>721</v>
      </c>
    </row>
    <row r="675" spans="1:27" x14ac:dyDescent="0.35">
      <c r="A675" s="7" t="s">
        <v>1593</v>
      </c>
      <c r="B675" s="7" t="s">
        <v>1365</v>
      </c>
      <c r="C675" s="7" t="str">
        <f>_xlfn.XLOOKUP(B675,'[1]Sheet 1'!$A$2:$A$11107,'[1]Sheet 1'!$D$2:$D$11107,"",0)</f>
        <v>LULU</v>
      </c>
      <c r="D675" s="4" t="str">
        <f>_xlfn.XLOOKUP(A675,[3]Sheet2!$I$2:$I$1623,[3]Sheet2!$D$2:$D$1623,"",0)</f>
        <v>Q3</v>
      </c>
      <c r="E675" s="4" t="s">
        <v>1827</v>
      </c>
      <c r="F675" s="4" t="e">
        <f>_xlfn.XLOOKUP(B675,[2]Sheet2!$E$2:$E$713,[2]Sheet2!$G$2:$G$713)</f>
        <v>#N/A</v>
      </c>
      <c r="G675" s="18">
        <v>46141</v>
      </c>
      <c r="H675" s="14">
        <v>0.28134259259259259</v>
      </c>
      <c r="I675" s="7" t="s">
        <v>4</v>
      </c>
      <c r="J675" s="2" t="str">
        <f t="shared" si="50"/>
        <v>Q2</v>
      </c>
      <c r="K675" s="2" t="str">
        <f t="shared" si="51"/>
        <v>Not Match</v>
      </c>
      <c r="L675" s="2">
        <f t="shared" si="52"/>
        <v>0.14142135623730953</v>
      </c>
      <c r="M675" s="2" t="e">
        <f t="shared" si="53"/>
        <v>#N/A</v>
      </c>
      <c r="N675" s="2" t="str">
        <f t="shared" si="54"/>
        <v>Q NOT OK dE&gt;0.8</v>
      </c>
      <c r="O675" s="7">
        <v>22.1</v>
      </c>
      <c r="P675" s="7">
        <v>2.6</v>
      </c>
      <c r="Q675" s="7">
        <v>2.2999999999999998</v>
      </c>
      <c r="R675" s="7">
        <v>-1.38</v>
      </c>
      <c r="S675" s="7">
        <v>-0.1</v>
      </c>
      <c r="T675" s="7">
        <v>0.1</v>
      </c>
      <c r="U675" s="7">
        <v>-0.01</v>
      </c>
      <c r="V675" s="7">
        <v>0.24</v>
      </c>
      <c r="W675" s="7">
        <v>1.4</v>
      </c>
      <c r="X675" s="7" t="s">
        <v>6</v>
      </c>
      <c r="Y675" s="7" t="s">
        <v>12</v>
      </c>
      <c r="Z675" s="2" t="s">
        <v>718</v>
      </c>
      <c r="AA675" s="2" t="s">
        <v>721</v>
      </c>
    </row>
    <row r="676" spans="1:27" x14ac:dyDescent="0.35">
      <c r="A676" s="7" t="s">
        <v>1792</v>
      </c>
      <c r="B676" s="7" t="s">
        <v>1357</v>
      </c>
      <c r="C676" s="7" t="str">
        <f>_xlfn.XLOOKUP(B676,'[1]Sheet 1'!$A$2:$A$11107,'[1]Sheet 1'!$D$2:$D$11107,"",0)</f>
        <v>NEWB</v>
      </c>
      <c r="D676" s="4" t="str">
        <f>_xlfn.XLOOKUP(A676,[3]Sheet2!$I$2:$I$1623,[3]Sheet2!$D$2:$D$1623,"",0)</f>
        <v>Q2</v>
      </c>
      <c r="E676" s="4" t="s">
        <v>1827</v>
      </c>
      <c r="F676" s="4" t="e">
        <f>_xlfn.XLOOKUP(B676,[2]Sheet2!$E$2:$E$713,[2]Sheet2!$G$2:$G$713)</f>
        <v>#N/A</v>
      </c>
      <c r="G676" s="18">
        <v>46141</v>
      </c>
      <c r="H676" s="14">
        <v>9.5497685185185185E-2</v>
      </c>
      <c r="I676" s="7" t="s">
        <v>4</v>
      </c>
      <c r="J676" s="2" t="str">
        <f t="shared" si="50"/>
        <v>Q2</v>
      </c>
      <c r="K676" s="2" t="str">
        <f t="shared" si="51"/>
        <v>Match</v>
      </c>
      <c r="L676" s="2">
        <f t="shared" si="52"/>
        <v>0.1</v>
      </c>
      <c r="M676" s="2" t="e">
        <f t="shared" si="53"/>
        <v>#N/A</v>
      </c>
      <c r="N676" s="2" t="str">
        <f t="shared" si="54"/>
        <v>Q OK dE&gt;0.8</v>
      </c>
      <c r="O676" s="7">
        <v>32.9</v>
      </c>
      <c r="P676" s="7">
        <v>2.2999999999999998</v>
      </c>
      <c r="Q676" s="7">
        <v>10.4</v>
      </c>
      <c r="R676" s="7">
        <v>-0.93</v>
      </c>
      <c r="S676" s="7">
        <v>-0.1</v>
      </c>
      <c r="T676" s="20">
        <v>0</v>
      </c>
      <c r="U676" s="7">
        <v>0.03</v>
      </c>
      <c r="V676" s="7">
        <v>0.16</v>
      </c>
      <c r="W676" s="7">
        <v>0.95</v>
      </c>
      <c r="X676" s="7" t="s">
        <v>13</v>
      </c>
      <c r="Y676" s="7" t="s">
        <v>15</v>
      </c>
      <c r="Z676" s="2" t="s">
        <v>718</v>
      </c>
      <c r="AA676" s="2" t="s">
        <v>721</v>
      </c>
    </row>
    <row r="677" spans="1:27" x14ac:dyDescent="0.35">
      <c r="A677" s="7" t="s">
        <v>1791</v>
      </c>
      <c r="B677" s="7" t="s">
        <v>1356</v>
      </c>
      <c r="C677" s="7" t="str">
        <f>_xlfn.XLOOKUP(B677,'[1]Sheet 1'!$A$2:$A$11107,'[1]Sheet 1'!$D$2:$D$11107,"",0)</f>
        <v>NEWB</v>
      </c>
      <c r="D677" s="4" t="str">
        <f>_xlfn.XLOOKUP(A677,[3]Sheet2!$I$2:$I$1623,[3]Sheet2!$D$2:$D$1623,"",0)</f>
        <v>Q3</v>
      </c>
      <c r="E677" s="4" t="s">
        <v>1828</v>
      </c>
      <c r="F677" s="4" t="e">
        <f>_xlfn.XLOOKUP(B677,[2]Sheet2!$E$2:$E$713,[2]Sheet2!$G$2:$G$713)</f>
        <v>#N/A</v>
      </c>
      <c r="G677" s="18">
        <v>46141</v>
      </c>
      <c r="H677" s="14">
        <v>0.12070601851851852</v>
      </c>
      <c r="I677" s="7" t="s">
        <v>4</v>
      </c>
      <c r="J677" s="2" t="str">
        <f t="shared" si="50"/>
        <v>Q2</v>
      </c>
      <c r="K677" s="2" t="str">
        <f t="shared" si="51"/>
        <v>Not Match</v>
      </c>
      <c r="L677" s="2">
        <f t="shared" si="52"/>
        <v>0.14142135623730953</v>
      </c>
      <c r="M677" s="2" t="e">
        <f t="shared" si="53"/>
        <v>#N/A</v>
      </c>
      <c r="N677" s="2" t="str">
        <f t="shared" si="54"/>
        <v>Q NOT OK dE&lt;=0.8</v>
      </c>
      <c r="O677" s="7">
        <v>36.9</v>
      </c>
      <c r="P677" s="7">
        <v>2.7</v>
      </c>
      <c r="Q677" s="7">
        <v>9.1</v>
      </c>
      <c r="R677" s="7">
        <v>0.39</v>
      </c>
      <c r="S677" s="7">
        <v>-0.1</v>
      </c>
      <c r="T677" s="7">
        <v>0.1</v>
      </c>
      <c r="U677" s="7">
        <v>0.03</v>
      </c>
      <c r="V677" s="7">
        <v>0.34</v>
      </c>
      <c r="W677" s="7">
        <v>0.51</v>
      </c>
      <c r="X677" s="7" t="s">
        <v>8</v>
      </c>
      <c r="Y677" s="7" t="s">
        <v>12</v>
      </c>
      <c r="Z677" s="2" t="s">
        <v>718</v>
      </c>
      <c r="AA677" s="2" t="s">
        <v>721</v>
      </c>
    </row>
    <row r="678" spans="1:27" x14ac:dyDescent="0.35">
      <c r="A678" s="7" t="s">
        <v>1516</v>
      </c>
      <c r="B678" s="7" t="s">
        <v>1354</v>
      </c>
      <c r="C678" s="7" t="str">
        <f>_xlfn.XLOOKUP(B678,'[1]Sheet 1'!$A$2:$A$11107,'[1]Sheet 1'!$D$2:$D$11107,"",0)</f>
        <v>LBI</v>
      </c>
      <c r="D678" s="4" t="str">
        <f>_xlfn.XLOOKUP(A678,[3]Sheet2!$I$2:$I$1623,[3]Sheet2!$D$2:$D$1623,"",0)</f>
        <v>Q2</v>
      </c>
      <c r="E678" s="4" t="s">
        <v>1828</v>
      </c>
      <c r="F678" s="4" t="e">
        <f>_xlfn.XLOOKUP(B678,[2]Sheet2!$E$2:$E$713,[2]Sheet2!$G$2:$G$713)</f>
        <v>#N/A</v>
      </c>
      <c r="G678" s="18">
        <v>46141</v>
      </c>
      <c r="H678" s="14">
        <v>0.13306712962962963</v>
      </c>
      <c r="I678" s="7" t="s">
        <v>4</v>
      </c>
      <c r="J678" s="2" t="str">
        <f t="shared" si="50"/>
        <v>Q1</v>
      </c>
      <c r="K678" s="2" t="str">
        <f t="shared" si="51"/>
        <v>Not Match</v>
      </c>
      <c r="L678" s="2">
        <f t="shared" si="52"/>
        <v>0.22360679774997899</v>
      </c>
      <c r="M678" s="2" t="e">
        <f t="shared" si="53"/>
        <v>#N/A</v>
      </c>
      <c r="N678" s="2" t="str">
        <f t="shared" si="54"/>
        <v>Q NOT OK dE&lt;=0.8</v>
      </c>
      <c r="O678" s="7">
        <v>17.8</v>
      </c>
      <c r="P678" s="7">
        <v>-1.1000000000000001</v>
      </c>
      <c r="Q678" s="7">
        <v>-1.5</v>
      </c>
      <c r="R678" s="7">
        <v>-0.56000000000000005</v>
      </c>
      <c r="S678" s="7">
        <v>0.2</v>
      </c>
      <c r="T678" s="7">
        <v>0.1</v>
      </c>
      <c r="U678" s="7">
        <v>-0.34</v>
      </c>
      <c r="V678" s="7">
        <v>0.19</v>
      </c>
      <c r="W678" s="7">
        <v>0.68</v>
      </c>
      <c r="X678" s="7" t="s">
        <v>8</v>
      </c>
      <c r="Y678" s="7" t="s">
        <v>9</v>
      </c>
      <c r="Z678" s="2" t="s">
        <v>718</v>
      </c>
      <c r="AA678" s="2" t="s">
        <v>721</v>
      </c>
    </row>
    <row r="679" spans="1:27" x14ac:dyDescent="0.35">
      <c r="A679" s="7" t="s">
        <v>1785</v>
      </c>
      <c r="B679" s="7" t="s">
        <v>2425</v>
      </c>
      <c r="C679" s="7" t="str">
        <f>_xlfn.XLOOKUP(B679,'[1]Sheet 1'!$A$2:$A$11107,'[1]Sheet 1'!$D$2:$D$11107,"",0)</f>
        <v>CK</v>
      </c>
      <c r="D679" s="4" t="str">
        <f>_xlfn.XLOOKUP(A679,[3]Sheet2!$I$2:$I$1623,[3]Sheet2!$D$2:$D$1623,"",0)</f>
        <v>Q4</v>
      </c>
      <c r="E679" s="4" t="s">
        <v>1828</v>
      </c>
      <c r="F679" s="4" t="e">
        <f>_xlfn.XLOOKUP(B679,[2]Sheet2!$E$2:$E$713,[2]Sheet2!$G$2:$G$713)</f>
        <v>#N/A</v>
      </c>
      <c r="G679" s="18">
        <v>46141</v>
      </c>
      <c r="H679" s="14">
        <v>0.71456018518518516</v>
      </c>
      <c r="I679" s="7" t="s">
        <v>11</v>
      </c>
      <c r="J679" s="2" t="str">
        <f t="shared" si="50"/>
        <v>Q4</v>
      </c>
      <c r="K679" s="2" t="str">
        <f t="shared" si="51"/>
        <v>Match</v>
      </c>
      <c r="L679" s="2">
        <f t="shared" si="52"/>
        <v>0</v>
      </c>
      <c r="M679" s="2" t="e">
        <f t="shared" si="53"/>
        <v>#N/A</v>
      </c>
      <c r="N679" s="2" t="str">
        <f t="shared" si="54"/>
        <v>Q OK dE&lt;=0.8</v>
      </c>
      <c r="O679" s="7">
        <v>16.3</v>
      </c>
      <c r="P679" s="7">
        <v>-0.6</v>
      </c>
      <c r="Q679" s="7">
        <v>-1.8</v>
      </c>
      <c r="R679" s="7">
        <v>-0.73</v>
      </c>
      <c r="S679" s="7">
        <v>0</v>
      </c>
      <c r="T679" s="20">
        <v>0</v>
      </c>
      <c r="U679" s="7">
        <v>0.14000000000000001</v>
      </c>
      <c r="V679" s="7">
        <v>-0.06</v>
      </c>
      <c r="W679" s="7">
        <v>0.74</v>
      </c>
      <c r="X679" s="7" t="s">
        <v>8</v>
      </c>
      <c r="Y679" s="7" t="s">
        <v>15</v>
      </c>
      <c r="Z679" s="2" t="s">
        <v>718</v>
      </c>
      <c r="AA679" s="2" t="s">
        <v>721</v>
      </c>
    </row>
    <row r="680" spans="1:27" x14ac:dyDescent="0.35">
      <c r="A680" s="7" t="s">
        <v>1795</v>
      </c>
      <c r="B680" s="7" t="s">
        <v>1370</v>
      </c>
      <c r="C680" s="7" t="str">
        <f>_xlfn.XLOOKUP(B680,'[1]Sheet 1'!$A$2:$A$11107,'[1]Sheet 1'!$D$2:$D$11107,"",0)</f>
        <v>LULU</v>
      </c>
      <c r="D680" s="4">
        <v>0</v>
      </c>
      <c r="E680" s="4" t="s">
        <v>1827</v>
      </c>
      <c r="F680" s="4" t="e">
        <f>_xlfn.XLOOKUP(B680,[2]Sheet2!$E$2:$E$713,[2]Sheet2!$G$2:$G$713)</f>
        <v>#N/A</v>
      </c>
      <c r="G680" s="18">
        <v>46141</v>
      </c>
      <c r="H680" s="14">
        <v>0.69452546296296291</v>
      </c>
      <c r="I680" s="7" t="s">
        <v>4</v>
      </c>
      <c r="J680" s="2" t="str">
        <f t="shared" si="50"/>
        <v>Q2</v>
      </c>
      <c r="K680" s="2" t="str">
        <f t="shared" si="51"/>
        <v>Not Found</v>
      </c>
      <c r="L680" s="2">
        <f t="shared" si="52"/>
        <v>1.2041594578792296</v>
      </c>
      <c r="M680" s="2" t="e">
        <f t="shared" si="53"/>
        <v>#N/A</v>
      </c>
      <c r="N680" s="2" t="str">
        <f t="shared" si="54"/>
        <v>Quadrant not assigned</v>
      </c>
      <c r="O680" s="7">
        <v>30.6</v>
      </c>
      <c r="P680" s="7">
        <v>-13.7</v>
      </c>
      <c r="Q680" s="7">
        <v>10.199999999999999</v>
      </c>
      <c r="R680" s="7">
        <v>-0.52</v>
      </c>
      <c r="S680" s="7">
        <v>-0.9</v>
      </c>
      <c r="T680" s="7">
        <v>0.8</v>
      </c>
      <c r="U680" s="7">
        <v>0.82</v>
      </c>
      <c r="V680" s="7">
        <v>-0.09</v>
      </c>
      <c r="W680" s="7">
        <v>0.97</v>
      </c>
      <c r="X680" s="7" t="s">
        <v>13</v>
      </c>
      <c r="Y680" s="7" t="s">
        <v>12</v>
      </c>
      <c r="Z680" s="2" t="s">
        <v>718</v>
      </c>
      <c r="AA680" s="2" t="s">
        <v>721</v>
      </c>
    </row>
    <row r="681" spans="1:27" x14ac:dyDescent="0.35">
      <c r="A681" s="7" t="s">
        <v>1793</v>
      </c>
      <c r="B681" s="7" t="s">
        <v>1362</v>
      </c>
      <c r="C681" s="7" t="str">
        <f>_xlfn.XLOOKUP(B681,'[1]Sheet 1'!$A$2:$A$11107,'[1]Sheet 1'!$D$2:$D$11107,"",0)</f>
        <v>WACE</v>
      </c>
      <c r="D681" s="4" t="str">
        <f>_xlfn.XLOOKUP(A681,[3]Sheet2!$I$2:$I$1623,[3]Sheet2!$D$2:$D$1623,"",0)</f>
        <v>Q2/Q3</v>
      </c>
      <c r="E681" s="4" t="s">
        <v>1828</v>
      </c>
      <c r="F681" s="4" t="e">
        <f>_xlfn.XLOOKUP(B681,[2]Sheet2!$E$2:$E$713,[2]Sheet2!$G$2:$G$713)</f>
        <v>#N/A</v>
      </c>
      <c r="G681" s="18">
        <v>46141</v>
      </c>
      <c r="H681" s="14">
        <v>0.22387731481481482</v>
      </c>
      <c r="I681" s="7" t="s">
        <v>4</v>
      </c>
      <c r="J681" s="2" t="str">
        <f t="shared" si="50"/>
        <v>Q1</v>
      </c>
      <c r="K681" s="2" t="str">
        <f t="shared" si="51"/>
        <v>Not Match</v>
      </c>
      <c r="L681" s="2">
        <f t="shared" si="52"/>
        <v>0.14142135623730953</v>
      </c>
      <c r="M681" s="2" t="e">
        <f t="shared" si="53"/>
        <v>#N/A</v>
      </c>
      <c r="N681" s="2" t="str">
        <f t="shared" si="54"/>
        <v>Q NOT OK dE&lt;=0.8</v>
      </c>
      <c r="O681" s="7">
        <v>16.8</v>
      </c>
      <c r="P681" s="7">
        <v>-0.4</v>
      </c>
      <c r="Q681" s="7">
        <v>-1.1000000000000001</v>
      </c>
      <c r="R681" s="7">
        <v>-0.7</v>
      </c>
      <c r="S681" s="7">
        <v>0.1</v>
      </c>
      <c r="T681" s="7">
        <v>0.1</v>
      </c>
      <c r="U681" s="7">
        <v>-0.31</v>
      </c>
      <c r="V681" s="7">
        <v>0.12</v>
      </c>
      <c r="W681" s="7">
        <v>0.78</v>
      </c>
      <c r="X681" s="7" t="s">
        <v>13</v>
      </c>
      <c r="Y681" s="7" t="s">
        <v>9</v>
      </c>
      <c r="Z681" s="2" t="s">
        <v>718</v>
      </c>
      <c r="AA681" s="2" t="s">
        <v>721</v>
      </c>
    </row>
    <row r="682" spans="1:27" x14ac:dyDescent="0.35">
      <c r="A682" s="7" t="s">
        <v>1608</v>
      </c>
      <c r="B682" s="7" t="s">
        <v>1360</v>
      </c>
      <c r="C682" s="7" t="str">
        <f>_xlfn.XLOOKUP(B682,'[1]Sheet 1'!$A$2:$A$11107,'[1]Sheet 1'!$D$2:$D$11107,"",0)</f>
        <v>WACE</v>
      </c>
      <c r="D682" s="4">
        <v>0</v>
      </c>
      <c r="E682" s="4" t="s">
        <v>1828</v>
      </c>
      <c r="F682" s="4" t="e">
        <f>_xlfn.XLOOKUP(B682,[2]Sheet2!$E$2:$E$713,[2]Sheet2!$G$2:$G$713)</f>
        <v>#N/A</v>
      </c>
      <c r="G682" s="18">
        <v>46141</v>
      </c>
      <c r="H682" s="14">
        <v>0.18814814814814815</v>
      </c>
      <c r="I682" s="7" t="s">
        <v>4</v>
      </c>
      <c r="J682" s="2">
        <f t="shared" si="50"/>
        <v>0</v>
      </c>
      <c r="K682" s="2" t="str">
        <f t="shared" si="51"/>
        <v>Match</v>
      </c>
      <c r="L682" s="2">
        <f t="shared" si="52"/>
        <v>0.3</v>
      </c>
      <c r="M682" s="2" t="e">
        <f t="shared" si="53"/>
        <v>#N/A</v>
      </c>
      <c r="N682" s="2" t="str">
        <f t="shared" si="54"/>
        <v>Quadrant not assigned</v>
      </c>
      <c r="O682" s="7">
        <v>15.5</v>
      </c>
      <c r="P682" s="7">
        <v>0</v>
      </c>
      <c r="Q682" s="7">
        <v>-0.6</v>
      </c>
      <c r="R682" s="7">
        <v>-0.53</v>
      </c>
      <c r="S682" s="7">
        <v>0</v>
      </c>
      <c r="T682" s="7">
        <v>0.3</v>
      </c>
      <c r="U682" s="7">
        <v>-0.5</v>
      </c>
      <c r="V682" s="7">
        <v>0.06</v>
      </c>
      <c r="W682" s="7">
        <v>0.73</v>
      </c>
      <c r="X682" s="7" t="s">
        <v>8</v>
      </c>
      <c r="Y682" s="7" t="s">
        <v>9</v>
      </c>
      <c r="Z682" s="2" t="s">
        <v>718</v>
      </c>
      <c r="AA682" s="2" t="s">
        <v>721</v>
      </c>
    </row>
    <row r="683" spans="1:27" x14ac:dyDescent="0.35">
      <c r="A683" s="7" t="s">
        <v>1520</v>
      </c>
      <c r="B683" s="7" t="s">
        <v>1372</v>
      </c>
      <c r="C683" s="7" t="str">
        <f>_xlfn.XLOOKUP(B683,'[1]Sheet 1'!$A$2:$A$11107,'[1]Sheet 1'!$D$2:$D$11107,"",0)</f>
        <v>VSS</v>
      </c>
      <c r="D683" s="4" t="str">
        <f>_xlfn.XLOOKUP(A683,[3]Sheet2!$I$2:$I$1623,[3]Sheet2!$D$2:$D$1623,"",0)</f>
        <v>Q1</v>
      </c>
      <c r="E683" s="4" t="s">
        <v>1828</v>
      </c>
      <c r="F683" s="4" t="e">
        <f>_xlfn.XLOOKUP(B683,[2]Sheet2!$E$2:$E$713,[2]Sheet2!$G$2:$G$713)</f>
        <v>#N/A</v>
      </c>
      <c r="G683" s="18">
        <v>46141</v>
      </c>
      <c r="H683" s="14">
        <v>0.71081018518518524</v>
      </c>
      <c r="I683" s="7" t="s">
        <v>10</v>
      </c>
      <c r="J683" s="2" t="str">
        <f t="shared" si="50"/>
        <v>Q1</v>
      </c>
      <c r="K683" s="2" t="str">
        <f t="shared" si="51"/>
        <v>Match</v>
      </c>
      <c r="L683" s="2">
        <f t="shared" si="52"/>
        <v>0.78102496759066542</v>
      </c>
      <c r="M683" s="2" t="e">
        <f t="shared" si="53"/>
        <v>#N/A</v>
      </c>
      <c r="N683" s="2" t="str">
        <f t="shared" si="54"/>
        <v>Q OK dE&lt;=0.8</v>
      </c>
      <c r="O683" s="7">
        <v>27.1</v>
      </c>
      <c r="P683" s="7">
        <v>12.4</v>
      </c>
      <c r="Q683" s="7">
        <v>10.9</v>
      </c>
      <c r="R683" s="7">
        <v>-0.34</v>
      </c>
      <c r="S683" s="7">
        <v>0.6</v>
      </c>
      <c r="T683" s="7">
        <v>0.5</v>
      </c>
      <c r="U683" s="7">
        <v>0.59</v>
      </c>
      <c r="V683" s="7">
        <v>0.03</v>
      </c>
      <c r="W683" s="7">
        <v>0.68</v>
      </c>
      <c r="X683" s="7" t="s">
        <v>8</v>
      </c>
      <c r="Y683" s="7" t="s">
        <v>12</v>
      </c>
      <c r="Z683" s="2" t="s">
        <v>718</v>
      </c>
      <c r="AA683" s="2" t="s">
        <v>721</v>
      </c>
    </row>
    <row r="684" spans="1:27" x14ac:dyDescent="0.35">
      <c r="A684" s="7" t="s">
        <v>1500</v>
      </c>
      <c r="B684" s="7" t="s">
        <v>1353</v>
      </c>
      <c r="C684" s="7" t="str">
        <f>_xlfn.XLOOKUP(B684,'[1]Sheet 1'!$A$2:$A$11107,'[1]Sheet 1'!$D$2:$D$11107,"",0)</f>
        <v>LULU</v>
      </c>
      <c r="D684" s="4" t="str">
        <f>_xlfn.XLOOKUP(A684,[3]Sheet2!$I$2:$I$1623,[3]Sheet2!$D$2:$D$1623,"",0)</f>
        <v>Q2</v>
      </c>
      <c r="E684" s="4" t="s">
        <v>1828</v>
      </c>
      <c r="F684" s="4" t="e">
        <f>_xlfn.XLOOKUP(B684,[2]Sheet2!$E$2:$E$713,[2]Sheet2!$G$2:$G$713)</f>
        <v>#N/A</v>
      </c>
      <c r="G684" s="18">
        <v>46141</v>
      </c>
      <c r="H684" s="14">
        <v>1.9675925925925927E-2</v>
      </c>
      <c r="I684" s="7" t="s">
        <v>4</v>
      </c>
      <c r="J684" s="2" t="str">
        <f t="shared" si="50"/>
        <v>Q2</v>
      </c>
      <c r="K684" s="2" t="str">
        <f t="shared" si="51"/>
        <v>Match</v>
      </c>
      <c r="L684" s="2">
        <f t="shared" si="52"/>
        <v>0.1</v>
      </c>
      <c r="M684" s="2" t="e">
        <f t="shared" si="53"/>
        <v>#N/A</v>
      </c>
      <c r="N684" s="2" t="str">
        <f t="shared" si="54"/>
        <v>Q OK dE&lt;=0.8</v>
      </c>
      <c r="O684" s="7">
        <v>17.5</v>
      </c>
      <c r="P684" s="7">
        <v>-0.9</v>
      </c>
      <c r="Q684" s="7">
        <v>-1.1000000000000001</v>
      </c>
      <c r="R684" s="7">
        <v>-0.49</v>
      </c>
      <c r="S684" s="7">
        <v>0</v>
      </c>
      <c r="T684" s="7">
        <v>-0.1</v>
      </c>
      <c r="U684" s="7">
        <v>0.08</v>
      </c>
      <c r="V684" s="7">
        <v>0.15</v>
      </c>
      <c r="W684" s="7">
        <v>0.51</v>
      </c>
      <c r="X684" s="7" t="s">
        <v>8</v>
      </c>
      <c r="Y684" s="7" t="s">
        <v>7</v>
      </c>
      <c r="Z684" s="2" t="s">
        <v>718</v>
      </c>
      <c r="AA684" s="2" t="s">
        <v>721</v>
      </c>
    </row>
    <row r="685" spans="1:27" x14ac:dyDescent="0.35">
      <c r="A685" s="7" t="s">
        <v>1540</v>
      </c>
      <c r="B685" s="7" t="s">
        <v>1368</v>
      </c>
      <c r="C685" s="7" t="str">
        <f>_xlfn.XLOOKUP(B685,'[1]Sheet 1'!$A$2:$A$11107,'[1]Sheet 1'!$D$2:$D$11107,"",0)</f>
        <v>VSS</v>
      </c>
      <c r="D685" s="4" t="str">
        <f>_xlfn.XLOOKUP(A685,[3]Sheet2!$I$2:$I$1623,[3]Sheet2!$D$2:$D$1623,"",0)</f>
        <v>Q3</v>
      </c>
      <c r="E685" s="4" t="s">
        <v>1828</v>
      </c>
      <c r="F685" s="4" t="e">
        <f>_xlfn.XLOOKUP(B685,[2]Sheet2!$E$2:$E$713,[2]Sheet2!$G$2:$G$713)</f>
        <v>#N/A</v>
      </c>
      <c r="G685" s="18">
        <v>46141</v>
      </c>
      <c r="H685" s="14">
        <v>0.43231481481481482</v>
      </c>
      <c r="I685" s="7" t="s">
        <v>10</v>
      </c>
      <c r="J685" s="2" t="str">
        <f t="shared" si="50"/>
        <v>Q3</v>
      </c>
      <c r="K685" s="2" t="str">
        <f t="shared" si="51"/>
        <v>Match</v>
      </c>
      <c r="L685" s="2">
        <f t="shared" si="52"/>
        <v>0</v>
      </c>
      <c r="M685" s="2" t="e">
        <f t="shared" si="53"/>
        <v>#N/A</v>
      </c>
      <c r="N685" s="2" t="str">
        <f t="shared" si="54"/>
        <v>Q OK dE&lt;=0.8</v>
      </c>
      <c r="O685" s="7">
        <v>14.9</v>
      </c>
      <c r="P685" s="7">
        <v>0.4</v>
      </c>
      <c r="Q685" s="7">
        <v>-1.2</v>
      </c>
      <c r="R685" s="7">
        <v>0.39</v>
      </c>
      <c r="S685" s="7">
        <v>0</v>
      </c>
      <c r="T685" s="20">
        <v>0</v>
      </c>
      <c r="U685" s="7">
        <v>-0.05</v>
      </c>
      <c r="V685" s="7">
        <v>-0.12</v>
      </c>
      <c r="W685" s="7">
        <v>0.41</v>
      </c>
      <c r="X685" s="7" t="s">
        <v>8</v>
      </c>
      <c r="Y685" s="7" t="s">
        <v>15</v>
      </c>
      <c r="Z685" s="2" t="s">
        <v>718</v>
      </c>
      <c r="AA685" s="2" t="s">
        <v>721</v>
      </c>
    </row>
    <row r="686" spans="1:27" x14ac:dyDescent="0.35">
      <c r="A686" s="7" t="s">
        <v>1540</v>
      </c>
      <c r="B686" s="7" t="s">
        <v>1352</v>
      </c>
      <c r="C686" s="7" t="str">
        <f>_xlfn.XLOOKUP(B686,'[1]Sheet 1'!$A$2:$A$11107,'[1]Sheet 1'!$D$2:$D$11107,"",0)</f>
        <v>VSS</v>
      </c>
      <c r="D686" s="4" t="str">
        <f>_xlfn.XLOOKUP(A686,[3]Sheet2!$I$2:$I$1623,[3]Sheet2!$D$2:$D$1623,"",0)</f>
        <v>Q3</v>
      </c>
      <c r="E686" s="4" t="s">
        <v>1828</v>
      </c>
      <c r="F686" s="4" t="e">
        <f>_xlfn.XLOOKUP(B686,[2]Sheet2!$E$2:$E$713,[2]Sheet2!$G$2:$G$713)</f>
        <v>#N/A</v>
      </c>
      <c r="G686" s="18">
        <v>46141</v>
      </c>
      <c r="H686" s="14">
        <v>1.4236111111111111E-2</v>
      </c>
      <c r="I686" s="7" t="s">
        <v>11</v>
      </c>
      <c r="J686" s="2" t="str">
        <f t="shared" si="50"/>
        <v>Q3</v>
      </c>
      <c r="K686" s="2" t="str">
        <f t="shared" si="51"/>
        <v>Match</v>
      </c>
      <c r="L686" s="2">
        <f t="shared" si="52"/>
        <v>0.1</v>
      </c>
      <c r="M686" s="2" t="e">
        <f t="shared" si="53"/>
        <v>#N/A</v>
      </c>
      <c r="N686" s="2" t="str">
        <f t="shared" si="54"/>
        <v>Q OK dE&lt;=0.8</v>
      </c>
      <c r="O686" s="7">
        <v>14.2</v>
      </c>
      <c r="P686" s="7">
        <v>-0.4</v>
      </c>
      <c r="Q686" s="7">
        <v>-1.6</v>
      </c>
      <c r="R686" s="7">
        <v>0.02</v>
      </c>
      <c r="S686" s="7">
        <v>0</v>
      </c>
      <c r="T686" s="7">
        <v>0.1</v>
      </c>
      <c r="U686" s="7">
        <v>-0.19</v>
      </c>
      <c r="V686" s="7">
        <v>0.05</v>
      </c>
      <c r="W686" s="7">
        <v>0.2</v>
      </c>
      <c r="X686" s="7" t="s">
        <v>8</v>
      </c>
      <c r="Y686" s="7" t="s">
        <v>9</v>
      </c>
      <c r="Z686" s="2" t="s">
        <v>718</v>
      </c>
      <c r="AA686" s="2" t="s">
        <v>721</v>
      </c>
    </row>
    <row r="687" spans="1:27" x14ac:dyDescent="0.35">
      <c r="A687" s="7" t="s">
        <v>1651</v>
      </c>
      <c r="B687" s="7" t="s">
        <v>1358</v>
      </c>
      <c r="C687" s="7" t="str">
        <f>_xlfn.XLOOKUP(B687,'[1]Sheet 1'!$A$2:$A$11107,'[1]Sheet 1'!$D$2:$D$11107,"",0)</f>
        <v>NEX</v>
      </c>
      <c r="D687" s="4">
        <v>0</v>
      </c>
      <c r="E687" s="4" t="s">
        <v>1828</v>
      </c>
      <c r="F687" s="4" t="e">
        <f>_xlfn.XLOOKUP(B687,[2]Sheet2!$E$2:$E$713,[2]Sheet2!$G$2:$G$713)</f>
        <v>#N/A</v>
      </c>
      <c r="G687" s="18">
        <v>46141</v>
      </c>
      <c r="H687" s="14">
        <v>9.6481481481481488E-2</v>
      </c>
      <c r="I687" s="7" t="s">
        <v>4</v>
      </c>
      <c r="J687" s="2">
        <f t="shared" si="50"/>
        <v>0</v>
      </c>
      <c r="K687" s="2" t="str">
        <f t="shared" si="51"/>
        <v>Match</v>
      </c>
      <c r="L687" s="2">
        <f t="shared" si="52"/>
        <v>0.1</v>
      </c>
      <c r="M687" s="2" t="e">
        <f t="shared" si="53"/>
        <v>#N/A</v>
      </c>
      <c r="N687" s="2" t="str">
        <f t="shared" si="54"/>
        <v>Quadrant not assigned</v>
      </c>
      <c r="O687" s="7">
        <v>18.600000000000001</v>
      </c>
      <c r="P687" s="7">
        <v>0.1</v>
      </c>
      <c r="Q687" s="7">
        <v>-1.3</v>
      </c>
      <c r="R687" s="7">
        <v>0.33</v>
      </c>
      <c r="S687" s="7">
        <v>0</v>
      </c>
      <c r="T687" s="7">
        <v>0.1</v>
      </c>
      <c r="U687" s="7">
        <v>-0.19</v>
      </c>
      <c r="V687" s="7">
        <v>0.05</v>
      </c>
      <c r="W687" s="7">
        <v>0.38</v>
      </c>
      <c r="X687" s="7" t="s">
        <v>8</v>
      </c>
      <c r="Y687" s="7" t="s">
        <v>9</v>
      </c>
      <c r="Z687" s="2" t="s">
        <v>718</v>
      </c>
      <c r="AA687" s="2" t="s">
        <v>721</v>
      </c>
    </row>
    <row r="688" spans="1:27" x14ac:dyDescent="0.35">
      <c r="A688" s="7" t="s">
        <v>1516</v>
      </c>
      <c r="B688" s="7" t="s">
        <v>1364</v>
      </c>
      <c r="C688" s="7" t="str">
        <f>_xlfn.XLOOKUP(B688,'[1]Sheet 1'!$A$2:$A$11107,'[1]Sheet 1'!$D$2:$D$11107,"",0)</f>
        <v>LBI</v>
      </c>
      <c r="D688" s="4" t="str">
        <f>_xlfn.XLOOKUP(A688,[3]Sheet2!$I$2:$I$1623,[3]Sheet2!$D$2:$D$1623,"",0)</f>
        <v>Q2</v>
      </c>
      <c r="E688" s="4" t="s">
        <v>1828</v>
      </c>
      <c r="F688" s="4" t="e">
        <f>_xlfn.XLOOKUP(B688,[2]Sheet2!$E$2:$E$713,[2]Sheet2!$G$2:$G$713)</f>
        <v>#N/A</v>
      </c>
      <c r="G688" s="18">
        <v>46141</v>
      </c>
      <c r="H688" s="14">
        <v>0.27947916666666667</v>
      </c>
      <c r="I688" s="7" t="s">
        <v>14</v>
      </c>
      <c r="J688" s="2" t="str">
        <f t="shared" si="50"/>
        <v>Q4</v>
      </c>
      <c r="K688" s="2" t="str">
        <f t="shared" si="51"/>
        <v>Not Match</v>
      </c>
      <c r="L688" s="2">
        <f t="shared" si="52"/>
        <v>0.28284271247461906</v>
      </c>
      <c r="M688" s="2" t="e">
        <f t="shared" si="53"/>
        <v>#N/A</v>
      </c>
      <c r="N688" s="2" t="str">
        <f t="shared" si="54"/>
        <v>Q NOT OK dE&lt;=0.8</v>
      </c>
      <c r="O688" s="7">
        <v>18.3</v>
      </c>
      <c r="P688" s="7">
        <v>-1.3</v>
      </c>
      <c r="Q688" s="7">
        <v>-2.9</v>
      </c>
      <c r="R688" s="7">
        <v>0.35</v>
      </c>
      <c r="S688" s="7">
        <v>0.2</v>
      </c>
      <c r="T688" s="7">
        <v>-0.2</v>
      </c>
      <c r="U688" s="7">
        <v>0.1</v>
      </c>
      <c r="V688" s="7">
        <v>0.46</v>
      </c>
      <c r="W688" s="7">
        <v>0.57999999999999996</v>
      </c>
      <c r="X688" s="7" t="s">
        <v>8</v>
      </c>
      <c r="Y688" s="7" t="s">
        <v>9</v>
      </c>
      <c r="Z688" s="2" t="s">
        <v>718</v>
      </c>
      <c r="AA688" s="2" t="s">
        <v>721</v>
      </c>
    </row>
    <row r="689" spans="1:27" x14ac:dyDescent="0.35">
      <c r="A689" s="7" t="s">
        <v>1798</v>
      </c>
      <c r="B689" s="7" t="s">
        <v>1382</v>
      </c>
      <c r="C689" s="7" t="str">
        <f>_xlfn.XLOOKUP(B689,'[1]Sheet 1'!$A$2:$A$11107,'[1]Sheet 1'!$D$2:$D$11107,"",0)</f>
        <v>NIK</v>
      </c>
      <c r="D689" s="4" t="str">
        <f>_xlfn.XLOOKUP(A689,[3]Sheet2!$I$2:$I$1623,[3]Sheet2!$D$2:$D$1623,"",0)</f>
        <v>Q2</v>
      </c>
      <c r="E689" s="4" t="s">
        <v>1828</v>
      </c>
      <c r="F689" s="4" t="e">
        <f>_xlfn.XLOOKUP(B689,[2]Sheet2!$E$2:$E$713,[2]Sheet2!$G$2:$G$713)</f>
        <v>#N/A</v>
      </c>
      <c r="G689" s="18">
        <v>46142</v>
      </c>
      <c r="H689" s="14">
        <v>0.96402777777777782</v>
      </c>
      <c r="I689" s="7" t="s">
        <v>4</v>
      </c>
      <c r="J689" s="2" t="str">
        <f t="shared" si="50"/>
        <v>Q1</v>
      </c>
      <c r="K689" s="2" t="str">
        <f t="shared" si="51"/>
        <v>Not Match</v>
      </c>
      <c r="L689" s="2">
        <f t="shared" si="52"/>
        <v>0.31622776601683794</v>
      </c>
      <c r="M689" s="2" t="e">
        <f t="shared" si="53"/>
        <v>#N/A</v>
      </c>
      <c r="N689" s="2" t="str">
        <f t="shared" si="54"/>
        <v>Q NOT OK dE&lt;=0.8</v>
      </c>
      <c r="O689" s="7">
        <v>21.3</v>
      </c>
      <c r="P689" s="7">
        <v>12</v>
      </c>
      <c r="Q689" s="7">
        <v>2</v>
      </c>
      <c r="R689" s="7">
        <v>0.06</v>
      </c>
      <c r="S689" s="7">
        <v>0.3</v>
      </c>
      <c r="T689" s="7">
        <v>0.1</v>
      </c>
      <c r="U689" s="7">
        <v>0.26</v>
      </c>
      <c r="V689" s="7">
        <v>0.08</v>
      </c>
      <c r="W689" s="7">
        <v>0.28000000000000003</v>
      </c>
      <c r="X689" s="7" t="s">
        <v>8</v>
      </c>
      <c r="Y689" s="7" t="s">
        <v>12</v>
      </c>
      <c r="Z689" s="2" t="s">
        <v>718</v>
      </c>
      <c r="AA689" s="2" t="s">
        <v>721</v>
      </c>
    </row>
    <row r="690" spans="1:27" x14ac:dyDescent="0.35">
      <c r="A690" s="7" t="s">
        <v>1626</v>
      </c>
      <c r="B690" s="7" t="s">
        <v>1375</v>
      </c>
      <c r="C690" s="7" t="str">
        <f>_xlfn.XLOOKUP(B690,'[1]Sheet 1'!$A$2:$A$11107,'[1]Sheet 1'!$D$2:$D$11107,"",0)</f>
        <v>PINK</v>
      </c>
      <c r="D690" s="4" t="str">
        <f>_xlfn.XLOOKUP(A690,[3]Sheet2!$I$2:$I$1623,[3]Sheet2!$D$2:$D$1623,"",0)</f>
        <v>Q4</v>
      </c>
      <c r="E690" s="4" t="s">
        <v>1828</v>
      </c>
      <c r="F690" s="4" t="e">
        <f>_xlfn.XLOOKUP(B690,[2]Sheet2!$E$2:$E$713,[2]Sheet2!$G$2:$G$713)</f>
        <v>#N/A</v>
      </c>
      <c r="G690" s="18">
        <v>46142</v>
      </c>
      <c r="H690" s="14">
        <v>0.72962962962962963</v>
      </c>
      <c r="I690" s="7" t="s">
        <v>10</v>
      </c>
      <c r="J690" s="2" t="str">
        <f t="shared" si="50"/>
        <v>Q4</v>
      </c>
      <c r="K690" s="2" t="str">
        <f t="shared" si="51"/>
        <v>Match</v>
      </c>
      <c r="L690" s="2">
        <f t="shared" si="52"/>
        <v>0.4</v>
      </c>
      <c r="M690" s="2" t="e">
        <f t="shared" si="53"/>
        <v>#N/A</v>
      </c>
      <c r="N690" s="2" t="str">
        <f t="shared" si="54"/>
        <v>Q OK dE&gt;0.8</v>
      </c>
      <c r="O690" s="7">
        <v>15.5</v>
      </c>
      <c r="P690" s="7">
        <v>0.4</v>
      </c>
      <c r="Q690" s="7">
        <v>-1.6</v>
      </c>
      <c r="R690" s="7">
        <v>-0.7</v>
      </c>
      <c r="S690" s="7">
        <v>-0.4</v>
      </c>
      <c r="T690" s="20">
        <v>0</v>
      </c>
      <c r="U690" s="7">
        <v>-0.33</v>
      </c>
      <c r="V690" s="7">
        <v>-0.51</v>
      </c>
      <c r="W690" s="7">
        <v>0.92</v>
      </c>
      <c r="X690" s="7" t="s">
        <v>13</v>
      </c>
      <c r="Y690" s="7" t="s">
        <v>7</v>
      </c>
      <c r="Z690" s="2" t="s">
        <v>718</v>
      </c>
      <c r="AA690" s="2" t="s">
        <v>721</v>
      </c>
    </row>
    <row r="691" spans="1:27" x14ac:dyDescent="0.35">
      <c r="A691" s="7" t="s">
        <v>1797</v>
      </c>
      <c r="B691" s="7" t="s">
        <v>1379</v>
      </c>
      <c r="C691" s="7" t="str">
        <f>_xlfn.XLOOKUP(B691,'[1]Sheet 1'!$A$2:$A$11107,'[1]Sheet 1'!$D$2:$D$11107,"",0)</f>
        <v>LULU</v>
      </c>
      <c r="D691" s="4" t="str">
        <f>_xlfn.XLOOKUP(A691,[3]Sheet2!$I$2:$I$1623,[3]Sheet2!$D$2:$D$1623,"",0)</f>
        <v>Q4</v>
      </c>
      <c r="E691" s="4" t="s">
        <v>1828</v>
      </c>
      <c r="F691" s="4" t="e">
        <f>_xlfn.XLOOKUP(B691,[2]Sheet2!$E$2:$E$713,[2]Sheet2!$G$2:$G$713)</f>
        <v>#N/A</v>
      </c>
      <c r="G691" s="18">
        <v>46142</v>
      </c>
      <c r="H691" s="14">
        <v>0.78594907407407411</v>
      </c>
      <c r="I691" s="7" t="s">
        <v>4</v>
      </c>
      <c r="J691" s="2" t="str">
        <f t="shared" si="50"/>
        <v>Q4</v>
      </c>
      <c r="K691" s="2" t="str">
        <f t="shared" si="51"/>
        <v>Match</v>
      </c>
      <c r="L691" s="2">
        <f t="shared" si="52"/>
        <v>0.6</v>
      </c>
      <c r="M691" s="2" t="e">
        <f t="shared" si="53"/>
        <v>#N/A</v>
      </c>
      <c r="N691" s="2" t="str">
        <f t="shared" si="54"/>
        <v>Q OK dE&gt;0.8</v>
      </c>
      <c r="O691" s="7">
        <v>28.6</v>
      </c>
      <c r="P691" s="7">
        <v>-11.7</v>
      </c>
      <c r="Q691" s="7">
        <v>2.1</v>
      </c>
      <c r="R691" s="7">
        <v>-0.78</v>
      </c>
      <c r="S691" s="7">
        <v>0.6</v>
      </c>
      <c r="T691" s="20">
        <v>0</v>
      </c>
      <c r="U691" s="7">
        <v>-0.48</v>
      </c>
      <c r="V691" s="7">
        <v>-0.15</v>
      </c>
      <c r="W691" s="7">
        <v>0.93</v>
      </c>
      <c r="X691" s="7" t="s">
        <v>13</v>
      </c>
      <c r="Y691" s="7" t="s">
        <v>12</v>
      </c>
      <c r="Z691" s="2" t="s">
        <v>718</v>
      </c>
      <c r="AA691" s="2" t="s">
        <v>721</v>
      </c>
    </row>
    <row r="692" spans="1:27" x14ac:dyDescent="0.35">
      <c r="A692" s="7" t="s">
        <v>1790</v>
      </c>
      <c r="B692" s="7" t="s">
        <v>1380</v>
      </c>
      <c r="C692" s="7" t="str">
        <f>_xlfn.XLOOKUP(B692,'[1]Sheet 1'!$A$2:$A$11107,'[1]Sheet 1'!$D$2:$D$11107,"",0)</f>
        <v>LULU</v>
      </c>
      <c r="D692" s="4" t="str">
        <f>_xlfn.XLOOKUP(A692,[3]Sheet2!$I$2:$I$1623,[3]Sheet2!$D$2:$D$1623,"",0)</f>
        <v>Q1</v>
      </c>
      <c r="E692" s="4" t="s">
        <v>1828</v>
      </c>
      <c r="F692" s="4" t="e">
        <f>_xlfn.XLOOKUP(B692,[2]Sheet2!$E$2:$E$713,[2]Sheet2!$G$2:$G$713)</f>
        <v>#N/A</v>
      </c>
      <c r="G692" s="18">
        <v>46142</v>
      </c>
      <c r="H692" s="14">
        <v>0.78768518518518515</v>
      </c>
      <c r="I692" s="7" t="s">
        <v>4</v>
      </c>
      <c r="J692" s="2" t="str">
        <f t="shared" si="50"/>
        <v>Q1</v>
      </c>
      <c r="K692" s="2" t="str">
        <f t="shared" si="51"/>
        <v>Match</v>
      </c>
      <c r="L692" s="2">
        <f t="shared" si="52"/>
        <v>0.2</v>
      </c>
      <c r="M692" s="2" t="e">
        <f t="shared" si="53"/>
        <v>#N/A</v>
      </c>
      <c r="N692" s="2" t="str">
        <f t="shared" si="54"/>
        <v>Q OK dE&lt;=0.8</v>
      </c>
      <c r="O692" s="7">
        <v>22.1</v>
      </c>
      <c r="P692" s="7">
        <v>6.4</v>
      </c>
      <c r="Q692" s="7">
        <v>-10.6</v>
      </c>
      <c r="R692" s="7">
        <v>-0.19</v>
      </c>
      <c r="S692" s="7">
        <v>0</v>
      </c>
      <c r="T692" s="7">
        <v>-0.2</v>
      </c>
      <c r="U692" s="7">
        <v>0.2</v>
      </c>
      <c r="V692" s="7">
        <v>-0.08</v>
      </c>
      <c r="W692" s="7">
        <v>0.28000000000000003</v>
      </c>
      <c r="X692" s="7" t="s">
        <v>8</v>
      </c>
      <c r="Y692" s="7" t="s">
        <v>7</v>
      </c>
      <c r="Z692" s="2" t="s">
        <v>718</v>
      </c>
      <c r="AA692" s="2" t="s">
        <v>721</v>
      </c>
    </row>
    <row r="693" spans="1:27" x14ac:dyDescent="0.35">
      <c r="A693" s="7" t="s">
        <v>1593</v>
      </c>
      <c r="B693" s="7" t="s">
        <v>1381</v>
      </c>
      <c r="C693" s="7" t="str">
        <f>_xlfn.XLOOKUP(B693,'[1]Sheet 1'!$A$2:$A$11107,'[1]Sheet 1'!$D$2:$D$11107,"",0)</f>
        <v>LULU</v>
      </c>
      <c r="D693" s="4" t="str">
        <f>_xlfn.XLOOKUP(A693,[3]Sheet2!$I$2:$I$1623,[3]Sheet2!$D$2:$D$1623,"",0)</f>
        <v>Q3</v>
      </c>
      <c r="E693" s="4" t="s">
        <v>1828</v>
      </c>
      <c r="F693" s="4" t="e">
        <f>_xlfn.XLOOKUP(B693,[2]Sheet2!$E$2:$E$713,[2]Sheet2!$G$2:$G$713)</f>
        <v>#N/A</v>
      </c>
      <c r="G693" s="18">
        <v>46142</v>
      </c>
      <c r="H693" s="14">
        <v>0.90418981481481486</v>
      </c>
      <c r="I693" s="7" t="s">
        <v>4</v>
      </c>
      <c r="J693" s="2" t="str">
        <f t="shared" si="50"/>
        <v>Q2</v>
      </c>
      <c r="K693" s="2" t="str">
        <f t="shared" si="51"/>
        <v>Not Match</v>
      </c>
      <c r="L693" s="2">
        <f t="shared" si="52"/>
        <v>0.36055512754639896</v>
      </c>
      <c r="M693" s="2" t="e">
        <f t="shared" si="53"/>
        <v>#N/A</v>
      </c>
      <c r="N693" s="2" t="str">
        <f t="shared" si="54"/>
        <v>Q NOT OK dE&gt;0.8</v>
      </c>
      <c r="O693" s="7">
        <v>22.1</v>
      </c>
      <c r="P693" s="7">
        <v>2.5</v>
      </c>
      <c r="Q693" s="7">
        <v>2.5</v>
      </c>
      <c r="R693" s="7">
        <v>-1.42</v>
      </c>
      <c r="S693" s="7">
        <v>-0.2</v>
      </c>
      <c r="T693" s="7">
        <v>0.3</v>
      </c>
      <c r="U693" s="7">
        <v>0.05</v>
      </c>
      <c r="V693" s="7">
        <v>0.52</v>
      </c>
      <c r="W693" s="7">
        <v>1.51</v>
      </c>
      <c r="X693" s="7" t="s">
        <v>6</v>
      </c>
      <c r="Y693" s="7" t="s">
        <v>12</v>
      </c>
      <c r="Z693" s="2" t="s">
        <v>718</v>
      </c>
      <c r="AA693" s="2" t="s">
        <v>721</v>
      </c>
    </row>
    <row r="694" spans="1:27" x14ac:dyDescent="0.35">
      <c r="A694" s="7" t="s">
        <v>1625</v>
      </c>
      <c r="B694" s="7" t="s">
        <v>1383</v>
      </c>
      <c r="C694" s="7" t="str">
        <f>_xlfn.XLOOKUP(B694,'[1]Sheet 1'!$A$2:$A$11107,'[1]Sheet 1'!$D$2:$D$11107,"",0)</f>
        <v>CK</v>
      </c>
      <c r="D694" s="4" t="str">
        <f>_xlfn.XLOOKUP(A694,[3]Sheet2!$I$2:$I$1623,[3]Sheet2!$D$2:$D$1623,"",0)</f>
        <v>Q1</v>
      </c>
      <c r="E694" s="4" t="s">
        <v>1828</v>
      </c>
      <c r="F694" s="4" t="e">
        <f>_xlfn.XLOOKUP(B694,[2]Sheet2!$E$2:$E$713,[2]Sheet2!$G$2:$G$713)</f>
        <v>#N/A</v>
      </c>
      <c r="G694" s="18">
        <v>46142</v>
      </c>
      <c r="H694" s="14">
        <v>0.98866898148148152</v>
      </c>
      <c r="I694" s="7" t="s">
        <v>10</v>
      </c>
      <c r="J694" s="2" t="str">
        <f t="shared" si="50"/>
        <v>Q1</v>
      </c>
      <c r="K694" s="2" t="str">
        <f t="shared" si="51"/>
        <v>Match</v>
      </c>
      <c r="L694" s="2">
        <f t="shared" si="52"/>
        <v>0.1</v>
      </c>
      <c r="M694" s="2" t="e">
        <f t="shared" si="53"/>
        <v>#N/A</v>
      </c>
      <c r="N694" s="2" t="str">
        <f t="shared" si="54"/>
        <v>Q OK dE&lt;=0.8</v>
      </c>
      <c r="O694" s="7">
        <v>20</v>
      </c>
      <c r="P694" s="7">
        <v>1.3</v>
      </c>
      <c r="Q694" s="7">
        <v>-2.8</v>
      </c>
      <c r="R694" s="7">
        <v>-0.55000000000000004</v>
      </c>
      <c r="S694" s="7">
        <v>0</v>
      </c>
      <c r="T694" s="7">
        <v>0.1</v>
      </c>
      <c r="U694" s="7">
        <v>-0.18</v>
      </c>
      <c r="V694" s="7">
        <v>0.05</v>
      </c>
      <c r="W694" s="7">
        <v>0.57999999999999996</v>
      </c>
      <c r="X694" s="7" t="s">
        <v>8</v>
      </c>
      <c r="Y694" s="7" t="s">
        <v>9</v>
      </c>
      <c r="Z694" s="2" t="s">
        <v>718</v>
      </c>
      <c r="AA694" s="2" t="s">
        <v>721</v>
      </c>
    </row>
    <row r="695" spans="1:27" x14ac:dyDescent="0.35">
      <c r="A695" s="7" t="s">
        <v>1796</v>
      </c>
      <c r="B695" s="7" t="s">
        <v>1378</v>
      </c>
      <c r="C695" s="7" t="str">
        <f>_xlfn.XLOOKUP(B695,'[1]Sheet 1'!$A$2:$A$11107,'[1]Sheet 1'!$D$2:$D$11107,"",0)</f>
        <v>NIK</v>
      </c>
      <c r="D695" s="4" t="str">
        <f>_xlfn.XLOOKUP(A695,[3]Sheet2!$I$2:$I$1623,[3]Sheet2!$D$2:$D$1623,"",0)</f>
        <v>Q2</v>
      </c>
      <c r="E695" s="4" t="s">
        <v>1828</v>
      </c>
      <c r="F695" s="4" t="e">
        <f>_xlfn.XLOOKUP(B695,[2]Sheet2!$E$2:$E$713,[2]Sheet2!$G$2:$G$713)</f>
        <v>#N/A</v>
      </c>
      <c r="G695" s="18">
        <v>46142</v>
      </c>
      <c r="H695" s="14">
        <v>0.7817708333333333</v>
      </c>
      <c r="I695" s="7" t="s">
        <v>4</v>
      </c>
      <c r="J695" s="2" t="str">
        <f t="shared" si="50"/>
        <v>Q4</v>
      </c>
      <c r="K695" s="2" t="str">
        <f t="shared" si="51"/>
        <v>Not Match</v>
      </c>
      <c r="L695" s="2">
        <f t="shared" si="52"/>
        <v>0.28284271247461906</v>
      </c>
      <c r="M695" s="2" t="e">
        <f t="shared" si="53"/>
        <v>#N/A</v>
      </c>
      <c r="N695" s="2" t="str">
        <f t="shared" si="54"/>
        <v>Q NOT OK dE&lt;=0.8</v>
      </c>
      <c r="O695" s="7">
        <v>27.2</v>
      </c>
      <c r="P695" s="7">
        <v>17.3</v>
      </c>
      <c r="Q695" s="7">
        <v>-30.4</v>
      </c>
      <c r="R695" s="7">
        <v>-0.19</v>
      </c>
      <c r="S695" s="7">
        <v>0.2</v>
      </c>
      <c r="T695" s="7">
        <v>-0.2</v>
      </c>
      <c r="U695" s="7">
        <v>0.16</v>
      </c>
      <c r="V695" s="7">
        <v>7.0000000000000007E-2</v>
      </c>
      <c r="W695" s="7">
        <v>0.26</v>
      </c>
      <c r="X695" s="7" t="s">
        <v>8</v>
      </c>
      <c r="Y695" s="7" t="s">
        <v>9</v>
      </c>
      <c r="Z695" s="2" t="s">
        <v>718</v>
      </c>
      <c r="AA695" s="2" t="s">
        <v>721</v>
      </c>
    </row>
    <row r="696" spans="1:27" x14ac:dyDescent="0.35">
      <c r="A696" s="7" t="s">
        <v>1652</v>
      </c>
      <c r="B696" s="7" t="s">
        <v>1376</v>
      </c>
      <c r="C696" s="7" t="str">
        <f>_xlfn.XLOOKUP(B696,'[1]Sheet 1'!$A$2:$A$11107,'[1]Sheet 1'!$D$2:$D$11107,"",0)</f>
        <v>NIK</v>
      </c>
      <c r="D696" s="4" t="str">
        <f>_xlfn.XLOOKUP(A696,[3]Sheet2!$I$2:$I$1623,[3]Sheet2!$D$2:$D$1623,"",0)</f>
        <v>Q2</v>
      </c>
      <c r="E696" s="4" t="s">
        <v>1828</v>
      </c>
      <c r="F696" s="4" t="e">
        <f>_xlfn.XLOOKUP(B696,[2]Sheet2!$E$2:$E$713,[2]Sheet2!$G$2:$G$713)</f>
        <v>#N/A</v>
      </c>
      <c r="G696" s="18">
        <v>46142</v>
      </c>
      <c r="H696" s="14">
        <v>0.73179398148148145</v>
      </c>
      <c r="I696" s="7" t="s">
        <v>4</v>
      </c>
      <c r="J696" s="2" t="str">
        <f t="shared" si="50"/>
        <v>Q3</v>
      </c>
      <c r="K696" s="2" t="str">
        <f t="shared" si="51"/>
        <v>Not Match</v>
      </c>
      <c r="L696" s="2">
        <f t="shared" si="52"/>
        <v>0.31622776601683794</v>
      </c>
      <c r="M696" s="2" t="e">
        <f t="shared" si="53"/>
        <v>#N/A</v>
      </c>
      <c r="N696" s="2" t="str">
        <f t="shared" si="54"/>
        <v>Q NOT OK dE&gt;0.8</v>
      </c>
      <c r="O696" s="7">
        <v>15.7</v>
      </c>
      <c r="P696" s="7">
        <v>-1.2</v>
      </c>
      <c r="Q696" s="7">
        <v>-2.2000000000000002</v>
      </c>
      <c r="R696" s="7">
        <v>-0.66</v>
      </c>
      <c r="S696" s="7">
        <v>-0.3</v>
      </c>
      <c r="T696" s="7">
        <v>-0.1</v>
      </c>
      <c r="U696" s="7">
        <v>0.4</v>
      </c>
      <c r="V696" s="7">
        <v>-0.31</v>
      </c>
      <c r="W696" s="7">
        <v>0.82</v>
      </c>
      <c r="X696" s="7" t="s">
        <v>13</v>
      </c>
      <c r="Y696" s="7" t="s">
        <v>15</v>
      </c>
      <c r="Z696" s="2" t="s">
        <v>718</v>
      </c>
      <c r="AA696" s="2" t="s">
        <v>721</v>
      </c>
    </row>
    <row r="697" spans="1:27" x14ac:dyDescent="0.35">
      <c r="A697" s="7" t="s">
        <v>1756</v>
      </c>
      <c r="B697" s="7" t="s">
        <v>1374</v>
      </c>
      <c r="C697" s="7" t="str">
        <f>_xlfn.XLOOKUP(B697,'[1]Sheet 1'!$A$2:$A$11107,'[1]Sheet 1'!$D$2:$D$11107,"",0)</f>
        <v>PINK</v>
      </c>
      <c r="D697" s="4" t="str">
        <f>_xlfn.XLOOKUP(A697,[3]Sheet2!$I$2:$I$1623,[3]Sheet2!$D$2:$D$1623,"",0)</f>
        <v>Q1</v>
      </c>
      <c r="E697" s="4" t="s">
        <v>1828</v>
      </c>
      <c r="F697" s="4" t="e">
        <f>_xlfn.XLOOKUP(B697,[2]Sheet2!$E$2:$E$713,[2]Sheet2!$G$2:$G$713)</f>
        <v>#N/A</v>
      </c>
      <c r="G697" s="18">
        <v>46142</v>
      </c>
      <c r="H697" s="14">
        <v>0.72534722222222225</v>
      </c>
      <c r="I697" s="7" t="s">
        <v>10</v>
      </c>
      <c r="J697" s="2" t="str">
        <f t="shared" si="50"/>
        <v>Q1</v>
      </c>
      <c r="K697" s="2" t="str">
        <f t="shared" si="51"/>
        <v>Match</v>
      </c>
      <c r="L697" s="2">
        <f t="shared" si="52"/>
        <v>0.1</v>
      </c>
      <c r="M697" s="2" t="e">
        <f t="shared" si="53"/>
        <v>#N/A</v>
      </c>
      <c r="N697" s="2" t="str">
        <f t="shared" si="54"/>
        <v>Q OK dE&lt;=0.8</v>
      </c>
      <c r="O697" s="7">
        <v>16.7</v>
      </c>
      <c r="P697" s="7">
        <v>0.4</v>
      </c>
      <c r="Q697" s="7">
        <v>-0.3</v>
      </c>
      <c r="R697" s="7">
        <v>0.62</v>
      </c>
      <c r="S697" s="7">
        <v>0.1</v>
      </c>
      <c r="T697" s="20">
        <v>0</v>
      </c>
      <c r="U697" s="7">
        <v>0.23</v>
      </c>
      <c r="V697" s="7">
        <v>0.06</v>
      </c>
      <c r="W697" s="7">
        <v>0.67</v>
      </c>
      <c r="X697" s="7" t="s">
        <v>8</v>
      </c>
      <c r="Y697" s="7" t="s">
        <v>9</v>
      </c>
      <c r="Z697" s="2" t="s">
        <v>718</v>
      </c>
      <c r="AA697" s="2" t="s">
        <v>721</v>
      </c>
    </row>
    <row r="698" spans="1:27" x14ac:dyDescent="0.35">
      <c r="A698" s="7" t="s">
        <v>1559</v>
      </c>
      <c r="B698" s="7" t="s">
        <v>1377</v>
      </c>
      <c r="C698" s="7" t="str">
        <f>_xlfn.XLOOKUP(B698,'[1]Sheet 1'!$A$2:$A$11107,'[1]Sheet 1'!$D$2:$D$11107,"",0)</f>
        <v>VSS</v>
      </c>
      <c r="D698" s="4" t="str">
        <f>_xlfn.XLOOKUP(A698,[3]Sheet2!$I$2:$I$1623,[3]Sheet2!$D$2:$D$1623,"",0)</f>
        <v>Q3</v>
      </c>
      <c r="E698" s="4" t="s">
        <v>1828</v>
      </c>
      <c r="F698" s="4" t="e">
        <f>_xlfn.XLOOKUP(B698,[2]Sheet2!$E$2:$E$713,[2]Sheet2!$G$2:$G$713)</f>
        <v>#N/A</v>
      </c>
      <c r="G698" s="18">
        <v>46142</v>
      </c>
      <c r="H698" s="14">
        <v>0.77589120370370368</v>
      </c>
      <c r="I698" s="7" t="s">
        <v>10</v>
      </c>
      <c r="J698" s="2" t="str">
        <f t="shared" si="50"/>
        <v>Q3</v>
      </c>
      <c r="K698" s="2" t="str">
        <f t="shared" si="51"/>
        <v>Match</v>
      </c>
      <c r="L698" s="2">
        <f t="shared" si="52"/>
        <v>0.1</v>
      </c>
      <c r="M698" s="2" t="e">
        <f t="shared" si="53"/>
        <v>#N/A</v>
      </c>
      <c r="N698" s="2" t="str">
        <f t="shared" si="54"/>
        <v>Q OK dE&lt;=0.8</v>
      </c>
      <c r="O698" s="7">
        <v>17.600000000000001</v>
      </c>
      <c r="P698" s="7">
        <v>0</v>
      </c>
      <c r="Q698" s="7">
        <v>-2.4</v>
      </c>
      <c r="R698" s="7">
        <v>-0.38</v>
      </c>
      <c r="S698" s="7">
        <v>0</v>
      </c>
      <c r="T698" s="7">
        <v>-0.1</v>
      </c>
      <c r="U698" s="7">
        <v>0.16</v>
      </c>
      <c r="V698" s="7">
        <v>0.04</v>
      </c>
      <c r="W698" s="7">
        <v>0.41</v>
      </c>
      <c r="X698" s="7" t="s">
        <v>8</v>
      </c>
      <c r="Y698" s="7" t="s">
        <v>9</v>
      </c>
      <c r="Z698" s="2" t="s">
        <v>718</v>
      </c>
      <c r="AA698" s="2" t="s">
        <v>721</v>
      </c>
    </row>
    <row r="699" spans="1:27" x14ac:dyDescent="0.35">
      <c r="A699" s="7" t="s">
        <v>1784</v>
      </c>
      <c r="B699" s="7" t="s">
        <v>1390</v>
      </c>
      <c r="C699" s="7" t="str">
        <f>_xlfn.XLOOKUP(B699,'[1]Sheet 1'!$A$2:$A$11107,'[1]Sheet 1'!$D$2:$D$11107,"",0)</f>
        <v/>
      </c>
      <c r="D699" s="4" t="str">
        <f>_xlfn.XLOOKUP(A699,[3]Sheet2!$I$2:$I$1623,[3]Sheet2!$D$2:$D$1623,"",0)</f>
        <v>Q2</v>
      </c>
      <c r="E699" s="4" t="s">
        <v>1828</v>
      </c>
      <c r="F699" s="4" t="e">
        <f>_xlfn.XLOOKUP(B699,[2]Sheet2!$E$2:$E$713,[2]Sheet2!$G$2:$G$713)</f>
        <v>#N/A</v>
      </c>
      <c r="G699" s="18">
        <v>46143</v>
      </c>
      <c r="H699" s="14">
        <v>0.23824074074074075</v>
      </c>
      <c r="I699" s="7" t="s">
        <v>10</v>
      </c>
      <c r="J699" s="2" t="str">
        <f t="shared" si="50"/>
        <v>Q3</v>
      </c>
      <c r="K699" s="2" t="str">
        <f t="shared" si="51"/>
        <v>Not Match</v>
      </c>
      <c r="L699" s="2">
        <f t="shared" si="52"/>
        <v>2.0124611797498111</v>
      </c>
      <c r="M699" s="2" t="e">
        <f t="shared" si="53"/>
        <v>#N/A</v>
      </c>
      <c r="N699" s="2" t="str">
        <f t="shared" si="54"/>
        <v>Q NOT OK dE&gt;0.8</v>
      </c>
      <c r="O699" s="7">
        <v>43.9</v>
      </c>
      <c r="P699" s="7">
        <v>42.6</v>
      </c>
      <c r="Q699" s="7">
        <v>11.9</v>
      </c>
      <c r="R699" s="7">
        <v>0.18</v>
      </c>
      <c r="S699" s="7">
        <v>-0.9</v>
      </c>
      <c r="T699" s="7">
        <v>-1.8</v>
      </c>
      <c r="U699" s="7">
        <v>-0.57999999999999996</v>
      </c>
      <c r="V699" s="7">
        <v>-1</v>
      </c>
      <c r="W699" s="7">
        <v>1.17</v>
      </c>
      <c r="X699" s="7" t="s">
        <v>6</v>
      </c>
      <c r="Y699" s="7" t="s">
        <v>7</v>
      </c>
      <c r="Z699" s="2" t="s">
        <v>718</v>
      </c>
      <c r="AA699" s="2" t="s">
        <v>721</v>
      </c>
    </row>
    <row r="700" spans="1:27" x14ac:dyDescent="0.35">
      <c r="A700" s="7" t="s">
        <v>1747</v>
      </c>
      <c r="B700" s="7" t="s">
        <v>1350</v>
      </c>
      <c r="C700" s="7" t="str">
        <f>_xlfn.XLOOKUP(B700,'[1]Sheet 1'!$A$2:$A$11107,'[1]Sheet 1'!$D$2:$D$11107,"",0)</f>
        <v>M&amp;S</v>
      </c>
      <c r="D700" s="4" t="str">
        <f>_xlfn.XLOOKUP(A700,[3]Sheet2!$I$2:$I$1623,[3]Sheet2!$D$2:$D$1623,"",0)</f>
        <v>Q4</v>
      </c>
      <c r="E700" s="4" t="s">
        <v>1827</v>
      </c>
      <c r="F700" s="4" t="e">
        <f>_xlfn.XLOOKUP(B700,[2]Sheet2!$E$2:$E$713,[2]Sheet2!$G$2:$G$713)</f>
        <v>#N/A</v>
      </c>
      <c r="G700" s="18">
        <v>46143</v>
      </c>
      <c r="H700" s="14">
        <v>0.26202546296296297</v>
      </c>
      <c r="I700" s="7" t="s">
        <v>17</v>
      </c>
      <c r="J700" s="2" t="str">
        <f t="shared" si="50"/>
        <v>Q4</v>
      </c>
      <c r="K700" s="2" t="str">
        <f t="shared" si="51"/>
        <v>Match</v>
      </c>
      <c r="L700" s="2">
        <f t="shared" si="52"/>
        <v>0.2</v>
      </c>
      <c r="M700" s="2" t="e">
        <f t="shared" si="53"/>
        <v>#N/A</v>
      </c>
      <c r="N700" s="2" t="str">
        <f t="shared" si="54"/>
        <v>Q OK dE&gt;0.8</v>
      </c>
      <c r="O700" s="7">
        <v>16.3</v>
      </c>
      <c r="P700" s="7">
        <v>-0.6</v>
      </c>
      <c r="Q700" s="7">
        <v>-6</v>
      </c>
      <c r="R700" s="7">
        <v>-0.76</v>
      </c>
      <c r="S700" s="7">
        <v>-0.2</v>
      </c>
      <c r="T700" s="20">
        <v>0</v>
      </c>
      <c r="U700" s="7">
        <v>0.09</v>
      </c>
      <c r="V700" s="7">
        <v>-0.3</v>
      </c>
      <c r="W700" s="7">
        <v>0.82</v>
      </c>
      <c r="X700" s="7" t="s">
        <v>13</v>
      </c>
      <c r="Y700" s="7" t="s">
        <v>15</v>
      </c>
      <c r="Z700" s="2" t="s">
        <v>718</v>
      </c>
      <c r="AA700" s="2" t="s">
        <v>721</v>
      </c>
    </row>
    <row r="701" spans="1:27" x14ac:dyDescent="0.35">
      <c r="A701" s="7" t="s">
        <v>1626</v>
      </c>
      <c r="B701" s="7" t="s">
        <v>1385</v>
      </c>
      <c r="C701" s="7" t="str">
        <f>_xlfn.XLOOKUP(B701,'[1]Sheet 1'!$A$2:$A$11107,'[1]Sheet 1'!$D$2:$D$11107,"",0)</f>
        <v>PINK</v>
      </c>
      <c r="D701" s="4" t="str">
        <f>_xlfn.XLOOKUP(A701,[3]Sheet2!$I$2:$I$1623,[3]Sheet2!$D$2:$D$1623,"",0)</f>
        <v>Q4</v>
      </c>
      <c r="E701" s="4" t="s">
        <v>1828</v>
      </c>
      <c r="F701" s="4" t="e">
        <f>_xlfn.XLOOKUP(B701,[2]Sheet2!$E$2:$E$713,[2]Sheet2!$G$2:$G$713)</f>
        <v>#N/A</v>
      </c>
      <c r="G701" s="18">
        <v>46143</v>
      </c>
      <c r="H701" s="14">
        <v>0.17086805555555556</v>
      </c>
      <c r="I701" s="7" t="s">
        <v>10</v>
      </c>
      <c r="J701" s="2" t="str">
        <f t="shared" si="50"/>
        <v>Q4</v>
      </c>
      <c r="K701" s="2" t="str">
        <f t="shared" si="51"/>
        <v>Match</v>
      </c>
      <c r="L701" s="2">
        <f t="shared" si="52"/>
        <v>0.4</v>
      </c>
      <c r="M701" s="2" t="e">
        <f t="shared" si="53"/>
        <v>#N/A</v>
      </c>
      <c r="N701" s="2" t="str">
        <f t="shared" si="54"/>
        <v>Q OK dE&lt;=0.8</v>
      </c>
      <c r="O701" s="7">
        <v>15.7</v>
      </c>
      <c r="P701" s="7">
        <v>0.4</v>
      </c>
      <c r="Q701" s="7">
        <v>-1.6</v>
      </c>
      <c r="R701" s="7">
        <v>-0.49</v>
      </c>
      <c r="S701" s="7">
        <v>-0.4</v>
      </c>
      <c r="T701" s="20">
        <v>0</v>
      </c>
      <c r="U701" s="7">
        <v>-0.21</v>
      </c>
      <c r="V701" s="7">
        <v>-0.55000000000000004</v>
      </c>
      <c r="W701" s="7">
        <v>0.77</v>
      </c>
      <c r="X701" s="7" t="s">
        <v>13</v>
      </c>
      <c r="Y701" s="7" t="s">
        <v>7</v>
      </c>
      <c r="Z701" s="2" t="s">
        <v>718</v>
      </c>
      <c r="AA701" s="2" t="s">
        <v>721</v>
      </c>
    </row>
    <row r="702" spans="1:27" x14ac:dyDescent="0.35">
      <c r="A702" s="7" t="s">
        <v>1799</v>
      </c>
      <c r="B702" s="7" t="s">
        <v>1387</v>
      </c>
      <c r="C702" s="7" t="str">
        <f>_xlfn.XLOOKUP(B702,'[1]Sheet 1'!$A$2:$A$11107,'[1]Sheet 1'!$D$2:$D$11107,"",0)</f>
        <v>WACE</v>
      </c>
      <c r="D702" s="4" t="str">
        <f>_xlfn.XLOOKUP(A702,[3]Sheet2!$I$2:$I$1623,[3]Sheet2!$D$2:$D$1623,"",0)</f>
        <v>Q4</v>
      </c>
      <c r="E702" s="4" t="s">
        <v>1828</v>
      </c>
      <c r="F702" s="4" t="e">
        <f>_xlfn.XLOOKUP(B702,[2]Sheet2!$E$2:$E$713,[2]Sheet2!$G$2:$G$713)</f>
        <v>#N/A</v>
      </c>
      <c r="G702" s="18">
        <v>46143</v>
      </c>
      <c r="H702" s="14">
        <v>0.19350694444444444</v>
      </c>
      <c r="I702" s="7" t="s">
        <v>4</v>
      </c>
      <c r="J702" s="2" t="str">
        <f t="shared" si="50"/>
        <v>Q4</v>
      </c>
      <c r="K702" s="2" t="str">
        <f t="shared" si="51"/>
        <v>Match</v>
      </c>
      <c r="L702" s="2">
        <f t="shared" si="52"/>
        <v>0.6</v>
      </c>
      <c r="M702" s="2" t="e">
        <f t="shared" si="53"/>
        <v>#N/A</v>
      </c>
      <c r="N702" s="2" t="str">
        <f t="shared" si="54"/>
        <v>Q OK dE&gt;0.8</v>
      </c>
      <c r="O702" s="7">
        <v>16.100000000000001</v>
      </c>
      <c r="P702" s="7">
        <v>-0.5</v>
      </c>
      <c r="Q702" s="7">
        <v>-2.6</v>
      </c>
      <c r="R702" s="7">
        <v>-0.18</v>
      </c>
      <c r="S702" s="7">
        <v>0</v>
      </c>
      <c r="T702" s="7">
        <v>-0.6</v>
      </c>
      <c r="U702" s="7">
        <v>0.84</v>
      </c>
      <c r="V702" s="7">
        <v>0.1</v>
      </c>
      <c r="W702" s="7">
        <v>0.87</v>
      </c>
      <c r="X702" s="7" t="s">
        <v>13</v>
      </c>
      <c r="Y702" s="7" t="s">
        <v>9</v>
      </c>
      <c r="Z702" s="2" t="s">
        <v>718</v>
      </c>
      <c r="AA702" s="2" t="s">
        <v>721</v>
      </c>
    </row>
    <row r="703" spans="1:27" x14ac:dyDescent="0.35">
      <c r="A703" s="7" t="s">
        <v>1800</v>
      </c>
      <c r="B703" s="7" t="s">
        <v>1388</v>
      </c>
      <c r="C703" s="7" t="str">
        <f>_xlfn.XLOOKUP(B703,'[1]Sheet 1'!$A$2:$A$11107,'[1]Sheet 1'!$D$2:$D$11107,"",0)</f>
        <v>VSS</v>
      </c>
      <c r="D703" s="4" t="str">
        <f>_xlfn.XLOOKUP(A703,[3]Sheet2!$I$2:$I$1623,[3]Sheet2!$D$2:$D$1623,"",0)</f>
        <v>Q1</v>
      </c>
      <c r="E703" s="4" t="s">
        <v>1829</v>
      </c>
      <c r="F703" s="4" t="e">
        <f>_xlfn.XLOOKUP(B703,[2]Sheet2!$E$2:$E$713,[2]Sheet2!$G$2:$G$713)</f>
        <v>#N/A</v>
      </c>
      <c r="G703" s="18">
        <v>46143</v>
      </c>
      <c r="H703" s="14">
        <v>0.19653935185185184</v>
      </c>
      <c r="I703" s="7" t="s">
        <v>10</v>
      </c>
      <c r="J703" s="2" t="str">
        <f t="shared" si="50"/>
        <v>Q2</v>
      </c>
      <c r="K703" s="2" t="str">
        <f t="shared" si="51"/>
        <v>Not Match</v>
      </c>
      <c r="L703" s="2">
        <f t="shared" si="52"/>
        <v>0.41231056256176613</v>
      </c>
      <c r="M703" s="2" t="e">
        <f t="shared" si="53"/>
        <v>#N/A</v>
      </c>
      <c r="N703" s="2" t="str">
        <f t="shared" si="54"/>
        <v>Q NOT OK dE&lt;=0.8</v>
      </c>
      <c r="O703" s="7">
        <v>38.799999999999997</v>
      </c>
      <c r="P703" s="7">
        <v>50.6</v>
      </c>
      <c r="Q703" s="7">
        <v>34.5</v>
      </c>
      <c r="R703" s="7">
        <v>-0.3</v>
      </c>
      <c r="S703" s="7">
        <v>-0.1</v>
      </c>
      <c r="T703" s="7">
        <v>0.4</v>
      </c>
      <c r="U703" s="7">
        <v>0.04</v>
      </c>
      <c r="V703" s="7">
        <v>0.32</v>
      </c>
      <c r="W703" s="7">
        <v>0.44</v>
      </c>
      <c r="X703" s="7" t="s">
        <v>8</v>
      </c>
      <c r="Y703" s="7" t="s">
        <v>12</v>
      </c>
      <c r="Z703" s="2" t="s">
        <v>718</v>
      </c>
      <c r="AA703" s="2" t="s">
        <v>721</v>
      </c>
    </row>
    <row r="704" spans="1:27" x14ac:dyDescent="0.35">
      <c r="A704" s="7" t="s">
        <v>1516</v>
      </c>
      <c r="B704" s="7" t="s">
        <v>1386</v>
      </c>
      <c r="C704" s="7" t="str">
        <f>_xlfn.XLOOKUP(B704,'[1]Sheet 1'!$A$2:$A$11107,'[1]Sheet 1'!$D$2:$D$11107,"",0)</f>
        <v>LBI</v>
      </c>
      <c r="D704" s="4" t="str">
        <f>_xlfn.XLOOKUP(A704,[3]Sheet2!$I$2:$I$1623,[3]Sheet2!$D$2:$D$1623,"",0)</f>
        <v>Q2</v>
      </c>
      <c r="E704" s="4" t="s">
        <v>1828</v>
      </c>
      <c r="F704" s="4" t="e">
        <f>_xlfn.XLOOKUP(B704,[2]Sheet2!$E$2:$E$713,[2]Sheet2!$G$2:$G$713)</f>
        <v>#N/A</v>
      </c>
      <c r="G704" s="18">
        <v>46143</v>
      </c>
      <c r="H704" s="14">
        <v>0.17917824074074074</v>
      </c>
      <c r="I704" s="7" t="s">
        <v>14</v>
      </c>
      <c r="J704" s="2" t="str">
        <f t="shared" si="50"/>
        <v>Q2</v>
      </c>
      <c r="K704" s="2" t="str">
        <f t="shared" si="51"/>
        <v>Match</v>
      </c>
      <c r="L704" s="2">
        <f t="shared" si="52"/>
        <v>0.1</v>
      </c>
      <c r="M704" s="2" t="e">
        <f t="shared" si="53"/>
        <v>#N/A</v>
      </c>
      <c r="N704" s="2" t="str">
        <f t="shared" si="54"/>
        <v>Q OK dE&lt;=0.8</v>
      </c>
      <c r="O704" s="7">
        <v>18.8</v>
      </c>
      <c r="P704" s="7">
        <v>-1.4</v>
      </c>
      <c r="Q704" s="7">
        <v>-2.7</v>
      </c>
      <c r="R704" s="7">
        <v>0.77</v>
      </c>
      <c r="S704" s="7">
        <v>0.1</v>
      </c>
      <c r="T704" s="20">
        <v>0</v>
      </c>
      <c r="U704" s="7">
        <v>0</v>
      </c>
      <c r="V704" s="7">
        <v>0.21</v>
      </c>
      <c r="W704" s="7">
        <v>0.8</v>
      </c>
      <c r="X704" s="7" t="s">
        <v>13</v>
      </c>
      <c r="Y704" s="7" t="s">
        <v>9</v>
      </c>
      <c r="Z704" s="2" t="s">
        <v>718</v>
      </c>
      <c r="AA704" s="2" t="s">
        <v>721</v>
      </c>
    </row>
    <row r="705" spans="1:27" x14ac:dyDescent="0.35">
      <c r="A705" s="7" t="s">
        <v>1773</v>
      </c>
      <c r="B705" s="7" t="s">
        <v>1389</v>
      </c>
      <c r="C705" s="7" t="str">
        <f>_xlfn.XLOOKUP(B705,'[1]Sheet 1'!$A$2:$A$11107,'[1]Sheet 1'!$D$2:$D$11107,"",0)</f>
        <v>NKSKI</v>
      </c>
      <c r="D705" s="4" t="str">
        <f>_xlfn.XLOOKUP(A705,[3]Sheet2!$I$2:$I$1623,[3]Sheet2!$D$2:$D$1623,"",0)</f>
        <v>Q3</v>
      </c>
      <c r="E705" s="4" t="s">
        <v>1827</v>
      </c>
      <c r="F705" s="4" t="e">
        <f>_xlfn.XLOOKUP(B705,[2]Sheet2!$E$2:$E$713,[2]Sheet2!$G$2:$G$713)</f>
        <v>#N/A</v>
      </c>
      <c r="G705" s="18">
        <v>46143</v>
      </c>
      <c r="H705" s="14">
        <v>0.19886574074074073</v>
      </c>
      <c r="I705" s="7" t="s">
        <v>4</v>
      </c>
      <c r="J705" s="2" t="str">
        <f t="shared" si="50"/>
        <v>Q2</v>
      </c>
      <c r="K705" s="2" t="str">
        <f t="shared" si="51"/>
        <v>Not Match</v>
      </c>
      <c r="L705" s="2">
        <f t="shared" si="52"/>
        <v>0.41231056256176613</v>
      </c>
      <c r="M705" s="2" t="e">
        <f t="shared" si="53"/>
        <v>#N/A</v>
      </c>
      <c r="N705" s="2" t="str">
        <f t="shared" si="54"/>
        <v>Q NOT OK dE&lt;=0.8</v>
      </c>
      <c r="O705" s="7">
        <v>16.600000000000001</v>
      </c>
      <c r="P705" s="7">
        <v>-1.5</v>
      </c>
      <c r="Q705" s="7">
        <v>-2.5</v>
      </c>
      <c r="R705" s="7">
        <v>0.36</v>
      </c>
      <c r="S705" s="7">
        <v>-0.4</v>
      </c>
      <c r="T705" s="7">
        <v>0.1</v>
      </c>
      <c r="U705" s="7">
        <v>0.05</v>
      </c>
      <c r="V705" s="7">
        <v>-0.56000000000000005</v>
      </c>
      <c r="W705" s="7">
        <v>0.67</v>
      </c>
      <c r="X705" s="7" t="s">
        <v>8</v>
      </c>
      <c r="Y705" s="7" t="s">
        <v>15</v>
      </c>
      <c r="Z705" s="2" t="s">
        <v>718</v>
      </c>
      <c r="AA705" s="2" t="s">
        <v>721</v>
      </c>
    </row>
    <row r="706" spans="1:27" x14ac:dyDescent="0.35">
      <c r="A706" s="7" t="s">
        <v>1784</v>
      </c>
      <c r="B706" s="7" t="s">
        <v>1371</v>
      </c>
      <c r="C706" s="7" t="str">
        <f>_xlfn.XLOOKUP(B706,'[1]Sheet 1'!$A$2:$A$11107,'[1]Sheet 1'!$D$2:$D$11107,"",0)</f>
        <v>VSS</v>
      </c>
      <c r="D706" s="4" t="str">
        <f>_xlfn.XLOOKUP(A706,[3]Sheet2!$I$2:$I$1623,[3]Sheet2!$D$2:$D$1623,"",0)</f>
        <v>Q2</v>
      </c>
      <c r="E706" s="4" t="s">
        <v>1827</v>
      </c>
      <c r="F706" s="4" t="e">
        <f>_xlfn.XLOOKUP(B706,[2]Sheet2!$E$2:$E$713,[2]Sheet2!$G$2:$G$713)</f>
        <v>#N/A</v>
      </c>
      <c r="G706" s="18">
        <v>46146</v>
      </c>
      <c r="H706" s="14">
        <v>0.94840277777777782</v>
      </c>
      <c r="I706" s="7" t="s">
        <v>10</v>
      </c>
      <c r="J706" s="2" t="str">
        <f t="shared" ref="J706:J769" si="55">IF(OR(S706=0,T706=0),D706,IF(AND(S706&gt;0,T706&gt;0),"Q1",IF(AND(S706&lt;0,T706&gt;0),"Q2",IF(AND(S706&lt;0,T706&lt;0),"Q3",IF(AND(S706&gt;0,T706&lt;0),"Q4","")))))</f>
        <v>Q3</v>
      </c>
      <c r="K706" s="2" t="str">
        <f t="shared" ref="K706:K769" si="56">IF(J706=D706,"Match",IF(AND(J706=0,D706="Match"),"da and db 0",IF(D706=0,"Not Found","Not Match")))</f>
        <v>Not Match</v>
      </c>
      <c r="L706" s="2">
        <f t="shared" ref="L706:L769" si="57">SQRT(S706^2+T706^2)</f>
        <v>1.7492855684535902</v>
      </c>
      <c r="M706" s="2" t="e">
        <f t="shared" ref="M706:M769" si="58">IF(L706&lt;=F706,"Within Range","Over Range")</f>
        <v>#N/A</v>
      </c>
      <c r="N706" s="2" t="str">
        <f t="shared" ref="N706:N769" si="59">IF(D706=0,"Quadrant not assigned",IF(AND(K706="Match",W706&lt;=0.8),"Q OK dE&lt;=0.8",IF(AND(K706="Match",W706&gt;0.8),"Q OK dE&gt;0.8",IF(AND(K706="Not Match",W706&lt;=0.8),"Q NOT OK dE&lt;=0.8","Q NOT OK dE&gt;0.8"))))</f>
        <v>Q NOT OK dE&lt;=0.8</v>
      </c>
      <c r="O706" s="7">
        <v>43.9</v>
      </c>
      <c r="P706" s="7">
        <v>42.1</v>
      </c>
      <c r="Q706" s="7">
        <v>12.8</v>
      </c>
      <c r="R706" s="7">
        <v>0.19</v>
      </c>
      <c r="S706" s="7">
        <v>-1.5</v>
      </c>
      <c r="T706" s="7">
        <v>-0.9</v>
      </c>
      <c r="U706" s="7">
        <v>-0.7</v>
      </c>
      <c r="V706" s="7">
        <v>-0.3</v>
      </c>
      <c r="W706" s="7">
        <v>0.78</v>
      </c>
      <c r="X706" s="7" t="s">
        <v>13</v>
      </c>
      <c r="Y706" s="7" t="s">
        <v>7</v>
      </c>
      <c r="Z706" s="2" t="s">
        <v>718</v>
      </c>
      <c r="AA706" s="2" t="s">
        <v>721</v>
      </c>
    </row>
    <row r="707" spans="1:27" x14ac:dyDescent="0.35">
      <c r="A707" s="7" t="s">
        <v>1801</v>
      </c>
      <c r="B707" s="7" t="s">
        <v>1395</v>
      </c>
      <c r="C707" s="7" t="str">
        <f>_xlfn.XLOOKUP(B707,'[1]Sheet 1'!$A$2:$A$11107,'[1]Sheet 1'!$D$2:$D$11107,"",0)</f>
        <v>M&amp;S</v>
      </c>
      <c r="D707" s="4" t="str">
        <f>_xlfn.XLOOKUP(A707,[3]Sheet2!$I$2:$I$1623,[3]Sheet2!$D$2:$D$1623,"",0)</f>
        <v>Q2</v>
      </c>
      <c r="E707" s="4" t="s">
        <v>1828</v>
      </c>
      <c r="F707" s="4" t="e">
        <f>_xlfn.XLOOKUP(B707,[2]Sheet2!$E$2:$E$713,[2]Sheet2!$G$2:$G$713)</f>
        <v>#N/A</v>
      </c>
      <c r="G707" s="18">
        <v>46146</v>
      </c>
      <c r="H707" s="14">
        <v>0.75531250000000005</v>
      </c>
      <c r="I707" s="7" t="s">
        <v>5</v>
      </c>
      <c r="J707" s="2" t="str">
        <f t="shared" si="55"/>
        <v>Q2</v>
      </c>
      <c r="K707" s="2" t="str">
        <f t="shared" si="56"/>
        <v>Match</v>
      </c>
      <c r="L707" s="2">
        <f t="shared" si="57"/>
        <v>0</v>
      </c>
      <c r="M707" s="2" t="e">
        <f t="shared" si="58"/>
        <v>#N/A</v>
      </c>
      <c r="N707" s="2" t="str">
        <f t="shared" si="59"/>
        <v>Q OK dE&lt;=0.8</v>
      </c>
      <c r="O707" s="7">
        <v>16.3</v>
      </c>
      <c r="P707" s="7">
        <v>-0.9</v>
      </c>
      <c r="Q707" s="7">
        <v>-2.1</v>
      </c>
      <c r="R707" s="7">
        <v>0.04</v>
      </c>
      <c r="S707" s="7">
        <v>0</v>
      </c>
      <c r="T707" s="20">
        <v>0</v>
      </c>
      <c r="U707" s="7">
        <v>0.11</v>
      </c>
      <c r="V707" s="7">
        <v>0.01</v>
      </c>
      <c r="W707" s="7">
        <v>0.12</v>
      </c>
      <c r="X707" s="7" t="s">
        <v>8</v>
      </c>
      <c r="Y707" s="7" t="s">
        <v>9</v>
      </c>
      <c r="Z707" s="2" t="s">
        <v>718</v>
      </c>
      <c r="AA707" s="2" t="s">
        <v>721</v>
      </c>
    </row>
    <row r="708" spans="1:27" x14ac:dyDescent="0.35">
      <c r="A708" s="7" t="s">
        <v>1571</v>
      </c>
      <c r="B708" s="7" t="s">
        <v>1391</v>
      </c>
      <c r="C708" s="7" t="str">
        <f>_xlfn.XLOOKUP(B708,'[1]Sheet 1'!$A$2:$A$11107,'[1]Sheet 1'!$D$2:$D$11107,"",0)</f>
        <v>WACE</v>
      </c>
      <c r="D708" s="4" t="str">
        <f>_xlfn.XLOOKUP(A708,[3]Sheet2!$I$2:$I$1623,[3]Sheet2!$D$2:$D$1623,"",0)</f>
        <v>Q1</v>
      </c>
      <c r="E708" s="4" t="s">
        <v>1828</v>
      </c>
      <c r="F708" s="4" t="e">
        <f>_xlfn.XLOOKUP(B708,[2]Sheet2!$E$2:$E$713,[2]Sheet2!$G$2:$G$713)</f>
        <v>#N/A</v>
      </c>
      <c r="G708" s="18">
        <v>46146</v>
      </c>
      <c r="H708" s="14">
        <v>0.67303240740740744</v>
      </c>
      <c r="I708" s="7" t="s">
        <v>5</v>
      </c>
      <c r="J708" s="2" t="str">
        <f t="shared" si="55"/>
        <v>Q1</v>
      </c>
      <c r="K708" s="2" t="str">
        <f t="shared" si="56"/>
        <v>Match</v>
      </c>
      <c r="L708" s="2">
        <f t="shared" si="57"/>
        <v>0</v>
      </c>
      <c r="M708" s="2" t="e">
        <f t="shared" si="58"/>
        <v>#N/A</v>
      </c>
      <c r="N708" s="2" t="str">
        <f t="shared" si="59"/>
        <v>Q OK dE&gt;0.8</v>
      </c>
      <c r="O708" s="7">
        <v>17.8</v>
      </c>
      <c r="P708" s="7">
        <v>-0.2</v>
      </c>
      <c r="Q708" s="7">
        <v>-1.8</v>
      </c>
      <c r="R708" s="7">
        <v>-0.83</v>
      </c>
      <c r="S708" s="7">
        <v>0</v>
      </c>
      <c r="T708" s="20">
        <v>0</v>
      </c>
      <c r="U708" s="7">
        <v>-0.04</v>
      </c>
      <c r="V708" s="7">
        <v>0.03</v>
      </c>
      <c r="W708" s="7">
        <v>0.83</v>
      </c>
      <c r="X708" s="7" t="s">
        <v>13</v>
      </c>
      <c r="Y708" s="7" t="s">
        <v>9</v>
      </c>
      <c r="Z708" s="2" t="s">
        <v>718</v>
      </c>
      <c r="AA708" s="2" t="s">
        <v>721</v>
      </c>
    </row>
    <row r="709" spans="1:27" x14ac:dyDescent="0.35">
      <c r="A709" s="7" t="s">
        <v>1773</v>
      </c>
      <c r="B709" s="7" t="s">
        <v>1398</v>
      </c>
      <c r="C709" s="7" t="str">
        <f>_xlfn.XLOOKUP(B709,'[1]Sheet 1'!$A$2:$A$11107,'[1]Sheet 1'!$D$2:$D$11107,"",0)</f>
        <v>NKSKI</v>
      </c>
      <c r="D709" s="4" t="str">
        <f>_xlfn.XLOOKUP(A709,[3]Sheet2!$I$2:$I$1623,[3]Sheet2!$D$2:$D$1623,"",0)</f>
        <v>Q3</v>
      </c>
      <c r="E709" s="4" t="s">
        <v>1828</v>
      </c>
      <c r="F709" s="4" t="e">
        <f>_xlfn.XLOOKUP(B709,[2]Sheet2!$E$2:$E$713,[2]Sheet2!$G$2:$G$713)</f>
        <v>#N/A</v>
      </c>
      <c r="G709" s="18">
        <v>46146</v>
      </c>
      <c r="H709" s="14">
        <v>0.77591435185185187</v>
      </c>
      <c r="I709" s="7" t="s">
        <v>4</v>
      </c>
      <c r="J709" s="2" t="str">
        <f t="shared" si="55"/>
        <v>Q2</v>
      </c>
      <c r="K709" s="2" t="str">
        <f t="shared" si="56"/>
        <v>Not Match</v>
      </c>
      <c r="L709" s="2">
        <f t="shared" si="57"/>
        <v>0.42426406871192851</v>
      </c>
      <c r="M709" s="2" t="e">
        <f t="shared" si="58"/>
        <v>#N/A</v>
      </c>
      <c r="N709" s="2" t="str">
        <f t="shared" si="59"/>
        <v>Q NOT OK dE&lt;=0.8</v>
      </c>
      <c r="O709" s="7">
        <v>16.399999999999999</v>
      </c>
      <c r="P709" s="7">
        <v>-1.5</v>
      </c>
      <c r="Q709" s="7">
        <v>-2.2999999999999998</v>
      </c>
      <c r="R709" s="7">
        <v>0.12</v>
      </c>
      <c r="S709" s="7">
        <v>-0.3</v>
      </c>
      <c r="T709" s="7">
        <v>0.3</v>
      </c>
      <c r="U709" s="7">
        <v>-0.18</v>
      </c>
      <c r="V709" s="7">
        <v>-0.57999999999999996</v>
      </c>
      <c r="W709" s="7">
        <v>0.62</v>
      </c>
      <c r="X709" s="7" t="s">
        <v>8</v>
      </c>
      <c r="Y709" s="7" t="s">
        <v>15</v>
      </c>
      <c r="Z709" s="2" t="s">
        <v>718</v>
      </c>
      <c r="AA709" s="2" t="s">
        <v>721</v>
      </c>
    </row>
    <row r="710" spans="1:27" x14ac:dyDescent="0.35">
      <c r="A710" s="7" t="s">
        <v>1593</v>
      </c>
      <c r="B710" s="7" t="s">
        <v>1401</v>
      </c>
      <c r="C710" s="7" t="str">
        <f>_xlfn.XLOOKUP(B710,'[1]Sheet 1'!$A$2:$A$11107,'[1]Sheet 1'!$D$2:$D$11107,"",0)</f>
        <v>LULU</v>
      </c>
      <c r="D710" s="4" t="str">
        <f>_xlfn.XLOOKUP(A710,[3]Sheet2!$I$2:$I$1623,[3]Sheet2!$D$2:$D$1623,"",0)</f>
        <v>Q3</v>
      </c>
      <c r="E710" s="4" t="s">
        <v>1828</v>
      </c>
      <c r="F710" s="4" t="e">
        <f>_xlfn.XLOOKUP(B710,[2]Sheet2!$E$2:$E$713,[2]Sheet2!$G$2:$G$713)</f>
        <v>#N/A</v>
      </c>
      <c r="G710" s="18">
        <v>46146</v>
      </c>
      <c r="H710" s="14">
        <v>0.94063657407407408</v>
      </c>
      <c r="I710" s="7" t="s">
        <v>4</v>
      </c>
      <c r="J710" s="2" t="str">
        <f t="shared" si="55"/>
        <v>Q1</v>
      </c>
      <c r="K710" s="2" t="str">
        <f t="shared" si="56"/>
        <v>Not Match</v>
      </c>
      <c r="L710" s="2">
        <f t="shared" si="57"/>
        <v>0.41231056256176613</v>
      </c>
      <c r="M710" s="2" t="e">
        <f t="shared" si="58"/>
        <v>#N/A</v>
      </c>
      <c r="N710" s="2" t="str">
        <f t="shared" si="59"/>
        <v>Q NOT OK dE&gt;0.8</v>
      </c>
      <c r="O710" s="7">
        <v>22</v>
      </c>
      <c r="P710" s="7">
        <v>2.8</v>
      </c>
      <c r="Q710" s="7">
        <v>2.6</v>
      </c>
      <c r="R710" s="7">
        <v>-1.52</v>
      </c>
      <c r="S710" s="7">
        <v>0.1</v>
      </c>
      <c r="T710" s="7">
        <v>0.4</v>
      </c>
      <c r="U710" s="7">
        <v>0.4</v>
      </c>
      <c r="V710" s="7">
        <v>0.33</v>
      </c>
      <c r="W710" s="7">
        <v>1.61</v>
      </c>
      <c r="X710" s="7" t="s">
        <v>6</v>
      </c>
      <c r="Y710" s="7" t="s">
        <v>12</v>
      </c>
      <c r="Z710" s="2" t="s">
        <v>718</v>
      </c>
      <c r="AA710" s="2" t="s">
        <v>721</v>
      </c>
    </row>
    <row r="711" spans="1:27" x14ac:dyDescent="0.35">
      <c r="A711" s="7" t="s">
        <v>1593</v>
      </c>
      <c r="B711" s="7" t="s">
        <v>1400</v>
      </c>
      <c r="C711" s="7" t="str">
        <f>_xlfn.XLOOKUP(B711,'[1]Sheet 1'!$A$2:$A$11107,'[1]Sheet 1'!$D$2:$D$11107,"",0)</f>
        <v>LULU</v>
      </c>
      <c r="D711" s="4" t="str">
        <f>_xlfn.XLOOKUP(A711,[3]Sheet2!$I$2:$I$1623,[3]Sheet2!$D$2:$D$1623,"",0)</f>
        <v>Q3</v>
      </c>
      <c r="E711" s="4" t="s">
        <v>1828</v>
      </c>
      <c r="F711" s="4" t="e">
        <f>_xlfn.XLOOKUP(B711,[2]Sheet2!$E$2:$E$713,[2]Sheet2!$G$2:$G$713)</f>
        <v>#N/A</v>
      </c>
      <c r="G711" s="18">
        <v>46146</v>
      </c>
      <c r="H711" s="14">
        <v>0.90927083333333336</v>
      </c>
      <c r="I711" s="7" t="s">
        <v>4</v>
      </c>
      <c r="J711" s="2" t="str">
        <f t="shared" si="55"/>
        <v>Q1</v>
      </c>
      <c r="K711" s="2" t="str">
        <f t="shared" si="56"/>
        <v>Not Match</v>
      </c>
      <c r="L711" s="2">
        <f t="shared" si="57"/>
        <v>0.36055512754639896</v>
      </c>
      <c r="M711" s="2" t="e">
        <f t="shared" si="58"/>
        <v>#N/A</v>
      </c>
      <c r="N711" s="2" t="str">
        <f t="shared" si="59"/>
        <v>Q NOT OK dE&gt;0.8</v>
      </c>
      <c r="O711" s="7">
        <v>22.7</v>
      </c>
      <c r="P711" s="7">
        <v>3</v>
      </c>
      <c r="Q711" s="7">
        <v>2.6</v>
      </c>
      <c r="R711" s="7">
        <v>-0.99</v>
      </c>
      <c r="S711" s="7">
        <v>0.2</v>
      </c>
      <c r="T711" s="7">
        <v>0.3</v>
      </c>
      <c r="U711" s="7">
        <v>0.51</v>
      </c>
      <c r="V711" s="7">
        <v>0.16</v>
      </c>
      <c r="W711" s="7">
        <v>1.1200000000000001</v>
      </c>
      <c r="X711" s="7" t="s">
        <v>6</v>
      </c>
      <c r="Y711" s="7" t="s">
        <v>12</v>
      </c>
      <c r="Z711" s="2" t="s">
        <v>718</v>
      </c>
      <c r="AA711" s="2" t="s">
        <v>721</v>
      </c>
    </row>
    <row r="712" spans="1:27" x14ac:dyDescent="0.35">
      <c r="A712" s="7" t="s">
        <v>1652</v>
      </c>
      <c r="B712" s="7" t="s">
        <v>1399</v>
      </c>
      <c r="C712" s="7" t="str">
        <f>_xlfn.XLOOKUP(B712,'[1]Sheet 1'!$A$2:$A$11107,'[1]Sheet 1'!$D$2:$D$11107,"",0)</f>
        <v>NIK</v>
      </c>
      <c r="D712" s="4" t="str">
        <f>_xlfn.XLOOKUP(A712,[3]Sheet2!$I$2:$I$1623,[3]Sheet2!$D$2:$D$1623,"",0)</f>
        <v>Q2</v>
      </c>
      <c r="E712" s="4" t="s">
        <v>1828</v>
      </c>
      <c r="F712" s="4" t="e">
        <f>_xlfn.XLOOKUP(B712,[2]Sheet2!$E$2:$E$713,[2]Sheet2!$G$2:$G$713)</f>
        <v>#N/A</v>
      </c>
      <c r="G712" s="18">
        <v>46146</v>
      </c>
      <c r="H712" s="14">
        <v>0.77837962962962959</v>
      </c>
      <c r="I712" s="7" t="s">
        <v>4</v>
      </c>
      <c r="J712" s="2" t="str">
        <f t="shared" si="55"/>
        <v>Q3</v>
      </c>
      <c r="K712" s="2" t="str">
        <f t="shared" si="56"/>
        <v>Not Match</v>
      </c>
      <c r="L712" s="2">
        <f t="shared" si="57"/>
        <v>0.44721359549995798</v>
      </c>
      <c r="M712" s="2" t="e">
        <f t="shared" si="58"/>
        <v>#N/A</v>
      </c>
      <c r="N712" s="2" t="str">
        <f t="shared" si="59"/>
        <v>Q NOT OK dE&gt;0.8</v>
      </c>
      <c r="O712" s="7">
        <v>15.8</v>
      </c>
      <c r="P712" s="7">
        <v>-1.1000000000000001</v>
      </c>
      <c r="Q712" s="7">
        <v>-2.4</v>
      </c>
      <c r="R712" s="7">
        <v>-0.59</v>
      </c>
      <c r="S712" s="7">
        <v>-0.2</v>
      </c>
      <c r="T712" s="7">
        <v>-0.4</v>
      </c>
      <c r="U712" s="7">
        <v>0.65</v>
      </c>
      <c r="V712" s="7">
        <v>-0.1</v>
      </c>
      <c r="W712" s="7">
        <v>0.88</v>
      </c>
      <c r="X712" s="7" t="s">
        <v>13</v>
      </c>
      <c r="Y712" s="7" t="s">
        <v>15</v>
      </c>
      <c r="Z712" s="2" t="s">
        <v>718</v>
      </c>
      <c r="AA712" s="2" t="s">
        <v>721</v>
      </c>
    </row>
    <row r="713" spans="1:27" x14ac:dyDescent="0.35">
      <c r="A713" s="7" t="s">
        <v>1757</v>
      </c>
      <c r="B713" s="7" t="s">
        <v>1392</v>
      </c>
      <c r="C713" s="7" t="str">
        <f>_xlfn.XLOOKUP(B713,'[1]Sheet 1'!$A$2:$A$11107,'[1]Sheet 1'!$D$2:$D$11107,"",0)</f>
        <v>WACE</v>
      </c>
      <c r="D713" s="4" t="str">
        <f>_xlfn.XLOOKUP(A713,[3]Sheet2!$I$2:$I$1623,[3]Sheet2!$D$2:$D$1623,"",0)</f>
        <v>Q2</v>
      </c>
      <c r="E713" s="4" t="s">
        <v>1828</v>
      </c>
      <c r="F713" s="4" t="e">
        <f>_xlfn.XLOOKUP(B713,[2]Sheet2!$E$2:$E$713,[2]Sheet2!$G$2:$G$713)</f>
        <v>#N/A</v>
      </c>
      <c r="G713" s="18">
        <v>46146</v>
      </c>
      <c r="H713" s="14">
        <v>0.7045717592592593</v>
      </c>
      <c r="I713" s="7" t="s">
        <v>5</v>
      </c>
      <c r="J713" s="2" t="str">
        <f t="shared" si="55"/>
        <v>Q3</v>
      </c>
      <c r="K713" s="2" t="str">
        <f t="shared" si="56"/>
        <v>Not Match</v>
      </c>
      <c r="L713" s="2">
        <f t="shared" si="57"/>
        <v>0.14142135623730953</v>
      </c>
      <c r="M713" s="2" t="e">
        <f t="shared" si="58"/>
        <v>#N/A</v>
      </c>
      <c r="N713" s="2" t="str">
        <f t="shared" si="59"/>
        <v>Q NOT OK dE&lt;=0.8</v>
      </c>
      <c r="O713" s="7">
        <v>15.8</v>
      </c>
      <c r="P713" s="7">
        <v>-0.7</v>
      </c>
      <c r="Q713" s="7">
        <v>-2.7</v>
      </c>
      <c r="R713" s="7">
        <v>0.19</v>
      </c>
      <c r="S713" s="7">
        <v>-0.1</v>
      </c>
      <c r="T713" s="7">
        <v>-0.1</v>
      </c>
      <c r="U713" s="7">
        <v>0.25</v>
      </c>
      <c r="V713" s="7">
        <v>-0.16</v>
      </c>
      <c r="W713" s="7">
        <v>0.35</v>
      </c>
      <c r="X713" s="7" t="s">
        <v>8</v>
      </c>
      <c r="Y713" s="7" t="s">
        <v>15</v>
      </c>
      <c r="Z713" s="2" t="s">
        <v>718</v>
      </c>
      <c r="AA713" s="2" t="s">
        <v>721</v>
      </c>
    </row>
    <row r="714" spans="1:27" x14ac:dyDescent="0.35">
      <c r="A714" s="7" t="s">
        <v>1572</v>
      </c>
      <c r="B714" s="7" t="s">
        <v>1396</v>
      </c>
      <c r="C714" s="7" t="str">
        <f>_xlfn.XLOOKUP(B714,'[1]Sheet 1'!$A$2:$A$11107,'[1]Sheet 1'!$D$2:$D$11107,"",0)</f>
        <v>WACE</v>
      </c>
      <c r="D714" s="4" t="str">
        <f>_xlfn.XLOOKUP(A714,[3]Sheet2!$I$2:$I$1623,[3]Sheet2!$D$2:$D$1623,"",0)</f>
        <v>Q3</v>
      </c>
      <c r="E714" s="4" t="s">
        <v>1828</v>
      </c>
      <c r="F714" s="4" t="e">
        <f>_xlfn.XLOOKUP(B714,[2]Sheet2!$E$2:$E$713,[2]Sheet2!$G$2:$G$713)</f>
        <v>#N/A</v>
      </c>
      <c r="G714" s="18">
        <v>46146</v>
      </c>
      <c r="H714" s="14">
        <v>0.75817129629629632</v>
      </c>
      <c r="I714" s="7" t="s">
        <v>5</v>
      </c>
      <c r="J714" s="2" t="str">
        <f t="shared" si="55"/>
        <v>Q3</v>
      </c>
      <c r="K714" s="2" t="str">
        <f t="shared" si="56"/>
        <v>Match</v>
      </c>
      <c r="L714" s="2">
        <f t="shared" si="57"/>
        <v>0</v>
      </c>
      <c r="M714" s="2" t="e">
        <f t="shared" si="58"/>
        <v>#N/A</v>
      </c>
      <c r="N714" s="2" t="str">
        <f t="shared" si="59"/>
        <v>Q OK dE&lt;=0.8</v>
      </c>
      <c r="O714" s="7">
        <v>16.399999999999999</v>
      </c>
      <c r="P714" s="7">
        <v>-0.7</v>
      </c>
      <c r="Q714" s="7">
        <v>-2.2000000000000002</v>
      </c>
      <c r="R714" s="7">
        <v>-0.03</v>
      </c>
      <c r="S714" s="7">
        <v>0</v>
      </c>
      <c r="T714" s="20">
        <v>0</v>
      </c>
      <c r="U714" s="7">
        <v>0.04</v>
      </c>
      <c r="V714" s="7">
        <v>-0.02</v>
      </c>
      <c r="W714" s="7">
        <v>0.05</v>
      </c>
      <c r="X714" s="7" t="s">
        <v>8</v>
      </c>
      <c r="Y714" s="7" t="s">
        <v>15</v>
      </c>
      <c r="Z714" s="2" t="s">
        <v>718</v>
      </c>
      <c r="AA714" s="2" t="s">
        <v>721</v>
      </c>
    </row>
    <row r="715" spans="1:27" x14ac:dyDescent="0.35">
      <c r="A715" s="7" t="s">
        <v>1545</v>
      </c>
      <c r="B715" s="7" t="s">
        <v>1402</v>
      </c>
      <c r="C715" s="7" t="str">
        <f>_xlfn.XLOOKUP(B715,'[1]Sheet 1'!$A$2:$A$11107,'[1]Sheet 1'!$D$2:$D$11107,"",0)</f>
        <v>NIK</v>
      </c>
      <c r="D715" s="4" t="str">
        <f>_xlfn.XLOOKUP(A715,[3]Sheet2!$I$2:$I$1623,[3]Sheet2!$D$2:$D$1623,"",0)</f>
        <v>Q2</v>
      </c>
      <c r="E715" s="4" t="s">
        <v>1828</v>
      </c>
      <c r="F715" s="4" t="e">
        <f>_xlfn.XLOOKUP(B715,[2]Sheet2!$E$2:$E$713,[2]Sheet2!$G$2:$G$713)</f>
        <v>#N/A</v>
      </c>
      <c r="G715" s="18">
        <v>46146</v>
      </c>
      <c r="H715" s="14">
        <v>0.96656249999999999</v>
      </c>
      <c r="I715" s="7" t="s">
        <v>4</v>
      </c>
      <c r="J715" s="2" t="str">
        <f t="shared" si="55"/>
        <v>Q2</v>
      </c>
      <c r="K715" s="2" t="str">
        <f t="shared" si="56"/>
        <v>Match</v>
      </c>
      <c r="L715" s="2">
        <f t="shared" si="57"/>
        <v>0.3</v>
      </c>
      <c r="M715" s="2" t="e">
        <f t="shared" si="58"/>
        <v>#N/A</v>
      </c>
      <c r="N715" s="2" t="str">
        <f t="shared" si="59"/>
        <v>Q OK dE&lt;=0.8</v>
      </c>
      <c r="O715" s="7">
        <v>19</v>
      </c>
      <c r="P715" s="7">
        <v>-0.8</v>
      </c>
      <c r="Q715" s="7">
        <v>-1.9</v>
      </c>
      <c r="R715" s="7">
        <v>0.55000000000000004</v>
      </c>
      <c r="S715" s="7">
        <v>0</v>
      </c>
      <c r="T715" s="7">
        <v>-0.3</v>
      </c>
      <c r="U715" s="7">
        <v>0.34</v>
      </c>
      <c r="V715" s="7">
        <v>0.25</v>
      </c>
      <c r="W715" s="7">
        <v>0.69</v>
      </c>
      <c r="X715" s="7" t="s">
        <v>8</v>
      </c>
      <c r="Y715" s="7" t="s">
        <v>9</v>
      </c>
      <c r="Z715" s="2" t="s">
        <v>718</v>
      </c>
      <c r="AA715" s="2" t="s">
        <v>721</v>
      </c>
    </row>
    <row r="716" spans="1:27" x14ac:dyDescent="0.35">
      <c r="A716" s="7" t="s">
        <v>1626</v>
      </c>
      <c r="B716" s="7" t="s">
        <v>1394</v>
      </c>
      <c r="C716" s="7" t="str">
        <f>_xlfn.XLOOKUP(B716,'[1]Sheet 1'!$A$2:$A$11107,'[1]Sheet 1'!$D$2:$D$11107,"",0)</f>
        <v>PINK</v>
      </c>
      <c r="D716" s="4" t="str">
        <f>_xlfn.XLOOKUP(A716,[3]Sheet2!$I$2:$I$1623,[3]Sheet2!$D$2:$D$1623,"",0)</f>
        <v>Q4</v>
      </c>
      <c r="E716" s="4" t="s">
        <v>1828</v>
      </c>
      <c r="F716" s="4" t="e">
        <f>_xlfn.XLOOKUP(B716,[2]Sheet2!$E$2:$E$713,[2]Sheet2!$G$2:$G$713)</f>
        <v>#N/A</v>
      </c>
      <c r="G716" s="18">
        <v>46146</v>
      </c>
      <c r="H716" s="14">
        <v>0.75245370370370368</v>
      </c>
      <c r="I716" s="7" t="s">
        <v>10</v>
      </c>
      <c r="J716" s="2" t="str">
        <f t="shared" si="55"/>
        <v>Q4</v>
      </c>
      <c r="K716" s="2" t="str">
        <f t="shared" si="56"/>
        <v>Match</v>
      </c>
      <c r="L716" s="2">
        <f t="shared" si="57"/>
        <v>0.3</v>
      </c>
      <c r="M716" s="2" t="e">
        <f t="shared" si="58"/>
        <v>#N/A</v>
      </c>
      <c r="N716" s="2" t="str">
        <f t="shared" si="59"/>
        <v>Q OK dE&lt;=0.8</v>
      </c>
      <c r="O716" s="7">
        <v>15.7</v>
      </c>
      <c r="P716" s="7">
        <v>0.5</v>
      </c>
      <c r="Q716" s="7">
        <v>-1.6</v>
      </c>
      <c r="R716" s="7">
        <v>-0.45</v>
      </c>
      <c r="S716" s="7">
        <v>-0.3</v>
      </c>
      <c r="T716" s="20">
        <v>0</v>
      </c>
      <c r="U716" s="7">
        <v>-0.28000000000000003</v>
      </c>
      <c r="V716" s="7">
        <v>-0.36</v>
      </c>
      <c r="W716" s="7">
        <v>0.65</v>
      </c>
      <c r="X716" s="7" t="s">
        <v>8</v>
      </c>
      <c r="Y716" s="7" t="s">
        <v>7</v>
      </c>
      <c r="Z716" s="2" t="s">
        <v>718</v>
      </c>
      <c r="AA716" s="2" t="s">
        <v>721</v>
      </c>
    </row>
    <row r="717" spans="1:27" x14ac:dyDescent="0.35">
      <c r="A717" s="7" t="s">
        <v>1625</v>
      </c>
      <c r="B717" s="7" t="s">
        <v>1417</v>
      </c>
      <c r="C717" s="7" t="str">
        <f>_xlfn.XLOOKUP(B717,'[1]Sheet 1'!$A$2:$A$11107,'[1]Sheet 1'!$D$2:$D$11107,"",0)</f>
        <v>CK</v>
      </c>
      <c r="D717" s="4" t="str">
        <f>_xlfn.XLOOKUP(A717,[3]Sheet2!$I$2:$I$1623,[3]Sheet2!$D$2:$D$1623,"",0)</f>
        <v>Q1</v>
      </c>
      <c r="E717" s="4" t="s">
        <v>1828</v>
      </c>
      <c r="F717" s="4" t="e">
        <f>_xlfn.XLOOKUP(B717,[2]Sheet2!$E$2:$E$713,[2]Sheet2!$G$2:$G$713)</f>
        <v>#N/A</v>
      </c>
      <c r="G717" s="18">
        <v>46147</v>
      </c>
      <c r="H717" s="14">
        <v>0.76732638888888893</v>
      </c>
      <c r="I717" s="7" t="s">
        <v>11</v>
      </c>
      <c r="J717" s="2" t="str">
        <f t="shared" si="55"/>
        <v>Q1</v>
      </c>
      <c r="K717" s="2" t="str">
        <f t="shared" si="56"/>
        <v>Match</v>
      </c>
      <c r="L717" s="2">
        <f t="shared" si="57"/>
        <v>0.63245553203367588</v>
      </c>
      <c r="M717" s="2" t="e">
        <f t="shared" si="58"/>
        <v>#N/A</v>
      </c>
      <c r="N717" s="2" t="str">
        <f t="shared" si="59"/>
        <v>Q OK dE&gt;0.8</v>
      </c>
      <c r="O717" s="7">
        <v>19.5</v>
      </c>
      <c r="P717" s="7">
        <v>-0.1</v>
      </c>
      <c r="Q717" s="7">
        <v>-3.4</v>
      </c>
      <c r="R717" s="7">
        <v>-0.51</v>
      </c>
      <c r="S717" s="7">
        <v>0.2</v>
      </c>
      <c r="T717" s="7">
        <v>0.6</v>
      </c>
      <c r="U717" s="7">
        <v>-0.75</v>
      </c>
      <c r="V717" s="7">
        <v>0.28000000000000003</v>
      </c>
      <c r="W717" s="7">
        <v>0.95</v>
      </c>
      <c r="X717" s="7" t="s">
        <v>13</v>
      </c>
      <c r="Y717" s="7" t="s">
        <v>9</v>
      </c>
      <c r="Z717" s="2" t="s">
        <v>718</v>
      </c>
      <c r="AA717" s="2" t="s">
        <v>721</v>
      </c>
    </row>
    <row r="718" spans="1:27" x14ac:dyDescent="0.35">
      <c r="A718" s="7" t="s">
        <v>1779</v>
      </c>
      <c r="B718" s="7" t="s">
        <v>1421</v>
      </c>
      <c r="C718" s="7" t="str">
        <f>_xlfn.XLOOKUP(B718,'[1]Sheet 1'!$A$2:$A$11107,'[1]Sheet 1'!$D$2:$D$11107,"",0)</f>
        <v>VSS</v>
      </c>
      <c r="D718" s="4" t="str">
        <f>_xlfn.XLOOKUP(A718,[3]Sheet2!$I$2:$I$1623,[3]Sheet2!$D$2:$D$1623,"",0)</f>
        <v>Q4</v>
      </c>
      <c r="E718" s="4" t="s">
        <v>1828</v>
      </c>
      <c r="F718" s="4" t="e">
        <f>_xlfn.XLOOKUP(B718,[2]Sheet2!$E$2:$E$713,[2]Sheet2!$G$2:$G$713)</f>
        <v>#N/A</v>
      </c>
      <c r="G718" s="18">
        <v>46147</v>
      </c>
      <c r="H718" s="14">
        <v>0.9299074074074074</v>
      </c>
      <c r="I718" s="7" t="s">
        <v>10</v>
      </c>
      <c r="J718" s="2" t="str">
        <f t="shared" si="55"/>
        <v>Q3</v>
      </c>
      <c r="K718" s="2" t="str">
        <f t="shared" si="56"/>
        <v>Not Match</v>
      </c>
      <c r="L718" s="2">
        <f t="shared" si="57"/>
        <v>1.7804493814764855</v>
      </c>
      <c r="M718" s="2" t="e">
        <f t="shared" si="58"/>
        <v>#N/A</v>
      </c>
      <c r="N718" s="2" t="str">
        <f t="shared" si="59"/>
        <v>Q NOT OK dE&gt;0.8</v>
      </c>
      <c r="O718" s="7">
        <v>30.9</v>
      </c>
      <c r="P718" s="7">
        <v>-21.1</v>
      </c>
      <c r="Q718" s="7">
        <v>-23.6</v>
      </c>
      <c r="R718" s="7">
        <v>0.28999999999999998</v>
      </c>
      <c r="S718" s="7">
        <v>-1.1000000000000001</v>
      </c>
      <c r="T718" s="7">
        <v>-1.4</v>
      </c>
      <c r="U718" s="7">
        <v>0.94</v>
      </c>
      <c r="V718" s="7">
        <v>7.0000000000000007E-2</v>
      </c>
      <c r="W718" s="7">
        <v>0.98</v>
      </c>
      <c r="X718" s="7" t="s">
        <v>13</v>
      </c>
      <c r="Y718" s="7" t="s">
        <v>7</v>
      </c>
      <c r="Z718" s="2" t="s">
        <v>718</v>
      </c>
      <c r="AA718" s="2" t="s">
        <v>721</v>
      </c>
    </row>
    <row r="719" spans="1:27" x14ac:dyDescent="0.35">
      <c r="A719" s="7" t="s">
        <v>1781</v>
      </c>
      <c r="B719" s="7" t="s">
        <v>1335</v>
      </c>
      <c r="C719" s="7" t="str">
        <f>_xlfn.XLOOKUP(B719,'[1]Sheet 1'!$A$2:$A$11107,'[1]Sheet 1'!$D$2:$D$11107,"",0)</f>
        <v>CK</v>
      </c>
      <c r="D719" s="4" t="str">
        <f>_xlfn.XLOOKUP(A719,[3]Sheet2!$I$2:$I$1623,[3]Sheet2!$D$2:$D$1623,"",0)</f>
        <v>Q4</v>
      </c>
      <c r="E719" s="4" t="s">
        <v>1827</v>
      </c>
      <c r="F719" s="4" t="e">
        <f>_xlfn.XLOOKUP(B719,[2]Sheet2!$E$2:$E$713,[2]Sheet2!$G$2:$G$713)</f>
        <v>#N/A</v>
      </c>
      <c r="G719" s="18">
        <v>46147</v>
      </c>
      <c r="H719" s="14">
        <v>0.89881944444444439</v>
      </c>
      <c r="I719" s="7" t="s">
        <v>11</v>
      </c>
      <c r="J719" s="2" t="str">
        <f t="shared" si="55"/>
        <v>Q3</v>
      </c>
      <c r="K719" s="2" t="str">
        <f t="shared" si="56"/>
        <v>Not Match</v>
      </c>
      <c r="L719" s="2">
        <f t="shared" si="57"/>
        <v>0.36055512754639896</v>
      </c>
      <c r="M719" s="2" t="e">
        <f t="shared" si="58"/>
        <v>#N/A</v>
      </c>
      <c r="N719" s="2" t="str">
        <f t="shared" si="59"/>
        <v>Q NOT OK dE&gt;0.8</v>
      </c>
      <c r="O719" s="7">
        <v>24</v>
      </c>
      <c r="P719" s="7">
        <v>-0.4</v>
      </c>
      <c r="Q719" s="7">
        <v>-16.7</v>
      </c>
      <c r="R719" s="7">
        <v>1.1599999999999999</v>
      </c>
      <c r="S719" s="7">
        <v>-0.3</v>
      </c>
      <c r="T719" s="7">
        <v>-0.2</v>
      </c>
      <c r="U719" s="7">
        <v>0.16</v>
      </c>
      <c r="V719" s="7">
        <v>-0.36</v>
      </c>
      <c r="W719" s="7">
        <v>1.23</v>
      </c>
      <c r="X719" s="7" t="s">
        <v>6</v>
      </c>
      <c r="Y719" s="7" t="s">
        <v>15</v>
      </c>
      <c r="Z719" s="2" t="s">
        <v>718</v>
      </c>
      <c r="AA719" s="2" t="s">
        <v>721</v>
      </c>
    </row>
    <row r="720" spans="1:27" x14ac:dyDescent="0.35">
      <c r="A720" s="7" t="s">
        <v>1755</v>
      </c>
      <c r="B720" s="7" t="s">
        <v>1328</v>
      </c>
      <c r="C720" s="7" t="str">
        <f>_xlfn.XLOOKUP(B720,'[1]Sheet 1'!$A$2:$A$11107,'[1]Sheet 1'!$D$2:$D$11107,"",0)</f>
        <v>VSS</v>
      </c>
      <c r="D720" s="4" t="str">
        <f>_xlfn.XLOOKUP(A720,[3]Sheet2!$I$2:$I$1623,[3]Sheet2!$D$2:$D$1623,"",0)</f>
        <v>Q4</v>
      </c>
      <c r="E720" s="4" t="s">
        <v>1828</v>
      </c>
      <c r="F720" s="4" t="e">
        <f>_xlfn.XLOOKUP(B720,[2]Sheet2!$E$2:$E$713,[2]Sheet2!$G$2:$G$713)</f>
        <v>#N/A</v>
      </c>
      <c r="G720" s="18">
        <v>46147</v>
      </c>
      <c r="H720" s="14">
        <v>0.26069444444444445</v>
      </c>
      <c r="I720" s="7" t="s">
        <v>10</v>
      </c>
      <c r="J720" s="2" t="str">
        <f t="shared" si="55"/>
        <v>Q1</v>
      </c>
      <c r="K720" s="2" t="str">
        <f t="shared" si="56"/>
        <v>Not Match</v>
      </c>
      <c r="L720" s="2">
        <f t="shared" si="57"/>
        <v>0.70710678118654757</v>
      </c>
      <c r="M720" s="2" t="e">
        <f t="shared" si="58"/>
        <v>#N/A</v>
      </c>
      <c r="N720" s="2" t="str">
        <f t="shared" si="59"/>
        <v>Q NOT OK dE&gt;0.8</v>
      </c>
      <c r="O720" s="7">
        <v>27.4</v>
      </c>
      <c r="P720" s="7">
        <v>12.4</v>
      </c>
      <c r="Q720" s="7">
        <v>-7.9</v>
      </c>
      <c r="R720" s="7">
        <v>-0.48</v>
      </c>
      <c r="S720" s="7">
        <v>0.5</v>
      </c>
      <c r="T720" s="7">
        <v>0.5</v>
      </c>
      <c r="U720" s="7">
        <v>0.08</v>
      </c>
      <c r="V720" s="7">
        <v>0.75</v>
      </c>
      <c r="W720" s="7">
        <v>0.89</v>
      </c>
      <c r="X720" s="7" t="s">
        <v>13</v>
      </c>
      <c r="Y720" s="7" t="s">
        <v>9</v>
      </c>
      <c r="Z720" s="2" t="s">
        <v>718</v>
      </c>
      <c r="AA720" s="2" t="s">
        <v>721</v>
      </c>
    </row>
    <row r="721" spans="1:27" x14ac:dyDescent="0.35">
      <c r="A721" s="7" t="s">
        <v>1803</v>
      </c>
      <c r="B721" s="7" t="s">
        <v>1216</v>
      </c>
      <c r="C721" s="7" t="str">
        <f>_xlfn.XLOOKUP(B721,'[1]Sheet 1'!$A$2:$A$11107,'[1]Sheet 1'!$D$2:$D$11107,"",0)</f>
        <v>DUN</v>
      </c>
      <c r="D721" s="4" t="str">
        <f>_xlfn.XLOOKUP(A721,[3]Sheet2!$I$2:$I$1623,[3]Sheet2!$D$2:$D$1623,"",0)</f>
        <v>Q2</v>
      </c>
      <c r="E721" s="4" t="s">
        <v>1828</v>
      </c>
      <c r="F721" s="4" t="e">
        <f>_xlfn.XLOOKUP(B721,[2]Sheet2!$E$2:$E$713,[2]Sheet2!$G$2:$G$713)</f>
        <v>#N/A</v>
      </c>
      <c r="G721" s="18">
        <v>46147</v>
      </c>
      <c r="H721" s="14">
        <v>0.4748148148148148</v>
      </c>
      <c r="I721" s="7" t="s">
        <v>4</v>
      </c>
      <c r="J721" s="2" t="str">
        <f t="shared" si="55"/>
        <v>Q2</v>
      </c>
      <c r="K721" s="2" t="str">
        <f t="shared" si="56"/>
        <v>Match</v>
      </c>
      <c r="L721" s="2">
        <f t="shared" si="57"/>
        <v>0.41231056256176613</v>
      </c>
      <c r="M721" s="2" t="e">
        <f t="shared" si="58"/>
        <v>#N/A</v>
      </c>
      <c r="N721" s="2" t="str">
        <f t="shared" si="59"/>
        <v>Q OK dE&gt;0.8</v>
      </c>
      <c r="O721" s="7">
        <v>26.1</v>
      </c>
      <c r="P721" s="7">
        <v>6.9</v>
      </c>
      <c r="Q721" s="7">
        <v>1.8</v>
      </c>
      <c r="R721" s="7">
        <v>0.56999999999999995</v>
      </c>
      <c r="S721" s="7">
        <v>-0.1</v>
      </c>
      <c r="T721" s="7">
        <v>0.4</v>
      </c>
      <c r="U721" s="7">
        <v>0</v>
      </c>
      <c r="V721" s="7">
        <v>0.64</v>
      </c>
      <c r="W721" s="7">
        <v>0.86</v>
      </c>
      <c r="X721" s="7" t="s">
        <v>13</v>
      </c>
      <c r="Y721" s="7" t="s">
        <v>12</v>
      </c>
      <c r="Z721" s="2" t="s">
        <v>718</v>
      </c>
      <c r="AA721" s="2" t="s">
        <v>721</v>
      </c>
    </row>
    <row r="722" spans="1:27" x14ac:dyDescent="0.35">
      <c r="A722" s="7" t="s">
        <v>1587</v>
      </c>
      <c r="B722" s="7" t="s">
        <v>1413</v>
      </c>
      <c r="C722" s="7" t="str">
        <f>_xlfn.XLOOKUP(B722,'[1]Sheet 1'!$A$2:$A$11107,'[1]Sheet 1'!$D$2:$D$11107,"",0)</f>
        <v/>
      </c>
      <c r="D722" s="4" t="str">
        <f>_xlfn.XLOOKUP(A722,[3]Sheet2!$I$2:$I$1623,[3]Sheet2!$D$2:$D$1623,"",0)</f>
        <v>Q4</v>
      </c>
      <c r="E722" s="4" t="s">
        <v>1828</v>
      </c>
      <c r="F722" s="4" t="e">
        <f>_xlfn.XLOOKUP(B722,[2]Sheet2!$E$2:$E$713,[2]Sheet2!$G$2:$G$713)</f>
        <v>#N/A</v>
      </c>
      <c r="G722" s="18">
        <v>46147</v>
      </c>
      <c r="H722" s="14">
        <v>0.69601851851851848</v>
      </c>
      <c r="I722" s="7" t="s">
        <v>4</v>
      </c>
      <c r="J722" s="2" t="str">
        <f t="shared" si="55"/>
        <v>Q4</v>
      </c>
      <c r="K722" s="2" t="str">
        <f t="shared" si="56"/>
        <v>Match</v>
      </c>
      <c r="L722" s="2">
        <f t="shared" si="57"/>
        <v>0.1</v>
      </c>
      <c r="M722" s="2" t="e">
        <f t="shared" si="58"/>
        <v>#N/A</v>
      </c>
      <c r="N722" s="2" t="str">
        <f t="shared" si="59"/>
        <v>Q OK dE&gt;0.8</v>
      </c>
      <c r="O722" s="7">
        <v>16.899999999999999</v>
      </c>
      <c r="P722" s="7">
        <v>-1</v>
      </c>
      <c r="Q722" s="7">
        <v>-2.4</v>
      </c>
      <c r="R722" s="7">
        <v>-1.32</v>
      </c>
      <c r="S722" s="7">
        <v>0</v>
      </c>
      <c r="T722" s="7">
        <v>0.1</v>
      </c>
      <c r="U722" s="7">
        <v>-0.15</v>
      </c>
      <c r="V722" s="7">
        <v>0.05</v>
      </c>
      <c r="W722" s="7">
        <v>1.33</v>
      </c>
      <c r="X722" s="7" t="s">
        <v>6</v>
      </c>
      <c r="Y722" s="7" t="s">
        <v>15</v>
      </c>
      <c r="Z722" s="2" t="s">
        <v>718</v>
      </c>
      <c r="AA722" s="2" t="s">
        <v>721</v>
      </c>
    </row>
    <row r="723" spans="1:27" x14ac:dyDescent="0.35">
      <c r="A723" s="7" t="s">
        <v>1554</v>
      </c>
      <c r="B723" s="7" t="s">
        <v>1418</v>
      </c>
      <c r="C723" s="7" t="str">
        <f>_xlfn.XLOOKUP(B723,'[1]Sheet 1'!$A$2:$A$11107,'[1]Sheet 1'!$D$2:$D$11107,"",0)</f>
        <v>NIK</v>
      </c>
      <c r="D723" s="4" t="str">
        <f>_xlfn.XLOOKUP(A723,[3]Sheet2!$I$2:$I$1623,[3]Sheet2!$D$2:$D$1623,"",0)</f>
        <v>Q1</v>
      </c>
      <c r="E723" s="4" t="s">
        <v>1828</v>
      </c>
      <c r="F723" s="4" t="e">
        <f>_xlfn.XLOOKUP(B723,[2]Sheet2!$E$2:$E$713,[2]Sheet2!$G$2:$G$713)</f>
        <v>#N/A</v>
      </c>
      <c r="G723" s="18">
        <v>46147</v>
      </c>
      <c r="H723" s="14">
        <v>0.77475694444444443</v>
      </c>
      <c r="I723" s="7" t="s">
        <v>4</v>
      </c>
      <c r="J723" s="2" t="str">
        <f t="shared" si="55"/>
        <v>Q1</v>
      </c>
      <c r="K723" s="2" t="str">
        <f t="shared" si="56"/>
        <v>Match</v>
      </c>
      <c r="L723" s="2">
        <f t="shared" si="57"/>
        <v>0.85440037453175322</v>
      </c>
      <c r="M723" s="2" t="e">
        <f t="shared" si="58"/>
        <v>#N/A</v>
      </c>
      <c r="N723" s="2" t="str">
        <f t="shared" si="59"/>
        <v>Q OK dE&gt;0.8</v>
      </c>
      <c r="O723" s="7">
        <v>16.399999999999999</v>
      </c>
      <c r="P723" s="7">
        <v>-0.5</v>
      </c>
      <c r="Q723" s="7">
        <v>-1.5</v>
      </c>
      <c r="R723" s="7">
        <v>-1.1299999999999999</v>
      </c>
      <c r="S723" s="7">
        <v>0.8</v>
      </c>
      <c r="T723" s="7">
        <v>0.3</v>
      </c>
      <c r="U723" s="7">
        <v>-0.9</v>
      </c>
      <c r="V723" s="7">
        <v>0.79</v>
      </c>
      <c r="W723" s="7">
        <v>1.65</v>
      </c>
      <c r="X723" s="7" t="s">
        <v>6</v>
      </c>
      <c r="Y723" s="7" t="s">
        <v>7</v>
      </c>
      <c r="Z723" s="2" t="s">
        <v>718</v>
      </c>
      <c r="AA723" s="2" t="s">
        <v>721</v>
      </c>
    </row>
    <row r="724" spans="1:27" x14ac:dyDescent="0.35">
      <c r="A724" s="7" t="s">
        <v>1802</v>
      </c>
      <c r="B724" s="7" t="s">
        <v>1397</v>
      </c>
      <c r="C724" s="7" t="str">
        <f>_xlfn.XLOOKUP(B724,'[1]Sheet 1'!$A$2:$A$11107,'[1]Sheet 1'!$D$2:$D$11107,"",0)</f>
        <v>LULU</v>
      </c>
      <c r="D724" s="4" t="str">
        <f>_xlfn.XLOOKUP(A724,[3]Sheet2!$I$2:$I$1623,[3]Sheet2!$D$2:$D$1623,"",0)</f>
        <v>Q3</v>
      </c>
      <c r="E724" s="4" t="s">
        <v>1828</v>
      </c>
      <c r="F724" s="4" t="e">
        <f>_xlfn.XLOOKUP(B724,[2]Sheet2!$E$2:$E$713,[2]Sheet2!$G$2:$G$713)</f>
        <v>#N/A</v>
      </c>
      <c r="G724" s="18">
        <v>46147</v>
      </c>
      <c r="H724" s="14">
        <v>0.25239583333333332</v>
      </c>
      <c r="I724" s="7" t="s">
        <v>4</v>
      </c>
      <c r="J724" s="2" t="str">
        <f t="shared" si="55"/>
        <v>Q3</v>
      </c>
      <c r="K724" s="2" t="str">
        <f t="shared" si="56"/>
        <v>Match</v>
      </c>
      <c r="L724" s="2">
        <f t="shared" si="57"/>
        <v>0.4</v>
      </c>
      <c r="M724" s="2" t="e">
        <f t="shared" si="58"/>
        <v>#N/A</v>
      </c>
      <c r="N724" s="2" t="str">
        <f t="shared" si="59"/>
        <v>Q OK dE&lt;=0.8</v>
      </c>
      <c r="O724" s="7">
        <v>22.2</v>
      </c>
      <c r="P724" s="7">
        <v>8.1</v>
      </c>
      <c r="Q724" s="7">
        <v>1</v>
      </c>
      <c r="R724" s="7">
        <v>-0.25</v>
      </c>
      <c r="S724" s="7">
        <v>0</v>
      </c>
      <c r="T724" s="7">
        <v>0.4</v>
      </c>
      <c r="U724" s="7">
        <v>0.05</v>
      </c>
      <c r="V724" s="7">
        <v>0.57999999999999996</v>
      </c>
      <c r="W724" s="7">
        <v>0.63</v>
      </c>
      <c r="X724" s="7" t="s">
        <v>8</v>
      </c>
      <c r="Y724" s="7" t="s">
        <v>9</v>
      </c>
      <c r="Z724" s="2" t="s">
        <v>718</v>
      </c>
      <c r="AA724" s="2" t="s">
        <v>721</v>
      </c>
    </row>
    <row r="725" spans="1:27" x14ac:dyDescent="0.35">
      <c r="A725" s="7" t="s">
        <v>1781</v>
      </c>
      <c r="B725" s="7" t="s">
        <v>1416</v>
      </c>
      <c r="C725" s="7" t="str">
        <f>_xlfn.XLOOKUP(B725,'[1]Sheet 1'!$A$2:$A$11107,'[1]Sheet 1'!$D$2:$D$11107,"",0)</f>
        <v>CK</v>
      </c>
      <c r="D725" s="4" t="str">
        <f>_xlfn.XLOOKUP(A725,[3]Sheet2!$I$2:$I$1623,[3]Sheet2!$D$2:$D$1623,"",0)</f>
        <v>Q4</v>
      </c>
      <c r="E725" s="4" t="s">
        <v>1828</v>
      </c>
      <c r="F725" s="4" t="e">
        <f>_xlfn.XLOOKUP(B725,[2]Sheet2!$E$2:$E$713,[2]Sheet2!$G$2:$G$713)</f>
        <v>#N/A</v>
      </c>
      <c r="G725" s="18">
        <v>46147</v>
      </c>
      <c r="H725" s="14">
        <v>0.75400462962962966</v>
      </c>
      <c r="I725" s="7" t="s">
        <v>11</v>
      </c>
      <c r="J725" s="2" t="str">
        <f t="shared" si="55"/>
        <v>Q3</v>
      </c>
      <c r="K725" s="2" t="str">
        <f t="shared" si="56"/>
        <v>Not Match</v>
      </c>
      <c r="L725" s="2">
        <f t="shared" si="57"/>
        <v>0.31622776601683794</v>
      </c>
      <c r="M725" s="2" t="e">
        <f t="shared" si="58"/>
        <v>#N/A</v>
      </c>
      <c r="N725" s="2" t="str">
        <f t="shared" si="59"/>
        <v>Q NOT OK dE&lt;=0.8</v>
      </c>
      <c r="O725" s="7">
        <v>22.2</v>
      </c>
      <c r="P725" s="7">
        <v>-0.2</v>
      </c>
      <c r="Q725" s="7">
        <v>-16.8</v>
      </c>
      <c r="R725" s="7">
        <v>-0.22</v>
      </c>
      <c r="S725" s="7">
        <v>-0.1</v>
      </c>
      <c r="T725" s="7">
        <v>-0.3</v>
      </c>
      <c r="U725" s="7">
        <v>0.21</v>
      </c>
      <c r="V725" s="7">
        <v>-0.18</v>
      </c>
      <c r="W725" s="7">
        <v>0.36</v>
      </c>
      <c r="X725" s="7" t="s">
        <v>8</v>
      </c>
      <c r="Y725" s="7" t="s">
        <v>15</v>
      </c>
      <c r="Z725" s="2" t="s">
        <v>718</v>
      </c>
      <c r="AA725" s="2" t="s">
        <v>721</v>
      </c>
    </row>
    <row r="726" spans="1:27" x14ac:dyDescent="0.35">
      <c r="A726" s="7" t="s">
        <v>1805</v>
      </c>
      <c r="B726" s="7" t="s">
        <v>1412</v>
      </c>
      <c r="C726" s="7" t="str">
        <f>_xlfn.XLOOKUP(B726,'[1]Sheet 1'!$A$2:$A$11107,'[1]Sheet 1'!$D$2:$D$11107,"",0)</f>
        <v>VSS</v>
      </c>
      <c r="D726" s="4" t="str">
        <f>_xlfn.XLOOKUP(A726,[3]Sheet2!$I$2:$I$1623,[3]Sheet2!$D$2:$D$1623,"",0)</f>
        <v>Q1</v>
      </c>
      <c r="E726" s="4" t="s">
        <v>1828</v>
      </c>
      <c r="F726" s="4" t="e">
        <f>_xlfn.XLOOKUP(B726,[2]Sheet2!$E$2:$E$713,[2]Sheet2!$G$2:$G$713)</f>
        <v>#N/A</v>
      </c>
      <c r="G726" s="18">
        <v>46147</v>
      </c>
      <c r="H726" s="14">
        <v>0.64725694444444448</v>
      </c>
      <c r="I726" s="7" t="s">
        <v>10</v>
      </c>
      <c r="J726" s="2" t="str">
        <f t="shared" si="55"/>
        <v>Q1</v>
      </c>
      <c r="K726" s="2" t="str">
        <f t="shared" si="56"/>
        <v>Match</v>
      </c>
      <c r="L726" s="2">
        <f t="shared" si="57"/>
        <v>0.2</v>
      </c>
      <c r="M726" s="2" t="e">
        <f t="shared" si="58"/>
        <v>#N/A</v>
      </c>
      <c r="N726" s="2" t="str">
        <f t="shared" si="59"/>
        <v>Q OK dE&lt;=0.8</v>
      </c>
      <c r="O726" s="7">
        <v>27.3</v>
      </c>
      <c r="P726" s="7">
        <v>-18.399999999999999</v>
      </c>
      <c r="Q726" s="7">
        <v>-14.2</v>
      </c>
      <c r="R726" s="7">
        <v>0.05</v>
      </c>
      <c r="S726" s="7">
        <v>0</v>
      </c>
      <c r="T726" s="7">
        <v>-0.2</v>
      </c>
      <c r="U726" s="7">
        <v>7.0000000000000007E-2</v>
      </c>
      <c r="V726" s="7">
        <v>0.12</v>
      </c>
      <c r="W726" s="7">
        <v>0.15</v>
      </c>
      <c r="X726" s="7" t="s">
        <v>8</v>
      </c>
      <c r="Y726" s="7" t="s">
        <v>7</v>
      </c>
      <c r="Z726" s="2" t="s">
        <v>718</v>
      </c>
      <c r="AA726" s="2" t="s">
        <v>721</v>
      </c>
    </row>
    <row r="727" spans="1:27" x14ac:dyDescent="0.35">
      <c r="A727" s="7" t="s">
        <v>1804</v>
      </c>
      <c r="B727" s="7" t="s">
        <v>1411</v>
      </c>
      <c r="C727" s="7" t="str">
        <f>_xlfn.XLOOKUP(B727,'[1]Sheet 1'!$A$2:$A$11107,'[1]Sheet 1'!$D$2:$D$11107,"",0)</f>
        <v>VSS</v>
      </c>
      <c r="D727" s="4" t="str">
        <f>_xlfn.XLOOKUP(A727,[3]Sheet2!$I$2:$I$1623,[3]Sheet2!$D$2:$D$1623,"",0)</f>
        <v>Q1</v>
      </c>
      <c r="E727" s="4" t="s">
        <v>1828</v>
      </c>
      <c r="F727" s="4" t="e">
        <f>_xlfn.XLOOKUP(B727,[2]Sheet2!$E$2:$E$713,[2]Sheet2!$G$2:$G$713)</f>
        <v>#N/A</v>
      </c>
      <c r="G727" s="18">
        <v>46147</v>
      </c>
      <c r="H727" s="14">
        <v>0.53604166666666664</v>
      </c>
      <c r="I727" s="7" t="s">
        <v>10</v>
      </c>
      <c r="J727" s="2" t="str">
        <f t="shared" si="55"/>
        <v>Q1</v>
      </c>
      <c r="K727" s="2" t="str">
        <f t="shared" si="56"/>
        <v>Match</v>
      </c>
      <c r="L727" s="2">
        <f t="shared" si="57"/>
        <v>0</v>
      </c>
      <c r="M727" s="2" t="e">
        <f t="shared" si="58"/>
        <v>#N/A</v>
      </c>
      <c r="N727" s="2" t="str">
        <f t="shared" si="59"/>
        <v>Q OK dE&gt;0.8</v>
      </c>
      <c r="O727" s="7">
        <v>19.100000000000001</v>
      </c>
      <c r="P727" s="7">
        <v>-2</v>
      </c>
      <c r="Q727" s="7">
        <v>-13.4</v>
      </c>
      <c r="R727" s="7">
        <v>-0.86</v>
      </c>
      <c r="S727" s="7">
        <v>0</v>
      </c>
      <c r="T727" s="20">
        <v>0</v>
      </c>
      <c r="U727" s="7">
        <v>0.05</v>
      </c>
      <c r="V727" s="7">
        <v>-7.0000000000000007E-2</v>
      </c>
      <c r="W727" s="7">
        <v>0.86</v>
      </c>
      <c r="X727" s="7" t="s">
        <v>13</v>
      </c>
      <c r="Y727" s="7" t="s">
        <v>15</v>
      </c>
      <c r="Z727" s="2" t="s">
        <v>718</v>
      </c>
      <c r="AA727" s="2" t="s">
        <v>721</v>
      </c>
    </row>
    <row r="728" spans="1:27" x14ac:dyDescent="0.35">
      <c r="A728" s="7" t="s">
        <v>1625</v>
      </c>
      <c r="B728" s="7" t="s">
        <v>1404</v>
      </c>
      <c r="C728" s="7" t="str">
        <f>_xlfn.XLOOKUP(B728,'[1]Sheet 1'!$A$2:$A$11107,'[1]Sheet 1'!$D$2:$D$11107,"",0)</f>
        <v>CK</v>
      </c>
      <c r="D728" s="4" t="str">
        <f>_xlfn.XLOOKUP(A728,[3]Sheet2!$I$2:$I$1623,[3]Sheet2!$D$2:$D$1623,"",0)</f>
        <v>Q1</v>
      </c>
      <c r="E728" s="4" t="s">
        <v>1828</v>
      </c>
      <c r="F728" s="4" t="e">
        <f>_xlfn.XLOOKUP(B728,[2]Sheet2!$E$2:$E$713,[2]Sheet2!$G$2:$G$713)</f>
        <v>#N/A</v>
      </c>
      <c r="G728" s="18">
        <v>46147</v>
      </c>
      <c r="H728" s="14">
        <v>0.11863425925925926</v>
      </c>
      <c r="I728" s="7" t="s">
        <v>11</v>
      </c>
      <c r="J728" s="2" t="str">
        <f t="shared" si="55"/>
        <v>Q1</v>
      </c>
      <c r="K728" s="2" t="str">
        <f t="shared" si="56"/>
        <v>Match</v>
      </c>
      <c r="L728" s="2">
        <f t="shared" si="57"/>
        <v>0.22360679774997899</v>
      </c>
      <c r="M728" s="2" t="e">
        <f t="shared" si="58"/>
        <v>#N/A</v>
      </c>
      <c r="N728" s="2" t="str">
        <f t="shared" si="59"/>
        <v>Q OK dE&lt;=0.8</v>
      </c>
      <c r="O728" s="7">
        <v>19.5</v>
      </c>
      <c r="P728" s="7">
        <v>-0.2</v>
      </c>
      <c r="Q728" s="7">
        <v>-3.8</v>
      </c>
      <c r="R728" s="7">
        <v>-0.49</v>
      </c>
      <c r="S728" s="7">
        <v>0.1</v>
      </c>
      <c r="T728" s="7">
        <v>0.2</v>
      </c>
      <c r="U728" s="7">
        <v>-0.34</v>
      </c>
      <c r="V728" s="7">
        <v>0.2</v>
      </c>
      <c r="W728" s="7">
        <v>0.63</v>
      </c>
      <c r="X728" s="7" t="s">
        <v>8</v>
      </c>
      <c r="Y728" s="7" t="s">
        <v>9</v>
      </c>
      <c r="Z728" s="2" t="s">
        <v>718</v>
      </c>
      <c r="AA728" s="2" t="s">
        <v>721</v>
      </c>
    </row>
    <row r="729" spans="1:27" x14ac:dyDescent="0.35">
      <c r="A729" s="7" t="s">
        <v>1516</v>
      </c>
      <c r="B729" s="7" t="s">
        <v>1409</v>
      </c>
      <c r="C729" s="7" t="str">
        <f>_xlfn.XLOOKUP(B729,'[1]Sheet 1'!$A$2:$A$11107,'[1]Sheet 1'!$D$2:$D$11107,"",0)</f>
        <v>LBI</v>
      </c>
      <c r="D729" s="4" t="str">
        <f>_xlfn.XLOOKUP(A729,[3]Sheet2!$I$2:$I$1623,[3]Sheet2!$D$2:$D$1623,"",0)</f>
        <v>Q2</v>
      </c>
      <c r="E729" s="4" t="s">
        <v>1828</v>
      </c>
      <c r="F729" s="4" t="e">
        <f>_xlfn.XLOOKUP(B729,[2]Sheet2!$E$2:$E$713,[2]Sheet2!$G$2:$G$713)</f>
        <v>#N/A</v>
      </c>
      <c r="G729" s="18">
        <v>46147</v>
      </c>
      <c r="H729" s="14">
        <v>0.47792824074074075</v>
      </c>
      <c r="I729" s="7" t="s">
        <v>4</v>
      </c>
      <c r="J729" s="2" t="str">
        <f t="shared" si="55"/>
        <v>Q4</v>
      </c>
      <c r="K729" s="2" t="str">
        <f t="shared" si="56"/>
        <v>Not Match</v>
      </c>
      <c r="L729" s="2">
        <f t="shared" si="57"/>
        <v>0.14142135623730953</v>
      </c>
      <c r="M729" s="2" t="e">
        <f t="shared" si="58"/>
        <v>#N/A</v>
      </c>
      <c r="N729" s="2" t="str">
        <f t="shared" si="59"/>
        <v>Q NOT OK dE&lt;=0.8</v>
      </c>
      <c r="O729" s="7">
        <v>18.600000000000001</v>
      </c>
      <c r="P729" s="7">
        <v>-1.2</v>
      </c>
      <c r="Q729" s="7">
        <v>-1.8</v>
      </c>
      <c r="R729" s="7">
        <v>0.15</v>
      </c>
      <c r="S729" s="7">
        <v>0.1</v>
      </c>
      <c r="T729" s="7">
        <v>-0.1</v>
      </c>
      <c r="U729" s="7">
        <v>0.06</v>
      </c>
      <c r="V729" s="7">
        <v>0.34</v>
      </c>
      <c r="W729" s="7">
        <v>0.38</v>
      </c>
      <c r="X729" s="7" t="s">
        <v>8</v>
      </c>
      <c r="Y729" s="7" t="s">
        <v>9</v>
      </c>
      <c r="Z729" s="2" t="s">
        <v>718</v>
      </c>
      <c r="AA729" s="2" t="s">
        <v>721</v>
      </c>
    </row>
    <row r="730" spans="1:27" x14ac:dyDescent="0.35">
      <c r="A730" s="7" t="s">
        <v>1553</v>
      </c>
      <c r="B730" s="7" t="s">
        <v>1406</v>
      </c>
      <c r="C730" s="7" t="str">
        <f>_xlfn.XLOOKUP(B730,'[1]Sheet 1'!$A$2:$A$11107,'[1]Sheet 1'!$D$2:$D$11107,"",0)</f>
        <v>TORD</v>
      </c>
      <c r="D730" s="4" t="str">
        <f>_xlfn.XLOOKUP(A730,[3]Sheet2!$I$2:$I$1623,[3]Sheet2!$D$2:$D$1623,"",0)</f>
        <v>Q4</v>
      </c>
      <c r="E730" s="4" t="s">
        <v>1828</v>
      </c>
      <c r="F730" s="4" t="e">
        <f>_xlfn.XLOOKUP(B730,[2]Sheet2!$E$2:$E$713,[2]Sheet2!$G$2:$G$713)</f>
        <v>#N/A</v>
      </c>
      <c r="G730" s="18">
        <v>46147</v>
      </c>
      <c r="H730" s="14">
        <v>0.25836805555555553</v>
      </c>
      <c r="I730" s="7" t="s">
        <v>5</v>
      </c>
      <c r="J730" s="2" t="str">
        <f t="shared" si="55"/>
        <v>Q4</v>
      </c>
      <c r="K730" s="2" t="str">
        <f t="shared" si="56"/>
        <v>Match</v>
      </c>
      <c r="L730" s="2">
        <f t="shared" si="57"/>
        <v>0.2</v>
      </c>
      <c r="M730" s="2" t="e">
        <f t="shared" si="58"/>
        <v>#N/A</v>
      </c>
      <c r="N730" s="2" t="str">
        <f t="shared" si="59"/>
        <v>Q OK dE&lt;=0.8</v>
      </c>
      <c r="O730" s="7">
        <v>15.2</v>
      </c>
      <c r="P730" s="7">
        <v>-0.4</v>
      </c>
      <c r="Q730" s="7">
        <v>-3.7</v>
      </c>
      <c r="R730" s="7">
        <v>-0.57999999999999996</v>
      </c>
      <c r="S730" s="7">
        <v>0</v>
      </c>
      <c r="T730" s="7">
        <v>-0.2</v>
      </c>
      <c r="U730" s="7">
        <v>0.23</v>
      </c>
      <c r="V730" s="7">
        <v>0.14000000000000001</v>
      </c>
      <c r="W730" s="7">
        <v>0.64</v>
      </c>
      <c r="X730" s="7" t="s">
        <v>8</v>
      </c>
      <c r="Y730" s="7" t="s">
        <v>9</v>
      </c>
      <c r="Z730" s="2" t="s">
        <v>718</v>
      </c>
      <c r="AA730" s="2" t="s">
        <v>721</v>
      </c>
    </row>
    <row r="731" spans="1:27" x14ac:dyDescent="0.35">
      <c r="A731" s="7" t="s">
        <v>1793</v>
      </c>
      <c r="B731" s="7" t="s">
        <v>1408</v>
      </c>
      <c r="C731" s="7" t="str">
        <f>_xlfn.XLOOKUP(B731,'[1]Sheet 1'!$A$2:$A$11107,'[1]Sheet 1'!$D$2:$D$11107,"",0)</f>
        <v>WACE</v>
      </c>
      <c r="D731" s="4" t="str">
        <f>_xlfn.XLOOKUP(A731,[3]Sheet2!$I$2:$I$1623,[3]Sheet2!$D$2:$D$1623,"",0)</f>
        <v>Q2/Q3</v>
      </c>
      <c r="E731" s="4" t="s">
        <v>1828</v>
      </c>
      <c r="F731" s="4" t="e">
        <f>_xlfn.XLOOKUP(B731,[2]Sheet2!$E$2:$E$713,[2]Sheet2!$G$2:$G$713)</f>
        <v>#N/A</v>
      </c>
      <c r="G731" s="18">
        <v>46147</v>
      </c>
      <c r="H731" s="14">
        <v>0.47173611111111113</v>
      </c>
      <c r="I731" s="7" t="s">
        <v>4</v>
      </c>
      <c r="J731" s="2" t="str">
        <f t="shared" si="55"/>
        <v>Q4</v>
      </c>
      <c r="K731" s="2" t="str">
        <f t="shared" si="56"/>
        <v>Not Match</v>
      </c>
      <c r="L731" s="2">
        <f t="shared" si="57"/>
        <v>0.22360679774997899</v>
      </c>
      <c r="M731" s="2" t="e">
        <f t="shared" si="58"/>
        <v>#N/A</v>
      </c>
      <c r="N731" s="2" t="str">
        <f t="shared" si="59"/>
        <v>Q NOT OK dE&lt;=0.8</v>
      </c>
      <c r="O731" s="7">
        <v>17.399999999999999</v>
      </c>
      <c r="P731" s="7">
        <v>-0.5</v>
      </c>
      <c r="Q731" s="7">
        <v>-1.4</v>
      </c>
      <c r="R731" s="7">
        <v>-0.12</v>
      </c>
      <c r="S731" s="7">
        <v>0.1</v>
      </c>
      <c r="T731" s="7">
        <v>-0.2</v>
      </c>
      <c r="U731" s="7">
        <v>0.18</v>
      </c>
      <c r="V731" s="7">
        <v>0.3</v>
      </c>
      <c r="W731" s="7">
        <v>0.38</v>
      </c>
      <c r="X731" s="7" t="s">
        <v>8</v>
      </c>
      <c r="Y731" s="7" t="s">
        <v>9</v>
      </c>
      <c r="Z731" s="2" t="s">
        <v>718</v>
      </c>
      <c r="AA731" s="2" t="s">
        <v>721</v>
      </c>
    </row>
    <row r="732" spans="1:27" x14ac:dyDescent="0.35">
      <c r="A732" s="7" t="s">
        <v>1593</v>
      </c>
      <c r="B732" s="7" t="s">
        <v>1420</v>
      </c>
      <c r="C732" s="7" t="str">
        <f>_xlfn.XLOOKUP(B732,'[1]Sheet 1'!$A$2:$A$11107,'[1]Sheet 1'!$D$2:$D$11107,"",0)</f>
        <v>LULU</v>
      </c>
      <c r="D732" s="4" t="str">
        <f>_xlfn.XLOOKUP(A732,[3]Sheet2!$I$2:$I$1623,[3]Sheet2!$D$2:$D$1623,"",0)</f>
        <v>Q3</v>
      </c>
      <c r="E732" s="4" t="s">
        <v>1827</v>
      </c>
      <c r="F732" s="4" t="e">
        <f>_xlfn.XLOOKUP(B732,[2]Sheet2!$E$2:$E$713,[2]Sheet2!$G$2:$G$713)</f>
        <v>#N/A</v>
      </c>
      <c r="G732" s="18">
        <v>46147</v>
      </c>
      <c r="H732" s="14">
        <v>0.90165509259259258</v>
      </c>
      <c r="I732" s="7" t="s">
        <v>4</v>
      </c>
      <c r="J732" s="2" t="str">
        <f t="shared" si="55"/>
        <v>Q3</v>
      </c>
      <c r="K732" s="2" t="str">
        <f t="shared" si="56"/>
        <v>Match</v>
      </c>
      <c r="L732" s="2">
        <f t="shared" si="57"/>
        <v>0</v>
      </c>
      <c r="M732" s="2" t="e">
        <f t="shared" si="58"/>
        <v>#N/A</v>
      </c>
      <c r="N732" s="2" t="str">
        <f t="shared" si="59"/>
        <v>Q OK dE&gt;0.8</v>
      </c>
      <c r="O732" s="7">
        <v>22.6</v>
      </c>
      <c r="P732" s="7">
        <v>2.7</v>
      </c>
      <c r="Q732" s="7">
        <v>2.1</v>
      </c>
      <c r="R732" s="7">
        <v>-1.07</v>
      </c>
      <c r="S732" s="7">
        <v>0</v>
      </c>
      <c r="T732" s="20">
        <v>0</v>
      </c>
      <c r="U732" s="7">
        <v>-7.0000000000000007E-2</v>
      </c>
      <c r="V732" s="7">
        <v>-7.0000000000000007E-2</v>
      </c>
      <c r="W732" s="7">
        <v>1.08</v>
      </c>
      <c r="X732" s="7" t="s">
        <v>6</v>
      </c>
      <c r="Y732" s="7" t="s">
        <v>7</v>
      </c>
      <c r="Z732" s="2" t="s">
        <v>718</v>
      </c>
      <c r="AA732" s="2" t="s">
        <v>721</v>
      </c>
    </row>
    <row r="733" spans="1:27" x14ac:dyDescent="0.35">
      <c r="A733" s="7" t="s">
        <v>1500</v>
      </c>
      <c r="B733" s="7" t="s">
        <v>1414</v>
      </c>
      <c r="C733" s="7" t="str">
        <f>_xlfn.XLOOKUP(B733,'[1]Sheet 1'!$A$2:$A$11107,'[1]Sheet 1'!$D$2:$D$11107,"",0)</f>
        <v>LULU</v>
      </c>
      <c r="D733" s="4" t="str">
        <f>_xlfn.XLOOKUP(A733,[3]Sheet2!$I$2:$I$1623,[3]Sheet2!$D$2:$D$1623,"",0)</f>
        <v>Q2</v>
      </c>
      <c r="E733" s="4" t="s">
        <v>1828</v>
      </c>
      <c r="F733" s="4" t="e">
        <f>_xlfn.XLOOKUP(B733,[2]Sheet2!$E$2:$E$713,[2]Sheet2!$G$2:$G$713)</f>
        <v>#N/A</v>
      </c>
      <c r="G733" s="18">
        <v>46147</v>
      </c>
      <c r="H733" s="14">
        <v>0.70600694444444445</v>
      </c>
      <c r="I733" s="7" t="s">
        <v>4</v>
      </c>
      <c r="J733" s="2" t="str">
        <f t="shared" si="55"/>
        <v>Q2</v>
      </c>
      <c r="K733" s="2" t="str">
        <f t="shared" si="56"/>
        <v>Match</v>
      </c>
      <c r="L733" s="2">
        <f t="shared" si="57"/>
        <v>0.1</v>
      </c>
      <c r="M733" s="2" t="e">
        <f t="shared" si="58"/>
        <v>#N/A</v>
      </c>
      <c r="N733" s="2" t="str">
        <f t="shared" si="59"/>
        <v>Q OK dE&gt;0.8</v>
      </c>
      <c r="O733" s="7">
        <v>17.100000000000001</v>
      </c>
      <c r="P733" s="7">
        <v>-0.9</v>
      </c>
      <c r="Q733" s="7">
        <v>-0.8</v>
      </c>
      <c r="R733" s="7">
        <v>-0.82</v>
      </c>
      <c r="S733" s="7">
        <v>0</v>
      </c>
      <c r="T733" s="7">
        <v>0.1</v>
      </c>
      <c r="U733" s="7">
        <v>-0.15</v>
      </c>
      <c r="V733" s="7">
        <v>-0.12</v>
      </c>
      <c r="W733" s="7">
        <v>0.85</v>
      </c>
      <c r="X733" s="7" t="s">
        <v>13</v>
      </c>
      <c r="Y733" s="7" t="s">
        <v>12</v>
      </c>
      <c r="Z733" s="2" t="s">
        <v>718</v>
      </c>
      <c r="AA733" s="2" t="s">
        <v>721</v>
      </c>
    </row>
    <row r="734" spans="1:27" x14ac:dyDescent="0.35">
      <c r="A734" s="7" t="s">
        <v>1500</v>
      </c>
      <c r="B734" s="7" t="s">
        <v>1410</v>
      </c>
      <c r="C734" s="7" t="str">
        <f>_xlfn.XLOOKUP(B734,'[1]Sheet 1'!$A$2:$A$11107,'[1]Sheet 1'!$D$2:$D$11107,"",0)</f>
        <v>LULU</v>
      </c>
      <c r="D734" s="4" t="str">
        <f>_xlfn.XLOOKUP(A734,[3]Sheet2!$I$2:$I$1623,[3]Sheet2!$D$2:$D$1623,"",0)</f>
        <v>Q2</v>
      </c>
      <c r="E734" s="4" t="s">
        <v>1828</v>
      </c>
      <c r="F734" s="4" t="e">
        <f>_xlfn.XLOOKUP(B734,[2]Sheet2!$E$2:$E$713,[2]Sheet2!$G$2:$G$713)</f>
        <v>#N/A</v>
      </c>
      <c r="G734" s="18">
        <v>46147</v>
      </c>
      <c r="H734" s="14">
        <v>0.47989583333333335</v>
      </c>
      <c r="I734" s="7" t="s">
        <v>4</v>
      </c>
      <c r="J734" s="2" t="str">
        <f t="shared" si="55"/>
        <v>Q2</v>
      </c>
      <c r="K734" s="2" t="str">
        <f t="shared" si="56"/>
        <v>Match</v>
      </c>
      <c r="L734" s="2">
        <f t="shared" si="57"/>
        <v>0</v>
      </c>
      <c r="M734" s="2" t="e">
        <f t="shared" si="58"/>
        <v>#N/A</v>
      </c>
      <c r="N734" s="2" t="str">
        <f t="shared" si="59"/>
        <v>Q OK dE&lt;=0.8</v>
      </c>
      <c r="O734" s="7">
        <v>17.2</v>
      </c>
      <c r="P734" s="7">
        <v>-0.9</v>
      </c>
      <c r="Q734" s="7">
        <v>-0.9</v>
      </c>
      <c r="R734" s="7">
        <v>-0.71</v>
      </c>
      <c r="S734" s="7">
        <v>0</v>
      </c>
      <c r="T734" s="20">
        <v>0</v>
      </c>
      <c r="U734" s="7">
        <v>-0.15</v>
      </c>
      <c r="V734" s="7">
        <v>-0.02</v>
      </c>
      <c r="W734" s="7">
        <v>0.73</v>
      </c>
      <c r="X734" s="7" t="s">
        <v>8</v>
      </c>
      <c r="Y734" s="7" t="s">
        <v>12</v>
      </c>
      <c r="Z734" s="2" t="s">
        <v>718</v>
      </c>
      <c r="AA734" s="2" t="s">
        <v>721</v>
      </c>
    </row>
    <row r="735" spans="1:27" x14ac:dyDescent="0.35">
      <c r="A735" s="7" t="s">
        <v>1628</v>
      </c>
      <c r="B735" s="7" t="s">
        <v>1405</v>
      </c>
      <c r="C735" s="7" t="str">
        <f>_xlfn.XLOOKUP(B735,'[1]Sheet 1'!$A$2:$A$11107,'[1]Sheet 1'!$D$2:$D$11107,"",0)</f>
        <v>LULU</v>
      </c>
      <c r="D735" s="4" t="str">
        <f>_xlfn.XLOOKUP(A735,[3]Sheet2!$I$2:$I$1623,[3]Sheet2!$D$2:$D$1623,"",0)</f>
        <v>Q4</v>
      </c>
      <c r="E735" s="4" t="s">
        <v>1828</v>
      </c>
      <c r="F735" s="4" t="e">
        <f>_xlfn.XLOOKUP(B735,[2]Sheet2!$E$2:$E$713,[2]Sheet2!$G$2:$G$713)</f>
        <v>#N/A</v>
      </c>
      <c r="G735" s="18">
        <v>46147</v>
      </c>
      <c r="H735" s="14">
        <v>0.14971064814814813</v>
      </c>
      <c r="I735" s="7" t="s">
        <v>4</v>
      </c>
      <c r="J735" s="2" t="str">
        <f t="shared" si="55"/>
        <v>Q4</v>
      </c>
      <c r="K735" s="2" t="str">
        <f t="shared" si="56"/>
        <v>Match</v>
      </c>
      <c r="L735" s="2">
        <f t="shared" si="57"/>
        <v>0.1</v>
      </c>
      <c r="M735" s="2" t="e">
        <f t="shared" si="58"/>
        <v>#N/A</v>
      </c>
      <c r="N735" s="2" t="str">
        <f t="shared" si="59"/>
        <v>Q OK dE&lt;=0.8</v>
      </c>
      <c r="O735" s="7">
        <v>18.3</v>
      </c>
      <c r="P735" s="7">
        <v>-0.5</v>
      </c>
      <c r="Q735" s="7">
        <v>-1.8</v>
      </c>
      <c r="R735" s="7">
        <v>-0.3</v>
      </c>
      <c r="S735" s="7">
        <v>0</v>
      </c>
      <c r="T735" s="7">
        <v>0.1</v>
      </c>
      <c r="U735" s="7">
        <v>-0.12</v>
      </c>
      <c r="V735" s="7">
        <v>-0.09</v>
      </c>
      <c r="W735" s="7">
        <v>0.34</v>
      </c>
      <c r="X735" s="7" t="s">
        <v>8</v>
      </c>
      <c r="Y735" s="7" t="s">
        <v>15</v>
      </c>
      <c r="Z735" s="2" t="s">
        <v>718</v>
      </c>
      <c r="AA735" s="2" t="s">
        <v>721</v>
      </c>
    </row>
    <row r="736" spans="1:27" x14ac:dyDescent="0.35">
      <c r="A736" s="7" t="s">
        <v>1515</v>
      </c>
      <c r="B736" s="7" t="s">
        <v>1407</v>
      </c>
      <c r="C736" s="7" t="str">
        <f>_xlfn.XLOOKUP(B736,'[1]Sheet 1'!$A$2:$A$11107,'[1]Sheet 1'!$D$2:$D$11107,"",0)</f>
        <v>VSS</v>
      </c>
      <c r="D736" s="4" t="str">
        <f>_xlfn.XLOOKUP(A736,[3]Sheet2!$I$2:$I$1623,[3]Sheet2!$D$2:$D$1623,"",0)</f>
        <v>Q3</v>
      </c>
      <c r="E736" s="4" t="s">
        <v>1828</v>
      </c>
      <c r="F736" s="4" t="e">
        <f>_xlfn.XLOOKUP(B736,[2]Sheet2!$E$2:$E$713,[2]Sheet2!$G$2:$G$713)</f>
        <v>#N/A</v>
      </c>
      <c r="G736" s="18">
        <v>46147</v>
      </c>
      <c r="H736" s="14">
        <v>0.26193287037037039</v>
      </c>
      <c r="I736" s="7" t="s">
        <v>10</v>
      </c>
      <c r="J736" s="2" t="str">
        <f t="shared" si="55"/>
        <v>Q3</v>
      </c>
      <c r="K736" s="2" t="str">
        <f t="shared" si="56"/>
        <v>Match</v>
      </c>
      <c r="L736" s="2">
        <f t="shared" si="57"/>
        <v>0</v>
      </c>
      <c r="M736" s="2" t="e">
        <f t="shared" si="58"/>
        <v>#N/A</v>
      </c>
      <c r="N736" s="2" t="str">
        <f t="shared" si="59"/>
        <v>Q OK dE&gt;0.8</v>
      </c>
      <c r="O736" s="7">
        <v>13.4</v>
      </c>
      <c r="P736" s="7">
        <v>0</v>
      </c>
      <c r="Q736" s="7">
        <v>-1.8</v>
      </c>
      <c r="R736" s="7">
        <v>-1.55</v>
      </c>
      <c r="S736" s="7">
        <v>0</v>
      </c>
      <c r="T736" s="20">
        <v>0</v>
      </c>
      <c r="U736" s="7">
        <v>0.12</v>
      </c>
      <c r="V736" s="7">
        <v>-0.12</v>
      </c>
      <c r="W736" s="7">
        <v>1.56</v>
      </c>
      <c r="X736" s="7" t="s">
        <v>6</v>
      </c>
      <c r="Y736" s="7" t="s">
        <v>15</v>
      </c>
      <c r="Z736" s="2" t="s">
        <v>718</v>
      </c>
      <c r="AA736" s="2" t="s">
        <v>721</v>
      </c>
    </row>
    <row r="737" spans="1:27" x14ac:dyDescent="0.35">
      <c r="A737" s="7" t="s">
        <v>1769</v>
      </c>
      <c r="B737" s="7" t="s">
        <v>1415</v>
      </c>
      <c r="C737" s="7" t="str">
        <f>_xlfn.XLOOKUP(B737,'[1]Sheet 1'!$A$2:$A$11107,'[1]Sheet 1'!$D$2:$D$11107,"",0)</f>
        <v>WACE</v>
      </c>
      <c r="D737" s="4" t="str">
        <f>_xlfn.XLOOKUP(A737,[3]Sheet2!$I$2:$I$1623,[3]Sheet2!$D$2:$D$1623,"",0)</f>
        <v>Q4</v>
      </c>
      <c r="E737" s="4" t="s">
        <v>1828</v>
      </c>
      <c r="F737" s="4" t="e">
        <f>_xlfn.XLOOKUP(B737,[2]Sheet2!$E$2:$E$713,[2]Sheet2!$G$2:$G$713)</f>
        <v>#N/A</v>
      </c>
      <c r="G737" s="18">
        <v>46147</v>
      </c>
      <c r="H737" s="14">
        <v>0.76967592592592593</v>
      </c>
      <c r="I737" s="7" t="s">
        <v>4</v>
      </c>
      <c r="J737" s="2" t="str">
        <f t="shared" si="55"/>
        <v>Q2</v>
      </c>
      <c r="K737" s="2" t="str">
        <f t="shared" si="56"/>
        <v>Not Match</v>
      </c>
      <c r="L737" s="2">
        <f t="shared" si="57"/>
        <v>0.50990195135927852</v>
      </c>
      <c r="M737" s="2" t="e">
        <f t="shared" si="58"/>
        <v>#N/A</v>
      </c>
      <c r="N737" s="2" t="str">
        <f t="shared" si="59"/>
        <v>Q NOT OK dE&gt;0.8</v>
      </c>
      <c r="O737" s="7">
        <v>25.2</v>
      </c>
      <c r="P737" s="7">
        <v>4.5999999999999996</v>
      </c>
      <c r="Q737" s="7">
        <v>-17.5</v>
      </c>
      <c r="R737" s="7">
        <v>-1.03</v>
      </c>
      <c r="S737" s="7">
        <v>-0.1</v>
      </c>
      <c r="T737" s="7">
        <v>0.5</v>
      </c>
      <c r="U737" s="7">
        <v>-0.32</v>
      </c>
      <c r="V737" s="7">
        <v>0.02</v>
      </c>
      <c r="W737" s="7">
        <v>1.08</v>
      </c>
      <c r="X737" s="7" t="s">
        <v>6</v>
      </c>
      <c r="Y737" s="7" t="s">
        <v>9</v>
      </c>
      <c r="Z737" s="2" t="s">
        <v>718</v>
      </c>
      <c r="AA737" s="2" t="s">
        <v>721</v>
      </c>
    </row>
    <row r="738" spans="1:27" x14ac:dyDescent="0.35">
      <c r="A738" s="7" t="s">
        <v>1779</v>
      </c>
      <c r="B738" s="7" t="s">
        <v>1403</v>
      </c>
      <c r="C738" s="7" t="str">
        <f>_xlfn.XLOOKUP(B738,'[1]Sheet 1'!$A$2:$A$11107,'[1]Sheet 1'!$D$2:$D$11107,"",0)</f>
        <v>VSS</v>
      </c>
      <c r="D738" s="4" t="str">
        <f>_xlfn.XLOOKUP(A738,[3]Sheet2!$I$2:$I$1623,[3]Sheet2!$D$2:$D$1623,"",0)</f>
        <v>Q4</v>
      </c>
      <c r="E738" s="4" t="s">
        <v>1828</v>
      </c>
      <c r="F738" s="4" t="e">
        <f>_xlfn.XLOOKUP(B738,[2]Sheet2!$E$2:$E$713,[2]Sheet2!$G$2:$G$713)</f>
        <v>#N/A</v>
      </c>
      <c r="G738" s="18">
        <v>46147</v>
      </c>
      <c r="H738" s="14">
        <v>6.2754629629629632E-2</v>
      </c>
      <c r="I738" s="7" t="s">
        <v>10</v>
      </c>
      <c r="J738" s="2" t="str">
        <f t="shared" si="55"/>
        <v>Q3</v>
      </c>
      <c r="K738" s="2" t="str">
        <f t="shared" si="56"/>
        <v>Not Match</v>
      </c>
      <c r="L738" s="2">
        <f t="shared" si="57"/>
        <v>1.6124515496597098</v>
      </c>
      <c r="M738" s="2" t="e">
        <f t="shared" si="58"/>
        <v>#N/A</v>
      </c>
      <c r="N738" s="2" t="str">
        <f t="shared" si="59"/>
        <v>Q NOT OK dE&gt;0.8</v>
      </c>
      <c r="O738" s="7">
        <v>30.1</v>
      </c>
      <c r="P738" s="7">
        <v>-21.4</v>
      </c>
      <c r="Q738" s="7">
        <v>-23</v>
      </c>
      <c r="R738" s="7">
        <v>-0.18</v>
      </c>
      <c r="S738" s="7">
        <v>-1.4</v>
      </c>
      <c r="T738" s="7">
        <v>-0.8</v>
      </c>
      <c r="U738" s="7">
        <v>0.79</v>
      </c>
      <c r="V738" s="7">
        <v>-0.35</v>
      </c>
      <c r="W738" s="7">
        <v>0.88</v>
      </c>
      <c r="X738" s="7" t="s">
        <v>13</v>
      </c>
      <c r="Y738" s="7" t="s">
        <v>12</v>
      </c>
      <c r="Z738" s="2" t="s">
        <v>718</v>
      </c>
      <c r="AA738" s="2" t="s">
        <v>721</v>
      </c>
    </row>
    <row r="739" spans="1:27" x14ac:dyDescent="0.35">
      <c r="A739" s="7" t="s">
        <v>1593</v>
      </c>
      <c r="B739" s="7" t="s">
        <v>1419</v>
      </c>
      <c r="C739" s="7" t="str">
        <f>_xlfn.XLOOKUP(B739,'[1]Sheet 1'!$A$2:$A$11107,'[1]Sheet 1'!$D$2:$D$11107,"",0)</f>
        <v>LULU</v>
      </c>
      <c r="D739" s="4" t="str">
        <f>_xlfn.XLOOKUP(A739,[3]Sheet2!$I$2:$I$1623,[3]Sheet2!$D$2:$D$1623,"",0)</f>
        <v>Q3</v>
      </c>
      <c r="E739" s="4" t="s">
        <v>1828</v>
      </c>
      <c r="F739" s="4" t="e">
        <f>_xlfn.XLOOKUP(B739,[2]Sheet2!$E$2:$E$713,[2]Sheet2!$G$2:$G$713)</f>
        <v>#N/A</v>
      </c>
      <c r="G739" s="18">
        <v>46147</v>
      </c>
      <c r="H739" s="14">
        <v>0.85630787037037037</v>
      </c>
      <c r="I739" s="7" t="s">
        <v>4</v>
      </c>
      <c r="J739" s="2" t="str">
        <f t="shared" si="55"/>
        <v>Q3</v>
      </c>
      <c r="K739" s="2" t="str">
        <f t="shared" si="56"/>
        <v>Match</v>
      </c>
      <c r="L739" s="2">
        <f t="shared" si="57"/>
        <v>0.1</v>
      </c>
      <c r="M739" s="2" t="e">
        <f t="shared" si="58"/>
        <v>#N/A</v>
      </c>
      <c r="N739" s="2" t="str">
        <f t="shared" si="59"/>
        <v>Q OK dE&lt;=0.8</v>
      </c>
      <c r="O739" s="7">
        <v>23.3</v>
      </c>
      <c r="P739" s="7">
        <v>2.8</v>
      </c>
      <c r="Q739" s="7">
        <v>2</v>
      </c>
      <c r="R739" s="7">
        <v>-0.56000000000000005</v>
      </c>
      <c r="S739" s="7">
        <v>0</v>
      </c>
      <c r="T739" s="7">
        <v>-0.1</v>
      </c>
      <c r="U739" s="7">
        <v>-0.03</v>
      </c>
      <c r="V739" s="7">
        <v>-0.25</v>
      </c>
      <c r="W739" s="7">
        <v>0.61</v>
      </c>
      <c r="X739" s="7" t="s">
        <v>8</v>
      </c>
      <c r="Y739" s="7" t="s">
        <v>7</v>
      </c>
      <c r="Z739" s="2" t="s">
        <v>718</v>
      </c>
      <c r="AA739" s="2" t="s">
        <v>721</v>
      </c>
    </row>
    <row r="740" spans="1:27" x14ac:dyDescent="0.35">
      <c r="A740" s="7" t="s">
        <v>1761</v>
      </c>
      <c r="B740" s="7" t="s">
        <v>1384</v>
      </c>
      <c r="C740" s="7" t="str">
        <f>_xlfn.XLOOKUP(B740,'[1]Sheet 1'!$A$2:$A$11107,'[1]Sheet 1'!$D$2:$D$11107,"",0)</f>
        <v>VSS</v>
      </c>
      <c r="D740" s="4" t="str">
        <f>_xlfn.XLOOKUP(A740,[3]Sheet2!$I$2:$I$1623,[3]Sheet2!$D$2:$D$1623,"",0)</f>
        <v>Q1</v>
      </c>
      <c r="E740" s="4" t="s">
        <v>1827</v>
      </c>
      <c r="F740" s="4" t="e">
        <f>_xlfn.XLOOKUP(B740,[2]Sheet2!$E$2:$E$713,[2]Sheet2!$G$2:$G$713)</f>
        <v>#N/A</v>
      </c>
      <c r="G740" s="18">
        <v>46147</v>
      </c>
      <c r="H740" s="14">
        <v>0.75124999999999997</v>
      </c>
      <c r="I740" s="7" t="s">
        <v>10</v>
      </c>
      <c r="J740" s="2" t="str">
        <f t="shared" si="55"/>
        <v>Q1</v>
      </c>
      <c r="K740" s="2" t="str">
        <f t="shared" si="56"/>
        <v>Match</v>
      </c>
      <c r="L740" s="2">
        <f t="shared" si="57"/>
        <v>0.3</v>
      </c>
      <c r="M740" s="2" t="e">
        <f t="shared" si="58"/>
        <v>#N/A</v>
      </c>
      <c r="N740" s="2" t="str">
        <f t="shared" si="59"/>
        <v>Q OK dE&lt;=0.8</v>
      </c>
      <c r="O740" s="7">
        <v>28.3</v>
      </c>
      <c r="P740" s="7">
        <v>0.9</v>
      </c>
      <c r="Q740" s="7">
        <v>7.9</v>
      </c>
      <c r="R740" s="7">
        <v>0.26</v>
      </c>
      <c r="S740" s="7">
        <v>0.3</v>
      </c>
      <c r="T740" s="20">
        <v>0</v>
      </c>
      <c r="U740" s="7">
        <v>-0.03</v>
      </c>
      <c r="V740" s="7">
        <v>-0.44</v>
      </c>
      <c r="W740" s="7">
        <v>0.52</v>
      </c>
      <c r="X740" s="7" t="s">
        <v>8</v>
      </c>
      <c r="Y740" s="7" t="s">
        <v>9</v>
      </c>
      <c r="Z740" s="2" t="s">
        <v>718</v>
      </c>
      <c r="AA740" s="2" t="s">
        <v>721</v>
      </c>
    </row>
    <row r="741" spans="1:27" x14ac:dyDescent="0.35">
      <c r="A741" s="7" t="s">
        <v>1625</v>
      </c>
      <c r="B741" s="7" t="s">
        <v>1426</v>
      </c>
      <c r="C741" s="7" t="str">
        <f>_xlfn.XLOOKUP(B741,'[1]Sheet 1'!$A$2:$A$11107,'[1]Sheet 1'!$D$2:$D$11107,"",0)</f>
        <v>CK</v>
      </c>
      <c r="D741" s="4" t="str">
        <f>_xlfn.XLOOKUP(A741,[3]Sheet2!$I$2:$I$1623,[3]Sheet2!$D$2:$D$1623,"",0)</f>
        <v>Q1</v>
      </c>
      <c r="E741" s="4" t="s">
        <v>1828</v>
      </c>
      <c r="F741" s="4" t="e">
        <f>_xlfn.XLOOKUP(B741,[2]Sheet2!$E$2:$E$713,[2]Sheet2!$G$2:$G$713)</f>
        <v>#N/A</v>
      </c>
      <c r="G741" s="18">
        <v>46148</v>
      </c>
      <c r="H741" s="14">
        <v>0.10263888888888889</v>
      </c>
      <c r="I741" s="7" t="s">
        <v>11</v>
      </c>
      <c r="J741" s="2" t="str">
        <f t="shared" si="55"/>
        <v>Q1</v>
      </c>
      <c r="K741" s="2" t="str">
        <f t="shared" si="56"/>
        <v>Match</v>
      </c>
      <c r="L741" s="2">
        <f t="shared" si="57"/>
        <v>0</v>
      </c>
      <c r="M741" s="2" t="e">
        <f t="shared" si="58"/>
        <v>#N/A</v>
      </c>
      <c r="N741" s="2" t="str">
        <f t="shared" si="59"/>
        <v>Q OK dE&lt;=0.8</v>
      </c>
      <c r="O741" s="7">
        <v>20</v>
      </c>
      <c r="P741" s="7">
        <v>-0.4</v>
      </c>
      <c r="Q741" s="7">
        <v>-4</v>
      </c>
      <c r="R741" s="7">
        <v>-0.11</v>
      </c>
      <c r="S741" s="7">
        <v>0</v>
      </c>
      <c r="T741" s="20">
        <v>0</v>
      </c>
      <c r="U741" s="7">
        <v>-7.0000000000000007E-2</v>
      </c>
      <c r="V741" s="7">
        <v>-0.02</v>
      </c>
      <c r="W741" s="7">
        <v>0.14000000000000001</v>
      </c>
      <c r="X741" s="7" t="s">
        <v>8</v>
      </c>
      <c r="Y741" s="7" t="s">
        <v>15</v>
      </c>
      <c r="Z741" s="2" t="s">
        <v>718</v>
      </c>
      <c r="AA741" s="2" t="s">
        <v>721</v>
      </c>
    </row>
    <row r="742" spans="1:27" x14ac:dyDescent="0.35">
      <c r="A742" s="7" t="s">
        <v>1787</v>
      </c>
      <c r="B742" s="7" t="s">
        <v>1444</v>
      </c>
      <c r="C742" s="7" t="str">
        <f>_xlfn.XLOOKUP(B742,'[1]Sheet 1'!$A$2:$A$11107,'[1]Sheet 1'!$D$2:$D$11107,"",0)</f>
        <v>LBI</v>
      </c>
      <c r="D742" s="4" t="str">
        <f>_xlfn.XLOOKUP(A742,[3]Sheet2!$I$2:$I$1623,[3]Sheet2!$D$2:$D$1623,"",0)</f>
        <v>Q1</v>
      </c>
      <c r="E742" s="4" t="s">
        <v>1828</v>
      </c>
      <c r="F742" s="4" t="e">
        <f>_xlfn.XLOOKUP(B742,[2]Sheet2!$E$2:$E$713,[2]Sheet2!$G$2:$G$713)</f>
        <v>#N/A</v>
      </c>
      <c r="G742" s="18">
        <v>46148</v>
      </c>
      <c r="H742" s="14">
        <v>0.76287037037037042</v>
      </c>
      <c r="I742" s="7" t="s">
        <v>14</v>
      </c>
      <c r="J742" s="2" t="str">
        <f t="shared" si="55"/>
        <v>Q4</v>
      </c>
      <c r="K742" s="2" t="str">
        <f t="shared" si="56"/>
        <v>Not Match</v>
      </c>
      <c r="L742" s="2">
        <f t="shared" si="57"/>
        <v>0.14560219778561037</v>
      </c>
      <c r="M742" s="2" t="e">
        <f t="shared" si="58"/>
        <v>#N/A</v>
      </c>
      <c r="N742" s="2" t="str">
        <f t="shared" si="59"/>
        <v>Q NOT OK dE&lt;=0.8</v>
      </c>
      <c r="O742" s="7">
        <v>35.44</v>
      </c>
      <c r="P742" s="7">
        <v>-10.8</v>
      </c>
      <c r="Q742" s="7">
        <v>-23.09</v>
      </c>
      <c r="R742" s="7">
        <v>-0.03</v>
      </c>
      <c r="S742" s="7">
        <v>0.14000000000000001</v>
      </c>
      <c r="T742" s="7">
        <v>-0.04</v>
      </c>
      <c r="U742" s="7">
        <v>-0.02</v>
      </c>
      <c r="V742" s="7">
        <v>0.11</v>
      </c>
      <c r="W742" s="7">
        <v>0.12</v>
      </c>
      <c r="X742" s="7" t="s">
        <v>8</v>
      </c>
      <c r="Y742" s="7" t="s">
        <v>9</v>
      </c>
      <c r="Z742" s="2" t="s">
        <v>718</v>
      </c>
      <c r="AA742" s="2" t="s">
        <v>721</v>
      </c>
    </row>
    <row r="743" spans="1:27" x14ac:dyDescent="0.35">
      <c r="A743" s="7" t="s">
        <v>1816</v>
      </c>
      <c r="B743" s="7" t="s">
        <v>1340</v>
      </c>
      <c r="C743" s="7" t="str">
        <f>_xlfn.XLOOKUP(B743,'[1]Sheet 1'!$A$2:$A$11107,'[1]Sheet 1'!$D$2:$D$11107,"",0)</f>
        <v>VSS</v>
      </c>
      <c r="D743" s="4" t="str">
        <f>_xlfn.XLOOKUP(A743,[3]Sheet2!$I$2:$I$1623,[3]Sheet2!$D$2:$D$1623,"",0)</f>
        <v>Q1</v>
      </c>
      <c r="E743" s="4" t="s">
        <v>1828</v>
      </c>
      <c r="F743" s="4" t="e">
        <f>_xlfn.XLOOKUP(B743,[2]Sheet2!$E$2:$E$713,[2]Sheet2!$G$2:$G$713)</f>
        <v>#N/A</v>
      </c>
      <c r="G743" s="18">
        <v>46148</v>
      </c>
      <c r="H743" s="14">
        <v>0.77461805555555552</v>
      </c>
      <c r="I743" s="7" t="s">
        <v>10</v>
      </c>
      <c r="J743" s="2" t="str">
        <f t="shared" si="55"/>
        <v>Q2</v>
      </c>
      <c r="K743" s="2" t="str">
        <f t="shared" si="56"/>
        <v>Not Match</v>
      </c>
      <c r="L743" s="2">
        <f t="shared" si="57"/>
        <v>0.49406477308142505</v>
      </c>
      <c r="M743" s="2" t="e">
        <f t="shared" si="58"/>
        <v>#N/A</v>
      </c>
      <c r="N743" s="2" t="str">
        <f t="shared" si="59"/>
        <v>Q NOT OK dE&lt;=0.8</v>
      </c>
      <c r="O743" s="7">
        <v>21.67</v>
      </c>
      <c r="P743" s="7">
        <v>19</v>
      </c>
      <c r="Q743" s="7">
        <v>-5.62</v>
      </c>
      <c r="R743" s="7">
        <v>0.16</v>
      </c>
      <c r="S743" s="7">
        <v>-0.4</v>
      </c>
      <c r="T743" s="7">
        <v>0.28999999999999998</v>
      </c>
      <c r="U743" s="7">
        <v>-0.28000000000000003</v>
      </c>
      <c r="V743" s="7">
        <v>0.13</v>
      </c>
      <c r="W743" s="7">
        <v>0.35</v>
      </c>
      <c r="X743" s="7" t="s">
        <v>8</v>
      </c>
      <c r="Y743" s="7" t="s">
        <v>9</v>
      </c>
      <c r="Z743" s="2" t="s">
        <v>718</v>
      </c>
      <c r="AA743" s="2" t="s">
        <v>721</v>
      </c>
    </row>
    <row r="744" spans="1:27" x14ac:dyDescent="0.35">
      <c r="A744" s="7" t="s">
        <v>1781</v>
      </c>
      <c r="B744" s="7" t="s">
        <v>1441</v>
      </c>
      <c r="C744" s="7" t="str">
        <f>_xlfn.XLOOKUP(B744,'[1]Sheet 1'!$A$2:$A$11107,'[1]Sheet 1'!$D$2:$D$11107,"",0)</f>
        <v>CK</v>
      </c>
      <c r="D744" s="4" t="str">
        <f>_xlfn.XLOOKUP(A744,[3]Sheet2!$I$2:$I$1623,[3]Sheet2!$D$2:$D$1623,"",0)</f>
        <v>Q4</v>
      </c>
      <c r="E744" s="4" t="s">
        <v>1828</v>
      </c>
      <c r="F744" s="4" t="e">
        <f>_xlfn.XLOOKUP(B744,[2]Sheet2!$E$2:$E$713,[2]Sheet2!$G$2:$G$713)</f>
        <v>#N/A</v>
      </c>
      <c r="G744" s="18">
        <v>46148</v>
      </c>
      <c r="H744" s="14">
        <v>0.74410879629629634</v>
      </c>
      <c r="I744" s="7" t="s">
        <v>11</v>
      </c>
      <c r="J744" s="2" t="str">
        <f t="shared" si="55"/>
        <v>Q2</v>
      </c>
      <c r="K744" s="2" t="str">
        <f t="shared" si="56"/>
        <v>Not Match</v>
      </c>
      <c r="L744" s="2">
        <f t="shared" si="57"/>
        <v>0.39812058474788764</v>
      </c>
      <c r="M744" s="2" t="e">
        <f t="shared" si="58"/>
        <v>#N/A</v>
      </c>
      <c r="N744" s="2" t="str">
        <f t="shared" si="59"/>
        <v>Q NOT OK dE&lt;=0.8</v>
      </c>
      <c r="O744" s="7">
        <v>22.43</v>
      </c>
      <c r="P744" s="7">
        <v>-0.23</v>
      </c>
      <c r="Q744" s="7">
        <v>-16.18</v>
      </c>
      <c r="R744" s="7">
        <v>-0.09</v>
      </c>
      <c r="S744" s="7">
        <v>-0.17</v>
      </c>
      <c r="T744" s="7">
        <v>0.36</v>
      </c>
      <c r="U744" s="7">
        <v>-0.24</v>
      </c>
      <c r="V744" s="7">
        <v>-0.19</v>
      </c>
      <c r="W744" s="7">
        <v>0.32</v>
      </c>
      <c r="X744" s="7" t="s">
        <v>8</v>
      </c>
      <c r="Y744" s="7" t="s">
        <v>15</v>
      </c>
      <c r="Z744" s="2" t="s">
        <v>718</v>
      </c>
      <c r="AA744" s="2" t="s">
        <v>721</v>
      </c>
    </row>
    <row r="745" spans="1:27" x14ac:dyDescent="0.35">
      <c r="A745" s="7" t="s">
        <v>1808</v>
      </c>
      <c r="B745" s="7" t="s">
        <v>1430</v>
      </c>
      <c r="C745" s="7" t="str">
        <f>_xlfn.XLOOKUP(B745,'[1]Sheet 1'!$A$2:$A$11107,'[1]Sheet 1'!$D$2:$D$11107,"",0)</f>
        <v>VSS</v>
      </c>
      <c r="D745" s="4" t="str">
        <f>_xlfn.XLOOKUP(A745,[3]Sheet2!$I$2:$I$1623,[3]Sheet2!$D$2:$D$1623,"",0)</f>
        <v>Q3</v>
      </c>
      <c r="E745" s="4" t="s">
        <v>1828</v>
      </c>
      <c r="F745" s="4" t="e">
        <f>_xlfn.XLOOKUP(B745,[2]Sheet2!$E$2:$E$713,[2]Sheet2!$G$2:$G$713)</f>
        <v>#N/A</v>
      </c>
      <c r="G745" s="18">
        <v>46148</v>
      </c>
      <c r="H745" s="14">
        <v>0.26224537037037038</v>
      </c>
      <c r="I745" s="7" t="s">
        <v>10</v>
      </c>
      <c r="J745" s="2" t="str">
        <f t="shared" si="55"/>
        <v>Q3</v>
      </c>
      <c r="K745" s="2" t="str">
        <f t="shared" si="56"/>
        <v>Match</v>
      </c>
      <c r="L745" s="2">
        <f t="shared" si="57"/>
        <v>0.4</v>
      </c>
      <c r="M745" s="2" t="e">
        <f t="shared" si="58"/>
        <v>#N/A</v>
      </c>
      <c r="N745" s="2" t="str">
        <f t="shared" si="59"/>
        <v>Q OK dE&gt;0.8</v>
      </c>
      <c r="O745" s="7">
        <v>30.3</v>
      </c>
      <c r="P745" s="7">
        <v>-18.7</v>
      </c>
      <c r="Q745" s="7">
        <v>-45.2</v>
      </c>
      <c r="R745" s="7">
        <v>-0.87</v>
      </c>
      <c r="S745" s="7">
        <v>0.4</v>
      </c>
      <c r="T745" s="20">
        <v>0</v>
      </c>
      <c r="U745" s="7">
        <v>-0.06</v>
      </c>
      <c r="V745" s="7">
        <v>0.25</v>
      </c>
      <c r="W745" s="7">
        <v>0.9</v>
      </c>
      <c r="X745" s="7" t="s">
        <v>13</v>
      </c>
      <c r="Y745" s="7" t="s">
        <v>9</v>
      </c>
      <c r="Z745" s="2" t="s">
        <v>718</v>
      </c>
      <c r="AA745" s="2" t="s">
        <v>721</v>
      </c>
    </row>
    <row r="746" spans="1:27" x14ac:dyDescent="0.35">
      <c r="A746" s="7" t="s">
        <v>1807</v>
      </c>
      <c r="B746" s="7" t="s">
        <v>1425</v>
      </c>
      <c r="C746" s="7" t="str">
        <f>_xlfn.XLOOKUP(B746,'[1]Sheet 1'!$A$2:$A$11107,'[1]Sheet 1'!$D$2:$D$11107,"",0)</f>
        <v>VSS</v>
      </c>
      <c r="D746" s="4" t="str">
        <f>_xlfn.XLOOKUP(A746,[3]Sheet2!$I$2:$I$1623,[3]Sheet2!$D$2:$D$1623,"",0)</f>
        <v>Q4</v>
      </c>
      <c r="E746" s="4" t="s">
        <v>1828</v>
      </c>
      <c r="F746" s="4" t="e">
        <f>_xlfn.XLOOKUP(B746,[2]Sheet2!$E$2:$E$713,[2]Sheet2!$G$2:$G$713)</f>
        <v>#N/A</v>
      </c>
      <c r="G746" s="18">
        <v>46148</v>
      </c>
      <c r="H746" s="14">
        <v>5.5694444444444442E-2</v>
      </c>
      <c r="I746" s="7" t="s">
        <v>10</v>
      </c>
      <c r="J746" s="2" t="str">
        <f t="shared" si="55"/>
        <v>Q1</v>
      </c>
      <c r="K746" s="2" t="str">
        <f t="shared" si="56"/>
        <v>Not Match</v>
      </c>
      <c r="L746" s="2">
        <f t="shared" si="57"/>
        <v>0.28284271247461906</v>
      </c>
      <c r="M746" s="2" t="e">
        <f t="shared" si="58"/>
        <v>#N/A</v>
      </c>
      <c r="N746" s="2" t="str">
        <f t="shared" si="59"/>
        <v>Q NOT OK dE&lt;=0.8</v>
      </c>
      <c r="O746" s="7">
        <v>23.7</v>
      </c>
      <c r="P746" s="7">
        <v>-0.9</v>
      </c>
      <c r="Q746" s="7">
        <v>-8.5</v>
      </c>
      <c r="R746" s="7">
        <v>-0.35</v>
      </c>
      <c r="S746" s="7">
        <v>0.2</v>
      </c>
      <c r="T746" s="7">
        <v>0.2</v>
      </c>
      <c r="U746" s="7">
        <v>-0.21</v>
      </c>
      <c r="V746" s="7">
        <v>0.26</v>
      </c>
      <c r="W746" s="7">
        <v>0.48</v>
      </c>
      <c r="X746" s="7" t="s">
        <v>8</v>
      </c>
      <c r="Y746" s="7" t="s">
        <v>9</v>
      </c>
      <c r="Z746" s="2" t="s">
        <v>718</v>
      </c>
      <c r="AA746" s="2" t="s">
        <v>721</v>
      </c>
    </row>
    <row r="747" spans="1:27" x14ac:dyDescent="0.35">
      <c r="A747" s="7" t="s">
        <v>1815</v>
      </c>
      <c r="B747" s="7" t="s">
        <v>1446</v>
      </c>
      <c r="C747" s="7" t="str">
        <f>_xlfn.XLOOKUP(B747,'[1]Sheet 1'!$A$2:$A$11107,'[1]Sheet 1'!$D$2:$D$11107,"",0)</f>
        <v>VSS</v>
      </c>
      <c r="D747" s="4" t="str">
        <f>_xlfn.XLOOKUP(A747,[3]Sheet2!$I$2:$I$1623,[3]Sheet2!$D$2:$D$1623,"",0)</f>
        <v>Q4</v>
      </c>
      <c r="E747" s="4" t="s">
        <v>1828</v>
      </c>
      <c r="F747" s="4" t="e">
        <f>_xlfn.XLOOKUP(B747,[2]Sheet2!$E$2:$E$713,[2]Sheet2!$G$2:$G$713)</f>
        <v>#N/A</v>
      </c>
      <c r="G747" s="18">
        <v>46148</v>
      </c>
      <c r="H747" s="14">
        <v>0.76890046296296299</v>
      </c>
      <c r="I747" s="7" t="s">
        <v>10</v>
      </c>
      <c r="J747" s="2" t="str">
        <f t="shared" si="55"/>
        <v>Q1</v>
      </c>
      <c r="K747" s="2" t="str">
        <f t="shared" si="56"/>
        <v>Not Match</v>
      </c>
      <c r="L747" s="2">
        <f t="shared" si="57"/>
        <v>0.366742416417845</v>
      </c>
      <c r="M747" s="2" t="e">
        <f t="shared" si="58"/>
        <v>#N/A</v>
      </c>
      <c r="N747" s="2" t="str">
        <f t="shared" si="59"/>
        <v>Q NOT OK dE&lt;=0.8</v>
      </c>
      <c r="O747" s="7">
        <v>24.41</v>
      </c>
      <c r="P747" s="7">
        <v>-5.18</v>
      </c>
      <c r="Q747" s="7">
        <v>-36.72</v>
      </c>
      <c r="R747" s="7">
        <v>-0.31</v>
      </c>
      <c r="S747" s="7">
        <v>0.33</v>
      </c>
      <c r="T747" s="7">
        <v>0.16</v>
      </c>
      <c r="U747" s="7">
        <v>-0.09</v>
      </c>
      <c r="V747" s="7">
        <v>0.22</v>
      </c>
      <c r="W747" s="7">
        <v>0.39</v>
      </c>
      <c r="X747" s="7" t="s">
        <v>8</v>
      </c>
      <c r="Y747" s="7" t="s">
        <v>9</v>
      </c>
      <c r="Z747" s="2" t="s">
        <v>718</v>
      </c>
      <c r="AA747" s="2" t="s">
        <v>721</v>
      </c>
    </row>
    <row r="748" spans="1:27" x14ac:dyDescent="0.35">
      <c r="A748" s="7" t="s">
        <v>1806</v>
      </c>
      <c r="B748" s="7" t="s">
        <v>1423</v>
      </c>
      <c r="C748" s="7" t="str">
        <f>_xlfn.XLOOKUP(B748,'[1]Sheet 1'!$A$2:$A$11107,'[1]Sheet 1'!$D$2:$D$11107,"",0)</f>
        <v>VSS</v>
      </c>
      <c r="D748" s="4">
        <v>0</v>
      </c>
      <c r="E748" s="4" t="s">
        <v>1828</v>
      </c>
      <c r="F748" s="4" t="e">
        <f>_xlfn.XLOOKUP(B748,[2]Sheet2!$E$2:$E$713,[2]Sheet2!$G$2:$G$713)</f>
        <v>#N/A</v>
      </c>
      <c r="G748" s="18">
        <v>46148</v>
      </c>
      <c r="H748" s="14">
        <v>4.9108796296296296E-2</v>
      </c>
      <c r="I748" s="7" t="s">
        <v>10</v>
      </c>
      <c r="J748" s="2" t="str">
        <f t="shared" si="55"/>
        <v>Q3</v>
      </c>
      <c r="K748" s="2" t="str">
        <f t="shared" si="56"/>
        <v>Not Found</v>
      </c>
      <c r="L748" s="2">
        <f t="shared" si="57"/>
        <v>0.41231056256176613</v>
      </c>
      <c r="M748" s="2" t="e">
        <f t="shared" si="58"/>
        <v>#N/A</v>
      </c>
      <c r="N748" s="2" t="str">
        <f t="shared" si="59"/>
        <v>Quadrant not assigned</v>
      </c>
      <c r="O748" s="7">
        <v>28.2</v>
      </c>
      <c r="P748" s="7">
        <v>-11.5</v>
      </c>
      <c r="Q748" s="7">
        <v>3</v>
      </c>
      <c r="R748" s="7">
        <v>-0.46</v>
      </c>
      <c r="S748" s="7">
        <v>-0.4</v>
      </c>
      <c r="T748" s="7">
        <v>-0.1</v>
      </c>
      <c r="U748" s="7">
        <v>0.27</v>
      </c>
      <c r="V748" s="7">
        <v>0.28999999999999998</v>
      </c>
      <c r="W748" s="7">
        <v>0.61</v>
      </c>
      <c r="X748" s="7" t="s">
        <v>8</v>
      </c>
      <c r="Y748" s="7" t="s">
        <v>7</v>
      </c>
      <c r="Z748" s="2" t="s">
        <v>718</v>
      </c>
      <c r="AA748" s="2" t="s">
        <v>721</v>
      </c>
    </row>
    <row r="749" spans="1:27" x14ac:dyDescent="0.35">
      <c r="A749" s="7" t="s">
        <v>1811</v>
      </c>
      <c r="B749" s="7" t="s">
        <v>1438</v>
      </c>
      <c r="C749" s="7" t="str">
        <f>_xlfn.XLOOKUP(B749,'[1]Sheet 1'!$A$2:$A$11107,'[1]Sheet 1'!$D$2:$D$11107,"",0)</f>
        <v>NEWB</v>
      </c>
      <c r="D749" s="4" t="str">
        <f>_xlfn.XLOOKUP(A749,[3]Sheet2!$I$2:$I$1623,[3]Sheet2!$D$2:$D$1623,"",0)</f>
        <v>Q2</v>
      </c>
      <c r="E749" s="4" t="s">
        <v>1828</v>
      </c>
      <c r="F749" s="4" t="e">
        <f>_xlfn.XLOOKUP(B749,[2]Sheet2!$E$2:$E$713,[2]Sheet2!$G$2:$G$713)</f>
        <v>#N/A</v>
      </c>
      <c r="G749" s="18">
        <v>46148</v>
      </c>
      <c r="H749" s="14">
        <v>0.71846064814814814</v>
      </c>
      <c r="I749" s="7" t="s">
        <v>4</v>
      </c>
      <c r="J749" s="2" t="str">
        <f t="shared" si="55"/>
        <v>Q2</v>
      </c>
      <c r="K749" s="2" t="str">
        <f t="shared" si="56"/>
        <v>Match</v>
      </c>
      <c r="L749" s="2">
        <f t="shared" si="57"/>
        <v>0.23194827009486405</v>
      </c>
      <c r="M749" s="2" t="e">
        <f t="shared" si="58"/>
        <v>#N/A</v>
      </c>
      <c r="N749" s="2" t="str">
        <f t="shared" si="59"/>
        <v>Q OK dE&lt;=0.8</v>
      </c>
      <c r="O749" s="7">
        <v>32.99</v>
      </c>
      <c r="P749" s="7">
        <v>11.89</v>
      </c>
      <c r="Q749" s="7">
        <v>-47.86</v>
      </c>
      <c r="R749" s="7">
        <v>-0.14000000000000001</v>
      </c>
      <c r="S749" s="7">
        <v>-0.23</v>
      </c>
      <c r="T749" s="7">
        <v>0.03</v>
      </c>
      <c r="U749" s="7">
        <v>-0.03</v>
      </c>
      <c r="V749" s="7">
        <v>-0.15</v>
      </c>
      <c r="W749" s="7">
        <v>0.2</v>
      </c>
      <c r="X749" s="7" t="s">
        <v>8</v>
      </c>
      <c r="Y749" s="7" t="s">
        <v>15</v>
      </c>
      <c r="Z749" s="2" t="s">
        <v>718</v>
      </c>
      <c r="AA749" s="2" t="s">
        <v>721</v>
      </c>
    </row>
    <row r="750" spans="1:27" x14ac:dyDescent="0.35">
      <c r="A750" s="7" t="s">
        <v>1593</v>
      </c>
      <c r="B750" s="7" t="s">
        <v>1433</v>
      </c>
      <c r="C750" s="7" t="str">
        <f>_xlfn.XLOOKUP(B750,'[1]Sheet 1'!$A$2:$A$11107,'[1]Sheet 1'!$D$2:$D$11107,"",0)</f>
        <v>LULU</v>
      </c>
      <c r="D750" s="4" t="str">
        <f>_xlfn.XLOOKUP(A750,[3]Sheet2!$I$2:$I$1623,[3]Sheet2!$D$2:$D$1623,"",0)</f>
        <v>Q3</v>
      </c>
      <c r="E750" s="4" t="s">
        <v>1828</v>
      </c>
      <c r="F750" s="4" t="e">
        <f>_xlfn.XLOOKUP(B750,[2]Sheet2!$E$2:$E$713,[2]Sheet2!$G$2:$G$713)</f>
        <v>#N/A</v>
      </c>
      <c r="G750" s="18">
        <v>46148</v>
      </c>
      <c r="H750" s="14">
        <v>0.33812500000000001</v>
      </c>
      <c r="I750" s="7" t="s">
        <v>4</v>
      </c>
      <c r="J750" s="2" t="str">
        <f t="shared" si="55"/>
        <v>Q1</v>
      </c>
      <c r="K750" s="2" t="str">
        <f t="shared" si="56"/>
        <v>Not Match</v>
      </c>
      <c r="L750" s="2">
        <f t="shared" si="57"/>
        <v>0.22360679774997899</v>
      </c>
      <c r="M750" s="2" t="e">
        <f t="shared" si="58"/>
        <v>#N/A</v>
      </c>
      <c r="N750" s="2" t="str">
        <f t="shared" si="59"/>
        <v>Q NOT OK dE&gt;0.8</v>
      </c>
      <c r="O750" s="7">
        <v>22.5</v>
      </c>
      <c r="P750" s="7">
        <v>2.9</v>
      </c>
      <c r="Q750" s="7">
        <v>2.4</v>
      </c>
      <c r="R750" s="7">
        <v>-1.1399999999999999</v>
      </c>
      <c r="S750" s="7">
        <v>0.1</v>
      </c>
      <c r="T750" s="7">
        <v>0.2</v>
      </c>
      <c r="U750" s="7">
        <v>0.32</v>
      </c>
      <c r="V750" s="7">
        <v>0.11</v>
      </c>
      <c r="W750" s="7">
        <v>1.19</v>
      </c>
      <c r="X750" s="7" t="s">
        <v>6</v>
      </c>
      <c r="Y750" s="7" t="s">
        <v>12</v>
      </c>
      <c r="Z750" s="2" t="s">
        <v>718</v>
      </c>
      <c r="AA750" s="2" t="s">
        <v>721</v>
      </c>
    </row>
    <row r="751" spans="1:27" x14ac:dyDescent="0.35">
      <c r="A751" s="7" t="s">
        <v>1500</v>
      </c>
      <c r="B751" s="7" t="s">
        <v>1424</v>
      </c>
      <c r="C751" s="7" t="str">
        <f>_xlfn.XLOOKUP(B751,'[1]Sheet 1'!$A$2:$A$11107,'[1]Sheet 1'!$D$2:$D$11107,"",0)</f>
        <v>LULU</v>
      </c>
      <c r="D751" s="4" t="str">
        <f>_xlfn.XLOOKUP(A751,[3]Sheet2!$I$2:$I$1623,[3]Sheet2!$D$2:$D$1623,"",0)</f>
        <v>Q2</v>
      </c>
      <c r="E751" s="4" t="s">
        <v>1828</v>
      </c>
      <c r="F751" s="4" t="e">
        <f>_xlfn.XLOOKUP(B751,[2]Sheet2!$E$2:$E$713,[2]Sheet2!$G$2:$G$713)</f>
        <v>#N/A</v>
      </c>
      <c r="G751" s="18">
        <v>46148</v>
      </c>
      <c r="H751" s="14">
        <v>5.3055555555555557E-2</v>
      </c>
      <c r="I751" s="7" t="s">
        <v>4</v>
      </c>
      <c r="J751" s="2" t="str">
        <f t="shared" si="55"/>
        <v>Q2</v>
      </c>
      <c r="K751" s="2" t="str">
        <f t="shared" si="56"/>
        <v>Match</v>
      </c>
      <c r="L751" s="2">
        <f t="shared" si="57"/>
        <v>0.1</v>
      </c>
      <c r="M751" s="2" t="e">
        <f t="shared" si="58"/>
        <v>#N/A</v>
      </c>
      <c r="N751" s="2" t="str">
        <f t="shared" si="59"/>
        <v>Q OK dE&lt;=0.8</v>
      </c>
      <c r="O751" s="7">
        <v>17.399999999999999</v>
      </c>
      <c r="P751" s="7">
        <v>-0.8</v>
      </c>
      <c r="Q751" s="7">
        <v>-0.9</v>
      </c>
      <c r="R751" s="7">
        <v>-0.57999999999999996</v>
      </c>
      <c r="S751" s="7">
        <v>0.1</v>
      </c>
      <c r="T751" s="20">
        <v>0</v>
      </c>
      <c r="U751" s="7">
        <v>-0.14000000000000001</v>
      </c>
      <c r="V751" s="7">
        <v>0.09</v>
      </c>
      <c r="W751" s="7">
        <v>0.61</v>
      </c>
      <c r="X751" s="7" t="s">
        <v>8</v>
      </c>
      <c r="Y751" s="7" t="s">
        <v>7</v>
      </c>
      <c r="Z751" s="2" t="s">
        <v>718</v>
      </c>
      <c r="AA751" s="2" t="s">
        <v>721</v>
      </c>
    </row>
    <row r="752" spans="1:27" x14ac:dyDescent="0.35">
      <c r="A752" s="7" t="s">
        <v>1500</v>
      </c>
      <c r="B752" s="7" t="s">
        <v>1431</v>
      </c>
      <c r="C752" s="7" t="str">
        <f>_xlfn.XLOOKUP(B752,'[1]Sheet 1'!$A$2:$A$11107,'[1]Sheet 1'!$D$2:$D$11107,"",0)</f>
        <v>LULU</v>
      </c>
      <c r="D752" s="4" t="str">
        <f>_xlfn.XLOOKUP(A752,[3]Sheet2!$I$2:$I$1623,[3]Sheet2!$D$2:$D$1623,"",0)</f>
        <v>Q2</v>
      </c>
      <c r="E752" s="4" t="s">
        <v>1828</v>
      </c>
      <c r="F752" s="4" t="e">
        <f>_xlfn.XLOOKUP(B752,[2]Sheet2!$E$2:$E$713,[2]Sheet2!$G$2:$G$713)</f>
        <v>#N/A</v>
      </c>
      <c r="G752" s="18">
        <v>46148</v>
      </c>
      <c r="H752" s="14">
        <v>0.45837962962962964</v>
      </c>
      <c r="I752" s="7" t="s">
        <v>4</v>
      </c>
      <c r="J752" s="2" t="str">
        <f t="shared" si="55"/>
        <v>Q2</v>
      </c>
      <c r="K752" s="2" t="str">
        <f t="shared" si="56"/>
        <v>Match</v>
      </c>
      <c r="L752" s="2">
        <f t="shared" si="57"/>
        <v>0</v>
      </c>
      <c r="M752" s="2" t="e">
        <f t="shared" si="58"/>
        <v>#N/A</v>
      </c>
      <c r="N752" s="2" t="str">
        <f t="shared" si="59"/>
        <v>Q OK dE&lt;=0.8</v>
      </c>
      <c r="O752" s="7">
        <v>18.600000000000001</v>
      </c>
      <c r="P752" s="7">
        <v>-1</v>
      </c>
      <c r="Q752" s="7">
        <v>-0.9</v>
      </c>
      <c r="R752" s="7">
        <v>0.56000000000000005</v>
      </c>
      <c r="S752" s="7">
        <v>0</v>
      </c>
      <c r="T752" s="20">
        <v>0</v>
      </c>
      <c r="U752" s="7">
        <v>-0.02</v>
      </c>
      <c r="V752" s="7">
        <v>-0.1</v>
      </c>
      <c r="W752" s="7">
        <v>0.56999999999999995</v>
      </c>
      <c r="X752" s="7" t="s">
        <v>8</v>
      </c>
      <c r="Y752" s="7" t="s">
        <v>12</v>
      </c>
      <c r="Z752" s="2" t="s">
        <v>718</v>
      </c>
      <c r="AA752" s="2" t="s">
        <v>721</v>
      </c>
    </row>
    <row r="753" spans="1:27" x14ac:dyDescent="0.35">
      <c r="A753" s="7" t="s">
        <v>1626</v>
      </c>
      <c r="B753" s="7" t="s">
        <v>1428</v>
      </c>
      <c r="C753" s="7" t="str">
        <f>_xlfn.XLOOKUP(B753,'[1]Sheet 1'!$A$2:$A$11107,'[1]Sheet 1'!$D$2:$D$11107,"",0)</f>
        <v>PINK</v>
      </c>
      <c r="D753" s="4" t="str">
        <f>_xlfn.XLOOKUP(A753,[3]Sheet2!$I$2:$I$1623,[3]Sheet2!$D$2:$D$1623,"",0)</f>
        <v>Q4</v>
      </c>
      <c r="E753" s="4" t="s">
        <v>1828</v>
      </c>
      <c r="F753" s="4" t="e">
        <f>_xlfn.XLOOKUP(B753,[2]Sheet2!$E$2:$E$713,[2]Sheet2!$G$2:$G$713)</f>
        <v>#N/A</v>
      </c>
      <c r="G753" s="18">
        <v>46148</v>
      </c>
      <c r="H753" s="14">
        <v>0.18407407407407408</v>
      </c>
      <c r="I753" s="7" t="s">
        <v>10</v>
      </c>
      <c r="J753" s="2" t="str">
        <f t="shared" si="55"/>
        <v>Q4</v>
      </c>
      <c r="K753" s="2" t="str">
        <f t="shared" si="56"/>
        <v>Match</v>
      </c>
      <c r="L753" s="2">
        <f t="shared" si="57"/>
        <v>0.2</v>
      </c>
      <c r="M753" s="2" t="e">
        <f t="shared" si="58"/>
        <v>#N/A</v>
      </c>
      <c r="N753" s="2" t="str">
        <f t="shared" si="59"/>
        <v>Q OK dE&lt;=0.8</v>
      </c>
      <c r="O753" s="7">
        <v>16.100000000000001</v>
      </c>
      <c r="P753" s="7">
        <v>0.6</v>
      </c>
      <c r="Q753" s="7">
        <v>-1.7</v>
      </c>
      <c r="R753" s="7">
        <v>-0.05</v>
      </c>
      <c r="S753" s="7">
        <v>-0.2</v>
      </c>
      <c r="T753" s="20">
        <v>0</v>
      </c>
      <c r="U753" s="7">
        <v>-0.11</v>
      </c>
      <c r="V753" s="7">
        <v>-0.27</v>
      </c>
      <c r="W753" s="7">
        <v>0.3</v>
      </c>
      <c r="X753" s="7" t="s">
        <v>8</v>
      </c>
      <c r="Y753" s="7" t="s">
        <v>7</v>
      </c>
      <c r="Z753" s="2" t="s">
        <v>718</v>
      </c>
      <c r="AA753" s="2" t="s">
        <v>721</v>
      </c>
    </row>
    <row r="754" spans="1:27" x14ac:dyDescent="0.35">
      <c r="A754" s="7" t="s">
        <v>1626</v>
      </c>
      <c r="B754" s="7" t="s">
        <v>1435</v>
      </c>
      <c r="C754" s="7" t="str">
        <f>_xlfn.XLOOKUP(B754,'[1]Sheet 1'!$A$2:$A$11107,'[1]Sheet 1'!$D$2:$D$11107,"",0)</f>
        <v>PINK</v>
      </c>
      <c r="D754" s="4" t="str">
        <f>_xlfn.XLOOKUP(A754,[3]Sheet2!$I$2:$I$1623,[3]Sheet2!$D$2:$D$1623,"",0)</f>
        <v>Q4</v>
      </c>
      <c r="E754" s="4" t="s">
        <v>1828</v>
      </c>
      <c r="F754" s="4" t="e">
        <f>_xlfn.XLOOKUP(B754,[2]Sheet2!$E$2:$E$713,[2]Sheet2!$G$2:$G$713)</f>
        <v>#N/A</v>
      </c>
      <c r="G754" s="18">
        <v>46148</v>
      </c>
      <c r="H754" s="14">
        <v>0.54710648148148144</v>
      </c>
      <c r="I754" s="7" t="s">
        <v>10</v>
      </c>
      <c r="J754" s="2" t="str">
        <f t="shared" si="55"/>
        <v>Q4</v>
      </c>
      <c r="K754" s="2" t="str">
        <f t="shared" si="56"/>
        <v>Match</v>
      </c>
      <c r="L754" s="2">
        <f t="shared" si="57"/>
        <v>0</v>
      </c>
      <c r="M754" s="2" t="e">
        <f t="shared" si="58"/>
        <v>#N/A</v>
      </c>
      <c r="N754" s="2" t="str">
        <f t="shared" si="59"/>
        <v>Q OK dE&lt;=0.8</v>
      </c>
      <c r="O754" s="7">
        <v>15.7</v>
      </c>
      <c r="P754" s="7">
        <v>0.7</v>
      </c>
      <c r="Q754" s="7">
        <v>-1.5</v>
      </c>
      <c r="R754" s="7">
        <v>-0.65</v>
      </c>
      <c r="S754" s="7">
        <v>0</v>
      </c>
      <c r="T754" s="20">
        <v>0</v>
      </c>
      <c r="U754" s="7">
        <v>-0.01</v>
      </c>
      <c r="V754" s="7">
        <v>0.08</v>
      </c>
      <c r="W754" s="7">
        <v>0.65</v>
      </c>
      <c r="X754" s="7" t="s">
        <v>8</v>
      </c>
      <c r="Y754" s="7" t="s">
        <v>9</v>
      </c>
      <c r="Z754" s="2" t="s">
        <v>718</v>
      </c>
      <c r="AA754" s="2" t="s">
        <v>721</v>
      </c>
    </row>
    <row r="755" spans="1:27" x14ac:dyDescent="0.35">
      <c r="A755" s="7" t="s">
        <v>1626</v>
      </c>
      <c r="B755" s="7" t="s">
        <v>1447</v>
      </c>
      <c r="C755" s="7" t="str">
        <f>_xlfn.XLOOKUP(B755,'[1]Sheet 1'!$A$2:$A$11107,'[1]Sheet 1'!$D$2:$D$11107,"",0)</f>
        <v>PINK</v>
      </c>
      <c r="D755" s="4" t="str">
        <f>_xlfn.XLOOKUP(A755,[3]Sheet2!$I$2:$I$1623,[3]Sheet2!$D$2:$D$1623,"",0)</f>
        <v>Q4</v>
      </c>
      <c r="E755" s="4" t="s">
        <v>1828</v>
      </c>
      <c r="F755" s="4" t="e">
        <f>_xlfn.XLOOKUP(B755,[2]Sheet2!$E$2:$E$713,[2]Sheet2!$G$2:$G$713)</f>
        <v>#N/A</v>
      </c>
      <c r="G755" s="18">
        <v>46148</v>
      </c>
      <c r="H755" s="14">
        <v>0.77124999999999999</v>
      </c>
      <c r="I755" s="7" t="s">
        <v>10</v>
      </c>
      <c r="J755" s="2" t="str">
        <f t="shared" si="55"/>
        <v>Q3</v>
      </c>
      <c r="K755" s="2" t="str">
        <f t="shared" si="56"/>
        <v>Not Match</v>
      </c>
      <c r="L755" s="2">
        <f t="shared" si="57"/>
        <v>4.123105625617661E-2</v>
      </c>
      <c r="M755" s="2" t="e">
        <f t="shared" si="58"/>
        <v>#N/A</v>
      </c>
      <c r="N755" s="2" t="str">
        <f t="shared" si="59"/>
        <v>Q NOT OK dE&lt;=0.8</v>
      </c>
      <c r="O755" s="7">
        <v>16.66</v>
      </c>
      <c r="P755" s="7">
        <v>0.62</v>
      </c>
      <c r="Q755" s="7">
        <v>-1.57</v>
      </c>
      <c r="R755" s="7">
        <v>0.28000000000000003</v>
      </c>
      <c r="S755" s="7">
        <v>-0.04</v>
      </c>
      <c r="T755" s="7">
        <v>-0.01</v>
      </c>
      <c r="U755" s="7">
        <v>-0.01</v>
      </c>
      <c r="V755" s="7">
        <v>-0.05</v>
      </c>
      <c r="W755" s="7">
        <v>0.28000000000000003</v>
      </c>
      <c r="X755" s="7" t="s">
        <v>8</v>
      </c>
      <c r="Y755" s="7" t="s">
        <v>15</v>
      </c>
      <c r="Z755" s="2" t="s">
        <v>718</v>
      </c>
      <c r="AA755" s="2" t="s">
        <v>721</v>
      </c>
    </row>
    <row r="756" spans="1:27" x14ac:dyDescent="0.35">
      <c r="A756" s="7" t="s">
        <v>1810</v>
      </c>
      <c r="B756" s="7" t="s">
        <v>1437</v>
      </c>
      <c r="C756" s="7" t="str">
        <f>_xlfn.XLOOKUP(B756,'[1]Sheet 1'!$A$2:$A$11107,'[1]Sheet 1'!$D$2:$D$11107,"",0)</f>
        <v>THEU</v>
      </c>
      <c r="D756" s="4" t="str">
        <f>_xlfn.XLOOKUP(A756,[3]Sheet2!$I$2:$I$1623,[3]Sheet2!$D$2:$D$1623,"",0)</f>
        <v>Q2</v>
      </c>
      <c r="E756" s="4" t="s">
        <v>1828</v>
      </c>
      <c r="F756" s="4" t="e">
        <f>_xlfn.XLOOKUP(B756,[2]Sheet2!$E$2:$E$713,[2]Sheet2!$G$2:$G$713)</f>
        <v>#N/A</v>
      </c>
      <c r="G756" s="18">
        <v>46148</v>
      </c>
      <c r="H756" s="14">
        <v>0.55686342592592597</v>
      </c>
      <c r="I756" s="7" t="s">
        <v>4</v>
      </c>
      <c r="J756" s="2" t="str">
        <f t="shared" si="55"/>
        <v>Q3</v>
      </c>
      <c r="K756" s="2" t="str">
        <f t="shared" si="56"/>
        <v>Not Match</v>
      </c>
      <c r="L756" s="2">
        <f t="shared" si="57"/>
        <v>0.22360679774997899</v>
      </c>
      <c r="M756" s="2" t="e">
        <f t="shared" si="58"/>
        <v>#N/A</v>
      </c>
      <c r="N756" s="2" t="str">
        <f t="shared" si="59"/>
        <v>Q NOT OK dE&lt;=0.8</v>
      </c>
      <c r="O756" s="7">
        <v>14.6</v>
      </c>
      <c r="P756" s="7">
        <v>-0.5</v>
      </c>
      <c r="Q756" s="7">
        <v>-1</v>
      </c>
      <c r="R756" s="7">
        <v>-0.41</v>
      </c>
      <c r="S756" s="7">
        <v>-0.2</v>
      </c>
      <c r="T756" s="7">
        <v>-0.1</v>
      </c>
      <c r="U756" s="7">
        <v>0.28999999999999998</v>
      </c>
      <c r="V756" s="7">
        <v>-0.25</v>
      </c>
      <c r="W756" s="7">
        <v>0.56000000000000005</v>
      </c>
      <c r="X756" s="7" t="s">
        <v>8</v>
      </c>
      <c r="Y756" s="7" t="s">
        <v>15</v>
      </c>
      <c r="Z756" s="2" t="s">
        <v>718</v>
      </c>
      <c r="AA756" s="2" t="s">
        <v>721</v>
      </c>
    </row>
    <row r="757" spans="1:27" x14ac:dyDescent="0.35">
      <c r="A757" s="7" t="s">
        <v>1814</v>
      </c>
      <c r="B757" s="7" t="s">
        <v>1442</v>
      </c>
      <c r="C757" s="7" t="str">
        <f>_xlfn.XLOOKUP(B757,'[1]Sheet 1'!$A$2:$A$11107,'[1]Sheet 1'!$D$2:$D$11107,"",0)</f>
        <v/>
      </c>
      <c r="D757" s="4" t="str">
        <f>_xlfn.XLOOKUP(A757,[3]Sheet2!$I$2:$I$1623,[3]Sheet2!$D$2:$D$1623,"",0)</f>
        <v>Q1</v>
      </c>
      <c r="E757" s="4" t="s">
        <v>1828</v>
      </c>
      <c r="F757" s="4" t="e">
        <f>_xlfn.XLOOKUP(B757,[2]Sheet2!$E$2:$E$713,[2]Sheet2!$G$2:$G$713)</f>
        <v>#N/A</v>
      </c>
      <c r="G757" s="18">
        <v>46148</v>
      </c>
      <c r="H757" s="14">
        <v>0.74737268518518518</v>
      </c>
      <c r="I757" s="7" t="s">
        <v>4</v>
      </c>
      <c r="J757" s="2" t="str">
        <f t="shared" si="55"/>
        <v>Q1</v>
      </c>
      <c r="K757" s="2" t="str">
        <f t="shared" si="56"/>
        <v>Match</v>
      </c>
      <c r="L757" s="2">
        <f t="shared" si="57"/>
        <v>0.29732137494637012</v>
      </c>
      <c r="M757" s="2" t="e">
        <f t="shared" si="58"/>
        <v>#N/A</v>
      </c>
      <c r="N757" s="2" t="str">
        <f t="shared" si="59"/>
        <v>Q OK dE&lt;=0.8</v>
      </c>
      <c r="O757" s="7">
        <v>14.12</v>
      </c>
      <c r="P757" s="7">
        <v>-0.1</v>
      </c>
      <c r="Q757" s="7">
        <v>-2.1800000000000002</v>
      </c>
      <c r="R757" s="7">
        <v>-0.32</v>
      </c>
      <c r="S757" s="7">
        <v>0.2</v>
      </c>
      <c r="T757" s="7">
        <v>0.22</v>
      </c>
      <c r="U757" s="7">
        <v>-0.3</v>
      </c>
      <c r="V757" s="7">
        <v>0.24</v>
      </c>
      <c r="W757" s="7">
        <v>0.51</v>
      </c>
      <c r="X757" s="7" t="s">
        <v>8</v>
      </c>
      <c r="Y757" s="7" t="s">
        <v>9</v>
      </c>
      <c r="Z757" s="2" t="s">
        <v>718</v>
      </c>
      <c r="AA757" s="2" t="s">
        <v>721</v>
      </c>
    </row>
    <row r="758" spans="1:27" x14ac:dyDescent="0.35">
      <c r="A758" s="7" t="s">
        <v>1662</v>
      </c>
      <c r="B758" s="7" t="s">
        <v>1429</v>
      </c>
      <c r="C758" s="7" t="str">
        <f>_xlfn.XLOOKUP(B758,'[1]Sheet 1'!$A$2:$A$11107,'[1]Sheet 1'!$D$2:$D$11107,"",0)</f>
        <v>CK</v>
      </c>
      <c r="D758" s="4" t="str">
        <f>_xlfn.XLOOKUP(A758,[3]Sheet2!$I$2:$I$1623,[3]Sheet2!$D$2:$D$1623,"",0)</f>
        <v>Q1</v>
      </c>
      <c r="E758" s="4" t="s">
        <v>1828</v>
      </c>
      <c r="F758" s="4" t="e">
        <f>_xlfn.XLOOKUP(B758,[2]Sheet2!$E$2:$E$713,[2]Sheet2!$G$2:$G$713)</f>
        <v>#N/A</v>
      </c>
      <c r="G758" s="18">
        <v>46148</v>
      </c>
      <c r="H758" s="14">
        <v>0.18768518518518518</v>
      </c>
      <c r="I758" s="7" t="s">
        <v>11</v>
      </c>
      <c r="J758" s="2" t="str">
        <f t="shared" si="55"/>
        <v>Q4</v>
      </c>
      <c r="K758" s="2" t="str">
        <f t="shared" si="56"/>
        <v>Not Match</v>
      </c>
      <c r="L758" s="2">
        <f t="shared" si="57"/>
        <v>0.22360679774997899</v>
      </c>
      <c r="M758" s="2" t="e">
        <f t="shared" si="58"/>
        <v>#N/A</v>
      </c>
      <c r="N758" s="2" t="str">
        <f t="shared" si="59"/>
        <v>Q NOT OK dE&lt;=0.8</v>
      </c>
      <c r="O758" s="7">
        <v>17.2</v>
      </c>
      <c r="P758" s="7">
        <v>-1.2</v>
      </c>
      <c r="Q758" s="7">
        <v>-2.8</v>
      </c>
      <c r="R758" s="7">
        <v>0.24</v>
      </c>
      <c r="S758" s="7">
        <v>0.2</v>
      </c>
      <c r="T758" s="7">
        <v>-0.1</v>
      </c>
      <c r="U758" s="7">
        <v>0.11</v>
      </c>
      <c r="V758" s="7">
        <v>0.34</v>
      </c>
      <c r="W758" s="7">
        <v>0.43</v>
      </c>
      <c r="X758" s="7" t="s">
        <v>8</v>
      </c>
      <c r="Y758" s="7" t="s">
        <v>9</v>
      </c>
      <c r="Z758" s="2" t="s">
        <v>718</v>
      </c>
      <c r="AA758" s="2" t="s">
        <v>721</v>
      </c>
    </row>
    <row r="759" spans="1:27" x14ac:dyDescent="0.35">
      <c r="A759" s="7" t="s">
        <v>1515</v>
      </c>
      <c r="B759" s="7" t="s">
        <v>1432</v>
      </c>
      <c r="C759" s="7" t="str">
        <f>_xlfn.XLOOKUP(B759,'[1]Sheet 1'!$A$2:$A$11107,'[1]Sheet 1'!$D$2:$D$11107,"",0)</f>
        <v>VSS</v>
      </c>
      <c r="D759" s="4" t="str">
        <f>_xlfn.XLOOKUP(A759,[3]Sheet2!$I$2:$I$1623,[3]Sheet2!$D$2:$D$1623,"",0)</f>
        <v>Q3</v>
      </c>
      <c r="E759" s="4" t="s">
        <v>1828</v>
      </c>
      <c r="F759" s="4" t="e">
        <f>_xlfn.XLOOKUP(B759,[2]Sheet2!$E$2:$E$713,[2]Sheet2!$G$2:$G$713)</f>
        <v>#N/A</v>
      </c>
      <c r="G759" s="18">
        <v>46148</v>
      </c>
      <c r="H759" s="14">
        <v>0.27335648148148151</v>
      </c>
      <c r="I759" s="7" t="s">
        <v>10</v>
      </c>
      <c r="J759" s="2" t="str">
        <f t="shared" si="55"/>
        <v>Q3</v>
      </c>
      <c r="K759" s="2" t="str">
        <f t="shared" si="56"/>
        <v>Match</v>
      </c>
      <c r="L759" s="2">
        <f t="shared" si="57"/>
        <v>0.2</v>
      </c>
      <c r="M759" s="2" t="e">
        <f t="shared" si="58"/>
        <v>#N/A</v>
      </c>
      <c r="N759" s="2" t="str">
        <f t="shared" si="59"/>
        <v>Q OK dE&gt;0.8</v>
      </c>
      <c r="O759" s="7">
        <v>13.3</v>
      </c>
      <c r="P759" s="7">
        <v>-0.1</v>
      </c>
      <c r="Q759" s="7">
        <v>-1.7</v>
      </c>
      <c r="R759" s="7">
        <v>-1.62</v>
      </c>
      <c r="S759" s="7">
        <v>-0.2</v>
      </c>
      <c r="T759" s="20">
        <v>0</v>
      </c>
      <c r="U759" s="7">
        <v>0.06</v>
      </c>
      <c r="V759" s="7">
        <v>-0.3</v>
      </c>
      <c r="W759" s="7">
        <v>1.65</v>
      </c>
      <c r="X759" s="7" t="s">
        <v>6</v>
      </c>
      <c r="Y759" s="7" t="s">
        <v>15</v>
      </c>
      <c r="Z759" s="2" t="s">
        <v>718</v>
      </c>
      <c r="AA759" s="2" t="s">
        <v>721</v>
      </c>
    </row>
    <row r="760" spans="1:27" x14ac:dyDescent="0.35">
      <c r="A760" s="7" t="s">
        <v>1812</v>
      </c>
      <c r="B760" s="7" t="s">
        <v>1439</v>
      </c>
      <c r="C760" s="7" t="str">
        <f>_xlfn.XLOOKUP(B760,'[1]Sheet 1'!$A$2:$A$11107,'[1]Sheet 1'!$D$2:$D$11107,"",0)</f>
        <v>M&amp;S</v>
      </c>
      <c r="D760" s="4" t="str">
        <f>_xlfn.XLOOKUP(A760,[3]Sheet2!$I$2:$I$1623,[3]Sheet2!$D$2:$D$1623,"",0)</f>
        <v>Q4</v>
      </c>
      <c r="E760" s="4" t="s">
        <v>1827</v>
      </c>
      <c r="F760" s="4" t="e">
        <f>_xlfn.XLOOKUP(B760,[2]Sheet2!$E$2:$E$713,[2]Sheet2!$G$2:$G$713)</f>
        <v>#N/A</v>
      </c>
      <c r="G760" s="18">
        <v>46148</v>
      </c>
      <c r="H760" s="14">
        <v>0.74001157407407403</v>
      </c>
      <c r="I760" s="7" t="s">
        <v>17</v>
      </c>
      <c r="J760" s="2" t="str">
        <f t="shared" si="55"/>
        <v>Q1</v>
      </c>
      <c r="K760" s="2" t="str">
        <f t="shared" si="56"/>
        <v>Not Match</v>
      </c>
      <c r="L760" s="2">
        <f t="shared" si="57"/>
        <v>0.82377181306475888</v>
      </c>
      <c r="M760" s="2" t="e">
        <f t="shared" si="58"/>
        <v>#N/A</v>
      </c>
      <c r="N760" s="2" t="str">
        <f t="shared" si="59"/>
        <v>Q NOT OK dE&gt;0.8</v>
      </c>
      <c r="O760" s="7">
        <v>15.73</v>
      </c>
      <c r="P760" s="7">
        <v>-0.3</v>
      </c>
      <c r="Q760" s="7">
        <v>-5.25</v>
      </c>
      <c r="R760" s="7">
        <v>-1.1200000000000001</v>
      </c>
      <c r="S760" s="7">
        <v>0.15</v>
      </c>
      <c r="T760" s="7">
        <v>0.81</v>
      </c>
      <c r="U760" s="7">
        <v>-0.82</v>
      </c>
      <c r="V760" s="7">
        <v>0.13</v>
      </c>
      <c r="W760" s="7">
        <v>1.4</v>
      </c>
      <c r="X760" s="7" t="s">
        <v>6</v>
      </c>
      <c r="Y760" s="7" t="s">
        <v>9</v>
      </c>
      <c r="Z760" s="2" t="s">
        <v>718</v>
      </c>
      <c r="AA760" s="2" t="s">
        <v>721</v>
      </c>
    </row>
    <row r="761" spans="1:27" x14ac:dyDescent="0.35">
      <c r="A761" s="7" t="s">
        <v>1812</v>
      </c>
      <c r="B761" s="7" t="s">
        <v>1449</v>
      </c>
      <c r="C761" s="7" t="str">
        <f>_xlfn.XLOOKUP(B761,'[1]Sheet 1'!$A$2:$A$11107,'[1]Sheet 1'!$D$2:$D$11107,"",0)</f>
        <v>M&amp;S</v>
      </c>
      <c r="D761" s="4" t="str">
        <f>_xlfn.XLOOKUP(A761,[3]Sheet2!$I$2:$I$1623,[3]Sheet2!$D$2:$D$1623,"",0)</f>
        <v>Q4</v>
      </c>
      <c r="E761" s="4" t="s">
        <v>1827</v>
      </c>
      <c r="F761" s="4" t="e">
        <f>_xlfn.XLOOKUP(B761,[2]Sheet2!$E$2:$E$713,[2]Sheet2!$G$2:$G$713)</f>
        <v>#N/A</v>
      </c>
      <c r="G761" s="18">
        <v>46148</v>
      </c>
      <c r="H761" s="14">
        <v>0.78863425925925923</v>
      </c>
      <c r="I761" s="7" t="s">
        <v>17</v>
      </c>
      <c r="J761" s="2" t="str">
        <f t="shared" si="55"/>
        <v>Q3</v>
      </c>
      <c r="K761" s="2" t="str">
        <f t="shared" si="56"/>
        <v>Not Match</v>
      </c>
      <c r="L761" s="2">
        <f t="shared" si="57"/>
        <v>0.44922154890432403</v>
      </c>
      <c r="M761" s="2" t="e">
        <f t="shared" si="58"/>
        <v>#N/A</v>
      </c>
      <c r="N761" s="2" t="str">
        <f t="shared" si="59"/>
        <v>Q NOT OK dE&lt;=0.8</v>
      </c>
      <c r="O761" s="7">
        <v>16.41</v>
      </c>
      <c r="P761" s="7">
        <v>-0.57999999999999996</v>
      </c>
      <c r="Q761" s="7">
        <v>-6.49</v>
      </c>
      <c r="R761" s="7">
        <v>-0.48</v>
      </c>
      <c r="S761" s="7">
        <v>-0.13</v>
      </c>
      <c r="T761" s="7">
        <v>-0.43</v>
      </c>
      <c r="U761" s="7">
        <v>0.44</v>
      </c>
      <c r="V761" s="7">
        <v>-0.13</v>
      </c>
      <c r="W761" s="7">
        <v>0.66</v>
      </c>
      <c r="X761" s="7" t="s">
        <v>8</v>
      </c>
      <c r="Y761" s="7" t="s">
        <v>15</v>
      </c>
      <c r="Z761" s="2" t="s">
        <v>718</v>
      </c>
      <c r="AA761" s="2" t="s">
        <v>721</v>
      </c>
    </row>
    <row r="762" spans="1:27" x14ac:dyDescent="0.35">
      <c r="A762" s="7" t="s">
        <v>1813</v>
      </c>
      <c r="B762" s="7" t="s">
        <v>1440</v>
      </c>
      <c r="C762" s="7" t="str">
        <f>_xlfn.XLOOKUP(B762,'[1]Sheet 1'!$A$2:$A$11107,'[1]Sheet 1'!$D$2:$D$11107,"",0)</f>
        <v/>
      </c>
      <c r="D762" s="4">
        <v>0</v>
      </c>
      <c r="E762" s="4" t="s">
        <v>1828</v>
      </c>
      <c r="F762" s="4" t="e">
        <f>_xlfn.XLOOKUP(B762,[2]Sheet2!$E$2:$E$713,[2]Sheet2!$G$2:$G$713)</f>
        <v>#N/A</v>
      </c>
      <c r="G762" s="18">
        <v>46148</v>
      </c>
      <c r="H762" s="14">
        <v>0.74233796296296295</v>
      </c>
      <c r="I762" s="7" t="s">
        <v>4</v>
      </c>
      <c r="J762" s="2" t="str">
        <f t="shared" si="55"/>
        <v>Q4</v>
      </c>
      <c r="K762" s="2" t="str">
        <f t="shared" si="56"/>
        <v>Not Found</v>
      </c>
      <c r="L762" s="2">
        <f t="shared" si="57"/>
        <v>0.22360679774997899</v>
      </c>
      <c r="M762" s="2" t="e">
        <f t="shared" si="58"/>
        <v>#N/A</v>
      </c>
      <c r="N762" s="2" t="str">
        <f t="shared" si="59"/>
        <v>Quadrant not assigned</v>
      </c>
      <c r="O762" s="7">
        <v>16.61</v>
      </c>
      <c r="P762" s="7">
        <v>-0.48</v>
      </c>
      <c r="Q762" s="7">
        <v>-1.72</v>
      </c>
      <c r="R762" s="7">
        <v>-0.09</v>
      </c>
      <c r="S762" s="7">
        <v>0.2</v>
      </c>
      <c r="T762" s="7">
        <v>-0.1</v>
      </c>
      <c r="U762" s="7">
        <v>0.04</v>
      </c>
      <c r="V762" s="7">
        <v>0.3</v>
      </c>
      <c r="W762" s="7">
        <v>0.31</v>
      </c>
      <c r="X762" s="7" t="s">
        <v>8</v>
      </c>
      <c r="Y762" s="7" t="s">
        <v>9</v>
      </c>
      <c r="Z762" s="2" t="s">
        <v>718</v>
      </c>
      <c r="AA762" s="2" t="s">
        <v>721</v>
      </c>
    </row>
    <row r="763" spans="1:27" x14ac:dyDescent="0.35">
      <c r="A763" s="7" t="s">
        <v>1540</v>
      </c>
      <c r="B763" s="7" t="s">
        <v>1448</v>
      </c>
      <c r="C763" s="7" t="str">
        <f>_xlfn.XLOOKUP(B763,'[1]Sheet 1'!$A$2:$A$11107,'[1]Sheet 1'!$D$2:$D$11107,"",0)</f>
        <v>PINK</v>
      </c>
      <c r="D763" s="4" t="str">
        <f>_xlfn.XLOOKUP(A763,[3]Sheet2!$I$2:$I$1623,[3]Sheet2!$D$2:$D$1623,"",0)</f>
        <v>Q3</v>
      </c>
      <c r="E763" s="4" t="s">
        <v>1828</v>
      </c>
      <c r="F763" s="4" t="e">
        <f>_xlfn.XLOOKUP(B763,[2]Sheet2!$E$2:$E$713,[2]Sheet2!$G$2:$G$713)</f>
        <v>#N/A</v>
      </c>
      <c r="G763" s="18">
        <v>46148</v>
      </c>
      <c r="H763" s="14">
        <v>0.78517361111111106</v>
      </c>
      <c r="I763" s="7" t="s">
        <v>10</v>
      </c>
      <c r="J763" s="2" t="str">
        <f t="shared" si="55"/>
        <v>Q2</v>
      </c>
      <c r="K763" s="2" t="str">
        <f t="shared" si="56"/>
        <v>Not Match</v>
      </c>
      <c r="L763" s="2">
        <f t="shared" si="57"/>
        <v>0.12041594578792295</v>
      </c>
      <c r="M763" s="2" t="e">
        <f t="shared" si="58"/>
        <v>#N/A</v>
      </c>
      <c r="N763" s="2" t="str">
        <f t="shared" si="59"/>
        <v>Q NOT OK dE&lt;=0.8</v>
      </c>
      <c r="O763" s="7">
        <v>14.26</v>
      </c>
      <c r="P763" s="7">
        <v>0.41</v>
      </c>
      <c r="Q763" s="7">
        <v>-1.18</v>
      </c>
      <c r="R763" s="7">
        <v>-0.27</v>
      </c>
      <c r="S763" s="7">
        <v>-0.09</v>
      </c>
      <c r="T763" s="7">
        <v>0.08</v>
      </c>
      <c r="U763" s="7">
        <v>-0.15</v>
      </c>
      <c r="V763" s="7">
        <v>-0.09</v>
      </c>
      <c r="W763" s="7">
        <v>0.32</v>
      </c>
      <c r="X763" s="7" t="s">
        <v>8</v>
      </c>
      <c r="Y763" s="7" t="s">
        <v>15</v>
      </c>
      <c r="Z763" s="2" t="s">
        <v>718</v>
      </c>
      <c r="AA763" s="2" t="s">
        <v>721</v>
      </c>
    </row>
    <row r="764" spans="1:27" x14ac:dyDescent="0.35">
      <c r="A764" s="7" t="s">
        <v>1552</v>
      </c>
      <c r="B764" s="7" t="s">
        <v>1445</v>
      </c>
      <c r="C764" s="7" t="str">
        <f>_xlfn.XLOOKUP(B764,'[1]Sheet 1'!$A$2:$A$11107,'[1]Sheet 1'!$D$2:$D$11107,"",0)</f>
        <v>NIK</v>
      </c>
      <c r="D764" s="4" t="str">
        <f>_xlfn.XLOOKUP(A764,[3]Sheet2!$I$2:$I$1623,[3]Sheet2!$D$2:$D$1623,"",0)</f>
        <v>Q1</v>
      </c>
      <c r="E764" s="4" t="s">
        <v>1828</v>
      </c>
      <c r="F764" s="4" t="e">
        <f>_xlfn.XLOOKUP(B764,[2]Sheet2!$E$2:$E$713,[2]Sheet2!$G$2:$G$713)</f>
        <v>#N/A</v>
      </c>
      <c r="G764" s="18">
        <v>46148</v>
      </c>
      <c r="H764" s="14">
        <v>0.76548611111111109</v>
      </c>
      <c r="I764" s="7" t="s">
        <v>4</v>
      </c>
      <c r="J764" s="2" t="str">
        <f t="shared" si="55"/>
        <v>Q1</v>
      </c>
      <c r="K764" s="2" t="str">
        <f t="shared" si="56"/>
        <v>Match</v>
      </c>
      <c r="L764" s="2">
        <f t="shared" si="57"/>
        <v>0.22671568097509268</v>
      </c>
      <c r="M764" s="2" t="e">
        <f t="shared" si="58"/>
        <v>#N/A</v>
      </c>
      <c r="N764" s="2" t="str">
        <f t="shared" si="59"/>
        <v>Q OK dE&gt;0.8</v>
      </c>
      <c r="O764" s="7">
        <v>14.22</v>
      </c>
      <c r="P764" s="7">
        <v>-1.1499999999999999</v>
      </c>
      <c r="Q764" s="7">
        <v>-1.22</v>
      </c>
      <c r="R764" s="7">
        <v>-1.28</v>
      </c>
      <c r="S764" s="7">
        <v>0.15</v>
      </c>
      <c r="T764" s="7">
        <v>0.17</v>
      </c>
      <c r="U764" s="7">
        <v>-0.3</v>
      </c>
      <c r="V764" s="7">
        <v>-0.01</v>
      </c>
      <c r="W764" s="7">
        <v>1.32</v>
      </c>
      <c r="X764" s="7" t="s">
        <v>6</v>
      </c>
      <c r="Y764" s="7" t="s">
        <v>12</v>
      </c>
      <c r="Z764" s="2" t="s">
        <v>718</v>
      </c>
      <c r="AA764" s="2" t="s">
        <v>721</v>
      </c>
    </row>
    <row r="765" spans="1:27" x14ac:dyDescent="0.35">
      <c r="A765" s="7" t="s">
        <v>1783</v>
      </c>
      <c r="B765" s="7" t="s">
        <v>1422</v>
      </c>
      <c r="C765" s="7" t="str">
        <f>_xlfn.XLOOKUP(B765,'[1]Sheet 1'!$A$2:$A$11107,'[1]Sheet 1'!$D$2:$D$11107,"",0)</f>
        <v>CK</v>
      </c>
      <c r="D765" s="4">
        <v>0</v>
      </c>
      <c r="E765" s="4" t="s">
        <v>1827</v>
      </c>
      <c r="F765" s="4" t="e">
        <f>_xlfn.XLOOKUP(B765,[2]Sheet2!$E$2:$E$713,[2]Sheet2!$G$2:$G$713)</f>
        <v>#N/A</v>
      </c>
      <c r="G765" s="18">
        <v>46148</v>
      </c>
      <c r="H765" s="14">
        <v>4.7037037037037037E-2</v>
      </c>
      <c r="I765" s="7" t="s">
        <v>11</v>
      </c>
      <c r="J765" s="2" t="str">
        <f t="shared" si="55"/>
        <v>Q3</v>
      </c>
      <c r="K765" s="2" t="str">
        <f t="shared" si="56"/>
        <v>Not Found</v>
      </c>
      <c r="L765" s="2">
        <f t="shared" si="57"/>
        <v>1.019803902718557</v>
      </c>
      <c r="M765" s="2" t="e">
        <f t="shared" si="58"/>
        <v>#N/A</v>
      </c>
      <c r="N765" s="2" t="str">
        <f t="shared" si="59"/>
        <v>Quadrant not assigned</v>
      </c>
      <c r="O765" s="7">
        <v>18.100000000000001</v>
      </c>
      <c r="P765" s="7">
        <v>0</v>
      </c>
      <c r="Q765" s="7">
        <v>-2</v>
      </c>
      <c r="R765" s="7">
        <v>0.24</v>
      </c>
      <c r="S765" s="7">
        <v>-0.2</v>
      </c>
      <c r="T765" s="7">
        <v>-1</v>
      </c>
      <c r="U765" s="7">
        <v>1.47</v>
      </c>
      <c r="V765" s="7">
        <v>-0.46</v>
      </c>
      <c r="W765" s="7">
        <v>1.56</v>
      </c>
      <c r="X765" s="7" t="s">
        <v>6</v>
      </c>
      <c r="Y765" s="7" t="s">
        <v>15</v>
      </c>
      <c r="Z765" s="2" t="s">
        <v>718</v>
      </c>
      <c r="AA765" s="2" t="s">
        <v>721</v>
      </c>
    </row>
    <row r="766" spans="1:27" x14ac:dyDescent="0.35">
      <c r="A766" s="7" t="s">
        <v>1783</v>
      </c>
      <c r="B766" s="7" t="s">
        <v>1427</v>
      </c>
      <c r="C766" s="7" t="str">
        <f>_xlfn.XLOOKUP(B766,'[1]Sheet 1'!$A$2:$A$11107,'[1]Sheet 1'!$D$2:$D$11107,"",0)</f>
        <v>CK</v>
      </c>
      <c r="D766" s="4">
        <v>0</v>
      </c>
      <c r="E766" s="4" t="s">
        <v>1827</v>
      </c>
      <c r="F766" s="4" t="e">
        <f>_xlfn.XLOOKUP(B766,[2]Sheet2!$E$2:$E$713,[2]Sheet2!$G$2:$G$713)</f>
        <v>#N/A</v>
      </c>
      <c r="G766" s="18">
        <v>46148</v>
      </c>
      <c r="H766" s="14">
        <v>0.10486111111111111</v>
      </c>
      <c r="I766" s="7" t="s">
        <v>11</v>
      </c>
      <c r="J766" s="2" t="str">
        <f t="shared" si="55"/>
        <v>Q3</v>
      </c>
      <c r="K766" s="2" t="str">
        <f t="shared" si="56"/>
        <v>Not Found</v>
      </c>
      <c r="L766" s="2">
        <f t="shared" si="57"/>
        <v>1.0440306508910551</v>
      </c>
      <c r="M766" s="2" t="e">
        <f t="shared" si="58"/>
        <v>#N/A</v>
      </c>
      <c r="N766" s="2" t="str">
        <f t="shared" si="59"/>
        <v>Quadrant not assigned</v>
      </c>
      <c r="O766" s="7">
        <v>18.399999999999999</v>
      </c>
      <c r="P766" s="7">
        <v>-0.1</v>
      </c>
      <c r="Q766" s="7">
        <v>-2</v>
      </c>
      <c r="R766" s="7">
        <v>0.56999999999999995</v>
      </c>
      <c r="S766" s="7">
        <v>-0.3</v>
      </c>
      <c r="T766" s="7">
        <v>-1</v>
      </c>
      <c r="U766" s="7">
        <v>1.49</v>
      </c>
      <c r="V766" s="7">
        <v>-0.61</v>
      </c>
      <c r="W766" s="7">
        <v>1.71</v>
      </c>
      <c r="X766" s="7" t="s">
        <v>6</v>
      </c>
      <c r="Y766" s="7" t="s">
        <v>15</v>
      </c>
      <c r="Z766" s="2" t="s">
        <v>718</v>
      </c>
      <c r="AA766" s="2" t="s">
        <v>721</v>
      </c>
    </row>
    <row r="767" spans="1:27" x14ac:dyDescent="0.35">
      <c r="A767" s="7" t="s">
        <v>1558</v>
      </c>
      <c r="B767" s="7" t="s">
        <v>1454</v>
      </c>
      <c r="C767" s="7" t="str">
        <f>_xlfn.XLOOKUP(B767,'[1]Sheet 1'!$A$2:$A$11107,'[1]Sheet 1'!$D$2:$D$11107,"",0)</f>
        <v>M&amp;S</v>
      </c>
      <c r="D767" s="4" t="str">
        <f>_xlfn.XLOOKUP(A767,[3]Sheet2!$I$2:$I$1623,[3]Sheet2!$D$2:$D$1623,"",0)</f>
        <v>Q3</v>
      </c>
      <c r="E767" s="4" t="s">
        <v>1828</v>
      </c>
      <c r="F767" s="4" t="e">
        <f>_xlfn.XLOOKUP(B767,[2]Sheet2!$E$2:$E$713,[2]Sheet2!$G$2:$G$713)</f>
        <v>#N/A</v>
      </c>
      <c r="G767" s="18">
        <v>46149</v>
      </c>
      <c r="H767" s="14">
        <v>0.76135416666666667</v>
      </c>
      <c r="I767" s="7" t="s">
        <v>17</v>
      </c>
      <c r="J767" s="2" t="str">
        <f t="shared" si="55"/>
        <v>Q3</v>
      </c>
      <c r="K767" s="2" t="str">
        <f t="shared" si="56"/>
        <v>Match</v>
      </c>
      <c r="L767" s="2">
        <f t="shared" si="57"/>
        <v>0.39217343102255153</v>
      </c>
      <c r="M767" s="2" t="e">
        <f t="shared" si="58"/>
        <v>#N/A</v>
      </c>
      <c r="N767" s="2" t="str">
        <f t="shared" si="59"/>
        <v>Q OK dE&lt;=0.8</v>
      </c>
      <c r="O767" s="7">
        <v>15.03</v>
      </c>
      <c r="P767" s="7">
        <v>-0.69</v>
      </c>
      <c r="Q767" s="7">
        <v>-1.99</v>
      </c>
      <c r="R767" s="7">
        <v>-0.32</v>
      </c>
      <c r="S767" s="7">
        <v>-0.13</v>
      </c>
      <c r="T767" s="7">
        <v>-0.37</v>
      </c>
      <c r="U767" s="7">
        <v>0.52</v>
      </c>
      <c r="V767" s="7">
        <v>0</v>
      </c>
      <c r="W767" s="7">
        <v>0.62</v>
      </c>
      <c r="X767" s="7" t="s">
        <v>8</v>
      </c>
      <c r="Y767" s="7" t="s">
        <v>9</v>
      </c>
      <c r="Z767" s="2" t="s">
        <v>718</v>
      </c>
      <c r="AA767" s="2" t="s">
        <v>721</v>
      </c>
    </row>
    <row r="768" spans="1:27" x14ac:dyDescent="0.35">
      <c r="A768" s="7" t="s">
        <v>1625</v>
      </c>
      <c r="B768" s="7" t="s">
        <v>1453</v>
      </c>
      <c r="C768" s="7" t="str">
        <f>_xlfn.XLOOKUP(B768,'[1]Sheet 1'!$A$2:$A$11107,'[1]Sheet 1'!$D$2:$D$11107,"",0)</f>
        <v>CK</v>
      </c>
      <c r="D768" s="4" t="str">
        <f>_xlfn.XLOOKUP(A768,[3]Sheet2!$I$2:$I$1623,[3]Sheet2!$D$2:$D$1623,"",0)</f>
        <v>Q1</v>
      </c>
      <c r="E768" s="4" t="s">
        <v>1828</v>
      </c>
      <c r="F768" s="4" t="e">
        <f>_xlfn.XLOOKUP(B768,[2]Sheet2!$E$2:$E$713,[2]Sheet2!$G$2:$G$713)</f>
        <v>#N/A</v>
      </c>
      <c r="G768" s="18">
        <v>46149</v>
      </c>
      <c r="H768" s="14">
        <v>0.70407407407407407</v>
      </c>
      <c r="I768" s="7" t="s">
        <v>11</v>
      </c>
      <c r="J768" s="2" t="str">
        <f t="shared" si="55"/>
        <v>Q3</v>
      </c>
      <c r="K768" s="2" t="str">
        <f t="shared" si="56"/>
        <v>Not Match</v>
      </c>
      <c r="L768" s="2">
        <f t="shared" si="57"/>
        <v>0.18248287590894657</v>
      </c>
      <c r="M768" s="2" t="e">
        <f t="shared" si="58"/>
        <v>#N/A</v>
      </c>
      <c r="N768" s="2" t="str">
        <f t="shared" si="59"/>
        <v>Q NOT OK dE&lt;=0.8</v>
      </c>
      <c r="O768" s="7">
        <v>20.98</v>
      </c>
      <c r="P768" s="7">
        <v>-0.43</v>
      </c>
      <c r="Q768" s="7">
        <v>-4.28</v>
      </c>
      <c r="R768" s="7">
        <v>0.67</v>
      </c>
      <c r="S768" s="7">
        <v>-0.03</v>
      </c>
      <c r="T768" s="7">
        <v>-0.18</v>
      </c>
      <c r="U768" s="7">
        <v>0.2</v>
      </c>
      <c r="V768" s="7">
        <v>-0.02</v>
      </c>
      <c r="W768" s="7">
        <v>0.7</v>
      </c>
      <c r="X768" s="7" t="s">
        <v>8</v>
      </c>
      <c r="Y768" s="7" t="s">
        <v>15</v>
      </c>
      <c r="Z768" s="2" t="s">
        <v>718</v>
      </c>
      <c r="AA768" s="2" t="s">
        <v>721</v>
      </c>
    </row>
    <row r="769" spans="1:27" x14ac:dyDescent="0.35">
      <c r="A769" s="7" t="s">
        <v>1508</v>
      </c>
      <c r="B769" s="7" t="s">
        <v>1457</v>
      </c>
      <c r="C769" s="7" t="str">
        <f>_xlfn.XLOOKUP(B769,'[1]Sheet 1'!$A$2:$A$11107,'[1]Sheet 1'!$D$2:$D$11107,"",0)</f>
        <v>LULU</v>
      </c>
      <c r="D769" s="4" t="str">
        <f>_xlfn.XLOOKUP(A769,[3]Sheet2!$I$2:$I$1623,[3]Sheet2!$D$2:$D$1623,"",0)</f>
        <v>Q2</v>
      </c>
      <c r="E769" s="4" t="s">
        <v>1828</v>
      </c>
      <c r="F769" s="4" t="e">
        <f>_xlfn.XLOOKUP(B769,[2]Sheet2!$E$2:$E$713,[2]Sheet2!$G$2:$G$713)</f>
        <v>#N/A</v>
      </c>
      <c r="G769" s="18">
        <v>46149</v>
      </c>
      <c r="H769" s="14">
        <v>0.89091435185185186</v>
      </c>
      <c r="I769" s="7" t="s">
        <v>4</v>
      </c>
      <c r="J769" s="2" t="str">
        <f t="shared" si="55"/>
        <v>Q3</v>
      </c>
      <c r="K769" s="2" t="str">
        <f t="shared" si="56"/>
        <v>Not Match</v>
      </c>
      <c r="L769" s="2">
        <f t="shared" si="57"/>
        <v>0.30805843601498728</v>
      </c>
      <c r="M769" s="2" t="e">
        <f t="shared" si="58"/>
        <v>#N/A</v>
      </c>
      <c r="N769" s="2" t="str">
        <f t="shared" si="59"/>
        <v>Q NOT OK dE&lt;=0.8</v>
      </c>
      <c r="O769" s="7">
        <v>18.13</v>
      </c>
      <c r="P769" s="7">
        <v>-0.75</v>
      </c>
      <c r="Q769" s="7">
        <v>-7.91</v>
      </c>
      <c r="R769" s="7">
        <v>-0.68</v>
      </c>
      <c r="S769" s="7">
        <v>-7.0000000000000007E-2</v>
      </c>
      <c r="T769" s="7">
        <v>-0.3</v>
      </c>
      <c r="U769" s="7">
        <v>0.28000000000000003</v>
      </c>
      <c r="V769" s="7">
        <v>-0.05</v>
      </c>
      <c r="W769" s="7">
        <v>0.74</v>
      </c>
      <c r="X769" s="7" t="s">
        <v>8</v>
      </c>
      <c r="Y769" s="7" t="s">
        <v>15</v>
      </c>
      <c r="Z769" s="2" t="s">
        <v>718</v>
      </c>
      <c r="AA769" s="2" t="s">
        <v>721</v>
      </c>
    </row>
    <row r="770" spans="1:27" x14ac:dyDescent="0.35">
      <c r="A770" s="7" t="s">
        <v>1817</v>
      </c>
      <c r="B770" s="7" t="s">
        <v>1456</v>
      </c>
      <c r="C770" s="7" t="str">
        <f>_xlfn.XLOOKUP(B770,'[1]Sheet 1'!$A$2:$A$11107,'[1]Sheet 1'!$D$2:$D$11107,"",0)</f>
        <v>LULU</v>
      </c>
      <c r="D770" s="4" t="str">
        <f>_xlfn.XLOOKUP(A770,[3]Sheet2!$I$2:$I$1623,[3]Sheet2!$D$2:$D$1623,"",0)</f>
        <v>Q3</v>
      </c>
      <c r="E770" s="4" t="s">
        <v>1828</v>
      </c>
      <c r="F770" s="4" t="e">
        <f>_xlfn.XLOOKUP(B770,[2]Sheet2!$E$2:$E$713,[2]Sheet2!$G$2:$G$713)</f>
        <v>#N/A</v>
      </c>
      <c r="G770" s="18">
        <v>46149</v>
      </c>
      <c r="H770" s="14">
        <v>0.77487268518518515</v>
      </c>
      <c r="I770" s="7" t="s">
        <v>4</v>
      </c>
      <c r="J770" s="2" t="str">
        <f t="shared" ref="J770:J833" si="60">IF(OR(S770=0,T770=0),D770,IF(AND(S770&gt;0,T770&gt;0),"Q1",IF(AND(S770&lt;0,T770&gt;0),"Q2",IF(AND(S770&lt;0,T770&lt;0),"Q3",IF(AND(S770&gt;0,T770&lt;0),"Q4","")))))</f>
        <v>Q2</v>
      </c>
      <c r="K770" s="2" t="str">
        <f t="shared" ref="K770:K833" si="61">IF(J770=D770,"Match",IF(AND(J770=0,D770="Match"),"da and db 0",IF(D770=0,"Not Found","Not Match")))</f>
        <v>Not Match</v>
      </c>
      <c r="L770" s="2">
        <f t="shared" ref="L770:L817" si="62">SQRT(S770^2+T770^2)</f>
        <v>0.40496913462633177</v>
      </c>
      <c r="M770" s="2" t="e">
        <f t="shared" ref="M770:M817" si="63">IF(L770&lt;=F770,"Within Range","Over Range")</f>
        <v>#N/A</v>
      </c>
      <c r="N770" s="2" t="str">
        <f t="shared" ref="N770:N833" si="64">IF(D770=0,"Quadrant not assigned",IF(AND(K770="Match",W770&lt;=0.8),"Q OK dE&lt;=0.8",IF(AND(K770="Match",W770&gt;0.8),"Q OK dE&gt;0.8",IF(AND(K770="Not Match",W770&lt;=0.8),"Q NOT OK dE&lt;=0.8","Q NOT OK dE&gt;0.8"))))</f>
        <v>Q NOT OK dE&lt;=0.8</v>
      </c>
      <c r="O770" s="7">
        <v>30.93</v>
      </c>
      <c r="P770" s="7">
        <v>46.23</v>
      </c>
      <c r="Q770" s="7">
        <v>19.75</v>
      </c>
      <c r="R770" s="7">
        <v>-0.51</v>
      </c>
      <c r="S770" s="7">
        <v>-0.22</v>
      </c>
      <c r="T770" s="7">
        <v>0.34</v>
      </c>
      <c r="U770" s="7">
        <v>-0.03</v>
      </c>
      <c r="V770" s="7">
        <v>0.27</v>
      </c>
      <c r="W770" s="7">
        <v>0.56999999999999995</v>
      </c>
      <c r="X770" s="7" t="s">
        <v>8</v>
      </c>
      <c r="Y770" s="7" t="s">
        <v>12</v>
      </c>
      <c r="Z770" s="2" t="s">
        <v>718</v>
      </c>
      <c r="AA770" s="2" t="s">
        <v>721</v>
      </c>
    </row>
    <row r="771" spans="1:27" x14ac:dyDescent="0.35">
      <c r="A771" s="7" t="s">
        <v>1515</v>
      </c>
      <c r="B771" s="7" t="s">
        <v>1450</v>
      </c>
      <c r="C771" s="7" t="str">
        <f>_xlfn.XLOOKUP(B771,'[1]Sheet 1'!$A$2:$A$11107,'[1]Sheet 1'!$D$2:$D$11107,"",0)</f>
        <v>VSS</v>
      </c>
      <c r="D771" s="4" t="str">
        <f>_xlfn.XLOOKUP(A771,[3]Sheet2!$I$2:$I$1623,[3]Sheet2!$D$2:$D$1623,"",0)</f>
        <v>Q3</v>
      </c>
      <c r="E771" s="4" t="s">
        <v>1828</v>
      </c>
      <c r="F771" s="4" t="e">
        <f>_xlfn.XLOOKUP(B771,[2]Sheet2!$E$2:$E$713,[2]Sheet2!$G$2:$G$713)</f>
        <v>#N/A</v>
      </c>
      <c r="G771" s="18">
        <v>46149</v>
      </c>
      <c r="H771" s="14">
        <v>0.59199074074074076</v>
      </c>
      <c r="I771" s="7" t="s">
        <v>10</v>
      </c>
      <c r="J771" s="2" t="str">
        <f t="shared" si="60"/>
        <v>Q3</v>
      </c>
      <c r="K771" s="2" t="str">
        <f t="shared" si="61"/>
        <v>Match</v>
      </c>
      <c r="L771" s="2">
        <f t="shared" si="62"/>
        <v>0.36769552621700474</v>
      </c>
      <c r="M771" s="2" t="e">
        <f t="shared" si="63"/>
        <v>#N/A</v>
      </c>
      <c r="N771" s="2" t="str">
        <f t="shared" si="64"/>
        <v>Q OK dE&gt;0.8</v>
      </c>
      <c r="O771" s="7">
        <v>13.5</v>
      </c>
      <c r="P771" s="7">
        <v>-0.03</v>
      </c>
      <c r="Q771" s="7">
        <v>-2.08</v>
      </c>
      <c r="R771" s="7">
        <v>-1.5</v>
      </c>
      <c r="S771" s="7">
        <v>-0.14000000000000001</v>
      </c>
      <c r="T771" s="7">
        <v>-0.34</v>
      </c>
      <c r="U771" s="7">
        <v>0.45</v>
      </c>
      <c r="V771" s="7">
        <v>-0.2</v>
      </c>
      <c r="W771" s="7">
        <v>1.58</v>
      </c>
      <c r="X771" s="7" t="s">
        <v>6</v>
      </c>
      <c r="Y771" s="7" t="s">
        <v>15</v>
      </c>
      <c r="Z771" s="2" t="s">
        <v>718</v>
      </c>
      <c r="AA771" s="2" t="s">
        <v>721</v>
      </c>
    </row>
    <row r="772" spans="1:27" x14ac:dyDescent="0.35">
      <c r="A772" s="7" t="s">
        <v>1722</v>
      </c>
      <c r="B772" s="7" t="s">
        <v>1452</v>
      </c>
      <c r="C772" s="7" t="str">
        <f>_xlfn.XLOOKUP(B772,'[1]Sheet 1'!$A$2:$A$11107,'[1]Sheet 1'!$D$2:$D$11107,"",0)</f>
        <v>CK</v>
      </c>
      <c r="D772" s="4" t="str">
        <f>_xlfn.XLOOKUP(A772,[3]Sheet2!$I$2:$I$1623,[3]Sheet2!$D$2:$D$1623,"",0)</f>
        <v>Q4</v>
      </c>
      <c r="E772" s="4" t="s">
        <v>1828</v>
      </c>
      <c r="F772" s="4" t="e">
        <f>_xlfn.XLOOKUP(B772,[2]Sheet2!$E$2:$E$713,[2]Sheet2!$G$2:$G$713)</f>
        <v>#N/A</v>
      </c>
      <c r="G772" s="18">
        <v>46149</v>
      </c>
      <c r="H772" s="14">
        <v>0.70151620370370371</v>
      </c>
      <c r="I772" s="7" t="s">
        <v>11</v>
      </c>
      <c r="J772" s="2" t="str">
        <f t="shared" si="60"/>
        <v>Q1</v>
      </c>
      <c r="K772" s="2" t="str">
        <f t="shared" si="61"/>
        <v>Not Match</v>
      </c>
      <c r="L772" s="2">
        <f t="shared" si="62"/>
        <v>0.56080299571239811</v>
      </c>
      <c r="M772" s="2" t="e">
        <f t="shared" si="63"/>
        <v>#N/A</v>
      </c>
      <c r="N772" s="2" t="str">
        <f t="shared" si="64"/>
        <v>Q NOT OK dE&lt;=0.8</v>
      </c>
      <c r="O772" s="7">
        <v>40.51</v>
      </c>
      <c r="P772" s="7">
        <v>41.05</v>
      </c>
      <c r="Q772" s="7">
        <v>25.91</v>
      </c>
      <c r="R772" s="7">
        <v>-0.69</v>
      </c>
      <c r="S772" s="7">
        <v>0.36</v>
      </c>
      <c r="T772" s="7">
        <v>0.43</v>
      </c>
      <c r="U772" s="7">
        <v>0.21</v>
      </c>
      <c r="V772" s="7">
        <v>0.13</v>
      </c>
      <c r="W772" s="7">
        <v>0.73</v>
      </c>
      <c r="X772" s="7" t="s">
        <v>8</v>
      </c>
      <c r="Y772" s="7" t="s">
        <v>12</v>
      </c>
      <c r="Z772" s="2" t="s">
        <v>718</v>
      </c>
      <c r="AA772" s="2" t="s">
        <v>721</v>
      </c>
    </row>
    <row r="773" spans="1:27" x14ac:dyDescent="0.35">
      <c r="A773" s="7" t="s">
        <v>1628</v>
      </c>
      <c r="B773" s="7" t="s">
        <v>1451</v>
      </c>
      <c r="C773" s="7" t="str">
        <f>_xlfn.XLOOKUP(B773,'[1]Sheet 1'!$A$2:$A$11107,'[1]Sheet 1'!$D$2:$D$11107,"",0)</f>
        <v>LULU</v>
      </c>
      <c r="D773" s="4" t="str">
        <f>_xlfn.XLOOKUP(A773,[3]Sheet2!$I$2:$I$1623,[3]Sheet2!$D$2:$D$1623,"",0)</f>
        <v>Q4</v>
      </c>
      <c r="E773" s="4" t="s">
        <v>1827</v>
      </c>
      <c r="F773" s="4" t="e">
        <f>_xlfn.XLOOKUP(B773,[2]Sheet2!$E$2:$E$713,[2]Sheet2!$G$2:$G$713)</f>
        <v>#N/A</v>
      </c>
      <c r="G773" s="18">
        <v>46149</v>
      </c>
      <c r="H773" s="14">
        <v>0.69745370370370374</v>
      </c>
      <c r="I773" s="7" t="s">
        <v>4</v>
      </c>
      <c r="J773" s="2" t="str">
        <f t="shared" si="60"/>
        <v>Q1</v>
      </c>
      <c r="K773" s="2" t="str">
        <f t="shared" si="61"/>
        <v>Not Match</v>
      </c>
      <c r="L773" s="2">
        <f t="shared" si="62"/>
        <v>0.20248456731316589</v>
      </c>
      <c r="M773" s="2" t="e">
        <f t="shared" si="63"/>
        <v>#N/A</v>
      </c>
      <c r="N773" s="2" t="str">
        <f t="shared" si="64"/>
        <v>Q NOT OK dE&gt;0.8</v>
      </c>
      <c r="O773" s="7">
        <v>17.41</v>
      </c>
      <c r="P773" s="7">
        <v>-0.35</v>
      </c>
      <c r="Q773" s="7">
        <v>-1.83</v>
      </c>
      <c r="R773" s="7">
        <v>-1.1000000000000001</v>
      </c>
      <c r="S773" s="7">
        <v>0.11</v>
      </c>
      <c r="T773" s="7">
        <v>0.17</v>
      </c>
      <c r="U773" s="7">
        <v>-0.25</v>
      </c>
      <c r="V773" s="7">
        <v>0.1</v>
      </c>
      <c r="W773" s="7">
        <v>1.1299999999999999</v>
      </c>
      <c r="X773" s="7" t="s">
        <v>6</v>
      </c>
      <c r="Y773" s="7" t="s">
        <v>9</v>
      </c>
      <c r="Z773" s="2" t="s">
        <v>718</v>
      </c>
      <c r="AA773" s="2" t="s">
        <v>721</v>
      </c>
    </row>
    <row r="774" spans="1:27" x14ac:dyDescent="0.35">
      <c r="A774" s="7" t="s">
        <v>1540</v>
      </c>
      <c r="B774" s="7" t="s">
        <v>1455</v>
      </c>
      <c r="C774" s="7" t="str">
        <f>_xlfn.XLOOKUP(B774,'[1]Sheet 1'!$A$2:$A$11107,'[1]Sheet 1'!$D$2:$D$11107,"",0)</f>
        <v>VSS</v>
      </c>
      <c r="D774" s="4" t="str">
        <f>_xlfn.XLOOKUP(A774,[3]Sheet2!$I$2:$I$1623,[3]Sheet2!$D$2:$D$1623,"",0)</f>
        <v>Q3</v>
      </c>
      <c r="E774" s="4" t="s">
        <v>1828</v>
      </c>
      <c r="F774" s="4" t="e">
        <f>_xlfn.XLOOKUP(B774,[2]Sheet2!$E$2:$E$713,[2]Sheet2!$G$2:$G$713)</f>
        <v>#N/A</v>
      </c>
      <c r="G774" s="18">
        <v>46149</v>
      </c>
      <c r="H774" s="14">
        <v>0.76380787037037035</v>
      </c>
      <c r="I774" s="7" t="s">
        <v>10</v>
      </c>
      <c r="J774" s="2" t="str">
        <f t="shared" si="60"/>
        <v>Q3</v>
      </c>
      <c r="K774" s="2" t="str">
        <f t="shared" si="61"/>
        <v>Match</v>
      </c>
      <c r="L774" s="2">
        <f t="shared" si="62"/>
        <v>0.04</v>
      </c>
      <c r="M774" s="2" t="e">
        <f t="shared" si="63"/>
        <v>#N/A</v>
      </c>
      <c r="N774" s="2" t="str">
        <f t="shared" si="64"/>
        <v>Q OK dE&lt;=0.8</v>
      </c>
      <c r="O774" s="7">
        <v>14.16</v>
      </c>
      <c r="P774" s="7">
        <v>0.5</v>
      </c>
      <c r="Q774" s="7">
        <v>-1.21</v>
      </c>
      <c r="R774" s="7">
        <v>-0.37</v>
      </c>
      <c r="S774" s="7">
        <v>0</v>
      </c>
      <c r="T774" s="7">
        <v>0.04</v>
      </c>
      <c r="U774" s="7">
        <v>-0.06</v>
      </c>
      <c r="V774" s="7">
        <v>0.02</v>
      </c>
      <c r="W774" s="7">
        <v>0.37</v>
      </c>
      <c r="X774" s="7" t="s">
        <v>8</v>
      </c>
      <c r="Y774" s="7" t="s">
        <v>9</v>
      </c>
      <c r="Z774" s="2" t="s">
        <v>718</v>
      </c>
      <c r="AA774" s="2" t="s">
        <v>721</v>
      </c>
    </row>
    <row r="775" spans="1:27" x14ac:dyDescent="0.35">
      <c r="A775" s="7" t="s">
        <v>1819</v>
      </c>
      <c r="B775" s="7" t="s">
        <v>1478</v>
      </c>
      <c r="C775" s="7" t="str">
        <f>_xlfn.XLOOKUP(B775,'[1]Sheet 1'!$A$2:$A$11107,'[1]Sheet 1'!$D$2:$D$11107,"",0)</f>
        <v>M&amp;S</v>
      </c>
      <c r="D775" s="4" t="str">
        <f>_xlfn.XLOOKUP(A775,[3]Sheet2!$I$2:$I$1623,[3]Sheet2!$D$2:$D$1623,"",0)</f>
        <v>Q4</v>
      </c>
      <c r="E775" s="4" t="s">
        <v>1827</v>
      </c>
      <c r="F775" s="4" t="e">
        <f>_xlfn.XLOOKUP(B775,[2]Sheet2!$E$2:$E$713,[2]Sheet2!$G$2:$G$713)</f>
        <v>#N/A</v>
      </c>
      <c r="G775" s="18">
        <v>46150</v>
      </c>
      <c r="H775" s="14">
        <v>0.97776620370370371</v>
      </c>
      <c r="I775" s="7" t="s">
        <v>17</v>
      </c>
      <c r="J775" s="2" t="str">
        <f t="shared" si="60"/>
        <v>Q2</v>
      </c>
      <c r="K775" s="2" t="str">
        <f t="shared" si="61"/>
        <v>Not Match</v>
      </c>
      <c r="L775" s="2">
        <f t="shared" si="62"/>
        <v>0.261725046566048</v>
      </c>
      <c r="M775" s="2" t="e">
        <f t="shared" si="63"/>
        <v>#N/A</v>
      </c>
      <c r="N775" s="2" t="str">
        <f t="shared" si="64"/>
        <v>Q NOT OK dE&lt;=0.8</v>
      </c>
      <c r="O775" s="7">
        <v>16.89</v>
      </c>
      <c r="P775" s="7">
        <v>-0.48</v>
      </c>
      <c r="Q775" s="7">
        <v>-5.8</v>
      </c>
      <c r="R775" s="7">
        <v>-0.03</v>
      </c>
      <c r="S775" s="7">
        <v>-0.03</v>
      </c>
      <c r="T775" s="7">
        <v>0.26</v>
      </c>
      <c r="U775" s="7">
        <v>-0.26</v>
      </c>
      <c r="V775" s="7">
        <v>-7.0000000000000007E-2</v>
      </c>
      <c r="W775" s="7">
        <v>0.27</v>
      </c>
      <c r="X775" s="7" t="s">
        <v>8</v>
      </c>
      <c r="Y775" s="7" t="s">
        <v>15</v>
      </c>
      <c r="Z775" s="2" t="s">
        <v>718</v>
      </c>
      <c r="AA775" s="2" t="s">
        <v>721</v>
      </c>
    </row>
    <row r="776" spans="1:27" x14ac:dyDescent="0.35">
      <c r="A776" s="7" t="s">
        <v>1819</v>
      </c>
      <c r="B776" s="7" t="s">
        <v>1477</v>
      </c>
      <c r="C776" s="7" t="str">
        <f>_xlfn.XLOOKUP(B776,'[1]Sheet 1'!$A$2:$A$11107,'[1]Sheet 1'!$D$2:$D$11107,"",0)</f>
        <v>M&amp;S</v>
      </c>
      <c r="D776" s="4" t="str">
        <f>_xlfn.XLOOKUP(A776,[3]Sheet2!$I$2:$I$1623,[3]Sheet2!$D$2:$D$1623,"",0)</f>
        <v>Q4</v>
      </c>
      <c r="E776" s="4" t="s">
        <v>1828</v>
      </c>
      <c r="F776" s="4" t="e">
        <f>_xlfn.XLOOKUP(B776,[2]Sheet2!$E$2:$E$713,[2]Sheet2!$G$2:$G$713)</f>
        <v>#N/A</v>
      </c>
      <c r="G776" s="18">
        <v>46150</v>
      </c>
      <c r="H776" s="14">
        <v>0.76001157407407405</v>
      </c>
      <c r="I776" s="7" t="s">
        <v>17</v>
      </c>
      <c r="J776" s="2" t="str">
        <f t="shared" si="60"/>
        <v>Q2</v>
      </c>
      <c r="K776" s="2" t="str">
        <f t="shared" si="61"/>
        <v>Not Match</v>
      </c>
      <c r="L776" s="2">
        <f t="shared" si="62"/>
        <v>0.29068883707497267</v>
      </c>
      <c r="M776" s="2" t="e">
        <f t="shared" si="63"/>
        <v>#N/A</v>
      </c>
      <c r="N776" s="2" t="str">
        <f t="shared" si="64"/>
        <v>Q NOT OK dE&lt;=0.8</v>
      </c>
      <c r="O776" s="7">
        <v>16.559999999999999</v>
      </c>
      <c r="P776" s="7">
        <v>-0.47</v>
      </c>
      <c r="Q776" s="7">
        <v>-5.77</v>
      </c>
      <c r="R776" s="7">
        <v>-0.34</v>
      </c>
      <c r="S776" s="7">
        <v>-0.02</v>
      </c>
      <c r="T776" s="7">
        <v>0.28999999999999998</v>
      </c>
      <c r="U776" s="7">
        <v>-0.28000000000000003</v>
      </c>
      <c r="V776" s="7">
        <v>-0.06</v>
      </c>
      <c r="W776" s="7">
        <v>0.44</v>
      </c>
      <c r="X776" s="7" t="s">
        <v>8</v>
      </c>
      <c r="Y776" s="7" t="s">
        <v>15</v>
      </c>
      <c r="Z776" s="2" t="s">
        <v>718</v>
      </c>
      <c r="AA776" s="2" t="s">
        <v>721</v>
      </c>
    </row>
    <row r="777" spans="1:27" x14ac:dyDescent="0.35">
      <c r="A777" s="7" t="s">
        <v>1819</v>
      </c>
      <c r="B777" s="7" t="s">
        <v>1468</v>
      </c>
      <c r="C777" s="7" t="str">
        <f>_xlfn.XLOOKUP(B777,'[1]Sheet 1'!$A$2:$A$11107,'[1]Sheet 1'!$D$2:$D$11107,"",0)</f>
        <v>M&amp;S</v>
      </c>
      <c r="D777" s="4" t="str">
        <f>_xlfn.XLOOKUP(A777,[3]Sheet2!$I$2:$I$1623,[3]Sheet2!$D$2:$D$1623,"",0)</f>
        <v>Q4</v>
      </c>
      <c r="E777" s="4" t="s">
        <v>1828</v>
      </c>
      <c r="F777" s="4" t="e">
        <f>_xlfn.XLOOKUP(B777,[2]Sheet2!$E$2:$E$713,[2]Sheet2!$G$2:$G$713)</f>
        <v>#N/A</v>
      </c>
      <c r="G777" s="18">
        <v>46150</v>
      </c>
      <c r="H777" s="14">
        <v>0.28524305555555557</v>
      </c>
      <c r="I777" s="7" t="s">
        <v>17</v>
      </c>
      <c r="J777" s="2" t="str">
        <f t="shared" si="60"/>
        <v>Q2</v>
      </c>
      <c r="K777" s="2" t="str">
        <f t="shared" si="61"/>
        <v>Not Match</v>
      </c>
      <c r="L777" s="2">
        <f t="shared" si="62"/>
        <v>0.498196748283246</v>
      </c>
      <c r="M777" s="2" t="e">
        <f t="shared" si="63"/>
        <v>#N/A</v>
      </c>
      <c r="N777" s="2" t="str">
        <f t="shared" si="64"/>
        <v>Q NOT OK dE&gt;0.8</v>
      </c>
      <c r="O777" s="7">
        <v>16.170000000000002</v>
      </c>
      <c r="P777" s="7">
        <v>-0.54</v>
      </c>
      <c r="Q777" s="7">
        <v>-5.57</v>
      </c>
      <c r="R777" s="7">
        <v>-0.71</v>
      </c>
      <c r="S777" s="7">
        <v>-0.09</v>
      </c>
      <c r="T777" s="7">
        <v>0.49</v>
      </c>
      <c r="U777" s="7">
        <v>-0.48</v>
      </c>
      <c r="V777" s="7">
        <v>-0.17</v>
      </c>
      <c r="W777" s="7">
        <v>0.87</v>
      </c>
      <c r="X777" s="7" t="s">
        <v>13</v>
      </c>
      <c r="Y777" s="7" t="s">
        <v>15</v>
      </c>
      <c r="Z777" s="2" t="s">
        <v>718</v>
      </c>
      <c r="AA777" s="2" t="s">
        <v>721</v>
      </c>
    </row>
    <row r="778" spans="1:27" x14ac:dyDescent="0.35">
      <c r="A778" s="7" t="s">
        <v>1819</v>
      </c>
      <c r="B778" s="7" t="s">
        <v>1476</v>
      </c>
      <c r="C778" s="7" t="str">
        <f>_xlfn.XLOOKUP(B778,'[1]Sheet 1'!$A$2:$A$11107,'[1]Sheet 1'!$D$2:$D$11107,"",0)</f>
        <v>M&amp;S</v>
      </c>
      <c r="D778" s="4" t="str">
        <f>_xlfn.XLOOKUP(A778,[3]Sheet2!$I$2:$I$1623,[3]Sheet2!$D$2:$D$1623,"",0)</f>
        <v>Q4</v>
      </c>
      <c r="E778" s="4" t="s">
        <v>1828</v>
      </c>
      <c r="F778" s="4" t="e">
        <f>_xlfn.XLOOKUP(B778,[2]Sheet2!$E$2:$E$713,[2]Sheet2!$G$2:$G$713)</f>
        <v>#N/A</v>
      </c>
      <c r="G778" s="18">
        <v>46150</v>
      </c>
      <c r="H778" s="14">
        <v>0.75592592592592589</v>
      </c>
      <c r="I778" s="7" t="s">
        <v>17</v>
      </c>
      <c r="J778" s="2" t="str">
        <f t="shared" si="60"/>
        <v>Q4</v>
      </c>
      <c r="K778" s="2" t="str">
        <f t="shared" si="61"/>
        <v>Match</v>
      </c>
      <c r="L778" s="2">
        <f t="shared" si="62"/>
        <v>0.3</v>
      </c>
      <c r="M778" s="2" t="e">
        <f t="shared" si="63"/>
        <v>#N/A</v>
      </c>
      <c r="N778" s="2" t="str">
        <f t="shared" si="64"/>
        <v>Q OK dE&lt;=0.8</v>
      </c>
      <c r="O778" s="7">
        <v>16.13</v>
      </c>
      <c r="P778" s="7">
        <v>-0.45</v>
      </c>
      <c r="Q778" s="7">
        <v>-5.76</v>
      </c>
      <c r="R778" s="7">
        <v>-0.74</v>
      </c>
      <c r="S778" s="7">
        <v>0</v>
      </c>
      <c r="T778" s="7">
        <v>0.3</v>
      </c>
      <c r="U778" s="7">
        <v>-0.3</v>
      </c>
      <c r="V778" s="7">
        <v>-0.03</v>
      </c>
      <c r="W778" s="7">
        <v>0.8</v>
      </c>
      <c r="X778" s="7" t="s">
        <v>13</v>
      </c>
      <c r="Y778" s="7" t="s">
        <v>15</v>
      </c>
      <c r="Z778" s="2" t="s">
        <v>718</v>
      </c>
      <c r="AA778" s="2" t="s">
        <v>721</v>
      </c>
    </row>
    <row r="779" spans="1:27" x14ac:dyDescent="0.35">
      <c r="A779" s="7" t="s">
        <v>1558</v>
      </c>
      <c r="B779" s="7" t="s">
        <v>1471</v>
      </c>
      <c r="C779" s="7" t="str">
        <f>_xlfn.XLOOKUP(B779,'[1]Sheet 1'!$A$2:$A$11107,'[1]Sheet 1'!$D$2:$D$11107,"",0)</f>
        <v>M&amp;S</v>
      </c>
      <c r="D779" s="4" t="str">
        <f>_xlfn.XLOOKUP(A779,[3]Sheet2!$I$2:$I$1623,[3]Sheet2!$D$2:$D$1623,"",0)</f>
        <v>Q3</v>
      </c>
      <c r="E779" s="4" t="s">
        <v>1828</v>
      </c>
      <c r="F779" s="4" t="e">
        <f>_xlfn.XLOOKUP(B779,[2]Sheet2!$E$2:$E$713,[2]Sheet2!$G$2:$G$713)</f>
        <v>#N/A</v>
      </c>
      <c r="G779" s="18">
        <v>46150</v>
      </c>
      <c r="H779" s="14">
        <v>0.58684027777777781</v>
      </c>
      <c r="I779" s="7" t="s">
        <v>17</v>
      </c>
      <c r="J779" s="2" t="str">
        <f t="shared" si="60"/>
        <v>Q3</v>
      </c>
      <c r="K779" s="2" t="str">
        <f t="shared" si="61"/>
        <v>Match</v>
      </c>
      <c r="L779" s="2">
        <f t="shared" si="62"/>
        <v>0.42755116652863895</v>
      </c>
      <c r="M779" s="2" t="e">
        <f t="shared" si="63"/>
        <v>#N/A</v>
      </c>
      <c r="N779" s="2" t="str">
        <f t="shared" si="64"/>
        <v>Q OK dE&lt;=0.8</v>
      </c>
      <c r="O779" s="7">
        <v>15.21</v>
      </c>
      <c r="P779" s="7">
        <v>-0.64</v>
      </c>
      <c r="Q779" s="7">
        <v>-2.0299999999999998</v>
      </c>
      <c r="R779" s="7">
        <v>-0.15</v>
      </c>
      <c r="S779" s="7">
        <v>-0.08</v>
      </c>
      <c r="T779" s="7">
        <v>-0.42</v>
      </c>
      <c r="U779" s="7">
        <v>0.56000000000000005</v>
      </c>
      <c r="V779" s="7">
        <v>7.0000000000000007E-2</v>
      </c>
      <c r="W779" s="7">
        <v>0.59</v>
      </c>
      <c r="X779" s="7" t="s">
        <v>8</v>
      </c>
      <c r="Y779" s="7" t="s">
        <v>9</v>
      </c>
      <c r="Z779" s="2" t="s">
        <v>718</v>
      </c>
      <c r="AA779" s="2" t="s">
        <v>721</v>
      </c>
    </row>
    <row r="780" spans="1:27" x14ac:dyDescent="0.35">
      <c r="A780" s="7" t="s">
        <v>1819</v>
      </c>
      <c r="B780" s="7" t="s">
        <v>1467</v>
      </c>
      <c r="C780" s="7" t="str">
        <f>_xlfn.XLOOKUP(B780,'[1]Sheet 1'!$A$2:$A$11107,'[1]Sheet 1'!$D$2:$D$11107,"",0)</f>
        <v>M&amp;S</v>
      </c>
      <c r="D780" s="4" t="str">
        <f>_xlfn.XLOOKUP(A780,[3]Sheet2!$I$2:$I$1623,[3]Sheet2!$D$2:$D$1623,"",0)</f>
        <v>Q4</v>
      </c>
      <c r="E780" s="4" t="s">
        <v>1828</v>
      </c>
      <c r="F780" s="4" t="e">
        <f>_xlfn.XLOOKUP(B780,[2]Sheet2!$E$2:$E$713,[2]Sheet2!$G$2:$G$713)</f>
        <v>#N/A</v>
      </c>
      <c r="G780" s="18">
        <v>46150</v>
      </c>
      <c r="H780" s="14">
        <v>0.28030092592592593</v>
      </c>
      <c r="I780" s="7" t="s">
        <v>17</v>
      </c>
      <c r="J780" s="2" t="str">
        <f t="shared" si="60"/>
        <v>Q2</v>
      </c>
      <c r="K780" s="2" t="str">
        <f t="shared" si="61"/>
        <v>Not Match</v>
      </c>
      <c r="L780" s="2">
        <f t="shared" si="62"/>
        <v>0.1118033988749895</v>
      </c>
      <c r="M780" s="2" t="e">
        <f t="shared" si="63"/>
        <v>#N/A</v>
      </c>
      <c r="N780" s="2" t="str">
        <f t="shared" si="64"/>
        <v>Q NOT OK dE&lt;=0.8</v>
      </c>
      <c r="O780" s="7">
        <v>16.82</v>
      </c>
      <c r="P780" s="7">
        <v>-0.5</v>
      </c>
      <c r="Q780" s="7">
        <v>-5.96</v>
      </c>
      <c r="R780" s="7">
        <v>-0.09</v>
      </c>
      <c r="S780" s="7">
        <v>-0.05</v>
      </c>
      <c r="T780" s="7">
        <v>0.1</v>
      </c>
      <c r="U780" s="7">
        <v>-0.1</v>
      </c>
      <c r="V780" s="7">
        <v>-7.0000000000000007E-2</v>
      </c>
      <c r="W780" s="7">
        <v>0.15</v>
      </c>
      <c r="X780" s="7" t="s">
        <v>8</v>
      </c>
      <c r="Y780" s="7" t="s">
        <v>15</v>
      </c>
      <c r="Z780" s="2" t="s">
        <v>718</v>
      </c>
      <c r="AA780" s="2" t="s">
        <v>721</v>
      </c>
    </row>
    <row r="781" spans="1:27" x14ac:dyDescent="0.35">
      <c r="A781" s="7" t="s">
        <v>1812</v>
      </c>
      <c r="B781" s="7" t="s">
        <v>1470</v>
      </c>
      <c r="C781" s="7" t="str">
        <f>_xlfn.XLOOKUP(B781,'[1]Sheet 1'!$A$2:$A$11107,'[1]Sheet 1'!$D$2:$D$11107,"",0)</f>
        <v>M&amp;S</v>
      </c>
      <c r="D781" s="4" t="str">
        <f>_xlfn.XLOOKUP(A781,[3]Sheet2!$I$2:$I$1623,[3]Sheet2!$D$2:$D$1623,"",0)</f>
        <v>Q4</v>
      </c>
      <c r="E781" s="4" t="s">
        <v>1828</v>
      </c>
      <c r="F781" s="4" t="e">
        <f>_xlfn.XLOOKUP(B781,[2]Sheet2!$E$2:$E$713,[2]Sheet2!$G$2:$G$713)</f>
        <v>#N/A</v>
      </c>
      <c r="G781" s="18">
        <v>46150</v>
      </c>
      <c r="H781" s="14">
        <v>0.36096064814814816</v>
      </c>
      <c r="I781" s="7" t="s">
        <v>17</v>
      </c>
      <c r="J781" s="2" t="str">
        <f t="shared" si="60"/>
        <v>Q4</v>
      </c>
      <c r="K781" s="2" t="str">
        <f t="shared" si="61"/>
        <v>Match</v>
      </c>
      <c r="L781" s="2">
        <f t="shared" si="62"/>
        <v>0.12</v>
      </c>
      <c r="M781" s="2" t="e">
        <f t="shared" si="63"/>
        <v>#N/A</v>
      </c>
      <c r="N781" s="2" t="str">
        <f t="shared" si="64"/>
        <v>Q OK dE&lt;=0.8</v>
      </c>
      <c r="O781" s="7">
        <v>17.22</v>
      </c>
      <c r="P781" s="7">
        <v>-0.45</v>
      </c>
      <c r="Q781" s="7">
        <v>-5.94</v>
      </c>
      <c r="R781" s="7">
        <v>0.28000000000000003</v>
      </c>
      <c r="S781" s="7">
        <v>0</v>
      </c>
      <c r="T781" s="7">
        <v>0.12</v>
      </c>
      <c r="U781" s="7">
        <v>-0.12</v>
      </c>
      <c r="V781" s="7">
        <v>-0.01</v>
      </c>
      <c r="W781" s="7">
        <v>0.3</v>
      </c>
      <c r="X781" s="7" t="s">
        <v>8</v>
      </c>
      <c r="Y781" s="7" t="s">
        <v>15</v>
      </c>
      <c r="Z781" s="2" t="s">
        <v>718</v>
      </c>
      <c r="AA781" s="2" t="s">
        <v>721</v>
      </c>
    </row>
    <row r="782" spans="1:27" x14ac:dyDescent="0.35">
      <c r="A782" s="7" t="s">
        <v>1821</v>
      </c>
      <c r="B782" s="7" t="s">
        <v>1343</v>
      </c>
      <c r="C782" s="7" t="str">
        <f>_xlfn.XLOOKUP(B782,'[1]Sheet 1'!$A$2:$A$11107,'[1]Sheet 1'!$D$2:$D$11107,"",0)</f>
        <v>NEWB</v>
      </c>
      <c r="D782" s="4" t="str">
        <f>_xlfn.XLOOKUP(A782,[3]Sheet2!$I$2:$I$1623,[3]Sheet2!$D$2:$D$1623,"",0)</f>
        <v>Q2</v>
      </c>
      <c r="E782" s="4" t="s">
        <v>1828</v>
      </c>
      <c r="F782" s="4" t="e">
        <f>_xlfn.XLOOKUP(B782,[2]Sheet2!$E$2:$E$713,[2]Sheet2!$G$2:$G$713)</f>
        <v>#N/A</v>
      </c>
      <c r="G782" s="18">
        <v>46150</v>
      </c>
      <c r="H782" s="14">
        <v>0.43571759259259257</v>
      </c>
      <c r="I782" s="7" t="s">
        <v>4</v>
      </c>
      <c r="J782" s="2" t="str">
        <f t="shared" si="60"/>
        <v>Q1</v>
      </c>
      <c r="K782" s="2" t="str">
        <f t="shared" si="61"/>
        <v>Not Match</v>
      </c>
      <c r="L782" s="2">
        <f t="shared" si="62"/>
        <v>0.70611613775638915</v>
      </c>
      <c r="M782" s="2" t="e">
        <f t="shared" si="63"/>
        <v>#N/A</v>
      </c>
      <c r="N782" s="2" t="str">
        <f t="shared" si="64"/>
        <v>Q NOT OK dE&lt;=0.8</v>
      </c>
      <c r="O782" s="7">
        <v>21.35</v>
      </c>
      <c r="P782" s="7">
        <v>12.56</v>
      </c>
      <c r="Q782" s="7">
        <v>-2.0299999999999998</v>
      </c>
      <c r="R782" s="7">
        <v>-0.13</v>
      </c>
      <c r="S782" s="7">
        <v>0.15</v>
      </c>
      <c r="T782" s="7">
        <v>0.69</v>
      </c>
      <c r="U782" s="7">
        <v>0.01</v>
      </c>
      <c r="V782" s="7">
        <v>0.72</v>
      </c>
      <c r="W782" s="7">
        <v>0.73</v>
      </c>
      <c r="X782" s="7" t="s">
        <v>8</v>
      </c>
      <c r="Y782" s="7" t="s">
        <v>9</v>
      </c>
      <c r="Z782" s="2" t="s">
        <v>718</v>
      </c>
      <c r="AA782" s="2" t="s">
        <v>721</v>
      </c>
    </row>
    <row r="783" spans="1:27" x14ac:dyDescent="0.35">
      <c r="A783" s="7" t="s">
        <v>1593</v>
      </c>
      <c r="B783" s="7" t="s">
        <v>1463</v>
      </c>
      <c r="C783" s="7" t="str">
        <f>_xlfn.XLOOKUP(B783,'[1]Sheet 1'!$A$2:$A$11107,'[1]Sheet 1'!$D$2:$D$11107,"",0)</f>
        <v>LULU</v>
      </c>
      <c r="D783" s="4" t="str">
        <f>_xlfn.XLOOKUP(A783,[3]Sheet2!$I$2:$I$1623,[3]Sheet2!$D$2:$D$1623,"",0)</f>
        <v>Q3</v>
      </c>
      <c r="E783" s="4" t="s">
        <v>1828</v>
      </c>
      <c r="F783" s="4" t="e">
        <f>_xlfn.XLOOKUP(B783,[2]Sheet2!$E$2:$E$713,[2]Sheet2!$G$2:$G$713)</f>
        <v>#N/A</v>
      </c>
      <c r="G783" s="18">
        <v>46150</v>
      </c>
      <c r="H783" s="14">
        <v>0.5169907407407407</v>
      </c>
      <c r="I783" s="7" t="s">
        <v>4</v>
      </c>
      <c r="J783" s="2" t="str">
        <f t="shared" si="60"/>
        <v>Q4</v>
      </c>
      <c r="K783" s="2" t="str">
        <f t="shared" si="61"/>
        <v>Not Match</v>
      </c>
      <c r="L783" s="2">
        <f t="shared" si="62"/>
        <v>0.36891733491393436</v>
      </c>
      <c r="M783" s="2" t="e">
        <f t="shared" si="63"/>
        <v>#N/A</v>
      </c>
      <c r="N783" s="2" t="str">
        <f t="shared" si="64"/>
        <v>Q NOT OK dE&gt;0.8</v>
      </c>
      <c r="O783" s="7">
        <v>22.18</v>
      </c>
      <c r="P783" s="7">
        <v>3.05</v>
      </c>
      <c r="Q783" s="7">
        <v>2.0299999999999998</v>
      </c>
      <c r="R783" s="7">
        <v>-1.39</v>
      </c>
      <c r="S783" s="7">
        <v>0.31</v>
      </c>
      <c r="T783" s="7">
        <v>-0.2</v>
      </c>
      <c r="U783" s="7">
        <v>0.15</v>
      </c>
      <c r="V783" s="7">
        <v>-0.47</v>
      </c>
      <c r="W783" s="7">
        <v>1.48</v>
      </c>
      <c r="X783" s="7" t="s">
        <v>6</v>
      </c>
      <c r="Y783" s="7" t="s">
        <v>7</v>
      </c>
      <c r="Z783" s="2" t="s">
        <v>718</v>
      </c>
      <c r="AA783" s="2" t="s">
        <v>721</v>
      </c>
    </row>
    <row r="784" spans="1:27" x14ac:dyDescent="0.35">
      <c r="A784" s="7" t="s">
        <v>1673</v>
      </c>
      <c r="B784" s="7" t="s">
        <v>1458</v>
      </c>
      <c r="C784" s="7" t="str">
        <f>_xlfn.XLOOKUP(B784,'[1]Sheet 1'!$A$2:$A$11107,'[1]Sheet 1'!$D$2:$D$11107,"",0)</f>
        <v>CK</v>
      </c>
      <c r="D784" s="4" t="str">
        <f>_xlfn.XLOOKUP(A784,[3]Sheet2!$I$2:$I$1623,[3]Sheet2!$D$2:$D$1623,"",0)</f>
        <v>Q1</v>
      </c>
      <c r="E784" s="4" t="s">
        <v>1828</v>
      </c>
      <c r="F784" s="4" t="e">
        <f>_xlfn.XLOOKUP(B784,[2]Sheet2!$E$2:$E$713,[2]Sheet2!$G$2:$G$713)</f>
        <v>#N/A</v>
      </c>
      <c r="G784" s="18">
        <v>46150</v>
      </c>
      <c r="H784" s="14">
        <v>0.15211805555555555</v>
      </c>
      <c r="I784" s="7" t="s">
        <v>4</v>
      </c>
      <c r="J784" s="2" t="str">
        <f t="shared" si="60"/>
        <v>Q1</v>
      </c>
      <c r="K784" s="2" t="str">
        <f t="shared" si="61"/>
        <v>Match</v>
      </c>
      <c r="L784" s="2">
        <f t="shared" si="62"/>
        <v>0.30083217912982646</v>
      </c>
      <c r="M784" s="2" t="e">
        <f t="shared" si="63"/>
        <v>#N/A</v>
      </c>
      <c r="N784" s="2" t="str">
        <f t="shared" si="64"/>
        <v>Q OK dE&gt;0.8</v>
      </c>
      <c r="O784" s="7">
        <v>15.07</v>
      </c>
      <c r="P784" s="7">
        <v>-0.51</v>
      </c>
      <c r="Q784" s="7">
        <v>-1.66</v>
      </c>
      <c r="R784" s="7">
        <v>-0.93</v>
      </c>
      <c r="S784" s="7">
        <v>0.28999999999999998</v>
      </c>
      <c r="T784" s="7">
        <v>0.08</v>
      </c>
      <c r="U784" s="7">
        <v>-0.24</v>
      </c>
      <c r="V784" s="7">
        <v>0.34</v>
      </c>
      <c r="W784" s="7">
        <v>1.02</v>
      </c>
      <c r="X784" s="7" t="s">
        <v>6</v>
      </c>
      <c r="Y784" s="7" t="s">
        <v>9</v>
      </c>
      <c r="Z784" s="2" t="s">
        <v>718</v>
      </c>
      <c r="AA784" s="2" t="s">
        <v>721</v>
      </c>
    </row>
    <row r="785" spans="1:27" x14ac:dyDescent="0.35">
      <c r="A785" s="7" t="s">
        <v>1820</v>
      </c>
      <c r="B785" s="7" t="s">
        <v>1469</v>
      </c>
      <c r="C785" s="7" t="str">
        <f>_xlfn.XLOOKUP(B785,'[1]Sheet 1'!$A$2:$A$11107,'[1]Sheet 1'!$D$2:$D$11107,"",0)</f>
        <v>M&amp;S</v>
      </c>
      <c r="D785" s="4" t="str">
        <f>_xlfn.XLOOKUP(A785,[3]Sheet2!$I$2:$I$1623,[3]Sheet2!$D$2:$D$1623,"",0)</f>
        <v>Q3</v>
      </c>
      <c r="E785" s="4" t="s">
        <v>1828</v>
      </c>
      <c r="F785" s="4" t="e">
        <f>_xlfn.XLOOKUP(B785,[2]Sheet2!$E$2:$E$713,[2]Sheet2!$G$2:$G$713)</f>
        <v>#N/A</v>
      </c>
      <c r="G785" s="18">
        <v>46150</v>
      </c>
      <c r="H785" s="14">
        <v>0.28912037037037036</v>
      </c>
      <c r="I785" s="7" t="s">
        <v>17</v>
      </c>
      <c r="J785" s="2" t="str">
        <f t="shared" si="60"/>
        <v>Q3</v>
      </c>
      <c r="K785" s="2" t="str">
        <f t="shared" si="61"/>
        <v>Match</v>
      </c>
      <c r="L785" s="2">
        <f t="shared" si="62"/>
        <v>0.83725742755737909</v>
      </c>
      <c r="M785" s="2" t="e">
        <f t="shared" si="63"/>
        <v>#N/A</v>
      </c>
      <c r="N785" s="2" t="str">
        <f t="shared" si="64"/>
        <v>Q OK dE&gt;0.8</v>
      </c>
      <c r="O785" s="7">
        <v>24.72</v>
      </c>
      <c r="P785" s="7">
        <v>7.86</v>
      </c>
      <c r="Q785" s="7">
        <v>2.58</v>
      </c>
      <c r="R785" s="7">
        <v>0.32</v>
      </c>
      <c r="S785" s="7">
        <v>-0.73</v>
      </c>
      <c r="T785" s="7">
        <v>-0.41</v>
      </c>
      <c r="U785" s="7">
        <v>-0.71</v>
      </c>
      <c r="V785" s="7">
        <v>-0.21</v>
      </c>
      <c r="W785" s="7">
        <v>0.81</v>
      </c>
      <c r="X785" s="7" t="s">
        <v>13</v>
      </c>
      <c r="Y785" s="7" t="s">
        <v>7</v>
      </c>
      <c r="Z785" s="2" t="s">
        <v>718</v>
      </c>
      <c r="AA785" s="2" t="s">
        <v>721</v>
      </c>
    </row>
    <row r="786" spans="1:27" x14ac:dyDescent="0.35">
      <c r="A786" s="7" t="s">
        <v>1628</v>
      </c>
      <c r="B786" s="7" t="s">
        <v>1459</v>
      </c>
      <c r="C786" s="7" t="str">
        <f>_xlfn.XLOOKUP(B786,'[1]Sheet 1'!$A$2:$A$11107,'[1]Sheet 1'!$D$2:$D$11107,"",0)</f>
        <v>LULU</v>
      </c>
      <c r="D786" s="4" t="str">
        <f>_xlfn.XLOOKUP(A786,[3]Sheet2!$I$2:$I$1623,[3]Sheet2!$D$2:$D$1623,"",0)</f>
        <v>Q4</v>
      </c>
      <c r="E786" s="4" t="s">
        <v>1828</v>
      </c>
      <c r="F786" s="4" t="e">
        <f>_xlfn.XLOOKUP(B786,[2]Sheet2!$E$2:$E$713,[2]Sheet2!$G$2:$G$713)</f>
        <v>#N/A</v>
      </c>
      <c r="G786" s="18">
        <v>46150</v>
      </c>
      <c r="H786" s="14">
        <v>0.15489583333333334</v>
      </c>
      <c r="I786" s="7" t="s">
        <v>4</v>
      </c>
      <c r="J786" s="2" t="str">
        <f t="shared" si="60"/>
        <v>Q2</v>
      </c>
      <c r="K786" s="2" t="str">
        <f t="shared" si="61"/>
        <v>Not Match</v>
      </c>
      <c r="L786" s="2">
        <f t="shared" si="62"/>
        <v>0.17088007490635063</v>
      </c>
      <c r="M786" s="2" t="e">
        <f t="shared" si="63"/>
        <v>#N/A</v>
      </c>
      <c r="N786" s="2" t="str">
        <f t="shared" si="64"/>
        <v>Q NOT OK dE&lt;=0.8</v>
      </c>
      <c r="O786" s="7">
        <v>18.22</v>
      </c>
      <c r="P786" s="7">
        <v>-0.63</v>
      </c>
      <c r="Q786" s="7">
        <v>-1.94</v>
      </c>
      <c r="R786" s="7">
        <v>-0.4</v>
      </c>
      <c r="S786" s="7">
        <v>-0.16</v>
      </c>
      <c r="T786" s="7">
        <v>0.06</v>
      </c>
      <c r="U786" s="7">
        <v>-0.02</v>
      </c>
      <c r="V786" s="7">
        <v>-0.23</v>
      </c>
      <c r="W786" s="7">
        <v>0.46</v>
      </c>
      <c r="X786" s="7" t="s">
        <v>8</v>
      </c>
      <c r="Y786" s="7" t="s">
        <v>15</v>
      </c>
      <c r="Z786" s="2" t="s">
        <v>718</v>
      </c>
      <c r="AA786" s="2" t="s">
        <v>721</v>
      </c>
    </row>
    <row r="787" spans="1:27" x14ac:dyDescent="0.35">
      <c r="A787" s="7" t="s">
        <v>1543</v>
      </c>
      <c r="B787" s="7" t="s">
        <v>1434</v>
      </c>
      <c r="C787" s="7" t="str">
        <f>_xlfn.XLOOKUP(B787,'[1]Sheet 1'!$A$2:$A$11107,'[1]Sheet 1'!$D$2:$D$11107,"",0)</f>
        <v>VSS</v>
      </c>
      <c r="D787" s="4" t="str">
        <f>_xlfn.XLOOKUP(A787,[3]Sheet2!$I$2:$I$1623,[3]Sheet2!$D$2:$D$1623,"",0)</f>
        <v>Q3</v>
      </c>
      <c r="E787" s="4" t="s">
        <v>1828</v>
      </c>
      <c r="F787" s="4" t="e">
        <f>_xlfn.XLOOKUP(B787,[2]Sheet2!$E$2:$E$713,[2]Sheet2!$G$2:$G$713)</f>
        <v>#N/A</v>
      </c>
      <c r="G787" s="18">
        <v>46150</v>
      </c>
      <c r="H787" s="14">
        <v>0.59890046296296295</v>
      </c>
      <c r="I787" s="7" t="s">
        <v>10</v>
      </c>
      <c r="J787" s="2" t="str">
        <f t="shared" si="60"/>
        <v>Q4</v>
      </c>
      <c r="K787" s="2" t="str">
        <f t="shared" si="61"/>
        <v>Not Match</v>
      </c>
      <c r="L787" s="2">
        <f t="shared" si="62"/>
        <v>0.61351446600711868</v>
      </c>
      <c r="M787" s="2" t="e">
        <f t="shared" si="63"/>
        <v>#N/A</v>
      </c>
      <c r="N787" s="2" t="str">
        <f t="shared" si="64"/>
        <v>Q NOT OK dE&gt;0.8</v>
      </c>
      <c r="O787" s="7">
        <v>27.16</v>
      </c>
      <c r="P787" s="7">
        <v>11.92</v>
      </c>
      <c r="Q787" s="7">
        <v>9.85</v>
      </c>
      <c r="R787" s="7">
        <v>-0.11</v>
      </c>
      <c r="S787" s="7">
        <v>0.57999999999999996</v>
      </c>
      <c r="T787" s="7">
        <v>-0.2</v>
      </c>
      <c r="U787" s="7">
        <v>0.22</v>
      </c>
      <c r="V787" s="7">
        <v>-0.79</v>
      </c>
      <c r="W787" s="7">
        <v>0.82</v>
      </c>
      <c r="X787" s="7" t="s">
        <v>13</v>
      </c>
      <c r="Y787" s="7" t="s">
        <v>9</v>
      </c>
      <c r="Z787" s="2" t="s">
        <v>718</v>
      </c>
      <c r="AA787" s="2" t="s">
        <v>721</v>
      </c>
    </row>
    <row r="788" spans="1:27" x14ac:dyDescent="0.35">
      <c r="A788" s="7" t="s">
        <v>1598</v>
      </c>
      <c r="B788" s="7" t="s">
        <v>1466</v>
      </c>
      <c r="C788" s="7" t="str">
        <f>_xlfn.XLOOKUP(B788,'[1]Sheet 1'!$A$2:$A$11107,'[1]Sheet 1'!$D$2:$D$11107,"",0)</f>
        <v>LULU</v>
      </c>
      <c r="D788" s="4" t="str">
        <f>_xlfn.XLOOKUP(A788,[3]Sheet2!$I$2:$I$1623,[3]Sheet2!$D$2:$D$1623,"",0)</f>
        <v>Q3</v>
      </c>
      <c r="E788" s="4" t="s">
        <v>1828</v>
      </c>
      <c r="F788" s="4" t="e">
        <f>_xlfn.XLOOKUP(B788,[2]Sheet2!$E$2:$E$713,[2]Sheet2!$G$2:$G$713)</f>
        <v>#N/A</v>
      </c>
      <c r="G788" s="18">
        <v>46150</v>
      </c>
      <c r="H788" s="14">
        <v>0.2745023148148148</v>
      </c>
      <c r="I788" s="7" t="s">
        <v>4</v>
      </c>
      <c r="J788" s="2" t="str">
        <f t="shared" si="60"/>
        <v>Q4</v>
      </c>
      <c r="K788" s="2" t="str">
        <f t="shared" si="61"/>
        <v>Not Match</v>
      </c>
      <c r="L788" s="2">
        <f t="shared" si="62"/>
        <v>0.46173585522460781</v>
      </c>
      <c r="M788" s="2" t="e">
        <f t="shared" si="63"/>
        <v>#N/A</v>
      </c>
      <c r="N788" s="2" t="str">
        <f t="shared" si="64"/>
        <v>Q NOT OK dE&lt;=0.8</v>
      </c>
      <c r="O788" s="7">
        <v>22.75</v>
      </c>
      <c r="P788" s="7">
        <v>-7.74</v>
      </c>
      <c r="Q788" s="7">
        <v>-12.16</v>
      </c>
      <c r="R788" s="7">
        <v>0.06</v>
      </c>
      <c r="S788" s="7">
        <v>0.14000000000000001</v>
      </c>
      <c r="T788" s="7">
        <v>-0.44</v>
      </c>
      <c r="U788" s="7">
        <v>0.21</v>
      </c>
      <c r="V788" s="7">
        <v>0.36</v>
      </c>
      <c r="W788" s="7">
        <v>0.42</v>
      </c>
      <c r="X788" s="7" t="s">
        <v>8</v>
      </c>
      <c r="Y788" s="7" t="s">
        <v>9</v>
      </c>
      <c r="Z788" s="2" t="s">
        <v>718</v>
      </c>
      <c r="AA788" s="2" t="s">
        <v>721</v>
      </c>
    </row>
    <row r="789" spans="1:27" x14ac:dyDescent="0.35">
      <c r="A789" s="7" t="s">
        <v>1540</v>
      </c>
      <c r="B789" s="7" t="s">
        <v>1465</v>
      </c>
      <c r="C789" s="7" t="str">
        <f>_xlfn.XLOOKUP(B789,'[1]Sheet 1'!$A$2:$A$11107,'[1]Sheet 1'!$D$2:$D$11107,"",0)</f>
        <v>VSS</v>
      </c>
      <c r="D789" s="4" t="str">
        <f>_xlfn.XLOOKUP(A789,[3]Sheet2!$I$2:$I$1623,[3]Sheet2!$D$2:$D$1623,"",0)</f>
        <v>Q3</v>
      </c>
      <c r="E789" s="4" t="s">
        <v>1828</v>
      </c>
      <c r="F789" s="4" t="e">
        <f>_xlfn.XLOOKUP(B789,[2]Sheet2!$E$2:$E$713,[2]Sheet2!$G$2:$G$713)</f>
        <v>#N/A</v>
      </c>
      <c r="G789" s="18">
        <v>46150</v>
      </c>
      <c r="H789" s="14">
        <v>0.27196759259259257</v>
      </c>
      <c r="I789" s="7" t="s">
        <v>10</v>
      </c>
      <c r="J789" s="2" t="str">
        <f t="shared" si="60"/>
        <v>Q4</v>
      </c>
      <c r="K789" s="2" t="str">
        <f t="shared" si="61"/>
        <v>Not Match</v>
      </c>
      <c r="L789" s="2">
        <f t="shared" si="62"/>
        <v>2.2360679774997897E-2</v>
      </c>
      <c r="M789" s="2" t="e">
        <f t="shared" si="63"/>
        <v>#N/A</v>
      </c>
      <c r="N789" s="2" t="str">
        <f t="shared" si="64"/>
        <v>Q NOT OK dE&lt;=0.8</v>
      </c>
      <c r="O789" s="7">
        <v>14.67</v>
      </c>
      <c r="P789" s="7">
        <v>0.51</v>
      </c>
      <c r="Q789" s="7">
        <v>-1.28</v>
      </c>
      <c r="R789" s="7">
        <v>0.12</v>
      </c>
      <c r="S789" s="7">
        <v>0.01</v>
      </c>
      <c r="T789" s="7">
        <v>-0.02</v>
      </c>
      <c r="U789" s="7">
        <v>0.03</v>
      </c>
      <c r="V789" s="7">
        <v>0</v>
      </c>
      <c r="W789" s="7">
        <v>0.13</v>
      </c>
      <c r="X789" s="7" t="s">
        <v>8</v>
      </c>
      <c r="Y789" s="7" t="s">
        <v>15</v>
      </c>
      <c r="Z789" s="2" t="s">
        <v>718</v>
      </c>
      <c r="AA789" s="2" t="s">
        <v>721</v>
      </c>
    </row>
    <row r="790" spans="1:27" x14ac:dyDescent="0.35">
      <c r="A790" s="7" t="s">
        <v>1722</v>
      </c>
      <c r="B790" s="7" t="s">
        <v>1473</v>
      </c>
      <c r="C790" s="7" t="str">
        <f>_xlfn.XLOOKUP(B790,'[1]Sheet 1'!$A$2:$A$11107,'[1]Sheet 1'!$D$2:$D$11107,"",0)</f>
        <v>CK</v>
      </c>
      <c r="D790" s="4" t="str">
        <f>_xlfn.XLOOKUP(A790,[3]Sheet2!$I$2:$I$1623,[3]Sheet2!$D$2:$D$1623,"",0)</f>
        <v>Q4</v>
      </c>
      <c r="E790" s="4" t="s">
        <v>1828</v>
      </c>
      <c r="F790" s="4" t="e">
        <f>_xlfn.XLOOKUP(B790,[2]Sheet2!$E$2:$E$713,[2]Sheet2!$G$2:$G$713)</f>
        <v>#N/A</v>
      </c>
      <c r="G790" s="18">
        <v>46150</v>
      </c>
      <c r="H790" s="14">
        <v>0.68773148148148144</v>
      </c>
      <c r="I790" s="7" t="s">
        <v>11</v>
      </c>
      <c r="J790" s="2" t="str">
        <f t="shared" si="60"/>
        <v>Q1</v>
      </c>
      <c r="K790" s="2" t="str">
        <f t="shared" si="61"/>
        <v>Not Match</v>
      </c>
      <c r="L790" s="2">
        <f t="shared" si="62"/>
        <v>1.4152384958020325</v>
      </c>
      <c r="M790" s="2" t="e">
        <f t="shared" si="63"/>
        <v>#N/A</v>
      </c>
      <c r="N790" s="2" t="str">
        <f t="shared" si="64"/>
        <v>Q NOT OK dE&lt;=0.8</v>
      </c>
      <c r="O790" s="7">
        <v>41.92</v>
      </c>
      <c r="P790" s="7">
        <v>41.39</v>
      </c>
      <c r="Q790" s="7">
        <v>26.71</v>
      </c>
      <c r="R790" s="7">
        <v>0.03</v>
      </c>
      <c r="S790" s="7">
        <v>0.7</v>
      </c>
      <c r="T790" s="7">
        <v>1.23</v>
      </c>
      <c r="U790" s="7">
        <v>0.5</v>
      </c>
      <c r="V790" s="7">
        <v>0.51</v>
      </c>
      <c r="W790" s="7">
        <v>0.71</v>
      </c>
      <c r="X790" s="7" t="s">
        <v>8</v>
      </c>
      <c r="Y790" s="7" t="s">
        <v>12</v>
      </c>
      <c r="Z790" s="2" t="s">
        <v>718</v>
      </c>
      <c r="AA790" s="2" t="s">
        <v>721</v>
      </c>
    </row>
    <row r="791" spans="1:27" x14ac:dyDescent="0.35">
      <c r="A791" s="7" t="s">
        <v>1818</v>
      </c>
      <c r="B791" s="7" t="s">
        <v>1464</v>
      </c>
      <c r="C791" s="7" t="str">
        <f>_xlfn.XLOOKUP(B791,'[1]Sheet 1'!$A$2:$A$11107,'[1]Sheet 1'!$D$2:$D$11107,"",0)</f>
        <v>CK</v>
      </c>
      <c r="D791" s="4" t="str">
        <f>_xlfn.XLOOKUP(A791,[3]Sheet2!$I$2:$I$1623,[3]Sheet2!$D$2:$D$1623,"",0)</f>
        <v>Q2</v>
      </c>
      <c r="E791" s="4" t="s">
        <v>1827</v>
      </c>
      <c r="F791" s="4" t="e">
        <f>_xlfn.XLOOKUP(B791,[2]Sheet2!$E$2:$E$713,[2]Sheet2!$G$2:$G$713)</f>
        <v>#N/A</v>
      </c>
      <c r="G791" s="18">
        <v>46150</v>
      </c>
      <c r="H791" s="14">
        <v>0.2697222222222222</v>
      </c>
      <c r="I791" s="7" t="s">
        <v>11</v>
      </c>
      <c r="J791" s="2" t="str">
        <f t="shared" si="60"/>
        <v>Q4</v>
      </c>
      <c r="K791" s="2" t="str">
        <f t="shared" si="61"/>
        <v>Not Match</v>
      </c>
      <c r="L791" s="2">
        <f t="shared" si="62"/>
        <v>0.54083269131959832</v>
      </c>
      <c r="M791" s="2" t="e">
        <f t="shared" si="63"/>
        <v>#N/A</v>
      </c>
      <c r="N791" s="2" t="str">
        <f t="shared" si="64"/>
        <v>Q NOT OK dE&lt;=0.8</v>
      </c>
      <c r="O791" s="7">
        <v>44.77</v>
      </c>
      <c r="P791" s="7">
        <v>35.979999999999997</v>
      </c>
      <c r="Q791" s="7">
        <v>29.62</v>
      </c>
      <c r="R791" s="7">
        <v>0.15</v>
      </c>
      <c r="S791" s="7">
        <v>0.18</v>
      </c>
      <c r="T791" s="7">
        <v>-0.51</v>
      </c>
      <c r="U791" s="7">
        <v>-0.08</v>
      </c>
      <c r="V791" s="7">
        <v>-0.44</v>
      </c>
      <c r="W791" s="7">
        <v>0.47</v>
      </c>
      <c r="X791" s="7" t="s">
        <v>8</v>
      </c>
      <c r="Y791" s="7" t="s">
        <v>9</v>
      </c>
      <c r="Z791" s="2" t="s">
        <v>718</v>
      </c>
      <c r="AA791" s="2" t="s">
        <v>721</v>
      </c>
    </row>
    <row r="792" spans="1:27" x14ac:dyDescent="0.35">
      <c r="A792" s="7" t="s">
        <v>1510</v>
      </c>
      <c r="B792" s="7" t="s">
        <v>1461</v>
      </c>
      <c r="C792" s="7" t="str">
        <f>_xlfn.XLOOKUP(B792,'[1]Sheet 1'!$A$2:$A$11107,'[1]Sheet 1'!$D$2:$D$11107,"",0)</f>
        <v>PINK</v>
      </c>
      <c r="D792" s="4">
        <v>0</v>
      </c>
      <c r="E792" s="4" t="s">
        <v>1828</v>
      </c>
      <c r="F792" s="4" t="e">
        <f>_xlfn.XLOOKUP(B792,[2]Sheet2!$E$2:$E$713,[2]Sheet2!$G$2:$G$713)</f>
        <v>#N/A</v>
      </c>
      <c r="G792" s="18">
        <v>46150</v>
      </c>
      <c r="H792" s="14">
        <v>0.15885416666666666</v>
      </c>
      <c r="I792" s="7" t="s">
        <v>10</v>
      </c>
      <c r="J792" s="2" t="str">
        <f t="shared" si="60"/>
        <v>Q4</v>
      </c>
      <c r="K792" s="2" t="str">
        <f t="shared" si="61"/>
        <v>Not Found</v>
      </c>
      <c r="L792" s="2">
        <f t="shared" si="62"/>
        <v>0.15231546211727817</v>
      </c>
      <c r="M792" s="2" t="e">
        <f t="shared" si="63"/>
        <v>#N/A</v>
      </c>
      <c r="N792" s="2" t="str">
        <f t="shared" si="64"/>
        <v>Quadrant not assigned</v>
      </c>
      <c r="O792" s="7">
        <v>17.28</v>
      </c>
      <c r="P792" s="7">
        <v>0.41</v>
      </c>
      <c r="Q792" s="7">
        <v>-0.95</v>
      </c>
      <c r="R792" s="7">
        <v>0.52</v>
      </c>
      <c r="S792" s="7">
        <v>0.06</v>
      </c>
      <c r="T792" s="7">
        <v>-0.14000000000000001</v>
      </c>
      <c r="U792" s="7">
        <v>0.22</v>
      </c>
      <c r="V792" s="7">
        <v>0</v>
      </c>
      <c r="W792" s="7">
        <v>0.56999999999999995</v>
      </c>
      <c r="X792" s="7" t="s">
        <v>8</v>
      </c>
      <c r="Y792" s="7" t="s">
        <v>15</v>
      </c>
      <c r="Z792" s="2" t="s">
        <v>718</v>
      </c>
      <c r="AA792" s="2" t="s">
        <v>721</v>
      </c>
    </row>
    <row r="793" spans="1:27" x14ac:dyDescent="0.35">
      <c r="A793" s="7" t="s">
        <v>1773</v>
      </c>
      <c r="B793" s="7" t="s">
        <v>1460</v>
      </c>
      <c r="C793" s="7" t="str">
        <f>_xlfn.XLOOKUP(B793,'[1]Sheet 1'!$A$2:$A$11107,'[1]Sheet 1'!$D$2:$D$11107,"",0)</f>
        <v>NKSKI</v>
      </c>
      <c r="D793" s="4" t="str">
        <f>_xlfn.XLOOKUP(A793,[3]Sheet2!$I$2:$I$1623,[3]Sheet2!$D$2:$D$1623,"",0)</f>
        <v>Q3</v>
      </c>
      <c r="E793" s="4" t="s">
        <v>1828</v>
      </c>
      <c r="F793" s="4" t="e">
        <f>_xlfn.XLOOKUP(B793,[2]Sheet2!$E$2:$E$713,[2]Sheet2!$G$2:$G$713)</f>
        <v>#N/A</v>
      </c>
      <c r="G793" s="18">
        <v>46150</v>
      </c>
      <c r="H793" s="14">
        <v>0.15675925925925926</v>
      </c>
      <c r="I793" s="7" t="s">
        <v>4</v>
      </c>
      <c r="J793" s="2" t="str">
        <f t="shared" si="60"/>
        <v>Q2</v>
      </c>
      <c r="K793" s="2" t="str">
        <f t="shared" si="61"/>
        <v>Not Match</v>
      </c>
      <c r="L793" s="2">
        <f t="shared" si="62"/>
        <v>0.39115214431215894</v>
      </c>
      <c r="M793" s="2" t="e">
        <f t="shared" si="63"/>
        <v>#N/A</v>
      </c>
      <c r="N793" s="2" t="str">
        <f t="shared" si="64"/>
        <v>Q NOT OK dE&lt;=0.8</v>
      </c>
      <c r="O793" s="7">
        <v>16.29</v>
      </c>
      <c r="P793" s="7">
        <v>-1.5</v>
      </c>
      <c r="Q793" s="7">
        <v>-2.4900000000000002</v>
      </c>
      <c r="R793" s="7">
        <v>-0.01</v>
      </c>
      <c r="S793" s="7">
        <v>-0.33</v>
      </c>
      <c r="T793" s="7">
        <v>0.21</v>
      </c>
      <c r="U793" s="7">
        <v>-0.05</v>
      </c>
      <c r="V793" s="7">
        <v>-0.51</v>
      </c>
      <c r="W793" s="7">
        <v>0.51</v>
      </c>
      <c r="X793" s="7" t="s">
        <v>8</v>
      </c>
      <c r="Y793" s="7" t="s">
        <v>15</v>
      </c>
      <c r="Z793" s="2" t="s">
        <v>718</v>
      </c>
      <c r="AA793" s="2" t="s">
        <v>721</v>
      </c>
    </row>
    <row r="794" spans="1:27" x14ac:dyDescent="0.35">
      <c r="A794" s="7" t="s">
        <v>1784</v>
      </c>
      <c r="B794" s="7" t="s">
        <v>1462</v>
      </c>
      <c r="C794" s="7" t="str">
        <f>_xlfn.XLOOKUP(B794,'[1]Sheet 1'!$A$2:$A$11107,'[1]Sheet 1'!$D$2:$D$11107,"",0)</f>
        <v>VSS</v>
      </c>
      <c r="D794" s="4" t="str">
        <f>_xlfn.XLOOKUP(A794,[3]Sheet2!$I$2:$I$1623,[3]Sheet2!$D$2:$D$1623,"",0)</f>
        <v>Q2</v>
      </c>
      <c r="E794" s="4" t="s">
        <v>1827</v>
      </c>
      <c r="F794" s="4" t="e">
        <f>_xlfn.XLOOKUP(B794,[2]Sheet2!$E$2:$E$713,[2]Sheet2!$G$2:$G$713)</f>
        <v>#N/A</v>
      </c>
      <c r="G794" s="18">
        <v>46150</v>
      </c>
      <c r="H794" s="14">
        <v>0.20528935185185185</v>
      </c>
      <c r="I794" s="7" t="s">
        <v>10</v>
      </c>
      <c r="J794" s="2" t="str">
        <f t="shared" si="60"/>
        <v>Q3</v>
      </c>
      <c r="K794" s="2" t="str">
        <f t="shared" si="61"/>
        <v>Not Match</v>
      </c>
      <c r="L794" s="2">
        <f t="shared" si="62"/>
        <v>1.5472879499304582</v>
      </c>
      <c r="M794" s="2" t="e">
        <f t="shared" si="63"/>
        <v>#N/A</v>
      </c>
      <c r="N794" s="2" t="str">
        <f t="shared" si="64"/>
        <v>Q NOT OK dE&gt;0.8</v>
      </c>
      <c r="O794" s="7">
        <v>42.95</v>
      </c>
      <c r="P794" s="7">
        <v>41.02</v>
      </c>
      <c r="Q794" s="7">
        <v>12.42</v>
      </c>
      <c r="R794" s="7">
        <v>-0.6</v>
      </c>
      <c r="S794" s="7">
        <v>-1.45</v>
      </c>
      <c r="T794" s="7">
        <v>-0.54</v>
      </c>
      <c r="U794" s="7">
        <v>-0.64</v>
      </c>
      <c r="V794" s="7">
        <v>-7.0000000000000007E-2</v>
      </c>
      <c r="W794" s="7">
        <v>0.88</v>
      </c>
      <c r="X794" s="7" t="s">
        <v>13</v>
      </c>
      <c r="Y794" s="7" t="s">
        <v>7</v>
      </c>
      <c r="Z794" s="2" t="s">
        <v>718</v>
      </c>
      <c r="AA794" s="2" t="s">
        <v>721</v>
      </c>
    </row>
    <row r="795" spans="1:27" x14ac:dyDescent="0.35">
      <c r="A795" s="7" t="s">
        <v>1515</v>
      </c>
      <c r="B795" s="7" t="s">
        <v>1472</v>
      </c>
      <c r="C795" s="7" t="str">
        <f>_xlfn.XLOOKUP(B795,'[1]Sheet 1'!$A$2:$A$11107,'[1]Sheet 1'!$D$2:$D$11107,"",0)</f>
        <v>VSS</v>
      </c>
      <c r="D795" s="4" t="str">
        <f>_xlfn.XLOOKUP(A795,[3]Sheet2!$I$2:$I$1623,[3]Sheet2!$D$2:$D$1623,"",0)</f>
        <v>Q3</v>
      </c>
      <c r="E795" s="4" t="s">
        <v>1828</v>
      </c>
      <c r="F795" s="4" t="e">
        <f>_xlfn.XLOOKUP(B795,[2]Sheet2!$E$2:$E$713,[2]Sheet2!$G$2:$G$713)</f>
        <v>#N/A</v>
      </c>
      <c r="G795" s="18">
        <v>46150</v>
      </c>
      <c r="H795" s="14">
        <v>0.60211805555555553</v>
      </c>
      <c r="I795" s="7" t="s">
        <v>10</v>
      </c>
      <c r="J795" s="2" t="str">
        <f t="shared" si="60"/>
        <v>Q3</v>
      </c>
      <c r="K795" s="2" t="str">
        <f t="shared" si="61"/>
        <v>Match</v>
      </c>
      <c r="L795" s="2">
        <f t="shared" si="62"/>
        <v>0.18384776310850237</v>
      </c>
      <c r="M795" s="2" t="e">
        <f t="shared" si="63"/>
        <v>#N/A</v>
      </c>
      <c r="N795" s="2" t="str">
        <f t="shared" si="64"/>
        <v>Q OK dE&gt;0.8</v>
      </c>
      <c r="O795" s="7">
        <v>13.71</v>
      </c>
      <c r="P795" s="7">
        <v>-0.02</v>
      </c>
      <c r="Q795" s="7">
        <v>-1.88</v>
      </c>
      <c r="R795" s="7">
        <v>-1.3</v>
      </c>
      <c r="S795" s="7">
        <v>-0.13</v>
      </c>
      <c r="T795" s="7">
        <v>-0.13</v>
      </c>
      <c r="U795" s="7">
        <v>0.18</v>
      </c>
      <c r="V795" s="7">
        <v>-0.18</v>
      </c>
      <c r="W795" s="7">
        <v>1.32</v>
      </c>
      <c r="X795" s="7" t="s">
        <v>6</v>
      </c>
      <c r="Y795" s="7" t="s">
        <v>15</v>
      </c>
      <c r="Z795" s="2" t="s">
        <v>718</v>
      </c>
      <c r="AA795" s="2" t="s">
        <v>721</v>
      </c>
    </row>
    <row r="796" spans="1:27" x14ac:dyDescent="0.35">
      <c r="A796" s="7" t="s">
        <v>1823</v>
      </c>
      <c r="B796" s="7" t="s">
        <v>1479</v>
      </c>
      <c r="C796" s="7" t="str">
        <f>_xlfn.XLOOKUP(B796,'[1]Sheet 1'!$A$2:$A$11107,'[1]Sheet 1'!$D$2:$D$11107,"",0)</f>
        <v>LBI</v>
      </c>
      <c r="D796" s="4" t="str">
        <f>_xlfn.XLOOKUP(A796,[3]Sheet2!$I$2:$I$1623,[3]Sheet2!$D$2:$D$1623,"",0)</f>
        <v>Q3</v>
      </c>
      <c r="E796" s="4" t="s">
        <v>1827</v>
      </c>
      <c r="F796" s="4" t="e">
        <f>_xlfn.XLOOKUP(B796,[2]Sheet2!$E$2:$E$713,[2]Sheet2!$G$2:$G$713)</f>
        <v>#N/A</v>
      </c>
      <c r="G796" s="18">
        <v>46150</v>
      </c>
      <c r="H796" s="14">
        <v>0.98189814814814813</v>
      </c>
      <c r="I796" s="7" t="s">
        <v>4</v>
      </c>
      <c r="J796" s="2" t="str">
        <f t="shared" si="60"/>
        <v>Q4</v>
      </c>
      <c r="K796" s="2" t="str">
        <f t="shared" si="61"/>
        <v>Not Match</v>
      </c>
      <c r="L796" s="2">
        <f t="shared" si="62"/>
        <v>0.57218878003679863</v>
      </c>
      <c r="M796" s="2" t="e">
        <f t="shared" si="63"/>
        <v>#N/A</v>
      </c>
      <c r="N796" s="2" t="str">
        <f t="shared" si="64"/>
        <v>Q NOT OK dE&lt;=0.8</v>
      </c>
      <c r="O796" s="7">
        <v>34.979999999999997</v>
      </c>
      <c r="P796" s="7">
        <v>51.88</v>
      </c>
      <c r="Q796" s="7">
        <v>19.98</v>
      </c>
      <c r="R796" s="7">
        <v>-0.53</v>
      </c>
      <c r="S796" s="7">
        <v>0.05</v>
      </c>
      <c r="T796" s="7">
        <v>-0.56999999999999995</v>
      </c>
      <c r="U796" s="7">
        <v>-0.06</v>
      </c>
      <c r="V796" s="7">
        <v>-0.35</v>
      </c>
      <c r="W796" s="7">
        <v>0.64</v>
      </c>
      <c r="X796" s="7" t="s">
        <v>8</v>
      </c>
      <c r="Y796" s="7" t="s">
        <v>7</v>
      </c>
      <c r="Z796" s="2" t="s">
        <v>718</v>
      </c>
      <c r="AA796" s="2" t="s">
        <v>721</v>
      </c>
    </row>
    <row r="797" spans="1:27" x14ac:dyDescent="0.35">
      <c r="A797" s="7" t="s">
        <v>1784</v>
      </c>
      <c r="B797" s="7" t="s">
        <v>1474</v>
      </c>
      <c r="C797" s="7" t="str">
        <f>_xlfn.XLOOKUP(B797,'[1]Sheet 1'!$A$2:$A$11107,'[1]Sheet 1'!$D$2:$D$11107,"",0)</f>
        <v>VSS</v>
      </c>
      <c r="D797" s="4" t="str">
        <f>_xlfn.XLOOKUP(A797,[3]Sheet2!$I$2:$I$1623,[3]Sheet2!$D$2:$D$1623,"",0)</f>
        <v>Q2</v>
      </c>
      <c r="E797" s="4" t="s">
        <v>1828</v>
      </c>
      <c r="F797" s="4" t="e">
        <f>_xlfn.XLOOKUP(B797,[2]Sheet2!$E$2:$E$713,[2]Sheet2!$G$2:$G$713)</f>
        <v>#N/A</v>
      </c>
      <c r="G797" s="18">
        <v>46150</v>
      </c>
      <c r="H797" s="14">
        <v>0.69608796296296294</v>
      </c>
      <c r="I797" s="7" t="s">
        <v>10</v>
      </c>
      <c r="J797" s="2" t="str">
        <f t="shared" si="60"/>
        <v>Q3</v>
      </c>
      <c r="K797" s="2" t="str">
        <f t="shared" si="61"/>
        <v>Not Match</v>
      </c>
      <c r="L797" s="2">
        <f t="shared" si="62"/>
        <v>1.5931415505221123</v>
      </c>
      <c r="M797" s="2" t="e">
        <f t="shared" si="63"/>
        <v>#N/A</v>
      </c>
      <c r="N797" s="2" t="str">
        <f t="shared" si="64"/>
        <v>Q NOT OK dE&gt;0.8</v>
      </c>
      <c r="O797" s="7">
        <v>43.25</v>
      </c>
      <c r="P797" s="7">
        <v>41.81</v>
      </c>
      <c r="Q797" s="7">
        <v>11.52</v>
      </c>
      <c r="R797" s="7">
        <v>-0.45</v>
      </c>
      <c r="S797" s="7">
        <v>-0.66</v>
      </c>
      <c r="T797" s="7">
        <v>-1.45</v>
      </c>
      <c r="U797" s="7">
        <v>-0.43</v>
      </c>
      <c r="V797" s="7">
        <v>-0.82</v>
      </c>
      <c r="W797" s="7">
        <v>1.03</v>
      </c>
      <c r="X797" s="7" t="s">
        <v>6</v>
      </c>
      <c r="Y797" s="7" t="s">
        <v>7</v>
      </c>
      <c r="Z797" s="2" t="s">
        <v>718</v>
      </c>
      <c r="AA797" s="2" t="s">
        <v>721</v>
      </c>
    </row>
    <row r="798" spans="1:27" x14ac:dyDescent="0.35">
      <c r="A798" s="7" t="s">
        <v>1822</v>
      </c>
      <c r="B798" s="7" t="s">
        <v>1475</v>
      </c>
      <c r="C798" s="7" t="str">
        <f>_xlfn.XLOOKUP(B798,'[1]Sheet 1'!$A$2:$A$11107,'[1]Sheet 1'!$D$2:$D$11107,"",0)</f>
        <v/>
      </c>
      <c r="D798" s="4" t="str">
        <f>_xlfn.XLOOKUP(A798,[3]Sheet2!$I$2:$I$1623,[3]Sheet2!$D$2:$D$1623,"",0)</f>
        <v>Q1</v>
      </c>
      <c r="E798" s="4" t="s">
        <v>1828</v>
      </c>
      <c r="F798" s="4" t="e">
        <f>_xlfn.XLOOKUP(B798,[2]Sheet2!$E$2:$E$713,[2]Sheet2!$G$2:$G$713)</f>
        <v>#N/A</v>
      </c>
      <c r="G798" s="18">
        <v>46150</v>
      </c>
      <c r="H798" s="14">
        <v>0.70047453703703699</v>
      </c>
      <c r="I798" s="7" t="s">
        <v>4</v>
      </c>
      <c r="J798" s="2" t="str">
        <f t="shared" si="60"/>
        <v>Q2</v>
      </c>
      <c r="K798" s="2" t="str">
        <f t="shared" si="61"/>
        <v>Not Match</v>
      </c>
      <c r="L798" s="2">
        <f t="shared" si="62"/>
        <v>0.19313207915827965</v>
      </c>
      <c r="M798" s="2" t="e">
        <f t="shared" si="63"/>
        <v>#N/A</v>
      </c>
      <c r="N798" s="2" t="str">
        <f t="shared" si="64"/>
        <v>Q NOT OK dE&gt;0.8</v>
      </c>
      <c r="O798" s="7">
        <v>16.13</v>
      </c>
      <c r="P798" s="7">
        <v>-0.96</v>
      </c>
      <c r="Q798" s="7">
        <v>-1.82</v>
      </c>
      <c r="R798" s="7">
        <v>-0.92</v>
      </c>
      <c r="S798" s="7">
        <v>-0.18</v>
      </c>
      <c r="T798" s="7">
        <v>7.0000000000000007E-2</v>
      </c>
      <c r="U798" s="7">
        <v>0.01</v>
      </c>
      <c r="V798" s="7">
        <v>-0.26</v>
      </c>
      <c r="W798" s="7">
        <v>0.96</v>
      </c>
      <c r="X798" s="7" t="s">
        <v>13</v>
      </c>
      <c r="Y798" s="7" t="s">
        <v>15</v>
      </c>
      <c r="Z798" s="2" t="s">
        <v>718</v>
      </c>
      <c r="AA798" s="2" t="s">
        <v>721</v>
      </c>
    </row>
    <row r="799" spans="1:27" x14ac:dyDescent="0.35">
      <c r="A799" s="7" t="s">
        <v>1803</v>
      </c>
      <c r="B799" s="7" t="s">
        <v>1393</v>
      </c>
      <c r="C799" s="7" t="str">
        <f>_xlfn.XLOOKUP(B799,'[1]Sheet 1'!$A$2:$A$11107,'[1]Sheet 1'!$D$2:$D$11107,"",0)</f>
        <v>DUN</v>
      </c>
      <c r="D799" s="4" t="str">
        <f>_xlfn.XLOOKUP(A799,[3]Sheet2!$I$2:$I$1623,[3]Sheet2!$D$2:$D$1623,"",0)</f>
        <v>Q2</v>
      </c>
      <c r="E799" s="4" t="s">
        <v>1827</v>
      </c>
      <c r="F799" s="4" t="e">
        <f>_xlfn.XLOOKUP(B799,[2]Sheet2!$E$2:$E$713,[2]Sheet2!$G$2:$G$713)</f>
        <v>#N/A</v>
      </c>
      <c r="G799" s="18">
        <v>46151</v>
      </c>
      <c r="H799" s="14">
        <v>0.77142361111111113</v>
      </c>
      <c r="I799" s="7" t="s">
        <v>5</v>
      </c>
      <c r="J799" s="2" t="str">
        <f t="shared" si="60"/>
        <v>Q2</v>
      </c>
      <c r="K799" s="2" t="str">
        <f t="shared" si="61"/>
        <v>Match</v>
      </c>
      <c r="L799" s="2">
        <f t="shared" si="62"/>
        <v>0.24041630560342619</v>
      </c>
      <c r="M799" s="2" t="e">
        <f t="shared" si="63"/>
        <v>#N/A</v>
      </c>
      <c r="N799" s="2" t="str">
        <f t="shared" si="64"/>
        <v>Q OK dE&gt;0.8</v>
      </c>
      <c r="O799" s="7">
        <v>24.38</v>
      </c>
      <c r="P799" s="7">
        <v>7.34</v>
      </c>
      <c r="Q799" s="7">
        <v>1.96</v>
      </c>
      <c r="R799" s="7">
        <v>-0.87</v>
      </c>
      <c r="S799" s="7">
        <v>-0.17</v>
      </c>
      <c r="T799" s="7">
        <v>0.17</v>
      </c>
      <c r="U799" s="7">
        <v>-0.11</v>
      </c>
      <c r="V799" s="7">
        <v>0.28000000000000003</v>
      </c>
      <c r="W799" s="7">
        <v>0.92</v>
      </c>
      <c r="X799" s="7" t="s">
        <v>13</v>
      </c>
      <c r="Y799" s="7" t="s">
        <v>12</v>
      </c>
      <c r="Z799" s="2" t="s">
        <v>718</v>
      </c>
      <c r="AA799" s="2" t="s">
        <v>721</v>
      </c>
    </row>
    <row r="800" spans="1:27" x14ac:dyDescent="0.35">
      <c r="A800" s="7" t="s">
        <v>1825</v>
      </c>
      <c r="B800" s="7" t="s">
        <v>1367</v>
      </c>
      <c r="C800" s="7" t="str">
        <f>_xlfn.XLOOKUP(B800,'[1]Sheet 1'!$A$2:$A$11107,'[1]Sheet 1'!$D$2:$D$11107,"",0)</f>
        <v>LBI</v>
      </c>
      <c r="D800" s="4" t="str">
        <f>_xlfn.XLOOKUP(A800,[3]Sheet2!$I$2:$I$1623,[3]Sheet2!$D$2:$D$1623,"",0)</f>
        <v>Q1</v>
      </c>
      <c r="E800" s="4" t="s">
        <v>1828</v>
      </c>
      <c r="F800" s="4" t="e">
        <f>_xlfn.XLOOKUP(B800,[2]Sheet2!$E$2:$E$713,[2]Sheet2!$G$2:$G$713)</f>
        <v>#N/A</v>
      </c>
      <c r="G800" s="18">
        <v>46151</v>
      </c>
      <c r="H800" s="14">
        <v>0.5002199074074074</v>
      </c>
      <c r="I800" s="7" t="s">
        <v>14</v>
      </c>
      <c r="J800" s="2" t="str">
        <f t="shared" si="60"/>
        <v>Q1</v>
      </c>
      <c r="K800" s="2" t="str">
        <f t="shared" si="61"/>
        <v>Match</v>
      </c>
      <c r="L800" s="2">
        <f t="shared" si="62"/>
        <v>0.83408632646747061</v>
      </c>
      <c r="M800" s="2" t="e">
        <f t="shared" si="63"/>
        <v>#N/A</v>
      </c>
      <c r="N800" s="2" t="str">
        <f t="shared" si="64"/>
        <v>Q OK dE&lt;=0.8</v>
      </c>
      <c r="O800" s="7">
        <v>31.25</v>
      </c>
      <c r="P800" s="7">
        <v>29.94</v>
      </c>
      <c r="Q800" s="7">
        <v>10.68</v>
      </c>
      <c r="R800" s="7">
        <v>0.47</v>
      </c>
      <c r="S800" s="7">
        <v>0.66</v>
      </c>
      <c r="T800" s="7">
        <v>0.51</v>
      </c>
      <c r="U800" s="7">
        <v>0.39</v>
      </c>
      <c r="V800" s="7">
        <v>0.21</v>
      </c>
      <c r="W800" s="7">
        <v>0.65</v>
      </c>
      <c r="X800" s="7" t="s">
        <v>8</v>
      </c>
      <c r="Y800" s="7" t="s">
        <v>12</v>
      </c>
      <c r="Z800" s="2" t="s">
        <v>718</v>
      </c>
      <c r="AA800" s="2" t="s">
        <v>721</v>
      </c>
    </row>
    <row r="801" spans="1:27" x14ac:dyDescent="0.35">
      <c r="A801" s="7" t="s">
        <v>1557</v>
      </c>
      <c r="B801" s="7" t="s">
        <v>1489</v>
      </c>
      <c r="C801" s="7" t="str">
        <f>_xlfn.XLOOKUP(B801,'[1]Sheet 1'!$A$2:$A$11107,'[1]Sheet 1'!$D$2:$D$11107,"",0)</f>
        <v>M&amp;S</v>
      </c>
      <c r="D801" s="4" t="str">
        <f>_xlfn.XLOOKUP(A801,[3]Sheet2!$I$2:$I$1623,[3]Sheet2!$D$2:$D$1623,"",0)</f>
        <v>Q3</v>
      </c>
      <c r="E801" s="4" t="s">
        <v>1828</v>
      </c>
      <c r="F801" s="4" t="e">
        <f>_xlfn.XLOOKUP(B801,[2]Sheet2!$E$2:$E$713,[2]Sheet2!$G$2:$G$713)</f>
        <v>#N/A</v>
      </c>
      <c r="G801" s="18">
        <v>46151</v>
      </c>
      <c r="H801" s="14">
        <v>0.52733796296296298</v>
      </c>
      <c r="I801" s="7" t="s">
        <v>17</v>
      </c>
      <c r="J801" s="2" t="str">
        <f t="shared" si="60"/>
        <v>Q3</v>
      </c>
      <c r="K801" s="2" t="str">
        <f t="shared" si="61"/>
        <v>Match</v>
      </c>
      <c r="L801" s="2">
        <f t="shared" si="62"/>
        <v>0.25179356624028343</v>
      </c>
      <c r="M801" s="2" t="e">
        <f t="shared" si="63"/>
        <v>#N/A</v>
      </c>
      <c r="N801" s="2" t="str">
        <f t="shared" si="64"/>
        <v>Q OK dE&lt;=0.8</v>
      </c>
      <c r="O801" s="7">
        <v>14.66</v>
      </c>
      <c r="P801" s="7">
        <v>-0.61</v>
      </c>
      <c r="Q801" s="7">
        <v>-1.95</v>
      </c>
      <c r="R801" s="7">
        <v>-0.68</v>
      </c>
      <c r="S801" s="7">
        <v>-0.03</v>
      </c>
      <c r="T801" s="7">
        <v>-0.25</v>
      </c>
      <c r="U801" s="7">
        <v>0.33</v>
      </c>
      <c r="V801" s="7">
        <v>7.0000000000000007E-2</v>
      </c>
      <c r="W801" s="7">
        <v>0.76</v>
      </c>
      <c r="X801" s="7" t="s">
        <v>13</v>
      </c>
      <c r="Y801" s="7" t="s">
        <v>9</v>
      </c>
      <c r="Z801" s="2" t="s">
        <v>718</v>
      </c>
      <c r="AA801" s="2" t="s">
        <v>721</v>
      </c>
    </row>
    <row r="802" spans="1:27" x14ac:dyDescent="0.35">
      <c r="A802" s="7" t="s">
        <v>1516</v>
      </c>
      <c r="B802" s="7" t="s">
        <v>1482</v>
      </c>
      <c r="C802" s="7" t="str">
        <f>_xlfn.XLOOKUP(B802,'[1]Sheet 1'!$A$2:$A$11107,'[1]Sheet 1'!$D$2:$D$11107,"",0)</f>
        <v>LBI</v>
      </c>
      <c r="D802" s="4" t="str">
        <f>_xlfn.XLOOKUP(A802,[3]Sheet2!$I$2:$I$1623,[3]Sheet2!$D$2:$D$1623,"",0)</f>
        <v>Q2</v>
      </c>
      <c r="E802" s="4" t="s">
        <v>1828</v>
      </c>
      <c r="F802" s="4" t="e">
        <f>_xlfn.XLOOKUP(B802,[2]Sheet2!$E$2:$E$713,[2]Sheet2!$G$2:$G$713)</f>
        <v>#N/A</v>
      </c>
      <c r="G802" s="18">
        <v>46151</v>
      </c>
      <c r="H802" s="14">
        <v>0.17399305555555555</v>
      </c>
      <c r="I802" s="7" t="s">
        <v>4</v>
      </c>
      <c r="J802" s="2" t="str">
        <f t="shared" si="60"/>
        <v>Q1</v>
      </c>
      <c r="K802" s="2" t="str">
        <f t="shared" si="61"/>
        <v>Not Match</v>
      </c>
      <c r="L802" s="2">
        <f t="shared" si="62"/>
        <v>0.25317977802344327</v>
      </c>
      <c r="M802" s="2" t="e">
        <f t="shared" si="63"/>
        <v>#N/A</v>
      </c>
      <c r="N802" s="2" t="str">
        <f t="shared" si="64"/>
        <v>Q NOT OK dE&lt;=0.8</v>
      </c>
      <c r="O802" s="7">
        <v>18.77</v>
      </c>
      <c r="P802" s="7">
        <v>-1.17</v>
      </c>
      <c r="Q802" s="7">
        <v>-1.59</v>
      </c>
      <c r="R802" s="7">
        <v>0.26</v>
      </c>
      <c r="S802" s="7">
        <v>0.25</v>
      </c>
      <c r="T802" s="7">
        <v>0.04</v>
      </c>
      <c r="U802" s="7">
        <v>-0.25</v>
      </c>
      <c r="V802" s="7">
        <v>0.23</v>
      </c>
      <c r="W802" s="7">
        <v>0.42</v>
      </c>
      <c r="X802" s="7" t="s">
        <v>8</v>
      </c>
      <c r="Y802" s="7" t="s">
        <v>9</v>
      </c>
      <c r="Z802" s="2" t="s">
        <v>718</v>
      </c>
      <c r="AA802" s="2" t="s">
        <v>721</v>
      </c>
    </row>
    <row r="803" spans="1:27" x14ac:dyDescent="0.35">
      <c r="A803" s="7" t="s">
        <v>1826</v>
      </c>
      <c r="B803" s="7" t="s">
        <v>1496</v>
      </c>
      <c r="C803" s="7" t="str">
        <f>_xlfn.XLOOKUP(B803,'[1]Sheet 1'!$A$2:$A$11107,'[1]Sheet 1'!$D$2:$D$11107,"",0)</f>
        <v>LULU</v>
      </c>
      <c r="D803" s="4" t="str">
        <f>_xlfn.XLOOKUP(A803,[3]Sheet2!$I$2:$I$1623,[3]Sheet2!$D$2:$D$1623,"",0)</f>
        <v>Q1</v>
      </c>
      <c r="E803" s="4" t="s">
        <v>1828</v>
      </c>
      <c r="F803" s="4" t="e">
        <f>_xlfn.XLOOKUP(B803,[2]Sheet2!$E$2:$E$713,[2]Sheet2!$G$2:$G$713)</f>
        <v>#N/A</v>
      </c>
      <c r="G803" s="18">
        <v>46151</v>
      </c>
      <c r="H803" s="14">
        <v>0.76997685185185183</v>
      </c>
      <c r="I803" s="7" t="s">
        <v>4</v>
      </c>
      <c r="J803" s="2" t="str">
        <f t="shared" si="60"/>
        <v>Q3</v>
      </c>
      <c r="K803" s="2" t="str">
        <f t="shared" si="61"/>
        <v>Not Match</v>
      </c>
      <c r="L803" s="2">
        <f t="shared" si="62"/>
        <v>8.4852813742385708E-2</v>
      </c>
      <c r="M803" s="2" t="e">
        <f t="shared" si="63"/>
        <v>#N/A</v>
      </c>
      <c r="N803" s="2" t="str">
        <f t="shared" si="64"/>
        <v>Q NOT OK dE&lt;=0.8</v>
      </c>
      <c r="O803" s="7">
        <v>22.6</v>
      </c>
      <c r="P803" s="7">
        <v>13.64</v>
      </c>
      <c r="Q803" s="7">
        <v>2.66</v>
      </c>
      <c r="R803" s="7">
        <v>-0.6</v>
      </c>
      <c r="S803" s="7">
        <v>-0.06</v>
      </c>
      <c r="T803" s="7">
        <v>-0.06</v>
      </c>
      <c r="U803" s="7">
        <v>-0.05</v>
      </c>
      <c r="V803" s="7">
        <v>-0.05</v>
      </c>
      <c r="W803" s="7">
        <v>0.6</v>
      </c>
      <c r="X803" s="7" t="s">
        <v>8</v>
      </c>
      <c r="Y803" s="7" t="s">
        <v>7</v>
      </c>
      <c r="Z803" s="2" t="s">
        <v>718</v>
      </c>
      <c r="AA803" s="2" t="s">
        <v>721</v>
      </c>
    </row>
    <row r="804" spans="1:27" x14ac:dyDescent="0.35">
      <c r="A804" s="7" t="s">
        <v>1625</v>
      </c>
      <c r="B804" s="7" t="s">
        <v>1483</v>
      </c>
      <c r="C804" s="7" t="str">
        <f>_xlfn.XLOOKUP(B804,'[1]Sheet 1'!$A$2:$A$11107,'[1]Sheet 1'!$D$2:$D$11107,"",0)</f>
        <v>CK</v>
      </c>
      <c r="D804" s="4" t="str">
        <f>_xlfn.XLOOKUP(A804,[3]Sheet2!$I$2:$I$1623,[3]Sheet2!$D$2:$D$1623,"",0)</f>
        <v>Q1</v>
      </c>
      <c r="E804" s="4" t="s">
        <v>1828</v>
      </c>
      <c r="F804" s="4" t="e">
        <f>_xlfn.XLOOKUP(B804,[2]Sheet2!$E$2:$E$713,[2]Sheet2!$G$2:$G$713)</f>
        <v>#N/A</v>
      </c>
      <c r="G804" s="18">
        <v>46151</v>
      </c>
      <c r="H804" s="14">
        <v>0.21552083333333333</v>
      </c>
      <c r="I804" s="7" t="s">
        <v>11</v>
      </c>
      <c r="J804" s="2" t="str">
        <f t="shared" si="60"/>
        <v>Q4</v>
      </c>
      <c r="K804" s="2" t="str">
        <f t="shared" si="61"/>
        <v>Not Match</v>
      </c>
      <c r="L804" s="2">
        <f t="shared" si="62"/>
        <v>7.0710678118654766E-2</v>
      </c>
      <c r="M804" s="2" t="e">
        <f t="shared" si="63"/>
        <v>#N/A</v>
      </c>
      <c r="N804" s="2" t="str">
        <f t="shared" si="64"/>
        <v>Q NOT OK dE&lt;=0.8</v>
      </c>
      <c r="O804" s="7">
        <v>20.440000000000001</v>
      </c>
      <c r="P804" s="7">
        <v>-0.38</v>
      </c>
      <c r="Q804" s="7">
        <v>-4.17</v>
      </c>
      <c r="R804" s="7">
        <v>0.23</v>
      </c>
      <c r="S804" s="7">
        <v>0.01</v>
      </c>
      <c r="T804" s="7">
        <v>-7.0000000000000007E-2</v>
      </c>
      <c r="U804" s="7">
        <v>0.08</v>
      </c>
      <c r="V804" s="7">
        <v>0.02</v>
      </c>
      <c r="W804" s="7">
        <v>0.24</v>
      </c>
      <c r="X804" s="7" t="s">
        <v>8</v>
      </c>
      <c r="Y804" s="7" t="s">
        <v>9</v>
      </c>
      <c r="Z804" s="2" t="s">
        <v>718</v>
      </c>
      <c r="AA804" s="2" t="s">
        <v>721</v>
      </c>
    </row>
    <row r="805" spans="1:27" x14ac:dyDescent="0.35">
      <c r="A805" s="7" t="s">
        <v>1638</v>
      </c>
      <c r="B805" s="7" t="s">
        <v>1488</v>
      </c>
      <c r="C805" s="7" t="str">
        <f>_xlfn.XLOOKUP(B805,'[1]Sheet 1'!$A$2:$A$11107,'[1]Sheet 1'!$D$2:$D$11107,"",0)</f>
        <v/>
      </c>
      <c r="D805" s="4" t="str">
        <f>_xlfn.XLOOKUP(A805,[3]Sheet2!$I$2:$I$1623,[3]Sheet2!$D$2:$D$1623,"",0)</f>
        <v>Q1</v>
      </c>
      <c r="E805" s="4" t="s">
        <v>1828</v>
      </c>
      <c r="F805" s="4" t="e">
        <f>_xlfn.XLOOKUP(B805,[2]Sheet2!$E$2:$E$713,[2]Sheet2!$G$2:$G$713)</f>
        <v>#N/A</v>
      </c>
      <c r="G805" s="18">
        <v>46151</v>
      </c>
      <c r="H805" s="14">
        <v>0.27075231481481482</v>
      </c>
      <c r="I805" s="7" t="s">
        <v>5</v>
      </c>
      <c r="J805" s="2" t="str">
        <f t="shared" si="60"/>
        <v>Q1</v>
      </c>
      <c r="K805" s="2" t="str">
        <f t="shared" si="61"/>
        <v>Match</v>
      </c>
      <c r="L805" s="2">
        <f t="shared" si="62"/>
        <v>0.20248456731316589</v>
      </c>
      <c r="M805" s="2" t="e">
        <f t="shared" si="63"/>
        <v>#N/A</v>
      </c>
      <c r="N805" s="2" t="str">
        <f t="shared" si="64"/>
        <v>Q OK dE&lt;=0.8</v>
      </c>
      <c r="O805" s="7">
        <v>13.94</v>
      </c>
      <c r="P805" s="7">
        <v>-0.95</v>
      </c>
      <c r="Q805" s="7">
        <v>-2.5299999999999998</v>
      </c>
      <c r="R805" s="7">
        <v>-0.15</v>
      </c>
      <c r="S805" s="7">
        <v>0.17</v>
      </c>
      <c r="T805" s="7">
        <v>0.11</v>
      </c>
      <c r="U805" s="7">
        <v>-0.2</v>
      </c>
      <c r="V805" s="7">
        <v>0.16</v>
      </c>
      <c r="W805" s="7">
        <v>0.28999999999999998</v>
      </c>
      <c r="X805" s="7" t="s">
        <v>8</v>
      </c>
      <c r="Y805" s="7" t="s">
        <v>9</v>
      </c>
      <c r="Z805" s="2" t="s">
        <v>718</v>
      </c>
      <c r="AA805" s="2" t="s">
        <v>721</v>
      </c>
    </row>
    <row r="806" spans="1:27" x14ac:dyDescent="0.35">
      <c r="A806" s="7" t="s">
        <v>1625</v>
      </c>
      <c r="B806" s="7" t="s">
        <v>1481</v>
      </c>
      <c r="C806" s="7" t="str">
        <f>_xlfn.XLOOKUP(B806,'[1]Sheet 1'!$A$2:$A$11107,'[1]Sheet 1'!$D$2:$D$11107,"",0)</f>
        <v>CK</v>
      </c>
      <c r="D806" s="4" t="str">
        <f>_xlfn.XLOOKUP(A806,[3]Sheet2!$I$2:$I$1623,[3]Sheet2!$D$2:$D$1623,"",0)</f>
        <v>Q1</v>
      </c>
      <c r="E806" s="4" t="s">
        <v>1828</v>
      </c>
      <c r="F806" s="4" t="e">
        <f>_xlfn.XLOOKUP(B806,[2]Sheet2!$E$2:$E$713,[2]Sheet2!$G$2:$G$713)</f>
        <v>#N/A</v>
      </c>
      <c r="G806" s="18">
        <v>46151</v>
      </c>
      <c r="H806" s="14">
        <v>0.17219907407407409</v>
      </c>
      <c r="I806" s="7" t="s">
        <v>11</v>
      </c>
      <c r="J806" s="2" t="str">
        <f t="shared" si="60"/>
        <v>Q1</v>
      </c>
      <c r="K806" s="2" t="str">
        <f t="shared" si="61"/>
        <v>Match</v>
      </c>
      <c r="L806" s="2">
        <f t="shared" si="62"/>
        <v>8.4852813742385708E-2</v>
      </c>
      <c r="M806" s="2" t="e">
        <f t="shared" si="63"/>
        <v>#N/A</v>
      </c>
      <c r="N806" s="2" t="str">
        <f t="shared" si="64"/>
        <v>Q OK dE&lt;=0.8</v>
      </c>
      <c r="O806" s="7">
        <v>20.49</v>
      </c>
      <c r="P806" s="7">
        <v>-0.34</v>
      </c>
      <c r="Q806" s="7">
        <v>-4.04</v>
      </c>
      <c r="R806" s="7">
        <v>0.27</v>
      </c>
      <c r="S806" s="7">
        <v>0.06</v>
      </c>
      <c r="T806" s="7">
        <v>0.06</v>
      </c>
      <c r="U806" s="7">
        <v>-0.08</v>
      </c>
      <c r="V806" s="7">
        <v>7.0000000000000007E-2</v>
      </c>
      <c r="W806" s="7">
        <v>0.28999999999999998</v>
      </c>
      <c r="X806" s="7" t="s">
        <v>8</v>
      </c>
      <c r="Y806" s="7" t="s">
        <v>9</v>
      </c>
      <c r="Z806" s="2" t="s">
        <v>718</v>
      </c>
      <c r="AA806" s="2" t="s">
        <v>721</v>
      </c>
    </row>
    <row r="807" spans="1:27" x14ac:dyDescent="0.35">
      <c r="A807" s="7" t="s">
        <v>1779</v>
      </c>
      <c r="B807" s="7" t="s">
        <v>1486</v>
      </c>
      <c r="C807" s="7" t="str">
        <f>_xlfn.XLOOKUP(B807,'[1]Sheet 1'!$A$2:$A$11107,'[1]Sheet 1'!$D$2:$D$11107,"",0)</f>
        <v>VSS</v>
      </c>
      <c r="D807" s="4" t="str">
        <f>_xlfn.XLOOKUP(A807,[3]Sheet2!$I$2:$I$1623,[3]Sheet2!$D$2:$D$1623,"",0)</f>
        <v>Q4</v>
      </c>
      <c r="E807" s="4" t="s">
        <v>1828</v>
      </c>
      <c r="F807" s="4" t="e">
        <f>_xlfn.XLOOKUP(B807,[2]Sheet2!$E$2:$E$713,[2]Sheet2!$G$2:$G$713)</f>
        <v>#N/A</v>
      </c>
      <c r="G807" s="18">
        <v>46151</v>
      </c>
      <c r="H807" s="14">
        <v>0.22229166666666667</v>
      </c>
      <c r="I807" s="7" t="s">
        <v>10</v>
      </c>
      <c r="J807" s="2" t="str">
        <f t="shared" si="60"/>
        <v>Q4</v>
      </c>
      <c r="K807" s="2" t="str">
        <f t="shared" si="61"/>
        <v>Match</v>
      </c>
      <c r="L807" s="2">
        <f t="shared" si="62"/>
        <v>0.33999999999999997</v>
      </c>
      <c r="M807" s="2" t="e">
        <f t="shared" si="63"/>
        <v>#N/A</v>
      </c>
      <c r="N807" s="2" t="str">
        <f t="shared" si="64"/>
        <v>Q OK dE&lt;=0.8</v>
      </c>
      <c r="O807" s="7">
        <v>29.6</v>
      </c>
      <c r="P807" s="7">
        <v>-19.79</v>
      </c>
      <c r="Q807" s="7">
        <v>-22.48</v>
      </c>
      <c r="R807" s="7">
        <v>-0.52</v>
      </c>
      <c r="S807" s="7">
        <v>0.16</v>
      </c>
      <c r="T807" s="7">
        <v>-0.3</v>
      </c>
      <c r="U807" s="7">
        <v>0.06</v>
      </c>
      <c r="V807" s="7">
        <v>0.22</v>
      </c>
      <c r="W807" s="7">
        <v>0.56999999999999995</v>
      </c>
      <c r="X807" s="7" t="s">
        <v>8</v>
      </c>
      <c r="Y807" s="7" t="s">
        <v>7</v>
      </c>
      <c r="Z807" s="2" t="s">
        <v>718</v>
      </c>
      <c r="AA807" s="2" t="s">
        <v>721</v>
      </c>
    </row>
    <row r="808" spans="1:27" x14ac:dyDescent="0.35">
      <c r="A808" s="7" t="s">
        <v>1779</v>
      </c>
      <c r="B808" s="7" t="s">
        <v>1490</v>
      </c>
      <c r="C808" s="7" t="str">
        <f>_xlfn.XLOOKUP(B808,'[1]Sheet 1'!$A$2:$A$11107,'[1]Sheet 1'!$D$2:$D$11107,"",0)</f>
        <v>VSS</v>
      </c>
      <c r="D808" s="4" t="str">
        <f>_xlfn.XLOOKUP(A808,[3]Sheet2!$I$2:$I$1623,[3]Sheet2!$D$2:$D$1623,"",0)</f>
        <v>Q4</v>
      </c>
      <c r="E808" s="4" t="s">
        <v>1828</v>
      </c>
      <c r="F808" s="4" t="e">
        <f>_xlfn.XLOOKUP(B808,[2]Sheet2!$E$2:$E$713,[2]Sheet2!$G$2:$G$713)</f>
        <v>#N/A</v>
      </c>
      <c r="G808" s="18">
        <v>46151</v>
      </c>
      <c r="H808" s="14">
        <v>0.57418981481481479</v>
      </c>
      <c r="I808" s="7" t="s">
        <v>10</v>
      </c>
      <c r="J808" s="2" t="str">
        <f t="shared" si="60"/>
        <v>Q3</v>
      </c>
      <c r="K808" s="2" t="str">
        <f t="shared" si="61"/>
        <v>Not Match</v>
      </c>
      <c r="L808" s="2">
        <f t="shared" si="62"/>
        <v>0.23194827009486405</v>
      </c>
      <c r="M808" s="2" t="e">
        <f t="shared" si="63"/>
        <v>#N/A</v>
      </c>
      <c r="N808" s="2" t="str">
        <f t="shared" si="64"/>
        <v>Q NOT OK dE&lt;=0.8</v>
      </c>
      <c r="O808" s="7">
        <v>29.87</v>
      </c>
      <c r="P808" s="7">
        <v>-19.989999999999998</v>
      </c>
      <c r="Q808" s="7">
        <v>-22.42</v>
      </c>
      <c r="R808" s="7">
        <v>-0.36</v>
      </c>
      <c r="S808" s="7">
        <v>-0.03</v>
      </c>
      <c r="T808" s="7">
        <v>-0.23</v>
      </c>
      <c r="U808" s="7">
        <v>0.1</v>
      </c>
      <c r="V808" s="7">
        <v>0.09</v>
      </c>
      <c r="W808" s="7">
        <v>0.38</v>
      </c>
      <c r="X808" s="7" t="s">
        <v>8</v>
      </c>
      <c r="Y808" s="7" t="s">
        <v>7</v>
      </c>
      <c r="Z808" s="2" t="s">
        <v>718</v>
      </c>
      <c r="AA808" s="2" t="s">
        <v>721</v>
      </c>
    </row>
    <row r="809" spans="1:27" x14ac:dyDescent="0.35">
      <c r="A809" s="7" t="s">
        <v>1773</v>
      </c>
      <c r="B809" s="7" t="s">
        <v>1485</v>
      </c>
      <c r="C809" s="7" t="str">
        <f>_xlfn.XLOOKUP(B809,'[1]Sheet 1'!$A$2:$A$11107,'[1]Sheet 1'!$D$2:$D$11107,"",0)</f>
        <v>NKSKI</v>
      </c>
      <c r="D809" s="4" t="str">
        <f>_xlfn.XLOOKUP(A809,[3]Sheet2!$I$2:$I$1623,[3]Sheet2!$D$2:$D$1623,"",0)</f>
        <v>Q3</v>
      </c>
      <c r="E809" s="4" t="s">
        <v>1828</v>
      </c>
      <c r="F809" s="4" t="e">
        <f>_xlfn.XLOOKUP(B809,[2]Sheet2!$E$2:$E$713,[2]Sheet2!$G$2:$G$713)</f>
        <v>#N/A</v>
      </c>
      <c r="G809" s="18">
        <v>46151</v>
      </c>
      <c r="H809" s="14">
        <v>0.21958333333333332</v>
      </c>
      <c r="I809" s="7" t="s">
        <v>4</v>
      </c>
      <c r="J809" s="2" t="str">
        <f t="shared" si="60"/>
        <v>Q2</v>
      </c>
      <c r="K809" s="2" t="str">
        <f t="shared" si="61"/>
        <v>Not Match</v>
      </c>
      <c r="L809" s="2">
        <f t="shared" si="62"/>
        <v>0.14866068747318506</v>
      </c>
      <c r="M809" s="2" t="e">
        <f t="shared" si="63"/>
        <v>#N/A</v>
      </c>
      <c r="N809" s="2" t="str">
        <f t="shared" si="64"/>
        <v>Q NOT OK dE&lt;=0.8</v>
      </c>
      <c r="O809" s="7">
        <v>16.47</v>
      </c>
      <c r="P809" s="7">
        <v>-1.29</v>
      </c>
      <c r="Q809" s="7">
        <v>-2.6</v>
      </c>
      <c r="R809" s="7">
        <v>0.16</v>
      </c>
      <c r="S809" s="7">
        <v>-0.11</v>
      </c>
      <c r="T809" s="7">
        <v>0.1</v>
      </c>
      <c r="U809" s="7">
        <v>-0.05</v>
      </c>
      <c r="V809" s="7">
        <v>-0.19</v>
      </c>
      <c r="W809" s="7">
        <v>0.25</v>
      </c>
      <c r="X809" s="7" t="s">
        <v>8</v>
      </c>
      <c r="Y809" s="7" t="s">
        <v>15</v>
      </c>
      <c r="Z809" s="2" t="s">
        <v>718</v>
      </c>
      <c r="AA809" s="2" t="s">
        <v>721</v>
      </c>
    </row>
    <row r="810" spans="1:27" x14ac:dyDescent="0.35">
      <c r="A810" s="7" t="s">
        <v>1818</v>
      </c>
      <c r="B810" s="7" t="s">
        <v>1484</v>
      </c>
      <c r="C810" s="7" t="str">
        <f>_xlfn.XLOOKUP(B810,'[1]Sheet 1'!$A$2:$A$11107,'[1]Sheet 1'!$D$2:$D$11107,"",0)</f>
        <v>CK</v>
      </c>
      <c r="D810" s="4" t="str">
        <f>_xlfn.XLOOKUP(A810,[3]Sheet2!$I$2:$I$1623,[3]Sheet2!$D$2:$D$1623,"",0)</f>
        <v>Q2</v>
      </c>
      <c r="E810" s="4" t="s">
        <v>1827</v>
      </c>
      <c r="F810" s="4" t="e">
        <f>_xlfn.XLOOKUP(B810,[2]Sheet2!$E$2:$E$713,[2]Sheet2!$G$2:$G$713)</f>
        <v>#N/A</v>
      </c>
      <c r="G810" s="18">
        <v>46151</v>
      </c>
      <c r="H810" s="14">
        <v>0.21751157407407407</v>
      </c>
      <c r="I810" s="7" t="s">
        <v>11</v>
      </c>
      <c r="J810" s="2" t="str">
        <f t="shared" si="60"/>
        <v>Q4</v>
      </c>
      <c r="K810" s="2" t="str">
        <f t="shared" si="61"/>
        <v>Not Match</v>
      </c>
      <c r="L810" s="2">
        <f t="shared" si="62"/>
        <v>1.0340696301506973</v>
      </c>
      <c r="M810" s="2" t="e">
        <f t="shared" si="63"/>
        <v>#N/A</v>
      </c>
      <c r="N810" s="2" t="str">
        <f t="shared" si="64"/>
        <v>Q NOT OK dE&gt;0.8</v>
      </c>
      <c r="O810" s="7">
        <v>42.83</v>
      </c>
      <c r="P810" s="7">
        <v>35.97</v>
      </c>
      <c r="Q810" s="7">
        <v>29.11</v>
      </c>
      <c r="R810" s="7">
        <v>-0.8</v>
      </c>
      <c r="S810" s="7">
        <v>0.17</v>
      </c>
      <c r="T810" s="7">
        <v>-1.02</v>
      </c>
      <c r="U810" s="7">
        <v>-0.21</v>
      </c>
      <c r="V810" s="7">
        <v>-0.78</v>
      </c>
      <c r="W810" s="7">
        <v>1.1299999999999999</v>
      </c>
      <c r="X810" s="7" t="s">
        <v>6</v>
      </c>
      <c r="Y810" s="7" t="s">
        <v>9</v>
      </c>
      <c r="Z810" s="2" t="s">
        <v>718</v>
      </c>
      <c r="AA810" s="2" t="s">
        <v>721</v>
      </c>
    </row>
    <row r="811" spans="1:27" x14ac:dyDescent="0.35">
      <c r="A811" s="7" t="s">
        <v>1789</v>
      </c>
      <c r="B811" s="7" t="s">
        <v>1480</v>
      </c>
      <c r="C811" s="7" t="str">
        <f>_xlfn.XLOOKUP(B811,'[1]Sheet 1'!$A$2:$A$11107,'[1]Sheet 1'!$D$2:$D$11107,"",0)</f>
        <v>NEWB</v>
      </c>
      <c r="D811" s="4" t="str">
        <f>_xlfn.XLOOKUP(A811,[3]Sheet2!$I$2:$I$1623,[3]Sheet2!$D$2:$D$1623,"",0)</f>
        <v>Q2</v>
      </c>
      <c r="E811" s="4" t="s">
        <v>1828</v>
      </c>
      <c r="F811" s="4" t="e">
        <f>_xlfn.XLOOKUP(B811,[2]Sheet2!$E$2:$E$713,[2]Sheet2!$G$2:$G$713)</f>
        <v>#N/A</v>
      </c>
      <c r="G811" s="18">
        <v>46151</v>
      </c>
      <c r="H811" s="14">
        <v>9.0208333333333335E-2</v>
      </c>
      <c r="I811" s="7" t="s">
        <v>4</v>
      </c>
      <c r="J811" s="2" t="str">
        <f t="shared" si="60"/>
        <v>Q4</v>
      </c>
      <c r="K811" s="2" t="str">
        <f t="shared" si="61"/>
        <v>Not Match</v>
      </c>
      <c r="L811" s="2">
        <f t="shared" si="62"/>
        <v>0.31780497164141408</v>
      </c>
      <c r="M811" s="2" t="e">
        <f t="shared" si="63"/>
        <v>#N/A</v>
      </c>
      <c r="N811" s="2" t="str">
        <f t="shared" si="64"/>
        <v>Q NOT OK dE&lt;=0.8</v>
      </c>
      <c r="O811" s="7">
        <v>31.44</v>
      </c>
      <c r="P811" s="7">
        <v>12.8</v>
      </c>
      <c r="Q811" s="7">
        <v>-48.11</v>
      </c>
      <c r="R811" s="7">
        <v>-0.1</v>
      </c>
      <c r="S811" s="7">
        <v>7.0000000000000007E-2</v>
      </c>
      <c r="T811" s="7">
        <v>-0.31</v>
      </c>
      <c r="U811" s="7">
        <v>0.13</v>
      </c>
      <c r="V811" s="7">
        <v>-0.01</v>
      </c>
      <c r="W811" s="7">
        <v>0.16</v>
      </c>
      <c r="X811" s="7" t="s">
        <v>8</v>
      </c>
      <c r="Y811" s="7" t="s">
        <v>15</v>
      </c>
      <c r="Z811" s="2" t="s">
        <v>718</v>
      </c>
      <c r="AA811" s="2" t="s">
        <v>721</v>
      </c>
    </row>
    <row r="812" spans="1:27" x14ac:dyDescent="0.35">
      <c r="A812" s="7" t="s">
        <v>1824</v>
      </c>
      <c r="B812" s="7" t="s">
        <v>1487</v>
      </c>
      <c r="C812" s="7" t="str">
        <f>_xlfn.XLOOKUP(B812,'[1]Sheet 1'!$A$2:$A$11107,'[1]Sheet 1'!$D$2:$D$11107,"",0)</f>
        <v>VSS</v>
      </c>
      <c r="D812" s="4" t="str">
        <f>_xlfn.XLOOKUP(A812,[3]Sheet2!$I$2:$I$1623,[3]Sheet2!$D$2:$D$1623,"",0)</f>
        <v>Q3</v>
      </c>
      <c r="E812" s="4" t="s">
        <v>1828</v>
      </c>
      <c r="F812" s="4" t="e">
        <f>_xlfn.XLOOKUP(B812,[2]Sheet2!$E$2:$E$713,[2]Sheet2!$G$2:$G$713)</f>
        <v>#N/A</v>
      </c>
      <c r="G812" s="18">
        <v>46151</v>
      </c>
      <c r="H812" s="14">
        <v>0.2570601851851852</v>
      </c>
      <c r="I812" s="7" t="s">
        <v>4</v>
      </c>
      <c r="J812" s="2" t="str">
        <f t="shared" si="60"/>
        <v>Q3</v>
      </c>
      <c r="K812" s="2" t="str">
        <f t="shared" si="61"/>
        <v>Match</v>
      </c>
      <c r="L812" s="2">
        <f t="shared" si="62"/>
        <v>1.1280514172678477</v>
      </c>
      <c r="M812" s="2" t="e">
        <f t="shared" si="63"/>
        <v>#N/A</v>
      </c>
      <c r="N812" s="2" t="str">
        <f t="shared" si="64"/>
        <v>Q OK dE&gt;0.8</v>
      </c>
      <c r="O812" s="7">
        <v>43.39</v>
      </c>
      <c r="P812" s="7">
        <v>12.45</v>
      </c>
      <c r="Q812" s="7">
        <v>16.52</v>
      </c>
      <c r="R812" s="7">
        <v>-0.6</v>
      </c>
      <c r="S812" s="7">
        <v>-0.46</v>
      </c>
      <c r="T812" s="7">
        <v>-1.03</v>
      </c>
      <c r="U812" s="7">
        <v>-0.64</v>
      </c>
      <c r="V812" s="7">
        <v>-0.39</v>
      </c>
      <c r="W812" s="7">
        <v>0.96</v>
      </c>
      <c r="X812" s="7" t="s">
        <v>13</v>
      </c>
      <c r="Y812" s="7" t="s">
        <v>9</v>
      </c>
      <c r="Z812" s="2" t="s">
        <v>718</v>
      </c>
      <c r="AA812" s="2" t="s">
        <v>721</v>
      </c>
    </row>
    <row r="813" spans="1:27" x14ac:dyDescent="0.35">
      <c r="A813" s="7" t="s">
        <v>1559</v>
      </c>
      <c r="B813" s="7" t="s">
        <v>1492</v>
      </c>
      <c r="C813" s="7" t="str">
        <f>_xlfn.XLOOKUP(B813,'[1]Sheet 1'!$A$2:$A$11107,'[1]Sheet 1'!$D$2:$D$11107,"",0)</f>
        <v>VSS</v>
      </c>
      <c r="D813" s="4" t="str">
        <f>_xlfn.XLOOKUP(A813,[3]Sheet2!$I$2:$I$1623,[3]Sheet2!$D$2:$D$1623,"",0)</f>
        <v>Q3</v>
      </c>
      <c r="E813" s="4" t="s">
        <v>1828</v>
      </c>
      <c r="F813" s="4" t="e">
        <f>_xlfn.XLOOKUP(B813,[2]Sheet2!$E$2:$E$713,[2]Sheet2!$G$2:$G$713)</f>
        <v>#N/A</v>
      </c>
      <c r="G813" s="18">
        <v>46151</v>
      </c>
      <c r="H813" s="14">
        <v>0.60375000000000001</v>
      </c>
      <c r="I813" s="7" t="s">
        <v>10</v>
      </c>
      <c r="J813" s="2" t="str">
        <f t="shared" si="60"/>
        <v>Q4</v>
      </c>
      <c r="K813" s="2" t="str">
        <f t="shared" si="61"/>
        <v>Not Match</v>
      </c>
      <c r="L813" s="2">
        <f t="shared" si="62"/>
        <v>0.1216552506059644</v>
      </c>
      <c r="M813" s="2" t="e">
        <f t="shared" si="63"/>
        <v>#N/A</v>
      </c>
      <c r="N813" s="2" t="str">
        <f t="shared" si="64"/>
        <v>Q NOT OK dE&lt;=0.8</v>
      </c>
      <c r="O813" s="7">
        <v>17.239999999999998</v>
      </c>
      <c r="P813" s="7">
        <v>-0.05</v>
      </c>
      <c r="Q813" s="7">
        <v>-2.4300000000000002</v>
      </c>
      <c r="R813" s="7">
        <v>-0.7</v>
      </c>
      <c r="S813" s="7">
        <v>0.02</v>
      </c>
      <c r="T813" s="7">
        <v>-0.12</v>
      </c>
      <c r="U813" s="7">
        <v>0.15</v>
      </c>
      <c r="V813" s="7">
        <v>0.04</v>
      </c>
      <c r="W813" s="7">
        <v>0.72</v>
      </c>
      <c r="X813" s="7" t="s">
        <v>8</v>
      </c>
      <c r="Y813" s="7" t="s">
        <v>9</v>
      </c>
      <c r="Z813" s="2" t="s">
        <v>718</v>
      </c>
      <c r="AA813" s="2" t="s">
        <v>721</v>
      </c>
    </row>
    <row r="814" spans="1:27" x14ac:dyDescent="0.35">
      <c r="A814" s="7" t="s">
        <v>1559</v>
      </c>
      <c r="B814" s="7" t="s">
        <v>1495</v>
      </c>
      <c r="C814" s="7" t="str">
        <f>_xlfn.XLOOKUP(B814,'[1]Sheet 1'!$A$2:$A$11107,'[1]Sheet 1'!$D$2:$D$11107,"",0)</f>
        <v>VSS</v>
      </c>
      <c r="D814" s="4" t="str">
        <f>_xlfn.XLOOKUP(A814,[3]Sheet2!$I$2:$I$1623,[3]Sheet2!$D$2:$D$1623,"",0)</f>
        <v>Q3</v>
      </c>
      <c r="E814" s="4" t="s">
        <v>1828</v>
      </c>
      <c r="F814" s="4" t="e">
        <f>_xlfn.XLOOKUP(B814,[2]Sheet2!$E$2:$E$713,[2]Sheet2!$G$2:$G$713)</f>
        <v>#N/A</v>
      </c>
      <c r="G814" s="18">
        <v>46151</v>
      </c>
      <c r="H814" s="14">
        <v>0.72112268518518519</v>
      </c>
      <c r="I814" s="7" t="s">
        <v>10</v>
      </c>
      <c r="J814" s="2" t="str">
        <f t="shared" si="60"/>
        <v>Q4</v>
      </c>
      <c r="K814" s="2" t="str">
        <f t="shared" si="61"/>
        <v>Not Match</v>
      </c>
      <c r="L814" s="2">
        <f t="shared" si="62"/>
        <v>0.31780497164141408</v>
      </c>
      <c r="M814" s="2" t="e">
        <f t="shared" si="63"/>
        <v>#N/A</v>
      </c>
      <c r="N814" s="2" t="str">
        <f t="shared" si="64"/>
        <v>Q NOT OK dE&gt;0.8</v>
      </c>
      <c r="O814" s="7">
        <v>16.850000000000001</v>
      </c>
      <c r="P814" s="7">
        <v>0.06</v>
      </c>
      <c r="Q814" s="7">
        <v>-2.61</v>
      </c>
      <c r="R814" s="7">
        <v>-1.05</v>
      </c>
      <c r="S814" s="7">
        <v>0.13</v>
      </c>
      <c r="T814" s="7">
        <v>-0.28999999999999998</v>
      </c>
      <c r="U814" s="7">
        <v>0.38</v>
      </c>
      <c r="V814" s="7">
        <v>0.18</v>
      </c>
      <c r="W814" s="7">
        <v>1.1299999999999999</v>
      </c>
      <c r="X814" s="7" t="s">
        <v>6</v>
      </c>
      <c r="Y814" s="7" t="s">
        <v>9</v>
      </c>
      <c r="Z814" s="2" t="s">
        <v>718</v>
      </c>
      <c r="AA814" s="2" t="s">
        <v>721</v>
      </c>
    </row>
    <row r="815" spans="1:27" x14ac:dyDescent="0.35">
      <c r="A815" s="7" t="s">
        <v>1559</v>
      </c>
      <c r="B815" s="7" t="s">
        <v>1493</v>
      </c>
      <c r="C815" s="7" t="str">
        <f>_xlfn.XLOOKUP(B815,'[1]Sheet 1'!$A$2:$A$11107,'[1]Sheet 1'!$D$2:$D$11107,"",0)</f>
        <v>VSS</v>
      </c>
      <c r="D815" s="4" t="str">
        <f>_xlfn.XLOOKUP(A815,[3]Sheet2!$I$2:$I$1623,[3]Sheet2!$D$2:$D$1623,"",0)</f>
        <v>Q3</v>
      </c>
      <c r="E815" s="4" t="s">
        <v>1828</v>
      </c>
      <c r="F815" s="4" t="e">
        <f>_xlfn.XLOOKUP(B815,[2]Sheet2!$E$2:$E$713,[2]Sheet2!$G$2:$G$713)</f>
        <v>#N/A</v>
      </c>
      <c r="G815" s="18">
        <v>46151</v>
      </c>
      <c r="H815" s="14">
        <v>0.6056597222222222</v>
      </c>
      <c r="I815" s="7" t="s">
        <v>10</v>
      </c>
      <c r="J815" s="2" t="str">
        <f t="shared" si="60"/>
        <v>Q4</v>
      </c>
      <c r="K815" s="2" t="str">
        <f t="shared" si="61"/>
        <v>Not Match</v>
      </c>
      <c r="L815" s="2">
        <f t="shared" si="62"/>
        <v>0.14422205101855956</v>
      </c>
      <c r="M815" s="2" t="e">
        <f t="shared" si="63"/>
        <v>#N/A</v>
      </c>
      <c r="N815" s="2" t="str">
        <f t="shared" si="64"/>
        <v>Q NOT OK dE&gt;0.8</v>
      </c>
      <c r="O815" s="7">
        <v>17.09</v>
      </c>
      <c r="P815" s="7">
        <v>0.05</v>
      </c>
      <c r="Q815" s="7">
        <v>-2.39</v>
      </c>
      <c r="R815" s="7">
        <v>-0.83</v>
      </c>
      <c r="S815" s="7">
        <v>0.12</v>
      </c>
      <c r="T815" s="7">
        <v>-0.08</v>
      </c>
      <c r="U815" s="7">
        <v>0.1</v>
      </c>
      <c r="V815" s="7">
        <v>0.16</v>
      </c>
      <c r="W815" s="7">
        <v>0.86</v>
      </c>
      <c r="X815" s="7" t="s">
        <v>13</v>
      </c>
      <c r="Y815" s="7" t="s">
        <v>9</v>
      </c>
      <c r="Z815" s="2" t="s">
        <v>718</v>
      </c>
      <c r="AA815" s="2" t="s">
        <v>721</v>
      </c>
    </row>
    <row r="816" spans="1:27" x14ac:dyDescent="0.35">
      <c r="A816" s="7" t="s">
        <v>1587</v>
      </c>
      <c r="B816" s="7" t="s">
        <v>1491</v>
      </c>
      <c r="C816" s="7" t="str">
        <f>_xlfn.XLOOKUP(B816,'[1]Sheet 1'!$A$2:$A$11107,'[1]Sheet 1'!$D$2:$D$11107,"",0)</f>
        <v/>
      </c>
      <c r="D816" s="4" t="str">
        <f>_xlfn.XLOOKUP(A816,[3]Sheet2!$I$2:$I$1623,[3]Sheet2!$D$2:$D$1623,"",0)</f>
        <v>Q4</v>
      </c>
      <c r="E816" s="4" t="s">
        <v>1828</v>
      </c>
      <c r="F816" s="4" t="e">
        <f>_xlfn.XLOOKUP(B816,[2]Sheet2!$E$2:$E$713,[2]Sheet2!$G$2:$G$713)</f>
        <v>#N/A</v>
      </c>
      <c r="G816" s="18">
        <v>46151</v>
      </c>
      <c r="H816" s="14">
        <v>0.60171296296296295</v>
      </c>
      <c r="I816" s="7" t="s">
        <v>5</v>
      </c>
      <c r="J816" s="2" t="str">
        <f t="shared" si="60"/>
        <v>Q3</v>
      </c>
      <c r="K816" s="2" t="str">
        <f t="shared" si="61"/>
        <v>Not Match</v>
      </c>
      <c r="L816" s="2">
        <f t="shared" si="62"/>
        <v>9.4339811320566042E-2</v>
      </c>
      <c r="M816" s="2" t="e">
        <f t="shared" si="63"/>
        <v>#N/A</v>
      </c>
      <c r="N816" s="2" t="str">
        <f t="shared" si="64"/>
        <v>Q NOT OK dE&gt;0.8</v>
      </c>
      <c r="O816" s="7">
        <v>16.399999999999999</v>
      </c>
      <c r="P816" s="7">
        <v>-0.85</v>
      </c>
      <c r="Q816" s="7">
        <v>-3.55</v>
      </c>
      <c r="R816" s="7">
        <v>-1.31</v>
      </c>
      <c r="S816" s="7">
        <v>-0.05</v>
      </c>
      <c r="T816" s="7">
        <v>-0.08</v>
      </c>
      <c r="U816" s="7">
        <v>0.1</v>
      </c>
      <c r="V816" s="7">
        <v>-0.05</v>
      </c>
      <c r="W816" s="7">
        <v>1.32</v>
      </c>
      <c r="X816" s="7" t="s">
        <v>6</v>
      </c>
      <c r="Y816" s="7" t="s">
        <v>15</v>
      </c>
      <c r="Z816" s="2" t="s">
        <v>718</v>
      </c>
      <c r="AA816" s="2" t="s">
        <v>721</v>
      </c>
    </row>
    <row r="817" spans="1:27" x14ac:dyDescent="0.35">
      <c r="A817" s="7" t="s">
        <v>1633</v>
      </c>
      <c r="B817" s="7" t="s">
        <v>1494</v>
      </c>
      <c r="C817" s="7" t="str">
        <f>_xlfn.XLOOKUP(B817,'[1]Sheet 1'!$A$2:$A$11107,'[1]Sheet 1'!$D$2:$D$11107,"",0)</f>
        <v/>
      </c>
      <c r="D817" s="4" t="str">
        <f>_xlfn.XLOOKUP(A817,[3]Sheet2!$I$2:$I$1623,[3]Sheet2!$D$2:$D$1623,"",0)</f>
        <v>Q3</v>
      </c>
      <c r="E817" s="4" t="s">
        <v>1828</v>
      </c>
      <c r="F817" s="4" t="e">
        <f>_xlfn.XLOOKUP(B817,[2]Sheet2!$E$2:$E$713,[2]Sheet2!$G$2:$G$713)</f>
        <v>#N/A</v>
      </c>
      <c r="G817" s="18">
        <v>46151</v>
      </c>
      <c r="H817" s="14">
        <v>0.71769675925925924</v>
      </c>
      <c r="I817" s="7" t="s">
        <v>5</v>
      </c>
      <c r="J817" s="2" t="str">
        <f t="shared" si="60"/>
        <v>Q2</v>
      </c>
      <c r="K817" s="2" t="str">
        <f t="shared" si="61"/>
        <v>Not Match</v>
      </c>
      <c r="L817" s="2">
        <f t="shared" si="62"/>
        <v>0.30805843601498728</v>
      </c>
      <c r="M817" s="2" t="e">
        <f t="shared" si="63"/>
        <v>#N/A</v>
      </c>
      <c r="N817" s="2" t="str">
        <f t="shared" si="64"/>
        <v>Q NOT OK dE&gt;0.8</v>
      </c>
      <c r="O817" s="7">
        <v>14.21</v>
      </c>
      <c r="P817" s="7">
        <v>-1.17</v>
      </c>
      <c r="Q817" s="7">
        <v>-2.63</v>
      </c>
      <c r="R817" s="7">
        <v>-0.74</v>
      </c>
      <c r="S817" s="7">
        <v>-7.0000000000000007E-2</v>
      </c>
      <c r="T817" s="7">
        <v>0.3</v>
      </c>
      <c r="U817" s="7">
        <v>-0.3</v>
      </c>
      <c r="V817" s="7">
        <v>-0.24</v>
      </c>
      <c r="W817" s="7">
        <v>0.83</v>
      </c>
      <c r="X817" s="7" t="s">
        <v>13</v>
      </c>
      <c r="Y817" s="7" t="s">
        <v>15</v>
      </c>
      <c r="Z817" s="2" t="s">
        <v>718</v>
      </c>
      <c r="AA817" s="2" t="s">
        <v>721</v>
      </c>
    </row>
    <row r="818" spans="1:27" x14ac:dyDescent="0.35">
      <c r="A818" s="7" t="s">
        <v>1593</v>
      </c>
      <c r="B818" s="7" t="s">
        <v>1932</v>
      </c>
      <c r="C818" s="7" t="str">
        <f>_xlfn.XLOOKUP(B818,'[1]Sheet 1'!$A$2:$A$11107,'[1]Sheet 1'!$D$2:$D$11107,"",0)</f>
        <v>LULU</v>
      </c>
      <c r="D818" s="4" t="str">
        <f>_xlfn.XLOOKUP(A818,[3]Sheet2!$I$2:$I$1623,[3]Sheet2!$D$2:$D$1623,"",0)</f>
        <v>Q3</v>
      </c>
      <c r="E818" s="7"/>
      <c r="F818" s="4" t="e">
        <f>_xlfn.XLOOKUP(B818,[2]Sheet2!$E$2:$E$713,[2]Sheet2!$G$2:$G$713)</f>
        <v>#N/A</v>
      </c>
      <c r="G818" s="24">
        <v>46153</v>
      </c>
      <c r="H818" s="26">
        <v>0.99725694444444446</v>
      </c>
      <c r="I818" s="7" t="s">
        <v>4</v>
      </c>
      <c r="J818" s="2" t="str">
        <f t="shared" si="60"/>
        <v>Q1</v>
      </c>
      <c r="K818" s="2" t="str">
        <f t="shared" si="61"/>
        <v>Not Match</v>
      </c>
      <c r="L818" s="7"/>
      <c r="M818" s="7"/>
      <c r="N818" s="2" t="str">
        <f t="shared" si="64"/>
        <v>Q NOT OK dE&gt;0.8</v>
      </c>
      <c r="O818" s="7">
        <v>22.36</v>
      </c>
      <c r="P818" s="7">
        <v>2.86</v>
      </c>
      <c r="Q818" s="7">
        <v>2.2400000000000002</v>
      </c>
      <c r="R818" s="7">
        <v>-1.27</v>
      </c>
      <c r="S818" s="7">
        <v>0.12</v>
      </c>
      <c r="T818" s="7">
        <v>0.02</v>
      </c>
      <c r="U818" s="7">
        <v>0.12</v>
      </c>
      <c r="V818" s="7">
        <v>-0.08</v>
      </c>
      <c r="W818" s="7">
        <v>1.27</v>
      </c>
      <c r="X818" s="7" t="s">
        <v>6</v>
      </c>
      <c r="Y818" s="7" t="s">
        <v>7</v>
      </c>
      <c r="Z818" s="2" t="s">
        <v>718</v>
      </c>
      <c r="AA818" s="2" t="s">
        <v>721</v>
      </c>
    </row>
    <row r="819" spans="1:27" x14ac:dyDescent="0.35">
      <c r="A819" s="7" t="s">
        <v>1593</v>
      </c>
      <c r="B819" s="7" t="s">
        <v>1497</v>
      </c>
      <c r="C819" s="7" t="str">
        <f>_xlfn.XLOOKUP(B819,'[1]Sheet 1'!$A$2:$A$11107,'[1]Sheet 1'!$D$2:$D$11107,"",0)</f>
        <v>LULU</v>
      </c>
      <c r="D819" s="4" t="str">
        <f>_xlfn.XLOOKUP(A819,[3]Sheet2!$I$2:$I$1623,[3]Sheet2!$D$2:$D$1623,"",0)</f>
        <v>Q3</v>
      </c>
      <c r="E819" s="4" t="s">
        <v>1827</v>
      </c>
      <c r="F819" s="4" t="e">
        <f>_xlfn.XLOOKUP(B819,[2]Sheet2!$E$2:$E$713,[2]Sheet2!$G$2:$G$713)</f>
        <v>#N/A</v>
      </c>
      <c r="G819" s="18">
        <v>46153</v>
      </c>
      <c r="H819" s="14">
        <v>0.49781249999999999</v>
      </c>
      <c r="I819" s="7" t="s">
        <v>4</v>
      </c>
      <c r="J819" s="2" t="str">
        <f t="shared" si="60"/>
        <v>Q1</v>
      </c>
      <c r="K819" s="2" t="str">
        <f t="shared" si="61"/>
        <v>Not Match</v>
      </c>
      <c r="L819" s="2">
        <f>SQRT(S819^2+T819^2)</f>
        <v>0.60876925020897699</v>
      </c>
      <c r="M819" s="2" t="e">
        <f>IF(L819&lt;=F819,"Within Range","Over Range")</f>
        <v>#N/A</v>
      </c>
      <c r="N819" s="2" t="str">
        <f t="shared" si="64"/>
        <v>Q NOT OK dE&gt;0.8</v>
      </c>
      <c r="O819" s="7">
        <v>23.15</v>
      </c>
      <c r="P819" s="7">
        <v>3.19</v>
      </c>
      <c r="Q819" s="7">
        <v>2.64</v>
      </c>
      <c r="R819" s="7">
        <v>-0.69</v>
      </c>
      <c r="S819" s="7">
        <v>0.45</v>
      </c>
      <c r="T819" s="7">
        <v>0.41</v>
      </c>
      <c r="U819" s="7">
        <v>0.71</v>
      </c>
      <c r="V819" s="7">
        <v>0.05</v>
      </c>
      <c r="W819" s="7">
        <v>0.99</v>
      </c>
      <c r="X819" s="7" t="s">
        <v>13</v>
      </c>
      <c r="Y819" s="7" t="s">
        <v>12</v>
      </c>
      <c r="Z819" s="2" t="s">
        <v>718</v>
      </c>
      <c r="AA819" s="2" t="s">
        <v>721</v>
      </c>
    </row>
    <row r="820" spans="1:27" x14ac:dyDescent="0.35">
      <c r="A820" s="7" t="s">
        <v>1625</v>
      </c>
      <c r="B820" s="7" t="s">
        <v>1934</v>
      </c>
      <c r="C820" s="7" t="str">
        <f>_xlfn.XLOOKUP(B820,'[1]Sheet 1'!$A$2:$A$11107,'[1]Sheet 1'!$D$2:$D$11107,"",0)</f>
        <v>CK</v>
      </c>
      <c r="D820" s="4" t="str">
        <f>_xlfn.XLOOKUP(A820,[3]Sheet2!$I$2:$I$1623,[3]Sheet2!$D$2:$D$1623,"",0)</f>
        <v>Q1</v>
      </c>
      <c r="E820" s="7"/>
      <c r="F820" s="4" t="e">
        <f>_xlfn.XLOOKUP(B820,[2]Sheet2!$E$2:$E$713,[2]Sheet2!$G$2:$G$713)</f>
        <v>#N/A</v>
      </c>
      <c r="G820" s="24">
        <v>46153</v>
      </c>
      <c r="H820" s="26">
        <v>0.87575231481481486</v>
      </c>
      <c r="I820" s="7" t="s">
        <v>11</v>
      </c>
      <c r="J820" s="2" t="str">
        <f t="shared" si="60"/>
        <v>Q3</v>
      </c>
      <c r="K820" s="2" t="str">
        <f t="shared" si="61"/>
        <v>Not Match</v>
      </c>
      <c r="L820" s="7"/>
      <c r="M820" s="7"/>
      <c r="N820" s="2" t="str">
        <f t="shared" si="64"/>
        <v>Q NOT OK dE&lt;=0.8</v>
      </c>
      <c r="O820" s="7">
        <v>20.420000000000002</v>
      </c>
      <c r="P820" s="7">
        <v>-0.46</v>
      </c>
      <c r="Q820" s="7">
        <v>-4.22</v>
      </c>
      <c r="R820" s="7">
        <v>0.21</v>
      </c>
      <c r="S820" s="7">
        <v>-7.0000000000000007E-2</v>
      </c>
      <c r="T820" s="7">
        <v>-0.12</v>
      </c>
      <c r="U820" s="7">
        <v>0.14000000000000001</v>
      </c>
      <c r="V820" s="7">
        <v>-7.0000000000000007E-2</v>
      </c>
      <c r="W820" s="7">
        <v>0.26</v>
      </c>
      <c r="X820" s="7" t="s">
        <v>8</v>
      </c>
      <c r="Y820" s="7" t="s">
        <v>15</v>
      </c>
      <c r="Z820" s="2" t="s">
        <v>718</v>
      </c>
      <c r="AA820" s="2" t="s">
        <v>721</v>
      </c>
    </row>
    <row r="821" spans="1:27" x14ac:dyDescent="0.35">
      <c r="A821" t="s">
        <v>1668</v>
      </c>
      <c r="B821" t="s">
        <v>1498</v>
      </c>
      <c r="C821" s="7" t="str">
        <f>_xlfn.XLOOKUP(B821,'[1]Sheet 1'!$A$2:$A$11107,'[1]Sheet 1'!$D$2:$D$11107,"",0)</f>
        <v>VSS</v>
      </c>
      <c r="D821" s="4" t="str">
        <f>_xlfn.XLOOKUP(A821,[3]Sheet2!$I$2:$I$1623,[3]Sheet2!$D$2:$D$1623,"",0)</f>
        <v>Q4</v>
      </c>
      <c r="E821" s="4" t="s">
        <v>1828</v>
      </c>
      <c r="F821" s="4" t="e">
        <f>_xlfn.XLOOKUP(B821,[2]Sheet2!$E$2:$E$713,[2]Sheet2!$G$2:$G$713)</f>
        <v>#N/A</v>
      </c>
      <c r="G821" s="25">
        <v>46153</v>
      </c>
      <c r="H821" s="27">
        <v>0.59518518518518515</v>
      </c>
      <c r="I821" t="s">
        <v>10</v>
      </c>
      <c r="J821" s="2" t="str">
        <f t="shared" si="60"/>
        <v>Q1</v>
      </c>
      <c r="K821" s="2" t="str">
        <f t="shared" si="61"/>
        <v>Not Match</v>
      </c>
      <c r="L821" s="1">
        <f>SQRT(S821^2+T821^2)</f>
        <v>1.6618363336983579</v>
      </c>
      <c r="M821" s="1" t="e">
        <f>IF(L821&lt;=F821,"Within Range","Over Range")</f>
        <v>#N/A</v>
      </c>
      <c r="N821" s="2" t="str">
        <f t="shared" si="64"/>
        <v>Q NOT OK dE&gt;0.8</v>
      </c>
      <c r="O821">
        <v>50.54</v>
      </c>
      <c r="P821">
        <v>49.09</v>
      </c>
      <c r="Q821">
        <v>-0.93</v>
      </c>
      <c r="R821">
        <v>-0.52</v>
      </c>
      <c r="S821">
        <v>1.1599999999999999</v>
      </c>
      <c r="T821">
        <v>1.19</v>
      </c>
      <c r="U821">
        <v>0.45</v>
      </c>
      <c r="V821">
        <v>0.7</v>
      </c>
      <c r="W821">
        <v>0.98</v>
      </c>
      <c r="X821" t="s">
        <v>13</v>
      </c>
      <c r="Y821" t="s">
        <v>9</v>
      </c>
      <c r="Z821" s="2" t="s">
        <v>718</v>
      </c>
      <c r="AA821" s="2" t="s">
        <v>721</v>
      </c>
    </row>
    <row r="822" spans="1:27" x14ac:dyDescent="0.35">
      <c r="A822" t="s">
        <v>1755</v>
      </c>
      <c r="B822" t="s">
        <v>1831</v>
      </c>
      <c r="C822" s="7" t="str">
        <f>_xlfn.XLOOKUP(B822,'[1]Sheet 1'!$A$2:$A$11107,'[1]Sheet 1'!$D$2:$D$11107,"",0)</f>
        <v>VSS</v>
      </c>
      <c r="D822" s="4" t="str">
        <f>_xlfn.XLOOKUP(A822,[3]Sheet2!$I$2:$I$1623,[3]Sheet2!$D$2:$D$1623,"",0)</f>
        <v>Q4</v>
      </c>
      <c r="E822" s="4"/>
      <c r="F822" s="4" t="e">
        <f>_xlfn.XLOOKUP(B822,[2]Sheet2!$E$2:$E$713,[2]Sheet2!$G$2:$G$713)</f>
        <v>#N/A</v>
      </c>
      <c r="G822" s="22">
        <v>46153</v>
      </c>
      <c r="H822" s="23">
        <v>0.73297453703703708</v>
      </c>
      <c r="I822" t="s">
        <v>10</v>
      </c>
      <c r="J822" s="2" t="str">
        <f t="shared" si="60"/>
        <v>Q1</v>
      </c>
      <c r="K822" s="2" t="str">
        <f t="shared" si="61"/>
        <v>Not Match</v>
      </c>
      <c r="L822" s="1"/>
      <c r="M822" s="1"/>
      <c r="N822" s="2" t="str">
        <f t="shared" si="64"/>
        <v>Q NOT OK dE&lt;=0.8</v>
      </c>
      <c r="O822">
        <v>27.41</v>
      </c>
      <c r="P822">
        <v>12.37</v>
      </c>
      <c r="Q822">
        <v>-7.97</v>
      </c>
      <c r="R822">
        <v>-0.39</v>
      </c>
      <c r="S822">
        <v>0.4</v>
      </c>
      <c r="T822">
        <v>0.13</v>
      </c>
      <c r="U822">
        <v>0.19</v>
      </c>
      <c r="V822">
        <v>0.33</v>
      </c>
      <c r="W822">
        <v>0.55000000000000004</v>
      </c>
      <c r="X822" t="s">
        <v>8</v>
      </c>
      <c r="Y822" t="s">
        <v>9</v>
      </c>
      <c r="Z822" s="2" t="s">
        <v>718</v>
      </c>
      <c r="AA822" s="2" t="s">
        <v>721</v>
      </c>
    </row>
    <row r="823" spans="1:27" x14ac:dyDescent="0.35">
      <c r="A823" t="s">
        <v>1559</v>
      </c>
      <c r="B823" t="s">
        <v>1830</v>
      </c>
      <c r="C823" s="7" t="str">
        <f>_xlfn.XLOOKUP(B823,'[1]Sheet 1'!$A$2:$A$11107,'[1]Sheet 1'!$D$2:$D$11107,"",0)</f>
        <v>VSS</v>
      </c>
      <c r="D823" s="4" t="str">
        <f>_xlfn.XLOOKUP(A823,[3]Sheet2!$I$2:$I$1623,[3]Sheet2!$D$2:$D$1623,"",0)</f>
        <v>Q3</v>
      </c>
      <c r="E823" s="4"/>
      <c r="F823" s="4" t="e">
        <f>_xlfn.XLOOKUP(B823,[2]Sheet2!$E$2:$E$713,[2]Sheet2!$G$2:$G$713)</f>
        <v>#N/A</v>
      </c>
      <c r="G823" s="22">
        <v>46153</v>
      </c>
      <c r="H823" s="23">
        <v>0.67596064814814816</v>
      </c>
      <c r="I823" t="s">
        <v>10</v>
      </c>
      <c r="J823" s="2" t="str">
        <f t="shared" si="60"/>
        <v>Q4</v>
      </c>
      <c r="K823" s="2" t="str">
        <f t="shared" si="61"/>
        <v>Not Match</v>
      </c>
      <c r="L823" s="1"/>
      <c r="M823" s="1"/>
      <c r="N823" s="2" t="str">
        <f t="shared" si="64"/>
        <v>Q NOT OK dE&lt;=0.8</v>
      </c>
      <c r="O823">
        <v>17.41</v>
      </c>
      <c r="P823">
        <v>0.01</v>
      </c>
      <c r="Q823">
        <v>-2.4500000000000002</v>
      </c>
      <c r="R823">
        <v>-0.55000000000000004</v>
      </c>
      <c r="S823">
        <v>0.09</v>
      </c>
      <c r="T823">
        <v>-0.14000000000000001</v>
      </c>
      <c r="U823">
        <v>0.18</v>
      </c>
      <c r="V823">
        <v>0.12</v>
      </c>
      <c r="W823">
        <v>0.59</v>
      </c>
      <c r="X823" t="s">
        <v>8</v>
      </c>
      <c r="Y823" t="s">
        <v>9</v>
      </c>
      <c r="Z823" s="2" t="s">
        <v>718</v>
      </c>
      <c r="AA823" s="2" t="s">
        <v>721</v>
      </c>
    </row>
    <row r="824" spans="1:27" x14ac:dyDescent="0.35">
      <c r="A824" t="s">
        <v>1559</v>
      </c>
      <c r="B824" t="s">
        <v>1832</v>
      </c>
      <c r="C824" s="7" t="str">
        <f>_xlfn.XLOOKUP(B824,'[1]Sheet 1'!$A$2:$A$11107,'[1]Sheet 1'!$D$2:$D$11107,"",0)</f>
        <v>VSS</v>
      </c>
      <c r="D824" s="4" t="str">
        <f>_xlfn.XLOOKUP(A824,[3]Sheet2!$I$2:$I$1623,[3]Sheet2!$D$2:$D$1623,"",0)</f>
        <v>Q3</v>
      </c>
      <c r="E824"/>
      <c r="F824" s="4" t="e">
        <f>_xlfn.XLOOKUP(B824,[2]Sheet2!$E$2:$E$713,[2]Sheet2!$G$2:$G$713)</f>
        <v>#N/A</v>
      </c>
      <c r="G824" s="22">
        <v>46153</v>
      </c>
      <c r="H824" s="23">
        <v>0.74627314814814816</v>
      </c>
      <c r="I824" t="s">
        <v>10</v>
      </c>
      <c r="J824" s="2" t="str">
        <f t="shared" si="60"/>
        <v>Q4</v>
      </c>
      <c r="K824" s="2" t="str">
        <f t="shared" si="61"/>
        <v>Not Match</v>
      </c>
      <c r="L824"/>
      <c r="M824"/>
      <c r="N824" s="2" t="str">
        <f t="shared" si="64"/>
        <v>Q NOT OK dE&lt;=0.8</v>
      </c>
      <c r="O824">
        <v>17.21</v>
      </c>
      <c r="P824">
        <v>0.03</v>
      </c>
      <c r="Q824">
        <v>-2.4700000000000002</v>
      </c>
      <c r="R824">
        <v>-0.74</v>
      </c>
      <c r="S824">
        <v>0.1</v>
      </c>
      <c r="T824">
        <v>-0.15</v>
      </c>
      <c r="U824">
        <v>0.2</v>
      </c>
      <c r="V824">
        <v>0.13</v>
      </c>
      <c r="W824">
        <v>0.77</v>
      </c>
      <c r="X824" t="s">
        <v>13</v>
      </c>
      <c r="Y824" t="s">
        <v>9</v>
      </c>
      <c r="Z824" s="2" t="s">
        <v>718</v>
      </c>
      <c r="AA824" s="2" t="s">
        <v>721</v>
      </c>
    </row>
    <row r="825" spans="1:27" x14ac:dyDescent="0.35">
      <c r="A825" t="s">
        <v>1811</v>
      </c>
      <c r="B825" t="s">
        <v>1499</v>
      </c>
      <c r="C825" s="7" t="str">
        <f>_xlfn.XLOOKUP(B825,'[1]Sheet 1'!$A$2:$A$11107,'[1]Sheet 1'!$D$2:$D$11107,"",0)</f>
        <v>NEWB</v>
      </c>
      <c r="D825" s="4" t="str">
        <f>_xlfn.XLOOKUP(A825,[3]Sheet2!$I$2:$I$1623,[3]Sheet2!$D$2:$D$1623,"",0)</f>
        <v>Q2</v>
      </c>
      <c r="E825" s="5" t="s">
        <v>1828</v>
      </c>
      <c r="F825" s="4" t="e">
        <f>_xlfn.XLOOKUP(B825,[2]Sheet2!$E$2:$E$713,[2]Sheet2!$G$2:$G$713)</f>
        <v>#N/A</v>
      </c>
      <c r="G825" s="25">
        <v>46153</v>
      </c>
      <c r="H825" s="27">
        <v>0.62216435185185182</v>
      </c>
      <c r="I825" t="s">
        <v>4</v>
      </c>
      <c r="J825" s="2" t="str">
        <f t="shared" si="60"/>
        <v>Q2</v>
      </c>
      <c r="K825" s="2" t="str">
        <f t="shared" si="61"/>
        <v>Match</v>
      </c>
      <c r="L825" s="1">
        <f t="shared" ref="L825:L888" si="65">SQRT(S825^2+T825^2)</f>
        <v>0.3466987164671943</v>
      </c>
      <c r="M825" s="1" t="e">
        <f t="shared" ref="M825:M888" si="66">IF(L825&lt;=F825,"Within Range","Over Range")</f>
        <v>#N/A</v>
      </c>
      <c r="N825" s="2" t="str">
        <f t="shared" si="64"/>
        <v>Q OK dE&lt;=0.8</v>
      </c>
      <c r="O825">
        <v>33.01</v>
      </c>
      <c r="P825">
        <v>11.82</v>
      </c>
      <c r="Q825">
        <v>-47.7</v>
      </c>
      <c r="R825">
        <v>-0.13</v>
      </c>
      <c r="S825">
        <v>-0.28999999999999998</v>
      </c>
      <c r="T825">
        <v>0.19</v>
      </c>
      <c r="U825">
        <v>-0.1</v>
      </c>
      <c r="V825">
        <v>-0.16</v>
      </c>
      <c r="W825">
        <v>0.23</v>
      </c>
      <c r="X825" t="s">
        <v>8</v>
      </c>
      <c r="Y825" t="s">
        <v>15</v>
      </c>
      <c r="Z825" s="2" t="s">
        <v>718</v>
      </c>
      <c r="AA825" s="2" t="s">
        <v>721</v>
      </c>
    </row>
    <row r="826" spans="1:27" x14ac:dyDescent="0.35">
      <c r="A826" t="s">
        <v>2143</v>
      </c>
      <c r="B826" t="s">
        <v>1833</v>
      </c>
      <c r="C826" s="7" t="str">
        <f>_xlfn.XLOOKUP(B826,'[1]Sheet 1'!$A$2:$A$11107,'[1]Sheet 1'!$D$2:$D$11107,"",0)</f>
        <v/>
      </c>
      <c r="D826" s="4">
        <v>0</v>
      </c>
      <c r="E826"/>
      <c r="F826" s="4" t="e">
        <f>_xlfn.XLOOKUP(B826,[2]Sheet2!$E$2:$E$713,[2]Sheet2!$G$2:$G$713)</f>
        <v>#N/A</v>
      </c>
      <c r="G826" s="22">
        <v>46153</v>
      </c>
      <c r="H826" s="23">
        <v>0.75885416666666672</v>
      </c>
      <c r="I826" t="s">
        <v>5</v>
      </c>
      <c r="J826" s="2" t="str">
        <f t="shared" si="60"/>
        <v>Q4</v>
      </c>
      <c r="K826" s="2" t="str">
        <f t="shared" si="61"/>
        <v>Not Found</v>
      </c>
      <c r="L826" s="1">
        <f t="shared" si="65"/>
        <v>0.11313708498984761</v>
      </c>
      <c r="M826" s="1" t="e">
        <f t="shared" si="66"/>
        <v>#N/A</v>
      </c>
      <c r="N826" s="2" t="str">
        <f t="shared" si="64"/>
        <v>Quadrant not assigned</v>
      </c>
      <c r="O826">
        <v>40.270000000000003</v>
      </c>
      <c r="P826">
        <v>12.15</v>
      </c>
      <c r="Q826">
        <v>16.559999999999999</v>
      </c>
      <c r="R826">
        <v>-0.08</v>
      </c>
      <c r="S826">
        <v>0.08</v>
      </c>
      <c r="T826">
        <v>-0.08</v>
      </c>
      <c r="U826">
        <v>-0.01</v>
      </c>
      <c r="V826">
        <v>-0.18</v>
      </c>
      <c r="W826">
        <v>0.19</v>
      </c>
      <c r="X826" t="s">
        <v>8</v>
      </c>
      <c r="Y826" t="s">
        <v>9</v>
      </c>
      <c r="Z826" s="2" t="s">
        <v>718</v>
      </c>
      <c r="AA826" s="2" t="s">
        <v>721</v>
      </c>
    </row>
    <row r="827" spans="1:27" x14ac:dyDescent="0.35">
      <c r="A827" t="s">
        <v>1510</v>
      </c>
      <c r="B827" t="s">
        <v>1931</v>
      </c>
      <c r="C827" s="7" t="str">
        <f>_xlfn.XLOOKUP(B827,'[1]Sheet 1'!$A$2:$A$11107,'[1]Sheet 1'!$D$2:$D$11107,"",0)</f>
        <v>PINK</v>
      </c>
      <c r="D827" s="4">
        <v>0</v>
      </c>
      <c r="F827" s="4" t="e">
        <f>_xlfn.XLOOKUP(B827,[2]Sheet2!$E$2:$E$713,[2]Sheet2!$G$2:$G$713)</f>
        <v>#N/A</v>
      </c>
      <c r="G827" s="22">
        <v>46153</v>
      </c>
      <c r="H827" s="23">
        <v>0.67777777777777781</v>
      </c>
      <c r="I827" t="s">
        <v>10</v>
      </c>
      <c r="J827" s="2" t="str">
        <f t="shared" si="60"/>
        <v>Q1</v>
      </c>
      <c r="K827" s="2" t="str">
        <f t="shared" si="61"/>
        <v>Not Found</v>
      </c>
      <c r="L827" s="1">
        <f t="shared" si="65"/>
        <v>0.12041594578792295</v>
      </c>
      <c r="M827" s="1" t="e">
        <f t="shared" si="66"/>
        <v>#N/A</v>
      </c>
      <c r="N827" s="2" t="str">
        <f t="shared" si="64"/>
        <v>Quadrant not assigned</v>
      </c>
      <c r="O827">
        <v>15.93</v>
      </c>
      <c r="P827">
        <v>0.44</v>
      </c>
      <c r="Q827">
        <v>-0.73</v>
      </c>
      <c r="R827">
        <v>-0.75</v>
      </c>
      <c r="S827">
        <v>0.08</v>
      </c>
      <c r="T827">
        <v>0.09</v>
      </c>
      <c r="U827">
        <v>-0.06</v>
      </c>
      <c r="V827">
        <v>0.16</v>
      </c>
      <c r="W827">
        <v>0.77</v>
      </c>
      <c r="X827" t="s">
        <v>13</v>
      </c>
      <c r="Y827" t="s">
        <v>9</v>
      </c>
      <c r="Z827" s="2" t="s">
        <v>718</v>
      </c>
      <c r="AA827" s="2" t="s">
        <v>721</v>
      </c>
    </row>
    <row r="828" spans="1:27" x14ac:dyDescent="0.35">
      <c r="A828" t="s">
        <v>1593</v>
      </c>
      <c r="B828" t="s">
        <v>1933</v>
      </c>
      <c r="C828" s="7" t="str">
        <f>_xlfn.XLOOKUP(B828,'[1]Sheet 1'!$A$2:$A$11107,'[1]Sheet 1'!$D$2:$D$11107,"",0)</f>
        <v>LULU</v>
      </c>
      <c r="D828" s="4" t="str">
        <f>_xlfn.XLOOKUP(A828,[3]Sheet2!$I$2:$I$1623,[3]Sheet2!$D$2:$D$1623,"",0)</f>
        <v>Q3</v>
      </c>
      <c r="E828"/>
      <c r="F828" s="4" t="e">
        <f>_xlfn.XLOOKUP(B828,[2]Sheet2!$E$2:$E$713,[2]Sheet2!$G$2:$G$713)</f>
        <v>#N/A</v>
      </c>
      <c r="G828" s="22">
        <v>46153</v>
      </c>
      <c r="H828" s="23">
        <v>0.91312499999999996</v>
      </c>
      <c r="I828" t="s">
        <v>4</v>
      </c>
      <c r="J828" s="2" t="str">
        <f t="shared" si="60"/>
        <v>Q1</v>
      </c>
      <c r="K828" s="2" t="str">
        <f t="shared" si="61"/>
        <v>Not Match</v>
      </c>
      <c r="L828" s="1">
        <f t="shared" si="65"/>
        <v>0.24596747752497686</v>
      </c>
      <c r="M828" s="1" t="e">
        <f t="shared" si="66"/>
        <v>#N/A</v>
      </c>
      <c r="N828" s="2" t="str">
        <f t="shared" si="64"/>
        <v>Q NOT OK dE&gt;0.8</v>
      </c>
      <c r="O828">
        <v>22.35</v>
      </c>
      <c r="P828">
        <v>2.96</v>
      </c>
      <c r="Q828">
        <v>2.33</v>
      </c>
      <c r="R828">
        <v>-1.27</v>
      </c>
      <c r="S828">
        <v>0.22</v>
      </c>
      <c r="T828">
        <v>0.11</v>
      </c>
      <c r="U828">
        <v>0.28000000000000003</v>
      </c>
      <c r="V828">
        <v>-0.08</v>
      </c>
      <c r="W828">
        <v>1.3</v>
      </c>
      <c r="X828" t="s">
        <v>6</v>
      </c>
      <c r="Y828" t="s">
        <v>7</v>
      </c>
      <c r="Z828" s="2" t="s">
        <v>718</v>
      </c>
      <c r="AA828" s="2" t="s">
        <v>721</v>
      </c>
    </row>
    <row r="829" spans="1:27" x14ac:dyDescent="0.35">
      <c r="A829" t="s">
        <v>1599</v>
      </c>
      <c r="B829" t="s">
        <v>1835</v>
      </c>
      <c r="C829" s="7" t="str">
        <f>_xlfn.XLOOKUP(B829,'[1]Sheet 1'!$A$2:$A$11107,'[1]Sheet 1'!$D$2:$D$11107,"",0)</f>
        <v>M&amp;S</v>
      </c>
      <c r="D829" s="4">
        <v>0</v>
      </c>
      <c r="F829" s="4" t="e">
        <f>_xlfn.XLOOKUP(B829,[2]Sheet2!$E$2:$E$713,[2]Sheet2!$G$2:$G$713)</f>
        <v>#N/A</v>
      </c>
      <c r="G829" s="22">
        <v>46154</v>
      </c>
      <c r="H829" s="23">
        <v>0.42004629629629631</v>
      </c>
      <c r="I829" t="s">
        <v>17</v>
      </c>
      <c r="J829" s="2">
        <f t="shared" si="60"/>
        <v>0</v>
      </c>
      <c r="K829" s="2" t="str">
        <f t="shared" si="61"/>
        <v>Match</v>
      </c>
      <c r="L829" s="1">
        <f t="shared" si="65"/>
        <v>0.3</v>
      </c>
      <c r="M829" s="1" t="e">
        <f t="shared" si="66"/>
        <v>#N/A</v>
      </c>
      <c r="N829" s="2" t="str">
        <f t="shared" si="64"/>
        <v>Quadrant not assigned</v>
      </c>
      <c r="O829">
        <v>25.05</v>
      </c>
      <c r="P829">
        <v>0.56999999999999995</v>
      </c>
      <c r="Q829">
        <v>8.7100000000000009</v>
      </c>
      <c r="R829">
        <v>-0.23</v>
      </c>
      <c r="S829">
        <v>0</v>
      </c>
      <c r="T829">
        <v>-0.3</v>
      </c>
      <c r="U829">
        <v>-0.26</v>
      </c>
      <c r="V829">
        <v>-0.03</v>
      </c>
      <c r="W829">
        <v>0.35</v>
      </c>
      <c r="X829" t="s">
        <v>8</v>
      </c>
      <c r="Y829" t="s">
        <v>9</v>
      </c>
      <c r="Z829" s="2" t="s">
        <v>718</v>
      </c>
      <c r="AA829" s="2" t="s">
        <v>721</v>
      </c>
    </row>
    <row r="830" spans="1:27" x14ac:dyDescent="0.35">
      <c r="A830" t="s">
        <v>1625</v>
      </c>
      <c r="B830" t="s">
        <v>1944</v>
      </c>
      <c r="C830" s="7" t="str">
        <f>_xlfn.XLOOKUP(B830,'[1]Sheet 1'!$A$2:$A$11107,'[1]Sheet 1'!$D$2:$D$11107,"",0)</f>
        <v>CK</v>
      </c>
      <c r="D830" s="4" t="str">
        <f>_xlfn.XLOOKUP(A830,[3]Sheet2!$I$2:$I$1623,[3]Sheet2!$D$2:$D$1623,"",0)</f>
        <v>Q1</v>
      </c>
      <c r="F830" s="4" t="e">
        <f>_xlfn.XLOOKUP(B830,[2]Sheet2!$E$2:$E$713,[2]Sheet2!$G$2:$G$713)</f>
        <v>#N/A</v>
      </c>
      <c r="G830" s="22">
        <v>46154</v>
      </c>
      <c r="H830" s="23">
        <v>0.71557870370370369</v>
      </c>
      <c r="I830" t="s">
        <v>11</v>
      </c>
      <c r="J830" s="2" t="str">
        <f t="shared" si="60"/>
        <v>Q1</v>
      </c>
      <c r="K830" s="2" t="str">
        <f t="shared" si="61"/>
        <v>Match</v>
      </c>
      <c r="L830" s="1">
        <f t="shared" si="65"/>
        <v>0.99201814499534224</v>
      </c>
      <c r="M830" s="1" t="e">
        <f t="shared" si="66"/>
        <v>#N/A</v>
      </c>
      <c r="N830" s="2" t="str">
        <f t="shared" si="64"/>
        <v>Q OK dE&gt;0.8</v>
      </c>
      <c r="O830">
        <v>19.21</v>
      </c>
      <c r="P830">
        <v>-0.14000000000000001</v>
      </c>
      <c r="Q830">
        <v>-3.14</v>
      </c>
      <c r="R830">
        <v>-0.78</v>
      </c>
      <c r="S830">
        <v>0.25</v>
      </c>
      <c r="T830">
        <v>0.96</v>
      </c>
      <c r="U830">
        <v>-1.1000000000000001</v>
      </c>
      <c r="V830">
        <v>0.24</v>
      </c>
      <c r="W830">
        <v>1.37</v>
      </c>
      <c r="X830" t="s">
        <v>6</v>
      </c>
      <c r="Y830" t="s">
        <v>9</v>
      </c>
      <c r="Z830" s="2" t="s">
        <v>718</v>
      </c>
      <c r="AA830" s="2" t="s">
        <v>721</v>
      </c>
    </row>
    <row r="831" spans="1:27" x14ac:dyDescent="0.35">
      <c r="A831" t="s">
        <v>1533</v>
      </c>
      <c r="B831" t="s">
        <v>1946</v>
      </c>
      <c r="C831" s="7" t="str">
        <f>_xlfn.XLOOKUP(B831,'[1]Sheet 1'!$A$2:$A$11107,'[1]Sheet 1'!$D$2:$D$11107,"",0)</f>
        <v>M&amp;S</v>
      </c>
      <c r="D831" s="4" t="str">
        <f>_xlfn.XLOOKUP(A831,[3]Sheet2!$I$2:$I$1623,[3]Sheet2!$D$2:$D$1623,"",0)</f>
        <v>Q2</v>
      </c>
      <c r="F831" s="4" t="e">
        <f>_xlfn.XLOOKUP(B831,[2]Sheet2!$E$2:$E$713,[2]Sheet2!$G$2:$G$713)</f>
        <v>#N/A</v>
      </c>
      <c r="G831" s="22">
        <v>46154</v>
      </c>
      <c r="H831" s="23">
        <v>0.7596180555555555</v>
      </c>
      <c r="I831" t="s">
        <v>17</v>
      </c>
      <c r="J831" s="2" t="str">
        <f t="shared" si="60"/>
        <v>Q4</v>
      </c>
      <c r="K831" s="2" t="str">
        <f t="shared" si="61"/>
        <v>Not Match</v>
      </c>
      <c r="L831" s="1">
        <f t="shared" si="65"/>
        <v>4.4721359549995794E-2</v>
      </c>
      <c r="M831" s="1" t="e">
        <f t="shared" si="66"/>
        <v>#N/A</v>
      </c>
      <c r="N831" s="2" t="str">
        <f t="shared" si="64"/>
        <v>Q NOT OK dE&lt;=0.8</v>
      </c>
      <c r="O831">
        <v>25.57</v>
      </c>
      <c r="P831">
        <v>0.57999999999999996</v>
      </c>
      <c r="Q831">
        <v>8.93</v>
      </c>
      <c r="R831">
        <v>0.22</v>
      </c>
      <c r="S831">
        <v>0.02</v>
      </c>
      <c r="T831">
        <v>-0.04</v>
      </c>
      <c r="U831">
        <v>-0.03</v>
      </c>
      <c r="V831">
        <v>-0.03</v>
      </c>
      <c r="W831">
        <v>0.22</v>
      </c>
      <c r="X831" t="s">
        <v>8</v>
      </c>
      <c r="Y831" t="s">
        <v>9</v>
      </c>
      <c r="Z831" s="2" t="s">
        <v>718</v>
      </c>
      <c r="AA831" s="2" t="s">
        <v>721</v>
      </c>
    </row>
    <row r="832" spans="1:27" x14ac:dyDescent="0.35">
      <c r="A832" t="s">
        <v>1817</v>
      </c>
      <c r="B832" t="s">
        <v>1945</v>
      </c>
      <c r="C832" s="7" t="str">
        <f>_xlfn.XLOOKUP(B832,'[1]Sheet 1'!$A$2:$A$11107,'[1]Sheet 1'!$D$2:$D$11107,"",0)</f>
        <v>LULU</v>
      </c>
      <c r="D832" s="4" t="str">
        <f>_xlfn.XLOOKUP(A832,[3]Sheet2!$I$2:$I$1623,[3]Sheet2!$D$2:$D$1623,"",0)</f>
        <v>Q3</v>
      </c>
      <c r="F832" s="4" t="e">
        <f>_xlfn.XLOOKUP(B832,[2]Sheet2!$E$2:$E$713,[2]Sheet2!$G$2:$G$713)</f>
        <v>#N/A</v>
      </c>
      <c r="G832" s="22">
        <v>46154</v>
      </c>
      <c r="H832" s="23">
        <v>0.75667824074074075</v>
      </c>
      <c r="I832" t="s">
        <v>4</v>
      </c>
      <c r="J832" s="2" t="str">
        <f t="shared" si="60"/>
        <v>Q2</v>
      </c>
      <c r="K832" s="2" t="str">
        <f t="shared" si="61"/>
        <v>Not Match</v>
      </c>
      <c r="L832" s="1">
        <f t="shared" si="65"/>
        <v>0.40496913462633177</v>
      </c>
      <c r="M832" s="1" t="e">
        <f t="shared" si="66"/>
        <v>#N/A</v>
      </c>
      <c r="N832" s="2" t="str">
        <f t="shared" si="64"/>
        <v>Q NOT OK dE&gt;0.8</v>
      </c>
      <c r="O832">
        <v>30.45</v>
      </c>
      <c r="P832">
        <v>46.12</v>
      </c>
      <c r="Q832">
        <v>19.63</v>
      </c>
      <c r="R832">
        <v>-0.79</v>
      </c>
      <c r="S832">
        <v>-0.34</v>
      </c>
      <c r="T832">
        <v>0.22</v>
      </c>
      <c r="U832">
        <v>-0.09</v>
      </c>
      <c r="V832">
        <v>0.23</v>
      </c>
      <c r="W832">
        <v>0.83</v>
      </c>
      <c r="X832" t="s">
        <v>13</v>
      </c>
      <c r="Y832" t="s">
        <v>12</v>
      </c>
      <c r="Z832" s="2" t="s">
        <v>718</v>
      </c>
      <c r="AA832" s="2" t="s">
        <v>721</v>
      </c>
    </row>
    <row r="833" spans="1:27" x14ac:dyDescent="0.35">
      <c r="A833" t="s">
        <v>1625</v>
      </c>
      <c r="B833" t="s">
        <v>1836</v>
      </c>
      <c r="C833" s="7" t="str">
        <f>_xlfn.XLOOKUP(B833,'[1]Sheet 1'!$A$2:$A$11107,'[1]Sheet 1'!$D$2:$D$11107,"",0)</f>
        <v>CK</v>
      </c>
      <c r="D833" s="4" t="str">
        <f>_xlfn.XLOOKUP(A833,[3]Sheet2!$I$2:$I$1623,[3]Sheet2!$D$2:$D$1623,"",0)</f>
        <v>Q1</v>
      </c>
      <c r="F833" s="4" t="e">
        <f>_xlfn.XLOOKUP(B833,[2]Sheet2!$E$2:$E$713,[2]Sheet2!$G$2:$G$713)</f>
        <v>#N/A</v>
      </c>
      <c r="G833" s="22">
        <v>46154</v>
      </c>
      <c r="H833" s="23">
        <v>0.47461805555555553</v>
      </c>
      <c r="I833" t="s">
        <v>11</v>
      </c>
      <c r="J833" s="2" t="str">
        <f t="shared" si="60"/>
        <v>Q1</v>
      </c>
      <c r="K833" s="2" t="str">
        <f t="shared" si="61"/>
        <v>Match</v>
      </c>
      <c r="L833" s="1">
        <f t="shared" si="65"/>
        <v>0.23600847442411893</v>
      </c>
      <c r="M833" s="1" t="e">
        <f t="shared" si="66"/>
        <v>#N/A</v>
      </c>
      <c r="N833" s="2" t="str">
        <f t="shared" si="64"/>
        <v>Q OK dE&lt;=0.8</v>
      </c>
      <c r="O833">
        <v>19.559999999999999</v>
      </c>
      <c r="P833">
        <v>-0.25</v>
      </c>
      <c r="Q833">
        <v>-3.91</v>
      </c>
      <c r="R833">
        <v>-0.5</v>
      </c>
      <c r="S833">
        <v>0.14000000000000001</v>
      </c>
      <c r="T833">
        <v>0.19</v>
      </c>
      <c r="U833">
        <v>-0.22</v>
      </c>
      <c r="V833">
        <v>0.16</v>
      </c>
      <c r="W833">
        <v>0.56999999999999995</v>
      </c>
      <c r="X833" t="s">
        <v>8</v>
      </c>
      <c r="Y833" t="s">
        <v>9</v>
      </c>
      <c r="Z833" s="2" t="s">
        <v>718</v>
      </c>
      <c r="AA833" s="2" t="s">
        <v>721</v>
      </c>
    </row>
    <row r="834" spans="1:27" x14ac:dyDescent="0.35">
      <c r="A834" t="s">
        <v>1593</v>
      </c>
      <c r="B834" t="s">
        <v>1443</v>
      </c>
      <c r="C834" s="7" t="str">
        <f>_xlfn.XLOOKUP(B834,'[1]Sheet 1'!$A$2:$A$11107,'[1]Sheet 1'!$D$2:$D$11107,"",0)</f>
        <v>LULU</v>
      </c>
      <c r="D834" s="4" t="str">
        <f>_xlfn.XLOOKUP(A834,[3]Sheet2!$I$2:$I$1623,[3]Sheet2!$D$2:$D$1623,"",0)</f>
        <v>Q3</v>
      </c>
      <c r="F834" s="4" t="e">
        <f>_xlfn.XLOOKUP(B834,[2]Sheet2!$E$2:$E$713,[2]Sheet2!$G$2:$G$713)</f>
        <v>#N/A</v>
      </c>
      <c r="G834" s="22">
        <v>46154</v>
      </c>
      <c r="H834" s="23">
        <v>0.72092592592592597</v>
      </c>
      <c r="I834" t="s">
        <v>4</v>
      </c>
      <c r="J834" s="2" t="str">
        <f t="shared" ref="J834:J896" si="67">IF(OR(S834=0,T834=0),D834,IF(AND(S834&gt;0,T834&gt;0),"Q1",IF(AND(S834&lt;0,T834&gt;0),"Q2",IF(AND(S834&lt;0,T834&lt;0),"Q3",IF(AND(S834&gt;0,T834&lt;0),"Q4","")))))</f>
        <v>Q4</v>
      </c>
      <c r="K834" s="2" t="str">
        <f t="shared" ref="K834:K896" si="68">IF(J834=D834,"Match",IF(AND(J834=0,D834="Match"),"da and db 0",IF(D834=0,"Not Found","Not Match")))</f>
        <v>Not Match</v>
      </c>
      <c r="L834" s="1">
        <f t="shared" si="65"/>
        <v>0.33541019662496846</v>
      </c>
      <c r="M834" s="1" t="e">
        <f t="shared" si="66"/>
        <v>#N/A</v>
      </c>
      <c r="N834" s="2" t="str">
        <f t="shared" ref="N834:N896" si="69">IF(D834=0,"Quadrant not assigned",IF(AND(K834="Match",W834&lt;=0.8),"Q OK dE&lt;=0.8",IF(AND(K834="Match",W834&gt;0.8),"Q OK dE&gt;0.8",IF(AND(K834="Not Match",W834&lt;=0.8),"Q NOT OK dE&lt;=0.8","Q NOT OK dE&gt;0.8"))))</f>
        <v>Q NOT OK dE&gt;0.8</v>
      </c>
      <c r="O834">
        <v>22.63</v>
      </c>
      <c r="P834">
        <v>3.08</v>
      </c>
      <c r="Q834">
        <v>2.17</v>
      </c>
      <c r="R834">
        <v>-1.07</v>
      </c>
      <c r="S834">
        <v>0.33</v>
      </c>
      <c r="T834">
        <v>-0.06</v>
      </c>
      <c r="U834">
        <v>0.27</v>
      </c>
      <c r="V834">
        <v>-0.34</v>
      </c>
      <c r="W834">
        <v>1.1599999999999999</v>
      </c>
      <c r="X834" t="s">
        <v>6</v>
      </c>
      <c r="Y834" t="s">
        <v>7</v>
      </c>
      <c r="Z834" s="2" t="s">
        <v>718</v>
      </c>
      <c r="AA834" s="2" t="s">
        <v>721</v>
      </c>
    </row>
    <row r="835" spans="1:27" x14ac:dyDescent="0.35">
      <c r="A835" t="s">
        <v>2144</v>
      </c>
      <c r="B835" t="s">
        <v>1837</v>
      </c>
      <c r="C835" s="7" t="str">
        <f>_xlfn.XLOOKUP(B835,'[1]Sheet 1'!$A$2:$A$11107,'[1]Sheet 1'!$D$2:$D$11107,"",0)</f>
        <v>WACE</v>
      </c>
      <c r="D835" s="4" t="str">
        <f>_xlfn.XLOOKUP(A835,[3]Sheet2!$I$2:$I$1623,[3]Sheet2!$D$2:$D$1623,"",0)</f>
        <v>Q2</v>
      </c>
      <c r="F835" s="4" t="e">
        <f>_xlfn.XLOOKUP(B835,[2]Sheet2!$E$2:$E$713,[2]Sheet2!$G$2:$G$713)</f>
        <v>#N/A</v>
      </c>
      <c r="G835" s="22">
        <v>46154</v>
      </c>
      <c r="H835" s="23">
        <v>0.6731597222222222</v>
      </c>
      <c r="I835" t="s">
        <v>4</v>
      </c>
      <c r="J835" s="2" t="str">
        <f t="shared" si="67"/>
        <v>Q4</v>
      </c>
      <c r="K835" s="2" t="str">
        <f t="shared" si="68"/>
        <v>Not Match</v>
      </c>
      <c r="L835" s="1">
        <f t="shared" si="65"/>
        <v>0.28017851452243797</v>
      </c>
      <c r="M835" s="1" t="e">
        <f t="shared" si="66"/>
        <v>#N/A</v>
      </c>
      <c r="N835" s="2" t="str">
        <f t="shared" si="69"/>
        <v>Q NOT OK dE&lt;=0.8</v>
      </c>
      <c r="O835">
        <v>28.72</v>
      </c>
      <c r="P835">
        <v>-14.53</v>
      </c>
      <c r="Q835">
        <v>-6.24</v>
      </c>
      <c r="R835">
        <v>0.28000000000000003</v>
      </c>
      <c r="S835">
        <v>0.16</v>
      </c>
      <c r="T835">
        <v>-0.23</v>
      </c>
      <c r="U835">
        <v>-0.04</v>
      </c>
      <c r="V835">
        <v>0.24</v>
      </c>
      <c r="W835">
        <v>0.37</v>
      </c>
      <c r="X835" t="s">
        <v>8</v>
      </c>
      <c r="Y835" t="s">
        <v>7</v>
      </c>
      <c r="Z835" s="2" t="s">
        <v>718</v>
      </c>
      <c r="AA835" s="2" t="s">
        <v>721</v>
      </c>
    </row>
    <row r="836" spans="1:27" x14ac:dyDescent="0.35">
      <c r="A836" t="s">
        <v>1515</v>
      </c>
      <c r="B836" t="s">
        <v>1938</v>
      </c>
      <c r="C836" s="7" t="str">
        <f>_xlfn.XLOOKUP(B836,'[1]Sheet 1'!$A$2:$A$11107,'[1]Sheet 1'!$D$2:$D$11107,"",0)</f>
        <v>VSS</v>
      </c>
      <c r="D836" s="4" t="str">
        <f>_xlfn.XLOOKUP(A836,[3]Sheet2!$I$2:$I$1623,[3]Sheet2!$D$2:$D$1623,"",0)</f>
        <v>Q3</v>
      </c>
      <c r="F836" s="4" t="e">
        <f>_xlfn.XLOOKUP(B836,[2]Sheet2!$E$2:$E$713,[2]Sheet2!$G$2:$G$713)</f>
        <v>#N/A</v>
      </c>
      <c r="G836" s="22">
        <v>46154</v>
      </c>
      <c r="H836" s="23">
        <v>0.2207638888888889</v>
      </c>
      <c r="I836" t="s">
        <v>10</v>
      </c>
      <c r="J836" s="2" t="str">
        <f t="shared" si="67"/>
        <v>Q3</v>
      </c>
      <c r="K836" s="2" t="str">
        <f t="shared" si="68"/>
        <v>Match</v>
      </c>
      <c r="L836" s="1">
        <f t="shared" si="65"/>
        <v>0.45011109739707594</v>
      </c>
      <c r="M836" s="1" t="e">
        <f t="shared" si="66"/>
        <v>#N/A</v>
      </c>
      <c r="N836" s="2" t="str">
        <f t="shared" si="69"/>
        <v>Q OK dE&gt;0.8</v>
      </c>
      <c r="O836">
        <v>14.4</v>
      </c>
      <c r="P836">
        <v>0.09</v>
      </c>
      <c r="Q836">
        <v>-2.2000000000000002</v>
      </c>
      <c r="R836">
        <v>-0.62</v>
      </c>
      <c r="S836">
        <v>-0.01</v>
      </c>
      <c r="T836">
        <v>-0.45</v>
      </c>
      <c r="U836">
        <v>0.6</v>
      </c>
      <c r="V836">
        <v>-0.05</v>
      </c>
      <c r="W836">
        <v>0.87</v>
      </c>
      <c r="X836" t="s">
        <v>13</v>
      </c>
      <c r="Y836" t="s">
        <v>15</v>
      </c>
      <c r="Z836" s="2" t="s">
        <v>718</v>
      </c>
      <c r="AA836" s="2" t="s">
        <v>721</v>
      </c>
    </row>
    <row r="837" spans="1:27" x14ac:dyDescent="0.35">
      <c r="A837" t="s">
        <v>1515</v>
      </c>
      <c r="B837" t="s">
        <v>1939</v>
      </c>
      <c r="C837" s="7" t="str">
        <f>_xlfn.XLOOKUP(B837,'[1]Sheet 1'!$A$2:$A$11107,'[1]Sheet 1'!$D$2:$D$11107,"",0)</f>
        <v>VSS</v>
      </c>
      <c r="D837" s="4" t="str">
        <f>_xlfn.XLOOKUP(A837,[3]Sheet2!$I$2:$I$1623,[3]Sheet2!$D$2:$D$1623,"",0)</f>
        <v>Q3</v>
      </c>
      <c r="F837" s="4" t="e">
        <f>_xlfn.XLOOKUP(B837,[2]Sheet2!$E$2:$E$713,[2]Sheet2!$G$2:$G$713)</f>
        <v>#N/A</v>
      </c>
      <c r="G837" s="22">
        <v>46154</v>
      </c>
      <c r="H837" s="23">
        <v>0.2227662037037037</v>
      </c>
      <c r="I837" t="s">
        <v>10</v>
      </c>
      <c r="J837" s="2" t="str">
        <f t="shared" si="67"/>
        <v>Q4</v>
      </c>
      <c r="K837" s="2" t="str">
        <f t="shared" si="68"/>
        <v>Not Match</v>
      </c>
      <c r="L837" s="1">
        <f t="shared" si="65"/>
        <v>0.16278820596099708</v>
      </c>
      <c r="M837" s="1" t="e">
        <f t="shared" si="66"/>
        <v>#N/A</v>
      </c>
      <c r="N837" s="2" t="str">
        <f t="shared" si="69"/>
        <v>Q NOT OK dE&gt;0.8</v>
      </c>
      <c r="O837">
        <v>13.01</v>
      </c>
      <c r="P837">
        <v>0.26</v>
      </c>
      <c r="Q837">
        <v>-1.77</v>
      </c>
      <c r="R837">
        <v>-1.98</v>
      </c>
      <c r="S837">
        <v>0.16</v>
      </c>
      <c r="T837">
        <v>-0.03</v>
      </c>
      <c r="U837">
        <v>0.06</v>
      </c>
      <c r="V837">
        <v>0.22</v>
      </c>
      <c r="W837">
        <v>1.99</v>
      </c>
      <c r="X837" t="s">
        <v>6</v>
      </c>
      <c r="Y837" t="s">
        <v>9</v>
      </c>
      <c r="Z837" s="2" t="s">
        <v>718</v>
      </c>
      <c r="AA837" s="2" t="s">
        <v>721</v>
      </c>
    </row>
    <row r="838" spans="1:27" x14ac:dyDescent="0.35">
      <c r="A838" t="s">
        <v>1515</v>
      </c>
      <c r="B838" t="s">
        <v>1947</v>
      </c>
      <c r="C838" s="7" t="str">
        <f>_xlfn.XLOOKUP(B838,'[1]Sheet 1'!$A$2:$A$11107,'[1]Sheet 1'!$D$2:$D$11107,"",0)</f>
        <v>VSS</v>
      </c>
      <c r="D838" s="4" t="str">
        <f>_xlfn.XLOOKUP(A838,[3]Sheet2!$I$2:$I$1623,[3]Sheet2!$D$2:$D$1623,"",0)</f>
        <v>Q3</v>
      </c>
      <c r="F838" s="4" t="e">
        <f>_xlfn.XLOOKUP(B838,[2]Sheet2!$E$2:$E$713,[2]Sheet2!$G$2:$G$713)</f>
        <v>#N/A</v>
      </c>
      <c r="G838" s="22">
        <v>46154</v>
      </c>
      <c r="H838" s="23">
        <v>0.76244212962962965</v>
      </c>
      <c r="I838" t="s">
        <v>10</v>
      </c>
      <c r="J838" s="2" t="str">
        <f t="shared" si="67"/>
        <v>Q3</v>
      </c>
      <c r="K838" s="2" t="str">
        <f t="shared" si="68"/>
        <v>Match</v>
      </c>
      <c r="L838" s="1">
        <f t="shared" si="65"/>
        <v>0.45398237851264667</v>
      </c>
      <c r="M838" s="1" t="e">
        <f t="shared" si="66"/>
        <v>#N/A</v>
      </c>
      <c r="N838" s="2" t="str">
        <f t="shared" si="69"/>
        <v>Q OK dE&gt;0.8</v>
      </c>
      <c r="O838">
        <v>13.99</v>
      </c>
      <c r="P838">
        <v>0.04</v>
      </c>
      <c r="Q838">
        <v>-2.2000000000000002</v>
      </c>
      <c r="R838">
        <v>-1.02</v>
      </c>
      <c r="S838">
        <v>-0.06</v>
      </c>
      <c r="T838">
        <v>-0.45</v>
      </c>
      <c r="U838">
        <v>0.6</v>
      </c>
      <c r="V838">
        <v>-0.11</v>
      </c>
      <c r="W838">
        <v>1.19</v>
      </c>
      <c r="X838" t="s">
        <v>6</v>
      </c>
      <c r="Y838" t="s">
        <v>15</v>
      </c>
      <c r="Z838" s="2" t="s">
        <v>718</v>
      </c>
      <c r="AA838" s="2" t="s">
        <v>721</v>
      </c>
    </row>
    <row r="839" spans="1:27" x14ac:dyDescent="0.35">
      <c r="A839" t="s">
        <v>1521</v>
      </c>
      <c r="B839" t="s">
        <v>1937</v>
      </c>
      <c r="C839" s="7" t="str">
        <f>_xlfn.XLOOKUP(B839,'[1]Sheet 1'!$A$2:$A$11107,'[1]Sheet 1'!$D$2:$D$11107,"",0)</f>
        <v>VSS</v>
      </c>
      <c r="D839" s="4" t="str">
        <f>_xlfn.XLOOKUP(A839,[3]Sheet2!$I$2:$I$1623,[3]Sheet2!$D$2:$D$1623,"",0)</f>
        <v>Q3</v>
      </c>
      <c r="F839" s="4" t="e">
        <f>_xlfn.XLOOKUP(B839,[2]Sheet2!$E$2:$E$713,[2]Sheet2!$G$2:$G$713)</f>
        <v>#N/A</v>
      </c>
      <c r="G839" s="22">
        <v>46154</v>
      </c>
      <c r="H839" s="23">
        <v>8.5879629629629625E-2</v>
      </c>
      <c r="I839" t="s">
        <v>11</v>
      </c>
      <c r="J839" s="2" t="str">
        <f t="shared" si="67"/>
        <v>Q4</v>
      </c>
      <c r="K839" s="2" t="str">
        <f t="shared" si="68"/>
        <v>Not Match</v>
      </c>
      <c r="L839" s="1">
        <f t="shared" si="65"/>
        <v>0.35355339059327373</v>
      </c>
      <c r="M839" s="1" t="e">
        <f t="shared" si="66"/>
        <v>#N/A</v>
      </c>
      <c r="N839" s="2" t="str">
        <f t="shared" si="69"/>
        <v>Q NOT OK dE&lt;=0.8</v>
      </c>
      <c r="O839">
        <v>21.18</v>
      </c>
      <c r="P839">
        <v>1.0900000000000001</v>
      </c>
      <c r="Q839">
        <v>-8.84</v>
      </c>
      <c r="R839">
        <v>0.08</v>
      </c>
      <c r="S839">
        <v>0.05</v>
      </c>
      <c r="T839">
        <v>-0.35</v>
      </c>
      <c r="U839">
        <v>0.31</v>
      </c>
      <c r="V839">
        <v>0</v>
      </c>
      <c r="W839">
        <v>0.32</v>
      </c>
      <c r="X839" t="s">
        <v>8</v>
      </c>
      <c r="Y839" t="s">
        <v>15</v>
      </c>
      <c r="Z839" s="2" t="s">
        <v>718</v>
      </c>
      <c r="AA839" s="2" t="s">
        <v>721</v>
      </c>
    </row>
    <row r="840" spans="1:27" x14ac:dyDescent="0.35">
      <c r="A840" t="s">
        <v>1823</v>
      </c>
      <c r="B840" t="s">
        <v>1942</v>
      </c>
      <c r="C840" s="7" t="str">
        <f>_xlfn.XLOOKUP(B840,'[1]Sheet 1'!$A$2:$A$11107,'[1]Sheet 1'!$D$2:$D$11107,"",0)</f>
        <v>LBI</v>
      </c>
      <c r="D840" s="4" t="str">
        <f>_xlfn.XLOOKUP(A840,[3]Sheet2!$I$2:$I$1623,[3]Sheet2!$D$2:$D$1623,"",0)</f>
        <v>Q3</v>
      </c>
      <c r="F840" s="4" t="e">
        <f>_xlfn.XLOOKUP(B840,[2]Sheet2!$E$2:$E$713,[2]Sheet2!$G$2:$G$713)</f>
        <v>#N/A</v>
      </c>
      <c r="G840" s="22">
        <v>46154</v>
      </c>
      <c r="H840" s="23">
        <v>0.2744328703703704</v>
      </c>
      <c r="I840" t="s">
        <v>4</v>
      </c>
      <c r="J840" s="2" t="str">
        <f t="shared" si="67"/>
        <v>Q3</v>
      </c>
      <c r="K840" s="2" t="str">
        <f t="shared" si="68"/>
        <v>Match</v>
      </c>
      <c r="L840" s="1">
        <f t="shared" si="65"/>
        <v>0.21954498400100148</v>
      </c>
      <c r="M840" s="1" t="e">
        <f t="shared" si="66"/>
        <v>#N/A</v>
      </c>
      <c r="N840" s="2" t="str">
        <f t="shared" si="69"/>
        <v>Q OK dE&lt;=0.8</v>
      </c>
      <c r="O840">
        <v>35.119999999999997</v>
      </c>
      <c r="P840">
        <v>51.72</v>
      </c>
      <c r="Q840">
        <v>20.350000000000001</v>
      </c>
      <c r="R840">
        <v>-0.46</v>
      </c>
      <c r="S840">
        <v>-0.11</v>
      </c>
      <c r="T840">
        <v>-0.19</v>
      </c>
      <c r="U840">
        <v>-0.06</v>
      </c>
      <c r="V840">
        <v>-0.09</v>
      </c>
      <c r="W840">
        <v>0.47</v>
      </c>
      <c r="X840" t="s">
        <v>8</v>
      </c>
      <c r="Y840" t="s">
        <v>12</v>
      </c>
      <c r="Z840" s="2" t="s">
        <v>718</v>
      </c>
      <c r="AA840" s="2" t="s">
        <v>721</v>
      </c>
    </row>
    <row r="841" spans="1:27" x14ac:dyDescent="0.35">
      <c r="A841" t="s">
        <v>1559</v>
      </c>
      <c r="B841" t="s">
        <v>1935</v>
      </c>
      <c r="C841" s="7" t="str">
        <f>_xlfn.XLOOKUP(B841,'[1]Sheet 1'!$A$2:$A$11107,'[1]Sheet 1'!$D$2:$D$11107,"",0)</f>
        <v>VSS</v>
      </c>
      <c r="D841" s="4" t="str">
        <f>_xlfn.XLOOKUP(A841,[3]Sheet2!$I$2:$I$1623,[3]Sheet2!$D$2:$D$1623,"",0)</f>
        <v>Q3</v>
      </c>
      <c r="E841"/>
      <c r="F841" s="4" t="e">
        <f>_xlfn.XLOOKUP(B841,[2]Sheet2!$E$2:$E$713,[2]Sheet2!$G$2:$G$713)</f>
        <v>#N/A</v>
      </c>
      <c r="G841" s="22">
        <v>46154</v>
      </c>
      <c r="H841" s="23">
        <v>4.5983796296296293E-2</v>
      </c>
      <c r="I841" t="s">
        <v>11</v>
      </c>
      <c r="J841" s="2" t="str">
        <f t="shared" si="67"/>
        <v>Q4</v>
      </c>
      <c r="K841" s="2" t="str">
        <f t="shared" si="68"/>
        <v>Not Match</v>
      </c>
      <c r="L841" s="1">
        <f t="shared" si="65"/>
        <v>0.27892651361962706</v>
      </c>
      <c r="M841" s="1" t="e">
        <f t="shared" si="66"/>
        <v>#N/A</v>
      </c>
      <c r="N841" s="2" t="str">
        <f t="shared" si="69"/>
        <v>Q NOT OK dE&gt;0.8</v>
      </c>
      <c r="O841">
        <v>16.96</v>
      </c>
      <c r="P841">
        <v>-0.56999999999999995</v>
      </c>
      <c r="Q841">
        <v>-3.12</v>
      </c>
      <c r="R841">
        <v>-0.73</v>
      </c>
      <c r="S841">
        <v>7.0000000000000007E-2</v>
      </c>
      <c r="T841">
        <v>-0.27</v>
      </c>
      <c r="U841">
        <v>0.31</v>
      </c>
      <c r="V841">
        <v>0.16</v>
      </c>
      <c r="W841">
        <v>0.81</v>
      </c>
      <c r="X841" t="s">
        <v>13</v>
      </c>
      <c r="Y841" t="s">
        <v>9</v>
      </c>
      <c r="Z841" s="2" t="s">
        <v>718</v>
      </c>
      <c r="AA841" s="2" t="s">
        <v>721</v>
      </c>
    </row>
    <row r="842" spans="1:27" x14ac:dyDescent="0.35">
      <c r="A842" t="s">
        <v>1540</v>
      </c>
      <c r="B842" t="s">
        <v>1941</v>
      </c>
      <c r="C842" s="7" t="str">
        <f>_xlfn.XLOOKUP(B842,'[1]Sheet 1'!$A$2:$A$11107,'[1]Sheet 1'!$D$2:$D$11107,"",0)</f>
        <v>VSS</v>
      </c>
      <c r="D842" s="4" t="str">
        <f>_xlfn.XLOOKUP(A842,[3]Sheet2!$I$2:$I$1623,[3]Sheet2!$D$2:$D$1623,"",0)</f>
        <v>Q3</v>
      </c>
      <c r="F842" s="4" t="e">
        <f>_xlfn.XLOOKUP(B842,[2]Sheet2!$E$2:$E$713,[2]Sheet2!$G$2:$G$713)</f>
        <v>#N/A</v>
      </c>
      <c r="G842" s="22">
        <v>46154</v>
      </c>
      <c r="H842" s="23">
        <v>0.26682870370370371</v>
      </c>
      <c r="I842" t="s">
        <v>11</v>
      </c>
      <c r="J842" s="2" t="str">
        <f t="shared" si="67"/>
        <v>Q1</v>
      </c>
      <c r="K842" s="2" t="str">
        <f t="shared" si="68"/>
        <v>Not Match</v>
      </c>
      <c r="L842" s="1">
        <f t="shared" si="65"/>
        <v>0.15811388300841897</v>
      </c>
      <c r="M842" s="1" t="e">
        <f t="shared" si="66"/>
        <v>#N/A</v>
      </c>
      <c r="N842" s="2" t="str">
        <f t="shared" si="69"/>
        <v>Q NOT OK dE&lt;=0.8</v>
      </c>
      <c r="O842">
        <v>14.01</v>
      </c>
      <c r="P842">
        <v>-0.49</v>
      </c>
      <c r="Q842">
        <v>-1.6</v>
      </c>
      <c r="R842">
        <v>-0.22</v>
      </c>
      <c r="S842">
        <v>0.05</v>
      </c>
      <c r="T842">
        <v>0.15</v>
      </c>
      <c r="U842">
        <v>-0.21</v>
      </c>
      <c r="V842">
        <v>0</v>
      </c>
      <c r="W842">
        <v>0.31</v>
      </c>
      <c r="X842" t="s">
        <v>8</v>
      </c>
      <c r="Y842" t="s">
        <v>15</v>
      </c>
      <c r="Z842" s="2" t="s">
        <v>718</v>
      </c>
      <c r="AA842" s="2" t="s">
        <v>721</v>
      </c>
    </row>
    <row r="843" spans="1:27" x14ac:dyDescent="0.35">
      <c r="A843" t="s">
        <v>1540</v>
      </c>
      <c r="B843" t="s">
        <v>1834</v>
      </c>
      <c r="C843" s="7" t="str">
        <f>_xlfn.XLOOKUP(B843,'[1]Sheet 1'!$A$2:$A$11107,'[1]Sheet 1'!$D$2:$D$11107,"",0)</f>
        <v>VSS</v>
      </c>
      <c r="D843" s="4" t="str">
        <f>_xlfn.XLOOKUP(A843,[3]Sheet2!$I$2:$I$1623,[3]Sheet2!$D$2:$D$1623,"",0)</f>
        <v>Q3</v>
      </c>
      <c r="F843" s="4" t="e">
        <f>_xlfn.XLOOKUP(B843,[2]Sheet2!$E$2:$E$713,[2]Sheet2!$G$2:$G$713)</f>
        <v>#N/A</v>
      </c>
      <c r="G843" s="22">
        <v>46154</v>
      </c>
      <c r="H843" s="23">
        <v>0.38572916666666668</v>
      </c>
      <c r="I843" t="s">
        <v>10</v>
      </c>
      <c r="J843" s="2" t="str">
        <f t="shared" si="67"/>
        <v>Q1</v>
      </c>
      <c r="K843" s="2" t="str">
        <f t="shared" si="68"/>
        <v>Not Match</v>
      </c>
      <c r="L843" s="1">
        <f t="shared" si="65"/>
        <v>0.25495097567963926</v>
      </c>
      <c r="M843" s="1" t="e">
        <f t="shared" si="66"/>
        <v>#N/A</v>
      </c>
      <c r="N843" s="2" t="str">
        <f t="shared" si="69"/>
        <v>Q NOT OK dE&lt;=0.8</v>
      </c>
      <c r="O843">
        <v>14.43</v>
      </c>
      <c r="P843">
        <v>0.73</v>
      </c>
      <c r="Q843">
        <v>-1.1399999999999999</v>
      </c>
      <c r="R843">
        <v>-0.11</v>
      </c>
      <c r="S843">
        <v>0.23</v>
      </c>
      <c r="T843">
        <v>0.11</v>
      </c>
      <c r="U843">
        <v>0.01</v>
      </c>
      <c r="V843">
        <v>0.36</v>
      </c>
      <c r="W843">
        <v>0.37</v>
      </c>
      <c r="X843" t="s">
        <v>8</v>
      </c>
      <c r="Y843" t="s">
        <v>9</v>
      </c>
      <c r="Z843" s="2" t="s">
        <v>718</v>
      </c>
      <c r="AA843" s="2" t="s">
        <v>721</v>
      </c>
    </row>
    <row r="844" spans="1:27" x14ac:dyDescent="0.35">
      <c r="A844" t="s">
        <v>1500</v>
      </c>
      <c r="B844" t="s">
        <v>1936</v>
      </c>
      <c r="C844" s="7" t="str">
        <f>_xlfn.XLOOKUP(B844,'[1]Sheet 1'!$A$2:$A$11107,'[1]Sheet 1'!$D$2:$D$11107,"",0)</f>
        <v>LULU</v>
      </c>
      <c r="D844" s="4" t="str">
        <f>_xlfn.XLOOKUP(A844,[3]Sheet2!$I$2:$I$1623,[3]Sheet2!$D$2:$D$1623,"",0)</f>
        <v>Q2</v>
      </c>
      <c r="F844" s="4" t="e">
        <f>_xlfn.XLOOKUP(B844,[2]Sheet2!$E$2:$E$713,[2]Sheet2!$G$2:$G$713)</f>
        <v>#N/A</v>
      </c>
      <c r="G844" s="22">
        <v>46154</v>
      </c>
      <c r="H844" s="23">
        <v>5.5798611111111111E-2</v>
      </c>
      <c r="I844" t="s">
        <v>4</v>
      </c>
      <c r="J844" s="2" t="str">
        <f t="shared" si="67"/>
        <v>Q1</v>
      </c>
      <c r="K844" s="2" t="str">
        <f t="shared" si="68"/>
        <v>Not Match</v>
      </c>
      <c r="L844" s="1">
        <f t="shared" si="65"/>
        <v>0.34885527085024814</v>
      </c>
      <c r="M844" s="1" t="e">
        <f t="shared" si="66"/>
        <v>#N/A</v>
      </c>
      <c r="N844" s="2" t="str">
        <f t="shared" si="69"/>
        <v>Q NOT OK dE&lt;=0.8</v>
      </c>
      <c r="O844">
        <v>17.63</v>
      </c>
      <c r="P844">
        <v>-0.66</v>
      </c>
      <c r="Q844">
        <v>-0.85</v>
      </c>
      <c r="R844">
        <v>-0.39</v>
      </c>
      <c r="S844">
        <v>0.31</v>
      </c>
      <c r="T844">
        <v>0.16</v>
      </c>
      <c r="U844">
        <v>-0.44</v>
      </c>
      <c r="V844">
        <v>0.18</v>
      </c>
      <c r="W844">
        <v>0.62</v>
      </c>
      <c r="X844" t="s">
        <v>8</v>
      </c>
      <c r="Y844" t="s">
        <v>7</v>
      </c>
      <c r="Z844" s="2" t="s">
        <v>718</v>
      </c>
      <c r="AA844" s="2" t="s">
        <v>721</v>
      </c>
    </row>
    <row r="845" spans="1:27" x14ac:dyDescent="0.35">
      <c r="A845" t="s">
        <v>2145</v>
      </c>
      <c r="B845" t="s">
        <v>1943</v>
      </c>
      <c r="C845" s="7" t="str">
        <f>_xlfn.XLOOKUP(B845,'[1]Sheet 1'!$A$2:$A$11107,'[1]Sheet 1'!$D$2:$D$11107,"",0)</f>
        <v>VSS</v>
      </c>
      <c r="D845" s="4" t="str">
        <f>_xlfn.XLOOKUP(A845,[3]Sheet2!$I$2:$I$1623,[3]Sheet2!$D$2:$D$1623,"",0)</f>
        <v>Q3</v>
      </c>
      <c r="F845" s="4" t="e">
        <f>_xlfn.XLOOKUP(B845,[2]Sheet2!$E$2:$E$713,[2]Sheet2!$G$2:$G$713)</f>
        <v>#N/A</v>
      </c>
      <c r="G845" s="22">
        <v>46154</v>
      </c>
      <c r="H845" s="23">
        <v>0.70057870370370368</v>
      </c>
      <c r="I845" t="s">
        <v>10</v>
      </c>
      <c r="J845" s="2" t="str">
        <f t="shared" si="67"/>
        <v>Q4</v>
      </c>
      <c r="K845" s="2" t="str">
        <f t="shared" si="68"/>
        <v>Not Match</v>
      </c>
      <c r="L845" s="1">
        <f t="shared" si="65"/>
        <v>0.44407206622349032</v>
      </c>
      <c r="M845" s="1" t="e">
        <f t="shared" si="66"/>
        <v>#N/A</v>
      </c>
      <c r="N845" s="2" t="str">
        <f t="shared" si="69"/>
        <v>Q NOT OK dE&lt;=0.8</v>
      </c>
      <c r="O845">
        <v>46.36</v>
      </c>
      <c r="P845">
        <v>57.14</v>
      </c>
      <c r="Q845">
        <v>46.33</v>
      </c>
      <c r="R845">
        <v>-0.16</v>
      </c>
      <c r="S845">
        <v>0.06</v>
      </c>
      <c r="T845">
        <v>-0.44</v>
      </c>
      <c r="U845">
        <v>-0.08</v>
      </c>
      <c r="V845">
        <v>-0.27</v>
      </c>
      <c r="W845">
        <v>0.32</v>
      </c>
      <c r="X845" t="s">
        <v>8</v>
      </c>
      <c r="Y845" t="s">
        <v>7</v>
      </c>
      <c r="Z845" s="2" t="s">
        <v>718</v>
      </c>
      <c r="AA845" s="2" t="s">
        <v>721</v>
      </c>
    </row>
    <row r="846" spans="1:27" x14ac:dyDescent="0.35">
      <c r="A846" t="s">
        <v>1722</v>
      </c>
      <c r="B846" t="s">
        <v>1842</v>
      </c>
      <c r="C846" s="7" t="str">
        <f>_xlfn.XLOOKUP(B846,'[1]Sheet 1'!$A$2:$A$11107,'[1]Sheet 1'!$D$2:$D$11107,"",0)</f>
        <v>CK</v>
      </c>
      <c r="D846" s="4" t="str">
        <f>_xlfn.XLOOKUP(A846,[3]Sheet2!$I$2:$I$1623,[3]Sheet2!$D$2:$D$1623,"",0)</f>
        <v>Q4</v>
      </c>
      <c r="F846" s="4" t="e">
        <f>_xlfn.XLOOKUP(B846,[2]Sheet2!$E$2:$E$713,[2]Sheet2!$G$2:$G$713)</f>
        <v>#N/A</v>
      </c>
      <c r="G846" s="22">
        <v>46155</v>
      </c>
      <c r="H846" s="23">
        <v>0.67136574074074074</v>
      </c>
      <c r="I846" t="s">
        <v>11</v>
      </c>
      <c r="J846" s="2" t="str">
        <f t="shared" si="67"/>
        <v>Q1</v>
      </c>
      <c r="K846" s="2" t="str">
        <f t="shared" si="68"/>
        <v>Not Match</v>
      </c>
      <c r="L846" s="1">
        <f t="shared" si="65"/>
        <v>2.1124866863485789</v>
      </c>
      <c r="M846" s="1" t="e">
        <f t="shared" si="66"/>
        <v>#N/A</v>
      </c>
      <c r="N846" s="2" t="str">
        <f t="shared" si="69"/>
        <v>Q NOT OK dE&gt;0.8</v>
      </c>
      <c r="O846">
        <v>42.36</v>
      </c>
      <c r="P846">
        <v>41.34</v>
      </c>
      <c r="Q846">
        <v>27.49</v>
      </c>
      <c r="R846">
        <v>0.25</v>
      </c>
      <c r="S846">
        <v>0.65</v>
      </c>
      <c r="T846">
        <v>2.0099999999999998</v>
      </c>
      <c r="U846">
        <v>0.65</v>
      </c>
      <c r="V846">
        <v>1.02</v>
      </c>
      <c r="W846">
        <v>1.24</v>
      </c>
      <c r="X846" t="s">
        <v>6</v>
      </c>
      <c r="Y846" t="s">
        <v>12</v>
      </c>
      <c r="Z846" s="2" t="s">
        <v>718</v>
      </c>
      <c r="AA846" s="2" t="s">
        <v>721</v>
      </c>
    </row>
    <row r="847" spans="1:27" x14ac:dyDescent="0.35">
      <c r="A847" t="s">
        <v>1608</v>
      </c>
      <c r="B847" t="s">
        <v>1841</v>
      </c>
      <c r="C847" s="7" t="str">
        <f>_xlfn.XLOOKUP(B847,'[1]Sheet 1'!$A$2:$A$11107,'[1]Sheet 1'!$D$2:$D$11107,"",0)</f>
        <v>WACE</v>
      </c>
      <c r="D847" s="4">
        <v>0</v>
      </c>
      <c r="F847" s="4" t="e">
        <f>_xlfn.XLOOKUP(B847,[2]Sheet2!$E$2:$E$713,[2]Sheet2!$G$2:$G$713)</f>
        <v>#N/A</v>
      </c>
      <c r="G847" s="22">
        <v>46155</v>
      </c>
      <c r="H847" s="23">
        <v>0.61731481481481476</v>
      </c>
      <c r="I847" t="s">
        <v>4</v>
      </c>
      <c r="J847" s="2" t="str">
        <f t="shared" si="67"/>
        <v>Q4</v>
      </c>
      <c r="K847" s="2" t="str">
        <f t="shared" si="68"/>
        <v>Not Found</v>
      </c>
      <c r="L847" s="1">
        <f t="shared" si="65"/>
        <v>7.6157731058639086E-2</v>
      </c>
      <c r="M847" s="1" t="e">
        <f t="shared" si="66"/>
        <v>#N/A</v>
      </c>
      <c r="N847" s="2" t="str">
        <f t="shared" si="69"/>
        <v>Quadrant not assigned</v>
      </c>
      <c r="O847">
        <v>16.34</v>
      </c>
      <c r="P847">
        <v>-0.13</v>
      </c>
      <c r="Q847">
        <v>-1.05</v>
      </c>
      <c r="R847">
        <v>0.28999999999999998</v>
      </c>
      <c r="S847">
        <v>0.03</v>
      </c>
      <c r="T847">
        <v>-7.0000000000000007E-2</v>
      </c>
      <c r="U847">
        <v>0.1</v>
      </c>
      <c r="V847">
        <v>0.06</v>
      </c>
      <c r="W847">
        <v>0.31</v>
      </c>
      <c r="X847" t="s">
        <v>8</v>
      </c>
      <c r="Y847" t="s">
        <v>9</v>
      </c>
      <c r="Z847" s="2" t="s">
        <v>718</v>
      </c>
      <c r="AA847" s="2" t="s">
        <v>721</v>
      </c>
    </row>
    <row r="848" spans="1:27" x14ac:dyDescent="0.35">
      <c r="A848" t="s">
        <v>1817</v>
      </c>
      <c r="B848" t="s">
        <v>1951</v>
      </c>
      <c r="C848" s="7" t="str">
        <f>_xlfn.XLOOKUP(B848,'[1]Sheet 1'!$A$2:$A$11107,'[1]Sheet 1'!$D$2:$D$11107,"",0)</f>
        <v>LULU</v>
      </c>
      <c r="D848" s="4" t="str">
        <f>_xlfn.XLOOKUP(A848,[3]Sheet2!$I$2:$I$1623,[3]Sheet2!$D$2:$D$1623,"",0)</f>
        <v>Q3</v>
      </c>
      <c r="F848" s="4" t="e">
        <f>_xlfn.XLOOKUP(B848,[2]Sheet2!$E$2:$E$713,[2]Sheet2!$G$2:$G$713)</f>
        <v>#N/A</v>
      </c>
      <c r="G848" s="22">
        <v>46155</v>
      </c>
      <c r="H848" s="23">
        <v>0.21315972222222221</v>
      </c>
      <c r="I848" t="s">
        <v>4</v>
      </c>
      <c r="J848" s="2" t="str">
        <f t="shared" si="67"/>
        <v>Q2</v>
      </c>
      <c r="K848" s="2" t="str">
        <f t="shared" si="68"/>
        <v>Not Match</v>
      </c>
      <c r="L848" s="1">
        <f t="shared" si="65"/>
        <v>1.4000357138301864</v>
      </c>
      <c r="M848" s="1" t="e">
        <f t="shared" si="66"/>
        <v>#N/A</v>
      </c>
      <c r="N848" s="2" t="str">
        <f t="shared" si="69"/>
        <v>Q NOT OK dE&gt;0.8</v>
      </c>
      <c r="O848">
        <v>31.05</v>
      </c>
      <c r="P848">
        <v>46.44</v>
      </c>
      <c r="Q848">
        <v>20.81</v>
      </c>
      <c r="R848">
        <v>-0.43</v>
      </c>
      <c r="S848">
        <v>-0.01</v>
      </c>
      <c r="T848">
        <v>1.4</v>
      </c>
      <c r="U848">
        <v>0.21</v>
      </c>
      <c r="V848">
        <v>0.87</v>
      </c>
      <c r="W848">
        <v>1</v>
      </c>
      <c r="X848" t="s">
        <v>13</v>
      </c>
      <c r="Y848" t="s">
        <v>12</v>
      </c>
      <c r="Z848" s="2" t="s">
        <v>718</v>
      </c>
      <c r="AA848" s="2" t="s">
        <v>721</v>
      </c>
    </row>
    <row r="849" spans="1:27" x14ac:dyDescent="0.35">
      <c r="A849" t="s">
        <v>1790</v>
      </c>
      <c r="B849" t="s">
        <v>1954</v>
      </c>
      <c r="C849" s="7" t="str">
        <f>_xlfn.XLOOKUP(B849,'[1]Sheet 1'!$A$2:$A$11107,'[1]Sheet 1'!$D$2:$D$11107,"",0)</f>
        <v>LULU</v>
      </c>
      <c r="D849" s="4" t="str">
        <f>_xlfn.XLOOKUP(A849,[3]Sheet2!$I$2:$I$1623,[3]Sheet2!$D$2:$D$1623,"",0)</f>
        <v>Q1</v>
      </c>
      <c r="F849" s="4" t="e">
        <f>_xlfn.XLOOKUP(B849,[2]Sheet2!$E$2:$E$713,[2]Sheet2!$G$2:$G$713)</f>
        <v>#N/A</v>
      </c>
      <c r="G849" s="22">
        <v>46155</v>
      </c>
      <c r="H849" s="23">
        <v>0.75150462962962961</v>
      </c>
      <c r="I849" t="s">
        <v>4</v>
      </c>
      <c r="J849" s="2" t="str">
        <f t="shared" si="67"/>
        <v>Q1</v>
      </c>
      <c r="K849" s="2" t="str">
        <f t="shared" si="68"/>
        <v>Match</v>
      </c>
      <c r="L849" s="1">
        <f t="shared" si="65"/>
        <v>0.15652475842498528</v>
      </c>
      <c r="M849" s="1" t="e">
        <f t="shared" si="66"/>
        <v>#N/A</v>
      </c>
      <c r="N849" s="2" t="str">
        <f t="shared" si="69"/>
        <v>Q OK dE&lt;=0.8</v>
      </c>
      <c r="O849">
        <v>20.99</v>
      </c>
      <c r="P849">
        <v>6.46</v>
      </c>
      <c r="Q849">
        <v>-9.8800000000000008</v>
      </c>
      <c r="R849">
        <v>-0.68</v>
      </c>
      <c r="S849">
        <v>0.14000000000000001</v>
      </c>
      <c r="T849">
        <v>7.0000000000000007E-2</v>
      </c>
      <c r="U849">
        <v>0.01</v>
      </c>
      <c r="V849">
        <v>0.19</v>
      </c>
      <c r="W849">
        <v>0.7</v>
      </c>
      <c r="X849" t="s">
        <v>8</v>
      </c>
      <c r="Y849" t="s">
        <v>9</v>
      </c>
      <c r="Z849" s="2" t="s">
        <v>718</v>
      </c>
      <c r="AA849" s="2" t="s">
        <v>721</v>
      </c>
    </row>
    <row r="850" spans="1:27" x14ac:dyDescent="0.35">
      <c r="A850" t="s">
        <v>1790</v>
      </c>
      <c r="B850" t="s">
        <v>1952</v>
      </c>
      <c r="C850" s="7" t="str">
        <f>_xlfn.XLOOKUP(B850,'[1]Sheet 1'!$A$2:$A$11107,'[1]Sheet 1'!$D$2:$D$11107,"",0)</f>
        <v>LULU</v>
      </c>
      <c r="D850" s="4" t="str">
        <f>_xlfn.XLOOKUP(A850,[3]Sheet2!$I$2:$I$1623,[3]Sheet2!$D$2:$D$1623,"",0)</f>
        <v>Q1</v>
      </c>
      <c r="F850" s="4" t="e">
        <f>_xlfn.XLOOKUP(B850,[2]Sheet2!$E$2:$E$713,[2]Sheet2!$G$2:$G$713)</f>
        <v>#N/A</v>
      </c>
      <c r="G850" s="22">
        <v>46155</v>
      </c>
      <c r="H850" s="23">
        <v>0.27962962962962962</v>
      </c>
      <c r="I850" t="s">
        <v>4</v>
      </c>
      <c r="J850" s="2" t="str">
        <f t="shared" si="67"/>
        <v>Q2</v>
      </c>
      <c r="K850" s="2" t="str">
        <f t="shared" si="68"/>
        <v>Not Match</v>
      </c>
      <c r="L850" s="1">
        <f t="shared" si="65"/>
        <v>0.17117242768623692</v>
      </c>
      <c r="M850" s="1" t="e">
        <f t="shared" si="66"/>
        <v>#N/A</v>
      </c>
      <c r="N850" s="2" t="str">
        <f t="shared" si="69"/>
        <v>Q NOT OK dE&gt;0.8</v>
      </c>
      <c r="O850">
        <v>20.350000000000001</v>
      </c>
      <c r="P850">
        <v>6.3</v>
      </c>
      <c r="Q850">
        <v>-9.7799999999999994</v>
      </c>
      <c r="R850">
        <v>-1.18</v>
      </c>
      <c r="S850">
        <v>-0.02</v>
      </c>
      <c r="T850">
        <v>0.17</v>
      </c>
      <c r="U850">
        <v>-0.12</v>
      </c>
      <c r="V850">
        <v>0.09</v>
      </c>
      <c r="W850">
        <v>1.19</v>
      </c>
      <c r="X850" t="s">
        <v>6</v>
      </c>
      <c r="Y850" t="s">
        <v>9</v>
      </c>
      <c r="Z850" s="2" t="s">
        <v>718</v>
      </c>
      <c r="AA850" s="2" t="s">
        <v>721</v>
      </c>
    </row>
    <row r="851" spans="1:27" x14ac:dyDescent="0.35">
      <c r="A851" t="s">
        <v>1650</v>
      </c>
      <c r="B851" t="s">
        <v>1839</v>
      </c>
      <c r="C851" s="7" t="str">
        <f>_xlfn.XLOOKUP(B851,'[1]Sheet 1'!$A$2:$A$11107,'[1]Sheet 1'!$D$2:$D$11107,"",0)</f>
        <v>WACE</v>
      </c>
      <c r="D851" s="4" t="str">
        <f>_xlfn.XLOOKUP(A851,[3]Sheet2!$I$2:$I$1623,[3]Sheet2!$D$2:$D$1623,"",0)</f>
        <v>Q4</v>
      </c>
      <c r="F851" s="4" t="e">
        <f>_xlfn.XLOOKUP(B851,[2]Sheet2!$E$2:$E$713,[2]Sheet2!$G$2:$G$713)</f>
        <v>#N/A</v>
      </c>
      <c r="G851" s="22">
        <v>46155</v>
      </c>
      <c r="H851" s="23">
        <v>0.52240740740740743</v>
      </c>
      <c r="I851" t="s">
        <v>4</v>
      </c>
      <c r="J851" s="2" t="str">
        <f t="shared" si="67"/>
        <v>Q4</v>
      </c>
      <c r="K851" s="2" t="str">
        <f t="shared" si="68"/>
        <v>Match</v>
      </c>
      <c r="L851" s="1">
        <f t="shared" si="65"/>
        <v>0.15811388300841897</v>
      </c>
      <c r="M851" s="1" t="e">
        <f t="shared" si="66"/>
        <v>#N/A</v>
      </c>
      <c r="N851" s="2" t="str">
        <f t="shared" si="69"/>
        <v>Q OK dE&lt;=0.8</v>
      </c>
      <c r="O851">
        <v>16.86</v>
      </c>
      <c r="P851">
        <v>-0.42</v>
      </c>
      <c r="Q851">
        <v>-2.4</v>
      </c>
      <c r="R851">
        <v>-0.31</v>
      </c>
      <c r="S851">
        <v>0.05</v>
      </c>
      <c r="T851">
        <v>-0.15</v>
      </c>
      <c r="U851">
        <v>0.18</v>
      </c>
      <c r="V851">
        <v>0.1</v>
      </c>
      <c r="W851">
        <v>0.38</v>
      </c>
      <c r="X851" t="s">
        <v>8</v>
      </c>
      <c r="Y851" t="s">
        <v>9</v>
      </c>
      <c r="Z851" s="2" t="s">
        <v>718</v>
      </c>
      <c r="AA851" s="2" t="s">
        <v>721</v>
      </c>
    </row>
    <row r="852" spans="1:27" x14ac:dyDescent="0.35">
      <c r="A852" t="s">
        <v>1802</v>
      </c>
      <c r="B852" t="s">
        <v>1838</v>
      </c>
      <c r="C852" s="7" t="str">
        <f>_xlfn.XLOOKUP(B852,'[1]Sheet 1'!$A$2:$A$11107,'[1]Sheet 1'!$D$2:$D$11107,"",0)</f>
        <v>LULU</v>
      </c>
      <c r="D852" s="4" t="str">
        <f>_xlfn.XLOOKUP(A852,[3]Sheet2!$I$2:$I$1623,[3]Sheet2!$D$2:$D$1623,"",0)</f>
        <v>Q3</v>
      </c>
      <c r="F852" s="4" t="e">
        <f>_xlfn.XLOOKUP(B852,[2]Sheet2!$E$2:$E$713,[2]Sheet2!$G$2:$G$713)</f>
        <v>#N/A</v>
      </c>
      <c r="G852" s="22">
        <v>46155</v>
      </c>
      <c r="H852" s="23">
        <v>0.49844907407407407</v>
      </c>
      <c r="I852" t="s">
        <v>4</v>
      </c>
      <c r="J852" s="2" t="str">
        <f t="shared" si="67"/>
        <v>Q3</v>
      </c>
      <c r="K852" s="2" t="str">
        <f t="shared" si="68"/>
        <v>Match</v>
      </c>
      <c r="L852" s="1">
        <f t="shared" si="65"/>
        <v>0.26</v>
      </c>
      <c r="M852" s="1" t="e">
        <f t="shared" si="66"/>
        <v>#N/A</v>
      </c>
      <c r="N852" s="2" t="str">
        <f t="shared" si="69"/>
        <v>Q OK dE&gt;0.8</v>
      </c>
      <c r="O852">
        <v>22.31</v>
      </c>
      <c r="P852">
        <v>7.94</v>
      </c>
      <c r="Q852">
        <v>0.56000000000000005</v>
      </c>
      <c r="R852">
        <v>-0.84</v>
      </c>
      <c r="S852">
        <v>-0.1</v>
      </c>
      <c r="T852">
        <v>-0.24</v>
      </c>
      <c r="U852">
        <v>-0.11</v>
      </c>
      <c r="V852">
        <v>-0.28999999999999998</v>
      </c>
      <c r="W852">
        <v>0.89</v>
      </c>
      <c r="X852" t="s">
        <v>13</v>
      </c>
      <c r="Y852" t="s">
        <v>7</v>
      </c>
      <c r="Z852" s="2" t="s">
        <v>718</v>
      </c>
      <c r="AA852" s="2" t="s">
        <v>721</v>
      </c>
    </row>
    <row r="853" spans="1:27" x14ac:dyDescent="0.35">
      <c r="A853" t="s">
        <v>1802</v>
      </c>
      <c r="B853" t="s">
        <v>1840</v>
      </c>
      <c r="C853" s="7" t="str">
        <f>_xlfn.XLOOKUP(B853,'[1]Sheet 1'!$A$2:$A$11107,'[1]Sheet 1'!$D$2:$D$11107,"",0)</f>
        <v>LULU</v>
      </c>
      <c r="D853" s="4" t="str">
        <f>_xlfn.XLOOKUP(A853,[3]Sheet2!$I$2:$I$1623,[3]Sheet2!$D$2:$D$1623,"",0)</f>
        <v>Q3</v>
      </c>
      <c r="F853" s="4" t="e">
        <f>_xlfn.XLOOKUP(B853,[2]Sheet2!$E$2:$E$713,[2]Sheet2!$G$2:$G$713)</f>
        <v>#N/A</v>
      </c>
      <c r="G853" s="22">
        <v>46155</v>
      </c>
      <c r="H853" s="23">
        <v>0.60025462962962961</v>
      </c>
      <c r="I853" t="s">
        <v>4</v>
      </c>
      <c r="J853" s="2" t="str">
        <f t="shared" si="67"/>
        <v>Q2</v>
      </c>
      <c r="K853" s="2" t="str">
        <f t="shared" si="68"/>
        <v>Not Match</v>
      </c>
      <c r="L853" s="1">
        <f t="shared" si="65"/>
        <v>0.60033324079214534</v>
      </c>
      <c r="M853" s="1" t="e">
        <f t="shared" si="66"/>
        <v>#N/A</v>
      </c>
      <c r="N853" s="2" t="str">
        <f t="shared" si="69"/>
        <v>Q NOT OK dE&gt;0.8</v>
      </c>
      <c r="O853">
        <v>22.21</v>
      </c>
      <c r="P853">
        <v>8.0299999999999994</v>
      </c>
      <c r="Q853">
        <v>1.39</v>
      </c>
      <c r="R853">
        <v>-0.92</v>
      </c>
      <c r="S853">
        <v>-0.02</v>
      </c>
      <c r="T853">
        <v>0.6</v>
      </c>
      <c r="U853">
        <v>0.06</v>
      </c>
      <c r="V853">
        <v>0.75</v>
      </c>
      <c r="W853">
        <v>1.18</v>
      </c>
      <c r="X853" t="s">
        <v>6</v>
      </c>
      <c r="Y853" t="s">
        <v>9</v>
      </c>
      <c r="Z853" s="2" t="s">
        <v>718</v>
      </c>
      <c r="AA853" s="2" t="s">
        <v>721</v>
      </c>
    </row>
    <row r="854" spans="1:27" x14ac:dyDescent="0.35">
      <c r="A854" t="s">
        <v>1797</v>
      </c>
      <c r="B854" t="s">
        <v>1843</v>
      </c>
      <c r="C854" s="7" t="str">
        <f>_xlfn.XLOOKUP(B854,'[1]Sheet 1'!$A$2:$A$11107,'[1]Sheet 1'!$D$2:$D$11107,"",0)</f>
        <v>LULU</v>
      </c>
      <c r="D854" s="4" t="str">
        <f>_xlfn.XLOOKUP(A854,[3]Sheet2!$I$2:$I$1623,[3]Sheet2!$D$2:$D$1623,"",0)</f>
        <v>Q4</v>
      </c>
      <c r="F854" s="4" t="e">
        <f>_xlfn.XLOOKUP(B854,[2]Sheet2!$E$2:$E$713,[2]Sheet2!$G$2:$G$713)</f>
        <v>#N/A</v>
      </c>
      <c r="G854" s="22">
        <v>46155</v>
      </c>
      <c r="H854" s="23">
        <v>0.67629629629629628</v>
      </c>
      <c r="I854" t="s">
        <v>4</v>
      </c>
      <c r="J854" s="2" t="str">
        <f t="shared" si="67"/>
        <v>Q4</v>
      </c>
      <c r="K854" s="2" t="str">
        <f t="shared" si="68"/>
        <v>Match</v>
      </c>
      <c r="L854" s="1">
        <f t="shared" si="65"/>
        <v>0.28178005607210743</v>
      </c>
      <c r="M854" s="1" t="e">
        <f t="shared" si="66"/>
        <v>#N/A</v>
      </c>
      <c r="N854" s="2" t="str">
        <f t="shared" si="69"/>
        <v>Q OK dE&lt;=0.8</v>
      </c>
      <c r="O854">
        <v>28.65</v>
      </c>
      <c r="P854">
        <v>-11.24</v>
      </c>
      <c r="Q854">
        <v>1.79</v>
      </c>
      <c r="R854">
        <v>-0.19</v>
      </c>
      <c r="S854">
        <v>0.25</v>
      </c>
      <c r="T854">
        <v>-0.13</v>
      </c>
      <c r="U854">
        <v>-0.21</v>
      </c>
      <c r="V854">
        <v>0.09</v>
      </c>
      <c r="W854">
        <v>0.28999999999999998</v>
      </c>
      <c r="X854" t="s">
        <v>8</v>
      </c>
      <c r="Y854" t="s">
        <v>7</v>
      </c>
      <c r="Z854" s="2" t="s">
        <v>718</v>
      </c>
      <c r="AA854" s="2" t="s">
        <v>721</v>
      </c>
    </row>
    <row r="855" spans="1:27" x14ac:dyDescent="0.35">
      <c r="A855" t="s">
        <v>1662</v>
      </c>
      <c r="B855" t="s">
        <v>1948</v>
      </c>
      <c r="C855" s="7" t="str">
        <f>_xlfn.XLOOKUP(B855,'[1]Sheet 1'!$A$2:$A$11107,'[1]Sheet 1'!$D$2:$D$11107,"",0)</f>
        <v>CK</v>
      </c>
      <c r="D855" s="4" t="str">
        <f>_xlfn.XLOOKUP(A855,[3]Sheet2!$I$2:$I$1623,[3]Sheet2!$D$2:$D$1623,"",0)</f>
        <v>Q1</v>
      </c>
      <c r="F855" s="4" t="e">
        <f>_xlfn.XLOOKUP(B855,[2]Sheet2!$E$2:$E$713,[2]Sheet2!$G$2:$G$713)</f>
        <v>#N/A</v>
      </c>
      <c r="G855" s="22">
        <v>46155</v>
      </c>
      <c r="H855" s="23">
        <v>0.11599537037037037</v>
      </c>
      <c r="I855" t="s">
        <v>11</v>
      </c>
      <c r="J855" s="2" t="str">
        <f t="shared" si="67"/>
        <v>Q4</v>
      </c>
      <c r="K855" s="2" t="str">
        <f t="shared" si="68"/>
        <v>Not Match</v>
      </c>
      <c r="L855" s="1">
        <f t="shared" si="65"/>
        <v>0.21260291625469299</v>
      </c>
      <c r="M855" s="1" t="e">
        <f t="shared" si="66"/>
        <v>#N/A</v>
      </c>
      <c r="N855" s="2" t="str">
        <f t="shared" si="69"/>
        <v>Q NOT OK dE&lt;=0.8</v>
      </c>
      <c r="O855">
        <v>17.07</v>
      </c>
      <c r="P855">
        <v>-1.25</v>
      </c>
      <c r="Q855">
        <v>-2.83</v>
      </c>
      <c r="R855">
        <v>0.1</v>
      </c>
      <c r="S855">
        <v>0.16</v>
      </c>
      <c r="T855">
        <v>-0.14000000000000001</v>
      </c>
      <c r="U855">
        <v>7.0000000000000007E-2</v>
      </c>
      <c r="V855">
        <v>0.26</v>
      </c>
      <c r="W855">
        <v>0.28999999999999998</v>
      </c>
      <c r="X855" t="s">
        <v>8</v>
      </c>
      <c r="Y855" t="s">
        <v>9</v>
      </c>
      <c r="Z855" s="2" t="s">
        <v>718</v>
      </c>
      <c r="AA855" s="2" t="s">
        <v>721</v>
      </c>
    </row>
    <row r="856" spans="1:27" x14ac:dyDescent="0.35">
      <c r="A856" t="s">
        <v>1773</v>
      </c>
      <c r="B856" t="s">
        <v>1953</v>
      </c>
      <c r="C856" s="7" t="str">
        <f>_xlfn.XLOOKUP(B856,'[1]Sheet 1'!$A$2:$A$11107,'[1]Sheet 1'!$D$2:$D$11107,"",0)</f>
        <v>NKSKI</v>
      </c>
      <c r="D856" s="4" t="str">
        <f>_xlfn.XLOOKUP(A856,[3]Sheet2!$I$2:$I$1623,[3]Sheet2!$D$2:$D$1623,"",0)</f>
        <v>Q3</v>
      </c>
      <c r="F856" s="4" t="e">
        <f>_xlfn.XLOOKUP(B856,[2]Sheet2!$E$2:$E$713,[2]Sheet2!$G$2:$G$713)</f>
        <v>#N/A</v>
      </c>
      <c r="G856" s="22">
        <v>46155</v>
      </c>
      <c r="H856" s="23">
        <v>0.36149305555555555</v>
      </c>
      <c r="I856" t="s">
        <v>4</v>
      </c>
      <c r="J856" s="2" t="str">
        <f t="shared" si="67"/>
        <v>Q1</v>
      </c>
      <c r="K856" s="2" t="str">
        <f t="shared" si="68"/>
        <v>Not Match</v>
      </c>
      <c r="L856" s="1">
        <f t="shared" si="65"/>
        <v>9.8488578017961043E-2</v>
      </c>
      <c r="M856" s="1" t="e">
        <f t="shared" si="66"/>
        <v>#N/A</v>
      </c>
      <c r="N856" s="2" t="str">
        <f t="shared" si="69"/>
        <v>Q NOT OK dE&lt;=0.8</v>
      </c>
      <c r="O856">
        <v>18.079999999999998</v>
      </c>
      <c r="P856">
        <v>-1.1299999999999999</v>
      </c>
      <c r="Q856">
        <v>-2.8</v>
      </c>
      <c r="R856">
        <v>0.56999999999999995</v>
      </c>
      <c r="S856">
        <v>0.09</v>
      </c>
      <c r="T856">
        <v>0.04</v>
      </c>
      <c r="U856">
        <v>-0.08</v>
      </c>
      <c r="V856">
        <v>0.09</v>
      </c>
      <c r="W856">
        <v>0.59</v>
      </c>
      <c r="X856" t="s">
        <v>8</v>
      </c>
      <c r="Y856" t="s">
        <v>9</v>
      </c>
      <c r="Z856" s="2" t="s">
        <v>718</v>
      </c>
      <c r="AA856" s="2" t="s">
        <v>721</v>
      </c>
    </row>
    <row r="857" spans="1:27" x14ac:dyDescent="0.35">
      <c r="A857" t="s">
        <v>1722</v>
      </c>
      <c r="B857" t="s">
        <v>1940</v>
      </c>
      <c r="C857" s="7" t="str">
        <f>_xlfn.XLOOKUP(B857,'[1]Sheet 1'!$A$2:$A$11107,'[1]Sheet 1'!$D$2:$D$11107,"",0)</f>
        <v>CK</v>
      </c>
      <c r="D857" s="4" t="str">
        <f>_xlfn.XLOOKUP(A857,[3]Sheet2!$I$2:$I$1623,[3]Sheet2!$D$2:$D$1623,"",0)</f>
        <v>Q4</v>
      </c>
      <c r="F857" s="4" t="e">
        <f>_xlfn.XLOOKUP(B857,[2]Sheet2!$E$2:$E$713,[2]Sheet2!$G$2:$G$713)</f>
        <v>#N/A</v>
      </c>
      <c r="G857" s="22">
        <v>46155</v>
      </c>
      <c r="H857" s="23">
        <v>0.77234953703703701</v>
      </c>
      <c r="I857" t="s">
        <v>11</v>
      </c>
      <c r="J857" s="2" t="str">
        <f t="shared" si="67"/>
        <v>Q3</v>
      </c>
      <c r="K857" s="2" t="str">
        <f t="shared" si="68"/>
        <v>Not Match</v>
      </c>
      <c r="L857" s="1">
        <f t="shared" si="65"/>
        <v>1.3689411966918084</v>
      </c>
      <c r="M857" s="1" t="e">
        <f t="shared" si="66"/>
        <v>#N/A</v>
      </c>
      <c r="N857" s="2" t="str">
        <f t="shared" si="69"/>
        <v>Q NOT OK dE&lt;=0.8</v>
      </c>
      <c r="O857">
        <v>41.9</v>
      </c>
      <c r="P857">
        <v>40.11</v>
      </c>
      <c r="Q857">
        <v>24.24</v>
      </c>
      <c r="R857">
        <v>0.01</v>
      </c>
      <c r="S857">
        <v>-0.57999999999999996</v>
      </c>
      <c r="T857">
        <v>-1.24</v>
      </c>
      <c r="U857">
        <v>-0.45</v>
      </c>
      <c r="V857">
        <v>-0.57999999999999996</v>
      </c>
      <c r="W857">
        <v>0.74</v>
      </c>
      <c r="X857" t="s">
        <v>8</v>
      </c>
      <c r="Y857" t="s">
        <v>7</v>
      </c>
      <c r="Z857" s="2" t="s">
        <v>718</v>
      </c>
      <c r="AA857" s="2" t="s">
        <v>721</v>
      </c>
    </row>
    <row r="858" spans="1:27" x14ac:dyDescent="0.35">
      <c r="A858" t="s">
        <v>2146</v>
      </c>
      <c r="B858" t="s">
        <v>1949</v>
      </c>
      <c r="C858" s="7" t="str">
        <f>_xlfn.XLOOKUP(B858,'[1]Sheet 1'!$A$2:$A$11107,'[1]Sheet 1'!$D$2:$D$11107,"",0)</f>
        <v>WACE</v>
      </c>
      <c r="D858" s="4">
        <v>0</v>
      </c>
      <c r="F858" s="4" t="e">
        <f>_xlfn.XLOOKUP(B858,[2]Sheet2!$E$2:$E$713,[2]Sheet2!$G$2:$G$713)</f>
        <v>#N/A</v>
      </c>
      <c r="G858" s="22">
        <v>46155</v>
      </c>
      <c r="H858" s="23">
        <v>0.11877314814814814</v>
      </c>
      <c r="I858" t="s">
        <v>4</v>
      </c>
      <c r="J858" s="2" t="str">
        <f t="shared" si="67"/>
        <v>Q3</v>
      </c>
      <c r="K858" s="2" t="str">
        <f t="shared" si="68"/>
        <v>Not Found</v>
      </c>
      <c r="L858" s="1">
        <f t="shared" si="65"/>
        <v>0.49819674828324606</v>
      </c>
      <c r="M858" s="1" t="e">
        <f t="shared" si="66"/>
        <v>#N/A</v>
      </c>
      <c r="N858" s="2" t="str">
        <f t="shared" si="69"/>
        <v>Quadrant not assigned</v>
      </c>
      <c r="O858">
        <v>27.44</v>
      </c>
      <c r="P858">
        <v>-14.78</v>
      </c>
      <c r="Q858">
        <v>-6.05</v>
      </c>
      <c r="R858">
        <v>-0.71</v>
      </c>
      <c r="S858">
        <v>-0.31</v>
      </c>
      <c r="T858">
        <v>-0.39</v>
      </c>
      <c r="U858">
        <v>0.3</v>
      </c>
      <c r="V858">
        <v>0.22</v>
      </c>
      <c r="W858">
        <v>0.8</v>
      </c>
      <c r="X858" t="s">
        <v>13</v>
      </c>
      <c r="Y858" t="s">
        <v>7</v>
      </c>
      <c r="Z858" s="2" t="s">
        <v>718</v>
      </c>
      <c r="AA858" s="2" t="s">
        <v>721</v>
      </c>
    </row>
    <row r="859" spans="1:27" x14ac:dyDescent="0.35">
      <c r="A859" t="s">
        <v>1668</v>
      </c>
      <c r="B859" t="s">
        <v>1950</v>
      </c>
      <c r="C859" s="7" t="str">
        <f>_xlfn.XLOOKUP(B859,'[1]Sheet 1'!$A$2:$A$11107,'[1]Sheet 1'!$D$2:$D$11107,"",0)</f>
        <v>VSS</v>
      </c>
      <c r="D859" s="4" t="str">
        <f>_xlfn.XLOOKUP(A859,[3]Sheet2!$I$2:$I$1623,[3]Sheet2!$D$2:$D$1623,"",0)</f>
        <v>Q4</v>
      </c>
      <c r="F859" s="4" t="e">
        <f>_xlfn.XLOOKUP(B859,[2]Sheet2!$E$2:$E$713,[2]Sheet2!$G$2:$G$713)</f>
        <v>#N/A</v>
      </c>
      <c r="G859" s="22">
        <v>46155</v>
      </c>
      <c r="H859" s="23">
        <v>0.21031250000000001</v>
      </c>
      <c r="I859" t="s">
        <v>10</v>
      </c>
      <c r="J859" s="2" t="str">
        <f t="shared" si="67"/>
        <v>Q1</v>
      </c>
      <c r="K859" s="2" t="str">
        <f t="shared" si="68"/>
        <v>Not Match</v>
      </c>
      <c r="L859" s="1">
        <f t="shared" si="65"/>
        <v>0.80156097709406993</v>
      </c>
      <c r="M859" s="1" t="e">
        <f t="shared" si="66"/>
        <v>#N/A</v>
      </c>
      <c r="N859" s="2" t="str">
        <f t="shared" si="69"/>
        <v>Q NOT OK dE&lt;=0.8</v>
      </c>
      <c r="O859">
        <v>51.06</v>
      </c>
      <c r="P859">
        <v>48.38</v>
      </c>
      <c r="Q859">
        <v>-1.46</v>
      </c>
      <c r="R859">
        <v>-0.28000000000000003</v>
      </c>
      <c r="S859">
        <v>0.44</v>
      </c>
      <c r="T859">
        <v>0.67</v>
      </c>
      <c r="U859">
        <v>0.17</v>
      </c>
      <c r="V859">
        <v>0.39</v>
      </c>
      <c r="W859">
        <v>0.51</v>
      </c>
      <c r="X859" t="s">
        <v>8</v>
      </c>
      <c r="Y859" t="s">
        <v>9</v>
      </c>
      <c r="Z859" s="2" t="s">
        <v>718</v>
      </c>
      <c r="AA859" s="2" t="s">
        <v>721</v>
      </c>
    </row>
    <row r="860" spans="1:27" x14ac:dyDescent="0.35">
      <c r="A860" t="s">
        <v>1564</v>
      </c>
      <c r="B860" t="s">
        <v>1956</v>
      </c>
      <c r="C860" s="7" t="str">
        <f>_xlfn.XLOOKUP(B860,'[1]Sheet 1'!$A$2:$A$11107,'[1]Sheet 1'!$D$2:$D$11107,"",0)</f>
        <v>M&amp;S</v>
      </c>
      <c r="D860" s="4" t="str">
        <f>_xlfn.XLOOKUP(A860,[3]Sheet2!$I$2:$I$1623,[3]Sheet2!$D$2:$D$1623,"",0)</f>
        <v>Q4</v>
      </c>
      <c r="F860" s="4" t="e">
        <f>_xlfn.XLOOKUP(B860,[2]Sheet2!$E$2:$E$713,[2]Sheet2!$G$2:$G$713)</f>
        <v>#N/A</v>
      </c>
      <c r="G860" s="22">
        <v>46156</v>
      </c>
      <c r="H860" s="23">
        <v>0.74180555555555561</v>
      </c>
      <c r="I860" t="s">
        <v>5</v>
      </c>
      <c r="J860" s="2" t="str">
        <f t="shared" si="67"/>
        <v>Q1</v>
      </c>
      <c r="K860" s="2" t="str">
        <f t="shared" si="68"/>
        <v>Not Match</v>
      </c>
      <c r="L860" s="1">
        <f t="shared" si="65"/>
        <v>0.16278820596099705</v>
      </c>
      <c r="M860" s="1" t="e">
        <f t="shared" si="66"/>
        <v>#N/A</v>
      </c>
      <c r="N860" s="2" t="str">
        <f t="shared" si="69"/>
        <v>Q NOT OK dE&lt;=0.8</v>
      </c>
      <c r="O860">
        <v>15.61</v>
      </c>
      <c r="P860">
        <v>-0.91</v>
      </c>
      <c r="Q860">
        <v>-1.78</v>
      </c>
      <c r="R860">
        <v>-0.49</v>
      </c>
      <c r="S860">
        <v>0.12</v>
      </c>
      <c r="T860">
        <v>0.11</v>
      </c>
      <c r="U860">
        <v>-0.2</v>
      </c>
      <c r="V860">
        <v>7.0000000000000007E-2</v>
      </c>
      <c r="W860">
        <v>0.53</v>
      </c>
      <c r="X860" t="s">
        <v>8</v>
      </c>
      <c r="Y860" t="s">
        <v>9</v>
      </c>
      <c r="Z860" s="2" t="s">
        <v>718</v>
      </c>
      <c r="AA860" s="2" t="s">
        <v>721</v>
      </c>
    </row>
    <row r="861" spans="1:27" x14ac:dyDescent="0.35">
      <c r="A861" t="s">
        <v>2147</v>
      </c>
      <c r="B861" t="s">
        <v>1846</v>
      </c>
      <c r="C861" s="7" t="str">
        <f>_xlfn.XLOOKUP(B861,'[1]Sheet 1'!$A$2:$A$11107,'[1]Sheet 1'!$D$2:$D$11107,"",0)</f>
        <v>LULU</v>
      </c>
      <c r="D861" s="4" t="str">
        <f>_xlfn.XLOOKUP(A861,[3]Sheet2!$I$2:$I$1623,[3]Sheet2!$D$2:$D$1623,"",0)</f>
        <v>Q2</v>
      </c>
      <c r="F861" s="4" t="e">
        <f>_xlfn.XLOOKUP(B861,[2]Sheet2!$E$2:$E$713,[2]Sheet2!$G$2:$G$713)</f>
        <v>#N/A</v>
      </c>
      <c r="G861" s="22">
        <v>46156</v>
      </c>
      <c r="H861" s="23">
        <v>0.9603356481481482</v>
      </c>
      <c r="I861" t="s">
        <v>4</v>
      </c>
      <c r="J861" s="2" t="str">
        <f t="shared" si="67"/>
        <v>Q2</v>
      </c>
      <c r="K861" s="2" t="str">
        <f t="shared" si="68"/>
        <v>Match</v>
      </c>
      <c r="L861" s="1">
        <f t="shared" si="65"/>
        <v>1.47502542350971</v>
      </c>
      <c r="M861" s="1" t="e">
        <f t="shared" si="66"/>
        <v>#N/A</v>
      </c>
      <c r="N861" s="2" t="str">
        <f t="shared" si="69"/>
        <v>Q OK dE&gt;0.8</v>
      </c>
      <c r="O861">
        <v>35.630000000000003</v>
      </c>
      <c r="P861">
        <v>53.49</v>
      </c>
      <c r="Q861">
        <v>12.1</v>
      </c>
      <c r="R861">
        <v>-0.81</v>
      </c>
      <c r="S861">
        <v>-0.21</v>
      </c>
      <c r="T861">
        <v>1.46</v>
      </c>
      <c r="U861">
        <v>0.04</v>
      </c>
      <c r="V861">
        <v>0.87</v>
      </c>
      <c r="W861">
        <v>1.19</v>
      </c>
      <c r="X861" t="s">
        <v>6</v>
      </c>
      <c r="Y861" t="s">
        <v>12</v>
      </c>
      <c r="Z861" s="2" t="s">
        <v>718</v>
      </c>
      <c r="AA861" s="2" t="s">
        <v>721</v>
      </c>
    </row>
    <row r="862" spans="1:27" x14ac:dyDescent="0.35">
      <c r="A862" t="s">
        <v>1500</v>
      </c>
      <c r="B862" t="s">
        <v>1911</v>
      </c>
      <c r="C862" s="7" t="str">
        <f>_xlfn.XLOOKUP(B862,'[1]Sheet 1'!$A$2:$A$11107,'[1]Sheet 1'!$D$2:$D$11107,"",0)</f>
        <v>LULU</v>
      </c>
      <c r="D862" s="4" t="str">
        <f>_xlfn.XLOOKUP(A862,[3]Sheet2!$I$2:$I$1623,[3]Sheet2!$D$2:$D$1623,"",0)</f>
        <v>Q2</v>
      </c>
      <c r="F862" s="4" t="e">
        <f>_xlfn.XLOOKUP(B862,[2]Sheet2!$E$2:$E$713,[2]Sheet2!$G$2:$G$713)</f>
        <v>#N/A</v>
      </c>
      <c r="G862" s="22">
        <v>46156</v>
      </c>
      <c r="H862" s="23">
        <v>0.67767361111111113</v>
      </c>
      <c r="I862" t="s">
        <v>4</v>
      </c>
      <c r="J862" s="2" t="str">
        <f t="shared" si="67"/>
        <v>Q1</v>
      </c>
      <c r="K862" s="2" t="str">
        <f t="shared" si="68"/>
        <v>Not Match</v>
      </c>
      <c r="L862" s="1">
        <f t="shared" si="65"/>
        <v>0.28160255680657448</v>
      </c>
      <c r="M862" s="1" t="e">
        <f t="shared" si="66"/>
        <v>#N/A</v>
      </c>
      <c r="N862" s="2" t="str">
        <f t="shared" si="69"/>
        <v>Q NOT OK dE&lt;=0.8</v>
      </c>
      <c r="O862">
        <v>17.73</v>
      </c>
      <c r="P862">
        <v>-0.7</v>
      </c>
      <c r="Q862">
        <v>-0.93</v>
      </c>
      <c r="R862">
        <v>-0.3</v>
      </c>
      <c r="S862">
        <v>0.27</v>
      </c>
      <c r="T862">
        <v>0.08</v>
      </c>
      <c r="U862">
        <v>-0.32</v>
      </c>
      <c r="V862">
        <v>0.21</v>
      </c>
      <c r="W862">
        <v>0.49</v>
      </c>
      <c r="X862" t="s">
        <v>8</v>
      </c>
      <c r="Y862" t="s">
        <v>7</v>
      </c>
      <c r="Z862" s="2" t="s">
        <v>718</v>
      </c>
      <c r="AA862" s="2" t="s">
        <v>721</v>
      </c>
    </row>
    <row r="863" spans="1:27" x14ac:dyDescent="0.35">
      <c r="A863" t="s">
        <v>1790</v>
      </c>
      <c r="B863" t="s">
        <v>1961</v>
      </c>
      <c r="C863" s="7" t="str">
        <f>_xlfn.XLOOKUP(B863,'[1]Sheet 1'!$A$2:$A$11107,'[1]Sheet 1'!$D$2:$D$11107,"",0)</f>
        <v>LULU</v>
      </c>
      <c r="D863" s="4" t="str">
        <f>_xlfn.XLOOKUP(A863,[3]Sheet2!$I$2:$I$1623,[3]Sheet2!$D$2:$D$1623,"",0)</f>
        <v>Q1</v>
      </c>
      <c r="F863" s="4" t="e">
        <f>_xlfn.XLOOKUP(B863,[2]Sheet2!$E$2:$E$713,[2]Sheet2!$G$2:$G$713)</f>
        <v>#N/A</v>
      </c>
      <c r="G863" s="22">
        <v>46156</v>
      </c>
      <c r="H863" s="23">
        <v>0.91530092592592593</v>
      </c>
      <c r="I863" t="s">
        <v>4</v>
      </c>
      <c r="J863" s="2" t="str">
        <f t="shared" si="67"/>
        <v>Q4</v>
      </c>
      <c r="K863" s="2" t="str">
        <f t="shared" si="68"/>
        <v>Not Match</v>
      </c>
      <c r="L863" s="1">
        <f t="shared" si="65"/>
        <v>0.47423622805517501</v>
      </c>
      <c r="M863" s="1" t="e">
        <f t="shared" si="66"/>
        <v>#N/A</v>
      </c>
      <c r="N863" s="2" t="str">
        <f t="shared" si="69"/>
        <v>Q NOT OK dE&lt;=0.8</v>
      </c>
      <c r="O863">
        <v>21.68</v>
      </c>
      <c r="P863">
        <v>6.64</v>
      </c>
      <c r="Q863">
        <v>-10.3</v>
      </c>
      <c r="R863">
        <v>-0.14000000000000001</v>
      </c>
      <c r="S863">
        <v>0.32</v>
      </c>
      <c r="T863">
        <v>-0.35</v>
      </c>
      <c r="U863">
        <v>0.36</v>
      </c>
      <c r="V863">
        <v>0.09</v>
      </c>
      <c r="W863">
        <v>0.4</v>
      </c>
      <c r="X863" t="s">
        <v>8</v>
      </c>
      <c r="Y863" t="s">
        <v>9</v>
      </c>
      <c r="Z863" s="2" t="s">
        <v>718</v>
      </c>
      <c r="AA863" s="2" t="s">
        <v>721</v>
      </c>
    </row>
    <row r="864" spans="1:27" x14ac:dyDescent="0.35">
      <c r="A864" t="s">
        <v>1802</v>
      </c>
      <c r="B864" t="s">
        <v>1844</v>
      </c>
      <c r="C864" s="7" t="str">
        <f>_xlfn.XLOOKUP(B864,'[1]Sheet 1'!$A$2:$A$11107,'[1]Sheet 1'!$D$2:$D$11107,"",0)</f>
        <v>LULU</v>
      </c>
      <c r="D864" s="4" t="str">
        <f>_xlfn.XLOOKUP(A864,[3]Sheet2!$I$2:$I$1623,[3]Sheet2!$D$2:$D$1623,"",0)</f>
        <v>Q3</v>
      </c>
      <c r="F864" s="4" t="e">
        <f>_xlfn.XLOOKUP(B864,[2]Sheet2!$E$2:$E$713,[2]Sheet2!$G$2:$G$713)</f>
        <v>#N/A</v>
      </c>
      <c r="G864" s="22">
        <v>46156</v>
      </c>
      <c r="H864" s="23">
        <v>0.95390046296296294</v>
      </c>
      <c r="I864" t="s">
        <v>4</v>
      </c>
      <c r="J864" s="2" t="str">
        <f t="shared" si="67"/>
        <v>Q2</v>
      </c>
      <c r="K864" s="2" t="str">
        <f t="shared" si="68"/>
        <v>Not Match</v>
      </c>
      <c r="L864" s="1">
        <f t="shared" si="65"/>
        <v>0.73681748079154574</v>
      </c>
      <c r="M864" s="1" t="e">
        <f t="shared" si="66"/>
        <v>#N/A</v>
      </c>
      <c r="N864" s="2" t="str">
        <f t="shared" si="69"/>
        <v>Q NOT OK dE&gt;0.8</v>
      </c>
      <c r="O864">
        <v>22.33</v>
      </c>
      <c r="P864">
        <v>7.94</v>
      </c>
      <c r="Q864">
        <v>1.53</v>
      </c>
      <c r="R864">
        <v>-0.83</v>
      </c>
      <c r="S864">
        <v>-0.1</v>
      </c>
      <c r="T864">
        <v>0.73</v>
      </c>
      <c r="U864">
        <v>0</v>
      </c>
      <c r="V864">
        <v>0.93</v>
      </c>
      <c r="W864">
        <v>1.25</v>
      </c>
      <c r="X864" t="s">
        <v>6</v>
      </c>
      <c r="Y864" t="s">
        <v>9</v>
      </c>
      <c r="Z864" s="2" t="s">
        <v>718</v>
      </c>
      <c r="AA864" s="2" t="s">
        <v>721</v>
      </c>
    </row>
    <row r="865" spans="1:27" x14ac:dyDescent="0.35">
      <c r="A865" t="s">
        <v>1802</v>
      </c>
      <c r="B865" t="s">
        <v>1959</v>
      </c>
      <c r="C865" s="7" t="str">
        <f>_xlfn.XLOOKUP(B865,'[1]Sheet 1'!$A$2:$A$11107,'[1]Sheet 1'!$D$2:$D$11107,"",0)</f>
        <v>LULU</v>
      </c>
      <c r="D865" s="4" t="str">
        <f>_xlfn.XLOOKUP(A865,[3]Sheet2!$I$2:$I$1623,[3]Sheet2!$D$2:$D$1623,"",0)</f>
        <v>Q3</v>
      </c>
      <c r="F865" s="4" t="e">
        <f>_xlfn.XLOOKUP(B865,[2]Sheet2!$E$2:$E$713,[2]Sheet2!$G$2:$G$713)</f>
        <v>#N/A</v>
      </c>
      <c r="G865" s="22">
        <v>46156</v>
      </c>
      <c r="H865" s="23">
        <v>0.78069444444444447</v>
      </c>
      <c r="I865" t="s">
        <v>4</v>
      </c>
      <c r="J865" s="2" t="str">
        <f t="shared" si="67"/>
        <v>Q1</v>
      </c>
      <c r="K865" s="2" t="str">
        <f t="shared" si="68"/>
        <v>Not Match</v>
      </c>
      <c r="L865" s="1">
        <f t="shared" si="65"/>
        <v>0.21260291625469299</v>
      </c>
      <c r="M865" s="1" t="e">
        <f t="shared" si="66"/>
        <v>#N/A</v>
      </c>
      <c r="N865" s="2" t="str">
        <f t="shared" si="69"/>
        <v>Q NOT OK dE&lt;=0.8</v>
      </c>
      <c r="O865">
        <v>23.24</v>
      </c>
      <c r="P865">
        <v>8.18</v>
      </c>
      <c r="Q865">
        <v>0.96</v>
      </c>
      <c r="R865">
        <v>-0.16</v>
      </c>
      <c r="S865">
        <v>0.14000000000000001</v>
      </c>
      <c r="T865">
        <v>0.16</v>
      </c>
      <c r="U865">
        <v>0.14000000000000001</v>
      </c>
      <c r="V865">
        <v>0.18</v>
      </c>
      <c r="W865">
        <v>0.28000000000000003</v>
      </c>
      <c r="X865" t="s">
        <v>8</v>
      </c>
      <c r="Y865" t="s">
        <v>9</v>
      </c>
      <c r="Z865" s="2" t="s">
        <v>718</v>
      </c>
      <c r="AA865" s="2" t="s">
        <v>721</v>
      </c>
    </row>
    <row r="866" spans="1:27" x14ac:dyDescent="0.35">
      <c r="A866" t="s">
        <v>1608</v>
      </c>
      <c r="B866" t="s">
        <v>1845</v>
      </c>
      <c r="C866" s="7" t="str">
        <f>_xlfn.XLOOKUP(B866,'[1]Sheet 1'!$A$2:$A$11107,'[1]Sheet 1'!$D$2:$D$11107,"",0)</f>
        <v>WACE</v>
      </c>
      <c r="D866" s="4">
        <v>0</v>
      </c>
      <c r="F866" s="4" t="e">
        <f>_xlfn.XLOOKUP(B866,[2]Sheet2!$E$2:$E$713,[2]Sheet2!$G$2:$G$713)</f>
        <v>#N/A</v>
      </c>
      <c r="G866" s="22">
        <v>46156</v>
      </c>
      <c r="H866" s="23">
        <v>0.95643518518518522</v>
      </c>
      <c r="I866" t="s">
        <v>4</v>
      </c>
      <c r="J866" s="2" t="str">
        <f t="shared" si="67"/>
        <v>Q2</v>
      </c>
      <c r="K866" s="2" t="str">
        <f t="shared" si="68"/>
        <v>Not Found</v>
      </c>
      <c r="L866" s="1">
        <f t="shared" si="65"/>
        <v>0.15811388300841897</v>
      </c>
      <c r="M866" s="1" t="e">
        <f t="shared" si="66"/>
        <v>#N/A</v>
      </c>
      <c r="N866" s="2" t="str">
        <f t="shared" si="69"/>
        <v>Quadrant not assigned</v>
      </c>
      <c r="O866">
        <v>16.07</v>
      </c>
      <c r="P866">
        <v>-0.21</v>
      </c>
      <c r="Q866">
        <v>-0.83</v>
      </c>
      <c r="R866">
        <v>0.03</v>
      </c>
      <c r="S866">
        <v>-0.05</v>
      </c>
      <c r="T866">
        <v>0.15</v>
      </c>
      <c r="U866">
        <v>-0.2</v>
      </c>
      <c r="V866">
        <v>-0.12</v>
      </c>
      <c r="W866">
        <v>0.23</v>
      </c>
      <c r="X866" t="s">
        <v>8</v>
      </c>
      <c r="Y866" t="s">
        <v>15</v>
      </c>
      <c r="Z866" s="2" t="s">
        <v>718</v>
      </c>
      <c r="AA866" s="2" t="s">
        <v>721</v>
      </c>
    </row>
    <row r="867" spans="1:27" x14ac:dyDescent="0.35">
      <c r="A867" t="s">
        <v>1595</v>
      </c>
      <c r="B867" t="s">
        <v>1957</v>
      </c>
      <c r="C867" s="7" t="str">
        <f>_xlfn.XLOOKUP(B867,'[1]Sheet 1'!$A$2:$A$11107,'[1]Sheet 1'!$D$2:$D$11107,"",0)</f>
        <v>M&amp;S</v>
      </c>
      <c r="D867" s="4" t="str">
        <f>_xlfn.XLOOKUP(A867,[3]Sheet2!$I$2:$I$1623,[3]Sheet2!$D$2:$D$1623,"",0)</f>
        <v>Q4</v>
      </c>
      <c r="F867" s="4" t="e">
        <f>_xlfn.XLOOKUP(B867,[2]Sheet2!$E$2:$E$713,[2]Sheet2!$G$2:$G$713)</f>
        <v>#N/A</v>
      </c>
      <c r="G867" s="22">
        <v>46156</v>
      </c>
      <c r="H867" s="23">
        <v>0.77307870370370368</v>
      </c>
      <c r="I867" t="s">
        <v>17</v>
      </c>
      <c r="J867" s="2" t="str">
        <f t="shared" si="67"/>
        <v>Q1</v>
      </c>
      <c r="K867" s="2" t="str">
        <f t="shared" si="68"/>
        <v>Not Match</v>
      </c>
      <c r="L867" s="1">
        <f t="shared" si="65"/>
        <v>1.1640017182117901</v>
      </c>
      <c r="M867" s="1" t="e">
        <f t="shared" si="66"/>
        <v>#N/A</v>
      </c>
      <c r="N867" s="2" t="str">
        <f t="shared" si="69"/>
        <v>Q NOT OK dE&gt;0.8</v>
      </c>
      <c r="O867">
        <v>28.9</v>
      </c>
      <c r="P867">
        <v>-1.87</v>
      </c>
      <c r="Q867">
        <v>-1.55</v>
      </c>
      <c r="R867">
        <v>-0.08</v>
      </c>
      <c r="S867">
        <v>0.18</v>
      </c>
      <c r="T867">
        <v>1.1499999999999999</v>
      </c>
      <c r="U867">
        <v>-1.1299999999999999</v>
      </c>
      <c r="V867">
        <v>-0.84</v>
      </c>
      <c r="W867">
        <v>1.41</v>
      </c>
      <c r="X867" t="s">
        <v>6</v>
      </c>
      <c r="Y867" t="s">
        <v>12</v>
      </c>
      <c r="Z867" s="2" t="s">
        <v>718</v>
      </c>
      <c r="AA867" s="2" t="s">
        <v>721</v>
      </c>
    </row>
    <row r="868" spans="1:27" x14ac:dyDescent="0.35">
      <c r="A868" t="s">
        <v>1540</v>
      </c>
      <c r="B868" t="s">
        <v>1958</v>
      </c>
      <c r="C868" s="7" t="str">
        <f>_xlfn.XLOOKUP(B868,'[1]Sheet 1'!$A$2:$A$11107,'[1]Sheet 1'!$D$2:$D$11107,"",0)</f>
        <v>VSS</v>
      </c>
      <c r="D868" s="4" t="str">
        <f>_xlfn.XLOOKUP(A868,[3]Sheet2!$I$2:$I$1623,[3]Sheet2!$D$2:$D$1623,"",0)</f>
        <v>Q3</v>
      </c>
      <c r="F868" s="4" t="e">
        <f>_xlfn.XLOOKUP(B868,[2]Sheet2!$E$2:$E$713,[2]Sheet2!$G$2:$G$713)</f>
        <v>#N/A</v>
      </c>
      <c r="G868" s="22">
        <v>46156</v>
      </c>
      <c r="H868" s="23">
        <v>0.7772337962962963</v>
      </c>
      <c r="I868" t="s">
        <v>10</v>
      </c>
      <c r="J868" s="2" t="str">
        <f t="shared" si="67"/>
        <v>Q2</v>
      </c>
      <c r="K868" s="2" t="str">
        <f t="shared" si="68"/>
        <v>Not Match</v>
      </c>
      <c r="L868" s="1">
        <f t="shared" si="65"/>
        <v>0.1392838827718412</v>
      </c>
      <c r="M868" s="1" t="e">
        <f t="shared" si="66"/>
        <v>#N/A</v>
      </c>
      <c r="N868" s="2" t="str">
        <f t="shared" si="69"/>
        <v>Q NOT OK dE&lt;=0.8</v>
      </c>
      <c r="O868">
        <v>14.19</v>
      </c>
      <c r="P868">
        <v>0.37</v>
      </c>
      <c r="Q868">
        <v>-1.21</v>
      </c>
      <c r="R868">
        <v>-0.34</v>
      </c>
      <c r="S868">
        <v>-0.13</v>
      </c>
      <c r="T868">
        <v>0.05</v>
      </c>
      <c r="U868">
        <v>-0.12</v>
      </c>
      <c r="V868">
        <v>-0.15</v>
      </c>
      <c r="W868">
        <v>0.4</v>
      </c>
      <c r="X868" t="s">
        <v>8</v>
      </c>
      <c r="Y868" t="s">
        <v>15</v>
      </c>
      <c r="Z868" s="2" t="s">
        <v>718</v>
      </c>
      <c r="AA868" s="2" t="s">
        <v>721</v>
      </c>
    </row>
    <row r="869" spans="1:27" x14ac:dyDescent="0.35">
      <c r="A869" t="s">
        <v>1626</v>
      </c>
      <c r="B869" t="s">
        <v>1955</v>
      </c>
      <c r="C869" s="7" t="str">
        <f>_xlfn.XLOOKUP(B869,'[1]Sheet 1'!$A$2:$A$11107,'[1]Sheet 1'!$D$2:$D$11107,"",0)</f>
        <v>VSS</v>
      </c>
      <c r="D869" s="4" t="str">
        <f>_xlfn.XLOOKUP(A869,[3]Sheet2!$I$2:$I$1623,[3]Sheet2!$D$2:$D$1623,"",0)</f>
        <v>Q4</v>
      </c>
      <c r="F869" s="4" t="e">
        <f>_xlfn.XLOOKUP(B869,[2]Sheet2!$E$2:$E$713,[2]Sheet2!$G$2:$G$713)</f>
        <v>#N/A</v>
      </c>
      <c r="G869" s="22">
        <v>46156</v>
      </c>
      <c r="H869" s="23">
        <v>0.73737268518518517</v>
      </c>
      <c r="I869" t="s">
        <v>10</v>
      </c>
      <c r="J869" s="2" t="str">
        <f t="shared" si="67"/>
        <v>Q1</v>
      </c>
      <c r="K869" s="2" t="str">
        <f t="shared" si="68"/>
        <v>Not Match</v>
      </c>
      <c r="L869" s="1">
        <f t="shared" si="65"/>
        <v>8.06225774829855E-2</v>
      </c>
      <c r="M869" s="1" t="e">
        <f t="shared" si="66"/>
        <v>#N/A</v>
      </c>
      <c r="N869" s="2" t="str">
        <f t="shared" si="69"/>
        <v>Q NOT OK dE&lt;=0.8</v>
      </c>
      <c r="O869">
        <v>15.9</v>
      </c>
      <c r="P869">
        <v>0.64</v>
      </c>
      <c r="Q869">
        <v>-1.52</v>
      </c>
      <c r="R869">
        <v>0.32</v>
      </c>
      <c r="S869">
        <v>0.04</v>
      </c>
      <c r="T869">
        <v>7.0000000000000007E-2</v>
      </c>
      <c r="U869">
        <v>-7.0000000000000007E-2</v>
      </c>
      <c r="V869">
        <v>0.09</v>
      </c>
      <c r="W869">
        <v>0.34</v>
      </c>
      <c r="X869" t="s">
        <v>8</v>
      </c>
      <c r="Y869" t="s">
        <v>9</v>
      </c>
      <c r="Z869" s="2" t="s">
        <v>718</v>
      </c>
      <c r="AA869" s="2" t="s">
        <v>721</v>
      </c>
    </row>
    <row r="870" spans="1:27" x14ac:dyDescent="0.35">
      <c r="A870" t="s">
        <v>1812</v>
      </c>
      <c r="B870" t="s">
        <v>1967</v>
      </c>
      <c r="C870" s="7" t="str">
        <f>_xlfn.XLOOKUP(B870,'[1]Sheet 1'!$A$2:$A$11107,'[1]Sheet 1'!$D$2:$D$11107,"",0)</f>
        <v>M&amp;S</v>
      </c>
      <c r="D870" s="4" t="str">
        <f>_xlfn.XLOOKUP(A870,[3]Sheet2!$I$2:$I$1623,[3]Sheet2!$D$2:$D$1623,"",0)</f>
        <v>Q4</v>
      </c>
      <c r="F870" s="4" t="e">
        <f>_xlfn.XLOOKUP(B870,[2]Sheet2!$E$2:$E$713,[2]Sheet2!$G$2:$G$713)</f>
        <v>#N/A</v>
      </c>
      <c r="G870" s="22">
        <v>46157</v>
      </c>
      <c r="H870" s="23">
        <v>0.4790625</v>
      </c>
      <c r="I870" t="s">
        <v>17</v>
      </c>
      <c r="J870" s="2" t="str">
        <f t="shared" si="67"/>
        <v>Q4</v>
      </c>
      <c r="K870" s="2" t="str">
        <f t="shared" si="68"/>
        <v>Match</v>
      </c>
      <c r="L870" s="1">
        <f t="shared" si="65"/>
        <v>0.17</v>
      </c>
      <c r="M870" s="1" t="e">
        <f t="shared" si="66"/>
        <v>#N/A</v>
      </c>
      <c r="N870" s="2" t="str">
        <f t="shared" si="69"/>
        <v>Q OK dE&lt;=0.8</v>
      </c>
      <c r="O870">
        <v>17.63</v>
      </c>
      <c r="P870">
        <v>-0.45</v>
      </c>
      <c r="Q870">
        <v>-5.89</v>
      </c>
      <c r="R870">
        <v>0.66</v>
      </c>
      <c r="S870">
        <v>0</v>
      </c>
      <c r="T870">
        <v>0.17</v>
      </c>
      <c r="U870">
        <v>-0.17</v>
      </c>
      <c r="V870">
        <v>-0.02</v>
      </c>
      <c r="W870">
        <v>0.69</v>
      </c>
      <c r="X870" t="s">
        <v>8</v>
      </c>
      <c r="Y870" t="s">
        <v>15</v>
      </c>
      <c r="Z870" s="2" t="s">
        <v>718</v>
      </c>
      <c r="AA870" s="2" t="s">
        <v>721</v>
      </c>
    </row>
    <row r="871" spans="1:27" x14ac:dyDescent="0.35">
      <c r="A871" t="s">
        <v>1790</v>
      </c>
      <c r="B871" t="s">
        <v>1966</v>
      </c>
      <c r="C871" s="7" t="str">
        <f>_xlfn.XLOOKUP(B871,'[1]Sheet 1'!$A$2:$A$11107,'[1]Sheet 1'!$D$2:$D$11107,"",0)</f>
        <v>LULU</v>
      </c>
      <c r="D871" s="4" t="str">
        <f>_xlfn.XLOOKUP(A871,[3]Sheet2!$I$2:$I$1623,[3]Sheet2!$D$2:$D$1623,"",0)</f>
        <v>Q1</v>
      </c>
      <c r="F871" s="4" t="e">
        <f>_xlfn.XLOOKUP(B871,[2]Sheet2!$E$2:$E$713,[2]Sheet2!$G$2:$G$713)</f>
        <v>#N/A</v>
      </c>
      <c r="G871" s="22">
        <v>46157</v>
      </c>
      <c r="H871" s="23">
        <v>0.47563657407407406</v>
      </c>
      <c r="I871" t="s">
        <v>4</v>
      </c>
      <c r="J871" s="2" t="str">
        <f t="shared" si="67"/>
        <v>Q1</v>
      </c>
      <c r="K871" s="2" t="str">
        <f t="shared" si="68"/>
        <v>Match</v>
      </c>
      <c r="L871" s="1">
        <f t="shared" si="65"/>
        <v>0.25495097567963926</v>
      </c>
      <c r="M871" s="1" t="e">
        <f t="shared" si="66"/>
        <v>#N/A</v>
      </c>
      <c r="N871" s="2" t="str">
        <f t="shared" si="69"/>
        <v>Q OK dE&lt;=0.8</v>
      </c>
      <c r="O871">
        <v>22.21</v>
      </c>
      <c r="P871">
        <v>6.49</v>
      </c>
      <c r="Q871">
        <v>-9.76</v>
      </c>
      <c r="R871">
        <v>0.26</v>
      </c>
      <c r="S871">
        <v>0.17</v>
      </c>
      <c r="T871">
        <v>0.19</v>
      </c>
      <c r="U871">
        <v>-0.05</v>
      </c>
      <c r="V871">
        <v>0.28999999999999998</v>
      </c>
      <c r="W871">
        <v>0.39</v>
      </c>
      <c r="X871" t="s">
        <v>8</v>
      </c>
      <c r="Y871" t="s">
        <v>9</v>
      </c>
      <c r="Z871" s="2" t="s">
        <v>718</v>
      </c>
      <c r="AA871" s="2" t="s">
        <v>721</v>
      </c>
    </row>
    <row r="872" spans="1:27" x14ac:dyDescent="0.35">
      <c r="A872" t="s">
        <v>1790</v>
      </c>
      <c r="B872" t="s">
        <v>1968</v>
      </c>
      <c r="C872" s="7" t="str">
        <f>_xlfn.XLOOKUP(B872,'[1]Sheet 1'!$A$2:$A$11107,'[1]Sheet 1'!$D$2:$D$11107,"",0)</f>
        <v>LULU</v>
      </c>
      <c r="D872" s="4" t="str">
        <f>_xlfn.XLOOKUP(A872,[3]Sheet2!$I$2:$I$1623,[3]Sheet2!$D$2:$D$1623,"",0)</f>
        <v>Q1</v>
      </c>
      <c r="F872" s="4" t="e">
        <f>_xlfn.XLOOKUP(B872,[2]Sheet2!$E$2:$E$713,[2]Sheet2!$G$2:$G$713)</f>
        <v>#N/A</v>
      </c>
      <c r="G872" s="22">
        <v>46157</v>
      </c>
      <c r="H872" s="23">
        <v>0.54060185185185183</v>
      </c>
      <c r="I872" t="s">
        <v>4</v>
      </c>
      <c r="J872" s="2" t="str">
        <f t="shared" si="67"/>
        <v>Q2</v>
      </c>
      <c r="K872" s="2" t="str">
        <f t="shared" si="68"/>
        <v>Not Match</v>
      </c>
      <c r="L872" s="1">
        <f t="shared" si="65"/>
        <v>0.40311288741492746</v>
      </c>
      <c r="M872" s="1" t="e">
        <f t="shared" si="66"/>
        <v>#N/A</v>
      </c>
      <c r="N872" s="2" t="str">
        <f t="shared" si="69"/>
        <v>Q NOT OK dE&gt;0.8</v>
      </c>
      <c r="O872">
        <v>20.71</v>
      </c>
      <c r="P872">
        <v>6.12</v>
      </c>
      <c r="Q872">
        <v>-9.6</v>
      </c>
      <c r="R872">
        <v>-0.9</v>
      </c>
      <c r="S872">
        <v>-0.2</v>
      </c>
      <c r="T872">
        <v>0.35</v>
      </c>
      <c r="U872">
        <v>-0.31</v>
      </c>
      <c r="V872">
        <v>0.02</v>
      </c>
      <c r="W872">
        <v>0.95</v>
      </c>
      <c r="X872" t="s">
        <v>13</v>
      </c>
      <c r="Y872" t="s">
        <v>9</v>
      </c>
      <c r="Z872" s="2" t="s">
        <v>718</v>
      </c>
      <c r="AA872" s="2" t="s">
        <v>721</v>
      </c>
    </row>
    <row r="873" spans="1:27" x14ac:dyDescent="0.35">
      <c r="A873" t="s">
        <v>1790</v>
      </c>
      <c r="B873" t="s">
        <v>1971</v>
      </c>
      <c r="C873" s="7" t="str">
        <f>_xlfn.XLOOKUP(B873,'[1]Sheet 1'!$A$2:$A$11107,'[1]Sheet 1'!$D$2:$D$11107,"",0)</f>
        <v>LULU</v>
      </c>
      <c r="D873" s="4" t="str">
        <f>_xlfn.XLOOKUP(A873,[3]Sheet2!$I$2:$I$1623,[3]Sheet2!$D$2:$D$1623,"",0)</f>
        <v>Q1</v>
      </c>
      <c r="F873" s="4" t="e">
        <f>_xlfn.XLOOKUP(B873,[2]Sheet2!$E$2:$E$713,[2]Sheet2!$G$2:$G$713)</f>
        <v>#N/A</v>
      </c>
      <c r="G873" s="22">
        <v>46157</v>
      </c>
      <c r="H873" s="23">
        <v>0.6662731481481482</v>
      </c>
      <c r="I873" t="s">
        <v>5</v>
      </c>
      <c r="J873" s="2" t="str">
        <f t="shared" si="67"/>
        <v>Q1</v>
      </c>
      <c r="K873" s="2" t="str">
        <f t="shared" si="68"/>
        <v>Match</v>
      </c>
      <c r="L873" s="1">
        <f t="shared" si="65"/>
        <v>0.2</v>
      </c>
      <c r="M873" s="1" t="e">
        <f t="shared" si="66"/>
        <v>#N/A</v>
      </c>
      <c r="N873" s="2" t="str">
        <f t="shared" si="69"/>
        <v>Q OK dE&gt;0.8</v>
      </c>
      <c r="O873">
        <v>20.54</v>
      </c>
      <c r="P873">
        <v>4.84</v>
      </c>
      <c r="Q873">
        <v>-11.43</v>
      </c>
      <c r="R873">
        <v>-0.8</v>
      </c>
      <c r="S873">
        <v>0</v>
      </c>
      <c r="T873">
        <v>-0.2</v>
      </c>
      <c r="U873">
        <v>0.14000000000000001</v>
      </c>
      <c r="V873">
        <v>-0.1</v>
      </c>
      <c r="W873">
        <v>0.82</v>
      </c>
      <c r="X873" t="s">
        <v>13</v>
      </c>
      <c r="Y873" t="s">
        <v>7</v>
      </c>
      <c r="Z873" s="2" t="s">
        <v>718</v>
      </c>
      <c r="AA873" s="2" t="s">
        <v>721</v>
      </c>
    </row>
    <row r="874" spans="1:27" x14ac:dyDescent="0.35">
      <c r="A874" t="s">
        <v>1638</v>
      </c>
      <c r="B874" t="s">
        <v>1964</v>
      </c>
      <c r="C874" s="7" t="str">
        <f>_xlfn.XLOOKUP(B874,'[1]Sheet 1'!$A$2:$A$11107,'[1]Sheet 1'!$D$2:$D$11107,"",0)</f>
        <v/>
      </c>
      <c r="D874" s="4" t="str">
        <f>_xlfn.XLOOKUP(A874,[3]Sheet2!$I$2:$I$1623,[3]Sheet2!$D$2:$D$1623,"",0)</f>
        <v>Q1</v>
      </c>
      <c r="F874" s="4" t="e">
        <f>_xlfn.XLOOKUP(B874,[2]Sheet2!$E$2:$E$713,[2]Sheet2!$G$2:$G$713)</f>
        <v>#N/A</v>
      </c>
      <c r="G874" s="22">
        <v>46157</v>
      </c>
      <c r="H874" s="23">
        <v>0.15888888888888889</v>
      </c>
      <c r="I874" t="s">
        <v>5</v>
      </c>
      <c r="J874" s="2" t="str">
        <f t="shared" si="67"/>
        <v>Q4</v>
      </c>
      <c r="K874" s="2" t="str">
        <f t="shared" si="68"/>
        <v>Not Match</v>
      </c>
      <c r="L874" s="1">
        <f t="shared" si="65"/>
        <v>0.13038404810405299</v>
      </c>
      <c r="M874" s="1" t="e">
        <f t="shared" si="66"/>
        <v>#N/A</v>
      </c>
      <c r="N874" s="2" t="str">
        <f t="shared" si="69"/>
        <v>Q NOT OK dE&lt;=0.8</v>
      </c>
      <c r="O874">
        <v>14</v>
      </c>
      <c r="P874">
        <v>-1.07</v>
      </c>
      <c r="Q874">
        <v>-2.78</v>
      </c>
      <c r="R874">
        <v>-0.28999999999999998</v>
      </c>
      <c r="S874">
        <v>0.11</v>
      </c>
      <c r="T874">
        <v>-7.0000000000000007E-2</v>
      </c>
      <c r="U874">
        <v>0.03</v>
      </c>
      <c r="V874">
        <v>0.17</v>
      </c>
      <c r="W874">
        <v>0.34</v>
      </c>
      <c r="X874" t="s">
        <v>8</v>
      </c>
      <c r="Y874" t="s">
        <v>9</v>
      </c>
      <c r="Z874" s="2" t="s">
        <v>718</v>
      </c>
      <c r="AA874" s="2" t="s">
        <v>721</v>
      </c>
    </row>
    <row r="875" spans="1:27" x14ac:dyDescent="0.35">
      <c r="A875" t="s">
        <v>1557</v>
      </c>
      <c r="B875" t="s">
        <v>1963</v>
      </c>
      <c r="C875" s="7" t="str">
        <f>_xlfn.XLOOKUP(B875,'[1]Sheet 1'!$A$2:$A$11107,'[1]Sheet 1'!$D$2:$D$11107,"",0)</f>
        <v>M&amp;S</v>
      </c>
      <c r="D875" s="4" t="str">
        <f>_xlfn.XLOOKUP(A875,[3]Sheet2!$I$2:$I$1623,[3]Sheet2!$D$2:$D$1623,"",0)</f>
        <v>Q3</v>
      </c>
      <c r="F875" s="4" t="e">
        <f>_xlfn.XLOOKUP(B875,[2]Sheet2!$E$2:$E$713,[2]Sheet2!$G$2:$G$713)</f>
        <v>#N/A</v>
      </c>
      <c r="G875" s="22">
        <v>46157</v>
      </c>
      <c r="H875" s="23">
        <v>3.9942129629629633E-2</v>
      </c>
      <c r="I875" t="s">
        <v>17</v>
      </c>
      <c r="J875" s="2" t="str">
        <f t="shared" si="67"/>
        <v>Q3</v>
      </c>
      <c r="K875" s="2" t="str">
        <f t="shared" si="68"/>
        <v>Match</v>
      </c>
      <c r="L875" s="1">
        <f t="shared" si="65"/>
        <v>0.15524174696260024</v>
      </c>
      <c r="M875" s="1" t="e">
        <f t="shared" si="66"/>
        <v>#N/A</v>
      </c>
      <c r="N875" s="2" t="str">
        <f t="shared" si="69"/>
        <v>Q OK dE&lt;=0.8</v>
      </c>
      <c r="O875">
        <v>15.02</v>
      </c>
      <c r="P875">
        <v>-0.63</v>
      </c>
      <c r="Q875">
        <v>-1.85</v>
      </c>
      <c r="R875">
        <v>-0.33</v>
      </c>
      <c r="S875">
        <v>-0.04</v>
      </c>
      <c r="T875">
        <v>-0.15</v>
      </c>
      <c r="U875">
        <v>0.2</v>
      </c>
      <c r="V875">
        <v>0.02</v>
      </c>
      <c r="W875">
        <v>0.39</v>
      </c>
      <c r="X875" t="s">
        <v>8</v>
      </c>
      <c r="Y875" t="s">
        <v>9</v>
      </c>
      <c r="Z875" s="2" t="s">
        <v>718</v>
      </c>
      <c r="AA875" s="2" t="s">
        <v>721</v>
      </c>
    </row>
    <row r="876" spans="1:27" x14ac:dyDescent="0.35">
      <c r="A876" t="s">
        <v>1773</v>
      </c>
      <c r="B876" t="s">
        <v>1972</v>
      </c>
      <c r="C876" s="7" t="str">
        <f>_xlfn.XLOOKUP(B876,'[1]Sheet 1'!$A$2:$A$11107,'[1]Sheet 1'!$D$2:$D$11107,"",0)</f>
        <v>NKSKI</v>
      </c>
      <c r="D876" s="4" t="str">
        <f>_xlfn.XLOOKUP(A876,[3]Sheet2!$I$2:$I$1623,[3]Sheet2!$D$2:$D$1623,"",0)</f>
        <v>Q3</v>
      </c>
      <c r="F876" s="4" t="e">
        <f>_xlfn.XLOOKUP(B876,[2]Sheet2!$E$2:$E$713,[2]Sheet2!$G$2:$G$713)</f>
        <v>#N/A</v>
      </c>
      <c r="G876" s="22">
        <v>46157</v>
      </c>
      <c r="H876" s="23">
        <v>0.69943287037037039</v>
      </c>
      <c r="I876" t="s">
        <v>4</v>
      </c>
      <c r="J876" s="2" t="str">
        <f t="shared" si="67"/>
        <v>Q2</v>
      </c>
      <c r="K876" s="2" t="str">
        <f t="shared" si="68"/>
        <v>Not Match</v>
      </c>
      <c r="L876" s="1">
        <f t="shared" si="65"/>
        <v>0.37656340767525459</v>
      </c>
      <c r="M876" s="1" t="e">
        <f t="shared" si="66"/>
        <v>#N/A</v>
      </c>
      <c r="N876" s="2" t="str">
        <f t="shared" si="69"/>
        <v>Q NOT OK dE&gt;0.8</v>
      </c>
      <c r="O876">
        <v>16.559999999999999</v>
      </c>
      <c r="P876">
        <v>-1.3</v>
      </c>
      <c r="Q876">
        <v>-2.4700000000000002</v>
      </c>
      <c r="R876">
        <v>-0.82</v>
      </c>
      <c r="S876">
        <v>-7.0000000000000007E-2</v>
      </c>
      <c r="T876">
        <v>0.37</v>
      </c>
      <c r="U876">
        <v>-0.37</v>
      </c>
      <c r="V876">
        <v>-0.28999999999999998</v>
      </c>
      <c r="W876">
        <v>0.94</v>
      </c>
      <c r="X876" t="s">
        <v>13</v>
      </c>
      <c r="Y876" t="s">
        <v>15</v>
      </c>
      <c r="Z876" s="2" t="s">
        <v>718</v>
      </c>
      <c r="AA876" s="2" t="s">
        <v>721</v>
      </c>
    </row>
    <row r="877" spans="1:27" x14ac:dyDescent="0.35">
      <c r="A877" t="s">
        <v>1521</v>
      </c>
      <c r="B877" t="s">
        <v>1974</v>
      </c>
      <c r="C877" s="7" t="str">
        <f>_xlfn.XLOOKUP(B877,'[1]Sheet 1'!$A$2:$A$11107,'[1]Sheet 1'!$D$2:$D$11107,"",0)</f>
        <v>VSS</v>
      </c>
      <c r="D877" s="4" t="str">
        <f>_xlfn.XLOOKUP(A877,[3]Sheet2!$I$2:$I$1623,[3]Sheet2!$D$2:$D$1623,"",0)</f>
        <v>Q3</v>
      </c>
      <c r="F877" s="4" t="e">
        <f>_xlfn.XLOOKUP(B877,[2]Sheet2!$E$2:$E$713,[2]Sheet2!$G$2:$G$713)</f>
        <v>#N/A</v>
      </c>
      <c r="G877" s="22">
        <v>46157</v>
      </c>
      <c r="H877" s="23">
        <v>0.70914351851851853</v>
      </c>
      <c r="I877" t="s">
        <v>10</v>
      </c>
      <c r="J877" s="2" t="str">
        <f t="shared" si="67"/>
        <v>Q4</v>
      </c>
      <c r="K877" s="2" t="str">
        <f t="shared" si="68"/>
        <v>Not Match</v>
      </c>
      <c r="L877" s="1">
        <f t="shared" si="65"/>
        <v>0.47707441767506253</v>
      </c>
      <c r="M877" s="1" t="e">
        <f t="shared" si="66"/>
        <v>#N/A</v>
      </c>
      <c r="N877" s="2" t="str">
        <f t="shared" si="69"/>
        <v>Q NOT OK dE&lt;=0.8</v>
      </c>
      <c r="O877">
        <v>21.97</v>
      </c>
      <c r="P877">
        <v>1.36</v>
      </c>
      <c r="Q877">
        <v>-7.62</v>
      </c>
      <c r="R877">
        <v>0.4</v>
      </c>
      <c r="S877">
        <v>0.26</v>
      </c>
      <c r="T877">
        <v>-0.4</v>
      </c>
      <c r="U877">
        <v>0.41</v>
      </c>
      <c r="V877">
        <v>0.26</v>
      </c>
      <c r="W877">
        <v>0.63</v>
      </c>
      <c r="X877" t="s">
        <v>8</v>
      </c>
      <c r="Y877" t="s">
        <v>9</v>
      </c>
      <c r="Z877" s="2" t="s">
        <v>718</v>
      </c>
      <c r="AA877" s="2" t="s">
        <v>721</v>
      </c>
    </row>
    <row r="878" spans="1:27" x14ac:dyDescent="0.35">
      <c r="A878" t="s">
        <v>1626</v>
      </c>
      <c r="B878" t="s">
        <v>1848</v>
      </c>
      <c r="C878" s="7" t="str">
        <f>_xlfn.XLOOKUP(B878,'[1]Sheet 1'!$A$2:$A$11107,'[1]Sheet 1'!$D$2:$D$11107,"",0)</f>
        <v>VSS</v>
      </c>
      <c r="D878" s="4" t="str">
        <f>_xlfn.XLOOKUP(A878,[3]Sheet2!$I$2:$I$1623,[3]Sheet2!$D$2:$D$1623,"",0)</f>
        <v>Q4</v>
      </c>
      <c r="F878" s="4" t="e">
        <f>_xlfn.XLOOKUP(B878,[2]Sheet2!$E$2:$E$713,[2]Sheet2!$G$2:$G$713)</f>
        <v>#N/A</v>
      </c>
      <c r="G878" s="22">
        <v>46157</v>
      </c>
      <c r="H878" s="23">
        <v>0.17844907407407407</v>
      </c>
      <c r="I878" t="s">
        <v>10</v>
      </c>
      <c r="J878" s="2" t="str">
        <f t="shared" si="67"/>
        <v>Q1</v>
      </c>
      <c r="K878" s="2" t="str">
        <f t="shared" si="68"/>
        <v>Not Match</v>
      </c>
      <c r="L878" s="1">
        <f t="shared" si="65"/>
        <v>0.26248809496813374</v>
      </c>
      <c r="M878" s="1" t="e">
        <f t="shared" si="66"/>
        <v>#N/A</v>
      </c>
      <c r="N878" s="2" t="str">
        <f t="shared" si="69"/>
        <v>Q NOT OK dE&gt;0.8</v>
      </c>
      <c r="O878">
        <v>16.350000000000001</v>
      </c>
      <c r="P878">
        <v>0.85</v>
      </c>
      <c r="Q878">
        <v>-1.51</v>
      </c>
      <c r="R878">
        <v>0.76</v>
      </c>
      <c r="S878">
        <v>0.25</v>
      </c>
      <c r="T878">
        <v>0.08</v>
      </c>
      <c r="U878">
        <v>0.05</v>
      </c>
      <c r="V878">
        <v>0.36</v>
      </c>
      <c r="W878">
        <v>0.84</v>
      </c>
      <c r="X878" t="s">
        <v>13</v>
      </c>
      <c r="Y878" t="s">
        <v>9</v>
      </c>
      <c r="Z878" s="2" t="s">
        <v>718</v>
      </c>
      <c r="AA878" s="2" t="s">
        <v>721</v>
      </c>
    </row>
    <row r="879" spans="1:27" x14ac:dyDescent="0.35">
      <c r="A879" t="s">
        <v>1626</v>
      </c>
      <c r="B879" t="s">
        <v>1969</v>
      </c>
      <c r="C879" s="7" t="str">
        <f>_xlfn.XLOOKUP(B879,'[1]Sheet 1'!$A$2:$A$11107,'[1]Sheet 1'!$D$2:$D$11107,"",0)</f>
        <v>VSS</v>
      </c>
      <c r="D879" s="4" t="str">
        <f>_xlfn.XLOOKUP(A879,[3]Sheet2!$I$2:$I$1623,[3]Sheet2!$D$2:$D$1623,"",0)</f>
        <v>Q4</v>
      </c>
      <c r="F879" s="4" t="e">
        <f>_xlfn.XLOOKUP(B879,[2]Sheet2!$E$2:$E$713,[2]Sheet2!$G$2:$G$713)</f>
        <v>#N/A</v>
      </c>
      <c r="G879" s="22">
        <v>46157</v>
      </c>
      <c r="H879" s="23">
        <v>0.54473379629629626</v>
      </c>
      <c r="I879" t="s">
        <v>10</v>
      </c>
      <c r="J879" s="2" t="str">
        <f t="shared" si="67"/>
        <v>Q3</v>
      </c>
      <c r="K879" s="2" t="str">
        <f t="shared" si="68"/>
        <v>Not Match</v>
      </c>
      <c r="L879" s="1">
        <f t="shared" si="65"/>
        <v>0.16155494421403513</v>
      </c>
      <c r="M879" s="1" t="e">
        <f t="shared" si="66"/>
        <v>#N/A</v>
      </c>
      <c r="N879" s="2" t="str">
        <f t="shared" si="69"/>
        <v>Q NOT OK dE&lt;=0.8</v>
      </c>
      <c r="O879">
        <v>16.149999999999999</v>
      </c>
      <c r="P879">
        <v>0.53</v>
      </c>
      <c r="Q879">
        <v>-1.74</v>
      </c>
      <c r="R879">
        <v>0.56000000000000005</v>
      </c>
      <c r="S879">
        <v>-0.06</v>
      </c>
      <c r="T879">
        <v>-0.15</v>
      </c>
      <c r="U879">
        <v>0.16</v>
      </c>
      <c r="V879">
        <v>-0.14000000000000001</v>
      </c>
      <c r="W879">
        <v>0.6</v>
      </c>
      <c r="X879" t="s">
        <v>8</v>
      </c>
      <c r="Y879" t="s">
        <v>15</v>
      </c>
      <c r="Z879" s="2" t="s">
        <v>718</v>
      </c>
      <c r="AA879" s="2" t="s">
        <v>721</v>
      </c>
    </row>
    <row r="880" spans="1:27" x14ac:dyDescent="0.35">
      <c r="A880" t="s">
        <v>1626</v>
      </c>
      <c r="B880" t="s">
        <v>1962</v>
      </c>
      <c r="C880" s="7" t="str">
        <f>_xlfn.XLOOKUP(B880,'[1]Sheet 1'!$A$2:$A$11107,'[1]Sheet 1'!$D$2:$D$11107,"",0)</f>
        <v>VSS</v>
      </c>
      <c r="D880" s="4" t="str">
        <f>_xlfn.XLOOKUP(A880,[3]Sheet2!$I$2:$I$1623,[3]Sheet2!$D$2:$D$1623,"",0)</f>
        <v>Q4</v>
      </c>
      <c r="F880" s="4" t="e">
        <f>_xlfn.XLOOKUP(B880,[2]Sheet2!$E$2:$E$713,[2]Sheet2!$G$2:$G$713)</f>
        <v>#N/A</v>
      </c>
      <c r="G880" s="22">
        <v>46157</v>
      </c>
      <c r="H880" s="23">
        <v>1.8634259259259259E-3</v>
      </c>
      <c r="I880" t="s">
        <v>10</v>
      </c>
      <c r="J880" s="2" t="str">
        <f t="shared" si="67"/>
        <v>Q4</v>
      </c>
      <c r="K880" s="2" t="str">
        <f t="shared" si="68"/>
        <v>Match</v>
      </c>
      <c r="L880" s="1">
        <f t="shared" si="65"/>
        <v>0.322490309931942</v>
      </c>
      <c r="M880" s="1" t="e">
        <f t="shared" si="66"/>
        <v>#N/A</v>
      </c>
      <c r="N880" s="2" t="str">
        <f t="shared" si="69"/>
        <v>Q OK dE&lt;=0.8</v>
      </c>
      <c r="O880">
        <v>15.93</v>
      </c>
      <c r="P880">
        <v>0.64</v>
      </c>
      <c r="Q880">
        <v>-1.91</v>
      </c>
      <c r="R880">
        <v>0.34</v>
      </c>
      <c r="S880">
        <v>0.04</v>
      </c>
      <c r="T880">
        <v>-0.32</v>
      </c>
      <c r="U880">
        <v>0.42</v>
      </c>
      <c r="V880">
        <v>-0.09</v>
      </c>
      <c r="W880">
        <v>0.55000000000000004</v>
      </c>
      <c r="X880" t="s">
        <v>8</v>
      </c>
      <c r="Y880" t="s">
        <v>9</v>
      </c>
      <c r="Z880" s="2" t="s">
        <v>718</v>
      </c>
      <c r="AA880" s="2" t="s">
        <v>721</v>
      </c>
    </row>
    <row r="881" spans="1:27" x14ac:dyDescent="0.35">
      <c r="A881" t="s">
        <v>1626</v>
      </c>
      <c r="B881" t="s">
        <v>1849</v>
      </c>
      <c r="C881" s="7" t="str">
        <f>_xlfn.XLOOKUP(B881,'[1]Sheet 1'!$A$2:$A$11107,'[1]Sheet 1'!$D$2:$D$11107,"",0)</f>
        <v>VSS</v>
      </c>
      <c r="D881" s="4" t="str">
        <f>_xlfn.XLOOKUP(A881,[3]Sheet2!$I$2:$I$1623,[3]Sheet2!$D$2:$D$1623,"",0)</f>
        <v>Q4</v>
      </c>
      <c r="F881" s="4" t="e">
        <f>_xlfn.XLOOKUP(B881,[2]Sheet2!$E$2:$E$713,[2]Sheet2!$G$2:$G$713)</f>
        <v>#N/A</v>
      </c>
      <c r="G881" s="22">
        <v>46157</v>
      </c>
      <c r="H881" s="23">
        <v>0.27988425925925925</v>
      </c>
      <c r="I881" t="s">
        <v>10</v>
      </c>
      <c r="J881" s="2" t="str">
        <f t="shared" si="67"/>
        <v>Q3</v>
      </c>
      <c r="K881" s="2" t="str">
        <f t="shared" si="68"/>
        <v>Not Match</v>
      </c>
      <c r="L881" s="1">
        <f t="shared" si="65"/>
        <v>0.33600595232822889</v>
      </c>
      <c r="M881" s="1" t="e">
        <f t="shared" si="66"/>
        <v>#N/A</v>
      </c>
      <c r="N881" s="2" t="str">
        <f t="shared" si="69"/>
        <v>Q NOT OK dE&lt;=0.8</v>
      </c>
      <c r="O881">
        <v>16</v>
      </c>
      <c r="P881">
        <v>0.33</v>
      </c>
      <c r="Q881">
        <v>-1.79</v>
      </c>
      <c r="R881">
        <v>0.42</v>
      </c>
      <c r="S881">
        <v>-0.27</v>
      </c>
      <c r="T881">
        <v>-0.2</v>
      </c>
      <c r="U881">
        <v>0.16</v>
      </c>
      <c r="V881">
        <v>-0.43</v>
      </c>
      <c r="W881">
        <v>0.62</v>
      </c>
      <c r="X881" t="s">
        <v>8</v>
      </c>
      <c r="Y881" t="s">
        <v>15</v>
      </c>
      <c r="Z881" s="2" t="s">
        <v>718</v>
      </c>
      <c r="AA881" s="2" t="s">
        <v>721</v>
      </c>
    </row>
    <row r="882" spans="1:27" x14ac:dyDescent="0.35">
      <c r="A882" t="s">
        <v>1626</v>
      </c>
      <c r="B882" t="s">
        <v>1973</v>
      </c>
      <c r="C882" s="7" t="str">
        <f>_xlfn.XLOOKUP(B882,'[1]Sheet 1'!$A$2:$A$11107,'[1]Sheet 1'!$D$2:$D$11107,"",0)</f>
        <v>VSS</v>
      </c>
      <c r="D882" s="4" t="str">
        <f>_xlfn.XLOOKUP(A882,[3]Sheet2!$I$2:$I$1623,[3]Sheet2!$D$2:$D$1623,"",0)</f>
        <v>Q4</v>
      </c>
      <c r="F882" s="4" t="e">
        <f>_xlfn.XLOOKUP(B882,[2]Sheet2!$E$2:$E$713,[2]Sheet2!$G$2:$G$713)</f>
        <v>#N/A</v>
      </c>
      <c r="G882" s="22">
        <v>46157</v>
      </c>
      <c r="H882" s="23">
        <v>0.7021412037037037</v>
      </c>
      <c r="I882" t="s">
        <v>10</v>
      </c>
      <c r="J882" s="2" t="str">
        <f t="shared" si="67"/>
        <v>Q1</v>
      </c>
      <c r="K882" s="2" t="str">
        <f t="shared" si="68"/>
        <v>Not Match</v>
      </c>
      <c r="L882" s="1">
        <f t="shared" si="65"/>
        <v>5.8309518948453008E-2</v>
      </c>
      <c r="M882" s="1" t="e">
        <f t="shared" si="66"/>
        <v>#N/A</v>
      </c>
      <c r="N882" s="2" t="str">
        <f t="shared" si="69"/>
        <v>Q NOT OK dE&gt;0.8</v>
      </c>
      <c r="O882">
        <v>16.649999999999999</v>
      </c>
      <c r="P882">
        <v>0.62</v>
      </c>
      <c r="Q882">
        <v>-1.54</v>
      </c>
      <c r="R882">
        <v>1.05</v>
      </c>
      <c r="S882">
        <v>0.03</v>
      </c>
      <c r="T882">
        <v>0.05</v>
      </c>
      <c r="U882">
        <v>-0.06</v>
      </c>
      <c r="V882">
        <v>0.06</v>
      </c>
      <c r="W882">
        <v>1.05</v>
      </c>
      <c r="X882" t="s">
        <v>6</v>
      </c>
      <c r="Y882" t="s">
        <v>9</v>
      </c>
      <c r="Z882" s="2" t="s">
        <v>718</v>
      </c>
      <c r="AA882" s="2" t="s">
        <v>721</v>
      </c>
    </row>
    <row r="883" spans="1:27" x14ac:dyDescent="0.35">
      <c r="A883" t="s">
        <v>1626</v>
      </c>
      <c r="B883" t="s">
        <v>1975</v>
      </c>
      <c r="C883" s="7" t="str">
        <f>_xlfn.XLOOKUP(B883,'[1]Sheet 1'!$A$2:$A$11107,'[1]Sheet 1'!$D$2:$D$11107,"",0)</f>
        <v>VSS</v>
      </c>
      <c r="D883" s="4" t="str">
        <f>_xlfn.XLOOKUP(A883,[3]Sheet2!$I$2:$I$1623,[3]Sheet2!$D$2:$D$1623,"",0)</f>
        <v>Q4</v>
      </c>
      <c r="F883" s="4" t="e">
        <f>_xlfn.XLOOKUP(B883,[2]Sheet2!$E$2:$E$713,[2]Sheet2!$G$2:$G$713)</f>
        <v>#N/A</v>
      </c>
      <c r="G883" s="22">
        <v>46157</v>
      </c>
      <c r="H883" s="23">
        <v>0.77509259259259256</v>
      </c>
      <c r="I883" t="s">
        <v>10</v>
      </c>
      <c r="J883" s="2" t="str">
        <f t="shared" si="67"/>
        <v>Q4</v>
      </c>
      <c r="K883" s="2" t="str">
        <f t="shared" si="68"/>
        <v>Match</v>
      </c>
      <c r="L883" s="1">
        <f t="shared" si="65"/>
        <v>8.2462112512353219E-2</v>
      </c>
      <c r="M883" s="1" t="e">
        <f t="shared" si="66"/>
        <v>#N/A</v>
      </c>
      <c r="N883" s="2" t="str">
        <f t="shared" si="69"/>
        <v>Q OK dE&lt;=0.8</v>
      </c>
      <c r="O883">
        <v>16.350000000000001</v>
      </c>
      <c r="P883">
        <v>0.62</v>
      </c>
      <c r="Q883">
        <v>-1.67</v>
      </c>
      <c r="R883">
        <v>0.76</v>
      </c>
      <c r="S883">
        <v>0.02</v>
      </c>
      <c r="T883">
        <v>-0.08</v>
      </c>
      <c r="U883">
        <v>0.11</v>
      </c>
      <c r="V883">
        <v>-0.01</v>
      </c>
      <c r="W883">
        <v>0.77</v>
      </c>
      <c r="X883" t="s">
        <v>13</v>
      </c>
      <c r="Y883" t="s">
        <v>15</v>
      </c>
      <c r="Z883" s="2" t="s">
        <v>718</v>
      </c>
      <c r="AA883" s="2" t="s">
        <v>721</v>
      </c>
    </row>
    <row r="884" spans="1:27" x14ac:dyDescent="0.35">
      <c r="A884" t="s">
        <v>1626</v>
      </c>
      <c r="B884" t="s">
        <v>1847</v>
      </c>
      <c r="C884" s="7" t="str">
        <f>_xlfn.XLOOKUP(B884,'[1]Sheet 1'!$A$2:$A$11107,'[1]Sheet 1'!$D$2:$D$11107,"",0)</f>
        <v>VSS</v>
      </c>
      <c r="D884" s="4" t="str">
        <f>_xlfn.XLOOKUP(A884,[3]Sheet2!$I$2:$I$1623,[3]Sheet2!$D$2:$D$1623,"",0)</f>
        <v>Q4</v>
      </c>
      <c r="F884" s="4" t="e">
        <f>_xlfn.XLOOKUP(B884,[2]Sheet2!$E$2:$E$713,[2]Sheet2!$G$2:$G$713)</f>
        <v>#N/A</v>
      </c>
      <c r="G884" s="22">
        <v>46157</v>
      </c>
      <c r="H884" s="23">
        <v>0.17243055555555556</v>
      </c>
      <c r="I884" t="s">
        <v>10</v>
      </c>
      <c r="J884" s="2" t="str">
        <f t="shared" si="67"/>
        <v>Q3</v>
      </c>
      <c r="K884" s="2" t="str">
        <f t="shared" si="68"/>
        <v>Not Match</v>
      </c>
      <c r="L884" s="1">
        <f t="shared" si="65"/>
        <v>0.3255764119219941</v>
      </c>
      <c r="M884" s="1" t="e">
        <f t="shared" si="66"/>
        <v>#N/A</v>
      </c>
      <c r="N884" s="2" t="str">
        <f t="shared" si="69"/>
        <v>Q NOT OK dE&lt;=0.8</v>
      </c>
      <c r="O884">
        <v>16.16</v>
      </c>
      <c r="P884">
        <v>0.38</v>
      </c>
      <c r="Q884">
        <v>-1.83</v>
      </c>
      <c r="R884">
        <v>0.56999999999999995</v>
      </c>
      <c r="S884">
        <v>-0.22</v>
      </c>
      <c r="T884">
        <v>-0.24</v>
      </c>
      <c r="U884">
        <v>0.23</v>
      </c>
      <c r="V884">
        <v>-0.38</v>
      </c>
      <c r="W884">
        <v>0.72</v>
      </c>
      <c r="X884" t="s">
        <v>8</v>
      </c>
      <c r="Y884" t="s">
        <v>15</v>
      </c>
      <c r="Z884" s="2" t="s">
        <v>718</v>
      </c>
      <c r="AA884" s="2" t="s">
        <v>721</v>
      </c>
    </row>
    <row r="885" spans="1:27" x14ac:dyDescent="0.35">
      <c r="A885" t="s">
        <v>1626</v>
      </c>
      <c r="B885" t="s">
        <v>1976</v>
      </c>
      <c r="C885" s="7" t="str">
        <f>_xlfn.XLOOKUP(B885,'[1]Sheet 1'!$A$2:$A$11107,'[1]Sheet 1'!$D$2:$D$11107,"",0)</f>
        <v>VSS</v>
      </c>
      <c r="D885" s="4" t="str">
        <f>_xlfn.XLOOKUP(A885,[3]Sheet2!$I$2:$I$1623,[3]Sheet2!$D$2:$D$1623,"",0)</f>
        <v>Q4</v>
      </c>
      <c r="F885" s="4" t="e">
        <f>_xlfn.XLOOKUP(B885,[2]Sheet2!$E$2:$E$713,[2]Sheet2!$G$2:$G$713)</f>
        <v>#N/A</v>
      </c>
      <c r="G885" s="22">
        <v>46157</v>
      </c>
      <c r="H885" s="23">
        <v>0.94180555555555556</v>
      </c>
      <c r="I885" t="s">
        <v>10</v>
      </c>
      <c r="J885" s="2" t="str">
        <f t="shared" si="67"/>
        <v>Q3</v>
      </c>
      <c r="K885" s="2" t="str">
        <f t="shared" si="68"/>
        <v>Not Match</v>
      </c>
      <c r="L885" s="1">
        <f t="shared" si="65"/>
        <v>0.14142135623730953</v>
      </c>
      <c r="M885" s="1" t="e">
        <f t="shared" si="66"/>
        <v>#N/A</v>
      </c>
      <c r="N885" s="2" t="str">
        <f t="shared" si="69"/>
        <v>Q NOT OK dE&gt;0.8</v>
      </c>
      <c r="O885">
        <v>16.420000000000002</v>
      </c>
      <c r="P885">
        <v>0.56999999999999995</v>
      </c>
      <c r="Q885">
        <v>-1.73</v>
      </c>
      <c r="R885">
        <v>0.82</v>
      </c>
      <c r="S885">
        <v>-0.02</v>
      </c>
      <c r="T885">
        <v>-0.14000000000000001</v>
      </c>
      <c r="U885">
        <v>0.16</v>
      </c>
      <c r="V885">
        <v>-0.09</v>
      </c>
      <c r="W885">
        <v>0.84</v>
      </c>
      <c r="X885" t="s">
        <v>13</v>
      </c>
      <c r="Y885" t="s">
        <v>15</v>
      </c>
      <c r="Z885" s="2" t="s">
        <v>718</v>
      </c>
      <c r="AA885" s="2" t="s">
        <v>721</v>
      </c>
    </row>
    <row r="886" spans="1:27" x14ac:dyDescent="0.35">
      <c r="A886" t="s">
        <v>2148</v>
      </c>
      <c r="B886" t="s">
        <v>1965</v>
      </c>
      <c r="C886" s="7" t="str">
        <f>_xlfn.XLOOKUP(B886,'[1]Sheet 1'!$A$2:$A$11107,'[1]Sheet 1'!$D$2:$D$11107,"",0)</f>
        <v>VSS</v>
      </c>
      <c r="D886" s="4" t="str">
        <f>_xlfn.XLOOKUP(A886,[3]Sheet2!$I$2:$I$1623,[3]Sheet2!$D$2:$D$1623,"",0)</f>
        <v>Q3</v>
      </c>
      <c r="F886" s="4" t="e">
        <f>_xlfn.XLOOKUP(B886,[2]Sheet2!$E$2:$E$713,[2]Sheet2!$G$2:$G$713)</f>
        <v>#N/A</v>
      </c>
      <c r="G886" s="22">
        <v>46157</v>
      </c>
      <c r="H886" s="23">
        <v>7.6053240740740741E-2</v>
      </c>
      <c r="I886" t="s">
        <v>10</v>
      </c>
      <c r="J886" s="2" t="str">
        <f t="shared" si="67"/>
        <v>Q1</v>
      </c>
      <c r="K886" s="2" t="str">
        <f t="shared" si="68"/>
        <v>Not Match</v>
      </c>
      <c r="L886" s="1">
        <f t="shared" si="65"/>
        <v>3.5143420436832842</v>
      </c>
      <c r="M886" s="1" t="e">
        <f t="shared" si="66"/>
        <v>#N/A</v>
      </c>
      <c r="N886" s="2" t="str">
        <f t="shared" si="69"/>
        <v>Q NOT OK dE&gt;0.8</v>
      </c>
      <c r="O886">
        <v>43.74</v>
      </c>
      <c r="P886">
        <v>55.12</v>
      </c>
      <c r="Q886">
        <v>38.54</v>
      </c>
      <c r="R886">
        <v>-0.68</v>
      </c>
      <c r="S886">
        <v>0.85</v>
      </c>
      <c r="T886">
        <v>3.41</v>
      </c>
      <c r="U886">
        <v>0.91</v>
      </c>
      <c r="V886">
        <v>1.61</v>
      </c>
      <c r="W886">
        <v>1.97</v>
      </c>
      <c r="X886" t="s">
        <v>6</v>
      </c>
      <c r="Y886" t="s">
        <v>12</v>
      </c>
      <c r="Z886" s="2" t="s">
        <v>718</v>
      </c>
      <c r="AA886" s="2" t="s">
        <v>721</v>
      </c>
    </row>
    <row r="887" spans="1:27" x14ac:dyDescent="0.35">
      <c r="A887" t="s">
        <v>1727</v>
      </c>
      <c r="B887" t="s">
        <v>1970</v>
      </c>
      <c r="C887" s="7" t="str">
        <f>_xlfn.XLOOKUP(B887,'[1]Sheet 1'!$A$2:$A$11107,'[1]Sheet 1'!$D$2:$D$11107,"",0)</f>
        <v>GAP</v>
      </c>
      <c r="D887" s="4" t="str">
        <f>_xlfn.XLOOKUP(A887,[3]Sheet2!$I$2:$I$1623,[3]Sheet2!$D$2:$D$1623,"",0)</f>
        <v>Q2</v>
      </c>
      <c r="F887" s="4" t="e">
        <f>_xlfn.XLOOKUP(B887,[2]Sheet2!$E$2:$E$713,[2]Sheet2!$G$2:$G$713)</f>
        <v>#N/A</v>
      </c>
      <c r="G887" s="22">
        <v>46157</v>
      </c>
      <c r="H887" s="23">
        <v>0.54835648148148153</v>
      </c>
      <c r="I887" t="s">
        <v>14</v>
      </c>
      <c r="J887" s="2" t="str">
        <f t="shared" si="67"/>
        <v>Q3</v>
      </c>
      <c r="K887" s="2" t="str">
        <f t="shared" si="68"/>
        <v>Not Match</v>
      </c>
      <c r="L887" s="1">
        <f t="shared" si="65"/>
        <v>0.31906112267087638</v>
      </c>
      <c r="M887" s="1" t="e">
        <f t="shared" si="66"/>
        <v>#N/A</v>
      </c>
      <c r="N887" s="2" t="str">
        <f t="shared" si="69"/>
        <v>Q NOT OK dE&lt;=0.8</v>
      </c>
      <c r="O887">
        <v>13.54</v>
      </c>
      <c r="P887">
        <v>-0.65</v>
      </c>
      <c r="Q887">
        <v>-2.83</v>
      </c>
      <c r="R887">
        <v>-0.25</v>
      </c>
      <c r="S887">
        <v>-0.27</v>
      </c>
      <c r="T887">
        <v>-0.17</v>
      </c>
      <c r="U887">
        <v>0.26</v>
      </c>
      <c r="V887">
        <v>-0.32</v>
      </c>
      <c r="W887">
        <v>0.48</v>
      </c>
      <c r="X887" t="s">
        <v>8</v>
      </c>
      <c r="Y887" t="s">
        <v>15</v>
      </c>
      <c r="Z887" s="2" t="s">
        <v>718</v>
      </c>
      <c r="AA887" s="2" t="s">
        <v>721</v>
      </c>
    </row>
    <row r="888" spans="1:27" x14ac:dyDescent="0.35">
      <c r="A888" t="s">
        <v>1812</v>
      </c>
      <c r="B888" t="s">
        <v>1988</v>
      </c>
      <c r="C888" s="7" t="str">
        <f>_xlfn.XLOOKUP(B888,'[1]Sheet 1'!$A$2:$A$11107,'[1]Sheet 1'!$D$2:$D$11107,"",0)</f>
        <v>M&amp;S</v>
      </c>
      <c r="D888" s="4" t="str">
        <f>_xlfn.XLOOKUP(A888,[3]Sheet2!$I$2:$I$1623,[3]Sheet2!$D$2:$D$1623,"",0)</f>
        <v>Q4</v>
      </c>
      <c r="F888" s="4" t="e">
        <f>_xlfn.XLOOKUP(B888,[2]Sheet2!$E$2:$E$713,[2]Sheet2!$G$2:$G$713)</f>
        <v>#N/A</v>
      </c>
      <c r="G888" s="22">
        <v>46158</v>
      </c>
      <c r="H888" s="23">
        <v>0.75637731481481485</v>
      </c>
      <c r="I888" t="s">
        <v>4</v>
      </c>
      <c r="J888" s="2" t="str">
        <f t="shared" si="67"/>
        <v>Q2</v>
      </c>
      <c r="K888" s="2" t="str">
        <f t="shared" si="68"/>
        <v>Not Match</v>
      </c>
      <c r="L888" s="1">
        <f t="shared" si="65"/>
        <v>0.19646882704388502</v>
      </c>
      <c r="M888" s="1" t="e">
        <f t="shared" si="66"/>
        <v>#N/A</v>
      </c>
      <c r="N888" s="2" t="str">
        <f t="shared" si="69"/>
        <v>Q NOT OK dE&lt;=0.8</v>
      </c>
      <c r="O888">
        <v>17.489999999999998</v>
      </c>
      <c r="P888">
        <v>7.0000000000000007E-2</v>
      </c>
      <c r="Q888">
        <v>-5.1100000000000003</v>
      </c>
      <c r="R888">
        <v>0.16</v>
      </c>
      <c r="S888">
        <v>-0.05</v>
      </c>
      <c r="T888">
        <v>0.19</v>
      </c>
      <c r="U888">
        <v>-0.2</v>
      </c>
      <c r="V888">
        <v>-0.06</v>
      </c>
      <c r="W888">
        <v>0.27</v>
      </c>
      <c r="X888" t="s">
        <v>8</v>
      </c>
      <c r="Y888" t="s">
        <v>15</v>
      </c>
      <c r="Z888" s="2" t="s">
        <v>718</v>
      </c>
      <c r="AA888" s="2" t="s">
        <v>721</v>
      </c>
    </row>
    <row r="889" spans="1:27" x14ac:dyDescent="0.35">
      <c r="A889" t="s">
        <v>1790</v>
      </c>
      <c r="B889" t="s">
        <v>1850</v>
      </c>
      <c r="C889" s="7" t="str">
        <f>_xlfn.XLOOKUP(B889,'[1]Sheet 1'!$A$2:$A$11107,'[1]Sheet 1'!$D$2:$D$11107,"",0)</f>
        <v>LULU</v>
      </c>
      <c r="D889" s="4" t="str">
        <f>_xlfn.XLOOKUP(A889,[3]Sheet2!$I$2:$I$1623,[3]Sheet2!$D$2:$D$1623,"",0)</f>
        <v>Q1</v>
      </c>
      <c r="F889" s="4" t="e">
        <f>_xlfn.XLOOKUP(B889,[2]Sheet2!$E$2:$E$713,[2]Sheet2!$G$2:$G$713)</f>
        <v>#N/A</v>
      </c>
      <c r="G889" s="22">
        <v>46158</v>
      </c>
      <c r="H889" s="23">
        <v>5.6828703703703701E-2</v>
      </c>
      <c r="I889" t="s">
        <v>4</v>
      </c>
      <c r="J889" s="2" t="str">
        <f t="shared" si="67"/>
        <v>Q3</v>
      </c>
      <c r="K889" s="2" t="str">
        <f t="shared" si="68"/>
        <v>Not Match</v>
      </c>
      <c r="L889" s="1">
        <f t="shared" ref="L889:L951" si="70">SQRT(S889^2+T889^2)</f>
        <v>0.13152946437965907</v>
      </c>
      <c r="M889" s="1" t="e">
        <f t="shared" ref="M889:M951" si="71">IF(L889&lt;=F889,"Within Range","Over Range")</f>
        <v>#N/A</v>
      </c>
      <c r="N889" s="2" t="str">
        <f t="shared" si="69"/>
        <v>Q NOT OK dE&gt;0.8</v>
      </c>
      <c r="O889">
        <v>20.69</v>
      </c>
      <c r="P889">
        <v>6.3</v>
      </c>
      <c r="Q889">
        <v>-10.08</v>
      </c>
      <c r="R889">
        <v>-0.91</v>
      </c>
      <c r="S889">
        <v>-0.02</v>
      </c>
      <c r="T889">
        <v>-0.13</v>
      </c>
      <c r="U889">
        <v>7.0000000000000007E-2</v>
      </c>
      <c r="V889">
        <v>-0.1</v>
      </c>
      <c r="W889">
        <v>0.92</v>
      </c>
      <c r="X889" t="s">
        <v>13</v>
      </c>
      <c r="Y889" t="s">
        <v>7</v>
      </c>
      <c r="Z889" s="2" t="s">
        <v>718</v>
      </c>
      <c r="AA889" s="2" t="s">
        <v>721</v>
      </c>
    </row>
    <row r="890" spans="1:27" x14ac:dyDescent="0.35">
      <c r="A890" t="s">
        <v>1608</v>
      </c>
      <c r="B890" t="s">
        <v>1978</v>
      </c>
      <c r="C890" s="7" t="str">
        <f>_xlfn.XLOOKUP(B890,'[1]Sheet 1'!$A$2:$A$11107,'[1]Sheet 1'!$D$2:$D$11107,"",0)</f>
        <v>WACE</v>
      </c>
      <c r="D890" s="4">
        <v>0</v>
      </c>
      <c r="F890" s="4" t="e">
        <f>_xlfn.XLOOKUP(B890,[2]Sheet2!$E$2:$E$713,[2]Sheet2!$G$2:$G$713)</f>
        <v>#N/A</v>
      </c>
      <c r="G890" s="22">
        <v>46158</v>
      </c>
      <c r="H890" s="23">
        <v>0.24828703703703703</v>
      </c>
      <c r="I890" t="s">
        <v>4</v>
      </c>
      <c r="J890" s="2" t="str">
        <f t="shared" si="67"/>
        <v>Q1</v>
      </c>
      <c r="K890" s="2" t="str">
        <f t="shared" si="68"/>
        <v>Not Found</v>
      </c>
      <c r="L890" s="1">
        <f t="shared" si="70"/>
        <v>0.12041594578792295</v>
      </c>
      <c r="M890" s="1" t="e">
        <f t="shared" si="71"/>
        <v>#N/A</v>
      </c>
      <c r="N890" s="2" t="str">
        <f t="shared" si="69"/>
        <v>Quadrant not assigned</v>
      </c>
      <c r="O890">
        <v>15.91</v>
      </c>
      <c r="P890">
        <v>-0.15</v>
      </c>
      <c r="Q890">
        <v>-0.86</v>
      </c>
      <c r="R890">
        <v>-0.13</v>
      </c>
      <c r="S890">
        <v>0.01</v>
      </c>
      <c r="T890">
        <v>0.12</v>
      </c>
      <c r="U890">
        <v>-0.17</v>
      </c>
      <c r="V890">
        <v>-0.01</v>
      </c>
      <c r="W890">
        <v>0.21</v>
      </c>
      <c r="X890" t="s">
        <v>8</v>
      </c>
      <c r="Y890" t="s">
        <v>15</v>
      </c>
      <c r="Z890" s="2" t="s">
        <v>718</v>
      </c>
      <c r="AA890" s="2" t="s">
        <v>721</v>
      </c>
    </row>
    <row r="891" spans="1:27" x14ac:dyDescent="0.35">
      <c r="A891" t="s">
        <v>1554</v>
      </c>
      <c r="B891" t="s">
        <v>1981</v>
      </c>
      <c r="C891" s="7" t="str">
        <f>_xlfn.XLOOKUP(B891,'[1]Sheet 1'!$A$2:$A$11107,'[1]Sheet 1'!$D$2:$D$11107,"",0)</f>
        <v>NIK</v>
      </c>
      <c r="D891" s="4" t="str">
        <f>_xlfn.XLOOKUP(A891,[3]Sheet2!$I$2:$I$1623,[3]Sheet2!$D$2:$D$1623,"",0)</f>
        <v>Q1</v>
      </c>
      <c r="F891" s="4" t="e">
        <f>_xlfn.XLOOKUP(B891,[2]Sheet2!$E$2:$E$713,[2]Sheet2!$G$2:$G$713)</f>
        <v>#N/A</v>
      </c>
      <c r="G891" s="22">
        <v>46158</v>
      </c>
      <c r="H891" s="23">
        <v>0.26559027777777777</v>
      </c>
      <c r="I891" t="s">
        <v>4</v>
      </c>
      <c r="J891" s="2" t="str">
        <f t="shared" si="67"/>
        <v>Q1</v>
      </c>
      <c r="K891" s="2" t="str">
        <f t="shared" si="68"/>
        <v>Match</v>
      </c>
      <c r="L891" s="1">
        <f t="shared" si="70"/>
        <v>0.74625732827222546</v>
      </c>
      <c r="M891" s="1" t="e">
        <f t="shared" si="71"/>
        <v>#N/A</v>
      </c>
      <c r="N891" s="2" t="str">
        <f t="shared" si="69"/>
        <v>Q OK dE&gt;0.8</v>
      </c>
      <c r="O891">
        <v>17.27</v>
      </c>
      <c r="P891">
        <v>-0.72</v>
      </c>
      <c r="Q891">
        <v>-1.5</v>
      </c>
      <c r="R891">
        <v>-0.38</v>
      </c>
      <c r="S891">
        <v>0.63</v>
      </c>
      <c r="T891">
        <v>0.4</v>
      </c>
      <c r="U891">
        <v>-0.85</v>
      </c>
      <c r="V891">
        <v>0.44</v>
      </c>
      <c r="W891">
        <v>1.03</v>
      </c>
      <c r="X891" t="s">
        <v>6</v>
      </c>
      <c r="Y891" t="s">
        <v>7</v>
      </c>
      <c r="Z891" s="2" t="s">
        <v>718</v>
      </c>
      <c r="AA891" s="2" t="s">
        <v>721</v>
      </c>
    </row>
    <row r="892" spans="1:27" x14ac:dyDescent="0.35">
      <c r="A892" t="s">
        <v>1797</v>
      </c>
      <c r="B892" t="s">
        <v>1985</v>
      </c>
      <c r="C892" s="7" t="str">
        <f>_xlfn.XLOOKUP(B892,'[1]Sheet 1'!$A$2:$A$11107,'[1]Sheet 1'!$D$2:$D$11107,"",0)</f>
        <v>LULU</v>
      </c>
      <c r="D892" s="4" t="str">
        <f>_xlfn.XLOOKUP(A892,[3]Sheet2!$I$2:$I$1623,[3]Sheet2!$D$2:$D$1623,"",0)</f>
        <v>Q4</v>
      </c>
      <c r="F892" s="4" t="e">
        <f>_xlfn.XLOOKUP(B892,[2]Sheet2!$E$2:$E$713,[2]Sheet2!$G$2:$G$713)</f>
        <v>#N/A</v>
      </c>
      <c r="G892" s="22">
        <v>46158</v>
      </c>
      <c r="H892" s="23">
        <v>0.66535879629629635</v>
      </c>
      <c r="I892" t="s">
        <v>17</v>
      </c>
      <c r="J892" s="2" t="str">
        <f t="shared" si="67"/>
        <v>Q3</v>
      </c>
      <c r="K892" s="2" t="str">
        <f t="shared" si="68"/>
        <v>Not Match</v>
      </c>
      <c r="L892" s="1">
        <f t="shared" si="70"/>
        <v>0.17720045146669353</v>
      </c>
      <c r="M892" s="1" t="e">
        <f t="shared" si="71"/>
        <v>#N/A</v>
      </c>
      <c r="N892" s="2" t="str">
        <f t="shared" si="69"/>
        <v>Q NOT OK dE&lt;=0.8</v>
      </c>
      <c r="O892">
        <v>27.54</v>
      </c>
      <c r="P892">
        <v>-10.24</v>
      </c>
      <c r="Q892">
        <v>0.71</v>
      </c>
      <c r="R892">
        <v>-0.46</v>
      </c>
      <c r="S892">
        <v>-0.05</v>
      </c>
      <c r="T892">
        <v>-0.17</v>
      </c>
      <c r="U892">
        <v>0.03</v>
      </c>
      <c r="V892">
        <v>0.19</v>
      </c>
      <c r="W892">
        <v>0.5</v>
      </c>
      <c r="X892" t="s">
        <v>8</v>
      </c>
      <c r="Y892" t="s">
        <v>7</v>
      </c>
      <c r="Z892" s="2" t="s">
        <v>718</v>
      </c>
      <c r="AA892" s="2" t="s">
        <v>721</v>
      </c>
    </row>
    <row r="893" spans="1:27" x14ac:dyDescent="0.35">
      <c r="A893" t="s">
        <v>2149</v>
      </c>
      <c r="B893" t="s">
        <v>1979</v>
      </c>
      <c r="C893" s="7" t="str">
        <f>_xlfn.XLOOKUP(B893,'[1]Sheet 1'!$A$2:$A$11107,'[1]Sheet 1'!$D$2:$D$11107,"",0)</f>
        <v>LULU</v>
      </c>
      <c r="D893" s="4" t="str">
        <f>_xlfn.XLOOKUP(A893,[3]Sheet2!$I$2:$I$1623,[3]Sheet2!$D$2:$D$1623,"",0)</f>
        <v>Q2</v>
      </c>
      <c r="F893" s="4" t="e">
        <f>_xlfn.XLOOKUP(B893,[2]Sheet2!$E$2:$E$713,[2]Sheet2!$G$2:$G$713)</f>
        <v>#N/A</v>
      </c>
      <c r="G893" s="22">
        <v>46158</v>
      </c>
      <c r="H893" s="23">
        <v>0.25219907407407405</v>
      </c>
      <c r="I893" t="s">
        <v>4</v>
      </c>
      <c r="J893" s="2" t="str">
        <f t="shared" si="67"/>
        <v>Q2</v>
      </c>
      <c r="K893" s="2" t="str">
        <f t="shared" si="68"/>
        <v>Match</v>
      </c>
      <c r="L893" s="1">
        <f t="shared" si="70"/>
        <v>1.1594826432508596</v>
      </c>
      <c r="M893" s="1" t="e">
        <f t="shared" si="71"/>
        <v>#N/A</v>
      </c>
      <c r="N893" s="2" t="str">
        <f t="shared" si="69"/>
        <v>Q OK dE&lt;=0.8</v>
      </c>
      <c r="O893">
        <v>40.549999999999997</v>
      </c>
      <c r="P893">
        <v>-36.159999999999997</v>
      </c>
      <c r="Q893">
        <v>12.43</v>
      </c>
      <c r="R893">
        <v>0.04</v>
      </c>
      <c r="S893">
        <v>-1.1200000000000001</v>
      </c>
      <c r="T893">
        <v>0.3</v>
      </c>
      <c r="U893">
        <v>0.52</v>
      </c>
      <c r="V893">
        <v>0.05</v>
      </c>
      <c r="W893">
        <v>0.52</v>
      </c>
      <c r="X893" t="s">
        <v>8</v>
      </c>
      <c r="Y893" t="s">
        <v>7</v>
      </c>
      <c r="Z893" s="2" t="s">
        <v>718</v>
      </c>
      <c r="AA893" s="2" t="s">
        <v>721</v>
      </c>
    </row>
    <row r="894" spans="1:27" x14ac:dyDescent="0.35">
      <c r="A894" t="s">
        <v>1626</v>
      </c>
      <c r="B894" t="s">
        <v>1983</v>
      </c>
      <c r="C894" s="7" t="str">
        <f>_xlfn.XLOOKUP(B894,'[1]Sheet 1'!$A$2:$A$11107,'[1]Sheet 1'!$D$2:$D$11107,"",0)</f>
        <v>VSS</v>
      </c>
      <c r="D894" s="4" t="str">
        <f>_xlfn.XLOOKUP(A894,[3]Sheet2!$I$2:$I$1623,[3]Sheet2!$D$2:$D$1623,"",0)</f>
        <v>Q4</v>
      </c>
      <c r="F894" s="4" t="e">
        <f>_xlfn.XLOOKUP(B894,[2]Sheet2!$E$2:$E$713,[2]Sheet2!$G$2:$G$713)</f>
        <v>#N/A</v>
      </c>
      <c r="G894" s="22">
        <v>46158</v>
      </c>
      <c r="H894" s="23">
        <v>0.54616898148148152</v>
      </c>
      <c r="I894" t="s">
        <v>10</v>
      </c>
      <c r="J894" s="2" t="str">
        <f t="shared" si="67"/>
        <v>Q4</v>
      </c>
      <c r="K894" s="2" t="str">
        <f t="shared" si="68"/>
        <v>Match</v>
      </c>
      <c r="L894" s="1">
        <f t="shared" si="70"/>
        <v>0.01</v>
      </c>
      <c r="M894" s="1" t="e">
        <f t="shared" si="71"/>
        <v>#N/A</v>
      </c>
      <c r="N894" s="2" t="str">
        <f t="shared" si="69"/>
        <v>Q OK dE&lt;=0.8</v>
      </c>
      <c r="O894">
        <v>15.75</v>
      </c>
      <c r="P894">
        <v>0.61</v>
      </c>
      <c r="Q894">
        <v>-1.59</v>
      </c>
      <c r="R894">
        <v>0.17</v>
      </c>
      <c r="S894">
        <v>0.01</v>
      </c>
      <c r="T894">
        <v>0</v>
      </c>
      <c r="U894">
        <v>0.01</v>
      </c>
      <c r="V894">
        <v>0.01</v>
      </c>
      <c r="W894">
        <v>0.17</v>
      </c>
      <c r="X894" t="s">
        <v>8</v>
      </c>
      <c r="Y894" t="s">
        <v>9</v>
      </c>
      <c r="Z894" s="2" t="s">
        <v>718</v>
      </c>
      <c r="AA894" s="2" t="s">
        <v>721</v>
      </c>
    </row>
    <row r="895" spans="1:27" x14ac:dyDescent="0.35">
      <c r="A895" t="s">
        <v>1626</v>
      </c>
      <c r="B895" t="s">
        <v>1851</v>
      </c>
      <c r="C895" s="7" t="str">
        <f>_xlfn.XLOOKUP(B895,'[1]Sheet 1'!$A$2:$A$11107,'[1]Sheet 1'!$D$2:$D$11107,"",0)</f>
        <v>VSS</v>
      </c>
      <c r="D895" s="4" t="str">
        <f>_xlfn.XLOOKUP(A895,[3]Sheet2!$I$2:$I$1623,[3]Sheet2!$D$2:$D$1623,"",0)</f>
        <v>Q4</v>
      </c>
      <c r="F895" s="4" t="e">
        <f>_xlfn.XLOOKUP(B895,[2]Sheet2!$E$2:$E$713,[2]Sheet2!$G$2:$G$713)</f>
        <v>#N/A</v>
      </c>
      <c r="G895" s="22">
        <v>46158</v>
      </c>
      <c r="H895" s="23">
        <v>0.20041666666666666</v>
      </c>
      <c r="I895" t="s">
        <v>10</v>
      </c>
      <c r="J895" s="2" t="str">
        <f t="shared" si="67"/>
        <v>Q1</v>
      </c>
      <c r="K895" s="2" t="str">
        <f t="shared" si="68"/>
        <v>Not Match</v>
      </c>
      <c r="L895" s="1">
        <f t="shared" si="70"/>
        <v>0.1118033988749895</v>
      </c>
      <c r="M895" s="1" t="e">
        <f t="shared" si="71"/>
        <v>#N/A</v>
      </c>
      <c r="N895" s="2" t="str">
        <f t="shared" si="69"/>
        <v>Q NOT OK dE&lt;=0.8</v>
      </c>
      <c r="O895">
        <v>15.8</v>
      </c>
      <c r="P895">
        <v>0.7</v>
      </c>
      <c r="Q895">
        <v>-1.54</v>
      </c>
      <c r="R895">
        <v>0.22</v>
      </c>
      <c r="S895">
        <v>0.1</v>
      </c>
      <c r="T895">
        <v>0.05</v>
      </c>
      <c r="U895">
        <v>-0.01</v>
      </c>
      <c r="V895">
        <v>0.16</v>
      </c>
      <c r="W895">
        <v>0.27</v>
      </c>
      <c r="X895" t="s">
        <v>8</v>
      </c>
      <c r="Y895" t="s">
        <v>9</v>
      </c>
      <c r="Z895" s="2" t="s">
        <v>718</v>
      </c>
      <c r="AA895" s="2" t="s">
        <v>721</v>
      </c>
    </row>
    <row r="896" spans="1:27" x14ac:dyDescent="0.35">
      <c r="A896" t="s">
        <v>1626</v>
      </c>
      <c r="B896" t="s">
        <v>1986</v>
      </c>
      <c r="C896" s="7" t="str">
        <f>_xlfn.XLOOKUP(B896,'[1]Sheet 1'!$A$2:$A$11107,'[1]Sheet 1'!$D$2:$D$11107,"",0)</f>
        <v>VSS</v>
      </c>
      <c r="D896" s="4" t="str">
        <f>_xlfn.XLOOKUP(A896,[3]Sheet2!$I$2:$I$1623,[3]Sheet2!$D$2:$D$1623,"",0)</f>
        <v>Q4</v>
      </c>
      <c r="F896" s="4" t="e">
        <f>_xlfn.XLOOKUP(B896,[2]Sheet2!$E$2:$E$713,[2]Sheet2!$G$2:$G$713)</f>
        <v>#N/A</v>
      </c>
      <c r="G896" s="22">
        <v>46158</v>
      </c>
      <c r="H896" s="23">
        <v>0.70952546296296293</v>
      </c>
      <c r="I896" t="s">
        <v>10</v>
      </c>
      <c r="J896" s="2" t="str">
        <f t="shared" si="67"/>
        <v>Q3</v>
      </c>
      <c r="K896" s="2" t="str">
        <f t="shared" si="68"/>
        <v>Not Match</v>
      </c>
      <c r="L896" s="1">
        <f t="shared" si="70"/>
        <v>0.14422205101855956</v>
      </c>
      <c r="M896" s="1" t="e">
        <f t="shared" si="71"/>
        <v>#N/A</v>
      </c>
      <c r="N896" s="2" t="str">
        <f t="shared" si="69"/>
        <v>Q NOT OK dE&lt;=0.8</v>
      </c>
      <c r="O896">
        <v>15.44</v>
      </c>
      <c r="P896">
        <v>0.48</v>
      </c>
      <c r="Q896">
        <v>-1.67</v>
      </c>
      <c r="R896">
        <v>-0.13</v>
      </c>
      <c r="S896">
        <v>-0.12</v>
      </c>
      <c r="T896">
        <v>-0.08</v>
      </c>
      <c r="U896">
        <v>0.05</v>
      </c>
      <c r="V896">
        <v>-0.19</v>
      </c>
      <c r="W896">
        <v>0.23</v>
      </c>
      <c r="X896" t="s">
        <v>8</v>
      </c>
      <c r="Y896" t="s">
        <v>15</v>
      </c>
      <c r="Z896" s="2" t="s">
        <v>718</v>
      </c>
      <c r="AA896" s="2" t="s">
        <v>721</v>
      </c>
    </row>
    <row r="897" spans="1:27" x14ac:dyDescent="0.35">
      <c r="A897" t="s">
        <v>1715</v>
      </c>
      <c r="B897" t="s">
        <v>1984</v>
      </c>
      <c r="C897" s="7" t="str">
        <f>_xlfn.XLOOKUP(B897,'[1]Sheet 1'!$A$2:$A$11107,'[1]Sheet 1'!$D$2:$D$11107,"",0)</f>
        <v/>
      </c>
      <c r="D897" s="4" t="str">
        <f>_xlfn.XLOOKUP(A897,[3]Sheet2!$I$2:$I$1623,[3]Sheet2!$D$2:$D$1623,"",0)</f>
        <v>Q1</v>
      </c>
      <c r="F897" s="4" t="e">
        <f>_xlfn.XLOOKUP(B897,[2]Sheet2!$E$2:$E$713,[2]Sheet2!$G$2:$G$713)</f>
        <v>#N/A</v>
      </c>
      <c r="G897" s="22">
        <v>46158</v>
      </c>
      <c r="H897" s="23">
        <v>0.61891203703703701</v>
      </c>
      <c r="I897" t="s">
        <v>4</v>
      </c>
      <c r="J897" s="2" t="str">
        <f t="shared" ref="J897:J960" si="72">IF(OR(S897=0,T897=0),D897,IF(AND(S897&gt;0,T897&gt;0),"Q1",IF(AND(S897&lt;0,T897&gt;0),"Q2",IF(AND(S897&lt;0,T897&lt;0),"Q3",IF(AND(S897&gt;0,T897&lt;0),"Q4","")))))</f>
        <v>Q3</v>
      </c>
      <c r="K897" s="2" t="str">
        <f t="shared" ref="K897:K960" si="73">IF(J897=D897,"Match",IF(AND(J897=0,D897="Match"),"da and db 0",IF(D897=0,"Not Found","Not Match")))</f>
        <v>Not Match</v>
      </c>
      <c r="L897" s="1">
        <f t="shared" si="70"/>
        <v>0.28460498941515416</v>
      </c>
      <c r="M897" s="1" t="e">
        <f t="shared" si="71"/>
        <v>#N/A</v>
      </c>
      <c r="N897" s="2" t="str">
        <f t="shared" ref="N897:N960" si="74">IF(D897=0,"Quadrant not assigned",IF(AND(K897="Match",W897&lt;=0.8),"Q OK dE&lt;=0.8",IF(AND(K897="Match",W897&gt;0.8),"Q OK dE&gt;0.8",IF(AND(K897="Not Match",W897&lt;=0.8),"Q NOT OK dE&lt;=0.8","Q NOT OK dE&gt;0.8"))))</f>
        <v>Q NOT OK dE&gt;0.8</v>
      </c>
      <c r="O897">
        <v>13.88</v>
      </c>
      <c r="P897">
        <v>-0.24</v>
      </c>
      <c r="Q897">
        <v>-1.64</v>
      </c>
      <c r="R897">
        <v>-0.78</v>
      </c>
      <c r="S897">
        <v>-0.09</v>
      </c>
      <c r="T897">
        <v>-0.27</v>
      </c>
      <c r="U897">
        <v>0.38</v>
      </c>
      <c r="V897">
        <v>-0.08</v>
      </c>
      <c r="W897">
        <v>0.87</v>
      </c>
      <c r="X897" t="s">
        <v>13</v>
      </c>
      <c r="Y897" t="s">
        <v>15</v>
      </c>
      <c r="Z897" s="2" t="s">
        <v>718</v>
      </c>
      <c r="AA897" s="2" t="s">
        <v>721</v>
      </c>
    </row>
    <row r="898" spans="1:27" x14ac:dyDescent="0.35">
      <c r="A898" t="s">
        <v>1773</v>
      </c>
      <c r="B898" t="s">
        <v>1989</v>
      </c>
      <c r="C898" s="7" t="str">
        <f>_xlfn.XLOOKUP(B898,'[1]Sheet 1'!$A$2:$A$11107,'[1]Sheet 1'!$D$2:$D$11107,"",0)</f>
        <v>NKSKI</v>
      </c>
      <c r="D898" s="4" t="str">
        <f>_xlfn.XLOOKUP(A898,[3]Sheet2!$I$2:$I$1623,[3]Sheet2!$D$2:$D$1623,"",0)</f>
        <v>Q3</v>
      </c>
      <c r="F898" s="4" t="e">
        <f>_xlfn.XLOOKUP(B898,[2]Sheet2!$E$2:$E$713,[2]Sheet2!$G$2:$G$713)</f>
        <v>#N/A</v>
      </c>
      <c r="G898" s="22">
        <v>46158</v>
      </c>
      <c r="H898" s="23">
        <v>0.7612268518518519</v>
      </c>
      <c r="I898" t="s">
        <v>4</v>
      </c>
      <c r="J898" s="2" t="str">
        <f t="shared" si="72"/>
        <v>Q2</v>
      </c>
      <c r="K898" s="2" t="str">
        <f t="shared" si="73"/>
        <v>Not Match</v>
      </c>
      <c r="L898" s="1">
        <f t="shared" si="70"/>
        <v>0.33837848631377265</v>
      </c>
      <c r="M898" s="1" t="e">
        <f t="shared" si="71"/>
        <v>#N/A</v>
      </c>
      <c r="N898" s="2" t="str">
        <f t="shared" si="74"/>
        <v>Q NOT OK dE&lt;=0.8</v>
      </c>
      <c r="O898">
        <v>18.079999999999998</v>
      </c>
      <c r="P898">
        <v>-1.5</v>
      </c>
      <c r="Q898">
        <v>-2.65</v>
      </c>
      <c r="R898">
        <v>0.56999999999999995</v>
      </c>
      <c r="S898">
        <v>-0.28000000000000003</v>
      </c>
      <c r="T898">
        <v>0.19</v>
      </c>
      <c r="U898">
        <v>-0.05</v>
      </c>
      <c r="V898">
        <v>-0.43</v>
      </c>
      <c r="W898">
        <v>0.72</v>
      </c>
      <c r="X898" t="s">
        <v>8</v>
      </c>
      <c r="Y898" t="s">
        <v>15</v>
      </c>
      <c r="Z898" s="2" t="s">
        <v>718</v>
      </c>
      <c r="AA898" s="2" t="s">
        <v>721</v>
      </c>
    </row>
    <row r="899" spans="1:27" x14ac:dyDescent="0.35">
      <c r="A899" t="s">
        <v>1574</v>
      </c>
      <c r="B899" t="s">
        <v>1982</v>
      </c>
      <c r="C899" s="7" t="str">
        <f>_xlfn.XLOOKUP(B899,'[1]Sheet 1'!$A$2:$A$11107,'[1]Sheet 1'!$D$2:$D$11107,"",0)</f>
        <v>PINK</v>
      </c>
      <c r="D899" s="4" t="str">
        <f>_xlfn.XLOOKUP(A899,[3]Sheet2!$I$2:$I$1623,[3]Sheet2!$D$2:$D$1623,"",0)</f>
        <v>Q2</v>
      </c>
      <c r="F899" s="4" t="e">
        <f>_xlfn.XLOOKUP(B899,[2]Sheet2!$E$2:$E$713,[2]Sheet2!$G$2:$G$713)</f>
        <v>#N/A</v>
      </c>
      <c r="G899" s="22">
        <v>46158</v>
      </c>
      <c r="H899" s="23">
        <v>0.45208333333333334</v>
      </c>
      <c r="I899" t="s">
        <v>10</v>
      </c>
      <c r="J899" s="2" t="str">
        <f t="shared" si="72"/>
        <v>Q4</v>
      </c>
      <c r="K899" s="2" t="str">
        <f t="shared" si="73"/>
        <v>Not Match</v>
      </c>
      <c r="L899" s="1">
        <f t="shared" si="70"/>
        <v>0.75179784516850012</v>
      </c>
      <c r="M899" s="1" t="e">
        <f t="shared" si="71"/>
        <v>#N/A</v>
      </c>
      <c r="N899" s="2" t="str">
        <f t="shared" si="74"/>
        <v>Q NOT OK dE&lt;=0.8</v>
      </c>
      <c r="O899">
        <v>19.05</v>
      </c>
      <c r="P899">
        <v>-1.75</v>
      </c>
      <c r="Q899">
        <v>-11.98</v>
      </c>
      <c r="R899">
        <v>-0.3</v>
      </c>
      <c r="S899">
        <v>0.36</v>
      </c>
      <c r="T899">
        <v>-0.66</v>
      </c>
      <c r="U899">
        <v>0.46</v>
      </c>
      <c r="V899">
        <v>0.55000000000000004</v>
      </c>
      <c r="W899">
        <v>0.78</v>
      </c>
      <c r="X899" t="s">
        <v>13</v>
      </c>
      <c r="Y899" t="s">
        <v>9</v>
      </c>
      <c r="Z899" s="2" t="s">
        <v>718</v>
      </c>
      <c r="AA899" s="2" t="s">
        <v>721</v>
      </c>
    </row>
    <row r="900" spans="1:27" x14ac:dyDescent="0.35">
      <c r="A900" t="s">
        <v>1574</v>
      </c>
      <c r="B900" t="s">
        <v>1977</v>
      </c>
      <c r="C900" s="7" t="str">
        <f>_xlfn.XLOOKUP(B900,'[1]Sheet 1'!$A$2:$A$11107,'[1]Sheet 1'!$D$2:$D$11107,"",0)</f>
        <v>PINK</v>
      </c>
      <c r="D900" s="4" t="str">
        <f>_xlfn.XLOOKUP(A900,[3]Sheet2!$I$2:$I$1623,[3]Sheet2!$D$2:$D$1623,"",0)</f>
        <v>Q2</v>
      </c>
      <c r="F900" s="4" t="e">
        <f>_xlfn.XLOOKUP(B900,[2]Sheet2!$E$2:$E$713,[2]Sheet2!$G$2:$G$713)</f>
        <v>#N/A</v>
      </c>
      <c r="G900" s="22">
        <v>46158</v>
      </c>
      <c r="H900" s="23">
        <v>2.9861111111111113E-3</v>
      </c>
      <c r="I900" t="s">
        <v>10</v>
      </c>
      <c r="J900" s="2" t="str">
        <f t="shared" si="72"/>
        <v>Q4</v>
      </c>
      <c r="K900" s="2" t="str">
        <f t="shared" si="73"/>
        <v>Not Match</v>
      </c>
      <c r="L900" s="1">
        <f t="shared" si="70"/>
        <v>0.75927597090912868</v>
      </c>
      <c r="M900" s="1" t="e">
        <f t="shared" si="71"/>
        <v>#N/A</v>
      </c>
      <c r="N900" s="2" t="str">
        <f t="shared" si="74"/>
        <v>Q NOT OK dE&lt;=0.8</v>
      </c>
      <c r="O900">
        <v>19.27</v>
      </c>
      <c r="P900">
        <v>-1.94</v>
      </c>
      <c r="Q900">
        <v>-12.06</v>
      </c>
      <c r="R900">
        <v>-0.11</v>
      </c>
      <c r="S900">
        <v>0.17</v>
      </c>
      <c r="T900">
        <v>-0.74</v>
      </c>
      <c r="U900">
        <v>0.55000000000000004</v>
      </c>
      <c r="V900">
        <v>0.35</v>
      </c>
      <c r="W900">
        <v>0.66</v>
      </c>
      <c r="X900" t="s">
        <v>8</v>
      </c>
      <c r="Y900" t="s">
        <v>9</v>
      </c>
      <c r="Z900" s="2" t="s">
        <v>718</v>
      </c>
      <c r="AA900" s="2" t="s">
        <v>721</v>
      </c>
    </row>
    <row r="901" spans="1:27" x14ac:dyDescent="0.35">
      <c r="A901" t="s">
        <v>1574</v>
      </c>
      <c r="B901" t="s">
        <v>1980</v>
      </c>
      <c r="C901" s="7" t="str">
        <f>_xlfn.XLOOKUP(B901,'[1]Sheet 1'!$A$2:$A$11107,'[1]Sheet 1'!$D$2:$D$11107,"",0)</f>
        <v>PINK</v>
      </c>
      <c r="D901" s="4" t="str">
        <f>_xlfn.XLOOKUP(A901,[3]Sheet2!$I$2:$I$1623,[3]Sheet2!$D$2:$D$1623,"",0)</f>
        <v>Q2</v>
      </c>
      <c r="F901" s="4" t="e">
        <f>_xlfn.XLOOKUP(B901,[2]Sheet2!$E$2:$E$713,[2]Sheet2!$G$2:$G$713)</f>
        <v>#N/A</v>
      </c>
      <c r="G901" s="22">
        <v>46158</v>
      </c>
      <c r="H901" s="23">
        <v>0.2628125</v>
      </c>
      <c r="I901" t="s">
        <v>10</v>
      </c>
      <c r="J901" s="2" t="str">
        <f t="shared" si="72"/>
        <v>Q4</v>
      </c>
      <c r="K901" s="2" t="str">
        <f t="shared" si="73"/>
        <v>Not Match</v>
      </c>
      <c r="L901" s="1">
        <f t="shared" si="70"/>
        <v>0.66648330811806533</v>
      </c>
      <c r="M901" s="1" t="e">
        <f t="shared" si="71"/>
        <v>#N/A</v>
      </c>
      <c r="N901" s="2" t="str">
        <f t="shared" si="74"/>
        <v>Q NOT OK dE&lt;=0.8</v>
      </c>
      <c r="O901">
        <v>19.79</v>
      </c>
      <c r="P901">
        <v>-1.81</v>
      </c>
      <c r="Q901">
        <v>-11.91</v>
      </c>
      <c r="R901">
        <v>0.33</v>
      </c>
      <c r="S901">
        <v>0.31</v>
      </c>
      <c r="T901">
        <v>-0.59</v>
      </c>
      <c r="U901">
        <v>0.41</v>
      </c>
      <c r="V901">
        <v>0.48</v>
      </c>
      <c r="W901">
        <v>0.71</v>
      </c>
      <c r="X901" t="s">
        <v>8</v>
      </c>
      <c r="Y901" t="s">
        <v>9</v>
      </c>
      <c r="Z901" s="2" t="s">
        <v>718</v>
      </c>
      <c r="AA901" s="2" t="s">
        <v>721</v>
      </c>
    </row>
    <row r="902" spans="1:27" x14ac:dyDescent="0.35">
      <c r="A902" t="s">
        <v>1803</v>
      </c>
      <c r="B902" t="s">
        <v>1960</v>
      </c>
      <c r="C902" s="7" t="str">
        <f>_xlfn.XLOOKUP(B902,'[1]Sheet 1'!$A$2:$A$11107,'[1]Sheet 1'!$D$2:$D$11107,"",0)</f>
        <v>DUN</v>
      </c>
      <c r="D902" s="4" t="str">
        <f>_xlfn.XLOOKUP(A902,[3]Sheet2!$I$2:$I$1623,[3]Sheet2!$D$2:$D$1623,"",0)</f>
        <v>Q2</v>
      </c>
      <c r="F902" s="4" t="e">
        <f>_xlfn.XLOOKUP(B902,[2]Sheet2!$E$2:$E$713,[2]Sheet2!$G$2:$G$713)</f>
        <v>#N/A</v>
      </c>
      <c r="G902" s="22">
        <v>46158</v>
      </c>
      <c r="H902" s="23">
        <v>0.12256944444444444</v>
      </c>
      <c r="I902" t="s">
        <v>5</v>
      </c>
      <c r="J902" s="2" t="str">
        <f t="shared" si="72"/>
        <v>Q1</v>
      </c>
      <c r="K902" s="2" t="str">
        <f t="shared" si="73"/>
        <v>Not Match</v>
      </c>
      <c r="L902" s="1">
        <f t="shared" si="70"/>
        <v>0.20518284528683189</v>
      </c>
      <c r="M902" s="1" t="e">
        <f t="shared" si="71"/>
        <v>#N/A</v>
      </c>
      <c r="N902" s="2" t="str">
        <f t="shared" si="74"/>
        <v>Q NOT OK dE&gt;0.8</v>
      </c>
      <c r="O902">
        <v>25.25</v>
      </c>
      <c r="P902">
        <v>7.72</v>
      </c>
      <c r="Q902">
        <v>2.35</v>
      </c>
      <c r="R902">
        <v>-0.83</v>
      </c>
      <c r="S902">
        <v>0.15</v>
      </c>
      <c r="T902">
        <v>0.14000000000000001</v>
      </c>
      <c r="U902">
        <v>0.17</v>
      </c>
      <c r="V902">
        <v>0.13</v>
      </c>
      <c r="W902">
        <v>0.86</v>
      </c>
      <c r="X902" t="s">
        <v>13</v>
      </c>
      <c r="Y902" t="s">
        <v>12</v>
      </c>
      <c r="Z902" s="2" t="s">
        <v>718</v>
      </c>
      <c r="AA902" s="2" t="s">
        <v>721</v>
      </c>
    </row>
    <row r="903" spans="1:27" x14ac:dyDescent="0.35">
      <c r="A903" t="s">
        <v>1743</v>
      </c>
      <c r="B903" t="s">
        <v>1987</v>
      </c>
      <c r="C903" s="7" t="str">
        <f>_xlfn.XLOOKUP(B903,'[1]Sheet 1'!$A$2:$A$11107,'[1]Sheet 1'!$D$2:$D$11107,"",0)</f>
        <v>CHICOS</v>
      </c>
      <c r="D903" s="4" t="str">
        <f>_xlfn.XLOOKUP(A903,[3]Sheet2!$I$2:$I$1623,[3]Sheet2!$D$2:$D$1623,"",0)</f>
        <v>Q1</v>
      </c>
      <c r="F903" s="4" t="e">
        <f>_xlfn.XLOOKUP(B903,[2]Sheet2!$E$2:$E$713,[2]Sheet2!$G$2:$G$713)</f>
        <v>#N/A</v>
      </c>
      <c r="G903" s="22">
        <v>46160</v>
      </c>
      <c r="H903" s="23">
        <v>0.56564814814814812</v>
      </c>
      <c r="I903" t="s">
        <v>10</v>
      </c>
      <c r="J903" s="2" t="str">
        <f t="shared" si="72"/>
        <v>Q2</v>
      </c>
      <c r="K903" s="2" t="str">
        <f t="shared" si="73"/>
        <v>Not Match</v>
      </c>
      <c r="L903" s="1">
        <f t="shared" si="70"/>
        <v>0.41617304093369628</v>
      </c>
      <c r="M903" s="1" t="e">
        <f t="shared" si="71"/>
        <v>#N/A</v>
      </c>
      <c r="N903" s="2" t="str">
        <f t="shared" si="74"/>
        <v>Q NOT OK dE&lt;=0.8</v>
      </c>
      <c r="O903">
        <v>36.130000000000003</v>
      </c>
      <c r="P903">
        <v>11.86</v>
      </c>
      <c r="Q903">
        <v>14.88</v>
      </c>
      <c r="R903">
        <v>-0.47</v>
      </c>
      <c r="S903">
        <v>-0.34</v>
      </c>
      <c r="T903">
        <v>0.24</v>
      </c>
      <c r="U903">
        <v>-0.02</v>
      </c>
      <c r="V903">
        <v>0.64</v>
      </c>
      <c r="W903">
        <v>0.79</v>
      </c>
      <c r="X903" t="s">
        <v>13</v>
      </c>
      <c r="Y903" t="s">
        <v>12</v>
      </c>
      <c r="Z903" s="2" t="s">
        <v>718</v>
      </c>
      <c r="AA903" s="2" t="s">
        <v>721</v>
      </c>
    </row>
    <row r="904" spans="1:27" x14ac:dyDescent="0.35">
      <c r="A904" t="s">
        <v>1774</v>
      </c>
      <c r="B904" t="s">
        <v>1852</v>
      </c>
      <c r="C904" s="7" t="str">
        <f>_xlfn.XLOOKUP(B904,'[1]Sheet 1'!$A$2:$A$11107,'[1]Sheet 1'!$D$2:$D$11107,"",0)</f>
        <v>WACE</v>
      </c>
      <c r="D904" s="4" t="str">
        <f>_xlfn.XLOOKUP(A904,[3]Sheet2!$I$2:$I$1623,[3]Sheet2!$D$2:$D$1623,"",0)</f>
        <v>Q4</v>
      </c>
      <c r="F904" s="4" t="e">
        <f>_xlfn.XLOOKUP(B904,[2]Sheet2!$E$2:$E$713,[2]Sheet2!$G$2:$G$713)</f>
        <v>#N/A</v>
      </c>
      <c r="G904" s="22">
        <v>46160</v>
      </c>
      <c r="H904" s="23">
        <v>0.90296296296296297</v>
      </c>
      <c r="I904" t="s">
        <v>4</v>
      </c>
      <c r="J904" s="2" t="str">
        <f t="shared" si="72"/>
        <v>Q2</v>
      </c>
      <c r="K904" s="2" t="str">
        <f t="shared" si="73"/>
        <v>Not Match</v>
      </c>
      <c r="L904" s="1">
        <f t="shared" si="70"/>
        <v>0.17088007490635063</v>
      </c>
      <c r="M904" s="1" t="e">
        <f t="shared" si="71"/>
        <v>#N/A</v>
      </c>
      <c r="N904" s="2" t="str">
        <f t="shared" si="74"/>
        <v>Q NOT OK dE&gt;0.8</v>
      </c>
      <c r="O904">
        <v>20.76</v>
      </c>
      <c r="P904">
        <v>-0.55000000000000004</v>
      </c>
      <c r="Q904">
        <v>-2.37</v>
      </c>
      <c r="R904">
        <v>0.85</v>
      </c>
      <c r="S904">
        <v>-0.06</v>
      </c>
      <c r="T904">
        <v>0.16</v>
      </c>
      <c r="U904">
        <v>-0.18</v>
      </c>
      <c r="V904">
        <v>-0.12</v>
      </c>
      <c r="W904">
        <v>0.88</v>
      </c>
      <c r="X904" t="s">
        <v>13</v>
      </c>
      <c r="Y904" t="s">
        <v>15</v>
      </c>
      <c r="Z904" s="2" t="s">
        <v>718</v>
      </c>
      <c r="AA904" s="2" t="s">
        <v>721</v>
      </c>
    </row>
    <row r="905" spans="1:27" x14ac:dyDescent="0.35">
      <c r="A905" t="s">
        <v>1802</v>
      </c>
      <c r="B905" t="s">
        <v>1853</v>
      </c>
      <c r="C905" s="7" t="str">
        <f>_xlfn.XLOOKUP(B905,'[1]Sheet 1'!$A$2:$A$11107,'[1]Sheet 1'!$D$2:$D$11107,"",0)</f>
        <v>LULU</v>
      </c>
      <c r="D905" s="4" t="str">
        <f>_xlfn.XLOOKUP(A905,[3]Sheet2!$I$2:$I$1623,[3]Sheet2!$D$2:$D$1623,"",0)</f>
        <v>Q3</v>
      </c>
      <c r="F905" s="4" t="e">
        <f>_xlfn.XLOOKUP(B905,[2]Sheet2!$E$2:$E$713,[2]Sheet2!$G$2:$G$713)</f>
        <v>#N/A</v>
      </c>
      <c r="G905" s="22">
        <v>46160</v>
      </c>
      <c r="H905" s="23">
        <v>0.93208333333333337</v>
      </c>
      <c r="I905" t="s">
        <v>4</v>
      </c>
      <c r="J905" s="2" t="str">
        <f t="shared" si="72"/>
        <v>Q1</v>
      </c>
      <c r="K905" s="2" t="str">
        <f t="shared" si="73"/>
        <v>Not Match</v>
      </c>
      <c r="L905" s="1">
        <f t="shared" si="70"/>
        <v>0.23345235059857505</v>
      </c>
      <c r="M905" s="1" t="e">
        <f t="shared" si="71"/>
        <v>#N/A</v>
      </c>
      <c r="N905" s="2" t="str">
        <f t="shared" si="74"/>
        <v>Q NOT OK dE&lt;=0.8</v>
      </c>
      <c r="O905">
        <v>23.1</v>
      </c>
      <c r="P905">
        <v>8.2100000000000009</v>
      </c>
      <c r="Q905">
        <v>0.97</v>
      </c>
      <c r="R905">
        <v>-0.26</v>
      </c>
      <c r="S905">
        <v>0.16</v>
      </c>
      <c r="T905">
        <v>0.17</v>
      </c>
      <c r="U905">
        <v>0.16</v>
      </c>
      <c r="V905">
        <v>0.19</v>
      </c>
      <c r="W905">
        <v>0.37</v>
      </c>
      <c r="X905" t="s">
        <v>8</v>
      </c>
      <c r="Y905" t="s">
        <v>9</v>
      </c>
      <c r="Z905" s="2" t="s">
        <v>718</v>
      </c>
      <c r="AA905" s="2" t="s">
        <v>721</v>
      </c>
    </row>
    <row r="906" spans="1:27" x14ac:dyDescent="0.35">
      <c r="A906" t="s">
        <v>1819</v>
      </c>
      <c r="B906" t="s">
        <v>1996</v>
      </c>
      <c r="C906" s="7" t="str">
        <f>_xlfn.XLOOKUP(B906,'[1]Sheet 1'!$A$2:$A$11107,'[1]Sheet 1'!$D$2:$D$11107,"",0)</f>
        <v>M&amp;S</v>
      </c>
      <c r="D906" s="4" t="str">
        <f>_xlfn.XLOOKUP(A906,[3]Sheet2!$I$2:$I$1623,[3]Sheet2!$D$2:$D$1623,"",0)</f>
        <v>Q4</v>
      </c>
      <c r="F906" s="4" t="e">
        <f>_xlfn.XLOOKUP(B906,[2]Sheet2!$E$2:$E$713,[2]Sheet2!$G$2:$G$713)</f>
        <v>#N/A</v>
      </c>
      <c r="G906" s="22">
        <v>46160</v>
      </c>
      <c r="H906" s="23">
        <v>0.7799652777777778</v>
      </c>
      <c r="I906" t="s">
        <v>17</v>
      </c>
      <c r="J906" s="2" t="str">
        <f t="shared" si="72"/>
        <v>Q2</v>
      </c>
      <c r="K906" s="2" t="str">
        <f t="shared" si="73"/>
        <v>Not Match</v>
      </c>
      <c r="L906" s="1">
        <f t="shared" si="70"/>
        <v>0.19235384061671346</v>
      </c>
      <c r="M906" s="1" t="e">
        <f t="shared" si="71"/>
        <v>#N/A</v>
      </c>
      <c r="N906" s="2" t="str">
        <f t="shared" si="74"/>
        <v>Q NOT OK dE&lt;=0.8</v>
      </c>
      <c r="O906">
        <v>17.12</v>
      </c>
      <c r="P906">
        <v>-0.54</v>
      </c>
      <c r="Q906">
        <v>-5.89</v>
      </c>
      <c r="R906">
        <v>0.19</v>
      </c>
      <c r="S906">
        <v>-0.09</v>
      </c>
      <c r="T906">
        <v>0.17</v>
      </c>
      <c r="U906">
        <v>-0.16</v>
      </c>
      <c r="V906">
        <v>-0.13</v>
      </c>
      <c r="W906">
        <v>0.28000000000000003</v>
      </c>
      <c r="X906" t="s">
        <v>8</v>
      </c>
      <c r="Y906" t="s">
        <v>15</v>
      </c>
      <c r="Z906" s="2" t="s">
        <v>718</v>
      </c>
      <c r="AA906" s="2" t="s">
        <v>721</v>
      </c>
    </row>
    <row r="907" spans="1:27" x14ac:dyDescent="0.35">
      <c r="A907" t="s">
        <v>2150</v>
      </c>
      <c r="B907" t="s">
        <v>1999</v>
      </c>
      <c r="C907" s="7" t="str">
        <f>_xlfn.XLOOKUP(B907,'[1]Sheet 1'!$A$2:$A$11107,'[1]Sheet 1'!$D$2:$D$11107,"",0)</f>
        <v>LULU</v>
      </c>
      <c r="D907" s="4" t="str">
        <f>_xlfn.XLOOKUP(A907,[3]Sheet2!$I$2:$I$1623,[3]Sheet2!$D$2:$D$1623,"",0)</f>
        <v>Q3</v>
      </c>
      <c r="F907" s="4" t="e">
        <f>_xlfn.XLOOKUP(B907,[2]Sheet2!$E$2:$E$713,[2]Sheet2!$G$2:$G$713)</f>
        <v>#N/A</v>
      </c>
      <c r="G907" s="22">
        <v>46160</v>
      </c>
      <c r="H907" s="23">
        <v>0.78635416666666669</v>
      </c>
      <c r="I907" t="s">
        <v>4</v>
      </c>
      <c r="J907" s="2" t="str">
        <f t="shared" si="72"/>
        <v>Q1</v>
      </c>
      <c r="K907" s="2" t="str">
        <f t="shared" si="73"/>
        <v>Not Match</v>
      </c>
      <c r="L907" s="1">
        <f t="shared" si="70"/>
        <v>0.79429213769242357</v>
      </c>
      <c r="M907" s="1" t="e">
        <f t="shared" si="71"/>
        <v>#N/A</v>
      </c>
      <c r="N907" s="2" t="str">
        <f t="shared" si="74"/>
        <v>Q NOT OK dE&lt;=0.8</v>
      </c>
      <c r="O907">
        <v>26.8</v>
      </c>
      <c r="P907">
        <v>22.6</v>
      </c>
      <c r="Q907">
        <v>3.65</v>
      </c>
      <c r="R907">
        <v>0.22</v>
      </c>
      <c r="S907">
        <v>0.78</v>
      </c>
      <c r="T907">
        <v>0.15</v>
      </c>
      <c r="U907">
        <v>0.46</v>
      </c>
      <c r="V907">
        <v>0.02</v>
      </c>
      <c r="W907">
        <v>0.51</v>
      </c>
      <c r="X907" t="s">
        <v>8</v>
      </c>
      <c r="Y907" t="s">
        <v>9</v>
      </c>
      <c r="Z907" s="2" t="s">
        <v>718</v>
      </c>
      <c r="AA907" s="2" t="s">
        <v>721</v>
      </c>
    </row>
    <row r="908" spans="1:27" x14ac:dyDescent="0.35">
      <c r="A908" t="s">
        <v>1516</v>
      </c>
      <c r="B908" t="s">
        <v>1994</v>
      </c>
      <c r="C908" s="7" t="str">
        <f>_xlfn.XLOOKUP(B908,'[1]Sheet 1'!$A$2:$A$11107,'[1]Sheet 1'!$D$2:$D$11107,"",0)</f>
        <v>LBI</v>
      </c>
      <c r="D908" s="4" t="str">
        <f>_xlfn.XLOOKUP(A908,[3]Sheet2!$I$2:$I$1623,[3]Sheet2!$D$2:$D$1623,"",0)</f>
        <v>Q2</v>
      </c>
      <c r="F908" s="4" t="e">
        <f>_xlfn.XLOOKUP(B908,[2]Sheet2!$E$2:$E$713,[2]Sheet2!$G$2:$G$713)</f>
        <v>#N/A</v>
      </c>
      <c r="G908" s="22">
        <v>46160</v>
      </c>
      <c r="H908" s="23">
        <v>0.73124999999999996</v>
      </c>
      <c r="I908" t="s">
        <v>14</v>
      </c>
      <c r="J908" s="2" t="str">
        <f t="shared" si="72"/>
        <v>Q1</v>
      </c>
      <c r="K908" s="2" t="str">
        <f t="shared" si="73"/>
        <v>Not Match</v>
      </c>
      <c r="L908" s="1">
        <f t="shared" si="70"/>
        <v>0.70837842993699351</v>
      </c>
      <c r="M908" s="1" t="e">
        <f t="shared" si="71"/>
        <v>#N/A</v>
      </c>
      <c r="N908" s="2" t="str">
        <f t="shared" si="74"/>
        <v>Q NOT OK dE&gt;0.8</v>
      </c>
      <c r="O908">
        <v>19</v>
      </c>
      <c r="P908">
        <v>-1.36</v>
      </c>
      <c r="Q908">
        <v>-1.99</v>
      </c>
      <c r="R908">
        <v>0.94</v>
      </c>
      <c r="S908">
        <v>0.23</v>
      </c>
      <c r="T908">
        <v>0.67</v>
      </c>
      <c r="U908">
        <v>-0.83</v>
      </c>
      <c r="V908">
        <v>-0.21</v>
      </c>
      <c r="W908">
        <v>1.27</v>
      </c>
      <c r="X908" t="s">
        <v>6</v>
      </c>
      <c r="Y908" t="s">
        <v>15</v>
      </c>
      <c r="Z908" s="2" t="s">
        <v>718</v>
      </c>
      <c r="AA908" s="2" t="s">
        <v>721</v>
      </c>
    </row>
    <row r="909" spans="1:27" x14ac:dyDescent="0.35">
      <c r="A909" t="s">
        <v>1668</v>
      </c>
      <c r="B909" t="s">
        <v>1855</v>
      </c>
      <c r="C909" s="7" t="str">
        <f>_xlfn.XLOOKUP(B909,'[1]Sheet 1'!$A$2:$A$11107,'[1]Sheet 1'!$D$2:$D$11107,"",0)</f>
        <v>VSS</v>
      </c>
      <c r="D909" s="4" t="str">
        <f>_xlfn.XLOOKUP(A909,[3]Sheet2!$I$2:$I$1623,[3]Sheet2!$D$2:$D$1623,"",0)</f>
        <v>Q4</v>
      </c>
      <c r="F909" s="4" t="e">
        <f>_xlfn.XLOOKUP(B909,[2]Sheet2!$E$2:$E$713,[2]Sheet2!$G$2:$G$713)</f>
        <v>#N/A</v>
      </c>
      <c r="G909" s="22">
        <v>46160</v>
      </c>
      <c r="H909" s="23">
        <v>0.94486111111111115</v>
      </c>
      <c r="I909" t="s">
        <v>10</v>
      </c>
      <c r="J909" s="2" t="str">
        <f t="shared" si="72"/>
        <v>Q3</v>
      </c>
      <c r="K909" s="2" t="str">
        <f t="shared" si="73"/>
        <v>Not Match</v>
      </c>
      <c r="L909" s="1">
        <f t="shared" si="70"/>
        <v>0.45276925690687087</v>
      </c>
      <c r="M909" s="1" t="e">
        <f t="shared" si="71"/>
        <v>#N/A</v>
      </c>
      <c r="N909" s="2" t="str">
        <f t="shared" si="74"/>
        <v>Q NOT OK dE&lt;=0.8</v>
      </c>
      <c r="O909">
        <v>52.15</v>
      </c>
      <c r="P909">
        <v>47.54</v>
      </c>
      <c r="Q909">
        <v>-2.35</v>
      </c>
      <c r="R909">
        <v>0.21</v>
      </c>
      <c r="S909">
        <v>-0.39</v>
      </c>
      <c r="T909">
        <v>-0.23</v>
      </c>
      <c r="U909">
        <v>-0.15</v>
      </c>
      <c r="V909">
        <v>-0.14000000000000001</v>
      </c>
      <c r="W909">
        <v>0.28999999999999998</v>
      </c>
      <c r="X909" t="s">
        <v>8</v>
      </c>
      <c r="Y909" t="s">
        <v>7</v>
      </c>
      <c r="Z909" s="2" t="s">
        <v>718</v>
      </c>
      <c r="AA909" s="2" t="s">
        <v>721</v>
      </c>
    </row>
    <row r="910" spans="1:27" x14ac:dyDescent="0.35">
      <c r="A910" t="s">
        <v>1626</v>
      </c>
      <c r="B910" t="s">
        <v>1992</v>
      </c>
      <c r="C910" s="7" t="str">
        <f>_xlfn.XLOOKUP(B910,'[1]Sheet 1'!$A$2:$A$11107,'[1]Sheet 1'!$D$2:$D$11107,"",0)</f>
        <v>VSS</v>
      </c>
      <c r="D910" s="4" t="str">
        <f>_xlfn.XLOOKUP(A910,[3]Sheet2!$I$2:$I$1623,[3]Sheet2!$D$2:$D$1623,"",0)</f>
        <v>Q4</v>
      </c>
      <c r="F910" s="4" t="e">
        <f>_xlfn.XLOOKUP(B910,[2]Sheet2!$E$2:$E$713,[2]Sheet2!$G$2:$G$713)</f>
        <v>#N/A</v>
      </c>
      <c r="G910" s="22">
        <v>46160</v>
      </c>
      <c r="H910" s="23">
        <v>0.72510416666666666</v>
      </c>
      <c r="I910" t="s">
        <v>10</v>
      </c>
      <c r="J910" s="2" t="str">
        <f t="shared" si="72"/>
        <v>Q1</v>
      </c>
      <c r="K910" s="2" t="str">
        <f t="shared" si="73"/>
        <v>Not Match</v>
      </c>
      <c r="L910" s="1">
        <f t="shared" si="70"/>
        <v>0.23345235059857505</v>
      </c>
      <c r="M910" s="1" t="e">
        <f t="shared" si="71"/>
        <v>#N/A</v>
      </c>
      <c r="N910" s="2" t="str">
        <f t="shared" si="74"/>
        <v>Q NOT OK dE&gt;0.8</v>
      </c>
      <c r="O910">
        <v>16.61</v>
      </c>
      <c r="P910">
        <v>0.77</v>
      </c>
      <c r="Q910">
        <v>-1.43</v>
      </c>
      <c r="R910">
        <v>1.01</v>
      </c>
      <c r="S910">
        <v>0.17</v>
      </c>
      <c r="T910">
        <v>0.16</v>
      </c>
      <c r="U910">
        <v>-0.1</v>
      </c>
      <c r="V910">
        <v>0.31</v>
      </c>
      <c r="W910">
        <v>1.06</v>
      </c>
      <c r="X910" t="s">
        <v>6</v>
      </c>
      <c r="Y910" t="s">
        <v>9</v>
      </c>
      <c r="Z910" s="2" t="s">
        <v>718</v>
      </c>
      <c r="AA910" s="2" t="s">
        <v>721</v>
      </c>
    </row>
    <row r="911" spans="1:27" x14ac:dyDescent="0.35">
      <c r="A911" t="s">
        <v>1626</v>
      </c>
      <c r="B911" t="s">
        <v>1993</v>
      </c>
      <c r="C911" s="7" t="str">
        <f>_xlfn.XLOOKUP(B911,'[1]Sheet 1'!$A$2:$A$11107,'[1]Sheet 1'!$D$2:$D$11107,"",0)</f>
        <v>VSS</v>
      </c>
      <c r="D911" s="4" t="str">
        <f>_xlfn.XLOOKUP(A911,[3]Sheet2!$I$2:$I$1623,[3]Sheet2!$D$2:$D$1623,"",0)</f>
        <v>Q4</v>
      </c>
      <c r="F911" s="4" t="e">
        <f>_xlfn.XLOOKUP(B911,[2]Sheet2!$E$2:$E$713,[2]Sheet2!$G$2:$G$713)</f>
        <v>#N/A</v>
      </c>
      <c r="G911" s="22">
        <v>46160</v>
      </c>
      <c r="H911" s="23">
        <v>0.72835648148148147</v>
      </c>
      <c r="I911" t="s">
        <v>10</v>
      </c>
      <c r="J911" s="2" t="str">
        <f t="shared" si="72"/>
        <v>Q4</v>
      </c>
      <c r="K911" s="2" t="str">
        <f t="shared" si="73"/>
        <v>Match</v>
      </c>
      <c r="L911" s="1">
        <f t="shared" si="70"/>
        <v>8.5440037453175313E-2</v>
      </c>
      <c r="M911" s="1" t="e">
        <f t="shared" si="71"/>
        <v>#N/A</v>
      </c>
      <c r="N911" s="2" t="str">
        <f t="shared" si="74"/>
        <v>Q OK dE&gt;0.8</v>
      </c>
      <c r="O911">
        <v>16.72</v>
      </c>
      <c r="P911">
        <v>0.68</v>
      </c>
      <c r="Q911">
        <v>-1.62</v>
      </c>
      <c r="R911">
        <v>1.1200000000000001</v>
      </c>
      <c r="S911">
        <v>0.08</v>
      </c>
      <c r="T911">
        <v>-0.03</v>
      </c>
      <c r="U911">
        <v>0.08</v>
      </c>
      <c r="V911">
        <v>0.09</v>
      </c>
      <c r="W911">
        <v>1.1299999999999999</v>
      </c>
      <c r="X911" t="s">
        <v>6</v>
      </c>
      <c r="Y911" t="s">
        <v>9</v>
      </c>
      <c r="Z911" s="2" t="s">
        <v>718</v>
      </c>
      <c r="AA911" s="2" t="s">
        <v>721</v>
      </c>
    </row>
    <row r="912" spans="1:27" x14ac:dyDescent="0.35">
      <c r="A912" t="s">
        <v>1626</v>
      </c>
      <c r="B912" t="s">
        <v>1990</v>
      </c>
      <c r="C912" s="7" t="str">
        <f>_xlfn.XLOOKUP(B912,'[1]Sheet 1'!$A$2:$A$11107,'[1]Sheet 1'!$D$2:$D$11107,"",0)</f>
        <v>VSS</v>
      </c>
      <c r="D912" s="4" t="str">
        <f>_xlfn.XLOOKUP(A912,[3]Sheet2!$I$2:$I$1623,[3]Sheet2!$D$2:$D$1623,"",0)</f>
        <v>Q4</v>
      </c>
      <c r="F912" s="4" t="e">
        <f>_xlfn.XLOOKUP(B912,[2]Sheet2!$E$2:$E$713,[2]Sheet2!$G$2:$G$713)</f>
        <v>#N/A</v>
      </c>
      <c r="G912" s="22">
        <v>46160</v>
      </c>
      <c r="H912" s="23">
        <v>0.4544212962962963</v>
      </c>
      <c r="I912" t="s">
        <v>10</v>
      </c>
      <c r="J912" s="2" t="str">
        <f t="shared" si="72"/>
        <v>Q3</v>
      </c>
      <c r="K912" s="2" t="str">
        <f t="shared" si="73"/>
        <v>Not Match</v>
      </c>
      <c r="L912" s="1">
        <f t="shared" si="70"/>
        <v>0.19697715603592209</v>
      </c>
      <c r="M912" s="1" t="e">
        <f t="shared" si="71"/>
        <v>#N/A</v>
      </c>
      <c r="N912" s="2" t="str">
        <f t="shared" si="74"/>
        <v>Q NOT OK dE&lt;=0.8</v>
      </c>
      <c r="O912">
        <v>15.99</v>
      </c>
      <c r="P912">
        <v>0.42</v>
      </c>
      <c r="Q912">
        <v>-1.67</v>
      </c>
      <c r="R912">
        <v>0.41</v>
      </c>
      <c r="S912">
        <v>-0.18</v>
      </c>
      <c r="T912">
        <v>-0.08</v>
      </c>
      <c r="U912">
        <v>0.03</v>
      </c>
      <c r="V912">
        <v>-0.27</v>
      </c>
      <c r="W912">
        <v>0.49</v>
      </c>
      <c r="X912" t="s">
        <v>8</v>
      </c>
      <c r="Y912" t="s">
        <v>15</v>
      </c>
      <c r="Z912" s="2" t="s">
        <v>718</v>
      </c>
      <c r="AA912" s="2" t="s">
        <v>721</v>
      </c>
    </row>
    <row r="913" spans="1:27" x14ac:dyDescent="0.35">
      <c r="A913" t="s">
        <v>1626</v>
      </c>
      <c r="B913" t="s">
        <v>2000</v>
      </c>
      <c r="C913" s="7" t="str">
        <f>_xlfn.XLOOKUP(B913,'[1]Sheet 1'!$A$2:$A$11107,'[1]Sheet 1'!$D$2:$D$11107,"",0)</f>
        <v>VSS</v>
      </c>
      <c r="D913" s="4" t="str">
        <f>_xlfn.XLOOKUP(A913,[3]Sheet2!$I$2:$I$1623,[3]Sheet2!$D$2:$D$1623,"",0)</f>
        <v>Q4</v>
      </c>
      <c r="F913" s="4" t="e">
        <f>_xlfn.XLOOKUP(B913,[2]Sheet2!$E$2:$E$713,[2]Sheet2!$G$2:$G$713)</f>
        <v>#N/A</v>
      </c>
      <c r="G913" s="22">
        <v>46160</v>
      </c>
      <c r="H913" s="23">
        <v>0.9977893518518518</v>
      </c>
      <c r="I913" t="s">
        <v>10</v>
      </c>
      <c r="J913" s="2" t="str">
        <f t="shared" si="72"/>
        <v>Q3</v>
      </c>
      <c r="K913" s="2" t="str">
        <f t="shared" si="73"/>
        <v>Not Match</v>
      </c>
      <c r="L913" s="1">
        <f t="shared" si="70"/>
        <v>0.21470910553583888</v>
      </c>
      <c r="M913" s="1" t="e">
        <f t="shared" si="71"/>
        <v>#N/A</v>
      </c>
      <c r="N913" s="2" t="str">
        <f t="shared" si="74"/>
        <v>Q NOT OK dE&lt;=0.8</v>
      </c>
      <c r="O913">
        <v>16.010000000000002</v>
      </c>
      <c r="P913">
        <v>0.41</v>
      </c>
      <c r="Q913">
        <v>-1.69</v>
      </c>
      <c r="R913">
        <v>0.43</v>
      </c>
      <c r="S913">
        <v>-0.19</v>
      </c>
      <c r="T913">
        <v>-0.1</v>
      </c>
      <c r="U913">
        <v>0.05</v>
      </c>
      <c r="V913">
        <v>-0.28999999999999998</v>
      </c>
      <c r="W913">
        <v>0.52</v>
      </c>
      <c r="X913" t="s">
        <v>8</v>
      </c>
      <c r="Y913" t="s">
        <v>15</v>
      </c>
      <c r="Z913" s="2" t="s">
        <v>718</v>
      </c>
      <c r="AA913" s="2" t="s">
        <v>721</v>
      </c>
    </row>
    <row r="914" spans="1:27" x14ac:dyDescent="0.35">
      <c r="A914" t="s">
        <v>1626</v>
      </c>
      <c r="B914" t="s">
        <v>1998</v>
      </c>
      <c r="C914" s="7" t="str">
        <f>_xlfn.XLOOKUP(B914,'[1]Sheet 1'!$A$2:$A$11107,'[1]Sheet 1'!$D$2:$D$11107,"",0)</f>
        <v>VSS</v>
      </c>
      <c r="D914" s="4" t="str">
        <f>_xlfn.XLOOKUP(A914,[3]Sheet2!$I$2:$I$1623,[3]Sheet2!$D$2:$D$1623,"",0)</f>
        <v>Q4</v>
      </c>
      <c r="F914" s="4" t="e">
        <f>_xlfn.XLOOKUP(B914,[2]Sheet2!$E$2:$E$713,[2]Sheet2!$G$2:$G$713)</f>
        <v>#N/A</v>
      </c>
      <c r="G914" s="22">
        <v>46160</v>
      </c>
      <c r="H914" s="23">
        <v>0.78423611111111113</v>
      </c>
      <c r="I914" t="s">
        <v>10</v>
      </c>
      <c r="J914" s="2" t="str">
        <f t="shared" si="72"/>
        <v>Q2</v>
      </c>
      <c r="K914" s="2" t="str">
        <f t="shared" si="73"/>
        <v>Not Match</v>
      </c>
      <c r="L914" s="1">
        <f t="shared" si="70"/>
        <v>0.11401754250991379</v>
      </c>
      <c r="M914" s="1" t="e">
        <f t="shared" si="71"/>
        <v>#N/A</v>
      </c>
      <c r="N914" s="2" t="str">
        <f t="shared" si="74"/>
        <v>Q NOT OK dE&lt;=0.8</v>
      </c>
      <c r="O914">
        <v>15.82</v>
      </c>
      <c r="P914">
        <v>0.56000000000000005</v>
      </c>
      <c r="Q914">
        <v>-1.48</v>
      </c>
      <c r="R914">
        <v>0.24</v>
      </c>
      <c r="S914">
        <v>-0.03</v>
      </c>
      <c r="T914">
        <v>0.11</v>
      </c>
      <c r="U914">
        <v>-0.16</v>
      </c>
      <c r="V914">
        <v>0.01</v>
      </c>
      <c r="W914">
        <v>0.28999999999999998</v>
      </c>
      <c r="X914" t="s">
        <v>8</v>
      </c>
      <c r="Y914" t="s">
        <v>9</v>
      </c>
      <c r="Z914" s="2" t="s">
        <v>718</v>
      </c>
      <c r="AA914" s="2" t="s">
        <v>721</v>
      </c>
    </row>
    <row r="915" spans="1:27" x14ac:dyDescent="0.35">
      <c r="A915" t="s">
        <v>1626</v>
      </c>
      <c r="B915" t="s">
        <v>1997</v>
      </c>
      <c r="C915" s="7" t="str">
        <f>_xlfn.XLOOKUP(B915,'[1]Sheet 1'!$A$2:$A$11107,'[1]Sheet 1'!$D$2:$D$11107,"",0)</f>
        <v>VSS</v>
      </c>
      <c r="D915" s="4" t="str">
        <f>_xlfn.XLOOKUP(A915,[3]Sheet2!$I$2:$I$1623,[3]Sheet2!$D$2:$D$1623,"",0)</f>
        <v>Q4</v>
      </c>
      <c r="F915" s="4" t="e">
        <f>_xlfn.XLOOKUP(B915,[2]Sheet2!$E$2:$E$713,[2]Sheet2!$G$2:$G$713)</f>
        <v>#N/A</v>
      </c>
      <c r="G915" s="22">
        <v>46160</v>
      </c>
      <c r="H915" s="23">
        <v>0.78232638888888884</v>
      </c>
      <c r="I915" t="s">
        <v>10</v>
      </c>
      <c r="J915" s="2" t="str">
        <f t="shared" si="72"/>
        <v>Q1</v>
      </c>
      <c r="K915" s="2" t="str">
        <f t="shared" si="73"/>
        <v>Not Match</v>
      </c>
      <c r="L915" s="1">
        <f t="shared" si="70"/>
        <v>0.24083189157584589</v>
      </c>
      <c r="M915" s="1" t="e">
        <f t="shared" si="71"/>
        <v>#N/A</v>
      </c>
      <c r="N915" s="2" t="str">
        <f t="shared" si="74"/>
        <v>Q NOT OK dE&lt;=0.8</v>
      </c>
      <c r="O915">
        <v>15.89</v>
      </c>
      <c r="P915">
        <v>0.75</v>
      </c>
      <c r="Q915">
        <v>-1.41</v>
      </c>
      <c r="R915">
        <v>0.3</v>
      </c>
      <c r="S915">
        <v>0.16</v>
      </c>
      <c r="T915">
        <v>0.18</v>
      </c>
      <c r="U915">
        <v>-0.14000000000000001</v>
      </c>
      <c r="V915">
        <v>0.3</v>
      </c>
      <c r="W915">
        <v>0.45</v>
      </c>
      <c r="X915" t="s">
        <v>8</v>
      </c>
      <c r="Y915" t="s">
        <v>9</v>
      </c>
      <c r="Z915" s="2" t="s">
        <v>718</v>
      </c>
      <c r="AA915" s="2" t="s">
        <v>721</v>
      </c>
    </row>
    <row r="916" spans="1:27" x14ac:dyDescent="0.35">
      <c r="A916" t="s">
        <v>1559</v>
      </c>
      <c r="B916" t="s">
        <v>1991</v>
      </c>
      <c r="C916" s="7" t="str">
        <f>_xlfn.XLOOKUP(B916,'[1]Sheet 1'!$A$2:$A$11107,'[1]Sheet 1'!$D$2:$D$11107,"",0)</f>
        <v>VSS</v>
      </c>
      <c r="D916" s="4" t="str">
        <f>_xlfn.XLOOKUP(A916,[3]Sheet2!$I$2:$I$1623,[3]Sheet2!$D$2:$D$1623,"",0)</f>
        <v>Q3</v>
      </c>
      <c r="F916" s="4" t="e">
        <f>_xlfn.XLOOKUP(B916,[2]Sheet2!$E$2:$E$713,[2]Sheet2!$G$2:$G$713)</f>
        <v>#N/A</v>
      </c>
      <c r="G916" s="22">
        <v>46160</v>
      </c>
      <c r="H916" s="23">
        <v>0.65299768518518519</v>
      </c>
      <c r="I916" t="s">
        <v>10</v>
      </c>
      <c r="J916" s="2" t="str">
        <f t="shared" si="72"/>
        <v>Q4</v>
      </c>
      <c r="K916" s="2" t="str">
        <f t="shared" si="73"/>
        <v>Not Match</v>
      </c>
      <c r="L916" s="1">
        <f t="shared" si="70"/>
        <v>0.26925824035672524</v>
      </c>
      <c r="M916" s="1" t="e">
        <f t="shared" si="71"/>
        <v>#N/A</v>
      </c>
      <c r="N916" s="2" t="str">
        <f t="shared" si="74"/>
        <v>Q NOT OK dE&gt;0.8</v>
      </c>
      <c r="O916">
        <v>16.95</v>
      </c>
      <c r="P916">
        <v>0.03</v>
      </c>
      <c r="Q916">
        <v>-2.57</v>
      </c>
      <c r="R916">
        <v>-0.97</v>
      </c>
      <c r="S916">
        <v>0.1</v>
      </c>
      <c r="T916">
        <v>-0.25</v>
      </c>
      <c r="U916">
        <v>0.32</v>
      </c>
      <c r="V916">
        <v>0.14000000000000001</v>
      </c>
      <c r="W916">
        <v>1.03</v>
      </c>
      <c r="X916" t="s">
        <v>6</v>
      </c>
      <c r="Y916" t="s">
        <v>9</v>
      </c>
      <c r="Z916" s="2" t="s">
        <v>718</v>
      </c>
      <c r="AA916" s="2" t="s">
        <v>721</v>
      </c>
    </row>
    <row r="917" spans="1:27" x14ac:dyDescent="0.35">
      <c r="A917" t="s">
        <v>1818</v>
      </c>
      <c r="B917" t="s">
        <v>1854</v>
      </c>
      <c r="C917" s="7" t="str">
        <f>_xlfn.XLOOKUP(B917,'[1]Sheet 1'!$A$2:$A$11107,'[1]Sheet 1'!$D$2:$D$11107,"",0)</f>
        <v>CK</v>
      </c>
      <c r="D917" s="4" t="str">
        <f>_xlfn.XLOOKUP(A917,[3]Sheet2!$I$2:$I$1623,[3]Sheet2!$D$2:$D$1623,"",0)</f>
        <v>Q2</v>
      </c>
      <c r="F917" s="4" t="e">
        <f>_xlfn.XLOOKUP(B917,[2]Sheet2!$E$2:$E$713,[2]Sheet2!$G$2:$G$713)</f>
        <v>#N/A</v>
      </c>
      <c r="G917" s="22">
        <v>46160</v>
      </c>
      <c r="H917" s="23">
        <v>0.9332407407407407</v>
      </c>
      <c r="I917" t="s">
        <v>11</v>
      </c>
      <c r="J917" s="2" t="str">
        <f t="shared" si="72"/>
        <v>Q4</v>
      </c>
      <c r="K917" s="2" t="str">
        <f t="shared" si="73"/>
        <v>Not Match</v>
      </c>
      <c r="L917" s="1">
        <f t="shared" si="70"/>
        <v>0.45122056690713913</v>
      </c>
      <c r="M917" s="1" t="e">
        <f t="shared" si="71"/>
        <v>#N/A</v>
      </c>
      <c r="N917" s="2" t="str">
        <f t="shared" si="74"/>
        <v>Q NOT OK dE&lt;=0.8</v>
      </c>
      <c r="O917">
        <v>45.08</v>
      </c>
      <c r="P917">
        <v>35.9</v>
      </c>
      <c r="Q917">
        <v>29.69</v>
      </c>
      <c r="R917">
        <v>0.31</v>
      </c>
      <c r="S917">
        <v>0.1</v>
      </c>
      <c r="T917">
        <v>-0.44</v>
      </c>
      <c r="U917">
        <v>-0.08</v>
      </c>
      <c r="V917">
        <v>-0.35</v>
      </c>
      <c r="W917">
        <v>0.47</v>
      </c>
      <c r="X917" t="s">
        <v>8</v>
      </c>
      <c r="Y917" t="s">
        <v>9</v>
      </c>
      <c r="Z917" s="2" t="s">
        <v>718</v>
      </c>
      <c r="AA917" s="2" t="s">
        <v>721</v>
      </c>
    </row>
    <row r="918" spans="1:27" x14ac:dyDescent="0.35">
      <c r="A918" t="s">
        <v>1809</v>
      </c>
      <c r="B918" t="s">
        <v>1436</v>
      </c>
      <c r="C918" s="7" t="str">
        <f>_xlfn.XLOOKUP(B918,'[1]Sheet 1'!$A$2:$A$11107,'[1]Sheet 1'!$D$2:$D$11107,"",0)</f>
        <v>KOM</v>
      </c>
      <c r="D918" s="4">
        <v>0</v>
      </c>
      <c r="F918" s="4" t="e">
        <f>_xlfn.XLOOKUP(B918,[2]Sheet2!$E$2:$E$713,[2]Sheet2!$G$2:$G$713)</f>
        <v>#N/A</v>
      </c>
      <c r="G918" s="22">
        <v>46161</v>
      </c>
      <c r="H918" s="23">
        <v>0.42515046296296294</v>
      </c>
      <c r="I918" t="s">
        <v>4</v>
      </c>
      <c r="J918" s="2" t="str">
        <f t="shared" si="72"/>
        <v>Q4</v>
      </c>
      <c r="K918" s="2" t="str">
        <f t="shared" si="73"/>
        <v>Not Found</v>
      </c>
      <c r="L918" s="1">
        <f t="shared" si="70"/>
        <v>0.45343136195018535</v>
      </c>
      <c r="M918" s="1" t="e">
        <f t="shared" si="71"/>
        <v>#N/A</v>
      </c>
      <c r="N918" s="2" t="str">
        <f t="shared" si="74"/>
        <v>Quadrant not assigned</v>
      </c>
      <c r="O918">
        <v>15.71</v>
      </c>
      <c r="P918">
        <v>-0.14000000000000001</v>
      </c>
      <c r="Q918">
        <v>-1.22</v>
      </c>
      <c r="R918">
        <v>-0.18</v>
      </c>
      <c r="S918">
        <v>0.34</v>
      </c>
      <c r="T918">
        <v>-0.3</v>
      </c>
      <c r="U918">
        <v>0.28000000000000003</v>
      </c>
      <c r="V918">
        <v>0.59</v>
      </c>
      <c r="W918">
        <v>0.68</v>
      </c>
      <c r="X918" t="s">
        <v>8</v>
      </c>
      <c r="Y918" t="s">
        <v>9</v>
      </c>
      <c r="Z918" s="2" t="s">
        <v>718</v>
      </c>
      <c r="AA918" s="2" t="s">
        <v>721</v>
      </c>
    </row>
    <row r="919" spans="1:27" x14ac:dyDescent="0.35">
      <c r="A919" t="s">
        <v>1790</v>
      </c>
      <c r="B919" t="s">
        <v>2011</v>
      </c>
      <c r="C919" s="7" t="str">
        <f>_xlfn.XLOOKUP(B919,'[1]Sheet 1'!$A$2:$A$11107,'[1]Sheet 1'!$D$2:$D$11107,"",0)</f>
        <v>LULU</v>
      </c>
      <c r="D919" s="4" t="str">
        <f>_xlfn.XLOOKUP(A919,[3]Sheet2!$I$2:$I$1623,[3]Sheet2!$D$2:$D$1623,"",0)</f>
        <v>Q1</v>
      </c>
      <c r="F919" s="4" t="e">
        <f>_xlfn.XLOOKUP(B919,[2]Sheet2!$E$2:$E$713,[2]Sheet2!$G$2:$G$713)</f>
        <v>#N/A</v>
      </c>
      <c r="G919" s="22">
        <v>46161</v>
      </c>
      <c r="H919" s="23">
        <v>0.73956018518518518</v>
      </c>
      <c r="I919" t="s">
        <v>4</v>
      </c>
      <c r="J919" s="2" t="str">
        <f t="shared" si="72"/>
        <v>Q1</v>
      </c>
      <c r="K919" s="2" t="str">
        <f t="shared" si="73"/>
        <v>Match</v>
      </c>
      <c r="L919" s="1">
        <f t="shared" si="70"/>
        <v>0.24738633753705963</v>
      </c>
      <c r="M919" s="1" t="e">
        <f t="shared" si="71"/>
        <v>#N/A</v>
      </c>
      <c r="N919" s="2" t="str">
        <f t="shared" si="74"/>
        <v>Q OK dE&lt;=0.8</v>
      </c>
      <c r="O919">
        <v>21.52</v>
      </c>
      <c r="P919">
        <v>6.38</v>
      </c>
      <c r="Q919">
        <v>-9.7100000000000009</v>
      </c>
      <c r="R919">
        <v>-0.27</v>
      </c>
      <c r="S919">
        <v>0.06</v>
      </c>
      <c r="T919">
        <v>0.24</v>
      </c>
      <c r="U919">
        <v>-0.13</v>
      </c>
      <c r="V919">
        <v>0.22</v>
      </c>
      <c r="W919">
        <v>0.37</v>
      </c>
      <c r="X919" t="s">
        <v>8</v>
      </c>
      <c r="Y919" t="s">
        <v>9</v>
      </c>
      <c r="Z919" s="2" t="s">
        <v>718</v>
      </c>
      <c r="AA919" s="2" t="s">
        <v>721</v>
      </c>
    </row>
    <row r="920" spans="1:27" x14ac:dyDescent="0.35">
      <c r="A920" t="s">
        <v>1638</v>
      </c>
      <c r="B920" t="s">
        <v>1857</v>
      </c>
      <c r="C920" s="7" t="str">
        <f>_xlfn.XLOOKUP(B920,'[1]Sheet 1'!$A$2:$A$11107,'[1]Sheet 1'!$D$2:$D$11107,"",0)</f>
        <v/>
      </c>
      <c r="D920" s="4" t="str">
        <f>_xlfn.XLOOKUP(A920,[3]Sheet2!$I$2:$I$1623,[3]Sheet2!$D$2:$D$1623,"",0)</f>
        <v>Q1</v>
      </c>
      <c r="F920" s="4" t="e">
        <f>_xlfn.XLOOKUP(B920,[2]Sheet2!$E$2:$E$713,[2]Sheet2!$G$2:$G$713)</f>
        <v>#N/A</v>
      </c>
      <c r="G920" s="22">
        <v>46161</v>
      </c>
      <c r="H920" s="23">
        <v>0.1401273148148148</v>
      </c>
      <c r="I920" t="s">
        <v>5</v>
      </c>
      <c r="J920" s="2" t="str">
        <f t="shared" si="72"/>
        <v>Q4</v>
      </c>
      <c r="K920" s="2" t="str">
        <f t="shared" si="73"/>
        <v>Not Match</v>
      </c>
      <c r="L920" s="1">
        <f t="shared" si="70"/>
        <v>0.25298221281347033</v>
      </c>
      <c r="M920" s="1" t="e">
        <f t="shared" si="71"/>
        <v>#N/A</v>
      </c>
      <c r="N920" s="2" t="str">
        <f t="shared" si="74"/>
        <v>Q NOT OK dE&lt;=0.8</v>
      </c>
      <c r="O920">
        <v>14.01</v>
      </c>
      <c r="P920">
        <v>-0.93</v>
      </c>
      <c r="Q920">
        <v>-2.78</v>
      </c>
      <c r="R920">
        <v>-0.28000000000000003</v>
      </c>
      <c r="S920">
        <v>0.24</v>
      </c>
      <c r="T920">
        <v>-0.08</v>
      </c>
      <c r="U920">
        <v>-0.01</v>
      </c>
      <c r="V920">
        <v>0.33</v>
      </c>
      <c r="W920">
        <v>0.43</v>
      </c>
      <c r="X920" t="s">
        <v>8</v>
      </c>
      <c r="Y920" t="s">
        <v>9</v>
      </c>
      <c r="Z920" s="2" t="s">
        <v>718</v>
      </c>
      <c r="AA920" s="2" t="s">
        <v>721</v>
      </c>
    </row>
    <row r="921" spans="1:27" x14ac:dyDescent="0.35">
      <c r="A921" t="s">
        <v>1619</v>
      </c>
      <c r="B921" t="s">
        <v>1862</v>
      </c>
      <c r="C921" s="7" t="str">
        <f>_xlfn.XLOOKUP(B921,'[1]Sheet 1'!$A$2:$A$11107,'[1]Sheet 1'!$D$2:$D$11107,"",0)</f>
        <v>M&amp;S</v>
      </c>
      <c r="D921" s="4" t="str">
        <f>_xlfn.XLOOKUP(A921,[3]Sheet2!$I$2:$I$1623,[3]Sheet2!$D$2:$D$1623,"",0)</f>
        <v>Q4</v>
      </c>
      <c r="F921" s="4" t="e">
        <f>_xlfn.XLOOKUP(B921,[2]Sheet2!$E$2:$E$713,[2]Sheet2!$G$2:$G$713)</f>
        <v>#N/A</v>
      </c>
      <c r="G921" s="22">
        <v>46161</v>
      </c>
      <c r="H921" s="23">
        <v>0.93593749999999998</v>
      </c>
      <c r="I921" t="s">
        <v>17</v>
      </c>
      <c r="J921" s="2" t="str">
        <f t="shared" si="72"/>
        <v>Q1</v>
      </c>
      <c r="K921" s="2" t="str">
        <f t="shared" si="73"/>
        <v>Not Match</v>
      </c>
      <c r="L921" s="1">
        <f t="shared" si="70"/>
        <v>0.68007352543677213</v>
      </c>
      <c r="M921" s="1" t="e">
        <f t="shared" si="71"/>
        <v>#N/A</v>
      </c>
      <c r="N921" s="2" t="str">
        <f t="shared" si="74"/>
        <v>Q NOT OK dE&gt;0.8</v>
      </c>
      <c r="O921">
        <v>28.63</v>
      </c>
      <c r="P921">
        <v>-1.81</v>
      </c>
      <c r="Q921">
        <v>-2.06</v>
      </c>
      <c r="R921">
        <v>-0.28999999999999998</v>
      </c>
      <c r="S921">
        <v>0.2</v>
      </c>
      <c r="T921">
        <v>0.65</v>
      </c>
      <c r="U921">
        <v>-0.75</v>
      </c>
      <c r="V921">
        <v>-0.32</v>
      </c>
      <c r="W921">
        <v>0.86</v>
      </c>
      <c r="X921" t="s">
        <v>13</v>
      </c>
      <c r="Y921" t="s">
        <v>12</v>
      </c>
      <c r="Z921" s="2" t="s">
        <v>718</v>
      </c>
      <c r="AA921" s="2" t="s">
        <v>721</v>
      </c>
    </row>
    <row r="922" spans="1:27" x14ac:dyDescent="0.35">
      <c r="A922" t="s">
        <v>1579</v>
      </c>
      <c r="B922" t="s">
        <v>2010</v>
      </c>
      <c r="C922" s="7" t="str">
        <f>_xlfn.XLOOKUP(B922,'[1]Sheet 1'!$A$2:$A$11107,'[1]Sheet 1'!$D$2:$D$11107,"",0)</f>
        <v>M&amp;S</v>
      </c>
      <c r="D922" s="4" t="str">
        <f>_xlfn.XLOOKUP(A922,[3]Sheet2!$I$2:$I$1623,[3]Sheet2!$D$2:$D$1623,"",0)</f>
        <v>Q4</v>
      </c>
      <c r="F922" s="4" t="e">
        <f>_xlfn.XLOOKUP(B922,[2]Sheet2!$E$2:$E$713,[2]Sheet2!$G$2:$G$713)</f>
        <v>#N/A</v>
      </c>
      <c r="G922" s="22">
        <v>46161</v>
      </c>
      <c r="H922" s="23">
        <v>0.73690972222222217</v>
      </c>
      <c r="I922" t="s">
        <v>17</v>
      </c>
      <c r="J922" s="2" t="str">
        <f t="shared" si="72"/>
        <v>Q2</v>
      </c>
      <c r="K922" s="2" t="str">
        <f t="shared" si="73"/>
        <v>Not Match</v>
      </c>
      <c r="L922" s="1">
        <f t="shared" si="70"/>
        <v>0.31256999216175568</v>
      </c>
      <c r="M922" s="1" t="e">
        <f t="shared" si="71"/>
        <v>#N/A</v>
      </c>
      <c r="N922" s="2" t="str">
        <f t="shared" si="74"/>
        <v>Q NOT OK dE&lt;=0.8</v>
      </c>
      <c r="O922">
        <v>16.43</v>
      </c>
      <c r="P922">
        <v>-0.81</v>
      </c>
      <c r="Q922">
        <v>-6.1</v>
      </c>
      <c r="R922">
        <v>0.6</v>
      </c>
      <c r="S922">
        <v>-0.31</v>
      </c>
      <c r="T922">
        <v>0.04</v>
      </c>
      <c r="U922">
        <v>0</v>
      </c>
      <c r="V922">
        <v>-0.42</v>
      </c>
      <c r="W922">
        <v>0.73</v>
      </c>
      <c r="X922" t="s">
        <v>8</v>
      </c>
      <c r="Y922" t="s">
        <v>15</v>
      </c>
      <c r="Z922" s="2" t="s">
        <v>718</v>
      </c>
      <c r="AA922" s="2" t="s">
        <v>721</v>
      </c>
    </row>
    <row r="923" spans="1:27" x14ac:dyDescent="0.35">
      <c r="A923" t="s">
        <v>1516</v>
      </c>
      <c r="B923" t="s">
        <v>2001</v>
      </c>
      <c r="C923" s="7" t="str">
        <f>_xlfn.XLOOKUP(B923,'[1]Sheet 1'!$A$2:$A$11107,'[1]Sheet 1'!$D$2:$D$11107,"",0)</f>
        <v>LBI</v>
      </c>
      <c r="D923" s="4" t="str">
        <f>_xlfn.XLOOKUP(A923,[3]Sheet2!$I$2:$I$1623,[3]Sheet2!$D$2:$D$1623,"",0)</f>
        <v>Q2</v>
      </c>
      <c r="F923" s="4" t="e">
        <f>_xlfn.XLOOKUP(B923,[2]Sheet2!$E$2:$E$713,[2]Sheet2!$G$2:$G$713)</f>
        <v>#N/A</v>
      </c>
      <c r="G923" s="22">
        <v>46161</v>
      </c>
      <c r="H923" s="23">
        <v>0.25394675925925925</v>
      </c>
      <c r="I923" t="s">
        <v>14</v>
      </c>
      <c r="J923" s="2" t="str">
        <f t="shared" si="72"/>
        <v>Q1</v>
      </c>
      <c r="K923" s="2" t="str">
        <f t="shared" si="73"/>
        <v>Not Match</v>
      </c>
      <c r="L923" s="1">
        <f t="shared" si="70"/>
        <v>0.2102379604162864</v>
      </c>
      <c r="M923" s="1" t="e">
        <f t="shared" si="71"/>
        <v>#N/A</v>
      </c>
      <c r="N923" s="2" t="str">
        <f t="shared" si="74"/>
        <v>Q NOT OK dE&lt;=0.8</v>
      </c>
      <c r="O923">
        <v>18.12</v>
      </c>
      <c r="P923">
        <v>-1.4</v>
      </c>
      <c r="Q923">
        <v>-2.57</v>
      </c>
      <c r="R923">
        <v>0.15</v>
      </c>
      <c r="S923">
        <v>0.19</v>
      </c>
      <c r="T923">
        <v>0.09</v>
      </c>
      <c r="U923">
        <v>-0.21</v>
      </c>
      <c r="V923">
        <v>0.16</v>
      </c>
      <c r="W923">
        <v>0.3</v>
      </c>
      <c r="X923" t="s">
        <v>8</v>
      </c>
      <c r="Y923" t="s">
        <v>9</v>
      </c>
      <c r="Z923" s="2" t="s">
        <v>718</v>
      </c>
      <c r="AA923" s="2" t="s">
        <v>721</v>
      </c>
    </row>
    <row r="924" spans="1:27" x14ac:dyDescent="0.35">
      <c r="A924" t="s">
        <v>2152</v>
      </c>
      <c r="B924" t="s">
        <v>2014</v>
      </c>
      <c r="C924" s="7" t="str">
        <f>_xlfn.XLOOKUP(B924,'[1]Sheet 1'!$A$2:$A$11107,'[1]Sheet 1'!$D$2:$D$11107,"",0)</f>
        <v>LBI</v>
      </c>
      <c r="D924" s="4" t="str">
        <f>_xlfn.XLOOKUP(A924,[3]Sheet2!$I$2:$I$1623,[3]Sheet2!$D$2:$D$1623,"",0)</f>
        <v>Q3</v>
      </c>
      <c r="F924" s="4" t="e">
        <f>_xlfn.XLOOKUP(B924,[2]Sheet2!$E$2:$E$713,[2]Sheet2!$G$2:$G$713)</f>
        <v>#N/A</v>
      </c>
      <c r="G924" s="22">
        <v>46161</v>
      </c>
      <c r="H924" s="23">
        <v>0.67854166666666671</v>
      </c>
      <c r="I924" t="s">
        <v>4</v>
      </c>
      <c r="J924" s="2" t="str">
        <f t="shared" si="72"/>
        <v>Q4</v>
      </c>
      <c r="K924" s="2" t="str">
        <f t="shared" si="73"/>
        <v>Not Match</v>
      </c>
      <c r="L924" s="1">
        <f t="shared" si="70"/>
        <v>0.72897187874430391</v>
      </c>
      <c r="M924" s="1" t="e">
        <f t="shared" si="71"/>
        <v>#N/A</v>
      </c>
      <c r="N924" s="2" t="str">
        <f t="shared" si="74"/>
        <v>Q NOT OK dE&lt;=0.8</v>
      </c>
      <c r="O924">
        <v>26.22</v>
      </c>
      <c r="P924">
        <v>-18.54</v>
      </c>
      <c r="Q924">
        <v>0.3</v>
      </c>
      <c r="R924">
        <v>0.3</v>
      </c>
      <c r="S924">
        <v>0.65</v>
      </c>
      <c r="T924">
        <v>-0.33</v>
      </c>
      <c r="U924">
        <v>-0.41</v>
      </c>
      <c r="V924">
        <v>0.25</v>
      </c>
      <c r="W924">
        <v>0.56000000000000005</v>
      </c>
      <c r="X924" t="s">
        <v>8</v>
      </c>
      <c r="Y924" t="s">
        <v>7</v>
      </c>
      <c r="Z924" s="2" t="s">
        <v>718</v>
      </c>
      <c r="AA924" s="2" t="s">
        <v>721</v>
      </c>
    </row>
    <row r="925" spans="1:27" x14ac:dyDescent="0.35">
      <c r="A925" t="s">
        <v>1624</v>
      </c>
      <c r="B925" t="s">
        <v>2013</v>
      </c>
      <c r="C925" s="7" t="str">
        <f>_xlfn.XLOOKUP(B925,'[1]Sheet 1'!$A$2:$A$11107,'[1]Sheet 1'!$D$2:$D$11107,"",0)</f>
        <v>WACE</v>
      </c>
      <c r="D925" s="4" t="str">
        <f>_xlfn.XLOOKUP(A925,[3]Sheet2!$I$2:$I$1623,[3]Sheet2!$D$2:$D$1623,"",0)</f>
        <v>Q4</v>
      </c>
      <c r="F925" s="4" t="e">
        <f>_xlfn.XLOOKUP(B925,[2]Sheet2!$E$2:$E$713,[2]Sheet2!$G$2:$G$713)</f>
        <v>#N/A</v>
      </c>
      <c r="G925" s="22">
        <v>46161</v>
      </c>
      <c r="H925" s="23">
        <v>0.75575231481481486</v>
      </c>
      <c r="I925" t="s">
        <v>4</v>
      </c>
      <c r="J925" s="2" t="str">
        <f t="shared" si="72"/>
        <v>Q4</v>
      </c>
      <c r="K925" s="2" t="str">
        <f t="shared" si="73"/>
        <v>Match</v>
      </c>
      <c r="L925" s="1">
        <f t="shared" si="70"/>
        <v>0.36891733491393436</v>
      </c>
      <c r="M925" s="1" t="e">
        <f t="shared" si="71"/>
        <v>#N/A</v>
      </c>
      <c r="N925" s="2" t="str">
        <f t="shared" si="74"/>
        <v>Q OK dE&lt;=0.8</v>
      </c>
      <c r="O925">
        <v>16.18</v>
      </c>
      <c r="P925">
        <v>-0.47</v>
      </c>
      <c r="Q925">
        <v>-1.39</v>
      </c>
      <c r="R925">
        <v>0.32</v>
      </c>
      <c r="S925">
        <v>0.2</v>
      </c>
      <c r="T925">
        <v>-0.31</v>
      </c>
      <c r="U925">
        <v>0.28000000000000003</v>
      </c>
      <c r="V925">
        <v>0.44</v>
      </c>
      <c r="W925">
        <v>0.61</v>
      </c>
      <c r="X925" t="s">
        <v>8</v>
      </c>
      <c r="Y925" t="s">
        <v>9</v>
      </c>
      <c r="Z925" s="2" t="s">
        <v>718</v>
      </c>
      <c r="AA925" s="2" t="s">
        <v>721</v>
      </c>
    </row>
    <row r="926" spans="1:27" x14ac:dyDescent="0.35">
      <c r="A926" t="s">
        <v>1550</v>
      </c>
      <c r="B926" t="s">
        <v>2003</v>
      </c>
      <c r="C926" s="7" t="str">
        <f>_xlfn.XLOOKUP(B926,'[1]Sheet 1'!$A$2:$A$11107,'[1]Sheet 1'!$D$2:$D$11107,"",0)</f>
        <v>NEWB</v>
      </c>
      <c r="D926" s="4">
        <v>0</v>
      </c>
      <c r="F926" s="4" t="e">
        <f>_xlfn.XLOOKUP(B926,[2]Sheet2!$E$2:$E$713,[2]Sheet2!$G$2:$G$713)</f>
        <v>#N/A</v>
      </c>
      <c r="G926" s="22">
        <v>46161</v>
      </c>
      <c r="H926" s="23">
        <v>0.25965277777777779</v>
      </c>
      <c r="I926" t="s">
        <v>4</v>
      </c>
      <c r="J926" s="2" t="str">
        <f t="shared" si="72"/>
        <v>Q2</v>
      </c>
      <c r="K926" s="2" t="str">
        <f t="shared" si="73"/>
        <v>Not Found</v>
      </c>
      <c r="L926" s="1">
        <f t="shared" si="70"/>
        <v>0.14317821063276354</v>
      </c>
      <c r="M926" s="1" t="e">
        <f t="shared" si="71"/>
        <v>#N/A</v>
      </c>
      <c r="N926" s="2" t="str">
        <f t="shared" si="74"/>
        <v>Quadrant not assigned</v>
      </c>
      <c r="O926">
        <v>16.61</v>
      </c>
      <c r="P926">
        <v>-1.1000000000000001</v>
      </c>
      <c r="Q926">
        <v>-1.57</v>
      </c>
      <c r="R926">
        <v>-1.31</v>
      </c>
      <c r="S926">
        <v>-0.03</v>
      </c>
      <c r="T926">
        <v>0.14000000000000001</v>
      </c>
      <c r="U926">
        <v>-0.13</v>
      </c>
      <c r="V926">
        <v>-0.14000000000000001</v>
      </c>
      <c r="W926">
        <v>1.32</v>
      </c>
      <c r="X926" t="s">
        <v>6</v>
      </c>
      <c r="Y926" t="s">
        <v>15</v>
      </c>
      <c r="Z926" s="2" t="s">
        <v>718</v>
      </c>
      <c r="AA926" s="2" t="s">
        <v>721</v>
      </c>
    </row>
    <row r="927" spans="1:27" x14ac:dyDescent="0.35">
      <c r="A927" t="s">
        <v>1789</v>
      </c>
      <c r="B927" t="s">
        <v>2004</v>
      </c>
      <c r="C927" s="7" t="str">
        <f>_xlfn.XLOOKUP(B927,'[1]Sheet 1'!$A$2:$A$11107,'[1]Sheet 1'!$D$2:$D$11107,"",0)</f>
        <v>NEWB</v>
      </c>
      <c r="D927" s="4" t="str">
        <f>_xlfn.XLOOKUP(A927,[3]Sheet2!$I$2:$I$1623,[3]Sheet2!$D$2:$D$1623,"",0)</f>
        <v>Q2</v>
      </c>
      <c r="F927" s="4" t="e">
        <f>_xlfn.XLOOKUP(B927,[2]Sheet2!$E$2:$E$713,[2]Sheet2!$G$2:$G$713)</f>
        <v>#N/A</v>
      </c>
      <c r="G927" s="22">
        <v>46161</v>
      </c>
      <c r="H927" s="23">
        <v>0.53412037037037041</v>
      </c>
      <c r="I927" t="s">
        <v>4</v>
      </c>
      <c r="J927" s="2" t="str">
        <f t="shared" si="72"/>
        <v>Q4</v>
      </c>
      <c r="K927" s="2" t="str">
        <f t="shared" si="73"/>
        <v>Not Match</v>
      </c>
      <c r="L927" s="1">
        <f t="shared" si="70"/>
        <v>0.10295630140987</v>
      </c>
      <c r="M927" s="1" t="e">
        <f t="shared" si="71"/>
        <v>#N/A</v>
      </c>
      <c r="N927" s="2" t="str">
        <f t="shared" si="74"/>
        <v>Q NOT OK dE&lt;=0.8</v>
      </c>
      <c r="O927">
        <v>31.69</v>
      </c>
      <c r="P927">
        <v>12.78</v>
      </c>
      <c r="Q927">
        <v>-47.89</v>
      </c>
      <c r="R927">
        <v>0.05</v>
      </c>
      <c r="S927">
        <v>0.05</v>
      </c>
      <c r="T927">
        <v>-0.09</v>
      </c>
      <c r="U927">
        <v>0.04</v>
      </c>
      <c r="V927">
        <v>0.02</v>
      </c>
      <c r="W927">
        <v>0.06</v>
      </c>
      <c r="X927" t="s">
        <v>8</v>
      </c>
      <c r="Y927" t="s">
        <v>9</v>
      </c>
      <c r="Z927" s="2" t="s">
        <v>718</v>
      </c>
      <c r="AA927" s="2" t="s">
        <v>721</v>
      </c>
    </row>
    <row r="928" spans="1:27" x14ac:dyDescent="0.35">
      <c r="A928" t="s">
        <v>1728</v>
      </c>
      <c r="B928" t="s">
        <v>1861</v>
      </c>
      <c r="C928" s="7" t="str">
        <f>_xlfn.XLOOKUP(B928,'[1]Sheet 1'!$A$2:$A$11107,'[1]Sheet 1'!$D$2:$D$11107,"",0)</f>
        <v>M&amp;S</v>
      </c>
      <c r="D928" s="4" t="str">
        <f>_xlfn.XLOOKUP(A928,[3]Sheet2!$I$2:$I$1623,[3]Sheet2!$D$2:$D$1623,"",0)</f>
        <v>Q4</v>
      </c>
      <c r="F928" s="4" t="e">
        <f>_xlfn.XLOOKUP(B928,[2]Sheet2!$E$2:$E$713,[2]Sheet2!$G$2:$G$713)</f>
        <v>#N/A</v>
      </c>
      <c r="G928" s="22">
        <v>46161</v>
      </c>
      <c r="H928" s="23">
        <v>0.81409722222222225</v>
      </c>
      <c r="I928" t="s">
        <v>17</v>
      </c>
      <c r="J928" s="2" t="str">
        <f t="shared" si="72"/>
        <v>Q1</v>
      </c>
      <c r="K928" s="2" t="str">
        <f t="shared" si="73"/>
        <v>Not Match</v>
      </c>
      <c r="L928" s="1">
        <f t="shared" si="70"/>
        <v>0.57939623747483893</v>
      </c>
      <c r="M928" s="1" t="e">
        <f t="shared" si="71"/>
        <v>#N/A</v>
      </c>
      <c r="N928" s="2" t="str">
        <f t="shared" si="74"/>
        <v>Q NOT OK dE&gt;0.8</v>
      </c>
      <c r="O928">
        <v>32.79</v>
      </c>
      <c r="P928">
        <v>-0.91</v>
      </c>
      <c r="Q928">
        <v>3.57</v>
      </c>
      <c r="R928">
        <v>-0.72</v>
      </c>
      <c r="S928">
        <v>0.21</v>
      </c>
      <c r="T928">
        <v>0.54</v>
      </c>
      <c r="U928">
        <v>0.54</v>
      </c>
      <c r="V928">
        <v>-0.46</v>
      </c>
      <c r="W928">
        <v>1.01</v>
      </c>
      <c r="X928" t="s">
        <v>6</v>
      </c>
      <c r="Y928" t="s">
        <v>12</v>
      </c>
      <c r="Z928" s="2" t="s">
        <v>718</v>
      </c>
      <c r="AA928" s="2" t="s">
        <v>721</v>
      </c>
    </row>
    <row r="929" spans="1:27" x14ac:dyDescent="0.35">
      <c r="A929" t="s">
        <v>2151</v>
      </c>
      <c r="B929" t="s">
        <v>1856</v>
      </c>
      <c r="C929" s="7" t="str">
        <f>_xlfn.XLOOKUP(B929,'[1]Sheet 1'!$A$2:$A$11107,'[1]Sheet 1'!$D$2:$D$11107,"",0)</f>
        <v>VSS</v>
      </c>
      <c r="D929" s="4" t="str">
        <f>_xlfn.XLOOKUP(A929,[3]Sheet2!$I$2:$I$1623,[3]Sheet2!$D$2:$D$1623,"",0)</f>
        <v>Q3</v>
      </c>
      <c r="F929" s="4" t="e">
        <f>_xlfn.XLOOKUP(B929,[2]Sheet2!$E$2:$E$713,[2]Sheet2!$G$2:$G$713)</f>
        <v>#N/A</v>
      </c>
      <c r="G929" s="22">
        <v>46161</v>
      </c>
      <c r="H929" s="23">
        <v>0.11322916666666667</v>
      </c>
      <c r="I929" t="s">
        <v>10</v>
      </c>
      <c r="J929" s="2" t="str">
        <f t="shared" si="72"/>
        <v>Q1</v>
      </c>
      <c r="K929" s="2" t="str">
        <f t="shared" si="73"/>
        <v>Not Match</v>
      </c>
      <c r="L929" s="1">
        <f t="shared" si="70"/>
        <v>0.56753854494650846</v>
      </c>
      <c r="M929" s="1" t="e">
        <f t="shared" si="71"/>
        <v>#N/A</v>
      </c>
      <c r="N929" s="2" t="str">
        <f t="shared" si="74"/>
        <v>Q NOT OK dE&lt;=0.8</v>
      </c>
      <c r="O929">
        <v>33.090000000000003</v>
      </c>
      <c r="P929">
        <v>43.23</v>
      </c>
      <c r="Q929">
        <v>25.33</v>
      </c>
      <c r="R929">
        <v>0.14000000000000001</v>
      </c>
      <c r="S929">
        <v>0.55000000000000004</v>
      </c>
      <c r="T929">
        <v>0.14000000000000001</v>
      </c>
      <c r="U929">
        <v>0.21</v>
      </c>
      <c r="V929">
        <v>-0.12</v>
      </c>
      <c r="W929">
        <v>0.28000000000000003</v>
      </c>
      <c r="X929" t="s">
        <v>8</v>
      </c>
      <c r="Y929" t="s">
        <v>7</v>
      </c>
      <c r="Z929" s="2" t="s">
        <v>718</v>
      </c>
      <c r="AA929" s="2" t="s">
        <v>721</v>
      </c>
    </row>
    <row r="930" spans="1:27" x14ac:dyDescent="0.35">
      <c r="A930" t="s">
        <v>2145</v>
      </c>
      <c r="B930" t="s">
        <v>2015</v>
      </c>
      <c r="C930" s="7" t="str">
        <f>_xlfn.XLOOKUP(B930,'[1]Sheet 1'!$A$2:$A$11107,'[1]Sheet 1'!$D$2:$D$11107,"",0)</f>
        <v>VSS</v>
      </c>
      <c r="D930" s="4" t="str">
        <f>_xlfn.XLOOKUP(A930,[3]Sheet2!$I$2:$I$1623,[3]Sheet2!$D$2:$D$1623,"",0)</f>
        <v>Q3</v>
      </c>
      <c r="F930" s="4" t="e">
        <f>_xlfn.XLOOKUP(B930,[2]Sheet2!$E$2:$E$713,[2]Sheet2!$G$2:$G$713)</f>
        <v>#N/A</v>
      </c>
      <c r="G930" s="22">
        <v>46161</v>
      </c>
      <c r="H930" s="23">
        <v>0.76758101851851857</v>
      </c>
      <c r="I930" t="s">
        <v>10</v>
      </c>
      <c r="J930" s="2" t="str">
        <f t="shared" si="72"/>
        <v>Q1</v>
      </c>
      <c r="K930" s="2" t="str">
        <f t="shared" si="73"/>
        <v>Not Match</v>
      </c>
      <c r="L930" s="1">
        <f t="shared" si="70"/>
        <v>0.61220911460055871</v>
      </c>
      <c r="M930" s="1" t="e">
        <f t="shared" si="71"/>
        <v>#N/A</v>
      </c>
      <c r="N930" s="2" t="str">
        <f t="shared" si="74"/>
        <v>Q NOT OK dE&lt;=0.8</v>
      </c>
      <c r="O930">
        <v>45.58</v>
      </c>
      <c r="P930">
        <v>57.14</v>
      </c>
      <c r="Q930">
        <v>45.83</v>
      </c>
      <c r="R930">
        <v>-0.03</v>
      </c>
      <c r="S930">
        <v>0.38</v>
      </c>
      <c r="T930">
        <v>0.48</v>
      </c>
      <c r="U930">
        <v>0.2</v>
      </c>
      <c r="V930">
        <v>0.1</v>
      </c>
      <c r="W930">
        <v>0.22</v>
      </c>
      <c r="X930" t="s">
        <v>8</v>
      </c>
      <c r="Y930" t="s">
        <v>12</v>
      </c>
      <c r="Z930" s="2" t="s">
        <v>718</v>
      </c>
      <c r="AA930" s="2" t="s">
        <v>721</v>
      </c>
    </row>
    <row r="931" spans="1:27" x14ac:dyDescent="0.35">
      <c r="A931" t="s">
        <v>1626</v>
      </c>
      <c r="B931" t="s">
        <v>1860</v>
      </c>
      <c r="C931" s="7" t="str">
        <f>_xlfn.XLOOKUP(B931,'[1]Sheet 1'!$A$2:$A$11107,'[1]Sheet 1'!$D$2:$D$11107,"",0)</f>
        <v>VSS</v>
      </c>
      <c r="D931" s="4" t="str">
        <f>_xlfn.XLOOKUP(A931,[3]Sheet2!$I$2:$I$1623,[3]Sheet2!$D$2:$D$1623,"",0)</f>
        <v>Q4</v>
      </c>
      <c r="F931" s="4" t="e">
        <f>_xlfn.XLOOKUP(B931,[2]Sheet2!$E$2:$E$713,[2]Sheet2!$G$2:$G$713)</f>
        <v>#N/A</v>
      </c>
      <c r="G931" s="22">
        <v>46161</v>
      </c>
      <c r="H931" s="23">
        <v>0.81200231481481477</v>
      </c>
      <c r="I931" t="s">
        <v>10</v>
      </c>
      <c r="J931" s="2" t="str">
        <f t="shared" si="72"/>
        <v>Q1</v>
      </c>
      <c r="K931" s="2" t="str">
        <f t="shared" si="73"/>
        <v>Not Match</v>
      </c>
      <c r="L931" s="1">
        <f t="shared" si="70"/>
        <v>2.2360679774997897E-2</v>
      </c>
      <c r="M931" s="1" t="e">
        <f t="shared" si="71"/>
        <v>#N/A</v>
      </c>
      <c r="N931" s="2" t="str">
        <f t="shared" si="74"/>
        <v>Q NOT OK dE&lt;=0.8</v>
      </c>
      <c r="O931">
        <v>16.14</v>
      </c>
      <c r="P931">
        <v>0.62</v>
      </c>
      <c r="Q931">
        <v>-1.58</v>
      </c>
      <c r="R931">
        <v>0.55000000000000004</v>
      </c>
      <c r="S931">
        <v>0.02</v>
      </c>
      <c r="T931">
        <v>0.01</v>
      </c>
      <c r="U931">
        <v>0</v>
      </c>
      <c r="V931">
        <v>0.04</v>
      </c>
      <c r="W931">
        <v>0.55000000000000004</v>
      </c>
      <c r="X931" t="s">
        <v>8</v>
      </c>
      <c r="Y931" t="s">
        <v>9</v>
      </c>
      <c r="Z931" s="2" t="s">
        <v>718</v>
      </c>
      <c r="AA931" s="2" t="s">
        <v>721</v>
      </c>
    </row>
    <row r="932" spans="1:27" x14ac:dyDescent="0.35">
      <c r="A932" t="s">
        <v>1626</v>
      </c>
      <c r="B932" t="s">
        <v>2006</v>
      </c>
      <c r="C932" s="7" t="str">
        <f>_xlfn.XLOOKUP(B932,'[1]Sheet 1'!$A$2:$A$11107,'[1]Sheet 1'!$D$2:$D$11107,"",0)</f>
        <v>VSS</v>
      </c>
      <c r="D932" s="4" t="str">
        <f>_xlfn.XLOOKUP(A932,[3]Sheet2!$I$2:$I$1623,[3]Sheet2!$D$2:$D$1623,"",0)</f>
        <v>Q4</v>
      </c>
      <c r="F932" s="4" t="e">
        <f>_xlfn.XLOOKUP(B932,[2]Sheet2!$E$2:$E$713,[2]Sheet2!$G$2:$G$713)</f>
        <v>#N/A</v>
      </c>
      <c r="G932" s="22">
        <v>46161</v>
      </c>
      <c r="H932" s="23">
        <v>0.5410300925925926</v>
      </c>
      <c r="I932" t="s">
        <v>11</v>
      </c>
      <c r="J932" s="2" t="str">
        <f t="shared" si="72"/>
        <v>Q4</v>
      </c>
      <c r="K932" s="2" t="str">
        <f t="shared" si="73"/>
        <v>Match</v>
      </c>
      <c r="L932" s="1">
        <f t="shared" si="70"/>
        <v>0.1118033988749895</v>
      </c>
      <c r="M932" s="1" t="e">
        <f t="shared" si="71"/>
        <v>#N/A</v>
      </c>
      <c r="N932" s="2" t="str">
        <f t="shared" si="74"/>
        <v>Q OK dE&lt;=0.8</v>
      </c>
      <c r="O932">
        <v>15.6</v>
      </c>
      <c r="P932">
        <v>-0.24</v>
      </c>
      <c r="Q932">
        <v>-2.2799999999999998</v>
      </c>
      <c r="R932">
        <v>0.31</v>
      </c>
      <c r="S932">
        <v>0.05</v>
      </c>
      <c r="T932">
        <v>-0.1</v>
      </c>
      <c r="U932">
        <v>0.12</v>
      </c>
      <c r="V932">
        <v>0.08</v>
      </c>
      <c r="W932">
        <v>0.34</v>
      </c>
      <c r="X932" t="s">
        <v>8</v>
      </c>
      <c r="Y932" t="s">
        <v>15</v>
      </c>
      <c r="Z932" s="2" t="s">
        <v>718</v>
      </c>
      <c r="AA932" s="2" t="s">
        <v>721</v>
      </c>
    </row>
    <row r="933" spans="1:27" x14ac:dyDescent="0.35">
      <c r="A933" t="s">
        <v>1626</v>
      </c>
      <c r="B933" t="s">
        <v>1859</v>
      </c>
      <c r="C933" s="7" t="str">
        <f>_xlfn.XLOOKUP(B933,'[1]Sheet 1'!$A$2:$A$11107,'[1]Sheet 1'!$D$2:$D$11107,"",0)</f>
        <v>VSS</v>
      </c>
      <c r="D933" s="4" t="str">
        <f>_xlfn.XLOOKUP(A933,[3]Sheet2!$I$2:$I$1623,[3]Sheet2!$D$2:$D$1623,"",0)</f>
        <v>Q4</v>
      </c>
      <c r="F933" s="4" t="e">
        <f>_xlfn.XLOOKUP(B933,[2]Sheet2!$E$2:$E$713,[2]Sheet2!$G$2:$G$713)</f>
        <v>#N/A</v>
      </c>
      <c r="G933" s="22">
        <v>46161</v>
      </c>
      <c r="H933" s="23">
        <v>0.80712962962962964</v>
      </c>
      <c r="I933" t="s">
        <v>10</v>
      </c>
      <c r="J933" s="2" t="str">
        <f t="shared" si="72"/>
        <v>Q4</v>
      </c>
      <c r="K933" s="2" t="str">
        <f t="shared" si="73"/>
        <v>Match</v>
      </c>
      <c r="L933" s="1">
        <f t="shared" si="70"/>
        <v>1.4142135623730951E-2</v>
      </c>
      <c r="M933" s="1" t="e">
        <f t="shared" si="71"/>
        <v>#N/A</v>
      </c>
      <c r="N933" s="2" t="str">
        <f t="shared" si="74"/>
        <v>Q OK dE&lt;=0.8</v>
      </c>
      <c r="O933">
        <v>16.34</v>
      </c>
      <c r="P933">
        <v>0.6</v>
      </c>
      <c r="Q933">
        <v>-1.6</v>
      </c>
      <c r="R933">
        <v>0.74</v>
      </c>
      <c r="S933">
        <v>0.01</v>
      </c>
      <c r="T933">
        <v>-0.01</v>
      </c>
      <c r="U933">
        <v>0.02</v>
      </c>
      <c r="V933">
        <v>0</v>
      </c>
      <c r="W933">
        <v>0.74</v>
      </c>
      <c r="X933" t="s">
        <v>8</v>
      </c>
      <c r="Y933" t="s">
        <v>9</v>
      </c>
      <c r="Z933" s="2" t="s">
        <v>718</v>
      </c>
      <c r="AA933" s="2" t="s">
        <v>721</v>
      </c>
    </row>
    <row r="934" spans="1:27" x14ac:dyDescent="0.35">
      <c r="A934" t="s">
        <v>1626</v>
      </c>
      <c r="B934" t="s">
        <v>2007</v>
      </c>
      <c r="C934" s="7" t="str">
        <f>_xlfn.XLOOKUP(B934,'[1]Sheet 1'!$A$2:$A$11107,'[1]Sheet 1'!$D$2:$D$11107,"",0)</f>
        <v>VSS</v>
      </c>
      <c r="D934" s="4" t="str">
        <f>_xlfn.XLOOKUP(A934,[3]Sheet2!$I$2:$I$1623,[3]Sheet2!$D$2:$D$1623,"",0)</f>
        <v>Q4</v>
      </c>
      <c r="F934" s="4" t="e">
        <f>_xlfn.XLOOKUP(B934,[2]Sheet2!$E$2:$E$713,[2]Sheet2!$G$2:$G$713)</f>
        <v>#N/A</v>
      </c>
      <c r="G934" s="22">
        <v>46161</v>
      </c>
      <c r="H934" s="23">
        <v>0.54357638888888893</v>
      </c>
      <c r="I934" t="s">
        <v>11</v>
      </c>
      <c r="J934" s="2" t="str">
        <f t="shared" si="72"/>
        <v>Q4</v>
      </c>
      <c r="K934" s="2" t="str">
        <f t="shared" si="73"/>
        <v>Match</v>
      </c>
      <c r="L934" s="1">
        <f t="shared" si="70"/>
        <v>0.16278820596099708</v>
      </c>
      <c r="M934" s="1" t="e">
        <f t="shared" si="71"/>
        <v>#N/A</v>
      </c>
      <c r="N934" s="2" t="str">
        <f t="shared" si="74"/>
        <v>Q OK dE&lt;=0.8</v>
      </c>
      <c r="O934">
        <v>15.86</v>
      </c>
      <c r="P934">
        <v>-0.25</v>
      </c>
      <c r="Q934">
        <v>-2.34</v>
      </c>
      <c r="R934">
        <v>0.56999999999999995</v>
      </c>
      <c r="S934">
        <v>0.03</v>
      </c>
      <c r="T934">
        <v>-0.16</v>
      </c>
      <c r="U934">
        <v>0.2</v>
      </c>
      <c r="V934">
        <v>7.0000000000000007E-2</v>
      </c>
      <c r="W934">
        <v>0.6</v>
      </c>
      <c r="X934" t="s">
        <v>8</v>
      </c>
      <c r="Y934" t="s">
        <v>15</v>
      </c>
      <c r="Z934" s="2" t="s">
        <v>718</v>
      </c>
      <c r="AA934" s="2" t="s">
        <v>721</v>
      </c>
    </row>
    <row r="935" spans="1:27" x14ac:dyDescent="0.35">
      <c r="A935" t="s">
        <v>1626</v>
      </c>
      <c r="B935" t="s">
        <v>2005</v>
      </c>
      <c r="C935" s="7" t="str">
        <f>_xlfn.XLOOKUP(B935,'[1]Sheet 1'!$A$2:$A$11107,'[1]Sheet 1'!$D$2:$D$11107,"",0)</f>
        <v>VSS</v>
      </c>
      <c r="D935" s="4" t="str">
        <f>_xlfn.XLOOKUP(A935,[3]Sheet2!$I$2:$I$1623,[3]Sheet2!$D$2:$D$1623,"",0)</f>
        <v>Q4</v>
      </c>
      <c r="F935" s="4" t="e">
        <f>_xlfn.XLOOKUP(B935,[2]Sheet2!$E$2:$E$713,[2]Sheet2!$G$2:$G$713)</f>
        <v>#N/A</v>
      </c>
      <c r="G935" s="22">
        <v>46161</v>
      </c>
      <c r="H935" s="23">
        <v>0.46291666666666664</v>
      </c>
      <c r="I935" t="s">
        <v>11</v>
      </c>
      <c r="J935" s="2" t="str">
        <f t="shared" si="72"/>
        <v>Q3</v>
      </c>
      <c r="K935" s="2" t="str">
        <f t="shared" si="73"/>
        <v>Not Match</v>
      </c>
      <c r="L935" s="1">
        <f t="shared" si="70"/>
        <v>3.1622776601683791E-2</v>
      </c>
      <c r="M935" s="1" t="e">
        <f t="shared" si="71"/>
        <v>#N/A</v>
      </c>
      <c r="N935" s="2" t="str">
        <f t="shared" si="74"/>
        <v>Q NOT OK dE&lt;=0.8</v>
      </c>
      <c r="O935">
        <v>15.16</v>
      </c>
      <c r="P935">
        <v>-0.3</v>
      </c>
      <c r="Q935">
        <v>-2.21</v>
      </c>
      <c r="R935">
        <v>-0.12</v>
      </c>
      <c r="S935">
        <v>-0.01</v>
      </c>
      <c r="T935">
        <v>-0.03</v>
      </c>
      <c r="U935">
        <v>0.04</v>
      </c>
      <c r="V935">
        <v>-0.01</v>
      </c>
      <c r="W935">
        <v>0.13</v>
      </c>
      <c r="X935" t="s">
        <v>8</v>
      </c>
      <c r="Y935" t="s">
        <v>9</v>
      </c>
      <c r="Z935" s="2" t="s">
        <v>718</v>
      </c>
      <c r="AA935" s="2" t="s">
        <v>721</v>
      </c>
    </row>
    <row r="936" spans="1:27" x14ac:dyDescent="0.35">
      <c r="A936" t="s">
        <v>1626</v>
      </c>
      <c r="B936" t="s">
        <v>2002</v>
      </c>
      <c r="C936" s="7" t="str">
        <f>_xlfn.XLOOKUP(B936,'[1]Sheet 1'!$A$2:$A$11107,'[1]Sheet 1'!$D$2:$D$11107,"",0)</f>
        <v>VSS</v>
      </c>
      <c r="D936" s="4" t="str">
        <f>_xlfn.XLOOKUP(A936,[3]Sheet2!$I$2:$I$1623,[3]Sheet2!$D$2:$D$1623,"",0)</f>
        <v>Q4</v>
      </c>
      <c r="F936" s="4" t="e">
        <f>_xlfn.XLOOKUP(B936,[2]Sheet2!$E$2:$E$713,[2]Sheet2!$G$2:$G$713)</f>
        <v>#N/A</v>
      </c>
      <c r="G936" s="22">
        <v>46161</v>
      </c>
      <c r="H936" s="23">
        <v>0.25540509259259259</v>
      </c>
      <c r="I936" t="s">
        <v>10</v>
      </c>
      <c r="J936" s="2" t="str">
        <f t="shared" si="72"/>
        <v>Q1</v>
      </c>
      <c r="K936" s="2" t="str">
        <f t="shared" si="73"/>
        <v>Not Match</v>
      </c>
      <c r="L936" s="1">
        <f t="shared" si="70"/>
        <v>0.18027756377319948</v>
      </c>
      <c r="M936" s="1" t="e">
        <f t="shared" si="71"/>
        <v>#N/A</v>
      </c>
      <c r="N936" s="2" t="str">
        <f t="shared" si="74"/>
        <v>Q NOT OK dE&lt;=0.8</v>
      </c>
      <c r="O936">
        <v>16.11</v>
      </c>
      <c r="P936">
        <v>0.7</v>
      </c>
      <c r="Q936">
        <v>-1.44</v>
      </c>
      <c r="R936">
        <v>0.52</v>
      </c>
      <c r="S936">
        <v>0.1</v>
      </c>
      <c r="T936">
        <v>0.15</v>
      </c>
      <c r="U936">
        <v>-0.13</v>
      </c>
      <c r="V936">
        <v>0.21</v>
      </c>
      <c r="W936">
        <v>0.57999999999999996</v>
      </c>
      <c r="X936" t="s">
        <v>8</v>
      </c>
      <c r="Y936" t="s">
        <v>9</v>
      </c>
      <c r="Z936" s="2" t="s">
        <v>718</v>
      </c>
      <c r="AA936" s="2" t="s">
        <v>721</v>
      </c>
    </row>
    <row r="937" spans="1:27" x14ac:dyDescent="0.35">
      <c r="A937" t="s">
        <v>1626</v>
      </c>
      <c r="B937" t="s">
        <v>2012</v>
      </c>
      <c r="C937" s="7" t="str">
        <f>_xlfn.XLOOKUP(B937,'[1]Sheet 1'!$A$2:$A$11107,'[1]Sheet 1'!$D$2:$D$11107,"",0)</f>
        <v>VSS</v>
      </c>
      <c r="D937" s="4" t="str">
        <f>_xlfn.XLOOKUP(A937,[3]Sheet2!$I$2:$I$1623,[3]Sheet2!$D$2:$D$1623,"",0)</f>
        <v>Q4</v>
      </c>
      <c r="F937" s="4" t="e">
        <f>_xlfn.XLOOKUP(B937,[2]Sheet2!$E$2:$E$713,[2]Sheet2!$G$2:$G$713)</f>
        <v>#N/A</v>
      </c>
      <c r="G937" s="22">
        <v>46161</v>
      </c>
      <c r="H937" s="23">
        <v>0.75152777777777779</v>
      </c>
      <c r="I937" t="s">
        <v>10</v>
      </c>
      <c r="J937" s="2" t="str">
        <f t="shared" si="72"/>
        <v>Q4</v>
      </c>
      <c r="K937" s="2" t="str">
        <f t="shared" si="73"/>
        <v>Match</v>
      </c>
      <c r="L937" s="1">
        <f t="shared" si="70"/>
        <v>7.0000000000000007E-2</v>
      </c>
      <c r="M937" s="1" t="e">
        <f t="shared" si="71"/>
        <v>#N/A</v>
      </c>
      <c r="N937" s="2" t="str">
        <f t="shared" si="74"/>
        <v>Q OK dE&lt;=0.8</v>
      </c>
      <c r="O937">
        <v>16.14</v>
      </c>
      <c r="P937">
        <v>0.66</v>
      </c>
      <c r="Q937">
        <v>-1.59</v>
      </c>
      <c r="R937">
        <v>0.55000000000000004</v>
      </c>
      <c r="S937">
        <v>7.0000000000000007E-2</v>
      </c>
      <c r="T937">
        <v>0</v>
      </c>
      <c r="U937">
        <v>0.04</v>
      </c>
      <c r="V937">
        <v>0.09</v>
      </c>
      <c r="W937">
        <v>0.56000000000000005</v>
      </c>
      <c r="X937" t="s">
        <v>8</v>
      </c>
      <c r="Y937" t="s">
        <v>9</v>
      </c>
      <c r="Z937" s="2" t="s">
        <v>718</v>
      </c>
      <c r="AA937" s="2" t="s">
        <v>721</v>
      </c>
    </row>
    <row r="938" spans="1:27" x14ac:dyDescent="0.35">
      <c r="A938" t="s">
        <v>2148</v>
      </c>
      <c r="B938" t="s">
        <v>2009</v>
      </c>
      <c r="C938" s="7" t="str">
        <f>_xlfn.XLOOKUP(B938,'[1]Sheet 1'!$A$2:$A$11107,'[1]Sheet 1'!$D$2:$D$11107,"",0)</f>
        <v>VSS</v>
      </c>
      <c r="D938" s="4" t="str">
        <f>_xlfn.XLOOKUP(A938,[3]Sheet2!$I$2:$I$1623,[3]Sheet2!$D$2:$D$1623,"",0)</f>
        <v>Q3</v>
      </c>
      <c r="F938" s="4" t="e">
        <f>_xlfn.XLOOKUP(B938,[2]Sheet2!$E$2:$E$713,[2]Sheet2!$G$2:$G$713)</f>
        <v>#N/A</v>
      </c>
      <c r="G938" s="22">
        <v>46161</v>
      </c>
      <c r="H938" s="23">
        <v>0.55018518518518522</v>
      </c>
      <c r="I938" t="s">
        <v>10</v>
      </c>
      <c r="J938" s="2" t="str">
        <f t="shared" si="72"/>
        <v>Q1</v>
      </c>
      <c r="K938" s="2" t="str">
        <f t="shared" si="73"/>
        <v>Not Match</v>
      </c>
      <c r="L938" s="1">
        <f t="shared" si="70"/>
        <v>1.1237882362794158</v>
      </c>
      <c r="M938" s="1" t="e">
        <f t="shared" si="71"/>
        <v>#N/A</v>
      </c>
      <c r="N938" s="2" t="str">
        <f t="shared" si="74"/>
        <v>Q NOT OK dE&lt;=0.8</v>
      </c>
      <c r="O938">
        <v>43.72</v>
      </c>
      <c r="P938">
        <v>54.88</v>
      </c>
      <c r="Q938">
        <v>38.25</v>
      </c>
      <c r="R938">
        <v>0.51</v>
      </c>
      <c r="S938">
        <v>0.98</v>
      </c>
      <c r="T938">
        <v>0.55000000000000004</v>
      </c>
      <c r="U938">
        <v>0.39</v>
      </c>
      <c r="V938">
        <v>-0.08</v>
      </c>
      <c r="W938">
        <v>0.64</v>
      </c>
      <c r="X938" t="s">
        <v>8</v>
      </c>
      <c r="Y938" t="s">
        <v>7</v>
      </c>
      <c r="Z938" s="2" t="s">
        <v>718</v>
      </c>
      <c r="AA938" s="2" t="s">
        <v>721</v>
      </c>
    </row>
    <row r="939" spans="1:27" x14ac:dyDescent="0.35">
      <c r="A939" t="s">
        <v>1521</v>
      </c>
      <c r="B939" t="s">
        <v>1995</v>
      </c>
      <c r="C939" s="7" t="str">
        <f>_xlfn.XLOOKUP(B939,'[1]Sheet 1'!$A$2:$A$11107,'[1]Sheet 1'!$D$2:$D$11107,"",0)</f>
        <v>VSS</v>
      </c>
      <c r="D939" s="4" t="str">
        <f>_xlfn.XLOOKUP(A939,[3]Sheet2!$I$2:$I$1623,[3]Sheet2!$D$2:$D$1623,"",0)</f>
        <v>Q3</v>
      </c>
      <c r="F939" s="4" t="e">
        <f>_xlfn.XLOOKUP(B939,[2]Sheet2!$E$2:$E$713,[2]Sheet2!$G$2:$G$713)</f>
        <v>#N/A</v>
      </c>
      <c r="G939" s="22">
        <v>46161</v>
      </c>
      <c r="H939" s="23">
        <v>0.31993055555555555</v>
      </c>
      <c r="I939" t="s">
        <v>11</v>
      </c>
      <c r="J939" s="2" t="str">
        <f t="shared" si="72"/>
        <v>Q4</v>
      </c>
      <c r="K939" s="2" t="str">
        <f t="shared" si="73"/>
        <v>Not Match</v>
      </c>
      <c r="L939" s="1">
        <f t="shared" si="70"/>
        <v>0.33600595232822889</v>
      </c>
      <c r="M939" s="1" t="e">
        <f t="shared" si="71"/>
        <v>#N/A</v>
      </c>
      <c r="N939" s="2" t="str">
        <f t="shared" si="74"/>
        <v>Q NOT OK dE&lt;=0.8</v>
      </c>
      <c r="O939">
        <v>20.440000000000001</v>
      </c>
      <c r="P939">
        <v>1.25</v>
      </c>
      <c r="Q939">
        <v>-8.76</v>
      </c>
      <c r="R939">
        <v>-0.51</v>
      </c>
      <c r="S939">
        <v>0.2</v>
      </c>
      <c r="T939">
        <v>-0.27</v>
      </c>
      <c r="U939">
        <v>0.26</v>
      </c>
      <c r="V939">
        <v>0.22</v>
      </c>
      <c r="W939">
        <v>0.61</v>
      </c>
      <c r="X939" t="s">
        <v>8</v>
      </c>
      <c r="Y939" t="s">
        <v>9</v>
      </c>
      <c r="Z939" s="2" t="s">
        <v>718</v>
      </c>
      <c r="AA939" s="2" t="s">
        <v>721</v>
      </c>
    </row>
    <row r="940" spans="1:27" x14ac:dyDescent="0.35">
      <c r="A940" t="s">
        <v>1822</v>
      </c>
      <c r="B940" t="s">
        <v>2008</v>
      </c>
      <c r="C940" s="7" t="str">
        <f>_xlfn.XLOOKUP(B940,'[1]Sheet 1'!$A$2:$A$11107,'[1]Sheet 1'!$D$2:$D$11107,"",0)</f>
        <v/>
      </c>
      <c r="D940" s="4" t="str">
        <f>_xlfn.XLOOKUP(A940,[3]Sheet2!$I$2:$I$1623,[3]Sheet2!$D$2:$D$1623,"",0)</f>
        <v>Q1</v>
      </c>
      <c r="F940" s="4" t="e">
        <f>_xlfn.XLOOKUP(B940,[2]Sheet2!$E$2:$E$713,[2]Sheet2!$G$2:$G$713)</f>
        <v>#N/A</v>
      </c>
      <c r="G940" s="22">
        <v>46161</v>
      </c>
      <c r="H940" s="23">
        <v>0.46111111111111114</v>
      </c>
      <c r="I940" t="s">
        <v>4</v>
      </c>
      <c r="J940" s="2" t="str">
        <f t="shared" si="72"/>
        <v>Q3</v>
      </c>
      <c r="K940" s="2" t="str">
        <f t="shared" si="73"/>
        <v>Not Match</v>
      </c>
      <c r="L940" s="1">
        <f t="shared" si="70"/>
        <v>0.25298221281347033</v>
      </c>
      <c r="M940" s="1" t="e">
        <f t="shared" si="71"/>
        <v>#N/A</v>
      </c>
      <c r="N940" s="2" t="str">
        <f t="shared" si="74"/>
        <v>Q NOT OK dE&lt;=0.8</v>
      </c>
      <c r="O940">
        <v>16.5</v>
      </c>
      <c r="P940">
        <v>-1.01</v>
      </c>
      <c r="Q940">
        <v>-1.97</v>
      </c>
      <c r="R940">
        <v>-0.59</v>
      </c>
      <c r="S940">
        <v>-0.24</v>
      </c>
      <c r="T940">
        <v>-0.08</v>
      </c>
      <c r="U940">
        <v>0.22</v>
      </c>
      <c r="V940">
        <v>-0.25</v>
      </c>
      <c r="W940">
        <v>0.67</v>
      </c>
      <c r="X940" t="s">
        <v>8</v>
      </c>
      <c r="Y940" t="s">
        <v>15</v>
      </c>
      <c r="Z940" s="2" t="s">
        <v>718</v>
      </c>
      <c r="AA940" s="2" t="s">
        <v>721</v>
      </c>
    </row>
    <row r="941" spans="1:27" x14ac:dyDescent="0.35">
      <c r="A941" t="s">
        <v>1593</v>
      </c>
      <c r="B941" t="s">
        <v>1858</v>
      </c>
      <c r="C941" s="7" t="str">
        <f>_xlfn.XLOOKUP(B941,'[1]Sheet 1'!$A$2:$A$11107,'[1]Sheet 1'!$D$2:$D$11107,"",0)</f>
        <v>LULU</v>
      </c>
      <c r="D941" s="4" t="str">
        <f>_xlfn.XLOOKUP(A941,[3]Sheet2!$I$2:$I$1623,[3]Sheet2!$D$2:$D$1623,"",0)</f>
        <v>Q3</v>
      </c>
      <c r="F941" s="4" t="e">
        <f>_xlfn.XLOOKUP(B941,[2]Sheet2!$E$2:$E$713,[2]Sheet2!$G$2:$G$713)</f>
        <v>#N/A</v>
      </c>
      <c r="G941" s="22">
        <v>46161</v>
      </c>
      <c r="H941" s="23">
        <v>0.14291666666666666</v>
      </c>
      <c r="I941" t="s">
        <v>4</v>
      </c>
      <c r="J941" s="2" t="str">
        <f t="shared" si="72"/>
        <v>Q1</v>
      </c>
      <c r="K941" s="2" t="str">
        <f t="shared" si="73"/>
        <v>Not Match</v>
      </c>
      <c r="L941" s="1">
        <f t="shared" si="70"/>
        <v>0.34928498393145962</v>
      </c>
      <c r="M941" s="1" t="e">
        <f t="shared" si="71"/>
        <v>#N/A</v>
      </c>
      <c r="N941" s="2" t="str">
        <f t="shared" si="74"/>
        <v>Q NOT OK dE&gt;0.8</v>
      </c>
      <c r="O941">
        <v>22.64</v>
      </c>
      <c r="P941">
        <v>3.06</v>
      </c>
      <c r="Q941">
        <v>2.37</v>
      </c>
      <c r="R941">
        <v>-1.06</v>
      </c>
      <c r="S941">
        <v>0.32</v>
      </c>
      <c r="T941">
        <v>0.14000000000000001</v>
      </c>
      <c r="U941">
        <v>0.39</v>
      </c>
      <c r="V941">
        <v>-0.11</v>
      </c>
      <c r="W941">
        <v>1.1399999999999999</v>
      </c>
      <c r="X941" t="s">
        <v>6</v>
      </c>
      <c r="Y941" t="s">
        <v>7</v>
      </c>
      <c r="Z941" s="2" t="s">
        <v>718</v>
      </c>
      <c r="AA941" s="2" t="s">
        <v>721</v>
      </c>
    </row>
    <row r="942" spans="1:27" x14ac:dyDescent="0.35">
      <c r="A942" t="s">
        <v>1715</v>
      </c>
      <c r="B942" t="s">
        <v>2016</v>
      </c>
      <c r="C942" s="7" t="str">
        <f>_xlfn.XLOOKUP(B942,'[1]Sheet 1'!$A$2:$A$11107,'[1]Sheet 1'!$D$2:$D$11107,"",0)</f>
        <v/>
      </c>
      <c r="D942" s="4" t="str">
        <f>_xlfn.XLOOKUP(A942,[3]Sheet2!$I$2:$I$1623,[3]Sheet2!$D$2:$D$1623,"",0)</f>
        <v>Q1</v>
      </c>
      <c r="F942" s="4" t="e">
        <f>_xlfn.XLOOKUP(B942,[2]Sheet2!$E$2:$E$713,[2]Sheet2!$G$2:$G$713)</f>
        <v>#N/A</v>
      </c>
      <c r="G942" s="22">
        <v>46161</v>
      </c>
      <c r="H942" s="23">
        <v>0.77041666666666664</v>
      </c>
      <c r="I942" t="s">
        <v>4</v>
      </c>
      <c r="J942" s="2" t="str">
        <f t="shared" si="72"/>
        <v>Q4</v>
      </c>
      <c r="K942" s="2" t="str">
        <f t="shared" si="73"/>
        <v>Not Match</v>
      </c>
      <c r="L942" s="1">
        <f t="shared" si="70"/>
        <v>0.89050547443572747</v>
      </c>
      <c r="M942" s="1" t="e">
        <f t="shared" si="71"/>
        <v>#N/A</v>
      </c>
      <c r="N942" s="2" t="str">
        <f t="shared" si="74"/>
        <v>Q NOT OK dE&gt;0.8</v>
      </c>
      <c r="O942">
        <v>13.5</v>
      </c>
      <c r="P942">
        <v>-0.12</v>
      </c>
      <c r="Q942">
        <v>-2.27</v>
      </c>
      <c r="R942">
        <v>-1.1499999999999999</v>
      </c>
      <c r="S942">
        <v>0.03</v>
      </c>
      <c r="T942">
        <v>-0.89</v>
      </c>
      <c r="U942">
        <v>1.23</v>
      </c>
      <c r="V942">
        <v>0.14000000000000001</v>
      </c>
      <c r="W942">
        <v>1.69</v>
      </c>
      <c r="X942" t="s">
        <v>6</v>
      </c>
      <c r="Y942" t="s">
        <v>9</v>
      </c>
      <c r="Z942" s="2" t="s">
        <v>718</v>
      </c>
      <c r="AA942" s="2" t="s">
        <v>721</v>
      </c>
    </row>
    <row r="943" spans="1:27" x14ac:dyDescent="0.35">
      <c r="A943" t="s">
        <v>1812</v>
      </c>
      <c r="B943" t="s">
        <v>1868</v>
      </c>
      <c r="C943" s="7" t="str">
        <f>_xlfn.XLOOKUP(B943,'[1]Sheet 1'!$A$2:$A$11107,'[1]Sheet 1'!$D$2:$D$11107,"",0)</f>
        <v>M&amp;S</v>
      </c>
      <c r="D943" s="4" t="str">
        <f>_xlfn.XLOOKUP(A943,[3]Sheet2!$I$2:$I$1623,[3]Sheet2!$D$2:$D$1623,"",0)</f>
        <v>Q4</v>
      </c>
      <c r="F943" s="4" t="e">
        <f>_xlfn.XLOOKUP(B943,[2]Sheet2!$E$2:$E$713,[2]Sheet2!$G$2:$G$713)</f>
        <v>#N/A</v>
      </c>
      <c r="G943" s="22">
        <v>46162</v>
      </c>
      <c r="H943" s="23">
        <v>0.27428240740740739</v>
      </c>
      <c r="I943" t="s">
        <v>17</v>
      </c>
      <c r="J943" s="2" t="str">
        <f t="shared" si="72"/>
        <v>Q2</v>
      </c>
      <c r="K943" s="2" t="str">
        <f t="shared" si="73"/>
        <v>Not Match</v>
      </c>
      <c r="L943" s="1">
        <f t="shared" si="70"/>
        <v>0.70064256222413435</v>
      </c>
      <c r="M943" s="1" t="e">
        <f t="shared" si="71"/>
        <v>#N/A</v>
      </c>
      <c r="N943" s="2" t="str">
        <f t="shared" si="74"/>
        <v>Q NOT OK dE&gt;0.8</v>
      </c>
      <c r="O943">
        <v>16.07</v>
      </c>
      <c r="P943">
        <v>-0.48</v>
      </c>
      <c r="Q943">
        <v>-5.36</v>
      </c>
      <c r="R943">
        <v>-0.8</v>
      </c>
      <c r="S943">
        <v>-0.03</v>
      </c>
      <c r="T943">
        <v>0.7</v>
      </c>
      <c r="U943">
        <v>-0.69</v>
      </c>
      <c r="V943">
        <v>-0.12</v>
      </c>
      <c r="W943">
        <v>1.06</v>
      </c>
      <c r="X943" t="s">
        <v>6</v>
      </c>
      <c r="Y943" t="s">
        <v>15</v>
      </c>
      <c r="Z943" s="2" t="s">
        <v>718</v>
      </c>
      <c r="AA943" s="2" t="s">
        <v>721</v>
      </c>
    </row>
    <row r="944" spans="1:27" x14ac:dyDescent="0.35">
      <c r="A944" t="s">
        <v>1790</v>
      </c>
      <c r="B944" t="s">
        <v>2023</v>
      </c>
      <c r="C944" s="7" t="str">
        <f>_xlfn.XLOOKUP(B944,'[1]Sheet 1'!$A$2:$A$11107,'[1]Sheet 1'!$D$2:$D$11107,"",0)</f>
        <v>LULU</v>
      </c>
      <c r="D944" s="4" t="str">
        <f>_xlfn.XLOOKUP(A944,[3]Sheet2!$I$2:$I$1623,[3]Sheet2!$D$2:$D$1623,"",0)</f>
        <v>Q1</v>
      </c>
      <c r="F944" s="4" t="e">
        <f>_xlfn.XLOOKUP(B944,[2]Sheet2!$E$2:$E$713,[2]Sheet2!$G$2:$G$713)</f>
        <v>#N/A</v>
      </c>
      <c r="G944" s="22">
        <v>46162</v>
      </c>
      <c r="H944" s="23">
        <v>0.56218749999999995</v>
      </c>
      <c r="I944" t="s">
        <v>4</v>
      </c>
      <c r="J944" s="2" t="str">
        <f t="shared" si="72"/>
        <v>Q1</v>
      </c>
      <c r="K944" s="2" t="str">
        <f t="shared" si="73"/>
        <v>Match</v>
      </c>
      <c r="L944" s="1">
        <f t="shared" si="70"/>
        <v>0.21189620100417092</v>
      </c>
      <c r="M944" s="1" t="e">
        <f t="shared" si="71"/>
        <v>#N/A</v>
      </c>
      <c r="N944" s="2" t="str">
        <f t="shared" si="74"/>
        <v>Q OK dE&lt;=0.8</v>
      </c>
      <c r="O944">
        <v>21.06</v>
      </c>
      <c r="P944">
        <v>6.52</v>
      </c>
      <c r="Q944">
        <v>-9.8800000000000008</v>
      </c>
      <c r="R944">
        <v>-0.62</v>
      </c>
      <c r="S944">
        <v>0.2</v>
      </c>
      <c r="T944">
        <v>7.0000000000000007E-2</v>
      </c>
      <c r="U944">
        <v>0.04</v>
      </c>
      <c r="V944">
        <v>0.25</v>
      </c>
      <c r="W944">
        <v>0.67</v>
      </c>
      <c r="X944" t="s">
        <v>8</v>
      </c>
      <c r="Y944" t="s">
        <v>9</v>
      </c>
      <c r="Z944" s="2" t="s">
        <v>718</v>
      </c>
      <c r="AA944" s="2" t="s">
        <v>721</v>
      </c>
    </row>
    <row r="945" spans="1:27" x14ac:dyDescent="0.35">
      <c r="A945" t="s">
        <v>1638</v>
      </c>
      <c r="B945" t="s">
        <v>2019</v>
      </c>
      <c r="C945" s="7" t="str">
        <f>_xlfn.XLOOKUP(B945,'[1]Sheet 1'!$A$2:$A$11107,'[1]Sheet 1'!$D$2:$D$11107,"",0)</f>
        <v/>
      </c>
      <c r="D945" s="4" t="str">
        <f>_xlfn.XLOOKUP(A945,[3]Sheet2!$I$2:$I$1623,[3]Sheet2!$D$2:$D$1623,"",0)</f>
        <v>Q1</v>
      </c>
      <c r="F945" s="4" t="e">
        <f>_xlfn.XLOOKUP(B945,[2]Sheet2!$E$2:$E$713,[2]Sheet2!$G$2:$G$713)</f>
        <v>#N/A</v>
      </c>
      <c r="G945" s="22">
        <v>46162</v>
      </c>
      <c r="H945" s="23">
        <v>0.13445601851851852</v>
      </c>
      <c r="I945" t="s">
        <v>5</v>
      </c>
      <c r="J945" s="2" t="str">
        <f t="shared" si="72"/>
        <v>Q1</v>
      </c>
      <c r="K945" s="2" t="str">
        <f t="shared" si="73"/>
        <v>Match</v>
      </c>
      <c r="L945" s="1">
        <f t="shared" si="70"/>
        <v>0.44407206622349032</v>
      </c>
      <c r="M945" s="1" t="e">
        <f t="shared" si="71"/>
        <v>#N/A</v>
      </c>
      <c r="N945" s="2" t="str">
        <f t="shared" si="74"/>
        <v>Q OK dE&gt;0.8</v>
      </c>
      <c r="O945">
        <v>13.2</v>
      </c>
      <c r="P945">
        <v>-0.92</v>
      </c>
      <c r="Q945">
        <v>-2.35</v>
      </c>
      <c r="R945">
        <v>-1.08</v>
      </c>
      <c r="S945">
        <v>0.26</v>
      </c>
      <c r="T945">
        <v>0.36</v>
      </c>
      <c r="U945">
        <v>-0.52</v>
      </c>
      <c r="V945">
        <v>0.13</v>
      </c>
      <c r="W945">
        <v>1.21</v>
      </c>
      <c r="X945" t="s">
        <v>6</v>
      </c>
      <c r="Y945" t="s">
        <v>9</v>
      </c>
      <c r="Z945" s="2" t="s">
        <v>718</v>
      </c>
      <c r="AA945" s="2" t="s">
        <v>721</v>
      </c>
    </row>
    <row r="946" spans="1:27" x14ac:dyDescent="0.35">
      <c r="A946" t="s">
        <v>1567</v>
      </c>
      <c r="B946" t="s">
        <v>1866</v>
      </c>
      <c r="C946" s="7" t="str">
        <f>_xlfn.XLOOKUP(B946,'[1]Sheet 1'!$A$2:$A$11107,'[1]Sheet 1'!$D$2:$D$11107,"",0)</f>
        <v>M&amp;S</v>
      </c>
      <c r="D946" s="4" t="str">
        <f>_xlfn.XLOOKUP(A946,[3]Sheet2!$I$2:$I$1623,[3]Sheet2!$D$2:$D$1623,"",0)</f>
        <v>Q3</v>
      </c>
      <c r="F946" s="4" t="e">
        <f>_xlfn.XLOOKUP(B946,[2]Sheet2!$E$2:$E$713,[2]Sheet2!$G$2:$G$713)</f>
        <v>#N/A</v>
      </c>
      <c r="G946" s="22">
        <v>46162</v>
      </c>
      <c r="H946" s="23">
        <v>0.2597800925925926</v>
      </c>
      <c r="I946" t="s">
        <v>17</v>
      </c>
      <c r="J946" s="2" t="str">
        <f t="shared" si="72"/>
        <v>Q3</v>
      </c>
      <c r="K946" s="2" t="str">
        <f t="shared" si="73"/>
        <v>Match</v>
      </c>
      <c r="L946" s="1">
        <f t="shared" si="70"/>
        <v>0.33541019662496846</v>
      </c>
      <c r="M946" s="1" t="e">
        <f t="shared" si="71"/>
        <v>#N/A</v>
      </c>
      <c r="N946" s="2" t="str">
        <f t="shared" si="74"/>
        <v>Q OK dE&lt;=0.8</v>
      </c>
      <c r="O946">
        <v>24.63</v>
      </c>
      <c r="P946">
        <v>-5.83</v>
      </c>
      <c r="Q946">
        <v>-7.08</v>
      </c>
      <c r="R946">
        <v>0.11</v>
      </c>
      <c r="S946">
        <v>-0.33</v>
      </c>
      <c r="T946">
        <v>-0.06</v>
      </c>
      <c r="U946">
        <v>0.22</v>
      </c>
      <c r="V946">
        <v>-0.25</v>
      </c>
      <c r="W946">
        <v>0.36</v>
      </c>
      <c r="X946" t="s">
        <v>8</v>
      </c>
      <c r="Y946" t="s">
        <v>12</v>
      </c>
      <c r="Z946" s="2" t="s">
        <v>718</v>
      </c>
      <c r="AA946" s="2" t="s">
        <v>721</v>
      </c>
    </row>
    <row r="947" spans="1:27" x14ac:dyDescent="0.35">
      <c r="A947" t="s">
        <v>1540</v>
      </c>
      <c r="B947" t="s">
        <v>2029</v>
      </c>
      <c r="C947" s="7" t="str">
        <f>_xlfn.XLOOKUP(B947,'[1]Sheet 1'!$A$2:$A$11107,'[1]Sheet 1'!$D$2:$D$11107,"",0)</f>
        <v>PINK</v>
      </c>
      <c r="D947" s="4" t="str">
        <f>_xlfn.XLOOKUP(A947,[3]Sheet2!$I$2:$I$1623,[3]Sheet2!$D$2:$D$1623,"",0)</f>
        <v>Q3</v>
      </c>
      <c r="F947" s="4" t="e">
        <f>_xlfn.XLOOKUP(B947,[2]Sheet2!$E$2:$E$713,[2]Sheet2!$G$2:$G$713)</f>
        <v>#N/A</v>
      </c>
      <c r="G947" s="22">
        <v>46162</v>
      </c>
      <c r="H947" s="23">
        <v>0.69166666666666665</v>
      </c>
      <c r="I947" t="s">
        <v>11</v>
      </c>
      <c r="J947" s="2" t="str">
        <f t="shared" si="72"/>
        <v>Q3</v>
      </c>
      <c r="K947" s="2" t="str">
        <f t="shared" si="73"/>
        <v>Match</v>
      </c>
      <c r="L947" s="1">
        <f t="shared" si="70"/>
        <v>0.16</v>
      </c>
      <c r="M947" s="1" t="e">
        <f t="shared" si="71"/>
        <v>#N/A</v>
      </c>
      <c r="N947" s="2" t="str">
        <f t="shared" si="74"/>
        <v>Q OK dE&lt;=0.8</v>
      </c>
      <c r="O947">
        <v>14.04</v>
      </c>
      <c r="P947">
        <v>-0.38</v>
      </c>
      <c r="Q947">
        <v>-1.75</v>
      </c>
      <c r="R947">
        <v>-0.2</v>
      </c>
      <c r="S947">
        <v>0.16</v>
      </c>
      <c r="T947">
        <v>0</v>
      </c>
      <c r="U947">
        <v>-0.06</v>
      </c>
      <c r="V947">
        <v>0.21</v>
      </c>
      <c r="W947">
        <v>0.28999999999999998</v>
      </c>
      <c r="X947" t="s">
        <v>8</v>
      </c>
      <c r="Y947" t="s">
        <v>9</v>
      </c>
      <c r="Z947" s="2" t="s">
        <v>718</v>
      </c>
      <c r="AA947" s="2" t="s">
        <v>721</v>
      </c>
    </row>
    <row r="948" spans="1:27" x14ac:dyDescent="0.35">
      <c r="A948" t="s">
        <v>1550</v>
      </c>
      <c r="B948" t="s">
        <v>2028</v>
      </c>
      <c r="C948" s="7" t="str">
        <f>_xlfn.XLOOKUP(B948,'[1]Sheet 1'!$A$2:$A$11107,'[1]Sheet 1'!$D$2:$D$11107,"",0)</f>
        <v>NEWB</v>
      </c>
      <c r="D948" s="4">
        <v>0</v>
      </c>
      <c r="F948" s="4" t="e">
        <f>_xlfn.XLOOKUP(B948,[2]Sheet2!$E$2:$E$713,[2]Sheet2!$G$2:$G$713)</f>
        <v>#N/A</v>
      </c>
      <c r="G948" s="22">
        <v>46162</v>
      </c>
      <c r="H948" s="23">
        <v>0.68972222222222224</v>
      </c>
      <c r="I948" t="s">
        <v>11</v>
      </c>
      <c r="J948" s="2" t="str">
        <f t="shared" si="72"/>
        <v>Q2</v>
      </c>
      <c r="K948" s="2" t="str">
        <f t="shared" si="73"/>
        <v>Not Found</v>
      </c>
      <c r="L948" s="1">
        <f t="shared" si="70"/>
        <v>0.12041594578792295</v>
      </c>
      <c r="M948" s="1" t="e">
        <f t="shared" si="71"/>
        <v>#N/A</v>
      </c>
      <c r="N948" s="2" t="str">
        <f t="shared" si="74"/>
        <v>Quadrant not assigned</v>
      </c>
      <c r="O948">
        <v>15.88</v>
      </c>
      <c r="P948">
        <v>-1.1299999999999999</v>
      </c>
      <c r="Q948">
        <v>-2.86</v>
      </c>
      <c r="R948">
        <v>-1.33</v>
      </c>
      <c r="S948">
        <v>-0.09</v>
      </c>
      <c r="T948">
        <v>0.08</v>
      </c>
      <c r="U948">
        <v>-0.05</v>
      </c>
      <c r="V948">
        <v>-0.15</v>
      </c>
      <c r="W948">
        <v>1.34</v>
      </c>
      <c r="X948" t="s">
        <v>6</v>
      </c>
      <c r="Y948" t="s">
        <v>15</v>
      </c>
      <c r="Z948" s="2" t="s">
        <v>718</v>
      </c>
      <c r="AA948" s="2" t="s">
        <v>721</v>
      </c>
    </row>
    <row r="949" spans="1:27" x14ac:dyDescent="0.35">
      <c r="A949" t="s">
        <v>1626</v>
      </c>
      <c r="B949" t="s">
        <v>2018</v>
      </c>
      <c r="C949" s="7" t="str">
        <f>_xlfn.XLOOKUP(B949,'[1]Sheet 1'!$A$2:$A$11107,'[1]Sheet 1'!$D$2:$D$11107,"",0)</f>
        <v>VSS</v>
      </c>
      <c r="D949" s="4" t="str">
        <f>_xlfn.XLOOKUP(A949,[3]Sheet2!$I$2:$I$1623,[3]Sheet2!$D$2:$D$1623,"",0)</f>
        <v>Q4</v>
      </c>
      <c r="F949" s="4" t="e">
        <f>_xlfn.XLOOKUP(B949,[2]Sheet2!$E$2:$E$713,[2]Sheet2!$G$2:$G$713)</f>
        <v>#N/A</v>
      </c>
      <c r="G949" s="22">
        <v>46162</v>
      </c>
      <c r="H949" s="23">
        <v>4.7800925925925927E-3</v>
      </c>
      <c r="I949" t="s">
        <v>10</v>
      </c>
      <c r="J949" s="2" t="str">
        <f t="shared" si="72"/>
        <v>Q1</v>
      </c>
      <c r="K949" s="2" t="str">
        <f t="shared" si="73"/>
        <v>Not Match</v>
      </c>
      <c r="L949" s="1">
        <f t="shared" si="70"/>
        <v>5.0990195135927854E-2</v>
      </c>
      <c r="M949" s="1" t="e">
        <f t="shared" si="71"/>
        <v>#N/A</v>
      </c>
      <c r="N949" s="2" t="str">
        <f t="shared" si="74"/>
        <v>Q NOT OK dE&gt;0.8</v>
      </c>
      <c r="O949">
        <v>16.600000000000001</v>
      </c>
      <c r="P949">
        <v>0.61</v>
      </c>
      <c r="Q949">
        <v>-1.54</v>
      </c>
      <c r="R949">
        <v>1</v>
      </c>
      <c r="S949">
        <v>0.01</v>
      </c>
      <c r="T949">
        <v>0.05</v>
      </c>
      <c r="U949">
        <v>-0.05</v>
      </c>
      <c r="V949">
        <v>0.04</v>
      </c>
      <c r="W949">
        <v>1</v>
      </c>
      <c r="X949" t="s">
        <v>6</v>
      </c>
      <c r="Y949" t="s">
        <v>9</v>
      </c>
      <c r="Z949" s="2" t="s">
        <v>718</v>
      </c>
      <c r="AA949" s="2" t="s">
        <v>721</v>
      </c>
    </row>
    <row r="950" spans="1:27" x14ac:dyDescent="0.35">
      <c r="A950" t="s">
        <v>1626</v>
      </c>
      <c r="B950" t="s">
        <v>2020</v>
      </c>
      <c r="C950" s="7" t="str">
        <f>_xlfn.XLOOKUP(B950,'[1]Sheet 1'!$A$2:$A$11107,'[1]Sheet 1'!$D$2:$D$11107,"",0)</f>
        <v>VSS</v>
      </c>
      <c r="D950" s="4" t="str">
        <f>_xlfn.XLOOKUP(A950,[3]Sheet2!$I$2:$I$1623,[3]Sheet2!$D$2:$D$1623,"",0)</f>
        <v>Q4</v>
      </c>
      <c r="F950" s="4" t="e">
        <f>_xlfn.XLOOKUP(B950,[2]Sheet2!$E$2:$E$713,[2]Sheet2!$G$2:$G$713)</f>
        <v>#N/A</v>
      </c>
      <c r="G950" s="22">
        <v>46162</v>
      </c>
      <c r="H950" s="23">
        <v>0.13920138888888889</v>
      </c>
      <c r="I950" t="s">
        <v>10</v>
      </c>
      <c r="J950" s="2" t="str">
        <f t="shared" si="72"/>
        <v>Q4</v>
      </c>
      <c r="K950" s="2" t="str">
        <f t="shared" si="73"/>
        <v>Match</v>
      </c>
      <c r="L950" s="1">
        <f t="shared" si="70"/>
        <v>0.03</v>
      </c>
      <c r="M950" s="1" t="e">
        <f t="shared" si="71"/>
        <v>#N/A</v>
      </c>
      <c r="N950" s="2" t="str">
        <f t="shared" si="74"/>
        <v>Q OK dE&lt;=0.8</v>
      </c>
      <c r="O950">
        <v>15.54</v>
      </c>
      <c r="P950">
        <v>0.63</v>
      </c>
      <c r="Q950">
        <v>-1.59</v>
      </c>
      <c r="R950">
        <v>-0.03</v>
      </c>
      <c r="S950">
        <v>0.03</v>
      </c>
      <c r="T950">
        <v>0</v>
      </c>
      <c r="U950">
        <v>0.02</v>
      </c>
      <c r="V950">
        <v>0.04</v>
      </c>
      <c r="W950">
        <v>0.05</v>
      </c>
      <c r="X950" t="s">
        <v>8</v>
      </c>
      <c r="Y950" t="s">
        <v>9</v>
      </c>
      <c r="Z950" s="2" t="s">
        <v>718</v>
      </c>
      <c r="AA950" s="2" t="s">
        <v>721</v>
      </c>
    </row>
    <row r="951" spans="1:27" x14ac:dyDescent="0.35">
      <c r="A951" t="s">
        <v>1626</v>
      </c>
      <c r="B951" t="s">
        <v>2017</v>
      </c>
      <c r="C951" s="7" t="str">
        <f>_xlfn.XLOOKUP(B951,'[1]Sheet 1'!$A$2:$A$11107,'[1]Sheet 1'!$D$2:$D$11107,"",0)</f>
        <v>VSS</v>
      </c>
      <c r="D951" s="4" t="str">
        <f>_xlfn.XLOOKUP(A951,[3]Sheet2!$I$2:$I$1623,[3]Sheet2!$D$2:$D$1623,"",0)</f>
        <v>Q4</v>
      </c>
      <c r="F951" s="4" t="e">
        <f>_xlfn.XLOOKUP(B951,[2]Sheet2!$E$2:$E$713,[2]Sheet2!$G$2:$G$713)</f>
        <v>#N/A</v>
      </c>
      <c r="G951" s="22">
        <v>46162</v>
      </c>
      <c r="H951" s="23">
        <v>3.2291666666666666E-3</v>
      </c>
      <c r="I951" t="s">
        <v>10</v>
      </c>
      <c r="J951" s="2" t="str">
        <f t="shared" si="72"/>
        <v>Q3</v>
      </c>
      <c r="K951" s="2" t="str">
        <f t="shared" si="73"/>
        <v>Not Match</v>
      </c>
      <c r="L951" s="1">
        <f t="shared" si="70"/>
        <v>0.15231546211727817</v>
      </c>
      <c r="M951" s="1" t="e">
        <f t="shared" si="71"/>
        <v>#N/A</v>
      </c>
      <c r="N951" s="2" t="str">
        <f t="shared" si="74"/>
        <v>Q NOT OK dE&lt;=0.8</v>
      </c>
      <c r="O951">
        <v>16.2</v>
      </c>
      <c r="P951">
        <v>0.45</v>
      </c>
      <c r="Q951">
        <v>-1.65</v>
      </c>
      <c r="R951">
        <v>0.61</v>
      </c>
      <c r="S951">
        <v>-0.14000000000000001</v>
      </c>
      <c r="T951">
        <v>-0.06</v>
      </c>
      <c r="U951">
        <v>0.02</v>
      </c>
      <c r="V951">
        <v>-0.21</v>
      </c>
      <c r="W951">
        <v>0.65</v>
      </c>
      <c r="X951" t="s">
        <v>8</v>
      </c>
      <c r="Y951" t="s">
        <v>15</v>
      </c>
      <c r="Z951" s="2" t="s">
        <v>718</v>
      </c>
      <c r="AA951" s="2" t="s">
        <v>721</v>
      </c>
    </row>
    <row r="952" spans="1:27" x14ac:dyDescent="0.35">
      <c r="A952" t="s">
        <v>1626</v>
      </c>
      <c r="B952" t="s">
        <v>1865</v>
      </c>
      <c r="C952" s="7" t="str">
        <f>_xlfn.XLOOKUP(B952,'[1]Sheet 1'!$A$2:$A$11107,'[1]Sheet 1'!$D$2:$D$11107,"",0)</f>
        <v>VSS</v>
      </c>
      <c r="D952" s="4" t="str">
        <f>_xlfn.XLOOKUP(A952,[3]Sheet2!$I$2:$I$1623,[3]Sheet2!$D$2:$D$1623,"",0)</f>
        <v>Q4</v>
      </c>
      <c r="F952" s="4" t="e">
        <f>_xlfn.XLOOKUP(B952,[2]Sheet2!$E$2:$E$713,[2]Sheet2!$G$2:$G$713)</f>
        <v>#N/A</v>
      </c>
      <c r="G952" s="22">
        <v>46162</v>
      </c>
      <c r="H952" s="23">
        <v>0.25780092592592591</v>
      </c>
      <c r="I952" t="s">
        <v>10</v>
      </c>
      <c r="J952" s="2" t="str">
        <f t="shared" si="72"/>
        <v>Q2</v>
      </c>
      <c r="K952" s="2" t="str">
        <f t="shared" si="73"/>
        <v>Not Match</v>
      </c>
      <c r="L952" s="1">
        <f t="shared" ref="L952:L1013" si="75">SQRT(S952^2+T952^2)</f>
        <v>7.2801098892805186E-2</v>
      </c>
      <c r="M952" s="1" t="e">
        <f t="shared" ref="M952:M1013" si="76">IF(L952&lt;=F952,"Within Range","Over Range")</f>
        <v>#N/A</v>
      </c>
      <c r="N952" s="2" t="str">
        <f t="shared" si="74"/>
        <v>Q NOT OK dE&lt;=0.8</v>
      </c>
      <c r="O952">
        <v>15.96</v>
      </c>
      <c r="P952">
        <v>0.53</v>
      </c>
      <c r="Q952">
        <v>-1.57</v>
      </c>
      <c r="R952">
        <v>0.38</v>
      </c>
      <c r="S952">
        <v>-7.0000000000000007E-2</v>
      </c>
      <c r="T952">
        <v>0.02</v>
      </c>
      <c r="U952">
        <v>-0.06</v>
      </c>
      <c r="V952">
        <v>-7.0000000000000007E-2</v>
      </c>
      <c r="W952">
        <v>0.39</v>
      </c>
      <c r="X952" t="s">
        <v>8</v>
      </c>
      <c r="Y952" t="s">
        <v>15</v>
      </c>
      <c r="Z952" s="2" t="s">
        <v>718</v>
      </c>
      <c r="AA952" s="2" t="s">
        <v>721</v>
      </c>
    </row>
    <row r="953" spans="1:27" x14ac:dyDescent="0.35">
      <c r="A953" t="s">
        <v>1626</v>
      </c>
      <c r="B953" t="s">
        <v>2025</v>
      </c>
      <c r="C953" s="7" t="str">
        <f>_xlfn.XLOOKUP(B953,'[1]Sheet 1'!$A$2:$A$11107,'[1]Sheet 1'!$D$2:$D$11107,"",0)</f>
        <v>VSS</v>
      </c>
      <c r="D953" s="4" t="str">
        <f>_xlfn.XLOOKUP(A953,[3]Sheet2!$I$2:$I$1623,[3]Sheet2!$D$2:$D$1623,"",0)</f>
        <v>Q4</v>
      </c>
      <c r="F953" s="4" t="e">
        <f>_xlfn.XLOOKUP(B953,[2]Sheet2!$E$2:$E$713,[2]Sheet2!$G$2:$G$713)</f>
        <v>#N/A</v>
      </c>
      <c r="G953" s="22">
        <v>46162</v>
      </c>
      <c r="H953" s="23">
        <v>0.68415509259259255</v>
      </c>
      <c r="I953" t="s">
        <v>11</v>
      </c>
      <c r="J953" s="2" t="str">
        <f t="shared" si="72"/>
        <v>Q3</v>
      </c>
      <c r="K953" s="2" t="str">
        <f t="shared" si="73"/>
        <v>Not Match</v>
      </c>
      <c r="L953" s="1">
        <f t="shared" si="75"/>
        <v>7.2801098892805186E-2</v>
      </c>
      <c r="M953" s="1" t="e">
        <f t="shared" si="76"/>
        <v>#N/A</v>
      </c>
      <c r="N953" s="2" t="str">
        <f t="shared" si="74"/>
        <v>Q NOT OK dE&lt;=0.8</v>
      </c>
      <c r="O953">
        <v>15.45</v>
      </c>
      <c r="P953">
        <v>-0.3</v>
      </c>
      <c r="Q953">
        <v>-2.2599999999999998</v>
      </c>
      <c r="R953">
        <v>0.17</v>
      </c>
      <c r="S953">
        <v>-0.02</v>
      </c>
      <c r="T953">
        <v>-7.0000000000000007E-2</v>
      </c>
      <c r="U953">
        <v>0.1</v>
      </c>
      <c r="V953">
        <v>-0.01</v>
      </c>
      <c r="W953">
        <v>0.19</v>
      </c>
      <c r="X953" t="s">
        <v>8</v>
      </c>
      <c r="Y953" t="s">
        <v>9</v>
      </c>
      <c r="Z953" s="2" t="s">
        <v>718</v>
      </c>
      <c r="AA953" s="2" t="s">
        <v>721</v>
      </c>
    </row>
    <row r="954" spans="1:27" x14ac:dyDescent="0.35">
      <c r="A954" t="s">
        <v>1626</v>
      </c>
      <c r="B954" t="s">
        <v>1864</v>
      </c>
      <c r="C954" s="7" t="str">
        <f>_xlfn.XLOOKUP(B954,'[1]Sheet 1'!$A$2:$A$11107,'[1]Sheet 1'!$D$2:$D$11107,"",0)</f>
        <v>VSS</v>
      </c>
      <c r="D954" s="4" t="str">
        <f>_xlfn.XLOOKUP(A954,[3]Sheet2!$I$2:$I$1623,[3]Sheet2!$D$2:$D$1623,"",0)</f>
        <v>Q4</v>
      </c>
      <c r="F954" s="4" t="e">
        <f>_xlfn.XLOOKUP(B954,[2]Sheet2!$E$2:$E$713,[2]Sheet2!$G$2:$G$713)</f>
        <v>#N/A</v>
      </c>
      <c r="G954" s="22">
        <v>46162</v>
      </c>
      <c r="H954" s="23">
        <v>0.25667824074074075</v>
      </c>
      <c r="I954" t="s">
        <v>10</v>
      </c>
      <c r="J954" s="2" t="str">
        <f t="shared" si="72"/>
        <v>Q4</v>
      </c>
      <c r="K954" s="2" t="str">
        <f t="shared" si="73"/>
        <v>Match</v>
      </c>
      <c r="L954" s="1">
        <f t="shared" si="75"/>
        <v>0.11</v>
      </c>
      <c r="M954" s="1" t="e">
        <f t="shared" si="76"/>
        <v>#N/A</v>
      </c>
      <c r="N954" s="2" t="str">
        <f t="shared" si="74"/>
        <v>Q OK dE&lt;=0.8</v>
      </c>
      <c r="O954">
        <v>16.09</v>
      </c>
      <c r="P954">
        <v>0.6</v>
      </c>
      <c r="Q954">
        <v>-1.7</v>
      </c>
      <c r="R954">
        <v>0.51</v>
      </c>
      <c r="S954">
        <v>0</v>
      </c>
      <c r="T954">
        <v>-0.11</v>
      </c>
      <c r="U954">
        <v>0.14000000000000001</v>
      </c>
      <c r="V954">
        <v>-0.05</v>
      </c>
      <c r="W954">
        <v>0.53</v>
      </c>
      <c r="X954" t="s">
        <v>8</v>
      </c>
      <c r="Y954" t="s">
        <v>15</v>
      </c>
      <c r="Z954" s="2" t="s">
        <v>718</v>
      </c>
      <c r="AA954" s="2" t="s">
        <v>721</v>
      </c>
    </row>
    <row r="955" spans="1:27" x14ac:dyDescent="0.35">
      <c r="A955" t="s">
        <v>1626</v>
      </c>
      <c r="B955" t="s">
        <v>1867</v>
      </c>
      <c r="C955" s="7" t="str">
        <f>_xlfn.XLOOKUP(B955,'[1]Sheet 1'!$A$2:$A$11107,'[1]Sheet 1'!$D$2:$D$11107,"",0)</f>
        <v>VSS</v>
      </c>
      <c r="D955" s="4" t="str">
        <f>_xlfn.XLOOKUP(A955,[3]Sheet2!$I$2:$I$1623,[3]Sheet2!$D$2:$D$1623,"",0)</f>
        <v>Q4</v>
      </c>
      <c r="F955" s="4" t="e">
        <f>_xlfn.XLOOKUP(B955,[2]Sheet2!$E$2:$E$713,[2]Sheet2!$G$2:$G$713)</f>
        <v>#N/A</v>
      </c>
      <c r="G955" s="22">
        <v>46162</v>
      </c>
      <c r="H955" s="23">
        <v>0.26681712962962961</v>
      </c>
      <c r="I955" t="s">
        <v>10</v>
      </c>
      <c r="J955" s="2" t="str">
        <f t="shared" si="72"/>
        <v>Q1</v>
      </c>
      <c r="K955" s="2" t="str">
        <f t="shared" si="73"/>
        <v>Not Match</v>
      </c>
      <c r="L955" s="1">
        <f t="shared" si="75"/>
        <v>0.10295630140987</v>
      </c>
      <c r="M955" s="1" t="e">
        <f t="shared" si="76"/>
        <v>#N/A</v>
      </c>
      <c r="N955" s="2" t="str">
        <f t="shared" si="74"/>
        <v>Q NOT OK dE&lt;=0.8</v>
      </c>
      <c r="O955">
        <v>16.14</v>
      </c>
      <c r="P955">
        <v>0.64</v>
      </c>
      <c r="Q955">
        <v>-1.5</v>
      </c>
      <c r="R955">
        <v>0.55000000000000004</v>
      </c>
      <c r="S955">
        <v>0.05</v>
      </c>
      <c r="T955">
        <v>0.09</v>
      </c>
      <c r="U955">
        <v>-0.09</v>
      </c>
      <c r="V955">
        <v>0.11</v>
      </c>
      <c r="W955">
        <v>0.56999999999999995</v>
      </c>
      <c r="X955" t="s">
        <v>8</v>
      </c>
      <c r="Y955" t="s">
        <v>9</v>
      </c>
      <c r="Z955" s="2" t="s">
        <v>718</v>
      </c>
      <c r="AA955" s="2" t="s">
        <v>721</v>
      </c>
    </row>
    <row r="956" spans="1:27" x14ac:dyDescent="0.35">
      <c r="A956" t="s">
        <v>1626</v>
      </c>
      <c r="B956" t="s">
        <v>2026</v>
      </c>
      <c r="C956" s="7" t="str">
        <f>_xlfn.XLOOKUP(B956,'[1]Sheet 1'!$A$2:$A$11107,'[1]Sheet 1'!$D$2:$D$11107,"",0)</f>
        <v>VSS</v>
      </c>
      <c r="D956" s="4" t="str">
        <f>_xlfn.XLOOKUP(A956,[3]Sheet2!$I$2:$I$1623,[3]Sheet2!$D$2:$D$1623,"",0)</f>
        <v>Q4</v>
      </c>
      <c r="F956" s="4" t="e">
        <f>_xlfn.XLOOKUP(B956,[2]Sheet2!$E$2:$E$713,[2]Sheet2!$G$2:$G$713)</f>
        <v>#N/A</v>
      </c>
      <c r="G956" s="22">
        <v>46162</v>
      </c>
      <c r="H956" s="23">
        <v>0.68567129629629631</v>
      </c>
      <c r="I956" t="s">
        <v>11</v>
      </c>
      <c r="J956" s="2" t="str">
        <f t="shared" si="72"/>
        <v>Q4</v>
      </c>
      <c r="K956" s="2" t="str">
        <f t="shared" si="73"/>
        <v>Match</v>
      </c>
      <c r="L956" s="1">
        <f t="shared" si="75"/>
        <v>0.05</v>
      </c>
      <c r="M956" s="1" t="e">
        <f t="shared" si="76"/>
        <v>#N/A</v>
      </c>
      <c r="N956" s="2" t="str">
        <f t="shared" si="74"/>
        <v>Q OK dE&lt;=0.8</v>
      </c>
      <c r="O956">
        <v>15.71</v>
      </c>
      <c r="P956">
        <v>-0.28999999999999998</v>
      </c>
      <c r="Q956">
        <v>-2.2400000000000002</v>
      </c>
      <c r="R956">
        <v>0.42</v>
      </c>
      <c r="S956">
        <v>0</v>
      </c>
      <c r="T956">
        <v>-0.05</v>
      </c>
      <c r="U956">
        <v>7.0000000000000007E-2</v>
      </c>
      <c r="V956">
        <v>0</v>
      </c>
      <c r="W956">
        <v>0.43</v>
      </c>
      <c r="X956" t="s">
        <v>8</v>
      </c>
      <c r="Y956" t="s">
        <v>15</v>
      </c>
      <c r="Z956" s="2" t="s">
        <v>718</v>
      </c>
      <c r="AA956" s="2" t="s">
        <v>721</v>
      </c>
    </row>
    <row r="957" spans="1:27" x14ac:dyDescent="0.35">
      <c r="A957" t="s">
        <v>1626</v>
      </c>
      <c r="B957" t="s">
        <v>2030</v>
      </c>
      <c r="C957" s="7" t="str">
        <f>_xlfn.XLOOKUP(B957,'[1]Sheet 1'!$A$2:$A$11107,'[1]Sheet 1'!$D$2:$D$11107,"",0)</f>
        <v>VSS</v>
      </c>
      <c r="D957" s="4" t="str">
        <f>_xlfn.XLOOKUP(A957,[3]Sheet2!$I$2:$I$1623,[3]Sheet2!$D$2:$D$1623,"",0)</f>
        <v>Q4</v>
      </c>
      <c r="F957" s="4" t="e">
        <f>_xlfn.XLOOKUP(B957,[2]Sheet2!$E$2:$E$713,[2]Sheet2!$G$2:$G$713)</f>
        <v>#N/A</v>
      </c>
      <c r="G957" s="22">
        <v>46162</v>
      </c>
      <c r="H957" s="23">
        <v>0.69956018518518515</v>
      </c>
      <c r="I957" t="s">
        <v>10</v>
      </c>
      <c r="J957" s="2" t="str">
        <f t="shared" si="72"/>
        <v>Q4</v>
      </c>
      <c r="K957" s="2" t="str">
        <f t="shared" si="73"/>
        <v>Match</v>
      </c>
      <c r="L957" s="1">
        <f t="shared" si="75"/>
        <v>0.11</v>
      </c>
      <c r="M957" s="1" t="e">
        <f t="shared" si="76"/>
        <v>#N/A</v>
      </c>
      <c r="N957" s="2" t="str">
        <f t="shared" si="74"/>
        <v>Q OK dE&lt;=0.8</v>
      </c>
      <c r="O957">
        <v>15.92</v>
      </c>
      <c r="P957">
        <v>0.6</v>
      </c>
      <c r="Q957">
        <v>-1.7</v>
      </c>
      <c r="R957">
        <v>0.34</v>
      </c>
      <c r="S957">
        <v>0</v>
      </c>
      <c r="T957">
        <v>-0.11</v>
      </c>
      <c r="U957">
        <v>0.14000000000000001</v>
      </c>
      <c r="V957">
        <v>-0.04</v>
      </c>
      <c r="W957">
        <v>0.37</v>
      </c>
      <c r="X957" t="s">
        <v>8</v>
      </c>
      <c r="Y957" t="s">
        <v>15</v>
      </c>
      <c r="Z957" s="2" t="s">
        <v>718</v>
      </c>
      <c r="AA957" s="2" t="s">
        <v>721</v>
      </c>
    </row>
    <row r="958" spans="1:27" x14ac:dyDescent="0.35">
      <c r="A958" t="s">
        <v>1626</v>
      </c>
      <c r="B958" t="s">
        <v>2022</v>
      </c>
      <c r="C958" s="7" t="str">
        <f>_xlfn.XLOOKUP(B958,'[1]Sheet 1'!$A$2:$A$11107,'[1]Sheet 1'!$D$2:$D$11107,"",0)</f>
        <v>VSS</v>
      </c>
      <c r="D958" s="4" t="str">
        <f>_xlfn.XLOOKUP(A958,[3]Sheet2!$I$2:$I$1623,[3]Sheet2!$D$2:$D$1623,"",0)</f>
        <v>Q4</v>
      </c>
      <c r="F958" s="4" t="e">
        <f>_xlfn.XLOOKUP(B958,[2]Sheet2!$E$2:$E$713,[2]Sheet2!$G$2:$G$713)</f>
        <v>#N/A</v>
      </c>
      <c r="G958" s="22">
        <v>46162</v>
      </c>
      <c r="H958" s="23">
        <v>0.5580208333333333</v>
      </c>
      <c r="I958" t="s">
        <v>10</v>
      </c>
      <c r="J958" s="2" t="str">
        <f t="shared" si="72"/>
        <v>Q4</v>
      </c>
      <c r="K958" s="2" t="str">
        <f t="shared" si="73"/>
        <v>Match</v>
      </c>
      <c r="L958" s="1">
        <f t="shared" si="75"/>
        <v>0.11045361017187261</v>
      </c>
      <c r="M958" s="1" t="e">
        <f t="shared" si="76"/>
        <v>#N/A</v>
      </c>
      <c r="N958" s="2" t="str">
        <f t="shared" si="74"/>
        <v>Q OK dE&lt;=0.8</v>
      </c>
      <c r="O958">
        <v>15.87</v>
      </c>
      <c r="P958">
        <v>0.61</v>
      </c>
      <c r="Q958">
        <v>-1.7</v>
      </c>
      <c r="R958">
        <v>0.28999999999999998</v>
      </c>
      <c r="S958">
        <v>0.01</v>
      </c>
      <c r="T958">
        <v>-0.11</v>
      </c>
      <c r="U958">
        <v>0.14000000000000001</v>
      </c>
      <c r="V958">
        <v>-0.04</v>
      </c>
      <c r="W958">
        <v>0.32</v>
      </c>
      <c r="X958" t="s">
        <v>8</v>
      </c>
      <c r="Y958" t="s">
        <v>15</v>
      </c>
      <c r="Z958" s="2" t="s">
        <v>718</v>
      </c>
      <c r="AA958" s="2" t="s">
        <v>721</v>
      </c>
    </row>
    <row r="959" spans="1:27" x14ac:dyDescent="0.35">
      <c r="A959" t="s">
        <v>2148</v>
      </c>
      <c r="B959" t="s">
        <v>1863</v>
      </c>
      <c r="C959" s="7" t="str">
        <f>_xlfn.XLOOKUP(B959,'[1]Sheet 1'!$A$2:$A$11107,'[1]Sheet 1'!$D$2:$D$11107,"",0)</f>
        <v>VSS</v>
      </c>
      <c r="D959" s="4" t="str">
        <f>_xlfn.XLOOKUP(A959,[3]Sheet2!$I$2:$I$1623,[3]Sheet2!$D$2:$D$1623,"",0)</f>
        <v>Q3</v>
      </c>
      <c r="F959" s="4" t="e">
        <f>_xlfn.XLOOKUP(B959,[2]Sheet2!$E$2:$E$713,[2]Sheet2!$G$2:$G$713)</f>
        <v>#N/A</v>
      </c>
      <c r="G959" s="22">
        <v>46162</v>
      </c>
      <c r="H959" s="23">
        <v>0.10870370370370371</v>
      </c>
      <c r="I959" t="s">
        <v>10</v>
      </c>
      <c r="J959" s="2" t="str">
        <f t="shared" si="72"/>
        <v>Q1</v>
      </c>
      <c r="K959" s="2" t="str">
        <f t="shared" si="73"/>
        <v>Not Match</v>
      </c>
      <c r="L959" s="1">
        <f t="shared" si="75"/>
        <v>0.58523499553598124</v>
      </c>
      <c r="M959" s="1" t="e">
        <f t="shared" si="76"/>
        <v>#N/A</v>
      </c>
      <c r="N959" s="2" t="str">
        <f t="shared" si="74"/>
        <v>Q NOT OK dE&lt;=0.8</v>
      </c>
      <c r="O959">
        <v>42.9</v>
      </c>
      <c r="P959">
        <v>54.46</v>
      </c>
      <c r="Q959">
        <v>37.869999999999997</v>
      </c>
      <c r="R959">
        <v>0.1</v>
      </c>
      <c r="S959">
        <v>0.56000000000000005</v>
      </c>
      <c r="T959">
        <v>0.17</v>
      </c>
      <c r="U959">
        <v>0.19</v>
      </c>
      <c r="V959">
        <v>-0.12</v>
      </c>
      <c r="W959">
        <v>0.25</v>
      </c>
      <c r="X959" t="s">
        <v>8</v>
      </c>
      <c r="Y959" t="s">
        <v>7</v>
      </c>
      <c r="Z959" s="2" t="s">
        <v>718</v>
      </c>
      <c r="AA959" s="2" t="s">
        <v>721</v>
      </c>
    </row>
    <row r="960" spans="1:27" x14ac:dyDescent="0.35">
      <c r="A960" t="s">
        <v>1540</v>
      </c>
      <c r="B960" t="s">
        <v>2021</v>
      </c>
      <c r="C960" s="7" t="str">
        <f>_xlfn.XLOOKUP(B960,'[1]Sheet 1'!$A$2:$A$11107,'[1]Sheet 1'!$D$2:$D$11107,"",0)</f>
        <v>VSS</v>
      </c>
      <c r="D960" s="4" t="str">
        <f>_xlfn.XLOOKUP(A960,[3]Sheet2!$I$2:$I$1623,[3]Sheet2!$D$2:$D$1623,"",0)</f>
        <v>Q3</v>
      </c>
      <c r="F960" s="4" t="e">
        <f>_xlfn.XLOOKUP(B960,[2]Sheet2!$E$2:$E$713,[2]Sheet2!$G$2:$G$713)</f>
        <v>#N/A</v>
      </c>
      <c r="G960" s="22">
        <v>46162</v>
      </c>
      <c r="H960" s="23">
        <v>0.55532407407407403</v>
      </c>
      <c r="I960" t="s">
        <v>10</v>
      </c>
      <c r="J960" s="2" t="str">
        <f t="shared" si="72"/>
        <v>Q1</v>
      </c>
      <c r="K960" s="2" t="str">
        <f t="shared" si="73"/>
        <v>Not Match</v>
      </c>
      <c r="L960" s="1">
        <f t="shared" si="75"/>
        <v>0.18601075237738274</v>
      </c>
      <c r="M960" s="1" t="e">
        <f t="shared" si="76"/>
        <v>#N/A</v>
      </c>
      <c r="N960" s="2" t="str">
        <f t="shared" si="74"/>
        <v>Q NOT OK dE&lt;=0.8</v>
      </c>
      <c r="O960">
        <v>14.74</v>
      </c>
      <c r="P960">
        <v>0.61</v>
      </c>
      <c r="Q960">
        <v>-1.1000000000000001</v>
      </c>
      <c r="R960">
        <v>0.2</v>
      </c>
      <c r="S960">
        <v>0.11</v>
      </c>
      <c r="T960">
        <v>0.15</v>
      </c>
      <c r="U960">
        <v>-0.12</v>
      </c>
      <c r="V960">
        <v>0.23</v>
      </c>
      <c r="W960">
        <v>0.33</v>
      </c>
      <c r="X960" t="s">
        <v>8</v>
      </c>
      <c r="Y960" t="s">
        <v>9</v>
      </c>
      <c r="Z960" s="2" t="s">
        <v>718</v>
      </c>
      <c r="AA960" s="2" t="s">
        <v>721</v>
      </c>
    </row>
    <row r="961" spans="1:27" x14ac:dyDescent="0.35">
      <c r="A961" t="s">
        <v>2148</v>
      </c>
      <c r="B961" t="s">
        <v>2027</v>
      </c>
      <c r="C961" s="7" t="str">
        <f>_xlfn.XLOOKUP(B961,'[1]Sheet 1'!$A$2:$A$11107,'[1]Sheet 1'!$D$2:$D$11107,"",0)</f>
        <v>VSS</v>
      </c>
      <c r="D961" s="4" t="str">
        <f>_xlfn.XLOOKUP(A961,[3]Sheet2!$I$2:$I$1623,[3]Sheet2!$D$2:$D$1623,"",0)</f>
        <v>Q3</v>
      </c>
      <c r="F961" s="4" t="e">
        <f>_xlfn.XLOOKUP(B961,[2]Sheet2!$E$2:$E$713,[2]Sheet2!$G$2:$G$713)</f>
        <v>#N/A</v>
      </c>
      <c r="G961" s="22">
        <v>46162</v>
      </c>
      <c r="H961" s="23">
        <v>0.68763888888888891</v>
      </c>
      <c r="I961" t="s">
        <v>11</v>
      </c>
      <c r="J961" s="2" t="str">
        <f t="shared" ref="J961:J1022" si="77">IF(OR(S961=0,T961=0),D961,IF(AND(S961&gt;0,T961&gt;0),"Q1",IF(AND(S961&lt;0,T961&gt;0),"Q2",IF(AND(S961&lt;0,T961&lt;0),"Q3",IF(AND(S961&gt;0,T961&lt;0),"Q4","")))))</f>
        <v>Q1</v>
      </c>
      <c r="K961" s="2" t="str">
        <f t="shared" ref="K961:K1022" si="78">IF(J961=D961,"Match",IF(AND(J961=0,D961="Match"),"da and db 0",IF(D961=0,"Not Found","Not Match")))</f>
        <v>Not Match</v>
      </c>
      <c r="L961" s="1">
        <f t="shared" si="75"/>
        <v>2.9426688566673622</v>
      </c>
      <c r="M961" s="1" t="e">
        <f t="shared" si="76"/>
        <v>#N/A</v>
      </c>
      <c r="N961" s="2" t="str">
        <f t="shared" ref="N961:N1022" si="79">IF(D961=0,"Quadrant not assigned",IF(AND(K961="Match",W961&lt;=0.8),"Q OK dE&lt;=0.8",IF(AND(K961="Match",W961&gt;0.8),"Q OK dE&gt;0.8",IF(AND(K961="Not Match",W961&lt;=0.8),"Q NOT OK dE&lt;=0.8","Q NOT OK dE&gt;0.8"))))</f>
        <v>Q NOT OK dE&gt;0.8</v>
      </c>
      <c r="O961">
        <v>35.159999999999997</v>
      </c>
      <c r="P961">
        <v>41.5</v>
      </c>
      <c r="Q961">
        <v>23.04</v>
      </c>
      <c r="R961">
        <v>0.92</v>
      </c>
      <c r="S961">
        <v>1.92</v>
      </c>
      <c r="T961">
        <v>2.23</v>
      </c>
      <c r="U961">
        <v>1.1299999999999999</v>
      </c>
      <c r="V961">
        <v>0.79</v>
      </c>
      <c r="W961">
        <v>1.66</v>
      </c>
      <c r="X961" t="s">
        <v>6</v>
      </c>
      <c r="Y961" t="s">
        <v>12</v>
      </c>
      <c r="Z961" s="2" t="s">
        <v>718</v>
      </c>
      <c r="AA961" s="2" t="s">
        <v>721</v>
      </c>
    </row>
    <row r="962" spans="1:27" x14ac:dyDescent="0.35">
      <c r="A962" t="s">
        <v>1626</v>
      </c>
      <c r="B962" t="s">
        <v>2024</v>
      </c>
      <c r="C962" s="7" t="str">
        <f>_xlfn.XLOOKUP(B962,'[1]Sheet 1'!$A$2:$A$11107,'[1]Sheet 1'!$D$2:$D$11107,"",0)</f>
        <v>VSS</v>
      </c>
      <c r="D962" s="4" t="str">
        <f>_xlfn.XLOOKUP(A962,[3]Sheet2!$I$2:$I$1623,[3]Sheet2!$D$2:$D$1623,"",0)</f>
        <v>Q4</v>
      </c>
      <c r="F962" s="4" t="e">
        <f>_xlfn.XLOOKUP(B962,[2]Sheet2!$E$2:$E$713,[2]Sheet2!$G$2:$G$713)</f>
        <v>#N/A</v>
      </c>
      <c r="G962" s="22">
        <v>46162</v>
      </c>
      <c r="H962" s="23">
        <v>0.68193287037037043</v>
      </c>
      <c r="I962" t="s">
        <v>11</v>
      </c>
      <c r="J962" s="2" t="str">
        <f t="shared" si="77"/>
        <v>Q4</v>
      </c>
      <c r="K962" s="2" t="str">
        <f t="shared" si="78"/>
        <v>Match</v>
      </c>
      <c r="L962" s="1">
        <f t="shared" si="75"/>
        <v>0</v>
      </c>
      <c r="M962" s="1" t="e">
        <f t="shared" si="76"/>
        <v>#N/A</v>
      </c>
      <c r="N962" s="2" t="str">
        <f t="shared" si="79"/>
        <v>Q OK dE&lt;=0.8</v>
      </c>
      <c r="O962">
        <v>15.42</v>
      </c>
      <c r="P962">
        <v>-0.28000000000000003</v>
      </c>
      <c r="Q962">
        <v>-2.1800000000000002</v>
      </c>
      <c r="R962">
        <v>0.13</v>
      </c>
      <c r="S962">
        <v>0</v>
      </c>
      <c r="T962">
        <v>0</v>
      </c>
      <c r="U962">
        <v>0</v>
      </c>
      <c r="V962">
        <v>0</v>
      </c>
      <c r="W962">
        <v>0.13</v>
      </c>
      <c r="X962" t="s">
        <v>8</v>
      </c>
      <c r="Y962" t="s">
        <v>9</v>
      </c>
      <c r="Z962" s="2" t="s">
        <v>718</v>
      </c>
      <c r="AA962" s="2" t="s">
        <v>721</v>
      </c>
    </row>
    <row r="963" spans="1:27" x14ac:dyDescent="0.35">
      <c r="A963" t="s">
        <v>1629</v>
      </c>
      <c r="B963" t="s">
        <v>1871</v>
      </c>
      <c r="C963" s="7" t="str">
        <f>_xlfn.XLOOKUP(B963,'[1]Sheet 1'!$A$2:$A$11107,'[1]Sheet 1'!$D$2:$D$11107,"",0)</f>
        <v>LULU</v>
      </c>
      <c r="D963" s="4">
        <v>0</v>
      </c>
      <c r="F963" s="4" t="e">
        <f>_xlfn.XLOOKUP(B963,[2]Sheet2!$E$2:$E$713,[2]Sheet2!$G$2:$G$713)</f>
        <v>#N/A</v>
      </c>
      <c r="G963" s="22">
        <v>46163</v>
      </c>
      <c r="H963" s="23">
        <v>0.69024305555555554</v>
      </c>
      <c r="I963" t="s">
        <v>14</v>
      </c>
      <c r="J963" s="2" t="str">
        <f t="shared" si="77"/>
        <v>Q4</v>
      </c>
      <c r="K963" s="2" t="str">
        <f t="shared" si="78"/>
        <v>Not Found</v>
      </c>
      <c r="L963" s="1">
        <f t="shared" si="75"/>
        <v>8.4852813742385708E-2</v>
      </c>
      <c r="M963" s="1" t="e">
        <f t="shared" si="76"/>
        <v>#N/A</v>
      </c>
      <c r="N963" s="2" t="str">
        <f t="shared" si="79"/>
        <v>Quadrant not assigned</v>
      </c>
      <c r="O963">
        <v>16.53</v>
      </c>
      <c r="P963">
        <v>-0.5</v>
      </c>
      <c r="Q963">
        <v>-2.96</v>
      </c>
      <c r="R963">
        <v>-0.84</v>
      </c>
      <c r="S963">
        <v>0.06</v>
      </c>
      <c r="T963">
        <v>-0.06</v>
      </c>
      <c r="U963">
        <v>0.06</v>
      </c>
      <c r="V963">
        <v>0.09</v>
      </c>
      <c r="W963">
        <v>0.85</v>
      </c>
      <c r="X963" t="s">
        <v>13</v>
      </c>
      <c r="Y963" t="s">
        <v>9</v>
      </c>
      <c r="Z963" s="2" t="s">
        <v>718</v>
      </c>
      <c r="AA963" s="2" t="s">
        <v>721</v>
      </c>
    </row>
    <row r="964" spans="1:27" x14ac:dyDescent="0.35">
      <c r="A964" t="s">
        <v>1509</v>
      </c>
      <c r="B964" t="s">
        <v>2031</v>
      </c>
      <c r="C964" s="7" t="str">
        <f>_xlfn.XLOOKUP(B964,'[1]Sheet 1'!$A$2:$A$11107,'[1]Sheet 1'!$D$2:$D$11107,"",0)</f>
        <v>LBI</v>
      </c>
      <c r="D964" s="4" t="str">
        <f>_xlfn.XLOOKUP(A964,[3]Sheet2!$I$2:$I$1623,[3]Sheet2!$D$2:$D$1623,"",0)</f>
        <v>Q2</v>
      </c>
      <c r="F964" s="4" t="e">
        <f>_xlfn.XLOOKUP(B964,[2]Sheet2!$E$2:$E$713,[2]Sheet2!$G$2:$G$713)</f>
        <v>#N/A</v>
      </c>
      <c r="G964" s="22">
        <v>46163</v>
      </c>
      <c r="H964" s="23">
        <v>0.73034722222222226</v>
      </c>
      <c r="I964" t="s">
        <v>14</v>
      </c>
      <c r="J964" s="2" t="str">
        <f t="shared" si="77"/>
        <v>Q1</v>
      </c>
      <c r="K964" s="2" t="str">
        <f t="shared" si="78"/>
        <v>Not Match</v>
      </c>
      <c r="L964" s="1">
        <f t="shared" si="75"/>
        <v>0.18027756377319948</v>
      </c>
      <c r="M964" s="1" t="e">
        <f t="shared" si="76"/>
        <v>#N/A</v>
      </c>
      <c r="N964" s="2" t="str">
        <f t="shared" si="79"/>
        <v>Q NOT OK dE&lt;=0.8</v>
      </c>
      <c r="O964">
        <v>15.86</v>
      </c>
      <c r="P964">
        <v>-0.73</v>
      </c>
      <c r="Q964">
        <v>-3.06</v>
      </c>
      <c r="R964">
        <v>-0.53</v>
      </c>
      <c r="S964">
        <v>0.15</v>
      </c>
      <c r="T964">
        <v>0.1</v>
      </c>
      <c r="U964">
        <v>-0.16</v>
      </c>
      <c r="V964">
        <v>0.16</v>
      </c>
      <c r="W964">
        <v>0.57999999999999996</v>
      </c>
      <c r="X964" t="s">
        <v>8</v>
      </c>
      <c r="Y964" t="s">
        <v>9</v>
      </c>
      <c r="Z964" s="2" t="s">
        <v>718</v>
      </c>
      <c r="AA964" s="2" t="s">
        <v>721</v>
      </c>
    </row>
    <row r="965" spans="1:27" x14ac:dyDescent="0.35">
      <c r="A965" t="s">
        <v>2153</v>
      </c>
      <c r="B965" t="s">
        <v>2032</v>
      </c>
      <c r="C965" s="7" t="str">
        <f>_xlfn.XLOOKUP(B965,'[1]Sheet 1'!$A$2:$A$11107,'[1]Sheet 1'!$D$2:$D$11107,"",0)</f>
        <v>LBI</v>
      </c>
      <c r="D965" s="4" t="str">
        <f>_xlfn.XLOOKUP(A965,[3]Sheet2!$I$2:$I$1623,[3]Sheet2!$D$2:$D$1623,"",0)</f>
        <v>Q3</v>
      </c>
      <c r="F965" s="4" t="e">
        <f>_xlfn.XLOOKUP(B965,[2]Sheet2!$E$2:$E$713,[2]Sheet2!$G$2:$G$713)</f>
        <v>#N/A</v>
      </c>
      <c r="G965" s="22">
        <v>46163</v>
      </c>
      <c r="H965" s="23">
        <v>0.73819444444444449</v>
      </c>
      <c r="I965" t="s">
        <v>14</v>
      </c>
      <c r="J965" s="2" t="str">
        <f t="shared" si="77"/>
        <v>Q3</v>
      </c>
      <c r="K965" s="2" t="str">
        <f t="shared" si="78"/>
        <v>Match</v>
      </c>
      <c r="L965" s="1">
        <f t="shared" si="75"/>
        <v>0.87618491199061399</v>
      </c>
      <c r="M965" s="1" t="e">
        <f t="shared" si="76"/>
        <v>#N/A</v>
      </c>
      <c r="N965" s="2" t="str">
        <f t="shared" si="79"/>
        <v>Q OK dE&lt;=0.8</v>
      </c>
      <c r="O965">
        <v>42.23</v>
      </c>
      <c r="P965">
        <v>45.51</v>
      </c>
      <c r="Q965">
        <v>29.57</v>
      </c>
      <c r="R965">
        <v>-0.18</v>
      </c>
      <c r="S965">
        <v>-0.54</v>
      </c>
      <c r="T965">
        <v>-0.69</v>
      </c>
      <c r="U965">
        <v>-0.31</v>
      </c>
      <c r="V965">
        <v>-0.21</v>
      </c>
      <c r="W965">
        <v>0.41</v>
      </c>
      <c r="X965" t="s">
        <v>8</v>
      </c>
      <c r="Y965" t="s">
        <v>7</v>
      </c>
      <c r="Z965" s="2" t="s">
        <v>718</v>
      </c>
      <c r="AA965" s="2" t="s">
        <v>721</v>
      </c>
    </row>
    <row r="966" spans="1:27" x14ac:dyDescent="0.35">
      <c r="A966" t="s">
        <v>1668</v>
      </c>
      <c r="B966" t="s">
        <v>1875</v>
      </c>
      <c r="C966" s="7" t="str">
        <f>_xlfn.XLOOKUP(B966,'[1]Sheet 1'!$A$2:$A$11107,'[1]Sheet 1'!$D$2:$D$11107,"",0)</f>
        <v>VSS</v>
      </c>
      <c r="D966" s="4" t="str">
        <f>_xlfn.XLOOKUP(A966,[3]Sheet2!$I$2:$I$1623,[3]Sheet2!$D$2:$D$1623,"",0)</f>
        <v>Q4</v>
      </c>
      <c r="F966" s="4" t="e">
        <f>_xlfn.XLOOKUP(B966,[2]Sheet2!$E$2:$E$713,[2]Sheet2!$G$2:$G$713)</f>
        <v>#N/A</v>
      </c>
      <c r="G966" s="22">
        <v>46163</v>
      </c>
      <c r="H966" s="23">
        <v>0.70530092592592597</v>
      </c>
      <c r="I966" t="s">
        <v>10</v>
      </c>
      <c r="J966" s="2" t="str">
        <f t="shared" si="77"/>
        <v>Q4</v>
      </c>
      <c r="K966" s="2" t="str">
        <f t="shared" si="78"/>
        <v>Match</v>
      </c>
      <c r="L966" s="1">
        <f t="shared" si="75"/>
        <v>0.33301651610693422</v>
      </c>
      <c r="M966" s="1" t="e">
        <f t="shared" si="76"/>
        <v>#N/A</v>
      </c>
      <c r="N966" s="2" t="str">
        <f t="shared" si="79"/>
        <v>Q OK dE&lt;=0.8</v>
      </c>
      <c r="O966">
        <v>52.71</v>
      </c>
      <c r="P966">
        <v>48.16</v>
      </c>
      <c r="Q966">
        <v>-2.38</v>
      </c>
      <c r="R966">
        <v>0.46</v>
      </c>
      <c r="S966">
        <v>0.22</v>
      </c>
      <c r="T966">
        <v>-0.25</v>
      </c>
      <c r="U966">
        <v>0.09</v>
      </c>
      <c r="V966">
        <v>-0.14000000000000001</v>
      </c>
      <c r="W966">
        <v>0.49</v>
      </c>
      <c r="X966" t="s">
        <v>8</v>
      </c>
      <c r="Y966" t="s">
        <v>7</v>
      </c>
      <c r="Z966" s="2" t="s">
        <v>718</v>
      </c>
      <c r="AA966" s="2" t="s">
        <v>721</v>
      </c>
    </row>
    <row r="967" spans="1:27" x14ac:dyDescent="0.35">
      <c r="A967" t="s">
        <v>1626</v>
      </c>
      <c r="B967" t="s">
        <v>1873</v>
      </c>
      <c r="C967" s="7" t="str">
        <f>_xlfn.XLOOKUP(B967,'[1]Sheet 1'!$A$2:$A$11107,'[1]Sheet 1'!$D$2:$D$11107,"",0)</f>
        <v>VSS</v>
      </c>
      <c r="D967" s="4" t="str">
        <f>_xlfn.XLOOKUP(A967,[3]Sheet2!$I$2:$I$1623,[3]Sheet2!$D$2:$D$1623,"",0)</f>
        <v>Q4</v>
      </c>
      <c r="F967" s="4" t="e">
        <f>_xlfn.XLOOKUP(B967,[2]Sheet2!$E$2:$E$713,[2]Sheet2!$G$2:$G$713)</f>
        <v>#N/A</v>
      </c>
      <c r="G967" s="22">
        <v>46163</v>
      </c>
      <c r="H967" s="23">
        <v>0.69648148148148148</v>
      </c>
      <c r="I967" t="s">
        <v>10</v>
      </c>
      <c r="J967" s="2" t="str">
        <f t="shared" si="77"/>
        <v>Q2</v>
      </c>
      <c r="K967" s="2" t="str">
        <f t="shared" si="78"/>
        <v>Not Match</v>
      </c>
      <c r="L967" s="1">
        <f t="shared" si="75"/>
        <v>2.8284271247461901E-2</v>
      </c>
      <c r="M967" s="1" t="e">
        <f t="shared" si="76"/>
        <v>#N/A</v>
      </c>
      <c r="N967" s="2" t="str">
        <f t="shared" si="79"/>
        <v>Q NOT OK dE&lt;=0.8</v>
      </c>
      <c r="O967">
        <v>16.14</v>
      </c>
      <c r="P967">
        <v>0.56999999999999995</v>
      </c>
      <c r="Q967">
        <v>-1.57</v>
      </c>
      <c r="R967">
        <v>0.55000000000000004</v>
      </c>
      <c r="S967">
        <v>-0.02</v>
      </c>
      <c r="T967">
        <v>0.02</v>
      </c>
      <c r="U967">
        <v>-0.04</v>
      </c>
      <c r="V967">
        <v>-0.02</v>
      </c>
      <c r="W967">
        <v>0.55000000000000004</v>
      </c>
      <c r="X967" t="s">
        <v>8</v>
      </c>
      <c r="Y967" t="s">
        <v>15</v>
      </c>
      <c r="Z967" s="2" t="s">
        <v>718</v>
      </c>
      <c r="AA967" s="2" t="s">
        <v>721</v>
      </c>
    </row>
    <row r="968" spans="1:27" x14ac:dyDescent="0.35">
      <c r="A968" t="s">
        <v>1626</v>
      </c>
      <c r="B968" t="s">
        <v>1872</v>
      </c>
      <c r="C968" s="7" t="str">
        <f>_xlfn.XLOOKUP(B968,'[1]Sheet 1'!$A$2:$A$11107,'[1]Sheet 1'!$D$2:$D$11107,"",0)</f>
        <v>VSS</v>
      </c>
      <c r="D968" s="4" t="str">
        <f>_xlfn.XLOOKUP(A968,[3]Sheet2!$I$2:$I$1623,[3]Sheet2!$D$2:$D$1623,"",0)</f>
        <v>Q4</v>
      </c>
      <c r="F968" s="4" t="e">
        <f>_xlfn.XLOOKUP(B968,[2]Sheet2!$E$2:$E$713,[2]Sheet2!$G$2:$G$713)</f>
        <v>#N/A</v>
      </c>
      <c r="G968" s="22">
        <v>46163</v>
      </c>
      <c r="H968" s="23">
        <v>0.69466435185185182</v>
      </c>
      <c r="I968" t="s">
        <v>10</v>
      </c>
      <c r="J968" s="2" t="str">
        <f t="shared" si="77"/>
        <v>Q2</v>
      </c>
      <c r="K968" s="2" t="str">
        <f t="shared" si="78"/>
        <v>Not Match</v>
      </c>
      <c r="L968" s="1">
        <f t="shared" si="75"/>
        <v>0.05</v>
      </c>
      <c r="M968" s="1" t="e">
        <f t="shared" si="76"/>
        <v>#N/A</v>
      </c>
      <c r="N968" s="2" t="str">
        <f t="shared" si="79"/>
        <v>Q NOT OK dE&lt;=0.8</v>
      </c>
      <c r="O968">
        <v>15.88</v>
      </c>
      <c r="P968">
        <v>0.55000000000000004</v>
      </c>
      <c r="Q968">
        <v>-1.56</v>
      </c>
      <c r="R968">
        <v>0.28999999999999998</v>
      </c>
      <c r="S968">
        <v>-0.04</v>
      </c>
      <c r="T968">
        <v>0.03</v>
      </c>
      <c r="U968">
        <v>-0.06</v>
      </c>
      <c r="V968">
        <v>-0.04</v>
      </c>
      <c r="W968">
        <v>0.3</v>
      </c>
      <c r="X968" t="s">
        <v>8</v>
      </c>
      <c r="Y968" t="s">
        <v>15</v>
      </c>
      <c r="Z968" s="2" t="s">
        <v>718</v>
      </c>
      <c r="AA968" s="2" t="s">
        <v>721</v>
      </c>
    </row>
    <row r="969" spans="1:27" x14ac:dyDescent="0.35">
      <c r="A969" t="s">
        <v>1540</v>
      </c>
      <c r="B969" t="s">
        <v>1874</v>
      </c>
      <c r="C969" s="7" t="str">
        <f>_xlfn.XLOOKUP(B969,'[1]Sheet 1'!$A$2:$A$11107,'[1]Sheet 1'!$D$2:$D$11107,"",0)</f>
        <v>VSS</v>
      </c>
      <c r="D969" s="4" t="str">
        <f>_xlfn.XLOOKUP(A969,[3]Sheet2!$I$2:$I$1623,[3]Sheet2!$D$2:$D$1623,"",0)</f>
        <v>Q3</v>
      </c>
      <c r="F969" s="4" t="e">
        <f>_xlfn.XLOOKUP(B969,[2]Sheet2!$E$2:$E$713,[2]Sheet2!$G$2:$G$713)</f>
        <v>#N/A</v>
      </c>
      <c r="G969" s="22">
        <v>46163</v>
      </c>
      <c r="H969" s="23">
        <v>0.7026041666666667</v>
      </c>
      <c r="I969" t="s">
        <v>10</v>
      </c>
      <c r="J969" s="2" t="str">
        <f t="shared" si="77"/>
        <v>Q2</v>
      </c>
      <c r="K969" s="2" t="str">
        <f t="shared" si="78"/>
        <v>Not Match</v>
      </c>
      <c r="L969" s="1">
        <f t="shared" si="75"/>
        <v>0.05</v>
      </c>
      <c r="M969" s="1" t="e">
        <f t="shared" si="76"/>
        <v>#N/A</v>
      </c>
      <c r="N969" s="2" t="str">
        <f t="shared" si="79"/>
        <v>Q NOT OK dE&lt;=0.8</v>
      </c>
      <c r="O969">
        <v>14.47</v>
      </c>
      <c r="P969">
        <v>0.46</v>
      </c>
      <c r="Q969">
        <v>-1.22</v>
      </c>
      <c r="R969">
        <v>-7.0000000000000007E-2</v>
      </c>
      <c r="S969">
        <v>-0.04</v>
      </c>
      <c r="T969">
        <v>0.03</v>
      </c>
      <c r="U969">
        <v>-0.06</v>
      </c>
      <c r="V969">
        <v>-0.03</v>
      </c>
      <c r="W969">
        <v>0.09</v>
      </c>
      <c r="X969" t="s">
        <v>8</v>
      </c>
      <c r="Y969" t="s">
        <v>15</v>
      </c>
      <c r="Z969" s="2" t="s">
        <v>718</v>
      </c>
      <c r="AA969" s="2" t="s">
        <v>721</v>
      </c>
    </row>
    <row r="970" spans="1:27" x14ac:dyDescent="0.35">
      <c r="A970" t="s">
        <v>2148</v>
      </c>
      <c r="B970" t="s">
        <v>2033</v>
      </c>
      <c r="C970" s="7" t="str">
        <f>_xlfn.XLOOKUP(B970,'[1]Sheet 1'!$A$2:$A$11107,'[1]Sheet 1'!$D$2:$D$11107,"",0)</f>
        <v>VSS</v>
      </c>
      <c r="D970" s="4" t="str">
        <f>_xlfn.XLOOKUP(A970,[3]Sheet2!$I$2:$I$1623,[3]Sheet2!$D$2:$D$1623,"",0)</f>
        <v>Q3</v>
      </c>
      <c r="F970" s="4" t="e">
        <f>_xlfn.XLOOKUP(B970,[2]Sheet2!$E$2:$E$713,[2]Sheet2!$G$2:$G$713)</f>
        <v>#N/A</v>
      </c>
      <c r="G970" s="22">
        <v>46163</v>
      </c>
      <c r="H970" s="23">
        <v>0.76624999999999999</v>
      </c>
      <c r="I970" t="s">
        <v>10</v>
      </c>
      <c r="J970" s="2" t="str">
        <f t="shared" si="77"/>
        <v>Q1</v>
      </c>
      <c r="K970" s="2" t="str">
        <f t="shared" si="78"/>
        <v>Not Match</v>
      </c>
      <c r="L970" s="1">
        <f t="shared" si="75"/>
        <v>2.9158360722098213</v>
      </c>
      <c r="M970" s="1" t="e">
        <f t="shared" si="76"/>
        <v>#N/A</v>
      </c>
      <c r="N970" s="2" t="str">
        <f t="shared" si="79"/>
        <v>Q NOT OK dE&gt;0.8</v>
      </c>
      <c r="O970">
        <v>44.77</v>
      </c>
      <c r="P970">
        <v>55.21</v>
      </c>
      <c r="Q970">
        <v>40.31</v>
      </c>
      <c r="R970">
        <v>1.03</v>
      </c>
      <c r="S970">
        <v>1.3</v>
      </c>
      <c r="T970">
        <v>2.61</v>
      </c>
      <c r="U970">
        <v>0.89</v>
      </c>
      <c r="V970">
        <v>0.95</v>
      </c>
      <c r="W970">
        <v>1.66</v>
      </c>
      <c r="X970" t="s">
        <v>6</v>
      </c>
      <c r="Y970" t="s">
        <v>12</v>
      </c>
      <c r="Z970" s="2" t="s">
        <v>718</v>
      </c>
      <c r="AA970" s="2" t="s">
        <v>721</v>
      </c>
    </row>
    <row r="971" spans="1:27" x14ac:dyDescent="0.35">
      <c r="A971" t="s">
        <v>1626</v>
      </c>
      <c r="B971" t="s">
        <v>2035</v>
      </c>
      <c r="C971" s="7" t="str">
        <f>_xlfn.XLOOKUP(B971,'[1]Sheet 1'!$A$2:$A$11107,'[1]Sheet 1'!$D$2:$D$11107,"",0)</f>
        <v>VSS</v>
      </c>
      <c r="D971" s="4" t="str">
        <f>_xlfn.XLOOKUP(A971,[3]Sheet2!$I$2:$I$1623,[3]Sheet2!$D$2:$D$1623,"",0)</f>
        <v>Q4</v>
      </c>
      <c r="F971" s="4" t="e">
        <f>_xlfn.XLOOKUP(B971,[2]Sheet2!$E$2:$E$713,[2]Sheet2!$G$2:$G$713)</f>
        <v>#N/A</v>
      </c>
      <c r="G971" s="22">
        <v>46163</v>
      </c>
      <c r="H971" s="23">
        <v>0.77628472222222222</v>
      </c>
      <c r="I971" t="s">
        <v>10</v>
      </c>
      <c r="J971" s="2" t="str">
        <f t="shared" si="77"/>
        <v>Q2</v>
      </c>
      <c r="K971" s="2" t="str">
        <f t="shared" si="78"/>
        <v>Not Match</v>
      </c>
      <c r="L971" s="1">
        <f t="shared" si="75"/>
        <v>2.2360679774997897E-2</v>
      </c>
      <c r="M971" s="1" t="e">
        <f t="shared" si="76"/>
        <v>#N/A</v>
      </c>
      <c r="N971" s="2" t="str">
        <f t="shared" si="79"/>
        <v>Q NOT OK dE&gt;0.8</v>
      </c>
      <c r="O971">
        <v>16.95</v>
      </c>
      <c r="P971">
        <v>0.59</v>
      </c>
      <c r="Q971">
        <v>-1.57</v>
      </c>
      <c r="R971">
        <v>1.35</v>
      </c>
      <c r="S971">
        <v>-0.01</v>
      </c>
      <c r="T971">
        <v>0.02</v>
      </c>
      <c r="U971">
        <v>-0.03</v>
      </c>
      <c r="V971">
        <v>0</v>
      </c>
      <c r="W971">
        <v>1.35</v>
      </c>
      <c r="X971" t="s">
        <v>6</v>
      </c>
      <c r="Y971" t="s">
        <v>9</v>
      </c>
      <c r="Z971" s="2" t="s">
        <v>718</v>
      </c>
      <c r="AA971" s="2" t="s">
        <v>721</v>
      </c>
    </row>
    <row r="972" spans="1:27" x14ac:dyDescent="0.35">
      <c r="A972" t="s">
        <v>1626</v>
      </c>
      <c r="B972" t="s">
        <v>2034</v>
      </c>
      <c r="C972" s="7" t="str">
        <f>_xlfn.XLOOKUP(B972,'[1]Sheet 1'!$A$2:$A$11107,'[1]Sheet 1'!$D$2:$D$11107,"",0)</f>
        <v>VSS</v>
      </c>
      <c r="D972" s="4" t="str">
        <f>_xlfn.XLOOKUP(A972,[3]Sheet2!$I$2:$I$1623,[3]Sheet2!$D$2:$D$1623,"",0)</f>
        <v>Q4</v>
      </c>
      <c r="F972" s="4" t="e">
        <f>_xlfn.XLOOKUP(B972,[2]Sheet2!$E$2:$E$713,[2]Sheet2!$G$2:$G$713)</f>
        <v>#N/A</v>
      </c>
      <c r="G972" s="22">
        <v>46163</v>
      </c>
      <c r="H972" s="23">
        <v>0.77342592592592596</v>
      </c>
      <c r="I972" t="s">
        <v>10</v>
      </c>
      <c r="J972" s="2" t="str">
        <f t="shared" si="77"/>
        <v>Q1</v>
      </c>
      <c r="K972" s="2" t="str">
        <f t="shared" si="78"/>
        <v>Not Match</v>
      </c>
      <c r="L972" s="1">
        <f t="shared" si="75"/>
        <v>0.61846584384264902</v>
      </c>
      <c r="M972" s="1" t="e">
        <f t="shared" si="76"/>
        <v>#N/A</v>
      </c>
      <c r="N972" s="2" t="str">
        <f t="shared" si="79"/>
        <v>Q NOT OK dE&gt;0.8</v>
      </c>
      <c r="O972">
        <v>16.79</v>
      </c>
      <c r="P972">
        <v>0.83</v>
      </c>
      <c r="Q972">
        <v>-1.02</v>
      </c>
      <c r="R972">
        <v>1.19</v>
      </c>
      <c r="S972">
        <v>0.24</v>
      </c>
      <c r="T972">
        <v>0.56999999999999995</v>
      </c>
      <c r="U972">
        <v>-0.51</v>
      </c>
      <c r="V972">
        <v>0.67</v>
      </c>
      <c r="W972">
        <v>1.46</v>
      </c>
      <c r="X972" t="s">
        <v>6</v>
      </c>
      <c r="Y972" t="s">
        <v>9</v>
      </c>
      <c r="Z972" s="2" t="s">
        <v>718</v>
      </c>
      <c r="AA972" s="2" t="s">
        <v>721</v>
      </c>
    </row>
    <row r="973" spans="1:27" x14ac:dyDescent="0.35">
      <c r="A973" t="s">
        <v>1799</v>
      </c>
      <c r="B973" t="s">
        <v>1869</v>
      </c>
      <c r="C973" s="7" t="str">
        <f>_xlfn.XLOOKUP(B973,'[1]Sheet 1'!$A$2:$A$11107,'[1]Sheet 1'!$D$2:$D$11107,"",0)</f>
        <v>WACE</v>
      </c>
      <c r="D973" s="4" t="str">
        <f>_xlfn.XLOOKUP(A973,[3]Sheet2!$I$2:$I$1623,[3]Sheet2!$D$2:$D$1623,"",0)</f>
        <v>Q4</v>
      </c>
      <c r="F973" s="4" t="e">
        <f>_xlfn.XLOOKUP(B973,[2]Sheet2!$E$2:$E$713,[2]Sheet2!$G$2:$G$713)</f>
        <v>#N/A</v>
      </c>
      <c r="G973" s="22">
        <v>46163</v>
      </c>
      <c r="H973" s="23">
        <v>0.4362152777777778</v>
      </c>
      <c r="I973" t="s">
        <v>4</v>
      </c>
      <c r="J973" s="2" t="str">
        <f t="shared" si="77"/>
        <v>Q4</v>
      </c>
      <c r="K973" s="2" t="str">
        <f t="shared" si="78"/>
        <v>Match</v>
      </c>
      <c r="L973" s="1">
        <f t="shared" si="75"/>
        <v>0.25</v>
      </c>
      <c r="M973" s="1" t="e">
        <f t="shared" si="76"/>
        <v>#N/A</v>
      </c>
      <c r="N973" s="2" t="str">
        <f t="shared" si="79"/>
        <v>Q OK dE&lt;=0.8</v>
      </c>
      <c r="O973">
        <v>16.32</v>
      </c>
      <c r="P973">
        <v>-0.44</v>
      </c>
      <c r="Q973">
        <v>-2.2400000000000002</v>
      </c>
      <c r="R973">
        <v>0</v>
      </c>
      <c r="S973">
        <v>0</v>
      </c>
      <c r="T973">
        <v>-0.25</v>
      </c>
      <c r="U973">
        <v>0.32</v>
      </c>
      <c r="V973">
        <v>7.0000000000000007E-2</v>
      </c>
      <c r="W973">
        <v>0.33</v>
      </c>
      <c r="X973" t="s">
        <v>8</v>
      </c>
      <c r="Y973" t="s">
        <v>9</v>
      </c>
      <c r="Z973" s="2" t="s">
        <v>718</v>
      </c>
      <c r="AA973" s="2" t="s">
        <v>721</v>
      </c>
    </row>
    <row r="974" spans="1:27" x14ac:dyDescent="0.35">
      <c r="A974" t="s">
        <v>1798</v>
      </c>
      <c r="B974" t="s">
        <v>2044</v>
      </c>
      <c r="C974" s="7" t="str">
        <f>_xlfn.XLOOKUP(B974,'[1]Sheet 1'!$A$2:$A$11107,'[1]Sheet 1'!$D$2:$D$11107,"",0)</f>
        <v>NIK</v>
      </c>
      <c r="D974" s="4" t="str">
        <f>_xlfn.XLOOKUP(A974,[3]Sheet2!$I$2:$I$1623,[3]Sheet2!$D$2:$D$1623,"",0)</f>
        <v>Q2</v>
      </c>
      <c r="F974" s="4" t="e">
        <f>_xlfn.XLOOKUP(B974,[2]Sheet2!$E$2:$E$713,[2]Sheet2!$G$2:$G$713)</f>
        <v>#N/A</v>
      </c>
      <c r="G974" s="22">
        <v>46164</v>
      </c>
      <c r="H974" s="23">
        <v>0.25718750000000001</v>
      </c>
      <c r="I974" t="s">
        <v>4</v>
      </c>
      <c r="J974" s="2" t="str">
        <f t="shared" si="77"/>
        <v>Q3</v>
      </c>
      <c r="K974" s="2" t="str">
        <f t="shared" si="78"/>
        <v>Not Match</v>
      </c>
      <c r="L974" s="1">
        <f t="shared" si="75"/>
        <v>0.25942243542145693</v>
      </c>
      <c r="M974" s="1" t="e">
        <f t="shared" si="76"/>
        <v>#N/A</v>
      </c>
      <c r="N974" s="2" t="str">
        <f t="shared" si="79"/>
        <v>Q NOT OK dE&lt;=0.8</v>
      </c>
      <c r="O974">
        <v>21.33</v>
      </c>
      <c r="P974">
        <v>11.72</v>
      </c>
      <c r="Q974">
        <v>1.97</v>
      </c>
      <c r="R974">
        <v>-0.66</v>
      </c>
      <c r="S974">
        <v>-0.23</v>
      </c>
      <c r="T974">
        <v>-0.12</v>
      </c>
      <c r="U974">
        <v>-0.19</v>
      </c>
      <c r="V974">
        <v>-0.09</v>
      </c>
      <c r="W974">
        <v>0.69</v>
      </c>
      <c r="X974" t="s">
        <v>8</v>
      </c>
      <c r="Y974" t="s">
        <v>7</v>
      </c>
      <c r="Z974" s="2" t="s">
        <v>718</v>
      </c>
      <c r="AA974" s="2" t="s">
        <v>721</v>
      </c>
    </row>
    <row r="975" spans="1:27" x14ac:dyDescent="0.35">
      <c r="A975" t="s">
        <v>2155</v>
      </c>
      <c r="B975" t="s">
        <v>2041</v>
      </c>
      <c r="C975" s="7" t="str">
        <f>_xlfn.XLOOKUP(B975,'[1]Sheet 1'!$A$2:$A$11107,'[1]Sheet 1'!$D$2:$D$11107,"",0)</f>
        <v>WACE</v>
      </c>
      <c r="D975" s="4" t="str">
        <f>_xlfn.XLOOKUP(A975,[3]Sheet2!$I$2:$I$1623,[3]Sheet2!$D$2:$D$1623,"",0)</f>
        <v>Q1</v>
      </c>
      <c r="F975" s="4" t="e">
        <f>_xlfn.XLOOKUP(B975,[2]Sheet2!$E$2:$E$713,[2]Sheet2!$G$2:$G$713)</f>
        <v>#N/A</v>
      </c>
      <c r="G975" s="22">
        <v>46164</v>
      </c>
      <c r="H975" s="23">
        <v>8.818287037037037E-2</v>
      </c>
      <c r="I975" t="s">
        <v>4</v>
      </c>
      <c r="J975" s="2" t="str">
        <f t="shared" si="77"/>
        <v>Q4</v>
      </c>
      <c r="K975" s="2" t="str">
        <f t="shared" si="78"/>
        <v>Not Match</v>
      </c>
      <c r="L975" s="1">
        <f t="shared" si="75"/>
        <v>1.4142135623730951E-2</v>
      </c>
      <c r="M975" s="1" t="e">
        <f t="shared" si="76"/>
        <v>#N/A</v>
      </c>
      <c r="N975" s="2" t="str">
        <f t="shared" si="79"/>
        <v>Q NOT OK dE&lt;=0.8</v>
      </c>
      <c r="O975">
        <v>17.149999999999999</v>
      </c>
      <c r="P975">
        <v>-0.85</v>
      </c>
      <c r="Q975">
        <v>-1.7</v>
      </c>
      <c r="R975">
        <v>-0.38</v>
      </c>
      <c r="S975">
        <v>0.01</v>
      </c>
      <c r="T975">
        <v>-0.01</v>
      </c>
      <c r="U975">
        <v>0.01</v>
      </c>
      <c r="V975">
        <v>0.02</v>
      </c>
      <c r="W975">
        <v>0.38</v>
      </c>
      <c r="X975" t="s">
        <v>8</v>
      </c>
      <c r="Y975" t="s">
        <v>9</v>
      </c>
      <c r="Z975" s="2" t="s">
        <v>718</v>
      </c>
      <c r="AA975" s="2" t="s">
        <v>721</v>
      </c>
    </row>
    <row r="976" spans="1:27" x14ac:dyDescent="0.35">
      <c r="A976" t="s">
        <v>1650</v>
      </c>
      <c r="B976" t="s">
        <v>2052</v>
      </c>
      <c r="C976" s="7" t="str">
        <f>_xlfn.XLOOKUP(B976,'[1]Sheet 1'!$A$2:$A$11107,'[1]Sheet 1'!$D$2:$D$11107,"",0)</f>
        <v>WACE</v>
      </c>
      <c r="D976" s="4" t="str">
        <f>_xlfn.XLOOKUP(A976,[3]Sheet2!$I$2:$I$1623,[3]Sheet2!$D$2:$D$1623,"",0)</f>
        <v>Q4</v>
      </c>
      <c r="F976" s="4" t="e">
        <f>_xlfn.XLOOKUP(B976,[2]Sheet2!$E$2:$E$713,[2]Sheet2!$G$2:$G$713)</f>
        <v>#N/A</v>
      </c>
      <c r="G976" s="22">
        <v>46164</v>
      </c>
      <c r="H976" s="23">
        <v>0.43706018518518519</v>
      </c>
      <c r="I976" t="s">
        <v>4</v>
      </c>
      <c r="J976" s="2" t="str">
        <f t="shared" si="77"/>
        <v>Q2</v>
      </c>
      <c r="K976" s="2" t="str">
        <f t="shared" si="78"/>
        <v>Not Match</v>
      </c>
      <c r="L976" s="1">
        <f t="shared" si="75"/>
        <v>0.19416487838947599</v>
      </c>
      <c r="M976" s="1" t="e">
        <f t="shared" si="76"/>
        <v>#N/A</v>
      </c>
      <c r="N976" s="2" t="str">
        <f t="shared" si="79"/>
        <v>Q NOT OK dE&lt;=0.8</v>
      </c>
      <c r="O976">
        <v>17.04</v>
      </c>
      <c r="P976">
        <v>-0.56999999999999995</v>
      </c>
      <c r="Q976">
        <v>-2.09</v>
      </c>
      <c r="R976">
        <v>-0.15</v>
      </c>
      <c r="S976">
        <v>-0.11</v>
      </c>
      <c r="T976">
        <v>0.16</v>
      </c>
      <c r="U976">
        <v>-0.17</v>
      </c>
      <c r="V976">
        <v>-0.19</v>
      </c>
      <c r="W976">
        <v>0.28999999999999998</v>
      </c>
      <c r="X976" t="s">
        <v>8</v>
      </c>
      <c r="Y976" t="s">
        <v>15</v>
      </c>
      <c r="Z976" s="2" t="s">
        <v>718</v>
      </c>
      <c r="AA976" s="2" t="s">
        <v>721</v>
      </c>
    </row>
    <row r="977" spans="1:27" x14ac:dyDescent="0.35">
      <c r="A977" t="s">
        <v>1566</v>
      </c>
      <c r="B977" t="s">
        <v>2053</v>
      </c>
      <c r="C977" s="7" t="str">
        <f>_xlfn.XLOOKUP(B977,'[1]Sheet 1'!$A$2:$A$11107,'[1]Sheet 1'!$D$2:$D$11107,"",0)</f>
        <v>M&amp;S</v>
      </c>
      <c r="D977" s="4" t="str">
        <f>_xlfn.XLOOKUP(A977,[3]Sheet2!$I$2:$I$1623,[3]Sheet2!$D$2:$D$1623,"",0)</f>
        <v>Q4</v>
      </c>
      <c r="F977" s="4" t="e">
        <f>_xlfn.XLOOKUP(B977,[2]Sheet2!$E$2:$E$713,[2]Sheet2!$G$2:$G$713)</f>
        <v>#N/A</v>
      </c>
      <c r="G977" s="22">
        <v>46164</v>
      </c>
      <c r="H977" s="23">
        <v>0.68421296296296297</v>
      </c>
      <c r="I977" t="s">
        <v>17</v>
      </c>
      <c r="J977" s="2" t="str">
        <f t="shared" si="77"/>
        <v>Q2</v>
      </c>
      <c r="K977" s="2" t="str">
        <f t="shared" si="78"/>
        <v>Not Match</v>
      </c>
      <c r="L977" s="1">
        <f t="shared" si="75"/>
        <v>0.2624880949681338</v>
      </c>
      <c r="M977" s="1" t="e">
        <f t="shared" si="76"/>
        <v>#N/A</v>
      </c>
      <c r="N977" s="2" t="str">
        <f t="shared" si="79"/>
        <v>Q NOT OK dE&lt;=0.8</v>
      </c>
      <c r="O977">
        <v>15.95</v>
      </c>
      <c r="P977">
        <v>-0.63</v>
      </c>
      <c r="Q977">
        <v>-5.93</v>
      </c>
      <c r="R977">
        <v>0.09</v>
      </c>
      <c r="S977">
        <v>-0.17</v>
      </c>
      <c r="T977">
        <v>0.2</v>
      </c>
      <c r="U977">
        <v>-0.18</v>
      </c>
      <c r="V977">
        <v>-0.24</v>
      </c>
      <c r="W977">
        <v>0.32</v>
      </c>
      <c r="X977" t="s">
        <v>8</v>
      </c>
      <c r="Y977" t="s">
        <v>15</v>
      </c>
      <c r="Z977" s="2" t="s">
        <v>718</v>
      </c>
      <c r="AA977" s="2" t="s">
        <v>721</v>
      </c>
    </row>
    <row r="978" spans="1:27" x14ac:dyDescent="0.35">
      <c r="A978" t="s">
        <v>2153</v>
      </c>
      <c r="B978" t="s">
        <v>1883</v>
      </c>
      <c r="C978" s="7" t="str">
        <f>_xlfn.XLOOKUP(B978,'[1]Sheet 1'!$A$2:$A$11107,'[1]Sheet 1'!$D$2:$D$11107,"",0)</f>
        <v>LBI</v>
      </c>
      <c r="D978" s="4" t="str">
        <f>_xlfn.XLOOKUP(A978,[3]Sheet2!$I$2:$I$1623,[3]Sheet2!$D$2:$D$1623,"",0)</f>
        <v>Q3</v>
      </c>
      <c r="F978" s="4" t="e">
        <f>_xlfn.XLOOKUP(B978,[2]Sheet2!$E$2:$E$713,[2]Sheet2!$G$2:$G$713)</f>
        <v>#N/A</v>
      </c>
      <c r="G978" s="22">
        <v>46164</v>
      </c>
      <c r="H978" s="23">
        <v>0.72503472222222221</v>
      </c>
      <c r="I978" t="s">
        <v>14</v>
      </c>
      <c r="J978" s="2" t="str">
        <f t="shared" si="77"/>
        <v>Q2</v>
      </c>
      <c r="K978" s="2" t="str">
        <f t="shared" si="78"/>
        <v>Not Match</v>
      </c>
      <c r="L978" s="1">
        <f t="shared" si="75"/>
        <v>0.68117545463705609</v>
      </c>
      <c r="M978" s="1" t="e">
        <f t="shared" si="76"/>
        <v>#N/A</v>
      </c>
      <c r="N978" s="2" t="str">
        <f t="shared" si="79"/>
        <v>Q NOT OK dE&lt;=0.8</v>
      </c>
      <c r="O978">
        <v>42</v>
      </c>
      <c r="P978">
        <v>45.53</v>
      </c>
      <c r="Q978">
        <v>30.7</v>
      </c>
      <c r="R978">
        <v>-0.28999999999999998</v>
      </c>
      <c r="S978">
        <v>-0.52</v>
      </c>
      <c r="T978">
        <v>0.44</v>
      </c>
      <c r="U978">
        <v>-7.0000000000000007E-2</v>
      </c>
      <c r="V978">
        <v>0.48</v>
      </c>
      <c r="W978">
        <v>0.56000000000000005</v>
      </c>
      <c r="X978" t="s">
        <v>8</v>
      </c>
      <c r="Y978" t="s">
        <v>12</v>
      </c>
      <c r="Z978" s="2" t="s">
        <v>718</v>
      </c>
      <c r="AA978" s="2" t="s">
        <v>721</v>
      </c>
    </row>
    <row r="979" spans="1:27" x14ac:dyDescent="0.35">
      <c r="A979" t="s">
        <v>2154</v>
      </c>
      <c r="B979" t="s">
        <v>2039</v>
      </c>
      <c r="C979" s="7" t="str">
        <f>_xlfn.XLOOKUP(B979,'[1]Sheet 1'!$A$2:$A$11107,'[1]Sheet 1'!$D$2:$D$11107,"",0)</f>
        <v>THX</v>
      </c>
      <c r="D979" s="4" t="str">
        <f>_xlfn.XLOOKUP(A979,[3]Sheet2!$I$2:$I$1623,[3]Sheet2!$D$2:$D$1623,"",0)</f>
        <v>Q1</v>
      </c>
      <c r="F979" s="4" t="e">
        <f>_xlfn.XLOOKUP(B979,[2]Sheet2!$E$2:$E$713,[2]Sheet2!$G$2:$G$713)</f>
        <v>#N/A</v>
      </c>
      <c r="G979" s="22">
        <v>46164</v>
      </c>
      <c r="H979" s="23">
        <v>8.2719907407407409E-2</v>
      </c>
      <c r="I979" t="s">
        <v>11</v>
      </c>
      <c r="J979" s="2" t="str">
        <f t="shared" si="77"/>
        <v>Q2</v>
      </c>
      <c r="K979" s="2" t="str">
        <f t="shared" si="78"/>
        <v>Not Match</v>
      </c>
      <c r="L979" s="1">
        <f t="shared" si="75"/>
        <v>0.10816653826391967</v>
      </c>
      <c r="M979" s="1" t="e">
        <f t="shared" si="76"/>
        <v>#N/A</v>
      </c>
      <c r="N979" s="2" t="str">
        <f t="shared" si="79"/>
        <v>Q NOT OK dE&gt;0.8</v>
      </c>
      <c r="O979">
        <v>18.34</v>
      </c>
      <c r="P979">
        <v>-0.44</v>
      </c>
      <c r="Q979">
        <v>-2.4</v>
      </c>
      <c r="R979">
        <v>-1.08</v>
      </c>
      <c r="S979">
        <v>-0.06</v>
      </c>
      <c r="T979">
        <v>0.09</v>
      </c>
      <c r="U979">
        <v>-0.1</v>
      </c>
      <c r="V979">
        <v>-0.1</v>
      </c>
      <c r="W979">
        <v>1.0900000000000001</v>
      </c>
      <c r="X979" t="s">
        <v>6</v>
      </c>
      <c r="Y979" t="s">
        <v>15</v>
      </c>
      <c r="Z979" s="2" t="s">
        <v>718</v>
      </c>
      <c r="AA979" s="2" t="s">
        <v>721</v>
      </c>
    </row>
    <row r="980" spans="1:27" x14ac:dyDescent="0.35">
      <c r="A980" t="s">
        <v>1614</v>
      </c>
      <c r="B980" t="s">
        <v>1880</v>
      </c>
      <c r="C980" s="7" t="str">
        <f>_xlfn.XLOOKUP(B980,'[1]Sheet 1'!$A$2:$A$11107,'[1]Sheet 1'!$D$2:$D$11107,"",0)</f>
        <v>M&amp;S</v>
      </c>
      <c r="D980" s="4" t="str">
        <f>_xlfn.XLOOKUP(A980,[3]Sheet2!$I$2:$I$1623,[3]Sheet2!$D$2:$D$1623,"",0)</f>
        <v>Q3</v>
      </c>
      <c r="F980" s="4" t="e">
        <f>_xlfn.XLOOKUP(B980,[2]Sheet2!$E$2:$E$713,[2]Sheet2!$G$2:$G$713)</f>
        <v>#N/A</v>
      </c>
      <c r="G980" s="22">
        <v>46164</v>
      </c>
      <c r="H980" s="23">
        <v>0.70121527777777781</v>
      </c>
      <c r="I980" t="s">
        <v>17</v>
      </c>
      <c r="J980" s="2" t="str">
        <f t="shared" si="77"/>
        <v>Q2</v>
      </c>
      <c r="K980" s="2" t="str">
        <f t="shared" si="78"/>
        <v>Not Match</v>
      </c>
      <c r="L980" s="1">
        <f t="shared" si="75"/>
        <v>0.68242215673291273</v>
      </c>
      <c r="M980" s="1" t="e">
        <f t="shared" si="76"/>
        <v>#N/A</v>
      </c>
      <c r="N980" s="2" t="str">
        <f t="shared" si="79"/>
        <v>Q NOT OK dE&gt;0.8</v>
      </c>
      <c r="O980">
        <v>24.73</v>
      </c>
      <c r="P980">
        <v>-6.06</v>
      </c>
      <c r="Q980">
        <v>-6.62</v>
      </c>
      <c r="R980">
        <v>0.18</v>
      </c>
      <c r="S980">
        <v>-0.56000000000000005</v>
      </c>
      <c r="T980">
        <v>0.39</v>
      </c>
      <c r="U980">
        <v>0.06</v>
      </c>
      <c r="V980">
        <v>-0.79</v>
      </c>
      <c r="W980">
        <v>0.82</v>
      </c>
      <c r="X980" t="s">
        <v>13</v>
      </c>
      <c r="Y980" t="s">
        <v>12</v>
      </c>
      <c r="Z980" s="2" t="s">
        <v>718</v>
      </c>
      <c r="AA980" s="2" t="s">
        <v>721</v>
      </c>
    </row>
    <row r="981" spans="1:27" x14ac:dyDescent="0.35">
      <c r="A981" t="s">
        <v>1516</v>
      </c>
      <c r="B981" t="s">
        <v>1882</v>
      </c>
      <c r="C981" s="7" t="str">
        <f>_xlfn.XLOOKUP(B981,'[1]Sheet 1'!$A$2:$A$11107,'[1]Sheet 1'!$D$2:$D$11107,"",0)</f>
        <v>LBI</v>
      </c>
      <c r="D981" s="4" t="str">
        <f>_xlfn.XLOOKUP(A981,[3]Sheet2!$I$2:$I$1623,[3]Sheet2!$D$2:$D$1623,"",0)</f>
        <v>Q2</v>
      </c>
      <c r="F981" s="4" t="e">
        <f>_xlfn.XLOOKUP(B981,[2]Sheet2!$E$2:$E$713,[2]Sheet2!$G$2:$G$713)</f>
        <v>#N/A</v>
      </c>
      <c r="G981" s="22">
        <v>46164</v>
      </c>
      <c r="H981" s="23">
        <v>0.71559027777777773</v>
      </c>
      <c r="I981" t="s">
        <v>14</v>
      </c>
      <c r="J981" s="2" t="str">
        <f t="shared" si="77"/>
        <v>Q1</v>
      </c>
      <c r="K981" s="2" t="str">
        <f t="shared" si="78"/>
        <v>Not Match</v>
      </c>
      <c r="L981" s="1">
        <f t="shared" si="75"/>
        <v>0.4741307836451879</v>
      </c>
      <c r="M981" s="1" t="e">
        <f t="shared" si="76"/>
        <v>#N/A</v>
      </c>
      <c r="N981" s="2" t="str">
        <f t="shared" si="79"/>
        <v>Q NOT OK dE&lt;=0.8</v>
      </c>
      <c r="O981">
        <v>17.47</v>
      </c>
      <c r="P981">
        <v>-1.38</v>
      </c>
      <c r="Q981">
        <v>-2.2400000000000002</v>
      </c>
      <c r="R981">
        <v>-0.43</v>
      </c>
      <c r="S981">
        <v>0.22</v>
      </c>
      <c r="T981">
        <v>0.42</v>
      </c>
      <c r="U981">
        <v>-0.56000000000000005</v>
      </c>
      <c r="V981">
        <v>-0.04</v>
      </c>
      <c r="W981">
        <v>0.71</v>
      </c>
      <c r="X981" t="s">
        <v>8</v>
      </c>
      <c r="Y981" t="s">
        <v>15</v>
      </c>
      <c r="Z981" s="2" t="s">
        <v>718</v>
      </c>
      <c r="AA981" s="2" t="s">
        <v>721</v>
      </c>
    </row>
    <row r="982" spans="1:27" x14ac:dyDescent="0.35">
      <c r="A982" t="s">
        <v>1811</v>
      </c>
      <c r="B982" t="s">
        <v>2042</v>
      </c>
      <c r="C982" s="7" t="str">
        <f>_xlfn.XLOOKUP(B982,'[1]Sheet 1'!$A$2:$A$11107,'[1]Sheet 1'!$D$2:$D$11107,"",0)</f>
        <v>NEWB</v>
      </c>
      <c r="D982" s="4" t="str">
        <f>_xlfn.XLOOKUP(A982,[3]Sheet2!$I$2:$I$1623,[3]Sheet2!$D$2:$D$1623,"",0)</f>
        <v>Q2</v>
      </c>
      <c r="F982" s="4" t="e">
        <f>_xlfn.XLOOKUP(B982,[2]Sheet2!$E$2:$E$713,[2]Sheet2!$G$2:$G$713)</f>
        <v>#N/A</v>
      </c>
      <c r="G982" s="22">
        <v>46164</v>
      </c>
      <c r="H982" s="23">
        <v>6.7847222222222225E-2</v>
      </c>
      <c r="I982" t="s">
        <v>4</v>
      </c>
      <c r="J982" s="2" t="str">
        <f t="shared" si="77"/>
        <v>Q1</v>
      </c>
      <c r="K982" s="2" t="str">
        <f t="shared" si="78"/>
        <v>Not Match</v>
      </c>
      <c r="L982" s="1">
        <f t="shared" si="75"/>
        <v>0.83096329642168909</v>
      </c>
      <c r="M982" s="1" t="e">
        <f t="shared" si="76"/>
        <v>#N/A</v>
      </c>
      <c r="N982" s="2" t="str">
        <f t="shared" si="79"/>
        <v>Q NOT OK dE&gt;0.8</v>
      </c>
      <c r="O982">
        <v>32.43</v>
      </c>
      <c r="P982">
        <v>11.95</v>
      </c>
      <c r="Q982">
        <v>-47.45</v>
      </c>
      <c r="R982">
        <v>-0.86</v>
      </c>
      <c r="S982">
        <v>0.83</v>
      </c>
      <c r="T982">
        <v>0.04</v>
      </c>
      <c r="U982">
        <v>0.06</v>
      </c>
      <c r="V982">
        <v>0.56999999999999995</v>
      </c>
      <c r="W982">
        <v>1.03</v>
      </c>
      <c r="X982" t="s">
        <v>6</v>
      </c>
      <c r="Y982" t="s">
        <v>9</v>
      </c>
      <c r="Z982" s="2" t="s">
        <v>718</v>
      </c>
      <c r="AA982" s="2" t="s">
        <v>721</v>
      </c>
    </row>
    <row r="983" spans="1:27" x14ac:dyDescent="0.35">
      <c r="A983" t="s">
        <v>2156</v>
      </c>
      <c r="B983" t="s">
        <v>2045</v>
      </c>
      <c r="C983" s="7" t="str">
        <f>_xlfn.XLOOKUP(B983,'[1]Sheet 1'!$A$2:$A$11107,'[1]Sheet 1'!$D$2:$D$11107,"",0)</f>
        <v>VSS</v>
      </c>
      <c r="D983" s="4" t="str">
        <f>_xlfn.XLOOKUP(A983,[3]Sheet2!$I$2:$I$1623,[3]Sheet2!$D$2:$D$1623,"",0)</f>
        <v>Q1</v>
      </c>
      <c r="F983" s="4" t="e">
        <f>_xlfn.XLOOKUP(B983,[2]Sheet2!$E$2:$E$713,[2]Sheet2!$G$2:$G$713)</f>
        <v>#N/A</v>
      </c>
      <c r="G983" s="22">
        <v>46164</v>
      </c>
      <c r="H983" s="23">
        <v>0.25958333333333333</v>
      </c>
      <c r="I983" t="s">
        <v>10</v>
      </c>
      <c r="J983" s="2" t="str">
        <f t="shared" si="77"/>
        <v>Q1</v>
      </c>
      <c r="K983" s="2" t="str">
        <f t="shared" si="78"/>
        <v>Match</v>
      </c>
      <c r="L983" s="1">
        <f t="shared" si="75"/>
        <v>1.1887808881370865</v>
      </c>
      <c r="M983" s="1" t="e">
        <f t="shared" si="76"/>
        <v>#N/A</v>
      </c>
      <c r="N983" s="2" t="str">
        <f t="shared" si="79"/>
        <v>Q OK dE&gt;0.8</v>
      </c>
      <c r="O983">
        <v>26.72</v>
      </c>
      <c r="P983">
        <v>-11.96</v>
      </c>
      <c r="Q983">
        <v>-4.5999999999999996</v>
      </c>
      <c r="R983">
        <v>0.46</v>
      </c>
      <c r="S983">
        <v>1.1599999999999999</v>
      </c>
      <c r="T983">
        <v>0.26</v>
      </c>
      <c r="U983">
        <v>-0.85</v>
      </c>
      <c r="V983">
        <v>0.15</v>
      </c>
      <c r="W983">
        <v>0.98</v>
      </c>
      <c r="X983" t="s">
        <v>13</v>
      </c>
      <c r="Y983" t="s">
        <v>7</v>
      </c>
      <c r="Z983" s="2" t="s">
        <v>718</v>
      </c>
      <c r="AA983" s="2" t="s">
        <v>721</v>
      </c>
    </row>
    <row r="984" spans="1:27" x14ac:dyDescent="0.35">
      <c r="A984" t="s">
        <v>1540</v>
      </c>
      <c r="B984" t="s">
        <v>2055</v>
      </c>
      <c r="C984" s="7" t="str">
        <f>_xlfn.XLOOKUP(B984,'[1]Sheet 1'!$A$2:$A$11107,'[1]Sheet 1'!$D$2:$D$11107,"",0)</f>
        <v>VSS</v>
      </c>
      <c r="D984" s="4" t="str">
        <f>_xlfn.XLOOKUP(A984,[3]Sheet2!$I$2:$I$1623,[3]Sheet2!$D$2:$D$1623,"",0)</f>
        <v>Q3</v>
      </c>
      <c r="F984" s="4" t="e">
        <f>_xlfn.XLOOKUP(B984,[2]Sheet2!$E$2:$E$713,[2]Sheet2!$G$2:$G$713)</f>
        <v>#N/A</v>
      </c>
      <c r="G984" s="22">
        <v>46164</v>
      </c>
      <c r="H984" s="23">
        <v>0.77270833333333333</v>
      </c>
      <c r="I984" t="s">
        <v>10</v>
      </c>
      <c r="J984" s="2" t="str">
        <f t="shared" si="77"/>
        <v>Q1</v>
      </c>
      <c r="K984" s="2" t="str">
        <f t="shared" si="78"/>
        <v>Not Match</v>
      </c>
      <c r="L984" s="1">
        <f t="shared" si="75"/>
        <v>0.44271887242357311</v>
      </c>
      <c r="M984" s="1" t="e">
        <f t="shared" si="76"/>
        <v>#N/A</v>
      </c>
      <c r="N984" s="2" t="str">
        <f t="shared" si="79"/>
        <v>Q NOT OK dE&gt;0.8</v>
      </c>
      <c r="O984">
        <v>13.61</v>
      </c>
      <c r="P984">
        <v>0.64</v>
      </c>
      <c r="Q984">
        <v>-0.83</v>
      </c>
      <c r="R984">
        <v>-0.91</v>
      </c>
      <c r="S984">
        <v>0.14000000000000001</v>
      </c>
      <c r="T984">
        <v>0.42</v>
      </c>
      <c r="U984">
        <v>-0.41</v>
      </c>
      <c r="V984">
        <v>0.46</v>
      </c>
      <c r="W984">
        <v>1.1000000000000001</v>
      </c>
      <c r="X984" t="s">
        <v>6</v>
      </c>
      <c r="Y984" t="s">
        <v>9</v>
      </c>
      <c r="Z984" s="2" t="s">
        <v>718</v>
      </c>
      <c r="AA984" s="2" t="s">
        <v>721</v>
      </c>
    </row>
    <row r="985" spans="1:27" x14ac:dyDescent="0.35">
      <c r="A985" t="s">
        <v>2151</v>
      </c>
      <c r="B985" t="s">
        <v>1878</v>
      </c>
      <c r="C985" s="7" t="str">
        <f>_xlfn.XLOOKUP(B985,'[1]Sheet 1'!$A$2:$A$11107,'[1]Sheet 1'!$D$2:$D$11107,"",0)</f>
        <v>VSS</v>
      </c>
      <c r="D985" s="4" t="str">
        <f>_xlfn.XLOOKUP(A985,[3]Sheet2!$I$2:$I$1623,[3]Sheet2!$D$2:$D$1623,"",0)</f>
        <v>Q3</v>
      </c>
      <c r="F985" s="4" t="e">
        <f>_xlfn.XLOOKUP(B985,[2]Sheet2!$E$2:$E$713,[2]Sheet2!$G$2:$G$713)</f>
        <v>#N/A</v>
      </c>
      <c r="G985" s="22">
        <v>46164</v>
      </c>
      <c r="H985" s="23">
        <v>0.62766203703703705</v>
      </c>
      <c r="I985" t="s">
        <v>10</v>
      </c>
      <c r="J985" s="2" t="str">
        <f t="shared" si="77"/>
        <v>Q1</v>
      </c>
      <c r="K985" s="2" t="str">
        <f t="shared" si="78"/>
        <v>Not Match</v>
      </c>
      <c r="L985" s="1">
        <f t="shared" si="75"/>
        <v>0.55973207876626119</v>
      </c>
      <c r="M985" s="1" t="e">
        <f t="shared" si="76"/>
        <v>#N/A</v>
      </c>
      <c r="N985" s="2" t="str">
        <f t="shared" si="79"/>
        <v>Q NOT OK dE&lt;=0.8</v>
      </c>
      <c r="O985">
        <v>32.67</v>
      </c>
      <c r="P985">
        <v>43.22</v>
      </c>
      <c r="Q985">
        <v>25.37</v>
      </c>
      <c r="R985">
        <v>-0.11</v>
      </c>
      <c r="S985">
        <v>0.53</v>
      </c>
      <c r="T985">
        <v>0.18</v>
      </c>
      <c r="U985">
        <v>0.22</v>
      </c>
      <c r="V985">
        <v>-0.09</v>
      </c>
      <c r="W985">
        <v>0.26</v>
      </c>
      <c r="X985" t="s">
        <v>8</v>
      </c>
      <c r="Y985" t="s">
        <v>7</v>
      </c>
      <c r="Z985" s="2" t="s">
        <v>718</v>
      </c>
      <c r="AA985" s="2" t="s">
        <v>721</v>
      </c>
    </row>
    <row r="986" spans="1:27" x14ac:dyDescent="0.35">
      <c r="A986" t="s">
        <v>1574</v>
      </c>
      <c r="B986" t="s">
        <v>2040</v>
      </c>
      <c r="C986" s="7" t="str">
        <f>_xlfn.XLOOKUP(B986,'[1]Sheet 1'!$A$2:$A$11107,'[1]Sheet 1'!$D$2:$D$11107,"",0)</f>
        <v>PINK</v>
      </c>
      <c r="D986" s="4" t="str">
        <f>_xlfn.XLOOKUP(A986,[3]Sheet2!$I$2:$I$1623,[3]Sheet2!$D$2:$D$1623,"",0)</f>
        <v>Q2</v>
      </c>
      <c r="F986" s="4" t="e">
        <f>_xlfn.XLOOKUP(B986,[2]Sheet2!$E$2:$E$713,[2]Sheet2!$G$2:$G$713)</f>
        <v>#N/A</v>
      </c>
      <c r="G986" s="22">
        <v>46164</v>
      </c>
      <c r="H986" s="23">
        <v>8.4976851851851845E-2</v>
      </c>
      <c r="I986" t="s">
        <v>11</v>
      </c>
      <c r="J986" s="2" t="str">
        <f t="shared" si="77"/>
        <v>Q4</v>
      </c>
      <c r="K986" s="2" t="str">
        <f t="shared" si="78"/>
        <v>Not Match</v>
      </c>
      <c r="L986" s="1">
        <f t="shared" si="75"/>
        <v>1.0733592129385203</v>
      </c>
      <c r="M986" s="1" t="e">
        <f t="shared" si="76"/>
        <v>#N/A</v>
      </c>
      <c r="N986" s="2" t="str">
        <f t="shared" si="79"/>
        <v>Q NOT OK dE&gt;0.8</v>
      </c>
      <c r="O986">
        <v>18.829999999999998</v>
      </c>
      <c r="P986">
        <v>0.09</v>
      </c>
      <c r="Q986">
        <v>-13.07</v>
      </c>
      <c r="R986">
        <v>-0.39</v>
      </c>
      <c r="S986">
        <v>0.39</v>
      </c>
      <c r="T986">
        <v>-1</v>
      </c>
      <c r="U986">
        <v>0.76</v>
      </c>
      <c r="V986">
        <v>0.49</v>
      </c>
      <c r="W986">
        <v>0.99</v>
      </c>
      <c r="X986" t="s">
        <v>13</v>
      </c>
      <c r="Y986" t="s">
        <v>9</v>
      </c>
      <c r="Z986" s="2" t="s">
        <v>718</v>
      </c>
      <c r="AA986" s="2" t="s">
        <v>721</v>
      </c>
    </row>
    <row r="987" spans="1:27" x14ac:dyDescent="0.35">
      <c r="A987" t="s">
        <v>2148</v>
      </c>
      <c r="B987" t="s">
        <v>2051</v>
      </c>
      <c r="C987" s="7" t="str">
        <f>_xlfn.XLOOKUP(B987,'[1]Sheet 1'!$A$2:$A$11107,'[1]Sheet 1'!$D$2:$D$11107,"",0)</f>
        <v>VSS</v>
      </c>
      <c r="D987" s="4" t="str">
        <f>_xlfn.XLOOKUP(A987,[3]Sheet2!$I$2:$I$1623,[3]Sheet2!$D$2:$D$1623,"",0)</f>
        <v>Q3</v>
      </c>
      <c r="F987" s="4" t="e">
        <f>_xlfn.XLOOKUP(B987,[2]Sheet2!$E$2:$E$713,[2]Sheet2!$G$2:$G$713)</f>
        <v>#N/A</v>
      </c>
      <c r="G987" s="22">
        <v>46164</v>
      </c>
      <c r="H987" s="23">
        <v>0.40991898148148148</v>
      </c>
      <c r="I987" t="s">
        <v>10</v>
      </c>
      <c r="J987" s="2" t="str">
        <f t="shared" si="77"/>
        <v>Q1</v>
      </c>
      <c r="K987" s="2" t="str">
        <f t="shared" si="78"/>
        <v>Not Match</v>
      </c>
      <c r="L987" s="1">
        <f t="shared" si="75"/>
        <v>1.4787156589419077</v>
      </c>
      <c r="M987" s="1" t="e">
        <f t="shared" si="76"/>
        <v>#N/A</v>
      </c>
      <c r="N987" s="2" t="str">
        <f t="shared" si="79"/>
        <v>Q NOT OK dE&lt;=0.8</v>
      </c>
      <c r="O987">
        <v>43.89</v>
      </c>
      <c r="P987">
        <v>55.16</v>
      </c>
      <c r="Q987">
        <v>38.49</v>
      </c>
      <c r="R987">
        <v>0.59</v>
      </c>
      <c r="S987">
        <v>1.25</v>
      </c>
      <c r="T987">
        <v>0.79</v>
      </c>
      <c r="U987">
        <v>0.51</v>
      </c>
      <c r="V987">
        <v>-0.05</v>
      </c>
      <c r="W987">
        <v>0.78</v>
      </c>
      <c r="X987" t="s">
        <v>13</v>
      </c>
      <c r="Y987" t="s">
        <v>7</v>
      </c>
      <c r="Z987" s="2" t="s">
        <v>718</v>
      </c>
      <c r="AA987" s="2" t="s">
        <v>721</v>
      </c>
    </row>
    <row r="988" spans="1:27" x14ac:dyDescent="0.35">
      <c r="A988" t="s">
        <v>1626</v>
      </c>
      <c r="B988" t="s">
        <v>2036</v>
      </c>
      <c r="C988" s="7" t="str">
        <f>_xlfn.XLOOKUP(B988,'[1]Sheet 1'!$A$2:$A$11107,'[1]Sheet 1'!$D$2:$D$11107,"",0)</f>
        <v>VSS</v>
      </c>
      <c r="D988" s="4" t="str">
        <f>_xlfn.XLOOKUP(A988,[3]Sheet2!$I$2:$I$1623,[3]Sheet2!$D$2:$D$1623,"",0)</f>
        <v>Q4</v>
      </c>
      <c r="F988" s="4" t="e">
        <f>_xlfn.XLOOKUP(B988,[2]Sheet2!$E$2:$E$713,[2]Sheet2!$G$2:$G$713)</f>
        <v>#N/A</v>
      </c>
      <c r="G988" s="22">
        <v>46164</v>
      </c>
      <c r="H988" s="23">
        <v>7.4594907407407401E-2</v>
      </c>
      <c r="I988" t="s">
        <v>11</v>
      </c>
      <c r="J988" s="2" t="str">
        <f t="shared" si="77"/>
        <v>Q4</v>
      </c>
      <c r="K988" s="2" t="str">
        <f t="shared" si="78"/>
        <v>Match</v>
      </c>
      <c r="L988" s="1">
        <f t="shared" si="75"/>
        <v>0.13892443989449804</v>
      </c>
      <c r="M988" s="1" t="e">
        <f t="shared" si="76"/>
        <v>#N/A</v>
      </c>
      <c r="N988" s="2" t="str">
        <f t="shared" si="79"/>
        <v>Q OK dE&lt;=0.8</v>
      </c>
      <c r="O988">
        <v>15.52</v>
      </c>
      <c r="P988">
        <v>-0.21</v>
      </c>
      <c r="Q988">
        <v>-2.31</v>
      </c>
      <c r="R988">
        <v>0.23</v>
      </c>
      <c r="S988">
        <v>7.0000000000000007E-2</v>
      </c>
      <c r="T988">
        <v>-0.12</v>
      </c>
      <c r="U988">
        <v>0.15</v>
      </c>
      <c r="V988">
        <v>0.11</v>
      </c>
      <c r="W988">
        <v>0.28999999999999998</v>
      </c>
      <c r="X988" t="s">
        <v>8</v>
      </c>
      <c r="Y988" t="s">
        <v>9</v>
      </c>
      <c r="Z988" s="2" t="s">
        <v>718</v>
      </c>
      <c r="AA988" s="2" t="s">
        <v>721</v>
      </c>
    </row>
    <row r="989" spans="1:27" x14ac:dyDescent="0.35">
      <c r="A989" t="s">
        <v>1626</v>
      </c>
      <c r="B989" t="s">
        <v>2038</v>
      </c>
      <c r="C989" s="7" t="str">
        <f>_xlfn.XLOOKUP(B989,'[1]Sheet 1'!$A$2:$A$11107,'[1]Sheet 1'!$D$2:$D$11107,"",0)</f>
        <v>VSS</v>
      </c>
      <c r="D989" s="4" t="str">
        <f>_xlfn.XLOOKUP(A989,[3]Sheet2!$I$2:$I$1623,[3]Sheet2!$D$2:$D$1623,"",0)</f>
        <v>Q4</v>
      </c>
      <c r="F989" s="4" t="e">
        <f>_xlfn.XLOOKUP(B989,[2]Sheet2!$E$2:$E$713,[2]Sheet2!$G$2:$G$713)</f>
        <v>#N/A</v>
      </c>
      <c r="G989" s="22">
        <v>46164</v>
      </c>
      <c r="H989" s="23">
        <v>7.9537037037037031E-2</v>
      </c>
      <c r="I989" t="s">
        <v>11</v>
      </c>
      <c r="J989" s="2" t="str">
        <f t="shared" si="77"/>
        <v>Q4</v>
      </c>
      <c r="K989" s="2" t="str">
        <f t="shared" si="78"/>
        <v>Match</v>
      </c>
      <c r="L989" s="1">
        <f t="shared" si="75"/>
        <v>0.191049731745428</v>
      </c>
      <c r="M989" s="1" t="e">
        <f t="shared" si="76"/>
        <v>#N/A</v>
      </c>
      <c r="N989" s="2" t="str">
        <f t="shared" si="79"/>
        <v>Q OK dE&lt;=0.8</v>
      </c>
      <c r="O989">
        <v>15.85</v>
      </c>
      <c r="P989">
        <v>-0.27</v>
      </c>
      <c r="Q989">
        <v>-2.38</v>
      </c>
      <c r="R989">
        <v>0.56000000000000005</v>
      </c>
      <c r="S989">
        <v>0.02</v>
      </c>
      <c r="T989">
        <v>-0.19</v>
      </c>
      <c r="U989">
        <v>0.24</v>
      </c>
      <c r="V989">
        <v>0.06</v>
      </c>
      <c r="W989">
        <v>0.61</v>
      </c>
      <c r="X989" t="s">
        <v>8</v>
      </c>
      <c r="Y989" t="s">
        <v>15</v>
      </c>
      <c r="Z989" s="2" t="s">
        <v>718</v>
      </c>
      <c r="AA989" s="2" t="s">
        <v>721</v>
      </c>
    </row>
    <row r="990" spans="1:27" x14ac:dyDescent="0.35">
      <c r="A990" t="s">
        <v>1626</v>
      </c>
      <c r="B990" t="s">
        <v>2050</v>
      </c>
      <c r="C990" s="7" t="str">
        <f>_xlfn.XLOOKUP(B990,'[1]Sheet 1'!$A$2:$A$11107,'[1]Sheet 1'!$D$2:$D$11107,"",0)</f>
        <v>VSS</v>
      </c>
      <c r="D990" s="4" t="str">
        <f>_xlfn.XLOOKUP(A990,[3]Sheet2!$I$2:$I$1623,[3]Sheet2!$D$2:$D$1623,"",0)</f>
        <v>Q4</v>
      </c>
      <c r="F990" s="4" t="e">
        <f>_xlfn.XLOOKUP(B990,[2]Sheet2!$E$2:$E$713,[2]Sheet2!$G$2:$G$713)</f>
        <v>#N/A</v>
      </c>
      <c r="G990" s="22">
        <v>46164</v>
      </c>
      <c r="H990" s="23">
        <v>0.38873842592592595</v>
      </c>
      <c r="I990" t="s">
        <v>10</v>
      </c>
      <c r="J990" s="2" t="str">
        <f t="shared" si="77"/>
        <v>Q1</v>
      </c>
      <c r="K990" s="2" t="str">
        <f t="shared" si="78"/>
        <v>Not Match</v>
      </c>
      <c r="L990" s="1">
        <f t="shared" si="75"/>
        <v>8.5440037453175313E-2</v>
      </c>
      <c r="M990" s="1" t="e">
        <f t="shared" si="76"/>
        <v>#N/A</v>
      </c>
      <c r="N990" s="2" t="str">
        <f t="shared" si="79"/>
        <v>Q NOT OK dE&lt;=0.8</v>
      </c>
      <c r="O990">
        <v>15.9</v>
      </c>
      <c r="P990">
        <v>0.63</v>
      </c>
      <c r="Q990">
        <v>-1.51</v>
      </c>
      <c r="R990">
        <v>0.31</v>
      </c>
      <c r="S990">
        <v>0.03</v>
      </c>
      <c r="T990">
        <v>0.08</v>
      </c>
      <c r="U990">
        <v>-0.08</v>
      </c>
      <c r="V990">
        <v>0.08</v>
      </c>
      <c r="W990">
        <v>0.33</v>
      </c>
      <c r="X990" t="s">
        <v>8</v>
      </c>
      <c r="Y990" t="s">
        <v>9</v>
      </c>
      <c r="Z990" s="2" t="s">
        <v>718</v>
      </c>
      <c r="AA990" s="2" t="s">
        <v>721</v>
      </c>
    </row>
    <row r="991" spans="1:27" x14ac:dyDescent="0.35">
      <c r="A991" t="s">
        <v>1626</v>
      </c>
      <c r="B991" t="s">
        <v>2046</v>
      </c>
      <c r="C991" s="7" t="str">
        <f>_xlfn.XLOOKUP(B991,'[1]Sheet 1'!$A$2:$A$11107,'[1]Sheet 1'!$D$2:$D$11107,"",0)</f>
        <v>VSS</v>
      </c>
      <c r="D991" s="4" t="str">
        <f>_xlfn.XLOOKUP(A991,[3]Sheet2!$I$2:$I$1623,[3]Sheet2!$D$2:$D$1623,"",0)</f>
        <v>Q4</v>
      </c>
      <c r="F991" s="4" t="e">
        <f>_xlfn.XLOOKUP(B991,[2]Sheet2!$E$2:$E$713,[2]Sheet2!$G$2:$G$713)</f>
        <v>#N/A</v>
      </c>
      <c r="G991" s="22">
        <v>46164</v>
      </c>
      <c r="H991" s="23">
        <v>0.27732638888888889</v>
      </c>
      <c r="I991" t="s">
        <v>10</v>
      </c>
      <c r="J991" s="2" t="str">
        <f t="shared" si="77"/>
        <v>Q4</v>
      </c>
      <c r="K991" s="2" t="str">
        <f t="shared" si="78"/>
        <v>Match</v>
      </c>
      <c r="L991" s="1">
        <f t="shared" si="75"/>
        <v>3.605551275463989E-2</v>
      </c>
      <c r="M991" s="1" t="e">
        <f t="shared" si="76"/>
        <v>#N/A</v>
      </c>
      <c r="N991" s="2" t="str">
        <f t="shared" si="79"/>
        <v>Q OK dE&lt;=0.8</v>
      </c>
      <c r="O991">
        <v>15.84</v>
      </c>
      <c r="P991">
        <v>0.63</v>
      </c>
      <c r="Q991">
        <v>-1.61</v>
      </c>
      <c r="R991">
        <v>0.26</v>
      </c>
      <c r="S991">
        <v>0.03</v>
      </c>
      <c r="T991">
        <v>-0.02</v>
      </c>
      <c r="U991">
        <v>0.04</v>
      </c>
      <c r="V991">
        <v>0.03</v>
      </c>
      <c r="W991">
        <v>0.26</v>
      </c>
      <c r="X991" t="s">
        <v>8</v>
      </c>
      <c r="Y991" t="s">
        <v>9</v>
      </c>
      <c r="Z991" s="2" t="s">
        <v>718</v>
      </c>
      <c r="AA991" s="2" t="s">
        <v>721</v>
      </c>
    </row>
    <row r="992" spans="1:27" x14ac:dyDescent="0.35">
      <c r="A992" t="s">
        <v>1626</v>
      </c>
      <c r="B992" t="s">
        <v>2048</v>
      </c>
      <c r="C992" s="7" t="str">
        <f>_xlfn.XLOOKUP(B992,'[1]Sheet 1'!$A$2:$A$11107,'[1]Sheet 1'!$D$2:$D$11107,"",0)</f>
        <v>VSS</v>
      </c>
      <c r="D992" s="4" t="str">
        <f>_xlfn.XLOOKUP(A992,[3]Sheet2!$I$2:$I$1623,[3]Sheet2!$D$2:$D$1623,"",0)</f>
        <v>Q4</v>
      </c>
      <c r="F992" s="4" t="e">
        <f>_xlfn.XLOOKUP(B992,[2]Sheet2!$E$2:$E$713,[2]Sheet2!$G$2:$G$713)</f>
        <v>#N/A</v>
      </c>
      <c r="G992" s="22">
        <v>46164</v>
      </c>
      <c r="H992" s="23">
        <v>0.28186342592592595</v>
      </c>
      <c r="I992" t="s">
        <v>10</v>
      </c>
      <c r="J992" s="2" t="str">
        <f t="shared" si="77"/>
        <v>Q3</v>
      </c>
      <c r="K992" s="2" t="str">
        <f t="shared" si="78"/>
        <v>Not Match</v>
      </c>
      <c r="L992" s="1">
        <f t="shared" si="75"/>
        <v>6.3245553203367583E-2</v>
      </c>
      <c r="M992" s="1" t="e">
        <f t="shared" si="76"/>
        <v>#N/A</v>
      </c>
      <c r="N992" s="2" t="str">
        <f t="shared" si="79"/>
        <v>Q NOT OK dE&lt;=0.8</v>
      </c>
      <c r="O992">
        <v>15.91</v>
      </c>
      <c r="P992">
        <v>0.54</v>
      </c>
      <c r="Q992">
        <v>-1.61</v>
      </c>
      <c r="R992">
        <v>0.32</v>
      </c>
      <c r="S992">
        <v>-0.06</v>
      </c>
      <c r="T992">
        <v>-0.02</v>
      </c>
      <c r="U992">
        <v>0</v>
      </c>
      <c r="V992">
        <v>-0.09</v>
      </c>
      <c r="W992">
        <v>0.33</v>
      </c>
      <c r="X992" t="s">
        <v>8</v>
      </c>
      <c r="Y992" t="s">
        <v>15</v>
      </c>
      <c r="Z992" s="2" t="s">
        <v>718</v>
      </c>
      <c r="AA992" s="2" t="s">
        <v>721</v>
      </c>
    </row>
    <row r="993" spans="1:27" x14ac:dyDescent="0.35">
      <c r="A993" t="s">
        <v>1626</v>
      </c>
      <c r="B993" t="s">
        <v>2054</v>
      </c>
      <c r="C993" s="7" t="str">
        <f>_xlfn.XLOOKUP(B993,'[1]Sheet 1'!$A$2:$A$11107,'[1]Sheet 1'!$D$2:$D$11107,"",0)</f>
        <v>VSS</v>
      </c>
      <c r="D993" s="4" t="str">
        <f>_xlfn.XLOOKUP(A993,[3]Sheet2!$I$2:$I$1623,[3]Sheet2!$D$2:$D$1623,"",0)</f>
        <v>Q4</v>
      </c>
      <c r="F993" s="4" t="e">
        <f>_xlfn.XLOOKUP(B993,[2]Sheet2!$E$2:$E$713,[2]Sheet2!$G$2:$G$713)</f>
        <v>#N/A</v>
      </c>
      <c r="G993" s="22">
        <v>46164</v>
      </c>
      <c r="H993" s="23">
        <v>0.76752314814814815</v>
      </c>
      <c r="I993" t="s">
        <v>10</v>
      </c>
      <c r="J993" s="2" t="str">
        <f t="shared" si="77"/>
        <v>Q1</v>
      </c>
      <c r="K993" s="2" t="str">
        <f t="shared" si="78"/>
        <v>Not Match</v>
      </c>
      <c r="L993" s="1">
        <f t="shared" si="75"/>
        <v>8.5440037453175313E-2</v>
      </c>
      <c r="M993" s="1" t="e">
        <f t="shared" si="76"/>
        <v>#N/A</v>
      </c>
      <c r="N993" s="2" t="str">
        <f t="shared" si="79"/>
        <v>Q NOT OK dE&gt;0.8</v>
      </c>
      <c r="O993">
        <v>16.41</v>
      </c>
      <c r="P993">
        <v>0.63</v>
      </c>
      <c r="Q993">
        <v>-1.51</v>
      </c>
      <c r="R993">
        <v>0.82</v>
      </c>
      <c r="S993">
        <v>0.03</v>
      </c>
      <c r="T993">
        <v>0.08</v>
      </c>
      <c r="U993">
        <v>-0.09</v>
      </c>
      <c r="V993">
        <v>0.08</v>
      </c>
      <c r="W993">
        <v>0.82</v>
      </c>
      <c r="X993" t="s">
        <v>13</v>
      </c>
      <c r="Y993" t="s">
        <v>9</v>
      </c>
      <c r="Z993" s="2" t="s">
        <v>718</v>
      </c>
      <c r="AA993" s="2" t="s">
        <v>721</v>
      </c>
    </row>
    <row r="994" spans="1:27" x14ac:dyDescent="0.35">
      <c r="A994" t="s">
        <v>1626</v>
      </c>
      <c r="B994" t="s">
        <v>2047</v>
      </c>
      <c r="C994" s="7" t="str">
        <f>_xlfn.XLOOKUP(B994,'[1]Sheet 1'!$A$2:$A$11107,'[1]Sheet 1'!$D$2:$D$11107,"",0)</f>
        <v>VSS</v>
      </c>
      <c r="D994" s="4" t="str">
        <f>_xlfn.XLOOKUP(A994,[3]Sheet2!$I$2:$I$1623,[3]Sheet2!$D$2:$D$1623,"",0)</f>
        <v>Q4</v>
      </c>
      <c r="F994" s="4" t="e">
        <f>_xlfn.XLOOKUP(B994,[2]Sheet2!$E$2:$E$713,[2]Sheet2!$G$2:$G$713)</f>
        <v>#N/A</v>
      </c>
      <c r="G994" s="22">
        <v>46164</v>
      </c>
      <c r="H994" s="23">
        <v>0.27966435185185184</v>
      </c>
      <c r="I994" t="s">
        <v>10</v>
      </c>
      <c r="J994" s="2" t="str">
        <f t="shared" si="77"/>
        <v>Q2</v>
      </c>
      <c r="K994" s="2" t="str">
        <f t="shared" si="78"/>
        <v>Not Match</v>
      </c>
      <c r="L994" s="1">
        <f t="shared" si="75"/>
        <v>0.11180339887498948</v>
      </c>
      <c r="M994" s="1" t="e">
        <f t="shared" si="76"/>
        <v>#N/A</v>
      </c>
      <c r="N994" s="2" t="str">
        <f t="shared" si="79"/>
        <v>Q NOT OK dE&lt;=0.8</v>
      </c>
      <c r="O994">
        <v>16.11</v>
      </c>
      <c r="P994">
        <v>0.48</v>
      </c>
      <c r="Q994">
        <v>-1.57</v>
      </c>
      <c r="R994">
        <v>0.52</v>
      </c>
      <c r="S994">
        <v>-0.11</v>
      </c>
      <c r="T994">
        <v>0.02</v>
      </c>
      <c r="U994">
        <v>-7.0000000000000007E-2</v>
      </c>
      <c r="V994">
        <v>-0.14000000000000001</v>
      </c>
      <c r="W994">
        <v>0.55000000000000004</v>
      </c>
      <c r="X994" t="s">
        <v>8</v>
      </c>
      <c r="Y994" t="s">
        <v>15</v>
      </c>
      <c r="Z994" s="2" t="s">
        <v>718</v>
      </c>
      <c r="AA994" s="2" t="s">
        <v>721</v>
      </c>
    </row>
    <row r="995" spans="1:27" x14ac:dyDescent="0.35">
      <c r="A995" t="s">
        <v>1626</v>
      </c>
      <c r="B995" t="s">
        <v>1884</v>
      </c>
      <c r="C995" s="7" t="str">
        <f>_xlfn.XLOOKUP(B995,'[1]Sheet 1'!$A$2:$A$11107,'[1]Sheet 1'!$D$2:$D$11107,"",0)</f>
        <v>VSS</v>
      </c>
      <c r="D995" s="4" t="str">
        <f>_xlfn.XLOOKUP(A995,[3]Sheet2!$I$2:$I$1623,[3]Sheet2!$D$2:$D$1623,"",0)</f>
        <v>Q4</v>
      </c>
      <c r="F995" s="4" t="e">
        <f>_xlfn.XLOOKUP(B995,[2]Sheet2!$E$2:$E$713,[2]Sheet2!$G$2:$G$713)</f>
        <v>#N/A</v>
      </c>
      <c r="G995" s="22">
        <v>46164</v>
      </c>
      <c r="H995" s="23">
        <v>0.73212962962962957</v>
      </c>
      <c r="I995" t="s">
        <v>10</v>
      </c>
      <c r="J995" s="2" t="str">
        <f t="shared" si="77"/>
        <v>Q1</v>
      </c>
      <c r="K995" s="2" t="str">
        <f t="shared" si="78"/>
        <v>Not Match</v>
      </c>
      <c r="L995" s="1">
        <f t="shared" si="75"/>
        <v>3.605551275463989E-2</v>
      </c>
      <c r="M995" s="1" t="e">
        <f t="shared" si="76"/>
        <v>#N/A</v>
      </c>
      <c r="N995" s="2" t="str">
        <f t="shared" si="79"/>
        <v>Q NOT OK dE&lt;=0.8</v>
      </c>
      <c r="O995">
        <v>16.13</v>
      </c>
      <c r="P995">
        <v>0.62</v>
      </c>
      <c r="Q995">
        <v>-1.56</v>
      </c>
      <c r="R995">
        <v>0.54</v>
      </c>
      <c r="S995">
        <v>0.02</v>
      </c>
      <c r="T995">
        <v>0.03</v>
      </c>
      <c r="U995">
        <v>-0.03</v>
      </c>
      <c r="V995">
        <v>0.05</v>
      </c>
      <c r="W995">
        <v>0.55000000000000004</v>
      </c>
      <c r="X995" t="s">
        <v>8</v>
      </c>
      <c r="Y995" t="s">
        <v>9</v>
      </c>
      <c r="Z995" s="2" t="s">
        <v>718</v>
      </c>
      <c r="AA995" s="2" t="s">
        <v>721</v>
      </c>
    </row>
    <row r="996" spans="1:27" x14ac:dyDescent="0.35">
      <c r="A996" t="s">
        <v>1626</v>
      </c>
      <c r="B996" t="s">
        <v>2056</v>
      </c>
      <c r="C996" s="7" t="str">
        <f>_xlfn.XLOOKUP(B996,'[1]Sheet 1'!$A$2:$A$11107,'[1]Sheet 1'!$D$2:$D$11107,"",0)</f>
        <v>VSS</v>
      </c>
      <c r="D996" s="4" t="str">
        <f>_xlfn.XLOOKUP(A996,[3]Sheet2!$I$2:$I$1623,[3]Sheet2!$D$2:$D$1623,"",0)</f>
        <v>Q4</v>
      </c>
      <c r="F996" s="4" t="e">
        <f>_xlfn.XLOOKUP(B996,[2]Sheet2!$E$2:$E$713,[2]Sheet2!$G$2:$G$713)</f>
        <v>#N/A</v>
      </c>
      <c r="G996" s="22">
        <v>46164</v>
      </c>
      <c r="H996" s="23">
        <v>0.78520833333333329</v>
      </c>
      <c r="I996" t="s">
        <v>4</v>
      </c>
      <c r="J996" s="2" t="str">
        <f t="shared" si="77"/>
        <v>Q4</v>
      </c>
      <c r="K996" s="2" t="str">
        <f t="shared" si="78"/>
        <v>Match</v>
      </c>
      <c r="L996" s="1">
        <f t="shared" si="75"/>
        <v>0.13416407864998739</v>
      </c>
      <c r="M996" s="1" t="e">
        <f t="shared" si="76"/>
        <v>#N/A</v>
      </c>
      <c r="N996" s="2" t="str">
        <f t="shared" si="79"/>
        <v>Q OK dE&lt;=0.8</v>
      </c>
      <c r="O996">
        <v>16.190000000000001</v>
      </c>
      <c r="P996">
        <v>-0.02</v>
      </c>
      <c r="Q996">
        <v>-1.61</v>
      </c>
      <c r="R996">
        <v>0.52</v>
      </c>
      <c r="S996">
        <v>0.06</v>
      </c>
      <c r="T996">
        <v>-0.12</v>
      </c>
      <c r="U996">
        <v>0.16</v>
      </c>
      <c r="V996">
        <v>0.09</v>
      </c>
      <c r="W996">
        <v>0.56000000000000005</v>
      </c>
      <c r="X996" t="s">
        <v>8</v>
      </c>
      <c r="Y996" t="s">
        <v>9</v>
      </c>
      <c r="Z996" s="2" t="s">
        <v>718</v>
      </c>
      <c r="AA996" s="2" t="s">
        <v>721</v>
      </c>
    </row>
    <row r="997" spans="1:27" x14ac:dyDescent="0.35">
      <c r="A997" t="s">
        <v>1626</v>
      </c>
      <c r="B997" t="s">
        <v>2043</v>
      </c>
      <c r="C997" s="7" t="str">
        <f>_xlfn.XLOOKUP(B997,'[1]Sheet 1'!$A$2:$A$11107,'[1]Sheet 1'!$D$2:$D$11107,"",0)</f>
        <v>VSS</v>
      </c>
      <c r="D997" s="4" t="str">
        <f>_xlfn.XLOOKUP(A997,[3]Sheet2!$I$2:$I$1623,[3]Sheet2!$D$2:$D$1623,"",0)</f>
        <v>Q4</v>
      </c>
      <c r="F997" s="4" t="e">
        <f>_xlfn.XLOOKUP(B997,[2]Sheet2!$E$2:$E$713,[2]Sheet2!$G$2:$G$713)</f>
        <v>#N/A</v>
      </c>
      <c r="G997" s="22">
        <v>46164</v>
      </c>
      <c r="H997" s="23">
        <v>0.1673263888888889</v>
      </c>
      <c r="I997" t="s">
        <v>10</v>
      </c>
      <c r="J997" s="2" t="str">
        <f t="shared" si="77"/>
        <v>Q2</v>
      </c>
      <c r="K997" s="2" t="str">
        <f t="shared" si="78"/>
        <v>Not Match</v>
      </c>
      <c r="L997" s="1">
        <f t="shared" si="75"/>
        <v>9.2195444572928872E-2</v>
      </c>
      <c r="M997" s="1" t="e">
        <f t="shared" si="76"/>
        <v>#N/A</v>
      </c>
      <c r="N997" s="2" t="str">
        <f t="shared" si="79"/>
        <v>Q NOT OK dE&lt;=0.8</v>
      </c>
      <c r="O997">
        <v>16.09</v>
      </c>
      <c r="P997">
        <v>0.57999999999999996</v>
      </c>
      <c r="Q997">
        <v>-1.5</v>
      </c>
      <c r="R997">
        <v>0.5</v>
      </c>
      <c r="S997">
        <v>-0.02</v>
      </c>
      <c r="T997">
        <v>0.09</v>
      </c>
      <c r="U997">
        <v>-0.13</v>
      </c>
      <c r="V997">
        <v>0.02</v>
      </c>
      <c r="W997">
        <v>0.52</v>
      </c>
      <c r="X997" t="s">
        <v>8</v>
      </c>
      <c r="Y997" t="s">
        <v>9</v>
      </c>
      <c r="Z997" s="2" t="s">
        <v>718</v>
      </c>
      <c r="AA997" s="2" t="s">
        <v>721</v>
      </c>
    </row>
    <row r="998" spans="1:27" x14ac:dyDescent="0.35">
      <c r="A998" t="s">
        <v>1626</v>
      </c>
      <c r="B998" t="s">
        <v>2037</v>
      </c>
      <c r="C998" s="7" t="str">
        <f>_xlfn.XLOOKUP(B998,'[1]Sheet 1'!$A$2:$A$11107,'[1]Sheet 1'!$D$2:$D$11107,"",0)</f>
        <v>VSS</v>
      </c>
      <c r="D998" s="4" t="str">
        <f>_xlfn.XLOOKUP(A998,[3]Sheet2!$I$2:$I$1623,[3]Sheet2!$D$2:$D$1623,"",0)</f>
        <v>Q4</v>
      </c>
      <c r="F998" s="4" t="e">
        <f>_xlfn.XLOOKUP(B998,[2]Sheet2!$E$2:$E$713,[2]Sheet2!$G$2:$G$713)</f>
        <v>#N/A</v>
      </c>
      <c r="G998" s="22">
        <v>46164</v>
      </c>
      <c r="H998" s="23">
        <v>7.6990740740740735E-2</v>
      </c>
      <c r="I998" t="s">
        <v>11</v>
      </c>
      <c r="J998" s="2" t="str">
        <f t="shared" si="77"/>
        <v>Q3</v>
      </c>
      <c r="K998" s="2" t="str">
        <f t="shared" si="78"/>
        <v>Not Match</v>
      </c>
      <c r="L998" s="1">
        <f t="shared" si="75"/>
        <v>0.12041594578792295</v>
      </c>
      <c r="M998" s="1" t="e">
        <f t="shared" si="76"/>
        <v>#N/A</v>
      </c>
      <c r="N998" s="2" t="str">
        <f t="shared" si="79"/>
        <v>Q NOT OK dE&lt;=0.8</v>
      </c>
      <c r="O998">
        <v>15.85</v>
      </c>
      <c r="P998">
        <v>-0.28999999999999998</v>
      </c>
      <c r="Q998">
        <v>-2.31</v>
      </c>
      <c r="R998">
        <v>0.55000000000000004</v>
      </c>
      <c r="S998">
        <v>-0.01</v>
      </c>
      <c r="T998">
        <v>-0.12</v>
      </c>
      <c r="U998">
        <v>0.16</v>
      </c>
      <c r="V998">
        <v>0.01</v>
      </c>
      <c r="W998">
        <v>0.56999999999999995</v>
      </c>
      <c r="X998" t="s">
        <v>8</v>
      </c>
      <c r="Y998" t="s">
        <v>15</v>
      </c>
      <c r="Z998" s="2" t="s">
        <v>718</v>
      </c>
      <c r="AA998" s="2" t="s">
        <v>721</v>
      </c>
    </row>
    <row r="999" spans="1:27" x14ac:dyDescent="0.35">
      <c r="A999" t="s">
        <v>1626</v>
      </c>
      <c r="B999" t="s">
        <v>1881</v>
      </c>
      <c r="C999" s="7" t="str">
        <f>_xlfn.XLOOKUP(B999,'[1]Sheet 1'!$A$2:$A$11107,'[1]Sheet 1'!$D$2:$D$11107,"",0)</f>
        <v>VSS</v>
      </c>
      <c r="D999" s="4" t="str">
        <f>_xlfn.XLOOKUP(A999,[3]Sheet2!$I$2:$I$1623,[3]Sheet2!$D$2:$D$1623,"",0)</f>
        <v>Q4</v>
      </c>
      <c r="F999" s="4" t="e">
        <f>_xlfn.XLOOKUP(B999,[2]Sheet2!$E$2:$E$713,[2]Sheet2!$G$2:$G$713)</f>
        <v>#N/A</v>
      </c>
      <c r="G999" s="22">
        <v>46164</v>
      </c>
      <c r="H999" s="23">
        <v>0.71280092592592592</v>
      </c>
      <c r="I999" t="s">
        <v>10</v>
      </c>
      <c r="J999" s="2" t="str">
        <f t="shared" si="77"/>
        <v>Q2</v>
      </c>
      <c r="K999" s="2" t="str">
        <f t="shared" si="78"/>
        <v>Not Match</v>
      </c>
      <c r="L999" s="1">
        <f t="shared" si="75"/>
        <v>4.2426406871192854E-2</v>
      </c>
      <c r="M999" s="1" t="e">
        <f t="shared" si="76"/>
        <v>#N/A</v>
      </c>
      <c r="N999" s="2" t="str">
        <f t="shared" si="79"/>
        <v>Q NOT OK dE&lt;=0.8</v>
      </c>
      <c r="O999">
        <v>16.260000000000002</v>
      </c>
      <c r="P999">
        <v>0.56000000000000005</v>
      </c>
      <c r="Q999">
        <v>-1.56</v>
      </c>
      <c r="R999">
        <v>0.67</v>
      </c>
      <c r="S999">
        <v>-0.03</v>
      </c>
      <c r="T999">
        <v>0.03</v>
      </c>
      <c r="U999">
        <v>-0.05</v>
      </c>
      <c r="V999">
        <v>-0.03</v>
      </c>
      <c r="W999">
        <v>0.67</v>
      </c>
      <c r="X999" t="s">
        <v>8</v>
      </c>
      <c r="Y999" t="s">
        <v>15</v>
      </c>
      <c r="Z999" s="2" t="s">
        <v>718</v>
      </c>
      <c r="AA999" s="2" t="s">
        <v>721</v>
      </c>
    </row>
    <row r="1000" spans="1:27" x14ac:dyDescent="0.35">
      <c r="A1000" t="s">
        <v>1587</v>
      </c>
      <c r="B1000" t="s">
        <v>1879</v>
      </c>
      <c r="C1000" s="7" t="str">
        <f>_xlfn.XLOOKUP(B1000,'[1]Sheet 1'!$A$2:$A$11107,'[1]Sheet 1'!$D$2:$D$11107,"",0)</f>
        <v/>
      </c>
      <c r="D1000" s="4" t="str">
        <f>_xlfn.XLOOKUP(A1000,[3]Sheet2!$I$2:$I$1623,[3]Sheet2!$D$2:$D$1623,"",0)</f>
        <v>Q4</v>
      </c>
      <c r="F1000" s="4" t="e">
        <f>_xlfn.XLOOKUP(B1000,[2]Sheet2!$E$2:$E$713,[2]Sheet2!$G$2:$G$713)</f>
        <v>#N/A</v>
      </c>
      <c r="G1000" s="22">
        <v>46164</v>
      </c>
      <c r="H1000" s="23">
        <v>0.69811342592592596</v>
      </c>
      <c r="I1000" t="s">
        <v>5</v>
      </c>
      <c r="J1000" s="2" t="str">
        <f t="shared" si="77"/>
        <v>Q3</v>
      </c>
      <c r="K1000" s="2" t="str">
        <f t="shared" si="78"/>
        <v>Not Match</v>
      </c>
      <c r="L1000" s="1">
        <f t="shared" si="75"/>
        <v>0.18027756377319948</v>
      </c>
      <c r="M1000" s="1" t="e">
        <f t="shared" si="76"/>
        <v>#N/A</v>
      </c>
      <c r="N1000" s="2" t="str">
        <f t="shared" si="79"/>
        <v>Q NOT OK dE&gt;0.8</v>
      </c>
      <c r="O1000">
        <v>16.440000000000001</v>
      </c>
      <c r="P1000">
        <v>-0.9</v>
      </c>
      <c r="Q1000">
        <v>-3.62</v>
      </c>
      <c r="R1000">
        <v>-1.28</v>
      </c>
      <c r="S1000">
        <v>-0.1</v>
      </c>
      <c r="T1000">
        <v>-0.15</v>
      </c>
      <c r="U1000">
        <v>0.19</v>
      </c>
      <c r="V1000">
        <v>-0.08</v>
      </c>
      <c r="W1000">
        <v>1.29</v>
      </c>
      <c r="X1000" t="s">
        <v>6</v>
      </c>
      <c r="Y1000" t="s">
        <v>15</v>
      </c>
      <c r="Z1000" s="2" t="s">
        <v>718</v>
      </c>
      <c r="AA1000" s="2" t="s">
        <v>721</v>
      </c>
    </row>
    <row r="1001" spans="1:27" x14ac:dyDescent="0.35">
      <c r="A1001" t="s">
        <v>1626</v>
      </c>
      <c r="B1001" t="s">
        <v>1876</v>
      </c>
      <c r="C1001" s="7" t="str">
        <f>_xlfn.XLOOKUP(B1001,'[1]Sheet 1'!$A$2:$A$11107,'[1]Sheet 1'!$D$2:$D$11107,"",0)</f>
        <v>VSS</v>
      </c>
      <c r="D1001" s="4" t="str">
        <f>_xlfn.XLOOKUP(A1001,[3]Sheet2!$I$2:$I$1623,[3]Sheet2!$D$2:$D$1623,"",0)</f>
        <v>Q4</v>
      </c>
      <c r="F1001" s="4" t="e">
        <f>_xlfn.XLOOKUP(B1001,[2]Sheet2!$E$2:$E$713,[2]Sheet2!$G$2:$G$713)</f>
        <v>#N/A</v>
      </c>
      <c r="G1001" s="22">
        <v>46164</v>
      </c>
      <c r="H1001" s="23">
        <v>0.50195601851851857</v>
      </c>
      <c r="I1001" t="s">
        <v>10</v>
      </c>
      <c r="J1001" s="2" t="str">
        <f t="shared" si="77"/>
        <v>Q2</v>
      </c>
      <c r="K1001" s="2" t="str">
        <f t="shared" si="78"/>
        <v>Not Match</v>
      </c>
      <c r="L1001" s="1">
        <f t="shared" si="75"/>
        <v>2.2360679774997897E-2</v>
      </c>
      <c r="M1001" s="1" t="e">
        <f t="shared" si="76"/>
        <v>#N/A</v>
      </c>
      <c r="N1001" s="2" t="str">
        <f t="shared" si="79"/>
        <v>Q NOT OK dE&lt;=0.8</v>
      </c>
      <c r="O1001">
        <v>15.26</v>
      </c>
      <c r="P1001">
        <v>0.59</v>
      </c>
      <c r="Q1001">
        <v>-1.57</v>
      </c>
      <c r="R1001">
        <v>-0.31</v>
      </c>
      <c r="S1001">
        <v>-0.01</v>
      </c>
      <c r="T1001">
        <v>0.02</v>
      </c>
      <c r="U1001">
        <v>-0.03</v>
      </c>
      <c r="V1001">
        <v>0</v>
      </c>
      <c r="W1001">
        <v>0.31</v>
      </c>
      <c r="X1001" t="s">
        <v>8</v>
      </c>
      <c r="Y1001" t="s">
        <v>9</v>
      </c>
      <c r="Z1001" s="2" t="s">
        <v>718</v>
      </c>
      <c r="AA1001" s="2" t="s">
        <v>721</v>
      </c>
    </row>
    <row r="1002" spans="1:27" x14ac:dyDescent="0.35">
      <c r="A1002" t="s">
        <v>1823</v>
      </c>
      <c r="B1002" t="s">
        <v>2064</v>
      </c>
      <c r="C1002" s="7" t="str">
        <f>_xlfn.XLOOKUP(B1002,'[1]Sheet 1'!$A$2:$A$11107,'[1]Sheet 1'!$D$2:$D$11107,"",0)</f>
        <v>LBI</v>
      </c>
      <c r="D1002" s="4" t="str">
        <f>_xlfn.XLOOKUP(A1002,[3]Sheet2!$I$2:$I$1623,[3]Sheet2!$D$2:$D$1623,"",0)</f>
        <v>Q3</v>
      </c>
      <c r="F1002" s="4" t="e">
        <f>_xlfn.XLOOKUP(B1002,[2]Sheet2!$E$2:$E$713,[2]Sheet2!$G$2:$G$713)</f>
        <v>#N/A</v>
      </c>
      <c r="G1002" s="22">
        <v>46165</v>
      </c>
      <c r="H1002" s="23">
        <v>0.28273148148148147</v>
      </c>
      <c r="I1002" t="s">
        <v>4</v>
      </c>
      <c r="J1002" s="2" t="str">
        <f t="shared" si="77"/>
        <v>Q2</v>
      </c>
      <c r="K1002" s="2" t="str">
        <f t="shared" si="78"/>
        <v>Not Match</v>
      </c>
      <c r="L1002" s="1">
        <f t="shared" si="75"/>
        <v>0.89899944382630192</v>
      </c>
      <c r="M1002" s="1" t="e">
        <f t="shared" si="76"/>
        <v>#N/A</v>
      </c>
      <c r="N1002" s="2" t="str">
        <f t="shared" si="79"/>
        <v>Q NOT OK dE&gt;0.8</v>
      </c>
      <c r="O1002">
        <v>34.19</v>
      </c>
      <c r="P1002">
        <v>51.44</v>
      </c>
      <c r="Q1002">
        <v>21.35</v>
      </c>
      <c r="R1002">
        <v>-0.97</v>
      </c>
      <c r="S1002">
        <v>-0.39</v>
      </c>
      <c r="T1002">
        <v>0.81</v>
      </c>
      <c r="U1002">
        <v>-0.02</v>
      </c>
      <c r="V1002">
        <v>0.56999999999999995</v>
      </c>
      <c r="W1002">
        <v>1.1299999999999999</v>
      </c>
      <c r="X1002" t="s">
        <v>6</v>
      </c>
      <c r="Y1002" t="s">
        <v>12</v>
      </c>
      <c r="Z1002" s="2" t="s">
        <v>718</v>
      </c>
      <c r="AA1002" s="2" t="s">
        <v>721</v>
      </c>
    </row>
    <row r="1003" spans="1:27" x14ac:dyDescent="0.35">
      <c r="A1003" t="s">
        <v>1823</v>
      </c>
      <c r="B1003" t="s">
        <v>1890</v>
      </c>
      <c r="C1003" s="7" t="str">
        <f>_xlfn.XLOOKUP(B1003,'[1]Sheet 1'!$A$2:$A$11107,'[1]Sheet 1'!$D$2:$D$11107,"",0)</f>
        <v>LBI</v>
      </c>
      <c r="D1003" s="4" t="str">
        <f>_xlfn.XLOOKUP(A1003,[3]Sheet2!$I$2:$I$1623,[3]Sheet2!$D$2:$D$1623,"",0)</f>
        <v>Q3</v>
      </c>
      <c r="F1003" s="4" t="e">
        <f>_xlfn.XLOOKUP(B1003,[2]Sheet2!$E$2:$E$713,[2]Sheet2!$G$2:$G$713)</f>
        <v>#N/A</v>
      </c>
      <c r="G1003" s="22">
        <v>46165</v>
      </c>
      <c r="H1003" s="23">
        <v>0.7129861111111111</v>
      </c>
      <c r="I1003" t="s">
        <v>14</v>
      </c>
      <c r="J1003" s="2" t="str">
        <f t="shared" si="77"/>
        <v>Q3</v>
      </c>
      <c r="K1003" s="2" t="str">
        <f t="shared" si="78"/>
        <v>Match</v>
      </c>
      <c r="L1003" s="1">
        <f t="shared" si="75"/>
        <v>0.72443081105099327</v>
      </c>
      <c r="M1003" s="1" t="e">
        <f t="shared" si="76"/>
        <v>#N/A</v>
      </c>
      <c r="N1003" s="2" t="str">
        <f t="shared" si="79"/>
        <v>Q OK dE&lt;=0.8</v>
      </c>
      <c r="O1003">
        <v>42.42</v>
      </c>
      <c r="P1003">
        <v>46.3</v>
      </c>
      <c r="Q1003">
        <v>30.91</v>
      </c>
      <c r="R1003">
        <v>-0.3</v>
      </c>
      <c r="S1003">
        <v>-0.08</v>
      </c>
      <c r="T1003">
        <v>-0.72</v>
      </c>
      <c r="U1003">
        <v>-0.17</v>
      </c>
      <c r="V1003">
        <v>-0.41</v>
      </c>
      <c r="W1003">
        <v>0.54</v>
      </c>
      <c r="X1003" t="s">
        <v>8</v>
      </c>
      <c r="Y1003" t="s">
        <v>7</v>
      </c>
      <c r="Z1003" s="2" t="s">
        <v>718</v>
      </c>
      <c r="AA1003" s="2" t="s">
        <v>721</v>
      </c>
    </row>
    <row r="1004" spans="1:27" x14ac:dyDescent="0.35">
      <c r="A1004" t="s">
        <v>1509</v>
      </c>
      <c r="B1004" t="s">
        <v>2059</v>
      </c>
      <c r="C1004" s="7" t="str">
        <f>_xlfn.XLOOKUP(B1004,'[1]Sheet 1'!$A$2:$A$11107,'[1]Sheet 1'!$D$2:$D$11107,"",0)</f>
        <v>LBI</v>
      </c>
      <c r="D1004" s="4" t="str">
        <f>_xlfn.XLOOKUP(A1004,[3]Sheet2!$I$2:$I$1623,[3]Sheet2!$D$2:$D$1623,"",0)</f>
        <v>Q2</v>
      </c>
      <c r="F1004" s="4" t="e">
        <f>_xlfn.XLOOKUP(B1004,[2]Sheet2!$E$2:$E$713,[2]Sheet2!$G$2:$G$713)</f>
        <v>#N/A</v>
      </c>
      <c r="G1004" s="22">
        <v>46165</v>
      </c>
      <c r="H1004" s="23">
        <v>0.17449074074074075</v>
      </c>
      <c r="I1004" t="s">
        <v>14</v>
      </c>
      <c r="J1004" s="2" t="str">
        <f t="shared" si="77"/>
        <v>Q1</v>
      </c>
      <c r="K1004" s="2" t="str">
        <f t="shared" si="78"/>
        <v>Not Match</v>
      </c>
      <c r="L1004" s="1">
        <f t="shared" si="75"/>
        <v>0.18027756377319948</v>
      </c>
      <c r="M1004" s="1" t="e">
        <f t="shared" si="76"/>
        <v>#N/A</v>
      </c>
      <c r="N1004" s="2" t="str">
        <f t="shared" si="79"/>
        <v>Q NOT OK dE&lt;=0.8</v>
      </c>
      <c r="O1004">
        <v>15.7</v>
      </c>
      <c r="P1004">
        <v>-0.74</v>
      </c>
      <c r="Q1004">
        <v>-3.06</v>
      </c>
      <c r="R1004">
        <v>-0.68</v>
      </c>
      <c r="S1004">
        <v>0.15</v>
      </c>
      <c r="T1004">
        <v>0.1</v>
      </c>
      <c r="U1004">
        <v>-0.16</v>
      </c>
      <c r="V1004">
        <v>0.15</v>
      </c>
      <c r="W1004">
        <v>0.72</v>
      </c>
      <c r="X1004" t="s">
        <v>8</v>
      </c>
      <c r="Y1004" t="s">
        <v>9</v>
      </c>
      <c r="Z1004" s="2" t="s">
        <v>718</v>
      </c>
      <c r="AA1004" s="2" t="s">
        <v>721</v>
      </c>
    </row>
    <row r="1005" spans="1:27" x14ac:dyDescent="0.35">
      <c r="A1005" t="s">
        <v>2152</v>
      </c>
      <c r="B1005" t="s">
        <v>1889</v>
      </c>
      <c r="C1005" s="7" t="str">
        <f>_xlfn.XLOOKUP(B1005,'[1]Sheet 1'!$A$2:$A$11107,'[1]Sheet 1'!$D$2:$D$11107,"",0)</f>
        <v>LBI</v>
      </c>
      <c r="D1005" s="4" t="str">
        <f>_xlfn.XLOOKUP(A1005,[3]Sheet2!$I$2:$I$1623,[3]Sheet2!$D$2:$D$1623,"",0)</f>
        <v>Q3</v>
      </c>
      <c r="F1005" s="4" t="e">
        <f>_xlfn.XLOOKUP(B1005,[2]Sheet2!$E$2:$E$713,[2]Sheet2!$G$2:$G$713)</f>
        <v>#N/A</v>
      </c>
      <c r="G1005" s="22">
        <v>46165</v>
      </c>
      <c r="H1005" s="23">
        <v>0.70225694444444442</v>
      </c>
      <c r="I1005" t="s">
        <v>14</v>
      </c>
      <c r="J1005" s="2" t="str">
        <f t="shared" si="77"/>
        <v>Q2</v>
      </c>
      <c r="K1005" s="2" t="str">
        <f t="shared" si="78"/>
        <v>Not Match</v>
      </c>
      <c r="L1005" s="1">
        <f t="shared" si="75"/>
        <v>0.49729267036625424</v>
      </c>
      <c r="M1005" s="1" t="e">
        <f t="shared" si="76"/>
        <v>#N/A</v>
      </c>
      <c r="N1005" s="2" t="str">
        <f t="shared" si="79"/>
        <v>Q NOT OK dE&lt;=0.8</v>
      </c>
      <c r="O1005">
        <v>23.87</v>
      </c>
      <c r="P1005">
        <v>-14.6</v>
      </c>
      <c r="Q1005">
        <v>-2.65</v>
      </c>
      <c r="R1005">
        <v>0.4</v>
      </c>
      <c r="S1005">
        <v>-0.48</v>
      </c>
      <c r="T1005">
        <v>0.13</v>
      </c>
      <c r="U1005">
        <v>0.32</v>
      </c>
      <c r="V1005">
        <v>-0.2</v>
      </c>
      <c r="W1005">
        <v>0.55000000000000004</v>
      </c>
      <c r="X1005" t="s">
        <v>8</v>
      </c>
      <c r="Y1005" t="s">
        <v>12</v>
      </c>
      <c r="Z1005" s="2" t="s">
        <v>718</v>
      </c>
      <c r="AA1005" s="2" t="s">
        <v>721</v>
      </c>
    </row>
    <row r="1006" spans="1:27" x14ac:dyDescent="0.35">
      <c r="A1006" t="s">
        <v>2153</v>
      </c>
      <c r="B1006" t="s">
        <v>2057</v>
      </c>
      <c r="C1006" s="7" t="str">
        <f>_xlfn.XLOOKUP(B1006,'[1]Sheet 1'!$A$2:$A$11107,'[1]Sheet 1'!$D$2:$D$11107,"",0)</f>
        <v>LBI</v>
      </c>
      <c r="D1006" s="4" t="str">
        <f>_xlfn.XLOOKUP(A1006,[3]Sheet2!$I$2:$I$1623,[3]Sheet2!$D$2:$D$1623,"",0)</f>
        <v>Q3</v>
      </c>
      <c r="F1006" s="4" t="e">
        <f>_xlfn.XLOOKUP(B1006,[2]Sheet2!$E$2:$E$713,[2]Sheet2!$G$2:$G$713)</f>
        <v>#N/A</v>
      </c>
      <c r="G1006" s="22">
        <v>46165</v>
      </c>
      <c r="H1006" s="23">
        <v>0.17017361111111112</v>
      </c>
      <c r="I1006" t="s">
        <v>4</v>
      </c>
      <c r="J1006" s="2" t="str">
        <f t="shared" si="77"/>
        <v>Q3</v>
      </c>
      <c r="K1006" s="2" t="str">
        <f t="shared" si="78"/>
        <v>Match</v>
      </c>
      <c r="L1006" s="1">
        <f t="shared" si="75"/>
        <v>1.1258774356030057</v>
      </c>
      <c r="M1006" s="1" t="e">
        <f t="shared" si="76"/>
        <v>#N/A</v>
      </c>
      <c r="N1006" s="2" t="str">
        <f t="shared" si="79"/>
        <v>Q OK dE&lt;=0.8</v>
      </c>
      <c r="O1006">
        <v>34.450000000000003</v>
      </c>
      <c r="P1006">
        <v>50.64</v>
      </c>
      <c r="Q1006">
        <v>19.670000000000002</v>
      </c>
      <c r="R1006">
        <v>-0.52</v>
      </c>
      <c r="S1006">
        <v>-1.1000000000000001</v>
      </c>
      <c r="T1006">
        <v>-0.24</v>
      </c>
      <c r="U1006">
        <v>-0.42</v>
      </c>
      <c r="V1006">
        <v>0.11</v>
      </c>
      <c r="W1006">
        <v>0.67</v>
      </c>
      <c r="X1006" t="s">
        <v>8</v>
      </c>
      <c r="Y1006" t="s">
        <v>12</v>
      </c>
      <c r="Z1006" s="2" t="s">
        <v>718</v>
      </c>
      <c r="AA1006" s="2" t="s">
        <v>721</v>
      </c>
    </row>
    <row r="1007" spans="1:27" x14ac:dyDescent="0.35">
      <c r="A1007" t="s">
        <v>1773</v>
      </c>
      <c r="B1007" t="s">
        <v>2063</v>
      </c>
      <c r="C1007" s="7" t="str">
        <f>_xlfn.XLOOKUP(B1007,'[1]Sheet 1'!$A$2:$A$11107,'[1]Sheet 1'!$D$2:$D$11107,"",0)</f>
        <v>NKSKI</v>
      </c>
      <c r="D1007" s="4" t="str">
        <f>_xlfn.XLOOKUP(A1007,[3]Sheet2!$I$2:$I$1623,[3]Sheet2!$D$2:$D$1623,"",0)</f>
        <v>Q3</v>
      </c>
      <c r="F1007" s="4" t="e">
        <f>_xlfn.XLOOKUP(B1007,[2]Sheet2!$E$2:$E$713,[2]Sheet2!$G$2:$G$713)</f>
        <v>#N/A</v>
      </c>
      <c r="G1007" s="22">
        <v>46165</v>
      </c>
      <c r="H1007" s="23">
        <v>0.27847222222222223</v>
      </c>
      <c r="I1007" t="s">
        <v>4</v>
      </c>
      <c r="J1007" s="2" t="str">
        <f t="shared" si="77"/>
        <v>Q1</v>
      </c>
      <c r="K1007" s="2" t="str">
        <f t="shared" si="78"/>
        <v>Not Match</v>
      </c>
      <c r="L1007" s="1">
        <f t="shared" si="75"/>
        <v>0.65520989003524666</v>
      </c>
      <c r="M1007" s="1" t="e">
        <f t="shared" si="76"/>
        <v>#N/A</v>
      </c>
      <c r="N1007" s="2" t="str">
        <f t="shared" si="79"/>
        <v>Q NOT OK dE&gt;0.8</v>
      </c>
      <c r="O1007">
        <v>17.190000000000001</v>
      </c>
      <c r="P1007">
        <v>-1.04</v>
      </c>
      <c r="Q1007">
        <v>-2.21</v>
      </c>
      <c r="R1007">
        <v>-0.23</v>
      </c>
      <c r="S1007">
        <v>0.18</v>
      </c>
      <c r="T1007">
        <v>0.63</v>
      </c>
      <c r="U1007">
        <v>-0.78</v>
      </c>
      <c r="V1007">
        <v>-0.12</v>
      </c>
      <c r="W1007">
        <v>0.82</v>
      </c>
      <c r="X1007" t="s">
        <v>13</v>
      </c>
      <c r="Y1007" t="s">
        <v>15</v>
      </c>
      <c r="Z1007" s="2" t="s">
        <v>718</v>
      </c>
      <c r="AA1007" s="2" t="s">
        <v>721</v>
      </c>
    </row>
    <row r="1008" spans="1:27" x14ac:dyDescent="0.35">
      <c r="A1008" t="s">
        <v>1628</v>
      </c>
      <c r="B1008" t="s">
        <v>1887</v>
      </c>
      <c r="C1008" s="7" t="str">
        <f>_xlfn.XLOOKUP(B1008,'[1]Sheet 1'!$A$2:$A$11107,'[1]Sheet 1'!$D$2:$D$11107,"",0)</f>
        <v>LULU</v>
      </c>
      <c r="D1008" s="4" t="str">
        <f>_xlfn.XLOOKUP(A1008,[3]Sheet2!$I$2:$I$1623,[3]Sheet2!$D$2:$D$1623,"",0)</f>
        <v>Q4</v>
      </c>
      <c r="F1008" s="4" t="e">
        <f>_xlfn.XLOOKUP(B1008,[2]Sheet2!$E$2:$E$713,[2]Sheet2!$G$2:$G$713)</f>
        <v>#N/A</v>
      </c>
      <c r="G1008" s="22">
        <v>46165</v>
      </c>
      <c r="H1008" s="23">
        <v>0.62623842592592593</v>
      </c>
      <c r="I1008" t="s">
        <v>4</v>
      </c>
      <c r="J1008" s="2" t="str">
        <f t="shared" si="77"/>
        <v>Q3</v>
      </c>
      <c r="K1008" s="2" t="str">
        <f t="shared" si="78"/>
        <v>Not Match</v>
      </c>
      <c r="L1008" s="1">
        <f t="shared" si="75"/>
        <v>0.22203603311174516</v>
      </c>
      <c r="M1008" s="1" t="e">
        <f t="shared" si="76"/>
        <v>#N/A</v>
      </c>
      <c r="N1008" s="2" t="str">
        <f t="shared" si="79"/>
        <v>Q NOT OK dE&lt;=0.8</v>
      </c>
      <c r="O1008">
        <v>18.29</v>
      </c>
      <c r="P1008">
        <v>-0.64</v>
      </c>
      <c r="Q1008">
        <v>-2.12</v>
      </c>
      <c r="R1008">
        <v>-0.34</v>
      </c>
      <c r="S1008">
        <v>-0.18</v>
      </c>
      <c r="T1008">
        <v>-0.13</v>
      </c>
      <c r="U1008">
        <v>0.22</v>
      </c>
      <c r="V1008">
        <v>-0.19</v>
      </c>
      <c r="W1008">
        <v>0.45</v>
      </c>
      <c r="X1008" t="s">
        <v>8</v>
      </c>
      <c r="Y1008" t="s">
        <v>15</v>
      </c>
      <c r="Z1008" s="2" t="s">
        <v>718</v>
      </c>
      <c r="AA1008" s="2" t="s">
        <v>721</v>
      </c>
    </row>
    <row r="1009" spans="1:27" x14ac:dyDescent="0.35">
      <c r="A1009" t="s">
        <v>1559</v>
      </c>
      <c r="B1009" t="s">
        <v>1886</v>
      </c>
      <c r="C1009" s="7" t="str">
        <f>_xlfn.XLOOKUP(B1009,'[1]Sheet 1'!$A$2:$A$11107,'[1]Sheet 1'!$D$2:$D$11107,"",0)</f>
        <v>VSS</v>
      </c>
      <c r="D1009" s="4" t="str">
        <f>_xlfn.XLOOKUP(A1009,[3]Sheet2!$I$2:$I$1623,[3]Sheet2!$D$2:$D$1623,"",0)</f>
        <v>Q3</v>
      </c>
      <c r="F1009" s="4" t="e">
        <f>_xlfn.XLOOKUP(B1009,[2]Sheet2!$E$2:$E$713,[2]Sheet2!$G$2:$G$713)</f>
        <v>#N/A</v>
      </c>
      <c r="G1009" s="22">
        <v>46165</v>
      </c>
      <c r="H1009" s="23">
        <v>0.62006944444444445</v>
      </c>
      <c r="I1009" t="s">
        <v>10</v>
      </c>
      <c r="J1009" s="2" t="str">
        <f t="shared" si="77"/>
        <v>Q3</v>
      </c>
      <c r="K1009" s="2" t="str">
        <f t="shared" si="78"/>
        <v>Match</v>
      </c>
      <c r="L1009" s="1">
        <f t="shared" si="75"/>
        <v>0.13453624047073712</v>
      </c>
      <c r="M1009" s="1" t="e">
        <f t="shared" si="76"/>
        <v>#N/A</v>
      </c>
      <c r="N1009" s="2" t="str">
        <f t="shared" si="79"/>
        <v>Q OK dE&lt;=0.8</v>
      </c>
      <c r="O1009">
        <v>17.84</v>
      </c>
      <c r="P1009">
        <v>-7.0000000000000007E-2</v>
      </c>
      <c r="Q1009">
        <v>-2.5299999999999998</v>
      </c>
      <c r="R1009">
        <v>0.47</v>
      </c>
      <c r="S1009">
        <v>-0.09</v>
      </c>
      <c r="T1009">
        <v>-0.1</v>
      </c>
      <c r="U1009">
        <v>0.13</v>
      </c>
      <c r="V1009">
        <v>-0.12</v>
      </c>
      <c r="W1009">
        <v>0.5</v>
      </c>
      <c r="X1009" t="s">
        <v>8</v>
      </c>
      <c r="Y1009" t="s">
        <v>15</v>
      </c>
      <c r="Z1009" s="2" t="s">
        <v>718</v>
      </c>
      <c r="AA1009" s="2" t="s">
        <v>721</v>
      </c>
    </row>
    <row r="1010" spans="1:27" x14ac:dyDescent="0.35">
      <c r="A1010" t="s">
        <v>1543</v>
      </c>
      <c r="B1010" t="s">
        <v>2058</v>
      </c>
      <c r="C1010" s="7" t="str">
        <f>_xlfn.XLOOKUP(B1010,'[1]Sheet 1'!$A$2:$A$11107,'[1]Sheet 1'!$D$2:$D$11107,"",0)</f>
        <v>VSS</v>
      </c>
      <c r="D1010" s="4" t="str">
        <f>_xlfn.XLOOKUP(A1010,[3]Sheet2!$I$2:$I$1623,[3]Sheet2!$D$2:$D$1623,"",0)</f>
        <v>Q3</v>
      </c>
      <c r="F1010" s="4" t="e">
        <f>_xlfn.XLOOKUP(B1010,[2]Sheet2!$E$2:$E$713,[2]Sheet2!$G$2:$G$713)</f>
        <v>#N/A</v>
      </c>
      <c r="G1010" s="22">
        <v>46165</v>
      </c>
      <c r="H1010" s="23">
        <v>0.17256944444444444</v>
      </c>
      <c r="I1010" t="s">
        <v>10</v>
      </c>
      <c r="J1010" s="2" t="str">
        <f t="shared" si="77"/>
        <v>Q1</v>
      </c>
      <c r="K1010" s="2" t="str">
        <f t="shared" si="78"/>
        <v>Not Match</v>
      </c>
      <c r="L1010" s="1">
        <f t="shared" si="75"/>
        <v>0.28635642126552707</v>
      </c>
      <c r="M1010" s="1" t="e">
        <f t="shared" si="76"/>
        <v>#N/A</v>
      </c>
      <c r="N1010" s="2" t="str">
        <f t="shared" si="79"/>
        <v>Q NOT OK dE&lt;=0.8</v>
      </c>
      <c r="O1010">
        <v>26.86</v>
      </c>
      <c r="P1010">
        <v>11.6</v>
      </c>
      <c r="Q1010">
        <v>10.17</v>
      </c>
      <c r="R1010">
        <v>-0.31</v>
      </c>
      <c r="S1010">
        <v>0.26</v>
      </c>
      <c r="T1010">
        <v>0.12</v>
      </c>
      <c r="U1010">
        <v>0.19</v>
      </c>
      <c r="V1010">
        <v>-0.12</v>
      </c>
      <c r="W1010">
        <v>0.38</v>
      </c>
      <c r="X1010" t="s">
        <v>8</v>
      </c>
      <c r="Y1010" t="s">
        <v>9</v>
      </c>
      <c r="Z1010" s="2" t="s">
        <v>718</v>
      </c>
      <c r="AA1010" s="2" t="s">
        <v>721</v>
      </c>
    </row>
    <row r="1011" spans="1:27" x14ac:dyDescent="0.35">
      <c r="A1011" t="s">
        <v>2148</v>
      </c>
      <c r="B1011" t="s">
        <v>1888</v>
      </c>
      <c r="C1011" s="7" t="str">
        <f>_xlfn.XLOOKUP(B1011,'[1]Sheet 1'!$A$2:$A$11107,'[1]Sheet 1'!$D$2:$D$11107,"",0)</f>
        <v>VSS</v>
      </c>
      <c r="D1011" s="4" t="str">
        <f>_xlfn.XLOOKUP(A1011,[3]Sheet2!$I$2:$I$1623,[3]Sheet2!$D$2:$D$1623,"",0)</f>
        <v>Q3</v>
      </c>
      <c r="F1011" s="4" t="e">
        <f>_xlfn.XLOOKUP(B1011,[2]Sheet2!$E$2:$E$713,[2]Sheet2!$G$2:$G$713)</f>
        <v>#N/A</v>
      </c>
      <c r="G1011" s="22">
        <v>46165</v>
      </c>
      <c r="H1011" s="23">
        <v>0.64755787037037038</v>
      </c>
      <c r="I1011" t="s">
        <v>10</v>
      </c>
      <c r="J1011" s="2" t="str">
        <f t="shared" si="77"/>
        <v>Q1</v>
      </c>
      <c r="K1011" s="2" t="str">
        <f t="shared" si="78"/>
        <v>Not Match</v>
      </c>
      <c r="L1011" s="1">
        <f t="shared" si="75"/>
        <v>2.4863829149992163</v>
      </c>
      <c r="M1011" s="1" t="e">
        <f t="shared" si="76"/>
        <v>#N/A</v>
      </c>
      <c r="N1011" s="2" t="str">
        <f t="shared" si="79"/>
        <v>Q NOT OK dE&gt;0.8</v>
      </c>
      <c r="O1011">
        <v>44.8</v>
      </c>
      <c r="P1011">
        <v>55.9</v>
      </c>
      <c r="Q1011">
        <v>40.14</v>
      </c>
      <c r="R1011">
        <v>1.1200000000000001</v>
      </c>
      <c r="S1011">
        <v>1.86</v>
      </c>
      <c r="T1011">
        <v>1.65</v>
      </c>
      <c r="U1011">
        <v>0.85</v>
      </c>
      <c r="V1011">
        <v>0.18</v>
      </c>
      <c r="W1011">
        <v>1.42</v>
      </c>
      <c r="X1011" t="s">
        <v>6</v>
      </c>
      <c r="Y1011" t="s">
        <v>12</v>
      </c>
      <c r="Z1011" s="2" t="s">
        <v>718</v>
      </c>
      <c r="AA1011" s="2" t="s">
        <v>721</v>
      </c>
    </row>
    <row r="1012" spans="1:27" x14ac:dyDescent="0.35">
      <c r="A1012" t="s">
        <v>2148</v>
      </c>
      <c r="B1012" t="s">
        <v>2060</v>
      </c>
      <c r="C1012" s="7" t="str">
        <f>_xlfn.XLOOKUP(B1012,'[1]Sheet 1'!$A$2:$A$11107,'[1]Sheet 1'!$D$2:$D$11107,"",0)</f>
        <v>VSS</v>
      </c>
      <c r="D1012" s="4" t="str">
        <f>_xlfn.XLOOKUP(A1012,[3]Sheet2!$I$2:$I$1623,[3]Sheet2!$D$2:$D$1623,"",0)</f>
        <v>Q3</v>
      </c>
      <c r="F1012" s="4" t="e">
        <f>_xlfn.XLOOKUP(B1012,[2]Sheet2!$E$2:$E$713,[2]Sheet2!$G$2:$G$713)</f>
        <v>#N/A</v>
      </c>
      <c r="G1012" s="22">
        <v>46165</v>
      </c>
      <c r="H1012" s="23">
        <v>0.17708333333333334</v>
      </c>
      <c r="I1012" t="s">
        <v>10</v>
      </c>
      <c r="J1012" s="2" t="str">
        <f t="shared" si="77"/>
        <v>Q4</v>
      </c>
      <c r="K1012" s="2" t="str">
        <f t="shared" si="78"/>
        <v>Not Match</v>
      </c>
      <c r="L1012" s="1">
        <f t="shared" si="75"/>
        <v>1.2954149914216679</v>
      </c>
      <c r="M1012" s="1" t="e">
        <f t="shared" si="76"/>
        <v>#N/A</v>
      </c>
      <c r="N1012" s="2" t="str">
        <f t="shared" si="79"/>
        <v>Q NOT OK dE&gt;0.8</v>
      </c>
      <c r="O1012">
        <v>43.74</v>
      </c>
      <c r="P1012">
        <v>55.29</v>
      </c>
      <c r="Q1012">
        <v>38.15</v>
      </c>
      <c r="R1012">
        <v>0.59</v>
      </c>
      <c r="S1012">
        <v>1.25</v>
      </c>
      <c r="T1012">
        <v>-0.34</v>
      </c>
      <c r="U1012">
        <v>0.28999999999999998</v>
      </c>
      <c r="V1012">
        <v>-0.7</v>
      </c>
      <c r="W1012">
        <v>0.96</v>
      </c>
      <c r="X1012" t="s">
        <v>13</v>
      </c>
      <c r="Y1012" t="s">
        <v>7</v>
      </c>
      <c r="Z1012" s="2" t="s">
        <v>718</v>
      </c>
      <c r="AA1012" s="2" t="s">
        <v>721</v>
      </c>
    </row>
    <row r="1013" spans="1:27" x14ac:dyDescent="0.35">
      <c r="A1013" t="s">
        <v>1545</v>
      </c>
      <c r="B1013" t="s">
        <v>2061</v>
      </c>
      <c r="C1013" s="7" t="str">
        <f>_xlfn.XLOOKUP(B1013,'[1]Sheet 1'!$A$2:$A$11107,'[1]Sheet 1'!$D$2:$D$11107,"",0)</f>
        <v>NIK</v>
      </c>
      <c r="D1013" s="4" t="str">
        <f>_xlfn.XLOOKUP(A1013,[3]Sheet2!$I$2:$I$1623,[3]Sheet2!$D$2:$D$1623,"",0)</f>
        <v>Q2</v>
      </c>
      <c r="F1013" s="4" t="e">
        <f>_xlfn.XLOOKUP(B1013,[2]Sheet2!$E$2:$E$713,[2]Sheet2!$G$2:$G$713)</f>
        <v>#N/A</v>
      </c>
      <c r="G1013" s="22">
        <v>46165</v>
      </c>
      <c r="H1013" s="23">
        <v>0.18178240740740742</v>
      </c>
      <c r="I1013" t="s">
        <v>4</v>
      </c>
      <c r="J1013" s="2" t="str">
        <f t="shared" si="77"/>
        <v>Q4</v>
      </c>
      <c r="K1013" s="2" t="str">
        <f t="shared" si="78"/>
        <v>Not Match</v>
      </c>
      <c r="L1013" s="1">
        <f t="shared" si="75"/>
        <v>0.23706539182259395</v>
      </c>
      <c r="M1013" s="1" t="e">
        <f t="shared" si="76"/>
        <v>#N/A</v>
      </c>
      <c r="N1013" s="2" t="str">
        <f t="shared" si="79"/>
        <v>Q NOT OK dE&lt;=0.8</v>
      </c>
      <c r="O1013">
        <v>18.690000000000001</v>
      </c>
      <c r="P1013">
        <v>-0.78</v>
      </c>
      <c r="Q1013">
        <v>-1.83</v>
      </c>
      <c r="R1013">
        <v>0.21</v>
      </c>
      <c r="S1013">
        <v>0.11</v>
      </c>
      <c r="T1013">
        <v>-0.21</v>
      </c>
      <c r="U1013">
        <v>0.19</v>
      </c>
      <c r="V1013">
        <v>0.25</v>
      </c>
      <c r="W1013">
        <v>0.38</v>
      </c>
      <c r="X1013" t="s">
        <v>8</v>
      </c>
      <c r="Y1013" t="s">
        <v>9</v>
      </c>
      <c r="Z1013" s="2" t="s">
        <v>718</v>
      </c>
      <c r="AA1013" s="2" t="s">
        <v>721</v>
      </c>
    </row>
    <row r="1014" spans="1:27" x14ac:dyDescent="0.35">
      <c r="A1014" t="s">
        <v>1626</v>
      </c>
      <c r="B1014" t="s">
        <v>2062</v>
      </c>
      <c r="C1014" s="7" t="str">
        <f>_xlfn.XLOOKUP(B1014,'[1]Sheet 1'!$A$2:$A$11107,'[1]Sheet 1'!$D$2:$D$11107,"",0)</f>
        <v>VSS</v>
      </c>
      <c r="D1014" s="4" t="str">
        <f>_xlfn.XLOOKUP(A1014,[3]Sheet2!$I$2:$I$1623,[3]Sheet2!$D$2:$D$1623,"",0)</f>
        <v>Q4</v>
      </c>
      <c r="F1014" s="4" t="e">
        <f>_xlfn.XLOOKUP(B1014,[2]Sheet2!$E$2:$E$713,[2]Sheet2!$G$2:$G$713)</f>
        <v>#N/A</v>
      </c>
      <c r="G1014" s="22">
        <v>46165</v>
      </c>
      <c r="H1014" s="23">
        <v>0.27652777777777776</v>
      </c>
      <c r="I1014" t="s">
        <v>10</v>
      </c>
      <c r="J1014" s="2" t="str">
        <f t="shared" si="77"/>
        <v>Q3</v>
      </c>
      <c r="K1014" s="2" t="str">
        <f t="shared" si="78"/>
        <v>Not Match</v>
      </c>
      <c r="L1014" s="1">
        <f t="shared" ref="L1014:L1077" si="80">SQRT(S1014^2+T1014^2)</f>
        <v>0.19313207915827965</v>
      </c>
      <c r="M1014" s="1" t="e">
        <f t="shared" ref="M1014:M1077" si="81">IF(L1014&lt;=F1014,"Within Range","Over Range")</f>
        <v>#N/A</v>
      </c>
      <c r="N1014" s="2" t="str">
        <f t="shared" si="79"/>
        <v>Q NOT OK dE&gt;0.8</v>
      </c>
      <c r="O1014">
        <v>16.37</v>
      </c>
      <c r="P1014">
        <v>0.52</v>
      </c>
      <c r="Q1014">
        <v>-1.77</v>
      </c>
      <c r="R1014">
        <v>0.77</v>
      </c>
      <c r="S1014">
        <v>-7.0000000000000007E-2</v>
      </c>
      <c r="T1014">
        <v>-0.18</v>
      </c>
      <c r="U1014">
        <v>0.2</v>
      </c>
      <c r="V1014">
        <v>-0.17</v>
      </c>
      <c r="W1014">
        <v>0.82</v>
      </c>
      <c r="X1014" t="s">
        <v>13</v>
      </c>
      <c r="Y1014" t="s">
        <v>15</v>
      </c>
      <c r="Z1014" s="2" t="s">
        <v>718</v>
      </c>
      <c r="AA1014" s="2" t="s">
        <v>721</v>
      </c>
    </row>
    <row r="1015" spans="1:27" x14ac:dyDescent="0.35">
      <c r="A1015" t="s">
        <v>2149</v>
      </c>
      <c r="B1015" t="s">
        <v>2049</v>
      </c>
      <c r="C1015" s="7" t="str">
        <f>_xlfn.XLOOKUP(B1015,'[1]Sheet 1'!$A$2:$A$11107,'[1]Sheet 1'!$D$2:$D$11107,"",0)</f>
        <v>LULU</v>
      </c>
      <c r="D1015" s="4" t="str">
        <f>_xlfn.XLOOKUP(A1015,[3]Sheet2!$I$2:$I$1623,[3]Sheet2!$D$2:$D$1623,"",0)</f>
        <v>Q2</v>
      </c>
      <c r="F1015" s="4" t="e">
        <f>_xlfn.XLOOKUP(B1015,[2]Sheet2!$E$2:$E$713,[2]Sheet2!$G$2:$G$713)</f>
        <v>#N/A</v>
      </c>
      <c r="G1015" s="22">
        <v>46165</v>
      </c>
      <c r="H1015" s="23">
        <v>0.2734375</v>
      </c>
      <c r="I1015" t="s">
        <v>4</v>
      </c>
      <c r="J1015" s="2" t="str">
        <f t="shared" si="77"/>
        <v>Q2</v>
      </c>
      <c r="K1015" s="2" t="str">
        <f t="shared" si="78"/>
        <v>Match</v>
      </c>
      <c r="L1015" s="1">
        <f t="shared" si="80"/>
        <v>1.5611854470241515</v>
      </c>
      <c r="M1015" s="1" t="e">
        <f t="shared" si="81"/>
        <v>#N/A</v>
      </c>
      <c r="N1015" s="2" t="str">
        <f t="shared" si="79"/>
        <v>Q OK dE&gt;0.8</v>
      </c>
      <c r="O1015">
        <v>39.68</v>
      </c>
      <c r="P1015">
        <v>-36.409999999999997</v>
      </c>
      <c r="Q1015">
        <v>12.86</v>
      </c>
      <c r="R1015">
        <v>-0.41</v>
      </c>
      <c r="S1015">
        <v>-1.38</v>
      </c>
      <c r="T1015">
        <v>0.73</v>
      </c>
      <c r="U1015">
        <v>0.69</v>
      </c>
      <c r="V1015">
        <v>-0.14000000000000001</v>
      </c>
      <c r="W1015">
        <v>0.81</v>
      </c>
      <c r="X1015" t="s">
        <v>13</v>
      </c>
      <c r="Y1015" t="s">
        <v>12</v>
      </c>
      <c r="Z1015" s="2" t="s">
        <v>718</v>
      </c>
      <c r="AA1015" s="2" t="s">
        <v>721</v>
      </c>
    </row>
    <row r="1016" spans="1:27" x14ac:dyDescent="0.35">
      <c r="A1016" t="s">
        <v>1720</v>
      </c>
      <c r="B1016" t="s">
        <v>1885</v>
      </c>
      <c r="C1016" s="7" t="str">
        <f>_xlfn.XLOOKUP(B1016,'[1]Sheet 1'!$A$2:$A$11107,'[1]Sheet 1'!$D$2:$D$11107,"",0)</f>
        <v>GAP</v>
      </c>
      <c r="D1016" s="4" t="str">
        <f>_xlfn.XLOOKUP(A1016,[3]Sheet2!$I$2:$I$1623,[3]Sheet2!$D$2:$D$1623,"",0)</f>
        <v>Q3</v>
      </c>
      <c r="F1016" s="4" t="e">
        <f>_xlfn.XLOOKUP(B1016,[2]Sheet2!$E$2:$E$713,[2]Sheet2!$G$2:$G$713)</f>
        <v>#N/A</v>
      </c>
      <c r="G1016" s="22">
        <v>46165</v>
      </c>
      <c r="H1016" s="23">
        <v>0.60668981481481477</v>
      </c>
      <c r="I1016" t="s">
        <v>18</v>
      </c>
      <c r="J1016" s="2" t="str">
        <f t="shared" si="77"/>
        <v>Q2</v>
      </c>
      <c r="K1016" s="2" t="str">
        <f t="shared" si="78"/>
        <v>Not Match</v>
      </c>
      <c r="L1016" s="1">
        <f t="shared" si="80"/>
        <v>0.18248287590894657</v>
      </c>
      <c r="M1016" s="1" t="e">
        <f t="shared" si="81"/>
        <v>#N/A</v>
      </c>
      <c r="N1016" s="2" t="str">
        <f t="shared" si="79"/>
        <v>Q NOT OK dE&gt;0.8</v>
      </c>
      <c r="O1016">
        <v>17.11</v>
      </c>
      <c r="P1016">
        <v>-1.01</v>
      </c>
      <c r="Q1016">
        <v>-9.4600000000000009</v>
      </c>
      <c r="R1016">
        <v>0.81</v>
      </c>
      <c r="S1016">
        <v>-0.18</v>
      </c>
      <c r="T1016">
        <v>0.03</v>
      </c>
      <c r="U1016">
        <v>-0.01</v>
      </c>
      <c r="V1016">
        <v>-0.24</v>
      </c>
      <c r="W1016">
        <v>0.85</v>
      </c>
      <c r="X1016" t="s">
        <v>13</v>
      </c>
      <c r="Y1016" t="s">
        <v>15</v>
      </c>
      <c r="Z1016" s="2" t="s">
        <v>718</v>
      </c>
      <c r="AA1016" s="2" t="s">
        <v>721</v>
      </c>
    </row>
    <row r="1017" spans="1:27" x14ac:dyDescent="0.35">
      <c r="A1017" t="s">
        <v>1607</v>
      </c>
      <c r="B1017" t="s">
        <v>1898</v>
      </c>
      <c r="C1017" s="7" t="str">
        <f>_xlfn.XLOOKUP(B1017,'[1]Sheet 1'!$A$2:$A$11107,'[1]Sheet 1'!$D$2:$D$11107,"",0)</f>
        <v>M&amp;S</v>
      </c>
      <c r="D1017" s="4" t="str">
        <f>_xlfn.XLOOKUP(A1017,[3]Sheet2!$I$2:$I$1623,[3]Sheet2!$D$2:$D$1623,"",0)</f>
        <v>Q2</v>
      </c>
      <c r="F1017" s="4" t="e">
        <f>_xlfn.XLOOKUP(B1017,[2]Sheet2!$E$2:$E$713,[2]Sheet2!$G$2:$G$713)</f>
        <v>#N/A</v>
      </c>
      <c r="G1017" s="22">
        <v>46167</v>
      </c>
      <c r="H1017" s="23">
        <v>0.72741898148148143</v>
      </c>
      <c r="I1017" t="s">
        <v>17</v>
      </c>
      <c r="J1017" s="2" t="str">
        <f t="shared" si="77"/>
        <v>Q3</v>
      </c>
      <c r="K1017" s="2" t="str">
        <f t="shared" si="78"/>
        <v>Not Match</v>
      </c>
      <c r="L1017" s="1">
        <f t="shared" si="80"/>
        <v>0.20615528128088303</v>
      </c>
      <c r="M1017" s="1" t="e">
        <f t="shared" si="81"/>
        <v>#N/A</v>
      </c>
      <c r="N1017" s="2" t="str">
        <f t="shared" si="79"/>
        <v>Q NOT OK dE&lt;=0.8</v>
      </c>
      <c r="O1017">
        <v>17.64</v>
      </c>
      <c r="P1017">
        <v>-0.7</v>
      </c>
      <c r="Q1017">
        <v>-9.26</v>
      </c>
      <c r="R1017">
        <v>-0.27</v>
      </c>
      <c r="S1017">
        <v>-0.08</v>
      </c>
      <c r="T1017">
        <v>-0.19</v>
      </c>
      <c r="U1017">
        <v>0.17</v>
      </c>
      <c r="V1017">
        <v>-0.08</v>
      </c>
      <c r="W1017">
        <v>0.33</v>
      </c>
      <c r="X1017" t="s">
        <v>8</v>
      </c>
      <c r="Y1017" t="s">
        <v>15</v>
      </c>
      <c r="Z1017" s="2" t="s">
        <v>718</v>
      </c>
      <c r="AA1017" s="2" t="s">
        <v>721</v>
      </c>
    </row>
    <row r="1018" spans="1:27" x14ac:dyDescent="0.35">
      <c r="A1018" t="s">
        <v>1539</v>
      </c>
      <c r="B1018" t="s">
        <v>1891</v>
      </c>
      <c r="C1018" s="7" t="str">
        <f>_xlfn.XLOOKUP(B1018,'[1]Sheet 1'!$A$2:$A$11107,'[1]Sheet 1'!$D$2:$D$11107,"",0)</f>
        <v>M&amp;S</v>
      </c>
      <c r="D1018" s="4" t="str">
        <f>_xlfn.XLOOKUP(A1018,[3]Sheet2!$I$2:$I$1623,[3]Sheet2!$D$2:$D$1623,"",0)</f>
        <v>Q4</v>
      </c>
      <c r="F1018" s="4" t="e">
        <f>_xlfn.XLOOKUP(B1018,[2]Sheet2!$E$2:$E$713,[2]Sheet2!$G$2:$G$713)</f>
        <v>#N/A</v>
      </c>
      <c r="G1018" s="22">
        <v>46167</v>
      </c>
      <c r="H1018" s="23">
        <v>0.44961805555555556</v>
      </c>
      <c r="I1018" t="s">
        <v>17</v>
      </c>
      <c r="J1018" s="2" t="str">
        <f t="shared" si="77"/>
        <v>Q1</v>
      </c>
      <c r="K1018" s="2" t="str">
        <f t="shared" si="78"/>
        <v>Not Match</v>
      </c>
      <c r="L1018" s="1">
        <f t="shared" si="80"/>
        <v>0.9044888059008801</v>
      </c>
      <c r="M1018" s="1" t="e">
        <f t="shared" si="81"/>
        <v>#N/A</v>
      </c>
      <c r="N1018" s="2" t="str">
        <f t="shared" si="79"/>
        <v>Q NOT OK dE&gt;0.8</v>
      </c>
      <c r="O1018">
        <v>33.950000000000003</v>
      </c>
      <c r="P1018">
        <v>-1.03</v>
      </c>
      <c r="Q1018">
        <v>3.91</v>
      </c>
      <c r="R1018">
        <v>-0.06</v>
      </c>
      <c r="S1018">
        <v>0.09</v>
      </c>
      <c r="T1018">
        <v>0.9</v>
      </c>
      <c r="U1018">
        <v>0.99</v>
      </c>
      <c r="V1018">
        <v>-0.46</v>
      </c>
      <c r="W1018">
        <v>1.1000000000000001</v>
      </c>
      <c r="X1018" t="s">
        <v>6</v>
      </c>
      <c r="Y1018" t="s">
        <v>12</v>
      </c>
      <c r="Z1018" s="2" t="s">
        <v>718</v>
      </c>
      <c r="AA1018" s="2" t="s">
        <v>721</v>
      </c>
    </row>
    <row r="1019" spans="1:27" x14ac:dyDescent="0.35">
      <c r="A1019" t="s">
        <v>1558</v>
      </c>
      <c r="B1019" t="s">
        <v>1897</v>
      </c>
      <c r="C1019" s="7" t="str">
        <f>_xlfn.XLOOKUP(B1019,'[1]Sheet 1'!$A$2:$A$11107,'[1]Sheet 1'!$D$2:$D$11107,"",0)</f>
        <v>M&amp;S</v>
      </c>
      <c r="D1019" s="4" t="str">
        <f>_xlfn.XLOOKUP(A1019,[3]Sheet2!$I$2:$I$1623,[3]Sheet2!$D$2:$D$1623,"",0)</f>
        <v>Q3</v>
      </c>
      <c r="F1019" s="4" t="e">
        <f>_xlfn.XLOOKUP(B1019,[2]Sheet2!$E$2:$E$713,[2]Sheet2!$G$2:$G$713)</f>
        <v>#N/A</v>
      </c>
      <c r="G1019" s="22">
        <v>46167</v>
      </c>
      <c r="H1019" s="23">
        <v>0.71693287037037035</v>
      </c>
      <c r="I1019" t="s">
        <v>17</v>
      </c>
      <c r="J1019" s="2" t="str">
        <f t="shared" si="77"/>
        <v>Q3</v>
      </c>
      <c r="K1019" s="2" t="str">
        <f t="shared" si="78"/>
        <v>Match</v>
      </c>
      <c r="L1019" s="1">
        <f t="shared" si="80"/>
        <v>0.1216552506059644</v>
      </c>
      <c r="M1019" s="1" t="e">
        <f t="shared" si="81"/>
        <v>#N/A</v>
      </c>
      <c r="N1019" s="2" t="str">
        <f t="shared" si="79"/>
        <v>Q OK dE&lt;=0.8</v>
      </c>
      <c r="O1019">
        <v>15.19</v>
      </c>
      <c r="P1019">
        <v>-0.57999999999999996</v>
      </c>
      <c r="Q1019">
        <v>-1.73</v>
      </c>
      <c r="R1019">
        <v>-0.17</v>
      </c>
      <c r="S1019">
        <v>-0.02</v>
      </c>
      <c r="T1019">
        <v>-0.12</v>
      </c>
      <c r="U1019">
        <v>0.16</v>
      </c>
      <c r="V1019">
        <v>0.03</v>
      </c>
      <c r="W1019">
        <v>0.23</v>
      </c>
      <c r="X1019" t="s">
        <v>8</v>
      </c>
      <c r="Y1019" t="s">
        <v>9</v>
      </c>
      <c r="Z1019" s="2" t="s">
        <v>718</v>
      </c>
      <c r="AA1019" s="2" t="s">
        <v>721</v>
      </c>
    </row>
    <row r="1020" spans="1:27" x14ac:dyDescent="0.35">
      <c r="A1020" t="s">
        <v>2157</v>
      </c>
      <c r="B1020" t="s">
        <v>1893</v>
      </c>
      <c r="C1020" s="7" t="str">
        <f>_xlfn.XLOOKUP(B1020,'[1]Sheet 1'!$A$2:$A$11107,'[1]Sheet 1'!$D$2:$D$11107,"",0)</f>
        <v>CHICOS</v>
      </c>
      <c r="D1020" s="4" t="str">
        <f>_xlfn.XLOOKUP(A1020,[3]Sheet2!$I$2:$I$1623,[3]Sheet2!$D$2:$D$1623,"",0)</f>
        <v>Q1</v>
      </c>
      <c r="F1020" s="4" t="e">
        <f>_xlfn.XLOOKUP(B1020,[2]Sheet2!$E$2:$E$713,[2]Sheet2!$G$2:$G$713)</f>
        <v>#N/A</v>
      </c>
      <c r="G1020" s="22">
        <v>46167</v>
      </c>
      <c r="H1020" s="23">
        <v>0.62413194444444442</v>
      </c>
      <c r="I1020" t="s">
        <v>14</v>
      </c>
      <c r="J1020" s="2" t="str">
        <f t="shared" si="77"/>
        <v>Q3</v>
      </c>
      <c r="K1020" s="2" t="str">
        <f t="shared" si="78"/>
        <v>Not Match</v>
      </c>
      <c r="L1020" s="1">
        <f t="shared" si="80"/>
        <v>0.5028916384272063</v>
      </c>
      <c r="M1020" s="1" t="e">
        <f t="shared" si="81"/>
        <v>#N/A</v>
      </c>
      <c r="N1020" s="2" t="str">
        <f t="shared" si="79"/>
        <v>Q NOT OK dE&lt;=0.8</v>
      </c>
      <c r="O1020">
        <v>26.44</v>
      </c>
      <c r="P1020">
        <v>22.09</v>
      </c>
      <c r="Q1020">
        <v>10.029999999999999</v>
      </c>
      <c r="R1020">
        <v>-0.17</v>
      </c>
      <c r="S1020">
        <v>-0.48</v>
      </c>
      <c r="T1020">
        <v>-0.15</v>
      </c>
      <c r="U1020">
        <v>-0.27</v>
      </c>
      <c r="V1020">
        <v>0.06</v>
      </c>
      <c r="W1020">
        <v>0.32</v>
      </c>
      <c r="X1020" t="s">
        <v>8</v>
      </c>
      <c r="Y1020" t="s">
        <v>12</v>
      </c>
      <c r="Z1020" s="2" t="s">
        <v>718</v>
      </c>
      <c r="AA1020" s="2" t="s">
        <v>721</v>
      </c>
    </row>
    <row r="1021" spans="1:27" x14ac:dyDescent="0.35">
      <c r="A1021" t="s">
        <v>1540</v>
      </c>
      <c r="B1021" t="s">
        <v>1896</v>
      </c>
      <c r="C1021" s="7" t="str">
        <f>_xlfn.XLOOKUP(B1021,'[1]Sheet 1'!$A$2:$A$11107,'[1]Sheet 1'!$D$2:$D$11107,"",0)</f>
        <v>VSS</v>
      </c>
      <c r="D1021" s="4" t="str">
        <f>_xlfn.XLOOKUP(A1021,[3]Sheet2!$I$2:$I$1623,[3]Sheet2!$D$2:$D$1623,"",0)</f>
        <v>Q3</v>
      </c>
      <c r="F1021" s="4" t="e">
        <f>_xlfn.XLOOKUP(B1021,[2]Sheet2!$E$2:$E$713,[2]Sheet2!$G$2:$G$713)</f>
        <v>#N/A</v>
      </c>
      <c r="G1021" s="22">
        <v>46167</v>
      </c>
      <c r="H1021" s="23">
        <v>0.69614583333333335</v>
      </c>
      <c r="I1021" t="s">
        <v>10</v>
      </c>
      <c r="J1021" s="2" t="str">
        <f t="shared" si="77"/>
        <v>Q3</v>
      </c>
      <c r="K1021" s="2" t="str">
        <f t="shared" si="78"/>
        <v>Match</v>
      </c>
      <c r="L1021" s="1">
        <f t="shared" si="80"/>
        <v>8.06225774829855E-2</v>
      </c>
      <c r="M1021" s="1" t="e">
        <f t="shared" si="81"/>
        <v>#N/A</v>
      </c>
      <c r="N1021" s="2" t="str">
        <f t="shared" si="79"/>
        <v>Q OK dE&lt;=0.8</v>
      </c>
      <c r="O1021">
        <v>14.5</v>
      </c>
      <c r="P1021">
        <v>0.49</v>
      </c>
      <c r="Q1021">
        <v>-1.34</v>
      </c>
      <c r="R1021">
        <v>-0.04</v>
      </c>
      <c r="S1021">
        <v>-0.01</v>
      </c>
      <c r="T1021">
        <v>-0.08</v>
      </c>
      <c r="U1021">
        <v>0.1</v>
      </c>
      <c r="V1021">
        <v>-0.06</v>
      </c>
      <c r="W1021">
        <v>0.12</v>
      </c>
      <c r="X1021" t="s">
        <v>8</v>
      </c>
      <c r="Y1021" t="s">
        <v>15</v>
      </c>
      <c r="Z1021" s="2" t="s">
        <v>718</v>
      </c>
      <c r="AA1021" s="2" t="s">
        <v>721</v>
      </c>
    </row>
    <row r="1022" spans="1:27" x14ac:dyDescent="0.35">
      <c r="A1022" t="s">
        <v>1540</v>
      </c>
      <c r="B1022" t="s">
        <v>1892</v>
      </c>
      <c r="C1022" s="7" t="str">
        <f>_xlfn.XLOOKUP(B1022,'[1]Sheet 1'!$A$2:$A$11107,'[1]Sheet 1'!$D$2:$D$11107,"",0)</f>
        <v>VSS</v>
      </c>
      <c r="D1022" s="4" t="str">
        <f>_xlfn.XLOOKUP(A1022,[3]Sheet2!$I$2:$I$1623,[3]Sheet2!$D$2:$D$1623,"",0)</f>
        <v>Q3</v>
      </c>
      <c r="F1022" s="4" t="e">
        <f>_xlfn.XLOOKUP(B1022,[2]Sheet2!$E$2:$E$713,[2]Sheet2!$G$2:$G$713)</f>
        <v>#N/A</v>
      </c>
      <c r="G1022" s="22">
        <v>46167</v>
      </c>
      <c r="H1022" s="23">
        <v>0.60229166666666667</v>
      </c>
      <c r="I1022" t="s">
        <v>10</v>
      </c>
      <c r="J1022" s="2" t="str">
        <f t="shared" si="77"/>
        <v>Q1</v>
      </c>
      <c r="K1022" s="2" t="str">
        <f t="shared" si="78"/>
        <v>Not Match</v>
      </c>
      <c r="L1022" s="1">
        <f t="shared" si="80"/>
        <v>0.33955853692699289</v>
      </c>
      <c r="M1022" s="1" t="e">
        <f t="shared" si="81"/>
        <v>#N/A</v>
      </c>
      <c r="N1022" s="2" t="str">
        <f t="shared" si="79"/>
        <v>Q NOT OK dE&lt;=0.8</v>
      </c>
      <c r="O1022">
        <v>14.09</v>
      </c>
      <c r="P1022">
        <v>0.57999999999999996</v>
      </c>
      <c r="Q1022">
        <v>-0.92</v>
      </c>
      <c r="R1022">
        <v>-0.44</v>
      </c>
      <c r="S1022">
        <v>0.08</v>
      </c>
      <c r="T1022">
        <v>0.33</v>
      </c>
      <c r="U1022">
        <v>-0.36</v>
      </c>
      <c r="V1022">
        <v>0.31</v>
      </c>
      <c r="W1022">
        <v>0.64</v>
      </c>
      <c r="X1022" t="s">
        <v>8</v>
      </c>
      <c r="Y1022" t="s">
        <v>9</v>
      </c>
      <c r="Z1022" s="2" t="s">
        <v>718</v>
      </c>
      <c r="AA1022" s="2" t="s">
        <v>721</v>
      </c>
    </row>
    <row r="1023" spans="1:27" x14ac:dyDescent="0.35">
      <c r="A1023" t="s">
        <v>2148</v>
      </c>
      <c r="B1023" t="s">
        <v>1899</v>
      </c>
      <c r="C1023" s="7" t="str">
        <f>_xlfn.XLOOKUP(B1023,'[1]Sheet 1'!$A$2:$A$11107,'[1]Sheet 1'!$D$2:$D$11107,"",0)</f>
        <v>VSS</v>
      </c>
      <c r="D1023" s="4" t="str">
        <f>_xlfn.XLOOKUP(A1023,[3]Sheet2!$I$2:$I$1623,[3]Sheet2!$D$2:$D$1623,"",0)</f>
        <v>Q3</v>
      </c>
      <c r="F1023" s="4" t="e">
        <f>_xlfn.XLOOKUP(B1023,[2]Sheet2!$E$2:$E$713,[2]Sheet2!$G$2:$G$713)</f>
        <v>#N/A</v>
      </c>
      <c r="G1023" s="22">
        <v>46167</v>
      </c>
      <c r="H1023" s="23">
        <v>0.78872685185185187</v>
      </c>
      <c r="I1023" t="s">
        <v>10</v>
      </c>
      <c r="J1023" s="2" t="str">
        <f t="shared" ref="J1023:J1085" si="82">IF(OR(S1023=0,T1023=0),D1023,IF(AND(S1023&gt;0,T1023&gt;0),"Q1",IF(AND(S1023&lt;0,T1023&gt;0),"Q2",IF(AND(S1023&lt;0,T1023&lt;0),"Q3",IF(AND(S1023&gt;0,T1023&lt;0),"Q4","")))))</f>
        <v>Q1</v>
      </c>
      <c r="K1023" s="2" t="str">
        <f t="shared" ref="K1023:K1085" si="83">IF(J1023=D1023,"Match",IF(AND(J1023=0,D1023="Match"),"da and db 0",IF(D1023=0,"Not Found","Not Match")))</f>
        <v>Not Match</v>
      </c>
      <c r="L1023" s="1">
        <f t="shared" si="80"/>
        <v>1.6220049321749919</v>
      </c>
      <c r="M1023" s="1" t="e">
        <f t="shared" si="81"/>
        <v>#N/A</v>
      </c>
      <c r="N1023" s="2" t="str">
        <f t="shared" ref="N1023:N1085" si="84">IF(D1023=0,"Quadrant not assigned",IF(AND(K1023="Match",W1023&lt;=0.8),"Q OK dE&lt;=0.8",IF(AND(K1023="Match",W1023&gt;0.8),"Q OK dE&gt;0.8",IF(AND(K1023="Not Match",W1023&lt;=0.8),"Q NOT OK dE&lt;=0.8","Q NOT OK dE&gt;0.8"))))</f>
        <v>Q NOT OK dE&lt;=0.8</v>
      </c>
      <c r="O1023">
        <v>42.49</v>
      </c>
      <c r="P1023">
        <v>55.35</v>
      </c>
      <c r="Q1023">
        <v>39.46</v>
      </c>
      <c r="R1023">
        <v>-0.04</v>
      </c>
      <c r="S1023">
        <v>1.3</v>
      </c>
      <c r="T1023">
        <v>0.97</v>
      </c>
      <c r="U1023">
        <v>0.56000000000000005</v>
      </c>
      <c r="V1023">
        <v>0.02</v>
      </c>
      <c r="W1023">
        <v>0.56000000000000005</v>
      </c>
      <c r="X1023" t="s">
        <v>8</v>
      </c>
      <c r="Y1023" t="s">
        <v>12</v>
      </c>
      <c r="Z1023" s="2" t="s">
        <v>718</v>
      </c>
      <c r="AA1023" s="2" t="s">
        <v>721</v>
      </c>
    </row>
    <row r="1024" spans="1:27" x14ac:dyDescent="0.35">
      <c r="A1024" t="s">
        <v>1500</v>
      </c>
      <c r="B1024" t="s">
        <v>1894</v>
      </c>
      <c r="C1024" s="7" t="str">
        <f>_xlfn.XLOOKUP(B1024,'[1]Sheet 1'!$A$2:$A$11107,'[1]Sheet 1'!$D$2:$D$11107,"",0)</f>
        <v>LULU</v>
      </c>
      <c r="D1024" s="4" t="str">
        <f>_xlfn.XLOOKUP(A1024,[3]Sheet2!$I$2:$I$1623,[3]Sheet2!$D$2:$D$1623,"",0)</f>
        <v>Q2</v>
      </c>
      <c r="F1024" s="4" t="e">
        <f>_xlfn.XLOOKUP(B1024,[2]Sheet2!$E$2:$E$713,[2]Sheet2!$G$2:$G$713)</f>
        <v>#N/A</v>
      </c>
      <c r="G1024" s="22">
        <v>46167</v>
      </c>
      <c r="H1024" s="23">
        <v>0.63564814814814818</v>
      </c>
      <c r="I1024" t="s">
        <v>4</v>
      </c>
      <c r="J1024" s="2" t="str">
        <f t="shared" si="82"/>
        <v>Q1</v>
      </c>
      <c r="K1024" s="2" t="str">
        <f t="shared" si="83"/>
        <v>Not Match</v>
      </c>
      <c r="L1024" s="1">
        <f t="shared" si="80"/>
        <v>0.53</v>
      </c>
      <c r="M1024" s="1" t="e">
        <f t="shared" si="81"/>
        <v>#N/A</v>
      </c>
      <c r="N1024" s="2" t="str">
        <f t="shared" si="84"/>
        <v>Q NOT OK dE&lt;=0.8</v>
      </c>
      <c r="O1024">
        <v>18.13</v>
      </c>
      <c r="P1024">
        <v>-0.69</v>
      </c>
      <c r="Q1024">
        <v>-0.56000000000000005</v>
      </c>
      <c r="R1024">
        <v>0.06</v>
      </c>
      <c r="S1024">
        <v>0.28000000000000003</v>
      </c>
      <c r="T1024">
        <v>0.45</v>
      </c>
      <c r="U1024">
        <v>-0.7</v>
      </c>
      <c r="V1024">
        <v>-0.18</v>
      </c>
      <c r="W1024">
        <v>0.73</v>
      </c>
      <c r="X1024" t="s">
        <v>8</v>
      </c>
      <c r="Y1024" t="s">
        <v>12</v>
      </c>
      <c r="Z1024" s="2" t="s">
        <v>718</v>
      </c>
      <c r="AA1024" s="2" t="s">
        <v>721</v>
      </c>
    </row>
    <row r="1025" spans="1:27" x14ac:dyDescent="0.35">
      <c r="A1025" t="s">
        <v>2158</v>
      </c>
      <c r="B1025" t="s">
        <v>2068</v>
      </c>
      <c r="C1025" s="7" t="str">
        <f>_xlfn.XLOOKUP(B1025,'[1]Sheet 1'!$A$2:$A$11107,'[1]Sheet 1'!$D$2:$D$11107,"",0)</f>
        <v>CHICOS</v>
      </c>
      <c r="D1025" s="4" t="s">
        <v>2423</v>
      </c>
      <c r="F1025" s="4" t="e">
        <f>_xlfn.XLOOKUP(B1025,[2]Sheet2!$E$2:$E$713,[2]Sheet2!$G$2:$G$713)</f>
        <v>#N/A</v>
      </c>
      <c r="G1025" s="22">
        <v>46168</v>
      </c>
      <c r="H1025" s="23">
        <v>9.0289351851851857E-2</v>
      </c>
      <c r="I1025" t="s">
        <v>4</v>
      </c>
      <c r="J1025" s="2" t="str">
        <f t="shared" si="82"/>
        <v>Q3</v>
      </c>
      <c r="K1025" s="2" t="str">
        <f t="shared" si="83"/>
        <v>Match</v>
      </c>
      <c r="L1025" s="1">
        <f t="shared" si="80"/>
        <v>0.38013155617496425</v>
      </c>
      <c r="M1025" s="1" t="e">
        <f t="shared" si="81"/>
        <v>#N/A</v>
      </c>
      <c r="N1025" s="2" t="str">
        <f t="shared" si="84"/>
        <v>Q OK dE&gt;0.8</v>
      </c>
      <c r="O1025">
        <v>45.46</v>
      </c>
      <c r="P1025">
        <v>4.3600000000000003</v>
      </c>
      <c r="Q1025">
        <v>5.05</v>
      </c>
      <c r="R1025">
        <v>-0.86</v>
      </c>
      <c r="S1025">
        <v>-0.34</v>
      </c>
      <c r="T1025">
        <v>-0.17</v>
      </c>
      <c r="U1025">
        <v>-0.34</v>
      </c>
      <c r="V1025">
        <v>0.24</v>
      </c>
      <c r="W1025">
        <v>0.95</v>
      </c>
      <c r="X1025" t="s">
        <v>13</v>
      </c>
      <c r="Y1025" t="s">
        <v>12</v>
      </c>
      <c r="Z1025" s="2" t="s">
        <v>718</v>
      </c>
      <c r="AA1025" s="2" t="s">
        <v>721</v>
      </c>
    </row>
    <row r="1026" spans="1:27" x14ac:dyDescent="0.35">
      <c r="A1026" t="s">
        <v>1662</v>
      </c>
      <c r="B1026" t="s">
        <v>1903</v>
      </c>
      <c r="C1026" s="7" t="str">
        <f>_xlfn.XLOOKUP(B1026,'[1]Sheet 1'!$A$2:$A$11107,'[1]Sheet 1'!$D$2:$D$11107,"",0)</f>
        <v>CK</v>
      </c>
      <c r="D1026" s="4" t="str">
        <f>_xlfn.XLOOKUP(A1026,[3]Sheet2!$I$2:$I$1623,[3]Sheet2!$D$2:$D$1623,"",0)</f>
        <v>Q1</v>
      </c>
      <c r="F1026" s="4" t="e">
        <f>_xlfn.XLOOKUP(B1026,[2]Sheet2!$E$2:$E$713,[2]Sheet2!$G$2:$G$713)</f>
        <v>#N/A</v>
      </c>
      <c r="G1026" s="22">
        <v>46168</v>
      </c>
      <c r="H1026" s="23">
        <v>0.6902314814814815</v>
      </c>
      <c r="I1026" t="s">
        <v>11</v>
      </c>
      <c r="J1026" s="2" t="str">
        <f t="shared" si="82"/>
        <v>Q4</v>
      </c>
      <c r="K1026" s="2" t="str">
        <f t="shared" si="83"/>
        <v>Not Match</v>
      </c>
      <c r="L1026" s="1">
        <f t="shared" si="80"/>
        <v>0.47381430961928539</v>
      </c>
      <c r="M1026" s="1" t="e">
        <f t="shared" si="81"/>
        <v>#N/A</v>
      </c>
      <c r="N1026" s="2" t="str">
        <f t="shared" si="84"/>
        <v>Q NOT OK dE&lt;=0.8</v>
      </c>
      <c r="O1026">
        <v>17.059999999999999</v>
      </c>
      <c r="P1026">
        <v>-1.06</v>
      </c>
      <c r="Q1026">
        <v>-3.02</v>
      </c>
      <c r="R1026">
        <v>0.09</v>
      </c>
      <c r="S1026">
        <v>0.34</v>
      </c>
      <c r="T1026">
        <v>-0.33</v>
      </c>
      <c r="U1026">
        <v>0.2</v>
      </c>
      <c r="V1026">
        <v>0.57999999999999996</v>
      </c>
      <c r="W1026">
        <v>0.62</v>
      </c>
      <c r="X1026" t="s">
        <v>8</v>
      </c>
      <c r="Y1026" t="s">
        <v>9</v>
      </c>
      <c r="Z1026" s="2" t="s">
        <v>718</v>
      </c>
      <c r="AA1026" s="2" t="s">
        <v>721</v>
      </c>
    </row>
    <row r="1027" spans="1:27" x14ac:dyDescent="0.35">
      <c r="A1027" t="s">
        <v>1557</v>
      </c>
      <c r="B1027" t="s">
        <v>2078</v>
      </c>
      <c r="C1027" s="7" t="str">
        <f>_xlfn.XLOOKUP(B1027,'[1]Sheet 1'!$A$2:$A$11107,'[1]Sheet 1'!$D$2:$D$11107,"",0)</f>
        <v>M&amp;S</v>
      </c>
      <c r="D1027" s="4" t="str">
        <f>_xlfn.XLOOKUP(A1027,[3]Sheet2!$I$2:$I$1623,[3]Sheet2!$D$2:$D$1623,"",0)</f>
        <v>Q3</v>
      </c>
      <c r="F1027" s="4" t="e">
        <f>_xlfn.XLOOKUP(B1027,[2]Sheet2!$E$2:$E$713,[2]Sheet2!$G$2:$G$713)</f>
        <v>#N/A</v>
      </c>
      <c r="G1027" s="22">
        <v>46168</v>
      </c>
      <c r="H1027" s="23">
        <v>0.76393518518518522</v>
      </c>
      <c r="I1027" t="s">
        <v>17</v>
      </c>
      <c r="J1027" s="2" t="str">
        <f t="shared" si="82"/>
        <v>Q3</v>
      </c>
      <c r="K1027" s="2" t="str">
        <f t="shared" si="83"/>
        <v>Match</v>
      </c>
      <c r="L1027" s="1">
        <f t="shared" si="80"/>
        <v>0.15033296378372907</v>
      </c>
      <c r="M1027" s="1" t="e">
        <f t="shared" si="81"/>
        <v>#N/A</v>
      </c>
      <c r="N1027" s="2" t="str">
        <f t="shared" si="84"/>
        <v>Q OK dE&lt;=0.8</v>
      </c>
      <c r="O1027">
        <v>14.83</v>
      </c>
      <c r="P1027">
        <v>-0.6</v>
      </c>
      <c r="Q1027">
        <v>-1.85</v>
      </c>
      <c r="R1027">
        <v>-0.52</v>
      </c>
      <c r="S1027">
        <v>-0.01</v>
      </c>
      <c r="T1027">
        <v>-0.15</v>
      </c>
      <c r="U1027">
        <v>0.19</v>
      </c>
      <c r="V1027">
        <v>0.05</v>
      </c>
      <c r="W1027">
        <v>0.55000000000000004</v>
      </c>
      <c r="X1027" t="s">
        <v>8</v>
      </c>
      <c r="Y1027" t="s">
        <v>9</v>
      </c>
      <c r="Z1027" s="2" t="s">
        <v>718</v>
      </c>
      <c r="AA1027" s="2" t="s">
        <v>721</v>
      </c>
    </row>
    <row r="1028" spans="1:27" x14ac:dyDescent="0.35">
      <c r="A1028" t="s">
        <v>1558</v>
      </c>
      <c r="B1028" t="s">
        <v>1904</v>
      </c>
      <c r="C1028" s="7" t="str">
        <f>_xlfn.XLOOKUP(B1028,'[1]Sheet 1'!$A$2:$A$11107,'[1]Sheet 1'!$D$2:$D$11107,"",0)</f>
        <v>M&amp;S</v>
      </c>
      <c r="D1028" s="4" t="str">
        <f>_xlfn.XLOOKUP(A1028,[3]Sheet2!$I$2:$I$1623,[3]Sheet2!$D$2:$D$1623,"",0)</f>
        <v>Q3</v>
      </c>
      <c r="F1028" s="4" t="e">
        <f>_xlfn.XLOOKUP(B1028,[2]Sheet2!$E$2:$E$713,[2]Sheet2!$G$2:$G$713)</f>
        <v>#N/A</v>
      </c>
      <c r="G1028" s="22">
        <v>46168</v>
      </c>
      <c r="H1028" s="23">
        <v>0.73319444444444448</v>
      </c>
      <c r="I1028" t="s">
        <v>17</v>
      </c>
      <c r="J1028" s="2" t="str">
        <f t="shared" si="82"/>
        <v>Q3</v>
      </c>
      <c r="K1028" s="2" t="str">
        <f t="shared" si="83"/>
        <v>Match</v>
      </c>
      <c r="L1028" s="1">
        <f t="shared" si="80"/>
        <v>0.22847319317591724</v>
      </c>
      <c r="M1028" s="1" t="e">
        <f t="shared" si="81"/>
        <v>#N/A</v>
      </c>
      <c r="N1028" s="2" t="str">
        <f t="shared" si="84"/>
        <v>Q OK dE&lt;=0.8</v>
      </c>
      <c r="O1028">
        <v>14.89</v>
      </c>
      <c r="P1028">
        <v>-0.65</v>
      </c>
      <c r="Q1028">
        <v>-1.83</v>
      </c>
      <c r="R1028">
        <v>-0.47</v>
      </c>
      <c r="S1028">
        <v>-0.09</v>
      </c>
      <c r="T1028">
        <v>-0.21</v>
      </c>
      <c r="U1028">
        <v>0.3</v>
      </c>
      <c r="V1028">
        <v>-0.02</v>
      </c>
      <c r="W1028">
        <v>0.56000000000000005</v>
      </c>
      <c r="X1028" t="s">
        <v>8</v>
      </c>
      <c r="Y1028" t="s">
        <v>15</v>
      </c>
      <c r="Z1028" s="2" t="s">
        <v>718</v>
      </c>
      <c r="AA1028" s="2" t="s">
        <v>721</v>
      </c>
    </row>
    <row r="1029" spans="1:27" x14ac:dyDescent="0.35">
      <c r="A1029" t="s">
        <v>1558</v>
      </c>
      <c r="B1029" t="s">
        <v>2079</v>
      </c>
      <c r="C1029" s="7" t="str">
        <f>_xlfn.XLOOKUP(B1029,'[1]Sheet 1'!$A$2:$A$11107,'[1]Sheet 1'!$D$2:$D$11107,"",0)</f>
        <v>M&amp;S</v>
      </c>
      <c r="D1029" s="4" t="str">
        <f>_xlfn.XLOOKUP(A1029,[3]Sheet2!$I$2:$I$1623,[3]Sheet2!$D$2:$D$1623,"",0)</f>
        <v>Q3</v>
      </c>
      <c r="F1029" s="4" t="e">
        <f>_xlfn.XLOOKUP(B1029,[2]Sheet2!$E$2:$E$713,[2]Sheet2!$G$2:$G$713)</f>
        <v>#N/A</v>
      </c>
      <c r="G1029" s="22">
        <v>46168</v>
      </c>
      <c r="H1029" s="23">
        <v>0.77877314814814813</v>
      </c>
      <c r="I1029" t="s">
        <v>17</v>
      </c>
      <c r="J1029" s="2" t="str">
        <f t="shared" si="82"/>
        <v>Q3</v>
      </c>
      <c r="K1029" s="2" t="str">
        <f t="shared" si="83"/>
        <v>Match</v>
      </c>
      <c r="L1029" s="1">
        <f t="shared" si="80"/>
        <v>0.34713109915419565</v>
      </c>
      <c r="M1029" s="1" t="e">
        <f t="shared" si="81"/>
        <v>#N/A</v>
      </c>
      <c r="N1029" s="2" t="str">
        <f t="shared" si="84"/>
        <v>Q OK dE&gt;0.8</v>
      </c>
      <c r="O1029">
        <v>14.56</v>
      </c>
      <c r="P1029">
        <v>-0.63</v>
      </c>
      <c r="Q1029">
        <v>-1.96</v>
      </c>
      <c r="R1029">
        <v>-0.79</v>
      </c>
      <c r="S1029">
        <v>-7.0000000000000007E-2</v>
      </c>
      <c r="T1029">
        <v>-0.34</v>
      </c>
      <c r="U1029">
        <v>0.46</v>
      </c>
      <c r="V1029">
        <v>0.06</v>
      </c>
      <c r="W1029">
        <v>0.92</v>
      </c>
      <c r="X1029" t="s">
        <v>13</v>
      </c>
      <c r="Y1029" t="s">
        <v>9</v>
      </c>
      <c r="Z1029" s="2" t="s">
        <v>718</v>
      </c>
      <c r="AA1029" s="2" t="s">
        <v>721</v>
      </c>
    </row>
    <row r="1030" spans="1:27" x14ac:dyDescent="0.35">
      <c r="A1030" t="s">
        <v>2157</v>
      </c>
      <c r="B1030" t="s">
        <v>2073</v>
      </c>
      <c r="C1030" s="7" t="str">
        <f>_xlfn.XLOOKUP(B1030,'[1]Sheet 1'!$A$2:$A$11107,'[1]Sheet 1'!$D$2:$D$11107,"",0)</f>
        <v>CHICOS</v>
      </c>
      <c r="D1030" s="4" t="str">
        <f>_xlfn.XLOOKUP(A1030,[3]Sheet2!$I$2:$I$1623,[3]Sheet2!$D$2:$D$1623,"",0)</f>
        <v>Q1</v>
      </c>
      <c r="F1030" s="4" t="e">
        <f>_xlfn.XLOOKUP(B1030,[2]Sheet2!$E$2:$E$713,[2]Sheet2!$G$2:$G$713)</f>
        <v>#N/A</v>
      </c>
      <c r="G1030" s="22">
        <v>46168</v>
      </c>
      <c r="H1030" s="23">
        <v>0.27899305555555554</v>
      </c>
      <c r="I1030" t="s">
        <v>14</v>
      </c>
      <c r="J1030" s="2" t="str">
        <f t="shared" si="82"/>
        <v>Q2</v>
      </c>
      <c r="K1030" s="2" t="str">
        <f t="shared" si="83"/>
        <v>Not Match</v>
      </c>
      <c r="L1030" s="1">
        <f t="shared" si="80"/>
        <v>0.70519500849055938</v>
      </c>
      <c r="M1030" s="1" t="e">
        <f t="shared" si="81"/>
        <v>#N/A</v>
      </c>
      <c r="N1030" s="2" t="str">
        <f t="shared" si="84"/>
        <v>Q NOT OK dE&lt;=0.8</v>
      </c>
      <c r="O1030">
        <v>25.97</v>
      </c>
      <c r="P1030">
        <v>21.9</v>
      </c>
      <c r="Q1030">
        <v>10.4</v>
      </c>
      <c r="R1030">
        <v>-0.48</v>
      </c>
      <c r="S1030">
        <v>-0.67</v>
      </c>
      <c r="T1030">
        <v>0.22</v>
      </c>
      <c r="U1030">
        <v>-0.28000000000000003</v>
      </c>
      <c r="V1030">
        <v>0.46</v>
      </c>
      <c r="W1030">
        <v>0.72</v>
      </c>
      <c r="X1030" t="s">
        <v>8</v>
      </c>
      <c r="Y1030" t="s">
        <v>12</v>
      </c>
      <c r="Z1030" s="2" t="s">
        <v>718</v>
      </c>
      <c r="AA1030" s="2" t="s">
        <v>721</v>
      </c>
    </row>
    <row r="1031" spans="1:27" x14ac:dyDescent="0.35">
      <c r="A1031" t="s">
        <v>2159</v>
      </c>
      <c r="B1031" t="s">
        <v>1905</v>
      </c>
      <c r="C1031" s="7" t="str">
        <f>_xlfn.XLOOKUP(B1031,'[1]Sheet 1'!$A$2:$A$11107,'[1]Sheet 1'!$D$2:$D$11107,"",0)</f>
        <v>WACE</v>
      </c>
      <c r="D1031" s="4">
        <v>0</v>
      </c>
      <c r="F1031" s="4" t="e">
        <f>_xlfn.XLOOKUP(B1031,[2]Sheet2!$E$2:$E$713,[2]Sheet2!$G$2:$G$713)</f>
        <v>#N/A</v>
      </c>
      <c r="G1031" s="22">
        <v>46168</v>
      </c>
      <c r="H1031" s="23">
        <v>0.78134259259259264</v>
      </c>
      <c r="I1031" t="s">
        <v>4</v>
      </c>
      <c r="J1031" s="2" t="str">
        <f t="shared" si="82"/>
        <v>Q3</v>
      </c>
      <c r="K1031" s="2" t="str">
        <f t="shared" si="83"/>
        <v>Not Found</v>
      </c>
      <c r="L1031" s="1">
        <f t="shared" si="80"/>
        <v>0.46529560496527367</v>
      </c>
      <c r="M1031" s="1" t="e">
        <f t="shared" si="81"/>
        <v>#N/A</v>
      </c>
      <c r="N1031" s="2" t="str">
        <f t="shared" si="84"/>
        <v>Quadrant not assigned</v>
      </c>
      <c r="O1031">
        <v>27.56</v>
      </c>
      <c r="P1031">
        <v>-14.09</v>
      </c>
      <c r="Q1031">
        <v>-6.3</v>
      </c>
      <c r="R1031">
        <v>-0.03</v>
      </c>
      <c r="S1031">
        <v>-0.46</v>
      </c>
      <c r="T1031">
        <v>-7.0000000000000007E-2</v>
      </c>
      <c r="U1031">
        <v>0.31</v>
      </c>
      <c r="V1031">
        <v>-0.11</v>
      </c>
      <c r="W1031">
        <v>0.34</v>
      </c>
      <c r="X1031" t="s">
        <v>8</v>
      </c>
      <c r="Y1031" t="s">
        <v>12</v>
      </c>
      <c r="Z1031" s="2" t="s">
        <v>718</v>
      </c>
      <c r="AA1031" s="2" t="s">
        <v>721</v>
      </c>
    </row>
    <row r="1032" spans="1:27" x14ac:dyDescent="0.35">
      <c r="A1032" t="s">
        <v>1655</v>
      </c>
      <c r="B1032" t="s">
        <v>1902</v>
      </c>
      <c r="C1032" s="7" t="str">
        <f>_xlfn.XLOOKUP(B1032,'[1]Sheet 1'!$A$2:$A$11107,'[1]Sheet 1'!$D$2:$D$11107,"",0)</f>
        <v>PINK</v>
      </c>
      <c r="D1032" s="4" t="str">
        <f>_xlfn.XLOOKUP(A1032,[3]Sheet2!$I$2:$I$1623,[3]Sheet2!$D$2:$D$1623,"",0)</f>
        <v>Q3</v>
      </c>
      <c r="F1032" s="4" t="e">
        <f>_xlfn.XLOOKUP(B1032,[2]Sheet2!$E$2:$E$713,[2]Sheet2!$G$2:$G$713)</f>
        <v>#N/A</v>
      </c>
      <c r="G1032" s="22">
        <v>46168</v>
      </c>
      <c r="H1032" s="23">
        <v>0.62493055555555554</v>
      </c>
      <c r="I1032" t="s">
        <v>4</v>
      </c>
      <c r="J1032" s="2" t="str">
        <f t="shared" si="82"/>
        <v>Q4</v>
      </c>
      <c r="K1032" s="2" t="str">
        <f t="shared" si="83"/>
        <v>Not Match</v>
      </c>
      <c r="L1032" s="1">
        <f t="shared" si="80"/>
        <v>0.20591260281974</v>
      </c>
      <c r="M1032" s="1" t="e">
        <f t="shared" si="81"/>
        <v>#N/A</v>
      </c>
      <c r="N1032" s="2" t="str">
        <f t="shared" si="84"/>
        <v>Q NOT OK dE&lt;=0.8</v>
      </c>
      <c r="O1032">
        <v>13.92</v>
      </c>
      <c r="P1032">
        <v>-0.69</v>
      </c>
      <c r="Q1032">
        <v>-0.86</v>
      </c>
      <c r="R1032">
        <v>-0.23</v>
      </c>
      <c r="S1032">
        <v>0.1</v>
      </c>
      <c r="T1032">
        <v>-0.18</v>
      </c>
      <c r="U1032">
        <v>0.08</v>
      </c>
      <c r="V1032">
        <v>0.28000000000000003</v>
      </c>
      <c r="W1032">
        <v>0.37</v>
      </c>
      <c r="X1032" t="s">
        <v>8</v>
      </c>
      <c r="Y1032" t="s">
        <v>7</v>
      </c>
      <c r="Z1032" s="2" t="s">
        <v>718</v>
      </c>
      <c r="AA1032" s="2" t="s">
        <v>721</v>
      </c>
    </row>
    <row r="1033" spans="1:27" x14ac:dyDescent="0.35">
      <c r="A1033" t="s">
        <v>1540</v>
      </c>
      <c r="B1033" t="s">
        <v>2077</v>
      </c>
      <c r="C1033" s="7" t="str">
        <f>_xlfn.XLOOKUP(B1033,'[1]Sheet 1'!$A$2:$A$11107,'[1]Sheet 1'!$D$2:$D$11107,"",0)</f>
        <v>VSS</v>
      </c>
      <c r="D1033" s="4" t="str">
        <f>_xlfn.XLOOKUP(A1033,[3]Sheet2!$I$2:$I$1623,[3]Sheet2!$D$2:$D$1623,"",0)</f>
        <v>Q3</v>
      </c>
      <c r="F1033" s="4" t="e">
        <f>_xlfn.XLOOKUP(B1033,[2]Sheet2!$E$2:$E$713,[2]Sheet2!$G$2:$G$713)</f>
        <v>#N/A</v>
      </c>
      <c r="G1033" s="22">
        <v>46168</v>
      </c>
      <c r="H1033" s="23">
        <v>0.48370370370370369</v>
      </c>
      <c r="I1033" t="s">
        <v>10</v>
      </c>
      <c r="J1033" s="2" t="str">
        <f t="shared" si="82"/>
        <v>Q4</v>
      </c>
      <c r="K1033" s="2" t="str">
        <f t="shared" si="83"/>
        <v>Not Match</v>
      </c>
      <c r="L1033" s="1">
        <f t="shared" si="80"/>
        <v>6.7082039324993695E-2</v>
      </c>
      <c r="M1033" s="1" t="e">
        <f t="shared" si="81"/>
        <v>#N/A</v>
      </c>
      <c r="N1033" s="2" t="str">
        <f t="shared" si="84"/>
        <v>Q NOT OK dE&lt;=0.8</v>
      </c>
      <c r="O1033">
        <v>14.76</v>
      </c>
      <c r="P1033">
        <v>0.54</v>
      </c>
      <c r="Q1033">
        <v>-1.32</v>
      </c>
      <c r="R1033">
        <v>0.21</v>
      </c>
      <c r="S1033">
        <v>0.03</v>
      </c>
      <c r="T1033">
        <v>-0.06</v>
      </c>
      <c r="U1033">
        <v>0.1</v>
      </c>
      <c r="V1033">
        <v>0.01</v>
      </c>
      <c r="W1033">
        <v>0.24</v>
      </c>
      <c r="X1033" t="s">
        <v>8</v>
      </c>
      <c r="Y1033" t="s">
        <v>9</v>
      </c>
      <c r="Z1033" s="2" t="s">
        <v>718</v>
      </c>
      <c r="AA1033" s="2" t="s">
        <v>721</v>
      </c>
    </row>
    <row r="1034" spans="1:27" x14ac:dyDescent="0.35">
      <c r="A1034" t="s">
        <v>1559</v>
      </c>
      <c r="B1034" t="s">
        <v>2072</v>
      </c>
      <c r="C1034" s="7" t="str">
        <f>_xlfn.XLOOKUP(B1034,'[1]Sheet 1'!$A$2:$A$11107,'[1]Sheet 1'!$D$2:$D$11107,"",0)</f>
        <v>VSS</v>
      </c>
      <c r="D1034" s="4" t="str">
        <f>_xlfn.XLOOKUP(A1034,[3]Sheet2!$I$2:$I$1623,[3]Sheet2!$D$2:$D$1623,"",0)</f>
        <v>Q3</v>
      </c>
      <c r="F1034" s="4" t="e">
        <f>_xlfn.XLOOKUP(B1034,[2]Sheet2!$E$2:$E$713,[2]Sheet2!$G$2:$G$713)</f>
        <v>#N/A</v>
      </c>
      <c r="G1034" s="22">
        <v>46168</v>
      </c>
      <c r="H1034" s="23">
        <v>0.27649305555555553</v>
      </c>
      <c r="I1034" t="s">
        <v>10</v>
      </c>
      <c r="J1034" s="2" t="str">
        <f t="shared" si="82"/>
        <v>Q2</v>
      </c>
      <c r="K1034" s="2" t="str">
        <f t="shared" si="83"/>
        <v>Not Match</v>
      </c>
      <c r="L1034" s="1">
        <f t="shared" si="80"/>
        <v>4.123105625617661E-2</v>
      </c>
      <c r="M1034" s="1" t="e">
        <f t="shared" si="81"/>
        <v>#N/A</v>
      </c>
      <c r="N1034" s="2" t="str">
        <f t="shared" si="84"/>
        <v>Q NOT OK dE&lt;=0.8</v>
      </c>
      <c r="O1034">
        <v>16.97</v>
      </c>
      <c r="P1034">
        <v>-0.02</v>
      </c>
      <c r="Q1034">
        <v>-2.42</v>
      </c>
      <c r="R1034">
        <v>-0.33</v>
      </c>
      <c r="S1034">
        <v>-0.04</v>
      </c>
      <c r="T1034">
        <v>0.01</v>
      </c>
      <c r="U1034">
        <v>-0.01</v>
      </c>
      <c r="V1034">
        <v>-0.06</v>
      </c>
      <c r="W1034">
        <v>0.33</v>
      </c>
      <c r="X1034" t="s">
        <v>8</v>
      </c>
      <c r="Y1034" t="s">
        <v>15</v>
      </c>
      <c r="Z1034" s="2" t="s">
        <v>718</v>
      </c>
      <c r="AA1034" s="2" t="s">
        <v>721</v>
      </c>
    </row>
    <row r="1035" spans="1:27" x14ac:dyDescent="0.35">
      <c r="A1035" t="s">
        <v>1559</v>
      </c>
      <c r="B1035" t="s">
        <v>2071</v>
      </c>
      <c r="C1035" s="7" t="str">
        <f>_xlfn.XLOOKUP(B1035,'[1]Sheet 1'!$A$2:$A$11107,'[1]Sheet 1'!$D$2:$D$11107,"",0)</f>
        <v>VSS</v>
      </c>
      <c r="D1035" s="4" t="str">
        <f>_xlfn.XLOOKUP(A1035,[3]Sheet2!$I$2:$I$1623,[3]Sheet2!$D$2:$D$1623,"",0)</f>
        <v>Q3</v>
      </c>
      <c r="F1035" s="4" t="e">
        <f>_xlfn.XLOOKUP(B1035,[2]Sheet2!$E$2:$E$713,[2]Sheet2!$G$2:$G$713)</f>
        <v>#N/A</v>
      </c>
      <c r="G1035" s="22">
        <v>46168</v>
      </c>
      <c r="H1035" s="23">
        <v>0.17074074074074075</v>
      </c>
      <c r="I1035" t="s">
        <v>10</v>
      </c>
      <c r="J1035" s="2" t="str">
        <f t="shared" si="82"/>
        <v>Q3</v>
      </c>
      <c r="K1035" s="2" t="str">
        <f t="shared" si="83"/>
        <v>Match</v>
      </c>
      <c r="L1035" s="1">
        <f t="shared" si="80"/>
        <v>9.4339811320566042E-2</v>
      </c>
      <c r="M1035" s="1" t="e">
        <f t="shared" si="81"/>
        <v>#N/A</v>
      </c>
      <c r="N1035" s="2" t="str">
        <f t="shared" si="84"/>
        <v>Q OK dE&lt;=0.8</v>
      </c>
      <c r="O1035">
        <v>17.350000000000001</v>
      </c>
      <c r="P1035">
        <v>-0.03</v>
      </c>
      <c r="Q1035">
        <v>-2.5099999999999998</v>
      </c>
      <c r="R1035">
        <v>0.02</v>
      </c>
      <c r="S1035">
        <v>-0.05</v>
      </c>
      <c r="T1035">
        <v>-0.08</v>
      </c>
      <c r="U1035">
        <v>0.1</v>
      </c>
      <c r="V1035">
        <v>-0.06</v>
      </c>
      <c r="W1035">
        <v>0.12</v>
      </c>
      <c r="X1035" t="s">
        <v>8</v>
      </c>
      <c r="Y1035" t="s">
        <v>15</v>
      </c>
      <c r="Z1035" s="2" t="s">
        <v>718</v>
      </c>
      <c r="AA1035" s="2" t="s">
        <v>721</v>
      </c>
    </row>
    <row r="1036" spans="1:27" x14ac:dyDescent="0.35">
      <c r="A1036" t="s">
        <v>1559</v>
      </c>
      <c r="B1036" t="s">
        <v>2069</v>
      </c>
      <c r="C1036" s="7" t="str">
        <f>_xlfn.XLOOKUP(B1036,'[1]Sheet 1'!$A$2:$A$11107,'[1]Sheet 1'!$D$2:$D$11107,"",0)</f>
        <v>VSS</v>
      </c>
      <c r="D1036" s="4" t="str">
        <f>_xlfn.XLOOKUP(A1036,[3]Sheet2!$I$2:$I$1623,[3]Sheet2!$D$2:$D$1623,"",0)</f>
        <v>Q3</v>
      </c>
      <c r="F1036" s="4" t="e">
        <f>_xlfn.XLOOKUP(B1036,[2]Sheet2!$E$2:$E$713,[2]Sheet2!$G$2:$G$713)</f>
        <v>#N/A</v>
      </c>
      <c r="G1036" s="22">
        <v>46168</v>
      </c>
      <c r="H1036" s="23">
        <v>9.2488425925925932E-2</v>
      </c>
      <c r="I1036" t="s">
        <v>10</v>
      </c>
      <c r="J1036" s="2" t="str">
        <f t="shared" si="82"/>
        <v>Q3</v>
      </c>
      <c r="K1036" s="2" t="str">
        <f t="shared" si="83"/>
        <v>Match</v>
      </c>
      <c r="L1036" s="1">
        <f t="shared" si="80"/>
        <v>0.15652475842498528</v>
      </c>
      <c r="M1036" s="1" t="e">
        <f t="shared" si="81"/>
        <v>#N/A</v>
      </c>
      <c r="N1036" s="2" t="str">
        <f t="shared" si="84"/>
        <v>Q OK dE&lt;=0.8</v>
      </c>
      <c r="O1036">
        <v>17.87</v>
      </c>
      <c r="P1036">
        <v>-0.04</v>
      </c>
      <c r="Q1036">
        <v>-2.57</v>
      </c>
      <c r="R1036">
        <v>0.5</v>
      </c>
      <c r="S1036">
        <v>-7.0000000000000007E-2</v>
      </c>
      <c r="T1036">
        <v>-0.14000000000000001</v>
      </c>
      <c r="U1036">
        <v>0.18</v>
      </c>
      <c r="V1036">
        <v>-0.09</v>
      </c>
      <c r="W1036">
        <v>0.54</v>
      </c>
      <c r="X1036" t="s">
        <v>8</v>
      </c>
      <c r="Y1036" t="s">
        <v>15</v>
      </c>
      <c r="Z1036" s="2" t="s">
        <v>718</v>
      </c>
      <c r="AA1036" s="2" t="s">
        <v>721</v>
      </c>
    </row>
    <row r="1037" spans="1:27" x14ac:dyDescent="0.35">
      <c r="A1037" t="s">
        <v>1559</v>
      </c>
      <c r="B1037" t="s">
        <v>2065</v>
      </c>
      <c r="C1037" s="7" t="str">
        <f>_xlfn.XLOOKUP(B1037,'[1]Sheet 1'!$A$2:$A$11107,'[1]Sheet 1'!$D$2:$D$11107,"",0)</f>
        <v>VSS</v>
      </c>
      <c r="D1037" s="4" t="str">
        <f>_xlfn.XLOOKUP(A1037,[3]Sheet2!$I$2:$I$1623,[3]Sheet2!$D$2:$D$1623,"",0)</f>
        <v>Q3</v>
      </c>
      <c r="F1037" s="4" t="e">
        <f>_xlfn.XLOOKUP(B1037,[2]Sheet2!$E$2:$E$713,[2]Sheet2!$G$2:$G$713)</f>
        <v>#N/A</v>
      </c>
      <c r="G1037" s="22">
        <v>46168</v>
      </c>
      <c r="H1037" s="23">
        <v>3.8657407407407408E-3</v>
      </c>
      <c r="I1037" t="s">
        <v>10</v>
      </c>
      <c r="J1037" s="2" t="str">
        <f t="shared" si="82"/>
        <v>Q3</v>
      </c>
      <c r="K1037" s="2" t="str">
        <f t="shared" si="83"/>
        <v>Match</v>
      </c>
      <c r="L1037" s="1">
        <f t="shared" si="80"/>
        <v>9.4868329805051374E-2</v>
      </c>
      <c r="M1037" s="1" t="e">
        <f t="shared" si="81"/>
        <v>#N/A</v>
      </c>
      <c r="N1037" s="2" t="str">
        <f t="shared" si="84"/>
        <v>Q OK dE&lt;=0.8</v>
      </c>
      <c r="O1037">
        <v>17.12</v>
      </c>
      <c r="P1037">
        <v>-0.01</v>
      </c>
      <c r="Q1037">
        <v>-2.52</v>
      </c>
      <c r="R1037">
        <v>-0.19</v>
      </c>
      <c r="S1037">
        <v>-0.03</v>
      </c>
      <c r="T1037">
        <v>-0.09</v>
      </c>
      <c r="U1037">
        <v>0.12</v>
      </c>
      <c r="V1037">
        <v>-0.04</v>
      </c>
      <c r="W1037">
        <v>0.23</v>
      </c>
      <c r="X1037" t="s">
        <v>8</v>
      </c>
      <c r="Y1037" t="s">
        <v>15</v>
      </c>
      <c r="Z1037" s="2" t="s">
        <v>718</v>
      </c>
      <c r="AA1037" s="2" t="s">
        <v>721</v>
      </c>
    </row>
    <row r="1038" spans="1:27" x14ac:dyDescent="0.35">
      <c r="A1038" t="s">
        <v>1655</v>
      </c>
      <c r="B1038" t="s">
        <v>1901</v>
      </c>
      <c r="C1038" s="7" t="str">
        <f>_xlfn.XLOOKUP(B1038,'[1]Sheet 1'!$A$2:$A$11107,'[1]Sheet 1'!$D$2:$D$11107,"",0)</f>
        <v>PINK</v>
      </c>
      <c r="D1038" s="4" t="str">
        <f>_xlfn.XLOOKUP(A1038,[3]Sheet2!$I$2:$I$1623,[3]Sheet2!$D$2:$D$1623,"",0)</f>
        <v>Q3</v>
      </c>
      <c r="F1038" s="4" t="e">
        <f>_xlfn.XLOOKUP(B1038,[2]Sheet2!$E$2:$E$713,[2]Sheet2!$G$2:$G$713)</f>
        <v>#N/A</v>
      </c>
      <c r="G1038" s="22">
        <v>46168</v>
      </c>
      <c r="H1038" s="23">
        <v>0.58831018518518519</v>
      </c>
      <c r="I1038" t="s">
        <v>10</v>
      </c>
      <c r="J1038" s="2" t="str">
        <f t="shared" si="82"/>
        <v>Q4</v>
      </c>
      <c r="K1038" s="2" t="str">
        <f t="shared" si="83"/>
        <v>Not Match</v>
      </c>
      <c r="L1038" s="1">
        <f t="shared" si="80"/>
        <v>9.2195444572928872E-2</v>
      </c>
      <c r="M1038" s="1" t="e">
        <f t="shared" si="81"/>
        <v>#N/A</v>
      </c>
      <c r="N1038" s="2" t="str">
        <f t="shared" si="84"/>
        <v>Q NOT OK dE&lt;=0.8</v>
      </c>
      <c r="O1038">
        <v>13.85</v>
      </c>
      <c r="P1038">
        <v>0.68</v>
      </c>
      <c r="Q1038">
        <v>-0.96</v>
      </c>
      <c r="R1038">
        <v>-0.22</v>
      </c>
      <c r="S1038">
        <v>7.0000000000000007E-2</v>
      </c>
      <c r="T1038">
        <v>-0.06</v>
      </c>
      <c r="U1038">
        <v>0.12</v>
      </c>
      <c r="V1038">
        <v>0.03</v>
      </c>
      <c r="W1038">
        <v>0.26</v>
      </c>
      <c r="X1038" t="s">
        <v>8</v>
      </c>
      <c r="Y1038" t="s">
        <v>9</v>
      </c>
      <c r="Z1038" s="2" t="s">
        <v>718</v>
      </c>
      <c r="AA1038" s="2" t="s">
        <v>721</v>
      </c>
    </row>
    <row r="1039" spans="1:27" x14ac:dyDescent="0.35">
      <c r="A1039" t="s">
        <v>2148</v>
      </c>
      <c r="B1039" t="s">
        <v>2074</v>
      </c>
      <c r="C1039" s="7" t="str">
        <f>_xlfn.XLOOKUP(B1039,'[1]Sheet 1'!$A$2:$A$11107,'[1]Sheet 1'!$D$2:$D$11107,"",0)</f>
        <v>VSS</v>
      </c>
      <c r="D1039" s="4" t="str">
        <f>_xlfn.XLOOKUP(A1039,[3]Sheet2!$I$2:$I$1623,[3]Sheet2!$D$2:$D$1623,"",0)</f>
        <v>Q3</v>
      </c>
      <c r="F1039" s="4" t="e">
        <f>_xlfn.XLOOKUP(B1039,[2]Sheet2!$E$2:$E$713,[2]Sheet2!$G$2:$G$713)</f>
        <v>#N/A</v>
      </c>
      <c r="G1039" s="22">
        <v>46168</v>
      </c>
      <c r="H1039" s="23">
        <v>0.28399305555555554</v>
      </c>
      <c r="I1039" t="s">
        <v>10</v>
      </c>
      <c r="J1039" s="2" t="str">
        <f t="shared" si="82"/>
        <v>Q1</v>
      </c>
      <c r="K1039" s="2" t="str">
        <f t="shared" si="83"/>
        <v>Not Match</v>
      </c>
      <c r="L1039" s="1">
        <f t="shared" si="80"/>
        <v>1.9693907687404244</v>
      </c>
      <c r="M1039" s="1" t="e">
        <f t="shared" si="81"/>
        <v>#N/A</v>
      </c>
      <c r="N1039" s="2" t="str">
        <f t="shared" si="84"/>
        <v>Q NOT OK dE&gt;0.8</v>
      </c>
      <c r="O1039">
        <v>44.03</v>
      </c>
      <c r="P1039">
        <v>55.57</v>
      </c>
      <c r="Q1039">
        <v>39.729999999999997</v>
      </c>
      <c r="R1039">
        <v>0.73</v>
      </c>
      <c r="S1039">
        <v>1.53</v>
      </c>
      <c r="T1039">
        <v>1.24</v>
      </c>
      <c r="U1039">
        <v>0.68</v>
      </c>
      <c r="V1039">
        <v>0.08</v>
      </c>
      <c r="W1039">
        <v>1</v>
      </c>
      <c r="X1039" t="s">
        <v>6</v>
      </c>
      <c r="Y1039" t="s">
        <v>12</v>
      </c>
      <c r="Z1039" s="2" t="s">
        <v>718</v>
      </c>
      <c r="AA1039" s="2" t="s">
        <v>721</v>
      </c>
    </row>
    <row r="1040" spans="1:27" x14ac:dyDescent="0.35">
      <c r="A1040" t="s">
        <v>2148</v>
      </c>
      <c r="B1040" t="s">
        <v>2067</v>
      </c>
      <c r="C1040" s="7" t="str">
        <f>_xlfn.XLOOKUP(B1040,'[1]Sheet 1'!$A$2:$A$11107,'[1]Sheet 1'!$D$2:$D$11107,"",0)</f>
        <v>VSS</v>
      </c>
      <c r="D1040" s="4" t="str">
        <f>_xlfn.XLOOKUP(A1040,[3]Sheet2!$I$2:$I$1623,[3]Sheet2!$D$2:$D$1623,"",0)</f>
        <v>Q3</v>
      </c>
      <c r="F1040" s="4" t="e">
        <f>_xlfn.XLOOKUP(B1040,[2]Sheet2!$E$2:$E$713,[2]Sheet2!$G$2:$G$713)</f>
        <v>#N/A</v>
      </c>
      <c r="G1040" s="22">
        <v>46168</v>
      </c>
      <c r="H1040" s="23">
        <v>7.4537037037037037E-3</v>
      </c>
      <c r="I1040" t="s">
        <v>10</v>
      </c>
      <c r="J1040" s="2" t="str">
        <f t="shared" si="82"/>
        <v>Q1</v>
      </c>
      <c r="K1040" s="2" t="str">
        <f t="shared" si="83"/>
        <v>Not Match</v>
      </c>
      <c r="L1040" s="1">
        <f t="shared" si="80"/>
        <v>1.6843990026119109</v>
      </c>
      <c r="M1040" s="1" t="e">
        <f t="shared" si="81"/>
        <v>#N/A</v>
      </c>
      <c r="N1040" s="2" t="str">
        <f t="shared" si="84"/>
        <v>Q NOT OK dE&gt;0.8</v>
      </c>
      <c r="O1040">
        <v>43.77</v>
      </c>
      <c r="P1040">
        <v>55.28</v>
      </c>
      <c r="Q1040">
        <v>39.64</v>
      </c>
      <c r="R1040">
        <v>0.6</v>
      </c>
      <c r="S1040">
        <v>1.24</v>
      </c>
      <c r="T1040">
        <v>1.1399999999999999</v>
      </c>
      <c r="U1040">
        <v>0.57999999999999996</v>
      </c>
      <c r="V1040">
        <v>0.15</v>
      </c>
      <c r="W1040">
        <v>0.85</v>
      </c>
      <c r="X1040" t="s">
        <v>13</v>
      </c>
      <c r="Y1040" t="s">
        <v>12</v>
      </c>
      <c r="Z1040" s="2" t="s">
        <v>718</v>
      </c>
      <c r="AA1040" s="2" t="s">
        <v>721</v>
      </c>
    </row>
    <row r="1041" spans="1:27" x14ac:dyDescent="0.35">
      <c r="A1041" t="s">
        <v>1500</v>
      </c>
      <c r="B1041" t="s">
        <v>2076</v>
      </c>
      <c r="C1041" s="7" t="str">
        <f>_xlfn.XLOOKUP(B1041,'[1]Sheet 1'!$A$2:$A$11107,'[1]Sheet 1'!$D$2:$D$11107,"",0)</f>
        <v>LULU</v>
      </c>
      <c r="D1041" s="4" t="str">
        <f>_xlfn.XLOOKUP(A1041,[3]Sheet2!$I$2:$I$1623,[3]Sheet2!$D$2:$D$1623,"",0)</f>
        <v>Q2</v>
      </c>
      <c r="F1041" s="4" t="e">
        <f>_xlfn.XLOOKUP(B1041,[2]Sheet2!$E$2:$E$713,[2]Sheet2!$G$2:$G$713)</f>
        <v>#N/A</v>
      </c>
      <c r="G1041" s="22">
        <v>46168</v>
      </c>
      <c r="H1041" s="23">
        <v>0.2870138888888889</v>
      </c>
      <c r="I1041" t="s">
        <v>4</v>
      </c>
      <c r="J1041" s="2" t="str">
        <f t="shared" si="82"/>
        <v>Q1</v>
      </c>
      <c r="K1041" s="2" t="str">
        <f t="shared" si="83"/>
        <v>Not Match</v>
      </c>
      <c r="L1041" s="1">
        <f t="shared" si="80"/>
        <v>0.33970575502926059</v>
      </c>
      <c r="M1041" s="1" t="e">
        <f t="shared" si="81"/>
        <v>#N/A</v>
      </c>
      <c r="N1041" s="2" t="str">
        <f t="shared" si="84"/>
        <v>Q NOT OK dE&gt;0.8</v>
      </c>
      <c r="O1041">
        <v>16.63</v>
      </c>
      <c r="P1041">
        <v>-0.72</v>
      </c>
      <c r="Q1041">
        <v>-0.78</v>
      </c>
      <c r="R1041">
        <v>-1.28</v>
      </c>
      <c r="S1041">
        <v>0.25</v>
      </c>
      <c r="T1041">
        <v>0.23</v>
      </c>
      <c r="U1041">
        <v>-0.47</v>
      </c>
      <c r="V1041">
        <v>0.04</v>
      </c>
      <c r="W1041">
        <v>1.36</v>
      </c>
      <c r="X1041" t="s">
        <v>6</v>
      </c>
      <c r="Y1041" t="s">
        <v>7</v>
      </c>
      <c r="Z1041" s="2" t="s">
        <v>718</v>
      </c>
      <c r="AA1041" s="2" t="s">
        <v>721</v>
      </c>
    </row>
    <row r="1042" spans="1:27" x14ac:dyDescent="0.35">
      <c r="A1042" t="s">
        <v>1500</v>
      </c>
      <c r="B1042" t="s">
        <v>2075</v>
      </c>
      <c r="C1042" s="7" t="str">
        <f>_xlfn.XLOOKUP(B1042,'[1]Sheet 1'!$A$2:$A$11107,'[1]Sheet 1'!$D$2:$D$11107,"",0)</f>
        <v>LULU</v>
      </c>
      <c r="D1042" s="4" t="str">
        <f>_xlfn.XLOOKUP(A1042,[3]Sheet2!$I$2:$I$1623,[3]Sheet2!$D$2:$D$1623,"",0)</f>
        <v>Q2</v>
      </c>
      <c r="F1042" s="4" t="e">
        <f>_xlfn.XLOOKUP(B1042,[2]Sheet2!$E$2:$E$713,[2]Sheet2!$G$2:$G$713)</f>
        <v>#N/A</v>
      </c>
      <c r="G1042" s="22">
        <v>46168</v>
      </c>
      <c r="H1042" s="23">
        <v>0.28572916666666665</v>
      </c>
      <c r="I1042" t="s">
        <v>4</v>
      </c>
      <c r="J1042" s="2" t="str">
        <f t="shared" si="82"/>
        <v>Q1</v>
      </c>
      <c r="K1042" s="2" t="str">
        <f t="shared" si="83"/>
        <v>Not Match</v>
      </c>
      <c r="L1042" s="1">
        <f t="shared" si="80"/>
        <v>0.33286633954186479</v>
      </c>
      <c r="M1042" s="1" t="e">
        <f t="shared" si="81"/>
        <v>#N/A</v>
      </c>
      <c r="N1042" s="2" t="str">
        <f t="shared" si="84"/>
        <v>Q NOT OK dE&lt;=0.8</v>
      </c>
      <c r="O1042">
        <v>17.89</v>
      </c>
      <c r="P1042">
        <v>-0.69</v>
      </c>
      <c r="Q1042">
        <v>-0.83</v>
      </c>
      <c r="R1042">
        <v>-0.16</v>
      </c>
      <c r="S1042">
        <v>0.28000000000000003</v>
      </c>
      <c r="T1042">
        <v>0.18</v>
      </c>
      <c r="U1042">
        <v>-0.44</v>
      </c>
      <c r="V1042">
        <v>0.13</v>
      </c>
      <c r="W1042">
        <v>0.49</v>
      </c>
      <c r="X1042" t="s">
        <v>8</v>
      </c>
      <c r="Y1042" t="s">
        <v>7</v>
      </c>
      <c r="Z1042" s="2" t="s">
        <v>718</v>
      </c>
      <c r="AA1042" s="2" t="s">
        <v>721</v>
      </c>
    </row>
    <row r="1043" spans="1:27" x14ac:dyDescent="0.35">
      <c r="A1043" t="s">
        <v>1500</v>
      </c>
      <c r="B1043" t="s">
        <v>2070</v>
      </c>
      <c r="C1043" s="7" t="str">
        <f>_xlfn.XLOOKUP(B1043,'[1]Sheet 1'!$A$2:$A$11107,'[1]Sheet 1'!$D$2:$D$11107,"",0)</f>
        <v>LULU</v>
      </c>
      <c r="D1043" s="4" t="str">
        <f>_xlfn.XLOOKUP(A1043,[3]Sheet2!$I$2:$I$1623,[3]Sheet2!$D$2:$D$1623,"",0)</f>
        <v>Q2</v>
      </c>
      <c r="F1043" s="4" t="e">
        <f>_xlfn.XLOOKUP(B1043,[2]Sheet2!$E$2:$E$713,[2]Sheet2!$G$2:$G$713)</f>
        <v>#N/A</v>
      </c>
      <c r="G1043" s="22">
        <v>46168</v>
      </c>
      <c r="H1043" s="23">
        <v>0.15994212962962964</v>
      </c>
      <c r="I1043" t="s">
        <v>4</v>
      </c>
      <c r="J1043" s="2" t="str">
        <f t="shared" si="82"/>
        <v>Q1</v>
      </c>
      <c r="K1043" s="2" t="str">
        <f t="shared" si="83"/>
        <v>Not Match</v>
      </c>
      <c r="L1043" s="1">
        <f t="shared" si="80"/>
        <v>0.51156622249714645</v>
      </c>
      <c r="M1043" s="1" t="e">
        <f t="shared" si="81"/>
        <v>#N/A</v>
      </c>
      <c r="N1043" s="2" t="str">
        <f t="shared" si="84"/>
        <v>Q NOT OK dE&gt;0.8</v>
      </c>
      <c r="O1043">
        <v>17.52</v>
      </c>
      <c r="P1043">
        <v>-0.47</v>
      </c>
      <c r="Q1043">
        <v>-0.97</v>
      </c>
      <c r="R1043">
        <v>-0.48</v>
      </c>
      <c r="S1043">
        <v>0.51</v>
      </c>
      <c r="T1043">
        <v>0.04</v>
      </c>
      <c r="U1043">
        <v>-0.45</v>
      </c>
      <c r="V1043">
        <v>0.55000000000000004</v>
      </c>
      <c r="W1043">
        <v>0.86</v>
      </c>
      <c r="X1043" t="s">
        <v>13</v>
      </c>
      <c r="Y1043" t="s">
        <v>7</v>
      </c>
      <c r="Z1043" s="2" t="s">
        <v>718</v>
      </c>
      <c r="AA1043" s="2" t="s">
        <v>721</v>
      </c>
    </row>
    <row r="1044" spans="1:27" x14ac:dyDescent="0.35">
      <c r="A1044" t="s">
        <v>1500</v>
      </c>
      <c r="B1044" t="s">
        <v>2066</v>
      </c>
      <c r="C1044" s="7" t="str">
        <f>_xlfn.XLOOKUP(B1044,'[1]Sheet 1'!$A$2:$A$11107,'[1]Sheet 1'!$D$2:$D$11107,"",0)</f>
        <v>LULU</v>
      </c>
      <c r="D1044" s="4" t="str">
        <f>_xlfn.XLOOKUP(A1044,[3]Sheet2!$I$2:$I$1623,[3]Sheet2!$D$2:$D$1623,"",0)</f>
        <v>Q2</v>
      </c>
      <c r="F1044" s="4" t="e">
        <f>_xlfn.XLOOKUP(B1044,[2]Sheet2!$E$2:$E$713,[2]Sheet2!$G$2:$G$713)</f>
        <v>#N/A</v>
      </c>
      <c r="G1044" s="22">
        <v>46168</v>
      </c>
      <c r="H1044" s="23">
        <v>5.7986111111111112E-3</v>
      </c>
      <c r="I1044" t="s">
        <v>4</v>
      </c>
      <c r="J1044" s="2" t="str">
        <f t="shared" si="82"/>
        <v>Q1</v>
      </c>
      <c r="K1044" s="2" t="str">
        <f t="shared" si="83"/>
        <v>Not Match</v>
      </c>
      <c r="L1044" s="1">
        <f t="shared" si="80"/>
        <v>0.17029386365926402</v>
      </c>
      <c r="M1044" s="1" t="e">
        <f t="shared" si="81"/>
        <v>#N/A</v>
      </c>
      <c r="N1044" s="2" t="str">
        <f t="shared" si="84"/>
        <v>Q NOT OK dE&lt;=0.8</v>
      </c>
      <c r="O1044">
        <v>18.170000000000002</v>
      </c>
      <c r="P1044">
        <v>-0.86</v>
      </c>
      <c r="Q1044">
        <v>-0.88</v>
      </c>
      <c r="R1044">
        <v>0.09</v>
      </c>
      <c r="S1044">
        <v>0.11</v>
      </c>
      <c r="T1044">
        <v>0.13</v>
      </c>
      <c r="U1044">
        <v>-0.24</v>
      </c>
      <c r="V1044">
        <v>-0.02</v>
      </c>
      <c r="W1044">
        <v>0.25</v>
      </c>
      <c r="X1044" t="s">
        <v>8</v>
      </c>
      <c r="Y1044" t="s">
        <v>12</v>
      </c>
      <c r="Z1044" s="2" t="s">
        <v>718</v>
      </c>
      <c r="AA1044" s="2" t="s">
        <v>721</v>
      </c>
    </row>
    <row r="1045" spans="1:27" x14ac:dyDescent="0.35">
      <c r="A1045" t="s">
        <v>1614</v>
      </c>
      <c r="B1045" t="s">
        <v>2087</v>
      </c>
      <c r="C1045" s="7" t="str">
        <f>_xlfn.XLOOKUP(B1045,'[1]Sheet 1'!$A$2:$A$11107,'[1]Sheet 1'!$D$2:$D$11107,"",0)</f>
        <v>M&amp;S</v>
      </c>
      <c r="D1045" s="4" t="str">
        <f>_xlfn.XLOOKUP(A1045,[3]Sheet2!$I$2:$I$1623,[3]Sheet2!$D$2:$D$1623,"",0)</f>
        <v>Q3</v>
      </c>
      <c r="F1045" s="4" t="e">
        <f>_xlfn.XLOOKUP(B1045,[2]Sheet2!$E$2:$E$713,[2]Sheet2!$G$2:$G$713)</f>
        <v>#N/A</v>
      </c>
      <c r="G1045" s="22">
        <v>46169</v>
      </c>
      <c r="H1045" s="23">
        <v>0.22940972222222222</v>
      </c>
      <c r="I1045" t="s">
        <v>17</v>
      </c>
      <c r="J1045" s="2" t="str">
        <f t="shared" si="82"/>
        <v>Q3</v>
      </c>
      <c r="K1045" s="2" t="str">
        <f t="shared" si="83"/>
        <v>Match</v>
      </c>
      <c r="L1045" s="1">
        <f t="shared" si="80"/>
        <v>0.72180329730474357</v>
      </c>
      <c r="M1045" s="1" t="e">
        <f t="shared" si="81"/>
        <v>#N/A</v>
      </c>
      <c r="N1045" s="2" t="str">
        <f t="shared" si="84"/>
        <v>Q OK dE&lt;=0.8</v>
      </c>
      <c r="O1045">
        <v>24.01</v>
      </c>
      <c r="P1045">
        <v>-6.22</v>
      </c>
      <c r="Q1045">
        <v>-7.15</v>
      </c>
      <c r="R1045">
        <v>-0.34</v>
      </c>
      <c r="S1045">
        <v>-0.71</v>
      </c>
      <c r="T1045">
        <v>-0.13</v>
      </c>
      <c r="U1045">
        <v>0.49</v>
      </c>
      <c r="V1045">
        <v>-0.54</v>
      </c>
      <c r="W1045">
        <v>0.8</v>
      </c>
      <c r="X1045" t="s">
        <v>13</v>
      </c>
      <c r="Y1045" t="s">
        <v>12</v>
      </c>
      <c r="Z1045" s="2" t="s">
        <v>718</v>
      </c>
      <c r="AA1045" s="2" t="s">
        <v>721</v>
      </c>
    </row>
    <row r="1046" spans="1:27" x14ac:dyDescent="0.35">
      <c r="A1046" t="s">
        <v>1595</v>
      </c>
      <c r="B1046" t="s">
        <v>2088</v>
      </c>
      <c r="C1046" s="7" t="str">
        <f>_xlfn.XLOOKUP(B1046,'[1]Sheet 1'!$A$2:$A$11107,'[1]Sheet 1'!$D$2:$D$11107,"",0)</f>
        <v>M&amp;S</v>
      </c>
      <c r="D1046" s="4" t="str">
        <f>_xlfn.XLOOKUP(A1046,[3]Sheet2!$I$2:$I$1623,[3]Sheet2!$D$2:$D$1623,"",0)</f>
        <v>Q4</v>
      </c>
      <c r="F1046" s="4" t="e">
        <f>_xlfn.XLOOKUP(B1046,[2]Sheet2!$E$2:$E$713,[2]Sheet2!$G$2:$G$713)</f>
        <v>#N/A</v>
      </c>
      <c r="G1046" s="22">
        <v>46169</v>
      </c>
      <c r="H1046" s="23">
        <v>0.23185185185185186</v>
      </c>
      <c r="I1046" t="s">
        <v>17</v>
      </c>
      <c r="J1046" s="2" t="str">
        <f t="shared" si="82"/>
        <v>Q1</v>
      </c>
      <c r="K1046" s="2" t="str">
        <f t="shared" si="83"/>
        <v>Not Match</v>
      </c>
      <c r="L1046" s="1">
        <f t="shared" si="80"/>
        <v>1.0507616285342742</v>
      </c>
      <c r="M1046" s="1" t="e">
        <f t="shared" si="81"/>
        <v>#N/A</v>
      </c>
      <c r="N1046" s="2" t="str">
        <f t="shared" si="84"/>
        <v>Q NOT OK dE&gt;0.8</v>
      </c>
      <c r="O1046">
        <v>28.38</v>
      </c>
      <c r="P1046">
        <v>-2</v>
      </c>
      <c r="Q1046">
        <v>-1.64</v>
      </c>
      <c r="R1046">
        <v>-0.41</v>
      </c>
      <c r="S1046">
        <v>0.04</v>
      </c>
      <c r="T1046">
        <v>1.05</v>
      </c>
      <c r="U1046">
        <v>-0.94</v>
      </c>
      <c r="V1046">
        <v>-0.89</v>
      </c>
      <c r="W1046">
        <v>1.35</v>
      </c>
      <c r="X1046" t="s">
        <v>6</v>
      </c>
      <c r="Y1046" t="s">
        <v>12</v>
      </c>
      <c r="Z1046" s="2" t="s">
        <v>718</v>
      </c>
      <c r="AA1046" s="2" t="s">
        <v>721</v>
      </c>
    </row>
    <row r="1047" spans="1:27" x14ac:dyDescent="0.35">
      <c r="A1047" t="s">
        <v>1755</v>
      </c>
      <c r="B1047" t="s">
        <v>2093</v>
      </c>
      <c r="C1047" s="7" t="str">
        <f>_xlfn.XLOOKUP(B1047,'[1]Sheet 1'!$A$2:$A$11107,'[1]Sheet 1'!$D$2:$D$11107,"",0)</f>
        <v>VSS</v>
      </c>
      <c r="D1047" s="4" t="str">
        <f>_xlfn.XLOOKUP(A1047,[3]Sheet2!$I$2:$I$1623,[3]Sheet2!$D$2:$D$1623,"",0)</f>
        <v>Q4</v>
      </c>
      <c r="F1047" s="4" t="e">
        <f>_xlfn.XLOOKUP(B1047,[2]Sheet2!$E$2:$E$713,[2]Sheet2!$G$2:$G$713)</f>
        <v>#N/A</v>
      </c>
      <c r="G1047" s="22">
        <v>46169</v>
      </c>
      <c r="H1047" s="23">
        <v>0.78425925925925921</v>
      </c>
      <c r="I1047" t="s">
        <v>10</v>
      </c>
      <c r="J1047" s="2" t="str">
        <f t="shared" si="82"/>
        <v>Q1</v>
      </c>
      <c r="K1047" s="2" t="str">
        <f t="shared" si="83"/>
        <v>Not Match</v>
      </c>
      <c r="L1047" s="1">
        <f t="shared" si="80"/>
        <v>0.17088007490635063</v>
      </c>
      <c r="M1047" s="1" t="e">
        <f t="shared" si="81"/>
        <v>#N/A</v>
      </c>
      <c r="N1047" s="2" t="str">
        <f t="shared" si="84"/>
        <v>Q NOT OK dE&lt;=0.8</v>
      </c>
      <c r="O1047">
        <v>26.97</v>
      </c>
      <c r="P1047">
        <v>12.02</v>
      </c>
      <c r="Q1047">
        <v>-7.94</v>
      </c>
      <c r="R1047">
        <v>-0.68</v>
      </c>
      <c r="S1047">
        <v>0.06</v>
      </c>
      <c r="T1047">
        <v>0.16</v>
      </c>
      <c r="U1047">
        <v>-0.03</v>
      </c>
      <c r="V1047">
        <v>0.16</v>
      </c>
      <c r="W1047">
        <v>0.7</v>
      </c>
      <c r="X1047" t="s">
        <v>8</v>
      </c>
      <c r="Y1047" t="s">
        <v>9</v>
      </c>
      <c r="Z1047" s="2" t="s">
        <v>718</v>
      </c>
      <c r="AA1047" s="2" t="s">
        <v>721</v>
      </c>
    </row>
    <row r="1048" spans="1:27" x14ac:dyDescent="0.35">
      <c r="A1048" t="s">
        <v>1558</v>
      </c>
      <c r="B1048" t="s">
        <v>2085</v>
      </c>
      <c r="C1048" s="7" t="str">
        <f>_xlfn.XLOOKUP(B1048,'[1]Sheet 1'!$A$2:$A$11107,'[1]Sheet 1'!$D$2:$D$11107,"",0)</f>
        <v>M&amp;S</v>
      </c>
      <c r="D1048" s="4" t="str">
        <f>_xlfn.XLOOKUP(A1048,[3]Sheet2!$I$2:$I$1623,[3]Sheet2!$D$2:$D$1623,"",0)</f>
        <v>Q3</v>
      </c>
      <c r="F1048" s="4" t="e">
        <f>_xlfn.XLOOKUP(B1048,[2]Sheet2!$E$2:$E$713,[2]Sheet2!$G$2:$G$713)</f>
        <v>#N/A</v>
      </c>
      <c r="G1048" s="22">
        <v>46169</v>
      </c>
      <c r="H1048" s="23">
        <v>0.18979166666666666</v>
      </c>
      <c r="I1048" t="s">
        <v>17</v>
      </c>
      <c r="J1048" s="2" t="str">
        <f t="shared" si="82"/>
        <v>Q3</v>
      </c>
      <c r="K1048" s="2" t="str">
        <f t="shared" si="83"/>
        <v>Match</v>
      </c>
      <c r="L1048" s="1">
        <f t="shared" si="80"/>
        <v>0.34365680554879169</v>
      </c>
      <c r="M1048" s="1" t="e">
        <f t="shared" si="81"/>
        <v>#N/A</v>
      </c>
      <c r="N1048" s="2" t="str">
        <f t="shared" si="84"/>
        <v>Q OK dE&lt;=0.8</v>
      </c>
      <c r="O1048">
        <v>14.98</v>
      </c>
      <c r="P1048">
        <v>-0.62</v>
      </c>
      <c r="Q1048">
        <v>-1.96</v>
      </c>
      <c r="R1048">
        <v>-0.38</v>
      </c>
      <c r="S1048">
        <v>-0.05</v>
      </c>
      <c r="T1048">
        <v>-0.34</v>
      </c>
      <c r="U1048">
        <v>0.45</v>
      </c>
      <c r="V1048">
        <v>0.08</v>
      </c>
      <c r="W1048">
        <v>0.6</v>
      </c>
      <c r="X1048" t="s">
        <v>8</v>
      </c>
      <c r="Y1048" t="s">
        <v>9</v>
      </c>
      <c r="Z1048" s="2" t="s">
        <v>718</v>
      </c>
      <c r="AA1048" s="2" t="s">
        <v>721</v>
      </c>
    </row>
    <row r="1049" spans="1:27" x14ac:dyDescent="0.35">
      <c r="A1049" t="s">
        <v>1509</v>
      </c>
      <c r="B1049" t="s">
        <v>1907</v>
      </c>
      <c r="C1049" s="7" t="str">
        <f>_xlfn.XLOOKUP(B1049,'[1]Sheet 1'!$A$2:$A$11107,'[1]Sheet 1'!$D$2:$D$11107,"",0)</f>
        <v>LBI</v>
      </c>
      <c r="D1049" s="4" t="str">
        <f>_xlfn.XLOOKUP(A1049,[3]Sheet2!$I$2:$I$1623,[3]Sheet2!$D$2:$D$1623,"",0)</f>
        <v>Q2</v>
      </c>
      <c r="F1049" s="4" t="e">
        <f>_xlfn.XLOOKUP(B1049,[2]Sheet2!$E$2:$E$713,[2]Sheet2!$G$2:$G$713)</f>
        <v>#N/A</v>
      </c>
      <c r="G1049" s="22">
        <v>46169</v>
      </c>
      <c r="H1049" s="23">
        <v>0.60564814814814816</v>
      </c>
      <c r="I1049" t="s">
        <v>14</v>
      </c>
      <c r="J1049" s="2" t="str">
        <f t="shared" si="82"/>
        <v>Q1</v>
      </c>
      <c r="K1049" s="2" t="str">
        <f t="shared" si="83"/>
        <v>Not Match</v>
      </c>
      <c r="L1049" s="1">
        <f t="shared" si="80"/>
        <v>0.22803508501982761</v>
      </c>
      <c r="M1049" s="1" t="e">
        <f t="shared" si="81"/>
        <v>#N/A</v>
      </c>
      <c r="N1049" s="2" t="str">
        <f t="shared" si="84"/>
        <v>Q NOT OK dE&gt;0.8</v>
      </c>
      <c r="O1049">
        <v>15.2</v>
      </c>
      <c r="P1049">
        <v>-0.74</v>
      </c>
      <c r="Q1049">
        <v>-2.97</v>
      </c>
      <c r="R1049">
        <v>-1.17</v>
      </c>
      <c r="S1049">
        <v>0.14000000000000001</v>
      </c>
      <c r="T1049">
        <v>0.18</v>
      </c>
      <c r="U1049">
        <v>-0.26</v>
      </c>
      <c r="V1049">
        <v>0.12</v>
      </c>
      <c r="W1049">
        <v>1.2</v>
      </c>
      <c r="X1049" t="s">
        <v>6</v>
      </c>
      <c r="Y1049" t="s">
        <v>9</v>
      </c>
      <c r="Z1049" s="2" t="s">
        <v>718</v>
      </c>
      <c r="AA1049" s="2" t="s">
        <v>721</v>
      </c>
    </row>
    <row r="1050" spans="1:27" x14ac:dyDescent="0.35">
      <c r="A1050" t="s">
        <v>2160</v>
      </c>
      <c r="B1050" t="s">
        <v>2090</v>
      </c>
      <c r="C1050" s="7" t="str">
        <f>_xlfn.XLOOKUP(B1050,'[1]Sheet 1'!$A$2:$A$11107,'[1]Sheet 1'!$D$2:$D$11107,"",0)</f>
        <v>LBI</v>
      </c>
      <c r="D1050" s="4" t="str">
        <f>_xlfn.XLOOKUP(A1050,[3]Sheet2!$I$2:$I$1623,[3]Sheet2!$D$2:$D$1623,"",0)</f>
        <v>Q3</v>
      </c>
      <c r="F1050" s="4" t="e">
        <f>_xlfn.XLOOKUP(B1050,[2]Sheet2!$E$2:$E$713,[2]Sheet2!$G$2:$G$713)</f>
        <v>#N/A</v>
      </c>
      <c r="G1050" s="22">
        <v>46169</v>
      </c>
      <c r="H1050" s="23">
        <v>0.27760416666666665</v>
      </c>
      <c r="I1050" t="s">
        <v>14</v>
      </c>
      <c r="J1050" s="2" t="str">
        <f t="shared" si="82"/>
        <v>Q2</v>
      </c>
      <c r="K1050" s="2" t="str">
        <f t="shared" si="83"/>
        <v>Not Match</v>
      </c>
      <c r="L1050" s="1">
        <f t="shared" si="80"/>
        <v>0.2353720459187964</v>
      </c>
      <c r="M1050" s="1" t="e">
        <f t="shared" si="81"/>
        <v>#N/A</v>
      </c>
      <c r="N1050" s="2" t="str">
        <f t="shared" si="84"/>
        <v>Q NOT OK dE&lt;=0.8</v>
      </c>
      <c r="O1050">
        <v>24.63</v>
      </c>
      <c r="P1050">
        <v>-14.12</v>
      </c>
      <c r="Q1050">
        <v>-2.99</v>
      </c>
      <c r="R1050">
        <v>-0.17</v>
      </c>
      <c r="S1050">
        <v>-0.23</v>
      </c>
      <c r="T1050">
        <v>0.05</v>
      </c>
      <c r="U1050">
        <v>0.15</v>
      </c>
      <c r="V1050">
        <v>-0.09</v>
      </c>
      <c r="W1050">
        <v>0.25</v>
      </c>
      <c r="X1050" t="s">
        <v>8</v>
      </c>
      <c r="Y1050" t="s">
        <v>12</v>
      </c>
      <c r="Z1050" s="2" t="s">
        <v>718</v>
      </c>
      <c r="AA1050" s="2" t="s">
        <v>721</v>
      </c>
    </row>
    <row r="1051" spans="1:27" x14ac:dyDescent="0.35">
      <c r="A1051" t="s">
        <v>2157</v>
      </c>
      <c r="B1051" t="s">
        <v>1915</v>
      </c>
      <c r="C1051" s="7" t="str">
        <f>_xlfn.XLOOKUP(B1051,'[1]Sheet 1'!$A$2:$A$11107,'[1]Sheet 1'!$D$2:$D$11107,"",0)</f>
        <v>CHICOS</v>
      </c>
      <c r="D1051" s="4" t="str">
        <f>_xlfn.XLOOKUP(A1051,[3]Sheet2!$I$2:$I$1623,[3]Sheet2!$D$2:$D$1623,"",0)</f>
        <v>Q1</v>
      </c>
      <c r="F1051" s="4" t="e">
        <f>_xlfn.XLOOKUP(B1051,[2]Sheet2!$E$2:$E$713,[2]Sheet2!$G$2:$G$713)</f>
        <v>#N/A</v>
      </c>
      <c r="G1051" s="22">
        <v>46169</v>
      </c>
      <c r="H1051" s="23">
        <v>0.73959490740740741</v>
      </c>
      <c r="I1051" t="s">
        <v>14</v>
      </c>
      <c r="J1051" s="2" t="str">
        <f t="shared" si="82"/>
        <v>Q2</v>
      </c>
      <c r="K1051" s="2" t="str">
        <f t="shared" si="83"/>
        <v>Not Match</v>
      </c>
      <c r="L1051" s="1">
        <f t="shared" si="80"/>
        <v>0.89358827208060421</v>
      </c>
      <c r="M1051" s="1" t="e">
        <f t="shared" si="81"/>
        <v>#N/A</v>
      </c>
      <c r="N1051" s="2" t="str">
        <f t="shared" si="84"/>
        <v>Q NOT OK dE&gt;0.8</v>
      </c>
      <c r="O1051">
        <v>26.72</v>
      </c>
      <c r="P1051">
        <v>22.48</v>
      </c>
      <c r="Q1051">
        <v>11.07</v>
      </c>
      <c r="R1051">
        <v>0.03</v>
      </c>
      <c r="S1051">
        <v>-0.08</v>
      </c>
      <c r="T1051">
        <v>0.89</v>
      </c>
      <c r="U1051">
        <v>0.17</v>
      </c>
      <c r="V1051">
        <v>0.81</v>
      </c>
      <c r="W1051">
        <v>0.83</v>
      </c>
      <c r="X1051" t="s">
        <v>13</v>
      </c>
      <c r="Y1051" t="s">
        <v>12</v>
      </c>
      <c r="Z1051" s="2" t="s">
        <v>718</v>
      </c>
      <c r="AA1051" s="2" t="s">
        <v>721</v>
      </c>
    </row>
    <row r="1052" spans="1:27" x14ac:dyDescent="0.35">
      <c r="A1052" t="s">
        <v>1540</v>
      </c>
      <c r="B1052" t="s">
        <v>1910</v>
      </c>
      <c r="C1052" s="7" t="str">
        <f>_xlfn.XLOOKUP(B1052,'[1]Sheet 1'!$A$2:$A$11107,'[1]Sheet 1'!$D$2:$D$11107,"",0)</f>
        <v>VSS</v>
      </c>
      <c r="D1052" s="4" t="str">
        <f>_xlfn.XLOOKUP(A1052,[3]Sheet2!$I$2:$I$1623,[3]Sheet2!$D$2:$D$1623,"",0)</f>
        <v>Q3</v>
      </c>
      <c r="F1052" s="4" t="e">
        <f>_xlfn.XLOOKUP(B1052,[2]Sheet2!$E$2:$E$713,[2]Sheet2!$G$2:$G$713)</f>
        <v>#N/A</v>
      </c>
      <c r="G1052" s="22">
        <v>46169</v>
      </c>
      <c r="H1052" s="23">
        <v>0.685150462962963</v>
      </c>
      <c r="I1052" t="s">
        <v>10</v>
      </c>
      <c r="J1052" s="2" t="str">
        <f t="shared" si="82"/>
        <v>Q1</v>
      </c>
      <c r="K1052" s="2" t="str">
        <f t="shared" si="83"/>
        <v>Not Match</v>
      </c>
      <c r="L1052" s="1">
        <f t="shared" si="80"/>
        <v>7.8102496759066553E-2</v>
      </c>
      <c r="M1052" s="1" t="e">
        <f t="shared" si="81"/>
        <v>#N/A</v>
      </c>
      <c r="N1052" s="2" t="str">
        <f t="shared" si="84"/>
        <v>Q NOT OK dE&lt;=0.8</v>
      </c>
      <c r="O1052">
        <v>13.77</v>
      </c>
      <c r="P1052">
        <v>0.55000000000000004</v>
      </c>
      <c r="Q1052">
        <v>-1.2</v>
      </c>
      <c r="R1052">
        <v>-0.75</v>
      </c>
      <c r="S1052">
        <v>0.05</v>
      </c>
      <c r="T1052">
        <v>0.06</v>
      </c>
      <c r="U1052">
        <v>-0.05</v>
      </c>
      <c r="V1052">
        <v>0.1</v>
      </c>
      <c r="W1052">
        <v>0.76</v>
      </c>
      <c r="X1052" t="s">
        <v>13</v>
      </c>
      <c r="Y1052" t="s">
        <v>9</v>
      </c>
      <c r="Z1052" s="2" t="s">
        <v>718</v>
      </c>
      <c r="AA1052" s="2" t="s">
        <v>721</v>
      </c>
    </row>
    <row r="1053" spans="1:27" x14ac:dyDescent="0.35">
      <c r="A1053" t="s">
        <v>1540</v>
      </c>
      <c r="B1053" t="s">
        <v>2083</v>
      </c>
      <c r="C1053" s="7" t="str">
        <f>_xlfn.XLOOKUP(B1053,'[1]Sheet 1'!$A$2:$A$11107,'[1]Sheet 1'!$D$2:$D$11107,"",0)</f>
        <v>VSS</v>
      </c>
      <c r="D1053" s="4" t="str">
        <f>_xlfn.XLOOKUP(A1053,[3]Sheet2!$I$2:$I$1623,[3]Sheet2!$D$2:$D$1623,"",0)</f>
        <v>Q3</v>
      </c>
      <c r="F1053" s="4" t="e">
        <f>_xlfn.XLOOKUP(B1053,[2]Sheet2!$E$2:$E$713,[2]Sheet2!$G$2:$G$713)</f>
        <v>#N/A</v>
      </c>
      <c r="G1053" s="22">
        <v>46169</v>
      </c>
      <c r="H1053" s="23">
        <v>5.7928240740740738E-2</v>
      </c>
      <c r="I1053" t="s">
        <v>10</v>
      </c>
      <c r="J1053" s="2" t="str">
        <f t="shared" si="82"/>
        <v>Q3</v>
      </c>
      <c r="K1053" s="2" t="str">
        <f t="shared" si="83"/>
        <v>Match</v>
      </c>
      <c r="L1053" s="1">
        <f t="shared" si="80"/>
        <v>0.20124611797498107</v>
      </c>
      <c r="M1053" s="1" t="e">
        <f t="shared" si="81"/>
        <v>#N/A</v>
      </c>
      <c r="N1053" s="2" t="str">
        <f t="shared" si="84"/>
        <v>Q OK dE&lt;=0.8</v>
      </c>
      <c r="O1053">
        <v>14.79</v>
      </c>
      <c r="P1053">
        <v>0.41</v>
      </c>
      <c r="Q1053">
        <v>-1.44</v>
      </c>
      <c r="R1053">
        <v>0.24</v>
      </c>
      <c r="S1053">
        <v>-0.09</v>
      </c>
      <c r="T1053">
        <v>-0.18</v>
      </c>
      <c r="U1053">
        <v>0.2</v>
      </c>
      <c r="V1053">
        <v>-0.21</v>
      </c>
      <c r="W1053">
        <v>0.38</v>
      </c>
      <c r="X1053" t="s">
        <v>8</v>
      </c>
      <c r="Y1053" t="s">
        <v>15</v>
      </c>
      <c r="Z1053" s="2" t="s">
        <v>718</v>
      </c>
      <c r="AA1053" s="2" t="s">
        <v>721</v>
      </c>
    </row>
    <row r="1054" spans="1:27" x14ac:dyDescent="0.35">
      <c r="A1054" t="s">
        <v>1540</v>
      </c>
      <c r="B1054" t="s">
        <v>2082</v>
      </c>
      <c r="C1054" s="7" t="str">
        <f>_xlfn.XLOOKUP(B1054,'[1]Sheet 1'!$A$2:$A$11107,'[1]Sheet 1'!$D$2:$D$11107,"",0)</f>
        <v>VSS</v>
      </c>
      <c r="D1054" s="4" t="str">
        <f>_xlfn.XLOOKUP(A1054,[3]Sheet2!$I$2:$I$1623,[3]Sheet2!$D$2:$D$1623,"",0)</f>
        <v>Q3</v>
      </c>
      <c r="F1054" s="4" t="e">
        <f>_xlfn.XLOOKUP(B1054,[2]Sheet2!$E$2:$E$713,[2]Sheet2!$G$2:$G$713)</f>
        <v>#N/A</v>
      </c>
      <c r="G1054" s="22">
        <v>46169</v>
      </c>
      <c r="H1054" s="23">
        <v>5.6145833333333332E-2</v>
      </c>
      <c r="I1054" t="s">
        <v>10</v>
      </c>
      <c r="J1054" s="2" t="str">
        <f t="shared" si="82"/>
        <v>Q4</v>
      </c>
      <c r="K1054" s="2" t="str">
        <f t="shared" si="83"/>
        <v>Not Match</v>
      </c>
      <c r="L1054" s="1">
        <f t="shared" si="80"/>
        <v>4.2426406871192854E-2</v>
      </c>
      <c r="M1054" s="1" t="e">
        <f t="shared" si="81"/>
        <v>#N/A</v>
      </c>
      <c r="N1054" s="2" t="str">
        <f t="shared" si="84"/>
        <v>Q NOT OK dE&lt;=0.8</v>
      </c>
      <c r="O1054">
        <v>14.47</v>
      </c>
      <c r="P1054">
        <v>0.53</v>
      </c>
      <c r="Q1054">
        <v>-1.28</v>
      </c>
      <c r="R1054">
        <v>-7.0000000000000007E-2</v>
      </c>
      <c r="S1054">
        <v>0.03</v>
      </c>
      <c r="T1054">
        <v>-0.03</v>
      </c>
      <c r="U1054">
        <v>0.05</v>
      </c>
      <c r="V1054">
        <v>0.02</v>
      </c>
      <c r="W1054">
        <v>0.09</v>
      </c>
      <c r="X1054" t="s">
        <v>8</v>
      </c>
      <c r="Y1054" t="s">
        <v>9</v>
      </c>
      <c r="Z1054" s="2" t="s">
        <v>718</v>
      </c>
      <c r="AA1054" s="2" t="s">
        <v>721</v>
      </c>
    </row>
    <row r="1055" spans="1:27" x14ac:dyDescent="0.35">
      <c r="A1055" t="s">
        <v>1612</v>
      </c>
      <c r="B1055" t="s">
        <v>1908</v>
      </c>
      <c r="C1055" s="7" t="str">
        <f>_xlfn.XLOOKUP(B1055,'[1]Sheet 1'!$A$2:$A$11107,'[1]Sheet 1'!$D$2:$D$11107,"",0)</f>
        <v>LULU</v>
      </c>
      <c r="D1055" s="4" t="str">
        <f>_xlfn.XLOOKUP(A1055,[3]Sheet2!$I$2:$I$1623,[3]Sheet2!$D$2:$D$1623,"",0)</f>
        <v>Q1</v>
      </c>
      <c r="F1055" s="4" t="e">
        <f>_xlfn.XLOOKUP(B1055,[2]Sheet2!$E$2:$E$713,[2]Sheet2!$G$2:$G$713)</f>
        <v>#N/A</v>
      </c>
      <c r="G1055" s="22">
        <v>46169</v>
      </c>
      <c r="H1055" s="23">
        <v>0.61555555555555552</v>
      </c>
      <c r="I1055" t="s">
        <v>4</v>
      </c>
      <c r="J1055" s="2" t="str">
        <f t="shared" si="82"/>
        <v>Q3</v>
      </c>
      <c r="K1055" s="2" t="str">
        <f t="shared" si="83"/>
        <v>Not Match</v>
      </c>
      <c r="L1055" s="1">
        <f t="shared" si="80"/>
        <v>0.20880613017821101</v>
      </c>
      <c r="M1055" s="1" t="e">
        <f t="shared" si="81"/>
        <v>#N/A</v>
      </c>
      <c r="N1055" s="2" t="str">
        <f t="shared" si="84"/>
        <v>Q NOT OK dE&lt;=0.8</v>
      </c>
      <c r="O1055">
        <v>16.850000000000001</v>
      </c>
      <c r="P1055">
        <v>-0.35</v>
      </c>
      <c r="Q1055">
        <v>-2.5</v>
      </c>
      <c r="R1055">
        <v>-0.17</v>
      </c>
      <c r="S1055">
        <v>-0.06</v>
      </c>
      <c r="T1055">
        <v>-0.2</v>
      </c>
      <c r="U1055">
        <v>0.27</v>
      </c>
      <c r="V1055">
        <v>-0.04</v>
      </c>
      <c r="W1055">
        <v>0.32</v>
      </c>
      <c r="X1055" t="s">
        <v>8</v>
      </c>
      <c r="Y1055" t="s">
        <v>15</v>
      </c>
      <c r="Z1055" s="2" t="s">
        <v>718</v>
      </c>
      <c r="AA1055" s="2" t="s">
        <v>721</v>
      </c>
    </row>
    <row r="1056" spans="1:27" x14ac:dyDescent="0.35">
      <c r="A1056" t="s">
        <v>1755</v>
      </c>
      <c r="B1056" t="s">
        <v>2089</v>
      </c>
      <c r="C1056" s="7" t="str">
        <f>_xlfn.XLOOKUP(B1056,'[1]Sheet 1'!$A$2:$A$11107,'[1]Sheet 1'!$D$2:$D$11107,"",0)</f>
        <v>VSS</v>
      </c>
      <c r="D1056" s="4" t="str">
        <f>_xlfn.XLOOKUP(A1056,[3]Sheet2!$I$2:$I$1623,[3]Sheet2!$D$2:$D$1623,"",0)</f>
        <v>Q4</v>
      </c>
      <c r="F1056" s="4" t="e">
        <f>_xlfn.XLOOKUP(B1056,[2]Sheet2!$E$2:$E$713,[2]Sheet2!$G$2:$G$713)</f>
        <v>#N/A</v>
      </c>
      <c r="G1056" s="22">
        <v>46169</v>
      </c>
      <c r="H1056" s="23">
        <v>0.26807870370370368</v>
      </c>
      <c r="I1056" t="s">
        <v>10</v>
      </c>
      <c r="J1056" s="2" t="str">
        <f t="shared" si="82"/>
        <v>Q1</v>
      </c>
      <c r="K1056" s="2" t="str">
        <f t="shared" si="83"/>
        <v>Not Match</v>
      </c>
      <c r="L1056" s="1">
        <f t="shared" si="80"/>
        <v>0.32015621187164245</v>
      </c>
      <c r="M1056" s="1" t="e">
        <f t="shared" si="81"/>
        <v>#N/A</v>
      </c>
      <c r="N1056" s="2" t="str">
        <f t="shared" si="84"/>
        <v>Q NOT OK dE&lt;=0.8</v>
      </c>
      <c r="O1056">
        <v>28.04</v>
      </c>
      <c r="P1056">
        <v>12.04</v>
      </c>
      <c r="Q1056">
        <v>-7.79</v>
      </c>
      <c r="R1056">
        <v>0.02</v>
      </c>
      <c r="S1056">
        <v>0.08</v>
      </c>
      <c r="T1056">
        <v>0.31</v>
      </c>
      <c r="U1056">
        <v>-7.0000000000000007E-2</v>
      </c>
      <c r="V1056">
        <v>0.31</v>
      </c>
      <c r="W1056">
        <v>0.32</v>
      </c>
      <c r="X1056" t="s">
        <v>8</v>
      </c>
      <c r="Y1056" t="s">
        <v>9</v>
      </c>
      <c r="Z1056" s="2" t="s">
        <v>718</v>
      </c>
      <c r="AA1056" s="2" t="s">
        <v>721</v>
      </c>
    </row>
    <row r="1057" spans="1:27" x14ac:dyDescent="0.35">
      <c r="A1057" t="s">
        <v>1773</v>
      </c>
      <c r="B1057" t="s">
        <v>1912</v>
      </c>
      <c r="C1057" s="7" t="str">
        <f>_xlfn.XLOOKUP(B1057,'[1]Sheet 1'!$A$2:$A$11107,'[1]Sheet 1'!$D$2:$D$11107,"",0)</f>
        <v>NKSKI</v>
      </c>
      <c r="D1057" s="4" t="str">
        <f>_xlfn.XLOOKUP(A1057,[3]Sheet2!$I$2:$I$1623,[3]Sheet2!$D$2:$D$1623,"",0)</f>
        <v>Q3</v>
      </c>
      <c r="F1057" s="4" t="e">
        <f>_xlfn.XLOOKUP(B1057,[2]Sheet2!$E$2:$E$713,[2]Sheet2!$G$2:$G$713)</f>
        <v>#N/A</v>
      </c>
      <c r="G1057" s="22">
        <v>46169</v>
      </c>
      <c r="H1057" s="23">
        <v>0.69074074074074077</v>
      </c>
      <c r="I1057" t="s">
        <v>4</v>
      </c>
      <c r="J1057" s="2" t="str">
        <f t="shared" si="82"/>
        <v>Q2</v>
      </c>
      <c r="K1057" s="2" t="str">
        <f t="shared" si="83"/>
        <v>Not Match</v>
      </c>
      <c r="L1057" s="1">
        <f t="shared" si="80"/>
        <v>0.31953090617340912</v>
      </c>
      <c r="M1057" s="1" t="e">
        <f t="shared" si="81"/>
        <v>#N/A</v>
      </c>
      <c r="N1057" s="2" t="str">
        <f t="shared" si="84"/>
        <v>Q NOT OK dE&gt;0.8</v>
      </c>
      <c r="O1057">
        <v>16.46</v>
      </c>
      <c r="P1057">
        <v>-1.33</v>
      </c>
      <c r="Q1057">
        <v>-2.5299999999999998</v>
      </c>
      <c r="R1057">
        <v>-0.91</v>
      </c>
      <c r="S1057">
        <v>-0.11</v>
      </c>
      <c r="T1057">
        <v>0.3</v>
      </c>
      <c r="U1057">
        <v>-0.28000000000000003</v>
      </c>
      <c r="V1057">
        <v>-0.28999999999999998</v>
      </c>
      <c r="W1057">
        <v>0.99</v>
      </c>
      <c r="X1057" t="s">
        <v>13</v>
      </c>
      <c r="Y1057" t="s">
        <v>15</v>
      </c>
      <c r="Z1057" s="2" t="s">
        <v>718</v>
      </c>
      <c r="AA1057" s="2" t="s">
        <v>721</v>
      </c>
    </row>
    <row r="1058" spans="1:27" x14ac:dyDescent="0.35">
      <c r="A1058" t="s">
        <v>2148</v>
      </c>
      <c r="B1058" t="s">
        <v>2080</v>
      </c>
      <c r="C1058" s="7" t="str">
        <f>_xlfn.XLOOKUP(B1058,'[1]Sheet 1'!$A$2:$A$11107,'[1]Sheet 1'!$D$2:$D$11107,"",0)</f>
        <v>VSS</v>
      </c>
      <c r="D1058" s="4" t="str">
        <f>_xlfn.XLOOKUP(A1058,[3]Sheet2!$I$2:$I$1623,[3]Sheet2!$D$2:$D$1623,"",0)</f>
        <v>Q3</v>
      </c>
      <c r="F1058" s="4" t="e">
        <f>_xlfn.XLOOKUP(B1058,[2]Sheet2!$E$2:$E$713,[2]Sheet2!$G$2:$G$713)</f>
        <v>#N/A</v>
      </c>
      <c r="G1058" s="22">
        <v>46169</v>
      </c>
      <c r="H1058" s="23">
        <v>5.1840277777777777E-2</v>
      </c>
      <c r="I1058" t="s">
        <v>10</v>
      </c>
      <c r="J1058" s="2" t="str">
        <f t="shared" si="82"/>
        <v>Q4</v>
      </c>
      <c r="K1058" s="2" t="str">
        <f t="shared" si="83"/>
        <v>Not Match</v>
      </c>
      <c r="L1058" s="1">
        <f t="shared" si="80"/>
        <v>1.6323296235748463</v>
      </c>
      <c r="M1058" s="1" t="e">
        <f t="shared" si="81"/>
        <v>#N/A</v>
      </c>
      <c r="N1058" s="2" t="str">
        <f t="shared" si="84"/>
        <v>Q NOT OK dE&gt;0.8</v>
      </c>
      <c r="O1058">
        <v>43.73</v>
      </c>
      <c r="P1058">
        <v>55.55</v>
      </c>
      <c r="Q1058">
        <v>37.869999999999997</v>
      </c>
      <c r="R1058">
        <v>0.59</v>
      </c>
      <c r="S1058">
        <v>1.51</v>
      </c>
      <c r="T1058">
        <v>-0.62</v>
      </c>
      <c r="U1058">
        <v>0.3</v>
      </c>
      <c r="V1058">
        <v>-0.96</v>
      </c>
      <c r="W1058">
        <v>1.1599999999999999</v>
      </c>
      <c r="X1058" t="s">
        <v>6</v>
      </c>
      <c r="Y1058" t="s">
        <v>7</v>
      </c>
      <c r="Z1058" s="2" t="s">
        <v>718</v>
      </c>
      <c r="AA1058" s="2" t="s">
        <v>721</v>
      </c>
    </row>
    <row r="1059" spans="1:27" x14ac:dyDescent="0.35">
      <c r="A1059" t="s">
        <v>2148</v>
      </c>
      <c r="B1059" t="s">
        <v>1900</v>
      </c>
      <c r="C1059" s="7" t="str">
        <f>_xlfn.XLOOKUP(B1059,'[1]Sheet 1'!$A$2:$A$11107,'[1]Sheet 1'!$D$2:$D$11107,"",0)</f>
        <v>VSS</v>
      </c>
      <c r="D1059" s="4" t="str">
        <f>_xlfn.XLOOKUP(A1059,[3]Sheet2!$I$2:$I$1623,[3]Sheet2!$D$2:$D$1623,"",0)</f>
        <v>Q3</v>
      </c>
      <c r="F1059" s="4" t="e">
        <f>_xlfn.XLOOKUP(B1059,[2]Sheet2!$E$2:$E$713,[2]Sheet2!$G$2:$G$713)</f>
        <v>#N/A</v>
      </c>
      <c r="G1059" s="22">
        <v>46169</v>
      </c>
      <c r="H1059" s="23">
        <v>4.9444444444444444E-2</v>
      </c>
      <c r="I1059" t="s">
        <v>10</v>
      </c>
      <c r="J1059" s="2" t="str">
        <f t="shared" si="82"/>
        <v>Q4</v>
      </c>
      <c r="K1059" s="2" t="str">
        <f t="shared" si="83"/>
        <v>Not Match</v>
      </c>
      <c r="L1059" s="1">
        <f t="shared" si="80"/>
        <v>1.3674063039199431</v>
      </c>
      <c r="M1059" s="1" t="e">
        <f t="shared" si="81"/>
        <v>#N/A</v>
      </c>
      <c r="N1059" s="2" t="str">
        <f t="shared" si="84"/>
        <v>Q NOT OK dE&gt;0.8</v>
      </c>
      <c r="O1059">
        <v>43.33</v>
      </c>
      <c r="P1059">
        <v>55.17</v>
      </c>
      <c r="Q1059">
        <v>37.72</v>
      </c>
      <c r="R1059">
        <v>0.39</v>
      </c>
      <c r="S1059">
        <v>1.1299999999999999</v>
      </c>
      <c r="T1059">
        <v>-0.77</v>
      </c>
      <c r="U1059">
        <v>0.17</v>
      </c>
      <c r="V1059">
        <v>-0.89</v>
      </c>
      <c r="W1059">
        <v>0.99</v>
      </c>
      <c r="X1059" t="s">
        <v>13</v>
      </c>
      <c r="Y1059" t="s">
        <v>7</v>
      </c>
      <c r="Z1059" s="2" t="s">
        <v>718</v>
      </c>
      <c r="AA1059" s="2" t="s">
        <v>721</v>
      </c>
    </row>
    <row r="1060" spans="1:27" x14ac:dyDescent="0.35">
      <c r="A1060" t="s">
        <v>1508</v>
      </c>
      <c r="B1060" t="s">
        <v>2081</v>
      </c>
      <c r="C1060" s="7" t="str">
        <f>_xlfn.XLOOKUP(B1060,'[1]Sheet 1'!$A$2:$A$11107,'[1]Sheet 1'!$D$2:$D$11107,"",0)</f>
        <v>LULU</v>
      </c>
      <c r="D1060" s="4" t="str">
        <f>_xlfn.XLOOKUP(A1060,[3]Sheet2!$I$2:$I$1623,[3]Sheet2!$D$2:$D$1623,"",0)</f>
        <v>Q2</v>
      </c>
      <c r="F1060" s="4" t="e">
        <f>_xlfn.XLOOKUP(B1060,[2]Sheet2!$E$2:$E$713,[2]Sheet2!$G$2:$G$713)</f>
        <v>#N/A</v>
      </c>
      <c r="G1060" s="22">
        <v>46169</v>
      </c>
      <c r="H1060" s="23">
        <v>5.4016203703703705E-2</v>
      </c>
      <c r="I1060" t="s">
        <v>4</v>
      </c>
      <c r="J1060" s="2" t="str">
        <f t="shared" si="82"/>
        <v>Q3</v>
      </c>
      <c r="K1060" s="2" t="str">
        <f t="shared" si="83"/>
        <v>Not Match</v>
      </c>
      <c r="L1060" s="1">
        <f t="shared" si="80"/>
        <v>0.49010203019371379</v>
      </c>
      <c r="M1060" s="1" t="e">
        <f t="shared" si="81"/>
        <v>#N/A</v>
      </c>
      <c r="N1060" s="2" t="str">
        <f t="shared" si="84"/>
        <v>Q NOT OK dE&lt;=0.8</v>
      </c>
      <c r="O1060">
        <v>19.12</v>
      </c>
      <c r="P1060">
        <v>-0.69</v>
      </c>
      <c r="Q1060">
        <v>-8.11</v>
      </c>
      <c r="R1060">
        <v>0.17</v>
      </c>
      <c r="S1060">
        <v>-0.01</v>
      </c>
      <c r="T1060">
        <v>-0.49</v>
      </c>
      <c r="U1060">
        <v>0.46</v>
      </c>
      <c r="V1060">
        <v>0.05</v>
      </c>
      <c r="W1060">
        <v>0.49</v>
      </c>
      <c r="X1060" t="s">
        <v>8</v>
      </c>
      <c r="Y1060" t="s">
        <v>9</v>
      </c>
      <c r="Z1060" s="2" t="s">
        <v>718</v>
      </c>
      <c r="AA1060" s="2" t="s">
        <v>721</v>
      </c>
    </row>
    <row r="1061" spans="1:27" x14ac:dyDescent="0.35">
      <c r="A1061" t="s">
        <v>2148</v>
      </c>
      <c r="B1061" t="s">
        <v>1909</v>
      </c>
      <c r="C1061" s="7" t="str">
        <f>_xlfn.XLOOKUP(B1061,'[1]Sheet 1'!$A$2:$A$11107,'[1]Sheet 1'!$D$2:$D$11107,"",0)</f>
        <v>VSS</v>
      </c>
      <c r="D1061" s="4" t="str">
        <f>_xlfn.XLOOKUP(A1061,[3]Sheet2!$I$2:$I$1623,[3]Sheet2!$D$2:$D$1623,"",0)</f>
        <v>Q3</v>
      </c>
      <c r="F1061" s="4" t="e">
        <f>_xlfn.XLOOKUP(B1061,[2]Sheet2!$E$2:$E$713,[2]Sheet2!$G$2:$G$713)</f>
        <v>#N/A</v>
      </c>
      <c r="G1061" s="22">
        <v>46169</v>
      </c>
      <c r="H1061" s="23">
        <v>0.63480324074074079</v>
      </c>
      <c r="I1061" t="s">
        <v>10</v>
      </c>
      <c r="J1061" s="2" t="str">
        <f t="shared" si="82"/>
        <v>Q1</v>
      </c>
      <c r="K1061" s="2" t="str">
        <f t="shared" si="83"/>
        <v>Not Match</v>
      </c>
      <c r="L1061" s="1">
        <f t="shared" si="80"/>
        <v>1.1085576214162258</v>
      </c>
      <c r="M1061" s="1" t="e">
        <f t="shared" si="81"/>
        <v>#N/A</v>
      </c>
      <c r="N1061" s="2" t="str">
        <f t="shared" si="84"/>
        <v>Q NOT OK dE&lt;=0.8</v>
      </c>
      <c r="O1061">
        <v>43.72</v>
      </c>
      <c r="P1061">
        <v>55.12</v>
      </c>
      <c r="Q1061">
        <v>38.74</v>
      </c>
      <c r="R1061">
        <v>0.57999999999999996</v>
      </c>
      <c r="S1061">
        <v>1.08</v>
      </c>
      <c r="T1061">
        <v>0.25</v>
      </c>
      <c r="U1061">
        <v>0.35</v>
      </c>
      <c r="V1061">
        <v>-0.28999999999999998</v>
      </c>
      <c r="W1061">
        <v>0.74</v>
      </c>
      <c r="X1061" t="s">
        <v>8</v>
      </c>
      <c r="Y1061" t="s">
        <v>7</v>
      </c>
      <c r="Z1061" s="2" t="s">
        <v>718</v>
      </c>
      <c r="AA1061" s="2" t="s">
        <v>721</v>
      </c>
    </row>
    <row r="1062" spans="1:27" x14ac:dyDescent="0.35">
      <c r="A1062" t="s">
        <v>2148</v>
      </c>
      <c r="B1062" t="s">
        <v>2084</v>
      </c>
      <c r="C1062" s="7" t="str">
        <f>_xlfn.XLOOKUP(B1062,'[1]Sheet 1'!$A$2:$A$11107,'[1]Sheet 1'!$D$2:$D$11107,"",0)</f>
        <v>VSS</v>
      </c>
      <c r="D1062" s="4" t="str">
        <f>_xlfn.XLOOKUP(A1062,[3]Sheet2!$I$2:$I$1623,[3]Sheet2!$D$2:$D$1623,"",0)</f>
        <v>Q3</v>
      </c>
      <c r="F1062" s="4" t="e">
        <f>_xlfn.XLOOKUP(B1062,[2]Sheet2!$E$2:$E$713,[2]Sheet2!$G$2:$G$713)</f>
        <v>#N/A</v>
      </c>
      <c r="G1062" s="22">
        <v>46169</v>
      </c>
      <c r="H1062" s="23">
        <v>6.626157407407407E-2</v>
      </c>
      <c r="I1062" t="s">
        <v>10</v>
      </c>
      <c r="J1062" s="2" t="str">
        <f t="shared" si="82"/>
        <v>Q1</v>
      </c>
      <c r="K1062" s="2" t="str">
        <f t="shared" si="83"/>
        <v>Not Match</v>
      </c>
      <c r="L1062" s="1">
        <f t="shared" si="80"/>
        <v>2.5004999500099974</v>
      </c>
      <c r="M1062" s="1" t="e">
        <f t="shared" si="81"/>
        <v>#N/A</v>
      </c>
      <c r="N1062" s="2" t="str">
        <f t="shared" si="84"/>
        <v>Q NOT OK dE&gt;0.8</v>
      </c>
      <c r="O1062">
        <v>44.1</v>
      </c>
      <c r="P1062">
        <v>55.91</v>
      </c>
      <c r="Q1062">
        <v>40.15</v>
      </c>
      <c r="R1062">
        <v>0.77</v>
      </c>
      <c r="S1062">
        <v>1.87</v>
      </c>
      <c r="T1062">
        <v>1.66</v>
      </c>
      <c r="U1062">
        <v>0.86</v>
      </c>
      <c r="V1062">
        <v>0.18</v>
      </c>
      <c r="W1062">
        <v>1.17</v>
      </c>
      <c r="X1062" t="s">
        <v>6</v>
      </c>
      <c r="Y1062" t="s">
        <v>12</v>
      </c>
      <c r="Z1062" s="2" t="s">
        <v>718</v>
      </c>
      <c r="AA1062" s="2" t="s">
        <v>721</v>
      </c>
    </row>
    <row r="1063" spans="1:27" x14ac:dyDescent="0.35">
      <c r="A1063" t="s">
        <v>2148</v>
      </c>
      <c r="B1063" t="s">
        <v>2092</v>
      </c>
      <c r="C1063" s="7" t="str">
        <f>_xlfn.XLOOKUP(B1063,'[1]Sheet 1'!$A$2:$A$11107,'[1]Sheet 1'!$D$2:$D$11107,"",0)</f>
        <v>VSS</v>
      </c>
      <c r="D1063" s="4" t="str">
        <f>_xlfn.XLOOKUP(A1063,[3]Sheet2!$I$2:$I$1623,[3]Sheet2!$D$2:$D$1623,"",0)</f>
        <v>Q3</v>
      </c>
      <c r="F1063" s="4" t="e">
        <f>_xlfn.XLOOKUP(B1063,[2]Sheet2!$E$2:$E$713,[2]Sheet2!$G$2:$G$713)</f>
        <v>#N/A</v>
      </c>
      <c r="G1063" s="22">
        <v>46169</v>
      </c>
      <c r="H1063" s="23">
        <v>0.763275462962963</v>
      </c>
      <c r="I1063" t="s">
        <v>10</v>
      </c>
      <c r="J1063" s="2" t="str">
        <f t="shared" si="82"/>
        <v>Q1</v>
      </c>
      <c r="K1063" s="2" t="str">
        <f t="shared" si="83"/>
        <v>Not Match</v>
      </c>
      <c r="L1063" s="1">
        <f t="shared" si="80"/>
        <v>1.6443843832875573</v>
      </c>
      <c r="M1063" s="1" t="e">
        <f t="shared" si="81"/>
        <v>#N/A</v>
      </c>
      <c r="N1063" s="2" t="str">
        <f t="shared" si="84"/>
        <v>Q NOT OK dE&gt;0.8</v>
      </c>
      <c r="O1063">
        <v>43.73</v>
      </c>
      <c r="P1063">
        <v>55.28</v>
      </c>
      <c r="Q1063">
        <v>39.58</v>
      </c>
      <c r="R1063">
        <v>0.59</v>
      </c>
      <c r="S1063">
        <v>1.24</v>
      </c>
      <c r="T1063">
        <v>1.08</v>
      </c>
      <c r="U1063">
        <v>0.56000000000000005</v>
      </c>
      <c r="V1063">
        <v>0.11</v>
      </c>
      <c r="W1063">
        <v>0.82</v>
      </c>
      <c r="X1063" t="s">
        <v>13</v>
      </c>
      <c r="Y1063" t="s">
        <v>12</v>
      </c>
      <c r="Z1063" s="2" t="s">
        <v>718</v>
      </c>
      <c r="AA1063" s="2" t="s">
        <v>721</v>
      </c>
    </row>
    <row r="1064" spans="1:27" x14ac:dyDescent="0.35">
      <c r="A1064" t="s">
        <v>1540</v>
      </c>
      <c r="B1064" t="s">
        <v>2091</v>
      </c>
      <c r="C1064" s="7" t="str">
        <f>_xlfn.XLOOKUP(B1064,'[1]Sheet 1'!$A$2:$A$11107,'[1]Sheet 1'!$D$2:$D$11107,"",0)</f>
        <v>VSS</v>
      </c>
      <c r="D1064" s="4" t="str">
        <f>_xlfn.XLOOKUP(A1064,[3]Sheet2!$I$2:$I$1623,[3]Sheet2!$D$2:$D$1623,"",0)</f>
        <v>Q3</v>
      </c>
      <c r="F1064" s="4" t="e">
        <f>_xlfn.XLOOKUP(B1064,[2]Sheet2!$E$2:$E$713,[2]Sheet2!$G$2:$G$713)</f>
        <v>#N/A</v>
      </c>
      <c r="G1064" s="22">
        <v>46169</v>
      </c>
      <c r="H1064" s="23">
        <v>0.58680555555555558</v>
      </c>
      <c r="I1064" t="s">
        <v>10</v>
      </c>
      <c r="J1064" s="2" t="str">
        <f t="shared" si="82"/>
        <v>Q4</v>
      </c>
      <c r="K1064" s="2" t="str">
        <f t="shared" si="83"/>
        <v>Not Match</v>
      </c>
      <c r="L1064" s="1">
        <f t="shared" si="80"/>
        <v>0.17029386365926402</v>
      </c>
      <c r="M1064" s="1" t="e">
        <f t="shared" si="81"/>
        <v>#N/A</v>
      </c>
      <c r="N1064" s="2" t="str">
        <f t="shared" si="84"/>
        <v>Q NOT OK dE&lt;=0.8</v>
      </c>
      <c r="O1064">
        <v>14.18</v>
      </c>
      <c r="P1064">
        <v>0.63</v>
      </c>
      <c r="Q1064">
        <v>-1.36</v>
      </c>
      <c r="R1064">
        <v>-0.35</v>
      </c>
      <c r="S1064">
        <v>0.13</v>
      </c>
      <c r="T1064">
        <v>-0.11</v>
      </c>
      <c r="U1064">
        <v>0.21</v>
      </c>
      <c r="V1064">
        <v>0.11</v>
      </c>
      <c r="W1064">
        <v>0.42</v>
      </c>
      <c r="X1064" t="s">
        <v>8</v>
      </c>
      <c r="Y1064" t="s">
        <v>9</v>
      </c>
      <c r="Z1064" s="2" t="s">
        <v>718</v>
      </c>
      <c r="AA1064" s="2" t="s">
        <v>721</v>
      </c>
    </row>
    <row r="1065" spans="1:27" x14ac:dyDescent="0.35">
      <c r="A1065" t="s">
        <v>1626</v>
      </c>
      <c r="B1065" t="s">
        <v>2086</v>
      </c>
      <c r="C1065" s="7" t="str">
        <f>_xlfn.XLOOKUP(B1065,'[1]Sheet 1'!$A$2:$A$11107,'[1]Sheet 1'!$D$2:$D$11107,"",0)</f>
        <v>VSS</v>
      </c>
      <c r="D1065" s="4" t="str">
        <f>_xlfn.XLOOKUP(A1065,[3]Sheet2!$I$2:$I$1623,[3]Sheet2!$D$2:$D$1623,"",0)</f>
        <v>Q4</v>
      </c>
      <c r="F1065" s="4" t="e">
        <f>_xlfn.XLOOKUP(B1065,[2]Sheet2!$E$2:$E$713,[2]Sheet2!$G$2:$G$713)</f>
        <v>#N/A</v>
      </c>
      <c r="G1065" s="22">
        <v>46169</v>
      </c>
      <c r="H1065" s="23">
        <v>0.19289351851851852</v>
      </c>
      <c r="I1065" t="s">
        <v>10</v>
      </c>
      <c r="J1065" s="2" t="str">
        <f t="shared" si="82"/>
        <v>Q3</v>
      </c>
      <c r="K1065" s="2" t="str">
        <f t="shared" si="83"/>
        <v>Not Match</v>
      </c>
      <c r="L1065" s="1">
        <f t="shared" si="80"/>
        <v>0.1835755975068582</v>
      </c>
      <c r="M1065" s="1" t="e">
        <f t="shared" si="81"/>
        <v>#N/A</v>
      </c>
      <c r="N1065" s="2" t="str">
        <f t="shared" si="84"/>
        <v>Q NOT OK dE&lt;=0.8</v>
      </c>
      <c r="O1065">
        <v>16.100000000000001</v>
      </c>
      <c r="P1065">
        <v>0.5</v>
      </c>
      <c r="Q1065">
        <v>-1.75</v>
      </c>
      <c r="R1065">
        <v>0.51</v>
      </c>
      <c r="S1065">
        <v>-0.09</v>
      </c>
      <c r="T1065">
        <v>-0.16</v>
      </c>
      <c r="U1065">
        <v>0.17</v>
      </c>
      <c r="V1065">
        <v>-0.19</v>
      </c>
      <c r="W1065">
        <v>0.56999999999999995</v>
      </c>
      <c r="X1065" t="s">
        <v>8</v>
      </c>
      <c r="Y1065" t="s">
        <v>15</v>
      </c>
      <c r="Z1065" s="2" t="s">
        <v>718</v>
      </c>
      <c r="AA1065" s="2" t="s">
        <v>721</v>
      </c>
    </row>
    <row r="1066" spans="1:27" x14ac:dyDescent="0.35">
      <c r="A1066" t="s">
        <v>1821</v>
      </c>
      <c r="B1066" t="s">
        <v>1906</v>
      </c>
      <c r="C1066" s="7" t="str">
        <f>_xlfn.XLOOKUP(B1066,'[1]Sheet 1'!$A$2:$A$11107,'[1]Sheet 1'!$D$2:$D$11107,"",0)</f>
        <v>NEWB</v>
      </c>
      <c r="D1066" s="4" t="str">
        <f>_xlfn.XLOOKUP(A1066,[3]Sheet2!$I$2:$I$1623,[3]Sheet2!$D$2:$D$1623,"",0)</f>
        <v>Q2</v>
      </c>
      <c r="F1066" s="4" t="e">
        <f>_xlfn.XLOOKUP(B1066,[2]Sheet2!$E$2:$E$713,[2]Sheet2!$G$2:$G$713)</f>
        <v>#N/A</v>
      </c>
      <c r="G1066" s="22">
        <v>46169</v>
      </c>
      <c r="H1066" s="23">
        <v>4.3634259259259262E-2</v>
      </c>
      <c r="I1066" t="s">
        <v>4</v>
      </c>
      <c r="J1066" s="2" t="str">
        <f t="shared" si="82"/>
        <v>Q3</v>
      </c>
      <c r="K1066" s="2" t="str">
        <f t="shared" si="83"/>
        <v>Not Match</v>
      </c>
      <c r="L1066" s="1">
        <f t="shared" si="80"/>
        <v>0.33136083051561782</v>
      </c>
      <c r="M1066" s="1" t="e">
        <f t="shared" si="81"/>
        <v>#N/A</v>
      </c>
      <c r="N1066" s="2" t="str">
        <f t="shared" si="84"/>
        <v>Q NOT OK dE&lt;=0.8</v>
      </c>
      <c r="O1066">
        <v>20.81</v>
      </c>
      <c r="P1066">
        <v>12.38</v>
      </c>
      <c r="Q1066">
        <v>-3.05</v>
      </c>
      <c r="R1066">
        <v>-0.55000000000000004</v>
      </c>
      <c r="S1066">
        <v>-0.03</v>
      </c>
      <c r="T1066">
        <v>-0.33</v>
      </c>
      <c r="U1066">
        <v>0.04</v>
      </c>
      <c r="V1066">
        <v>-0.33</v>
      </c>
      <c r="W1066">
        <v>0.64</v>
      </c>
      <c r="X1066" t="s">
        <v>8</v>
      </c>
      <c r="Y1066" t="s">
        <v>7</v>
      </c>
      <c r="Z1066" s="2" t="s">
        <v>718</v>
      </c>
      <c r="AA1066" s="2" t="s">
        <v>721</v>
      </c>
    </row>
    <row r="1067" spans="1:27" x14ac:dyDescent="0.35">
      <c r="A1067" t="s">
        <v>2152</v>
      </c>
      <c r="B1067" t="s">
        <v>1914</v>
      </c>
      <c r="C1067" s="7" t="str">
        <f>_xlfn.XLOOKUP(B1067,'[1]Sheet 1'!$A$2:$A$11107,'[1]Sheet 1'!$D$2:$D$11107,"",0)</f>
        <v>LBI</v>
      </c>
      <c r="D1067" s="4" t="str">
        <f>_xlfn.XLOOKUP(A1067,[3]Sheet2!$I$2:$I$1623,[3]Sheet2!$D$2:$D$1623,"",0)</f>
        <v>Q3</v>
      </c>
      <c r="F1067" s="4" t="e">
        <f>_xlfn.XLOOKUP(B1067,[2]Sheet2!$E$2:$E$713,[2]Sheet2!$G$2:$G$713)</f>
        <v>#N/A</v>
      </c>
      <c r="G1067" s="22">
        <v>46170</v>
      </c>
      <c r="H1067" s="23">
        <v>0.77067129629629627</v>
      </c>
      <c r="I1067" t="s">
        <v>4</v>
      </c>
      <c r="J1067" s="2" t="str">
        <f t="shared" si="82"/>
        <v>Q4</v>
      </c>
      <c r="K1067" s="2" t="str">
        <f t="shared" si="83"/>
        <v>Not Match</v>
      </c>
      <c r="L1067" s="1">
        <f t="shared" si="80"/>
        <v>0.83546394296821691</v>
      </c>
      <c r="M1067" s="1" t="e">
        <f t="shared" si="81"/>
        <v>#N/A</v>
      </c>
      <c r="N1067" s="2" t="str">
        <f t="shared" si="84"/>
        <v>Q NOT OK dE&lt;=0.8</v>
      </c>
      <c r="O1067">
        <v>25.21</v>
      </c>
      <c r="P1067">
        <v>-18.57</v>
      </c>
      <c r="Q1067">
        <v>7.0000000000000007E-2</v>
      </c>
      <c r="R1067">
        <v>-0.39</v>
      </c>
      <c r="S1067">
        <v>0.62</v>
      </c>
      <c r="T1067">
        <v>-0.56000000000000005</v>
      </c>
      <c r="U1067">
        <v>-0.39</v>
      </c>
      <c r="V1067">
        <v>0.45</v>
      </c>
      <c r="W1067">
        <v>0.71</v>
      </c>
      <c r="X1067" t="s">
        <v>8</v>
      </c>
      <c r="Y1067" t="s">
        <v>7</v>
      </c>
      <c r="Z1067" s="2" t="s">
        <v>718</v>
      </c>
      <c r="AA1067" s="2" t="s">
        <v>721</v>
      </c>
    </row>
    <row r="1068" spans="1:27" x14ac:dyDescent="0.35">
      <c r="A1068" t="s">
        <v>1516</v>
      </c>
      <c r="B1068" t="s">
        <v>2096</v>
      </c>
      <c r="C1068" s="7" t="str">
        <f>_xlfn.XLOOKUP(B1068,'[1]Sheet 1'!$A$2:$A$11107,'[1]Sheet 1'!$D$2:$D$11107,"",0)</f>
        <v>LBI</v>
      </c>
      <c r="D1068" s="4" t="str">
        <f>_xlfn.XLOOKUP(A1068,[3]Sheet2!$I$2:$I$1623,[3]Sheet2!$D$2:$D$1623,"",0)</f>
        <v>Q2</v>
      </c>
      <c r="F1068" s="4" t="e">
        <f>_xlfn.XLOOKUP(B1068,[2]Sheet2!$E$2:$E$713,[2]Sheet2!$G$2:$G$713)</f>
        <v>#N/A</v>
      </c>
      <c r="G1068" s="22">
        <v>46170</v>
      </c>
      <c r="H1068" s="23">
        <v>0.75280092592592596</v>
      </c>
      <c r="I1068" t="s">
        <v>14</v>
      </c>
      <c r="J1068" s="2" t="str">
        <f t="shared" si="82"/>
        <v>Q4</v>
      </c>
      <c r="K1068" s="2" t="str">
        <f t="shared" si="83"/>
        <v>Not Match</v>
      </c>
      <c r="L1068" s="1">
        <f t="shared" si="80"/>
        <v>0.17464249196572981</v>
      </c>
      <c r="M1068" s="1" t="e">
        <f t="shared" si="81"/>
        <v>#N/A</v>
      </c>
      <c r="N1068" s="2" t="str">
        <f t="shared" si="84"/>
        <v>Q NOT OK dE&lt;=0.8</v>
      </c>
      <c r="O1068">
        <v>18.52</v>
      </c>
      <c r="P1068">
        <v>-1.43</v>
      </c>
      <c r="Q1068">
        <v>-2.7</v>
      </c>
      <c r="R1068">
        <v>0.51</v>
      </c>
      <c r="S1068">
        <v>0.17</v>
      </c>
      <c r="T1068">
        <v>-0.04</v>
      </c>
      <c r="U1068">
        <v>-0.05</v>
      </c>
      <c r="V1068">
        <v>0.21</v>
      </c>
      <c r="W1068">
        <v>0.56000000000000005</v>
      </c>
      <c r="X1068" t="s">
        <v>8</v>
      </c>
      <c r="Y1068" t="s">
        <v>9</v>
      </c>
      <c r="Z1068" s="2" t="s">
        <v>718</v>
      </c>
      <c r="AA1068" s="2" t="s">
        <v>721</v>
      </c>
    </row>
    <row r="1069" spans="1:27" x14ac:dyDescent="0.35">
      <c r="A1069" t="s">
        <v>1557</v>
      </c>
      <c r="B1069" t="s">
        <v>1916</v>
      </c>
      <c r="C1069" s="7" t="str">
        <f>_xlfn.XLOOKUP(B1069,'[1]Sheet 1'!$A$2:$A$11107,'[1]Sheet 1'!$D$2:$D$11107,"",0)</f>
        <v>M&amp;S</v>
      </c>
      <c r="D1069" s="4" t="str">
        <f>_xlfn.XLOOKUP(A1069,[3]Sheet2!$I$2:$I$1623,[3]Sheet2!$D$2:$D$1623,"",0)</f>
        <v>Q3</v>
      </c>
      <c r="F1069" s="4" t="e">
        <f>_xlfn.XLOOKUP(B1069,[2]Sheet2!$E$2:$E$713,[2]Sheet2!$G$2:$G$713)</f>
        <v>#N/A</v>
      </c>
      <c r="G1069" s="22">
        <v>46170</v>
      </c>
      <c r="H1069" s="23">
        <v>0.94517361111111109</v>
      </c>
      <c r="I1069" t="s">
        <v>17</v>
      </c>
      <c r="J1069" s="2" t="str">
        <f t="shared" si="82"/>
        <v>Q4</v>
      </c>
      <c r="K1069" s="2" t="str">
        <f t="shared" si="83"/>
        <v>Not Match</v>
      </c>
      <c r="L1069" s="1">
        <f t="shared" si="80"/>
        <v>0.19313207915827965</v>
      </c>
      <c r="M1069" s="1" t="e">
        <f t="shared" si="81"/>
        <v>#N/A</v>
      </c>
      <c r="N1069" s="2" t="str">
        <f t="shared" si="84"/>
        <v>Q NOT OK dE&lt;=0.8</v>
      </c>
      <c r="O1069">
        <v>15.08</v>
      </c>
      <c r="P1069">
        <v>-0.51</v>
      </c>
      <c r="Q1069">
        <v>-1.87</v>
      </c>
      <c r="R1069">
        <v>-0.28000000000000003</v>
      </c>
      <c r="S1069">
        <v>7.0000000000000007E-2</v>
      </c>
      <c r="T1069">
        <v>-0.18</v>
      </c>
      <c r="U1069">
        <v>0.19</v>
      </c>
      <c r="V1069">
        <v>0.17</v>
      </c>
      <c r="W1069">
        <v>0.38</v>
      </c>
      <c r="X1069" t="s">
        <v>8</v>
      </c>
      <c r="Y1069" t="s">
        <v>9</v>
      </c>
      <c r="Z1069" s="2" t="s">
        <v>718</v>
      </c>
      <c r="AA1069" s="2" t="s">
        <v>721</v>
      </c>
    </row>
    <row r="1070" spans="1:27" x14ac:dyDescent="0.35">
      <c r="A1070" t="s">
        <v>1785</v>
      </c>
      <c r="B1070" t="s">
        <v>2097</v>
      </c>
      <c r="C1070" s="7" t="str">
        <f>_xlfn.XLOOKUP(B1070,'[1]Sheet 1'!$A$2:$A$11107,'[1]Sheet 1'!$D$2:$D$11107,"",0)</f>
        <v>CK</v>
      </c>
      <c r="D1070" s="4" t="str">
        <f>_xlfn.XLOOKUP(A1070,[3]Sheet2!$I$2:$I$1623,[3]Sheet2!$D$2:$D$1623,"",0)</f>
        <v>Q4</v>
      </c>
      <c r="F1070" s="4" t="e">
        <f>_xlfn.XLOOKUP(B1070,[2]Sheet2!$E$2:$E$713,[2]Sheet2!$G$2:$G$713)</f>
        <v>#N/A</v>
      </c>
      <c r="G1070" s="22">
        <v>46170</v>
      </c>
      <c r="H1070" s="23">
        <v>0.75523148148148145</v>
      </c>
      <c r="I1070" t="s">
        <v>11</v>
      </c>
      <c r="J1070" s="2" t="str">
        <f t="shared" si="82"/>
        <v>Q3</v>
      </c>
      <c r="K1070" s="2" t="str">
        <f t="shared" si="83"/>
        <v>Not Match</v>
      </c>
      <c r="L1070" s="1">
        <f t="shared" si="80"/>
        <v>0.2545584412271571</v>
      </c>
      <c r="M1070" s="1" t="e">
        <f t="shared" si="81"/>
        <v>#N/A</v>
      </c>
      <c r="N1070" s="2" t="str">
        <f t="shared" si="84"/>
        <v>Q NOT OK dE&lt;=0.8</v>
      </c>
      <c r="O1070">
        <v>17.23</v>
      </c>
      <c r="P1070">
        <v>-0.76</v>
      </c>
      <c r="Q1070">
        <v>-1.92</v>
      </c>
      <c r="R1070">
        <v>0.14000000000000001</v>
      </c>
      <c r="S1070">
        <v>-0.18</v>
      </c>
      <c r="T1070">
        <v>-0.18</v>
      </c>
      <c r="U1070">
        <v>0.31</v>
      </c>
      <c r="V1070">
        <v>-0.14000000000000001</v>
      </c>
      <c r="W1070">
        <v>0.37</v>
      </c>
      <c r="X1070" t="s">
        <v>8</v>
      </c>
      <c r="Y1070" t="s">
        <v>15</v>
      </c>
      <c r="Z1070" s="2" t="s">
        <v>718</v>
      </c>
      <c r="AA1070" s="2" t="s">
        <v>721</v>
      </c>
    </row>
    <row r="1071" spans="1:27" x14ac:dyDescent="0.35">
      <c r="A1071" t="s">
        <v>1612</v>
      </c>
      <c r="B1071" t="s">
        <v>2094</v>
      </c>
      <c r="C1071" s="7" t="str">
        <f>_xlfn.XLOOKUP(B1071,'[1]Sheet 1'!$A$2:$A$11107,'[1]Sheet 1'!$D$2:$D$11107,"",0)</f>
        <v>LULU</v>
      </c>
      <c r="D1071" s="4" t="str">
        <f>_xlfn.XLOOKUP(A1071,[3]Sheet2!$I$2:$I$1623,[3]Sheet2!$D$2:$D$1623,"",0)</f>
        <v>Q1</v>
      </c>
      <c r="F1071" s="4" t="e">
        <f>_xlfn.XLOOKUP(B1071,[2]Sheet2!$E$2:$E$713,[2]Sheet2!$G$2:$G$713)</f>
        <v>#N/A</v>
      </c>
      <c r="G1071" s="22">
        <v>46170</v>
      </c>
      <c r="H1071" s="23">
        <v>0.74130787037037038</v>
      </c>
      <c r="I1071" t="s">
        <v>4</v>
      </c>
      <c r="J1071" s="2" t="str">
        <f t="shared" si="82"/>
        <v>Q3</v>
      </c>
      <c r="K1071" s="2" t="str">
        <f t="shared" si="83"/>
        <v>Not Match</v>
      </c>
      <c r="L1071" s="1">
        <f t="shared" si="80"/>
        <v>0.14317821063276354</v>
      </c>
      <c r="M1071" s="1" t="e">
        <f t="shared" si="81"/>
        <v>#N/A</v>
      </c>
      <c r="N1071" s="2" t="str">
        <f t="shared" si="84"/>
        <v>Q NOT OK dE&lt;=0.8</v>
      </c>
      <c r="O1071">
        <v>17.12</v>
      </c>
      <c r="P1071">
        <v>-0.32</v>
      </c>
      <c r="Q1071">
        <v>-2.4300000000000002</v>
      </c>
      <c r="R1071">
        <v>0.08</v>
      </c>
      <c r="S1071">
        <v>-0.03</v>
      </c>
      <c r="T1071">
        <v>-0.14000000000000001</v>
      </c>
      <c r="U1071">
        <v>0.18</v>
      </c>
      <c r="V1071">
        <v>-0.02</v>
      </c>
      <c r="W1071">
        <v>0.2</v>
      </c>
      <c r="X1071" t="s">
        <v>8</v>
      </c>
      <c r="Y1071" t="s">
        <v>15</v>
      </c>
      <c r="Z1071" s="2" t="s">
        <v>718</v>
      </c>
      <c r="AA1071" s="2" t="s">
        <v>721</v>
      </c>
    </row>
    <row r="1072" spans="1:27" x14ac:dyDescent="0.35">
      <c r="A1072" t="s">
        <v>1558</v>
      </c>
      <c r="B1072" t="s">
        <v>2099</v>
      </c>
      <c r="C1072" s="7" t="str">
        <f>_xlfn.XLOOKUP(B1072,'[1]Sheet 1'!$A$2:$A$11107,'[1]Sheet 1'!$D$2:$D$11107,"",0)</f>
        <v>M&amp;S</v>
      </c>
      <c r="D1072" s="4" t="str">
        <f>_xlfn.XLOOKUP(A1072,[3]Sheet2!$I$2:$I$1623,[3]Sheet2!$D$2:$D$1623,"",0)</f>
        <v>Q3</v>
      </c>
      <c r="F1072" s="4" t="e">
        <f>_xlfn.XLOOKUP(B1072,[2]Sheet2!$E$2:$E$713,[2]Sheet2!$G$2:$G$713)</f>
        <v>#N/A</v>
      </c>
      <c r="G1072" s="22">
        <v>46170</v>
      </c>
      <c r="H1072" s="23">
        <v>0.78608796296296302</v>
      </c>
      <c r="I1072" t="s">
        <v>17</v>
      </c>
      <c r="J1072" s="2" t="str">
        <f t="shared" si="82"/>
        <v>Q4</v>
      </c>
      <c r="K1072" s="2" t="str">
        <f t="shared" si="83"/>
        <v>Not Match</v>
      </c>
      <c r="L1072" s="1">
        <f t="shared" si="80"/>
        <v>0.31240998703626621</v>
      </c>
      <c r="M1072" s="1" t="e">
        <f t="shared" si="81"/>
        <v>#N/A</v>
      </c>
      <c r="N1072" s="2" t="str">
        <f t="shared" si="84"/>
        <v>Q NOT OK dE&lt;=0.8</v>
      </c>
      <c r="O1072">
        <v>14.98</v>
      </c>
      <c r="P1072">
        <v>-0.32</v>
      </c>
      <c r="Q1072">
        <v>-1.82</v>
      </c>
      <c r="R1072">
        <v>-0.37</v>
      </c>
      <c r="S1072">
        <v>0.24</v>
      </c>
      <c r="T1072">
        <v>-0.2</v>
      </c>
      <c r="U1072">
        <v>0.18</v>
      </c>
      <c r="V1072">
        <v>0.39</v>
      </c>
      <c r="W1072">
        <v>0.56999999999999995</v>
      </c>
      <c r="X1072" t="s">
        <v>8</v>
      </c>
      <c r="Y1072" t="s">
        <v>9</v>
      </c>
      <c r="Z1072" s="2" t="s">
        <v>718</v>
      </c>
      <c r="AA1072" s="2" t="s">
        <v>721</v>
      </c>
    </row>
    <row r="1073" spans="1:27" x14ac:dyDescent="0.35">
      <c r="A1073" t="s">
        <v>2147</v>
      </c>
      <c r="B1073" t="s">
        <v>2095</v>
      </c>
      <c r="C1073" s="7" t="str">
        <f>_xlfn.XLOOKUP(B1073,'[1]Sheet 1'!$A$2:$A$11107,'[1]Sheet 1'!$D$2:$D$11107,"",0)</f>
        <v>LULU</v>
      </c>
      <c r="D1073" s="4" t="str">
        <f>_xlfn.XLOOKUP(A1073,[3]Sheet2!$I$2:$I$1623,[3]Sheet2!$D$2:$D$1623,"",0)</f>
        <v>Q2</v>
      </c>
      <c r="F1073" s="4" t="e">
        <f>_xlfn.XLOOKUP(B1073,[2]Sheet2!$E$2:$E$713,[2]Sheet2!$G$2:$G$713)</f>
        <v>#N/A</v>
      </c>
      <c r="G1073" s="22">
        <v>46170</v>
      </c>
      <c r="H1073" s="23">
        <v>0.74539351851851854</v>
      </c>
      <c r="I1073" t="s">
        <v>4</v>
      </c>
      <c r="J1073" s="2" t="str">
        <f t="shared" si="82"/>
        <v>Q2</v>
      </c>
      <c r="K1073" s="2" t="str">
        <f t="shared" si="83"/>
        <v>Match</v>
      </c>
      <c r="L1073" s="1">
        <f t="shared" si="80"/>
        <v>0.57280013966478749</v>
      </c>
      <c r="M1073" s="1" t="e">
        <f t="shared" si="81"/>
        <v>#N/A</v>
      </c>
      <c r="N1073" s="2" t="str">
        <f t="shared" si="84"/>
        <v>Q OK dE&lt;=0.8</v>
      </c>
      <c r="O1073">
        <v>35.35</v>
      </c>
      <c r="P1073">
        <v>52.72</v>
      </c>
      <c r="Q1073">
        <v>11.48</v>
      </c>
      <c r="R1073">
        <v>-0.28000000000000003</v>
      </c>
      <c r="S1073">
        <v>-0.41</v>
      </c>
      <c r="T1073">
        <v>0.4</v>
      </c>
      <c r="U1073">
        <v>-0.12</v>
      </c>
      <c r="V1073">
        <v>0.28000000000000003</v>
      </c>
      <c r="W1073">
        <v>0.41</v>
      </c>
      <c r="X1073" t="s">
        <v>8</v>
      </c>
      <c r="Y1073" t="s">
        <v>12</v>
      </c>
      <c r="Z1073" s="2" t="s">
        <v>718</v>
      </c>
      <c r="AA1073" s="2" t="s">
        <v>721</v>
      </c>
    </row>
    <row r="1074" spans="1:27" x14ac:dyDescent="0.35">
      <c r="A1074" t="s">
        <v>2148</v>
      </c>
      <c r="B1074" t="s">
        <v>2100</v>
      </c>
      <c r="C1074" s="7" t="str">
        <f>_xlfn.XLOOKUP(B1074,'[1]Sheet 1'!$A$2:$A$11107,'[1]Sheet 1'!$D$2:$D$11107,"",0)</f>
        <v>VSS</v>
      </c>
      <c r="D1074" s="4" t="str">
        <f>_xlfn.XLOOKUP(A1074,[3]Sheet2!$I$2:$I$1623,[3]Sheet2!$D$2:$D$1623,"",0)</f>
        <v>Q3</v>
      </c>
      <c r="F1074" s="4" t="e">
        <f>_xlfn.XLOOKUP(B1074,[2]Sheet2!$E$2:$E$713,[2]Sheet2!$G$2:$G$713)</f>
        <v>#N/A</v>
      </c>
      <c r="G1074" s="22">
        <v>46170</v>
      </c>
      <c r="H1074" s="23">
        <v>0.78791666666666671</v>
      </c>
      <c r="I1074" t="s">
        <v>10</v>
      </c>
      <c r="J1074" s="2" t="str">
        <f t="shared" si="82"/>
        <v>Q1</v>
      </c>
      <c r="K1074" s="2" t="str">
        <f t="shared" si="83"/>
        <v>Not Match</v>
      </c>
      <c r="L1074" s="1">
        <f t="shared" si="80"/>
        <v>1.4102836594104038</v>
      </c>
      <c r="M1074" s="1" t="e">
        <f t="shared" si="81"/>
        <v>#N/A</v>
      </c>
      <c r="N1074" s="2" t="str">
        <f t="shared" si="84"/>
        <v>Q NOT OK dE&gt;0.8</v>
      </c>
      <c r="O1074">
        <v>44.04</v>
      </c>
      <c r="P1074">
        <v>55.45</v>
      </c>
      <c r="Q1074">
        <v>38.67</v>
      </c>
      <c r="R1074">
        <v>0.74</v>
      </c>
      <c r="S1074">
        <v>1.4</v>
      </c>
      <c r="T1074">
        <v>0.17</v>
      </c>
      <c r="U1074">
        <v>0.43</v>
      </c>
      <c r="V1074">
        <v>-0.47</v>
      </c>
      <c r="W1074">
        <v>0.98</v>
      </c>
      <c r="X1074" t="s">
        <v>13</v>
      </c>
      <c r="Y1074" t="s">
        <v>7</v>
      </c>
      <c r="Z1074" s="2" t="s">
        <v>718</v>
      </c>
      <c r="AA1074" s="2" t="s">
        <v>721</v>
      </c>
    </row>
    <row r="1075" spans="1:27" x14ac:dyDescent="0.35">
      <c r="A1075" t="s">
        <v>2148</v>
      </c>
      <c r="B1075" t="s">
        <v>1918</v>
      </c>
      <c r="C1075" s="7" t="str">
        <f>_xlfn.XLOOKUP(B1075,'[1]Sheet 1'!$A$2:$A$11107,'[1]Sheet 1'!$D$2:$D$11107,"",0)</f>
        <v>VSS</v>
      </c>
      <c r="D1075" s="4" t="str">
        <f>_xlfn.XLOOKUP(A1075,[3]Sheet2!$I$2:$I$1623,[3]Sheet2!$D$2:$D$1623,"",0)</f>
        <v>Q3</v>
      </c>
      <c r="F1075" s="4" t="e">
        <f>_xlfn.XLOOKUP(B1075,[2]Sheet2!$E$2:$E$713,[2]Sheet2!$G$2:$G$713)</f>
        <v>#N/A</v>
      </c>
      <c r="G1075" s="22">
        <v>46170</v>
      </c>
      <c r="H1075" s="23">
        <v>0.95097222222222222</v>
      </c>
      <c r="I1075" t="s">
        <v>10</v>
      </c>
      <c r="J1075" s="2" t="str">
        <f t="shared" si="82"/>
        <v>Q3</v>
      </c>
      <c r="K1075" s="2" t="str">
        <f t="shared" si="83"/>
        <v>Match</v>
      </c>
      <c r="L1075" s="1">
        <f t="shared" si="80"/>
        <v>1.34</v>
      </c>
      <c r="M1075" s="1" t="e">
        <f t="shared" si="81"/>
        <v>#N/A</v>
      </c>
      <c r="N1075" s="2" t="str">
        <f t="shared" si="84"/>
        <v>Q OK dE&gt;0.8</v>
      </c>
      <c r="O1075">
        <v>43.62</v>
      </c>
      <c r="P1075">
        <v>55.38</v>
      </c>
      <c r="Q1075">
        <v>38.49</v>
      </c>
      <c r="R1075">
        <v>0.53</v>
      </c>
      <c r="S1075">
        <v>1.34</v>
      </c>
      <c r="T1075">
        <v>0</v>
      </c>
      <c r="U1075">
        <v>0.38</v>
      </c>
      <c r="V1075">
        <v>-0.54</v>
      </c>
      <c r="W1075">
        <v>0.85</v>
      </c>
      <c r="X1075" t="s">
        <v>13</v>
      </c>
      <c r="Y1075" t="s">
        <v>7</v>
      </c>
      <c r="Z1075" s="2" t="s">
        <v>718</v>
      </c>
      <c r="AA1075" s="2" t="s">
        <v>721</v>
      </c>
    </row>
    <row r="1076" spans="1:27" x14ac:dyDescent="0.35">
      <c r="A1076" t="s">
        <v>2148</v>
      </c>
      <c r="B1076" t="s">
        <v>1917</v>
      </c>
      <c r="C1076" s="7" t="str">
        <f>_xlfn.XLOOKUP(B1076,'[1]Sheet 1'!$A$2:$A$11107,'[1]Sheet 1'!$D$2:$D$11107,"",0)</f>
        <v>VSS</v>
      </c>
      <c r="D1076" s="4" t="str">
        <f>_xlfn.XLOOKUP(A1076,[3]Sheet2!$I$2:$I$1623,[3]Sheet2!$D$2:$D$1623,"",0)</f>
        <v>Q3</v>
      </c>
      <c r="F1076" s="4" t="e">
        <f>_xlfn.XLOOKUP(B1076,[2]Sheet2!$E$2:$E$713,[2]Sheet2!$G$2:$G$713)</f>
        <v>#N/A</v>
      </c>
      <c r="G1076" s="22">
        <v>46170</v>
      </c>
      <c r="H1076" s="23">
        <v>0.94827546296296295</v>
      </c>
      <c r="I1076" t="s">
        <v>10</v>
      </c>
      <c r="J1076" s="2" t="str">
        <f t="shared" si="82"/>
        <v>Q1</v>
      </c>
      <c r="K1076" s="2" t="str">
        <f t="shared" si="83"/>
        <v>Not Match</v>
      </c>
      <c r="L1076" s="1">
        <f t="shared" si="80"/>
        <v>1.5321227104902531</v>
      </c>
      <c r="M1076" s="1" t="e">
        <f t="shared" si="81"/>
        <v>#N/A</v>
      </c>
      <c r="N1076" s="2" t="str">
        <f t="shared" si="84"/>
        <v>Q NOT OK dE&lt;=0.8</v>
      </c>
      <c r="O1076">
        <v>43.37</v>
      </c>
      <c r="P1076">
        <v>55.48</v>
      </c>
      <c r="Q1076">
        <v>39.04</v>
      </c>
      <c r="R1076">
        <v>0.4</v>
      </c>
      <c r="S1076">
        <v>1.43</v>
      </c>
      <c r="T1076">
        <v>0.55000000000000004</v>
      </c>
      <c r="U1076">
        <v>0.51</v>
      </c>
      <c r="V1076">
        <v>-0.26</v>
      </c>
      <c r="W1076">
        <v>0.7</v>
      </c>
      <c r="X1076" t="s">
        <v>8</v>
      </c>
      <c r="Y1076" t="s">
        <v>7</v>
      </c>
      <c r="Z1076" s="2" t="s">
        <v>718</v>
      </c>
      <c r="AA1076" s="2" t="s">
        <v>721</v>
      </c>
    </row>
    <row r="1077" spans="1:27" x14ac:dyDescent="0.35">
      <c r="A1077" t="s">
        <v>2161</v>
      </c>
      <c r="B1077" t="s">
        <v>2098</v>
      </c>
      <c r="C1077" s="7" t="str">
        <f>_xlfn.XLOOKUP(B1077,'[1]Sheet 1'!$A$2:$A$11107,'[1]Sheet 1'!$D$2:$D$11107,"",0)</f>
        <v>VSS</v>
      </c>
      <c r="D1077" s="4" t="str">
        <f>_xlfn.XLOOKUP(A1077,[3]Sheet2!$I$2:$I$1623,[3]Sheet2!$D$2:$D$1623,"",0)</f>
        <v>Q3</v>
      </c>
      <c r="F1077" s="4" t="e">
        <f>_xlfn.XLOOKUP(B1077,[2]Sheet2!$E$2:$E$713,[2]Sheet2!$G$2:$G$713)</f>
        <v>#N/A</v>
      </c>
      <c r="G1077" s="22">
        <v>46170</v>
      </c>
      <c r="H1077" s="23">
        <v>0.77326388888888886</v>
      </c>
      <c r="I1077" t="s">
        <v>10</v>
      </c>
      <c r="J1077" s="2" t="str">
        <f t="shared" si="82"/>
        <v>Q3</v>
      </c>
      <c r="K1077" s="2" t="str">
        <f t="shared" si="83"/>
        <v>Match</v>
      </c>
      <c r="L1077" s="1">
        <f t="shared" si="80"/>
        <v>2.0773540863319377</v>
      </c>
      <c r="M1077" s="1" t="e">
        <f t="shared" si="81"/>
        <v>#N/A</v>
      </c>
      <c r="N1077" s="2" t="str">
        <f t="shared" si="84"/>
        <v>Q OK dE&gt;0.8</v>
      </c>
      <c r="O1077">
        <v>42.39</v>
      </c>
      <c r="P1077">
        <v>54.06</v>
      </c>
      <c r="Q1077">
        <v>39.869999999999997</v>
      </c>
      <c r="R1077">
        <v>-0.01</v>
      </c>
      <c r="S1077">
        <v>-1.1499999999999999</v>
      </c>
      <c r="T1077">
        <v>-1.73</v>
      </c>
      <c r="U1077">
        <v>-0.66</v>
      </c>
      <c r="V1077">
        <v>-0.49</v>
      </c>
      <c r="W1077">
        <v>0.82</v>
      </c>
      <c r="X1077" t="s">
        <v>13</v>
      </c>
      <c r="Y1077" t="s">
        <v>7</v>
      </c>
      <c r="Z1077" s="2" t="s">
        <v>718</v>
      </c>
      <c r="AA1077" s="2" t="s">
        <v>721</v>
      </c>
    </row>
    <row r="1078" spans="1:27" x14ac:dyDescent="0.35">
      <c r="A1078" t="s">
        <v>1566</v>
      </c>
      <c r="B1078" t="s">
        <v>1925</v>
      </c>
      <c r="C1078" s="7" t="str">
        <f>_xlfn.XLOOKUP(B1078,'[1]Sheet 1'!$A$2:$A$11107,'[1]Sheet 1'!$D$2:$D$11107,"",0)</f>
        <v>M&amp;S</v>
      </c>
      <c r="D1078" s="4" t="str">
        <f>_xlfn.XLOOKUP(A1078,[3]Sheet2!$I$2:$I$1623,[3]Sheet2!$D$2:$D$1623,"",0)</f>
        <v>Q4</v>
      </c>
      <c r="F1078" s="4" t="e">
        <f>_xlfn.XLOOKUP(B1078,[2]Sheet2!$E$2:$E$713,[2]Sheet2!$G$2:$G$713)</f>
        <v>#N/A</v>
      </c>
      <c r="G1078" s="22">
        <v>46171</v>
      </c>
      <c r="H1078" s="23">
        <v>0.27755787037037039</v>
      </c>
      <c r="I1078" t="s">
        <v>17</v>
      </c>
      <c r="J1078" s="2" t="str">
        <f t="shared" si="82"/>
        <v>Q3</v>
      </c>
      <c r="K1078" s="2" t="str">
        <f t="shared" si="83"/>
        <v>Not Match</v>
      </c>
      <c r="L1078" s="1">
        <f t="shared" ref="L1078:L1133" si="85">SQRT(S1078^2+T1078^2)</f>
        <v>0.32388269481403298</v>
      </c>
      <c r="M1078" s="1" t="e">
        <f t="shared" ref="M1078:M1133" si="86">IF(L1078&lt;=F1078,"Within Range","Over Range")</f>
        <v>#N/A</v>
      </c>
      <c r="N1078" s="2" t="str">
        <f t="shared" si="84"/>
        <v>Q NOT OK dE&gt;0.8</v>
      </c>
      <c r="O1078">
        <v>16.61</v>
      </c>
      <c r="P1078">
        <v>-0.78</v>
      </c>
      <c r="Q1078">
        <v>-6.18</v>
      </c>
      <c r="R1078">
        <v>0.74</v>
      </c>
      <c r="S1078">
        <v>-0.32</v>
      </c>
      <c r="T1078">
        <v>-0.05</v>
      </c>
      <c r="U1078">
        <v>0.08</v>
      </c>
      <c r="V1078">
        <v>-0.42</v>
      </c>
      <c r="W1078">
        <v>0.86</v>
      </c>
      <c r="X1078" t="s">
        <v>13</v>
      </c>
      <c r="Y1078" t="s">
        <v>15</v>
      </c>
      <c r="Z1078" s="2" t="s">
        <v>718</v>
      </c>
      <c r="AA1078" s="2" t="s">
        <v>721</v>
      </c>
    </row>
    <row r="1079" spans="1:27" x14ac:dyDescent="0.35">
      <c r="A1079" t="s">
        <v>1599</v>
      </c>
      <c r="B1079" t="s">
        <v>1924</v>
      </c>
      <c r="C1079" s="7" t="str">
        <f>_xlfn.XLOOKUP(B1079,'[1]Sheet 1'!$A$2:$A$11107,'[1]Sheet 1'!$D$2:$D$11107,"",0)</f>
        <v>M&amp;S</v>
      </c>
      <c r="D1079" s="4">
        <v>0</v>
      </c>
      <c r="F1079" s="4" t="e">
        <f>_xlfn.XLOOKUP(B1079,[2]Sheet2!$E$2:$E$713,[2]Sheet2!$G$2:$G$713)</f>
        <v>#N/A</v>
      </c>
      <c r="G1079" s="22">
        <v>46171</v>
      </c>
      <c r="H1079" s="23">
        <v>0.27218750000000003</v>
      </c>
      <c r="I1079" t="s">
        <v>17</v>
      </c>
      <c r="J1079" s="2" t="str">
        <f t="shared" si="82"/>
        <v>Q4</v>
      </c>
      <c r="K1079" s="2" t="str">
        <f t="shared" si="83"/>
        <v>Not Found</v>
      </c>
      <c r="L1079" s="1">
        <f t="shared" si="85"/>
        <v>0.2624880949681338</v>
      </c>
      <c r="M1079" s="1" t="e">
        <f t="shared" si="86"/>
        <v>#N/A</v>
      </c>
      <c r="N1079" s="2" t="str">
        <f t="shared" si="84"/>
        <v>Quadrant not assigned</v>
      </c>
      <c r="O1079">
        <v>25.97</v>
      </c>
      <c r="P1079">
        <v>0.74</v>
      </c>
      <c r="Q1079">
        <v>8.81</v>
      </c>
      <c r="R1079">
        <v>0.41</v>
      </c>
      <c r="S1079">
        <v>0.17</v>
      </c>
      <c r="T1079">
        <v>-0.2</v>
      </c>
      <c r="U1079">
        <v>-0.16</v>
      </c>
      <c r="V1079">
        <v>-0.26</v>
      </c>
      <c r="W1079">
        <v>0.52</v>
      </c>
      <c r="X1079" t="s">
        <v>8</v>
      </c>
      <c r="Y1079" t="s">
        <v>9</v>
      </c>
      <c r="Z1079" s="2" t="s">
        <v>718</v>
      </c>
      <c r="AA1079" s="2" t="s">
        <v>721</v>
      </c>
    </row>
    <row r="1080" spans="1:27" x14ac:dyDescent="0.35">
      <c r="A1080" t="s">
        <v>1557</v>
      </c>
      <c r="B1080" t="s">
        <v>2114</v>
      </c>
      <c r="C1080" s="7" t="str">
        <f>_xlfn.XLOOKUP(B1080,'[1]Sheet 1'!$A$2:$A$11107,'[1]Sheet 1'!$D$2:$D$11107,"",0)</f>
        <v>M&amp;S</v>
      </c>
      <c r="D1080" s="4" t="str">
        <f>_xlfn.XLOOKUP(A1080,[3]Sheet2!$I$2:$I$1623,[3]Sheet2!$D$2:$D$1623,"",0)</f>
        <v>Q3</v>
      </c>
      <c r="F1080" s="4" t="e">
        <f>_xlfn.XLOOKUP(B1080,[2]Sheet2!$E$2:$E$713,[2]Sheet2!$G$2:$G$713)</f>
        <v>#N/A</v>
      </c>
      <c r="G1080" s="22">
        <v>46171</v>
      </c>
      <c r="H1080" s="23">
        <v>0.76740740740740743</v>
      </c>
      <c r="I1080" t="s">
        <v>17</v>
      </c>
      <c r="J1080" s="2" t="str">
        <f t="shared" si="82"/>
        <v>Q3</v>
      </c>
      <c r="K1080" s="2" t="str">
        <f t="shared" si="83"/>
        <v>Match</v>
      </c>
      <c r="L1080" s="1">
        <f t="shared" si="85"/>
        <v>0.21587033144922901</v>
      </c>
      <c r="M1080" s="1" t="e">
        <f t="shared" si="86"/>
        <v>#N/A</v>
      </c>
      <c r="N1080" s="2" t="str">
        <f t="shared" si="84"/>
        <v>Q OK dE&lt;=0.8</v>
      </c>
      <c r="O1080">
        <v>15.38</v>
      </c>
      <c r="P1080">
        <v>-0.64</v>
      </c>
      <c r="Q1080">
        <v>-1.91</v>
      </c>
      <c r="R1080">
        <v>0.03</v>
      </c>
      <c r="S1080">
        <v>-0.05</v>
      </c>
      <c r="T1080">
        <v>-0.21</v>
      </c>
      <c r="U1080">
        <v>0.28999999999999998</v>
      </c>
      <c r="V1080">
        <v>0.02</v>
      </c>
      <c r="W1080">
        <v>0.28999999999999998</v>
      </c>
      <c r="X1080" t="s">
        <v>8</v>
      </c>
      <c r="Y1080" t="s">
        <v>9</v>
      </c>
      <c r="Z1080" s="2" t="s">
        <v>718</v>
      </c>
      <c r="AA1080" s="2" t="s">
        <v>721</v>
      </c>
    </row>
    <row r="1081" spans="1:27" x14ac:dyDescent="0.35">
      <c r="A1081" t="s">
        <v>2162</v>
      </c>
      <c r="B1081" t="s">
        <v>2104</v>
      </c>
      <c r="C1081" s="7" t="str">
        <f>_xlfn.XLOOKUP(B1081,'[1]Sheet 1'!$A$2:$A$11107,'[1]Sheet 1'!$D$2:$D$11107,"",0)</f>
        <v/>
      </c>
      <c r="D1081" s="4" t="str">
        <f>_xlfn.XLOOKUP(A1081,[3]Sheet2!$I$2:$I$1623,[3]Sheet2!$D$2:$D$1623,"",0)</f>
        <v>Q3</v>
      </c>
      <c r="F1081" s="4" t="e">
        <f>_xlfn.XLOOKUP(B1081,[2]Sheet2!$E$2:$E$713,[2]Sheet2!$G$2:$G$713)</f>
        <v>#N/A</v>
      </c>
      <c r="G1081" s="22">
        <v>46171</v>
      </c>
      <c r="H1081" s="23">
        <v>8.6956018518518516E-2</v>
      </c>
      <c r="I1081" t="s">
        <v>4</v>
      </c>
      <c r="J1081" s="2" t="str">
        <f t="shared" si="82"/>
        <v>Q4</v>
      </c>
      <c r="K1081" s="2" t="str">
        <f t="shared" si="83"/>
        <v>Not Match</v>
      </c>
      <c r="L1081" s="1">
        <f t="shared" si="85"/>
        <v>0.88639720216164941</v>
      </c>
      <c r="M1081" s="1" t="e">
        <f t="shared" si="86"/>
        <v>#N/A</v>
      </c>
      <c r="N1081" s="2" t="str">
        <f t="shared" si="84"/>
        <v>Q NOT OK dE&lt;=0.8</v>
      </c>
      <c r="O1081">
        <v>36.51</v>
      </c>
      <c r="P1081">
        <v>-28.75</v>
      </c>
      <c r="Q1081">
        <v>-12.9</v>
      </c>
      <c r="R1081">
        <v>-0.35</v>
      </c>
      <c r="S1081">
        <v>0.36</v>
      </c>
      <c r="T1081">
        <v>-0.81</v>
      </c>
      <c r="U1081">
        <v>0</v>
      </c>
      <c r="V1081">
        <v>0.56999999999999995</v>
      </c>
      <c r="W1081">
        <v>0.67</v>
      </c>
      <c r="X1081" t="s">
        <v>8</v>
      </c>
      <c r="Y1081" t="s">
        <v>7</v>
      </c>
      <c r="Z1081" s="2" t="s">
        <v>718</v>
      </c>
      <c r="AA1081" s="2" t="s">
        <v>721</v>
      </c>
    </row>
    <row r="1082" spans="1:27" x14ac:dyDescent="0.35">
      <c r="A1082" t="s">
        <v>2157</v>
      </c>
      <c r="B1082" t="s">
        <v>1923</v>
      </c>
      <c r="C1082" s="7" t="str">
        <f>_xlfn.XLOOKUP(B1082,'[1]Sheet 1'!$A$2:$A$11107,'[1]Sheet 1'!$D$2:$D$11107,"",0)</f>
        <v>CHICOS</v>
      </c>
      <c r="D1082" s="4" t="str">
        <f>_xlfn.XLOOKUP(A1082,[3]Sheet2!$I$2:$I$1623,[3]Sheet2!$D$2:$D$1623,"",0)</f>
        <v>Q1</v>
      </c>
      <c r="F1082" s="4" t="e">
        <f>_xlfn.XLOOKUP(B1082,[2]Sheet2!$E$2:$E$713,[2]Sheet2!$G$2:$G$713)</f>
        <v>#N/A</v>
      </c>
      <c r="G1082" s="22">
        <v>46171</v>
      </c>
      <c r="H1082" s="23">
        <v>0.26694444444444443</v>
      </c>
      <c r="I1082" t="s">
        <v>14</v>
      </c>
      <c r="J1082" s="2" t="str">
        <f t="shared" si="82"/>
        <v>Q1</v>
      </c>
      <c r="K1082" s="2" t="str">
        <f t="shared" si="83"/>
        <v>Match</v>
      </c>
      <c r="L1082" s="1">
        <f t="shared" si="85"/>
        <v>1.299884610263542</v>
      </c>
      <c r="M1082" s="1" t="e">
        <f t="shared" si="86"/>
        <v>#N/A</v>
      </c>
      <c r="N1082" s="2" t="str">
        <f t="shared" si="84"/>
        <v>Q OK dE&gt;0.8</v>
      </c>
      <c r="O1082">
        <v>26.71</v>
      </c>
      <c r="P1082">
        <v>22.96</v>
      </c>
      <c r="Q1082">
        <v>11.42</v>
      </c>
      <c r="R1082">
        <v>0.01</v>
      </c>
      <c r="S1082">
        <v>0.39</v>
      </c>
      <c r="T1082">
        <v>1.24</v>
      </c>
      <c r="U1082">
        <v>0.48</v>
      </c>
      <c r="V1082">
        <v>0.92</v>
      </c>
      <c r="W1082">
        <v>1.04</v>
      </c>
      <c r="X1082" t="s">
        <v>6</v>
      </c>
      <c r="Y1082" t="s">
        <v>12</v>
      </c>
      <c r="Z1082" s="2" t="s">
        <v>718</v>
      </c>
      <c r="AA1082" s="2" t="s">
        <v>721</v>
      </c>
    </row>
    <row r="1083" spans="1:27" x14ac:dyDescent="0.35">
      <c r="A1083" t="s">
        <v>1540</v>
      </c>
      <c r="B1083" t="s">
        <v>2116</v>
      </c>
      <c r="C1083" s="7" t="str">
        <f>_xlfn.XLOOKUP(B1083,'[1]Sheet 1'!$A$2:$A$11107,'[1]Sheet 1'!$D$2:$D$11107,"",0)</f>
        <v>VSS</v>
      </c>
      <c r="D1083" s="4" t="str">
        <f>_xlfn.XLOOKUP(A1083,[3]Sheet2!$I$2:$I$1623,[3]Sheet2!$D$2:$D$1623,"",0)</f>
        <v>Q3</v>
      </c>
      <c r="F1083" s="4" t="e">
        <f>_xlfn.XLOOKUP(B1083,[2]Sheet2!$E$2:$E$713,[2]Sheet2!$G$2:$G$713)</f>
        <v>#N/A</v>
      </c>
      <c r="G1083" s="22">
        <v>46171</v>
      </c>
      <c r="H1083" s="23">
        <v>0.78874999999999995</v>
      </c>
      <c r="I1083" t="s">
        <v>10</v>
      </c>
      <c r="J1083" s="2" t="str">
        <f t="shared" si="82"/>
        <v>Q2</v>
      </c>
      <c r="K1083" s="2" t="str">
        <f t="shared" si="83"/>
        <v>Not Match</v>
      </c>
      <c r="L1083" s="1">
        <f t="shared" si="85"/>
        <v>7.8102496759066553E-2</v>
      </c>
      <c r="M1083" s="1" t="e">
        <f t="shared" si="86"/>
        <v>#N/A</v>
      </c>
      <c r="N1083" s="2" t="str">
        <f t="shared" si="84"/>
        <v>Q NOT OK dE&lt;=0.8</v>
      </c>
      <c r="O1083">
        <v>14.17</v>
      </c>
      <c r="P1083">
        <v>0.46</v>
      </c>
      <c r="Q1083">
        <v>-1.2</v>
      </c>
      <c r="R1083">
        <v>-0.36</v>
      </c>
      <c r="S1083">
        <v>-0.05</v>
      </c>
      <c r="T1083">
        <v>0.06</v>
      </c>
      <c r="U1083">
        <v>-0.1</v>
      </c>
      <c r="V1083">
        <v>-0.03</v>
      </c>
      <c r="W1083">
        <v>0.38</v>
      </c>
      <c r="X1083" t="s">
        <v>8</v>
      </c>
      <c r="Y1083" t="s">
        <v>15</v>
      </c>
      <c r="Z1083" s="2" t="s">
        <v>718</v>
      </c>
      <c r="AA1083" s="2" t="s">
        <v>721</v>
      </c>
    </row>
    <row r="1084" spans="1:27" x14ac:dyDescent="0.35">
      <c r="A1084" t="s">
        <v>2163</v>
      </c>
      <c r="B1084" t="s">
        <v>1919</v>
      </c>
      <c r="C1084" s="7" t="str">
        <f>_xlfn.XLOOKUP(B1084,'[1]Sheet 1'!$A$2:$A$11107,'[1]Sheet 1'!$D$2:$D$11107,"",0)</f>
        <v>VSS</v>
      </c>
      <c r="D1084" s="4" t="str">
        <f>_xlfn.XLOOKUP(A1084,[3]Sheet2!$I$2:$I$1623,[3]Sheet2!$D$2:$D$1623,"",0)</f>
        <v>Q1</v>
      </c>
      <c r="F1084" s="4" t="e">
        <f>_xlfn.XLOOKUP(B1084,[2]Sheet2!$E$2:$E$713,[2]Sheet2!$G$2:$G$713)</f>
        <v>#N/A</v>
      </c>
      <c r="G1084" s="22">
        <v>46171</v>
      </c>
      <c r="H1084" s="23">
        <v>0.25723379629629628</v>
      </c>
      <c r="I1084" t="s">
        <v>10</v>
      </c>
      <c r="J1084" s="2" t="str">
        <f t="shared" si="82"/>
        <v>Q1</v>
      </c>
      <c r="K1084" s="2" t="str">
        <f t="shared" si="83"/>
        <v>Match</v>
      </c>
      <c r="L1084" s="1">
        <f t="shared" si="85"/>
        <v>0.87051708771281455</v>
      </c>
      <c r="M1084" s="1" t="e">
        <f t="shared" si="86"/>
        <v>#N/A</v>
      </c>
      <c r="N1084" s="2" t="str">
        <f t="shared" si="84"/>
        <v>Q OK dE&gt;0.8</v>
      </c>
      <c r="O1084">
        <v>28.61</v>
      </c>
      <c r="P1084">
        <v>-10.75</v>
      </c>
      <c r="Q1084">
        <v>-2.42</v>
      </c>
      <c r="R1084">
        <v>1.17</v>
      </c>
      <c r="S1084">
        <v>0.03</v>
      </c>
      <c r="T1084">
        <v>0.87</v>
      </c>
      <c r="U1084">
        <v>-0.2</v>
      </c>
      <c r="V1084">
        <v>-0.86</v>
      </c>
      <c r="W1084">
        <v>1.46</v>
      </c>
      <c r="X1084" t="s">
        <v>6</v>
      </c>
      <c r="Y1084" t="s">
        <v>12</v>
      </c>
      <c r="Z1084" s="2" t="s">
        <v>718</v>
      </c>
      <c r="AA1084" s="2" t="s">
        <v>721</v>
      </c>
    </row>
    <row r="1085" spans="1:27" x14ac:dyDescent="0.35">
      <c r="A1085" t="s">
        <v>1500</v>
      </c>
      <c r="B1085" t="s">
        <v>2105</v>
      </c>
      <c r="C1085" s="7" t="str">
        <f>_xlfn.XLOOKUP(B1085,'[1]Sheet 1'!$A$2:$A$11107,'[1]Sheet 1'!$D$2:$D$11107,"",0)</f>
        <v>LULU</v>
      </c>
      <c r="D1085" s="4" t="str">
        <f>_xlfn.XLOOKUP(A1085,[3]Sheet2!$I$2:$I$1623,[3]Sheet2!$D$2:$D$1623,"",0)</f>
        <v>Q2</v>
      </c>
      <c r="F1085" s="4" t="e">
        <f>_xlfn.XLOOKUP(B1085,[2]Sheet2!$E$2:$E$713,[2]Sheet2!$G$2:$G$713)</f>
        <v>#N/A</v>
      </c>
      <c r="G1085" s="22">
        <v>46171</v>
      </c>
      <c r="H1085" s="23">
        <v>0.11438657407407407</v>
      </c>
      <c r="I1085" t="s">
        <v>4</v>
      </c>
      <c r="J1085" s="2" t="str">
        <f t="shared" si="82"/>
        <v>Q2</v>
      </c>
      <c r="K1085" s="2" t="str">
        <f t="shared" si="83"/>
        <v>Match</v>
      </c>
      <c r="L1085" s="1">
        <f t="shared" si="85"/>
        <v>0.28000000000000003</v>
      </c>
      <c r="M1085" s="1" t="e">
        <f t="shared" si="86"/>
        <v>#N/A</v>
      </c>
      <c r="N1085" s="2" t="str">
        <f t="shared" si="84"/>
        <v>Q OK dE&lt;=0.8</v>
      </c>
      <c r="O1085">
        <v>17.96</v>
      </c>
      <c r="P1085">
        <v>-0.69</v>
      </c>
      <c r="Q1085">
        <v>-1.01</v>
      </c>
      <c r="R1085">
        <v>-0.1</v>
      </c>
      <c r="S1085">
        <v>0.28000000000000003</v>
      </c>
      <c r="T1085">
        <v>0</v>
      </c>
      <c r="U1085">
        <v>-0.24</v>
      </c>
      <c r="V1085">
        <v>0.31</v>
      </c>
      <c r="W1085">
        <v>0.4</v>
      </c>
      <c r="X1085" t="s">
        <v>8</v>
      </c>
      <c r="Y1085" t="s">
        <v>7</v>
      </c>
      <c r="Z1085" s="2" t="s">
        <v>718</v>
      </c>
      <c r="AA1085" s="2" t="s">
        <v>721</v>
      </c>
    </row>
    <row r="1086" spans="1:27" x14ac:dyDescent="0.35">
      <c r="A1086" t="s">
        <v>1500</v>
      </c>
      <c r="B1086" t="s">
        <v>2113</v>
      </c>
      <c r="C1086" s="7" t="str">
        <f>_xlfn.XLOOKUP(B1086,'[1]Sheet 1'!$A$2:$A$11107,'[1]Sheet 1'!$D$2:$D$11107,"",0)</f>
        <v>LULU</v>
      </c>
      <c r="D1086" s="4" t="str">
        <f>_xlfn.XLOOKUP(A1086,[3]Sheet2!$I$2:$I$1623,[3]Sheet2!$D$2:$D$1623,"",0)</f>
        <v>Q2</v>
      </c>
      <c r="F1086" s="4" t="e">
        <f>_xlfn.XLOOKUP(B1086,[2]Sheet2!$E$2:$E$713,[2]Sheet2!$G$2:$G$713)</f>
        <v>#N/A</v>
      </c>
      <c r="G1086" s="22">
        <v>46171</v>
      </c>
      <c r="H1086" s="23">
        <v>0.76523148148148146</v>
      </c>
      <c r="I1086" t="s">
        <v>4</v>
      </c>
      <c r="J1086" s="2" t="str">
        <f t="shared" ref="J1086:J1142" si="87">IF(OR(S1086=0,T1086=0),D1086,IF(AND(S1086&gt;0,T1086&gt;0),"Q1",IF(AND(S1086&lt;0,T1086&gt;0),"Q2",IF(AND(S1086&lt;0,T1086&lt;0),"Q3",IF(AND(S1086&gt;0,T1086&lt;0),"Q4","")))))</f>
        <v>Q2</v>
      </c>
      <c r="K1086" s="2" t="str">
        <f t="shared" ref="K1086:K1142" si="88">IF(J1086=D1086,"Match",IF(AND(J1086=0,D1086="Match"),"da and db 0",IF(D1086=0,"Not Found","Not Match")))</f>
        <v>Match</v>
      </c>
      <c r="L1086" s="1">
        <f t="shared" si="85"/>
        <v>0.31384709652950432</v>
      </c>
      <c r="M1086" s="1" t="e">
        <f t="shared" si="86"/>
        <v>#N/A</v>
      </c>
      <c r="N1086" s="2" t="str">
        <f t="shared" ref="N1086:N1142" si="89">IF(D1086=0,"Quadrant not assigned",IF(AND(K1086="Match",W1086&lt;=0.8),"Q OK dE&lt;=0.8",IF(AND(K1086="Match",W1086&gt;0.8),"Q OK dE&gt;0.8",IF(AND(K1086="Not Match",W1086&lt;=0.8),"Q NOT OK dE&lt;=0.8","Q NOT OK dE&gt;0.8"))))</f>
        <v>Q OK dE&gt;0.8</v>
      </c>
      <c r="O1086">
        <v>17.2</v>
      </c>
      <c r="P1086">
        <v>-1.1299999999999999</v>
      </c>
      <c r="Q1086">
        <v>-0.74</v>
      </c>
      <c r="R1086">
        <v>-0.77</v>
      </c>
      <c r="S1086">
        <v>-0.16</v>
      </c>
      <c r="T1086">
        <v>0.27</v>
      </c>
      <c r="U1086">
        <v>-7.0000000000000007E-2</v>
      </c>
      <c r="V1086">
        <v>-0.43</v>
      </c>
      <c r="W1086">
        <v>0.89</v>
      </c>
      <c r="X1086" t="s">
        <v>13</v>
      </c>
      <c r="Y1086" t="s">
        <v>12</v>
      </c>
      <c r="Z1086" s="2" t="s">
        <v>718</v>
      </c>
      <c r="AA1086" s="2" t="s">
        <v>721</v>
      </c>
    </row>
    <row r="1087" spans="1:27" x14ac:dyDescent="0.35">
      <c r="A1087" t="s">
        <v>1558</v>
      </c>
      <c r="B1087" t="s">
        <v>1926</v>
      </c>
      <c r="C1087" s="7" t="str">
        <f>_xlfn.XLOOKUP(B1087,'[1]Sheet 1'!$A$2:$A$11107,'[1]Sheet 1'!$D$2:$D$11107,"",0)</f>
        <v>M&amp;S</v>
      </c>
      <c r="D1087" s="4" t="str">
        <f>_xlfn.XLOOKUP(A1087,[3]Sheet2!$I$2:$I$1623,[3]Sheet2!$D$2:$D$1623,"",0)</f>
        <v>Q3</v>
      </c>
      <c r="F1087" s="4" t="e">
        <f>_xlfn.XLOOKUP(B1087,[2]Sheet2!$E$2:$E$713,[2]Sheet2!$G$2:$G$713)</f>
        <v>#N/A</v>
      </c>
      <c r="G1087" s="22">
        <v>46171</v>
      </c>
      <c r="H1087" s="23">
        <v>0.93460648148148151</v>
      </c>
      <c r="I1087" t="s">
        <v>17</v>
      </c>
      <c r="J1087" s="2" t="str">
        <f t="shared" si="87"/>
        <v>Q3</v>
      </c>
      <c r="K1087" s="2" t="str">
        <f t="shared" si="88"/>
        <v>Match</v>
      </c>
      <c r="L1087" s="1">
        <f t="shared" si="85"/>
        <v>0.42426406871192845</v>
      </c>
      <c r="M1087" s="1" t="e">
        <f t="shared" si="86"/>
        <v>#N/A</v>
      </c>
      <c r="N1087" s="2" t="str">
        <f t="shared" si="89"/>
        <v>Q OK dE&lt;=0.8</v>
      </c>
      <c r="O1087">
        <v>15.36</v>
      </c>
      <c r="P1087">
        <v>-0.62</v>
      </c>
      <c r="Q1087">
        <v>-2.0299999999999998</v>
      </c>
      <c r="R1087">
        <v>0</v>
      </c>
      <c r="S1087">
        <v>-0.06</v>
      </c>
      <c r="T1087">
        <v>-0.42</v>
      </c>
      <c r="U1087">
        <v>0.55000000000000004</v>
      </c>
      <c r="V1087">
        <v>0.1</v>
      </c>
      <c r="W1087">
        <v>0.56000000000000005</v>
      </c>
      <c r="X1087" t="s">
        <v>8</v>
      </c>
      <c r="Y1087" t="s">
        <v>9</v>
      </c>
      <c r="Z1087" s="2" t="s">
        <v>718</v>
      </c>
      <c r="AA1087" s="2" t="s">
        <v>721</v>
      </c>
    </row>
    <row r="1088" spans="1:27" x14ac:dyDescent="0.35">
      <c r="A1088" t="s">
        <v>1774</v>
      </c>
      <c r="B1088" t="s">
        <v>1920</v>
      </c>
      <c r="C1088" s="7" t="str">
        <f>_xlfn.XLOOKUP(B1088,'[1]Sheet 1'!$A$2:$A$11107,'[1]Sheet 1'!$D$2:$D$11107,"",0)</f>
        <v>WACE</v>
      </c>
      <c r="D1088" s="4" t="str">
        <f>_xlfn.XLOOKUP(A1088,[3]Sheet2!$I$2:$I$1623,[3]Sheet2!$D$2:$D$1623,"",0)</f>
        <v>Q4</v>
      </c>
      <c r="F1088" s="4" t="e">
        <f>_xlfn.XLOOKUP(B1088,[2]Sheet2!$E$2:$E$713,[2]Sheet2!$G$2:$G$713)</f>
        <v>#N/A</v>
      </c>
      <c r="G1088" s="22">
        <v>46171</v>
      </c>
      <c r="H1088" s="23">
        <v>0.25870370370370371</v>
      </c>
      <c r="I1088" t="s">
        <v>4</v>
      </c>
      <c r="J1088" s="2" t="str">
        <f t="shared" si="87"/>
        <v>Q4</v>
      </c>
      <c r="K1088" s="2" t="str">
        <f t="shared" si="88"/>
        <v>Match</v>
      </c>
      <c r="L1088" s="1">
        <f t="shared" si="85"/>
        <v>0.13</v>
      </c>
      <c r="M1088" s="1" t="e">
        <f t="shared" si="86"/>
        <v>#N/A</v>
      </c>
      <c r="N1088" s="2" t="str">
        <f t="shared" si="89"/>
        <v>Q OK dE&lt;=0.8</v>
      </c>
      <c r="O1088">
        <v>18.96</v>
      </c>
      <c r="P1088">
        <v>-0.49</v>
      </c>
      <c r="Q1088">
        <v>-2.41</v>
      </c>
      <c r="R1088">
        <v>-0.65</v>
      </c>
      <c r="S1088">
        <v>0</v>
      </c>
      <c r="T1088">
        <v>0.13</v>
      </c>
      <c r="U1088">
        <v>-0.16</v>
      </c>
      <c r="V1088">
        <v>-0.03</v>
      </c>
      <c r="W1088">
        <v>0.66</v>
      </c>
      <c r="X1088" t="s">
        <v>8</v>
      </c>
      <c r="Y1088" t="s">
        <v>15</v>
      </c>
      <c r="Z1088" s="2" t="s">
        <v>718</v>
      </c>
      <c r="AA1088" s="2" t="s">
        <v>721</v>
      </c>
    </row>
    <row r="1089" spans="1:27" x14ac:dyDescent="0.35">
      <c r="A1089" t="s">
        <v>2156</v>
      </c>
      <c r="B1089" t="s">
        <v>1913</v>
      </c>
      <c r="C1089" s="7" t="str">
        <f>_xlfn.XLOOKUP(B1089,'[1]Sheet 1'!$A$2:$A$11107,'[1]Sheet 1'!$D$2:$D$11107,"",0)</f>
        <v>VSS</v>
      </c>
      <c r="D1089" s="4" t="str">
        <f>_xlfn.XLOOKUP(A1089,[3]Sheet2!$I$2:$I$1623,[3]Sheet2!$D$2:$D$1623,"",0)</f>
        <v>Q1</v>
      </c>
      <c r="F1089" s="4" t="e">
        <f>_xlfn.XLOOKUP(B1089,[2]Sheet2!$E$2:$E$713,[2]Sheet2!$G$2:$G$713)</f>
        <v>#N/A</v>
      </c>
      <c r="G1089" s="22">
        <v>46171</v>
      </c>
      <c r="H1089" s="23">
        <v>0.76954861111111106</v>
      </c>
      <c r="I1089" t="s">
        <v>10</v>
      </c>
      <c r="J1089" s="2" t="str">
        <f t="shared" si="87"/>
        <v>Q1</v>
      </c>
      <c r="K1089" s="2" t="str">
        <f t="shared" si="88"/>
        <v>Match</v>
      </c>
      <c r="L1089" s="1">
        <f t="shared" si="85"/>
        <v>1.5363918770938618</v>
      </c>
      <c r="M1089" s="1" t="e">
        <f t="shared" si="86"/>
        <v>#N/A</v>
      </c>
      <c r="N1089" s="2" t="str">
        <f t="shared" si="89"/>
        <v>Q OK dE&gt;0.8</v>
      </c>
      <c r="O1089">
        <v>25.71</v>
      </c>
      <c r="P1089">
        <v>-12.09</v>
      </c>
      <c r="Q1089">
        <v>-3.72</v>
      </c>
      <c r="R1089">
        <v>-0.23</v>
      </c>
      <c r="S1089">
        <v>1.03</v>
      </c>
      <c r="T1089">
        <v>1.1399999999999999</v>
      </c>
      <c r="U1089">
        <v>-0.96</v>
      </c>
      <c r="V1089">
        <v>-0.7</v>
      </c>
      <c r="W1089">
        <v>1.22</v>
      </c>
      <c r="X1089" t="s">
        <v>6</v>
      </c>
      <c r="Y1089" t="s">
        <v>12</v>
      </c>
      <c r="Z1089" s="2" t="s">
        <v>718</v>
      </c>
      <c r="AA1089" s="2" t="s">
        <v>721</v>
      </c>
    </row>
    <row r="1090" spans="1:27" x14ac:dyDescent="0.35">
      <c r="A1090" t="s">
        <v>1540</v>
      </c>
      <c r="B1090" t="s">
        <v>2101</v>
      </c>
      <c r="C1090" s="7" t="str">
        <f>_xlfn.XLOOKUP(B1090,'[1]Sheet 1'!$A$2:$A$11107,'[1]Sheet 1'!$D$2:$D$11107,"",0)</f>
        <v>VSS</v>
      </c>
      <c r="D1090" s="4" t="str">
        <f>_xlfn.XLOOKUP(A1090,[3]Sheet2!$I$2:$I$1623,[3]Sheet2!$D$2:$D$1623,"",0)</f>
        <v>Q3</v>
      </c>
      <c r="F1090" s="4" t="e">
        <f>_xlfn.XLOOKUP(B1090,[2]Sheet2!$E$2:$E$713,[2]Sheet2!$G$2:$G$713)</f>
        <v>#N/A</v>
      </c>
      <c r="G1090" s="22">
        <v>46171</v>
      </c>
      <c r="H1090" s="23">
        <v>3.7152777777777778E-3</v>
      </c>
      <c r="I1090" t="s">
        <v>10</v>
      </c>
      <c r="J1090" s="2" t="str">
        <f t="shared" si="87"/>
        <v>Q3</v>
      </c>
      <c r="K1090" s="2" t="str">
        <f t="shared" si="88"/>
        <v>Match</v>
      </c>
      <c r="L1090" s="1">
        <f t="shared" si="85"/>
        <v>0.03</v>
      </c>
      <c r="M1090" s="1" t="e">
        <f t="shared" si="86"/>
        <v>#N/A</v>
      </c>
      <c r="N1090" s="2" t="str">
        <f t="shared" si="89"/>
        <v>Q OK dE&lt;=0.8</v>
      </c>
      <c r="O1090">
        <v>14.5</v>
      </c>
      <c r="P1090">
        <v>0.53</v>
      </c>
      <c r="Q1090">
        <v>-1.25</v>
      </c>
      <c r="R1090">
        <v>-0.04</v>
      </c>
      <c r="S1090">
        <v>0.03</v>
      </c>
      <c r="T1090">
        <v>0</v>
      </c>
      <c r="U1090">
        <v>0.01</v>
      </c>
      <c r="V1090">
        <v>0.04</v>
      </c>
      <c r="W1090">
        <v>0.05</v>
      </c>
      <c r="X1090" t="s">
        <v>8</v>
      </c>
      <c r="Y1090" t="s">
        <v>9</v>
      </c>
      <c r="Z1090" s="2" t="s">
        <v>718</v>
      </c>
      <c r="AA1090" s="2" t="s">
        <v>721</v>
      </c>
    </row>
    <row r="1091" spans="1:27" x14ac:dyDescent="0.35">
      <c r="A1091" t="s">
        <v>1797</v>
      </c>
      <c r="B1091" t="s">
        <v>2111</v>
      </c>
      <c r="C1091" s="7" t="str">
        <f>_xlfn.XLOOKUP(B1091,'[1]Sheet 1'!$A$2:$A$11107,'[1]Sheet 1'!$D$2:$D$11107,"",0)</f>
        <v>LULU</v>
      </c>
      <c r="D1091" s="4" t="str">
        <f>_xlfn.XLOOKUP(A1091,[3]Sheet2!$I$2:$I$1623,[3]Sheet2!$D$2:$D$1623,"",0)</f>
        <v>Q4</v>
      </c>
      <c r="F1091" s="4" t="e">
        <f>_xlfn.XLOOKUP(B1091,[2]Sheet2!$E$2:$E$713,[2]Sheet2!$G$2:$G$713)</f>
        <v>#N/A</v>
      </c>
      <c r="G1091" s="22">
        <v>46171</v>
      </c>
      <c r="H1091" s="23">
        <v>0.76046296296296301</v>
      </c>
      <c r="I1091" t="s">
        <v>4</v>
      </c>
      <c r="J1091" s="2" t="str">
        <f t="shared" si="87"/>
        <v>Q4</v>
      </c>
      <c r="K1091" s="2" t="str">
        <f t="shared" si="88"/>
        <v>Match</v>
      </c>
      <c r="L1091" s="1">
        <f t="shared" si="85"/>
        <v>0.35846896657869842</v>
      </c>
      <c r="M1091" s="1" t="e">
        <f t="shared" si="86"/>
        <v>#N/A</v>
      </c>
      <c r="N1091" s="2" t="str">
        <f t="shared" si="89"/>
        <v>Q OK dE&lt;=0.8</v>
      </c>
      <c r="O1091">
        <v>28.25</v>
      </c>
      <c r="P1091">
        <v>-11.17</v>
      </c>
      <c r="Q1091">
        <v>1.74</v>
      </c>
      <c r="R1091">
        <v>-0.44</v>
      </c>
      <c r="S1091">
        <v>0.31</v>
      </c>
      <c r="T1091">
        <v>-0.18</v>
      </c>
      <c r="U1091">
        <v>-0.26</v>
      </c>
      <c r="V1091">
        <v>0.13</v>
      </c>
      <c r="W1091">
        <v>0.53</v>
      </c>
      <c r="X1091" t="s">
        <v>8</v>
      </c>
      <c r="Y1091" t="s">
        <v>7</v>
      </c>
      <c r="Z1091" s="2" t="s">
        <v>718</v>
      </c>
      <c r="AA1091" s="2" t="s">
        <v>721</v>
      </c>
    </row>
    <row r="1092" spans="1:27" x14ac:dyDescent="0.35">
      <c r="A1092" t="s">
        <v>1772</v>
      </c>
      <c r="B1092" t="s">
        <v>2117</v>
      </c>
      <c r="C1092" s="7" t="str">
        <f>_xlfn.XLOOKUP(B1092,'[1]Sheet 1'!$A$2:$A$11107,'[1]Sheet 1'!$D$2:$D$11107,"",0)</f>
        <v>PINK</v>
      </c>
      <c r="D1092" s="4" t="str">
        <f>_xlfn.XLOOKUP(A1092,[3]Sheet2!$I$2:$I$1623,[3]Sheet2!$D$2:$D$1623,"",0)</f>
        <v>Q3</v>
      </c>
      <c r="F1092" s="4" t="e">
        <f>_xlfn.XLOOKUP(B1092,[2]Sheet2!$E$2:$E$713,[2]Sheet2!$G$2:$G$713)</f>
        <v>#N/A</v>
      </c>
      <c r="G1092" s="22">
        <v>46171</v>
      </c>
      <c r="H1092" s="23">
        <v>0.95219907407407411</v>
      </c>
      <c r="I1092" t="s">
        <v>10</v>
      </c>
      <c r="J1092" s="2" t="str">
        <f t="shared" si="87"/>
        <v>Q3</v>
      </c>
      <c r="K1092" s="2" t="str">
        <f t="shared" si="88"/>
        <v>Match</v>
      </c>
      <c r="L1092" s="1">
        <f t="shared" si="85"/>
        <v>0.52402290026295606</v>
      </c>
      <c r="M1092" s="1" t="e">
        <f t="shared" si="86"/>
        <v>#N/A</v>
      </c>
      <c r="N1092" s="2" t="str">
        <f t="shared" si="89"/>
        <v>Q OK dE&lt;=0.8</v>
      </c>
      <c r="O1092">
        <v>17.47</v>
      </c>
      <c r="P1092">
        <v>-2.8</v>
      </c>
      <c r="Q1092">
        <v>-13.49</v>
      </c>
      <c r="R1092">
        <v>-0.21</v>
      </c>
      <c r="S1092">
        <v>-0.39</v>
      </c>
      <c r="T1092">
        <v>-0.35</v>
      </c>
      <c r="U1092">
        <v>0.31</v>
      </c>
      <c r="V1092">
        <v>-0.36</v>
      </c>
      <c r="W1092">
        <v>0.52</v>
      </c>
      <c r="X1092" t="s">
        <v>8</v>
      </c>
      <c r="Y1092" t="s">
        <v>15</v>
      </c>
      <c r="Z1092" s="2" t="s">
        <v>718</v>
      </c>
      <c r="AA1092" s="2" t="s">
        <v>721</v>
      </c>
    </row>
    <row r="1093" spans="1:27" x14ac:dyDescent="0.35">
      <c r="A1093" t="s">
        <v>1508</v>
      </c>
      <c r="B1093" t="s">
        <v>2112</v>
      </c>
      <c r="C1093" s="7" t="str">
        <f>_xlfn.XLOOKUP(B1093,'[1]Sheet 1'!$A$2:$A$11107,'[1]Sheet 1'!$D$2:$D$11107,"",0)</f>
        <v>LULU</v>
      </c>
      <c r="D1093" s="4" t="str">
        <f>_xlfn.XLOOKUP(A1093,[3]Sheet2!$I$2:$I$1623,[3]Sheet2!$D$2:$D$1623,"",0)</f>
        <v>Q2</v>
      </c>
      <c r="F1093" s="4" t="e">
        <f>_xlfn.XLOOKUP(B1093,[2]Sheet2!$E$2:$E$713,[2]Sheet2!$G$2:$G$713)</f>
        <v>#N/A</v>
      </c>
      <c r="G1093" s="22">
        <v>46171</v>
      </c>
      <c r="H1093" s="23">
        <v>0.76329861111111108</v>
      </c>
      <c r="I1093" t="s">
        <v>4</v>
      </c>
      <c r="J1093" s="2" t="str">
        <f t="shared" si="87"/>
        <v>Q3</v>
      </c>
      <c r="K1093" s="2" t="str">
        <f t="shared" si="88"/>
        <v>Not Match</v>
      </c>
      <c r="L1093" s="1">
        <f t="shared" si="85"/>
        <v>7.6157731058639086E-2</v>
      </c>
      <c r="M1093" s="1" t="e">
        <f t="shared" si="86"/>
        <v>#N/A</v>
      </c>
      <c r="N1093" s="2" t="str">
        <f t="shared" si="89"/>
        <v>Q NOT OK dE&lt;=0.8</v>
      </c>
      <c r="O1093">
        <v>18.38</v>
      </c>
      <c r="P1093">
        <v>-0.71</v>
      </c>
      <c r="Q1093">
        <v>-7.68</v>
      </c>
      <c r="R1093">
        <v>-0.47</v>
      </c>
      <c r="S1093">
        <v>-0.03</v>
      </c>
      <c r="T1093">
        <v>-7.0000000000000007E-2</v>
      </c>
      <c r="U1093">
        <v>7.0000000000000007E-2</v>
      </c>
      <c r="V1093">
        <v>-0.03</v>
      </c>
      <c r="W1093">
        <v>0.48</v>
      </c>
      <c r="X1093" t="s">
        <v>8</v>
      </c>
      <c r="Y1093" t="s">
        <v>15</v>
      </c>
      <c r="Z1093" s="2" t="s">
        <v>718</v>
      </c>
      <c r="AA1093" s="2" t="s">
        <v>721</v>
      </c>
    </row>
    <row r="1094" spans="1:27" x14ac:dyDescent="0.35">
      <c r="A1094" t="s">
        <v>2148</v>
      </c>
      <c r="B1094" t="s">
        <v>1921</v>
      </c>
      <c r="C1094" s="7" t="str">
        <f>_xlfn.XLOOKUP(B1094,'[1]Sheet 1'!$A$2:$A$11107,'[1]Sheet 1'!$D$2:$D$11107,"",0)</f>
        <v>VSS</v>
      </c>
      <c r="D1094" s="4" t="str">
        <f>_xlfn.XLOOKUP(A1094,[3]Sheet2!$I$2:$I$1623,[3]Sheet2!$D$2:$D$1623,"",0)</f>
        <v>Q3</v>
      </c>
      <c r="F1094" s="4" t="e">
        <f>_xlfn.XLOOKUP(B1094,[2]Sheet2!$E$2:$E$713,[2]Sheet2!$G$2:$G$713)</f>
        <v>#N/A</v>
      </c>
      <c r="G1094" s="22">
        <v>46171</v>
      </c>
      <c r="H1094" s="23">
        <v>0.26180555555555557</v>
      </c>
      <c r="I1094" t="s">
        <v>10</v>
      </c>
      <c r="J1094" s="2" t="str">
        <f t="shared" si="87"/>
        <v>Q4</v>
      </c>
      <c r="K1094" s="2" t="str">
        <f t="shared" si="88"/>
        <v>Not Match</v>
      </c>
      <c r="L1094" s="1">
        <f t="shared" si="85"/>
        <v>1.2903100402616419</v>
      </c>
      <c r="M1094" s="1" t="e">
        <f t="shared" si="86"/>
        <v>#N/A</v>
      </c>
      <c r="N1094" s="2" t="str">
        <f t="shared" si="89"/>
        <v>Q NOT OK dE&gt;0.8</v>
      </c>
      <c r="O1094">
        <v>43.55</v>
      </c>
      <c r="P1094">
        <v>55.29</v>
      </c>
      <c r="Q1094">
        <v>38.17</v>
      </c>
      <c r="R1094">
        <v>0.49</v>
      </c>
      <c r="S1094">
        <v>1.25</v>
      </c>
      <c r="T1094">
        <v>-0.32</v>
      </c>
      <c r="U1094">
        <v>0.28999999999999998</v>
      </c>
      <c r="V1094">
        <v>-0.68</v>
      </c>
      <c r="W1094">
        <v>0.89</v>
      </c>
      <c r="X1094" t="s">
        <v>13</v>
      </c>
      <c r="Y1094" t="s">
        <v>7</v>
      </c>
      <c r="Z1094" s="2" t="s">
        <v>718</v>
      </c>
      <c r="AA1094" s="2" t="s">
        <v>721</v>
      </c>
    </row>
    <row r="1095" spans="1:27" x14ac:dyDescent="0.35">
      <c r="A1095" t="s">
        <v>2148</v>
      </c>
      <c r="B1095" t="s">
        <v>2107</v>
      </c>
      <c r="C1095" s="7" t="str">
        <f>_xlfn.XLOOKUP(B1095,'[1]Sheet 1'!$A$2:$A$11107,'[1]Sheet 1'!$D$2:$D$11107,"",0)</f>
        <v>VSS</v>
      </c>
      <c r="D1095" s="4" t="str">
        <f>_xlfn.XLOOKUP(A1095,[3]Sheet2!$I$2:$I$1623,[3]Sheet2!$D$2:$D$1623,"",0)</f>
        <v>Q3</v>
      </c>
      <c r="F1095" s="4" t="e">
        <f>_xlfn.XLOOKUP(B1095,[2]Sheet2!$E$2:$E$713,[2]Sheet2!$G$2:$G$713)</f>
        <v>#N/A</v>
      </c>
      <c r="G1095" s="22">
        <v>46171</v>
      </c>
      <c r="H1095" s="23">
        <v>0.55836805555555558</v>
      </c>
      <c r="I1095" t="s">
        <v>10</v>
      </c>
      <c r="J1095" s="2" t="str">
        <f t="shared" si="87"/>
        <v>Q1</v>
      </c>
      <c r="K1095" s="2" t="str">
        <f t="shared" si="88"/>
        <v>Not Match</v>
      </c>
      <c r="L1095" s="1">
        <f t="shared" si="85"/>
        <v>1.5495160534825059</v>
      </c>
      <c r="M1095" s="1" t="e">
        <f t="shared" si="86"/>
        <v>#N/A</v>
      </c>
      <c r="N1095" s="2" t="str">
        <f t="shared" si="89"/>
        <v>Q NOT OK dE&lt;=0.8</v>
      </c>
      <c r="O1095">
        <v>43.49</v>
      </c>
      <c r="P1095">
        <v>55.51</v>
      </c>
      <c r="Q1095">
        <v>38.99</v>
      </c>
      <c r="R1095">
        <v>0.46</v>
      </c>
      <c r="S1095">
        <v>1.47</v>
      </c>
      <c r="T1095">
        <v>0.49</v>
      </c>
      <c r="U1095">
        <v>0.51</v>
      </c>
      <c r="V1095">
        <v>-0.31</v>
      </c>
      <c r="W1095">
        <v>0.76</v>
      </c>
      <c r="X1095" t="s">
        <v>13</v>
      </c>
      <c r="Y1095" t="s">
        <v>7</v>
      </c>
      <c r="Z1095" s="2" t="s">
        <v>718</v>
      </c>
      <c r="AA1095" s="2" t="s">
        <v>721</v>
      </c>
    </row>
    <row r="1096" spans="1:27" x14ac:dyDescent="0.35">
      <c r="A1096" t="s">
        <v>2148</v>
      </c>
      <c r="B1096" t="s">
        <v>2118</v>
      </c>
      <c r="C1096" s="7" t="str">
        <f>_xlfn.XLOOKUP(B1096,'[1]Sheet 1'!$A$2:$A$11107,'[1]Sheet 1'!$D$2:$D$11107,"",0)</f>
        <v>VSS</v>
      </c>
      <c r="D1096" s="4" t="str">
        <f>_xlfn.XLOOKUP(A1096,[3]Sheet2!$I$2:$I$1623,[3]Sheet2!$D$2:$D$1623,"",0)</f>
        <v>Q3</v>
      </c>
      <c r="F1096" s="4" t="e">
        <f>_xlfn.XLOOKUP(B1096,[2]Sheet2!$E$2:$E$713,[2]Sheet2!$G$2:$G$713)</f>
        <v>#N/A</v>
      </c>
      <c r="G1096" s="22">
        <v>46171</v>
      </c>
      <c r="H1096" s="23">
        <v>0.95984953703703701</v>
      </c>
      <c r="I1096" t="s">
        <v>10</v>
      </c>
      <c r="J1096" s="2" t="str">
        <f t="shared" si="87"/>
        <v>Q1</v>
      </c>
      <c r="K1096" s="2" t="str">
        <f t="shared" si="88"/>
        <v>Not Match</v>
      </c>
      <c r="L1096" s="1">
        <f t="shared" si="85"/>
        <v>1.2677539193392384</v>
      </c>
      <c r="M1096" s="1" t="e">
        <f t="shared" si="86"/>
        <v>#N/A</v>
      </c>
      <c r="N1096" s="2" t="str">
        <f t="shared" si="89"/>
        <v>Q NOT OK dE&gt;0.8</v>
      </c>
      <c r="O1096">
        <v>43.85</v>
      </c>
      <c r="P1096">
        <v>55.3</v>
      </c>
      <c r="Q1096">
        <v>38.64</v>
      </c>
      <c r="R1096">
        <v>0.65</v>
      </c>
      <c r="S1096">
        <v>1.26</v>
      </c>
      <c r="T1096">
        <v>0.14000000000000001</v>
      </c>
      <c r="U1096">
        <v>0.38</v>
      </c>
      <c r="V1096">
        <v>-0.42</v>
      </c>
      <c r="W1096">
        <v>0.86</v>
      </c>
      <c r="X1096" t="s">
        <v>13</v>
      </c>
      <c r="Y1096" t="s">
        <v>7</v>
      </c>
      <c r="Z1096" s="2" t="s">
        <v>718</v>
      </c>
      <c r="AA1096" s="2" t="s">
        <v>721</v>
      </c>
    </row>
    <row r="1097" spans="1:27" x14ac:dyDescent="0.35">
      <c r="A1097" t="s">
        <v>2148</v>
      </c>
      <c r="B1097" t="s">
        <v>2115</v>
      </c>
      <c r="C1097" s="7" t="str">
        <f>_xlfn.XLOOKUP(B1097,'[1]Sheet 1'!$A$2:$A$11107,'[1]Sheet 1'!$D$2:$D$11107,"",0)</f>
        <v>VSS</v>
      </c>
      <c r="D1097" s="4" t="str">
        <f>_xlfn.XLOOKUP(A1097,[3]Sheet2!$I$2:$I$1623,[3]Sheet2!$D$2:$D$1623,"",0)</f>
        <v>Q3</v>
      </c>
      <c r="F1097" s="4" t="e">
        <f>_xlfn.XLOOKUP(B1097,[2]Sheet2!$E$2:$E$713,[2]Sheet2!$G$2:$G$713)</f>
        <v>#N/A</v>
      </c>
      <c r="G1097" s="22">
        <v>46171</v>
      </c>
      <c r="H1097" s="23">
        <v>0.78545138888888888</v>
      </c>
      <c r="I1097" t="s">
        <v>10</v>
      </c>
      <c r="J1097" s="2" t="str">
        <f t="shared" si="87"/>
        <v>Q1</v>
      </c>
      <c r="K1097" s="2" t="str">
        <f t="shared" si="88"/>
        <v>Not Match</v>
      </c>
      <c r="L1097" s="1">
        <f t="shared" si="85"/>
        <v>1.8564751546950473</v>
      </c>
      <c r="M1097" s="1" t="e">
        <f t="shared" si="86"/>
        <v>#N/A</v>
      </c>
      <c r="N1097" s="2" t="str">
        <f t="shared" si="89"/>
        <v>Q NOT OK dE&gt;0.8</v>
      </c>
      <c r="O1097">
        <v>43.76</v>
      </c>
      <c r="P1097">
        <v>55.72</v>
      </c>
      <c r="Q1097">
        <v>39.29</v>
      </c>
      <c r="R1097">
        <v>0.6</v>
      </c>
      <c r="S1097">
        <v>1.68</v>
      </c>
      <c r="T1097">
        <v>0.79</v>
      </c>
      <c r="U1097">
        <v>0.63</v>
      </c>
      <c r="V1097">
        <v>-0.23</v>
      </c>
      <c r="W1097">
        <v>0.9</v>
      </c>
      <c r="X1097" t="s">
        <v>13</v>
      </c>
      <c r="Y1097" t="s">
        <v>7</v>
      </c>
      <c r="Z1097" s="2" t="s">
        <v>718</v>
      </c>
      <c r="AA1097" s="2" t="s">
        <v>721</v>
      </c>
    </row>
    <row r="1098" spans="1:27" x14ac:dyDescent="0.35">
      <c r="A1098" t="s">
        <v>2148</v>
      </c>
      <c r="B1098" t="s">
        <v>2103</v>
      </c>
      <c r="C1098" s="7" t="str">
        <f>_xlfn.XLOOKUP(B1098,'[1]Sheet 1'!$A$2:$A$11107,'[1]Sheet 1'!$D$2:$D$11107,"",0)</f>
        <v>VSS</v>
      </c>
      <c r="D1098" s="4" t="str">
        <f>_xlfn.XLOOKUP(A1098,[3]Sheet2!$I$2:$I$1623,[3]Sheet2!$D$2:$D$1623,"",0)</f>
        <v>Q3</v>
      </c>
      <c r="F1098" s="4" t="e">
        <f>_xlfn.XLOOKUP(B1098,[2]Sheet2!$E$2:$E$713,[2]Sheet2!$G$2:$G$713)</f>
        <v>#N/A</v>
      </c>
      <c r="G1098" s="22">
        <v>46171</v>
      </c>
      <c r="H1098" s="23">
        <v>8.3773148148148152E-2</v>
      </c>
      <c r="I1098" t="s">
        <v>10</v>
      </c>
      <c r="J1098" s="2" t="str">
        <f t="shared" si="87"/>
        <v>Q4</v>
      </c>
      <c r="K1098" s="2" t="str">
        <f t="shared" si="88"/>
        <v>Not Match</v>
      </c>
      <c r="L1098" s="1">
        <f t="shared" si="85"/>
        <v>0.7710382610480494</v>
      </c>
      <c r="M1098" s="1" t="e">
        <f t="shared" si="86"/>
        <v>#N/A</v>
      </c>
      <c r="N1098" s="2" t="str">
        <f t="shared" si="89"/>
        <v>Q NOT OK dE&lt;=0.8</v>
      </c>
      <c r="O1098">
        <v>43.33</v>
      </c>
      <c r="P1098">
        <v>54.82</v>
      </c>
      <c r="Q1098">
        <v>38.450000000000003</v>
      </c>
      <c r="R1098">
        <v>0.38</v>
      </c>
      <c r="S1098">
        <v>0.77</v>
      </c>
      <c r="T1098">
        <v>-0.04</v>
      </c>
      <c r="U1098">
        <v>0.21</v>
      </c>
      <c r="V1098">
        <v>-0.34</v>
      </c>
      <c r="W1098">
        <v>0.55000000000000004</v>
      </c>
      <c r="X1098" t="s">
        <v>8</v>
      </c>
      <c r="Y1098" t="s">
        <v>7</v>
      </c>
      <c r="Z1098" s="2" t="s">
        <v>718</v>
      </c>
      <c r="AA1098" s="2" t="s">
        <v>721</v>
      </c>
    </row>
    <row r="1099" spans="1:27" x14ac:dyDescent="0.35">
      <c r="A1099" t="s">
        <v>2148</v>
      </c>
      <c r="B1099" t="s">
        <v>2108</v>
      </c>
      <c r="C1099" s="7" t="str">
        <f>_xlfn.XLOOKUP(B1099,'[1]Sheet 1'!$A$2:$A$11107,'[1]Sheet 1'!$D$2:$D$11107,"",0)</f>
        <v>VSS</v>
      </c>
      <c r="D1099" s="4" t="str">
        <f>_xlfn.XLOOKUP(A1099,[3]Sheet2!$I$2:$I$1623,[3]Sheet2!$D$2:$D$1623,"",0)</f>
        <v>Q3</v>
      </c>
      <c r="F1099" s="4" t="e">
        <f>_xlfn.XLOOKUP(B1099,[2]Sheet2!$E$2:$E$713,[2]Sheet2!$G$2:$G$713)</f>
        <v>#N/A</v>
      </c>
      <c r="G1099" s="22">
        <v>46171</v>
      </c>
      <c r="H1099" s="23">
        <v>0.56052083333333336</v>
      </c>
      <c r="I1099" t="s">
        <v>10</v>
      </c>
      <c r="J1099" s="2" t="str">
        <f t="shared" si="87"/>
        <v>Q1</v>
      </c>
      <c r="K1099" s="2" t="str">
        <f t="shared" si="88"/>
        <v>Not Match</v>
      </c>
      <c r="L1099" s="1">
        <f t="shared" si="85"/>
        <v>1.490536816049842</v>
      </c>
      <c r="M1099" s="1" t="e">
        <f t="shared" si="86"/>
        <v>#N/A</v>
      </c>
      <c r="N1099" s="2" t="str">
        <f t="shared" si="89"/>
        <v>Q NOT OK dE&gt;0.8</v>
      </c>
      <c r="O1099">
        <v>44.15</v>
      </c>
      <c r="P1099">
        <v>55.4</v>
      </c>
      <c r="Q1099">
        <v>39.1</v>
      </c>
      <c r="R1099">
        <v>0.8</v>
      </c>
      <c r="S1099">
        <v>1.36</v>
      </c>
      <c r="T1099">
        <v>0.61</v>
      </c>
      <c r="U1099">
        <v>0.5</v>
      </c>
      <c r="V1099">
        <v>-0.2</v>
      </c>
      <c r="W1099">
        <v>0.96</v>
      </c>
      <c r="X1099" t="s">
        <v>13</v>
      </c>
      <c r="Y1099" t="s">
        <v>7</v>
      </c>
      <c r="Z1099" s="2" t="s">
        <v>718</v>
      </c>
      <c r="AA1099" s="2" t="s">
        <v>721</v>
      </c>
    </row>
    <row r="1100" spans="1:27" x14ac:dyDescent="0.35">
      <c r="A1100" t="s">
        <v>2148</v>
      </c>
      <c r="B1100" t="s">
        <v>2120</v>
      </c>
      <c r="C1100" s="7" t="str">
        <f>_xlfn.XLOOKUP(B1100,'[1]Sheet 1'!$A$2:$A$11107,'[1]Sheet 1'!$D$2:$D$11107,"",0)</f>
        <v>VSS</v>
      </c>
      <c r="D1100" s="4" t="str">
        <f>_xlfn.XLOOKUP(A1100,[3]Sheet2!$I$2:$I$1623,[3]Sheet2!$D$2:$D$1623,"",0)</f>
        <v>Q3</v>
      </c>
      <c r="F1100" s="4" t="e">
        <f>_xlfn.XLOOKUP(B1100,[2]Sheet2!$E$2:$E$713,[2]Sheet2!$G$2:$G$713)</f>
        <v>#N/A</v>
      </c>
      <c r="G1100" s="22">
        <v>46171</v>
      </c>
      <c r="H1100" s="23">
        <v>0.9937731481481481</v>
      </c>
      <c r="I1100" t="s">
        <v>10</v>
      </c>
      <c r="J1100" s="2" t="str">
        <f t="shared" si="87"/>
        <v>Q1</v>
      </c>
      <c r="K1100" s="2" t="str">
        <f t="shared" si="88"/>
        <v>Not Match</v>
      </c>
      <c r="L1100" s="1">
        <f t="shared" si="85"/>
        <v>1.509602596712128</v>
      </c>
      <c r="M1100" s="1" t="e">
        <f t="shared" si="86"/>
        <v>#N/A</v>
      </c>
      <c r="N1100" s="2" t="str">
        <f t="shared" si="89"/>
        <v>Q NOT OK dE&gt;0.8</v>
      </c>
      <c r="O1100">
        <v>43.49</v>
      </c>
      <c r="P1100">
        <v>55.55</v>
      </c>
      <c r="Q1100">
        <v>38.659999999999997</v>
      </c>
      <c r="R1100">
        <v>0.47</v>
      </c>
      <c r="S1100">
        <v>1.5</v>
      </c>
      <c r="T1100">
        <v>0.17</v>
      </c>
      <c r="U1100">
        <v>0.46</v>
      </c>
      <c r="V1100">
        <v>-0.51</v>
      </c>
      <c r="W1100">
        <v>0.83</v>
      </c>
      <c r="X1100" t="s">
        <v>13</v>
      </c>
      <c r="Y1100" t="s">
        <v>7</v>
      </c>
      <c r="Z1100" s="2" t="s">
        <v>718</v>
      </c>
      <c r="AA1100" s="2" t="s">
        <v>721</v>
      </c>
    </row>
    <row r="1101" spans="1:27" x14ac:dyDescent="0.35">
      <c r="A1101" t="s">
        <v>2148</v>
      </c>
      <c r="B1101" t="s">
        <v>2119</v>
      </c>
      <c r="C1101" s="7" t="str">
        <f>_xlfn.XLOOKUP(B1101,'[1]Sheet 1'!$A$2:$A$11107,'[1]Sheet 1'!$D$2:$D$11107,"",0)</f>
        <v>VSS</v>
      </c>
      <c r="D1101" s="4" t="str">
        <f>_xlfn.XLOOKUP(A1101,[3]Sheet2!$I$2:$I$1623,[3]Sheet2!$D$2:$D$1623,"",0)</f>
        <v>Q3</v>
      </c>
      <c r="F1101" s="4" t="e">
        <f>_xlfn.XLOOKUP(B1101,[2]Sheet2!$E$2:$E$713,[2]Sheet2!$G$2:$G$713)</f>
        <v>#N/A</v>
      </c>
      <c r="G1101" s="22">
        <v>46171</v>
      </c>
      <c r="H1101" s="23">
        <v>0.96201388888888884</v>
      </c>
      <c r="I1101" t="s">
        <v>10</v>
      </c>
      <c r="J1101" s="2" t="str">
        <f t="shared" si="87"/>
        <v>Q1</v>
      </c>
      <c r="K1101" s="2" t="str">
        <f t="shared" si="88"/>
        <v>Not Match</v>
      </c>
      <c r="L1101" s="1">
        <f t="shared" si="85"/>
        <v>1.6327277789025334</v>
      </c>
      <c r="M1101" s="1" t="e">
        <f t="shared" si="86"/>
        <v>#N/A</v>
      </c>
      <c r="N1101" s="2" t="str">
        <f t="shared" si="89"/>
        <v>Q NOT OK dE&lt;=0.8</v>
      </c>
      <c r="O1101">
        <v>43.57</v>
      </c>
      <c r="P1101">
        <v>55.58</v>
      </c>
      <c r="Q1101">
        <v>39.06</v>
      </c>
      <c r="R1101">
        <v>0.51</v>
      </c>
      <c r="S1101">
        <v>1.53</v>
      </c>
      <c r="T1101">
        <v>0.56999999999999995</v>
      </c>
      <c r="U1101">
        <v>0.55000000000000004</v>
      </c>
      <c r="V1101">
        <v>-0.28999999999999998</v>
      </c>
      <c r="W1101">
        <v>0.8</v>
      </c>
      <c r="X1101" t="s">
        <v>13</v>
      </c>
      <c r="Y1101" t="s">
        <v>7</v>
      </c>
      <c r="Z1101" s="2" t="s">
        <v>718</v>
      </c>
      <c r="AA1101" s="2" t="s">
        <v>721</v>
      </c>
    </row>
    <row r="1102" spans="1:27" x14ac:dyDescent="0.35">
      <c r="A1102" t="s">
        <v>2148</v>
      </c>
      <c r="B1102" t="s">
        <v>2106</v>
      </c>
      <c r="C1102" s="7" t="str">
        <f>_xlfn.XLOOKUP(B1102,'[1]Sheet 1'!$A$2:$A$11107,'[1]Sheet 1'!$D$2:$D$11107,"",0)</f>
        <v>VSS</v>
      </c>
      <c r="D1102" s="4" t="str">
        <f>_xlfn.XLOOKUP(A1102,[3]Sheet2!$I$2:$I$1623,[3]Sheet2!$D$2:$D$1623,"",0)</f>
        <v>Q3</v>
      </c>
      <c r="F1102" s="4" t="e">
        <f>_xlfn.XLOOKUP(B1102,[2]Sheet2!$E$2:$E$713,[2]Sheet2!$G$2:$G$713)</f>
        <v>#N/A</v>
      </c>
      <c r="G1102" s="22">
        <v>46171</v>
      </c>
      <c r="H1102" s="23">
        <v>0.55640046296296297</v>
      </c>
      <c r="I1102" t="s">
        <v>10</v>
      </c>
      <c r="J1102" s="2" t="str">
        <f t="shared" si="87"/>
        <v>Q1</v>
      </c>
      <c r="K1102" s="2" t="str">
        <f t="shared" si="88"/>
        <v>Not Match</v>
      </c>
      <c r="L1102" s="1">
        <f t="shared" si="85"/>
        <v>1.806792738528689</v>
      </c>
      <c r="M1102" s="1" t="e">
        <f t="shared" si="86"/>
        <v>#N/A</v>
      </c>
      <c r="N1102" s="2" t="str">
        <f t="shared" si="89"/>
        <v>Q NOT OK dE&lt;=0.8</v>
      </c>
      <c r="O1102">
        <v>43.32</v>
      </c>
      <c r="P1102">
        <v>55.66</v>
      </c>
      <c r="Q1102">
        <v>39.31</v>
      </c>
      <c r="R1102">
        <v>0.38</v>
      </c>
      <c r="S1102">
        <v>1.61</v>
      </c>
      <c r="T1102">
        <v>0.82</v>
      </c>
      <c r="U1102">
        <v>0.62</v>
      </c>
      <c r="V1102">
        <v>-0.19</v>
      </c>
      <c r="W1102">
        <v>0.75</v>
      </c>
      <c r="X1102" t="s">
        <v>8</v>
      </c>
      <c r="Y1102" t="s">
        <v>7</v>
      </c>
      <c r="Z1102" s="2" t="s">
        <v>718</v>
      </c>
      <c r="AA1102" s="2" t="s">
        <v>721</v>
      </c>
    </row>
    <row r="1103" spans="1:27" x14ac:dyDescent="0.35">
      <c r="A1103" t="s">
        <v>1626</v>
      </c>
      <c r="B1103" t="s">
        <v>1922</v>
      </c>
      <c r="C1103" s="7" t="str">
        <f>_xlfn.XLOOKUP(B1103,'[1]Sheet 1'!$A$2:$A$11107,'[1]Sheet 1'!$D$2:$D$11107,"",0)</f>
        <v>VSS</v>
      </c>
      <c r="D1103" s="4" t="str">
        <f>_xlfn.XLOOKUP(A1103,[3]Sheet2!$I$2:$I$1623,[3]Sheet2!$D$2:$D$1623,"",0)</f>
        <v>Q4</v>
      </c>
      <c r="F1103" s="4" t="e">
        <f>_xlfn.XLOOKUP(B1103,[2]Sheet2!$E$2:$E$713,[2]Sheet2!$G$2:$G$713)</f>
        <v>#N/A</v>
      </c>
      <c r="G1103" s="22">
        <v>46171</v>
      </c>
      <c r="H1103" s="23">
        <v>0.2631134259259259</v>
      </c>
      <c r="I1103" t="s">
        <v>10</v>
      </c>
      <c r="J1103" s="2" t="str">
        <f t="shared" si="87"/>
        <v>Q3</v>
      </c>
      <c r="K1103" s="2" t="str">
        <f t="shared" si="88"/>
        <v>Not Match</v>
      </c>
      <c r="L1103" s="1">
        <f t="shared" si="85"/>
        <v>0.17691806012954134</v>
      </c>
      <c r="M1103" s="1" t="e">
        <f t="shared" si="86"/>
        <v>#N/A</v>
      </c>
      <c r="N1103" s="2" t="str">
        <f t="shared" si="89"/>
        <v>Q NOT OK dE&lt;=0.8</v>
      </c>
      <c r="O1103">
        <v>16.11</v>
      </c>
      <c r="P1103">
        <v>0.47</v>
      </c>
      <c r="Q1103">
        <v>-1.72</v>
      </c>
      <c r="R1103">
        <v>0.52</v>
      </c>
      <c r="S1103">
        <v>-0.12</v>
      </c>
      <c r="T1103">
        <v>-0.13</v>
      </c>
      <c r="U1103">
        <v>0.11</v>
      </c>
      <c r="V1103">
        <v>-0.22</v>
      </c>
      <c r="W1103">
        <v>0.56999999999999995</v>
      </c>
      <c r="X1103" t="s">
        <v>8</v>
      </c>
      <c r="Y1103" t="s">
        <v>15</v>
      </c>
      <c r="Z1103" s="2" t="s">
        <v>718</v>
      </c>
      <c r="AA1103" s="2" t="s">
        <v>721</v>
      </c>
    </row>
    <row r="1104" spans="1:27" x14ac:dyDescent="0.35">
      <c r="A1104" t="s">
        <v>1626</v>
      </c>
      <c r="B1104" t="s">
        <v>2110</v>
      </c>
      <c r="C1104" s="7" t="str">
        <f>_xlfn.XLOOKUP(B1104,'[1]Sheet 1'!$A$2:$A$11107,'[1]Sheet 1'!$D$2:$D$11107,"",0)</f>
        <v>VSS</v>
      </c>
      <c r="D1104" s="4" t="str">
        <f>_xlfn.XLOOKUP(A1104,[3]Sheet2!$I$2:$I$1623,[3]Sheet2!$D$2:$D$1623,"",0)</f>
        <v>Q4</v>
      </c>
      <c r="F1104" s="4" t="e">
        <f>_xlfn.XLOOKUP(B1104,[2]Sheet2!$E$2:$E$713,[2]Sheet2!$G$2:$G$713)</f>
        <v>#N/A</v>
      </c>
      <c r="G1104" s="22">
        <v>46171</v>
      </c>
      <c r="H1104" s="23">
        <v>0.56913194444444448</v>
      </c>
      <c r="I1104" t="s">
        <v>10</v>
      </c>
      <c r="J1104" s="2" t="str">
        <f t="shared" si="87"/>
        <v>Q3</v>
      </c>
      <c r="K1104" s="2" t="str">
        <f t="shared" si="88"/>
        <v>Not Match</v>
      </c>
      <c r="L1104" s="1">
        <f t="shared" si="85"/>
        <v>0.15811388300841897</v>
      </c>
      <c r="M1104" s="1" t="e">
        <f t="shared" si="86"/>
        <v>#N/A</v>
      </c>
      <c r="N1104" s="2" t="str">
        <f t="shared" si="89"/>
        <v>Q NOT OK dE&gt;0.8</v>
      </c>
      <c r="O1104">
        <v>16.39</v>
      </c>
      <c r="P1104">
        <v>0.55000000000000004</v>
      </c>
      <c r="Q1104">
        <v>-1.74</v>
      </c>
      <c r="R1104">
        <v>0.8</v>
      </c>
      <c r="S1104">
        <v>-0.05</v>
      </c>
      <c r="T1104">
        <v>-0.15</v>
      </c>
      <c r="U1104">
        <v>0.17</v>
      </c>
      <c r="V1104">
        <v>-0.13</v>
      </c>
      <c r="W1104">
        <v>0.82</v>
      </c>
      <c r="X1104" t="s">
        <v>13</v>
      </c>
      <c r="Y1104" t="s">
        <v>15</v>
      </c>
      <c r="Z1104" s="2" t="s">
        <v>718</v>
      </c>
      <c r="AA1104" s="2" t="s">
        <v>721</v>
      </c>
    </row>
    <row r="1105" spans="1:27" x14ac:dyDescent="0.35">
      <c r="A1105" t="s">
        <v>1552</v>
      </c>
      <c r="B1105" t="s">
        <v>2109</v>
      </c>
      <c r="C1105" s="7" t="str">
        <f>_xlfn.XLOOKUP(B1105,'[1]Sheet 1'!$A$2:$A$11107,'[1]Sheet 1'!$D$2:$D$11107,"",0)</f>
        <v>NIK</v>
      </c>
      <c r="D1105" s="4" t="str">
        <f>_xlfn.XLOOKUP(A1105,[3]Sheet2!$I$2:$I$1623,[3]Sheet2!$D$2:$D$1623,"",0)</f>
        <v>Q1</v>
      </c>
      <c r="F1105" s="4" t="e">
        <f>_xlfn.XLOOKUP(B1105,[2]Sheet2!$E$2:$E$713,[2]Sheet2!$G$2:$G$713)</f>
        <v>#N/A</v>
      </c>
      <c r="G1105" s="22">
        <v>46171</v>
      </c>
      <c r="H1105" s="23">
        <v>0.56461805555555555</v>
      </c>
      <c r="I1105" t="s">
        <v>4</v>
      </c>
      <c r="J1105" s="2" t="str">
        <f t="shared" si="87"/>
        <v>Q1</v>
      </c>
      <c r="K1105" s="2" t="str">
        <f t="shared" si="88"/>
        <v>Match</v>
      </c>
      <c r="L1105" s="1">
        <f t="shared" si="85"/>
        <v>0.13152946437965907</v>
      </c>
      <c r="M1105" s="1" t="e">
        <f t="shared" si="86"/>
        <v>#N/A</v>
      </c>
      <c r="N1105" s="2" t="str">
        <f t="shared" si="89"/>
        <v>Q OK dE&gt;0.8</v>
      </c>
      <c r="O1105">
        <v>14.49</v>
      </c>
      <c r="P1105">
        <v>-1.28</v>
      </c>
      <c r="Q1105">
        <v>-1.26</v>
      </c>
      <c r="R1105">
        <v>-1.02</v>
      </c>
      <c r="S1105">
        <v>0.02</v>
      </c>
      <c r="T1105">
        <v>0.13</v>
      </c>
      <c r="U1105">
        <v>-0.14000000000000001</v>
      </c>
      <c r="V1105">
        <v>-0.11</v>
      </c>
      <c r="W1105">
        <v>1.04</v>
      </c>
      <c r="X1105" t="s">
        <v>6</v>
      </c>
      <c r="Y1105" t="s">
        <v>12</v>
      </c>
      <c r="Z1105" s="2" t="s">
        <v>718</v>
      </c>
      <c r="AA1105" s="2" t="s">
        <v>721</v>
      </c>
    </row>
    <row r="1106" spans="1:27" x14ac:dyDescent="0.35">
      <c r="A1106" t="s">
        <v>1540</v>
      </c>
      <c r="B1106" t="s">
        <v>2125</v>
      </c>
      <c r="C1106" s="7" t="str">
        <f>_xlfn.XLOOKUP(B1106,'[1]Sheet 1'!$A$2:$A$11107,'[1]Sheet 1'!$D$2:$D$11107,"",0)</f>
        <v>VSS</v>
      </c>
      <c r="D1106" s="4" t="str">
        <f>_xlfn.XLOOKUP(A1106,[3]Sheet2!$I$2:$I$1623,[3]Sheet2!$D$2:$D$1623,"",0)</f>
        <v>Q3</v>
      </c>
      <c r="F1106" s="4" t="e">
        <f>_xlfn.XLOOKUP(B1106,[2]Sheet2!$E$2:$E$713,[2]Sheet2!$G$2:$G$713)</f>
        <v>#N/A</v>
      </c>
      <c r="G1106" s="22">
        <v>46172</v>
      </c>
      <c r="H1106" s="23">
        <v>0.25783564814814813</v>
      </c>
      <c r="I1106" t="s">
        <v>10</v>
      </c>
      <c r="J1106" s="2" t="str">
        <f t="shared" si="87"/>
        <v>Q1</v>
      </c>
      <c r="K1106" s="2" t="str">
        <f t="shared" si="88"/>
        <v>Not Match</v>
      </c>
      <c r="L1106" s="1">
        <f t="shared" si="85"/>
        <v>0.1118033988749895</v>
      </c>
      <c r="M1106" s="1" t="e">
        <f t="shared" si="86"/>
        <v>#N/A</v>
      </c>
      <c r="N1106" s="2" t="str">
        <f t="shared" si="89"/>
        <v>Q NOT OK dE&lt;=0.8</v>
      </c>
      <c r="O1106">
        <v>14.65</v>
      </c>
      <c r="P1106">
        <v>0.55000000000000004</v>
      </c>
      <c r="Q1106">
        <v>-1.1499999999999999</v>
      </c>
      <c r="R1106">
        <v>0.11</v>
      </c>
      <c r="S1106">
        <v>0.05</v>
      </c>
      <c r="T1106">
        <v>0.1</v>
      </c>
      <c r="U1106">
        <v>-0.1</v>
      </c>
      <c r="V1106">
        <v>0.13</v>
      </c>
      <c r="W1106">
        <v>0.2</v>
      </c>
      <c r="X1106" t="s">
        <v>8</v>
      </c>
      <c r="Y1106" t="s">
        <v>9</v>
      </c>
      <c r="Z1106" s="2" t="s">
        <v>718</v>
      </c>
      <c r="AA1106" s="2" t="s">
        <v>721</v>
      </c>
    </row>
    <row r="1107" spans="1:27" x14ac:dyDescent="0.35">
      <c r="A1107" t="s">
        <v>1520</v>
      </c>
      <c r="B1107" t="s">
        <v>1895</v>
      </c>
      <c r="C1107" s="7" t="str">
        <f>_xlfn.XLOOKUP(B1107,'[1]Sheet 1'!$A$2:$A$11107,'[1]Sheet 1'!$D$2:$D$11107,"",0)</f>
        <v>VSS</v>
      </c>
      <c r="D1107" s="4" t="str">
        <f>_xlfn.XLOOKUP(A1107,[3]Sheet2!$I$2:$I$1623,[3]Sheet2!$D$2:$D$1623,"",0)</f>
        <v>Q1</v>
      </c>
      <c r="F1107" s="4" t="e">
        <f>_xlfn.XLOOKUP(B1107,[2]Sheet2!$E$2:$E$713,[2]Sheet2!$G$2:$G$713)</f>
        <v>#N/A</v>
      </c>
      <c r="G1107" s="22">
        <v>46172</v>
      </c>
      <c r="H1107" s="23">
        <v>0.25443287037037038</v>
      </c>
      <c r="I1107" t="s">
        <v>10</v>
      </c>
      <c r="J1107" s="2" t="str">
        <f t="shared" si="87"/>
        <v>Q4</v>
      </c>
      <c r="K1107" s="2" t="str">
        <f t="shared" si="88"/>
        <v>Not Match</v>
      </c>
      <c r="L1107" s="1">
        <f t="shared" si="85"/>
        <v>0.30413812651491096</v>
      </c>
      <c r="M1107" s="1" t="e">
        <f t="shared" si="86"/>
        <v>#N/A</v>
      </c>
      <c r="N1107" s="2" t="str">
        <f t="shared" si="89"/>
        <v>Q NOT OK dE&lt;=0.8</v>
      </c>
      <c r="O1107">
        <v>27.78</v>
      </c>
      <c r="P1107">
        <v>12.03</v>
      </c>
      <c r="Q1107">
        <v>10.119999999999999</v>
      </c>
      <c r="R1107">
        <v>0.08</v>
      </c>
      <c r="S1107">
        <v>0.21</v>
      </c>
      <c r="T1107">
        <v>-0.22</v>
      </c>
      <c r="U1107">
        <v>0.01</v>
      </c>
      <c r="V1107">
        <v>-0.44</v>
      </c>
      <c r="W1107">
        <v>0.45</v>
      </c>
      <c r="X1107" t="s">
        <v>8</v>
      </c>
      <c r="Y1107" t="s">
        <v>9</v>
      </c>
      <c r="Z1107" s="2" t="s">
        <v>718</v>
      </c>
      <c r="AA1107" s="2" t="s">
        <v>721</v>
      </c>
    </row>
    <row r="1108" spans="1:27" x14ac:dyDescent="0.35">
      <c r="A1108" t="s">
        <v>1793</v>
      </c>
      <c r="B1108" t="s">
        <v>2121</v>
      </c>
      <c r="C1108" s="7" t="str">
        <f>_xlfn.XLOOKUP(B1108,'[1]Sheet 1'!$A$2:$A$11107,'[1]Sheet 1'!$D$2:$D$11107,"",0)</f>
        <v>WACE</v>
      </c>
      <c r="D1108" s="4" t="str">
        <f>_xlfn.XLOOKUP(A1108,[3]Sheet2!$I$2:$I$1623,[3]Sheet2!$D$2:$D$1623,"",0)</f>
        <v>Q2/Q3</v>
      </c>
      <c r="F1108" s="4" t="e">
        <f>_xlfn.XLOOKUP(B1108,[2]Sheet2!$E$2:$E$713,[2]Sheet2!$G$2:$G$713)</f>
        <v>#N/A</v>
      </c>
      <c r="G1108" s="22">
        <v>46172</v>
      </c>
      <c r="H1108" s="23">
        <v>8.4814814814814815E-2</v>
      </c>
      <c r="I1108" t="s">
        <v>4</v>
      </c>
      <c r="J1108" s="2" t="str">
        <f t="shared" si="87"/>
        <v>Q4</v>
      </c>
      <c r="K1108" s="2" t="str">
        <f t="shared" si="88"/>
        <v>Not Match</v>
      </c>
      <c r="L1108" s="1">
        <f t="shared" si="85"/>
        <v>0.31622776601683794</v>
      </c>
      <c r="M1108" s="1" t="e">
        <f t="shared" si="86"/>
        <v>#N/A</v>
      </c>
      <c r="N1108" s="2" t="str">
        <f t="shared" si="89"/>
        <v>Q NOT OK dE&lt;=0.8</v>
      </c>
      <c r="O1108">
        <v>17.329999999999998</v>
      </c>
      <c r="P1108">
        <v>-0.49</v>
      </c>
      <c r="Q1108">
        <v>-1.53</v>
      </c>
      <c r="R1108">
        <v>-0.25</v>
      </c>
      <c r="S1108">
        <v>0.18</v>
      </c>
      <c r="T1108">
        <v>-0.26</v>
      </c>
      <c r="U1108">
        <v>0.24</v>
      </c>
      <c r="V1108">
        <v>0.37</v>
      </c>
      <c r="W1108">
        <v>0.5</v>
      </c>
      <c r="X1108" t="s">
        <v>8</v>
      </c>
      <c r="Y1108" t="s">
        <v>9</v>
      </c>
      <c r="Z1108" s="2" t="s">
        <v>718</v>
      </c>
      <c r="AA1108" s="2" t="s">
        <v>721</v>
      </c>
    </row>
    <row r="1109" spans="1:27" x14ac:dyDescent="0.35">
      <c r="A1109" t="s">
        <v>1536</v>
      </c>
      <c r="B1109" t="s">
        <v>2124</v>
      </c>
      <c r="C1109" s="7" t="str">
        <f>_xlfn.XLOOKUP(B1109,'[1]Sheet 1'!$A$2:$A$11107,'[1]Sheet 1'!$D$2:$D$11107,"",0)</f>
        <v>NIK</v>
      </c>
      <c r="D1109" s="4" t="str">
        <f>_xlfn.XLOOKUP(A1109,[3]Sheet2!$I$2:$I$1623,[3]Sheet2!$D$2:$D$1623,"",0)</f>
        <v>Q2</v>
      </c>
      <c r="F1109" s="4" t="e">
        <f>_xlfn.XLOOKUP(B1109,[2]Sheet2!$E$2:$E$713,[2]Sheet2!$G$2:$G$713)</f>
        <v>#N/A</v>
      </c>
      <c r="G1109" s="22">
        <v>46172</v>
      </c>
      <c r="H1109" s="23">
        <v>0.22077546296296297</v>
      </c>
      <c r="I1109" t="s">
        <v>4</v>
      </c>
      <c r="J1109" s="2" t="str">
        <f t="shared" si="87"/>
        <v>Q4</v>
      </c>
      <c r="K1109" s="2" t="str">
        <f t="shared" si="88"/>
        <v>Not Match</v>
      </c>
      <c r="L1109" s="1">
        <f t="shared" si="85"/>
        <v>0.25</v>
      </c>
      <c r="M1109" s="1" t="e">
        <f t="shared" si="86"/>
        <v>#N/A</v>
      </c>
      <c r="N1109" s="2" t="str">
        <f t="shared" si="89"/>
        <v>Q NOT OK dE&lt;=0.8</v>
      </c>
      <c r="O1109">
        <v>15.43</v>
      </c>
      <c r="P1109">
        <v>-0.48</v>
      </c>
      <c r="Q1109">
        <v>-2.02</v>
      </c>
      <c r="R1109">
        <v>-0.3</v>
      </c>
      <c r="S1109">
        <v>0.15</v>
      </c>
      <c r="T1109">
        <v>-0.2</v>
      </c>
      <c r="U1109">
        <v>0.19</v>
      </c>
      <c r="V1109">
        <v>0.27</v>
      </c>
      <c r="W1109">
        <v>0.45</v>
      </c>
      <c r="X1109" t="s">
        <v>8</v>
      </c>
      <c r="Y1109" t="s">
        <v>9</v>
      </c>
      <c r="Z1109" s="2" t="s">
        <v>718</v>
      </c>
      <c r="AA1109" s="2" t="s">
        <v>721</v>
      </c>
    </row>
    <row r="1110" spans="1:27" x14ac:dyDescent="0.35">
      <c r="A1110" t="s">
        <v>2165</v>
      </c>
      <c r="B1110" t="s">
        <v>2126</v>
      </c>
      <c r="C1110" s="7" t="str">
        <f>_xlfn.XLOOKUP(B1110,'[1]Sheet 1'!$A$2:$A$11107,'[1]Sheet 1'!$D$2:$D$11107,"",0)</f>
        <v>NIK</v>
      </c>
      <c r="D1110" s="4" t="str">
        <f>_xlfn.XLOOKUP(A1110,[3]Sheet2!$I$2:$I$1623,[3]Sheet2!$D$2:$D$1623,"",0)</f>
        <v>Q1</v>
      </c>
      <c r="F1110" s="4" t="e">
        <f>_xlfn.XLOOKUP(B1110,[2]Sheet2!$E$2:$E$713,[2]Sheet2!$G$2:$G$713)</f>
        <v>#N/A</v>
      </c>
      <c r="G1110" s="22">
        <v>46172</v>
      </c>
      <c r="H1110" s="23">
        <v>0.26092592592592595</v>
      </c>
      <c r="I1110" t="s">
        <v>4</v>
      </c>
      <c r="J1110" s="2" t="str">
        <f t="shared" si="87"/>
        <v>Q2</v>
      </c>
      <c r="K1110" s="2" t="str">
        <f t="shared" si="88"/>
        <v>Not Match</v>
      </c>
      <c r="L1110" s="1">
        <f t="shared" si="85"/>
        <v>0.17464249196572981</v>
      </c>
      <c r="M1110" s="1" t="e">
        <f t="shared" si="86"/>
        <v>#N/A</v>
      </c>
      <c r="N1110" s="2" t="str">
        <f t="shared" si="89"/>
        <v>Q NOT OK dE&lt;=0.8</v>
      </c>
      <c r="O1110">
        <v>24.26</v>
      </c>
      <c r="P1110">
        <v>-4.1900000000000004</v>
      </c>
      <c r="Q1110">
        <v>-2.46</v>
      </c>
      <c r="R1110">
        <v>0.39</v>
      </c>
      <c r="S1110">
        <v>-7.0000000000000007E-2</v>
      </c>
      <c r="T1110">
        <v>0.16</v>
      </c>
      <c r="U1110">
        <v>-0.03</v>
      </c>
      <c r="V1110">
        <v>-0.21</v>
      </c>
      <c r="W1110">
        <v>0.44</v>
      </c>
      <c r="X1110" t="s">
        <v>8</v>
      </c>
      <c r="Y1110" t="s">
        <v>12</v>
      </c>
      <c r="Z1110" s="2" t="s">
        <v>718</v>
      </c>
      <c r="AA1110" s="2" t="s">
        <v>721</v>
      </c>
    </row>
    <row r="1111" spans="1:27" x14ac:dyDescent="0.35">
      <c r="A1111" t="s">
        <v>1798</v>
      </c>
      <c r="B1111" t="s">
        <v>2123</v>
      </c>
      <c r="C1111" s="7" t="str">
        <f>_xlfn.XLOOKUP(B1111,'[1]Sheet 1'!$A$2:$A$11107,'[1]Sheet 1'!$D$2:$D$11107,"",0)</f>
        <v>NIK</v>
      </c>
      <c r="D1111" s="4" t="str">
        <f>_xlfn.XLOOKUP(A1111,[3]Sheet2!$I$2:$I$1623,[3]Sheet2!$D$2:$D$1623,"",0)</f>
        <v>Q2</v>
      </c>
      <c r="F1111" s="4" t="e">
        <f>_xlfn.XLOOKUP(B1111,[2]Sheet2!$E$2:$E$713,[2]Sheet2!$G$2:$G$713)</f>
        <v>#N/A</v>
      </c>
      <c r="G1111" s="22">
        <v>46172</v>
      </c>
      <c r="H1111" s="23">
        <v>0.21833333333333332</v>
      </c>
      <c r="I1111" t="s">
        <v>4</v>
      </c>
      <c r="J1111" s="2" t="str">
        <f t="shared" si="87"/>
        <v>Q2</v>
      </c>
      <c r="K1111" s="2" t="str">
        <f t="shared" si="88"/>
        <v>Match</v>
      </c>
      <c r="L1111" s="1">
        <f t="shared" si="85"/>
        <v>0.38483762809787714</v>
      </c>
      <c r="M1111" s="1" t="e">
        <f t="shared" si="86"/>
        <v>#N/A</v>
      </c>
      <c r="N1111" s="2" t="str">
        <f t="shared" si="89"/>
        <v>Q OK dE&lt;=0.8</v>
      </c>
      <c r="O1111">
        <v>21.63</v>
      </c>
      <c r="P1111">
        <v>11.79</v>
      </c>
      <c r="Q1111">
        <v>2.44</v>
      </c>
      <c r="R1111">
        <v>-0.43</v>
      </c>
      <c r="S1111">
        <v>-0.16</v>
      </c>
      <c r="T1111">
        <v>0.35</v>
      </c>
      <c r="U1111">
        <v>-7.0000000000000007E-2</v>
      </c>
      <c r="V1111">
        <v>0.44</v>
      </c>
      <c r="W1111">
        <v>0.62</v>
      </c>
      <c r="X1111" t="s">
        <v>8</v>
      </c>
      <c r="Y1111" t="s">
        <v>9</v>
      </c>
      <c r="Z1111" s="2" t="s">
        <v>718</v>
      </c>
      <c r="AA1111" s="2" t="s">
        <v>721</v>
      </c>
    </row>
    <row r="1112" spans="1:27" x14ac:dyDescent="0.35">
      <c r="A1112" t="s">
        <v>1567</v>
      </c>
      <c r="B1112" t="s">
        <v>2133</v>
      </c>
      <c r="C1112" s="7" t="str">
        <f>_xlfn.XLOOKUP(B1112,'[1]Sheet 1'!$A$2:$A$11107,'[1]Sheet 1'!$D$2:$D$11107,"",0)</f>
        <v>M&amp;S</v>
      </c>
      <c r="D1112" s="4" t="str">
        <f>_xlfn.XLOOKUP(A1112,[3]Sheet2!$I$2:$I$1623,[3]Sheet2!$D$2:$D$1623,"",0)</f>
        <v>Q3</v>
      </c>
      <c r="F1112" s="4" t="e">
        <f>_xlfn.XLOOKUP(B1112,[2]Sheet2!$E$2:$E$713,[2]Sheet2!$G$2:$G$713)</f>
        <v>#N/A</v>
      </c>
      <c r="G1112" s="22">
        <v>46174</v>
      </c>
      <c r="H1112" s="23">
        <v>0.77483796296296292</v>
      </c>
      <c r="I1112" t="s">
        <v>17</v>
      </c>
      <c r="J1112" s="2" t="str">
        <f t="shared" si="87"/>
        <v>Q3</v>
      </c>
      <c r="K1112" s="2" t="str">
        <f t="shared" si="88"/>
        <v>Match</v>
      </c>
      <c r="L1112" s="1">
        <f t="shared" si="85"/>
        <v>0.43046486500061765</v>
      </c>
      <c r="M1112" s="1" t="e">
        <f t="shared" si="86"/>
        <v>#N/A</v>
      </c>
      <c r="N1112" s="2" t="str">
        <f t="shared" si="89"/>
        <v>Q OK dE&gt;0.8</v>
      </c>
      <c r="O1112">
        <v>25.55</v>
      </c>
      <c r="P1112">
        <v>-5.93</v>
      </c>
      <c r="Q1112">
        <v>-7.04</v>
      </c>
      <c r="R1112">
        <v>0.76</v>
      </c>
      <c r="S1112">
        <v>-0.43</v>
      </c>
      <c r="T1112">
        <v>-0.02</v>
      </c>
      <c r="U1112">
        <v>0.25</v>
      </c>
      <c r="V1112">
        <v>-0.37</v>
      </c>
      <c r="W1112">
        <v>0.88</v>
      </c>
      <c r="X1112" t="s">
        <v>13</v>
      </c>
      <c r="Y1112" t="s">
        <v>12</v>
      </c>
      <c r="Z1112" s="2" t="s">
        <v>718</v>
      </c>
      <c r="AA1112" s="2" t="s">
        <v>721</v>
      </c>
    </row>
    <row r="1113" spans="1:27" x14ac:dyDescent="0.35">
      <c r="A1113" t="s">
        <v>1540</v>
      </c>
      <c r="B1113" t="s">
        <v>2130</v>
      </c>
      <c r="C1113" s="7" t="str">
        <f>_xlfn.XLOOKUP(B1113,'[1]Sheet 1'!$A$2:$A$11107,'[1]Sheet 1'!$D$2:$D$11107,"",0)</f>
        <v>VSS</v>
      </c>
      <c r="D1113" s="4" t="str">
        <f>_xlfn.XLOOKUP(A1113,[3]Sheet2!$I$2:$I$1623,[3]Sheet2!$D$2:$D$1623,"",0)</f>
        <v>Q3</v>
      </c>
      <c r="F1113" s="4" t="e">
        <f>_xlfn.XLOOKUP(B1113,[2]Sheet2!$E$2:$E$713,[2]Sheet2!$G$2:$G$713)</f>
        <v>#N/A</v>
      </c>
      <c r="G1113" s="22">
        <v>46174</v>
      </c>
      <c r="H1113" s="23">
        <v>0.74135416666666665</v>
      </c>
      <c r="I1113" t="s">
        <v>10</v>
      </c>
      <c r="J1113" s="2" t="str">
        <f t="shared" si="87"/>
        <v>Q3</v>
      </c>
      <c r="K1113" s="2" t="str">
        <f t="shared" si="88"/>
        <v>Match</v>
      </c>
      <c r="L1113" s="1">
        <f t="shared" si="85"/>
        <v>0.15</v>
      </c>
      <c r="M1113" s="1" t="e">
        <f t="shared" si="86"/>
        <v>#N/A</v>
      </c>
      <c r="N1113" s="2" t="str">
        <f t="shared" si="89"/>
        <v>Q OK dE&lt;=0.8</v>
      </c>
      <c r="O1113">
        <v>14.8</v>
      </c>
      <c r="P1113">
        <v>0.65</v>
      </c>
      <c r="Q1113">
        <v>-1.25</v>
      </c>
      <c r="R1113">
        <v>0.26</v>
      </c>
      <c r="S1113">
        <v>0.15</v>
      </c>
      <c r="T1113">
        <v>0</v>
      </c>
      <c r="U1113">
        <v>0.08</v>
      </c>
      <c r="V1113">
        <v>0.19</v>
      </c>
      <c r="W1113">
        <v>0.33</v>
      </c>
      <c r="X1113" t="s">
        <v>8</v>
      </c>
      <c r="Y1113" t="s">
        <v>9</v>
      </c>
      <c r="Z1113" s="2" t="s">
        <v>718</v>
      </c>
      <c r="AA1113" s="2" t="s">
        <v>721</v>
      </c>
    </row>
    <row r="1114" spans="1:27" x14ac:dyDescent="0.35">
      <c r="A1114" t="s">
        <v>2161</v>
      </c>
      <c r="B1114" t="s">
        <v>2136</v>
      </c>
      <c r="C1114" s="7" t="str">
        <f>_xlfn.XLOOKUP(B1114,'[1]Sheet 1'!$A$2:$A$11107,'[1]Sheet 1'!$D$2:$D$11107,"",0)</f>
        <v>VSS</v>
      </c>
      <c r="D1114" s="4" t="str">
        <f>_xlfn.XLOOKUP(A1114,[3]Sheet2!$I$2:$I$1623,[3]Sheet2!$D$2:$D$1623,"",0)</f>
        <v>Q3</v>
      </c>
      <c r="F1114" s="4" t="e">
        <f>_xlfn.XLOOKUP(B1114,[2]Sheet2!$E$2:$E$713,[2]Sheet2!$G$2:$G$713)</f>
        <v>#N/A</v>
      </c>
      <c r="G1114" s="22">
        <v>46174</v>
      </c>
      <c r="H1114" s="23">
        <v>0.78986111111111112</v>
      </c>
      <c r="I1114" t="s">
        <v>10</v>
      </c>
      <c r="J1114" s="2" t="str">
        <f t="shared" si="87"/>
        <v>Q2</v>
      </c>
      <c r="K1114" s="2" t="str">
        <f t="shared" si="88"/>
        <v>Not Match</v>
      </c>
      <c r="L1114" s="1">
        <f t="shared" si="85"/>
        <v>0.24698178070456939</v>
      </c>
      <c r="M1114" s="1" t="e">
        <f t="shared" si="86"/>
        <v>#N/A</v>
      </c>
      <c r="N1114" s="2" t="str">
        <f t="shared" si="89"/>
        <v>Q NOT OK dE&lt;=0.8</v>
      </c>
      <c r="O1114">
        <v>42.58</v>
      </c>
      <c r="P1114">
        <v>55.08</v>
      </c>
      <c r="Q1114">
        <v>41.81</v>
      </c>
      <c r="R1114">
        <v>0.09</v>
      </c>
      <c r="S1114">
        <v>-0.13</v>
      </c>
      <c r="T1114">
        <v>0.21</v>
      </c>
      <c r="U1114">
        <v>0.01</v>
      </c>
      <c r="V1114">
        <v>0.17</v>
      </c>
      <c r="W1114">
        <v>0.19</v>
      </c>
      <c r="X1114" t="s">
        <v>8</v>
      </c>
      <c r="Y1114" t="s">
        <v>12</v>
      </c>
      <c r="Z1114" s="2" t="s">
        <v>718</v>
      </c>
      <c r="AA1114" s="2" t="s">
        <v>721</v>
      </c>
    </row>
    <row r="1115" spans="1:27" x14ac:dyDescent="0.35">
      <c r="A1115" t="s">
        <v>1540</v>
      </c>
      <c r="B1115" t="s">
        <v>2131</v>
      </c>
      <c r="C1115" s="7" t="str">
        <f>_xlfn.XLOOKUP(B1115,'[1]Sheet 1'!$A$2:$A$11107,'[1]Sheet 1'!$D$2:$D$11107,"",0)</f>
        <v>VSS</v>
      </c>
      <c r="D1115" s="4" t="str">
        <f>_xlfn.XLOOKUP(A1115,[3]Sheet2!$I$2:$I$1623,[3]Sheet2!$D$2:$D$1623,"",0)</f>
        <v>Q3</v>
      </c>
      <c r="F1115" s="4" t="e">
        <f>_xlfn.XLOOKUP(B1115,[2]Sheet2!$E$2:$E$713,[2]Sheet2!$G$2:$G$713)</f>
        <v>#N/A</v>
      </c>
      <c r="G1115" s="22">
        <v>46174</v>
      </c>
      <c r="H1115" s="23">
        <v>0.74336805555555552</v>
      </c>
      <c r="I1115" t="s">
        <v>10</v>
      </c>
      <c r="J1115" s="2" t="str">
        <f t="shared" si="87"/>
        <v>Q1</v>
      </c>
      <c r="K1115" s="2" t="str">
        <f t="shared" si="88"/>
        <v>Not Match</v>
      </c>
      <c r="L1115" s="1">
        <f t="shared" si="85"/>
        <v>0.19924858845171275</v>
      </c>
      <c r="M1115" s="1" t="e">
        <f t="shared" si="86"/>
        <v>#N/A</v>
      </c>
      <c r="N1115" s="2" t="str">
        <f t="shared" si="89"/>
        <v>Q NOT OK dE&lt;=0.8</v>
      </c>
      <c r="O1115">
        <v>14.5</v>
      </c>
      <c r="P1115">
        <v>0.56000000000000005</v>
      </c>
      <c r="Q1115">
        <v>-1.07</v>
      </c>
      <c r="R1115">
        <v>-0.04</v>
      </c>
      <c r="S1115">
        <v>0.06</v>
      </c>
      <c r="T1115">
        <v>0.19</v>
      </c>
      <c r="U1115">
        <v>-0.2</v>
      </c>
      <c r="V1115">
        <v>0.18</v>
      </c>
      <c r="W1115">
        <v>0.28000000000000003</v>
      </c>
      <c r="X1115" t="s">
        <v>8</v>
      </c>
      <c r="Y1115" t="s">
        <v>9</v>
      </c>
      <c r="Z1115" s="2" t="s">
        <v>718</v>
      </c>
      <c r="AA1115" s="2" t="s">
        <v>721</v>
      </c>
    </row>
    <row r="1116" spans="1:27" x14ac:dyDescent="0.35">
      <c r="A1116" t="s">
        <v>1555</v>
      </c>
      <c r="B1116" t="s">
        <v>2139</v>
      </c>
      <c r="C1116" s="7" t="str">
        <f>_xlfn.XLOOKUP(B1116,'[1]Sheet 1'!$A$2:$A$11107,'[1]Sheet 1'!$D$2:$D$11107,"",0)</f>
        <v>WACE</v>
      </c>
      <c r="D1116" s="4">
        <v>0</v>
      </c>
      <c r="F1116" s="4" t="e">
        <f>_xlfn.XLOOKUP(B1116,[2]Sheet2!$E$2:$E$713,[2]Sheet2!$G$2:$G$713)</f>
        <v>#N/A</v>
      </c>
      <c r="G1116" s="22">
        <v>46174</v>
      </c>
      <c r="H1116" s="23">
        <v>0.97157407407407403</v>
      </c>
      <c r="I1116" t="s">
        <v>4</v>
      </c>
      <c r="J1116" s="2" t="str">
        <f t="shared" si="87"/>
        <v>Q4</v>
      </c>
      <c r="K1116" s="2" t="str">
        <f t="shared" si="88"/>
        <v>Not Found</v>
      </c>
      <c r="L1116" s="1">
        <f t="shared" si="85"/>
        <v>0.14317821063276354</v>
      </c>
      <c r="M1116" s="1" t="e">
        <f t="shared" si="86"/>
        <v>#N/A</v>
      </c>
      <c r="N1116" s="2" t="str">
        <f t="shared" si="89"/>
        <v>Quadrant not assigned</v>
      </c>
      <c r="O1116">
        <v>17</v>
      </c>
      <c r="P1116">
        <v>0</v>
      </c>
      <c r="Q1116">
        <v>-1.08</v>
      </c>
      <c r="R1116">
        <v>-0.33</v>
      </c>
      <c r="S1116">
        <v>0.13</v>
      </c>
      <c r="T1116">
        <v>-0.06</v>
      </c>
      <c r="U1116">
        <v>7.0000000000000007E-2</v>
      </c>
      <c r="V1116">
        <v>0.19</v>
      </c>
      <c r="W1116">
        <v>0.39</v>
      </c>
      <c r="X1116" t="s">
        <v>8</v>
      </c>
      <c r="Y1116" t="s">
        <v>9</v>
      </c>
      <c r="Z1116" s="2" t="s">
        <v>718</v>
      </c>
      <c r="AA1116" s="2" t="s">
        <v>721</v>
      </c>
    </row>
    <row r="1117" spans="1:27" x14ac:dyDescent="0.35">
      <c r="A1117" t="s">
        <v>1813</v>
      </c>
      <c r="B1117" t="s">
        <v>2128</v>
      </c>
      <c r="C1117" s="7" t="str">
        <f>_xlfn.XLOOKUP(B1117,'[1]Sheet 1'!$A$2:$A$11107,'[1]Sheet 1'!$D$2:$D$11107,"",0)</f>
        <v/>
      </c>
      <c r="D1117" s="4">
        <v>0</v>
      </c>
      <c r="F1117" s="4" t="e">
        <f>_xlfn.XLOOKUP(B1117,[2]Sheet2!$E$2:$E$713,[2]Sheet2!$G$2:$G$713)</f>
        <v>#N/A</v>
      </c>
      <c r="G1117" s="22">
        <v>46174</v>
      </c>
      <c r="H1117" s="23">
        <v>0.63420138888888888</v>
      </c>
      <c r="I1117" t="s">
        <v>4</v>
      </c>
      <c r="J1117" s="2" t="str">
        <f t="shared" si="87"/>
        <v>Q1</v>
      </c>
      <c r="K1117" s="2" t="str">
        <f t="shared" si="88"/>
        <v>Not Found</v>
      </c>
      <c r="L1117" s="1">
        <f t="shared" si="85"/>
        <v>0.27784887978899608</v>
      </c>
      <c r="M1117" s="1" t="e">
        <f t="shared" si="86"/>
        <v>#N/A</v>
      </c>
      <c r="N1117" s="2" t="str">
        <f t="shared" si="89"/>
        <v>Quadrant not assigned</v>
      </c>
      <c r="O1117">
        <v>16.82</v>
      </c>
      <c r="P1117">
        <v>-0.44</v>
      </c>
      <c r="Q1117">
        <v>-1.48</v>
      </c>
      <c r="R1117">
        <v>0.11</v>
      </c>
      <c r="S1117">
        <v>0.24</v>
      </c>
      <c r="T1117">
        <v>0.14000000000000001</v>
      </c>
      <c r="U1117">
        <v>-0.28000000000000003</v>
      </c>
      <c r="V1117">
        <v>0.24</v>
      </c>
      <c r="W1117">
        <v>0.39</v>
      </c>
      <c r="X1117" t="s">
        <v>8</v>
      </c>
      <c r="Y1117" t="s">
        <v>9</v>
      </c>
      <c r="Z1117" s="2" t="s">
        <v>718</v>
      </c>
      <c r="AA1117" s="2" t="s">
        <v>721</v>
      </c>
    </row>
    <row r="1118" spans="1:27" x14ac:dyDescent="0.35">
      <c r="A1118" t="s">
        <v>1826</v>
      </c>
      <c r="B1118" t="s">
        <v>2132</v>
      </c>
      <c r="C1118" s="7" t="str">
        <f>_xlfn.XLOOKUP(B1118,'[1]Sheet 1'!$A$2:$A$11107,'[1]Sheet 1'!$D$2:$D$11107,"",0)</f>
        <v>LULU</v>
      </c>
      <c r="D1118" s="4" t="str">
        <f>_xlfn.XLOOKUP(A1118,[3]Sheet2!$I$2:$I$1623,[3]Sheet2!$D$2:$D$1623,"",0)</f>
        <v>Q1</v>
      </c>
      <c r="F1118" s="4" t="e">
        <f>_xlfn.XLOOKUP(B1118,[2]Sheet2!$E$2:$E$713,[2]Sheet2!$G$2:$G$713)</f>
        <v>#N/A</v>
      </c>
      <c r="G1118" s="22">
        <v>46174</v>
      </c>
      <c r="H1118" s="23">
        <v>0.77017361111111116</v>
      </c>
      <c r="I1118" t="s">
        <v>4</v>
      </c>
      <c r="J1118" s="2" t="str">
        <f t="shared" si="87"/>
        <v>Q3</v>
      </c>
      <c r="K1118" s="2" t="str">
        <f t="shared" si="88"/>
        <v>Not Match</v>
      </c>
      <c r="L1118" s="1">
        <f t="shared" si="85"/>
        <v>0.31064449134018135</v>
      </c>
      <c r="M1118" s="1" t="e">
        <f t="shared" si="86"/>
        <v>#N/A</v>
      </c>
      <c r="N1118" s="2" t="str">
        <f t="shared" si="89"/>
        <v>Q NOT OK dE&lt;=0.8</v>
      </c>
      <c r="O1118">
        <v>22.86</v>
      </c>
      <c r="P1118">
        <v>13.67</v>
      </c>
      <c r="Q1118">
        <v>2.4</v>
      </c>
      <c r="R1118">
        <v>-0.5</v>
      </c>
      <c r="S1118">
        <v>-0.02</v>
      </c>
      <c r="T1118">
        <v>-0.31</v>
      </c>
      <c r="U1118">
        <v>-0.05</v>
      </c>
      <c r="V1118">
        <v>-0.34</v>
      </c>
      <c r="W1118">
        <v>0.6</v>
      </c>
      <c r="X1118" t="s">
        <v>8</v>
      </c>
      <c r="Y1118" t="s">
        <v>7</v>
      </c>
      <c r="Z1118" s="2" t="s">
        <v>718</v>
      </c>
      <c r="AA1118" s="2" t="s">
        <v>721</v>
      </c>
    </row>
    <row r="1119" spans="1:27" x14ac:dyDescent="0.35">
      <c r="A1119" t="s">
        <v>2148</v>
      </c>
      <c r="B1119" t="s">
        <v>2137</v>
      </c>
      <c r="C1119" s="7" t="str">
        <f>_xlfn.XLOOKUP(B1119,'[1]Sheet 1'!$A$2:$A$11107,'[1]Sheet 1'!$D$2:$D$11107,"",0)</f>
        <v>VSS</v>
      </c>
      <c r="D1119" s="4" t="str">
        <f>_xlfn.XLOOKUP(A1119,[3]Sheet2!$I$2:$I$1623,[3]Sheet2!$D$2:$D$1623,"",0)</f>
        <v>Q3</v>
      </c>
      <c r="F1119" s="4" t="e">
        <f>_xlfn.XLOOKUP(B1119,[2]Sheet2!$E$2:$E$713,[2]Sheet2!$G$2:$G$713)</f>
        <v>#N/A</v>
      </c>
      <c r="G1119" s="22">
        <v>46174</v>
      </c>
      <c r="H1119" s="23">
        <v>0.92428240740740741</v>
      </c>
      <c r="I1119" t="s">
        <v>10</v>
      </c>
      <c r="J1119" s="2" t="str">
        <f t="shared" si="87"/>
        <v>Q4</v>
      </c>
      <c r="K1119" s="2" t="str">
        <f t="shared" si="88"/>
        <v>Not Match</v>
      </c>
      <c r="L1119" s="1">
        <f t="shared" si="85"/>
        <v>1.287245120402482</v>
      </c>
      <c r="M1119" s="1" t="e">
        <f t="shared" si="86"/>
        <v>#N/A</v>
      </c>
      <c r="N1119" s="2" t="str">
        <f t="shared" si="89"/>
        <v>Q NOT OK dE&gt;0.8</v>
      </c>
      <c r="O1119">
        <v>43.79</v>
      </c>
      <c r="P1119">
        <v>55.32</v>
      </c>
      <c r="Q1119">
        <v>38.28</v>
      </c>
      <c r="R1119">
        <v>0.62</v>
      </c>
      <c r="S1119">
        <v>1.27</v>
      </c>
      <c r="T1119">
        <v>-0.21</v>
      </c>
      <c r="U1119">
        <v>0.32</v>
      </c>
      <c r="V1119">
        <v>-0.63</v>
      </c>
      <c r="W1119">
        <v>0.94</v>
      </c>
      <c r="X1119" t="s">
        <v>13</v>
      </c>
      <c r="Y1119" t="s">
        <v>7</v>
      </c>
      <c r="Z1119" s="2" t="s">
        <v>718</v>
      </c>
      <c r="AA1119" s="2" t="s">
        <v>721</v>
      </c>
    </row>
    <row r="1120" spans="1:27" x14ac:dyDescent="0.35">
      <c r="A1120" t="s">
        <v>2148</v>
      </c>
      <c r="B1120" t="s">
        <v>2135</v>
      </c>
      <c r="C1120" s="7" t="str">
        <f>_xlfn.XLOOKUP(B1120,'[1]Sheet 1'!$A$2:$A$11107,'[1]Sheet 1'!$D$2:$D$11107,"",0)</f>
        <v>VSS</v>
      </c>
      <c r="D1120" s="4" t="str">
        <f>_xlfn.XLOOKUP(A1120,[3]Sheet2!$I$2:$I$1623,[3]Sheet2!$D$2:$D$1623,"",0)</f>
        <v>Q3</v>
      </c>
      <c r="F1120" s="4" t="e">
        <f>_xlfn.XLOOKUP(B1120,[2]Sheet2!$E$2:$E$713,[2]Sheet2!$G$2:$G$713)</f>
        <v>#N/A</v>
      </c>
      <c r="G1120" s="22">
        <v>46174</v>
      </c>
      <c r="H1120" s="23">
        <v>0.78814814814814815</v>
      </c>
      <c r="I1120" t="s">
        <v>10</v>
      </c>
      <c r="J1120" s="2" t="str">
        <f t="shared" si="87"/>
        <v>Q4</v>
      </c>
      <c r="K1120" s="2" t="str">
        <f t="shared" si="88"/>
        <v>Not Match</v>
      </c>
      <c r="L1120" s="1">
        <f t="shared" si="85"/>
        <v>1.3018832512940628</v>
      </c>
      <c r="M1120" s="1" t="e">
        <f t="shared" si="86"/>
        <v>#N/A</v>
      </c>
      <c r="N1120" s="2" t="str">
        <f t="shared" si="89"/>
        <v>Q NOT OK dE&gt;0.8</v>
      </c>
      <c r="O1120">
        <v>43.64</v>
      </c>
      <c r="P1120">
        <v>55.34</v>
      </c>
      <c r="Q1120">
        <v>38.42</v>
      </c>
      <c r="R1120">
        <v>0.54</v>
      </c>
      <c r="S1120">
        <v>1.3</v>
      </c>
      <c r="T1120">
        <v>-7.0000000000000007E-2</v>
      </c>
      <c r="U1120">
        <v>0.35</v>
      </c>
      <c r="V1120">
        <v>-0.56000000000000005</v>
      </c>
      <c r="W1120">
        <v>0.86</v>
      </c>
      <c r="X1120" t="s">
        <v>13</v>
      </c>
      <c r="Y1120" t="s">
        <v>7</v>
      </c>
      <c r="Z1120" s="2" t="s">
        <v>718</v>
      </c>
      <c r="AA1120" s="2" t="s">
        <v>721</v>
      </c>
    </row>
    <row r="1121" spans="1:27" x14ac:dyDescent="0.35">
      <c r="A1121" t="s">
        <v>2148</v>
      </c>
      <c r="B1121" t="s">
        <v>2134</v>
      </c>
      <c r="C1121" s="7" t="str">
        <f>_xlfn.XLOOKUP(B1121,'[1]Sheet 1'!$A$2:$A$11107,'[1]Sheet 1'!$D$2:$D$11107,"",0)</f>
        <v>VSS</v>
      </c>
      <c r="D1121" s="4" t="str">
        <f>_xlfn.XLOOKUP(A1121,[3]Sheet2!$I$2:$I$1623,[3]Sheet2!$D$2:$D$1623,"",0)</f>
        <v>Q3</v>
      </c>
      <c r="F1121" s="4" t="e">
        <f>_xlfn.XLOOKUP(B1121,[2]Sheet2!$E$2:$E$713,[2]Sheet2!$G$2:$G$713)</f>
        <v>#N/A</v>
      </c>
      <c r="G1121" s="22">
        <v>46174</v>
      </c>
      <c r="H1121" s="23">
        <v>0.78452546296296299</v>
      </c>
      <c r="I1121" t="s">
        <v>10</v>
      </c>
      <c r="J1121" s="2" t="str">
        <f t="shared" si="87"/>
        <v>Q1</v>
      </c>
      <c r="K1121" s="2" t="str">
        <f t="shared" si="88"/>
        <v>Not Match</v>
      </c>
      <c r="L1121" s="1">
        <f t="shared" si="85"/>
        <v>2.4352617929085163</v>
      </c>
      <c r="M1121" s="1" t="e">
        <f t="shared" si="86"/>
        <v>#N/A</v>
      </c>
      <c r="N1121" s="2" t="str">
        <f t="shared" si="89"/>
        <v>Q NOT OK dE&gt;0.8</v>
      </c>
      <c r="O1121">
        <v>44.21</v>
      </c>
      <c r="P1121">
        <v>55.61</v>
      </c>
      <c r="Q1121">
        <v>40.36</v>
      </c>
      <c r="R1121">
        <v>0.82</v>
      </c>
      <c r="S1121">
        <v>1.56</v>
      </c>
      <c r="T1121">
        <v>1.87</v>
      </c>
      <c r="U1121">
        <v>0.81</v>
      </c>
      <c r="V1121">
        <v>0.42</v>
      </c>
      <c r="W1121">
        <v>1.23</v>
      </c>
      <c r="X1121" t="s">
        <v>6</v>
      </c>
      <c r="Y1121" t="s">
        <v>12</v>
      </c>
      <c r="Z1121" s="2" t="s">
        <v>718</v>
      </c>
      <c r="AA1121" s="2" t="s">
        <v>721</v>
      </c>
    </row>
    <row r="1122" spans="1:27" x14ac:dyDescent="0.35">
      <c r="A1122" t="s">
        <v>2148</v>
      </c>
      <c r="B1122" t="s">
        <v>2138</v>
      </c>
      <c r="C1122" s="7" t="str">
        <f>_xlfn.XLOOKUP(B1122,'[1]Sheet 1'!$A$2:$A$11107,'[1]Sheet 1'!$D$2:$D$11107,"",0)</f>
        <v>VSS</v>
      </c>
      <c r="D1122" s="4" t="str">
        <f>_xlfn.XLOOKUP(A1122,[3]Sheet2!$I$2:$I$1623,[3]Sheet2!$D$2:$D$1623,"",0)</f>
        <v>Q3</v>
      </c>
      <c r="F1122" s="4" t="e">
        <f>_xlfn.XLOOKUP(B1122,[2]Sheet2!$E$2:$E$713,[2]Sheet2!$G$2:$G$713)</f>
        <v>#N/A</v>
      </c>
      <c r="G1122" s="22">
        <v>46174</v>
      </c>
      <c r="H1122" s="23">
        <v>0.90473379629629624</v>
      </c>
      <c r="I1122" t="s">
        <v>10</v>
      </c>
      <c r="J1122" s="2" t="str">
        <f t="shared" si="87"/>
        <v>Q4</v>
      </c>
      <c r="K1122" s="2" t="str">
        <f t="shared" si="88"/>
        <v>Not Match</v>
      </c>
      <c r="L1122" s="1">
        <f t="shared" si="85"/>
        <v>1.1610770861575039</v>
      </c>
      <c r="M1122" s="1" t="e">
        <f t="shared" si="86"/>
        <v>#N/A</v>
      </c>
      <c r="N1122" s="2" t="str">
        <f t="shared" si="89"/>
        <v>Q NOT OK dE&gt;0.8</v>
      </c>
      <c r="O1122">
        <v>43.87</v>
      </c>
      <c r="P1122">
        <v>55.2</v>
      </c>
      <c r="Q1122">
        <v>38.450000000000003</v>
      </c>
      <c r="R1122">
        <v>0.66</v>
      </c>
      <c r="S1122">
        <v>1.1599999999999999</v>
      </c>
      <c r="T1122">
        <v>-0.05</v>
      </c>
      <c r="U1122">
        <v>0.32</v>
      </c>
      <c r="V1122">
        <v>-0.49</v>
      </c>
      <c r="W1122">
        <v>0.88</v>
      </c>
      <c r="X1122" t="s">
        <v>13</v>
      </c>
      <c r="Y1122" t="s">
        <v>7</v>
      </c>
      <c r="Z1122" s="2" t="s">
        <v>718</v>
      </c>
      <c r="AA1122" s="2" t="s">
        <v>721</v>
      </c>
    </row>
    <row r="1123" spans="1:27" x14ac:dyDescent="0.35">
      <c r="A1123" t="s">
        <v>1552</v>
      </c>
      <c r="B1123" t="s">
        <v>2129</v>
      </c>
      <c r="C1123" s="7" t="str">
        <f>_xlfn.XLOOKUP(B1123,'[1]Sheet 1'!$A$2:$A$11107,'[1]Sheet 1'!$D$2:$D$11107,"",0)</f>
        <v>NIK</v>
      </c>
      <c r="D1123" s="4" t="str">
        <f>_xlfn.XLOOKUP(A1123,[3]Sheet2!$I$2:$I$1623,[3]Sheet2!$D$2:$D$1623,"",0)</f>
        <v>Q1</v>
      </c>
      <c r="F1123" s="4" t="e">
        <f>_xlfn.XLOOKUP(B1123,[2]Sheet2!$E$2:$E$713,[2]Sheet2!$G$2:$G$713)</f>
        <v>#N/A</v>
      </c>
      <c r="G1123" s="22">
        <v>46174</v>
      </c>
      <c r="H1123" s="23">
        <v>0.7361805555555555</v>
      </c>
      <c r="I1123" t="s">
        <v>4</v>
      </c>
      <c r="J1123" s="2" t="str">
        <f t="shared" si="87"/>
        <v>Q3</v>
      </c>
      <c r="K1123" s="2" t="str">
        <f t="shared" si="88"/>
        <v>Not Match</v>
      </c>
      <c r="L1123" s="1">
        <f t="shared" si="85"/>
        <v>0.26076809620810598</v>
      </c>
      <c r="M1123" s="1" t="e">
        <f t="shared" si="86"/>
        <v>#N/A</v>
      </c>
      <c r="N1123" s="2" t="str">
        <f t="shared" si="89"/>
        <v>Q NOT OK dE&lt;=0.8</v>
      </c>
      <c r="O1123">
        <v>15.04</v>
      </c>
      <c r="P1123">
        <v>-1.53</v>
      </c>
      <c r="Q1123">
        <v>-1.53</v>
      </c>
      <c r="R1123">
        <v>-0.48</v>
      </c>
      <c r="S1123">
        <v>-0.22</v>
      </c>
      <c r="T1123">
        <v>-0.14000000000000001</v>
      </c>
      <c r="U1123">
        <v>0.34</v>
      </c>
      <c r="V1123">
        <v>-0.09</v>
      </c>
      <c r="W1123">
        <v>0.59</v>
      </c>
      <c r="X1123" t="s">
        <v>8</v>
      </c>
      <c r="Y1123" t="s">
        <v>12</v>
      </c>
      <c r="Z1123" s="2" t="s">
        <v>718</v>
      </c>
      <c r="AA1123" s="2" t="s">
        <v>721</v>
      </c>
    </row>
    <row r="1124" spans="1:27" x14ac:dyDescent="0.35">
      <c r="A1124" t="s">
        <v>1626</v>
      </c>
      <c r="B1124" t="s">
        <v>2140</v>
      </c>
      <c r="C1124" s="7" t="str">
        <f>_xlfn.XLOOKUP(B1124,'[1]Sheet 1'!$A$2:$A$11107,'[1]Sheet 1'!$D$2:$D$11107,"",0)</f>
        <v>VSS</v>
      </c>
      <c r="D1124" s="4" t="str">
        <f>_xlfn.XLOOKUP(A1124,[3]Sheet2!$I$2:$I$1623,[3]Sheet2!$D$2:$D$1623,"",0)</f>
        <v>Q4</v>
      </c>
      <c r="F1124" s="4" t="e">
        <f>_xlfn.XLOOKUP(B1124,[2]Sheet2!$E$2:$E$713,[2]Sheet2!$G$2:$G$713)</f>
        <v>#N/A</v>
      </c>
      <c r="G1124" s="22">
        <v>46175</v>
      </c>
      <c r="H1124" s="23">
        <v>7.1759259259259259E-4</v>
      </c>
      <c r="I1124" t="s">
        <v>10</v>
      </c>
      <c r="J1124" s="2" t="str">
        <f t="shared" si="87"/>
        <v>Q4</v>
      </c>
      <c r="K1124" s="2" t="str">
        <f t="shared" si="88"/>
        <v>Match</v>
      </c>
      <c r="L1124" s="1">
        <f t="shared" si="85"/>
        <v>7.0000000000000007E-2</v>
      </c>
      <c r="M1124" s="1" t="e">
        <f t="shared" si="86"/>
        <v>#N/A</v>
      </c>
      <c r="N1124" s="2" t="str">
        <f t="shared" si="89"/>
        <v>Q OK dE&lt;=0.8</v>
      </c>
      <c r="O1124">
        <v>16.38</v>
      </c>
      <c r="P1124">
        <v>0.52</v>
      </c>
      <c r="Q1124">
        <v>-1.59</v>
      </c>
      <c r="R1124">
        <v>0.78</v>
      </c>
      <c r="S1124">
        <v>-7.0000000000000007E-2</v>
      </c>
      <c r="T1124">
        <v>0</v>
      </c>
      <c r="U1124">
        <v>-0.04</v>
      </c>
      <c r="V1124">
        <v>-0.1</v>
      </c>
      <c r="W1124">
        <v>0.79</v>
      </c>
      <c r="X1124" t="s">
        <v>13</v>
      </c>
      <c r="Y1124" t="s">
        <v>15</v>
      </c>
      <c r="Z1124" s="2" t="s">
        <v>718</v>
      </c>
      <c r="AA1124" s="2" t="s">
        <v>721</v>
      </c>
    </row>
    <row r="1125" spans="1:27" x14ac:dyDescent="0.35">
      <c r="A1125" t="s">
        <v>1540</v>
      </c>
      <c r="B1125" t="s">
        <v>2141</v>
      </c>
      <c r="C1125" s="7" t="str">
        <f>_xlfn.XLOOKUP(B1125,'[1]Sheet 1'!$A$2:$A$11107,'[1]Sheet 1'!$D$2:$D$11107,"",0)</f>
        <v>VSS</v>
      </c>
      <c r="D1125" s="4" t="str">
        <f>_xlfn.XLOOKUP(A1125,[3]Sheet2!$I$2:$I$1623,[3]Sheet2!$D$2:$D$1623,"",0)</f>
        <v>Q3</v>
      </c>
      <c r="F1125" s="4" t="e">
        <f>_xlfn.XLOOKUP(B1125,[2]Sheet2!$E$2:$E$713,[2]Sheet2!$G$2:$G$713)</f>
        <v>#N/A</v>
      </c>
      <c r="G1125" s="22">
        <v>46175</v>
      </c>
      <c r="H1125" s="23">
        <v>4.6064814814814814E-3</v>
      </c>
      <c r="I1125" t="s">
        <v>10</v>
      </c>
      <c r="J1125" s="2" t="str">
        <f t="shared" si="87"/>
        <v>Q1</v>
      </c>
      <c r="K1125" s="2" t="str">
        <f t="shared" si="88"/>
        <v>Not Match</v>
      </c>
      <c r="L1125" s="1">
        <f t="shared" si="85"/>
        <v>0.19723082923316021</v>
      </c>
      <c r="M1125" s="1" t="e">
        <f t="shared" si="86"/>
        <v>#N/A</v>
      </c>
      <c r="N1125" s="2" t="str">
        <f t="shared" si="89"/>
        <v>Q NOT OK dE&lt;=0.8</v>
      </c>
      <c r="O1125">
        <v>14.18</v>
      </c>
      <c r="P1125">
        <v>0.6</v>
      </c>
      <c r="Q1125">
        <v>-1.0900000000000001</v>
      </c>
      <c r="R1125">
        <v>-0.35</v>
      </c>
      <c r="S1125">
        <v>0.1</v>
      </c>
      <c r="T1125">
        <v>0.17</v>
      </c>
      <c r="U1125">
        <v>-0.15</v>
      </c>
      <c r="V1125">
        <v>0.23</v>
      </c>
      <c r="W1125">
        <v>0.45</v>
      </c>
      <c r="X1125" t="s">
        <v>8</v>
      </c>
      <c r="Y1125" t="s">
        <v>9</v>
      </c>
      <c r="Z1125" s="2" t="s">
        <v>718</v>
      </c>
      <c r="AA1125" s="2" t="s">
        <v>721</v>
      </c>
    </row>
    <row r="1126" spans="1:27" x14ac:dyDescent="0.35">
      <c r="A1126" t="s">
        <v>1626</v>
      </c>
      <c r="B1126" t="s">
        <v>1927</v>
      </c>
      <c r="C1126" s="7" t="str">
        <f>_xlfn.XLOOKUP(B1126,'[1]Sheet 1'!$A$2:$A$11107,'[1]Sheet 1'!$D$2:$D$11107,"",0)</f>
        <v>VSS</v>
      </c>
      <c r="D1126" s="4" t="str">
        <f>_xlfn.XLOOKUP(A1126,[3]Sheet2!$I$2:$I$1623,[3]Sheet2!$D$2:$D$1623,"",0)</f>
        <v>Q4</v>
      </c>
      <c r="F1126" s="4" t="e">
        <f>_xlfn.XLOOKUP(B1126,[2]Sheet2!$E$2:$E$713,[2]Sheet2!$G$2:$G$713)</f>
        <v>#N/A</v>
      </c>
      <c r="G1126" s="22">
        <v>46175</v>
      </c>
      <c r="H1126" s="23">
        <v>7.2754629629629627E-2</v>
      </c>
      <c r="I1126" t="s">
        <v>10</v>
      </c>
      <c r="J1126" s="2" t="str">
        <f t="shared" si="87"/>
        <v>Q4</v>
      </c>
      <c r="K1126" s="2" t="str">
        <f t="shared" si="88"/>
        <v>Match</v>
      </c>
      <c r="L1126" s="1">
        <f t="shared" si="85"/>
        <v>0.18384776310850237</v>
      </c>
      <c r="M1126" s="1" t="e">
        <f t="shared" si="86"/>
        <v>#N/A</v>
      </c>
      <c r="N1126" s="2" t="str">
        <f t="shared" si="89"/>
        <v>Q OK dE&lt;=0.8</v>
      </c>
      <c r="O1126">
        <v>15.92</v>
      </c>
      <c r="P1126">
        <v>0.66</v>
      </c>
      <c r="Q1126">
        <v>-1.76</v>
      </c>
      <c r="R1126">
        <v>0.33</v>
      </c>
      <c r="S1126">
        <v>7.0000000000000007E-2</v>
      </c>
      <c r="T1126">
        <v>-0.17</v>
      </c>
      <c r="U1126">
        <v>0.25</v>
      </c>
      <c r="V1126">
        <v>0</v>
      </c>
      <c r="W1126">
        <v>0.42</v>
      </c>
      <c r="X1126" t="s">
        <v>8</v>
      </c>
      <c r="Y1126" t="s">
        <v>9</v>
      </c>
      <c r="Z1126" s="2" t="s">
        <v>718</v>
      </c>
      <c r="AA1126" s="2" t="s">
        <v>721</v>
      </c>
    </row>
    <row r="1127" spans="1:27" x14ac:dyDescent="0.35">
      <c r="A1127" t="s">
        <v>2156</v>
      </c>
      <c r="B1127" t="s">
        <v>1928</v>
      </c>
      <c r="C1127" s="7" t="str">
        <f>_xlfn.XLOOKUP(B1127,'[1]Sheet 1'!$A$2:$A$11107,'[1]Sheet 1'!$D$2:$D$11107,"",0)</f>
        <v>VSS</v>
      </c>
      <c r="D1127" s="4" t="str">
        <f>_xlfn.XLOOKUP(A1127,[3]Sheet2!$I$2:$I$1623,[3]Sheet2!$D$2:$D$1623,"",0)</f>
        <v>Q1</v>
      </c>
      <c r="E1127"/>
      <c r="F1127" s="4" t="e">
        <f>_xlfn.XLOOKUP(B1127,[2]Sheet2!$E$2:$E$713,[2]Sheet2!$G$2:$G$713)</f>
        <v>#N/A</v>
      </c>
      <c r="G1127" s="22">
        <v>46175</v>
      </c>
      <c r="H1127" s="23">
        <v>0.26319444444444445</v>
      </c>
      <c r="I1127" t="s">
        <v>10</v>
      </c>
      <c r="J1127" s="2" t="str">
        <f t="shared" si="87"/>
        <v>Q1</v>
      </c>
      <c r="K1127" s="2" t="str">
        <f t="shared" si="88"/>
        <v>Match</v>
      </c>
      <c r="L1127" s="1">
        <f t="shared" si="85"/>
        <v>1.7623280057923383</v>
      </c>
      <c r="M1127" s="1" t="e">
        <f t="shared" si="86"/>
        <v>#N/A</v>
      </c>
      <c r="N1127" s="2" t="str">
        <f t="shared" si="89"/>
        <v>Q OK dE&gt;0.8</v>
      </c>
      <c r="O1127">
        <v>25.41</v>
      </c>
      <c r="P1127">
        <v>-12.45</v>
      </c>
      <c r="Q1127">
        <v>-3.23</v>
      </c>
      <c r="R1127">
        <v>-0.43</v>
      </c>
      <c r="S1127">
        <v>0.67</v>
      </c>
      <c r="T1127">
        <v>1.63</v>
      </c>
      <c r="U1127">
        <v>-0.81</v>
      </c>
      <c r="V1127">
        <v>-1.27</v>
      </c>
      <c r="W1127">
        <v>1.57</v>
      </c>
      <c r="X1127" t="s">
        <v>6</v>
      </c>
      <c r="Y1127" t="s">
        <v>12</v>
      </c>
      <c r="Z1127" s="2" t="s">
        <v>718</v>
      </c>
      <c r="AA1127" s="2" t="s">
        <v>721</v>
      </c>
    </row>
    <row r="1128" spans="1:27" x14ac:dyDescent="0.35">
      <c r="A1128" t="s">
        <v>2148</v>
      </c>
      <c r="B1128" t="s">
        <v>1929</v>
      </c>
      <c r="C1128" s="7" t="str">
        <f>_xlfn.XLOOKUP(B1128,'[1]Sheet 1'!$A$2:$A$11107,'[1]Sheet 1'!$D$2:$D$11107,"",0)</f>
        <v>VSS</v>
      </c>
      <c r="D1128" s="4" t="str">
        <f>_xlfn.XLOOKUP(A1128,[3]Sheet2!$I$2:$I$1623,[3]Sheet2!$D$2:$D$1623,"",0)</f>
        <v>Q3</v>
      </c>
      <c r="E1128"/>
      <c r="F1128" s="4" t="e">
        <f>_xlfn.XLOOKUP(B1128,[2]Sheet2!$E$2:$E$713,[2]Sheet2!$G$2:$G$713)</f>
        <v>#N/A</v>
      </c>
      <c r="G1128" s="22">
        <v>46175</v>
      </c>
      <c r="H1128" s="23">
        <v>0.28234953703703702</v>
      </c>
      <c r="I1128" t="s">
        <v>10</v>
      </c>
      <c r="J1128" s="2" t="str">
        <f t="shared" si="87"/>
        <v>Q4</v>
      </c>
      <c r="K1128" s="2" t="str">
        <f t="shared" si="88"/>
        <v>Not Match</v>
      </c>
      <c r="L1128" s="1">
        <f t="shared" si="85"/>
        <v>0.76400261779656231</v>
      </c>
      <c r="M1128" s="1" t="e">
        <f t="shared" si="86"/>
        <v>#N/A</v>
      </c>
      <c r="N1128" s="2" t="str">
        <f t="shared" si="89"/>
        <v>Q NOT OK dE&lt;=0.8</v>
      </c>
      <c r="O1128">
        <v>43.42</v>
      </c>
      <c r="P1128">
        <v>54.66</v>
      </c>
      <c r="Q1128">
        <v>38.03</v>
      </c>
      <c r="R1128">
        <v>0.43</v>
      </c>
      <c r="S1128">
        <v>0.61</v>
      </c>
      <c r="T1128">
        <v>-0.46</v>
      </c>
      <c r="U1128">
        <v>0.08</v>
      </c>
      <c r="V1128">
        <v>-0.51</v>
      </c>
      <c r="W1128">
        <v>0.67</v>
      </c>
      <c r="X1128" t="s">
        <v>8</v>
      </c>
      <c r="Y1128" t="s">
        <v>7</v>
      </c>
      <c r="Z1128" s="2" t="s">
        <v>718</v>
      </c>
      <c r="AA1128" s="2" t="s">
        <v>721</v>
      </c>
    </row>
    <row r="1129" spans="1:27" x14ac:dyDescent="0.35">
      <c r="A1129" t="s">
        <v>2168</v>
      </c>
      <c r="B1129" t="s">
        <v>1930</v>
      </c>
      <c r="C1129" s="7" t="str">
        <f>_xlfn.XLOOKUP(B1129,'[1]Sheet 1'!$A$2:$A$11107,'[1]Sheet 1'!$D$2:$D$11107,"",0)</f>
        <v/>
      </c>
      <c r="D1129" s="4" t="str">
        <f>_xlfn.XLOOKUP(A1129,[3]Sheet2!$I$2:$I$1623,[3]Sheet2!$D$2:$D$1623,"",0)</f>
        <v>Q2</v>
      </c>
      <c r="E1129"/>
      <c r="F1129" s="4" t="e">
        <f>_xlfn.XLOOKUP(B1129,[2]Sheet2!$E$2:$E$713,[2]Sheet2!$G$2:$G$713)</f>
        <v>#N/A</v>
      </c>
      <c r="G1129" s="22">
        <v>46175</v>
      </c>
      <c r="H1129" s="23">
        <v>0.28604166666666669</v>
      </c>
      <c r="I1129" t="s">
        <v>5</v>
      </c>
      <c r="J1129" s="2" t="str">
        <f t="shared" si="87"/>
        <v>Q2</v>
      </c>
      <c r="K1129" s="2" t="str">
        <f t="shared" si="88"/>
        <v>Match</v>
      </c>
      <c r="L1129" s="1">
        <f t="shared" si="85"/>
        <v>0.57384666941614293</v>
      </c>
      <c r="M1129" s="1" t="e">
        <f t="shared" si="86"/>
        <v>#N/A</v>
      </c>
      <c r="N1129" s="2" t="str">
        <f t="shared" si="89"/>
        <v>Q OK dE&gt;0.8</v>
      </c>
      <c r="O1129">
        <v>21.07</v>
      </c>
      <c r="P1129">
        <v>-6.57</v>
      </c>
      <c r="Q1129">
        <v>-2.83</v>
      </c>
      <c r="R1129">
        <v>-0.49</v>
      </c>
      <c r="S1129">
        <v>-0.43</v>
      </c>
      <c r="T1129">
        <v>0.38</v>
      </c>
      <c r="U1129">
        <v>0.21</v>
      </c>
      <c r="V1129">
        <v>-0.62</v>
      </c>
      <c r="W1129">
        <v>0.82</v>
      </c>
      <c r="X1129" t="s">
        <v>13</v>
      </c>
      <c r="Y1129" t="s">
        <v>12</v>
      </c>
      <c r="Z1129" s="2" t="s">
        <v>718</v>
      </c>
      <c r="AA1129" s="2" t="s">
        <v>721</v>
      </c>
    </row>
    <row r="1130" spans="1:27" x14ac:dyDescent="0.35">
      <c r="A1130" t="s">
        <v>1512</v>
      </c>
      <c r="B1130" t="s">
        <v>2169</v>
      </c>
      <c r="C1130" s="7" t="str">
        <f>_xlfn.XLOOKUP(B1130,'[1]Sheet 1'!$A$2:$A$11107,'[1]Sheet 1'!$D$2:$D$11107,"",0)</f>
        <v>LBI</v>
      </c>
      <c r="D1130" s="4" t="str">
        <f>_xlfn.XLOOKUP(A1130,[3]Sheet2!$I$2:$I$1623,[3]Sheet2!$D$2:$D$1623,"",0)</f>
        <v>Q1</v>
      </c>
      <c r="E1130"/>
      <c r="F1130" s="4" t="e">
        <f>_xlfn.XLOOKUP(B1130,[2]Sheet2!$E$2:$E$713,[2]Sheet2!$G$2:$G$713)</f>
        <v>#N/A</v>
      </c>
      <c r="G1130" s="22">
        <v>46175</v>
      </c>
      <c r="H1130" s="23">
        <v>0.40354166666666669</v>
      </c>
      <c r="I1130" t="s">
        <v>14</v>
      </c>
      <c r="J1130" s="2" t="str">
        <f t="shared" si="87"/>
        <v>Q1</v>
      </c>
      <c r="K1130" s="2" t="str">
        <f t="shared" si="88"/>
        <v>Match</v>
      </c>
      <c r="L1130" s="1">
        <f t="shared" si="85"/>
        <v>0.23</v>
      </c>
      <c r="M1130" s="1" t="e">
        <f t="shared" si="86"/>
        <v>#N/A</v>
      </c>
      <c r="N1130" s="2" t="str">
        <f t="shared" si="89"/>
        <v>Q OK dE&gt;0.8</v>
      </c>
      <c r="O1130">
        <v>19.09</v>
      </c>
      <c r="P1130">
        <v>6.27</v>
      </c>
      <c r="Q1130">
        <v>2</v>
      </c>
      <c r="R1130">
        <v>-0.95</v>
      </c>
      <c r="S1130">
        <v>0</v>
      </c>
      <c r="T1130">
        <v>0.23</v>
      </c>
      <c r="U1130">
        <v>7.0000000000000007E-2</v>
      </c>
      <c r="V1130">
        <v>0.3</v>
      </c>
      <c r="W1130">
        <v>1</v>
      </c>
      <c r="X1130" t="s">
        <v>13</v>
      </c>
      <c r="Y1130" t="s">
        <v>12</v>
      </c>
      <c r="Z1130" s="2" t="s">
        <v>718</v>
      </c>
      <c r="AA1130" s="2" t="s">
        <v>721</v>
      </c>
    </row>
    <row r="1131" spans="1:27" x14ac:dyDescent="0.35">
      <c r="A1131" t="s">
        <v>1819</v>
      </c>
      <c r="B1131" t="s">
        <v>2170</v>
      </c>
      <c r="C1131" s="7" t="str">
        <f>_xlfn.XLOOKUP(B1131,'[1]Sheet 1'!$A$2:$A$11107,'[1]Sheet 1'!$D$2:$D$11107,"",0)</f>
        <v>M&amp;S</v>
      </c>
      <c r="D1131" s="4" t="str">
        <f>_xlfn.XLOOKUP(A1131,[3]Sheet2!$I$2:$I$1623,[3]Sheet2!$D$2:$D$1623,"",0)</f>
        <v>Q4</v>
      </c>
      <c r="E1131"/>
      <c r="F1131" s="4" t="e">
        <f>_xlfn.XLOOKUP(B1131,[2]Sheet2!$E$2:$E$713,[2]Sheet2!$G$2:$G$713)</f>
        <v>#N/A</v>
      </c>
      <c r="G1131" s="22">
        <v>46175</v>
      </c>
      <c r="H1131" s="23">
        <v>0.47690972222222222</v>
      </c>
      <c r="I1131" t="s">
        <v>17</v>
      </c>
      <c r="J1131" s="2" t="str">
        <f t="shared" si="87"/>
        <v>Q2</v>
      </c>
      <c r="K1131" s="2" t="str">
        <f t="shared" si="88"/>
        <v>Not Match</v>
      </c>
      <c r="L1131" s="1">
        <f t="shared" si="85"/>
        <v>0.66483080554378648</v>
      </c>
      <c r="M1131" s="1" t="e">
        <f t="shared" si="86"/>
        <v>#N/A</v>
      </c>
      <c r="N1131" s="2" t="str">
        <f t="shared" si="89"/>
        <v>Q NOT OK dE&lt;=0.8</v>
      </c>
      <c r="O1131">
        <v>16.57</v>
      </c>
      <c r="P1131">
        <v>-0.53</v>
      </c>
      <c r="Q1131">
        <v>-5.4</v>
      </c>
      <c r="R1131">
        <v>-0.32</v>
      </c>
      <c r="S1131">
        <v>-0.08</v>
      </c>
      <c r="T1131">
        <v>0.66</v>
      </c>
      <c r="U1131">
        <v>-0.65</v>
      </c>
      <c r="V1131">
        <v>-0.18</v>
      </c>
      <c r="W1131">
        <v>0.75</v>
      </c>
      <c r="X1131" t="s">
        <v>8</v>
      </c>
      <c r="Y1131" t="s">
        <v>15</v>
      </c>
      <c r="Z1131" s="2" t="s">
        <v>718</v>
      </c>
      <c r="AA1131" s="2" t="s">
        <v>721</v>
      </c>
    </row>
    <row r="1132" spans="1:27" x14ac:dyDescent="0.35">
      <c r="A1132" t="s">
        <v>2148</v>
      </c>
      <c r="B1132" t="s">
        <v>2171</v>
      </c>
      <c r="C1132" s="7" t="str">
        <f>_xlfn.XLOOKUP(B1132,'[1]Sheet 1'!$A$2:$A$11107,'[1]Sheet 1'!$D$2:$D$11107,"",0)</f>
        <v>VSS</v>
      </c>
      <c r="D1132" s="4" t="str">
        <f>_xlfn.XLOOKUP(A1132,[3]Sheet2!$I$2:$I$1623,[3]Sheet2!$D$2:$D$1623,"",0)</f>
        <v>Q3</v>
      </c>
      <c r="F1132" s="4" t="e">
        <f>_xlfn.XLOOKUP(B1132,[2]Sheet2!$E$2:$E$713,[2]Sheet2!$G$2:$G$713)</f>
        <v>#N/A</v>
      </c>
      <c r="G1132" s="22">
        <v>46175</v>
      </c>
      <c r="H1132" s="23">
        <v>0.47946759259259258</v>
      </c>
      <c r="I1132" t="s">
        <v>10</v>
      </c>
      <c r="J1132" s="2" t="str">
        <f t="shared" si="87"/>
        <v>Q1</v>
      </c>
      <c r="K1132" s="2" t="str">
        <f t="shared" si="88"/>
        <v>Not Match</v>
      </c>
      <c r="L1132" s="1">
        <f t="shared" si="85"/>
        <v>1.1289375536317321</v>
      </c>
      <c r="M1132" s="1" t="e">
        <f t="shared" si="86"/>
        <v>#N/A</v>
      </c>
      <c r="N1132" s="2" t="str">
        <f t="shared" si="89"/>
        <v>Q NOT OK dE&lt;=0.8</v>
      </c>
      <c r="O1132">
        <v>43.48</v>
      </c>
      <c r="P1132">
        <v>54.97</v>
      </c>
      <c r="Q1132">
        <v>39.130000000000003</v>
      </c>
      <c r="R1132">
        <v>0.46</v>
      </c>
      <c r="S1132">
        <v>0.93</v>
      </c>
      <c r="T1132">
        <v>0.64</v>
      </c>
      <c r="U1132">
        <v>0.39</v>
      </c>
      <c r="V1132">
        <v>-0.01</v>
      </c>
      <c r="W1132">
        <v>0.6</v>
      </c>
      <c r="X1132" t="s">
        <v>8</v>
      </c>
      <c r="Y1132" t="s">
        <v>7</v>
      </c>
      <c r="Z1132" s="2" t="s">
        <v>718</v>
      </c>
      <c r="AA1132" s="2" t="s">
        <v>721</v>
      </c>
    </row>
    <row r="1133" spans="1:27" x14ac:dyDescent="0.35">
      <c r="A1133" t="s">
        <v>2148</v>
      </c>
      <c r="B1133" t="s">
        <v>2172</v>
      </c>
      <c r="C1133" s="7" t="str">
        <f>_xlfn.XLOOKUP(B1133,'[1]Sheet 1'!$A$2:$A$11107,'[1]Sheet 1'!$D$2:$D$11107,"",0)</f>
        <v>VSS</v>
      </c>
      <c r="D1133" s="4" t="str">
        <f>_xlfn.XLOOKUP(A1133,[3]Sheet2!$I$2:$I$1623,[3]Sheet2!$D$2:$D$1623,"",0)</f>
        <v>Q3</v>
      </c>
      <c r="F1133" s="4" t="e">
        <f>_xlfn.XLOOKUP(B1133,[2]Sheet2!$E$2:$E$713,[2]Sheet2!$G$2:$G$713)</f>
        <v>#N/A</v>
      </c>
      <c r="G1133" s="22">
        <v>46175</v>
      </c>
      <c r="H1133" s="23">
        <v>0.48112268518518519</v>
      </c>
      <c r="I1133" t="s">
        <v>10</v>
      </c>
      <c r="J1133" s="2" t="str">
        <f t="shared" si="87"/>
        <v>Q1</v>
      </c>
      <c r="K1133" s="2" t="str">
        <f t="shared" si="88"/>
        <v>Not Match</v>
      </c>
      <c r="L1133" s="1">
        <f t="shared" si="85"/>
        <v>2.0220039564748631</v>
      </c>
      <c r="M1133" s="1" t="e">
        <f t="shared" si="86"/>
        <v>#N/A</v>
      </c>
      <c r="N1133" s="2" t="str">
        <f t="shared" si="89"/>
        <v>Q NOT OK dE&gt;0.8</v>
      </c>
      <c r="O1133">
        <v>43.51</v>
      </c>
      <c r="P1133">
        <v>55.18</v>
      </c>
      <c r="Q1133">
        <v>40.159999999999997</v>
      </c>
      <c r="R1133">
        <v>0.48</v>
      </c>
      <c r="S1133">
        <v>1.1399999999999999</v>
      </c>
      <c r="T1133">
        <v>1.67</v>
      </c>
      <c r="U1133">
        <v>0.65</v>
      </c>
      <c r="V1133">
        <v>0.48</v>
      </c>
      <c r="W1133">
        <v>0.94</v>
      </c>
      <c r="X1133" t="s">
        <v>13</v>
      </c>
      <c r="Y1133" t="s">
        <v>12</v>
      </c>
      <c r="Z1133" s="2" t="s">
        <v>718</v>
      </c>
      <c r="AA1133" s="2" t="s">
        <v>721</v>
      </c>
    </row>
    <row r="1134" spans="1:27" x14ac:dyDescent="0.35">
      <c r="A1134" t="s">
        <v>2148</v>
      </c>
      <c r="B1134" t="s">
        <v>2173</v>
      </c>
      <c r="C1134" s="7" t="str">
        <f>_xlfn.XLOOKUP(B1134,'[1]Sheet 1'!$A$2:$A$11107,'[1]Sheet 1'!$D$2:$D$11107,"",0)</f>
        <v>VSS</v>
      </c>
      <c r="D1134" s="4" t="str">
        <f>_xlfn.XLOOKUP(A1134,[3]Sheet2!$I$2:$I$1623,[3]Sheet2!$D$2:$D$1623,"",0)</f>
        <v>Q3</v>
      </c>
      <c r="F1134" s="4" t="e">
        <f>_xlfn.XLOOKUP(B1134,[2]Sheet2!$E$2:$E$713,[2]Sheet2!$G$2:$G$713)</f>
        <v>#N/A</v>
      </c>
      <c r="G1134" s="22">
        <v>46175</v>
      </c>
      <c r="H1134" s="23">
        <v>0.4830787037037037</v>
      </c>
      <c r="I1134" t="s">
        <v>10</v>
      </c>
      <c r="J1134" s="2" t="str">
        <f t="shared" si="87"/>
        <v>Q1</v>
      </c>
      <c r="K1134" s="2" t="str">
        <f t="shared" si="88"/>
        <v>Not Match</v>
      </c>
      <c r="L1134" s="1">
        <f t="shared" ref="L1134:L1189" si="90">SQRT(S1134^2+T1134^2)</f>
        <v>1.6144348856488451</v>
      </c>
      <c r="M1134" s="1" t="e">
        <f t="shared" ref="M1134:M1189" si="91">IF(L1134&lt;=F1134,"Within Range","Over Range")</f>
        <v>#N/A</v>
      </c>
      <c r="N1134" s="2" t="str">
        <f t="shared" si="89"/>
        <v>Q NOT OK dE&lt;=0.8</v>
      </c>
      <c r="O1134">
        <v>43.68</v>
      </c>
      <c r="P1134">
        <v>55.24</v>
      </c>
      <c r="Q1134">
        <v>39.57</v>
      </c>
      <c r="R1134">
        <v>0.56000000000000005</v>
      </c>
      <c r="S1134">
        <v>1.2</v>
      </c>
      <c r="T1134">
        <v>1.08</v>
      </c>
      <c r="U1134">
        <v>0.55000000000000004</v>
      </c>
      <c r="V1134">
        <v>0.13</v>
      </c>
      <c r="W1134">
        <v>0.8</v>
      </c>
      <c r="X1134" t="s">
        <v>13</v>
      </c>
      <c r="Y1134" t="s">
        <v>12</v>
      </c>
      <c r="Z1134" s="2" t="s">
        <v>718</v>
      </c>
      <c r="AA1134" s="2" t="s">
        <v>721</v>
      </c>
    </row>
    <row r="1135" spans="1:27" x14ac:dyDescent="0.35">
      <c r="A1135" t="s">
        <v>1626</v>
      </c>
      <c r="B1135" t="s">
        <v>2174</v>
      </c>
      <c r="C1135" s="7" t="str">
        <f>_xlfn.XLOOKUP(B1135,'[1]Sheet 1'!$A$2:$A$11107,'[1]Sheet 1'!$D$2:$D$11107,"",0)</f>
        <v>VSS</v>
      </c>
      <c r="D1135" s="4" t="str">
        <f>_xlfn.XLOOKUP(A1135,[3]Sheet2!$I$2:$I$1623,[3]Sheet2!$D$2:$D$1623,"",0)</f>
        <v>Q4</v>
      </c>
      <c r="F1135" s="4" t="e">
        <f>_xlfn.XLOOKUP(B1135,[2]Sheet2!$E$2:$E$713,[2]Sheet2!$G$2:$G$713)</f>
        <v>#N/A</v>
      </c>
      <c r="G1135" s="22">
        <v>46175</v>
      </c>
      <c r="H1135" s="23">
        <v>0.49019675925925926</v>
      </c>
      <c r="I1135" t="s">
        <v>10</v>
      </c>
      <c r="J1135" s="2" t="str">
        <f t="shared" si="87"/>
        <v>Q3</v>
      </c>
      <c r="K1135" s="2" t="str">
        <f t="shared" si="88"/>
        <v>Not Match</v>
      </c>
      <c r="L1135" s="1">
        <f t="shared" si="90"/>
        <v>9.4339811320566042E-2</v>
      </c>
      <c r="M1135" s="1" t="e">
        <f t="shared" si="91"/>
        <v>#N/A</v>
      </c>
      <c r="N1135" s="2" t="str">
        <f t="shared" si="89"/>
        <v>Q NOT OK dE&gt;0.8</v>
      </c>
      <c r="O1135">
        <v>16.55</v>
      </c>
      <c r="P1135">
        <v>0.51</v>
      </c>
      <c r="Q1135">
        <v>-1.64</v>
      </c>
      <c r="R1135">
        <v>0.96</v>
      </c>
      <c r="S1135">
        <v>-0.08</v>
      </c>
      <c r="T1135">
        <v>-0.05</v>
      </c>
      <c r="U1135">
        <v>0.03</v>
      </c>
      <c r="V1135">
        <v>-0.13</v>
      </c>
      <c r="W1135">
        <v>0.97</v>
      </c>
      <c r="X1135" t="s">
        <v>13</v>
      </c>
      <c r="Y1135" t="s">
        <v>15</v>
      </c>
      <c r="Z1135" s="2" t="s">
        <v>718</v>
      </c>
      <c r="AA1135" s="2" t="s">
        <v>721</v>
      </c>
    </row>
    <row r="1136" spans="1:27" x14ac:dyDescent="0.35">
      <c r="A1136" t="s">
        <v>1752</v>
      </c>
      <c r="B1136" t="s">
        <v>2175</v>
      </c>
      <c r="C1136" s="7" t="str">
        <f>_xlfn.XLOOKUP(B1136,'[1]Sheet 1'!$A$2:$A$11107,'[1]Sheet 1'!$D$2:$D$11107,"",0)</f>
        <v>VSS</v>
      </c>
      <c r="D1136" s="4" t="str">
        <f>_xlfn.XLOOKUP(A1136,[3]Sheet2!$I$2:$I$1623,[3]Sheet2!$D$2:$D$1623,"",0)</f>
        <v>Q3</v>
      </c>
      <c r="F1136" s="4" t="e">
        <f>_xlfn.XLOOKUP(B1136,[2]Sheet2!$E$2:$E$713,[2]Sheet2!$G$2:$G$713)</f>
        <v>#N/A</v>
      </c>
      <c r="G1136" s="22">
        <v>46175</v>
      </c>
      <c r="H1136" s="23">
        <v>0.49221064814814813</v>
      </c>
      <c r="I1136" t="s">
        <v>10</v>
      </c>
      <c r="J1136" s="2" t="str">
        <f t="shared" si="87"/>
        <v>Q1</v>
      </c>
      <c r="K1136" s="2" t="str">
        <f t="shared" si="88"/>
        <v>Not Match</v>
      </c>
      <c r="L1136" s="1">
        <f t="shared" si="90"/>
        <v>0.15620499351813311</v>
      </c>
      <c r="M1136" s="1" t="e">
        <f t="shared" si="91"/>
        <v>#N/A</v>
      </c>
      <c r="N1136" s="2" t="str">
        <f t="shared" si="89"/>
        <v>Q NOT OK dE&gt;0.8</v>
      </c>
      <c r="O1136">
        <v>16.010000000000002</v>
      </c>
      <c r="P1136">
        <v>0.64</v>
      </c>
      <c r="Q1136">
        <v>-0.67</v>
      </c>
      <c r="R1136">
        <v>-1.04</v>
      </c>
      <c r="S1136">
        <v>0.12</v>
      </c>
      <c r="T1136">
        <v>0.1</v>
      </c>
      <c r="U1136">
        <v>0</v>
      </c>
      <c r="V1136">
        <v>0.22</v>
      </c>
      <c r="W1136">
        <v>1.06</v>
      </c>
      <c r="X1136" t="s">
        <v>6</v>
      </c>
      <c r="Y1136" t="s">
        <v>9</v>
      </c>
      <c r="Z1136" s="2" t="s">
        <v>718</v>
      </c>
      <c r="AA1136" s="2" t="s">
        <v>721</v>
      </c>
    </row>
    <row r="1137" spans="1:27" x14ac:dyDescent="0.35">
      <c r="A1137" t="s">
        <v>1628</v>
      </c>
      <c r="B1137" t="s">
        <v>2176</v>
      </c>
      <c r="C1137" s="7" t="str">
        <f>_xlfn.XLOOKUP(B1137,'[1]Sheet 1'!$A$2:$A$11107,'[1]Sheet 1'!$D$2:$D$11107,"",0)</f>
        <v>LULU</v>
      </c>
      <c r="D1137" s="4" t="str">
        <f>_xlfn.XLOOKUP(A1137,[3]Sheet2!$I$2:$I$1623,[3]Sheet2!$D$2:$D$1623,"",0)</f>
        <v>Q4</v>
      </c>
      <c r="F1137" s="4" t="e">
        <f>_xlfn.XLOOKUP(B1137,[2]Sheet2!$E$2:$E$713,[2]Sheet2!$G$2:$G$713)</f>
        <v>#N/A</v>
      </c>
      <c r="G1137" s="22">
        <v>46175</v>
      </c>
      <c r="H1137" s="23">
        <v>0.49530092592592595</v>
      </c>
      <c r="I1137" t="s">
        <v>4</v>
      </c>
      <c r="J1137" s="2" t="str">
        <f t="shared" si="87"/>
        <v>Q3</v>
      </c>
      <c r="K1137" s="2" t="str">
        <f t="shared" si="88"/>
        <v>Not Match</v>
      </c>
      <c r="L1137" s="1">
        <f t="shared" si="90"/>
        <v>0.23853720883753127</v>
      </c>
      <c r="M1137" s="1" t="e">
        <f t="shared" si="91"/>
        <v>#N/A</v>
      </c>
      <c r="N1137" s="2" t="str">
        <f t="shared" si="89"/>
        <v>Q NOT OK dE&lt;=0.8</v>
      </c>
      <c r="O1137">
        <v>18.66</v>
      </c>
      <c r="P1137">
        <v>-0.59</v>
      </c>
      <c r="Q1137">
        <v>-2.2000000000000002</v>
      </c>
      <c r="R1137">
        <v>-0.01</v>
      </c>
      <c r="S1137">
        <v>-0.13</v>
      </c>
      <c r="T1137">
        <v>-0.2</v>
      </c>
      <c r="U1137">
        <v>0.28999999999999998</v>
      </c>
      <c r="V1137">
        <v>-0.1</v>
      </c>
      <c r="W1137">
        <v>0.31</v>
      </c>
      <c r="X1137" t="s">
        <v>8</v>
      </c>
      <c r="Y1137" t="s">
        <v>15</v>
      </c>
      <c r="Z1137" s="2" t="s">
        <v>718</v>
      </c>
      <c r="AA1137" s="2" t="s">
        <v>721</v>
      </c>
    </row>
    <row r="1138" spans="1:27" x14ac:dyDescent="0.35">
      <c r="A1138" t="s">
        <v>1520</v>
      </c>
      <c r="B1138" t="s">
        <v>2177</v>
      </c>
      <c r="C1138" s="7" t="str">
        <f>_xlfn.XLOOKUP(B1138,'[1]Sheet 1'!$A$2:$A$11107,'[1]Sheet 1'!$D$2:$D$11107,"",0)</f>
        <v>VSS</v>
      </c>
      <c r="D1138" s="4" t="str">
        <f>_xlfn.XLOOKUP(A1138,[3]Sheet2!$I$2:$I$1623,[3]Sheet2!$D$2:$D$1623,"",0)</f>
        <v>Q1</v>
      </c>
      <c r="F1138" s="4" t="e">
        <f>_xlfn.XLOOKUP(B1138,[2]Sheet2!$E$2:$E$713,[2]Sheet2!$G$2:$G$713)</f>
        <v>#N/A</v>
      </c>
      <c r="G1138" s="22">
        <v>46175</v>
      </c>
      <c r="H1138" s="23">
        <v>0.49847222222222221</v>
      </c>
      <c r="I1138" t="s">
        <v>10</v>
      </c>
      <c r="J1138" s="2" t="str">
        <f t="shared" si="87"/>
        <v>Q4</v>
      </c>
      <c r="K1138" s="2" t="str">
        <f t="shared" si="88"/>
        <v>Not Match</v>
      </c>
      <c r="L1138" s="1">
        <f t="shared" si="90"/>
        <v>0.19313207915827965</v>
      </c>
      <c r="M1138" s="1" t="e">
        <f t="shared" si="91"/>
        <v>#N/A</v>
      </c>
      <c r="N1138" s="2" t="str">
        <f t="shared" si="89"/>
        <v>Q NOT OK dE&lt;=0.8</v>
      </c>
      <c r="O1138">
        <v>27.22</v>
      </c>
      <c r="P1138">
        <v>11.89</v>
      </c>
      <c r="Q1138">
        <v>10.15</v>
      </c>
      <c r="R1138">
        <v>-0.28999999999999998</v>
      </c>
      <c r="S1138">
        <v>7.0000000000000007E-2</v>
      </c>
      <c r="T1138">
        <v>-0.18</v>
      </c>
      <c r="U1138">
        <v>-0.05</v>
      </c>
      <c r="V1138">
        <v>-0.27</v>
      </c>
      <c r="W1138">
        <v>0.4</v>
      </c>
      <c r="X1138" t="s">
        <v>8</v>
      </c>
      <c r="Y1138" t="s">
        <v>9</v>
      </c>
      <c r="Z1138" s="2" t="s">
        <v>718</v>
      </c>
      <c r="AA1138" s="2" t="s">
        <v>721</v>
      </c>
    </row>
    <row r="1139" spans="1:27" x14ac:dyDescent="0.35">
      <c r="A1139" t="s">
        <v>1622</v>
      </c>
      <c r="B1139" t="s">
        <v>2178</v>
      </c>
      <c r="C1139" s="7" t="str">
        <f>_xlfn.XLOOKUP(B1139,'[1]Sheet 1'!$A$2:$A$11107,'[1]Sheet 1'!$D$2:$D$11107,"",0)</f>
        <v>PEP</v>
      </c>
      <c r="D1139" s="4" t="str">
        <f>_xlfn.XLOOKUP(A1139,[3]Sheet2!$I$2:$I$1623,[3]Sheet2!$D$2:$D$1623,"",0)</f>
        <v>Q1</v>
      </c>
      <c r="F1139" s="4" t="e">
        <f>_xlfn.XLOOKUP(B1139,[2]Sheet2!$E$2:$E$713,[2]Sheet2!$G$2:$G$713)</f>
        <v>#N/A</v>
      </c>
      <c r="G1139" s="22">
        <v>46175</v>
      </c>
      <c r="H1139" s="23">
        <v>0.72219907407407402</v>
      </c>
      <c r="I1139" t="s">
        <v>4</v>
      </c>
      <c r="J1139" s="2" t="str">
        <f t="shared" si="87"/>
        <v>Q4</v>
      </c>
      <c r="K1139" s="2" t="str">
        <f t="shared" si="88"/>
        <v>Not Match</v>
      </c>
      <c r="L1139" s="1">
        <f t="shared" si="90"/>
        <v>5.0990195135927854E-2</v>
      </c>
      <c r="M1139" s="1" t="e">
        <f t="shared" si="91"/>
        <v>#N/A</v>
      </c>
      <c r="N1139" s="2" t="str">
        <f t="shared" si="89"/>
        <v>Q NOT OK dE&lt;=0.8</v>
      </c>
      <c r="O1139">
        <v>17.21</v>
      </c>
      <c r="P1139">
        <v>-0.35</v>
      </c>
      <c r="Q1139">
        <v>-2.2200000000000002</v>
      </c>
      <c r="R1139">
        <v>-0.22</v>
      </c>
      <c r="S1139">
        <v>0.01</v>
      </c>
      <c r="T1139">
        <v>-0.05</v>
      </c>
      <c r="U1139">
        <v>7.0000000000000007E-2</v>
      </c>
      <c r="V1139">
        <v>0.02</v>
      </c>
      <c r="W1139">
        <v>0.23</v>
      </c>
      <c r="X1139" t="s">
        <v>8</v>
      </c>
      <c r="Y1139" t="s">
        <v>9</v>
      </c>
      <c r="Z1139" s="2" t="s">
        <v>718</v>
      </c>
      <c r="AA1139" s="2" t="s">
        <v>721</v>
      </c>
    </row>
    <row r="1140" spans="1:27" x14ac:dyDescent="0.35">
      <c r="A1140" t="s">
        <v>1628</v>
      </c>
      <c r="B1140" t="s">
        <v>2179</v>
      </c>
      <c r="C1140" s="7" t="str">
        <f>_xlfn.XLOOKUP(B1140,'[1]Sheet 1'!$A$2:$A$11107,'[1]Sheet 1'!$D$2:$D$11107,"",0)</f>
        <v>LULU</v>
      </c>
      <c r="D1140" s="4" t="str">
        <f>_xlfn.XLOOKUP(A1140,[3]Sheet2!$I$2:$I$1623,[3]Sheet2!$D$2:$D$1623,"",0)</f>
        <v>Q4</v>
      </c>
      <c r="F1140" s="4" t="e">
        <f>_xlfn.XLOOKUP(B1140,[2]Sheet2!$E$2:$E$713,[2]Sheet2!$G$2:$G$713)</f>
        <v>#N/A</v>
      </c>
      <c r="G1140" s="22">
        <v>46175</v>
      </c>
      <c r="H1140" s="23">
        <v>0.7243518518518518</v>
      </c>
      <c r="I1140" t="s">
        <v>4</v>
      </c>
      <c r="J1140" s="2" t="str">
        <f t="shared" si="87"/>
        <v>Q3</v>
      </c>
      <c r="K1140" s="2" t="str">
        <f t="shared" si="88"/>
        <v>Not Match</v>
      </c>
      <c r="L1140" s="1">
        <f t="shared" si="90"/>
        <v>8.5440037453175313E-2</v>
      </c>
      <c r="M1140" s="1" t="e">
        <f t="shared" si="91"/>
        <v>#N/A</v>
      </c>
      <c r="N1140" s="2" t="str">
        <f t="shared" si="89"/>
        <v>Q NOT OK dE&gt;0.8</v>
      </c>
      <c r="O1140">
        <v>17.54</v>
      </c>
      <c r="P1140">
        <v>-0.49</v>
      </c>
      <c r="Q1140">
        <v>-2.08</v>
      </c>
      <c r="R1140">
        <v>-0.99</v>
      </c>
      <c r="S1140">
        <v>-0.03</v>
      </c>
      <c r="T1140">
        <v>-0.08</v>
      </c>
      <c r="U1140">
        <v>0.11</v>
      </c>
      <c r="V1140">
        <v>-0.01</v>
      </c>
      <c r="W1140">
        <v>1</v>
      </c>
      <c r="X1140" t="s">
        <v>13</v>
      </c>
      <c r="Y1140" t="s">
        <v>15</v>
      </c>
      <c r="Z1140" s="2" t="s">
        <v>718</v>
      </c>
      <c r="AA1140" s="2" t="s">
        <v>721</v>
      </c>
    </row>
    <row r="1141" spans="1:27" x14ac:dyDescent="0.35">
      <c r="A1141" t="s">
        <v>1579</v>
      </c>
      <c r="B1141" t="s">
        <v>2180</v>
      </c>
      <c r="C1141" s="7" t="str">
        <f>_xlfn.XLOOKUP(B1141,'[1]Sheet 1'!$A$2:$A$11107,'[1]Sheet 1'!$D$2:$D$11107,"",0)</f>
        <v>M&amp;S</v>
      </c>
      <c r="D1141" s="4" t="str">
        <f>_xlfn.XLOOKUP(A1141,[3]Sheet2!$I$2:$I$1623,[3]Sheet2!$D$2:$D$1623,"",0)</f>
        <v>Q4</v>
      </c>
      <c r="F1141" s="4" t="e">
        <f>_xlfn.XLOOKUP(B1141,[2]Sheet2!$E$2:$E$713,[2]Sheet2!$G$2:$G$713)</f>
        <v>#N/A</v>
      </c>
      <c r="G1141" s="22">
        <v>46175</v>
      </c>
      <c r="H1141" s="23">
        <v>0.73347222222222219</v>
      </c>
      <c r="I1141" t="s">
        <v>17</v>
      </c>
      <c r="J1141" s="2" t="str">
        <f t="shared" si="87"/>
        <v>Q2</v>
      </c>
      <c r="K1141" s="2" t="str">
        <f t="shared" si="88"/>
        <v>Not Match</v>
      </c>
      <c r="L1141" s="1">
        <f t="shared" si="90"/>
        <v>0.25495097567963926</v>
      </c>
      <c r="M1141" s="1" t="e">
        <f t="shared" si="91"/>
        <v>#N/A</v>
      </c>
      <c r="N1141" s="2" t="str">
        <f t="shared" si="89"/>
        <v>Q NOT OK dE&lt;=0.8</v>
      </c>
      <c r="O1141">
        <v>16.329999999999998</v>
      </c>
      <c r="P1141">
        <v>-0.75</v>
      </c>
      <c r="Q1141">
        <v>-6.09</v>
      </c>
      <c r="R1141">
        <v>0.49</v>
      </c>
      <c r="S1141">
        <v>-0.25</v>
      </c>
      <c r="T1141">
        <v>0.05</v>
      </c>
      <c r="U1141">
        <v>-0.03</v>
      </c>
      <c r="V1141">
        <v>-0.34</v>
      </c>
      <c r="W1141">
        <v>0.6</v>
      </c>
      <c r="X1141" t="s">
        <v>8</v>
      </c>
      <c r="Y1141" t="s">
        <v>15</v>
      </c>
      <c r="Z1141" s="2" t="s">
        <v>718</v>
      </c>
      <c r="AA1141" s="2" t="s">
        <v>721</v>
      </c>
    </row>
    <row r="1142" spans="1:27" x14ac:dyDescent="0.35">
      <c r="A1142" t="s">
        <v>1626</v>
      </c>
      <c r="B1142" t="s">
        <v>2181</v>
      </c>
      <c r="C1142" s="7" t="str">
        <f>_xlfn.XLOOKUP(B1142,'[1]Sheet 1'!$A$2:$A$11107,'[1]Sheet 1'!$D$2:$D$11107,"",0)</f>
        <v>VSS</v>
      </c>
      <c r="D1142" s="4" t="str">
        <f>_xlfn.XLOOKUP(A1142,[3]Sheet2!$I$2:$I$1623,[3]Sheet2!$D$2:$D$1623,"",0)</f>
        <v>Q4</v>
      </c>
      <c r="F1142" s="4" t="e">
        <f>_xlfn.XLOOKUP(B1142,[2]Sheet2!$E$2:$E$713,[2]Sheet2!$G$2:$G$713)</f>
        <v>#N/A</v>
      </c>
      <c r="G1142" s="22">
        <v>46175</v>
      </c>
      <c r="H1142" s="23">
        <v>0.73552083333333329</v>
      </c>
      <c r="I1142" t="s">
        <v>10</v>
      </c>
      <c r="J1142" s="2" t="str">
        <f t="shared" si="87"/>
        <v>Q4</v>
      </c>
      <c r="K1142" s="2" t="str">
        <f t="shared" si="88"/>
        <v>Match</v>
      </c>
      <c r="L1142" s="1">
        <f t="shared" si="90"/>
        <v>0.05</v>
      </c>
      <c r="M1142" s="1" t="e">
        <f t="shared" si="91"/>
        <v>#N/A</v>
      </c>
      <c r="N1142" s="2" t="str">
        <f t="shared" si="89"/>
        <v>Q OK dE&lt;=0.8</v>
      </c>
      <c r="O1142">
        <v>16.329999999999998</v>
      </c>
      <c r="P1142">
        <v>0.59</v>
      </c>
      <c r="Q1142">
        <v>-1.54</v>
      </c>
      <c r="R1142">
        <v>0.74</v>
      </c>
      <c r="S1142">
        <v>0</v>
      </c>
      <c r="T1142">
        <v>0.05</v>
      </c>
      <c r="U1142">
        <v>-7.0000000000000007E-2</v>
      </c>
      <c r="V1142">
        <v>0.02</v>
      </c>
      <c r="W1142">
        <v>0.74</v>
      </c>
      <c r="X1142" t="s">
        <v>8</v>
      </c>
      <c r="Y1142" t="s">
        <v>9</v>
      </c>
      <c r="Z1142" s="2" t="s">
        <v>718</v>
      </c>
      <c r="AA1142" s="2" t="s">
        <v>721</v>
      </c>
    </row>
    <row r="1143" spans="1:27" x14ac:dyDescent="0.35">
      <c r="A1143" t="s">
        <v>1626</v>
      </c>
      <c r="B1143" t="s">
        <v>2182</v>
      </c>
      <c r="C1143" s="7" t="str">
        <f>_xlfn.XLOOKUP(B1143,'[1]Sheet 1'!$A$2:$A$11107,'[1]Sheet 1'!$D$2:$D$11107,"",0)</f>
        <v>VSS</v>
      </c>
      <c r="D1143" s="4" t="str">
        <f>_xlfn.XLOOKUP(A1143,[3]Sheet2!$I$2:$I$1623,[3]Sheet2!$D$2:$D$1623,"",0)</f>
        <v>Q4</v>
      </c>
      <c r="F1143" s="4" t="e">
        <f>_xlfn.XLOOKUP(B1143,[2]Sheet2!$E$2:$E$713,[2]Sheet2!$G$2:$G$713)</f>
        <v>#N/A</v>
      </c>
      <c r="G1143" s="22">
        <v>46175</v>
      </c>
      <c r="H1143" s="23">
        <v>0.77145833333333336</v>
      </c>
      <c r="I1143" t="s">
        <v>10</v>
      </c>
      <c r="J1143" s="2" t="str">
        <f t="shared" ref="J1143:J1196" si="92">IF(OR(S1143=0,T1143=0),D1143,IF(AND(S1143&gt;0,T1143&gt;0),"Q1",IF(AND(S1143&lt;0,T1143&gt;0),"Q2",IF(AND(S1143&lt;0,T1143&lt;0),"Q3",IF(AND(S1143&gt;0,T1143&lt;0),"Q4","")))))</f>
        <v>Q3</v>
      </c>
      <c r="K1143" s="2" t="str">
        <f t="shared" ref="K1143:K1196" si="93">IF(J1143=D1143,"Match",IF(AND(J1143=0,D1143="Match"),"da and db 0",IF(D1143=0,"Not Found","Not Match")))</f>
        <v>Not Match</v>
      </c>
      <c r="L1143" s="1">
        <f t="shared" si="90"/>
        <v>8.6023252670426278E-2</v>
      </c>
      <c r="M1143" s="1" t="e">
        <f t="shared" si="91"/>
        <v>#N/A</v>
      </c>
      <c r="N1143" s="2" t="str">
        <f t="shared" ref="N1143:N1196" si="94">IF(D1143=0,"Quadrant not assigned",IF(AND(K1143="Match",W1143&lt;=0.8),"Q OK dE&lt;=0.8",IF(AND(K1143="Match",W1143&gt;0.8),"Q OK dE&gt;0.8",IF(AND(K1143="Not Match",W1143&lt;=0.8),"Q NOT OK dE&lt;=0.8","Q NOT OK dE&gt;0.8"))))</f>
        <v>Q NOT OK dE&lt;=0.8</v>
      </c>
      <c r="O1143">
        <v>15.98</v>
      </c>
      <c r="P1143">
        <v>0.53</v>
      </c>
      <c r="Q1143">
        <v>-1.64</v>
      </c>
      <c r="R1143">
        <v>0.39</v>
      </c>
      <c r="S1143">
        <v>-7.0000000000000007E-2</v>
      </c>
      <c r="T1143">
        <v>-0.05</v>
      </c>
      <c r="U1143">
        <v>0.04</v>
      </c>
      <c r="V1143">
        <v>-0.11</v>
      </c>
      <c r="W1143">
        <v>0.41</v>
      </c>
      <c r="X1143" t="s">
        <v>8</v>
      </c>
      <c r="Y1143" t="s">
        <v>15</v>
      </c>
      <c r="Z1143" s="2" t="s">
        <v>718</v>
      </c>
      <c r="AA1143" s="2" t="s">
        <v>721</v>
      </c>
    </row>
    <row r="1144" spans="1:27" x14ac:dyDescent="0.35">
      <c r="A1144" t="s">
        <v>2148</v>
      </c>
      <c r="B1144" t="s">
        <v>2183</v>
      </c>
      <c r="C1144" s="7" t="str">
        <f>_xlfn.XLOOKUP(B1144,'[1]Sheet 1'!$A$2:$A$11107,'[1]Sheet 1'!$D$2:$D$11107,"",0)</f>
        <v>VSS</v>
      </c>
      <c r="D1144" s="4" t="str">
        <f>_xlfn.XLOOKUP(A1144,[3]Sheet2!$I$2:$I$1623,[3]Sheet2!$D$2:$D$1623,"",0)</f>
        <v>Q3</v>
      </c>
      <c r="F1144" s="4" t="e">
        <f>_xlfn.XLOOKUP(B1144,[2]Sheet2!$E$2:$E$713,[2]Sheet2!$G$2:$G$713)</f>
        <v>#N/A</v>
      </c>
      <c r="G1144" s="22">
        <v>46175</v>
      </c>
      <c r="H1144" s="23">
        <v>0.77359953703703699</v>
      </c>
      <c r="I1144" t="s">
        <v>10</v>
      </c>
      <c r="J1144" s="2" t="str">
        <f t="shared" si="92"/>
        <v>Q1</v>
      </c>
      <c r="K1144" s="2" t="str">
        <f t="shared" si="93"/>
        <v>Not Match</v>
      </c>
      <c r="L1144" s="1">
        <f t="shared" si="90"/>
        <v>1.7220046457544764</v>
      </c>
      <c r="M1144" s="1" t="e">
        <f t="shared" si="91"/>
        <v>#N/A</v>
      </c>
      <c r="N1144" s="2" t="str">
        <f t="shared" si="94"/>
        <v>Q NOT OK dE&gt;0.8</v>
      </c>
      <c r="O1144">
        <v>43.89</v>
      </c>
      <c r="P1144">
        <v>55.42</v>
      </c>
      <c r="Q1144">
        <v>39.520000000000003</v>
      </c>
      <c r="R1144">
        <v>0.66</v>
      </c>
      <c r="S1144">
        <v>1.38</v>
      </c>
      <c r="T1144">
        <v>1.03</v>
      </c>
      <c r="U1144">
        <v>0.59</v>
      </c>
      <c r="V1144">
        <v>0.03</v>
      </c>
      <c r="W1144">
        <v>0.89</v>
      </c>
      <c r="X1144" t="s">
        <v>13</v>
      </c>
      <c r="Y1144" t="s">
        <v>12</v>
      </c>
      <c r="Z1144" s="2" t="s">
        <v>718</v>
      </c>
      <c r="AA1144" s="2" t="s">
        <v>721</v>
      </c>
    </row>
    <row r="1145" spans="1:27" x14ac:dyDescent="0.35">
      <c r="A1145" t="s">
        <v>2148</v>
      </c>
      <c r="B1145" t="s">
        <v>2184</v>
      </c>
      <c r="C1145" s="7" t="str">
        <f>_xlfn.XLOOKUP(B1145,'[1]Sheet 1'!$A$2:$A$11107,'[1]Sheet 1'!$D$2:$D$11107,"",0)</f>
        <v>VSS</v>
      </c>
      <c r="D1145" s="4" t="str">
        <f>_xlfn.XLOOKUP(A1145,[3]Sheet2!$I$2:$I$1623,[3]Sheet2!$D$2:$D$1623,"",0)</f>
        <v>Q3</v>
      </c>
      <c r="F1145" s="4" t="e">
        <f>_xlfn.XLOOKUP(B1145,[2]Sheet2!$E$2:$E$713,[2]Sheet2!$G$2:$G$713)</f>
        <v>#N/A</v>
      </c>
      <c r="G1145" s="22">
        <v>46175</v>
      </c>
      <c r="H1145" s="23">
        <v>0.77546296296296291</v>
      </c>
      <c r="I1145" t="s">
        <v>10</v>
      </c>
      <c r="J1145" s="2" t="str">
        <f t="shared" si="92"/>
        <v>Q1</v>
      </c>
      <c r="K1145" s="2" t="str">
        <f t="shared" si="93"/>
        <v>Not Match</v>
      </c>
      <c r="L1145" s="1">
        <f t="shared" si="90"/>
        <v>1.4441952776546529</v>
      </c>
      <c r="M1145" s="1" t="e">
        <f t="shared" si="91"/>
        <v>#N/A</v>
      </c>
      <c r="N1145" s="2" t="str">
        <f t="shared" si="94"/>
        <v>Q NOT OK dE&gt;0.8</v>
      </c>
      <c r="O1145">
        <v>43.84</v>
      </c>
      <c r="P1145">
        <v>55.49</v>
      </c>
      <c r="Q1145">
        <v>38.6</v>
      </c>
      <c r="R1145">
        <v>0.64</v>
      </c>
      <c r="S1145">
        <v>1.44</v>
      </c>
      <c r="T1145">
        <v>0.11</v>
      </c>
      <c r="U1145">
        <v>0.43</v>
      </c>
      <c r="V1145">
        <v>-0.52</v>
      </c>
      <c r="W1145">
        <v>0.93</v>
      </c>
      <c r="X1145" t="s">
        <v>13</v>
      </c>
      <c r="Y1145" t="s">
        <v>7</v>
      </c>
      <c r="Z1145" s="2" t="s">
        <v>718</v>
      </c>
      <c r="AA1145" s="2" t="s">
        <v>721</v>
      </c>
    </row>
    <row r="1146" spans="1:27" x14ac:dyDescent="0.35">
      <c r="A1146" t="s">
        <v>1540</v>
      </c>
      <c r="B1146" t="s">
        <v>2185</v>
      </c>
      <c r="C1146" s="7" t="str">
        <f>_xlfn.XLOOKUP(B1146,'[1]Sheet 1'!$A$2:$A$11107,'[1]Sheet 1'!$D$2:$D$11107,"",0)</f>
        <v>VSS</v>
      </c>
      <c r="D1146" s="4" t="str">
        <f>_xlfn.XLOOKUP(A1146,[3]Sheet2!$I$2:$I$1623,[3]Sheet2!$D$2:$D$1623,"",0)</f>
        <v>Q3</v>
      </c>
      <c r="F1146" s="4" t="e">
        <f>_xlfn.XLOOKUP(B1146,[2]Sheet2!$E$2:$E$713,[2]Sheet2!$G$2:$G$713)</f>
        <v>#N/A</v>
      </c>
      <c r="G1146" s="22">
        <v>46175</v>
      </c>
      <c r="H1146" s="23">
        <v>0.90538194444444442</v>
      </c>
      <c r="I1146" t="s">
        <v>10</v>
      </c>
      <c r="J1146" s="2" t="str">
        <f t="shared" si="92"/>
        <v>Q3</v>
      </c>
      <c r="K1146" s="2" t="str">
        <f t="shared" si="93"/>
        <v>Match</v>
      </c>
      <c r="L1146" s="1">
        <f t="shared" si="90"/>
        <v>4.123105625617661E-2</v>
      </c>
      <c r="M1146" s="1" t="e">
        <f t="shared" si="91"/>
        <v>#N/A</v>
      </c>
      <c r="N1146" s="2" t="str">
        <f t="shared" si="94"/>
        <v>Q OK dE&lt;=0.8</v>
      </c>
      <c r="O1146">
        <v>14.49</v>
      </c>
      <c r="P1146">
        <v>0.5</v>
      </c>
      <c r="Q1146">
        <v>-1.29</v>
      </c>
      <c r="R1146">
        <v>-0.05</v>
      </c>
      <c r="S1146">
        <v>-0.01</v>
      </c>
      <c r="T1146">
        <v>-0.04</v>
      </c>
      <c r="U1146">
        <v>0.04</v>
      </c>
      <c r="V1146">
        <v>-0.03</v>
      </c>
      <c r="W1146">
        <v>7.0000000000000007E-2</v>
      </c>
      <c r="X1146" t="s">
        <v>8</v>
      </c>
      <c r="Y1146" t="s">
        <v>15</v>
      </c>
      <c r="Z1146" s="2" t="s">
        <v>718</v>
      </c>
      <c r="AA1146" s="2" t="s">
        <v>721</v>
      </c>
    </row>
    <row r="1147" spans="1:27" x14ac:dyDescent="0.35">
      <c r="A1147" t="s">
        <v>2148</v>
      </c>
      <c r="B1147" t="s">
        <v>2186</v>
      </c>
      <c r="C1147" s="7" t="str">
        <f>_xlfn.XLOOKUP(B1147,'[1]Sheet 1'!$A$2:$A$11107,'[1]Sheet 1'!$D$2:$D$11107,"",0)</f>
        <v>VSS</v>
      </c>
      <c r="D1147" s="4" t="str">
        <f>_xlfn.XLOOKUP(A1147,[3]Sheet2!$I$2:$I$1623,[3]Sheet2!$D$2:$D$1623,"",0)</f>
        <v>Q3</v>
      </c>
      <c r="F1147" s="4" t="e">
        <f>_xlfn.XLOOKUP(B1147,[2]Sheet2!$E$2:$E$713,[2]Sheet2!$G$2:$G$713)</f>
        <v>#N/A</v>
      </c>
      <c r="G1147" s="22">
        <v>46175</v>
      </c>
      <c r="H1147" s="23">
        <v>0.90798611111111116</v>
      </c>
      <c r="I1147" t="s">
        <v>10</v>
      </c>
      <c r="J1147" s="2" t="str">
        <f t="shared" si="92"/>
        <v>Q4</v>
      </c>
      <c r="K1147" s="2" t="str">
        <f t="shared" si="93"/>
        <v>Not Match</v>
      </c>
      <c r="L1147" s="1">
        <f t="shared" si="90"/>
        <v>1.2304470732217621</v>
      </c>
      <c r="M1147" s="1" t="e">
        <f t="shared" si="91"/>
        <v>#N/A</v>
      </c>
      <c r="N1147" s="2" t="str">
        <f t="shared" si="94"/>
        <v>Q NOT OK dE&gt;0.8</v>
      </c>
      <c r="O1147">
        <v>43.63</v>
      </c>
      <c r="P1147">
        <v>55.26</v>
      </c>
      <c r="Q1147">
        <v>38.33</v>
      </c>
      <c r="R1147">
        <v>0.54</v>
      </c>
      <c r="S1147">
        <v>1.22</v>
      </c>
      <c r="T1147">
        <v>-0.16</v>
      </c>
      <c r="U1147">
        <v>0.31</v>
      </c>
      <c r="V1147">
        <v>-0.57999999999999996</v>
      </c>
      <c r="W1147">
        <v>0.85</v>
      </c>
      <c r="X1147" t="s">
        <v>13</v>
      </c>
      <c r="Y1147" t="s">
        <v>7</v>
      </c>
      <c r="Z1147" s="2" t="s">
        <v>718</v>
      </c>
      <c r="AA1147" s="2" t="s">
        <v>721</v>
      </c>
    </row>
    <row r="1148" spans="1:27" x14ac:dyDescent="0.35">
      <c r="A1148" t="s">
        <v>2148</v>
      </c>
      <c r="B1148" t="s">
        <v>2187</v>
      </c>
      <c r="C1148" s="7" t="str">
        <f>_xlfn.XLOOKUP(B1148,'[1]Sheet 1'!$A$2:$A$11107,'[1]Sheet 1'!$D$2:$D$11107,"",0)</f>
        <v>VSS</v>
      </c>
      <c r="D1148" s="4" t="str">
        <f>_xlfn.XLOOKUP(A1148,[3]Sheet2!$I$2:$I$1623,[3]Sheet2!$D$2:$D$1623,"",0)</f>
        <v>Q3</v>
      </c>
      <c r="F1148" s="4" t="e">
        <f>_xlfn.XLOOKUP(B1148,[2]Sheet2!$E$2:$E$713,[2]Sheet2!$G$2:$G$713)</f>
        <v>#N/A</v>
      </c>
      <c r="G1148" s="22">
        <v>46175</v>
      </c>
      <c r="H1148" s="23">
        <v>0.92060185185185184</v>
      </c>
      <c r="I1148" t="s">
        <v>10</v>
      </c>
      <c r="J1148" s="2" t="str">
        <f t="shared" si="92"/>
        <v>Q1</v>
      </c>
      <c r="K1148" s="2" t="str">
        <f t="shared" si="93"/>
        <v>Not Match</v>
      </c>
      <c r="L1148" s="1">
        <f t="shared" si="90"/>
        <v>1.3341664064126335</v>
      </c>
      <c r="M1148" s="1" t="e">
        <f t="shared" si="91"/>
        <v>#N/A</v>
      </c>
      <c r="N1148" s="2" t="str">
        <f t="shared" si="94"/>
        <v>Q NOT OK dE&lt;=0.8</v>
      </c>
      <c r="O1148">
        <v>43.54</v>
      </c>
      <c r="P1148">
        <v>55.34</v>
      </c>
      <c r="Q1148">
        <v>38.79</v>
      </c>
      <c r="R1148">
        <v>0.49</v>
      </c>
      <c r="S1148">
        <v>1.3</v>
      </c>
      <c r="T1148">
        <v>0.3</v>
      </c>
      <c r="U1148">
        <v>0.42</v>
      </c>
      <c r="V1148">
        <v>-0.36</v>
      </c>
      <c r="W1148">
        <v>0.74</v>
      </c>
      <c r="X1148" t="s">
        <v>8</v>
      </c>
      <c r="Y1148" t="s">
        <v>7</v>
      </c>
      <c r="Z1148" s="2" t="s">
        <v>718</v>
      </c>
      <c r="AA1148" s="2" t="s">
        <v>721</v>
      </c>
    </row>
    <row r="1149" spans="1:27" x14ac:dyDescent="0.35">
      <c r="A1149" t="s">
        <v>2156</v>
      </c>
      <c r="B1149" t="s">
        <v>2189</v>
      </c>
      <c r="C1149" s="7" t="str">
        <f>_xlfn.XLOOKUP(B1149,'[1]Sheet 1'!$A$2:$A$11107,'[1]Sheet 1'!$D$2:$D$11107,"",0)</f>
        <v>VSS</v>
      </c>
      <c r="D1149" s="4" t="str">
        <f>_xlfn.XLOOKUP(A1149,[3]Sheet2!$I$2:$I$1623,[3]Sheet2!$D$2:$D$1623,"",0)</f>
        <v>Q1</v>
      </c>
      <c r="F1149" s="4" t="e">
        <f>_xlfn.XLOOKUP(B1149,[2]Sheet2!$E$2:$E$713,[2]Sheet2!$G$2:$G$713)</f>
        <v>#N/A</v>
      </c>
      <c r="G1149" s="22">
        <v>46176</v>
      </c>
      <c r="H1149" s="23">
        <v>9.2824074074074073E-2</v>
      </c>
      <c r="I1149" t="s">
        <v>10</v>
      </c>
      <c r="J1149" s="2" t="str">
        <f t="shared" si="92"/>
        <v>Q3</v>
      </c>
      <c r="K1149" s="2" t="str">
        <f t="shared" si="93"/>
        <v>Not Match</v>
      </c>
      <c r="L1149" s="1">
        <f t="shared" si="90"/>
        <v>0.16278820596099708</v>
      </c>
      <c r="M1149" s="1" t="e">
        <f t="shared" si="91"/>
        <v>#N/A</v>
      </c>
      <c r="N1149" s="2" t="str">
        <f t="shared" si="94"/>
        <v>Q NOT OK dE&lt;=0.8</v>
      </c>
      <c r="O1149">
        <v>25.46</v>
      </c>
      <c r="P1149">
        <v>-12.7</v>
      </c>
      <c r="Q1149">
        <v>-3.7</v>
      </c>
      <c r="R1149">
        <v>-0.25</v>
      </c>
      <c r="S1149">
        <v>-0.03</v>
      </c>
      <c r="T1149">
        <v>-0.16</v>
      </c>
      <c r="U1149">
        <v>0.05</v>
      </c>
      <c r="V1149">
        <v>0.14000000000000001</v>
      </c>
      <c r="W1149">
        <v>0.28999999999999998</v>
      </c>
      <c r="X1149" t="s">
        <v>8</v>
      </c>
      <c r="Y1149" t="s">
        <v>7</v>
      </c>
      <c r="Z1149" s="2" t="s">
        <v>718</v>
      </c>
      <c r="AA1149" s="2" t="s">
        <v>721</v>
      </c>
    </row>
    <row r="1150" spans="1:27" x14ac:dyDescent="0.35">
      <c r="A1150" t="s">
        <v>1756</v>
      </c>
      <c r="B1150" t="s">
        <v>2190</v>
      </c>
      <c r="C1150" s="7" t="str">
        <f>_xlfn.XLOOKUP(B1150,'[1]Sheet 1'!$A$2:$A$11107,'[1]Sheet 1'!$D$2:$D$11107,"",0)</f>
        <v>PINK</v>
      </c>
      <c r="D1150" s="4" t="str">
        <f>_xlfn.XLOOKUP(A1150,[3]Sheet2!$I$2:$I$1623,[3]Sheet2!$D$2:$D$1623,"",0)</f>
        <v>Q1</v>
      </c>
      <c r="F1150" s="4" t="e">
        <f>_xlfn.XLOOKUP(B1150,[2]Sheet2!$E$2:$E$713,[2]Sheet2!$G$2:$G$713)</f>
        <v>#N/A</v>
      </c>
      <c r="G1150" s="22">
        <v>46176</v>
      </c>
      <c r="H1150" s="23">
        <v>0.16094907407407408</v>
      </c>
      <c r="I1150" t="s">
        <v>10</v>
      </c>
      <c r="J1150" s="2" t="str">
        <f t="shared" si="92"/>
        <v>Q4</v>
      </c>
      <c r="K1150" s="2" t="str">
        <f t="shared" si="93"/>
        <v>Not Match</v>
      </c>
      <c r="L1150" s="1">
        <f t="shared" si="90"/>
        <v>0.24698178070456939</v>
      </c>
      <c r="M1150" s="1" t="e">
        <f t="shared" si="91"/>
        <v>#N/A</v>
      </c>
      <c r="N1150" s="2" t="str">
        <f t="shared" si="94"/>
        <v>Q NOT OK dE&lt;=0.8</v>
      </c>
      <c r="O1150">
        <v>16.59</v>
      </c>
      <c r="P1150">
        <v>0.37</v>
      </c>
      <c r="Q1150">
        <v>-0.59</v>
      </c>
      <c r="R1150">
        <v>-0.13</v>
      </c>
      <c r="S1150">
        <v>0.23</v>
      </c>
      <c r="T1150">
        <v>-0.09</v>
      </c>
      <c r="U1150">
        <v>0.26</v>
      </c>
      <c r="V1150">
        <v>0.26</v>
      </c>
      <c r="W1150">
        <v>0.4</v>
      </c>
      <c r="X1150" t="s">
        <v>8</v>
      </c>
      <c r="Y1150" t="s">
        <v>9</v>
      </c>
      <c r="Z1150" s="2" t="s">
        <v>718</v>
      </c>
      <c r="AA1150" s="2" t="s">
        <v>721</v>
      </c>
    </row>
    <row r="1151" spans="1:27" x14ac:dyDescent="0.35">
      <c r="A1151" t="s">
        <v>1728</v>
      </c>
      <c r="B1151" t="s">
        <v>1877</v>
      </c>
      <c r="C1151" s="7" t="str">
        <f>_xlfn.XLOOKUP(B1151,'[1]Sheet 1'!$A$2:$A$11107,'[1]Sheet 1'!$D$2:$D$11107,"",0)</f>
        <v>M&amp;S</v>
      </c>
      <c r="D1151" s="4" t="str">
        <f>_xlfn.XLOOKUP(A1151,[3]Sheet2!$I$2:$I$1623,[3]Sheet2!$D$2:$D$1623,"",0)</f>
        <v>Q4</v>
      </c>
      <c r="F1151" s="4" t="e">
        <f>_xlfn.XLOOKUP(B1151,[2]Sheet2!$E$2:$E$713,[2]Sheet2!$G$2:$G$713)</f>
        <v>#N/A</v>
      </c>
      <c r="G1151" s="22">
        <v>46176</v>
      </c>
      <c r="H1151" s="23">
        <v>0.16289351851851852</v>
      </c>
      <c r="I1151" t="s">
        <v>17</v>
      </c>
      <c r="J1151" s="2" t="str">
        <f t="shared" si="92"/>
        <v>Q1</v>
      </c>
      <c r="K1151" s="2" t="str">
        <f t="shared" si="93"/>
        <v>Not Match</v>
      </c>
      <c r="L1151" s="1">
        <f t="shared" si="90"/>
        <v>1.6200308639035248</v>
      </c>
      <c r="M1151" s="1" t="e">
        <f t="shared" si="91"/>
        <v>#N/A</v>
      </c>
      <c r="N1151" s="2" t="str">
        <f t="shared" si="94"/>
        <v>Q NOT OK dE&gt;0.8</v>
      </c>
      <c r="O1151">
        <v>33.68</v>
      </c>
      <c r="P1151">
        <v>-1.1100000000000001</v>
      </c>
      <c r="Q1151">
        <v>4.6500000000000004</v>
      </c>
      <c r="R1151">
        <v>-0.21</v>
      </c>
      <c r="S1151">
        <v>0.01</v>
      </c>
      <c r="T1151">
        <v>1.62</v>
      </c>
      <c r="U1151">
        <v>1.85</v>
      </c>
      <c r="V1151">
        <v>-0.6</v>
      </c>
      <c r="W1151">
        <v>1.96</v>
      </c>
      <c r="X1151" t="s">
        <v>6</v>
      </c>
      <c r="Y1151" t="s">
        <v>12</v>
      </c>
      <c r="Z1151" s="2" t="s">
        <v>718</v>
      </c>
      <c r="AA1151" s="2" t="s">
        <v>721</v>
      </c>
    </row>
    <row r="1152" spans="1:27" x14ac:dyDescent="0.35">
      <c r="A1152" t="s">
        <v>1626</v>
      </c>
      <c r="B1152" t="s">
        <v>2191</v>
      </c>
      <c r="C1152" s="7" t="str">
        <f>_xlfn.XLOOKUP(B1152,'[1]Sheet 1'!$A$2:$A$11107,'[1]Sheet 1'!$D$2:$D$11107,"",0)</f>
        <v>VSS</v>
      </c>
      <c r="D1152" s="4" t="str">
        <f>_xlfn.XLOOKUP(A1152,[3]Sheet2!$I$2:$I$1623,[3]Sheet2!$D$2:$D$1623,"",0)</f>
        <v>Q4</v>
      </c>
      <c r="F1152" s="4" t="e">
        <f>_xlfn.XLOOKUP(B1152,[2]Sheet2!$E$2:$E$713,[2]Sheet2!$G$2:$G$713)</f>
        <v>#N/A</v>
      </c>
      <c r="G1152" s="22">
        <v>46176</v>
      </c>
      <c r="H1152" s="23">
        <v>0.16435185185185186</v>
      </c>
      <c r="I1152" t="s">
        <v>10</v>
      </c>
      <c r="J1152" s="2" t="str">
        <f t="shared" si="92"/>
        <v>Q3</v>
      </c>
      <c r="K1152" s="2" t="str">
        <f t="shared" si="93"/>
        <v>Not Match</v>
      </c>
      <c r="L1152" s="1">
        <f t="shared" si="90"/>
        <v>0.22203603311174516</v>
      </c>
      <c r="M1152" s="1" t="e">
        <f t="shared" si="91"/>
        <v>#N/A</v>
      </c>
      <c r="N1152" s="2" t="str">
        <f t="shared" si="94"/>
        <v>Q NOT OK dE&lt;=0.8</v>
      </c>
      <c r="O1152">
        <v>15.94</v>
      </c>
      <c r="P1152">
        <v>0.38</v>
      </c>
      <c r="Q1152">
        <v>-1.62</v>
      </c>
      <c r="R1152">
        <v>0.35</v>
      </c>
      <c r="S1152">
        <v>-0.22</v>
      </c>
      <c r="T1152">
        <v>-0.03</v>
      </c>
      <c r="U1152">
        <v>-0.05</v>
      </c>
      <c r="V1152">
        <v>-0.3</v>
      </c>
      <c r="W1152">
        <v>0.47</v>
      </c>
      <c r="X1152" t="s">
        <v>8</v>
      </c>
      <c r="Y1152" t="s">
        <v>15</v>
      </c>
      <c r="Z1152" s="2" t="s">
        <v>718</v>
      </c>
      <c r="AA1152" s="2" t="s">
        <v>721</v>
      </c>
    </row>
    <row r="1153" spans="1:27" x14ac:dyDescent="0.35">
      <c r="A1153" t="s">
        <v>1520</v>
      </c>
      <c r="B1153" t="s">
        <v>2192</v>
      </c>
      <c r="C1153" s="7" t="str">
        <f>_xlfn.XLOOKUP(B1153,'[1]Sheet 1'!$A$2:$A$11107,'[1]Sheet 1'!$D$2:$D$11107,"",0)</f>
        <v>VSS</v>
      </c>
      <c r="D1153" s="4" t="str">
        <f>_xlfn.XLOOKUP(A1153,[3]Sheet2!$I$2:$I$1623,[3]Sheet2!$D$2:$D$1623,"",0)</f>
        <v>Q1</v>
      </c>
      <c r="F1153" s="4" t="e">
        <f>_xlfn.XLOOKUP(B1153,[2]Sheet2!$E$2:$E$713,[2]Sheet2!$G$2:$G$713)</f>
        <v>#N/A</v>
      </c>
      <c r="G1153" s="22">
        <v>46176</v>
      </c>
      <c r="H1153" s="23">
        <v>0.20145833333333332</v>
      </c>
      <c r="I1153" t="s">
        <v>10</v>
      </c>
      <c r="J1153" s="2" t="str">
        <f t="shared" si="92"/>
        <v>Q1</v>
      </c>
      <c r="K1153" s="2" t="str">
        <f t="shared" si="93"/>
        <v>Match</v>
      </c>
      <c r="L1153" s="1">
        <f t="shared" si="90"/>
        <v>1.0135580891098448</v>
      </c>
      <c r="M1153" s="1" t="e">
        <f t="shared" si="91"/>
        <v>#N/A</v>
      </c>
      <c r="N1153" s="2" t="str">
        <f t="shared" si="94"/>
        <v>Q OK dE&lt;=0.8</v>
      </c>
      <c r="O1153">
        <v>27.98</v>
      </c>
      <c r="P1153">
        <v>12.69</v>
      </c>
      <c r="Q1153">
        <v>10.85</v>
      </c>
      <c r="R1153">
        <v>0.21</v>
      </c>
      <c r="S1153">
        <v>0.87</v>
      </c>
      <c r="T1153">
        <v>0.52</v>
      </c>
      <c r="U1153">
        <v>0.68</v>
      </c>
      <c r="V1153">
        <v>-0.26</v>
      </c>
      <c r="W1153">
        <v>0.75</v>
      </c>
      <c r="X1153" t="s">
        <v>13</v>
      </c>
      <c r="Y1153" t="s">
        <v>9</v>
      </c>
      <c r="Z1153" s="2" t="s">
        <v>718</v>
      </c>
      <c r="AA1153" s="2" t="s">
        <v>721</v>
      </c>
    </row>
    <row r="1154" spans="1:27" x14ac:dyDescent="0.35">
      <c r="A1154" t="s">
        <v>1626</v>
      </c>
      <c r="B1154" t="s">
        <v>2193</v>
      </c>
      <c r="C1154" s="7" t="str">
        <f>_xlfn.XLOOKUP(B1154,'[1]Sheet 1'!$A$2:$A$11107,'[1]Sheet 1'!$D$2:$D$11107,"",0)</f>
        <v>VSS</v>
      </c>
      <c r="D1154" s="4" t="str">
        <f>_xlfn.XLOOKUP(A1154,[3]Sheet2!$I$2:$I$1623,[3]Sheet2!$D$2:$D$1623,"",0)</f>
        <v>Q4</v>
      </c>
      <c r="F1154" s="4" t="e">
        <f>_xlfn.XLOOKUP(B1154,[2]Sheet2!$E$2:$E$713,[2]Sheet2!$G$2:$G$713)</f>
        <v>#N/A</v>
      </c>
      <c r="G1154" s="22">
        <v>46176</v>
      </c>
      <c r="H1154" s="23">
        <v>0.21568287037037037</v>
      </c>
      <c r="I1154" t="s">
        <v>10</v>
      </c>
      <c r="J1154" s="2" t="str">
        <f t="shared" si="92"/>
        <v>Q3</v>
      </c>
      <c r="K1154" s="2" t="str">
        <f t="shared" si="93"/>
        <v>Not Match</v>
      </c>
      <c r="L1154" s="1">
        <f t="shared" si="90"/>
        <v>6.4031242374328487E-2</v>
      </c>
      <c r="M1154" s="1" t="e">
        <f t="shared" si="91"/>
        <v>#N/A</v>
      </c>
      <c r="N1154" s="2" t="str">
        <f t="shared" si="94"/>
        <v>Q NOT OK dE&lt;=0.8</v>
      </c>
      <c r="O1154">
        <v>15.86</v>
      </c>
      <c r="P1154">
        <v>0.54</v>
      </c>
      <c r="Q1154">
        <v>-1.63</v>
      </c>
      <c r="R1154">
        <v>0.28000000000000003</v>
      </c>
      <c r="S1154">
        <v>-0.05</v>
      </c>
      <c r="T1154">
        <v>-0.04</v>
      </c>
      <c r="U1154">
        <v>0.02</v>
      </c>
      <c r="V1154">
        <v>-0.08</v>
      </c>
      <c r="W1154">
        <v>0.28999999999999998</v>
      </c>
      <c r="X1154" t="s">
        <v>8</v>
      </c>
      <c r="Y1154" t="s">
        <v>15</v>
      </c>
      <c r="Z1154" s="2" t="s">
        <v>718</v>
      </c>
      <c r="AA1154" s="2" t="s">
        <v>721</v>
      </c>
    </row>
    <row r="1155" spans="1:27" x14ac:dyDescent="0.35">
      <c r="A1155" t="s">
        <v>1540</v>
      </c>
      <c r="B1155" t="s">
        <v>2194</v>
      </c>
      <c r="C1155" s="7" t="str">
        <f>_xlfn.XLOOKUP(B1155,'[1]Sheet 1'!$A$2:$A$11107,'[1]Sheet 1'!$D$2:$D$11107,"",0)</f>
        <v>VSS</v>
      </c>
      <c r="D1155" s="4" t="str">
        <f>_xlfn.XLOOKUP(A1155,[3]Sheet2!$I$2:$I$1623,[3]Sheet2!$D$2:$D$1623,"",0)</f>
        <v>Q3</v>
      </c>
      <c r="F1155" s="4" t="e">
        <f>_xlfn.XLOOKUP(B1155,[2]Sheet2!$E$2:$E$713,[2]Sheet2!$G$2:$G$713)</f>
        <v>#N/A</v>
      </c>
      <c r="G1155" s="22">
        <v>46176</v>
      </c>
      <c r="H1155" s="23">
        <v>0.27403935185185185</v>
      </c>
      <c r="I1155" t="s">
        <v>10</v>
      </c>
      <c r="J1155" s="2" t="str">
        <f t="shared" si="92"/>
        <v>Q2</v>
      </c>
      <c r="K1155" s="2" t="str">
        <f t="shared" si="93"/>
        <v>Not Match</v>
      </c>
      <c r="L1155" s="1">
        <f t="shared" si="90"/>
        <v>0.18110770276274832</v>
      </c>
      <c r="M1155" s="1" t="e">
        <f t="shared" si="91"/>
        <v>#N/A</v>
      </c>
      <c r="N1155" s="2" t="str">
        <f t="shared" si="94"/>
        <v>Q NOT OK dE&lt;=0.8</v>
      </c>
      <c r="O1155">
        <v>13.81</v>
      </c>
      <c r="P1155">
        <v>0.48</v>
      </c>
      <c r="Q1155">
        <v>-1.07</v>
      </c>
      <c r="R1155">
        <v>-0.72</v>
      </c>
      <c r="S1155">
        <v>-0.02</v>
      </c>
      <c r="T1155">
        <v>0.18</v>
      </c>
      <c r="U1155">
        <v>-0.25</v>
      </c>
      <c r="V1155">
        <v>7.0000000000000007E-2</v>
      </c>
      <c r="W1155">
        <v>0.76</v>
      </c>
      <c r="X1155" t="s">
        <v>13</v>
      </c>
      <c r="Y1155" t="s">
        <v>9</v>
      </c>
      <c r="Z1155" s="2" t="s">
        <v>718</v>
      </c>
      <c r="AA1155" s="2" t="s">
        <v>721</v>
      </c>
    </row>
    <row r="1156" spans="1:27" x14ac:dyDescent="0.35">
      <c r="A1156" t="s">
        <v>2148</v>
      </c>
      <c r="B1156" t="s">
        <v>2195</v>
      </c>
      <c r="C1156" s="7" t="str">
        <f>_xlfn.XLOOKUP(B1156,'[1]Sheet 1'!$A$2:$A$11107,'[1]Sheet 1'!$D$2:$D$11107,"",0)</f>
        <v>VSS</v>
      </c>
      <c r="D1156" s="4" t="str">
        <f>_xlfn.XLOOKUP(A1156,[3]Sheet2!$I$2:$I$1623,[3]Sheet2!$D$2:$D$1623,"",0)</f>
        <v>Q3</v>
      </c>
      <c r="F1156" s="4" t="e">
        <f>_xlfn.XLOOKUP(B1156,[2]Sheet2!$E$2:$E$713,[2]Sheet2!$G$2:$G$713)</f>
        <v>#N/A</v>
      </c>
      <c r="G1156" s="22">
        <v>46176</v>
      </c>
      <c r="H1156" s="23">
        <v>0.28236111111111112</v>
      </c>
      <c r="I1156" t="s">
        <v>10</v>
      </c>
      <c r="J1156" s="2" t="str">
        <f t="shared" si="92"/>
        <v>Q1</v>
      </c>
      <c r="K1156" s="2" t="str">
        <f t="shared" si="93"/>
        <v>Not Match</v>
      </c>
      <c r="L1156" s="1">
        <f t="shared" si="90"/>
        <v>1.4080127840328724</v>
      </c>
      <c r="M1156" s="1" t="e">
        <f t="shared" si="91"/>
        <v>#N/A</v>
      </c>
      <c r="N1156" s="2" t="str">
        <f t="shared" si="94"/>
        <v>Q NOT OK dE&gt;0.8</v>
      </c>
      <c r="O1156">
        <v>43.82</v>
      </c>
      <c r="P1156">
        <v>55.36</v>
      </c>
      <c r="Q1156">
        <v>38.99</v>
      </c>
      <c r="R1156">
        <v>0.63</v>
      </c>
      <c r="S1156">
        <v>1.32</v>
      </c>
      <c r="T1156">
        <v>0.49</v>
      </c>
      <c r="U1156">
        <v>0.47</v>
      </c>
      <c r="V1156">
        <v>-0.25</v>
      </c>
      <c r="W1156">
        <v>0.83</v>
      </c>
      <c r="X1156" t="s">
        <v>13</v>
      </c>
      <c r="Y1156" t="s">
        <v>7</v>
      </c>
      <c r="Z1156" s="2" t="s">
        <v>718</v>
      </c>
      <c r="AA1156" s="2" t="s">
        <v>721</v>
      </c>
    </row>
    <row r="1157" spans="1:27" x14ac:dyDescent="0.35">
      <c r="A1157" t="s">
        <v>1626</v>
      </c>
      <c r="B1157" t="s">
        <v>2196</v>
      </c>
      <c r="C1157" s="7" t="str">
        <f>_xlfn.XLOOKUP(B1157,'[1]Sheet 1'!$A$2:$A$11107,'[1]Sheet 1'!$D$2:$D$11107,"",0)</f>
        <v>VSS</v>
      </c>
      <c r="D1157" s="4" t="str">
        <f>_xlfn.XLOOKUP(A1157,[3]Sheet2!$I$2:$I$1623,[3]Sheet2!$D$2:$D$1623,"",0)</f>
        <v>Q4</v>
      </c>
      <c r="F1157" s="4" t="e">
        <f>_xlfn.XLOOKUP(B1157,[2]Sheet2!$E$2:$E$713,[2]Sheet2!$G$2:$G$713)</f>
        <v>#N/A</v>
      </c>
      <c r="G1157" s="22">
        <v>46176</v>
      </c>
      <c r="H1157" s="23">
        <v>0.53922453703703699</v>
      </c>
      <c r="I1157" t="s">
        <v>10</v>
      </c>
      <c r="J1157" s="2" t="str">
        <f t="shared" si="92"/>
        <v>Q3</v>
      </c>
      <c r="K1157" s="2" t="str">
        <f t="shared" si="93"/>
        <v>Not Match</v>
      </c>
      <c r="L1157" s="1">
        <f t="shared" si="90"/>
        <v>0.21400934559032697</v>
      </c>
      <c r="M1157" s="1" t="e">
        <f t="shared" si="91"/>
        <v>#N/A</v>
      </c>
      <c r="N1157" s="2" t="str">
        <f t="shared" si="94"/>
        <v>Q NOT OK dE&lt;=0.8</v>
      </c>
      <c r="O1157">
        <v>16.32</v>
      </c>
      <c r="P1157">
        <v>0.47</v>
      </c>
      <c r="Q1157">
        <v>-1.76</v>
      </c>
      <c r="R1157">
        <v>0.73</v>
      </c>
      <c r="S1157">
        <v>-0.13</v>
      </c>
      <c r="T1157">
        <v>-0.17</v>
      </c>
      <c r="U1157">
        <v>0.16</v>
      </c>
      <c r="V1157">
        <v>-0.24</v>
      </c>
      <c r="W1157">
        <v>0.78</v>
      </c>
      <c r="X1157" t="s">
        <v>13</v>
      </c>
      <c r="Y1157" t="s">
        <v>15</v>
      </c>
      <c r="Z1157" s="2" t="s">
        <v>718</v>
      </c>
      <c r="AA1157" s="2" t="s">
        <v>721</v>
      </c>
    </row>
    <row r="1158" spans="1:27" x14ac:dyDescent="0.35">
      <c r="A1158" t="s">
        <v>2148</v>
      </c>
      <c r="B1158" t="s">
        <v>2197</v>
      </c>
      <c r="C1158" s="7" t="str">
        <f>_xlfn.XLOOKUP(B1158,'[1]Sheet 1'!$A$2:$A$11107,'[1]Sheet 1'!$D$2:$D$11107,"",0)</f>
        <v>VSS</v>
      </c>
      <c r="D1158" s="4" t="str">
        <f>_xlfn.XLOOKUP(A1158,[3]Sheet2!$I$2:$I$1623,[3]Sheet2!$D$2:$D$1623,"",0)</f>
        <v>Q3</v>
      </c>
      <c r="F1158" s="4" t="e">
        <f>_xlfn.XLOOKUP(B1158,[2]Sheet2!$E$2:$E$713,[2]Sheet2!$G$2:$G$713)</f>
        <v>#N/A</v>
      </c>
      <c r="G1158" s="22">
        <v>46176</v>
      </c>
      <c r="H1158" s="23">
        <v>0.56469907407407405</v>
      </c>
      <c r="I1158" t="s">
        <v>10</v>
      </c>
      <c r="J1158" s="2" t="str">
        <f t="shared" si="92"/>
        <v>Q1</v>
      </c>
      <c r="K1158" s="2" t="str">
        <f t="shared" si="93"/>
        <v>Not Match</v>
      </c>
      <c r="L1158" s="1">
        <f t="shared" si="90"/>
        <v>1.984968513604183</v>
      </c>
      <c r="M1158" s="1" t="e">
        <f t="shared" si="91"/>
        <v>#N/A</v>
      </c>
      <c r="N1158" s="2" t="str">
        <f t="shared" si="94"/>
        <v>Q NOT OK dE&gt;0.8</v>
      </c>
      <c r="O1158">
        <v>43.74</v>
      </c>
      <c r="P1158">
        <v>55.6</v>
      </c>
      <c r="Q1158">
        <v>39.729999999999997</v>
      </c>
      <c r="R1158">
        <v>0.59</v>
      </c>
      <c r="S1158">
        <v>1.55</v>
      </c>
      <c r="T1158">
        <v>1.24</v>
      </c>
      <c r="U1158">
        <v>0.68</v>
      </c>
      <c r="V1158">
        <v>7.0000000000000007E-2</v>
      </c>
      <c r="W1158">
        <v>0.91</v>
      </c>
      <c r="X1158" t="s">
        <v>13</v>
      </c>
      <c r="Y1158" t="s">
        <v>12</v>
      </c>
      <c r="Z1158" s="2" t="s">
        <v>718</v>
      </c>
      <c r="AA1158" s="2" t="s">
        <v>721</v>
      </c>
    </row>
    <row r="1159" spans="1:27" x14ac:dyDescent="0.35">
      <c r="A1159" t="s">
        <v>2148</v>
      </c>
      <c r="B1159" t="s">
        <v>2198</v>
      </c>
      <c r="C1159" s="7" t="str">
        <f>_xlfn.XLOOKUP(B1159,'[1]Sheet 1'!$A$2:$A$11107,'[1]Sheet 1'!$D$2:$D$11107,"",0)</f>
        <v>VSS</v>
      </c>
      <c r="D1159" s="4" t="str">
        <f>_xlfn.XLOOKUP(A1159,[3]Sheet2!$I$2:$I$1623,[3]Sheet2!$D$2:$D$1623,"",0)</f>
        <v>Q3</v>
      </c>
      <c r="F1159" s="4" t="e">
        <f>_xlfn.XLOOKUP(B1159,[2]Sheet2!$E$2:$E$713,[2]Sheet2!$G$2:$G$713)</f>
        <v>#N/A</v>
      </c>
      <c r="G1159" s="22">
        <v>46176</v>
      </c>
      <c r="H1159" s="23">
        <v>0.56721064814814814</v>
      </c>
      <c r="I1159" t="s">
        <v>10</v>
      </c>
      <c r="J1159" s="2" t="str">
        <f t="shared" si="92"/>
        <v>Q1</v>
      </c>
      <c r="K1159" s="2" t="str">
        <f t="shared" si="93"/>
        <v>Not Match</v>
      </c>
      <c r="L1159" s="1">
        <f t="shared" si="90"/>
        <v>2.0620620747203513</v>
      </c>
      <c r="M1159" s="1" t="e">
        <f t="shared" si="91"/>
        <v>#N/A</v>
      </c>
      <c r="N1159" s="2" t="str">
        <f t="shared" si="94"/>
        <v>Q NOT OK dE&gt;0.8</v>
      </c>
      <c r="O1159">
        <v>43.78</v>
      </c>
      <c r="P1159">
        <v>55.59</v>
      </c>
      <c r="Q1159">
        <v>39.86</v>
      </c>
      <c r="R1159">
        <v>0.61</v>
      </c>
      <c r="S1159">
        <v>1.55</v>
      </c>
      <c r="T1159">
        <v>1.36</v>
      </c>
      <c r="U1159">
        <v>0.71</v>
      </c>
      <c r="V1159">
        <v>0.15</v>
      </c>
      <c r="W1159">
        <v>0.95</v>
      </c>
      <c r="X1159" t="s">
        <v>13</v>
      </c>
      <c r="Y1159" t="s">
        <v>12</v>
      </c>
      <c r="Z1159" s="2" t="s">
        <v>718</v>
      </c>
      <c r="AA1159" s="2" t="s">
        <v>721</v>
      </c>
    </row>
    <row r="1160" spans="1:27" x14ac:dyDescent="0.35">
      <c r="A1160" t="s">
        <v>2148</v>
      </c>
      <c r="B1160" t="s">
        <v>2199</v>
      </c>
      <c r="C1160" s="7" t="str">
        <f>_xlfn.XLOOKUP(B1160,'[1]Sheet 1'!$A$2:$A$11107,'[1]Sheet 1'!$D$2:$D$11107,"",0)</f>
        <v>VSS</v>
      </c>
      <c r="D1160" s="4" t="str">
        <f>_xlfn.XLOOKUP(A1160,[3]Sheet2!$I$2:$I$1623,[3]Sheet2!$D$2:$D$1623,"",0)</f>
        <v>Q3</v>
      </c>
      <c r="F1160" s="4" t="e">
        <f>_xlfn.XLOOKUP(B1160,[2]Sheet2!$E$2:$E$713,[2]Sheet2!$G$2:$G$713)</f>
        <v>#N/A</v>
      </c>
      <c r="G1160" s="22">
        <v>46176</v>
      </c>
      <c r="H1160" s="23">
        <v>0.56880787037037039</v>
      </c>
      <c r="I1160" t="s">
        <v>10</v>
      </c>
      <c r="J1160" s="2" t="str">
        <f t="shared" si="92"/>
        <v>Q1</v>
      </c>
      <c r="K1160" s="2" t="str">
        <f t="shared" si="93"/>
        <v>Not Match</v>
      </c>
      <c r="L1160" s="1">
        <f t="shared" si="90"/>
        <v>1.508409758653132</v>
      </c>
      <c r="M1160" s="1" t="e">
        <f t="shared" si="91"/>
        <v>#N/A</v>
      </c>
      <c r="N1160" s="2" t="str">
        <f t="shared" si="94"/>
        <v>Q NOT OK dE&lt;=0.8</v>
      </c>
      <c r="O1160">
        <v>43.73</v>
      </c>
      <c r="P1160">
        <v>55.36</v>
      </c>
      <c r="Q1160">
        <v>39.22</v>
      </c>
      <c r="R1160">
        <v>0.59</v>
      </c>
      <c r="S1160">
        <v>1.32</v>
      </c>
      <c r="T1160">
        <v>0.73</v>
      </c>
      <c r="U1160">
        <v>0.52</v>
      </c>
      <c r="V1160">
        <v>-0.12</v>
      </c>
      <c r="W1160">
        <v>0.79</v>
      </c>
      <c r="X1160" t="s">
        <v>13</v>
      </c>
      <c r="Y1160" t="s">
        <v>7</v>
      </c>
      <c r="Z1160" s="2" t="s">
        <v>718</v>
      </c>
      <c r="AA1160" s="2" t="s">
        <v>721</v>
      </c>
    </row>
    <row r="1161" spans="1:27" x14ac:dyDescent="0.35">
      <c r="A1161" t="s">
        <v>2156</v>
      </c>
      <c r="B1161" t="s">
        <v>2200</v>
      </c>
      <c r="C1161" s="7" t="str">
        <f>_xlfn.XLOOKUP(B1161,'[1]Sheet 1'!$A$2:$A$11107,'[1]Sheet 1'!$D$2:$D$11107,"",0)</f>
        <v>VSS</v>
      </c>
      <c r="D1161" s="4" t="str">
        <f>_xlfn.XLOOKUP(A1161,[3]Sheet2!$I$2:$I$1623,[3]Sheet2!$D$2:$D$1623,"",0)</f>
        <v>Q1</v>
      </c>
      <c r="F1161" s="4" t="e">
        <f>_xlfn.XLOOKUP(B1161,[2]Sheet2!$E$2:$E$713,[2]Sheet2!$G$2:$G$713)</f>
        <v>#N/A</v>
      </c>
      <c r="G1161" s="22">
        <v>46176</v>
      </c>
      <c r="H1161" s="23">
        <v>0.57048611111111114</v>
      </c>
      <c r="I1161" t="s">
        <v>10</v>
      </c>
      <c r="J1161" s="2" t="str">
        <f t="shared" si="92"/>
        <v>Q3</v>
      </c>
      <c r="K1161" s="2" t="str">
        <f t="shared" si="93"/>
        <v>Not Match</v>
      </c>
      <c r="L1161" s="1">
        <f t="shared" si="90"/>
        <v>0.25942243542145693</v>
      </c>
      <c r="M1161" s="1" t="e">
        <f t="shared" si="91"/>
        <v>#N/A</v>
      </c>
      <c r="N1161" s="2" t="str">
        <f t="shared" si="94"/>
        <v>Q NOT OK dE&lt;=0.8</v>
      </c>
      <c r="O1161">
        <v>25.84</v>
      </c>
      <c r="P1161">
        <v>-12.79</v>
      </c>
      <c r="Q1161">
        <v>-3.76</v>
      </c>
      <c r="R1161">
        <v>0.02</v>
      </c>
      <c r="S1161">
        <v>-0.12</v>
      </c>
      <c r="T1161">
        <v>-0.23</v>
      </c>
      <c r="U1161">
        <v>0.13</v>
      </c>
      <c r="V1161">
        <v>0.18</v>
      </c>
      <c r="W1161">
        <v>0.22</v>
      </c>
      <c r="X1161" t="s">
        <v>8</v>
      </c>
      <c r="Y1161" t="s">
        <v>7</v>
      </c>
      <c r="Z1161" s="2" t="s">
        <v>718</v>
      </c>
      <c r="AA1161" s="2" t="s">
        <v>721</v>
      </c>
    </row>
    <row r="1162" spans="1:27" x14ac:dyDescent="0.35">
      <c r="A1162" t="s">
        <v>1752</v>
      </c>
      <c r="B1162" t="s">
        <v>2201</v>
      </c>
      <c r="C1162" s="7" t="str">
        <f>_xlfn.XLOOKUP(B1162,'[1]Sheet 1'!$A$2:$A$11107,'[1]Sheet 1'!$D$2:$D$11107,"",0)</f>
        <v>VSS</v>
      </c>
      <c r="D1162" s="4" t="str">
        <f>_xlfn.XLOOKUP(A1162,[3]Sheet2!$I$2:$I$1623,[3]Sheet2!$D$2:$D$1623,"",0)</f>
        <v>Q3</v>
      </c>
      <c r="F1162" s="4" t="e">
        <f>_xlfn.XLOOKUP(B1162,[2]Sheet2!$E$2:$E$713,[2]Sheet2!$G$2:$G$713)</f>
        <v>#N/A</v>
      </c>
      <c r="G1162" s="22">
        <v>46176</v>
      </c>
      <c r="H1162" s="23">
        <v>0.64018518518518519</v>
      </c>
      <c r="I1162" t="s">
        <v>10</v>
      </c>
      <c r="J1162" s="2" t="str">
        <f t="shared" si="92"/>
        <v>Q1</v>
      </c>
      <c r="K1162" s="2" t="str">
        <f t="shared" si="93"/>
        <v>Not Match</v>
      </c>
      <c r="L1162" s="1">
        <f t="shared" si="90"/>
        <v>0.27513632984395209</v>
      </c>
      <c r="M1162" s="1" t="e">
        <f t="shared" si="91"/>
        <v>#N/A</v>
      </c>
      <c r="N1162" s="2" t="str">
        <f t="shared" si="94"/>
        <v>Q NOT OK dE&gt;0.8</v>
      </c>
      <c r="O1162">
        <v>16.21</v>
      </c>
      <c r="P1162">
        <v>0.61</v>
      </c>
      <c r="Q1162">
        <v>-0.51</v>
      </c>
      <c r="R1162">
        <v>-0.86</v>
      </c>
      <c r="S1162">
        <v>0.09</v>
      </c>
      <c r="T1162">
        <v>0.26</v>
      </c>
      <c r="U1162">
        <v>-0.19</v>
      </c>
      <c r="V1162">
        <v>0.35</v>
      </c>
      <c r="W1162">
        <v>0.94</v>
      </c>
      <c r="X1162" t="s">
        <v>13</v>
      </c>
      <c r="Y1162" t="s">
        <v>9</v>
      </c>
      <c r="Z1162" s="2" t="s">
        <v>718</v>
      </c>
      <c r="AA1162" s="2" t="s">
        <v>721</v>
      </c>
    </row>
    <row r="1163" spans="1:27" x14ac:dyDescent="0.35">
      <c r="A1163" t="s">
        <v>1727</v>
      </c>
      <c r="B1163" t="s">
        <v>2202</v>
      </c>
      <c r="C1163" s="7" t="str">
        <f>_xlfn.XLOOKUP(B1163,'[1]Sheet 1'!$A$2:$A$11107,'[1]Sheet 1'!$D$2:$D$11107,"",0)</f>
        <v>GAP</v>
      </c>
      <c r="D1163" s="4" t="str">
        <f>_xlfn.XLOOKUP(A1163,[3]Sheet2!$I$2:$I$1623,[3]Sheet2!$D$2:$D$1623,"",0)</f>
        <v>Q2</v>
      </c>
      <c r="F1163" s="4" t="e">
        <f>_xlfn.XLOOKUP(B1163,[2]Sheet2!$E$2:$E$713,[2]Sheet2!$G$2:$G$713)</f>
        <v>#N/A</v>
      </c>
      <c r="G1163" s="22">
        <v>46176</v>
      </c>
      <c r="H1163" s="23">
        <v>0.64255787037037038</v>
      </c>
      <c r="I1163" t="s">
        <v>14</v>
      </c>
      <c r="J1163" s="2" t="str">
        <f t="shared" si="92"/>
        <v>Q3</v>
      </c>
      <c r="K1163" s="2" t="str">
        <f t="shared" si="93"/>
        <v>Not Match</v>
      </c>
      <c r="L1163" s="1">
        <f t="shared" si="90"/>
        <v>0.38948684188300897</v>
      </c>
      <c r="M1163" s="1" t="e">
        <f t="shared" si="91"/>
        <v>#N/A</v>
      </c>
      <c r="N1163" s="2" t="str">
        <f t="shared" si="94"/>
        <v>Q NOT OK dE&lt;=0.8</v>
      </c>
      <c r="O1163">
        <v>13.27</v>
      </c>
      <c r="P1163">
        <v>-0.71</v>
      </c>
      <c r="Q1163">
        <v>-2.85</v>
      </c>
      <c r="R1163">
        <v>-0.52</v>
      </c>
      <c r="S1163">
        <v>-0.34</v>
      </c>
      <c r="T1163">
        <v>-0.19</v>
      </c>
      <c r="U1163">
        <v>0.32</v>
      </c>
      <c r="V1163">
        <v>-0.39</v>
      </c>
      <c r="W1163">
        <v>0.73</v>
      </c>
      <c r="X1163" t="s">
        <v>8</v>
      </c>
      <c r="Y1163" t="s">
        <v>15</v>
      </c>
      <c r="Z1163" s="2" t="s">
        <v>718</v>
      </c>
      <c r="AA1163" s="2" t="s">
        <v>721</v>
      </c>
    </row>
    <row r="1164" spans="1:27" x14ac:dyDescent="0.35">
      <c r="A1164" t="s">
        <v>1745</v>
      </c>
      <c r="B1164" t="s">
        <v>2203</v>
      </c>
      <c r="C1164" s="7" t="str">
        <f>_xlfn.XLOOKUP(B1164,'[1]Sheet 1'!$A$2:$A$11107,'[1]Sheet 1'!$D$2:$D$11107,"",0)</f>
        <v>SW</v>
      </c>
      <c r="D1164" s="4" t="str">
        <f>_xlfn.XLOOKUP(A1164,[3]Sheet2!$I$2:$I$1623,[3]Sheet2!$D$2:$D$1623,"",0)</f>
        <v>Q1</v>
      </c>
      <c r="F1164" s="4" t="e">
        <f>_xlfn.XLOOKUP(B1164,[2]Sheet2!$E$2:$E$713,[2]Sheet2!$G$2:$G$713)</f>
        <v>#N/A</v>
      </c>
      <c r="G1164" s="22">
        <v>46176</v>
      </c>
      <c r="H1164" s="23">
        <v>0.75567129629629626</v>
      </c>
      <c r="I1164" t="s">
        <v>4</v>
      </c>
      <c r="J1164" s="2" t="str">
        <f t="shared" si="92"/>
        <v>Q3</v>
      </c>
      <c r="K1164" s="2" t="str">
        <f t="shared" si="93"/>
        <v>Not Match</v>
      </c>
      <c r="L1164" s="1">
        <f t="shared" si="90"/>
        <v>0.191049731745428</v>
      </c>
      <c r="M1164" s="1" t="e">
        <f t="shared" si="91"/>
        <v>#N/A</v>
      </c>
      <c r="N1164" s="2" t="str">
        <f t="shared" si="94"/>
        <v>Q NOT OK dE&lt;=0.8</v>
      </c>
      <c r="O1164">
        <v>14.57</v>
      </c>
      <c r="P1164">
        <v>-1.22</v>
      </c>
      <c r="Q1164">
        <v>-1.95</v>
      </c>
      <c r="R1164">
        <v>-0.39</v>
      </c>
      <c r="S1164">
        <v>-0.19</v>
      </c>
      <c r="T1164">
        <v>-0.02</v>
      </c>
      <c r="U1164">
        <v>0.14000000000000001</v>
      </c>
      <c r="V1164">
        <v>-0.21</v>
      </c>
      <c r="W1164">
        <v>0.46</v>
      </c>
      <c r="X1164" t="s">
        <v>8</v>
      </c>
      <c r="Y1164" t="s">
        <v>15</v>
      </c>
      <c r="Z1164" s="2" t="s">
        <v>718</v>
      </c>
      <c r="AA1164" s="2" t="s">
        <v>721</v>
      </c>
    </row>
    <row r="1165" spans="1:27" x14ac:dyDescent="0.35">
      <c r="A1165" t="s">
        <v>1642</v>
      </c>
      <c r="B1165" t="s">
        <v>2204</v>
      </c>
      <c r="C1165" s="7" t="str">
        <f>_xlfn.XLOOKUP(B1165,'[1]Sheet 1'!$A$2:$A$11107,'[1]Sheet 1'!$D$2:$D$11107,"",0)</f>
        <v>VSS</v>
      </c>
      <c r="D1165" s="4" t="str">
        <f>_xlfn.XLOOKUP(A1165,[3]Sheet2!$I$2:$I$1623,[3]Sheet2!$D$2:$D$1623,"",0)</f>
        <v>Q3</v>
      </c>
      <c r="F1165" s="4" t="e">
        <f>_xlfn.XLOOKUP(B1165,[2]Sheet2!$E$2:$E$713,[2]Sheet2!$G$2:$G$713)</f>
        <v>#N/A</v>
      </c>
      <c r="G1165" s="22">
        <v>46176</v>
      </c>
      <c r="H1165" s="23">
        <v>0.75998842592592597</v>
      </c>
      <c r="I1165" t="s">
        <v>10</v>
      </c>
      <c r="J1165" s="2" t="str">
        <f t="shared" si="92"/>
        <v>Q1</v>
      </c>
      <c r="K1165" s="2" t="str">
        <f t="shared" si="93"/>
        <v>Not Match</v>
      </c>
      <c r="L1165" s="1">
        <f t="shared" si="90"/>
        <v>1.0387011119662866</v>
      </c>
      <c r="M1165" s="1" t="e">
        <f t="shared" si="91"/>
        <v>#N/A</v>
      </c>
      <c r="N1165" s="2" t="str">
        <f t="shared" si="94"/>
        <v>Q NOT OK dE&gt;0.8</v>
      </c>
      <c r="O1165">
        <v>23.03</v>
      </c>
      <c r="P1165">
        <v>17.809999999999999</v>
      </c>
      <c r="Q1165">
        <v>2.27</v>
      </c>
      <c r="R1165">
        <v>0.68</v>
      </c>
      <c r="S1165">
        <v>0.95</v>
      </c>
      <c r="T1165">
        <v>0.42</v>
      </c>
      <c r="U1165">
        <v>0.65</v>
      </c>
      <c r="V1165">
        <v>0.3</v>
      </c>
      <c r="W1165">
        <v>0.99</v>
      </c>
      <c r="X1165" t="s">
        <v>13</v>
      </c>
      <c r="Y1165" t="s">
        <v>9</v>
      </c>
      <c r="Z1165" s="2" t="s">
        <v>718</v>
      </c>
      <c r="AA1165" s="2" t="s">
        <v>721</v>
      </c>
    </row>
    <row r="1166" spans="1:27" x14ac:dyDescent="0.35">
      <c r="A1166" t="s">
        <v>2161</v>
      </c>
      <c r="B1166" t="s">
        <v>2205</v>
      </c>
      <c r="C1166" s="7" t="str">
        <f>_xlfn.XLOOKUP(B1166,'[1]Sheet 1'!$A$2:$A$11107,'[1]Sheet 1'!$D$2:$D$11107,"",0)</f>
        <v>VSS</v>
      </c>
      <c r="D1166" s="4" t="str">
        <f>_xlfn.XLOOKUP(A1166,[3]Sheet2!$I$2:$I$1623,[3]Sheet2!$D$2:$D$1623,"",0)</f>
        <v>Q3</v>
      </c>
      <c r="F1166" s="4" t="e">
        <f>_xlfn.XLOOKUP(B1166,[2]Sheet2!$E$2:$E$713,[2]Sheet2!$G$2:$G$713)</f>
        <v>#N/A</v>
      </c>
      <c r="G1166" s="22">
        <v>46176</v>
      </c>
      <c r="H1166" s="23">
        <v>0.77141203703703709</v>
      </c>
      <c r="I1166" t="s">
        <v>10</v>
      </c>
      <c r="J1166" s="2" t="str">
        <f t="shared" si="92"/>
        <v>Q1</v>
      </c>
      <c r="K1166" s="2" t="str">
        <f t="shared" si="93"/>
        <v>Not Match</v>
      </c>
      <c r="L1166" s="1">
        <f t="shared" si="90"/>
        <v>0.71847059786744227</v>
      </c>
      <c r="M1166" s="1" t="e">
        <f t="shared" si="91"/>
        <v>#N/A</v>
      </c>
      <c r="N1166" s="2" t="str">
        <f t="shared" si="94"/>
        <v>Q NOT OK dE&lt;=0.8</v>
      </c>
      <c r="O1166">
        <v>42.99</v>
      </c>
      <c r="P1166">
        <v>55.61</v>
      </c>
      <c r="Q1166">
        <v>42.18</v>
      </c>
      <c r="R1166">
        <v>0.3</v>
      </c>
      <c r="S1166">
        <v>0.41</v>
      </c>
      <c r="T1166">
        <v>0.59</v>
      </c>
      <c r="U1166">
        <v>0.23</v>
      </c>
      <c r="V1166">
        <v>0.16</v>
      </c>
      <c r="W1166">
        <v>0.41</v>
      </c>
      <c r="X1166" t="s">
        <v>8</v>
      </c>
      <c r="Y1166" t="s">
        <v>12</v>
      </c>
      <c r="Z1166" s="2" t="s">
        <v>718</v>
      </c>
      <c r="AA1166" s="2" t="s">
        <v>721</v>
      </c>
    </row>
    <row r="1167" spans="1:27" x14ac:dyDescent="0.35">
      <c r="A1167" t="s">
        <v>2206</v>
      </c>
      <c r="B1167" t="s">
        <v>2207</v>
      </c>
      <c r="C1167" s="7" t="str">
        <f>_xlfn.XLOOKUP(B1167,'[1]Sheet 1'!$A$2:$A$11107,'[1]Sheet 1'!$D$2:$D$11107,"",0)</f>
        <v>VSS</v>
      </c>
      <c r="D1167" s="4" t="str">
        <f>_xlfn.XLOOKUP(A1167,[3]Sheet2!$I$2:$I$1623,[3]Sheet2!$D$2:$D$1623,"",0)</f>
        <v>Q1</v>
      </c>
      <c r="F1167" s="4" t="e">
        <f>_xlfn.XLOOKUP(B1167,[2]Sheet2!$E$2:$E$713,[2]Sheet2!$G$2:$G$713)</f>
        <v>#N/A</v>
      </c>
      <c r="G1167" s="22">
        <v>46176</v>
      </c>
      <c r="H1167" s="23">
        <v>0.77427083333333335</v>
      </c>
      <c r="I1167" t="s">
        <v>10</v>
      </c>
      <c r="J1167" s="2" t="str">
        <f t="shared" si="92"/>
        <v>Q1</v>
      </c>
      <c r="K1167" s="2" t="str">
        <f t="shared" si="93"/>
        <v>Match</v>
      </c>
      <c r="L1167" s="1">
        <f t="shared" si="90"/>
        <v>0.28284271247461906</v>
      </c>
      <c r="M1167" s="1" t="e">
        <f t="shared" si="91"/>
        <v>#N/A</v>
      </c>
      <c r="N1167" s="2" t="str">
        <f t="shared" si="94"/>
        <v>Q OK dE&lt;=0.8</v>
      </c>
      <c r="O1167">
        <v>16.440000000000001</v>
      </c>
      <c r="P1167">
        <v>0.77</v>
      </c>
      <c r="Q1167">
        <v>-2.58</v>
      </c>
      <c r="R1167">
        <v>0.02</v>
      </c>
      <c r="S1167">
        <v>0.2</v>
      </c>
      <c r="T1167">
        <v>0.2</v>
      </c>
      <c r="U1167">
        <v>-0.18</v>
      </c>
      <c r="V1167">
        <v>0.32</v>
      </c>
      <c r="W1167">
        <v>0.37</v>
      </c>
      <c r="X1167" t="s">
        <v>8</v>
      </c>
      <c r="Y1167" t="s">
        <v>9</v>
      </c>
      <c r="Z1167" s="2" t="s">
        <v>718</v>
      </c>
      <c r="AA1167" s="2" t="s">
        <v>721</v>
      </c>
    </row>
    <row r="1168" spans="1:27" x14ac:dyDescent="0.35">
      <c r="A1168" t="s">
        <v>2148</v>
      </c>
      <c r="B1168" t="s">
        <v>2208</v>
      </c>
      <c r="C1168" s="7" t="str">
        <f>_xlfn.XLOOKUP(B1168,'[1]Sheet 1'!$A$2:$A$11107,'[1]Sheet 1'!$D$2:$D$11107,"",0)</f>
        <v>VSS</v>
      </c>
      <c r="D1168" s="4" t="str">
        <f>_xlfn.XLOOKUP(A1168,[3]Sheet2!$I$2:$I$1623,[3]Sheet2!$D$2:$D$1623,"",0)</f>
        <v>Q3</v>
      </c>
      <c r="F1168" s="4" t="e">
        <f>_xlfn.XLOOKUP(B1168,[2]Sheet2!$E$2:$E$713,[2]Sheet2!$G$2:$G$713)</f>
        <v>#N/A</v>
      </c>
      <c r="G1168" s="22">
        <v>46176</v>
      </c>
      <c r="H1168" s="23">
        <v>0.77651620370370367</v>
      </c>
      <c r="I1168" t="s">
        <v>10</v>
      </c>
      <c r="J1168" s="2" t="str">
        <f t="shared" si="92"/>
        <v>Q1</v>
      </c>
      <c r="K1168" s="2" t="str">
        <f t="shared" si="93"/>
        <v>Not Match</v>
      </c>
      <c r="L1168" s="1">
        <f t="shared" si="90"/>
        <v>1.881382470419027</v>
      </c>
      <c r="M1168" s="1" t="e">
        <f t="shared" si="91"/>
        <v>#N/A</v>
      </c>
      <c r="N1168" s="2" t="str">
        <f t="shared" si="94"/>
        <v>Q NOT OK dE&gt;0.8</v>
      </c>
      <c r="O1168">
        <v>44.25</v>
      </c>
      <c r="P1168">
        <v>55.4</v>
      </c>
      <c r="Q1168">
        <v>39.799999999999997</v>
      </c>
      <c r="R1168">
        <v>0.85</v>
      </c>
      <c r="S1168">
        <v>1.36</v>
      </c>
      <c r="T1168">
        <v>1.3</v>
      </c>
      <c r="U1168">
        <v>0.64</v>
      </c>
      <c r="V1168">
        <v>0.19</v>
      </c>
      <c r="W1168">
        <v>1.08</v>
      </c>
      <c r="X1168" t="s">
        <v>6</v>
      </c>
      <c r="Y1168" t="s">
        <v>12</v>
      </c>
      <c r="Z1168" s="2" t="s">
        <v>718</v>
      </c>
      <c r="AA1168" s="2" t="s">
        <v>721</v>
      </c>
    </row>
    <row r="1169" spans="1:27" x14ac:dyDescent="0.35">
      <c r="A1169" t="s">
        <v>1536</v>
      </c>
      <c r="B1169" t="s">
        <v>2209</v>
      </c>
      <c r="C1169" s="7" t="str">
        <f>_xlfn.XLOOKUP(B1169,'[1]Sheet 1'!$A$2:$A$11107,'[1]Sheet 1'!$D$2:$D$11107,"",0)</f>
        <v>NIK</v>
      </c>
      <c r="D1169" s="4" t="str">
        <f>_xlfn.XLOOKUP(A1169,[3]Sheet2!$I$2:$I$1623,[3]Sheet2!$D$2:$D$1623,"",0)</f>
        <v>Q2</v>
      </c>
      <c r="F1169" s="4" t="e">
        <f>_xlfn.XLOOKUP(B1169,[2]Sheet2!$E$2:$E$713,[2]Sheet2!$G$2:$G$713)</f>
        <v>#N/A</v>
      </c>
      <c r="G1169" s="22">
        <v>46176</v>
      </c>
      <c r="H1169" s="23">
        <v>0.77909722222222222</v>
      </c>
      <c r="I1169" t="s">
        <v>4</v>
      </c>
      <c r="J1169" s="2" t="str">
        <f t="shared" si="92"/>
        <v>Q3</v>
      </c>
      <c r="K1169" s="2" t="str">
        <f t="shared" si="93"/>
        <v>Not Match</v>
      </c>
      <c r="L1169" s="1">
        <f t="shared" si="90"/>
        <v>0.12529964086141668</v>
      </c>
      <c r="M1169" s="1" t="e">
        <f t="shared" si="91"/>
        <v>#N/A</v>
      </c>
      <c r="N1169" s="2" t="str">
        <f t="shared" si="94"/>
        <v>Q NOT OK dE&lt;=0.8</v>
      </c>
      <c r="O1169">
        <v>15.43</v>
      </c>
      <c r="P1169">
        <v>-0.75</v>
      </c>
      <c r="Q1169">
        <v>-1.88</v>
      </c>
      <c r="R1169">
        <v>-0.31</v>
      </c>
      <c r="S1169">
        <v>-0.11</v>
      </c>
      <c r="T1169">
        <v>-0.06</v>
      </c>
      <c r="U1169">
        <v>0.13</v>
      </c>
      <c r="V1169">
        <v>-0.11</v>
      </c>
      <c r="W1169">
        <v>0.35</v>
      </c>
      <c r="X1169" t="s">
        <v>8</v>
      </c>
      <c r="Y1169" t="s">
        <v>15</v>
      </c>
      <c r="Z1169" s="2" t="s">
        <v>718</v>
      </c>
      <c r="AA1169" s="2" t="s">
        <v>721</v>
      </c>
    </row>
    <row r="1170" spans="1:27" x14ac:dyDescent="0.35">
      <c r="A1170" t="s">
        <v>2156</v>
      </c>
      <c r="B1170" t="s">
        <v>2210</v>
      </c>
      <c r="C1170" s="7" t="str">
        <f>_xlfn.XLOOKUP(B1170,'[1]Sheet 1'!$A$2:$A$11107,'[1]Sheet 1'!$D$2:$D$11107,"",0)</f>
        <v>VSS</v>
      </c>
      <c r="D1170" s="4" t="str">
        <f>_xlfn.XLOOKUP(A1170,[3]Sheet2!$I$2:$I$1623,[3]Sheet2!$D$2:$D$1623,"",0)</f>
        <v>Q1</v>
      </c>
      <c r="F1170" s="4" t="e">
        <f>_xlfn.XLOOKUP(B1170,[2]Sheet2!$E$2:$E$713,[2]Sheet2!$G$2:$G$713)</f>
        <v>#N/A</v>
      </c>
      <c r="G1170" s="22">
        <v>46177</v>
      </c>
      <c r="H1170" s="23">
        <v>0.38027777777777777</v>
      </c>
      <c r="I1170" t="s">
        <v>10</v>
      </c>
      <c r="J1170" s="2" t="str">
        <f t="shared" si="92"/>
        <v>Q3</v>
      </c>
      <c r="K1170" s="2" t="str">
        <f t="shared" si="93"/>
        <v>Not Match</v>
      </c>
      <c r="L1170" s="1">
        <f t="shared" si="90"/>
        <v>0.31953090617340912</v>
      </c>
      <c r="M1170" s="1" t="e">
        <f t="shared" si="91"/>
        <v>#N/A</v>
      </c>
      <c r="N1170" s="2" t="str">
        <f t="shared" si="94"/>
        <v>Q NOT OK dE&lt;=0.8</v>
      </c>
      <c r="O1170">
        <v>26.2</v>
      </c>
      <c r="P1170">
        <v>-12.78</v>
      </c>
      <c r="Q1170">
        <v>-3.84</v>
      </c>
      <c r="R1170">
        <v>0.26</v>
      </c>
      <c r="S1170">
        <v>-0.11</v>
      </c>
      <c r="T1170">
        <v>-0.3</v>
      </c>
      <c r="U1170">
        <v>0.14000000000000001</v>
      </c>
      <c r="V1170">
        <v>0.25</v>
      </c>
      <c r="W1170">
        <v>0.39</v>
      </c>
      <c r="X1170" t="s">
        <v>8</v>
      </c>
      <c r="Y1170" t="s">
        <v>7</v>
      </c>
      <c r="Z1170" s="2" t="s">
        <v>718</v>
      </c>
      <c r="AA1170" s="2" t="s">
        <v>721</v>
      </c>
    </row>
    <row r="1171" spans="1:27" x14ac:dyDescent="0.35">
      <c r="A1171" t="s">
        <v>2156</v>
      </c>
      <c r="B1171" t="s">
        <v>2211</v>
      </c>
      <c r="C1171" s="7" t="str">
        <f>_xlfn.XLOOKUP(B1171,'[1]Sheet 1'!$A$2:$A$11107,'[1]Sheet 1'!$D$2:$D$11107,"",0)</f>
        <v>VSS</v>
      </c>
      <c r="D1171" s="4" t="str">
        <f>_xlfn.XLOOKUP(A1171,[3]Sheet2!$I$2:$I$1623,[3]Sheet2!$D$2:$D$1623,"",0)</f>
        <v>Q1</v>
      </c>
      <c r="F1171" s="4" t="e">
        <f>_xlfn.XLOOKUP(B1171,[2]Sheet2!$E$2:$E$713,[2]Sheet2!$G$2:$G$713)</f>
        <v>#N/A</v>
      </c>
      <c r="G1171" s="22">
        <v>46177</v>
      </c>
      <c r="H1171" s="23">
        <v>0.44493055555555555</v>
      </c>
      <c r="I1171" t="s">
        <v>10</v>
      </c>
      <c r="J1171" s="2" t="str">
        <f t="shared" si="92"/>
        <v>Q1</v>
      </c>
      <c r="K1171" s="2" t="str">
        <f t="shared" si="93"/>
        <v>Match</v>
      </c>
      <c r="L1171" s="1">
        <f t="shared" si="90"/>
        <v>0.50803543183522148</v>
      </c>
      <c r="M1171" s="1" t="e">
        <f t="shared" si="91"/>
        <v>#N/A</v>
      </c>
      <c r="N1171" s="2" t="str">
        <f t="shared" si="94"/>
        <v>Q OK dE&lt;=0.8</v>
      </c>
      <c r="O1171">
        <v>26.16</v>
      </c>
      <c r="P1171">
        <v>-12.58</v>
      </c>
      <c r="Q1171">
        <v>-3.03</v>
      </c>
      <c r="R1171">
        <v>0.24</v>
      </c>
      <c r="S1171">
        <v>0.09</v>
      </c>
      <c r="T1171">
        <v>0.5</v>
      </c>
      <c r="U1171">
        <v>-0.16</v>
      </c>
      <c r="V1171">
        <v>-0.44</v>
      </c>
      <c r="W1171">
        <v>0.53</v>
      </c>
      <c r="X1171" t="s">
        <v>8</v>
      </c>
      <c r="Y1171" t="s">
        <v>12</v>
      </c>
      <c r="Z1171" s="2" t="s">
        <v>718</v>
      </c>
      <c r="AA1171" s="2" t="s">
        <v>721</v>
      </c>
    </row>
    <row r="1172" spans="1:27" x14ac:dyDescent="0.35">
      <c r="A1172" t="s">
        <v>2144</v>
      </c>
      <c r="B1172" t="s">
        <v>2212</v>
      </c>
      <c r="C1172" s="7" t="str">
        <f>_xlfn.XLOOKUP(B1172,'[1]Sheet 1'!$A$2:$A$11107,'[1]Sheet 1'!$D$2:$D$11107,"",0)</f>
        <v>WACE</v>
      </c>
      <c r="D1172" s="4" t="str">
        <f>_xlfn.XLOOKUP(A1172,[3]Sheet2!$I$2:$I$1623,[3]Sheet2!$D$2:$D$1623,"",0)</f>
        <v>Q2</v>
      </c>
      <c r="F1172" s="4" t="e">
        <f>_xlfn.XLOOKUP(B1172,[2]Sheet2!$E$2:$E$713,[2]Sheet2!$G$2:$G$713)</f>
        <v>#N/A</v>
      </c>
      <c r="G1172" s="22">
        <v>46177</v>
      </c>
      <c r="H1172" s="23">
        <v>0.52263888888888888</v>
      </c>
      <c r="I1172" t="s">
        <v>4</v>
      </c>
      <c r="J1172" s="2" t="str">
        <f t="shared" si="92"/>
        <v>Q2</v>
      </c>
      <c r="K1172" s="2" t="str">
        <f t="shared" si="93"/>
        <v>Match</v>
      </c>
      <c r="L1172" s="1">
        <f t="shared" si="90"/>
        <v>0.28635642126552707</v>
      </c>
      <c r="M1172" s="1" t="e">
        <f t="shared" si="91"/>
        <v>#N/A</v>
      </c>
      <c r="N1172" s="2" t="str">
        <f t="shared" si="94"/>
        <v>Q OK dE&lt;=0.8</v>
      </c>
      <c r="O1172">
        <v>28.37</v>
      </c>
      <c r="P1172">
        <v>-14.81</v>
      </c>
      <c r="Q1172">
        <v>-5.74</v>
      </c>
      <c r="R1172">
        <v>0.06</v>
      </c>
      <c r="S1172">
        <v>-0.12</v>
      </c>
      <c r="T1172">
        <v>0.26</v>
      </c>
      <c r="U1172">
        <v>0.01</v>
      </c>
      <c r="V1172">
        <v>-0.26</v>
      </c>
      <c r="W1172">
        <v>0.27</v>
      </c>
      <c r="X1172" t="s">
        <v>8</v>
      </c>
      <c r="Y1172" t="s">
        <v>12</v>
      </c>
      <c r="Z1172" s="2" t="s">
        <v>718</v>
      </c>
      <c r="AA1172" s="2" t="s">
        <v>721</v>
      </c>
    </row>
    <row r="1173" spans="1:27" x14ac:dyDescent="0.35">
      <c r="A1173" t="s">
        <v>1715</v>
      </c>
      <c r="B1173" t="s">
        <v>2213</v>
      </c>
      <c r="C1173" s="7" t="str">
        <f>_xlfn.XLOOKUP(B1173,'[1]Sheet 1'!$A$2:$A$11107,'[1]Sheet 1'!$D$2:$D$11107,"",0)</f>
        <v/>
      </c>
      <c r="D1173" s="4" t="str">
        <f>_xlfn.XLOOKUP(A1173,[3]Sheet2!$I$2:$I$1623,[3]Sheet2!$D$2:$D$1623,"",0)</f>
        <v>Q1</v>
      </c>
      <c r="F1173" s="4" t="e">
        <f>_xlfn.XLOOKUP(B1173,[2]Sheet2!$E$2:$E$713,[2]Sheet2!$G$2:$G$713)</f>
        <v>#N/A</v>
      </c>
      <c r="G1173" s="22">
        <v>46177</v>
      </c>
      <c r="H1173" s="23">
        <v>0.70303240740740736</v>
      </c>
      <c r="I1173" t="s">
        <v>4</v>
      </c>
      <c r="J1173" s="2" t="str">
        <f t="shared" si="92"/>
        <v>Q4</v>
      </c>
      <c r="K1173" s="2" t="str">
        <f t="shared" si="93"/>
        <v>Not Match</v>
      </c>
      <c r="L1173" s="1">
        <f t="shared" si="90"/>
        <v>0.24186773244895649</v>
      </c>
      <c r="M1173" s="1" t="e">
        <f t="shared" si="91"/>
        <v>#N/A</v>
      </c>
      <c r="N1173" s="2" t="str">
        <f t="shared" si="94"/>
        <v>Q NOT OK dE&lt;=0.8</v>
      </c>
      <c r="O1173">
        <v>13.83</v>
      </c>
      <c r="P1173">
        <v>-0.13</v>
      </c>
      <c r="Q1173">
        <v>-2.33</v>
      </c>
      <c r="R1173">
        <v>-0.68</v>
      </c>
      <c r="S1173">
        <v>0.12</v>
      </c>
      <c r="T1173">
        <v>-0.21</v>
      </c>
      <c r="U1173">
        <v>0.25</v>
      </c>
      <c r="V1173">
        <v>0.18</v>
      </c>
      <c r="W1173">
        <v>0.75</v>
      </c>
      <c r="X1173" t="s">
        <v>13</v>
      </c>
      <c r="Y1173" t="s">
        <v>9</v>
      </c>
      <c r="Z1173" s="2" t="s">
        <v>718</v>
      </c>
      <c r="AA1173" s="2" t="s">
        <v>721</v>
      </c>
    </row>
    <row r="1174" spans="1:27" x14ac:dyDescent="0.35">
      <c r="A1174" t="s">
        <v>1626</v>
      </c>
      <c r="B1174" t="s">
        <v>2214</v>
      </c>
      <c r="C1174" s="7" t="str">
        <f>_xlfn.XLOOKUP(B1174,'[1]Sheet 1'!$A$2:$A$11107,'[1]Sheet 1'!$D$2:$D$11107,"",0)</f>
        <v>VSS</v>
      </c>
      <c r="D1174" s="4" t="str">
        <f>_xlfn.XLOOKUP(A1174,[3]Sheet2!$I$2:$I$1623,[3]Sheet2!$D$2:$D$1623,"",0)</f>
        <v>Q4</v>
      </c>
      <c r="F1174" s="4" t="e">
        <f>_xlfn.XLOOKUP(B1174,[2]Sheet2!$E$2:$E$713,[2]Sheet2!$G$2:$G$713)</f>
        <v>#N/A</v>
      </c>
      <c r="G1174" s="22">
        <v>46177</v>
      </c>
      <c r="H1174" s="23">
        <v>0.70512731481481483</v>
      </c>
      <c r="I1174" t="s">
        <v>10</v>
      </c>
      <c r="J1174" s="2" t="str">
        <f t="shared" si="92"/>
        <v>Q2</v>
      </c>
      <c r="K1174" s="2" t="str">
        <f t="shared" si="93"/>
        <v>Not Match</v>
      </c>
      <c r="L1174" s="1">
        <f t="shared" si="90"/>
        <v>9.2195444572928872E-2</v>
      </c>
      <c r="M1174" s="1" t="e">
        <f t="shared" si="91"/>
        <v>#N/A</v>
      </c>
      <c r="N1174" s="2" t="str">
        <f t="shared" si="94"/>
        <v>Q NOT OK dE&gt;0.8</v>
      </c>
      <c r="O1174">
        <v>16.64</v>
      </c>
      <c r="P1174">
        <v>0.52</v>
      </c>
      <c r="Q1174">
        <v>-1.53</v>
      </c>
      <c r="R1174">
        <v>1.04</v>
      </c>
      <c r="S1174">
        <v>-7.0000000000000007E-2</v>
      </c>
      <c r="T1174">
        <v>0.06</v>
      </c>
      <c r="U1174">
        <v>-0.1</v>
      </c>
      <c r="V1174">
        <v>-7.0000000000000007E-2</v>
      </c>
      <c r="W1174">
        <v>1.05</v>
      </c>
      <c r="X1174" t="s">
        <v>6</v>
      </c>
      <c r="Y1174" t="s">
        <v>15</v>
      </c>
      <c r="Z1174" s="2" t="s">
        <v>718</v>
      </c>
      <c r="AA1174" s="2" t="s">
        <v>721</v>
      </c>
    </row>
    <row r="1175" spans="1:27" x14ac:dyDescent="0.35">
      <c r="A1175" t="s">
        <v>2161</v>
      </c>
      <c r="B1175" t="s">
        <v>2215</v>
      </c>
      <c r="C1175" s="7" t="str">
        <f>_xlfn.XLOOKUP(B1175,'[1]Sheet 1'!$A$2:$A$11107,'[1]Sheet 1'!$D$2:$D$11107,"",0)</f>
        <v>VSS</v>
      </c>
      <c r="D1175" s="4" t="str">
        <f>_xlfn.XLOOKUP(A1175,[3]Sheet2!$I$2:$I$1623,[3]Sheet2!$D$2:$D$1623,"",0)</f>
        <v>Q3</v>
      </c>
      <c r="F1175" s="4" t="e">
        <f>_xlfn.XLOOKUP(B1175,[2]Sheet2!$E$2:$E$713,[2]Sheet2!$G$2:$G$713)</f>
        <v>#N/A</v>
      </c>
      <c r="G1175" s="22">
        <v>46177</v>
      </c>
      <c r="H1175" s="23">
        <v>0.71100694444444446</v>
      </c>
      <c r="I1175" t="s">
        <v>10</v>
      </c>
      <c r="J1175" s="2" t="str">
        <f t="shared" si="92"/>
        <v>Q4</v>
      </c>
      <c r="K1175" s="2" t="str">
        <f t="shared" si="93"/>
        <v>Not Match</v>
      </c>
      <c r="L1175" s="1">
        <f t="shared" si="90"/>
        <v>0.53</v>
      </c>
      <c r="M1175" s="1" t="e">
        <f t="shared" si="91"/>
        <v>#N/A</v>
      </c>
      <c r="N1175" s="2" t="str">
        <f t="shared" si="94"/>
        <v>Q NOT OK dE&lt;=0.8</v>
      </c>
      <c r="O1175">
        <v>42.65</v>
      </c>
      <c r="P1175">
        <v>55.66</v>
      </c>
      <c r="Q1175">
        <v>41.31</v>
      </c>
      <c r="R1175">
        <v>0.12</v>
      </c>
      <c r="S1175">
        <v>0.45</v>
      </c>
      <c r="T1175">
        <v>-0.28000000000000003</v>
      </c>
      <c r="U1175">
        <v>0.06</v>
      </c>
      <c r="V1175">
        <v>-0.35</v>
      </c>
      <c r="W1175">
        <v>0.37</v>
      </c>
      <c r="X1175" t="s">
        <v>8</v>
      </c>
      <c r="Y1175" t="s">
        <v>7</v>
      </c>
      <c r="Z1175" s="2" t="s">
        <v>718</v>
      </c>
      <c r="AA1175" s="2" t="s">
        <v>721</v>
      </c>
    </row>
    <row r="1176" spans="1:27" x14ac:dyDescent="0.35">
      <c r="A1176" t="s">
        <v>1688</v>
      </c>
      <c r="B1176" t="s">
        <v>2216</v>
      </c>
      <c r="C1176" s="7" t="str">
        <f>_xlfn.XLOOKUP(B1176,'[1]Sheet 1'!$A$2:$A$11107,'[1]Sheet 1'!$D$2:$D$11107,"",0)</f>
        <v>GAP</v>
      </c>
      <c r="D1176" s="4" t="str">
        <f>_xlfn.XLOOKUP(A1176,[3]Sheet2!$I$2:$I$1623,[3]Sheet2!$D$2:$D$1623,"",0)</f>
        <v>Q4</v>
      </c>
      <c r="F1176" s="4" t="e">
        <f>_xlfn.XLOOKUP(B1176,[2]Sheet2!$E$2:$E$713,[2]Sheet2!$G$2:$G$713)</f>
        <v>#N/A</v>
      </c>
      <c r="G1176" s="22">
        <v>46177</v>
      </c>
      <c r="H1176" s="23">
        <v>0.72339120370370369</v>
      </c>
      <c r="I1176" t="s">
        <v>18</v>
      </c>
      <c r="J1176" s="2" t="str">
        <f t="shared" si="92"/>
        <v>Q3</v>
      </c>
      <c r="K1176" s="2" t="str">
        <f t="shared" si="93"/>
        <v>Not Match</v>
      </c>
      <c r="L1176" s="1">
        <f t="shared" si="90"/>
        <v>0.94254973343585435</v>
      </c>
      <c r="M1176" s="1" t="e">
        <f t="shared" si="91"/>
        <v>#N/A</v>
      </c>
      <c r="N1176" s="2" t="str">
        <f t="shared" si="94"/>
        <v>Q NOT OK dE&gt;0.8</v>
      </c>
      <c r="O1176">
        <v>13.33</v>
      </c>
      <c r="P1176">
        <v>-0.66</v>
      </c>
      <c r="Q1176">
        <v>-2.66</v>
      </c>
      <c r="R1176">
        <v>0.18</v>
      </c>
      <c r="S1176">
        <v>-0.28000000000000003</v>
      </c>
      <c r="T1176">
        <v>-0.9</v>
      </c>
      <c r="U1176">
        <v>1.26</v>
      </c>
      <c r="V1176">
        <v>-0.09</v>
      </c>
      <c r="W1176">
        <v>1.27</v>
      </c>
      <c r="X1176" t="s">
        <v>6</v>
      </c>
      <c r="Y1176" t="s">
        <v>15</v>
      </c>
      <c r="Z1176" s="2" t="s">
        <v>718</v>
      </c>
      <c r="AA1176" s="2" t="s">
        <v>721</v>
      </c>
    </row>
    <row r="1177" spans="1:27" x14ac:dyDescent="0.35">
      <c r="A1177" t="s">
        <v>1501</v>
      </c>
      <c r="B1177" t="s">
        <v>2217</v>
      </c>
      <c r="C1177" s="7" t="str">
        <f>_xlfn.XLOOKUP(B1177,'[1]Sheet 1'!$A$2:$A$11107,'[1]Sheet 1'!$D$2:$D$11107,"",0)</f>
        <v>PINK</v>
      </c>
      <c r="D1177" s="4" t="str">
        <f>_xlfn.XLOOKUP(A1177,[3]Sheet2!$I$2:$I$1623,[3]Sheet2!$D$2:$D$1623,"",0)</f>
        <v>Q3</v>
      </c>
      <c r="F1177" s="4" t="e">
        <f>_xlfn.XLOOKUP(B1177,[2]Sheet2!$E$2:$E$713,[2]Sheet2!$G$2:$G$713)</f>
        <v>#N/A</v>
      </c>
      <c r="G1177" s="22">
        <v>46177</v>
      </c>
      <c r="H1177" s="23">
        <v>0.75384259259259256</v>
      </c>
      <c r="I1177" t="s">
        <v>10</v>
      </c>
      <c r="J1177" s="2" t="str">
        <f t="shared" si="92"/>
        <v>Q2</v>
      </c>
      <c r="K1177" s="2" t="str">
        <f t="shared" si="93"/>
        <v>Not Match</v>
      </c>
      <c r="L1177" s="1">
        <f t="shared" si="90"/>
        <v>0.57688820407423824</v>
      </c>
      <c r="M1177" s="1" t="e">
        <f t="shared" si="91"/>
        <v>#N/A</v>
      </c>
      <c r="N1177" s="2" t="str">
        <f t="shared" si="94"/>
        <v>Q NOT OK dE&lt;=0.8</v>
      </c>
      <c r="O1177">
        <v>49.07</v>
      </c>
      <c r="P1177">
        <v>57.53</v>
      </c>
      <c r="Q1177">
        <v>44.56</v>
      </c>
      <c r="R1177">
        <v>-0.53</v>
      </c>
      <c r="S1177">
        <v>-0.48</v>
      </c>
      <c r="T1177">
        <v>0.32</v>
      </c>
      <c r="U1177">
        <v>-0.06</v>
      </c>
      <c r="V1177">
        <v>0.38</v>
      </c>
      <c r="W1177">
        <v>0.65</v>
      </c>
      <c r="X1177" t="s">
        <v>8</v>
      </c>
      <c r="Y1177" t="s">
        <v>12</v>
      </c>
      <c r="Z1177" s="2" t="s">
        <v>718</v>
      </c>
      <c r="AA1177" s="2" t="s">
        <v>721</v>
      </c>
    </row>
    <row r="1178" spans="1:27" x14ac:dyDescent="0.35">
      <c r="A1178" t="s">
        <v>2156</v>
      </c>
      <c r="B1178" t="s">
        <v>2219</v>
      </c>
      <c r="C1178" s="7" t="str">
        <f>_xlfn.XLOOKUP(B1178,'[1]Sheet 1'!$A$2:$A$11107,'[1]Sheet 1'!$D$2:$D$11107,"",0)</f>
        <v>VSS</v>
      </c>
      <c r="D1178" s="4" t="str">
        <f>_xlfn.XLOOKUP(A1178,[3]Sheet2!$I$2:$I$1623,[3]Sheet2!$D$2:$D$1623,"",0)</f>
        <v>Q1</v>
      </c>
      <c r="F1178" s="4" t="e">
        <f>_xlfn.XLOOKUP(B1178,[2]Sheet2!$E$2:$E$713,[2]Sheet2!$G$2:$G$713)</f>
        <v>#N/A</v>
      </c>
      <c r="G1178" s="22">
        <v>46177</v>
      </c>
      <c r="H1178" s="23">
        <v>0.77105324074074078</v>
      </c>
      <c r="I1178" t="s">
        <v>10</v>
      </c>
      <c r="J1178" s="2" t="str">
        <f t="shared" si="92"/>
        <v>Q2</v>
      </c>
      <c r="K1178" s="2" t="str">
        <f t="shared" si="93"/>
        <v>Not Match</v>
      </c>
      <c r="L1178" s="1">
        <f t="shared" si="90"/>
        <v>0.80448741444475069</v>
      </c>
      <c r="M1178" s="1" t="e">
        <f t="shared" si="91"/>
        <v>#N/A</v>
      </c>
      <c r="N1178" s="2" t="str">
        <f t="shared" si="94"/>
        <v>Q NOT OK dE&gt;0.8</v>
      </c>
      <c r="O1178">
        <v>27.12</v>
      </c>
      <c r="P1178">
        <v>-13.13</v>
      </c>
      <c r="Q1178">
        <v>-2.87</v>
      </c>
      <c r="R1178">
        <v>0.9</v>
      </c>
      <c r="S1178">
        <v>-0.46</v>
      </c>
      <c r="T1178">
        <v>0.66</v>
      </c>
      <c r="U1178">
        <v>0.21</v>
      </c>
      <c r="V1178">
        <v>-0.73</v>
      </c>
      <c r="W1178">
        <v>1.18</v>
      </c>
      <c r="X1178" t="s">
        <v>6</v>
      </c>
      <c r="Y1178" t="s">
        <v>12</v>
      </c>
      <c r="Z1178" s="2" t="s">
        <v>718</v>
      </c>
      <c r="AA1178" s="2" t="s">
        <v>721</v>
      </c>
    </row>
    <row r="1179" spans="1:27" x14ac:dyDescent="0.35">
      <c r="A1179" t="s">
        <v>2156</v>
      </c>
      <c r="B1179" t="s">
        <v>2220</v>
      </c>
      <c r="C1179" s="7" t="str">
        <f>_xlfn.XLOOKUP(B1179,'[1]Sheet 1'!$A$2:$A$11107,'[1]Sheet 1'!$D$2:$D$11107,"",0)</f>
        <v>VSS</v>
      </c>
      <c r="D1179" s="4" t="str">
        <f>_xlfn.XLOOKUP(A1179,[3]Sheet2!$I$2:$I$1623,[3]Sheet2!$D$2:$D$1623,"",0)</f>
        <v>Q1</v>
      </c>
      <c r="F1179" s="4" t="e">
        <f>_xlfn.XLOOKUP(B1179,[2]Sheet2!$E$2:$E$713,[2]Sheet2!$G$2:$G$713)</f>
        <v>#N/A</v>
      </c>
      <c r="G1179" s="22">
        <v>46177</v>
      </c>
      <c r="H1179" s="23">
        <v>0.77223379629629629</v>
      </c>
      <c r="I1179" t="s">
        <v>10</v>
      </c>
      <c r="J1179" s="2" t="str">
        <f t="shared" si="92"/>
        <v>Q1</v>
      </c>
      <c r="K1179" s="2" t="str">
        <f t="shared" si="93"/>
        <v>Match</v>
      </c>
      <c r="L1179" s="1">
        <f t="shared" si="90"/>
        <v>0.85988371306822642</v>
      </c>
      <c r="M1179" s="1" t="e">
        <f t="shared" si="91"/>
        <v>#N/A</v>
      </c>
      <c r="N1179" s="2" t="str">
        <f t="shared" si="94"/>
        <v>Q OK dE&gt;0.8</v>
      </c>
      <c r="O1179">
        <v>26.5</v>
      </c>
      <c r="P1179">
        <v>-12.54</v>
      </c>
      <c r="Q1179">
        <v>-2.69</v>
      </c>
      <c r="R1179">
        <v>0.47</v>
      </c>
      <c r="S1179">
        <v>0.13</v>
      </c>
      <c r="T1179">
        <v>0.85</v>
      </c>
      <c r="U1179">
        <v>-0.24</v>
      </c>
      <c r="V1179">
        <v>-0.76</v>
      </c>
      <c r="W1179">
        <v>0.93</v>
      </c>
      <c r="X1179" t="s">
        <v>13</v>
      </c>
      <c r="Y1179" t="s">
        <v>12</v>
      </c>
      <c r="Z1179" s="2" t="s">
        <v>718</v>
      </c>
      <c r="AA1179" s="2" t="s">
        <v>721</v>
      </c>
    </row>
    <row r="1180" spans="1:27" x14ac:dyDescent="0.35">
      <c r="A1180" t="s">
        <v>1500</v>
      </c>
      <c r="B1180" t="s">
        <v>2221</v>
      </c>
      <c r="C1180" s="7" t="str">
        <f>_xlfn.XLOOKUP(B1180,'[1]Sheet 1'!$A$2:$A$11107,'[1]Sheet 1'!$D$2:$D$11107,"",0)</f>
        <v>LULU</v>
      </c>
      <c r="D1180" s="4" t="str">
        <f>_xlfn.XLOOKUP(A1180,[3]Sheet2!$I$2:$I$1623,[3]Sheet2!$D$2:$D$1623,"",0)</f>
        <v>Q2</v>
      </c>
      <c r="F1180" s="4" t="e">
        <f>_xlfn.XLOOKUP(B1180,[2]Sheet2!$E$2:$E$713,[2]Sheet2!$G$2:$G$713)</f>
        <v>#N/A</v>
      </c>
      <c r="G1180" s="22">
        <v>46178</v>
      </c>
      <c r="H1180" s="23">
        <v>0.10601851851851851</v>
      </c>
      <c r="I1180" t="s">
        <v>4</v>
      </c>
      <c r="J1180" s="2" t="str">
        <f t="shared" si="92"/>
        <v>Q1</v>
      </c>
      <c r="K1180" s="2" t="str">
        <f t="shared" si="93"/>
        <v>Not Match</v>
      </c>
      <c r="L1180" s="1">
        <f t="shared" si="90"/>
        <v>0.161245154965971</v>
      </c>
      <c r="M1180" s="1" t="e">
        <f t="shared" si="91"/>
        <v>#N/A</v>
      </c>
      <c r="N1180" s="2" t="str">
        <f t="shared" si="94"/>
        <v>Q NOT OK dE&lt;=0.8</v>
      </c>
      <c r="O1180">
        <v>17.899999999999999</v>
      </c>
      <c r="P1180">
        <v>-0.89</v>
      </c>
      <c r="Q1180">
        <v>-0.87</v>
      </c>
      <c r="R1180">
        <v>-0.15</v>
      </c>
      <c r="S1180">
        <v>0.08</v>
      </c>
      <c r="T1180">
        <v>0.14000000000000001</v>
      </c>
      <c r="U1180">
        <v>-0.21</v>
      </c>
      <c r="V1180">
        <v>-0.05</v>
      </c>
      <c r="W1180">
        <v>0.26</v>
      </c>
      <c r="X1180" t="s">
        <v>8</v>
      </c>
      <c r="Y1180" t="s">
        <v>12</v>
      </c>
      <c r="Z1180" s="2" t="s">
        <v>718</v>
      </c>
      <c r="AA1180" s="2" t="s">
        <v>721</v>
      </c>
    </row>
    <row r="1181" spans="1:27" x14ac:dyDescent="0.35">
      <c r="A1181" t="s">
        <v>2154</v>
      </c>
      <c r="B1181" t="s">
        <v>2222</v>
      </c>
      <c r="C1181" s="7" t="str">
        <f>_xlfn.XLOOKUP(B1181,'[1]Sheet 1'!$A$2:$A$11107,'[1]Sheet 1'!$D$2:$D$11107,"",0)</f>
        <v>THX</v>
      </c>
      <c r="D1181" s="4" t="str">
        <f>_xlfn.XLOOKUP(A1181,[3]Sheet2!$I$2:$I$1623,[3]Sheet2!$D$2:$D$1623,"",0)</f>
        <v>Q1</v>
      </c>
      <c r="F1181" s="4" t="e">
        <f>_xlfn.XLOOKUP(B1181,[2]Sheet2!$E$2:$E$713,[2]Sheet2!$G$2:$G$713)</f>
        <v>#N/A</v>
      </c>
      <c r="G1181" s="22">
        <v>46178</v>
      </c>
      <c r="H1181" s="23">
        <v>0.10989583333333333</v>
      </c>
      <c r="I1181" t="s">
        <v>11</v>
      </c>
      <c r="J1181" s="2" t="str">
        <f t="shared" si="92"/>
        <v>Q3</v>
      </c>
      <c r="K1181" s="2" t="str">
        <f t="shared" si="93"/>
        <v>Not Match</v>
      </c>
      <c r="L1181" s="1">
        <f t="shared" si="90"/>
        <v>0.25612496949731395</v>
      </c>
      <c r="M1181" s="1" t="e">
        <f t="shared" si="91"/>
        <v>#N/A</v>
      </c>
      <c r="N1181" s="2" t="str">
        <f t="shared" si="94"/>
        <v>Q NOT OK dE&lt;=0.8</v>
      </c>
      <c r="O1181">
        <v>18.190000000000001</v>
      </c>
      <c r="P1181">
        <v>-0.56000000000000005</v>
      </c>
      <c r="Q1181">
        <v>-2.81</v>
      </c>
      <c r="R1181">
        <v>-0.72</v>
      </c>
      <c r="S1181">
        <v>-0.2</v>
      </c>
      <c r="T1181">
        <v>-0.16</v>
      </c>
      <c r="U1181">
        <v>0.23</v>
      </c>
      <c r="V1181">
        <v>-0.23</v>
      </c>
      <c r="W1181">
        <v>0.79</v>
      </c>
      <c r="X1181" t="s">
        <v>13</v>
      </c>
      <c r="Y1181" t="s">
        <v>15</v>
      </c>
      <c r="Z1181" s="2" t="s">
        <v>718</v>
      </c>
      <c r="AA1181" s="2" t="s">
        <v>721</v>
      </c>
    </row>
    <row r="1182" spans="1:27" x14ac:dyDescent="0.35">
      <c r="A1182" t="s">
        <v>1639</v>
      </c>
      <c r="B1182" t="s">
        <v>2223</v>
      </c>
      <c r="C1182" s="7" t="str">
        <f>_xlfn.XLOOKUP(B1182,'[1]Sheet 1'!$A$2:$A$11107,'[1]Sheet 1'!$D$2:$D$11107,"",0)</f>
        <v>VSS</v>
      </c>
      <c r="D1182" s="4" t="str">
        <f>_xlfn.XLOOKUP(A1182,[3]Sheet2!$I$2:$I$1623,[3]Sheet2!$D$2:$D$1623,"",0)</f>
        <v>Q3</v>
      </c>
      <c r="F1182" s="4" t="e">
        <f>_xlfn.XLOOKUP(B1182,[2]Sheet2!$E$2:$E$713,[2]Sheet2!$G$2:$G$713)</f>
        <v>#N/A</v>
      </c>
      <c r="G1182" s="22">
        <v>46178</v>
      </c>
      <c r="H1182" s="23">
        <v>0.11224537037037037</v>
      </c>
      <c r="I1182" t="s">
        <v>11</v>
      </c>
      <c r="J1182" s="2" t="str">
        <f t="shared" si="92"/>
        <v>Q2</v>
      </c>
      <c r="K1182" s="2" t="str">
        <f t="shared" si="93"/>
        <v>Not Match</v>
      </c>
      <c r="L1182" s="1">
        <f t="shared" si="90"/>
        <v>0.31064449134018135</v>
      </c>
      <c r="M1182" s="1" t="e">
        <f t="shared" si="91"/>
        <v>#N/A</v>
      </c>
      <c r="N1182" s="2" t="str">
        <f t="shared" si="94"/>
        <v>Q NOT OK dE&gt;0.8</v>
      </c>
      <c r="O1182">
        <v>13.97</v>
      </c>
      <c r="P1182">
        <v>-0.99</v>
      </c>
      <c r="Q1182">
        <v>-1.58</v>
      </c>
      <c r="R1182">
        <v>-0.99</v>
      </c>
      <c r="S1182">
        <v>-0.26</v>
      </c>
      <c r="T1182">
        <v>0.17</v>
      </c>
      <c r="U1182">
        <v>-0.04</v>
      </c>
      <c r="V1182">
        <v>-0.42</v>
      </c>
      <c r="W1182">
        <v>1.08</v>
      </c>
      <c r="X1182" t="s">
        <v>6</v>
      </c>
      <c r="Y1182" t="s">
        <v>7</v>
      </c>
      <c r="Z1182" s="2" t="s">
        <v>718</v>
      </c>
      <c r="AA1182" s="2" t="s">
        <v>721</v>
      </c>
    </row>
    <row r="1183" spans="1:27" x14ac:dyDescent="0.35">
      <c r="A1183" t="s">
        <v>1540</v>
      </c>
      <c r="B1183" t="s">
        <v>2224</v>
      </c>
      <c r="C1183" s="7" t="str">
        <f>_xlfn.XLOOKUP(B1183,'[1]Sheet 1'!$A$2:$A$11107,'[1]Sheet 1'!$D$2:$D$11107,"",0)</f>
        <v>VSS</v>
      </c>
      <c r="D1183" s="4" t="str">
        <f>_xlfn.XLOOKUP(A1183,[3]Sheet2!$I$2:$I$1623,[3]Sheet2!$D$2:$D$1623,"",0)</f>
        <v>Q3</v>
      </c>
      <c r="F1183" s="4" t="e">
        <f>_xlfn.XLOOKUP(B1183,[2]Sheet2!$E$2:$E$713,[2]Sheet2!$G$2:$G$713)</f>
        <v>#N/A</v>
      </c>
      <c r="G1183" s="22">
        <v>46178</v>
      </c>
      <c r="H1183" s="23">
        <v>0.11644675925925926</v>
      </c>
      <c r="I1183" t="s">
        <v>11</v>
      </c>
      <c r="J1183" s="2" t="str">
        <f t="shared" si="92"/>
        <v>Q3</v>
      </c>
      <c r="K1183" s="2" t="str">
        <f t="shared" si="93"/>
        <v>Match</v>
      </c>
      <c r="L1183" s="1">
        <f t="shared" si="90"/>
        <v>0.25553864678361277</v>
      </c>
      <c r="M1183" s="1" t="e">
        <f t="shared" si="91"/>
        <v>#N/A</v>
      </c>
      <c r="N1183" s="2" t="str">
        <f t="shared" si="94"/>
        <v>Q OK dE&lt;=0.8</v>
      </c>
      <c r="O1183">
        <v>14.45</v>
      </c>
      <c r="P1183">
        <v>-0.67</v>
      </c>
      <c r="Q1183">
        <v>-1.98</v>
      </c>
      <c r="R1183">
        <v>0.2</v>
      </c>
      <c r="S1183">
        <v>-0.13</v>
      </c>
      <c r="T1183">
        <v>-0.22</v>
      </c>
      <c r="U1183">
        <v>0.34</v>
      </c>
      <c r="V1183">
        <v>-0.08</v>
      </c>
      <c r="W1183">
        <v>0.4</v>
      </c>
      <c r="X1183" t="s">
        <v>8</v>
      </c>
      <c r="Y1183" t="s">
        <v>15</v>
      </c>
      <c r="Z1183" s="2" t="s">
        <v>718</v>
      </c>
      <c r="AA1183" s="2" t="s">
        <v>721</v>
      </c>
    </row>
    <row r="1184" spans="1:27" x14ac:dyDescent="0.35">
      <c r="A1184" t="s">
        <v>1540</v>
      </c>
      <c r="B1184" t="s">
        <v>2225</v>
      </c>
      <c r="C1184" s="7" t="str">
        <f>_xlfn.XLOOKUP(B1184,'[1]Sheet 1'!$A$2:$A$11107,'[1]Sheet 1'!$D$2:$D$11107,"",0)</f>
        <v>VSS</v>
      </c>
      <c r="D1184" s="4" t="str">
        <f>_xlfn.XLOOKUP(A1184,[3]Sheet2!$I$2:$I$1623,[3]Sheet2!$D$2:$D$1623,"",0)</f>
        <v>Q3</v>
      </c>
      <c r="F1184" s="4" t="e">
        <f>_xlfn.XLOOKUP(B1184,[2]Sheet2!$E$2:$E$713,[2]Sheet2!$G$2:$G$713)</f>
        <v>#N/A</v>
      </c>
      <c r="G1184" s="22">
        <v>46178</v>
      </c>
      <c r="H1184" s="23">
        <v>0.11846064814814815</v>
      </c>
      <c r="I1184" t="s">
        <v>11</v>
      </c>
      <c r="J1184" s="2" t="str">
        <f t="shared" si="92"/>
        <v>Q1</v>
      </c>
      <c r="K1184" s="2" t="str">
        <f t="shared" si="93"/>
        <v>Not Match</v>
      </c>
      <c r="L1184" s="1">
        <f t="shared" si="90"/>
        <v>0.32695565448543629</v>
      </c>
      <c r="M1184" s="1" t="e">
        <f t="shared" si="91"/>
        <v>#N/A</v>
      </c>
      <c r="N1184" s="2" t="str">
        <f t="shared" si="94"/>
        <v>Q NOT OK dE&lt;=0.8</v>
      </c>
      <c r="O1184">
        <v>13.69</v>
      </c>
      <c r="P1184">
        <v>-0.41</v>
      </c>
      <c r="Q1184">
        <v>-1.46</v>
      </c>
      <c r="R1184">
        <v>-0.54</v>
      </c>
      <c r="S1184">
        <v>0.13</v>
      </c>
      <c r="T1184">
        <v>0.3</v>
      </c>
      <c r="U1184">
        <v>-0.43</v>
      </c>
      <c r="V1184">
        <v>0.05</v>
      </c>
      <c r="W1184">
        <v>0.69</v>
      </c>
      <c r="X1184" t="s">
        <v>8</v>
      </c>
      <c r="Y1184" t="s">
        <v>9</v>
      </c>
      <c r="Z1184" s="2" t="s">
        <v>718</v>
      </c>
      <c r="AA1184" s="2" t="s">
        <v>721</v>
      </c>
    </row>
    <row r="1185" spans="1:27" x14ac:dyDescent="0.35">
      <c r="A1185" t="s">
        <v>2156</v>
      </c>
      <c r="B1185" t="s">
        <v>2226</v>
      </c>
      <c r="C1185" s="7" t="str">
        <f>_xlfn.XLOOKUP(B1185,'[1]Sheet 1'!$A$2:$A$11107,'[1]Sheet 1'!$D$2:$D$11107,"",0)</f>
        <v>VSS</v>
      </c>
      <c r="D1185" s="4" t="str">
        <f>_xlfn.XLOOKUP(A1185,[3]Sheet2!$I$2:$I$1623,[3]Sheet2!$D$2:$D$1623,"",0)</f>
        <v>Q1</v>
      </c>
      <c r="F1185" s="4" t="e">
        <f>_xlfn.XLOOKUP(B1185,[2]Sheet2!$E$2:$E$713,[2]Sheet2!$G$2:$G$713)</f>
        <v>#N/A</v>
      </c>
      <c r="G1185" s="22">
        <v>46178</v>
      </c>
      <c r="H1185" s="23">
        <v>0.18708333333333332</v>
      </c>
      <c r="I1185" t="s">
        <v>10</v>
      </c>
      <c r="J1185" s="2" t="str">
        <f t="shared" si="92"/>
        <v>Q2</v>
      </c>
      <c r="K1185" s="2" t="str">
        <f t="shared" si="93"/>
        <v>Not Match</v>
      </c>
      <c r="L1185" s="1">
        <f t="shared" si="90"/>
        <v>0.54918120870983922</v>
      </c>
      <c r="M1185" s="1" t="e">
        <f t="shared" si="91"/>
        <v>#N/A</v>
      </c>
      <c r="N1185" s="2" t="str">
        <f t="shared" si="94"/>
        <v>Q NOT OK dE&lt;=0.8</v>
      </c>
      <c r="O1185">
        <v>25.91</v>
      </c>
      <c r="P1185">
        <v>-13.13</v>
      </c>
      <c r="Q1185">
        <v>-3.24</v>
      </c>
      <c r="R1185">
        <v>7.0000000000000007E-2</v>
      </c>
      <c r="S1185">
        <v>-0.46</v>
      </c>
      <c r="T1185">
        <v>0.3</v>
      </c>
      <c r="U1185">
        <v>0.27</v>
      </c>
      <c r="V1185">
        <v>-0.39</v>
      </c>
      <c r="W1185">
        <v>0.48</v>
      </c>
      <c r="X1185" t="s">
        <v>8</v>
      </c>
      <c r="Y1185" t="s">
        <v>12</v>
      </c>
      <c r="Z1185" s="2" t="s">
        <v>718</v>
      </c>
      <c r="AA1185" s="2" t="s">
        <v>721</v>
      </c>
    </row>
    <row r="1186" spans="1:27" x14ac:dyDescent="0.35">
      <c r="A1186" t="s">
        <v>1662</v>
      </c>
      <c r="B1186" t="s">
        <v>2227</v>
      </c>
      <c r="C1186" s="7" t="str">
        <f>_xlfn.XLOOKUP(B1186,'[1]Sheet 1'!$A$2:$A$11107,'[1]Sheet 1'!$D$2:$D$11107,"",0)</f>
        <v>CK</v>
      </c>
      <c r="D1186" s="4" t="str">
        <f>_xlfn.XLOOKUP(A1186,[3]Sheet2!$I$2:$I$1623,[3]Sheet2!$D$2:$D$1623,"",0)</f>
        <v>Q1</v>
      </c>
      <c r="F1186" s="4" t="e">
        <f>_xlfn.XLOOKUP(B1186,[2]Sheet2!$E$2:$E$713,[2]Sheet2!$G$2:$G$713)</f>
        <v>#N/A</v>
      </c>
      <c r="G1186" s="22">
        <v>46178</v>
      </c>
      <c r="H1186" s="23">
        <v>0.19048611111111111</v>
      </c>
      <c r="I1186" t="s">
        <v>11</v>
      </c>
      <c r="J1186" s="2" t="str">
        <f t="shared" si="92"/>
        <v>Q4</v>
      </c>
      <c r="K1186" s="2" t="str">
        <f t="shared" si="93"/>
        <v>Not Match</v>
      </c>
      <c r="L1186" s="1">
        <f t="shared" si="90"/>
        <v>0.15556349186104046</v>
      </c>
      <c r="M1186" s="1" t="e">
        <f t="shared" si="91"/>
        <v>#N/A</v>
      </c>
      <c r="N1186" s="2" t="str">
        <f t="shared" si="94"/>
        <v>Q NOT OK dE&lt;=0.8</v>
      </c>
      <c r="O1186">
        <v>17.13</v>
      </c>
      <c r="P1186">
        <v>-1.29</v>
      </c>
      <c r="Q1186">
        <v>-2.81</v>
      </c>
      <c r="R1186">
        <v>0.16</v>
      </c>
      <c r="S1186">
        <v>0.11</v>
      </c>
      <c r="T1186">
        <v>-0.11</v>
      </c>
      <c r="U1186">
        <v>7.0000000000000007E-2</v>
      </c>
      <c r="V1186">
        <v>0.19</v>
      </c>
      <c r="W1186">
        <v>0.26</v>
      </c>
      <c r="X1186" t="s">
        <v>8</v>
      </c>
      <c r="Y1186" t="s">
        <v>9</v>
      </c>
      <c r="Z1186" s="2" t="s">
        <v>718</v>
      </c>
      <c r="AA1186" s="2" t="s">
        <v>721</v>
      </c>
    </row>
    <row r="1187" spans="1:27" x14ac:dyDescent="0.35">
      <c r="A1187" t="s">
        <v>1752</v>
      </c>
      <c r="B1187" t="s">
        <v>2228</v>
      </c>
      <c r="C1187" s="7" t="str">
        <f>_xlfn.XLOOKUP(B1187,'[1]Sheet 1'!$A$2:$A$11107,'[1]Sheet 1'!$D$2:$D$11107,"",0)</f>
        <v>VSS</v>
      </c>
      <c r="D1187" s="4" t="str">
        <f>_xlfn.XLOOKUP(A1187,[3]Sheet2!$I$2:$I$1623,[3]Sheet2!$D$2:$D$1623,"",0)</f>
        <v>Q3</v>
      </c>
      <c r="F1187" s="4" t="e">
        <f>_xlfn.XLOOKUP(B1187,[2]Sheet2!$E$2:$E$713,[2]Sheet2!$G$2:$G$713)</f>
        <v>#N/A</v>
      </c>
      <c r="G1187" s="22">
        <v>46178</v>
      </c>
      <c r="H1187" s="23">
        <v>0.19361111111111112</v>
      </c>
      <c r="I1187" t="s">
        <v>11</v>
      </c>
      <c r="J1187" s="2" t="str">
        <f t="shared" si="92"/>
        <v>Q1</v>
      </c>
      <c r="K1187" s="2" t="str">
        <f t="shared" si="93"/>
        <v>Not Match</v>
      </c>
      <c r="L1187" s="1">
        <f t="shared" si="90"/>
        <v>0.14142135623730953</v>
      </c>
      <c r="M1187" s="1" t="e">
        <f t="shared" si="91"/>
        <v>#N/A</v>
      </c>
      <c r="N1187" s="2" t="str">
        <f t="shared" si="94"/>
        <v>Q NOT OK dE&lt;=0.8</v>
      </c>
      <c r="O1187">
        <v>17.55</v>
      </c>
      <c r="P1187">
        <v>-0.09</v>
      </c>
      <c r="Q1187">
        <v>-1.08</v>
      </c>
      <c r="R1187">
        <v>0.56000000000000005</v>
      </c>
      <c r="S1187">
        <v>0.14000000000000001</v>
      </c>
      <c r="T1187">
        <v>0.02</v>
      </c>
      <c r="U1187">
        <v>-0.06</v>
      </c>
      <c r="V1187">
        <v>0.2</v>
      </c>
      <c r="W1187">
        <v>0.6</v>
      </c>
      <c r="X1187" t="s">
        <v>8</v>
      </c>
      <c r="Y1187" t="s">
        <v>9</v>
      </c>
      <c r="Z1187" s="2" t="s">
        <v>718</v>
      </c>
      <c r="AA1187" s="2" t="s">
        <v>721</v>
      </c>
    </row>
    <row r="1188" spans="1:27" x14ac:dyDescent="0.35">
      <c r="A1188" t="s">
        <v>2156</v>
      </c>
      <c r="B1188" t="s">
        <v>2229</v>
      </c>
      <c r="C1188" s="7" t="str">
        <f>_xlfn.XLOOKUP(B1188,'[1]Sheet 1'!$A$2:$A$11107,'[1]Sheet 1'!$D$2:$D$11107,"",0)</f>
        <v>VSS</v>
      </c>
      <c r="D1188" s="4" t="str">
        <f>_xlfn.XLOOKUP(A1188,[3]Sheet2!$I$2:$I$1623,[3]Sheet2!$D$2:$D$1623,"",0)</f>
        <v>Q1</v>
      </c>
      <c r="F1188" s="4" t="e">
        <f>_xlfn.XLOOKUP(B1188,[2]Sheet2!$E$2:$E$713,[2]Sheet2!$G$2:$G$713)</f>
        <v>#N/A</v>
      </c>
      <c r="G1188" s="22">
        <v>46178</v>
      </c>
      <c r="H1188" s="23">
        <v>0.19575231481481481</v>
      </c>
      <c r="I1188" t="s">
        <v>11</v>
      </c>
      <c r="J1188" s="2" t="str">
        <f t="shared" si="92"/>
        <v>Q3</v>
      </c>
      <c r="K1188" s="2" t="str">
        <f t="shared" si="93"/>
        <v>Not Match</v>
      </c>
      <c r="L1188" s="1">
        <f t="shared" si="90"/>
        <v>0.80802227692063044</v>
      </c>
      <c r="M1188" s="1" t="e">
        <f t="shared" si="91"/>
        <v>#N/A</v>
      </c>
      <c r="N1188" s="2" t="str">
        <f t="shared" si="94"/>
        <v>Q NOT OK dE&gt;0.8</v>
      </c>
      <c r="O1188">
        <v>26.64</v>
      </c>
      <c r="P1188">
        <v>-10.95</v>
      </c>
      <c r="Q1188">
        <v>-2.06</v>
      </c>
      <c r="R1188">
        <v>0.52</v>
      </c>
      <c r="S1188">
        <v>-0.48</v>
      </c>
      <c r="T1188">
        <v>-0.65</v>
      </c>
      <c r="U1188">
        <v>0.47</v>
      </c>
      <c r="V1188">
        <v>0.59</v>
      </c>
      <c r="W1188">
        <v>0.92</v>
      </c>
      <c r="X1188" t="s">
        <v>13</v>
      </c>
      <c r="Y1188" t="s">
        <v>7</v>
      </c>
      <c r="Z1188" s="2" t="s">
        <v>718</v>
      </c>
      <c r="AA1188" s="2" t="s">
        <v>721</v>
      </c>
    </row>
    <row r="1189" spans="1:27" x14ac:dyDescent="0.35">
      <c r="A1189" t="s">
        <v>2156</v>
      </c>
      <c r="B1189" t="s">
        <v>2230</v>
      </c>
      <c r="C1189" s="7" t="str">
        <f>_xlfn.XLOOKUP(B1189,'[1]Sheet 1'!$A$2:$A$11107,'[1]Sheet 1'!$D$2:$D$11107,"",0)</f>
        <v>VSS</v>
      </c>
      <c r="D1189" s="4" t="str">
        <f>_xlfn.XLOOKUP(A1189,[3]Sheet2!$I$2:$I$1623,[3]Sheet2!$D$2:$D$1623,"",0)</f>
        <v>Q1</v>
      </c>
      <c r="F1189" s="4" t="e">
        <f>_xlfn.XLOOKUP(B1189,[2]Sheet2!$E$2:$E$713,[2]Sheet2!$G$2:$G$713)</f>
        <v>#N/A</v>
      </c>
      <c r="G1189" s="22">
        <v>46178</v>
      </c>
      <c r="H1189" s="23">
        <v>0.19953703703703704</v>
      </c>
      <c r="I1189" t="s">
        <v>11</v>
      </c>
      <c r="J1189" s="2" t="str">
        <f t="shared" si="92"/>
        <v>Q2</v>
      </c>
      <c r="K1189" s="2" t="str">
        <f t="shared" si="93"/>
        <v>Not Match</v>
      </c>
      <c r="L1189" s="1">
        <f t="shared" si="90"/>
        <v>0.42107006542854597</v>
      </c>
      <c r="M1189" s="1" t="e">
        <f t="shared" si="91"/>
        <v>#N/A</v>
      </c>
      <c r="N1189" s="2" t="str">
        <f t="shared" si="94"/>
        <v>Q NOT OK dE&lt;=0.8</v>
      </c>
      <c r="O1189">
        <v>25.94</v>
      </c>
      <c r="P1189">
        <v>-10.9</v>
      </c>
      <c r="Q1189">
        <v>-1.39</v>
      </c>
      <c r="R1189">
        <v>0.05</v>
      </c>
      <c r="S1189">
        <v>-0.42</v>
      </c>
      <c r="T1189">
        <v>0.03</v>
      </c>
      <c r="U1189">
        <v>0.34</v>
      </c>
      <c r="V1189">
        <v>-0.09</v>
      </c>
      <c r="W1189">
        <v>0.35</v>
      </c>
      <c r="X1189" t="s">
        <v>8</v>
      </c>
      <c r="Y1189" t="s">
        <v>12</v>
      </c>
      <c r="Z1189" s="2" t="s">
        <v>718</v>
      </c>
      <c r="AA1189" s="2" t="s">
        <v>721</v>
      </c>
    </row>
    <row r="1190" spans="1:27" x14ac:dyDescent="0.35">
      <c r="A1190" t="s">
        <v>2167</v>
      </c>
      <c r="B1190" t="s">
        <v>2142</v>
      </c>
      <c r="C1190" s="7" t="str">
        <f>_xlfn.XLOOKUP(B1190,'[1]Sheet 1'!$A$2:$A$11107,'[1]Sheet 1'!$D$2:$D$11107,"",0)</f>
        <v>CHICOS</v>
      </c>
      <c r="D1190" s="4" t="str">
        <f>_xlfn.XLOOKUP(A1190,[3]Sheet2!$I$2:$I$1623,[3]Sheet2!$D$2:$D$1623,"",0)</f>
        <v>Q1</v>
      </c>
      <c r="F1190" s="4" t="e">
        <f>_xlfn.XLOOKUP(B1190,[2]Sheet2!$E$2:$E$713,[2]Sheet2!$G$2:$G$713)</f>
        <v>#N/A</v>
      </c>
      <c r="G1190" s="22">
        <v>46178</v>
      </c>
      <c r="H1190" s="23">
        <v>0.26255787037037037</v>
      </c>
      <c r="I1190" t="s">
        <v>14</v>
      </c>
      <c r="J1190" s="2" t="str">
        <f t="shared" si="92"/>
        <v>Q1</v>
      </c>
      <c r="K1190" s="2" t="str">
        <f t="shared" si="93"/>
        <v>Match</v>
      </c>
      <c r="L1190" s="1">
        <f t="shared" ref="L1190:L1241" si="95">SQRT(S1190^2+T1190^2)</f>
        <v>1.344804818551748</v>
      </c>
      <c r="M1190" s="1" t="e">
        <f t="shared" ref="M1190:M1241" si="96">IF(L1190&lt;=F1190,"Within Range","Over Range")</f>
        <v>#N/A</v>
      </c>
      <c r="N1190" s="2" t="str">
        <f t="shared" si="94"/>
        <v>Q OK dE&gt;0.8</v>
      </c>
      <c r="O1190">
        <v>31.56</v>
      </c>
      <c r="P1190">
        <v>35.119999999999997</v>
      </c>
      <c r="Q1190">
        <v>16.510000000000002</v>
      </c>
      <c r="R1190">
        <v>-0.56000000000000005</v>
      </c>
      <c r="S1190">
        <v>0.47</v>
      </c>
      <c r="T1190">
        <v>1.26</v>
      </c>
      <c r="U1190">
        <v>0.42</v>
      </c>
      <c r="V1190">
        <v>0.74</v>
      </c>
      <c r="W1190">
        <v>1.02</v>
      </c>
      <c r="X1190" t="s">
        <v>6</v>
      </c>
      <c r="Y1190" t="s">
        <v>12</v>
      </c>
      <c r="Z1190" s="2" t="s">
        <v>718</v>
      </c>
      <c r="AA1190" s="2" t="s">
        <v>721</v>
      </c>
    </row>
    <row r="1191" spans="1:27" x14ac:dyDescent="0.35">
      <c r="A1191" t="s">
        <v>1721</v>
      </c>
      <c r="B1191" t="s">
        <v>2231</v>
      </c>
      <c r="C1191" s="7" t="str">
        <f>_xlfn.XLOOKUP(B1191,'[1]Sheet 1'!$A$2:$A$11107,'[1]Sheet 1'!$D$2:$D$11107,"",0)</f>
        <v>LULU</v>
      </c>
      <c r="D1191" s="4" t="str">
        <f>_xlfn.XLOOKUP(A1191,[3]Sheet2!$I$2:$I$1623,[3]Sheet2!$D$2:$D$1623,"",0)</f>
        <v>Q3</v>
      </c>
      <c r="F1191" s="4" t="e">
        <f>_xlfn.XLOOKUP(B1191,[2]Sheet2!$E$2:$E$713,[2]Sheet2!$G$2:$G$713)</f>
        <v>#N/A</v>
      </c>
      <c r="G1191" s="22">
        <v>46178</v>
      </c>
      <c r="H1191" s="23">
        <v>0.27087962962962964</v>
      </c>
      <c r="I1191" t="s">
        <v>4</v>
      </c>
      <c r="J1191" s="2" t="str">
        <f t="shared" si="92"/>
        <v>Q3</v>
      </c>
      <c r="K1191" s="2" t="str">
        <f t="shared" si="93"/>
        <v>Match</v>
      </c>
      <c r="L1191" s="1">
        <f t="shared" si="95"/>
        <v>0.29120439557122074</v>
      </c>
      <c r="M1191" s="1" t="e">
        <f t="shared" si="96"/>
        <v>#N/A</v>
      </c>
      <c r="N1191" s="2" t="str">
        <f t="shared" si="94"/>
        <v>Q OK dE&lt;=0.8</v>
      </c>
      <c r="O1191">
        <v>17.350000000000001</v>
      </c>
      <c r="P1191">
        <v>-0.46</v>
      </c>
      <c r="Q1191">
        <v>-1.1499999999999999</v>
      </c>
      <c r="R1191">
        <v>-0.13</v>
      </c>
      <c r="S1191">
        <v>-0.28000000000000003</v>
      </c>
      <c r="T1191">
        <v>-0.08</v>
      </c>
      <c r="U1191">
        <v>0.22</v>
      </c>
      <c r="V1191">
        <v>-0.36</v>
      </c>
      <c r="W1191">
        <v>0.44</v>
      </c>
      <c r="X1191" t="s">
        <v>8</v>
      </c>
      <c r="Y1191" t="s">
        <v>15</v>
      </c>
      <c r="Z1191" s="2" t="s">
        <v>718</v>
      </c>
      <c r="AA1191" s="2" t="s">
        <v>721</v>
      </c>
    </row>
    <row r="1192" spans="1:27" x14ac:dyDescent="0.35">
      <c r="A1192" t="s">
        <v>2232</v>
      </c>
      <c r="B1192" t="s">
        <v>2233</v>
      </c>
      <c r="C1192" s="7" t="str">
        <f>_xlfn.XLOOKUP(B1192,'[1]Sheet 1'!$A$2:$A$11107,'[1]Sheet 1'!$D$2:$D$11107,"",0)</f>
        <v>VSS</v>
      </c>
      <c r="D1192" s="4" t="str">
        <f>_xlfn.XLOOKUP(A1192,[3]Sheet2!$I$2:$I$1623,[3]Sheet2!$D$2:$D$1623,"",0)</f>
        <v>Q3</v>
      </c>
      <c r="F1192" s="4" t="e">
        <f>_xlfn.XLOOKUP(B1192,[2]Sheet2!$E$2:$E$713,[2]Sheet2!$G$2:$G$713)</f>
        <v>#N/A</v>
      </c>
      <c r="G1192" s="22">
        <v>46178</v>
      </c>
      <c r="H1192" s="23">
        <v>0.27467592592592593</v>
      </c>
      <c r="I1192" t="s">
        <v>10</v>
      </c>
      <c r="J1192" s="2" t="str">
        <f t="shared" si="92"/>
        <v>Q2</v>
      </c>
      <c r="K1192" s="2" t="str">
        <f t="shared" si="93"/>
        <v>Not Match</v>
      </c>
      <c r="L1192" s="1">
        <f t="shared" si="95"/>
        <v>0.21931712199461309</v>
      </c>
      <c r="M1192" s="1" t="e">
        <f t="shared" si="96"/>
        <v>#N/A</v>
      </c>
      <c r="N1192" s="2" t="str">
        <f t="shared" si="94"/>
        <v>Q NOT OK dE&lt;=0.8</v>
      </c>
      <c r="O1192">
        <v>17.149999999999999</v>
      </c>
      <c r="P1192">
        <v>0.76</v>
      </c>
      <c r="Q1192">
        <v>-0.39</v>
      </c>
      <c r="R1192">
        <v>0.16</v>
      </c>
      <c r="S1192">
        <v>-0.16</v>
      </c>
      <c r="T1192">
        <v>0.15</v>
      </c>
      <c r="U1192">
        <v>-0.3</v>
      </c>
      <c r="V1192">
        <v>7.0000000000000007E-2</v>
      </c>
      <c r="W1192">
        <v>0.35</v>
      </c>
      <c r="X1192" t="s">
        <v>8</v>
      </c>
      <c r="Y1192" t="s">
        <v>9</v>
      </c>
      <c r="Z1192" s="2" t="s">
        <v>718</v>
      </c>
      <c r="AA1192" s="2" t="s">
        <v>721</v>
      </c>
    </row>
    <row r="1193" spans="1:27" x14ac:dyDescent="0.35">
      <c r="A1193" t="s">
        <v>1668</v>
      </c>
      <c r="B1193" t="s">
        <v>2234</v>
      </c>
      <c r="C1193" s="7" t="str">
        <f>_xlfn.XLOOKUP(B1193,'[1]Sheet 1'!$A$2:$A$11107,'[1]Sheet 1'!$D$2:$D$11107,"",0)</f>
        <v>VSS</v>
      </c>
      <c r="D1193" s="4" t="str">
        <f>_xlfn.XLOOKUP(A1193,[3]Sheet2!$I$2:$I$1623,[3]Sheet2!$D$2:$D$1623,"",0)</f>
        <v>Q4</v>
      </c>
      <c r="F1193" s="4" t="e">
        <f>_xlfn.XLOOKUP(B1193,[2]Sheet2!$E$2:$E$713,[2]Sheet2!$G$2:$G$713)</f>
        <v>#N/A</v>
      </c>
      <c r="G1193" s="22">
        <v>46178</v>
      </c>
      <c r="H1193" s="23">
        <v>0.28604166666666669</v>
      </c>
      <c r="I1193" t="s">
        <v>10</v>
      </c>
      <c r="J1193" s="2" t="str">
        <f t="shared" si="92"/>
        <v>Q2</v>
      </c>
      <c r="K1193" s="2" t="str">
        <f t="shared" si="93"/>
        <v>Not Match</v>
      </c>
      <c r="L1193" s="1">
        <f t="shared" si="95"/>
        <v>0.81743501270743235</v>
      </c>
      <c r="M1193" s="1" t="e">
        <f t="shared" si="96"/>
        <v>#N/A</v>
      </c>
      <c r="N1193" s="2" t="str">
        <f t="shared" si="94"/>
        <v>Q NOT OK dE&lt;=0.8</v>
      </c>
      <c r="O1193">
        <v>51.91</v>
      </c>
      <c r="P1193">
        <v>47.14</v>
      </c>
      <c r="Q1193">
        <v>-1.91</v>
      </c>
      <c r="R1193">
        <v>0.1</v>
      </c>
      <c r="S1193">
        <v>-0.79</v>
      </c>
      <c r="T1193">
        <v>0.21</v>
      </c>
      <c r="U1193">
        <v>-0.32</v>
      </c>
      <c r="V1193">
        <v>0.1</v>
      </c>
      <c r="W1193">
        <v>0.35</v>
      </c>
      <c r="X1193" t="s">
        <v>8</v>
      </c>
      <c r="Y1193" t="s">
        <v>9</v>
      </c>
      <c r="Z1193" s="2" t="s">
        <v>718</v>
      </c>
      <c r="AA1193" s="2" t="s">
        <v>721</v>
      </c>
    </row>
    <row r="1194" spans="1:27" x14ac:dyDescent="0.35">
      <c r="A1194" t="s">
        <v>1688</v>
      </c>
      <c r="B1194" t="s">
        <v>2235</v>
      </c>
      <c r="C1194" s="7" t="str">
        <f>_xlfn.XLOOKUP(B1194,'[1]Sheet 1'!$A$2:$A$11107,'[1]Sheet 1'!$D$2:$D$11107,"",0)</f>
        <v>GAP</v>
      </c>
      <c r="D1194" s="4" t="str">
        <f>_xlfn.XLOOKUP(A1194,[3]Sheet2!$I$2:$I$1623,[3]Sheet2!$D$2:$D$1623,"",0)</f>
        <v>Q4</v>
      </c>
      <c r="F1194" s="4" t="e">
        <f>_xlfn.XLOOKUP(B1194,[2]Sheet2!$E$2:$E$713,[2]Sheet2!$G$2:$G$713)</f>
        <v>#N/A</v>
      </c>
      <c r="G1194" s="22">
        <v>46178</v>
      </c>
      <c r="H1194" s="23">
        <v>0.2893634259259259</v>
      </c>
      <c r="I1194" t="s">
        <v>14</v>
      </c>
      <c r="J1194" s="2" t="str">
        <f t="shared" si="92"/>
        <v>Q3</v>
      </c>
      <c r="K1194" s="2" t="str">
        <f t="shared" si="93"/>
        <v>Not Match</v>
      </c>
      <c r="L1194" s="1">
        <f t="shared" si="95"/>
        <v>0.85726308680591157</v>
      </c>
      <c r="M1194" s="1" t="e">
        <f t="shared" si="96"/>
        <v>#N/A</v>
      </c>
      <c r="N1194" s="2" t="str">
        <f t="shared" si="94"/>
        <v>Q NOT OK dE&gt;0.8</v>
      </c>
      <c r="O1194">
        <v>13.97</v>
      </c>
      <c r="P1194">
        <v>-0.52</v>
      </c>
      <c r="Q1194">
        <v>-2.61</v>
      </c>
      <c r="R1194">
        <v>0.84</v>
      </c>
      <c r="S1194">
        <v>-0.25</v>
      </c>
      <c r="T1194">
        <v>-0.82</v>
      </c>
      <c r="U1194">
        <v>1.1399999999999999</v>
      </c>
      <c r="V1194">
        <v>-0.14000000000000001</v>
      </c>
      <c r="W1194">
        <v>1.42</v>
      </c>
      <c r="X1194" t="s">
        <v>6</v>
      </c>
      <c r="Y1194" t="s">
        <v>15</v>
      </c>
      <c r="Z1194" s="2" t="s">
        <v>718</v>
      </c>
      <c r="AA1194" s="2" t="s">
        <v>721</v>
      </c>
    </row>
    <row r="1195" spans="1:27" x14ac:dyDescent="0.35">
      <c r="A1195" t="s">
        <v>2156</v>
      </c>
      <c r="B1195" t="s">
        <v>2236</v>
      </c>
      <c r="C1195" s="7" t="str">
        <f>_xlfn.XLOOKUP(B1195,'[1]Sheet 1'!$A$2:$A$11107,'[1]Sheet 1'!$D$2:$D$11107,"",0)</f>
        <v>VSS</v>
      </c>
      <c r="D1195" s="4" t="str">
        <f>_xlfn.XLOOKUP(A1195,[3]Sheet2!$I$2:$I$1623,[3]Sheet2!$D$2:$D$1623,"",0)</f>
        <v>Q1</v>
      </c>
      <c r="F1195" s="4" t="e">
        <f>_xlfn.XLOOKUP(B1195,[2]Sheet2!$E$2:$E$713,[2]Sheet2!$G$2:$G$713)</f>
        <v>#N/A</v>
      </c>
      <c r="G1195" s="22">
        <v>46178</v>
      </c>
      <c r="H1195" s="23">
        <v>0.45340277777777777</v>
      </c>
      <c r="I1195" t="s">
        <v>10</v>
      </c>
      <c r="J1195" s="2" t="str">
        <f t="shared" si="92"/>
        <v>Q2</v>
      </c>
      <c r="K1195" s="2" t="str">
        <f t="shared" si="93"/>
        <v>Not Match</v>
      </c>
      <c r="L1195" s="1">
        <f t="shared" si="95"/>
        <v>0.3818376618407357</v>
      </c>
      <c r="M1195" s="1" t="e">
        <f t="shared" si="96"/>
        <v>#N/A</v>
      </c>
      <c r="N1195" s="2" t="str">
        <f t="shared" si="94"/>
        <v>Q NOT OK dE&lt;=0.8</v>
      </c>
      <c r="O1195">
        <v>26.4</v>
      </c>
      <c r="P1195">
        <v>-12.94</v>
      </c>
      <c r="Q1195">
        <v>-3.27</v>
      </c>
      <c r="R1195">
        <v>0.4</v>
      </c>
      <c r="S1195">
        <v>-0.27</v>
      </c>
      <c r="T1195">
        <v>0.27</v>
      </c>
      <c r="U1195">
        <v>0.14000000000000001</v>
      </c>
      <c r="V1195">
        <v>-0.31</v>
      </c>
      <c r="W1195">
        <v>0.53</v>
      </c>
      <c r="X1195" t="s">
        <v>8</v>
      </c>
      <c r="Y1195" t="s">
        <v>12</v>
      </c>
      <c r="Z1195" s="2" t="s">
        <v>718</v>
      </c>
      <c r="AA1195" s="2" t="s">
        <v>721</v>
      </c>
    </row>
    <row r="1196" spans="1:27" x14ac:dyDescent="0.35">
      <c r="A1196" t="s">
        <v>1752</v>
      </c>
      <c r="B1196" t="s">
        <v>2237</v>
      </c>
      <c r="C1196" s="7" t="str">
        <f>_xlfn.XLOOKUP(B1196,'[1]Sheet 1'!$A$2:$A$11107,'[1]Sheet 1'!$D$2:$D$11107,"",0)</f>
        <v>VSS</v>
      </c>
      <c r="D1196" s="4" t="str">
        <f>_xlfn.XLOOKUP(A1196,[3]Sheet2!$I$2:$I$1623,[3]Sheet2!$D$2:$D$1623,"",0)</f>
        <v>Q3</v>
      </c>
      <c r="F1196" s="4" t="e">
        <f>_xlfn.XLOOKUP(B1196,[2]Sheet2!$E$2:$E$713,[2]Sheet2!$G$2:$G$713)</f>
        <v>#N/A</v>
      </c>
      <c r="G1196" s="22">
        <v>46178</v>
      </c>
      <c r="H1196" s="23">
        <v>0.48245370370370372</v>
      </c>
      <c r="I1196" t="s">
        <v>10</v>
      </c>
      <c r="J1196" s="2" t="str">
        <f t="shared" si="92"/>
        <v>Q1</v>
      </c>
      <c r="K1196" s="2" t="str">
        <f t="shared" si="93"/>
        <v>Not Match</v>
      </c>
      <c r="L1196" s="1">
        <f t="shared" si="95"/>
        <v>0.27513632984395209</v>
      </c>
      <c r="M1196" s="1" t="e">
        <f t="shared" si="96"/>
        <v>#N/A</v>
      </c>
      <c r="N1196" s="2" t="str">
        <f t="shared" si="94"/>
        <v>Q NOT OK dE&lt;=0.8</v>
      </c>
      <c r="O1196">
        <v>17.170000000000002</v>
      </c>
      <c r="P1196">
        <v>0.78</v>
      </c>
      <c r="Q1196">
        <v>-0.67</v>
      </c>
      <c r="R1196">
        <v>0.04</v>
      </c>
      <c r="S1196">
        <v>0.26</v>
      </c>
      <c r="T1196">
        <v>0.09</v>
      </c>
      <c r="U1196">
        <v>0.15</v>
      </c>
      <c r="V1196">
        <v>0.37</v>
      </c>
      <c r="W1196">
        <v>0.4</v>
      </c>
      <c r="X1196" t="s">
        <v>8</v>
      </c>
      <c r="Y1196" t="s">
        <v>9</v>
      </c>
      <c r="Z1196" s="2" t="s">
        <v>718</v>
      </c>
      <c r="AA1196" s="2" t="s">
        <v>721</v>
      </c>
    </row>
    <row r="1197" spans="1:27" x14ac:dyDescent="0.35">
      <c r="A1197" t="s">
        <v>2156</v>
      </c>
      <c r="B1197" t="s">
        <v>2238</v>
      </c>
      <c r="C1197" s="7" t="str">
        <f>_xlfn.XLOOKUP(B1197,'[1]Sheet 1'!$A$2:$A$11107,'[1]Sheet 1'!$D$2:$D$11107,"",0)</f>
        <v>VSS</v>
      </c>
      <c r="D1197" s="4" t="str">
        <f>_xlfn.XLOOKUP(A1197,[3]Sheet2!$I$2:$I$1623,[3]Sheet2!$D$2:$D$1623,"",0)</f>
        <v>Q1</v>
      </c>
      <c r="F1197" s="4" t="e">
        <f>_xlfn.XLOOKUP(B1197,[2]Sheet2!$E$2:$E$713,[2]Sheet2!$G$2:$G$713)</f>
        <v>#N/A</v>
      </c>
      <c r="G1197" s="22">
        <v>46178</v>
      </c>
      <c r="H1197" s="23">
        <v>0.48736111111111113</v>
      </c>
      <c r="I1197" t="s">
        <v>10</v>
      </c>
      <c r="J1197" s="2" t="str">
        <f t="shared" ref="J1197:J1250" si="97">IF(OR(S1197=0,T1197=0),D1197,IF(AND(S1197&gt;0,T1197&gt;0),"Q1",IF(AND(S1197&lt;0,T1197&gt;0),"Q2",IF(AND(S1197&lt;0,T1197&lt;0),"Q3",IF(AND(S1197&gt;0,T1197&lt;0),"Q4","")))))</f>
        <v>Q2</v>
      </c>
      <c r="K1197" s="2" t="str">
        <f t="shared" ref="K1197:K1250" si="98">IF(J1197=D1197,"Match",IF(AND(J1197=0,D1197="Match"),"da and db 0",IF(D1197=0,"Not Found","Not Match")))</f>
        <v>Not Match</v>
      </c>
      <c r="L1197" s="1">
        <f t="shared" si="95"/>
        <v>0.44721359549995793</v>
      </c>
      <c r="M1197" s="1" t="e">
        <f t="shared" si="96"/>
        <v>#N/A</v>
      </c>
      <c r="N1197" s="2" t="str">
        <f t="shared" ref="N1197:N1250" si="99">IF(D1197=0,"Quadrant not assigned",IF(AND(K1197="Match",W1197&lt;=0.8),"Q OK dE&lt;=0.8",IF(AND(K1197="Match",W1197&gt;0.8),"Q OK dE&gt;0.8",IF(AND(K1197="Not Match",W1197&lt;=0.8),"Q NOT OK dE&lt;=0.8","Q NOT OK dE&gt;0.8"))))</f>
        <v>Q NOT OK dE&lt;=0.8</v>
      </c>
      <c r="O1197">
        <v>26.02</v>
      </c>
      <c r="P1197">
        <v>-13.11</v>
      </c>
      <c r="Q1197">
        <v>-3.46</v>
      </c>
      <c r="R1197">
        <v>0.14000000000000001</v>
      </c>
      <c r="S1197">
        <v>-0.44</v>
      </c>
      <c r="T1197">
        <v>0.08</v>
      </c>
      <c r="U1197">
        <v>0.3</v>
      </c>
      <c r="V1197">
        <v>-0.19</v>
      </c>
      <c r="W1197">
        <v>0.38</v>
      </c>
      <c r="X1197" t="s">
        <v>8</v>
      </c>
      <c r="Y1197" t="s">
        <v>12</v>
      </c>
      <c r="Z1197" s="2" t="s">
        <v>718</v>
      </c>
      <c r="AA1197" s="2" t="s">
        <v>721</v>
      </c>
    </row>
    <row r="1198" spans="1:27" x14ac:dyDescent="0.35">
      <c r="A1198" t="s">
        <v>1545</v>
      </c>
      <c r="B1198" t="s">
        <v>2239</v>
      </c>
      <c r="C1198" s="7" t="str">
        <f>_xlfn.XLOOKUP(B1198,'[1]Sheet 1'!$A$2:$A$11107,'[1]Sheet 1'!$D$2:$D$11107,"",0)</f>
        <v>NIK</v>
      </c>
      <c r="D1198" s="4" t="str">
        <f>_xlfn.XLOOKUP(A1198,[3]Sheet2!$I$2:$I$1623,[3]Sheet2!$D$2:$D$1623,"",0)</f>
        <v>Q2</v>
      </c>
      <c r="F1198" s="4" t="e">
        <f>_xlfn.XLOOKUP(B1198,[2]Sheet2!$E$2:$E$713,[2]Sheet2!$G$2:$G$713)</f>
        <v>#N/A</v>
      </c>
      <c r="G1198" s="22">
        <v>46178</v>
      </c>
      <c r="H1198" s="23">
        <v>0.49065972222222221</v>
      </c>
      <c r="I1198" t="s">
        <v>4</v>
      </c>
      <c r="J1198" s="2" t="str">
        <f t="shared" si="97"/>
        <v>Q4</v>
      </c>
      <c r="K1198" s="2" t="str">
        <f t="shared" si="98"/>
        <v>Not Match</v>
      </c>
      <c r="L1198" s="1">
        <f t="shared" si="95"/>
        <v>0.38052595180880899</v>
      </c>
      <c r="M1198" s="1" t="e">
        <f t="shared" si="96"/>
        <v>#N/A</v>
      </c>
      <c r="N1198" s="2" t="str">
        <f t="shared" si="99"/>
        <v>Q NOT OK dE&lt;=0.8</v>
      </c>
      <c r="O1198">
        <v>18.75</v>
      </c>
      <c r="P1198">
        <v>-0.87</v>
      </c>
      <c r="Q1198">
        <v>-2.0099999999999998</v>
      </c>
      <c r="R1198">
        <v>0.26</v>
      </c>
      <c r="S1198">
        <v>0.02</v>
      </c>
      <c r="T1198">
        <v>-0.38</v>
      </c>
      <c r="U1198">
        <v>0.45</v>
      </c>
      <c r="V1198">
        <v>0.25</v>
      </c>
      <c r="W1198">
        <v>0.57999999999999996</v>
      </c>
      <c r="X1198" t="s">
        <v>8</v>
      </c>
      <c r="Y1198" t="s">
        <v>9</v>
      </c>
      <c r="Z1198" s="2" t="s">
        <v>718</v>
      </c>
      <c r="AA1198" s="2" t="s">
        <v>721</v>
      </c>
    </row>
    <row r="1199" spans="1:27" x14ac:dyDescent="0.35">
      <c r="A1199" t="s">
        <v>1533</v>
      </c>
      <c r="B1199" t="s">
        <v>2240</v>
      </c>
      <c r="C1199" s="7" t="str">
        <f>_xlfn.XLOOKUP(B1199,'[1]Sheet 1'!$A$2:$A$11107,'[1]Sheet 1'!$D$2:$D$11107,"",0)</f>
        <v>M&amp;S</v>
      </c>
      <c r="D1199" s="4" t="str">
        <f>_xlfn.XLOOKUP(A1199,[3]Sheet2!$I$2:$I$1623,[3]Sheet2!$D$2:$D$1623,"",0)</f>
        <v>Q2</v>
      </c>
      <c r="F1199" s="4" t="e">
        <f>_xlfn.XLOOKUP(B1199,[2]Sheet2!$E$2:$E$713,[2]Sheet2!$G$2:$G$713)</f>
        <v>#N/A</v>
      </c>
      <c r="G1199" s="22">
        <v>46178</v>
      </c>
      <c r="H1199" s="23">
        <v>0.49589120370370371</v>
      </c>
      <c r="I1199" t="s">
        <v>17</v>
      </c>
      <c r="J1199" s="2" t="str">
        <f t="shared" si="97"/>
        <v>Q2</v>
      </c>
      <c r="K1199" s="2" t="str">
        <f t="shared" si="98"/>
        <v>Match</v>
      </c>
      <c r="L1199" s="1">
        <f t="shared" si="95"/>
        <v>0.59539902586416782</v>
      </c>
      <c r="M1199" s="1" t="e">
        <f t="shared" si="96"/>
        <v>#N/A</v>
      </c>
      <c r="N1199" s="2" t="str">
        <f t="shared" si="99"/>
        <v>Q OK dE&lt;=0.8</v>
      </c>
      <c r="O1199">
        <v>25.93</v>
      </c>
      <c r="P1199">
        <v>0.48</v>
      </c>
      <c r="Q1199">
        <v>9.56</v>
      </c>
      <c r="R1199">
        <v>0.47</v>
      </c>
      <c r="S1199">
        <v>-0.08</v>
      </c>
      <c r="T1199">
        <v>0.59</v>
      </c>
      <c r="U1199">
        <v>0.51</v>
      </c>
      <c r="V1199">
        <v>0.16</v>
      </c>
      <c r="W1199">
        <v>0.71</v>
      </c>
      <c r="X1199" t="s">
        <v>8</v>
      </c>
      <c r="Y1199" t="s">
        <v>15</v>
      </c>
      <c r="Z1199" s="2" t="s">
        <v>718</v>
      </c>
      <c r="AA1199" s="2" t="s">
        <v>721</v>
      </c>
    </row>
    <row r="1200" spans="1:27" x14ac:dyDescent="0.35">
      <c r="A1200" t="s">
        <v>1501</v>
      </c>
      <c r="B1200" t="s">
        <v>2241</v>
      </c>
      <c r="C1200" s="7" t="str">
        <f>_xlfn.XLOOKUP(B1200,'[1]Sheet 1'!$A$2:$A$11107,'[1]Sheet 1'!$D$2:$D$11107,"",0)</f>
        <v>PINK</v>
      </c>
      <c r="D1200" s="4" t="str">
        <f>_xlfn.XLOOKUP(A1200,[3]Sheet2!$I$2:$I$1623,[3]Sheet2!$D$2:$D$1623,"",0)</f>
        <v>Q3</v>
      </c>
      <c r="F1200" s="4" t="e">
        <f>_xlfn.XLOOKUP(B1200,[2]Sheet2!$E$2:$E$713,[2]Sheet2!$G$2:$G$713)</f>
        <v>#N/A</v>
      </c>
      <c r="G1200" s="22">
        <v>46178</v>
      </c>
      <c r="H1200" s="23">
        <v>0.59254629629629629</v>
      </c>
      <c r="I1200" t="s">
        <v>10</v>
      </c>
      <c r="J1200" s="2" t="str">
        <f t="shared" si="97"/>
        <v>Q2</v>
      </c>
      <c r="K1200" s="2" t="str">
        <f t="shared" si="98"/>
        <v>Not Match</v>
      </c>
      <c r="L1200" s="1">
        <f t="shared" si="95"/>
        <v>0.67416615162732696</v>
      </c>
      <c r="M1200" s="1" t="e">
        <f t="shared" si="96"/>
        <v>#N/A</v>
      </c>
      <c r="N1200" s="2" t="str">
        <f t="shared" si="99"/>
        <v>Q NOT OK dE&lt;=0.8</v>
      </c>
      <c r="O1200">
        <v>48.81</v>
      </c>
      <c r="P1200">
        <v>57.38</v>
      </c>
      <c r="Q1200">
        <v>44.49</v>
      </c>
      <c r="R1200">
        <v>-0.65</v>
      </c>
      <c r="S1200">
        <v>-0.63</v>
      </c>
      <c r="T1200">
        <v>0.24</v>
      </c>
      <c r="U1200">
        <v>-0.12</v>
      </c>
      <c r="V1200">
        <v>0.4</v>
      </c>
      <c r="W1200">
        <v>0.77</v>
      </c>
      <c r="X1200" t="s">
        <v>13</v>
      </c>
      <c r="Y1200" t="s">
        <v>12</v>
      </c>
      <c r="Z1200" s="2" t="s">
        <v>718</v>
      </c>
      <c r="AA1200" s="2" t="s">
        <v>721</v>
      </c>
    </row>
    <row r="1201" spans="1:27" x14ac:dyDescent="0.35">
      <c r="A1201" t="s">
        <v>2156</v>
      </c>
      <c r="B1201" t="s">
        <v>2242</v>
      </c>
      <c r="C1201" s="7" t="str">
        <f>_xlfn.XLOOKUP(B1201,'[1]Sheet 1'!$A$2:$A$11107,'[1]Sheet 1'!$D$2:$D$11107,"",0)</f>
        <v>VSS</v>
      </c>
      <c r="D1201" s="4" t="str">
        <f>_xlfn.XLOOKUP(A1201,[3]Sheet2!$I$2:$I$1623,[3]Sheet2!$D$2:$D$1623,"",0)</f>
        <v>Q1</v>
      </c>
      <c r="F1201" s="4" t="e">
        <f>_xlfn.XLOOKUP(B1201,[2]Sheet2!$E$2:$E$713,[2]Sheet2!$G$2:$G$713)</f>
        <v>#N/A</v>
      </c>
      <c r="G1201" s="22">
        <v>46178</v>
      </c>
      <c r="H1201" s="23">
        <v>0.59613425925925922</v>
      </c>
      <c r="I1201" t="s">
        <v>10</v>
      </c>
      <c r="J1201" s="2" t="str">
        <f t="shared" si="97"/>
        <v>Q1</v>
      </c>
      <c r="K1201" s="2" t="str">
        <f t="shared" si="98"/>
        <v>Match</v>
      </c>
      <c r="L1201" s="1">
        <f t="shared" si="95"/>
        <v>0.61392181912683308</v>
      </c>
      <c r="M1201" s="1" t="e">
        <f t="shared" si="96"/>
        <v>#N/A</v>
      </c>
      <c r="N1201" s="2" t="str">
        <f t="shared" si="99"/>
        <v>Q OK dE&lt;=0.8</v>
      </c>
      <c r="O1201">
        <v>26.45</v>
      </c>
      <c r="P1201">
        <v>-12.54</v>
      </c>
      <c r="Q1201">
        <v>-2.94</v>
      </c>
      <c r="R1201">
        <v>0.44</v>
      </c>
      <c r="S1201">
        <v>0.13</v>
      </c>
      <c r="T1201">
        <v>0.6</v>
      </c>
      <c r="U1201">
        <v>-0.2</v>
      </c>
      <c r="V1201">
        <v>-0.53</v>
      </c>
      <c r="W1201">
        <v>0.71</v>
      </c>
      <c r="X1201" t="s">
        <v>8</v>
      </c>
      <c r="Y1201" t="s">
        <v>12</v>
      </c>
      <c r="Z1201" s="2" t="s">
        <v>718</v>
      </c>
      <c r="AA1201" s="2" t="s">
        <v>721</v>
      </c>
    </row>
    <row r="1202" spans="1:27" x14ac:dyDescent="0.35">
      <c r="A1202" t="s">
        <v>1668</v>
      </c>
      <c r="B1202" t="s">
        <v>2243</v>
      </c>
      <c r="C1202" s="7" t="str">
        <f>_xlfn.XLOOKUP(B1202,'[1]Sheet 1'!$A$2:$A$11107,'[1]Sheet 1'!$D$2:$D$11107,"",0)</f>
        <v>VSS</v>
      </c>
      <c r="D1202" s="4" t="str">
        <f>_xlfn.XLOOKUP(A1202,[3]Sheet2!$I$2:$I$1623,[3]Sheet2!$D$2:$D$1623,"",0)</f>
        <v>Q4</v>
      </c>
      <c r="F1202" s="4" t="e">
        <f>_xlfn.XLOOKUP(B1202,[2]Sheet2!$E$2:$E$713,[2]Sheet2!$G$2:$G$713)</f>
        <v>#N/A</v>
      </c>
      <c r="G1202" s="22">
        <v>46178</v>
      </c>
      <c r="H1202" s="23">
        <v>0.61140046296296291</v>
      </c>
      <c r="I1202" t="s">
        <v>10</v>
      </c>
      <c r="J1202" s="2" t="str">
        <f t="shared" si="97"/>
        <v>Q1</v>
      </c>
      <c r="K1202" s="2" t="str">
        <f t="shared" si="98"/>
        <v>Not Match</v>
      </c>
      <c r="L1202" s="1">
        <f t="shared" si="95"/>
        <v>1.8398097727754354</v>
      </c>
      <c r="M1202" s="1" t="e">
        <f t="shared" si="96"/>
        <v>#N/A</v>
      </c>
      <c r="N1202" s="2" t="str">
        <f t="shared" si="99"/>
        <v>Q NOT OK dE&gt;0.8</v>
      </c>
      <c r="O1202">
        <v>51.36</v>
      </c>
      <c r="P1202">
        <v>48.68</v>
      </c>
      <c r="Q1202">
        <v>-0.45</v>
      </c>
      <c r="R1202">
        <v>-0.15</v>
      </c>
      <c r="S1202">
        <v>0.75</v>
      </c>
      <c r="T1202">
        <v>1.68</v>
      </c>
      <c r="U1202">
        <v>0.28000000000000003</v>
      </c>
      <c r="V1202">
        <v>0.97</v>
      </c>
      <c r="W1202">
        <v>1.02</v>
      </c>
      <c r="X1202" t="s">
        <v>6</v>
      </c>
      <c r="Y1202" t="s">
        <v>9</v>
      </c>
      <c r="Z1202" s="2" t="s">
        <v>718</v>
      </c>
      <c r="AA1202" s="2" t="s">
        <v>721</v>
      </c>
    </row>
    <row r="1203" spans="1:27" x14ac:dyDescent="0.35">
      <c r="A1203" t="s">
        <v>1650</v>
      </c>
      <c r="B1203" t="s">
        <v>2244</v>
      </c>
      <c r="C1203" s="7" t="str">
        <f>_xlfn.XLOOKUP(B1203,'[1]Sheet 1'!$A$2:$A$11107,'[1]Sheet 1'!$D$2:$D$11107,"",0)</f>
        <v>WACE</v>
      </c>
      <c r="D1203" s="4" t="str">
        <f>_xlfn.XLOOKUP(A1203,[3]Sheet2!$I$2:$I$1623,[3]Sheet2!$D$2:$D$1623,"",0)</f>
        <v>Q4</v>
      </c>
      <c r="F1203" s="4" t="e">
        <f>_xlfn.XLOOKUP(B1203,[2]Sheet2!$E$2:$E$713,[2]Sheet2!$G$2:$G$713)</f>
        <v>#N/A</v>
      </c>
      <c r="G1203" s="22">
        <v>46178</v>
      </c>
      <c r="H1203" s="23">
        <v>0.61329861111111106</v>
      </c>
      <c r="I1203" t="s">
        <v>4</v>
      </c>
      <c r="J1203" s="2" t="str">
        <f t="shared" si="97"/>
        <v>Q1</v>
      </c>
      <c r="K1203" s="2" t="str">
        <f t="shared" si="98"/>
        <v>Not Match</v>
      </c>
      <c r="L1203" s="1">
        <f t="shared" si="95"/>
        <v>0.27313000567495327</v>
      </c>
      <c r="M1203" s="1" t="e">
        <f t="shared" si="96"/>
        <v>#N/A</v>
      </c>
      <c r="N1203" s="2" t="str">
        <f t="shared" si="99"/>
        <v>Q NOT OK dE&gt;0.8</v>
      </c>
      <c r="O1203">
        <v>15.91</v>
      </c>
      <c r="P1203">
        <v>-0.35</v>
      </c>
      <c r="Q1203">
        <v>-2</v>
      </c>
      <c r="R1203">
        <v>-1.2</v>
      </c>
      <c r="S1203">
        <v>0.11</v>
      </c>
      <c r="T1203">
        <v>0.25</v>
      </c>
      <c r="U1203">
        <v>-0.34</v>
      </c>
      <c r="V1203">
        <v>0.09</v>
      </c>
      <c r="W1203">
        <v>1.25</v>
      </c>
      <c r="X1203" t="s">
        <v>6</v>
      </c>
      <c r="Y1203" t="s">
        <v>9</v>
      </c>
      <c r="Z1203" s="2" t="s">
        <v>718</v>
      </c>
      <c r="AA1203" s="2" t="s">
        <v>721</v>
      </c>
    </row>
    <row r="1204" spans="1:27" x14ac:dyDescent="0.35">
      <c r="A1204" t="s">
        <v>2156</v>
      </c>
      <c r="B1204" t="s">
        <v>2247</v>
      </c>
      <c r="C1204" s="7" t="str">
        <f>_xlfn.XLOOKUP(B1204,'[1]Sheet 1'!$A$2:$A$11107,'[1]Sheet 1'!$D$2:$D$11107,"",0)</f>
        <v>VSS</v>
      </c>
      <c r="D1204" s="4" t="str">
        <f>_xlfn.XLOOKUP(A1204,[3]Sheet2!$I$2:$I$1623,[3]Sheet2!$D$2:$D$1623,"",0)</f>
        <v>Q1</v>
      </c>
      <c r="F1204" s="4" t="e">
        <f>_xlfn.XLOOKUP(B1204,[2]Sheet2!$E$2:$E$713,[2]Sheet2!$G$2:$G$713)</f>
        <v>#N/A</v>
      </c>
      <c r="G1204" s="22">
        <v>46178</v>
      </c>
      <c r="H1204" s="23">
        <v>0.76907407407407402</v>
      </c>
      <c r="I1204" t="s">
        <v>10</v>
      </c>
      <c r="J1204" s="2" t="str">
        <f t="shared" si="97"/>
        <v>Q2</v>
      </c>
      <c r="K1204" s="2" t="str">
        <f t="shared" si="98"/>
        <v>Not Match</v>
      </c>
      <c r="L1204" s="1">
        <f t="shared" si="95"/>
        <v>0.62649820430708336</v>
      </c>
      <c r="M1204" s="1" t="e">
        <f t="shared" si="96"/>
        <v>#N/A</v>
      </c>
      <c r="N1204" s="2" t="str">
        <f t="shared" si="99"/>
        <v>Q NOT OK dE&gt;0.8</v>
      </c>
      <c r="O1204">
        <v>26.8</v>
      </c>
      <c r="P1204">
        <v>-12.93</v>
      </c>
      <c r="Q1204">
        <v>-2.96</v>
      </c>
      <c r="R1204">
        <v>0.68</v>
      </c>
      <c r="S1204">
        <v>-0.26</v>
      </c>
      <c r="T1204">
        <v>0.56999999999999995</v>
      </c>
      <c r="U1204">
        <v>0.08</v>
      </c>
      <c r="V1204">
        <v>-0.59</v>
      </c>
      <c r="W1204">
        <v>0.91</v>
      </c>
      <c r="X1204" t="s">
        <v>13</v>
      </c>
      <c r="Y1204" t="s">
        <v>12</v>
      </c>
      <c r="Z1204" s="2" t="s">
        <v>718</v>
      </c>
      <c r="AA1204" s="2" t="s">
        <v>721</v>
      </c>
    </row>
    <row r="1205" spans="1:27" x14ac:dyDescent="0.35">
      <c r="A1205" t="s">
        <v>2156</v>
      </c>
      <c r="B1205" t="s">
        <v>2248</v>
      </c>
      <c r="C1205" s="7" t="str">
        <f>_xlfn.XLOOKUP(B1205,'[1]Sheet 1'!$A$2:$A$11107,'[1]Sheet 1'!$D$2:$D$11107,"",0)</f>
        <v>VSS</v>
      </c>
      <c r="D1205" s="4" t="str">
        <f>_xlfn.XLOOKUP(A1205,[3]Sheet2!$I$2:$I$1623,[3]Sheet2!$D$2:$D$1623,"",0)</f>
        <v>Q1</v>
      </c>
      <c r="F1205" s="4" t="e">
        <f>_xlfn.XLOOKUP(B1205,[2]Sheet2!$E$2:$E$713,[2]Sheet2!$G$2:$G$713)</f>
        <v>#N/A</v>
      </c>
      <c r="G1205" s="22">
        <v>46178</v>
      </c>
      <c r="H1205" s="23">
        <v>0.7713888888888889</v>
      </c>
      <c r="I1205" t="s">
        <v>10</v>
      </c>
      <c r="J1205" s="2" t="str">
        <f t="shared" si="97"/>
        <v>Q2</v>
      </c>
      <c r="K1205" s="2" t="str">
        <f t="shared" si="98"/>
        <v>Not Match</v>
      </c>
      <c r="L1205" s="1">
        <f t="shared" si="95"/>
        <v>0.5923681287847955</v>
      </c>
      <c r="M1205" s="1" t="e">
        <f t="shared" si="96"/>
        <v>#N/A</v>
      </c>
      <c r="N1205" s="2" t="str">
        <f t="shared" si="99"/>
        <v>Q NOT OK dE&lt;=0.8</v>
      </c>
      <c r="O1205">
        <v>26.07</v>
      </c>
      <c r="P1205">
        <v>-12.89</v>
      </c>
      <c r="Q1205">
        <v>-2.98</v>
      </c>
      <c r="R1205">
        <v>0.18</v>
      </c>
      <c r="S1205">
        <v>-0.22</v>
      </c>
      <c r="T1205">
        <v>0.55000000000000004</v>
      </c>
      <c r="U1205">
        <v>0.06</v>
      </c>
      <c r="V1205">
        <v>-0.56999999999999995</v>
      </c>
      <c r="W1205">
        <v>0.6</v>
      </c>
      <c r="X1205" t="s">
        <v>8</v>
      </c>
      <c r="Y1205" t="s">
        <v>12</v>
      </c>
      <c r="Z1205" s="2" t="s">
        <v>718</v>
      </c>
      <c r="AA1205" s="2" t="s">
        <v>721</v>
      </c>
    </row>
    <row r="1206" spans="1:27" x14ac:dyDescent="0.35">
      <c r="A1206" t="s">
        <v>2161</v>
      </c>
      <c r="B1206" t="s">
        <v>2249</v>
      </c>
      <c r="C1206" s="7" t="str">
        <f>_xlfn.XLOOKUP(B1206,'[1]Sheet 1'!$A$2:$A$11107,'[1]Sheet 1'!$D$2:$D$11107,"",0)</f>
        <v>VSS</v>
      </c>
      <c r="D1206" s="4" t="str">
        <f>_xlfn.XLOOKUP(A1206,[3]Sheet2!$I$2:$I$1623,[3]Sheet2!$D$2:$D$1623,"",0)</f>
        <v>Q3</v>
      </c>
      <c r="F1206" s="4" t="e">
        <f>_xlfn.XLOOKUP(B1206,[2]Sheet2!$E$2:$E$713,[2]Sheet2!$G$2:$G$713)</f>
        <v>#N/A</v>
      </c>
      <c r="G1206" s="22">
        <v>46178</v>
      </c>
      <c r="H1206" s="23">
        <v>0.77428240740740739</v>
      </c>
      <c r="I1206" t="s">
        <v>10</v>
      </c>
      <c r="J1206" s="2" t="str">
        <f t="shared" si="97"/>
        <v>Q1</v>
      </c>
      <c r="K1206" s="2" t="str">
        <f t="shared" si="98"/>
        <v>Not Match</v>
      </c>
      <c r="L1206" s="1">
        <f t="shared" si="95"/>
        <v>0.91678787077491375</v>
      </c>
      <c r="M1206" s="1" t="e">
        <f t="shared" si="96"/>
        <v>#N/A</v>
      </c>
      <c r="N1206" s="2" t="str">
        <f t="shared" si="99"/>
        <v>Q NOT OK dE&lt;=0.8</v>
      </c>
      <c r="O1206">
        <v>43.45</v>
      </c>
      <c r="P1206">
        <v>55.78</v>
      </c>
      <c r="Q1206">
        <v>42.3</v>
      </c>
      <c r="R1206">
        <v>0.53</v>
      </c>
      <c r="S1206">
        <v>0.57999999999999996</v>
      </c>
      <c r="T1206">
        <v>0.71</v>
      </c>
      <c r="U1206">
        <v>0.3</v>
      </c>
      <c r="V1206">
        <v>0.15</v>
      </c>
      <c r="W1206">
        <v>0.63</v>
      </c>
      <c r="X1206" t="s">
        <v>8</v>
      </c>
      <c r="Y1206" t="s">
        <v>12</v>
      </c>
      <c r="Z1206" s="2" t="s">
        <v>718</v>
      </c>
      <c r="AA1206" s="2" t="s">
        <v>721</v>
      </c>
    </row>
    <row r="1207" spans="1:27" x14ac:dyDescent="0.35">
      <c r="A1207" t="s">
        <v>1793</v>
      </c>
      <c r="B1207" t="s">
        <v>2250</v>
      </c>
      <c r="C1207" s="7" t="str">
        <f>_xlfn.XLOOKUP(B1207,'[1]Sheet 1'!$A$2:$A$11107,'[1]Sheet 1'!$D$2:$D$11107,"",0)</f>
        <v>WACE</v>
      </c>
      <c r="D1207" s="4" t="str">
        <f>_xlfn.XLOOKUP(A1207,[3]Sheet2!$I$2:$I$1623,[3]Sheet2!$D$2:$D$1623,"",0)</f>
        <v>Q2/Q3</v>
      </c>
      <c r="F1207" s="4" t="e">
        <f>_xlfn.XLOOKUP(B1207,[2]Sheet2!$E$2:$E$713,[2]Sheet2!$G$2:$G$713)</f>
        <v>#N/A</v>
      </c>
      <c r="G1207" s="22">
        <v>46178</v>
      </c>
      <c r="H1207" s="23">
        <v>0.7771527777777778</v>
      </c>
      <c r="I1207" t="s">
        <v>4</v>
      </c>
      <c r="J1207" s="2" t="str">
        <f t="shared" si="97"/>
        <v>Q2/Q3</v>
      </c>
      <c r="K1207" s="2" t="str">
        <f t="shared" si="98"/>
        <v>Match</v>
      </c>
      <c r="L1207" s="1">
        <f t="shared" si="95"/>
        <v>0.25</v>
      </c>
      <c r="M1207" s="1" t="e">
        <f t="shared" si="96"/>
        <v>#N/A</v>
      </c>
      <c r="N1207" s="2" t="str">
        <f t="shared" si="99"/>
        <v>Q OK dE&lt;=0.8</v>
      </c>
      <c r="O1207">
        <v>17.7</v>
      </c>
      <c r="P1207">
        <v>-0.42</v>
      </c>
      <c r="Q1207">
        <v>-1.27</v>
      </c>
      <c r="R1207">
        <v>0.09</v>
      </c>
      <c r="S1207">
        <v>0.25</v>
      </c>
      <c r="T1207">
        <v>0</v>
      </c>
      <c r="U1207">
        <v>-0.13</v>
      </c>
      <c r="V1207">
        <v>0.32</v>
      </c>
      <c r="W1207">
        <v>0.36</v>
      </c>
      <c r="X1207" t="s">
        <v>8</v>
      </c>
      <c r="Y1207" t="s">
        <v>9</v>
      </c>
      <c r="Z1207" s="2" t="s">
        <v>718</v>
      </c>
      <c r="AA1207" s="2" t="s">
        <v>721</v>
      </c>
    </row>
    <row r="1208" spans="1:27" x14ac:dyDescent="0.35">
      <c r="A1208" t="s">
        <v>1545</v>
      </c>
      <c r="B1208" t="s">
        <v>2251</v>
      </c>
      <c r="C1208" s="7" t="str">
        <f>_xlfn.XLOOKUP(B1208,'[1]Sheet 1'!$A$2:$A$11107,'[1]Sheet 1'!$D$2:$D$11107,"",0)</f>
        <v>NIK</v>
      </c>
      <c r="D1208" s="4" t="str">
        <f>_xlfn.XLOOKUP(A1208,[3]Sheet2!$I$2:$I$1623,[3]Sheet2!$D$2:$D$1623,"",0)</f>
        <v>Q2</v>
      </c>
      <c r="F1208" s="4" t="e">
        <f>_xlfn.XLOOKUP(B1208,[2]Sheet2!$E$2:$E$713,[2]Sheet2!$G$2:$G$713)</f>
        <v>#N/A</v>
      </c>
      <c r="G1208" s="22">
        <v>46178</v>
      </c>
      <c r="H1208" s="23">
        <v>0.77937500000000004</v>
      </c>
      <c r="I1208" t="s">
        <v>4</v>
      </c>
      <c r="J1208" s="2" t="str">
        <f t="shared" si="97"/>
        <v>Q3</v>
      </c>
      <c r="K1208" s="2" t="str">
        <f t="shared" si="98"/>
        <v>Not Match</v>
      </c>
      <c r="L1208" s="1">
        <f t="shared" si="95"/>
        <v>0.20396078054371142</v>
      </c>
      <c r="M1208" s="1" t="e">
        <f t="shared" si="96"/>
        <v>#N/A</v>
      </c>
      <c r="N1208" s="2" t="str">
        <f t="shared" si="99"/>
        <v>Q NOT OK dE&lt;=0.8</v>
      </c>
      <c r="O1208">
        <v>18.28</v>
      </c>
      <c r="P1208">
        <v>-0.93</v>
      </c>
      <c r="Q1208">
        <v>-1.83</v>
      </c>
      <c r="R1208">
        <v>-0.15</v>
      </c>
      <c r="S1208">
        <v>-0.04</v>
      </c>
      <c r="T1208">
        <v>-0.2</v>
      </c>
      <c r="U1208">
        <v>0.26</v>
      </c>
      <c r="V1208">
        <v>0.08</v>
      </c>
      <c r="W1208">
        <v>0.31</v>
      </c>
      <c r="X1208" t="s">
        <v>8</v>
      </c>
      <c r="Y1208" t="s">
        <v>9</v>
      </c>
      <c r="Z1208" s="2" t="s">
        <v>718</v>
      </c>
      <c r="AA1208" s="2" t="s">
        <v>721</v>
      </c>
    </row>
    <row r="1209" spans="1:27" x14ac:dyDescent="0.35">
      <c r="A1209" t="s">
        <v>2254</v>
      </c>
      <c r="B1209" t="s">
        <v>2255</v>
      </c>
      <c r="C1209" s="7" t="str">
        <f>_xlfn.XLOOKUP(B1209,'[1]Sheet 1'!$A$2:$A$11107,'[1]Sheet 1'!$D$2:$D$11107,"",0)</f>
        <v>VSS</v>
      </c>
      <c r="D1209" s="4" t="str">
        <f>_xlfn.XLOOKUP(A1209,[3]Sheet2!$I$2:$I$1623,[3]Sheet2!$D$2:$D$1623,"",0)</f>
        <v>Q3</v>
      </c>
      <c r="F1209" s="4" t="e">
        <f>_xlfn.XLOOKUP(B1209,[2]Sheet2!$E$2:$E$713,[2]Sheet2!$G$2:$G$713)</f>
        <v>#N/A</v>
      </c>
      <c r="G1209" s="22">
        <v>46179</v>
      </c>
      <c r="H1209" s="23">
        <v>6.6805555555555562E-2</v>
      </c>
      <c r="I1209" t="s">
        <v>10</v>
      </c>
      <c r="J1209" s="2" t="str">
        <f t="shared" si="97"/>
        <v>Q1</v>
      </c>
      <c r="K1209" s="2" t="str">
        <f t="shared" si="98"/>
        <v>Not Match</v>
      </c>
      <c r="L1209" s="1">
        <f t="shared" si="95"/>
        <v>1.0361949623502327</v>
      </c>
      <c r="M1209" s="1" t="e">
        <f t="shared" si="96"/>
        <v>#N/A</v>
      </c>
      <c r="N1209" s="2" t="str">
        <f t="shared" si="99"/>
        <v>Q NOT OK dE&lt;=0.8</v>
      </c>
      <c r="O1209">
        <v>31.34</v>
      </c>
      <c r="P1209">
        <v>41.67</v>
      </c>
      <c r="Q1209">
        <v>23.12</v>
      </c>
      <c r="R1209">
        <v>0.04</v>
      </c>
      <c r="S1209">
        <v>0.39</v>
      </c>
      <c r="T1209">
        <v>0.96</v>
      </c>
      <c r="U1209">
        <v>0.32</v>
      </c>
      <c r="V1209">
        <v>0.49</v>
      </c>
      <c r="W1209">
        <v>0.57999999999999996</v>
      </c>
      <c r="X1209" t="s">
        <v>8</v>
      </c>
      <c r="Y1209" t="s">
        <v>12</v>
      </c>
      <c r="Z1209" s="2" t="s">
        <v>718</v>
      </c>
      <c r="AA1209" s="2" t="s">
        <v>721</v>
      </c>
    </row>
    <row r="1210" spans="1:27" x14ac:dyDescent="0.35">
      <c r="A1210" t="s">
        <v>2145</v>
      </c>
      <c r="B1210" t="s">
        <v>2256</v>
      </c>
      <c r="C1210" s="7" t="str">
        <f>_xlfn.XLOOKUP(B1210,'[1]Sheet 1'!$A$2:$A$11107,'[1]Sheet 1'!$D$2:$D$11107,"",0)</f>
        <v>VSS</v>
      </c>
      <c r="D1210" s="4" t="str">
        <f>_xlfn.XLOOKUP(A1210,[3]Sheet2!$I$2:$I$1623,[3]Sheet2!$D$2:$D$1623,"",0)</f>
        <v>Q3</v>
      </c>
      <c r="F1210" s="4" t="e">
        <f>_xlfn.XLOOKUP(B1210,[2]Sheet2!$E$2:$E$713,[2]Sheet2!$G$2:$G$713)</f>
        <v>#N/A</v>
      </c>
      <c r="G1210" s="22">
        <v>46179</v>
      </c>
      <c r="H1210" s="23">
        <v>7.048611111111111E-2</v>
      </c>
      <c r="I1210" t="s">
        <v>10</v>
      </c>
      <c r="J1210" s="2" t="str">
        <f t="shared" si="97"/>
        <v>Q1</v>
      </c>
      <c r="K1210" s="2" t="str">
        <f t="shared" si="98"/>
        <v>Not Match</v>
      </c>
      <c r="L1210" s="1">
        <f t="shared" si="95"/>
        <v>1.3219682295728594</v>
      </c>
      <c r="M1210" s="1" t="e">
        <f t="shared" si="96"/>
        <v>#N/A</v>
      </c>
      <c r="N1210" s="2" t="str">
        <f t="shared" si="99"/>
        <v>Q NOT OK dE&lt;=0.8</v>
      </c>
      <c r="O1210">
        <v>45.54</v>
      </c>
      <c r="P1210">
        <v>57.16</v>
      </c>
      <c r="Q1210">
        <v>46.61</v>
      </c>
      <c r="R1210">
        <v>-0.05</v>
      </c>
      <c r="S1210">
        <v>0.4</v>
      </c>
      <c r="T1210">
        <v>1.26</v>
      </c>
      <c r="U1210">
        <v>0.37</v>
      </c>
      <c r="V1210">
        <v>0.51</v>
      </c>
      <c r="W1210">
        <v>0.63</v>
      </c>
      <c r="X1210" t="s">
        <v>8</v>
      </c>
      <c r="Y1210" t="s">
        <v>12</v>
      </c>
      <c r="Z1210" s="2" t="s">
        <v>718</v>
      </c>
      <c r="AA1210" s="2" t="s">
        <v>721</v>
      </c>
    </row>
    <row r="1211" spans="1:27" x14ac:dyDescent="0.35">
      <c r="A1211" t="s">
        <v>1695</v>
      </c>
      <c r="B1211" t="s">
        <v>2257</v>
      </c>
      <c r="C1211" s="7" t="str">
        <f>_xlfn.XLOOKUP(B1211,'[1]Sheet 1'!$A$2:$A$11107,'[1]Sheet 1'!$D$2:$D$11107,"",0)</f>
        <v>ODL</v>
      </c>
      <c r="D1211" s="4" t="str">
        <f>_xlfn.XLOOKUP(A1211,[3]Sheet2!$I$2:$I$1623,[3]Sheet2!$D$2:$D$1623,"",0)</f>
        <v>Q3</v>
      </c>
      <c r="F1211" s="4" t="e">
        <f>_xlfn.XLOOKUP(B1211,[2]Sheet2!$E$2:$E$713,[2]Sheet2!$G$2:$G$713)</f>
        <v>#N/A</v>
      </c>
      <c r="G1211" s="22">
        <v>46179</v>
      </c>
      <c r="H1211" s="23">
        <v>7.2881944444444444E-2</v>
      </c>
      <c r="I1211" t="s">
        <v>4</v>
      </c>
      <c r="J1211" s="2" t="str">
        <f t="shared" si="97"/>
        <v>Q1</v>
      </c>
      <c r="K1211" s="2" t="str">
        <f t="shared" si="98"/>
        <v>Not Match</v>
      </c>
      <c r="L1211" s="1">
        <f t="shared" si="95"/>
        <v>0.52697248505021588</v>
      </c>
      <c r="M1211" s="1" t="e">
        <f t="shared" si="96"/>
        <v>#N/A</v>
      </c>
      <c r="N1211" s="2" t="str">
        <f t="shared" si="99"/>
        <v>Q NOT OK dE&lt;=0.8</v>
      </c>
      <c r="O1211">
        <v>18.88</v>
      </c>
      <c r="P1211">
        <v>-0.95</v>
      </c>
      <c r="Q1211">
        <v>-1.18</v>
      </c>
      <c r="R1211">
        <v>-0.02</v>
      </c>
      <c r="S1211">
        <v>0.28999999999999998</v>
      </c>
      <c r="T1211">
        <v>0.44</v>
      </c>
      <c r="U1211">
        <v>-0.69</v>
      </c>
      <c r="V1211">
        <v>-0.06</v>
      </c>
      <c r="W1211">
        <v>0.69</v>
      </c>
      <c r="X1211" t="s">
        <v>8</v>
      </c>
      <c r="Y1211" t="s">
        <v>12</v>
      </c>
      <c r="Z1211" s="2" t="s">
        <v>718</v>
      </c>
      <c r="AA1211" s="2" t="s">
        <v>721</v>
      </c>
    </row>
    <row r="1212" spans="1:27" x14ac:dyDescent="0.35">
      <c r="A1212" t="s">
        <v>1500</v>
      </c>
      <c r="B1212" t="s">
        <v>2258</v>
      </c>
      <c r="C1212" s="7" t="str">
        <f>_xlfn.XLOOKUP(B1212,'[1]Sheet 1'!$A$2:$A$11107,'[1]Sheet 1'!$D$2:$D$11107,"",0)</f>
        <v>LULU</v>
      </c>
      <c r="D1212" s="4" t="str">
        <f>_xlfn.XLOOKUP(A1212,[3]Sheet2!$I$2:$I$1623,[3]Sheet2!$D$2:$D$1623,"",0)</f>
        <v>Q2</v>
      </c>
      <c r="F1212" s="4" t="e">
        <f>_xlfn.XLOOKUP(B1212,[2]Sheet2!$E$2:$E$713,[2]Sheet2!$G$2:$G$713)</f>
        <v>#N/A</v>
      </c>
      <c r="G1212" s="22">
        <v>46179</v>
      </c>
      <c r="H1212" s="23">
        <v>7.5231481481481483E-2</v>
      </c>
      <c r="I1212" t="s">
        <v>4</v>
      </c>
      <c r="J1212" s="2" t="str">
        <f t="shared" si="97"/>
        <v>Q1</v>
      </c>
      <c r="K1212" s="2" t="str">
        <f t="shared" si="98"/>
        <v>Not Match</v>
      </c>
      <c r="L1212" s="1">
        <f t="shared" si="95"/>
        <v>0.43829214001622252</v>
      </c>
      <c r="M1212" s="1" t="e">
        <f t="shared" si="96"/>
        <v>#N/A</v>
      </c>
      <c r="N1212" s="2" t="str">
        <f t="shared" si="99"/>
        <v>Q NOT OK dE&gt;0.8</v>
      </c>
      <c r="O1212">
        <v>17.03</v>
      </c>
      <c r="P1212">
        <v>-0.72</v>
      </c>
      <c r="Q1212">
        <v>-0.65</v>
      </c>
      <c r="R1212">
        <v>-0.92</v>
      </c>
      <c r="S1212">
        <v>0.25</v>
      </c>
      <c r="T1212">
        <v>0.36</v>
      </c>
      <c r="U1212">
        <v>-0.6</v>
      </c>
      <c r="V1212">
        <v>-0.12</v>
      </c>
      <c r="W1212">
        <v>1.1100000000000001</v>
      </c>
      <c r="X1212" t="s">
        <v>6</v>
      </c>
      <c r="Y1212" t="s">
        <v>12</v>
      </c>
      <c r="Z1212" s="2" t="s">
        <v>718</v>
      </c>
      <c r="AA1212" s="2" t="s">
        <v>721</v>
      </c>
    </row>
    <row r="1213" spans="1:27" x14ac:dyDescent="0.35">
      <c r="A1213" t="s">
        <v>1622</v>
      </c>
      <c r="B1213" t="s">
        <v>2260</v>
      </c>
      <c r="C1213" s="7" t="str">
        <f>_xlfn.XLOOKUP(B1213,'[1]Sheet 1'!$A$2:$A$11107,'[1]Sheet 1'!$D$2:$D$11107,"",0)</f>
        <v>PEP</v>
      </c>
      <c r="D1213" s="4" t="str">
        <f>_xlfn.XLOOKUP(A1213,[3]Sheet2!$I$2:$I$1623,[3]Sheet2!$D$2:$D$1623,"",0)</f>
        <v>Q1</v>
      </c>
      <c r="F1213" s="4" t="e">
        <f>_xlfn.XLOOKUP(B1213,[2]Sheet2!$E$2:$E$713,[2]Sheet2!$G$2:$G$713)</f>
        <v>#N/A</v>
      </c>
      <c r="G1213" s="22">
        <v>46179</v>
      </c>
      <c r="H1213" s="23">
        <v>0.23471064814814815</v>
      </c>
      <c r="I1213" t="s">
        <v>4</v>
      </c>
      <c r="J1213" s="2" t="str">
        <f t="shared" si="97"/>
        <v>Q1</v>
      </c>
      <c r="K1213" s="2" t="str">
        <f t="shared" si="98"/>
        <v>Match</v>
      </c>
      <c r="L1213" s="1">
        <f t="shared" si="95"/>
        <v>0.30066592756745814</v>
      </c>
      <c r="M1213" s="1" t="e">
        <f t="shared" si="96"/>
        <v>#N/A</v>
      </c>
      <c r="N1213" s="2" t="str">
        <f t="shared" si="99"/>
        <v>Q OK dE&lt;=0.8</v>
      </c>
      <c r="O1213">
        <v>17.489999999999998</v>
      </c>
      <c r="P1213">
        <v>-0.06</v>
      </c>
      <c r="Q1213">
        <v>-2.14</v>
      </c>
      <c r="R1213">
        <v>0.03</v>
      </c>
      <c r="S1213">
        <v>0.3</v>
      </c>
      <c r="T1213">
        <v>0.02</v>
      </c>
      <c r="U1213">
        <v>-0.06</v>
      </c>
      <c r="V1213">
        <v>0.39</v>
      </c>
      <c r="W1213">
        <v>0.4</v>
      </c>
      <c r="X1213" t="s">
        <v>8</v>
      </c>
      <c r="Y1213" t="s">
        <v>9</v>
      </c>
      <c r="Z1213" s="2" t="s">
        <v>718</v>
      </c>
      <c r="AA1213" s="2" t="s">
        <v>721</v>
      </c>
    </row>
    <row r="1214" spans="1:27" x14ac:dyDescent="0.35">
      <c r="A1214" t="s">
        <v>2156</v>
      </c>
      <c r="B1214" t="s">
        <v>2261</v>
      </c>
      <c r="C1214" s="7" t="str">
        <f>_xlfn.XLOOKUP(B1214,'[1]Sheet 1'!$A$2:$A$11107,'[1]Sheet 1'!$D$2:$D$11107,"",0)</f>
        <v>VSS</v>
      </c>
      <c r="D1214" s="4" t="str">
        <f>_xlfn.XLOOKUP(A1214,[3]Sheet2!$I$2:$I$1623,[3]Sheet2!$D$2:$D$1623,"",0)</f>
        <v>Q1</v>
      </c>
      <c r="F1214" s="4" t="e">
        <f>_xlfn.XLOOKUP(B1214,[2]Sheet2!$E$2:$E$713,[2]Sheet2!$G$2:$G$713)</f>
        <v>#N/A</v>
      </c>
      <c r="G1214" s="22">
        <v>46179</v>
      </c>
      <c r="H1214" s="23">
        <v>0.23677083333333335</v>
      </c>
      <c r="I1214" t="s">
        <v>10</v>
      </c>
      <c r="J1214" s="2" t="str">
        <f t="shared" si="97"/>
        <v>Q2</v>
      </c>
      <c r="K1214" s="2" t="str">
        <f t="shared" si="98"/>
        <v>Not Match</v>
      </c>
      <c r="L1214" s="1">
        <f t="shared" si="95"/>
        <v>0.84929382430346212</v>
      </c>
      <c r="M1214" s="1" t="e">
        <f t="shared" si="96"/>
        <v>#N/A</v>
      </c>
      <c r="N1214" s="2" t="str">
        <f t="shared" si="99"/>
        <v>Q NOT OK dE&gt;0.8</v>
      </c>
      <c r="O1214">
        <v>27.1</v>
      </c>
      <c r="P1214">
        <v>-13.5</v>
      </c>
      <c r="Q1214">
        <v>-3.36</v>
      </c>
      <c r="R1214">
        <v>0.89</v>
      </c>
      <c r="S1214">
        <v>-0.83</v>
      </c>
      <c r="T1214">
        <v>0.18</v>
      </c>
      <c r="U1214">
        <v>0.56000000000000005</v>
      </c>
      <c r="V1214">
        <v>-0.37</v>
      </c>
      <c r="W1214">
        <v>1.1100000000000001</v>
      </c>
      <c r="X1214" t="s">
        <v>6</v>
      </c>
      <c r="Y1214" t="s">
        <v>12</v>
      </c>
      <c r="Z1214" s="2" t="s">
        <v>718</v>
      </c>
      <c r="AA1214" s="2" t="s">
        <v>721</v>
      </c>
    </row>
    <row r="1215" spans="1:27" x14ac:dyDescent="0.35">
      <c r="A1215" t="s">
        <v>2156</v>
      </c>
      <c r="B1215" t="s">
        <v>2262</v>
      </c>
      <c r="C1215" s="7" t="str">
        <f>_xlfn.XLOOKUP(B1215,'[1]Sheet 1'!$A$2:$A$11107,'[1]Sheet 1'!$D$2:$D$11107,"",0)</f>
        <v>VSS</v>
      </c>
      <c r="D1215" s="4" t="str">
        <f>_xlfn.XLOOKUP(A1215,[3]Sheet2!$I$2:$I$1623,[3]Sheet2!$D$2:$D$1623,"",0)</f>
        <v>Q1</v>
      </c>
      <c r="F1215" s="4" t="e">
        <f>_xlfn.XLOOKUP(B1215,[2]Sheet2!$E$2:$E$713,[2]Sheet2!$G$2:$G$713)</f>
        <v>#N/A</v>
      </c>
      <c r="G1215" s="22">
        <v>46179</v>
      </c>
      <c r="H1215" s="23">
        <v>0.23928240740740742</v>
      </c>
      <c r="I1215" t="s">
        <v>10</v>
      </c>
      <c r="J1215" s="2" t="str">
        <f t="shared" si="97"/>
        <v>Q3</v>
      </c>
      <c r="K1215" s="2" t="str">
        <f t="shared" si="98"/>
        <v>Not Match</v>
      </c>
      <c r="L1215" s="1">
        <f t="shared" si="95"/>
        <v>0.98270036124955196</v>
      </c>
      <c r="M1215" s="1" t="e">
        <f t="shared" si="96"/>
        <v>#N/A</v>
      </c>
      <c r="N1215" s="2" t="str">
        <f t="shared" si="99"/>
        <v>Q NOT OK dE&lt;=0.8</v>
      </c>
      <c r="O1215">
        <v>26.24</v>
      </c>
      <c r="P1215">
        <v>-13.63</v>
      </c>
      <c r="Q1215">
        <v>-3.74</v>
      </c>
      <c r="R1215">
        <v>0.28999999999999998</v>
      </c>
      <c r="S1215">
        <v>-0.96</v>
      </c>
      <c r="T1215">
        <v>-0.21</v>
      </c>
      <c r="U1215">
        <v>0.73</v>
      </c>
      <c r="V1215">
        <v>-0.06</v>
      </c>
      <c r="W1215">
        <v>0.78</v>
      </c>
      <c r="X1215" t="s">
        <v>13</v>
      </c>
      <c r="Y1215" t="s">
        <v>12</v>
      </c>
      <c r="Z1215" s="2" t="s">
        <v>718</v>
      </c>
      <c r="AA1215" s="2" t="s">
        <v>721</v>
      </c>
    </row>
    <row r="1216" spans="1:27" x14ac:dyDescent="0.35">
      <c r="A1216" t="s">
        <v>2145</v>
      </c>
      <c r="B1216" t="s">
        <v>2263</v>
      </c>
      <c r="C1216" s="7" t="str">
        <f>_xlfn.XLOOKUP(B1216,'[1]Sheet 1'!$A$2:$A$11107,'[1]Sheet 1'!$D$2:$D$11107,"",0)</f>
        <v>VSS</v>
      </c>
      <c r="D1216" s="4" t="str">
        <f>_xlfn.XLOOKUP(A1216,[3]Sheet2!$I$2:$I$1623,[3]Sheet2!$D$2:$D$1623,"",0)</f>
        <v>Q3</v>
      </c>
      <c r="F1216" s="4" t="e">
        <f>_xlfn.XLOOKUP(B1216,[2]Sheet2!$E$2:$E$713,[2]Sheet2!$G$2:$G$713)</f>
        <v>#N/A</v>
      </c>
      <c r="G1216" s="22">
        <v>46179</v>
      </c>
      <c r="H1216" s="23">
        <v>0.25336805555555558</v>
      </c>
      <c r="I1216" t="s">
        <v>10</v>
      </c>
      <c r="J1216" s="2" t="str">
        <f t="shared" si="97"/>
        <v>Q1</v>
      </c>
      <c r="K1216" s="2" t="str">
        <f t="shared" si="98"/>
        <v>Not Match</v>
      </c>
      <c r="L1216" s="1">
        <f t="shared" si="95"/>
        <v>1.094440496326776</v>
      </c>
      <c r="M1216" s="1" t="e">
        <f t="shared" si="96"/>
        <v>#N/A</v>
      </c>
      <c r="N1216" s="2" t="str">
        <f t="shared" si="99"/>
        <v>Q NOT OK dE&lt;=0.8</v>
      </c>
      <c r="O1216">
        <v>45.63</v>
      </c>
      <c r="P1216">
        <v>56.99</v>
      </c>
      <c r="Q1216">
        <v>46.42</v>
      </c>
      <c r="R1216">
        <v>-0.01</v>
      </c>
      <c r="S1216">
        <v>0.23</v>
      </c>
      <c r="T1216">
        <v>1.07</v>
      </c>
      <c r="U1216">
        <v>0.28000000000000003</v>
      </c>
      <c r="V1216">
        <v>0.48</v>
      </c>
      <c r="W1216">
        <v>0.56000000000000005</v>
      </c>
      <c r="X1216" t="s">
        <v>8</v>
      </c>
      <c r="Y1216" t="s">
        <v>12</v>
      </c>
      <c r="Z1216" s="2" t="s">
        <v>718</v>
      </c>
      <c r="AA1216" s="2" t="s">
        <v>721</v>
      </c>
    </row>
    <row r="1217" spans="1:27" x14ac:dyDescent="0.35">
      <c r="A1217" t="s">
        <v>1501</v>
      </c>
      <c r="B1217" t="s">
        <v>2264</v>
      </c>
      <c r="C1217" s="7" t="str">
        <f>_xlfn.XLOOKUP(B1217,'[1]Sheet 1'!$A$2:$A$11107,'[1]Sheet 1'!$D$2:$D$11107,"",0)</f>
        <v>PINK</v>
      </c>
      <c r="D1217" s="4" t="str">
        <f>_xlfn.XLOOKUP(A1217,[3]Sheet2!$I$2:$I$1623,[3]Sheet2!$D$2:$D$1623,"",0)</f>
        <v>Q3</v>
      </c>
      <c r="F1217" s="4" t="e">
        <f>_xlfn.XLOOKUP(B1217,[2]Sheet2!$E$2:$E$713,[2]Sheet2!$G$2:$G$713)</f>
        <v>#N/A</v>
      </c>
      <c r="G1217" s="22">
        <v>46179</v>
      </c>
      <c r="H1217" s="23">
        <v>0.2555324074074074</v>
      </c>
      <c r="I1217" t="s">
        <v>10</v>
      </c>
      <c r="J1217" s="2" t="str">
        <f t="shared" si="97"/>
        <v>Q2</v>
      </c>
      <c r="K1217" s="2" t="str">
        <f t="shared" si="98"/>
        <v>Not Match</v>
      </c>
      <c r="L1217" s="1">
        <f t="shared" si="95"/>
        <v>0.94260277954183869</v>
      </c>
      <c r="M1217" s="1" t="e">
        <f t="shared" si="96"/>
        <v>#N/A</v>
      </c>
      <c r="N1217" s="2" t="str">
        <f t="shared" si="99"/>
        <v>Q NOT OK dE&gt;0.8</v>
      </c>
      <c r="O1217">
        <v>48.75</v>
      </c>
      <c r="P1217">
        <v>57.31</v>
      </c>
      <c r="Q1217">
        <v>44.86</v>
      </c>
      <c r="R1217">
        <v>-0.67</v>
      </c>
      <c r="S1217">
        <v>-0.71</v>
      </c>
      <c r="T1217">
        <v>0.62</v>
      </c>
      <c r="U1217">
        <v>-0.06</v>
      </c>
      <c r="V1217">
        <v>0.64</v>
      </c>
      <c r="W1217">
        <v>0.93</v>
      </c>
      <c r="X1217" t="s">
        <v>13</v>
      </c>
      <c r="Y1217" t="s">
        <v>12</v>
      </c>
      <c r="Z1217" s="2" t="s">
        <v>718</v>
      </c>
      <c r="AA1217" s="2" t="s">
        <v>721</v>
      </c>
    </row>
    <row r="1218" spans="1:27" x14ac:dyDescent="0.35">
      <c r="A1218" t="s">
        <v>1773</v>
      </c>
      <c r="B1218" t="s">
        <v>2265</v>
      </c>
      <c r="C1218" s="7" t="str">
        <f>_xlfn.XLOOKUP(B1218,'[1]Sheet 1'!$A$2:$A$11107,'[1]Sheet 1'!$D$2:$D$11107,"",0)</f>
        <v>NKSKI</v>
      </c>
      <c r="D1218" s="4" t="str">
        <f>_xlfn.XLOOKUP(A1218,[3]Sheet2!$I$2:$I$1623,[3]Sheet2!$D$2:$D$1623,"",0)</f>
        <v>Q3</v>
      </c>
      <c r="F1218" s="4" t="e">
        <f>_xlfn.XLOOKUP(B1218,[2]Sheet2!$E$2:$E$713,[2]Sheet2!$G$2:$G$713)</f>
        <v>#N/A</v>
      </c>
      <c r="G1218" s="22">
        <v>46179</v>
      </c>
      <c r="H1218" s="23">
        <v>0.2770023148148148</v>
      </c>
      <c r="I1218" t="s">
        <v>4</v>
      </c>
      <c r="J1218" s="2" t="str">
        <f t="shared" si="97"/>
        <v>Q2</v>
      </c>
      <c r="K1218" s="2" t="str">
        <f t="shared" si="98"/>
        <v>Not Match</v>
      </c>
      <c r="L1218" s="1">
        <f t="shared" si="95"/>
        <v>0.55317266743757321</v>
      </c>
      <c r="M1218" s="1" t="e">
        <f t="shared" si="96"/>
        <v>#N/A</v>
      </c>
      <c r="N1218" s="2" t="str">
        <f t="shared" si="99"/>
        <v>Q NOT OK dE&lt;=0.8</v>
      </c>
      <c r="O1218">
        <v>16.72</v>
      </c>
      <c r="P1218">
        <v>-1.58</v>
      </c>
      <c r="Q1218">
        <v>-2.2799999999999998</v>
      </c>
      <c r="R1218">
        <v>-0.22</v>
      </c>
      <c r="S1218">
        <v>-0.42</v>
      </c>
      <c r="T1218">
        <v>0.36</v>
      </c>
      <c r="U1218">
        <v>-0.13</v>
      </c>
      <c r="V1218">
        <v>-0.71</v>
      </c>
      <c r="W1218">
        <v>0.76</v>
      </c>
      <c r="X1218" t="s">
        <v>13</v>
      </c>
      <c r="Y1218" t="s">
        <v>15</v>
      </c>
      <c r="Z1218" s="2" t="s">
        <v>718</v>
      </c>
      <c r="AA1218" s="2" t="s">
        <v>721</v>
      </c>
    </row>
    <row r="1219" spans="1:27" x14ac:dyDescent="0.35">
      <c r="A1219" t="s">
        <v>2266</v>
      </c>
      <c r="B1219" t="s">
        <v>2267</v>
      </c>
      <c r="C1219" s="7" t="str">
        <f>_xlfn.XLOOKUP(B1219,'[1]Sheet 1'!$A$2:$A$11107,'[1]Sheet 1'!$D$2:$D$11107,"",0)</f>
        <v>WACE</v>
      </c>
      <c r="D1219" s="4" t="str">
        <f>_xlfn.XLOOKUP(A1219,[3]Sheet2!$I$2:$I$1623,[3]Sheet2!$D$2:$D$1623,"",0)</f>
        <v>Q1</v>
      </c>
      <c r="F1219" s="4" t="e">
        <f>_xlfn.XLOOKUP(B1219,[2]Sheet2!$E$2:$E$713,[2]Sheet2!$G$2:$G$713)</f>
        <v>#N/A</v>
      </c>
      <c r="G1219" s="22">
        <v>46179</v>
      </c>
      <c r="H1219" s="23">
        <v>0.2801851851851852</v>
      </c>
      <c r="I1219" t="s">
        <v>4</v>
      </c>
      <c r="J1219" s="2" t="str">
        <f t="shared" si="97"/>
        <v>Q1</v>
      </c>
      <c r="K1219" s="2" t="str">
        <f t="shared" si="98"/>
        <v>Match</v>
      </c>
      <c r="L1219" s="1">
        <f t="shared" si="95"/>
        <v>0.33015148038438358</v>
      </c>
      <c r="M1219" s="1" t="e">
        <f t="shared" si="96"/>
        <v>#N/A</v>
      </c>
      <c r="N1219" s="2" t="str">
        <f t="shared" si="99"/>
        <v>Q OK dE&gt;0.8</v>
      </c>
      <c r="O1219">
        <v>12.85</v>
      </c>
      <c r="P1219">
        <v>0.1</v>
      </c>
      <c r="Q1219">
        <v>-1.1599999999999999</v>
      </c>
      <c r="R1219">
        <v>-0.92</v>
      </c>
      <c r="S1219">
        <v>0.27</v>
      </c>
      <c r="T1219">
        <v>0.19</v>
      </c>
      <c r="U1219">
        <v>-0.27</v>
      </c>
      <c r="V1219">
        <v>0.38</v>
      </c>
      <c r="W1219">
        <v>1.03</v>
      </c>
      <c r="X1219" t="s">
        <v>6</v>
      </c>
      <c r="Y1219" t="s">
        <v>9</v>
      </c>
      <c r="Z1219" s="2" t="s">
        <v>718</v>
      </c>
      <c r="AA1219" s="2" t="s">
        <v>721</v>
      </c>
    </row>
    <row r="1220" spans="1:27" x14ac:dyDescent="0.35">
      <c r="A1220" t="s">
        <v>1545</v>
      </c>
      <c r="B1220" t="s">
        <v>2268</v>
      </c>
      <c r="C1220" s="7" t="str">
        <f>_xlfn.XLOOKUP(B1220,'[1]Sheet 1'!$A$2:$A$11107,'[1]Sheet 1'!$D$2:$D$11107,"",0)</f>
        <v>NIK</v>
      </c>
      <c r="D1220" s="4" t="str">
        <f>_xlfn.XLOOKUP(A1220,[3]Sheet2!$I$2:$I$1623,[3]Sheet2!$D$2:$D$1623,"",0)</f>
        <v>Q2</v>
      </c>
      <c r="F1220" s="4" t="e">
        <f>_xlfn.XLOOKUP(B1220,[2]Sheet2!$E$2:$E$713,[2]Sheet2!$G$2:$G$713)</f>
        <v>#N/A</v>
      </c>
      <c r="G1220" s="22">
        <v>46179</v>
      </c>
      <c r="H1220" s="23">
        <v>0.28238425925925925</v>
      </c>
      <c r="I1220" t="s">
        <v>4</v>
      </c>
      <c r="J1220" s="2" t="str">
        <f t="shared" si="97"/>
        <v>Q4</v>
      </c>
      <c r="K1220" s="2" t="str">
        <f t="shared" si="98"/>
        <v>Not Match</v>
      </c>
      <c r="L1220" s="1">
        <f t="shared" si="95"/>
        <v>0.26627053911388693</v>
      </c>
      <c r="M1220" s="1" t="e">
        <f t="shared" si="96"/>
        <v>#N/A</v>
      </c>
      <c r="N1220" s="2" t="str">
        <f t="shared" si="99"/>
        <v>Q NOT OK dE&lt;=0.8</v>
      </c>
      <c r="O1220">
        <v>18.600000000000001</v>
      </c>
      <c r="P1220">
        <v>-0.74</v>
      </c>
      <c r="Q1220">
        <v>-1.84</v>
      </c>
      <c r="R1220">
        <v>0.13</v>
      </c>
      <c r="S1220">
        <v>0.15</v>
      </c>
      <c r="T1220">
        <v>-0.22</v>
      </c>
      <c r="U1220">
        <v>0.18</v>
      </c>
      <c r="V1220">
        <v>0.31</v>
      </c>
      <c r="W1220">
        <v>0.38</v>
      </c>
      <c r="X1220" t="s">
        <v>8</v>
      </c>
      <c r="Y1220" t="s">
        <v>9</v>
      </c>
      <c r="Z1220" s="2" t="s">
        <v>718</v>
      </c>
      <c r="AA1220" s="2" t="s">
        <v>721</v>
      </c>
    </row>
    <row r="1221" spans="1:27" x14ac:dyDescent="0.35">
      <c r="A1221" t="s">
        <v>2269</v>
      </c>
      <c r="B1221" t="s">
        <v>2270</v>
      </c>
      <c r="C1221" s="7" t="str">
        <f>_xlfn.XLOOKUP(B1221,'[1]Sheet 1'!$A$2:$A$11107,'[1]Sheet 1'!$D$2:$D$11107,"",0)</f>
        <v>SW</v>
      </c>
      <c r="D1221" s="4" t="str">
        <f>_xlfn.XLOOKUP(A1221,[3]Sheet2!$I$2:$I$1623,[3]Sheet2!$D$2:$D$1623,"",0)</f>
        <v>Q4</v>
      </c>
      <c r="F1221" s="4" t="e">
        <f>_xlfn.XLOOKUP(B1221,[2]Sheet2!$E$2:$E$713,[2]Sheet2!$G$2:$G$713)</f>
        <v>#N/A</v>
      </c>
      <c r="G1221" s="22">
        <v>46179</v>
      </c>
      <c r="H1221" s="23">
        <v>0.59278935185185189</v>
      </c>
      <c r="I1221" t="s">
        <v>4</v>
      </c>
      <c r="J1221" s="2" t="str">
        <f t="shared" si="97"/>
        <v>Q2</v>
      </c>
      <c r="K1221" s="2" t="str">
        <f t="shared" si="98"/>
        <v>Not Match</v>
      </c>
      <c r="L1221" s="1">
        <f t="shared" si="95"/>
        <v>1.0617438485811914</v>
      </c>
      <c r="M1221" s="1" t="e">
        <f t="shared" si="96"/>
        <v>#N/A</v>
      </c>
      <c r="N1221" s="2" t="str">
        <f t="shared" si="99"/>
        <v>Q NOT OK dE&lt;=0.8</v>
      </c>
      <c r="O1221">
        <v>29.51</v>
      </c>
      <c r="P1221">
        <v>31.87</v>
      </c>
      <c r="Q1221">
        <v>6.74</v>
      </c>
      <c r="R1221">
        <v>-0.12</v>
      </c>
      <c r="S1221">
        <v>-0.92</v>
      </c>
      <c r="T1221">
        <v>0.53</v>
      </c>
      <c r="U1221">
        <v>-0.38</v>
      </c>
      <c r="V1221">
        <v>0.51</v>
      </c>
      <c r="W1221">
        <v>0.65</v>
      </c>
      <c r="X1221" t="s">
        <v>8</v>
      </c>
      <c r="Y1221" t="s">
        <v>12</v>
      </c>
      <c r="Z1221" s="2" t="s">
        <v>718</v>
      </c>
      <c r="AA1221" s="2" t="s">
        <v>721</v>
      </c>
    </row>
    <row r="1222" spans="1:27" x14ac:dyDescent="0.35">
      <c r="A1222" t="s">
        <v>2252</v>
      </c>
      <c r="B1222" t="s">
        <v>2253</v>
      </c>
      <c r="C1222" s="7" t="str">
        <f>_xlfn.XLOOKUP(B1222,'[1]Sheet 1'!$A$2:$A$11107,'[1]Sheet 1'!$D$2:$D$11107,"",0)</f>
        <v>LULU</v>
      </c>
      <c r="D1222" s="4" t="str">
        <f>_xlfn.XLOOKUP(A1222,[3]Sheet2!$I$2:$I$1623,[3]Sheet2!$D$2:$D$1623,"",0)</f>
        <v>Q4</v>
      </c>
      <c r="F1222" s="4" t="e">
        <f>_xlfn.XLOOKUP(B1222,[2]Sheet2!$E$2:$E$713,[2]Sheet2!$G$2:$G$713)</f>
        <v>#N/A</v>
      </c>
      <c r="G1222" s="22">
        <v>46179</v>
      </c>
      <c r="H1222" s="23">
        <v>0.59915509259259259</v>
      </c>
      <c r="I1222" t="s">
        <v>4</v>
      </c>
      <c r="J1222" s="2" t="str">
        <f t="shared" si="97"/>
        <v>Q3</v>
      </c>
      <c r="K1222" s="2" t="str">
        <f t="shared" si="98"/>
        <v>Not Match</v>
      </c>
      <c r="L1222" s="1">
        <f t="shared" si="95"/>
        <v>1.2185236969382254</v>
      </c>
      <c r="M1222" s="1" t="e">
        <f t="shared" si="96"/>
        <v>#N/A</v>
      </c>
      <c r="N1222" s="2" t="str">
        <f t="shared" si="99"/>
        <v>Q NOT OK dE&gt;0.8</v>
      </c>
      <c r="O1222">
        <v>46.52</v>
      </c>
      <c r="P1222">
        <v>58.66</v>
      </c>
      <c r="Q1222">
        <v>43.29</v>
      </c>
      <c r="R1222">
        <v>-0.82</v>
      </c>
      <c r="S1222">
        <v>-0.48</v>
      </c>
      <c r="T1222">
        <v>-1.1200000000000001</v>
      </c>
      <c r="U1222">
        <v>-0.35</v>
      </c>
      <c r="V1222">
        <v>-0.42</v>
      </c>
      <c r="W1222">
        <v>0.99</v>
      </c>
      <c r="X1222" t="s">
        <v>13</v>
      </c>
      <c r="Y1222" t="s">
        <v>7</v>
      </c>
      <c r="Z1222" s="2" t="s">
        <v>718</v>
      </c>
      <c r="AA1222" s="2" t="s">
        <v>721</v>
      </c>
    </row>
    <row r="1223" spans="1:27" x14ac:dyDescent="0.35">
      <c r="A1223" t="s">
        <v>2145</v>
      </c>
      <c r="B1223" t="s">
        <v>2271</v>
      </c>
      <c r="C1223" s="7" t="str">
        <f>_xlfn.XLOOKUP(B1223,'[1]Sheet 1'!$A$2:$A$11107,'[1]Sheet 1'!$D$2:$D$11107,"",0)</f>
        <v>VSS</v>
      </c>
      <c r="D1223" s="4" t="str">
        <f>_xlfn.XLOOKUP(A1223,[3]Sheet2!$I$2:$I$1623,[3]Sheet2!$D$2:$D$1623,"",0)</f>
        <v>Q3</v>
      </c>
      <c r="F1223" s="4" t="e">
        <f>_xlfn.XLOOKUP(B1223,[2]Sheet2!$E$2:$E$713,[2]Sheet2!$G$2:$G$713)</f>
        <v>#N/A</v>
      </c>
      <c r="G1223" s="22">
        <v>46179</v>
      </c>
      <c r="H1223" s="23">
        <v>0.60333333333333339</v>
      </c>
      <c r="I1223" t="s">
        <v>10</v>
      </c>
      <c r="J1223" s="2" t="str">
        <f t="shared" si="97"/>
        <v>Q2</v>
      </c>
      <c r="K1223" s="2" t="str">
        <f t="shared" si="98"/>
        <v>Not Match</v>
      </c>
      <c r="L1223" s="1">
        <f t="shared" si="95"/>
        <v>0.83216584885466194</v>
      </c>
      <c r="M1223" s="1" t="e">
        <f t="shared" si="96"/>
        <v>#N/A</v>
      </c>
      <c r="N1223" s="2" t="str">
        <f t="shared" si="99"/>
        <v>Q NOT OK dE&lt;=0.8</v>
      </c>
      <c r="O1223">
        <v>45.23</v>
      </c>
      <c r="P1223">
        <v>56.7</v>
      </c>
      <c r="Q1223">
        <v>46.17</v>
      </c>
      <c r="R1223">
        <v>-0.2</v>
      </c>
      <c r="S1223">
        <v>-0.06</v>
      </c>
      <c r="T1223">
        <v>0.83</v>
      </c>
      <c r="U1223">
        <v>0.16</v>
      </c>
      <c r="V1223">
        <v>0.48</v>
      </c>
      <c r="W1223">
        <v>0.54</v>
      </c>
      <c r="X1223" t="s">
        <v>8</v>
      </c>
      <c r="Y1223" t="s">
        <v>12</v>
      </c>
      <c r="Z1223" s="2" t="s">
        <v>718</v>
      </c>
      <c r="AA1223" s="2" t="s">
        <v>721</v>
      </c>
    </row>
    <row r="1224" spans="1:27" x14ac:dyDescent="0.35">
      <c r="A1224" t="s">
        <v>1557</v>
      </c>
      <c r="B1224" t="s">
        <v>2272</v>
      </c>
      <c r="C1224" s="7" t="str">
        <f>_xlfn.XLOOKUP(B1224,'[1]Sheet 1'!$A$2:$A$11107,'[1]Sheet 1'!$D$2:$D$11107,"",0)</f>
        <v>M&amp;S</v>
      </c>
      <c r="D1224" s="4" t="str">
        <f>_xlfn.XLOOKUP(A1224,[3]Sheet2!$I$2:$I$1623,[3]Sheet2!$D$2:$D$1623,"",0)</f>
        <v>Q3</v>
      </c>
      <c r="F1224" s="4" t="e">
        <f>_xlfn.XLOOKUP(B1224,[2]Sheet2!$E$2:$E$713,[2]Sheet2!$G$2:$G$713)</f>
        <v>#N/A</v>
      </c>
      <c r="G1224" s="22">
        <v>46179</v>
      </c>
      <c r="H1224" s="23">
        <v>0.61076388888888888</v>
      </c>
      <c r="I1224" t="s">
        <v>17</v>
      </c>
      <c r="J1224" s="2" t="str">
        <f t="shared" si="97"/>
        <v>Q4</v>
      </c>
      <c r="K1224" s="2" t="str">
        <f t="shared" si="98"/>
        <v>Not Match</v>
      </c>
      <c r="L1224" s="1">
        <f t="shared" si="95"/>
        <v>0.11045361017187261</v>
      </c>
      <c r="M1224" s="1" t="e">
        <f t="shared" si="96"/>
        <v>#N/A</v>
      </c>
      <c r="N1224" s="2" t="str">
        <f t="shared" si="99"/>
        <v>Q NOT OK dE&lt;=0.8</v>
      </c>
      <c r="O1224">
        <v>14.62</v>
      </c>
      <c r="P1224">
        <v>-0.57999999999999996</v>
      </c>
      <c r="Q1224">
        <v>-1.81</v>
      </c>
      <c r="R1224">
        <v>-0.72</v>
      </c>
      <c r="S1224">
        <v>0.01</v>
      </c>
      <c r="T1224">
        <v>-0.11</v>
      </c>
      <c r="U1224">
        <v>0.13</v>
      </c>
      <c r="V1224">
        <v>0.06</v>
      </c>
      <c r="W1224">
        <v>0.74</v>
      </c>
      <c r="X1224" t="s">
        <v>8</v>
      </c>
      <c r="Y1224" t="s">
        <v>9</v>
      </c>
      <c r="Z1224" s="2" t="s">
        <v>718</v>
      </c>
      <c r="AA1224" s="2" t="s">
        <v>721</v>
      </c>
    </row>
    <row r="1225" spans="1:27" x14ac:dyDescent="0.35">
      <c r="A1225" t="s">
        <v>2273</v>
      </c>
      <c r="B1225" t="s">
        <v>2274</v>
      </c>
      <c r="C1225" s="7" t="str">
        <f>_xlfn.XLOOKUP(B1225,'[1]Sheet 1'!$A$2:$A$11107,'[1]Sheet 1'!$D$2:$D$11107,"",0)</f>
        <v/>
      </c>
      <c r="D1225" s="4" t="str">
        <f>_xlfn.XLOOKUP(A1225,[3]Sheet2!$I$2:$I$1623,[3]Sheet2!$D$2:$D$1623,"",0)</f>
        <v>Q3</v>
      </c>
      <c r="F1225" s="4" t="e">
        <f>_xlfn.XLOOKUP(B1225,[2]Sheet2!$E$2:$E$713,[2]Sheet2!$G$2:$G$713)</f>
        <v>#N/A</v>
      </c>
      <c r="G1225" s="22">
        <v>46179</v>
      </c>
      <c r="H1225" s="23">
        <v>0.64697916666666666</v>
      </c>
      <c r="I1225" t="s">
        <v>10</v>
      </c>
      <c r="J1225" s="2" t="str">
        <f t="shared" si="97"/>
        <v>Q2</v>
      </c>
      <c r="K1225" s="2" t="str">
        <f t="shared" si="98"/>
        <v>Not Match</v>
      </c>
      <c r="L1225" s="1">
        <f t="shared" si="95"/>
        <v>0.78892331693264084</v>
      </c>
      <c r="M1225" s="1" t="e">
        <f t="shared" si="96"/>
        <v>#N/A</v>
      </c>
      <c r="N1225" s="2" t="str">
        <f t="shared" si="99"/>
        <v>Q NOT OK dE&lt;=0.8</v>
      </c>
      <c r="O1225">
        <v>23.48</v>
      </c>
      <c r="P1225">
        <v>-16.96</v>
      </c>
      <c r="Q1225">
        <v>-5.49</v>
      </c>
      <c r="R1225">
        <v>-0.21</v>
      </c>
      <c r="S1225">
        <v>-0.68</v>
      </c>
      <c r="T1225">
        <v>0.4</v>
      </c>
      <c r="U1225">
        <v>0.34</v>
      </c>
      <c r="V1225">
        <v>-0.51</v>
      </c>
      <c r="W1225">
        <v>0.65</v>
      </c>
      <c r="X1225" t="s">
        <v>8</v>
      </c>
      <c r="Y1225" t="s">
        <v>12</v>
      </c>
      <c r="Z1225" s="2" t="s">
        <v>718</v>
      </c>
      <c r="AA1225" s="2" t="s">
        <v>721</v>
      </c>
    </row>
    <row r="1226" spans="1:27" x14ac:dyDescent="0.35">
      <c r="A1226" t="s">
        <v>2275</v>
      </c>
      <c r="B1226" t="s">
        <v>2276</v>
      </c>
      <c r="C1226" s="7" t="str">
        <f>_xlfn.XLOOKUP(B1226,'[1]Sheet 1'!$A$2:$A$11107,'[1]Sheet 1'!$D$2:$D$11107,"",0)</f>
        <v>VSS</v>
      </c>
      <c r="D1226" s="4" t="str">
        <f>_xlfn.XLOOKUP(A1226,[3]Sheet2!$I$2:$I$1623,[3]Sheet2!$D$2:$D$1623,"",0)</f>
        <v>Q3</v>
      </c>
      <c r="F1226" s="4" t="e">
        <f>_xlfn.XLOOKUP(B1226,[2]Sheet2!$E$2:$E$713,[2]Sheet2!$G$2:$G$713)</f>
        <v>#N/A</v>
      </c>
      <c r="G1226" s="22">
        <v>46179</v>
      </c>
      <c r="H1226" s="23">
        <v>0.69836805555555559</v>
      </c>
      <c r="I1226" t="s">
        <v>10</v>
      </c>
      <c r="J1226" s="2" t="str">
        <f t="shared" si="97"/>
        <v>Q1</v>
      </c>
      <c r="K1226" s="2" t="str">
        <f t="shared" si="98"/>
        <v>Not Match</v>
      </c>
      <c r="L1226" s="1">
        <f t="shared" si="95"/>
        <v>1.421724305201258</v>
      </c>
      <c r="M1226" s="1" t="e">
        <f t="shared" si="96"/>
        <v>#N/A</v>
      </c>
      <c r="N1226" s="2" t="str">
        <f t="shared" si="99"/>
        <v>Q NOT OK dE&lt;=0.8</v>
      </c>
      <c r="O1226">
        <v>31.77</v>
      </c>
      <c r="P1226">
        <v>41.66</v>
      </c>
      <c r="Q1226">
        <v>22.13</v>
      </c>
      <c r="R1226">
        <v>-0.31</v>
      </c>
      <c r="S1226">
        <v>1.22</v>
      </c>
      <c r="T1226">
        <v>0.73</v>
      </c>
      <c r="U1226">
        <v>0.56999999999999995</v>
      </c>
      <c r="V1226">
        <v>0.05</v>
      </c>
      <c r="W1226">
        <v>0.65</v>
      </c>
      <c r="X1226" t="s">
        <v>8</v>
      </c>
      <c r="Y1226" t="s">
        <v>7</v>
      </c>
      <c r="Z1226" s="2" t="s">
        <v>718</v>
      </c>
      <c r="AA1226" s="2" t="s">
        <v>721</v>
      </c>
    </row>
    <row r="1227" spans="1:27" x14ac:dyDescent="0.35">
      <c r="A1227" t="s">
        <v>1500</v>
      </c>
      <c r="B1227" t="s">
        <v>2277</v>
      </c>
      <c r="C1227" s="7" t="str">
        <f>_xlfn.XLOOKUP(B1227,'[1]Sheet 1'!$A$2:$A$11107,'[1]Sheet 1'!$D$2:$D$11107,"",0)</f>
        <v>LULU</v>
      </c>
      <c r="D1227" s="4" t="str">
        <f>_xlfn.XLOOKUP(A1227,[3]Sheet2!$I$2:$I$1623,[3]Sheet2!$D$2:$D$1623,"",0)</f>
        <v>Q2</v>
      </c>
      <c r="F1227" s="4" t="e">
        <f>_xlfn.XLOOKUP(B1227,[2]Sheet2!$E$2:$E$713,[2]Sheet2!$G$2:$G$713)</f>
        <v>#N/A</v>
      </c>
      <c r="G1227" s="22">
        <v>46179</v>
      </c>
      <c r="H1227" s="23">
        <v>0.70159722222222221</v>
      </c>
      <c r="I1227" t="s">
        <v>4</v>
      </c>
      <c r="J1227" s="2" t="str">
        <f t="shared" si="97"/>
        <v>Q1</v>
      </c>
      <c r="K1227" s="2" t="str">
        <f t="shared" si="98"/>
        <v>Not Match</v>
      </c>
      <c r="L1227" s="1">
        <f t="shared" si="95"/>
        <v>0.30610455730027936</v>
      </c>
      <c r="M1227" s="1" t="e">
        <f t="shared" si="96"/>
        <v>#N/A</v>
      </c>
      <c r="N1227" s="2" t="str">
        <f t="shared" si="99"/>
        <v>Q NOT OK dE&lt;=0.8</v>
      </c>
      <c r="O1227">
        <v>17.59</v>
      </c>
      <c r="P1227">
        <v>-0.73</v>
      </c>
      <c r="Q1227">
        <v>-0.82</v>
      </c>
      <c r="R1227">
        <v>-0.43</v>
      </c>
      <c r="S1227">
        <v>0.24</v>
      </c>
      <c r="T1227">
        <v>0.19</v>
      </c>
      <c r="U1227">
        <v>-0.42</v>
      </c>
      <c r="V1227">
        <v>0.06</v>
      </c>
      <c r="W1227">
        <v>0.6</v>
      </c>
      <c r="X1227" t="s">
        <v>8</v>
      </c>
      <c r="Y1227" t="s">
        <v>7</v>
      </c>
      <c r="Z1227" s="2" t="s">
        <v>718</v>
      </c>
      <c r="AA1227" s="2" t="s">
        <v>721</v>
      </c>
    </row>
    <row r="1228" spans="1:27" x14ac:dyDescent="0.35">
      <c r="A1228" t="s">
        <v>2161</v>
      </c>
      <c r="B1228" t="s">
        <v>2278</v>
      </c>
      <c r="C1228" s="7" t="str">
        <f>_xlfn.XLOOKUP(B1228,'[1]Sheet 1'!$A$2:$A$11107,'[1]Sheet 1'!$D$2:$D$11107,"",0)</f>
        <v>VSS</v>
      </c>
      <c r="D1228" s="4" t="str">
        <f>_xlfn.XLOOKUP(A1228,[3]Sheet2!$I$2:$I$1623,[3]Sheet2!$D$2:$D$1623,"",0)</f>
        <v>Q3</v>
      </c>
      <c r="F1228" s="4" t="e">
        <f>_xlfn.XLOOKUP(B1228,[2]Sheet2!$E$2:$E$713,[2]Sheet2!$G$2:$G$713)</f>
        <v>#N/A</v>
      </c>
      <c r="G1228" s="22">
        <v>46179</v>
      </c>
      <c r="H1228" s="23">
        <v>0.70938657407407413</v>
      </c>
      <c r="I1228" t="s">
        <v>10</v>
      </c>
      <c r="J1228" s="2" t="str">
        <f t="shared" si="97"/>
        <v>Q1</v>
      </c>
      <c r="K1228" s="2" t="str">
        <f t="shared" si="98"/>
        <v>Not Match</v>
      </c>
      <c r="L1228" s="1">
        <f t="shared" si="95"/>
        <v>1.5469324484281788</v>
      </c>
      <c r="M1228" s="1" t="e">
        <f t="shared" si="96"/>
        <v>#N/A</v>
      </c>
      <c r="N1228" s="2" t="str">
        <f t="shared" si="99"/>
        <v>Q NOT OK dE&gt;0.8</v>
      </c>
      <c r="O1228">
        <v>43.59</v>
      </c>
      <c r="P1228">
        <v>56</v>
      </c>
      <c r="Q1228">
        <v>42.93</v>
      </c>
      <c r="R1228">
        <v>0.59</v>
      </c>
      <c r="S1228">
        <v>0.79</v>
      </c>
      <c r="T1228">
        <v>1.33</v>
      </c>
      <c r="U1228">
        <v>0.49</v>
      </c>
      <c r="V1228">
        <v>0.41</v>
      </c>
      <c r="W1228">
        <v>0.87</v>
      </c>
      <c r="X1228" t="s">
        <v>13</v>
      </c>
      <c r="Y1228" t="s">
        <v>12</v>
      </c>
      <c r="Z1228" s="2" t="s">
        <v>718</v>
      </c>
      <c r="AA1228" s="2" t="s">
        <v>721</v>
      </c>
    </row>
    <row r="1229" spans="1:27" x14ac:dyDescent="0.35">
      <c r="A1229" t="s">
        <v>2279</v>
      </c>
      <c r="B1229" t="s">
        <v>2280</v>
      </c>
      <c r="C1229" s="7" t="str">
        <f>_xlfn.XLOOKUP(B1229,'[1]Sheet 1'!$A$2:$A$11107,'[1]Sheet 1'!$D$2:$D$11107,"",0)</f>
        <v>CHICOS</v>
      </c>
      <c r="D1229" s="4" t="str">
        <f>_xlfn.XLOOKUP(A1229,[3]Sheet2!$I$2:$I$1623,[3]Sheet2!$D$2:$D$1623,"",0)</f>
        <v>Q3</v>
      </c>
      <c r="F1229" s="4" t="e">
        <f>_xlfn.XLOOKUP(B1229,[2]Sheet2!$E$2:$E$713,[2]Sheet2!$G$2:$G$713)</f>
        <v>#N/A</v>
      </c>
      <c r="G1229" s="22">
        <v>46179</v>
      </c>
      <c r="H1229" s="23">
        <v>0.73063657407407412</v>
      </c>
      <c r="I1229" t="s">
        <v>14</v>
      </c>
      <c r="J1229" s="2" t="str">
        <f t="shared" si="97"/>
        <v>Q3</v>
      </c>
      <c r="K1229" s="2" t="str">
        <f t="shared" si="98"/>
        <v>Match</v>
      </c>
      <c r="L1229" s="1">
        <f t="shared" si="95"/>
        <v>0.21587033144922901</v>
      </c>
      <c r="M1229" s="1" t="e">
        <f t="shared" si="96"/>
        <v>#N/A</v>
      </c>
      <c r="N1229" s="2" t="str">
        <f t="shared" si="99"/>
        <v>Q OK dE&gt;0.8</v>
      </c>
      <c r="O1229">
        <v>13.45</v>
      </c>
      <c r="P1229">
        <v>-0.43</v>
      </c>
      <c r="Q1229">
        <v>-2.33</v>
      </c>
      <c r="R1229">
        <v>-1.5</v>
      </c>
      <c r="S1229">
        <v>-0.05</v>
      </c>
      <c r="T1229">
        <v>-0.21</v>
      </c>
      <c r="U1229">
        <v>0.27</v>
      </c>
      <c r="V1229">
        <v>-0.01</v>
      </c>
      <c r="W1229">
        <v>1.53</v>
      </c>
      <c r="X1229" t="s">
        <v>6</v>
      </c>
      <c r="Y1229" t="s">
        <v>15</v>
      </c>
      <c r="Z1229" s="2" t="s">
        <v>718</v>
      </c>
      <c r="AA1229" s="2" t="s">
        <v>721</v>
      </c>
    </row>
    <row r="1230" spans="1:27" x14ac:dyDescent="0.35">
      <c r="A1230" t="s">
        <v>2161</v>
      </c>
      <c r="B1230" t="s">
        <v>2281</v>
      </c>
      <c r="C1230" s="7" t="str">
        <f>_xlfn.XLOOKUP(B1230,'[1]Sheet 1'!$A$2:$A$11107,'[1]Sheet 1'!$D$2:$D$11107,"",0)</f>
        <v>VSS</v>
      </c>
      <c r="D1230" s="4" t="str">
        <f>_xlfn.XLOOKUP(A1230,[3]Sheet2!$I$2:$I$1623,[3]Sheet2!$D$2:$D$1623,"",0)</f>
        <v>Q3</v>
      </c>
      <c r="F1230" s="4" t="e">
        <f>_xlfn.XLOOKUP(B1230,[2]Sheet2!$E$2:$E$713,[2]Sheet2!$G$2:$G$713)</f>
        <v>#N/A</v>
      </c>
      <c r="G1230" s="22">
        <v>46179</v>
      </c>
      <c r="H1230" s="23">
        <v>0.7331481481481481</v>
      </c>
      <c r="I1230" t="s">
        <v>10</v>
      </c>
      <c r="J1230" s="2" t="str">
        <f t="shared" si="97"/>
        <v>Q1</v>
      </c>
      <c r="K1230" s="2" t="str">
        <f t="shared" si="98"/>
        <v>Not Match</v>
      </c>
      <c r="L1230" s="1">
        <f t="shared" si="95"/>
        <v>1.0890821823902914</v>
      </c>
      <c r="M1230" s="1" t="e">
        <f t="shared" si="96"/>
        <v>#N/A</v>
      </c>
      <c r="N1230" s="2" t="str">
        <f t="shared" si="99"/>
        <v>Q NOT OK dE&lt;=0.8</v>
      </c>
      <c r="O1230">
        <v>43.47</v>
      </c>
      <c r="P1230">
        <v>55.75</v>
      </c>
      <c r="Q1230">
        <v>42.54</v>
      </c>
      <c r="R1230">
        <v>0.54</v>
      </c>
      <c r="S1230">
        <v>0.55000000000000004</v>
      </c>
      <c r="T1230">
        <v>0.94</v>
      </c>
      <c r="U1230">
        <v>0.34</v>
      </c>
      <c r="V1230">
        <v>0.3</v>
      </c>
      <c r="W1230">
        <v>0.7</v>
      </c>
      <c r="X1230" t="s">
        <v>8</v>
      </c>
      <c r="Y1230" t="s">
        <v>12</v>
      </c>
      <c r="Z1230" s="2" t="s">
        <v>718</v>
      </c>
      <c r="AA1230" s="2" t="s">
        <v>721</v>
      </c>
    </row>
    <row r="1231" spans="1:27" x14ac:dyDescent="0.35">
      <c r="A1231" t="s">
        <v>2282</v>
      </c>
      <c r="B1231" t="s">
        <v>2283</v>
      </c>
      <c r="C1231" s="7" t="str">
        <f>_xlfn.XLOOKUP(B1231,'[1]Sheet 1'!$A$2:$A$11107,'[1]Sheet 1'!$D$2:$D$11107,"",0)</f>
        <v>LBI</v>
      </c>
      <c r="D1231" s="4" t="str">
        <f>_xlfn.XLOOKUP(A1231,[3]Sheet2!$I$2:$I$1623,[3]Sheet2!$D$2:$D$1623,"",0)</f>
        <v>Q4</v>
      </c>
      <c r="F1231" s="4" t="e">
        <f>_xlfn.XLOOKUP(B1231,[2]Sheet2!$E$2:$E$713,[2]Sheet2!$G$2:$G$713)</f>
        <v>#N/A</v>
      </c>
      <c r="G1231" s="22">
        <v>46179</v>
      </c>
      <c r="H1231" s="23">
        <v>0.7369444444444444</v>
      </c>
      <c r="I1231" t="s">
        <v>14</v>
      </c>
      <c r="J1231" s="2" t="str">
        <f t="shared" si="97"/>
        <v>Q1</v>
      </c>
      <c r="K1231" s="2" t="str">
        <f t="shared" si="98"/>
        <v>Not Match</v>
      </c>
      <c r="L1231" s="1">
        <f t="shared" si="95"/>
        <v>0.5936328831862332</v>
      </c>
      <c r="M1231" s="1" t="e">
        <f t="shared" si="96"/>
        <v>#N/A</v>
      </c>
      <c r="N1231" s="2" t="str">
        <f t="shared" si="99"/>
        <v>Q NOT OK dE&lt;=0.8</v>
      </c>
      <c r="O1231">
        <v>21.55</v>
      </c>
      <c r="P1231">
        <v>17.739999999999998</v>
      </c>
      <c r="Q1231">
        <v>-5.69</v>
      </c>
      <c r="R1231">
        <v>-0.31</v>
      </c>
      <c r="S1231">
        <v>0.32</v>
      </c>
      <c r="T1231">
        <v>0.5</v>
      </c>
      <c r="U1231">
        <v>0.09</v>
      </c>
      <c r="V1231">
        <v>0.5</v>
      </c>
      <c r="W1231">
        <v>0.59</v>
      </c>
      <c r="X1231" t="s">
        <v>8</v>
      </c>
      <c r="Y1231" t="s">
        <v>9</v>
      </c>
      <c r="Z1231" s="2" t="s">
        <v>718</v>
      </c>
      <c r="AA1231" s="2" t="s">
        <v>721</v>
      </c>
    </row>
    <row r="1232" spans="1:27" x14ac:dyDescent="0.35">
      <c r="A1232" t="s">
        <v>2161</v>
      </c>
      <c r="B1232" t="s">
        <v>2287</v>
      </c>
      <c r="C1232" s="7" t="str">
        <f>_xlfn.XLOOKUP(B1232,'[1]Sheet 1'!$A$2:$A$11107,'[1]Sheet 1'!$D$2:$D$11107,"",0)</f>
        <v>VSS</v>
      </c>
      <c r="D1232" s="4" t="str">
        <f>_xlfn.XLOOKUP(A1232,[3]Sheet2!$I$2:$I$1623,[3]Sheet2!$D$2:$D$1623,"",0)</f>
        <v>Q3</v>
      </c>
      <c r="F1232" s="4" t="e">
        <f>_xlfn.XLOOKUP(B1232,[2]Sheet2!$E$2:$E$713,[2]Sheet2!$G$2:$G$713)</f>
        <v>#N/A</v>
      </c>
      <c r="G1232" s="22">
        <v>46181</v>
      </c>
      <c r="H1232">
        <v>0.61935185185185182</v>
      </c>
      <c r="I1232" t="s">
        <v>10</v>
      </c>
      <c r="J1232" s="2" t="str">
        <f t="shared" si="97"/>
        <v>Q1</v>
      </c>
      <c r="K1232" s="2" t="str">
        <f t="shared" si="98"/>
        <v>Not Match</v>
      </c>
      <c r="L1232" s="1">
        <f t="shared" si="95"/>
        <v>1.7535392781457735</v>
      </c>
      <c r="M1232" s="1" t="e">
        <f t="shared" si="96"/>
        <v>#N/A</v>
      </c>
      <c r="N1232" s="2" t="str">
        <f t="shared" si="99"/>
        <v>Q NOT OK dE&gt;0.8</v>
      </c>
      <c r="O1232">
        <v>43.28</v>
      </c>
      <c r="P1232">
        <v>56.03</v>
      </c>
      <c r="Q1232">
        <v>43.15</v>
      </c>
      <c r="R1232">
        <v>0.44</v>
      </c>
      <c r="S1232">
        <v>0.82</v>
      </c>
      <c r="T1232">
        <v>1.55</v>
      </c>
      <c r="U1232">
        <v>0.54</v>
      </c>
      <c r="V1232">
        <v>0.52</v>
      </c>
      <c r="W1232">
        <v>0.87</v>
      </c>
      <c r="X1232" t="s">
        <v>13</v>
      </c>
      <c r="Y1232" t="s">
        <v>12</v>
      </c>
      <c r="Z1232" s="2" t="s">
        <v>718</v>
      </c>
      <c r="AA1232" s="2" t="s">
        <v>721</v>
      </c>
    </row>
    <row r="1233" spans="1:27" x14ac:dyDescent="0.35">
      <c r="A1233" t="s">
        <v>1515</v>
      </c>
      <c r="B1233" t="s">
        <v>2288</v>
      </c>
      <c r="C1233" s="7" t="str">
        <f>_xlfn.XLOOKUP(B1233,'[1]Sheet 1'!$A$2:$A$11107,'[1]Sheet 1'!$D$2:$D$11107,"",0)</f>
        <v>VSS</v>
      </c>
      <c r="D1233" s="4" t="str">
        <f>_xlfn.XLOOKUP(A1233,[3]Sheet2!$I$2:$I$1623,[3]Sheet2!$D$2:$D$1623,"",0)</f>
        <v>Q3</v>
      </c>
      <c r="F1233" s="4" t="e">
        <f>_xlfn.XLOOKUP(B1233,[2]Sheet2!$E$2:$E$713,[2]Sheet2!$G$2:$G$713)</f>
        <v>#N/A</v>
      </c>
      <c r="G1233" s="22">
        <v>46181</v>
      </c>
      <c r="H1233">
        <v>0.62284722222222222</v>
      </c>
      <c r="I1233" t="s">
        <v>10</v>
      </c>
      <c r="J1233" s="2" t="str">
        <f t="shared" si="97"/>
        <v>Q4</v>
      </c>
      <c r="K1233" s="2" t="str">
        <f t="shared" si="98"/>
        <v>Not Match</v>
      </c>
      <c r="L1233" s="1">
        <f t="shared" si="95"/>
        <v>0.16492422502470644</v>
      </c>
      <c r="M1233" s="1" t="e">
        <f t="shared" si="96"/>
        <v>#N/A</v>
      </c>
      <c r="N1233" s="2" t="str">
        <f t="shared" si="99"/>
        <v>Q NOT OK dE&gt;0.8</v>
      </c>
      <c r="O1233">
        <v>13.87</v>
      </c>
      <c r="P1233">
        <v>0.14000000000000001</v>
      </c>
      <c r="Q1233">
        <v>-1.91</v>
      </c>
      <c r="R1233">
        <v>-1.1399999999999999</v>
      </c>
      <c r="S1233">
        <v>0.04</v>
      </c>
      <c r="T1233">
        <v>-0.16</v>
      </c>
      <c r="U1233">
        <v>0.22</v>
      </c>
      <c r="V1233">
        <v>0.04</v>
      </c>
      <c r="W1233">
        <v>1.17</v>
      </c>
      <c r="X1233" t="s">
        <v>6</v>
      </c>
      <c r="Y1233" t="s">
        <v>9</v>
      </c>
      <c r="Z1233" s="2" t="s">
        <v>718</v>
      </c>
      <c r="AA1233" s="2" t="s">
        <v>721</v>
      </c>
    </row>
    <row r="1234" spans="1:27" x14ac:dyDescent="0.35">
      <c r="A1234" t="s">
        <v>2161</v>
      </c>
      <c r="B1234" t="s">
        <v>2289</v>
      </c>
      <c r="C1234" s="7" t="str">
        <f>_xlfn.XLOOKUP(B1234,'[1]Sheet 1'!$A$2:$A$11107,'[1]Sheet 1'!$D$2:$D$11107,"",0)</f>
        <v>VSS</v>
      </c>
      <c r="D1234" s="4" t="str">
        <f>_xlfn.XLOOKUP(A1234,[3]Sheet2!$I$2:$I$1623,[3]Sheet2!$D$2:$D$1623,"",0)</f>
        <v>Q3</v>
      </c>
      <c r="F1234" s="4" t="e">
        <f>_xlfn.XLOOKUP(B1234,[2]Sheet2!$E$2:$E$713,[2]Sheet2!$G$2:$G$713)</f>
        <v>#N/A</v>
      </c>
      <c r="G1234" s="22">
        <v>46181</v>
      </c>
      <c r="H1234">
        <v>0.65839120370370374</v>
      </c>
      <c r="I1234" t="s">
        <v>10</v>
      </c>
      <c r="J1234" s="2" t="str">
        <f t="shared" si="97"/>
        <v>Q1</v>
      </c>
      <c r="K1234" s="2" t="str">
        <f t="shared" si="98"/>
        <v>Not Match</v>
      </c>
      <c r="L1234" s="1">
        <f t="shared" si="95"/>
        <v>0.31780497164141408</v>
      </c>
      <c r="M1234" s="1" t="e">
        <f t="shared" si="96"/>
        <v>#N/A</v>
      </c>
      <c r="N1234" s="2" t="str">
        <f t="shared" si="99"/>
        <v>Q NOT OK dE&lt;=0.8</v>
      </c>
      <c r="O1234">
        <v>43.26</v>
      </c>
      <c r="P1234">
        <v>55.51</v>
      </c>
      <c r="Q1234">
        <v>41.67</v>
      </c>
      <c r="R1234">
        <v>0.43</v>
      </c>
      <c r="S1234">
        <v>0.31</v>
      </c>
      <c r="T1234">
        <v>7.0000000000000007E-2</v>
      </c>
      <c r="U1234">
        <v>0.1</v>
      </c>
      <c r="V1234">
        <v>-0.09</v>
      </c>
      <c r="W1234">
        <v>0.45</v>
      </c>
      <c r="X1234" t="s">
        <v>8</v>
      </c>
      <c r="Y1234" t="s">
        <v>7</v>
      </c>
      <c r="Z1234" s="2" t="s">
        <v>718</v>
      </c>
      <c r="AA1234" s="2" t="s">
        <v>721</v>
      </c>
    </row>
    <row r="1235" spans="1:27" x14ac:dyDescent="0.35">
      <c r="A1235" t="s">
        <v>1545</v>
      </c>
      <c r="B1235" t="s">
        <v>2290</v>
      </c>
      <c r="C1235" s="7" t="str">
        <f>_xlfn.XLOOKUP(B1235,'[1]Sheet 1'!$A$2:$A$11107,'[1]Sheet 1'!$D$2:$D$11107,"",0)</f>
        <v>NIK</v>
      </c>
      <c r="D1235" s="4" t="str">
        <f>_xlfn.XLOOKUP(A1235,[3]Sheet2!$I$2:$I$1623,[3]Sheet2!$D$2:$D$1623,"",0)</f>
        <v>Q2</v>
      </c>
      <c r="F1235" s="4" t="e">
        <f>_xlfn.XLOOKUP(B1235,[2]Sheet2!$E$2:$E$713,[2]Sheet2!$G$2:$G$713)</f>
        <v>#N/A</v>
      </c>
      <c r="G1235" s="22">
        <v>46181</v>
      </c>
      <c r="H1235">
        <v>0.67349537037037033</v>
      </c>
      <c r="I1235" t="s">
        <v>4</v>
      </c>
      <c r="J1235" s="2" t="str">
        <f t="shared" si="97"/>
        <v>Q4</v>
      </c>
      <c r="K1235" s="2" t="str">
        <f t="shared" si="98"/>
        <v>Not Match</v>
      </c>
      <c r="L1235" s="1">
        <f t="shared" si="95"/>
        <v>0.1984943324127921</v>
      </c>
      <c r="M1235" s="1" t="e">
        <f t="shared" si="96"/>
        <v>#N/A</v>
      </c>
      <c r="N1235" s="2" t="str">
        <f t="shared" si="99"/>
        <v>Q NOT OK dE&lt;=0.8</v>
      </c>
      <c r="O1235">
        <v>18.66</v>
      </c>
      <c r="P1235">
        <v>-0.74</v>
      </c>
      <c r="Q1235">
        <v>-1.76</v>
      </c>
      <c r="R1235">
        <v>0.18</v>
      </c>
      <c r="S1235">
        <v>0.15</v>
      </c>
      <c r="T1235">
        <v>-0.13</v>
      </c>
      <c r="U1235">
        <v>0.08</v>
      </c>
      <c r="V1235">
        <v>0.26</v>
      </c>
      <c r="W1235">
        <v>0.33</v>
      </c>
      <c r="X1235" t="s">
        <v>8</v>
      </c>
      <c r="Y1235" t="s">
        <v>9</v>
      </c>
      <c r="Z1235" s="2" t="s">
        <v>718</v>
      </c>
      <c r="AA1235" s="2" t="s">
        <v>721</v>
      </c>
    </row>
    <row r="1236" spans="1:27" x14ac:dyDescent="0.35">
      <c r="A1236" t="s">
        <v>1558</v>
      </c>
      <c r="B1236" t="s">
        <v>2291</v>
      </c>
      <c r="C1236" s="7" t="str">
        <f>_xlfn.XLOOKUP(B1236,'[1]Sheet 1'!$A$2:$A$11107,'[1]Sheet 1'!$D$2:$D$11107,"",0)</f>
        <v>M&amp;S</v>
      </c>
      <c r="D1236" s="4" t="str">
        <f>_xlfn.XLOOKUP(A1236,[3]Sheet2!$I$2:$I$1623,[3]Sheet2!$D$2:$D$1623,"",0)</f>
        <v>Q3</v>
      </c>
      <c r="F1236" s="4" t="e">
        <f>_xlfn.XLOOKUP(B1236,[2]Sheet2!$E$2:$E$713,[2]Sheet2!$G$2:$G$713)</f>
        <v>#N/A</v>
      </c>
      <c r="G1236" s="22">
        <v>46181</v>
      </c>
      <c r="H1236">
        <v>0.70909722222222227</v>
      </c>
      <c r="I1236" t="s">
        <v>17</v>
      </c>
      <c r="J1236" s="2" t="str">
        <f t="shared" si="97"/>
        <v>Q3</v>
      </c>
      <c r="K1236" s="2" t="str">
        <f t="shared" si="98"/>
        <v>Match</v>
      </c>
      <c r="L1236" s="1">
        <f t="shared" si="95"/>
        <v>0.39051248379533271</v>
      </c>
      <c r="M1236" s="1" t="e">
        <f t="shared" si="96"/>
        <v>#N/A</v>
      </c>
      <c r="N1236" s="2" t="str">
        <f t="shared" si="99"/>
        <v>Q OK dE&gt;0.8</v>
      </c>
      <c r="O1236">
        <v>14.38</v>
      </c>
      <c r="P1236">
        <v>-0.65</v>
      </c>
      <c r="Q1236">
        <v>-2</v>
      </c>
      <c r="R1236">
        <v>-0.97</v>
      </c>
      <c r="S1236">
        <v>-0.09</v>
      </c>
      <c r="T1236">
        <v>-0.38</v>
      </c>
      <c r="U1236">
        <v>0.52</v>
      </c>
      <c r="V1236">
        <v>0.05</v>
      </c>
      <c r="W1236">
        <v>1.1000000000000001</v>
      </c>
      <c r="X1236" t="s">
        <v>6</v>
      </c>
      <c r="Y1236" t="s">
        <v>9</v>
      </c>
      <c r="Z1236" s="2" t="s">
        <v>718</v>
      </c>
      <c r="AA1236" s="2" t="s">
        <v>721</v>
      </c>
    </row>
    <row r="1237" spans="1:27" x14ac:dyDescent="0.35">
      <c r="A1237" t="s">
        <v>2275</v>
      </c>
      <c r="B1237" t="s">
        <v>2292</v>
      </c>
      <c r="C1237" s="7" t="str">
        <f>_xlfn.XLOOKUP(B1237,'[1]Sheet 1'!$A$2:$A$11107,'[1]Sheet 1'!$D$2:$D$11107,"",0)</f>
        <v>VSS</v>
      </c>
      <c r="D1237" s="4" t="str">
        <f>_xlfn.XLOOKUP(A1237,[3]Sheet2!$I$2:$I$1623,[3]Sheet2!$D$2:$D$1623,"",0)</f>
        <v>Q3</v>
      </c>
      <c r="F1237" s="4" t="e">
        <f>_xlfn.XLOOKUP(B1237,[2]Sheet2!$E$2:$E$713,[2]Sheet2!$G$2:$G$713)</f>
        <v>#N/A</v>
      </c>
      <c r="G1237" s="22">
        <v>46181</v>
      </c>
      <c r="H1237">
        <v>0.72050925925925924</v>
      </c>
      <c r="I1237" t="s">
        <v>10</v>
      </c>
      <c r="J1237" s="2" t="str">
        <f t="shared" si="97"/>
        <v>Q1</v>
      </c>
      <c r="K1237" s="2" t="str">
        <f t="shared" si="98"/>
        <v>Not Match</v>
      </c>
      <c r="L1237" s="1">
        <f t="shared" si="95"/>
        <v>1.7355690709389817</v>
      </c>
      <c r="M1237" s="1" t="e">
        <f t="shared" si="96"/>
        <v>#N/A</v>
      </c>
      <c r="N1237" s="2" t="str">
        <f t="shared" si="99"/>
        <v>Q NOT OK dE&gt;0.8</v>
      </c>
      <c r="O1237">
        <v>31.64</v>
      </c>
      <c r="P1237">
        <v>41.33</v>
      </c>
      <c r="Q1237">
        <v>22.9</v>
      </c>
      <c r="R1237">
        <v>-0.38</v>
      </c>
      <c r="S1237">
        <v>0.89</v>
      </c>
      <c r="T1237">
        <v>1.49</v>
      </c>
      <c r="U1237">
        <v>0.61</v>
      </c>
      <c r="V1237">
        <v>0.66</v>
      </c>
      <c r="W1237">
        <v>0.98</v>
      </c>
      <c r="X1237" t="s">
        <v>13</v>
      </c>
      <c r="Y1237" t="s">
        <v>12</v>
      </c>
      <c r="Z1237" s="2" t="s">
        <v>718</v>
      </c>
      <c r="AA1237" s="2" t="s">
        <v>721</v>
      </c>
    </row>
    <row r="1238" spans="1:27" x14ac:dyDescent="0.35">
      <c r="A1238" t="s">
        <v>2148</v>
      </c>
      <c r="B1238" t="s">
        <v>2293</v>
      </c>
      <c r="C1238" s="7" t="str">
        <f>_xlfn.XLOOKUP(B1238,'[1]Sheet 1'!$A$2:$A$11107,'[1]Sheet 1'!$D$2:$D$11107,"",0)</f>
        <v>VSS</v>
      </c>
      <c r="D1238" s="4" t="str">
        <f>_xlfn.XLOOKUP(A1238,[3]Sheet2!$I$2:$I$1623,[3]Sheet2!$D$2:$D$1623,"",0)</f>
        <v>Q3</v>
      </c>
      <c r="F1238" s="4" t="e">
        <f>_xlfn.XLOOKUP(B1238,[2]Sheet2!$E$2:$E$713,[2]Sheet2!$G$2:$G$713)</f>
        <v>#N/A</v>
      </c>
      <c r="G1238" s="22">
        <v>46181</v>
      </c>
      <c r="H1238">
        <v>0.76633101851851848</v>
      </c>
      <c r="I1238" t="s">
        <v>10</v>
      </c>
      <c r="J1238" s="2" t="str">
        <f t="shared" si="97"/>
        <v>Q1</v>
      </c>
      <c r="K1238" s="2" t="str">
        <f t="shared" si="98"/>
        <v>Not Match</v>
      </c>
      <c r="L1238" s="1">
        <f t="shared" si="95"/>
        <v>1.231665539016173</v>
      </c>
      <c r="M1238" s="1" t="e">
        <f t="shared" si="96"/>
        <v>#N/A</v>
      </c>
      <c r="N1238" s="2" t="str">
        <f t="shared" si="99"/>
        <v>Q NOT OK dE&gt;0.8</v>
      </c>
      <c r="O1238">
        <v>43.85</v>
      </c>
      <c r="P1238">
        <v>55.25</v>
      </c>
      <c r="Q1238">
        <v>38.72</v>
      </c>
      <c r="R1238">
        <v>0.64</v>
      </c>
      <c r="S1238">
        <v>1.21</v>
      </c>
      <c r="T1238">
        <v>0.23</v>
      </c>
      <c r="U1238">
        <v>0.39</v>
      </c>
      <c r="V1238">
        <v>-0.35</v>
      </c>
      <c r="W1238">
        <v>0.83</v>
      </c>
      <c r="X1238" t="s">
        <v>13</v>
      </c>
      <c r="Y1238" t="s">
        <v>7</v>
      </c>
      <c r="Z1238" s="2" t="s">
        <v>718</v>
      </c>
      <c r="AA1238" s="2" t="s">
        <v>721</v>
      </c>
    </row>
    <row r="1239" spans="1:27" x14ac:dyDescent="0.35">
      <c r="A1239" t="s">
        <v>2275</v>
      </c>
      <c r="B1239" t="s">
        <v>2295</v>
      </c>
      <c r="C1239" s="7" t="str">
        <f>_xlfn.XLOOKUP(B1239,'[1]Sheet 1'!$A$2:$A$11107,'[1]Sheet 1'!$D$2:$D$11107,"",0)</f>
        <v>VSS</v>
      </c>
      <c r="D1239" s="4" t="str">
        <f>_xlfn.XLOOKUP(A1239,[3]Sheet2!$I$2:$I$1623,[3]Sheet2!$D$2:$D$1623,"",0)</f>
        <v>Q3</v>
      </c>
      <c r="F1239" s="4" t="e">
        <f>_xlfn.XLOOKUP(B1239,[2]Sheet2!$E$2:$E$713,[2]Sheet2!$G$2:$G$713)</f>
        <v>#N/A</v>
      </c>
      <c r="G1239" s="22">
        <v>46181</v>
      </c>
      <c r="H1239">
        <v>0.77782407407407406</v>
      </c>
      <c r="I1239" t="s">
        <v>10</v>
      </c>
      <c r="J1239" s="2" t="str">
        <f t="shared" si="97"/>
        <v>Q1</v>
      </c>
      <c r="K1239" s="2" t="str">
        <f t="shared" si="98"/>
        <v>Not Match</v>
      </c>
      <c r="L1239" s="1">
        <f t="shared" si="95"/>
        <v>1.3538463723776046</v>
      </c>
      <c r="M1239" s="1" t="e">
        <f t="shared" si="96"/>
        <v>#N/A</v>
      </c>
      <c r="N1239" s="2" t="str">
        <f t="shared" si="99"/>
        <v>Q NOT OK dE&gt;0.8</v>
      </c>
      <c r="O1239">
        <v>31.8</v>
      </c>
      <c r="P1239">
        <v>40.96</v>
      </c>
      <c r="Q1239">
        <v>22.66</v>
      </c>
      <c r="R1239">
        <v>-0.28000000000000003</v>
      </c>
      <c r="S1239">
        <v>0.52</v>
      </c>
      <c r="T1239">
        <v>1.25</v>
      </c>
      <c r="U1239">
        <v>0.43</v>
      </c>
      <c r="V1239">
        <v>0.64</v>
      </c>
      <c r="W1239">
        <v>0.82</v>
      </c>
      <c r="X1239" t="s">
        <v>13</v>
      </c>
      <c r="Y1239" t="s">
        <v>12</v>
      </c>
      <c r="Z1239" s="2" t="s">
        <v>718</v>
      </c>
      <c r="AA1239" s="2" t="s">
        <v>721</v>
      </c>
    </row>
    <row r="1240" spans="1:27" x14ac:dyDescent="0.35">
      <c r="A1240" t="s">
        <v>1626</v>
      </c>
      <c r="B1240" t="s">
        <v>2296</v>
      </c>
      <c r="C1240" s="7" t="str">
        <f>_xlfn.XLOOKUP(B1240,'[1]Sheet 1'!$A$2:$A$11107,'[1]Sheet 1'!$D$2:$D$11107,"",0)</f>
        <v>VSS</v>
      </c>
      <c r="D1240" s="4" t="str">
        <f>_xlfn.XLOOKUP(A1240,[3]Sheet2!$I$2:$I$1623,[3]Sheet2!$D$2:$D$1623,"",0)</f>
        <v>Q4</v>
      </c>
      <c r="F1240" s="4" t="e">
        <f>_xlfn.XLOOKUP(B1240,[2]Sheet2!$E$2:$E$713,[2]Sheet2!$G$2:$G$713)</f>
        <v>#N/A</v>
      </c>
      <c r="G1240" s="22">
        <v>46182</v>
      </c>
      <c r="H1240">
        <v>7.9166666666666663E-2</v>
      </c>
      <c r="I1240" t="s">
        <v>10</v>
      </c>
      <c r="J1240" s="2" t="str">
        <f t="shared" si="97"/>
        <v>Q3</v>
      </c>
      <c r="K1240" s="2" t="str">
        <f t="shared" si="98"/>
        <v>Not Match</v>
      </c>
      <c r="L1240" s="1">
        <f t="shared" si="95"/>
        <v>0.22203603311174516</v>
      </c>
      <c r="M1240" s="1" t="e">
        <f t="shared" si="96"/>
        <v>#N/A</v>
      </c>
      <c r="N1240" s="2" t="str">
        <f t="shared" si="99"/>
        <v>Q NOT OK dE&lt;=0.8</v>
      </c>
      <c r="O1240">
        <v>15.77</v>
      </c>
      <c r="P1240">
        <v>0.38</v>
      </c>
      <c r="Q1240">
        <v>-1.62</v>
      </c>
      <c r="R1240">
        <v>0.19</v>
      </c>
      <c r="S1240">
        <v>-0.22</v>
      </c>
      <c r="T1240">
        <v>-0.03</v>
      </c>
      <c r="U1240">
        <v>-0.04</v>
      </c>
      <c r="V1240">
        <v>-0.3</v>
      </c>
      <c r="W1240">
        <v>0.36</v>
      </c>
      <c r="X1240" t="s">
        <v>8</v>
      </c>
      <c r="Y1240" t="s">
        <v>15</v>
      </c>
      <c r="Z1240" s="2" t="s">
        <v>718</v>
      </c>
      <c r="AA1240" s="2" t="s">
        <v>721</v>
      </c>
    </row>
    <row r="1241" spans="1:27" x14ac:dyDescent="0.35">
      <c r="A1241" t="s">
        <v>1639</v>
      </c>
      <c r="B1241" t="s">
        <v>2298</v>
      </c>
      <c r="C1241" s="7" t="str">
        <f>_xlfn.XLOOKUP(B1241,'[1]Sheet 1'!$A$2:$A$11107,'[1]Sheet 1'!$D$2:$D$11107,"",0)</f>
        <v>VSS</v>
      </c>
      <c r="D1241" s="4" t="str">
        <f>_xlfn.XLOOKUP(A1241,[3]Sheet2!$I$2:$I$1623,[3]Sheet2!$D$2:$D$1623,"",0)</f>
        <v>Q3</v>
      </c>
      <c r="F1241" s="4" t="e">
        <f>_xlfn.XLOOKUP(B1241,[2]Sheet2!$E$2:$E$713,[2]Sheet2!$G$2:$G$713)</f>
        <v>#N/A</v>
      </c>
      <c r="G1241" s="22">
        <v>46182</v>
      </c>
      <c r="H1241">
        <v>8.4155092592592587E-2</v>
      </c>
      <c r="I1241" t="s">
        <v>10</v>
      </c>
      <c r="J1241" s="2" t="str">
        <f t="shared" si="97"/>
        <v>Q2</v>
      </c>
      <c r="K1241" s="2" t="str">
        <f t="shared" si="98"/>
        <v>Not Match</v>
      </c>
      <c r="L1241" s="1">
        <f t="shared" si="95"/>
        <v>9.4868329805051374E-2</v>
      </c>
      <c r="M1241" s="1" t="e">
        <f t="shared" si="96"/>
        <v>#N/A</v>
      </c>
      <c r="N1241" s="2" t="str">
        <f t="shared" si="99"/>
        <v>Q NOT OK dE&lt;=0.8</v>
      </c>
      <c r="O1241">
        <v>14.97</v>
      </c>
      <c r="P1241">
        <v>0.88</v>
      </c>
      <c r="Q1241">
        <v>-0.99</v>
      </c>
      <c r="R1241">
        <v>-0.48</v>
      </c>
      <c r="S1241">
        <v>-0.03</v>
      </c>
      <c r="T1241">
        <v>0.09</v>
      </c>
      <c r="U1241">
        <v>-0.12</v>
      </c>
      <c r="V1241">
        <v>0.05</v>
      </c>
      <c r="W1241">
        <v>0.5</v>
      </c>
      <c r="X1241" t="s">
        <v>8</v>
      </c>
      <c r="Y1241" t="s">
        <v>9</v>
      </c>
      <c r="Z1241" s="2" t="s">
        <v>718</v>
      </c>
      <c r="AA1241" s="2" t="s">
        <v>721</v>
      </c>
    </row>
    <row r="1242" spans="1:27" x14ac:dyDescent="0.35">
      <c r="A1242" t="s">
        <v>1536</v>
      </c>
      <c r="B1242" t="s">
        <v>2299</v>
      </c>
      <c r="C1242" s="7" t="str">
        <f>_xlfn.XLOOKUP(B1242,'[1]Sheet 1'!$A$2:$A$11107,'[1]Sheet 1'!$D$2:$D$11107,"",0)</f>
        <v>NIK</v>
      </c>
      <c r="D1242" s="4" t="str">
        <f>_xlfn.XLOOKUP(A1242,[3]Sheet2!$I$2:$I$1623,[3]Sheet2!$D$2:$D$1623,"",0)</f>
        <v>Q2</v>
      </c>
      <c r="F1242" s="4" t="e">
        <f>_xlfn.XLOOKUP(B1242,[2]Sheet2!$E$2:$E$713,[2]Sheet2!$G$2:$G$713)</f>
        <v>#N/A</v>
      </c>
      <c r="G1242" s="22">
        <v>46182</v>
      </c>
      <c r="H1242">
        <v>9.6863425925925922E-2</v>
      </c>
      <c r="I1242" t="s">
        <v>4</v>
      </c>
      <c r="J1242" s="2" t="str">
        <f t="shared" si="97"/>
        <v>Q4</v>
      </c>
      <c r="K1242" s="2" t="str">
        <f t="shared" si="98"/>
        <v>Not Match</v>
      </c>
      <c r="L1242" s="1">
        <f t="shared" ref="L1242:L1300" si="100">SQRT(S1242^2+T1242^2)</f>
        <v>0.24596747752497686</v>
      </c>
      <c r="M1242" s="1" t="e">
        <f t="shared" ref="M1242:M1300" si="101">IF(L1242&lt;=F1242,"Within Range","Over Range")</f>
        <v>#N/A</v>
      </c>
      <c r="N1242" s="2" t="str">
        <f t="shared" si="99"/>
        <v>Q NOT OK dE&lt;=0.8</v>
      </c>
      <c r="O1242">
        <v>16.22</v>
      </c>
      <c r="P1242">
        <v>-0.41</v>
      </c>
      <c r="Q1242">
        <v>-1.92</v>
      </c>
      <c r="R1242">
        <v>0.47</v>
      </c>
      <c r="S1242">
        <v>0.22</v>
      </c>
      <c r="T1242">
        <v>-0.11</v>
      </c>
      <c r="U1242">
        <v>0.06</v>
      </c>
      <c r="V1242">
        <v>0.33</v>
      </c>
      <c r="W1242">
        <v>0.56999999999999995</v>
      </c>
      <c r="X1242" t="s">
        <v>8</v>
      </c>
      <c r="Y1242" t="s">
        <v>9</v>
      </c>
      <c r="Z1242" s="2" t="s">
        <v>718</v>
      </c>
      <c r="AA1242" s="2" t="s">
        <v>721</v>
      </c>
    </row>
    <row r="1243" spans="1:27" x14ac:dyDescent="0.35">
      <c r="A1243" t="s">
        <v>1798</v>
      </c>
      <c r="B1243" t="s">
        <v>2300</v>
      </c>
      <c r="C1243" s="7" t="str">
        <f>_xlfn.XLOOKUP(B1243,'[1]Sheet 1'!$A$2:$A$11107,'[1]Sheet 1'!$D$2:$D$11107,"",0)</f>
        <v>NIK</v>
      </c>
      <c r="D1243" s="4" t="str">
        <f>_xlfn.XLOOKUP(A1243,[3]Sheet2!$I$2:$I$1623,[3]Sheet2!$D$2:$D$1623,"",0)</f>
        <v>Q2</v>
      </c>
      <c r="F1243" s="4" t="e">
        <f>_xlfn.XLOOKUP(B1243,[2]Sheet2!$E$2:$E$713,[2]Sheet2!$G$2:$G$713)</f>
        <v>#N/A</v>
      </c>
      <c r="G1243" s="22">
        <v>46182</v>
      </c>
      <c r="H1243">
        <v>8.6481481481481479E-2</v>
      </c>
      <c r="I1243" t="s">
        <v>4</v>
      </c>
      <c r="J1243" s="2" t="str">
        <f t="shared" si="97"/>
        <v>Q1</v>
      </c>
      <c r="K1243" s="2" t="str">
        <f t="shared" si="98"/>
        <v>Not Match</v>
      </c>
      <c r="L1243" s="1">
        <f t="shared" si="100"/>
        <v>0.71847059786744227</v>
      </c>
      <c r="M1243" s="1" t="e">
        <f t="shared" si="101"/>
        <v>#N/A</v>
      </c>
      <c r="N1243" s="2" t="str">
        <f t="shared" si="99"/>
        <v>Q NOT OK dE&gt;0.8</v>
      </c>
      <c r="O1243">
        <v>21.94</v>
      </c>
      <c r="P1243">
        <v>12.06</v>
      </c>
      <c r="Q1243">
        <v>2.8</v>
      </c>
      <c r="R1243">
        <v>-0.2</v>
      </c>
      <c r="S1243">
        <v>0.11</v>
      </c>
      <c r="T1243">
        <v>0.71</v>
      </c>
      <c r="U1243">
        <v>0.19</v>
      </c>
      <c r="V1243">
        <v>0.78</v>
      </c>
      <c r="W1243">
        <v>0.83</v>
      </c>
      <c r="X1243" t="s">
        <v>13</v>
      </c>
      <c r="Y1243" t="s">
        <v>9</v>
      </c>
      <c r="Z1243" s="2" t="s">
        <v>718</v>
      </c>
      <c r="AA1243" s="2" t="s">
        <v>721</v>
      </c>
    </row>
    <row r="1244" spans="1:27" x14ac:dyDescent="0.35">
      <c r="A1244" t="s">
        <v>2148</v>
      </c>
      <c r="B1244" t="s">
        <v>2301</v>
      </c>
      <c r="C1244" s="7" t="str">
        <f>_xlfn.XLOOKUP(B1244,'[1]Sheet 1'!$A$2:$A$11107,'[1]Sheet 1'!$D$2:$D$11107,"",0)</f>
        <v>VSS</v>
      </c>
      <c r="D1244" s="4" t="str">
        <f>_xlfn.XLOOKUP(A1244,[3]Sheet2!$I$2:$I$1623,[3]Sheet2!$D$2:$D$1623,"",0)</f>
        <v>Q3</v>
      </c>
      <c r="F1244" s="4" t="e">
        <f>_xlfn.XLOOKUP(B1244,[2]Sheet2!$E$2:$E$713,[2]Sheet2!$G$2:$G$713)</f>
        <v>#N/A</v>
      </c>
      <c r="G1244" s="22">
        <v>46182</v>
      </c>
      <c r="H1244">
        <v>0.11357638888888889</v>
      </c>
      <c r="I1244" t="s">
        <v>10</v>
      </c>
      <c r="J1244" s="2" t="str">
        <f t="shared" si="97"/>
        <v>Q4</v>
      </c>
      <c r="K1244" s="2" t="str">
        <f t="shared" si="98"/>
        <v>Not Match</v>
      </c>
      <c r="L1244" s="1">
        <f t="shared" si="100"/>
        <v>1.0186756107809787</v>
      </c>
      <c r="M1244" s="1" t="e">
        <f t="shared" si="101"/>
        <v>#N/A</v>
      </c>
      <c r="N1244" s="2" t="str">
        <f t="shared" si="99"/>
        <v>Q NOT OK dE&gt;0.8</v>
      </c>
      <c r="O1244">
        <v>44.04</v>
      </c>
      <c r="P1244">
        <v>55.03</v>
      </c>
      <c r="Q1244">
        <v>38.25</v>
      </c>
      <c r="R1244">
        <v>0.74</v>
      </c>
      <c r="S1244">
        <v>0.99</v>
      </c>
      <c r="T1244">
        <v>-0.24</v>
      </c>
      <c r="U1244">
        <v>0.23</v>
      </c>
      <c r="V1244">
        <v>-0.53</v>
      </c>
      <c r="W1244">
        <v>0.94</v>
      </c>
      <c r="X1244" t="s">
        <v>13</v>
      </c>
      <c r="Y1244" t="s">
        <v>7</v>
      </c>
      <c r="Z1244" s="2" t="s">
        <v>718</v>
      </c>
      <c r="AA1244" s="2" t="s">
        <v>721</v>
      </c>
    </row>
    <row r="1245" spans="1:27" x14ac:dyDescent="0.35">
      <c r="A1245" t="s">
        <v>2164</v>
      </c>
      <c r="B1245" t="s">
        <v>2122</v>
      </c>
      <c r="C1245" s="7" t="str">
        <f>_xlfn.XLOOKUP(B1245,'[1]Sheet 1'!$A$2:$A$11107,'[1]Sheet 1'!$D$2:$D$11107,"",0)</f>
        <v>WACE</v>
      </c>
      <c r="D1245" s="4">
        <v>0</v>
      </c>
      <c r="F1245" s="4" t="e">
        <f>_xlfn.XLOOKUP(B1245,[2]Sheet2!$E$2:$E$713,[2]Sheet2!$G$2:$G$713)</f>
        <v>#N/A</v>
      </c>
      <c r="G1245" s="22">
        <v>46182</v>
      </c>
      <c r="H1245">
        <v>0.13585648148148149</v>
      </c>
      <c r="I1245" t="s">
        <v>4</v>
      </c>
      <c r="J1245" s="2" t="str">
        <f t="shared" si="97"/>
        <v>Q2</v>
      </c>
      <c r="K1245" s="2" t="str">
        <f t="shared" si="98"/>
        <v>Not Found</v>
      </c>
      <c r="L1245" s="1">
        <f t="shared" si="100"/>
        <v>0.5232590180780452</v>
      </c>
      <c r="M1245" s="1" t="e">
        <f t="shared" si="101"/>
        <v>#N/A</v>
      </c>
      <c r="N1245" s="2" t="str">
        <f t="shared" si="99"/>
        <v>Quadrant not assigned</v>
      </c>
      <c r="O1245">
        <v>28.12</v>
      </c>
      <c r="P1245">
        <v>-14.71</v>
      </c>
      <c r="Q1245">
        <v>-6.54</v>
      </c>
      <c r="R1245">
        <v>-0.01</v>
      </c>
      <c r="S1245">
        <v>-0.47</v>
      </c>
      <c r="T1245">
        <v>0.23</v>
      </c>
      <c r="U1245">
        <v>0.23</v>
      </c>
      <c r="V1245">
        <v>-0.37</v>
      </c>
      <c r="W1245">
        <v>0.43</v>
      </c>
      <c r="X1245" t="s">
        <v>8</v>
      </c>
      <c r="Y1245" t="s">
        <v>12</v>
      </c>
      <c r="Z1245" s="2" t="s">
        <v>718</v>
      </c>
      <c r="AA1245" s="2" t="s">
        <v>721</v>
      </c>
    </row>
    <row r="1246" spans="1:27" x14ac:dyDescent="0.35">
      <c r="A1246" t="s">
        <v>2275</v>
      </c>
      <c r="B1246" t="s">
        <v>2302</v>
      </c>
      <c r="C1246" s="7" t="str">
        <f>_xlfn.XLOOKUP(B1246,'[1]Sheet 1'!$A$2:$A$11107,'[1]Sheet 1'!$D$2:$D$11107,"",0)</f>
        <v>VSS</v>
      </c>
      <c r="D1246" s="4" t="str">
        <f>_xlfn.XLOOKUP(A1246,[3]Sheet2!$I$2:$I$1623,[3]Sheet2!$D$2:$D$1623,"",0)</f>
        <v>Q3</v>
      </c>
      <c r="F1246" s="4" t="e">
        <f>_xlfn.XLOOKUP(B1246,[2]Sheet2!$E$2:$E$713,[2]Sheet2!$G$2:$G$713)</f>
        <v>#N/A</v>
      </c>
      <c r="G1246" s="22">
        <v>46182</v>
      </c>
      <c r="H1246">
        <v>0.19296296296296298</v>
      </c>
      <c r="I1246" t="s">
        <v>10</v>
      </c>
      <c r="J1246" s="2" t="str">
        <f t="shared" si="97"/>
        <v>Q1</v>
      </c>
      <c r="K1246" s="2" t="str">
        <f t="shared" si="98"/>
        <v>Not Match</v>
      </c>
      <c r="L1246" s="1">
        <f t="shared" si="100"/>
        <v>0.77466121627457252</v>
      </c>
      <c r="M1246" s="1" t="e">
        <f t="shared" si="101"/>
        <v>#N/A</v>
      </c>
      <c r="N1246" s="2" t="str">
        <f t="shared" si="99"/>
        <v>Q NOT OK dE&gt;0.8</v>
      </c>
      <c r="O1246">
        <v>31.15</v>
      </c>
      <c r="P1246">
        <v>40.590000000000003</v>
      </c>
      <c r="Q1246">
        <v>22.17</v>
      </c>
      <c r="R1246">
        <v>-0.67</v>
      </c>
      <c r="S1246">
        <v>0.15</v>
      </c>
      <c r="T1246">
        <v>0.76</v>
      </c>
      <c r="U1246">
        <v>0.2</v>
      </c>
      <c r="V1246">
        <v>0.45</v>
      </c>
      <c r="W1246">
        <v>0.83</v>
      </c>
      <c r="X1246" t="s">
        <v>13</v>
      </c>
      <c r="Y1246" t="s">
        <v>12</v>
      </c>
      <c r="Z1246" s="2" t="s">
        <v>718</v>
      </c>
      <c r="AA1246" s="2" t="s">
        <v>721</v>
      </c>
    </row>
    <row r="1247" spans="1:27" x14ac:dyDescent="0.35">
      <c r="A1247" t="s">
        <v>1520</v>
      </c>
      <c r="B1247" t="s">
        <v>2303</v>
      </c>
      <c r="C1247" s="7" t="str">
        <f>_xlfn.XLOOKUP(B1247,'[1]Sheet 1'!$A$2:$A$11107,'[1]Sheet 1'!$D$2:$D$11107,"",0)</f>
        <v>VSS</v>
      </c>
      <c r="D1247" s="4" t="str">
        <f>_xlfn.XLOOKUP(A1247,[3]Sheet2!$I$2:$I$1623,[3]Sheet2!$D$2:$D$1623,"",0)</f>
        <v>Q1</v>
      </c>
      <c r="F1247" s="4" t="e">
        <f>_xlfn.XLOOKUP(B1247,[2]Sheet2!$E$2:$E$713,[2]Sheet2!$G$2:$G$713)</f>
        <v>#N/A</v>
      </c>
      <c r="G1247" s="22">
        <v>46182</v>
      </c>
      <c r="H1247">
        <v>0.19611111111111112</v>
      </c>
      <c r="I1247" t="s">
        <v>10</v>
      </c>
      <c r="J1247" s="2" t="str">
        <f t="shared" si="97"/>
        <v>Q4</v>
      </c>
      <c r="K1247" s="2" t="str">
        <f t="shared" si="98"/>
        <v>Not Match</v>
      </c>
      <c r="L1247" s="1">
        <f t="shared" si="100"/>
        <v>0.25079872407968906</v>
      </c>
      <c r="M1247" s="1" t="e">
        <f t="shared" si="101"/>
        <v>#N/A</v>
      </c>
      <c r="N1247" s="2" t="str">
        <f t="shared" si="99"/>
        <v>Q NOT OK dE&lt;=0.8</v>
      </c>
      <c r="O1247">
        <v>28.2</v>
      </c>
      <c r="P1247">
        <v>12.06</v>
      </c>
      <c r="Q1247">
        <v>10.23</v>
      </c>
      <c r="R1247">
        <v>0.35</v>
      </c>
      <c r="S1247">
        <v>0.23</v>
      </c>
      <c r="T1247">
        <v>-0.1</v>
      </c>
      <c r="U1247">
        <v>0.08</v>
      </c>
      <c r="V1247">
        <v>-0.34</v>
      </c>
      <c r="W1247">
        <v>0.49</v>
      </c>
      <c r="X1247" t="s">
        <v>8</v>
      </c>
      <c r="Y1247" t="s">
        <v>9</v>
      </c>
      <c r="Z1247" s="2" t="s">
        <v>718</v>
      </c>
      <c r="AA1247" s="2" t="s">
        <v>721</v>
      </c>
    </row>
    <row r="1248" spans="1:27" x14ac:dyDescent="0.35">
      <c r="A1248" t="s">
        <v>1755</v>
      </c>
      <c r="B1248" t="s">
        <v>2102</v>
      </c>
      <c r="C1248" s="7" t="str">
        <f>_xlfn.XLOOKUP(B1248,'[1]Sheet 1'!$A$2:$A$11107,'[1]Sheet 1'!$D$2:$D$11107,"",0)</f>
        <v>VSS</v>
      </c>
      <c r="D1248" s="4" t="str">
        <f>_xlfn.XLOOKUP(A1248,[3]Sheet2!$I$2:$I$1623,[3]Sheet2!$D$2:$D$1623,"",0)</f>
        <v>Q4</v>
      </c>
      <c r="F1248" s="4" t="e">
        <f>_xlfn.XLOOKUP(B1248,[2]Sheet2!$E$2:$E$713,[2]Sheet2!$G$2:$G$713)</f>
        <v>#N/A</v>
      </c>
      <c r="G1248" s="22">
        <v>46182</v>
      </c>
      <c r="H1248">
        <v>0.19837962962962963</v>
      </c>
      <c r="I1248" t="s">
        <v>10</v>
      </c>
      <c r="J1248" s="2" t="str">
        <f t="shared" si="97"/>
        <v>Q1</v>
      </c>
      <c r="K1248" s="2" t="str">
        <f t="shared" si="98"/>
        <v>Not Match</v>
      </c>
      <c r="L1248" s="1">
        <f t="shared" si="100"/>
        <v>0.8386298349093001</v>
      </c>
      <c r="M1248" s="1" t="e">
        <f t="shared" si="101"/>
        <v>#N/A</v>
      </c>
      <c r="N1248" s="2" t="str">
        <f t="shared" si="99"/>
        <v>Q NOT OK dE&gt;0.8</v>
      </c>
      <c r="O1248">
        <v>28.05</v>
      </c>
      <c r="P1248">
        <v>12.4</v>
      </c>
      <c r="Q1248">
        <v>-7.38</v>
      </c>
      <c r="R1248">
        <v>0.02</v>
      </c>
      <c r="S1248">
        <v>0.43</v>
      </c>
      <c r="T1248">
        <v>0.72</v>
      </c>
      <c r="U1248">
        <v>-0.01</v>
      </c>
      <c r="V1248">
        <v>0.84</v>
      </c>
      <c r="W1248">
        <v>0.84</v>
      </c>
      <c r="X1248" t="s">
        <v>13</v>
      </c>
      <c r="Y1248" t="s">
        <v>9</v>
      </c>
      <c r="Z1248" s="2" t="s">
        <v>718</v>
      </c>
      <c r="AA1248" s="2" t="s">
        <v>721</v>
      </c>
    </row>
    <row r="1249" spans="1:27" x14ac:dyDescent="0.35">
      <c r="A1249" t="s">
        <v>2148</v>
      </c>
      <c r="B1249" t="s">
        <v>2304</v>
      </c>
      <c r="C1249" s="7" t="str">
        <f>_xlfn.XLOOKUP(B1249,'[1]Sheet 1'!$A$2:$A$11107,'[1]Sheet 1'!$D$2:$D$11107,"",0)</f>
        <v>VSS</v>
      </c>
      <c r="D1249" s="4" t="str">
        <f>_xlfn.XLOOKUP(A1249,[3]Sheet2!$I$2:$I$1623,[3]Sheet2!$D$2:$D$1623,"",0)</f>
        <v>Q3</v>
      </c>
      <c r="F1249" s="4" t="e">
        <f>_xlfn.XLOOKUP(B1249,[2]Sheet2!$E$2:$E$713,[2]Sheet2!$G$2:$G$713)</f>
        <v>#N/A</v>
      </c>
      <c r="G1249" s="22">
        <v>46182</v>
      </c>
      <c r="H1249">
        <v>0.20122685185185185</v>
      </c>
      <c r="I1249" t="s">
        <v>10</v>
      </c>
      <c r="J1249" s="2" t="str">
        <f t="shared" si="97"/>
        <v>Q1</v>
      </c>
      <c r="K1249" s="2" t="str">
        <f t="shared" si="98"/>
        <v>Not Match</v>
      </c>
      <c r="L1249" s="1">
        <f t="shared" si="100"/>
        <v>2.0380628057054571</v>
      </c>
      <c r="M1249" s="1" t="e">
        <f t="shared" si="101"/>
        <v>#N/A</v>
      </c>
      <c r="N1249" s="2" t="str">
        <f t="shared" si="99"/>
        <v>Q NOT OK dE&gt;0.8</v>
      </c>
      <c r="O1249">
        <v>43.84</v>
      </c>
      <c r="P1249">
        <v>55.69</v>
      </c>
      <c r="Q1249">
        <v>39.700000000000003</v>
      </c>
      <c r="R1249">
        <v>0.64</v>
      </c>
      <c r="S1249">
        <v>1.64</v>
      </c>
      <c r="T1249">
        <v>1.21</v>
      </c>
      <c r="U1249">
        <v>0.7</v>
      </c>
      <c r="V1249">
        <v>0.02</v>
      </c>
      <c r="W1249">
        <v>0.95</v>
      </c>
      <c r="X1249" t="s">
        <v>13</v>
      </c>
      <c r="Y1249" t="s">
        <v>12</v>
      </c>
      <c r="Z1249" s="2" t="s">
        <v>718</v>
      </c>
      <c r="AA1249" s="2" t="s">
        <v>721</v>
      </c>
    </row>
    <row r="1250" spans="1:27" x14ac:dyDescent="0.35">
      <c r="A1250" t="s">
        <v>1698</v>
      </c>
      <c r="B1250" t="s">
        <v>2305</v>
      </c>
      <c r="C1250" s="7" t="str">
        <f>_xlfn.XLOOKUP(B1250,'[1]Sheet 1'!$A$2:$A$11107,'[1]Sheet 1'!$D$2:$D$11107,"",0)</f>
        <v>LULU</v>
      </c>
      <c r="D1250" s="4" t="str">
        <f>_xlfn.XLOOKUP(A1250,[3]Sheet2!$I$2:$I$1623,[3]Sheet2!$D$2:$D$1623,"",0)</f>
        <v>Q2</v>
      </c>
      <c r="F1250" s="4" t="e">
        <f>_xlfn.XLOOKUP(B1250,[2]Sheet2!$E$2:$E$713,[2]Sheet2!$G$2:$G$713)</f>
        <v>#N/A</v>
      </c>
      <c r="G1250" s="22">
        <v>46182</v>
      </c>
      <c r="H1250">
        <v>0.20385416666666667</v>
      </c>
      <c r="I1250" t="s">
        <v>4</v>
      </c>
      <c r="J1250" s="2" t="str">
        <f t="shared" si="97"/>
        <v>Q4</v>
      </c>
      <c r="K1250" s="2" t="str">
        <f t="shared" si="98"/>
        <v>Not Match</v>
      </c>
      <c r="L1250" s="1">
        <f t="shared" si="100"/>
        <v>0.20615528128088303</v>
      </c>
      <c r="M1250" s="1" t="e">
        <f t="shared" si="101"/>
        <v>#N/A</v>
      </c>
      <c r="N1250" s="2" t="str">
        <f t="shared" si="99"/>
        <v>Q NOT OK dE&lt;=0.8</v>
      </c>
      <c r="O1250">
        <v>22.06</v>
      </c>
      <c r="P1250">
        <v>-0.65</v>
      </c>
      <c r="Q1250">
        <v>-8.58</v>
      </c>
      <c r="R1250">
        <v>0.5</v>
      </c>
      <c r="S1250">
        <v>0.13</v>
      </c>
      <c r="T1250">
        <v>-0.16</v>
      </c>
      <c r="U1250">
        <v>0.13</v>
      </c>
      <c r="V1250">
        <v>0.18</v>
      </c>
      <c r="W1250">
        <v>0.55000000000000004</v>
      </c>
      <c r="X1250" t="s">
        <v>8</v>
      </c>
      <c r="Y1250" t="s">
        <v>9</v>
      </c>
      <c r="Z1250" s="2" t="s">
        <v>718</v>
      </c>
      <c r="AA1250" s="2" t="s">
        <v>721</v>
      </c>
    </row>
    <row r="1251" spans="1:27" x14ac:dyDescent="0.35">
      <c r="A1251" t="s">
        <v>2166</v>
      </c>
      <c r="B1251" t="s">
        <v>2127</v>
      </c>
      <c r="C1251" s="7" t="str">
        <f>_xlfn.XLOOKUP(B1251,'[1]Sheet 1'!$A$2:$A$11107,'[1]Sheet 1'!$D$2:$D$11107,"",0)</f>
        <v>WACE</v>
      </c>
      <c r="D1251" s="4" t="str">
        <f>_xlfn.XLOOKUP(A1251,[3]Sheet2!$I$2:$I$1623,[3]Sheet2!$D$2:$D$1623,"",0)</f>
        <v>Q3</v>
      </c>
      <c r="F1251" s="4" t="e">
        <f>_xlfn.XLOOKUP(B1251,[2]Sheet2!$E$2:$E$713,[2]Sheet2!$G$2:$G$713)</f>
        <v>#N/A</v>
      </c>
      <c r="G1251" s="22">
        <v>46182</v>
      </c>
      <c r="H1251">
        <v>0.20916666666666667</v>
      </c>
      <c r="I1251" t="s">
        <v>4</v>
      </c>
      <c r="J1251" s="2" t="str">
        <f t="shared" ref="J1251:J1309" si="102">IF(OR(S1251=0,T1251=0),D1251,IF(AND(S1251&gt;0,T1251&gt;0),"Q1",IF(AND(S1251&lt;0,T1251&gt;0),"Q2",IF(AND(S1251&lt;0,T1251&lt;0),"Q3",IF(AND(S1251&gt;0,T1251&lt;0),"Q4","")))))</f>
        <v>Q2</v>
      </c>
      <c r="K1251" s="2" t="str">
        <f t="shared" ref="K1251:K1309" si="103">IF(J1251=D1251,"Match",IF(AND(J1251=0,D1251="Match"),"da and db 0",IF(D1251=0,"Not Found","Not Match")))</f>
        <v>Not Match</v>
      </c>
      <c r="L1251" s="1">
        <f t="shared" si="100"/>
        <v>0.904267659490264</v>
      </c>
      <c r="M1251" s="1" t="e">
        <f t="shared" si="101"/>
        <v>#N/A</v>
      </c>
      <c r="N1251" s="2" t="str">
        <f t="shared" ref="N1251:N1309" si="104">IF(D1251=0,"Quadrant not assigned",IF(AND(K1251="Match",W1251&lt;=0.8),"Q OK dE&lt;=0.8",IF(AND(K1251="Match",W1251&gt;0.8),"Q OK dE&gt;0.8",IF(AND(K1251="Not Match",W1251&lt;=0.8),"Q NOT OK dE&lt;=0.8","Q NOT OK dE&gt;0.8"))))</f>
        <v>Q NOT OK dE&gt;0.8</v>
      </c>
      <c r="O1251">
        <v>27.16</v>
      </c>
      <c r="P1251">
        <v>-14.12</v>
      </c>
      <c r="Q1251">
        <v>-4.6500000000000004</v>
      </c>
      <c r="R1251">
        <v>-0.47</v>
      </c>
      <c r="S1251">
        <v>-0.44</v>
      </c>
      <c r="T1251">
        <v>0.79</v>
      </c>
      <c r="U1251">
        <v>0.1</v>
      </c>
      <c r="V1251">
        <v>-0.82</v>
      </c>
      <c r="W1251">
        <v>0.95</v>
      </c>
      <c r="X1251" t="s">
        <v>13</v>
      </c>
      <c r="Y1251" t="s">
        <v>12</v>
      </c>
      <c r="Z1251" s="2" t="s">
        <v>718</v>
      </c>
      <c r="AA1251" s="2" t="s">
        <v>721</v>
      </c>
    </row>
    <row r="1252" spans="1:27" x14ac:dyDescent="0.35">
      <c r="A1252" t="s">
        <v>1536</v>
      </c>
      <c r="B1252" t="s">
        <v>2306</v>
      </c>
      <c r="C1252" s="7" t="str">
        <f>_xlfn.XLOOKUP(B1252,'[1]Sheet 1'!$A$2:$A$11107,'[1]Sheet 1'!$D$2:$D$11107,"",0)</f>
        <v>NIK</v>
      </c>
      <c r="D1252" s="4" t="str">
        <f>_xlfn.XLOOKUP(A1252,[3]Sheet2!$I$2:$I$1623,[3]Sheet2!$D$2:$D$1623,"",0)</f>
        <v>Q2</v>
      </c>
      <c r="F1252" s="4" t="e">
        <f>_xlfn.XLOOKUP(B1252,[2]Sheet2!$E$2:$E$713,[2]Sheet2!$G$2:$G$713)</f>
        <v>#N/A</v>
      </c>
      <c r="G1252" s="22">
        <v>46182</v>
      </c>
      <c r="H1252">
        <v>0.21314814814814814</v>
      </c>
      <c r="I1252" t="s">
        <v>4</v>
      </c>
      <c r="J1252" s="2" t="str">
        <f t="shared" si="102"/>
        <v>Q3</v>
      </c>
      <c r="K1252" s="2" t="str">
        <f t="shared" si="103"/>
        <v>Not Match</v>
      </c>
      <c r="L1252" s="1">
        <f t="shared" si="100"/>
        <v>8.2462112512353219E-2</v>
      </c>
      <c r="M1252" s="1" t="e">
        <f t="shared" si="101"/>
        <v>#N/A</v>
      </c>
      <c r="N1252" s="2" t="str">
        <f t="shared" si="104"/>
        <v>Q NOT OK dE&gt;0.8</v>
      </c>
      <c r="O1252">
        <v>16.66</v>
      </c>
      <c r="P1252">
        <v>-0.65</v>
      </c>
      <c r="Q1252">
        <v>-1.9</v>
      </c>
      <c r="R1252">
        <v>0.9</v>
      </c>
      <c r="S1252">
        <v>-0.02</v>
      </c>
      <c r="T1252">
        <v>-0.08</v>
      </c>
      <c r="U1252">
        <v>0.1</v>
      </c>
      <c r="V1252">
        <v>0.02</v>
      </c>
      <c r="W1252">
        <v>0.9</v>
      </c>
      <c r="X1252" t="s">
        <v>13</v>
      </c>
      <c r="Y1252" t="s">
        <v>9</v>
      </c>
      <c r="Z1252" s="2" t="s">
        <v>718</v>
      </c>
      <c r="AA1252" s="2" t="s">
        <v>721</v>
      </c>
    </row>
    <row r="1253" spans="1:27" x14ac:dyDescent="0.35">
      <c r="A1253" t="s">
        <v>2148</v>
      </c>
      <c r="B1253" t="s">
        <v>2307</v>
      </c>
      <c r="C1253" s="7" t="str">
        <f>_xlfn.XLOOKUP(B1253,'[1]Sheet 1'!$A$2:$A$11107,'[1]Sheet 1'!$D$2:$D$11107,"",0)</f>
        <v>VSS</v>
      </c>
      <c r="D1253" s="4" t="str">
        <f>_xlfn.XLOOKUP(A1253,[3]Sheet2!$I$2:$I$1623,[3]Sheet2!$D$2:$D$1623,"",0)</f>
        <v>Q3</v>
      </c>
      <c r="F1253" s="4" t="e">
        <f>_xlfn.XLOOKUP(B1253,[2]Sheet2!$E$2:$E$713,[2]Sheet2!$G$2:$G$713)</f>
        <v>#N/A</v>
      </c>
      <c r="G1253" s="22">
        <v>46182</v>
      </c>
      <c r="H1253">
        <v>0.22968749999999999</v>
      </c>
      <c r="I1253" t="s">
        <v>10</v>
      </c>
      <c r="J1253" s="2" t="str">
        <f t="shared" si="102"/>
        <v>Q1</v>
      </c>
      <c r="K1253" s="2" t="str">
        <f t="shared" si="103"/>
        <v>Not Match</v>
      </c>
      <c r="L1253" s="1">
        <f t="shared" si="100"/>
        <v>1.4741099009232657</v>
      </c>
      <c r="M1253" s="1" t="e">
        <f t="shared" si="101"/>
        <v>#N/A</v>
      </c>
      <c r="N1253" s="2" t="str">
        <f t="shared" si="104"/>
        <v>Q NOT OK dE&lt;=0.8</v>
      </c>
      <c r="O1253">
        <v>43.77</v>
      </c>
      <c r="P1253">
        <v>55.15</v>
      </c>
      <c r="Q1253">
        <v>39.47</v>
      </c>
      <c r="R1253">
        <v>0.61</v>
      </c>
      <c r="S1253">
        <v>1.1100000000000001</v>
      </c>
      <c r="T1253">
        <v>0.97</v>
      </c>
      <c r="U1253">
        <v>0.5</v>
      </c>
      <c r="V1253">
        <v>0.1</v>
      </c>
      <c r="W1253">
        <v>0.8</v>
      </c>
      <c r="X1253" t="s">
        <v>13</v>
      </c>
      <c r="Y1253" t="s">
        <v>12</v>
      </c>
      <c r="Z1253" s="2" t="s">
        <v>718</v>
      </c>
      <c r="AA1253" s="2" t="s">
        <v>721</v>
      </c>
    </row>
    <row r="1254" spans="1:27" x14ac:dyDescent="0.35">
      <c r="A1254" t="s">
        <v>2284</v>
      </c>
      <c r="B1254" t="s">
        <v>2285</v>
      </c>
      <c r="C1254" s="7" t="str">
        <f>_xlfn.XLOOKUP(B1254,'[1]Sheet 1'!$A$2:$A$11107,'[1]Sheet 1'!$D$2:$D$11107,"",0)</f>
        <v>PEP</v>
      </c>
      <c r="D1254" s="4" t="str">
        <f>_xlfn.XLOOKUP(A1254,[3]Sheet2!$I$2:$I$1623,[3]Sheet2!$D$2:$D$1623,"",0)</f>
        <v>Q3</v>
      </c>
      <c r="F1254" s="4" t="e">
        <f>_xlfn.XLOOKUP(B1254,[2]Sheet2!$E$2:$E$713,[2]Sheet2!$G$2:$G$713)</f>
        <v>#N/A</v>
      </c>
      <c r="G1254" s="22">
        <v>46182</v>
      </c>
      <c r="H1254">
        <v>0.27156249999999998</v>
      </c>
      <c r="I1254" t="s">
        <v>4</v>
      </c>
      <c r="J1254" s="2" t="str">
        <f t="shared" si="102"/>
        <v>Q3</v>
      </c>
      <c r="K1254" s="2" t="str">
        <f t="shared" si="103"/>
        <v>Match</v>
      </c>
      <c r="L1254" s="1">
        <f t="shared" si="100"/>
        <v>0.29410882339705485</v>
      </c>
      <c r="M1254" s="1" t="e">
        <f t="shared" si="101"/>
        <v>#N/A</v>
      </c>
      <c r="N1254" s="2" t="str">
        <f t="shared" si="104"/>
        <v>Q OK dE&lt;=0.8</v>
      </c>
      <c r="O1254">
        <v>29.87</v>
      </c>
      <c r="P1254">
        <v>7.95</v>
      </c>
      <c r="Q1254">
        <v>10.050000000000001</v>
      </c>
      <c r="R1254">
        <v>0.28000000000000003</v>
      </c>
      <c r="S1254">
        <v>-0.28000000000000003</v>
      </c>
      <c r="T1254">
        <v>-0.09</v>
      </c>
      <c r="U1254">
        <v>-0.19</v>
      </c>
      <c r="V1254">
        <v>0.3</v>
      </c>
      <c r="W1254">
        <v>0.45</v>
      </c>
      <c r="X1254" t="s">
        <v>8</v>
      </c>
      <c r="Y1254" t="s">
        <v>12</v>
      </c>
      <c r="Z1254" s="2" t="s">
        <v>718</v>
      </c>
      <c r="AA1254" s="2" t="s">
        <v>721</v>
      </c>
    </row>
    <row r="1255" spans="1:27" x14ac:dyDescent="0.35">
      <c r="A1255" t="s">
        <v>1621</v>
      </c>
      <c r="B1255" t="s">
        <v>2308</v>
      </c>
      <c r="C1255" s="7" t="str">
        <f>_xlfn.XLOOKUP(B1255,'[1]Sheet 1'!$A$2:$A$11107,'[1]Sheet 1'!$D$2:$D$11107,"",0)</f>
        <v>WACE</v>
      </c>
      <c r="D1255" s="4" t="str">
        <f>_xlfn.XLOOKUP(A1255,[3]Sheet2!$I$2:$I$1623,[3]Sheet2!$D$2:$D$1623,"",0)</f>
        <v>Q4</v>
      </c>
      <c r="F1255" s="4" t="e">
        <f>_xlfn.XLOOKUP(B1255,[2]Sheet2!$E$2:$E$713,[2]Sheet2!$G$2:$G$713)</f>
        <v>#N/A</v>
      </c>
      <c r="G1255" s="22">
        <v>46182</v>
      </c>
      <c r="H1255">
        <v>0.27415509259259258</v>
      </c>
      <c r="I1255" t="s">
        <v>4</v>
      </c>
      <c r="J1255" s="2" t="str">
        <f t="shared" si="102"/>
        <v>Q1</v>
      </c>
      <c r="K1255" s="2" t="str">
        <f t="shared" si="103"/>
        <v>Not Match</v>
      </c>
      <c r="L1255" s="1">
        <f t="shared" si="100"/>
        <v>0.29832867780352595</v>
      </c>
      <c r="M1255" s="1" t="e">
        <f t="shared" si="101"/>
        <v>#N/A</v>
      </c>
      <c r="N1255" s="2" t="str">
        <f t="shared" si="104"/>
        <v>Q NOT OK dE&lt;=0.8</v>
      </c>
      <c r="O1255">
        <v>17.13</v>
      </c>
      <c r="P1255">
        <v>-0.67</v>
      </c>
      <c r="Q1255">
        <v>-1.72</v>
      </c>
      <c r="R1255">
        <v>0.48</v>
      </c>
      <c r="S1255">
        <v>0.19</v>
      </c>
      <c r="T1255">
        <v>0.23</v>
      </c>
      <c r="U1255">
        <v>-0.37</v>
      </c>
      <c r="V1255">
        <v>0.12</v>
      </c>
      <c r="W1255">
        <v>0.62</v>
      </c>
      <c r="X1255" t="s">
        <v>8</v>
      </c>
      <c r="Y1255" t="s">
        <v>9</v>
      </c>
      <c r="Z1255" s="2" t="s">
        <v>718</v>
      </c>
      <c r="AA1255" s="2" t="s">
        <v>721</v>
      </c>
    </row>
    <row r="1256" spans="1:27" x14ac:dyDescent="0.35">
      <c r="A1256" t="s">
        <v>1536</v>
      </c>
      <c r="B1256" t="s">
        <v>2309</v>
      </c>
      <c r="C1256" s="7" t="str">
        <f>_xlfn.XLOOKUP(B1256,'[1]Sheet 1'!$A$2:$A$11107,'[1]Sheet 1'!$D$2:$D$11107,"",0)</f>
        <v>NIK</v>
      </c>
      <c r="D1256" s="4" t="str">
        <f>_xlfn.XLOOKUP(A1256,[3]Sheet2!$I$2:$I$1623,[3]Sheet2!$D$2:$D$1623,"",0)</f>
        <v>Q2</v>
      </c>
      <c r="F1256" s="4" t="e">
        <f>_xlfn.XLOOKUP(B1256,[2]Sheet2!$E$2:$E$713,[2]Sheet2!$G$2:$G$713)</f>
        <v>#N/A</v>
      </c>
      <c r="G1256" s="22">
        <v>46182</v>
      </c>
      <c r="H1256">
        <v>0.27687499999999998</v>
      </c>
      <c r="I1256" t="s">
        <v>4</v>
      </c>
      <c r="J1256" s="2" t="str">
        <f t="shared" si="102"/>
        <v>Q4</v>
      </c>
      <c r="K1256" s="2" t="str">
        <f t="shared" si="103"/>
        <v>Not Match</v>
      </c>
      <c r="L1256" s="1">
        <f t="shared" si="100"/>
        <v>0.10816653826391967</v>
      </c>
      <c r="M1256" s="1" t="e">
        <f t="shared" si="101"/>
        <v>#N/A</v>
      </c>
      <c r="N1256" s="2" t="str">
        <f t="shared" si="104"/>
        <v>Q NOT OK dE&lt;=0.8</v>
      </c>
      <c r="O1256">
        <v>15.96</v>
      </c>
      <c r="P1256">
        <v>-0.54</v>
      </c>
      <c r="Q1256">
        <v>-1.88</v>
      </c>
      <c r="R1256">
        <v>0.21</v>
      </c>
      <c r="S1256">
        <v>0.09</v>
      </c>
      <c r="T1256">
        <v>-0.06</v>
      </c>
      <c r="U1256">
        <v>0.04</v>
      </c>
      <c r="V1256">
        <v>0.15</v>
      </c>
      <c r="W1256">
        <v>0.26</v>
      </c>
      <c r="X1256" t="s">
        <v>8</v>
      </c>
      <c r="Y1256" t="s">
        <v>9</v>
      </c>
      <c r="Z1256" s="2" t="s">
        <v>718</v>
      </c>
      <c r="AA1256" s="2" t="s">
        <v>721</v>
      </c>
    </row>
    <row r="1257" spans="1:27" x14ac:dyDescent="0.35">
      <c r="A1257" t="s">
        <v>2158</v>
      </c>
      <c r="B1257" t="s">
        <v>2310</v>
      </c>
      <c r="C1257" s="7" t="str">
        <f>_xlfn.XLOOKUP(B1257,'[1]Sheet 1'!$A$2:$A$11107,'[1]Sheet 1'!$D$2:$D$11107,"",0)</f>
        <v>CHICOS</v>
      </c>
      <c r="D1257" s="4" t="str">
        <f>_xlfn.XLOOKUP(A1257,[3]Sheet2!$I$2:$I$1623,[3]Sheet2!$D$2:$D$1623,"",0)</f>
        <v>Q3/Q4</v>
      </c>
      <c r="F1257" s="4" t="e">
        <f>_xlfn.XLOOKUP(B1257,[2]Sheet2!$E$2:$E$713,[2]Sheet2!$G$2:$G$713)</f>
        <v>#N/A</v>
      </c>
      <c r="G1257" s="22">
        <v>46182</v>
      </c>
      <c r="H1257">
        <v>0.42778935185185185</v>
      </c>
      <c r="I1257" t="s">
        <v>14</v>
      </c>
      <c r="J1257" s="2" t="str">
        <f t="shared" si="102"/>
        <v>Q2</v>
      </c>
      <c r="K1257" s="2" t="str">
        <f t="shared" si="103"/>
        <v>Not Match</v>
      </c>
      <c r="L1257" s="1">
        <f t="shared" si="100"/>
        <v>5.8309518948453008E-2</v>
      </c>
      <c r="M1257" s="1" t="e">
        <f t="shared" si="101"/>
        <v>#N/A</v>
      </c>
      <c r="N1257" s="2" t="str">
        <f t="shared" si="104"/>
        <v>Q NOT OK dE&lt;=0.8</v>
      </c>
      <c r="O1257">
        <v>46.68</v>
      </c>
      <c r="P1257">
        <v>4.7300000000000004</v>
      </c>
      <c r="Q1257">
        <v>5.93</v>
      </c>
      <c r="R1257">
        <v>-0.56999999999999995</v>
      </c>
      <c r="S1257">
        <v>-0.03</v>
      </c>
      <c r="T1257">
        <v>0.05</v>
      </c>
      <c r="U1257">
        <v>0.02</v>
      </c>
      <c r="V1257">
        <v>0.1</v>
      </c>
      <c r="W1257">
        <v>0.57999999999999996</v>
      </c>
      <c r="X1257" t="s">
        <v>8</v>
      </c>
      <c r="Y1257" t="s">
        <v>12</v>
      </c>
      <c r="Z1257" s="2" t="s">
        <v>718</v>
      </c>
      <c r="AA1257" s="2" t="s">
        <v>721</v>
      </c>
    </row>
    <row r="1258" spans="1:27" x14ac:dyDescent="0.35">
      <c r="A1258" t="s">
        <v>1668</v>
      </c>
      <c r="B1258" t="s">
        <v>2311</v>
      </c>
      <c r="C1258" s="7" t="str">
        <f>_xlfn.XLOOKUP(B1258,'[1]Sheet 1'!$A$2:$A$11107,'[1]Sheet 1'!$D$2:$D$11107,"",0)</f>
        <v>VSS</v>
      </c>
      <c r="D1258" s="4" t="str">
        <f>_xlfn.XLOOKUP(A1258,[3]Sheet2!$I$2:$I$1623,[3]Sheet2!$D$2:$D$1623,"",0)</f>
        <v>Q4</v>
      </c>
      <c r="F1258" s="4" t="e">
        <f>_xlfn.XLOOKUP(B1258,[2]Sheet2!$E$2:$E$713,[2]Sheet2!$G$2:$G$713)</f>
        <v>#N/A</v>
      </c>
      <c r="G1258" s="22">
        <v>46182</v>
      </c>
      <c r="H1258">
        <v>0.49466435185185187</v>
      </c>
      <c r="I1258" t="s">
        <v>10</v>
      </c>
      <c r="J1258" s="2" t="str">
        <f t="shared" si="102"/>
        <v>Q3</v>
      </c>
      <c r="K1258" s="2" t="str">
        <f t="shared" si="103"/>
        <v>Not Match</v>
      </c>
      <c r="L1258" s="1">
        <f t="shared" si="100"/>
        <v>0.90138781886599728</v>
      </c>
      <c r="M1258" s="1" t="e">
        <f t="shared" si="101"/>
        <v>#N/A</v>
      </c>
      <c r="N1258" s="2" t="str">
        <f t="shared" si="104"/>
        <v>Q NOT OK dE&lt;=0.8</v>
      </c>
      <c r="O1258">
        <v>52.48</v>
      </c>
      <c r="P1258">
        <v>47.35</v>
      </c>
      <c r="Q1258">
        <v>-2.82</v>
      </c>
      <c r="R1258">
        <v>0.36</v>
      </c>
      <c r="S1258">
        <v>-0.57999999999999996</v>
      </c>
      <c r="T1258">
        <v>-0.69</v>
      </c>
      <c r="U1258">
        <v>-0.22</v>
      </c>
      <c r="V1258">
        <v>-0.41</v>
      </c>
      <c r="W1258">
        <v>0.57999999999999996</v>
      </c>
      <c r="X1258" t="s">
        <v>8</v>
      </c>
      <c r="Y1258" t="s">
        <v>7</v>
      </c>
      <c r="Z1258" s="2" t="s">
        <v>718</v>
      </c>
      <c r="AA1258" s="2" t="s">
        <v>721</v>
      </c>
    </row>
    <row r="1259" spans="1:27" x14ac:dyDescent="0.35">
      <c r="A1259" t="s">
        <v>2312</v>
      </c>
      <c r="B1259" t="s">
        <v>2313</v>
      </c>
      <c r="C1259" s="7" t="str">
        <f>_xlfn.XLOOKUP(B1259,'[1]Sheet 1'!$A$2:$A$11107,'[1]Sheet 1'!$D$2:$D$11107,"",0)</f>
        <v>VSS</v>
      </c>
      <c r="D1259" s="4" t="str">
        <f>_xlfn.XLOOKUP(A1259,[3]Sheet2!$I$2:$I$1623,[3]Sheet2!$D$2:$D$1623,"",0)</f>
        <v>Q1</v>
      </c>
      <c r="F1259" s="4" t="e">
        <f>_xlfn.XLOOKUP(B1259,[2]Sheet2!$E$2:$E$713,[2]Sheet2!$G$2:$G$713)</f>
        <v>#N/A</v>
      </c>
      <c r="G1259" s="22">
        <v>46182</v>
      </c>
      <c r="H1259">
        <v>0.57040509259259264</v>
      </c>
      <c r="I1259" t="s">
        <v>10</v>
      </c>
      <c r="J1259" s="2" t="str">
        <f t="shared" si="102"/>
        <v>Q3</v>
      </c>
      <c r="K1259" s="2" t="str">
        <f t="shared" si="103"/>
        <v>Not Match</v>
      </c>
      <c r="L1259" s="1">
        <f t="shared" si="100"/>
        <v>3.605551275463989E-2</v>
      </c>
      <c r="M1259" s="1" t="e">
        <f t="shared" si="101"/>
        <v>#N/A</v>
      </c>
      <c r="N1259" s="2" t="str">
        <f t="shared" si="104"/>
        <v>Q NOT OK dE&lt;=0.8</v>
      </c>
      <c r="O1259">
        <v>32.9</v>
      </c>
      <c r="P1259">
        <v>41.63</v>
      </c>
      <c r="Q1259">
        <v>22.83</v>
      </c>
      <c r="R1259">
        <v>0.28000000000000003</v>
      </c>
      <c r="S1259">
        <v>-0.02</v>
      </c>
      <c r="T1259">
        <v>-0.03</v>
      </c>
      <c r="U1259">
        <v>-0.01</v>
      </c>
      <c r="V1259">
        <v>-0.02</v>
      </c>
      <c r="W1259">
        <v>0.28999999999999998</v>
      </c>
      <c r="X1259" t="s">
        <v>8</v>
      </c>
      <c r="Y1259" t="s">
        <v>7</v>
      </c>
      <c r="Z1259" s="2" t="s">
        <v>718</v>
      </c>
      <c r="AA1259" s="2" t="s">
        <v>721</v>
      </c>
    </row>
    <row r="1260" spans="1:27" x14ac:dyDescent="0.35">
      <c r="A1260" t="s">
        <v>1568</v>
      </c>
      <c r="B1260" t="s">
        <v>2314</v>
      </c>
      <c r="C1260" s="7" t="str">
        <f>_xlfn.XLOOKUP(B1260,'[1]Sheet 1'!$A$2:$A$11107,'[1]Sheet 1'!$D$2:$D$11107,"",0)</f>
        <v>WAC</v>
      </c>
      <c r="D1260" s="4" t="str">
        <f>_xlfn.XLOOKUP(A1260,[3]Sheet2!$I$2:$I$1623,[3]Sheet2!$D$2:$D$1623,"",0)</f>
        <v>Q3</v>
      </c>
      <c r="F1260" s="4" t="e">
        <f>_xlfn.XLOOKUP(B1260,[2]Sheet2!$E$2:$E$713,[2]Sheet2!$G$2:$G$713)</f>
        <v>#N/A</v>
      </c>
      <c r="G1260" s="22">
        <v>46182</v>
      </c>
      <c r="H1260">
        <v>0.57657407407407413</v>
      </c>
      <c r="I1260" t="s">
        <v>11</v>
      </c>
      <c r="J1260" s="2" t="str">
        <f t="shared" si="102"/>
        <v>Q2</v>
      </c>
      <c r="K1260" s="2" t="str">
        <f t="shared" si="103"/>
        <v>Not Match</v>
      </c>
      <c r="L1260" s="1">
        <f t="shared" si="100"/>
        <v>0.36249137920783719</v>
      </c>
      <c r="M1260" s="1" t="e">
        <f t="shared" si="101"/>
        <v>#N/A</v>
      </c>
      <c r="N1260" s="2" t="str">
        <f t="shared" si="104"/>
        <v>Q NOT OK dE&gt;0.8</v>
      </c>
      <c r="O1260">
        <v>13.09</v>
      </c>
      <c r="P1260">
        <v>-0.66</v>
      </c>
      <c r="Q1260">
        <v>-1.58</v>
      </c>
      <c r="R1260">
        <v>-1.42</v>
      </c>
      <c r="S1260">
        <v>-0.15</v>
      </c>
      <c r="T1260">
        <v>0.33</v>
      </c>
      <c r="U1260">
        <v>-0.34</v>
      </c>
      <c r="V1260">
        <v>-0.34</v>
      </c>
      <c r="W1260">
        <v>1.49</v>
      </c>
      <c r="X1260" t="s">
        <v>6</v>
      </c>
      <c r="Y1260" t="s">
        <v>15</v>
      </c>
      <c r="Z1260" s="2" t="s">
        <v>718</v>
      </c>
      <c r="AA1260" s="2" t="s">
        <v>721</v>
      </c>
    </row>
    <row r="1261" spans="1:27" x14ac:dyDescent="0.35">
      <c r="A1261" t="s">
        <v>1626</v>
      </c>
      <c r="B1261" t="s">
        <v>2315</v>
      </c>
      <c r="C1261" s="7" t="str">
        <f>_xlfn.XLOOKUP(B1261,'[1]Sheet 1'!$A$2:$A$11107,'[1]Sheet 1'!$D$2:$D$11107,"",0)</f>
        <v>VSS</v>
      </c>
      <c r="D1261" s="4" t="str">
        <f>_xlfn.XLOOKUP(A1261,[3]Sheet2!$I$2:$I$1623,[3]Sheet2!$D$2:$D$1623,"",0)</f>
        <v>Q4</v>
      </c>
      <c r="F1261" s="4" t="e">
        <f>_xlfn.XLOOKUP(B1261,[2]Sheet2!$E$2:$E$713,[2]Sheet2!$G$2:$G$713)</f>
        <v>#N/A</v>
      </c>
      <c r="G1261" s="22">
        <v>46182</v>
      </c>
      <c r="H1261">
        <v>0.58726851851851847</v>
      </c>
      <c r="I1261" t="s">
        <v>10</v>
      </c>
      <c r="J1261" s="2" t="str">
        <f t="shared" si="102"/>
        <v>Q2</v>
      </c>
      <c r="K1261" s="2" t="str">
        <f t="shared" si="103"/>
        <v>Not Match</v>
      </c>
      <c r="L1261" s="1">
        <f t="shared" si="100"/>
        <v>0.25298221281347033</v>
      </c>
      <c r="M1261" s="1" t="e">
        <f t="shared" si="101"/>
        <v>#N/A</v>
      </c>
      <c r="N1261" s="2" t="str">
        <f t="shared" si="104"/>
        <v>Q NOT OK dE&lt;=0.8</v>
      </c>
      <c r="O1261">
        <v>15.17</v>
      </c>
      <c r="P1261">
        <v>0.35</v>
      </c>
      <c r="Q1261">
        <v>-1.51</v>
      </c>
      <c r="R1261">
        <v>-0.4</v>
      </c>
      <c r="S1261">
        <v>-0.24</v>
      </c>
      <c r="T1261">
        <v>0.08</v>
      </c>
      <c r="U1261">
        <v>-0.2</v>
      </c>
      <c r="V1261">
        <v>-0.28999999999999998</v>
      </c>
      <c r="W1261">
        <v>0.53</v>
      </c>
      <c r="X1261" t="s">
        <v>8</v>
      </c>
      <c r="Y1261" t="s">
        <v>15</v>
      </c>
      <c r="Z1261" s="2" t="s">
        <v>718</v>
      </c>
      <c r="AA1261" s="2" t="s">
        <v>721</v>
      </c>
    </row>
    <row r="1262" spans="1:27" x14ac:dyDescent="0.35">
      <c r="A1262" t="s">
        <v>2156</v>
      </c>
      <c r="B1262" t="s">
        <v>2218</v>
      </c>
      <c r="C1262" s="7" t="str">
        <f>_xlfn.XLOOKUP(B1262,'[1]Sheet 1'!$A$2:$A$11107,'[1]Sheet 1'!$D$2:$D$11107,"",0)</f>
        <v>VSS</v>
      </c>
      <c r="D1262" s="4" t="str">
        <f>_xlfn.XLOOKUP(A1262,[3]Sheet2!$I$2:$I$1623,[3]Sheet2!$D$2:$D$1623,"",0)</f>
        <v>Q1</v>
      </c>
      <c r="F1262" s="4" t="e">
        <f>_xlfn.XLOOKUP(B1262,[2]Sheet2!$E$2:$E$713,[2]Sheet2!$G$2:$G$713)</f>
        <v>#N/A</v>
      </c>
      <c r="G1262" s="22">
        <v>46182</v>
      </c>
      <c r="H1262">
        <v>0.6026273148148148</v>
      </c>
      <c r="I1262" t="s">
        <v>10</v>
      </c>
      <c r="J1262" s="2" t="str">
        <f t="shared" si="102"/>
        <v>Q4</v>
      </c>
      <c r="K1262" s="2" t="str">
        <f t="shared" si="103"/>
        <v>Not Match</v>
      </c>
      <c r="L1262" s="1">
        <f t="shared" si="100"/>
        <v>0.36124783736376886</v>
      </c>
      <c r="M1262" s="1" t="e">
        <f t="shared" si="101"/>
        <v>#N/A</v>
      </c>
      <c r="N1262" s="2" t="str">
        <f t="shared" si="104"/>
        <v>Q NOT OK dE&lt;=0.8</v>
      </c>
      <c r="O1262">
        <v>26.8</v>
      </c>
      <c r="P1262">
        <v>-12.31</v>
      </c>
      <c r="Q1262">
        <v>-3.56</v>
      </c>
      <c r="R1262">
        <v>0.68</v>
      </c>
      <c r="S1262">
        <v>0.36</v>
      </c>
      <c r="T1262">
        <v>-0.03</v>
      </c>
      <c r="U1262">
        <v>-0.25</v>
      </c>
      <c r="V1262">
        <v>0.12</v>
      </c>
      <c r="W1262">
        <v>0.73</v>
      </c>
      <c r="X1262" t="s">
        <v>8</v>
      </c>
      <c r="Y1262" t="s">
        <v>7</v>
      </c>
      <c r="Z1262" s="2" t="s">
        <v>718</v>
      </c>
      <c r="AA1262" s="2" t="s">
        <v>721</v>
      </c>
    </row>
    <row r="1263" spans="1:27" x14ac:dyDescent="0.35">
      <c r="A1263" t="s">
        <v>2148</v>
      </c>
      <c r="B1263" t="s">
        <v>2316</v>
      </c>
      <c r="C1263" s="7" t="str">
        <f>_xlfn.XLOOKUP(B1263,'[1]Sheet 1'!$A$2:$A$11107,'[1]Sheet 1'!$D$2:$D$11107,"",0)</f>
        <v>VSS</v>
      </c>
      <c r="D1263" s="4" t="str">
        <f>_xlfn.XLOOKUP(A1263,[3]Sheet2!$I$2:$I$1623,[3]Sheet2!$D$2:$D$1623,"",0)</f>
        <v>Q3</v>
      </c>
      <c r="F1263" s="4" t="e">
        <f>_xlfn.XLOOKUP(B1263,[2]Sheet2!$E$2:$E$713,[2]Sheet2!$G$2:$G$713)</f>
        <v>#N/A</v>
      </c>
      <c r="G1263" s="22">
        <v>46182</v>
      </c>
      <c r="H1263">
        <v>0.62592592592592589</v>
      </c>
      <c r="I1263" t="s">
        <v>10</v>
      </c>
      <c r="J1263" s="2" t="str">
        <f t="shared" si="102"/>
        <v>Q1</v>
      </c>
      <c r="K1263" s="2" t="str">
        <f t="shared" si="103"/>
        <v>Not Match</v>
      </c>
      <c r="L1263" s="1">
        <f t="shared" si="100"/>
        <v>1.4807092894960847</v>
      </c>
      <c r="M1263" s="1" t="e">
        <f t="shared" si="101"/>
        <v>#N/A</v>
      </c>
      <c r="N1263" s="2" t="str">
        <f t="shared" si="104"/>
        <v>Q NOT OK dE&gt;0.8</v>
      </c>
      <c r="O1263">
        <v>43.85</v>
      </c>
      <c r="P1263">
        <v>55.15</v>
      </c>
      <c r="Q1263">
        <v>39.47</v>
      </c>
      <c r="R1263">
        <v>0.65</v>
      </c>
      <c r="S1263">
        <v>1.1100000000000001</v>
      </c>
      <c r="T1263">
        <v>0.98</v>
      </c>
      <c r="U1263">
        <v>0.51</v>
      </c>
      <c r="V1263">
        <v>0.11</v>
      </c>
      <c r="W1263">
        <v>0.83</v>
      </c>
      <c r="X1263" t="s">
        <v>13</v>
      </c>
      <c r="Y1263" t="s">
        <v>12</v>
      </c>
      <c r="Z1263" s="2" t="s">
        <v>718</v>
      </c>
      <c r="AA1263" s="2" t="s">
        <v>721</v>
      </c>
    </row>
    <row r="1264" spans="1:27" x14ac:dyDescent="0.35">
      <c r="A1264" t="s">
        <v>2148</v>
      </c>
      <c r="B1264" t="s">
        <v>2317</v>
      </c>
      <c r="C1264" s="7" t="str">
        <f>_xlfn.XLOOKUP(B1264,'[1]Sheet 1'!$A$2:$A$11107,'[1]Sheet 1'!$D$2:$D$11107,"",0)</f>
        <v>VSS</v>
      </c>
      <c r="D1264" s="4" t="str">
        <f>_xlfn.XLOOKUP(A1264,[3]Sheet2!$I$2:$I$1623,[3]Sheet2!$D$2:$D$1623,"",0)</f>
        <v>Q3</v>
      </c>
      <c r="F1264" s="4" t="e">
        <f>_xlfn.XLOOKUP(B1264,[2]Sheet2!$E$2:$E$713,[2]Sheet2!$G$2:$G$713)</f>
        <v>#N/A</v>
      </c>
      <c r="G1264" s="22">
        <v>46182</v>
      </c>
      <c r="H1264">
        <v>0.63042824074074078</v>
      </c>
      <c r="I1264" t="s">
        <v>10</v>
      </c>
      <c r="J1264" s="2" t="str">
        <f t="shared" si="102"/>
        <v>Q1</v>
      </c>
      <c r="K1264" s="2" t="str">
        <f t="shared" si="103"/>
        <v>Not Match</v>
      </c>
      <c r="L1264" s="1">
        <f t="shared" si="100"/>
        <v>1.0804628637764466</v>
      </c>
      <c r="M1264" s="1" t="e">
        <f t="shared" si="101"/>
        <v>#N/A</v>
      </c>
      <c r="N1264" s="2" t="str">
        <f t="shared" si="104"/>
        <v>Q NOT OK dE&lt;=0.8</v>
      </c>
      <c r="O1264">
        <v>43.51</v>
      </c>
      <c r="P1264">
        <v>54.97</v>
      </c>
      <c r="Q1264">
        <v>39.04</v>
      </c>
      <c r="R1264">
        <v>0.48</v>
      </c>
      <c r="S1264">
        <v>0.93</v>
      </c>
      <c r="T1264">
        <v>0.55000000000000004</v>
      </c>
      <c r="U1264">
        <v>0.37</v>
      </c>
      <c r="V1264">
        <v>-7.0000000000000007E-2</v>
      </c>
      <c r="W1264">
        <v>0.61</v>
      </c>
      <c r="X1264" t="s">
        <v>8</v>
      </c>
      <c r="Y1264" t="s">
        <v>7</v>
      </c>
      <c r="Z1264" s="2" t="s">
        <v>718</v>
      </c>
      <c r="AA1264" s="2" t="s">
        <v>721</v>
      </c>
    </row>
    <row r="1265" spans="1:27" x14ac:dyDescent="0.35">
      <c r="A1265" t="s">
        <v>1626</v>
      </c>
      <c r="B1265" t="s">
        <v>2318</v>
      </c>
      <c r="C1265" s="7" t="str">
        <f>_xlfn.XLOOKUP(B1265,'[1]Sheet 1'!$A$2:$A$11107,'[1]Sheet 1'!$D$2:$D$11107,"",0)</f>
        <v>VSS</v>
      </c>
      <c r="D1265" s="4" t="str">
        <f>_xlfn.XLOOKUP(A1265,[3]Sheet2!$I$2:$I$1623,[3]Sheet2!$D$2:$D$1623,"",0)</f>
        <v>Q4</v>
      </c>
      <c r="F1265" s="4" t="e">
        <f>_xlfn.XLOOKUP(B1265,[2]Sheet2!$E$2:$E$713,[2]Sheet2!$G$2:$G$713)</f>
        <v>#N/A</v>
      </c>
      <c r="G1265" s="22">
        <v>46182</v>
      </c>
      <c r="H1265">
        <v>0.69168981481481484</v>
      </c>
      <c r="I1265" t="s">
        <v>10</v>
      </c>
      <c r="J1265" s="2" t="str">
        <f t="shared" si="102"/>
        <v>Q2</v>
      </c>
      <c r="K1265" s="2" t="str">
        <f t="shared" si="103"/>
        <v>Not Match</v>
      </c>
      <c r="L1265" s="1">
        <f t="shared" si="100"/>
        <v>0.20591260281974</v>
      </c>
      <c r="M1265" s="1" t="e">
        <f t="shared" si="101"/>
        <v>#N/A</v>
      </c>
      <c r="N1265" s="2" t="str">
        <f t="shared" si="104"/>
        <v>Q NOT OK dE&lt;=0.8</v>
      </c>
      <c r="O1265">
        <v>15.27</v>
      </c>
      <c r="P1265">
        <v>0.41</v>
      </c>
      <c r="Q1265">
        <v>-1.49</v>
      </c>
      <c r="R1265">
        <v>-0.3</v>
      </c>
      <c r="S1265">
        <v>-0.18</v>
      </c>
      <c r="T1265">
        <v>0.1</v>
      </c>
      <c r="U1265">
        <v>-0.2</v>
      </c>
      <c r="V1265">
        <v>-0.2</v>
      </c>
      <c r="W1265">
        <v>0.41</v>
      </c>
      <c r="X1265" t="s">
        <v>8</v>
      </c>
      <c r="Y1265" t="s">
        <v>15</v>
      </c>
      <c r="Z1265" s="2" t="s">
        <v>718</v>
      </c>
      <c r="AA1265" s="2" t="s">
        <v>721</v>
      </c>
    </row>
    <row r="1266" spans="1:27" x14ac:dyDescent="0.35">
      <c r="A1266" t="s">
        <v>1626</v>
      </c>
      <c r="B1266" t="s">
        <v>2319</v>
      </c>
      <c r="C1266" s="7" t="str">
        <f>_xlfn.XLOOKUP(B1266,'[1]Sheet 1'!$A$2:$A$11107,'[1]Sheet 1'!$D$2:$D$11107,"",0)</f>
        <v>VSS</v>
      </c>
      <c r="D1266" s="4" t="str">
        <f>_xlfn.XLOOKUP(A1266,[3]Sheet2!$I$2:$I$1623,[3]Sheet2!$D$2:$D$1623,"",0)</f>
        <v>Q4</v>
      </c>
      <c r="F1266" s="4" t="e">
        <f>_xlfn.XLOOKUP(B1266,[2]Sheet2!$E$2:$E$713,[2]Sheet2!$G$2:$G$713)</f>
        <v>#N/A</v>
      </c>
      <c r="G1266" s="22">
        <v>46182</v>
      </c>
      <c r="H1266">
        <v>0.69418981481481479</v>
      </c>
      <c r="I1266" t="s">
        <v>10</v>
      </c>
      <c r="J1266" s="2" t="str">
        <f t="shared" si="102"/>
        <v>Q1</v>
      </c>
      <c r="K1266" s="2" t="str">
        <f t="shared" si="103"/>
        <v>Not Match</v>
      </c>
      <c r="L1266" s="1">
        <f t="shared" si="100"/>
        <v>0.49244289008980524</v>
      </c>
      <c r="M1266" s="1" t="e">
        <f t="shared" si="101"/>
        <v>#N/A</v>
      </c>
      <c r="N1266" s="2" t="str">
        <f t="shared" si="104"/>
        <v>Q NOT OK dE&lt;=0.8</v>
      </c>
      <c r="O1266">
        <v>15.7</v>
      </c>
      <c r="P1266">
        <v>1.04</v>
      </c>
      <c r="Q1266">
        <v>-1.39</v>
      </c>
      <c r="R1266">
        <v>0.12</v>
      </c>
      <c r="S1266">
        <v>0.45</v>
      </c>
      <c r="T1266">
        <v>0.2</v>
      </c>
      <c r="U1266">
        <v>0.05</v>
      </c>
      <c r="V1266">
        <v>0.68</v>
      </c>
      <c r="W1266">
        <v>0.69</v>
      </c>
      <c r="X1266" t="s">
        <v>8</v>
      </c>
      <c r="Y1266" t="s">
        <v>9</v>
      </c>
      <c r="Z1266" s="2" t="s">
        <v>718</v>
      </c>
      <c r="AA1266" s="2" t="s">
        <v>721</v>
      </c>
    </row>
    <row r="1267" spans="1:27" x14ac:dyDescent="0.35">
      <c r="A1267" t="s">
        <v>2148</v>
      </c>
      <c r="B1267" t="s">
        <v>2320</v>
      </c>
      <c r="C1267" s="7" t="str">
        <f>_xlfn.XLOOKUP(B1267,'[1]Sheet 1'!$A$2:$A$11107,'[1]Sheet 1'!$D$2:$D$11107,"",0)</f>
        <v>VSS</v>
      </c>
      <c r="D1267" s="4" t="str">
        <f>_xlfn.XLOOKUP(A1267,[3]Sheet2!$I$2:$I$1623,[3]Sheet2!$D$2:$D$1623,"",0)</f>
        <v>Q3</v>
      </c>
      <c r="F1267" s="4" t="e">
        <f>_xlfn.XLOOKUP(B1267,[2]Sheet2!$E$2:$E$713,[2]Sheet2!$G$2:$G$713)</f>
        <v>#N/A</v>
      </c>
      <c r="G1267" s="22">
        <v>46182</v>
      </c>
      <c r="H1267">
        <v>0.71072916666666663</v>
      </c>
      <c r="I1267" t="s">
        <v>10</v>
      </c>
      <c r="J1267" s="2" t="str">
        <f t="shared" si="102"/>
        <v>Q1</v>
      </c>
      <c r="K1267" s="2" t="str">
        <f t="shared" si="103"/>
        <v>Not Match</v>
      </c>
      <c r="L1267" s="1">
        <f t="shared" si="100"/>
        <v>1.1081967334368028</v>
      </c>
      <c r="M1267" s="1" t="e">
        <f t="shared" si="101"/>
        <v>#N/A</v>
      </c>
      <c r="N1267" s="2" t="str">
        <f t="shared" si="104"/>
        <v>Q NOT OK dE&lt;=0.8</v>
      </c>
      <c r="O1267">
        <v>43.48</v>
      </c>
      <c r="P1267">
        <v>55.14</v>
      </c>
      <c r="Q1267">
        <v>38.69</v>
      </c>
      <c r="R1267">
        <v>0.46</v>
      </c>
      <c r="S1267">
        <v>1.0900000000000001</v>
      </c>
      <c r="T1267">
        <v>0.2</v>
      </c>
      <c r="U1267">
        <v>0.35</v>
      </c>
      <c r="V1267">
        <v>-0.33</v>
      </c>
      <c r="W1267">
        <v>0.66</v>
      </c>
      <c r="X1267" t="s">
        <v>8</v>
      </c>
      <c r="Y1267" t="s">
        <v>7</v>
      </c>
      <c r="Z1267" s="2" t="s">
        <v>718</v>
      </c>
      <c r="AA1267" s="2" t="s">
        <v>721</v>
      </c>
    </row>
    <row r="1268" spans="1:27" x14ac:dyDescent="0.35">
      <c r="A1268" t="s">
        <v>2161</v>
      </c>
      <c r="B1268" t="s">
        <v>2321</v>
      </c>
      <c r="C1268" s="7" t="str">
        <f>_xlfn.XLOOKUP(B1268,'[1]Sheet 1'!$A$2:$A$11107,'[1]Sheet 1'!$D$2:$D$11107,"",0)</f>
        <v>VSS</v>
      </c>
      <c r="D1268" s="4" t="str">
        <f>_xlfn.XLOOKUP(A1268,[3]Sheet2!$I$2:$I$1623,[3]Sheet2!$D$2:$D$1623,"",0)</f>
        <v>Q3</v>
      </c>
      <c r="F1268" s="4" t="e">
        <f>_xlfn.XLOOKUP(B1268,[2]Sheet2!$E$2:$E$713,[2]Sheet2!$G$2:$G$713)</f>
        <v>#N/A</v>
      </c>
      <c r="G1268" s="22">
        <v>46182</v>
      </c>
      <c r="H1268">
        <v>0.77034722222222218</v>
      </c>
      <c r="I1268" t="s">
        <v>10</v>
      </c>
      <c r="J1268" s="2" t="str">
        <f t="shared" si="102"/>
        <v>Q1</v>
      </c>
      <c r="K1268" s="2" t="str">
        <f t="shared" si="103"/>
        <v>Not Match</v>
      </c>
      <c r="L1268" s="1">
        <f t="shared" si="100"/>
        <v>1.1433722053644648</v>
      </c>
      <c r="M1268" s="1" t="e">
        <f t="shared" si="101"/>
        <v>#N/A</v>
      </c>
      <c r="N1268" s="2" t="str">
        <f t="shared" si="104"/>
        <v>Q NOT OK dE&lt;=0.8</v>
      </c>
      <c r="O1268">
        <v>43.31</v>
      </c>
      <c r="P1268">
        <v>55.43</v>
      </c>
      <c r="Q1268">
        <v>42.72</v>
      </c>
      <c r="R1268">
        <v>0.46</v>
      </c>
      <c r="S1268">
        <v>0.23</v>
      </c>
      <c r="T1268">
        <v>1.1200000000000001</v>
      </c>
      <c r="U1268">
        <v>0.28999999999999998</v>
      </c>
      <c r="V1268">
        <v>0.53</v>
      </c>
      <c r="W1268">
        <v>0.76</v>
      </c>
      <c r="X1268" t="s">
        <v>13</v>
      </c>
      <c r="Y1268" t="s">
        <v>12</v>
      </c>
      <c r="Z1268" s="2" t="s">
        <v>718</v>
      </c>
      <c r="AA1268" s="2" t="s">
        <v>721</v>
      </c>
    </row>
    <row r="1269" spans="1:27" x14ac:dyDescent="0.35">
      <c r="A1269" t="s">
        <v>1668</v>
      </c>
      <c r="B1269" t="s">
        <v>2322</v>
      </c>
      <c r="C1269" s="7" t="str">
        <f>_xlfn.XLOOKUP(B1269,'[1]Sheet 1'!$A$2:$A$11107,'[1]Sheet 1'!$D$2:$D$11107,"",0)</f>
        <v>VSS</v>
      </c>
      <c r="D1269" s="4" t="str">
        <f>_xlfn.XLOOKUP(A1269,[3]Sheet2!$I$2:$I$1623,[3]Sheet2!$D$2:$D$1623,"",0)</f>
        <v>Q4</v>
      </c>
      <c r="F1269" s="4" t="e">
        <f>_xlfn.XLOOKUP(B1269,[2]Sheet2!$E$2:$E$713,[2]Sheet2!$G$2:$G$713)</f>
        <v>#N/A</v>
      </c>
      <c r="G1269" s="22">
        <v>46182</v>
      </c>
      <c r="H1269">
        <v>0.77371527777777782</v>
      </c>
      <c r="I1269" t="s">
        <v>10</v>
      </c>
      <c r="J1269" s="2" t="str">
        <f t="shared" si="102"/>
        <v>Q1</v>
      </c>
      <c r="K1269" s="2" t="str">
        <f t="shared" si="103"/>
        <v>Not Match</v>
      </c>
      <c r="L1269" s="1">
        <f t="shared" si="100"/>
        <v>1.6367040050051811</v>
      </c>
      <c r="M1269" s="1" t="e">
        <f t="shared" si="101"/>
        <v>#N/A</v>
      </c>
      <c r="N1269" s="2" t="str">
        <f t="shared" si="104"/>
        <v>Q NOT OK dE&gt;0.8</v>
      </c>
      <c r="O1269">
        <v>51.68</v>
      </c>
      <c r="P1269">
        <v>48.96</v>
      </c>
      <c r="Q1269">
        <v>-0.84</v>
      </c>
      <c r="R1269">
        <v>0</v>
      </c>
      <c r="S1269">
        <v>1.02</v>
      </c>
      <c r="T1269">
        <v>1.28</v>
      </c>
      <c r="U1269">
        <v>0.39</v>
      </c>
      <c r="V1269">
        <v>0.75</v>
      </c>
      <c r="W1269">
        <v>0.84</v>
      </c>
      <c r="X1269" t="s">
        <v>13</v>
      </c>
      <c r="Y1269" t="s">
        <v>9</v>
      </c>
      <c r="Z1269" s="2" t="s">
        <v>718</v>
      </c>
      <c r="AA1269" s="2" t="s">
        <v>721</v>
      </c>
    </row>
    <row r="1270" spans="1:27" x14ac:dyDescent="0.35">
      <c r="A1270" t="s">
        <v>2323</v>
      </c>
      <c r="B1270" t="s">
        <v>2324</v>
      </c>
      <c r="C1270" s="7" t="str">
        <f>_xlfn.XLOOKUP(B1270,'[1]Sheet 1'!$A$2:$A$11107,'[1]Sheet 1'!$D$2:$D$11107,"",0)</f>
        <v>VSS</v>
      </c>
      <c r="D1270" s="4" t="str">
        <f>_xlfn.XLOOKUP(A1270,[3]Sheet2!$I$2:$I$1623,[3]Sheet2!$D$2:$D$1623,"",0)</f>
        <v>Q3</v>
      </c>
      <c r="F1270" s="4" t="e">
        <f>_xlfn.XLOOKUP(B1270,[2]Sheet2!$E$2:$E$713,[2]Sheet2!$G$2:$G$713)</f>
        <v>#N/A</v>
      </c>
      <c r="G1270" s="22">
        <v>46182</v>
      </c>
      <c r="H1270">
        <v>0.866724537037037</v>
      </c>
      <c r="I1270" t="s">
        <v>10</v>
      </c>
      <c r="J1270" s="2" t="str">
        <f t="shared" si="102"/>
        <v>Q2</v>
      </c>
      <c r="K1270" s="2" t="str">
        <f t="shared" si="103"/>
        <v>Not Match</v>
      </c>
      <c r="L1270" s="1">
        <f t="shared" si="100"/>
        <v>0.27459060435491961</v>
      </c>
      <c r="M1270" s="1" t="e">
        <f t="shared" si="101"/>
        <v>#N/A</v>
      </c>
      <c r="N1270" s="2" t="str">
        <f t="shared" si="104"/>
        <v>Q NOT OK dE&lt;=0.8</v>
      </c>
      <c r="O1270">
        <v>23.11</v>
      </c>
      <c r="P1270">
        <v>-16.23</v>
      </c>
      <c r="Q1270">
        <v>-5.54</v>
      </c>
      <c r="R1270">
        <v>0.56000000000000005</v>
      </c>
      <c r="S1270">
        <v>-0.27</v>
      </c>
      <c r="T1270">
        <v>0.05</v>
      </c>
      <c r="U1270">
        <v>0.16</v>
      </c>
      <c r="V1270">
        <v>-0.11</v>
      </c>
      <c r="W1270">
        <v>0.59</v>
      </c>
      <c r="X1270" t="s">
        <v>8</v>
      </c>
      <c r="Y1270" t="s">
        <v>12</v>
      </c>
      <c r="Z1270" s="2" t="s">
        <v>718</v>
      </c>
      <c r="AA1270" s="2" t="s">
        <v>721</v>
      </c>
    </row>
    <row r="1271" spans="1:27" x14ac:dyDescent="0.35">
      <c r="A1271" t="s">
        <v>1738</v>
      </c>
      <c r="B1271" t="s">
        <v>2325</v>
      </c>
      <c r="C1271" s="7" t="str">
        <f>_xlfn.XLOOKUP(B1271,'[1]Sheet 1'!$A$2:$A$11107,'[1]Sheet 1'!$D$2:$D$11107,"",0)</f>
        <v>CHICOS</v>
      </c>
      <c r="D1271" s="4" t="str">
        <f>_xlfn.XLOOKUP(A1271,[3]Sheet2!$I$2:$I$1623,[3]Sheet2!$D$2:$D$1623,"",0)</f>
        <v>Q2</v>
      </c>
      <c r="F1271" s="4" t="e">
        <f>_xlfn.XLOOKUP(B1271,[2]Sheet2!$E$2:$E$713,[2]Sheet2!$G$2:$G$713)</f>
        <v>#N/A</v>
      </c>
      <c r="G1271" s="22">
        <v>46183</v>
      </c>
      <c r="H1271">
        <v>2.0810185185185185E-2</v>
      </c>
      <c r="I1271" t="s">
        <v>14</v>
      </c>
      <c r="J1271" s="2" t="str">
        <f t="shared" si="102"/>
        <v>Q1</v>
      </c>
      <c r="K1271" s="2" t="str">
        <f t="shared" si="103"/>
        <v>Not Match</v>
      </c>
      <c r="L1271" s="1">
        <f t="shared" si="100"/>
        <v>9.8488578017961043E-2</v>
      </c>
      <c r="M1271" s="1" t="e">
        <f t="shared" si="101"/>
        <v>#N/A</v>
      </c>
      <c r="N1271" s="2" t="str">
        <f t="shared" si="104"/>
        <v>Q NOT OK dE&gt;0.8</v>
      </c>
      <c r="O1271">
        <v>14.26</v>
      </c>
      <c r="P1271">
        <v>-0.52</v>
      </c>
      <c r="Q1271">
        <v>-2.2799999999999998</v>
      </c>
      <c r="R1271">
        <v>-1.31</v>
      </c>
      <c r="S1271">
        <v>0.09</v>
      </c>
      <c r="T1271">
        <v>0.04</v>
      </c>
      <c r="U1271">
        <v>-0.08</v>
      </c>
      <c r="V1271">
        <v>0.11</v>
      </c>
      <c r="W1271">
        <v>1.32</v>
      </c>
      <c r="X1271" t="s">
        <v>6</v>
      </c>
      <c r="Y1271" t="s">
        <v>9</v>
      </c>
      <c r="Z1271" s="2" t="s">
        <v>718</v>
      </c>
      <c r="AA1271" s="2" t="s">
        <v>721</v>
      </c>
    </row>
    <row r="1272" spans="1:27" x14ac:dyDescent="0.35">
      <c r="A1272" t="s">
        <v>1520</v>
      </c>
      <c r="B1272" t="s">
        <v>2326</v>
      </c>
      <c r="C1272" s="7" t="str">
        <f>_xlfn.XLOOKUP(B1272,'[1]Sheet 1'!$A$2:$A$11107,'[1]Sheet 1'!$D$2:$D$11107,"",0)</f>
        <v>VSS</v>
      </c>
      <c r="D1272" s="4" t="str">
        <f>_xlfn.XLOOKUP(A1272,[3]Sheet2!$I$2:$I$1623,[3]Sheet2!$D$2:$D$1623,"",0)</f>
        <v>Q1</v>
      </c>
      <c r="F1272" s="4" t="e">
        <f>_xlfn.XLOOKUP(B1272,[2]Sheet2!$E$2:$E$713,[2]Sheet2!$G$2:$G$713)</f>
        <v>#N/A</v>
      </c>
      <c r="G1272" s="22">
        <v>46183</v>
      </c>
      <c r="H1272">
        <v>0.12122685185185185</v>
      </c>
      <c r="I1272" t="s">
        <v>10</v>
      </c>
      <c r="J1272" s="2" t="str">
        <f t="shared" si="102"/>
        <v>Q1</v>
      </c>
      <c r="K1272" s="2" t="str">
        <f t="shared" si="103"/>
        <v>Match</v>
      </c>
      <c r="L1272" s="1">
        <f t="shared" si="100"/>
        <v>0.49979995998399201</v>
      </c>
      <c r="M1272" s="1" t="e">
        <f t="shared" si="101"/>
        <v>#N/A</v>
      </c>
      <c r="N1272" s="2" t="str">
        <f t="shared" si="104"/>
        <v>Q OK dE&lt;=0.8</v>
      </c>
      <c r="O1272">
        <v>26.81</v>
      </c>
      <c r="P1272">
        <v>12</v>
      </c>
      <c r="Q1272">
        <v>10.8</v>
      </c>
      <c r="R1272">
        <v>-0.56000000000000005</v>
      </c>
      <c r="S1272">
        <v>0.17</v>
      </c>
      <c r="T1272">
        <v>0.47</v>
      </c>
      <c r="U1272">
        <v>0.3</v>
      </c>
      <c r="V1272">
        <v>0.34</v>
      </c>
      <c r="W1272">
        <v>0.72</v>
      </c>
      <c r="X1272" t="s">
        <v>8</v>
      </c>
      <c r="Y1272" t="s">
        <v>12</v>
      </c>
      <c r="Z1272" s="2" t="s">
        <v>718</v>
      </c>
      <c r="AA1272" s="2" t="s">
        <v>721</v>
      </c>
    </row>
    <row r="1273" spans="1:27" x14ac:dyDescent="0.35">
      <c r="A1273" t="s">
        <v>2155</v>
      </c>
      <c r="B1273" t="s">
        <v>2327</v>
      </c>
      <c r="C1273" s="7" t="str">
        <f>_xlfn.XLOOKUP(B1273,'[1]Sheet 1'!$A$2:$A$11107,'[1]Sheet 1'!$D$2:$D$11107,"",0)</f>
        <v>WACE</v>
      </c>
      <c r="D1273" s="4" t="str">
        <f>_xlfn.XLOOKUP(A1273,[3]Sheet2!$I$2:$I$1623,[3]Sheet2!$D$2:$D$1623,"",0)</f>
        <v>Q1</v>
      </c>
      <c r="F1273" s="4" t="e">
        <f>_xlfn.XLOOKUP(B1273,[2]Sheet2!$E$2:$E$713,[2]Sheet2!$G$2:$G$713)</f>
        <v>#N/A</v>
      </c>
      <c r="G1273" s="22">
        <v>46183</v>
      </c>
      <c r="H1273">
        <v>0.12857638888888889</v>
      </c>
      <c r="I1273" t="s">
        <v>4</v>
      </c>
      <c r="J1273" s="2" t="str">
        <f t="shared" si="102"/>
        <v>Q4</v>
      </c>
      <c r="K1273" s="2" t="str">
        <f t="shared" si="103"/>
        <v>Not Match</v>
      </c>
      <c r="L1273" s="1">
        <f t="shared" si="100"/>
        <v>8.6023252670426278E-2</v>
      </c>
      <c r="M1273" s="1" t="e">
        <f t="shared" si="101"/>
        <v>#N/A</v>
      </c>
      <c r="N1273" s="2" t="str">
        <f t="shared" si="104"/>
        <v>Q NOT OK dE&lt;=0.8</v>
      </c>
      <c r="O1273">
        <v>16.98</v>
      </c>
      <c r="P1273">
        <v>-0.81</v>
      </c>
      <c r="Q1273">
        <v>-1.76</v>
      </c>
      <c r="R1273">
        <v>-0.53</v>
      </c>
      <c r="S1273">
        <v>0.05</v>
      </c>
      <c r="T1273">
        <v>-7.0000000000000007E-2</v>
      </c>
      <c r="U1273">
        <v>0.06</v>
      </c>
      <c r="V1273">
        <v>0.11</v>
      </c>
      <c r="W1273">
        <v>0.54</v>
      </c>
      <c r="X1273" t="s">
        <v>8</v>
      </c>
      <c r="Y1273" t="s">
        <v>9</v>
      </c>
      <c r="Z1273" s="2" t="s">
        <v>718</v>
      </c>
      <c r="AA1273" s="2" t="s">
        <v>721</v>
      </c>
    </row>
    <row r="1274" spans="1:27" x14ac:dyDescent="0.35">
      <c r="A1274" t="s">
        <v>1515</v>
      </c>
      <c r="B1274" t="s">
        <v>2328</v>
      </c>
      <c r="C1274" s="7" t="str">
        <f>_xlfn.XLOOKUP(B1274,'[1]Sheet 1'!$A$2:$A$11107,'[1]Sheet 1'!$D$2:$D$11107,"",0)</f>
        <v>VSS</v>
      </c>
      <c r="D1274" s="4" t="str">
        <f>_xlfn.XLOOKUP(A1274,[3]Sheet2!$I$2:$I$1623,[3]Sheet2!$D$2:$D$1623,"",0)</f>
        <v>Q3</v>
      </c>
      <c r="F1274" s="4" t="e">
        <f>_xlfn.XLOOKUP(B1274,[2]Sheet2!$E$2:$E$713,[2]Sheet2!$G$2:$G$713)</f>
        <v>#N/A</v>
      </c>
      <c r="G1274" s="22">
        <v>46183</v>
      </c>
      <c r="H1274">
        <v>0.13064814814814815</v>
      </c>
      <c r="I1274" t="s">
        <v>10</v>
      </c>
      <c r="J1274" s="2" t="str">
        <f t="shared" si="102"/>
        <v>Q4</v>
      </c>
      <c r="K1274" s="2" t="str">
        <f t="shared" si="103"/>
        <v>Not Match</v>
      </c>
      <c r="L1274" s="1">
        <f t="shared" si="100"/>
        <v>0.16401219466856726</v>
      </c>
      <c r="M1274" s="1" t="e">
        <f t="shared" si="101"/>
        <v>#N/A</v>
      </c>
      <c r="N1274" s="2" t="str">
        <f t="shared" si="104"/>
        <v>Q NOT OK dE&lt;=0.8</v>
      </c>
      <c r="O1274">
        <v>14.34</v>
      </c>
      <c r="P1274">
        <v>0.23</v>
      </c>
      <c r="Q1274">
        <v>-1.84</v>
      </c>
      <c r="R1274">
        <v>-0.68</v>
      </c>
      <c r="S1274">
        <v>0.13</v>
      </c>
      <c r="T1274">
        <v>-0.1</v>
      </c>
      <c r="U1274">
        <v>0.15</v>
      </c>
      <c r="V1274">
        <v>0.16</v>
      </c>
      <c r="W1274">
        <v>0.71</v>
      </c>
      <c r="X1274" t="s">
        <v>8</v>
      </c>
      <c r="Y1274" t="s">
        <v>9</v>
      </c>
      <c r="Z1274" s="2" t="s">
        <v>718</v>
      </c>
      <c r="AA1274" s="2" t="s">
        <v>721</v>
      </c>
    </row>
    <row r="1275" spans="1:27" x14ac:dyDescent="0.35">
      <c r="A1275" t="s">
        <v>2148</v>
      </c>
      <c r="B1275" t="s">
        <v>2329</v>
      </c>
      <c r="C1275" s="7" t="str">
        <f>_xlfn.XLOOKUP(B1275,'[1]Sheet 1'!$A$2:$A$11107,'[1]Sheet 1'!$D$2:$D$11107,"",0)</f>
        <v>VSS</v>
      </c>
      <c r="D1275" s="4" t="str">
        <f>_xlfn.XLOOKUP(A1275,[3]Sheet2!$I$2:$I$1623,[3]Sheet2!$D$2:$D$1623,"",0)</f>
        <v>Q3</v>
      </c>
      <c r="F1275" s="4" t="e">
        <f>_xlfn.XLOOKUP(B1275,[2]Sheet2!$E$2:$E$713,[2]Sheet2!$G$2:$G$713)</f>
        <v>#N/A</v>
      </c>
      <c r="G1275" s="22">
        <v>46183</v>
      </c>
      <c r="H1275">
        <v>0.10506944444444444</v>
      </c>
      <c r="I1275" t="s">
        <v>10</v>
      </c>
      <c r="J1275" s="2" t="str">
        <f t="shared" si="102"/>
        <v>Q1</v>
      </c>
      <c r="K1275" s="2" t="str">
        <f t="shared" si="103"/>
        <v>Not Match</v>
      </c>
      <c r="L1275" s="1">
        <f t="shared" si="100"/>
        <v>1.2297154142320896</v>
      </c>
      <c r="M1275" s="1" t="e">
        <f t="shared" si="101"/>
        <v>#N/A</v>
      </c>
      <c r="N1275" s="2" t="str">
        <f t="shared" si="104"/>
        <v>Q NOT OK dE&gt;0.8</v>
      </c>
      <c r="O1275">
        <v>43.92</v>
      </c>
      <c r="P1275">
        <v>55.23</v>
      </c>
      <c r="Q1275">
        <v>38.799999999999997</v>
      </c>
      <c r="R1275">
        <v>0.68</v>
      </c>
      <c r="S1275">
        <v>1.19</v>
      </c>
      <c r="T1275">
        <v>0.31</v>
      </c>
      <c r="U1275">
        <v>0.4</v>
      </c>
      <c r="V1275">
        <v>-0.3</v>
      </c>
      <c r="W1275">
        <v>0.85</v>
      </c>
      <c r="X1275" t="s">
        <v>13</v>
      </c>
      <c r="Y1275" t="s">
        <v>7</v>
      </c>
      <c r="Z1275" s="2" t="s">
        <v>718</v>
      </c>
      <c r="AA1275" s="2" t="s">
        <v>721</v>
      </c>
    </row>
    <row r="1276" spans="1:27" x14ac:dyDescent="0.35">
      <c r="A1276" t="s">
        <v>2331</v>
      </c>
      <c r="B1276" t="s">
        <v>2332</v>
      </c>
      <c r="C1276" s="7" t="str">
        <f>_xlfn.XLOOKUP(B1276,'[1]Sheet 1'!$A$2:$A$11107,'[1]Sheet 1'!$D$2:$D$11107,"",0)</f>
        <v>VSS</v>
      </c>
      <c r="D1276" s="4" t="str">
        <f>_xlfn.XLOOKUP(A1276,[3]Sheet2!$I$2:$I$1623,[3]Sheet2!$D$2:$D$1623,"",0)</f>
        <v>Q3</v>
      </c>
      <c r="F1276" s="4" t="e">
        <f>_xlfn.XLOOKUP(B1276,[2]Sheet2!$E$2:$E$713,[2]Sheet2!$G$2:$G$713)</f>
        <v>#N/A</v>
      </c>
      <c r="G1276" s="22">
        <v>46183</v>
      </c>
      <c r="H1276">
        <v>0.1360763888888889</v>
      </c>
      <c r="I1276" t="s">
        <v>10</v>
      </c>
      <c r="J1276" s="2" t="str">
        <f t="shared" si="102"/>
        <v>Q1</v>
      </c>
      <c r="K1276" s="2" t="str">
        <f t="shared" si="103"/>
        <v>Not Match</v>
      </c>
      <c r="L1276" s="1">
        <f t="shared" si="100"/>
        <v>0.32557641192199416</v>
      </c>
      <c r="M1276" s="1" t="e">
        <f t="shared" si="101"/>
        <v>#N/A</v>
      </c>
      <c r="N1276" s="2" t="str">
        <f t="shared" si="104"/>
        <v>Q NOT OK dE&lt;=0.8</v>
      </c>
      <c r="O1276">
        <v>21.26</v>
      </c>
      <c r="P1276">
        <v>-5.35</v>
      </c>
      <c r="Q1276">
        <v>-1.26</v>
      </c>
      <c r="R1276">
        <v>0.32</v>
      </c>
      <c r="S1276">
        <v>0.06</v>
      </c>
      <c r="T1276">
        <v>0.32</v>
      </c>
      <c r="U1276">
        <v>-0.14000000000000001</v>
      </c>
      <c r="V1276">
        <v>-0.36</v>
      </c>
      <c r="W1276">
        <v>0.5</v>
      </c>
      <c r="X1276" t="s">
        <v>8</v>
      </c>
      <c r="Y1276" t="s">
        <v>12</v>
      </c>
      <c r="Z1276" s="2" t="s">
        <v>718</v>
      </c>
      <c r="AA1276" s="2" t="s">
        <v>721</v>
      </c>
    </row>
    <row r="1277" spans="1:27" x14ac:dyDescent="0.35">
      <c r="A1277" t="s">
        <v>2165</v>
      </c>
      <c r="B1277" t="s">
        <v>2333</v>
      </c>
      <c r="C1277" s="7" t="str">
        <f>_xlfn.XLOOKUP(B1277,'[1]Sheet 1'!$A$2:$A$11107,'[1]Sheet 1'!$D$2:$D$11107,"",0)</f>
        <v>NIK</v>
      </c>
      <c r="D1277" s="4" t="str">
        <f>_xlfn.XLOOKUP(A1277,[3]Sheet2!$I$2:$I$1623,[3]Sheet2!$D$2:$D$1623,"",0)</f>
        <v>Q1</v>
      </c>
      <c r="F1277" s="4" t="e">
        <f>_xlfn.XLOOKUP(B1277,[2]Sheet2!$E$2:$E$713,[2]Sheet2!$G$2:$G$713)</f>
        <v>#N/A</v>
      </c>
      <c r="G1277" s="22">
        <v>46183</v>
      </c>
      <c r="H1277">
        <v>0.14628472222222222</v>
      </c>
      <c r="I1277" t="s">
        <v>4</v>
      </c>
      <c r="J1277" s="2" t="str">
        <f t="shared" si="102"/>
        <v>Q2</v>
      </c>
      <c r="K1277" s="2" t="str">
        <f t="shared" si="103"/>
        <v>Not Match</v>
      </c>
      <c r="L1277" s="1">
        <f t="shared" si="100"/>
        <v>0.27459060435491961</v>
      </c>
      <c r="M1277" s="1" t="e">
        <f t="shared" si="101"/>
        <v>#N/A</v>
      </c>
      <c r="N1277" s="2" t="str">
        <f t="shared" si="104"/>
        <v>Q NOT OK dE&lt;=0.8</v>
      </c>
      <c r="O1277">
        <v>24.49</v>
      </c>
      <c r="P1277">
        <v>-4.37</v>
      </c>
      <c r="Q1277">
        <v>-2.13</v>
      </c>
      <c r="R1277">
        <v>-0.28999999999999998</v>
      </c>
      <c r="S1277">
        <v>-0.15</v>
      </c>
      <c r="T1277">
        <v>0.23</v>
      </c>
      <c r="U1277">
        <v>0.03</v>
      </c>
      <c r="V1277">
        <v>-0.33</v>
      </c>
      <c r="W1277">
        <v>0.44</v>
      </c>
      <c r="X1277" t="s">
        <v>8</v>
      </c>
      <c r="Y1277" t="s">
        <v>12</v>
      </c>
      <c r="Z1277" s="2" t="s">
        <v>718</v>
      </c>
      <c r="AA1277" s="2" t="s">
        <v>721</v>
      </c>
    </row>
    <row r="1278" spans="1:27" x14ac:dyDescent="0.35">
      <c r="A1278" t="s">
        <v>2161</v>
      </c>
      <c r="B1278" t="s">
        <v>2334</v>
      </c>
      <c r="C1278" s="7" t="str">
        <f>_xlfn.XLOOKUP(B1278,'[1]Sheet 1'!$A$2:$A$11107,'[1]Sheet 1'!$D$2:$D$11107,"",0)</f>
        <v>VSS</v>
      </c>
      <c r="D1278" s="4" t="str">
        <f>_xlfn.XLOOKUP(A1278,[3]Sheet2!$I$2:$I$1623,[3]Sheet2!$D$2:$D$1623,"",0)</f>
        <v>Q3</v>
      </c>
      <c r="F1278" s="4" t="e">
        <f>_xlfn.XLOOKUP(B1278,[2]Sheet2!$E$2:$E$713,[2]Sheet2!$G$2:$G$713)</f>
        <v>#N/A</v>
      </c>
      <c r="G1278" s="22">
        <v>46183</v>
      </c>
      <c r="H1278">
        <v>0.17528935185185185</v>
      </c>
      <c r="I1278" t="s">
        <v>10</v>
      </c>
      <c r="J1278" s="2" t="str">
        <f t="shared" si="102"/>
        <v>Q1</v>
      </c>
      <c r="K1278" s="2" t="str">
        <f t="shared" si="103"/>
        <v>Not Match</v>
      </c>
      <c r="L1278" s="1">
        <f t="shared" si="100"/>
        <v>0.91836811791350859</v>
      </c>
      <c r="M1278" s="1" t="e">
        <f t="shared" si="101"/>
        <v>#N/A</v>
      </c>
      <c r="N1278" s="2" t="str">
        <f t="shared" si="104"/>
        <v>Q NOT OK dE&lt;=0.8</v>
      </c>
      <c r="O1278">
        <v>43.56</v>
      </c>
      <c r="P1278">
        <v>55.73</v>
      </c>
      <c r="Q1278">
        <v>42.34</v>
      </c>
      <c r="R1278">
        <v>0.57999999999999996</v>
      </c>
      <c r="S1278">
        <v>0.53</v>
      </c>
      <c r="T1278">
        <v>0.75</v>
      </c>
      <c r="U1278">
        <v>0.28999999999999998</v>
      </c>
      <c r="V1278">
        <v>0.19</v>
      </c>
      <c r="W1278">
        <v>0.68</v>
      </c>
      <c r="X1278" t="s">
        <v>8</v>
      </c>
      <c r="Y1278" t="s">
        <v>12</v>
      </c>
      <c r="Z1278" s="2" t="s">
        <v>718</v>
      </c>
      <c r="AA1278" s="2" t="s">
        <v>721</v>
      </c>
    </row>
    <row r="1279" spans="1:27" x14ac:dyDescent="0.35">
      <c r="A1279" t="s">
        <v>2148</v>
      </c>
      <c r="B1279" t="s">
        <v>2335</v>
      </c>
      <c r="C1279" s="7" t="str">
        <f>_xlfn.XLOOKUP(B1279,'[1]Sheet 1'!$A$2:$A$11107,'[1]Sheet 1'!$D$2:$D$11107,"",0)</f>
        <v/>
      </c>
      <c r="D1279" s="4" t="str">
        <f>_xlfn.XLOOKUP(A1279,[3]Sheet2!$I$2:$I$1623,[3]Sheet2!$D$2:$D$1623,"",0)</f>
        <v>Q3</v>
      </c>
      <c r="F1279" s="4" t="e">
        <f>_xlfn.XLOOKUP(B1279,[2]Sheet2!$E$2:$E$713,[2]Sheet2!$G$2:$G$713)</f>
        <v>#N/A</v>
      </c>
      <c r="G1279" s="22">
        <v>46183</v>
      </c>
      <c r="H1279">
        <v>0.18292824074074074</v>
      </c>
      <c r="I1279" t="s">
        <v>10</v>
      </c>
      <c r="J1279" s="2" t="str">
        <f t="shared" si="102"/>
        <v>Q1</v>
      </c>
      <c r="K1279" s="2" t="str">
        <f t="shared" si="103"/>
        <v>Not Match</v>
      </c>
      <c r="L1279" s="1">
        <f t="shared" si="100"/>
        <v>1.4329340529138108</v>
      </c>
      <c r="M1279" s="1" t="e">
        <f t="shared" si="101"/>
        <v>#N/A</v>
      </c>
      <c r="N1279" s="2" t="str">
        <f t="shared" si="104"/>
        <v>Q NOT OK dE&lt;=0.8</v>
      </c>
      <c r="O1279">
        <v>43.54</v>
      </c>
      <c r="P1279">
        <v>55.41</v>
      </c>
      <c r="Q1279">
        <v>38.909999999999997</v>
      </c>
      <c r="R1279">
        <v>0.49</v>
      </c>
      <c r="S1279">
        <v>1.37</v>
      </c>
      <c r="T1279">
        <v>0.42</v>
      </c>
      <c r="U1279">
        <v>0.47</v>
      </c>
      <c r="V1279">
        <v>-0.31</v>
      </c>
      <c r="W1279">
        <v>0.75</v>
      </c>
      <c r="X1279" t="s">
        <v>8</v>
      </c>
      <c r="Y1279" t="s">
        <v>7</v>
      </c>
      <c r="Z1279" s="2" t="s">
        <v>718</v>
      </c>
      <c r="AA1279" s="2" t="s">
        <v>721</v>
      </c>
    </row>
    <row r="1280" spans="1:27" x14ac:dyDescent="0.35">
      <c r="A1280" t="s">
        <v>2163</v>
      </c>
      <c r="B1280" t="s">
        <v>2336</v>
      </c>
      <c r="C1280" s="7" t="str">
        <f>_xlfn.XLOOKUP(B1280,'[1]Sheet 1'!$A$2:$A$11107,'[1]Sheet 1'!$D$2:$D$11107,"",0)</f>
        <v>VSS</v>
      </c>
      <c r="D1280" s="4" t="str">
        <f>_xlfn.XLOOKUP(A1280,[3]Sheet2!$I$2:$I$1623,[3]Sheet2!$D$2:$D$1623,"",0)</f>
        <v>Q1</v>
      </c>
      <c r="F1280" s="4" t="e">
        <f>_xlfn.XLOOKUP(B1280,[2]Sheet2!$E$2:$E$713,[2]Sheet2!$G$2:$G$713)</f>
        <v>#N/A</v>
      </c>
      <c r="G1280" s="22">
        <v>46183</v>
      </c>
      <c r="H1280">
        <v>0.2104050925925926</v>
      </c>
      <c r="I1280" t="s">
        <v>10</v>
      </c>
      <c r="J1280" s="2" t="str">
        <f t="shared" si="102"/>
        <v>Q3</v>
      </c>
      <c r="K1280" s="2" t="str">
        <f t="shared" si="103"/>
        <v>Not Match</v>
      </c>
      <c r="L1280" s="1">
        <f t="shared" si="100"/>
        <v>1.4422205101855958</v>
      </c>
      <c r="M1280" s="1" t="e">
        <f t="shared" si="101"/>
        <v>#N/A</v>
      </c>
      <c r="N1280" s="2" t="str">
        <f t="shared" si="104"/>
        <v>Q NOT OK dE&gt;0.8</v>
      </c>
      <c r="O1280">
        <v>26.36</v>
      </c>
      <c r="P1280">
        <v>-12.14</v>
      </c>
      <c r="Q1280">
        <v>-3.78</v>
      </c>
      <c r="R1280">
        <v>-0.34</v>
      </c>
      <c r="S1280">
        <v>-1.36</v>
      </c>
      <c r="T1280">
        <v>-0.48</v>
      </c>
      <c r="U1280">
        <v>1.1399999999999999</v>
      </c>
      <c r="V1280">
        <v>0.06</v>
      </c>
      <c r="W1280">
        <v>1.19</v>
      </c>
      <c r="X1280" t="s">
        <v>6</v>
      </c>
      <c r="Y1280" t="s">
        <v>7</v>
      </c>
      <c r="Z1280" s="2" t="s">
        <v>718</v>
      </c>
      <c r="AA1280" s="2" t="s">
        <v>721</v>
      </c>
    </row>
    <row r="1281" spans="1:27" x14ac:dyDescent="0.35">
      <c r="A1281" t="s">
        <v>2337</v>
      </c>
      <c r="B1281" t="s">
        <v>2338</v>
      </c>
      <c r="C1281" s="7" t="str">
        <f>_xlfn.XLOOKUP(B1281,'[1]Sheet 1'!$A$2:$A$11107,'[1]Sheet 1'!$D$2:$D$11107,"",0)</f>
        <v>VSS</v>
      </c>
      <c r="D1281" s="4" t="str">
        <f>_xlfn.XLOOKUP(A1281,[3]Sheet2!$I$2:$I$1623,[3]Sheet2!$D$2:$D$1623,"",0)</f>
        <v>Q3</v>
      </c>
      <c r="F1281" s="4" t="e">
        <f>_xlfn.XLOOKUP(B1281,[2]Sheet2!$E$2:$E$713,[2]Sheet2!$G$2:$G$713)</f>
        <v>#N/A</v>
      </c>
      <c r="G1281" s="22">
        <v>46183</v>
      </c>
      <c r="H1281">
        <v>0.27555555555555555</v>
      </c>
      <c r="I1281" t="s">
        <v>10</v>
      </c>
      <c r="J1281" s="2" t="str">
        <f t="shared" si="102"/>
        <v>Q3</v>
      </c>
      <c r="K1281" s="2" t="str">
        <f t="shared" si="103"/>
        <v>Match</v>
      </c>
      <c r="L1281" s="1">
        <f t="shared" si="100"/>
        <v>0.60133185513491627</v>
      </c>
      <c r="M1281" s="1" t="e">
        <f t="shared" si="101"/>
        <v>#N/A</v>
      </c>
      <c r="N1281" s="2" t="str">
        <f t="shared" si="104"/>
        <v>Q OK dE&gt;0.8</v>
      </c>
      <c r="O1281">
        <v>20.21</v>
      </c>
      <c r="P1281">
        <v>0.51</v>
      </c>
      <c r="Q1281">
        <v>-0.83</v>
      </c>
      <c r="R1281">
        <v>0.5</v>
      </c>
      <c r="S1281">
        <v>-0.6</v>
      </c>
      <c r="T1281">
        <v>-0.04</v>
      </c>
      <c r="U1281">
        <v>-0.53</v>
      </c>
      <c r="V1281">
        <v>-0.64</v>
      </c>
      <c r="W1281">
        <v>0.97</v>
      </c>
      <c r="X1281" t="s">
        <v>13</v>
      </c>
      <c r="Y1281" t="s">
        <v>7</v>
      </c>
      <c r="Z1281" s="2" t="s">
        <v>718</v>
      </c>
      <c r="AA1281" s="2" t="s">
        <v>721</v>
      </c>
    </row>
    <row r="1282" spans="1:27" x14ac:dyDescent="0.35">
      <c r="A1282" t="s">
        <v>1668</v>
      </c>
      <c r="B1282" t="s">
        <v>2339</v>
      </c>
      <c r="C1282" s="7" t="str">
        <f>_xlfn.XLOOKUP(B1282,'[1]Sheet 1'!$A$2:$A$11107,'[1]Sheet 1'!$D$2:$D$11107,"",0)</f>
        <v>VSS</v>
      </c>
      <c r="D1282" s="4" t="str">
        <f>_xlfn.XLOOKUP(A1282,[3]Sheet2!$I$2:$I$1623,[3]Sheet2!$D$2:$D$1623,"",0)</f>
        <v>Q4</v>
      </c>
      <c r="F1282" s="4" t="e">
        <f>_xlfn.XLOOKUP(B1282,[2]Sheet2!$E$2:$E$713,[2]Sheet2!$G$2:$G$713)</f>
        <v>#N/A</v>
      </c>
      <c r="G1282" s="22">
        <v>46183</v>
      </c>
      <c r="H1282">
        <v>0.27814814814814814</v>
      </c>
      <c r="I1282" t="s">
        <v>10</v>
      </c>
      <c r="J1282" s="2" t="str">
        <f t="shared" si="102"/>
        <v>Q1</v>
      </c>
      <c r="K1282" s="2" t="str">
        <f t="shared" si="103"/>
        <v>Not Match</v>
      </c>
      <c r="L1282" s="1">
        <f t="shared" si="100"/>
        <v>0.23021728866442678</v>
      </c>
      <c r="M1282" s="1" t="e">
        <f t="shared" si="101"/>
        <v>#N/A</v>
      </c>
      <c r="N1282" s="2" t="str">
        <f t="shared" si="104"/>
        <v>Q NOT OK dE&lt;=0.8</v>
      </c>
      <c r="O1282">
        <v>52.02</v>
      </c>
      <c r="P1282">
        <v>48.06</v>
      </c>
      <c r="Q1282">
        <v>-1.94</v>
      </c>
      <c r="R1282">
        <v>0.15</v>
      </c>
      <c r="S1282">
        <v>0.13</v>
      </c>
      <c r="T1282">
        <v>0.19</v>
      </c>
      <c r="U1282">
        <v>0.05</v>
      </c>
      <c r="V1282">
        <v>0.11</v>
      </c>
      <c r="W1282">
        <v>0.19</v>
      </c>
      <c r="X1282" t="s">
        <v>8</v>
      </c>
      <c r="Y1282" t="s">
        <v>9</v>
      </c>
      <c r="Z1282" s="2" t="s">
        <v>718</v>
      </c>
      <c r="AA1282" s="2" t="s">
        <v>721</v>
      </c>
    </row>
    <row r="1283" spans="1:27" x14ac:dyDescent="0.35">
      <c r="A1283" t="s">
        <v>2340</v>
      </c>
      <c r="B1283" t="s">
        <v>2341</v>
      </c>
      <c r="C1283" s="7" t="str">
        <f>_xlfn.XLOOKUP(B1283,'[1]Sheet 1'!$A$2:$A$11107,'[1]Sheet 1'!$D$2:$D$11107,"",0)</f>
        <v>VSS</v>
      </c>
      <c r="D1283" s="4" t="str">
        <f>_xlfn.XLOOKUP(A1283,[3]Sheet2!$I$2:$I$1623,[3]Sheet2!$D$2:$D$1623,"",0)</f>
        <v>Q3</v>
      </c>
      <c r="F1283" s="4" t="e">
        <f>_xlfn.XLOOKUP(B1283,[2]Sheet2!$E$2:$E$713,[2]Sheet2!$G$2:$G$713)</f>
        <v>#N/A</v>
      </c>
      <c r="G1283" s="22">
        <v>46183</v>
      </c>
      <c r="H1283">
        <v>0.28171296296296294</v>
      </c>
      <c r="I1283" t="s">
        <v>10</v>
      </c>
      <c r="J1283" s="2" t="str">
        <f t="shared" si="102"/>
        <v>Q1</v>
      </c>
      <c r="K1283" s="2" t="str">
        <f t="shared" si="103"/>
        <v>Not Match</v>
      </c>
      <c r="L1283" s="1">
        <f t="shared" si="100"/>
        <v>0.69375788283809792</v>
      </c>
      <c r="M1283" s="1" t="e">
        <f t="shared" si="101"/>
        <v>#N/A</v>
      </c>
      <c r="N1283" s="2" t="str">
        <f t="shared" si="104"/>
        <v>Q NOT OK dE&lt;=0.8</v>
      </c>
      <c r="O1283">
        <v>48.86</v>
      </c>
      <c r="P1283">
        <v>59.3</v>
      </c>
      <c r="Q1283">
        <v>45.29</v>
      </c>
      <c r="R1283">
        <v>0.09</v>
      </c>
      <c r="S1283">
        <v>0.67</v>
      </c>
      <c r="T1283">
        <v>0.18</v>
      </c>
      <c r="U1283">
        <v>0.21</v>
      </c>
      <c r="V1283">
        <v>-0.18</v>
      </c>
      <c r="W1283">
        <v>0.28999999999999998</v>
      </c>
      <c r="X1283" t="s">
        <v>8</v>
      </c>
      <c r="Y1283" t="s">
        <v>7</v>
      </c>
      <c r="Z1283" s="2" t="s">
        <v>718</v>
      </c>
      <c r="AA1283" s="2" t="s">
        <v>721</v>
      </c>
    </row>
    <row r="1284" spans="1:27" x14ac:dyDescent="0.35">
      <c r="A1284" t="s">
        <v>2148</v>
      </c>
      <c r="B1284" t="s">
        <v>2342</v>
      </c>
      <c r="C1284" s="7" t="str">
        <f>_xlfn.XLOOKUP(B1284,'[1]Sheet 1'!$A$2:$A$11107,'[1]Sheet 1'!$D$2:$D$11107,"",0)</f>
        <v>VSS</v>
      </c>
      <c r="D1284" s="4" t="str">
        <f>_xlfn.XLOOKUP(A1284,[3]Sheet2!$I$2:$I$1623,[3]Sheet2!$D$2:$D$1623,"",0)</f>
        <v>Q3</v>
      </c>
      <c r="F1284" s="4" t="e">
        <f>_xlfn.XLOOKUP(B1284,[2]Sheet2!$E$2:$E$713,[2]Sheet2!$G$2:$G$713)</f>
        <v>#N/A</v>
      </c>
      <c r="G1284" s="22">
        <v>46183</v>
      </c>
      <c r="H1284">
        <v>0.28357638888888886</v>
      </c>
      <c r="I1284" t="s">
        <v>10</v>
      </c>
      <c r="J1284" s="2" t="str">
        <f t="shared" si="102"/>
        <v>Q1</v>
      </c>
      <c r="K1284" s="2" t="str">
        <f t="shared" si="103"/>
        <v>Not Match</v>
      </c>
      <c r="L1284" s="1">
        <f t="shared" si="100"/>
        <v>1.66859222100548</v>
      </c>
      <c r="M1284" s="1" t="e">
        <f t="shared" si="101"/>
        <v>#N/A</v>
      </c>
      <c r="N1284" s="2" t="str">
        <f t="shared" si="104"/>
        <v>Q NOT OK dE&lt;=0.8</v>
      </c>
      <c r="O1284">
        <v>43.62</v>
      </c>
      <c r="P1284">
        <v>55.55</v>
      </c>
      <c r="Q1284">
        <v>39.21</v>
      </c>
      <c r="R1284">
        <v>0.53</v>
      </c>
      <c r="S1284">
        <v>1.51</v>
      </c>
      <c r="T1284">
        <v>0.71</v>
      </c>
      <c r="U1284">
        <v>0.56999999999999995</v>
      </c>
      <c r="V1284">
        <v>-0.2</v>
      </c>
      <c r="W1284">
        <v>0.8</v>
      </c>
      <c r="X1284" t="s">
        <v>13</v>
      </c>
      <c r="Y1284" t="s">
        <v>7</v>
      </c>
      <c r="Z1284" s="2" t="s">
        <v>718</v>
      </c>
      <c r="AA1284" s="2" t="s">
        <v>721</v>
      </c>
    </row>
    <row r="1285" spans="1:27" x14ac:dyDescent="0.35">
      <c r="A1285" t="s">
        <v>1626</v>
      </c>
      <c r="B1285" t="s">
        <v>2343</v>
      </c>
      <c r="C1285" s="7" t="str">
        <f>_xlfn.XLOOKUP(B1285,'[1]Sheet 1'!$A$2:$A$11107,'[1]Sheet 1'!$D$2:$D$11107,"",0)</f>
        <v>VSS</v>
      </c>
      <c r="D1285" s="4" t="str">
        <f>_xlfn.XLOOKUP(A1285,[3]Sheet2!$I$2:$I$1623,[3]Sheet2!$D$2:$D$1623,"",0)</f>
        <v>Q4</v>
      </c>
      <c r="F1285" s="4" t="e">
        <f>_xlfn.XLOOKUP(B1285,[2]Sheet2!$E$2:$E$713,[2]Sheet2!$G$2:$G$713)</f>
        <v>#N/A</v>
      </c>
      <c r="G1285" s="22">
        <v>46183</v>
      </c>
      <c r="H1285">
        <v>0.56026620370370372</v>
      </c>
      <c r="I1285" t="s">
        <v>10</v>
      </c>
      <c r="J1285" s="2" t="str">
        <f t="shared" si="102"/>
        <v>Q2</v>
      </c>
      <c r="K1285" s="2" t="str">
        <f t="shared" si="103"/>
        <v>Not Match</v>
      </c>
      <c r="L1285" s="1">
        <f t="shared" si="100"/>
        <v>0.21633307652783934</v>
      </c>
      <c r="M1285" s="1" t="e">
        <f t="shared" si="101"/>
        <v>#N/A</v>
      </c>
      <c r="N1285" s="2" t="str">
        <f t="shared" si="104"/>
        <v>Q NOT OK dE&lt;=0.8</v>
      </c>
      <c r="O1285">
        <v>15.32</v>
      </c>
      <c r="P1285">
        <v>0.42</v>
      </c>
      <c r="Q1285">
        <v>-1.47</v>
      </c>
      <c r="R1285">
        <v>-0.25</v>
      </c>
      <c r="S1285">
        <v>-0.18</v>
      </c>
      <c r="T1285">
        <v>0.12</v>
      </c>
      <c r="U1285">
        <v>-0.23</v>
      </c>
      <c r="V1285">
        <v>-0.18</v>
      </c>
      <c r="W1285">
        <v>0.38</v>
      </c>
      <c r="X1285" t="s">
        <v>8</v>
      </c>
      <c r="Y1285" t="s">
        <v>15</v>
      </c>
      <c r="Z1285" s="2" t="s">
        <v>718</v>
      </c>
      <c r="AA1285" s="2" t="s">
        <v>721</v>
      </c>
    </row>
    <row r="1286" spans="1:27" x14ac:dyDescent="0.35">
      <c r="A1286" t="s">
        <v>1626</v>
      </c>
      <c r="B1286" t="s">
        <v>2330</v>
      </c>
      <c r="C1286" s="7" t="str">
        <f>_xlfn.XLOOKUP(B1286,'[1]Sheet 1'!$A$2:$A$11107,'[1]Sheet 1'!$D$2:$D$11107,"",0)</f>
        <v>VSS</v>
      </c>
      <c r="D1286" s="4" t="str">
        <f>_xlfn.XLOOKUP(A1286,[3]Sheet2!$I$2:$I$1623,[3]Sheet2!$D$2:$D$1623,"",0)</f>
        <v>Q4</v>
      </c>
      <c r="F1286" s="4" t="e">
        <f>_xlfn.XLOOKUP(B1286,[2]Sheet2!$E$2:$E$713,[2]Sheet2!$G$2:$G$713)</f>
        <v>#N/A</v>
      </c>
      <c r="G1286" s="22">
        <v>46183</v>
      </c>
      <c r="H1286">
        <v>0.56706018518518519</v>
      </c>
      <c r="I1286" t="s">
        <v>10</v>
      </c>
      <c r="J1286" s="2" t="str">
        <f t="shared" si="102"/>
        <v>Q2</v>
      </c>
      <c r="K1286" s="2" t="str">
        <f t="shared" si="103"/>
        <v>Not Match</v>
      </c>
      <c r="L1286" s="1">
        <f t="shared" si="100"/>
        <v>0.21931712199461309</v>
      </c>
      <c r="M1286" s="1" t="e">
        <f t="shared" si="101"/>
        <v>#N/A</v>
      </c>
      <c r="N1286" s="2" t="str">
        <f t="shared" si="104"/>
        <v>Q NOT OK dE&lt;=0.8</v>
      </c>
      <c r="O1286">
        <v>15.36</v>
      </c>
      <c r="P1286">
        <v>0.44</v>
      </c>
      <c r="Q1286">
        <v>-1.44</v>
      </c>
      <c r="R1286">
        <v>-0.22</v>
      </c>
      <c r="S1286">
        <v>-0.16</v>
      </c>
      <c r="T1286">
        <v>0.15</v>
      </c>
      <c r="U1286">
        <v>-0.26</v>
      </c>
      <c r="V1286">
        <v>-0.14000000000000001</v>
      </c>
      <c r="W1286">
        <v>0.37</v>
      </c>
      <c r="X1286" t="s">
        <v>8</v>
      </c>
      <c r="Y1286" t="s">
        <v>15</v>
      </c>
      <c r="Z1286" s="2" t="s">
        <v>718</v>
      </c>
      <c r="AA1286" s="2" t="s">
        <v>721</v>
      </c>
    </row>
    <row r="1287" spans="1:27" x14ac:dyDescent="0.35">
      <c r="A1287" t="s">
        <v>2148</v>
      </c>
      <c r="B1287" t="s">
        <v>2344</v>
      </c>
      <c r="C1287" s="7" t="str">
        <f>_xlfn.XLOOKUP(B1287,'[1]Sheet 1'!$A$2:$A$11107,'[1]Sheet 1'!$D$2:$D$11107,"",0)</f>
        <v>VSS</v>
      </c>
      <c r="D1287" s="4" t="str">
        <f>_xlfn.XLOOKUP(A1287,[3]Sheet2!$I$2:$I$1623,[3]Sheet2!$D$2:$D$1623,"",0)</f>
        <v>Q3</v>
      </c>
      <c r="F1287" s="4" t="e">
        <f>_xlfn.XLOOKUP(B1287,[2]Sheet2!$E$2:$E$713,[2]Sheet2!$G$2:$G$713)</f>
        <v>#N/A</v>
      </c>
      <c r="G1287" s="22">
        <v>46183</v>
      </c>
      <c r="H1287">
        <v>0.59469907407407407</v>
      </c>
      <c r="I1287" t="s">
        <v>10</v>
      </c>
      <c r="J1287" s="2" t="str">
        <f t="shared" si="102"/>
        <v>Q1</v>
      </c>
      <c r="K1287" s="2" t="str">
        <f t="shared" si="103"/>
        <v>Not Match</v>
      </c>
      <c r="L1287" s="1">
        <f t="shared" si="100"/>
        <v>2.0271408436514715</v>
      </c>
      <c r="M1287" s="1" t="e">
        <f t="shared" si="101"/>
        <v>#N/A</v>
      </c>
      <c r="N1287" s="2" t="str">
        <f t="shared" si="104"/>
        <v>Q NOT OK dE&gt;0.8</v>
      </c>
      <c r="O1287">
        <v>43.53</v>
      </c>
      <c r="P1287">
        <v>55.32</v>
      </c>
      <c r="Q1287">
        <v>40.07</v>
      </c>
      <c r="R1287">
        <v>0.48</v>
      </c>
      <c r="S1287">
        <v>1.27</v>
      </c>
      <c r="T1287">
        <v>1.58</v>
      </c>
      <c r="U1287">
        <v>0.67</v>
      </c>
      <c r="V1287">
        <v>0.38</v>
      </c>
      <c r="W1287">
        <v>0.91</v>
      </c>
      <c r="X1287" t="s">
        <v>13</v>
      </c>
      <c r="Y1287" t="s">
        <v>12</v>
      </c>
      <c r="Z1287" s="2" t="s">
        <v>718</v>
      </c>
      <c r="AA1287" s="2" t="s">
        <v>721</v>
      </c>
    </row>
    <row r="1288" spans="1:27" x14ac:dyDescent="0.35">
      <c r="A1288" t="s">
        <v>1672</v>
      </c>
      <c r="B1288" t="s">
        <v>2345</v>
      </c>
      <c r="C1288" s="7" t="str">
        <f>_xlfn.XLOOKUP(B1288,'[1]Sheet 1'!$A$2:$A$11107,'[1]Sheet 1'!$D$2:$D$11107,"",0)</f>
        <v>PINK</v>
      </c>
      <c r="D1288" s="4" t="str">
        <f>_xlfn.XLOOKUP(A1288,[3]Sheet2!$I$2:$I$1623,[3]Sheet2!$D$2:$D$1623,"",0)</f>
        <v>Q2</v>
      </c>
      <c r="F1288" s="4" t="e">
        <f>_xlfn.XLOOKUP(B1288,[2]Sheet2!$E$2:$E$713,[2]Sheet2!$G$2:$G$713)</f>
        <v>#N/A</v>
      </c>
      <c r="G1288" s="22">
        <v>46183</v>
      </c>
      <c r="H1288">
        <v>0.68424768518518519</v>
      </c>
      <c r="I1288" t="s">
        <v>10</v>
      </c>
      <c r="J1288" s="2" t="str">
        <f t="shared" si="102"/>
        <v>Q4</v>
      </c>
      <c r="K1288" s="2" t="str">
        <f t="shared" si="103"/>
        <v>Not Match</v>
      </c>
      <c r="L1288" s="1">
        <f t="shared" si="100"/>
        <v>0.54817880294662991</v>
      </c>
      <c r="M1288" s="1" t="e">
        <f t="shared" si="101"/>
        <v>#N/A</v>
      </c>
      <c r="N1288" s="2" t="str">
        <f t="shared" si="104"/>
        <v>Q NOT OK dE&gt;0.8</v>
      </c>
      <c r="O1288">
        <v>15.37</v>
      </c>
      <c r="P1288">
        <v>0.61</v>
      </c>
      <c r="Q1288">
        <v>-2.52</v>
      </c>
      <c r="R1288">
        <v>-0.81</v>
      </c>
      <c r="S1288">
        <v>0.14000000000000001</v>
      </c>
      <c r="T1288">
        <v>-0.53</v>
      </c>
      <c r="U1288">
        <v>0.72</v>
      </c>
      <c r="V1288">
        <v>0.02</v>
      </c>
      <c r="W1288">
        <v>1.08</v>
      </c>
      <c r="X1288" t="s">
        <v>6</v>
      </c>
      <c r="Y1288" t="s">
        <v>9</v>
      </c>
      <c r="Z1288" s="2" t="s">
        <v>718</v>
      </c>
      <c r="AA1288" s="2" t="s">
        <v>721</v>
      </c>
    </row>
    <row r="1289" spans="1:27" x14ac:dyDescent="0.35">
      <c r="A1289" t="s">
        <v>2275</v>
      </c>
      <c r="B1289" t="s">
        <v>2346</v>
      </c>
      <c r="C1289" s="7" t="str">
        <f>_xlfn.XLOOKUP(B1289,'[1]Sheet 1'!$A$2:$A$11107,'[1]Sheet 1'!$D$2:$D$11107,"",0)</f>
        <v>VSS</v>
      </c>
      <c r="D1289" s="4" t="str">
        <f>_xlfn.XLOOKUP(A1289,[3]Sheet2!$I$2:$I$1623,[3]Sheet2!$D$2:$D$1623,"",0)</f>
        <v>Q3</v>
      </c>
      <c r="F1289" s="4" t="e">
        <f>_xlfn.XLOOKUP(B1289,[2]Sheet2!$E$2:$E$713,[2]Sheet2!$G$2:$G$713)</f>
        <v>#N/A</v>
      </c>
      <c r="G1289" s="22">
        <v>46183</v>
      </c>
      <c r="H1289">
        <v>0.69587962962962968</v>
      </c>
      <c r="I1289" t="s">
        <v>10</v>
      </c>
      <c r="J1289" s="2" t="str">
        <f t="shared" si="102"/>
        <v>Q1</v>
      </c>
      <c r="K1289" s="2" t="str">
        <f t="shared" si="103"/>
        <v>Not Match</v>
      </c>
      <c r="L1289" s="1">
        <f t="shared" si="100"/>
        <v>1.505622794726488</v>
      </c>
      <c r="M1289" s="1" t="e">
        <f t="shared" si="101"/>
        <v>#N/A</v>
      </c>
      <c r="N1289" s="2" t="str">
        <f t="shared" si="104"/>
        <v>Q NOT OK dE&gt;0.8</v>
      </c>
      <c r="O1289">
        <v>30.77</v>
      </c>
      <c r="P1289">
        <v>40.57</v>
      </c>
      <c r="Q1289">
        <v>22.91</v>
      </c>
      <c r="R1289">
        <v>-0.9</v>
      </c>
      <c r="S1289">
        <v>0.13</v>
      </c>
      <c r="T1289">
        <v>1.5</v>
      </c>
      <c r="U1289">
        <v>0.34</v>
      </c>
      <c r="V1289">
        <v>0.94</v>
      </c>
      <c r="W1289">
        <v>1.34</v>
      </c>
      <c r="X1289" t="s">
        <v>6</v>
      </c>
      <c r="Y1289" t="s">
        <v>12</v>
      </c>
      <c r="Z1289" s="2" t="s">
        <v>718</v>
      </c>
      <c r="AA1289" s="2" t="s">
        <v>721</v>
      </c>
    </row>
    <row r="1290" spans="1:27" x14ac:dyDescent="0.35">
      <c r="A1290" t="s">
        <v>1780</v>
      </c>
      <c r="B1290" t="s">
        <v>2349</v>
      </c>
      <c r="C1290" s="7" t="str">
        <f>_xlfn.XLOOKUP(B1290,'[1]Sheet 1'!$A$2:$A$11107,'[1]Sheet 1'!$D$2:$D$11107,"",0)</f>
        <v>LULU</v>
      </c>
      <c r="D1290" s="4" t="str">
        <f>_xlfn.XLOOKUP(A1290,[3]Sheet2!$I$2:$I$1623,[3]Sheet2!$D$2:$D$1623,"",0)</f>
        <v>Q4</v>
      </c>
      <c r="F1290" s="4" t="e">
        <f>_xlfn.XLOOKUP(B1290,[2]Sheet2!$E$2:$E$713,[2]Sheet2!$G$2:$G$713)</f>
        <v>#N/A</v>
      </c>
      <c r="G1290" s="22">
        <v>46183</v>
      </c>
      <c r="H1290">
        <v>0.71946759259259263</v>
      </c>
      <c r="I1290" t="s">
        <v>4</v>
      </c>
      <c r="J1290" s="2" t="str">
        <f t="shared" si="102"/>
        <v>Q4</v>
      </c>
      <c r="K1290" s="2" t="str">
        <f t="shared" si="103"/>
        <v>Match</v>
      </c>
      <c r="L1290" s="1">
        <f t="shared" si="100"/>
        <v>0.84770277810090966</v>
      </c>
      <c r="M1290" s="1" t="e">
        <f t="shared" si="101"/>
        <v>#N/A</v>
      </c>
      <c r="N1290" s="2" t="str">
        <f t="shared" si="104"/>
        <v>Q OK dE&lt;=0.8</v>
      </c>
      <c r="O1290">
        <v>22</v>
      </c>
      <c r="P1290">
        <v>-0.54</v>
      </c>
      <c r="Q1290">
        <v>-13.34</v>
      </c>
      <c r="R1290">
        <v>-0.3</v>
      </c>
      <c r="S1290">
        <v>0.25</v>
      </c>
      <c r="T1290">
        <v>-0.81</v>
      </c>
      <c r="U1290">
        <v>0.6</v>
      </c>
      <c r="V1290">
        <v>0.35</v>
      </c>
      <c r="W1290">
        <v>0.76</v>
      </c>
      <c r="X1290" t="s">
        <v>13</v>
      </c>
      <c r="Y1290" t="s">
        <v>9</v>
      </c>
      <c r="Z1290" s="2" t="s">
        <v>718</v>
      </c>
      <c r="AA1290" s="2" t="s">
        <v>721</v>
      </c>
    </row>
    <row r="1291" spans="1:27" x14ac:dyDescent="0.35">
      <c r="A1291" t="s">
        <v>2165</v>
      </c>
      <c r="B1291" t="s">
        <v>2350</v>
      </c>
      <c r="C1291" s="7" t="str">
        <f>_xlfn.XLOOKUP(B1291,'[1]Sheet 1'!$A$2:$A$11107,'[1]Sheet 1'!$D$2:$D$11107,"",0)</f>
        <v>NIK</v>
      </c>
      <c r="D1291" s="4" t="str">
        <f>_xlfn.XLOOKUP(A1291,[3]Sheet2!$I$2:$I$1623,[3]Sheet2!$D$2:$D$1623,"",0)</f>
        <v>Q1</v>
      </c>
      <c r="F1291" s="4" t="e">
        <f>_xlfn.XLOOKUP(B1291,[2]Sheet2!$E$2:$E$713,[2]Sheet2!$G$2:$G$713)</f>
        <v>#N/A</v>
      </c>
      <c r="G1291" s="22">
        <v>46183</v>
      </c>
      <c r="H1291">
        <v>0.7641782407407407</v>
      </c>
      <c r="I1291" t="s">
        <v>4</v>
      </c>
      <c r="J1291" s="2" t="str">
        <f t="shared" si="102"/>
        <v>Q2</v>
      </c>
      <c r="K1291" s="2" t="str">
        <f t="shared" si="103"/>
        <v>Not Match</v>
      </c>
      <c r="L1291" s="1">
        <f t="shared" si="100"/>
        <v>0.21587033144922901</v>
      </c>
      <c r="M1291" s="1" t="e">
        <f t="shared" si="101"/>
        <v>#N/A</v>
      </c>
      <c r="N1291" s="2" t="str">
        <f t="shared" si="104"/>
        <v>Q NOT OK dE&lt;=0.8</v>
      </c>
      <c r="O1291">
        <v>24.85</v>
      </c>
      <c r="P1291">
        <v>-4.2699999999999996</v>
      </c>
      <c r="Q1291">
        <v>-2.15</v>
      </c>
      <c r="R1291">
        <v>-0.04</v>
      </c>
      <c r="S1291">
        <v>-0.05</v>
      </c>
      <c r="T1291">
        <v>0.21</v>
      </c>
      <c r="U1291">
        <v>-0.06</v>
      </c>
      <c r="V1291">
        <v>-0.25</v>
      </c>
      <c r="W1291">
        <v>0.26</v>
      </c>
      <c r="X1291" t="s">
        <v>8</v>
      </c>
      <c r="Y1291" t="s">
        <v>12</v>
      </c>
      <c r="Z1291" s="2" t="s">
        <v>718</v>
      </c>
      <c r="AA1291" s="2" t="s">
        <v>721</v>
      </c>
    </row>
    <row r="1292" spans="1:27" x14ac:dyDescent="0.35">
      <c r="A1292" t="s">
        <v>1773</v>
      </c>
      <c r="B1292" t="s">
        <v>2351</v>
      </c>
      <c r="C1292" s="7" t="str">
        <f>_xlfn.XLOOKUP(B1292,'[1]Sheet 1'!$A$2:$A$11107,'[1]Sheet 1'!$D$2:$D$11107,"",0)</f>
        <v>NKSKI</v>
      </c>
      <c r="D1292" s="4" t="str">
        <f>_xlfn.XLOOKUP(A1292,[3]Sheet2!$I$2:$I$1623,[3]Sheet2!$D$2:$D$1623,"",0)</f>
        <v>Q3</v>
      </c>
      <c r="F1292" s="4" t="e">
        <f>_xlfn.XLOOKUP(B1292,[2]Sheet2!$E$2:$E$713,[2]Sheet2!$G$2:$G$713)</f>
        <v>#N/A</v>
      </c>
      <c r="G1292" s="22">
        <v>46183</v>
      </c>
      <c r="H1292">
        <v>0.77546296296296291</v>
      </c>
      <c r="I1292" t="s">
        <v>4</v>
      </c>
      <c r="J1292" s="2" t="str">
        <f t="shared" si="102"/>
        <v>Q2</v>
      </c>
      <c r="K1292" s="2" t="str">
        <f t="shared" si="103"/>
        <v>Not Match</v>
      </c>
      <c r="L1292" s="1">
        <f t="shared" si="100"/>
        <v>0.39824615503479754</v>
      </c>
      <c r="M1292" s="1" t="e">
        <f t="shared" si="101"/>
        <v>#N/A</v>
      </c>
      <c r="N1292" s="2" t="str">
        <f t="shared" si="104"/>
        <v>Q NOT OK dE&lt;=0.8</v>
      </c>
      <c r="O1292">
        <v>16.41</v>
      </c>
      <c r="P1292">
        <v>-1.51</v>
      </c>
      <c r="Q1292">
        <v>-2.4500000000000002</v>
      </c>
      <c r="R1292">
        <v>-0.51</v>
      </c>
      <c r="S1292">
        <v>-0.35</v>
      </c>
      <c r="T1292">
        <v>0.19</v>
      </c>
      <c r="U1292">
        <v>-0.01</v>
      </c>
      <c r="V1292">
        <v>-0.53</v>
      </c>
      <c r="W1292">
        <v>0.73</v>
      </c>
      <c r="X1292" t="s">
        <v>8</v>
      </c>
      <c r="Y1292" t="s">
        <v>15</v>
      </c>
      <c r="Z1292" s="2" t="s">
        <v>718</v>
      </c>
      <c r="AA1292" s="2" t="s">
        <v>721</v>
      </c>
    </row>
    <row r="1293" spans="1:27" x14ac:dyDescent="0.35">
      <c r="A1293" t="s">
        <v>1539</v>
      </c>
      <c r="B1293" t="s">
        <v>2188</v>
      </c>
      <c r="C1293" s="7" t="str">
        <f>_xlfn.XLOOKUP(B1293,'[1]Sheet 1'!$A$2:$A$11107,'[1]Sheet 1'!$D$2:$D$11107,"",0)</f>
        <v>M&amp;S</v>
      </c>
      <c r="D1293" s="4" t="str">
        <f>_xlfn.XLOOKUP(A1293,[3]Sheet2!$I$2:$I$1623,[3]Sheet2!$D$2:$D$1623,"",0)</f>
        <v>Q4</v>
      </c>
      <c r="F1293" s="4" t="e">
        <f>_xlfn.XLOOKUP(B1293,[2]Sheet2!$E$2:$E$713,[2]Sheet2!$G$2:$G$713)</f>
        <v>#N/A</v>
      </c>
      <c r="G1293" s="22">
        <v>46183</v>
      </c>
      <c r="H1293">
        <v>0.78278935185185183</v>
      </c>
      <c r="I1293" t="s">
        <v>17</v>
      </c>
      <c r="J1293" s="2" t="str">
        <f t="shared" si="102"/>
        <v>Q1</v>
      </c>
      <c r="K1293" s="2" t="str">
        <f t="shared" si="103"/>
        <v>Not Match</v>
      </c>
      <c r="L1293" s="1">
        <f t="shared" si="100"/>
        <v>0.98731960377579853</v>
      </c>
      <c r="M1293" s="1" t="e">
        <f t="shared" si="101"/>
        <v>#N/A</v>
      </c>
      <c r="N1293" s="2" t="str">
        <f t="shared" si="104"/>
        <v>Q NOT OK dE&gt;0.8</v>
      </c>
      <c r="O1293">
        <v>32.28</v>
      </c>
      <c r="P1293">
        <v>-1</v>
      </c>
      <c r="Q1293">
        <v>3.99</v>
      </c>
      <c r="R1293">
        <v>-1.01</v>
      </c>
      <c r="S1293">
        <v>0.12</v>
      </c>
      <c r="T1293">
        <v>0.98</v>
      </c>
      <c r="U1293">
        <v>1.07</v>
      </c>
      <c r="V1293">
        <v>-0.52</v>
      </c>
      <c r="W1293">
        <v>1.57</v>
      </c>
      <c r="X1293" t="s">
        <v>6</v>
      </c>
      <c r="Y1293" t="s">
        <v>12</v>
      </c>
      <c r="Z1293" s="2" t="s">
        <v>718</v>
      </c>
      <c r="AA1293" s="2" t="s">
        <v>721</v>
      </c>
    </row>
    <row r="1294" spans="1:27" x14ac:dyDescent="0.35">
      <c r="A1294" t="s">
        <v>1626</v>
      </c>
      <c r="B1294" t="s">
        <v>2352</v>
      </c>
      <c r="C1294" s="7" t="str">
        <f>_xlfn.XLOOKUP(B1294,'[1]Sheet 1'!$A$2:$A$11107,'[1]Sheet 1'!$D$2:$D$11107,"",0)</f>
        <v>VSS</v>
      </c>
      <c r="D1294" s="4" t="str">
        <f>_xlfn.XLOOKUP(A1294,[3]Sheet2!$I$2:$I$1623,[3]Sheet2!$D$2:$D$1623,"",0)</f>
        <v>Q4</v>
      </c>
      <c r="F1294" s="4" t="e">
        <f>_xlfn.XLOOKUP(B1294,[2]Sheet2!$E$2:$E$713,[2]Sheet2!$G$2:$G$713)</f>
        <v>#N/A</v>
      </c>
      <c r="G1294" s="22">
        <v>46184</v>
      </c>
      <c r="H1294">
        <v>0.73987268518518523</v>
      </c>
      <c r="I1294" t="s">
        <v>10</v>
      </c>
      <c r="J1294" s="2" t="str">
        <f t="shared" si="102"/>
        <v>Q3</v>
      </c>
      <c r="K1294" s="2" t="str">
        <f t="shared" si="103"/>
        <v>Not Match</v>
      </c>
      <c r="L1294" s="1">
        <f t="shared" si="100"/>
        <v>0.21587033144922901</v>
      </c>
      <c r="M1294" s="1" t="e">
        <f t="shared" si="101"/>
        <v>#N/A</v>
      </c>
      <c r="N1294" s="2" t="str">
        <f t="shared" si="104"/>
        <v>Q NOT OK dE&lt;=0.8</v>
      </c>
      <c r="O1294">
        <v>15.88</v>
      </c>
      <c r="P1294">
        <v>0.38</v>
      </c>
      <c r="Q1294">
        <v>-1.64</v>
      </c>
      <c r="R1294">
        <v>0.3</v>
      </c>
      <c r="S1294">
        <v>-0.21</v>
      </c>
      <c r="T1294">
        <v>-0.05</v>
      </c>
      <c r="U1294">
        <v>-0.02</v>
      </c>
      <c r="V1294">
        <v>-0.3</v>
      </c>
      <c r="W1294">
        <v>0.42</v>
      </c>
      <c r="X1294" t="s">
        <v>8</v>
      </c>
      <c r="Y1294" t="s">
        <v>15</v>
      </c>
      <c r="Z1294" s="2" t="s">
        <v>718</v>
      </c>
      <c r="AA1294" s="2" t="s">
        <v>721</v>
      </c>
    </row>
    <row r="1295" spans="1:27" x14ac:dyDescent="0.35">
      <c r="A1295" t="s">
        <v>1626</v>
      </c>
      <c r="B1295" t="s">
        <v>2353</v>
      </c>
      <c r="C1295" s="7" t="str">
        <f>_xlfn.XLOOKUP(B1295,'[1]Sheet 1'!$A$2:$A$11107,'[1]Sheet 1'!$D$2:$D$11107,"",0)</f>
        <v>VSS</v>
      </c>
      <c r="D1295" s="4" t="str">
        <f>_xlfn.XLOOKUP(A1295,[3]Sheet2!$I$2:$I$1623,[3]Sheet2!$D$2:$D$1623,"",0)</f>
        <v>Q4</v>
      </c>
      <c r="F1295" s="4" t="e">
        <f>_xlfn.XLOOKUP(B1295,[2]Sheet2!$E$2:$E$713,[2]Sheet2!$G$2:$G$713)</f>
        <v>#N/A</v>
      </c>
      <c r="G1295" s="22">
        <v>46184</v>
      </c>
      <c r="H1295">
        <v>0.74177083333333338</v>
      </c>
      <c r="I1295" t="s">
        <v>10</v>
      </c>
      <c r="J1295" s="2" t="str">
        <f t="shared" si="102"/>
        <v>Q2</v>
      </c>
      <c r="K1295" s="2" t="str">
        <f t="shared" si="103"/>
        <v>Not Match</v>
      </c>
      <c r="L1295" s="1">
        <f t="shared" si="100"/>
        <v>0.24186773244895649</v>
      </c>
      <c r="M1295" s="1" t="e">
        <f t="shared" si="101"/>
        <v>#N/A</v>
      </c>
      <c r="N1295" s="2" t="str">
        <f t="shared" si="104"/>
        <v>Q NOT OK dE&lt;=0.8</v>
      </c>
      <c r="O1295">
        <v>15.23</v>
      </c>
      <c r="P1295">
        <v>0.47</v>
      </c>
      <c r="Q1295">
        <v>-1.38</v>
      </c>
      <c r="R1295">
        <v>-0.34</v>
      </c>
      <c r="S1295">
        <v>-0.12</v>
      </c>
      <c r="T1295">
        <v>0.21</v>
      </c>
      <c r="U1295">
        <v>-0.32</v>
      </c>
      <c r="V1295">
        <v>-0.06</v>
      </c>
      <c r="W1295">
        <v>0.47</v>
      </c>
      <c r="X1295" t="s">
        <v>8</v>
      </c>
      <c r="Y1295" t="s">
        <v>15</v>
      </c>
      <c r="Z1295" s="2" t="s">
        <v>718</v>
      </c>
      <c r="AA1295" s="2" t="s">
        <v>721</v>
      </c>
    </row>
    <row r="1296" spans="1:27" x14ac:dyDescent="0.35">
      <c r="A1296" t="s">
        <v>2165</v>
      </c>
      <c r="B1296" t="s">
        <v>2354</v>
      </c>
      <c r="C1296" s="7" t="str">
        <f>_xlfn.XLOOKUP(B1296,'[1]Sheet 1'!$A$2:$A$11107,'[1]Sheet 1'!$D$2:$D$11107,"",0)</f>
        <v>NIK</v>
      </c>
      <c r="D1296" s="4" t="str">
        <f>_xlfn.XLOOKUP(A1296,[3]Sheet2!$I$2:$I$1623,[3]Sheet2!$D$2:$D$1623,"",0)</f>
        <v>Q1</v>
      </c>
      <c r="F1296" s="4" t="e">
        <f>_xlfn.XLOOKUP(B1296,[2]Sheet2!$E$2:$E$713,[2]Sheet2!$G$2:$G$713)</f>
        <v>#N/A</v>
      </c>
      <c r="G1296" s="22">
        <v>46184</v>
      </c>
      <c r="H1296">
        <v>0.66721064814814812</v>
      </c>
      <c r="I1296" t="s">
        <v>4</v>
      </c>
      <c r="J1296" s="2" t="str">
        <f t="shared" si="102"/>
        <v>Q2</v>
      </c>
      <c r="K1296" s="2" t="str">
        <f t="shared" si="103"/>
        <v>Not Match</v>
      </c>
      <c r="L1296" s="1">
        <f t="shared" si="100"/>
        <v>0.46238512086787564</v>
      </c>
      <c r="M1296" s="1" t="e">
        <f t="shared" si="101"/>
        <v>#N/A</v>
      </c>
      <c r="N1296" s="2" t="str">
        <f t="shared" si="104"/>
        <v>Q NOT OK dE&lt;=0.8</v>
      </c>
      <c r="O1296">
        <v>24.53</v>
      </c>
      <c r="P1296">
        <v>-4.3899999999999997</v>
      </c>
      <c r="Q1296">
        <v>-1.93</v>
      </c>
      <c r="R1296">
        <v>-0.26</v>
      </c>
      <c r="S1296">
        <v>-0.17</v>
      </c>
      <c r="T1296">
        <v>0.43</v>
      </c>
      <c r="U1296">
        <v>-0.04</v>
      </c>
      <c r="V1296">
        <v>-0.56000000000000005</v>
      </c>
      <c r="W1296">
        <v>0.62</v>
      </c>
      <c r="X1296" t="s">
        <v>8</v>
      </c>
      <c r="Y1296" t="s">
        <v>12</v>
      </c>
      <c r="Z1296" s="2" t="s">
        <v>718</v>
      </c>
      <c r="AA1296" s="2" t="s">
        <v>721</v>
      </c>
    </row>
    <row r="1297" spans="1:27" x14ac:dyDescent="0.35">
      <c r="A1297" t="s">
        <v>1639</v>
      </c>
      <c r="B1297" t="s">
        <v>2355</v>
      </c>
      <c r="C1297" s="7" t="str">
        <f>_xlfn.XLOOKUP(B1297,'[1]Sheet 1'!$A$2:$A$11107,'[1]Sheet 1'!$D$2:$D$11107,"",0)</f>
        <v>VSS</v>
      </c>
      <c r="D1297" s="4" t="str">
        <f>_xlfn.XLOOKUP(A1297,[3]Sheet2!$I$2:$I$1623,[3]Sheet2!$D$2:$D$1623,"",0)</f>
        <v>Q3</v>
      </c>
      <c r="F1297" s="4" t="e">
        <f>_xlfn.XLOOKUP(B1297,[2]Sheet2!$E$2:$E$713,[2]Sheet2!$G$2:$G$713)</f>
        <v>#N/A</v>
      </c>
      <c r="G1297" s="22">
        <v>46184</v>
      </c>
      <c r="H1297">
        <v>0.74531250000000004</v>
      </c>
      <c r="I1297" t="s">
        <v>10</v>
      </c>
      <c r="J1297" s="2" t="str">
        <f t="shared" si="102"/>
        <v>Q1</v>
      </c>
      <c r="K1297" s="2" t="str">
        <f t="shared" si="103"/>
        <v>Not Match</v>
      </c>
      <c r="L1297" s="1">
        <f t="shared" si="100"/>
        <v>0.1118033988749895</v>
      </c>
      <c r="M1297" s="1" t="e">
        <f t="shared" si="101"/>
        <v>#N/A</v>
      </c>
      <c r="N1297" s="2" t="str">
        <f t="shared" si="104"/>
        <v>Q NOT OK dE&lt;=0.8</v>
      </c>
      <c r="O1297">
        <v>14.96</v>
      </c>
      <c r="P1297">
        <v>1.01</v>
      </c>
      <c r="Q1297">
        <v>-1.03</v>
      </c>
      <c r="R1297">
        <v>-0.49</v>
      </c>
      <c r="S1297">
        <v>0.1</v>
      </c>
      <c r="T1297">
        <v>0.05</v>
      </c>
      <c r="U1297">
        <v>0.04</v>
      </c>
      <c r="V1297">
        <v>0.16</v>
      </c>
      <c r="W1297">
        <v>0.52</v>
      </c>
      <c r="X1297" t="s">
        <v>8</v>
      </c>
      <c r="Y1297" t="s">
        <v>9</v>
      </c>
      <c r="Z1297" s="2" t="s">
        <v>718</v>
      </c>
      <c r="AA1297" s="2" t="s">
        <v>721</v>
      </c>
    </row>
    <row r="1298" spans="1:27" x14ac:dyDescent="0.35">
      <c r="A1298" t="s">
        <v>2206</v>
      </c>
      <c r="B1298" t="s">
        <v>2356</v>
      </c>
      <c r="C1298" s="7" t="str">
        <f>_xlfn.XLOOKUP(B1298,'[1]Sheet 1'!$A$2:$A$11107,'[1]Sheet 1'!$D$2:$D$11107,"",0)</f>
        <v>VSS</v>
      </c>
      <c r="D1298" s="4" t="str">
        <f>_xlfn.XLOOKUP(A1298,[3]Sheet2!$I$2:$I$1623,[3]Sheet2!$D$2:$D$1623,"",0)</f>
        <v>Q1</v>
      </c>
      <c r="F1298" s="4" t="e">
        <f>_xlfn.XLOOKUP(B1298,[2]Sheet2!$E$2:$E$713,[2]Sheet2!$G$2:$G$713)</f>
        <v>#N/A</v>
      </c>
      <c r="G1298" s="22">
        <v>46184</v>
      </c>
      <c r="H1298">
        <v>0.74739583333333337</v>
      </c>
      <c r="I1298" t="s">
        <v>10</v>
      </c>
      <c r="J1298" s="2" t="str">
        <f t="shared" si="102"/>
        <v>Q1</v>
      </c>
      <c r="K1298" s="2" t="str">
        <f t="shared" si="103"/>
        <v>Match</v>
      </c>
      <c r="L1298" s="1">
        <f t="shared" si="100"/>
        <v>0.43011626335213132</v>
      </c>
      <c r="M1298" s="1" t="e">
        <f t="shared" si="101"/>
        <v>#N/A</v>
      </c>
      <c r="N1298" s="2" t="str">
        <f t="shared" si="104"/>
        <v>Q OK dE&lt;=0.8</v>
      </c>
      <c r="O1298">
        <v>16.71</v>
      </c>
      <c r="P1298">
        <v>0.99</v>
      </c>
      <c r="Q1298">
        <v>-2.65</v>
      </c>
      <c r="R1298">
        <v>0.28000000000000003</v>
      </c>
      <c r="S1298">
        <v>0.41</v>
      </c>
      <c r="T1298">
        <v>0.13</v>
      </c>
      <c r="U1298">
        <v>-0.02</v>
      </c>
      <c r="V1298">
        <v>0.57999999999999996</v>
      </c>
      <c r="W1298">
        <v>0.64</v>
      </c>
      <c r="X1298" t="s">
        <v>8</v>
      </c>
      <c r="Y1298" t="s">
        <v>9</v>
      </c>
      <c r="Z1298" s="2" t="s">
        <v>718</v>
      </c>
      <c r="AA1298" s="2" t="s">
        <v>721</v>
      </c>
    </row>
    <row r="1299" spans="1:27" x14ac:dyDescent="0.35">
      <c r="A1299" t="s">
        <v>1668</v>
      </c>
      <c r="B1299" t="s">
        <v>2357</v>
      </c>
      <c r="C1299" s="7" t="str">
        <f>_xlfn.XLOOKUP(B1299,'[1]Sheet 1'!$A$2:$A$11107,'[1]Sheet 1'!$D$2:$D$11107,"",0)</f>
        <v>VSS</v>
      </c>
      <c r="D1299" s="4" t="str">
        <f>_xlfn.XLOOKUP(A1299,[3]Sheet2!$I$2:$I$1623,[3]Sheet2!$D$2:$D$1623,"",0)</f>
        <v>Q4</v>
      </c>
      <c r="F1299" s="4" t="e">
        <f>_xlfn.XLOOKUP(B1299,[2]Sheet2!$E$2:$E$713,[2]Sheet2!$G$2:$G$713)</f>
        <v>#N/A</v>
      </c>
      <c r="G1299" s="22">
        <v>46184</v>
      </c>
      <c r="H1299">
        <v>0.75331018518518522</v>
      </c>
      <c r="I1299" t="s">
        <v>10</v>
      </c>
      <c r="J1299" s="2" t="str">
        <f t="shared" si="102"/>
        <v>Q1</v>
      </c>
      <c r="K1299" s="2" t="str">
        <f t="shared" si="103"/>
        <v>Not Match</v>
      </c>
      <c r="L1299" s="1">
        <f t="shared" si="100"/>
        <v>0.15231546211727817</v>
      </c>
      <c r="M1299" s="1" t="e">
        <f t="shared" si="101"/>
        <v>#N/A</v>
      </c>
      <c r="N1299" s="2" t="str">
        <f t="shared" si="104"/>
        <v>Q NOT OK dE&lt;=0.8</v>
      </c>
      <c r="O1299">
        <v>51.91</v>
      </c>
      <c r="P1299">
        <v>47.99</v>
      </c>
      <c r="Q1299">
        <v>-1.98</v>
      </c>
      <c r="R1299">
        <v>0.1</v>
      </c>
      <c r="S1299">
        <v>0.06</v>
      </c>
      <c r="T1299">
        <v>0.14000000000000001</v>
      </c>
      <c r="U1299">
        <v>0.02</v>
      </c>
      <c r="V1299">
        <v>0.08</v>
      </c>
      <c r="W1299">
        <v>0.13</v>
      </c>
      <c r="X1299" t="s">
        <v>8</v>
      </c>
      <c r="Y1299" t="s">
        <v>9</v>
      </c>
      <c r="Z1299" s="2" t="s">
        <v>718</v>
      </c>
      <c r="AA1299" s="2" t="s">
        <v>721</v>
      </c>
    </row>
    <row r="1300" spans="1:27" x14ac:dyDescent="0.35">
      <c r="A1300" t="s">
        <v>1535</v>
      </c>
      <c r="B1300" t="s">
        <v>2358</v>
      </c>
      <c r="C1300" s="7" t="str">
        <f>_xlfn.XLOOKUP(B1300,'[1]Sheet 1'!$A$2:$A$11107,'[1]Sheet 1'!$D$2:$D$11107,"",0)</f>
        <v>WACE</v>
      </c>
      <c r="D1300" s="4" t="str">
        <f>_xlfn.XLOOKUP(A1300,[3]Sheet2!$I$2:$I$1623,[3]Sheet2!$D$2:$D$1623,"",0)</f>
        <v>Q3</v>
      </c>
      <c r="F1300" s="4" t="e">
        <f>_xlfn.XLOOKUP(B1300,[2]Sheet2!$E$2:$E$713,[2]Sheet2!$G$2:$G$713)</f>
        <v>#N/A</v>
      </c>
      <c r="G1300" s="22">
        <v>46184</v>
      </c>
      <c r="H1300">
        <v>0.77201388888888889</v>
      </c>
      <c r="I1300" t="s">
        <v>10</v>
      </c>
      <c r="J1300" s="2" t="str">
        <f t="shared" si="102"/>
        <v>Q2</v>
      </c>
      <c r="K1300" s="2" t="str">
        <f t="shared" si="103"/>
        <v>Not Match</v>
      </c>
      <c r="L1300" s="1">
        <f t="shared" si="100"/>
        <v>7.211102550927978E-2</v>
      </c>
      <c r="M1300" s="1" t="e">
        <f t="shared" si="101"/>
        <v>#N/A</v>
      </c>
      <c r="N1300" s="2" t="str">
        <f t="shared" si="104"/>
        <v>Q NOT OK dE&lt;=0.8</v>
      </c>
      <c r="O1300">
        <v>17.34</v>
      </c>
      <c r="P1300">
        <v>1.05</v>
      </c>
      <c r="Q1300">
        <v>-2.5299999999999998</v>
      </c>
      <c r="R1300">
        <v>0.34</v>
      </c>
      <c r="S1300">
        <v>-0.06</v>
      </c>
      <c r="T1300">
        <v>0.04</v>
      </c>
      <c r="U1300">
        <v>-0.08</v>
      </c>
      <c r="V1300">
        <v>-0.06</v>
      </c>
      <c r="W1300">
        <v>0.36</v>
      </c>
      <c r="X1300" t="s">
        <v>8</v>
      </c>
      <c r="Y1300" t="s">
        <v>15</v>
      </c>
      <c r="Z1300" s="2" t="s">
        <v>718</v>
      </c>
      <c r="AA1300" s="2" t="s">
        <v>721</v>
      </c>
    </row>
    <row r="1301" spans="1:27" x14ac:dyDescent="0.35">
      <c r="A1301" t="s">
        <v>2148</v>
      </c>
      <c r="B1301" t="s">
        <v>2359</v>
      </c>
      <c r="C1301" s="7" t="str">
        <f>_xlfn.XLOOKUP(B1301,'[1]Sheet 1'!$A$2:$A$11107,'[1]Sheet 1'!$D$2:$D$11107,"",0)</f>
        <v>VSS</v>
      </c>
      <c r="D1301" s="4" t="str">
        <f>_xlfn.XLOOKUP(A1301,[3]Sheet2!$I$2:$I$1623,[3]Sheet2!$D$2:$D$1623,"",0)</f>
        <v>Q3</v>
      </c>
      <c r="F1301" s="4" t="e">
        <f>_xlfn.XLOOKUP(B1301,[2]Sheet2!$E$2:$E$713,[2]Sheet2!$G$2:$G$713)</f>
        <v>#N/A</v>
      </c>
      <c r="G1301" s="22">
        <v>46184</v>
      </c>
      <c r="H1301">
        <v>0.77692129629629625</v>
      </c>
      <c r="I1301" t="s">
        <v>10</v>
      </c>
      <c r="J1301" s="2" t="str">
        <f t="shared" si="102"/>
        <v>Q1</v>
      </c>
      <c r="K1301" s="2" t="str">
        <f t="shared" si="103"/>
        <v>Not Match</v>
      </c>
      <c r="L1301" s="1">
        <f t="shared" ref="L1301:L1361" si="105">SQRT(S1301^2+T1301^2)</f>
        <v>1.761050822662424</v>
      </c>
      <c r="M1301" s="1" t="e">
        <f t="shared" ref="M1301:M1360" si="106">IF(L1301&lt;=F1301,"Within Range","Over Range")</f>
        <v>#N/A</v>
      </c>
      <c r="N1301" s="2" t="str">
        <f t="shared" si="104"/>
        <v>Q NOT OK dE&gt;0.8</v>
      </c>
      <c r="O1301">
        <v>44.34</v>
      </c>
      <c r="P1301">
        <v>55.31</v>
      </c>
      <c r="Q1301">
        <v>39.71</v>
      </c>
      <c r="R1301">
        <v>0.89</v>
      </c>
      <c r="S1301">
        <v>1.27</v>
      </c>
      <c r="T1301">
        <v>1.22</v>
      </c>
      <c r="U1301">
        <v>0.6</v>
      </c>
      <c r="V1301">
        <v>0.18</v>
      </c>
      <c r="W1301">
        <v>1.0900000000000001</v>
      </c>
      <c r="X1301" t="s">
        <v>6</v>
      </c>
      <c r="Y1301" t="s">
        <v>12</v>
      </c>
      <c r="Z1301" s="2" t="s">
        <v>718</v>
      </c>
      <c r="AA1301" s="2" t="s">
        <v>721</v>
      </c>
    </row>
    <row r="1302" spans="1:27" x14ac:dyDescent="0.35">
      <c r="A1302" t="s">
        <v>2148</v>
      </c>
      <c r="B1302" t="s">
        <v>2360</v>
      </c>
      <c r="C1302" s="7" t="str">
        <f>_xlfn.XLOOKUP(B1302,'[1]Sheet 1'!$A$2:$A$11107,'[1]Sheet 1'!$D$2:$D$11107,"",0)</f>
        <v>VSS</v>
      </c>
      <c r="D1302" s="4" t="str">
        <f>_xlfn.XLOOKUP(A1302,[3]Sheet2!$I$2:$I$1623,[3]Sheet2!$D$2:$D$1623,"",0)</f>
        <v>Q3</v>
      </c>
      <c r="F1302" s="4" t="e">
        <f>_xlfn.XLOOKUP(B1302,[2]Sheet2!$E$2:$E$713,[2]Sheet2!$G$2:$G$713)</f>
        <v>#N/A</v>
      </c>
      <c r="G1302" s="22">
        <v>46184</v>
      </c>
      <c r="H1302">
        <v>0.78031249999999996</v>
      </c>
      <c r="I1302" t="s">
        <v>10</v>
      </c>
      <c r="J1302" s="2" t="str">
        <f t="shared" si="102"/>
        <v>Q1</v>
      </c>
      <c r="K1302" s="2" t="str">
        <f t="shared" si="103"/>
        <v>Not Match</v>
      </c>
      <c r="L1302" s="1">
        <f t="shared" si="105"/>
        <v>1.4571547618561316</v>
      </c>
      <c r="M1302" s="1" t="e">
        <f t="shared" si="106"/>
        <v>#N/A</v>
      </c>
      <c r="N1302" s="2" t="str">
        <f t="shared" si="104"/>
        <v>Q NOT OK dE&lt;=0.8</v>
      </c>
      <c r="O1302">
        <v>43.64</v>
      </c>
      <c r="P1302">
        <v>55.17</v>
      </c>
      <c r="Q1302">
        <v>39.409999999999997</v>
      </c>
      <c r="R1302">
        <v>0.54</v>
      </c>
      <c r="S1302">
        <v>1.1299999999999999</v>
      </c>
      <c r="T1302">
        <v>0.92</v>
      </c>
      <c r="U1302">
        <v>0.5</v>
      </c>
      <c r="V1302">
        <v>7.0000000000000007E-2</v>
      </c>
      <c r="W1302">
        <v>0.74</v>
      </c>
      <c r="X1302" t="s">
        <v>8</v>
      </c>
      <c r="Y1302" t="s">
        <v>12</v>
      </c>
      <c r="Z1302" s="2" t="s">
        <v>718</v>
      </c>
      <c r="AA1302" s="2" t="s">
        <v>721</v>
      </c>
    </row>
    <row r="1303" spans="1:27" x14ac:dyDescent="0.35">
      <c r="A1303" t="s">
        <v>1520</v>
      </c>
      <c r="B1303" t="s">
        <v>2361</v>
      </c>
      <c r="C1303" s="7" t="str">
        <f>_xlfn.XLOOKUP(B1303,'[1]Sheet 1'!$A$2:$A$11107,'[1]Sheet 1'!$D$2:$D$11107,"",0)</f>
        <v>VSS</v>
      </c>
      <c r="D1303" s="4" t="str">
        <f>_xlfn.XLOOKUP(A1303,[3]Sheet2!$I$2:$I$1623,[3]Sheet2!$D$2:$D$1623,"",0)</f>
        <v>Q1</v>
      </c>
      <c r="F1303" s="4" t="e">
        <f>_xlfn.XLOOKUP(B1303,[2]Sheet2!$E$2:$E$713,[2]Sheet2!$G$2:$G$713)</f>
        <v>#N/A</v>
      </c>
      <c r="G1303" s="22">
        <v>46184</v>
      </c>
      <c r="H1303">
        <v>0.78207175925925931</v>
      </c>
      <c r="I1303" t="s">
        <v>10</v>
      </c>
      <c r="J1303" s="2" t="str">
        <f t="shared" si="102"/>
        <v>Q1</v>
      </c>
      <c r="K1303" s="2" t="str">
        <f t="shared" si="103"/>
        <v>Match</v>
      </c>
      <c r="L1303" s="1">
        <f t="shared" si="105"/>
        <v>0.62241465278381736</v>
      </c>
      <c r="M1303" s="1" t="e">
        <f t="shared" si="106"/>
        <v>#N/A</v>
      </c>
      <c r="N1303" s="2" t="str">
        <f t="shared" si="104"/>
        <v>Q OK dE&lt;=0.8</v>
      </c>
      <c r="O1303">
        <v>28.1</v>
      </c>
      <c r="P1303">
        <v>12.28</v>
      </c>
      <c r="Q1303">
        <v>10.77</v>
      </c>
      <c r="R1303">
        <v>0.28999999999999998</v>
      </c>
      <c r="S1303">
        <v>0.45</v>
      </c>
      <c r="T1303">
        <v>0.43</v>
      </c>
      <c r="U1303">
        <v>0.43</v>
      </c>
      <c r="V1303">
        <v>0.04</v>
      </c>
      <c r="W1303">
        <v>0.52</v>
      </c>
      <c r="X1303" t="s">
        <v>8</v>
      </c>
      <c r="Y1303" t="s">
        <v>12</v>
      </c>
      <c r="Z1303" s="2" t="s">
        <v>718</v>
      </c>
      <c r="AA1303" s="2" t="s">
        <v>721</v>
      </c>
    </row>
    <row r="1304" spans="1:27" x14ac:dyDescent="0.35">
      <c r="A1304" t="s">
        <v>2275</v>
      </c>
      <c r="B1304" t="s">
        <v>2362</v>
      </c>
      <c r="C1304" s="7" t="str">
        <f>_xlfn.XLOOKUP(B1304,'[1]Sheet 1'!$A$2:$A$11107,'[1]Sheet 1'!$D$2:$D$11107,"",0)</f>
        <v>VSS</v>
      </c>
      <c r="D1304" s="4" t="str">
        <f>_xlfn.XLOOKUP(A1304,[3]Sheet2!$I$2:$I$1623,[3]Sheet2!$D$2:$D$1623,"",0)</f>
        <v>Q3</v>
      </c>
      <c r="F1304" s="4" t="e">
        <f>_xlfn.XLOOKUP(B1304,[2]Sheet2!$E$2:$E$713,[2]Sheet2!$G$2:$G$713)</f>
        <v>#N/A</v>
      </c>
      <c r="G1304" s="22">
        <v>46184</v>
      </c>
      <c r="H1304">
        <v>0.78391203703703705</v>
      </c>
      <c r="I1304" t="s">
        <v>10</v>
      </c>
      <c r="J1304" s="2" t="str">
        <f t="shared" si="102"/>
        <v>Q1</v>
      </c>
      <c r="K1304" s="2" t="str">
        <f t="shared" si="103"/>
        <v>Not Match</v>
      </c>
      <c r="L1304" s="1">
        <f t="shared" si="105"/>
        <v>1.1997082978791138</v>
      </c>
      <c r="M1304" s="1" t="e">
        <f t="shared" si="106"/>
        <v>#N/A</v>
      </c>
      <c r="N1304" s="2" t="str">
        <f t="shared" si="104"/>
        <v>Q NOT OK dE&lt;=0.8</v>
      </c>
      <c r="O1304">
        <v>31.62</v>
      </c>
      <c r="P1304">
        <v>40.869999999999997</v>
      </c>
      <c r="Q1304">
        <v>22.53</v>
      </c>
      <c r="R1304">
        <v>-0.39</v>
      </c>
      <c r="S1304">
        <v>0.43</v>
      </c>
      <c r="T1304">
        <v>1.1200000000000001</v>
      </c>
      <c r="U1304">
        <v>0.37</v>
      </c>
      <c r="V1304">
        <v>0.57999999999999996</v>
      </c>
      <c r="W1304">
        <v>0.8</v>
      </c>
      <c r="X1304" t="s">
        <v>13</v>
      </c>
      <c r="Y1304" t="s">
        <v>12</v>
      </c>
      <c r="Z1304" s="2" t="s">
        <v>718</v>
      </c>
      <c r="AA1304" s="2" t="s">
        <v>721</v>
      </c>
    </row>
    <row r="1305" spans="1:27" x14ac:dyDescent="0.35">
      <c r="A1305" t="s">
        <v>1668</v>
      </c>
      <c r="B1305" t="s">
        <v>2363</v>
      </c>
      <c r="C1305" s="7" t="str">
        <f>_xlfn.XLOOKUP(B1305,'[1]Sheet 1'!$A$2:$A$11107,'[1]Sheet 1'!$D$2:$D$11107,"",0)</f>
        <v>VSS</v>
      </c>
      <c r="D1305" s="4" t="str">
        <f>_xlfn.XLOOKUP(A1305,[3]Sheet2!$I$2:$I$1623,[3]Sheet2!$D$2:$D$1623,"",0)</f>
        <v>Q4</v>
      </c>
      <c r="F1305" s="4" t="e">
        <f>_xlfn.XLOOKUP(B1305,[2]Sheet2!$E$2:$E$713,[2]Sheet2!$G$2:$G$713)</f>
        <v>#N/A</v>
      </c>
      <c r="G1305" s="22">
        <v>46184</v>
      </c>
      <c r="H1305">
        <v>0.92940972222222218</v>
      </c>
      <c r="I1305" t="s">
        <v>10</v>
      </c>
      <c r="J1305" s="2" t="str">
        <f t="shared" si="102"/>
        <v>Q1</v>
      </c>
      <c r="K1305" s="2" t="str">
        <f t="shared" si="103"/>
        <v>Not Match</v>
      </c>
      <c r="L1305" s="1">
        <f t="shared" si="105"/>
        <v>1.4980320423809363</v>
      </c>
      <c r="M1305" s="1" t="e">
        <f t="shared" si="106"/>
        <v>#N/A</v>
      </c>
      <c r="N1305" s="2" t="str">
        <f t="shared" si="104"/>
        <v>Q NOT OK dE&lt;=0.8</v>
      </c>
      <c r="O1305">
        <v>50.93</v>
      </c>
      <c r="P1305">
        <v>49.08</v>
      </c>
      <c r="Q1305">
        <v>-1.1599999999999999</v>
      </c>
      <c r="R1305">
        <v>-0.34</v>
      </c>
      <c r="S1305">
        <v>1.1499999999999999</v>
      </c>
      <c r="T1305">
        <v>0.96</v>
      </c>
      <c r="U1305">
        <v>0.44</v>
      </c>
      <c r="V1305">
        <v>0.56999999999999995</v>
      </c>
      <c r="W1305">
        <v>0.8</v>
      </c>
      <c r="X1305" t="s">
        <v>13</v>
      </c>
      <c r="Y1305" t="s">
        <v>9</v>
      </c>
      <c r="Z1305" s="2" t="s">
        <v>718</v>
      </c>
      <c r="AA1305" s="2" t="s">
        <v>721</v>
      </c>
    </row>
    <row r="1306" spans="1:27" x14ac:dyDescent="0.35">
      <c r="A1306" t="s">
        <v>1626</v>
      </c>
      <c r="B1306" t="s">
        <v>2364</v>
      </c>
      <c r="C1306" s="7" t="str">
        <f>_xlfn.XLOOKUP(B1306,'[1]Sheet 1'!$A$2:$A$11107,'[1]Sheet 1'!$D$2:$D$11107,"",0)</f>
        <v>VSS</v>
      </c>
      <c r="D1306" s="4" t="str">
        <f>_xlfn.XLOOKUP(A1306,[3]Sheet2!$I$2:$I$1623,[3]Sheet2!$D$2:$D$1623,"",0)</f>
        <v>Q4</v>
      </c>
      <c r="F1306" s="4" t="e">
        <f>_xlfn.XLOOKUP(B1306,[2]Sheet2!$E$2:$E$713,[2]Sheet2!$G$2:$G$713)</f>
        <v>#N/A</v>
      </c>
      <c r="G1306" s="22">
        <v>46185</v>
      </c>
      <c r="H1306">
        <v>4.1435185185185186E-3</v>
      </c>
      <c r="I1306" t="s">
        <v>10</v>
      </c>
      <c r="J1306" s="2" t="str">
        <f t="shared" si="102"/>
        <v>Q3</v>
      </c>
      <c r="K1306" s="2" t="str">
        <f t="shared" si="103"/>
        <v>Not Match</v>
      </c>
      <c r="L1306" s="1">
        <f t="shared" si="105"/>
        <v>0.23194827009486405</v>
      </c>
      <c r="M1306" s="1" t="e">
        <f t="shared" si="106"/>
        <v>#N/A</v>
      </c>
      <c r="N1306" s="2" t="str">
        <f t="shared" si="104"/>
        <v>Q NOT OK dE&lt;=0.8</v>
      </c>
      <c r="O1306">
        <v>15.22</v>
      </c>
      <c r="P1306">
        <v>0.37</v>
      </c>
      <c r="Q1306">
        <v>-1.62</v>
      </c>
      <c r="R1306">
        <v>-0.35</v>
      </c>
      <c r="S1306">
        <v>-0.23</v>
      </c>
      <c r="T1306">
        <v>-0.03</v>
      </c>
      <c r="U1306">
        <v>-0.05</v>
      </c>
      <c r="V1306">
        <v>-0.31</v>
      </c>
      <c r="W1306">
        <v>0.47</v>
      </c>
      <c r="X1306" t="s">
        <v>8</v>
      </c>
      <c r="Y1306" t="s">
        <v>15</v>
      </c>
      <c r="Z1306" s="2" t="s">
        <v>718</v>
      </c>
      <c r="AA1306" s="2" t="s">
        <v>721</v>
      </c>
    </row>
    <row r="1307" spans="1:27" x14ac:dyDescent="0.35">
      <c r="A1307" t="s">
        <v>1626</v>
      </c>
      <c r="B1307" t="s">
        <v>2365</v>
      </c>
      <c r="C1307" s="7" t="str">
        <f>_xlfn.XLOOKUP(B1307,'[1]Sheet 1'!$A$2:$A$11107,'[1]Sheet 1'!$D$2:$D$11107,"",0)</f>
        <v>VSS</v>
      </c>
      <c r="D1307" s="4" t="str">
        <f>_xlfn.XLOOKUP(A1307,[3]Sheet2!$I$2:$I$1623,[3]Sheet2!$D$2:$D$1623,"",0)</f>
        <v>Q4</v>
      </c>
      <c r="F1307" s="4" t="e">
        <f>_xlfn.XLOOKUP(B1307,[2]Sheet2!$E$2:$E$713,[2]Sheet2!$G$2:$G$713)</f>
        <v>#N/A</v>
      </c>
      <c r="G1307" s="22">
        <v>46185</v>
      </c>
      <c r="H1307">
        <v>8.2060185185185187E-3</v>
      </c>
      <c r="I1307" t="s">
        <v>10</v>
      </c>
      <c r="J1307" s="2" t="str">
        <f t="shared" si="102"/>
        <v>Q3</v>
      </c>
      <c r="K1307" s="2" t="str">
        <f t="shared" si="103"/>
        <v>Not Match</v>
      </c>
      <c r="L1307" s="1">
        <f t="shared" si="105"/>
        <v>0.28460498941515416</v>
      </c>
      <c r="M1307" s="1" t="e">
        <f t="shared" si="106"/>
        <v>#N/A</v>
      </c>
      <c r="N1307" s="2" t="str">
        <f t="shared" si="104"/>
        <v>Q NOT OK dE&lt;=0.8</v>
      </c>
      <c r="O1307">
        <v>15.36</v>
      </c>
      <c r="P1307">
        <v>0.32</v>
      </c>
      <c r="Q1307">
        <v>-1.68</v>
      </c>
      <c r="R1307">
        <v>-0.21</v>
      </c>
      <c r="S1307">
        <v>-0.27</v>
      </c>
      <c r="T1307">
        <v>-0.09</v>
      </c>
      <c r="U1307">
        <v>0.02</v>
      </c>
      <c r="V1307">
        <v>-0.4</v>
      </c>
      <c r="W1307">
        <v>0.45</v>
      </c>
      <c r="X1307" t="s">
        <v>8</v>
      </c>
      <c r="Y1307" t="s">
        <v>15</v>
      </c>
      <c r="Z1307" s="2" t="s">
        <v>718</v>
      </c>
      <c r="AA1307" s="2" t="s">
        <v>721</v>
      </c>
    </row>
    <row r="1308" spans="1:27" x14ac:dyDescent="0.35">
      <c r="A1308" t="s">
        <v>2245</v>
      </c>
      <c r="B1308" t="s">
        <v>2246</v>
      </c>
      <c r="C1308" s="7" t="str">
        <f>_xlfn.XLOOKUP(B1308,'[1]Sheet 1'!$A$2:$A$11107,'[1]Sheet 1'!$D$2:$D$11107,"",0)</f>
        <v>VSS</v>
      </c>
      <c r="D1308" s="4" t="str">
        <f>_xlfn.XLOOKUP(A1308,[3]Sheet2!$I$2:$I$1623,[3]Sheet2!$D$2:$D$1623,"",0)</f>
        <v>Q1</v>
      </c>
      <c r="F1308" s="4" t="e">
        <f>_xlfn.XLOOKUP(B1308,[2]Sheet2!$E$2:$E$713,[2]Sheet2!$G$2:$G$713)</f>
        <v>#N/A</v>
      </c>
      <c r="G1308" s="22">
        <v>46185</v>
      </c>
      <c r="H1308">
        <v>8.5370370370370374E-2</v>
      </c>
      <c r="I1308" t="s">
        <v>10</v>
      </c>
      <c r="J1308" s="2" t="str">
        <f t="shared" si="102"/>
        <v>Q1</v>
      </c>
      <c r="K1308" s="2" t="str">
        <f t="shared" si="103"/>
        <v>Match</v>
      </c>
      <c r="L1308" s="1">
        <f t="shared" si="105"/>
        <v>1.2976902558006667</v>
      </c>
      <c r="M1308" s="1" t="e">
        <f t="shared" si="106"/>
        <v>#N/A</v>
      </c>
      <c r="N1308" s="2" t="str">
        <f t="shared" si="104"/>
        <v>Q OK dE&gt;0.8</v>
      </c>
      <c r="O1308">
        <v>38.659999999999997</v>
      </c>
      <c r="P1308">
        <v>19.690000000000001</v>
      </c>
      <c r="Q1308">
        <v>8.06</v>
      </c>
      <c r="R1308">
        <v>-1</v>
      </c>
      <c r="S1308">
        <v>0.54</v>
      </c>
      <c r="T1308">
        <v>1.18</v>
      </c>
      <c r="U1308">
        <v>0.56000000000000005</v>
      </c>
      <c r="V1308">
        <v>0.92</v>
      </c>
      <c r="W1308">
        <v>1.47</v>
      </c>
      <c r="X1308" t="s">
        <v>6</v>
      </c>
      <c r="Y1308" t="s">
        <v>12</v>
      </c>
      <c r="Z1308" s="2" t="s">
        <v>718</v>
      </c>
      <c r="AA1308" s="2" t="s">
        <v>721</v>
      </c>
    </row>
    <row r="1309" spans="1:27" x14ac:dyDescent="0.35">
      <c r="A1309" t="s">
        <v>2366</v>
      </c>
      <c r="B1309" t="s">
        <v>2367</v>
      </c>
      <c r="C1309" s="7" t="str">
        <f>_xlfn.XLOOKUP(B1309,'[1]Sheet 1'!$A$2:$A$11107,'[1]Sheet 1'!$D$2:$D$11107,"",0)</f>
        <v>PINK</v>
      </c>
      <c r="D1309" s="4" t="str">
        <f>_xlfn.XLOOKUP(A1309,[3]Sheet2!$I$2:$I$1623,[3]Sheet2!$D$2:$D$1623,"",0)</f>
        <v>Q3</v>
      </c>
      <c r="F1309" s="4" t="e">
        <f>_xlfn.XLOOKUP(B1309,[2]Sheet2!$E$2:$E$713,[2]Sheet2!$G$2:$G$713)</f>
        <v>#N/A</v>
      </c>
      <c r="G1309" s="22">
        <v>46185</v>
      </c>
      <c r="H1309">
        <v>0.10777777777777778</v>
      </c>
      <c r="I1309" t="s">
        <v>10</v>
      </c>
      <c r="J1309" s="2" t="str">
        <f t="shared" si="102"/>
        <v>Q2</v>
      </c>
      <c r="K1309" s="2" t="str">
        <f t="shared" si="103"/>
        <v>Not Match</v>
      </c>
      <c r="L1309" s="1">
        <f t="shared" si="105"/>
        <v>0.43462627624201466</v>
      </c>
      <c r="M1309" s="1" t="e">
        <f t="shared" si="106"/>
        <v>#N/A</v>
      </c>
      <c r="N1309" s="2" t="str">
        <f t="shared" si="104"/>
        <v>Q NOT OK dE&lt;=0.8</v>
      </c>
      <c r="O1309">
        <v>26.98</v>
      </c>
      <c r="P1309">
        <v>-14.64</v>
      </c>
      <c r="Q1309">
        <v>-4.8600000000000003</v>
      </c>
      <c r="R1309">
        <v>0.28000000000000003</v>
      </c>
      <c r="S1309">
        <v>-0.4</v>
      </c>
      <c r="T1309">
        <v>0.17</v>
      </c>
      <c r="U1309">
        <v>0.23</v>
      </c>
      <c r="V1309">
        <v>-0.26</v>
      </c>
      <c r="W1309">
        <v>0.44</v>
      </c>
      <c r="X1309" t="s">
        <v>8</v>
      </c>
      <c r="Y1309" t="s">
        <v>12</v>
      </c>
      <c r="Z1309" s="2" t="s">
        <v>718</v>
      </c>
      <c r="AA1309" s="2" t="s">
        <v>721</v>
      </c>
    </row>
    <row r="1310" spans="1:27" x14ac:dyDescent="0.35">
      <c r="A1310" t="s">
        <v>1798</v>
      </c>
      <c r="B1310" t="s">
        <v>2286</v>
      </c>
      <c r="C1310" s="7" t="str">
        <f>_xlfn.XLOOKUP(B1310,'[1]Sheet 1'!$A$2:$A$11107,'[1]Sheet 1'!$D$2:$D$11107,"",0)</f>
        <v>NIK</v>
      </c>
      <c r="D1310" s="4" t="str">
        <f>_xlfn.XLOOKUP(A1310,[3]Sheet2!$I$2:$I$1623,[3]Sheet2!$D$2:$D$1623,"",0)</f>
        <v>Q2</v>
      </c>
      <c r="F1310" s="4" t="e">
        <f>_xlfn.XLOOKUP(B1310,[2]Sheet2!$E$2:$E$713,[2]Sheet2!$G$2:$G$713)</f>
        <v>#N/A</v>
      </c>
      <c r="G1310" s="22">
        <v>46185</v>
      </c>
      <c r="H1310">
        <v>0.13062499999999999</v>
      </c>
      <c r="I1310" t="s">
        <v>4</v>
      </c>
      <c r="J1310" s="2" t="str">
        <f t="shared" ref="J1310:J1361" si="107">IF(OR(S1310=0,T1310=0),D1310,IF(AND(S1310&gt;0,T1310&gt;0),"Q1",IF(AND(S1310&lt;0,T1310&gt;0),"Q2",IF(AND(S1310&lt;0,T1310&lt;0),"Q3",IF(AND(S1310&gt;0,T1310&lt;0),"Q4","")))))</f>
        <v>Q2</v>
      </c>
      <c r="K1310" s="2" t="str">
        <f t="shared" ref="K1310:K1361" si="108">IF(J1310=D1310,"Match",IF(AND(J1310=0,D1310="Match"),"da and db 0",IF(D1310=0,"Not Found","Not Match")))</f>
        <v>Match</v>
      </c>
      <c r="L1310" s="1">
        <f t="shared" si="105"/>
        <v>0.70064256222413435</v>
      </c>
      <c r="M1310" s="1" t="e">
        <f t="shared" si="106"/>
        <v>#N/A</v>
      </c>
      <c r="N1310" s="2" t="str">
        <f t="shared" ref="N1310:N1361" si="109">IF(D1310=0,"Quadrant not assigned",IF(AND(K1310="Match",W1310&lt;=0.8),"Q OK dE&lt;=0.8",IF(AND(K1310="Match",W1310&gt;0.8),"Q OK dE&gt;0.8",IF(AND(K1310="Not Match",W1310&lt;=0.8),"Q NOT OK dE&lt;=0.8","Q NOT OK dE&gt;0.8"))))</f>
        <v>Q OK dE&gt;0.8</v>
      </c>
      <c r="O1310">
        <v>21.7</v>
      </c>
      <c r="P1310">
        <v>11.92</v>
      </c>
      <c r="Q1310">
        <v>2.79</v>
      </c>
      <c r="R1310">
        <v>-0.38</v>
      </c>
      <c r="S1310">
        <v>-0.03</v>
      </c>
      <c r="T1310">
        <v>0.7</v>
      </c>
      <c r="U1310">
        <v>0.09</v>
      </c>
      <c r="V1310">
        <v>0.8</v>
      </c>
      <c r="W1310">
        <v>0.89</v>
      </c>
      <c r="X1310" t="s">
        <v>13</v>
      </c>
      <c r="Y1310" t="s">
        <v>9</v>
      </c>
      <c r="Z1310" s="2" t="s">
        <v>718</v>
      </c>
      <c r="AA1310" s="2" t="s">
        <v>721</v>
      </c>
    </row>
    <row r="1311" spans="1:27" x14ac:dyDescent="0.35">
      <c r="A1311" t="s">
        <v>1626</v>
      </c>
      <c r="B1311" t="s">
        <v>2368</v>
      </c>
      <c r="C1311" s="7" t="str">
        <f>_xlfn.XLOOKUP(B1311,'[1]Sheet 1'!$A$2:$A$11107,'[1]Sheet 1'!$D$2:$D$11107,"",0)</f>
        <v>VSS</v>
      </c>
      <c r="D1311" s="4" t="str">
        <f>_xlfn.XLOOKUP(A1311,[3]Sheet2!$I$2:$I$1623,[3]Sheet2!$D$2:$D$1623,"",0)</f>
        <v>Q4</v>
      </c>
      <c r="F1311" s="4" t="e">
        <f>_xlfn.XLOOKUP(B1311,[2]Sheet2!$E$2:$E$713,[2]Sheet2!$G$2:$G$713)</f>
        <v>#N/A</v>
      </c>
      <c r="G1311" s="22">
        <v>46185</v>
      </c>
      <c r="H1311">
        <v>0.13443287037037038</v>
      </c>
      <c r="I1311" t="s">
        <v>10</v>
      </c>
      <c r="J1311" s="2" t="str">
        <f t="shared" si="107"/>
        <v>Q3</v>
      </c>
      <c r="K1311" s="2" t="str">
        <f t="shared" si="108"/>
        <v>Not Match</v>
      </c>
      <c r="L1311" s="1">
        <f t="shared" si="105"/>
        <v>0.15811388300841897</v>
      </c>
      <c r="M1311" s="1" t="e">
        <f t="shared" si="106"/>
        <v>#N/A</v>
      </c>
      <c r="N1311" s="2" t="str">
        <f t="shared" si="109"/>
        <v>Q NOT OK dE&lt;=0.8</v>
      </c>
      <c r="O1311">
        <v>15.29</v>
      </c>
      <c r="P1311">
        <v>0.44</v>
      </c>
      <c r="Q1311">
        <v>-1.64</v>
      </c>
      <c r="R1311">
        <v>-0.28000000000000003</v>
      </c>
      <c r="S1311">
        <v>-0.15</v>
      </c>
      <c r="T1311">
        <v>-0.05</v>
      </c>
      <c r="U1311">
        <v>0.01</v>
      </c>
      <c r="V1311">
        <v>-0.22</v>
      </c>
      <c r="W1311">
        <v>0.36</v>
      </c>
      <c r="X1311" t="s">
        <v>8</v>
      </c>
      <c r="Y1311" t="s">
        <v>15</v>
      </c>
      <c r="Z1311" s="2" t="s">
        <v>718</v>
      </c>
      <c r="AA1311" s="2" t="s">
        <v>721</v>
      </c>
    </row>
    <row r="1312" spans="1:27" x14ac:dyDescent="0.35">
      <c r="A1312" t="s">
        <v>2369</v>
      </c>
      <c r="B1312" t="s">
        <v>2370</v>
      </c>
      <c r="C1312" s="7" t="str">
        <f>_xlfn.XLOOKUP(B1312,'[1]Sheet 1'!$A$2:$A$11107,'[1]Sheet 1'!$D$2:$D$11107,"",0)</f>
        <v>INT1</v>
      </c>
      <c r="D1312" s="4" t="str">
        <f>_xlfn.XLOOKUP(A1312,[3]Sheet2!$I$2:$I$1623,[3]Sheet2!$D$2:$D$1623,"",0)</f>
        <v>Q2</v>
      </c>
      <c r="F1312" s="4" t="e">
        <f>_xlfn.XLOOKUP(B1312,[2]Sheet2!$E$2:$E$713,[2]Sheet2!$G$2:$G$713)</f>
        <v>#N/A</v>
      </c>
      <c r="G1312" s="22">
        <v>46185</v>
      </c>
      <c r="H1312">
        <v>0.27164351851851853</v>
      </c>
      <c r="I1312" t="s">
        <v>5</v>
      </c>
      <c r="J1312" s="2" t="str">
        <f t="shared" si="107"/>
        <v>Q1</v>
      </c>
      <c r="K1312" s="2" t="str">
        <f t="shared" si="108"/>
        <v>Not Match</v>
      </c>
      <c r="L1312" s="1">
        <f t="shared" si="105"/>
        <v>1.2857682528356345</v>
      </c>
      <c r="M1312" s="1" t="e">
        <f t="shared" si="106"/>
        <v>#N/A</v>
      </c>
      <c r="N1312" s="2" t="str">
        <f t="shared" si="109"/>
        <v>Q NOT OK dE&gt;0.8</v>
      </c>
      <c r="O1312">
        <v>18.7</v>
      </c>
      <c r="P1312">
        <v>-5.72</v>
      </c>
      <c r="Q1312">
        <v>-1.91</v>
      </c>
      <c r="R1312">
        <v>-2.64</v>
      </c>
      <c r="S1312">
        <v>0.34</v>
      </c>
      <c r="T1312">
        <v>1.24</v>
      </c>
      <c r="U1312">
        <v>-0.77</v>
      </c>
      <c r="V1312">
        <v>-1.18</v>
      </c>
      <c r="W1312">
        <v>2.99</v>
      </c>
      <c r="X1312" t="s">
        <v>6</v>
      </c>
      <c r="Y1312" t="s">
        <v>12</v>
      </c>
      <c r="Z1312" s="2" t="s">
        <v>718</v>
      </c>
      <c r="AA1312" s="2" t="s">
        <v>721</v>
      </c>
    </row>
    <row r="1313" spans="1:27" x14ac:dyDescent="0.35">
      <c r="A1313" t="s">
        <v>2206</v>
      </c>
      <c r="B1313" t="s">
        <v>2371</v>
      </c>
      <c r="C1313" s="7" t="str">
        <f>_xlfn.XLOOKUP(B1313,'[1]Sheet 1'!$A$2:$A$11107,'[1]Sheet 1'!$D$2:$D$11107,"",0)</f>
        <v>VSS</v>
      </c>
      <c r="D1313" s="4" t="str">
        <f>_xlfn.XLOOKUP(A1313,[3]Sheet2!$I$2:$I$1623,[3]Sheet2!$D$2:$D$1623,"",0)</f>
        <v>Q1</v>
      </c>
      <c r="F1313" s="4" t="e">
        <f>_xlfn.XLOOKUP(B1313,[2]Sheet2!$E$2:$E$713,[2]Sheet2!$G$2:$G$713)</f>
        <v>#N/A</v>
      </c>
      <c r="G1313" s="22">
        <v>46185</v>
      </c>
      <c r="H1313">
        <v>0.27410879629629631</v>
      </c>
      <c r="I1313" t="s">
        <v>10</v>
      </c>
      <c r="J1313" s="2" t="str">
        <f t="shared" si="107"/>
        <v>Q1</v>
      </c>
      <c r="K1313" s="2" t="str">
        <f t="shared" si="108"/>
        <v>Match</v>
      </c>
      <c r="L1313" s="1">
        <f t="shared" si="105"/>
        <v>0.39824615503479754</v>
      </c>
      <c r="M1313" s="1" t="e">
        <f t="shared" si="106"/>
        <v>#N/A</v>
      </c>
      <c r="N1313" s="2" t="str">
        <f t="shared" si="109"/>
        <v>Q OK dE&lt;=0.8</v>
      </c>
      <c r="O1313">
        <v>16.07</v>
      </c>
      <c r="P1313">
        <v>0.76</v>
      </c>
      <c r="Q1313">
        <v>-2.44</v>
      </c>
      <c r="R1313">
        <v>-0.34</v>
      </c>
      <c r="S1313">
        <v>0.19</v>
      </c>
      <c r="T1313">
        <v>0.35</v>
      </c>
      <c r="U1313">
        <v>-0.36</v>
      </c>
      <c r="V1313">
        <v>0.36</v>
      </c>
      <c r="W1313">
        <v>0.61</v>
      </c>
      <c r="X1313" t="s">
        <v>8</v>
      </c>
      <c r="Y1313" t="s">
        <v>9</v>
      </c>
      <c r="Z1313" s="2" t="s">
        <v>718</v>
      </c>
      <c r="AA1313" s="2" t="s">
        <v>721</v>
      </c>
    </row>
    <row r="1314" spans="1:27" x14ac:dyDescent="0.35">
      <c r="A1314" t="s">
        <v>1509</v>
      </c>
      <c r="B1314" t="s">
        <v>2372</v>
      </c>
      <c r="C1314" s="7" t="str">
        <f>_xlfn.XLOOKUP(B1314,'[1]Sheet 1'!$A$2:$A$11107,'[1]Sheet 1'!$D$2:$D$11107,"",0)</f>
        <v>LBI</v>
      </c>
      <c r="D1314" s="4" t="str">
        <f>_xlfn.XLOOKUP(A1314,[3]Sheet2!$I$2:$I$1623,[3]Sheet2!$D$2:$D$1623,"",0)</f>
        <v>Q2</v>
      </c>
      <c r="F1314" s="4" t="e">
        <f>_xlfn.XLOOKUP(B1314,[2]Sheet2!$E$2:$E$713,[2]Sheet2!$G$2:$G$713)</f>
        <v>#N/A</v>
      </c>
      <c r="G1314" s="22">
        <v>46185</v>
      </c>
      <c r="H1314">
        <v>0.27666666666666667</v>
      </c>
      <c r="I1314" t="s">
        <v>14</v>
      </c>
      <c r="J1314" s="2" t="str">
        <f t="shared" si="107"/>
        <v>Q4</v>
      </c>
      <c r="K1314" s="2" t="str">
        <f t="shared" si="108"/>
        <v>Not Match</v>
      </c>
      <c r="L1314" s="1">
        <f t="shared" si="105"/>
        <v>0.18601075237738274</v>
      </c>
      <c r="M1314" s="1" t="e">
        <f t="shared" si="106"/>
        <v>#N/A</v>
      </c>
      <c r="N1314" s="2" t="str">
        <f t="shared" si="109"/>
        <v>Q NOT OK dE&gt;0.8</v>
      </c>
      <c r="O1314">
        <v>15.1</v>
      </c>
      <c r="P1314">
        <v>-0.74</v>
      </c>
      <c r="Q1314">
        <v>-3.27</v>
      </c>
      <c r="R1314">
        <v>-1.26</v>
      </c>
      <c r="S1314">
        <v>0.15</v>
      </c>
      <c r="T1314">
        <v>-0.11</v>
      </c>
      <c r="U1314">
        <v>0.09</v>
      </c>
      <c r="V1314">
        <v>0.22</v>
      </c>
      <c r="W1314">
        <v>1.28</v>
      </c>
      <c r="X1314" t="s">
        <v>6</v>
      </c>
      <c r="Y1314" t="s">
        <v>9</v>
      </c>
      <c r="Z1314" s="2" t="s">
        <v>718</v>
      </c>
      <c r="AA1314" s="2" t="s">
        <v>721</v>
      </c>
    </row>
    <row r="1315" spans="1:27" x14ac:dyDescent="0.35">
      <c r="A1315" t="s">
        <v>2154</v>
      </c>
      <c r="B1315" t="s">
        <v>2373</v>
      </c>
      <c r="C1315" s="7" t="str">
        <f>_xlfn.XLOOKUP(B1315,'[1]Sheet 1'!$A$2:$A$11107,'[1]Sheet 1'!$D$2:$D$11107,"",0)</f>
        <v>THX</v>
      </c>
      <c r="D1315" s="4" t="str">
        <f>_xlfn.XLOOKUP(A1315,[3]Sheet2!$I$2:$I$1623,[3]Sheet2!$D$2:$D$1623,"",0)</f>
        <v>Q1</v>
      </c>
      <c r="F1315" s="4" t="e">
        <f>_xlfn.XLOOKUP(B1315,[2]Sheet2!$E$2:$E$713,[2]Sheet2!$G$2:$G$713)</f>
        <v>#N/A</v>
      </c>
      <c r="G1315" s="22">
        <v>46185</v>
      </c>
      <c r="H1315">
        <v>0.27929398148148149</v>
      </c>
      <c r="I1315" t="s">
        <v>11</v>
      </c>
      <c r="J1315" s="2" t="str">
        <f t="shared" si="107"/>
        <v>Q2</v>
      </c>
      <c r="K1315" s="2" t="str">
        <f t="shared" si="108"/>
        <v>Not Match</v>
      </c>
      <c r="L1315" s="1">
        <f t="shared" si="105"/>
        <v>0.12806248474865697</v>
      </c>
      <c r="M1315" s="1" t="e">
        <f t="shared" si="106"/>
        <v>#N/A</v>
      </c>
      <c r="N1315" s="2" t="str">
        <f t="shared" si="109"/>
        <v>Q NOT OK dE&gt;0.8</v>
      </c>
      <c r="O1315">
        <v>17.440000000000001</v>
      </c>
      <c r="P1315">
        <v>-0.43</v>
      </c>
      <c r="Q1315">
        <v>-2.5499999999999998</v>
      </c>
      <c r="R1315">
        <v>-1.36</v>
      </c>
      <c r="S1315">
        <v>-0.08</v>
      </c>
      <c r="T1315">
        <v>0.1</v>
      </c>
      <c r="U1315">
        <v>-0.11</v>
      </c>
      <c r="V1315">
        <v>-0.12</v>
      </c>
      <c r="W1315">
        <v>1.37</v>
      </c>
      <c r="X1315" t="s">
        <v>6</v>
      </c>
      <c r="Y1315" t="s">
        <v>15</v>
      </c>
      <c r="Z1315" s="2" t="s">
        <v>718</v>
      </c>
      <c r="AA1315" s="2" t="s">
        <v>721</v>
      </c>
    </row>
    <row r="1316" spans="1:27" x14ac:dyDescent="0.35">
      <c r="A1316" t="s">
        <v>1668</v>
      </c>
      <c r="B1316" t="s">
        <v>2374</v>
      </c>
      <c r="C1316" s="7" t="str">
        <f>_xlfn.XLOOKUP(B1316,'[1]Sheet 1'!$A$2:$A$11107,'[1]Sheet 1'!$D$2:$D$11107,"",0)</f>
        <v>VSS</v>
      </c>
      <c r="D1316" s="4" t="str">
        <f>_xlfn.XLOOKUP(A1316,[3]Sheet2!$I$2:$I$1623,[3]Sheet2!$D$2:$D$1623,"",0)</f>
        <v>Q4</v>
      </c>
      <c r="F1316" s="4" t="e">
        <f>_xlfn.XLOOKUP(B1316,[2]Sheet2!$E$2:$E$713,[2]Sheet2!$G$2:$G$713)</f>
        <v>#N/A</v>
      </c>
      <c r="G1316" s="22">
        <v>46185</v>
      </c>
      <c r="H1316">
        <v>0.28167824074074072</v>
      </c>
      <c r="I1316" t="s">
        <v>10</v>
      </c>
      <c r="J1316" s="2" t="str">
        <f t="shared" si="107"/>
        <v>Q1</v>
      </c>
      <c r="K1316" s="2" t="str">
        <f t="shared" si="108"/>
        <v>Not Match</v>
      </c>
      <c r="L1316" s="1">
        <f t="shared" si="105"/>
        <v>0.38832975677895198</v>
      </c>
      <c r="M1316" s="1" t="e">
        <f t="shared" si="106"/>
        <v>#N/A</v>
      </c>
      <c r="N1316" s="2" t="str">
        <f t="shared" si="109"/>
        <v>Q NOT OK dE&lt;=0.8</v>
      </c>
      <c r="O1316">
        <v>52.24</v>
      </c>
      <c r="P1316">
        <v>48.02</v>
      </c>
      <c r="Q1316">
        <v>-1.75</v>
      </c>
      <c r="R1316">
        <v>0.25</v>
      </c>
      <c r="S1316">
        <v>0.08</v>
      </c>
      <c r="T1316">
        <v>0.38</v>
      </c>
      <c r="U1316">
        <v>0.03</v>
      </c>
      <c r="V1316">
        <v>0.22</v>
      </c>
      <c r="W1316">
        <v>0.33</v>
      </c>
      <c r="X1316" t="s">
        <v>8</v>
      </c>
      <c r="Y1316" t="s">
        <v>9</v>
      </c>
      <c r="Z1316" s="2" t="s">
        <v>718</v>
      </c>
      <c r="AA1316" s="2" t="s">
        <v>721</v>
      </c>
    </row>
    <row r="1317" spans="1:27" x14ac:dyDescent="0.35">
      <c r="A1317" t="s">
        <v>2148</v>
      </c>
      <c r="B1317" t="s">
        <v>2375</v>
      </c>
      <c r="C1317" s="7" t="str">
        <f>_xlfn.XLOOKUP(B1317,'[1]Sheet 1'!$A$2:$A$11107,'[1]Sheet 1'!$D$2:$D$11107,"",0)</f>
        <v>VSS</v>
      </c>
      <c r="D1317" s="4" t="str">
        <f>_xlfn.XLOOKUP(A1317,[3]Sheet2!$I$2:$I$1623,[3]Sheet2!$D$2:$D$1623,"",0)</f>
        <v>Q3</v>
      </c>
      <c r="F1317" s="4" t="e">
        <f>_xlfn.XLOOKUP(B1317,[2]Sheet2!$E$2:$E$713,[2]Sheet2!$G$2:$G$713)</f>
        <v>#N/A</v>
      </c>
      <c r="G1317" s="22">
        <v>46185</v>
      </c>
      <c r="H1317">
        <v>0.28392361111111108</v>
      </c>
      <c r="I1317" t="s">
        <v>10</v>
      </c>
      <c r="J1317" s="2" t="str">
        <f t="shared" si="107"/>
        <v>Q1</v>
      </c>
      <c r="K1317" s="2" t="str">
        <f t="shared" si="108"/>
        <v>Not Match</v>
      </c>
      <c r="L1317" s="1">
        <f t="shared" si="105"/>
        <v>1.848053029542172</v>
      </c>
      <c r="M1317" s="1" t="e">
        <f t="shared" si="106"/>
        <v>#N/A</v>
      </c>
      <c r="N1317" s="2" t="str">
        <f t="shared" si="109"/>
        <v>Q NOT OK dE&gt;0.8</v>
      </c>
      <c r="O1317">
        <v>43.92</v>
      </c>
      <c r="P1317">
        <v>55.51</v>
      </c>
      <c r="Q1317">
        <v>39.61</v>
      </c>
      <c r="R1317">
        <v>0.68</v>
      </c>
      <c r="S1317">
        <v>1.47</v>
      </c>
      <c r="T1317">
        <v>1.1200000000000001</v>
      </c>
      <c r="U1317">
        <v>0.64</v>
      </c>
      <c r="V1317">
        <v>0.04</v>
      </c>
      <c r="W1317">
        <v>0.93</v>
      </c>
      <c r="X1317" t="s">
        <v>13</v>
      </c>
      <c r="Y1317" t="s">
        <v>12</v>
      </c>
      <c r="Z1317" s="2" t="s">
        <v>718</v>
      </c>
      <c r="AA1317" s="2" t="s">
        <v>721</v>
      </c>
    </row>
    <row r="1318" spans="1:27" x14ac:dyDescent="0.35">
      <c r="A1318" t="s">
        <v>2148</v>
      </c>
      <c r="B1318" t="s">
        <v>2376</v>
      </c>
      <c r="C1318" s="7" t="str">
        <f>_xlfn.XLOOKUP(B1318,'[1]Sheet 1'!$A$2:$A$11107,'[1]Sheet 1'!$D$2:$D$11107,"",0)</f>
        <v>VSS</v>
      </c>
      <c r="D1318" s="4" t="str">
        <f>_xlfn.XLOOKUP(A1318,[3]Sheet2!$I$2:$I$1623,[3]Sheet2!$D$2:$D$1623,"",0)</f>
        <v>Q3</v>
      </c>
      <c r="F1318" s="4" t="e">
        <f>_xlfn.XLOOKUP(B1318,[2]Sheet2!$E$2:$E$713,[2]Sheet2!$G$2:$G$713)</f>
        <v>#N/A</v>
      </c>
      <c r="G1318" s="22">
        <v>46185</v>
      </c>
      <c r="H1318">
        <v>0.28556712962962966</v>
      </c>
      <c r="I1318" t="s">
        <v>10</v>
      </c>
      <c r="J1318" s="2" t="str">
        <f t="shared" si="107"/>
        <v>Q1</v>
      </c>
      <c r="K1318" s="2" t="str">
        <f t="shared" si="108"/>
        <v>Not Match</v>
      </c>
      <c r="L1318" s="1">
        <f t="shared" si="105"/>
        <v>2.6268802789621</v>
      </c>
      <c r="M1318" s="1" t="e">
        <f t="shared" si="106"/>
        <v>#N/A</v>
      </c>
      <c r="N1318" s="2" t="str">
        <f t="shared" si="109"/>
        <v>Q NOT OK dE&gt;0.8</v>
      </c>
      <c r="O1318">
        <v>44.09</v>
      </c>
      <c r="P1318">
        <v>55.67</v>
      </c>
      <c r="Q1318">
        <v>40.56</v>
      </c>
      <c r="R1318">
        <v>0.76</v>
      </c>
      <c r="S1318">
        <v>1.63</v>
      </c>
      <c r="T1318">
        <v>2.06</v>
      </c>
      <c r="U1318">
        <v>0.87</v>
      </c>
      <c r="V1318">
        <v>0.5</v>
      </c>
      <c r="W1318">
        <v>1.26</v>
      </c>
      <c r="X1318" t="s">
        <v>6</v>
      </c>
      <c r="Y1318" t="s">
        <v>12</v>
      </c>
      <c r="Z1318" s="2" t="s">
        <v>718</v>
      </c>
      <c r="AA1318" s="2" t="s">
        <v>721</v>
      </c>
    </row>
    <row r="1319" spans="1:27" x14ac:dyDescent="0.35">
      <c r="A1319" t="s">
        <v>2163</v>
      </c>
      <c r="B1319" t="s">
        <v>2379</v>
      </c>
      <c r="C1319" s="7" t="str">
        <f>_xlfn.XLOOKUP(B1319,'[1]Sheet 1'!$A$2:$A$11107,'[1]Sheet 1'!$D$2:$D$11107,"",0)</f>
        <v>VSS</v>
      </c>
      <c r="D1319" s="4" t="str">
        <f>_xlfn.XLOOKUP(A1319,[3]Sheet2!$I$2:$I$1623,[3]Sheet2!$D$2:$D$1623,"",0)</f>
        <v>Q1</v>
      </c>
      <c r="F1319" s="4" t="e">
        <f>_xlfn.XLOOKUP(B1319,[2]Sheet2!$E$2:$E$713,[2]Sheet2!$G$2:$G$713)</f>
        <v>#N/A</v>
      </c>
      <c r="G1319" s="22">
        <v>46185</v>
      </c>
      <c r="H1319">
        <v>0.55019675925925926</v>
      </c>
      <c r="I1319" t="s">
        <v>10</v>
      </c>
      <c r="J1319" s="2" t="str">
        <f t="shared" si="107"/>
        <v>Q4</v>
      </c>
      <c r="K1319" s="2" t="str">
        <f t="shared" si="108"/>
        <v>Not Match</v>
      </c>
      <c r="L1319" s="1">
        <f t="shared" si="105"/>
        <v>1.619660458244258</v>
      </c>
      <c r="M1319" s="1" t="e">
        <f t="shared" si="106"/>
        <v>#N/A</v>
      </c>
      <c r="N1319" s="2" t="str">
        <f t="shared" si="109"/>
        <v>Q NOT OK dE&gt;0.8</v>
      </c>
      <c r="O1319">
        <v>27.13</v>
      </c>
      <c r="P1319">
        <v>-10.42</v>
      </c>
      <c r="Q1319">
        <v>-4.3899999999999997</v>
      </c>
      <c r="R1319">
        <v>0.5</v>
      </c>
      <c r="S1319">
        <v>1.1200000000000001</v>
      </c>
      <c r="T1319">
        <v>-1.17</v>
      </c>
      <c r="U1319">
        <v>-0.52</v>
      </c>
      <c r="V1319">
        <v>1.47</v>
      </c>
      <c r="W1319">
        <v>1.63</v>
      </c>
      <c r="X1319" t="s">
        <v>6</v>
      </c>
      <c r="Y1319" t="s">
        <v>7</v>
      </c>
      <c r="Z1319" s="2" t="s">
        <v>718</v>
      </c>
      <c r="AA1319" s="2" t="s">
        <v>721</v>
      </c>
    </row>
    <row r="1320" spans="1:27" x14ac:dyDescent="0.35">
      <c r="A1320" t="s">
        <v>2163</v>
      </c>
      <c r="B1320" t="s">
        <v>2380</v>
      </c>
      <c r="C1320" s="7" t="str">
        <f>_xlfn.XLOOKUP(B1320,'[1]Sheet 1'!$A$2:$A$11107,'[1]Sheet 1'!$D$2:$D$11107,"",0)</f>
        <v>VSS</v>
      </c>
      <c r="D1320" s="4" t="str">
        <f>_xlfn.XLOOKUP(A1320,[3]Sheet2!$I$2:$I$1623,[3]Sheet2!$D$2:$D$1623,"",0)</f>
        <v>Q1</v>
      </c>
      <c r="F1320" s="4" t="e">
        <f>_xlfn.XLOOKUP(B1320,[2]Sheet2!$E$2:$E$713,[2]Sheet2!$G$2:$G$713)</f>
        <v>#N/A</v>
      </c>
      <c r="G1320" s="22">
        <v>46185</v>
      </c>
      <c r="H1320">
        <v>0.5531018518518519</v>
      </c>
      <c r="I1320" t="s">
        <v>10</v>
      </c>
      <c r="J1320" s="2" t="str">
        <f t="shared" si="107"/>
        <v>Q3</v>
      </c>
      <c r="K1320" s="2" t="str">
        <f t="shared" si="108"/>
        <v>Not Match</v>
      </c>
      <c r="L1320" s="1">
        <f t="shared" si="105"/>
        <v>0.95603347221736956</v>
      </c>
      <c r="M1320" s="1" t="e">
        <f t="shared" si="106"/>
        <v>#N/A</v>
      </c>
      <c r="N1320" s="2" t="str">
        <f t="shared" si="109"/>
        <v>Q NOT OK dE&gt;0.8</v>
      </c>
      <c r="O1320">
        <v>27.71</v>
      </c>
      <c r="P1320">
        <v>-12.12</v>
      </c>
      <c r="Q1320">
        <v>-3.98</v>
      </c>
      <c r="R1320">
        <v>0.89</v>
      </c>
      <c r="S1320">
        <v>-0.57999999999999996</v>
      </c>
      <c r="T1320">
        <v>-0.76</v>
      </c>
      <c r="U1320">
        <v>0.6</v>
      </c>
      <c r="V1320">
        <v>0.56000000000000005</v>
      </c>
      <c r="W1320">
        <v>1.21</v>
      </c>
      <c r="X1320" t="s">
        <v>6</v>
      </c>
      <c r="Y1320" t="s">
        <v>7</v>
      </c>
      <c r="Z1320" s="2" t="s">
        <v>718</v>
      </c>
      <c r="AA1320" s="2" t="s">
        <v>721</v>
      </c>
    </row>
    <row r="1321" spans="1:27" x14ac:dyDescent="0.35">
      <c r="A1321" t="s">
        <v>1626</v>
      </c>
      <c r="B1321" t="s">
        <v>2381</v>
      </c>
      <c r="C1321" s="7" t="str">
        <f>_xlfn.XLOOKUP(B1321,'[1]Sheet 1'!$A$2:$A$11107,'[1]Sheet 1'!$D$2:$D$11107,"",0)</f>
        <v>VSS</v>
      </c>
      <c r="D1321" s="4" t="str">
        <f>_xlfn.XLOOKUP(A1321,[3]Sheet2!$I$2:$I$1623,[3]Sheet2!$D$2:$D$1623,"",0)</f>
        <v>Q4</v>
      </c>
      <c r="F1321" s="4" t="e">
        <f>_xlfn.XLOOKUP(B1321,[2]Sheet2!$E$2:$E$713,[2]Sheet2!$G$2:$G$713)</f>
        <v>#N/A</v>
      </c>
      <c r="G1321" s="22">
        <v>46185</v>
      </c>
      <c r="H1321">
        <v>0.55524305555555553</v>
      </c>
      <c r="I1321" t="s">
        <v>10</v>
      </c>
      <c r="J1321" s="2" t="str">
        <f t="shared" si="107"/>
        <v>Q2</v>
      </c>
      <c r="K1321" s="2" t="str">
        <f t="shared" si="108"/>
        <v>Not Match</v>
      </c>
      <c r="L1321" s="1">
        <f t="shared" si="105"/>
        <v>0.29529646120466801</v>
      </c>
      <c r="M1321" s="1" t="e">
        <f t="shared" si="106"/>
        <v>#N/A</v>
      </c>
      <c r="N1321" s="2" t="str">
        <f t="shared" si="109"/>
        <v>Q NOT OK dE&lt;=0.8</v>
      </c>
      <c r="O1321">
        <v>15.08</v>
      </c>
      <c r="P1321">
        <v>0.34</v>
      </c>
      <c r="Q1321">
        <v>-1.45</v>
      </c>
      <c r="R1321">
        <v>-0.49</v>
      </c>
      <c r="S1321">
        <v>-0.26</v>
      </c>
      <c r="T1321">
        <v>0.14000000000000001</v>
      </c>
      <c r="U1321">
        <v>-0.28000000000000003</v>
      </c>
      <c r="V1321">
        <v>-0.28000000000000003</v>
      </c>
      <c r="W1321">
        <v>0.63</v>
      </c>
      <c r="X1321" t="s">
        <v>8</v>
      </c>
      <c r="Y1321" t="s">
        <v>15</v>
      </c>
      <c r="Z1321" s="2" t="s">
        <v>718</v>
      </c>
      <c r="AA1321" s="2" t="s">
        <v>721</v>
      </c>
    </row>
    <row r="1322" spans="1:27" x14ac:dyDescent="0.35">
      <c r="A1322" t="s">
        <v>1626</v>
      </c>
      <c r="B1322" t="s">
        <v>2382</v>
      </c>
      <c r="C1322" s="7" t="str">
        <f>_xlfn.XLOOKUP(B1322,'[1]Sheet 1'!$A$2:$A$11107,'[1]Sheet 1'!$D$2:$D$11107,"",0)</f>
        <v>VSS</v>
      </c>
      <c r="D1322" s="4" t="str">
        <f>_xlfn.XLOOKUP(A1322,[3]Sheet2!$I$2:$I$1623,[3]Sheet2!$D$2:$D$1623,"",0)</f>
        <v>Q4</v>
      </c>
      <c r="F1322" s="4" t="e">
        <f>_xlfn.XLOOKUP(B1322,[2]Sheet2!$E$2:$E$713,[2]Sheet2!$G$2:$G$713)</f>
        <v>#N/A</v>
      </c>
      <c r="G1322" s="22">
        <v>46185</v>
      </c>
      <c r="H1322">
        <v>0.55672453703703706</v>
      </c>
      <c r="I1322" t="s">
        <v>10</v>
      </c>
      <c r="J1322" s="2" t="str">
        <f t="shared" si="107"/>
        <v>Q3</v>
      </c>
      <c r="K1322" s="2" t="str">
        <f t="shared" si="108"/>
        <v>Not Match</v>
      </c>
      <c r="L1322" s="1">
        <f t="shared" si="105"/>
        <v>0.36124783736376886</v>
      </c>
      <c r="M1322" s="1" t="e">
        <f t="shared" si="106"/>
        <v>#N/A</v>
      </c>
      <c r="N1322" s="2" t="str">
        <f t="shared" si="109"/>
        <v>Q NOT OK dE&lt;=0.8</v>
      </c>
      <c r="O1322">
        <v>15.35</v>
      </c>
      <c r="P1322">
        <v>0.23</v>
      </c>
      <c r="Q1322">
        <v>-1.62</v>
      </c>
      <c r="R1322">
        <v>-0.22</v>
      </c>
      <c r="S1322">
        <v>-0.36</v>
      </c>
      <c r="T1322">
        <v>-0.03</v>
      </c>
      <c r="U1322">
        <v>-0.09</v>
      </c>
      <c r="V1322">
        <v>-0.49</v>
      </c>
      <c r="W1322">
        <v>0.55000000000000004</v>
      </c>
      <c r="X1322" t="s">
        <v>8</v>
      </c>
      <c r="Y1322" t="s">
        <v>15</v>
      </c>
      <c r="Z1322" s="2" t="s">
        <v>718</v>
      </c>
      <c r="AA1322" s="2" t="s">
        <v>721</v>
      </c>
    </row>
    <row r="1323" spans="1:27" x14ac:dyDescent="0.35">
      <c r="A1323" t="s">
        <v>1698</v>
      </c>
      <c r="B1323" t="s">
        <v>2383</v>
      </c>
      <c r="C1323" s="7" t="str">
        <f>_xlfn.XLOOKUP(B1323,'[1]Sheet 1'!$A$2:$A$11107,'[1]Sheet 1'!$D$2:$D$11107,"",0)</f>
        <v>LULU</v>
      </c>
      <c r="D1323" s="4" t="str">
        <f>_xlfn.XLOOKUP(A1323,[3]Sheet2!$I$2:$I$1623,[3]Sheet2!$D$2:$D$1623,"",0)</f>
        <v>Q2</v>
      </c>
      <c r="F1323" s="4" t="e">
        <f>_xlfn.XLOOKUP(B1323,[2]Sheet2!$E$2:$E$713,[2]Sheet2!$G$2:$G$713)</f>
        <v>#N/A</v>
      </c>
      <c r="G1323" s="22">
        <v>46185</v>
      </c>
      <c r="H1323">
        <v>0.55865740740740744</v>
      </c>
      <c r="I1323" t="s">
        <v>4</v>
      </c>
      <c r="J1323" s="2" t="str">
        <f t="shared" si="107"/>
        <v>Q1</v>
      </c>
      <c r="K1323" s="2" t="str">
        <f t="shared" si="108"/>
        <v>Not Match</v>
      </c>
      <c r="L1323" s="1">
        <f t="shared" si="105"/>
        <v>0.25079872407968906</v>
      </c>
      <c r="M1323" s="1" t="e">
        <f t="shared" si="106"/>
        <v>#N/A</v>
      </c>
      <c r="N1323" s="2" t="str">
        <f t="shared" si="109"/>
        <v>Q NOT OK dE&gt;0.8</v>
      </c>
      <c r="O1323">
        <v>20.34</v>
      </c>
      <c r="P1323">
        <v>-0.53</v>
      </c>
      <c r="Q1323">
        <v>-8.4</v>
      </c>
      <c r="R1323">
        <v>-0.85</v>
      </c>
      <c r="S1323">
        <v>0.25</v>
      </c>
      <c r="T1323">
        <v>0.02</v>
      </c>
      <c r="U1323">
        <v>-0.03</v>
      </c>
      <c r="V1323">
        <v>0.33</v>
      </c>
      <c r="W1323">
        <v>0.91</v>
      </c>
      <c r="X1323" t="s">
        <v>13</v>
      </c>
      <c r="Y1323" t="s">
        <v>9</v>
      </c>
      <c r="Z1323" s="2" t="s">
        <v>718</v>
      </c>
      <c r="AA1323" s="2" t="s">
        <v>721</v>
      </c>
    </row>
    <row r="1324" spans="1:27" x14ac:dyDescent="0.35">
      <c r="A1324" t="s">
        <v>2144</v>
      </c>
      <c r="B1324" t="s">
        <v>2297</v>
      </c>
      <c r="C1324" s="7" t="str">
        <f>_xlfn.XLOOKUP(B1324,'[1]Sheet 1'!$A$2:$A$11107,'[1]Sheet 1'!$D$2:$D$11107,"",0)</f>
        <v>WACE</v>
      </c>
      <c r="D1324" s="4" t="str">
        <f>_xlfn.XLOOKUP(A1324,[3]Sheet2!$I$2:$I$1623,[3]Sheet2!$D$2:$D$1623,"",0)</f>
        <v>Q2</v>
      </c>
      <c r="F1324" s="4" t="e">
        <f>_xlfn.XLOOKUP(B1324,[2]Sheet2!$E$2:$E$713,[2]Sheet2!$G$2:$G$713)</f>
        <v>#N/A</v>
      </c>
      <c r="G1324" s="22">
        <v>46185</v>
      </c>
      <c r="H1324">
        <v>0.67428240740740741</v>
      </c>
      <c r="I1324" t="s">
        <v>4</v>
      </c>
      <c r="J1324" s="2" t="str">
        <f t="shared" si="107"/>
        <v>Q3</v>
      </c>
      <c r="K1324" s="2" t="str">
        <f t="shared" si="108"/>
        <v>Not Match</v>
      </c>
      <c r="L1324" s="1">
        <f t="shared" si="105"/>
        <v>0.33541019662496846</v>
      </c>
      <c r="M1324" s="1" t="e">
        <f t="shared" si="106"/>
        <v>#N/A</v>
      </c>
      <c r="N1324" s="2" t="str">
        <f t="shared" si="109"/>
        <v>Q NOT OK dE&lt;=0.8</v>
      </c>
      <c r="O1324">
        <v>28.76</v>
      </c>
      <c r="P1324">
        <v>-14.99</v>
      </c>
      <c r="Q1324">
        <v>-6.16</v>
      </c>
      <c r="R1324">
        <v>0.31</v>
      </c>
      <c r="S1324">
        <v>-0.3</v>
      </c>
      <c r="T1324">
        <v>-0.15</v>
      </c>
      <c r="U1324">
        <v>0.22</v>
      </c>
      <c r="V1324">
        <v>0.02</v>
      </c>
      <c r="W1324">
        <v>0.39</v>
      </c>
      <c r="X1324" t="s">
        <v>8</v>
      </c>
      <c r="Y1324" t="s">
        <v>7</v>
      </c>
      <c r="Z1324" s="2" t="s">
        <v>718</v>
      </c>
      <c r="AA1324" s="2" t="s">
        <v>721</v>
      </c>
    </row>
    <row r="1325" spans="1:27" x14ac:dyDescent="0.35">
      <c r="A1325" t="s">
        <v>2377</v>
      </c>
      <c r="B1325" t="s">
        <v>2378</v>
      </c>
      <c r="C1325" s="7" t="str">
        <f>_xlfn.XLOOKUP(B1325,'[1]Sheet 1'!$A$2:$A$11107,'[1]Sheet 1'!$D$2:$D$11107,"",0)</f>
        <v/>
      </c>
      <c r="D1325" s="4" t="str">
        <f>_xlfn.XLOOKUP(A1325,[3]Sheet2!$I$2:$I$1623,[3]Sheet2!$D$2:$D$1623,"",0)</f>
        <v>Q1</v>
      </c>
      <c r="F1325" s="4" t="e">
        <f>_xlfn.XLOOKUP(B1325,[2]Sheet2!$E$2:$E$713,[2]Sheet2!$G$2:$G$713)</f>
        <v>#N/A</v>
      </c>
      <c r="G1325" s="22">
        <v>46185</v>
      </c>
      <c r="H1325">
        <v>0.67853009259259256</v>
      </c>
      <c r="I1325" t="s">
        <v>4</v>
      </c>
      <c r="J1325" s="2" t="str">
        <f t="shared" si="107"/>
        <v>Q4</v>
      </c>
      <c r="K1325" s="2" t="str">
        <f t="shared" si="108"/>
        <v>Not Match</v>
      </c>
      <c r="L1325" s="1">
        <f t="shared" si="105"/>
        <v>0.17888543819998318</v>
      </c>
      <c r="M1325" s="1" t="e">
        <f t="shared" si="106"/>
        <v>#N/A</v>
      </c>
      <c r="N1325" s="2" t="str">
        <f t="shared" si="109"/>
        <v>Q NOT OK dE&lt;=0.8</v>
      </c>
      <c r="O1325">
        <v>20.98</v>
      </c>
      <c r="P1325">
        <v>-7.06</v>
      </c>
      <c r="Q1325">
        <v>-2.5299999999999998</v>
      </c>
      <c r="R1325">
        <v>-0.69</v>
      </c>
      <c r="S1325">
        <v>0.08</v>
      </c>
      <c r="T1325">
        <v>-0.16</v>
      </c>
      <c r="U1325">
        <v>-0.02</v>
      </c>
      <c r="V1325">
        <v>0.2</v>
      </c>
      <c r="W1325">
        <v>0.72</v>
      </c>
      <c r="X1325" t="s">
        <v>8</v>
      </c>
      <c r="Y1325" t="s">
        <v>7</v>
      </c>
      <c r="Z1325" s="2" t="s">
        <v>718</v>
      </c>
      <c r="AA1325" s="2" t="s">
        <v>721</v>
      </c>
    </row>
    <row r="1326" spans="1:27" x14ac:dyDescent="0.35">
      <c r="A1326" t="s">
        <v>1688</v>
      </c>
      <c r="B1326" t="s">
        <v>2384</v>
      </c>
      <c r="C1326" s="7" t="str">
        <f>_xlfn.XLOOKUP(B1326,'[1]Sheet 1'!$A$2:$A$11107,'[1]Sheet 1'!$D$2:$D$11107,"",0)</f>
        <v>GAP</v>
      </c>
      <c r="D1326" s="4" t="str">
        <f>_xlfn.XLOOKUP(A1326,[3]Sheet2!$I$2:$I$1623,[3]Sheet2!$D$2:$D$1623,"",0)</f>
        <v>Q4</v>
      </c>
      <c r="F1326" s="4" t="e">
        <f>_xlfn.XLOOKUP(B1326,[2]Sheet2!$E$2:$E$713,[2]Sheet2!$G$2:$G$713)</f>
        <v>#N/A</v>
      </c>
      <c r="G1326" s="22">
        <v>46185</v>
      </c>
      <c r="H1326">
        <v>0.68800925925925926</v>
      </c>
      <c r="I1326" t="s">
        <v>4</v>
      </c>
      <c r="J1326" s="2" t="str">
        <f t="shared" si="107"/>
        <v>Q3</v>
      </c>
      <c r="K1326" s="2" t="str">
        <f t="shared" si="108"/>
        <v>Not Match</v>
      </c>
      <c r="L1326" s="1">
        <f t="shared" si="105"/>
        <v>0.48826222462934815</v>
      </c>
      <c r="M1326" s="1" t="e">
        <f t="shared" si="106"/>
        <v>#N/A</v>
      </c>
      <c r="N1326" s="2" t="str">
        <f t="shared" si="109"/>
        <v>Q NOT OK dE&lt;=0.8</v>
      </c>
      <c r="O1326">
        <v>13.63</v>
      </c>
      <c r="P1326">
        <v>-0.46</v>
      </c>
      <c r="Q1326">
        <v>-1.45</v>
      </c>
      <c r="R1326">
        <v>0.15</v>
      </c>
      <c r="S1326">
        <v>-0.4</v>
      </c>
      <c r="T1326">
        <v>-0.28000000000000003</v>
      </c>
      <c r="U1326">
        <v>0.48</v>
      </c>
      <c r="V1326">
        <v>-0.48</v>
      </c>
      <c r="W1326">
        <v>0.7</v>
      </c>
      <c r="X1326" t="s">
        <v>8</v>
      </c>
      <c r="Y1326" t="s">
        <v>15</v>
      </c>
      <c r="Z1326" s="2" t="s">
        <v>718</v>
      </c>
      <c r="AA1326" s="2" t="s">
        <v>721</v>
      </c>
    </row>
    <row r="1327" spans="1:27" x14ac:dyDescent="0.35">
      <c r="A1327" t="s">
        <v>1723</v>
      </c>
      <c r="B1327" t="s">
        <v>2386</v>
      </c>
      <c r="C1327" s="7" t="str">
        <f>_xlfn.XLOOKUP(B1327,'[1]Sheet 1'!$A$2:$A$11107,'[1]Sheet 1'!$D$2:$D$11107,"",0)</f>
        <v>GAP</v>
      </c>
      <c r="D1327" s="4" t="str">
        <f>_xlfn.XLOOKUP(A1327,[3]Sheet2!$I$2:$I$1623,[3]Sheet2!$D$2:$D$1623,"",0)</f>
        <v>Q2</v>
      </c>
      <c r="F1327" s="4" t="e">
        <f>_xlfn.XLOOKUP(B1327,[2]Sheet2!$E$2:$E$713,[2]Sheet2!$G$2:$G$713)</f>
        <v>#N/A</v>
      </c>
      <c r="G1327" s="22">
        <v>46185</v>
      </c>
      <c r="H1327">
        <v>0.69853009259259258</v>
      </c>
      <c r="I1327" t="s">
        <v>4</v>
      </c>
      <c r="J1327" s="2" t="str">
        <f t="shared" si="107"/>
        <v>Q3</v>
      </c>
      <c r="K1327" s="2" t="str">
        <f t="shared" si="108"/>
        <v>Not Match</v>
      </c>
      <c r="L1327" s="1">
        <f t="shared" si="105"/>
        <v>0.50635955604688654</v>
      </c>
      <c r="M1327" s="1" t="e">
        <f t="shared" si="106"/>
        <v>#N/A</v>
      </c>
      <c r="N1327" s="2" t="str">
        <f t="shared" si="109"/>
        <v>Q NOT OK dE&gt;0.8</v>
      </c>
      <c r="O1327">
        <v>14.2</v>
      </c>
      <c r="P1327">
        <v>-0.66</v>
      </c>
      <c r="Q1327">
        <v>-1.53</v>
      </c>
      <c r="R1327">
        <v>-0.7</v>
      </c>
      <c r="S1327">
        <v>-0.5</v>
      </c>
      <c r="T1327">
        <v>-0.08</v>
      </c>
      <c r="U1327">
        <v>0.28999999999999998</v>
      </c>
      <c r="V1327">
        <v>-0.64</v>
      </c>
      <c r="W1327">
        <v>0.99</v>
      </c>
      <c r="X1327" t="s">
        <v>13</v>
      </c>
      <c r="Y1327" t="s">
        <v>15</v>
      </c>
      <c r="Z1327" s="2" t="s">
        <v>718</v>
      </c>
      <c r="AA1327" s="2" t="s">
        <v>721</v>
      </c>
    </row>
    <row r="1328" spans="1:27" x14ac:dyDescent="0.35">
      <c r="A1328" t="s">
        <v>2275</v>
      </c>
      <c r="B1328" t="s">
        <v>2387</v>
      </c>
      <c r="C1328" s="7" t="str">
        <f>_xlfn.XLOOKUP(B1328,'[1]Sheet 1'!$A$2:$A$11107,'[1]Sheet 1'!$D$2:$D$11107,"",0)</f>
        <v>VSS</v>
      </c>
      <c r="D1328" s="4" t="str">
        <f>_xlfn.XLOOKUP(A1328,[3]Sheet2!$I$2:$I$1623,[3]Sheet2!$D$2:$D$1623,"",0)</f>
        <v>Q3</v>
      </c>
      <c r="F1328" s="4" t="e">
        <f>_xlfn.XLOOKUP(B1328,[2]Sheet2!$E$2:$E$713,[2]Sheet2!$G$2:$G$713)</f>
        <v>#N/A</v>
      </c>
      <c r="G1328" s="22">
        <v>46185</v>
      </c>
      <c r="H1328">
        <v>0.75777777777777777</v>
      </c>
      <c r="I1328" t="s">
        <v>4</v>
      </c>
      <c r="J1328" s="2" t="str">
        <f t="shared" si="107"/>
        <v>Q1</v>
      </c>
      <c r="K1328" s="2" t="str">
        <f t="shared" si="108"/>
        <v>Not Match</v>
      </c>
      <c r="L1328" s="1">
        <f t="shared" si="105"/>
        <v>1.7822738285684385</v>
      </c>
      <c r="M1328" s="1" t="e">
        <f t="shared" si="106"/>
        <v>#N/A</v>
      </c>
      <c r="N1328" s="2" t="str">
        <f t="shared" si="109"/>
        <v>Q NOT OK dE&gt;0.8</v>
      </c>
      <c r="O1328">
        <v>26.2</v>
      </c>
      <c r="P1328">
        <v>39.86</v>
      </c>
      <c r="Q1328">
        <v>12.18</v>
      </c>
      <c r="R1328">
        <v>-0.35</v>
      </c>
      <c r="S1328">
        <v>1.37</v>
      </c>
      <c r="T1328">
        <v>1.1399999999999999</v>
      </c>
      <c r="U1328">
        <v>0.71</v>
      </c>
      <c r="V1328">
        <v>0.5</v>
      </c>
      <c r="W1328">
        <v>0.93</v>
      </c>
      <c r="X1328" t="s">
        <v>13</v>
      </c>
      <c r="Y1328" t="s">
        <v>12</v>
      </c>
      <c r="Z1328" s="2" t="s">
        <v>718</v>
      </c>
      <c r="AA1328" s="2" t="s">
        <v>721</v>
      </c>
    </row>
    <row r="1329" spans="1:27" x14ac:dyDescent="0.35">
      <c r="A1329" t="s">
        <v>2144</v>
      </c>
      <c r="B1329" t="s">
        <v>2259</v>
      </c>
      <c r="C1329" s="7" t="str">
        <f>_xlfn.XLOOKUP(B1329,'[1]Sheet 1'!$A$2:$A$11107,'[1]Sheet 1'!$D$2:$D$11107,"",0)</f>
        <v>WACE</v>
      </c>
      <c r="D1329" s="4" t="str">
        <f>_xlfn.XLOOKUP(A1329,[3]Sheet2!$I$2:$I$1623,[3]Sheet2!$D$2:$D$1623,"",0)</f>
        <v>Q2</v>
      </c>
      <c r="F1329" s="4" t="e">
        <f>_xlfn.XLOOKUP(B1329,[2]Sheet2!$E$2:$E$713,[2]Sheet2!$G$2:$G$713)</f>
        <v>#N/A</v>
      </c>
      <c r="G1329" s="22">
        <v>46185</v>
      </c>
      <c r="H1329">
        <v>0.77534722222222219</v>
      </c>
      <c r="I1329" t="s">
        <v>4</v>
      </c>
      <c r="J1329" s="2" t="str">
        <f t="shared" si="107"/>
        <v>Q3</v>
      </c>
      <c r="K1329" s="2" t="str">
        <f t="shared" si="108"/>
        <v>Not Match</v>
      </c>
      <c r="L1329" s="1">
        <f t="shared" si="105"/>
        <v>0.71021123618258808</v>
      </c>
      <c r="M1329" s="1" t="e">
        <f t="shared" si="106"/>
        <v>#N/A</v>
      </c>
      <c r="N1329" s="2" t="str">
        <f t="shared" si="109"/>
        <v>Q NOT OK dE&lt;=0.8</v>
      </c>
      <c r="O1329">
        <v>28.82</v>
      </c>
      <c r="P1329">
        <v>-15.29</v>
      </c>
      <c r="Q1329">
        <v>-6.39</v>
      </c>
      <c r="R1329">
        <v>0.35</v>
      </c>
      <c r="S1329">
        <v>-0.6</v>
      </c>
      <c r="T1329">
        <v>-0.38</v>
      </c>
      <c r="U1329">
        <v>0.48</v>
      </c>
      <c r="V1329">
        <v>0.11</v>
      </c>
      <c r="W1329">
        <v>0.6</v>
      </c>
      <c r="X1329" t="s">
        <v>8</v>
      </c>
      <c r="Y1329" t="s">
        <v>7</v>
      </c>
      <c r="Z1329" s="2" t="s">
        <v>718</v>
      </c>
      <c r="AA1329" s="2" t="s">
        <v>721</v>
      </c>
    </row>
    <row r="1330" spans="1:27" x14ac:dyDescent="0.35">
      <c r="A1330" t="s">
        <v>2147</v>
      </c>
      <c r="B1330" t="s">
        <v>2388</v>
      </c>
      <c r="C1330" s="7" t="str">
        <f>_xlfn.XLOOKUP(B1330,'[1]Sheet 1'!$A$2:$A$11107,'[1]Sheet 1'!$D$2:$D$11107,"",0)</f>
        <v>LULU</v>
      </c>
      <c r="D1330" s="4" t="str">
        <f>_xlfn.XLOOKUP(A1330,[3]Sheet2!$I$2:$I$1623,[3]Sheet2!$D$2:$D$1623,"",0)</f>
        <v>Q2</v>
      </c>
      <c r="F1330" s="4" t="e">
        <f>_xlfn.XLOOKUP(B1330,[2]Sheet2!$E$2:$E$713,[2]Sheet2!$G$2:$G$713)</f>
        <v>#N/A</v>
      </c>
      <c r="G1330" s="22">
        <v>46185</v>
      </c>
      <c r="H1330">
        <v>0.78077546296296296</v>
      </c>
      <c r="I1330" t="s">
        <v>4</v>
      </c>
      <c r="J1330" s="2" t="str">
        <f t="shared" si="107"/>
        <v>Q1</v>
      </c>
      <c r="K1330" s="2" t="str">
        <f t="shared" si="108"/>
        <v>Not Match</v>
      </c>
      <c r="L1330" s="1">
        <f t="shared" si="105"/>
        <v>1.5646085772486358</v>
      </c>
      <c r="M1330" s="1" t="e">
        <f t="shared" si="106"/>
        <v>#N/A</v>
      </c>
      <c r="N1330" s="2" t="str">
        <f t="shared" si="109"/>
        <v>Q NOT OK dE&lt;=0.8</v>
      </c>
      <c r="O1330">
        <v>35.86</v>
      </c>
      <c r="P1330">
        <v>53.97</v>
      </c>
      <c r="Q1330">
        <v>12.41</v>
      </c>
      <c r="R1330">
        <v>0</v>
      </c>
      <c r="S1330">
        <v>0.84</v>
      </c>
      <c r="T1330">
        <v>1.32</v>
      </c>
      <c r="U1330">
        <v>0.42</v>
      </c>
      <c r="V1330">
        <v>0.66</v>
      </c>
      <c r="W1330">
        <v>0.78</v>
      </c>
      <c r="X1330" t="s">
        <v>13</v>
      </c>
      <c r="Y1330" t="s">
        <v>12</v>
      </c>
      <c r="Z1330" s="2" t="s">
        <v>718</v>
      </c>
      <c r="AA1330" s="2" t="s">
        <v>721</v>
      </c>
    </row>
    <row r="1331" spans="1:27" x14ac:dyDescent="0.35">
      <c r="A1331" t="s">
        <v>2163</v>
      </c>
      <c r="B1331" t="s">
        <v>2389</v>
      </c>
      <c r="C1331" s="7" t="str">
        <f>_xlfn.XLOOKUP(B1331,'[1]Sheet 1'!$A$2:$A$11107,'[1]Sheet 1'!$D$2:$D$11107,"",0)</f>
        <v>VSS</v>
      </c>
      <c r="D1331" s="4" t="str">
        <f>_xlfn.XLOOKUP(A1331,[3]Sheet2!$I$2:$I$1623,[3]Sheet2!$D$2:$D$1623,"",0)</f>
        <v>Q1</v>
      </c>
      <c r="F1331" s="4" t="e">
        <f>_xlfn.XLOOKUP(B1331,[2]Sheet2!$E$2:$E$713,[2]Sheet2!$G$2:$G$713)</f>
        <v>#N/A</v>
      </c>
      <c r="G1331" s="22">
        <v>46185</v>
      </c>
      <c r="H1331">
        <v>0.78268518518518515</v>
      </c>
      <c r="I1331" t="s">
        <v>10</v>
      </c>
      <c r="J1331" s="2" t="str">
        <f t="shared" si="107"/>
        <v>Q4</v>
      </c>
      <c r="K1331" s="2" t="str">
        <f t="shared" si="108"/>
        <v>Not Match</v>
      </c>
      <c r="L1331" s="1">
        <f t="shared" si="105"/>
        <v>0.14560219778561037</v>
      </c>
      <c r="M1331" s="1" t="e">
        <f t="shared" si="106"/>
        <v>#N/A</v>
      </c>
      <c r="N1331" s="2" t="str">
        <f t="shared" si="109"/>
        <v>Q NOT OK dE&lt;=0.8</v>
      </c>
      <c r="O1331">
        <v>26.98</v>
      </c>
      <c r="P1331">
        <v>-11.39</v>
      </c>
      <c r="Q1331">
        <v>-3.26</v>
      </c>
      <c r="R1331">
        <v>0.4</v>
      </c>
      <c r="S1331">
        <v>0.14000000000000001</v>
      </c>
      <c r="T1331">
        <v>-0.04</v>
      </c>
      <c r="U1331">
        <v>-0.1</v>
      </c>
      <c r="V1331">
        <v>0.08</v>
      </c>
      <c r="W1331">
        <v>0.42</v>
      </c>
      <c r="X1331" t="s">
        <v>8</v>
      </c>
      <c r="Y1331" t="s">
        <v>7</v>
      </c>
      <c r="Z1331" s="2" t="s">
        <v>718</v>
      </c>
      <c r="AA1331" s="2" t="s">
        <v>721</v>
      </c>
    </row>
    <row r="1332" spans="1:27" x14ac:dyDescent="0.35">
      <c r="A1332" t="s">
        <v>1558</v>
      </c>
      <c r="B1332" t="s">
        <v>2390</v>
      </c>
      <c r="C1332" s="7" t="str">
        <f>_xlfn.XLOOKUP(B1332,'[1]Sheet 1'!$A$2:$A$11107,'[1]Sheet 1'!$D$2:$D$11107,"",0)</f>
        <v>M&amp;S</v>
      </c>
      <c r="D1332" s="4" t="str">
        <f>_xlfn.XLOOKUP(A1332,[3]Sheet2!$I$2:$I$1623,[3]Sheet2!$D$2:$D$1623,"",0)</f>
        <v>Q3</v>
      </c>
      <c r="F1332" s="4" t="e">
        <f>_xlfn.XLOOKUP(B1332,[2]Sheet2!$E$2:$E$713,[2]Sheet2!$G$2:$G$713)</f>
        <v>#N/A</v>
      </c>
      <c r="G1332" s="22">
        <v>46185</v>
      </c>
      <c r="H1332">
        <v>0.7850462962962963</v>
      </c>
      <c r="I1332" t="s">
        <v>17</v>
      </c>
      <c r="J1332" s="2" t="str">
        <f t="shared" si="107"/>
        <v>Q3</v>
      </c>
      <c r="K1332" s="2" t="str">
        <f t="shared" si="108"/>
        <v>Match</v>
      </c>
      <c r="L1332" s="1">
        <f t="shared" si="105"/>
        <v>0.36138621999185305</v>
      </c>
      <c r="M1332" s="1" t="e">
        <f t="shared" si="106"/>
        <v>#N/A</v>
      </c>
      <c r="N1332" s="2" t="str">
        <f t="shared" si="109"/>
        <v>Q OK dE&lt;=0.8</v>
      </c>
      <c r="O1332">
        <v>15.07</v>
      </c>
      <c r="P1332">
        <v>-0.65</v>
      </c>
      <c r="Q1332">
        <v>-1.97</v>
      </c>
      <c r="R1332">
        <v>-0.28999999999999998</v>
      </c>
      <c r="S1332">
        <v>-0.09</v>
      </c>
      <c r="T1332">
        <v>-0.35</v>
      </c>
      <c r="U1332">
        <v>0.49</v>
      </c>
      <c r="V1332">
        <v>0.04</v>
      </c>
      <c r="W1332">
        <v>0.56999999999999995</v>
      </c>
      <c r="X1332" t="s">
        <v>8</v>
      </c>
      <c r="Y1332" t="s">
        <v>9</v>
      </c>
      <c r="Z1332" s="2" t="s">
        <v>718</v>
      </c>
      <c r="AA1332" s="2" t="s">
        <v>721</v>
      </c>
    </row>
    <row r="1333" spans="1:27" x14ac:dyDescent="0.35">
      <c r="A1333" t="s">
        <v>1626</v>
      </c>
      <c r="B1333" t="s">
        <v>2391</v>
      </c>
      <c r="C1333" s="7" t="str">
        <f>_xlfn.XLOOKUP(B1333,'[1]Sheet 1'!$A$2:$A$11107,'[1]Sheet 1'!$D$2:$D$11107,"",0)</f>
        <v>VSS</v>
      </c>
      <c r="D1333" s="4" t="str">
        <f>_xlfn.XLOOKUP(A1333,[3]Sheet2!$I$2:$I$1623,[3]Sheet2!$D$2:$D$1623,"",0)</f>
        <v>Q4</v>
      </c>
      <c r="F1333" s="4" t="e">
        <f>_xlfn.XLOOKUP(B1333,[2]Sheet2!$E$2:$E$713,[2]Sheet2!$G$2:$G$713)</f>
        <v>#N/A</v>
      </c>
      <c r="G1333" s="22">
        <v>46185</v>
      </c>
      <c r="H1333">
        <v>0.78688657407407403</v>
      </c>
      <c r="I1333" t="s">
        <v>10</v>
      </c>
      <c r="J1333" s="2" t="str">
        <f t="shared" si="107"/>
        <v>Q2</v>
      </c>
      <c r="K1333" s="2" t="str">
        <f t="shared" si="108"/>
        <v>Not Match</v>
      </c>
      <c r="L1333" s="1">
        <f t="shared" si="105"/>
        <v>0.34234485537247383</v>
      </c>
      <c r="M1333" s="1" t="e">
        <f t="shared" si="106"/>
        <v>#N/A</v>
      </c>
      <c r="N1333" s="2" t="str">
        <f t="shared" si="109"/>
        <v>Q NOT OK dE&lt;=0.8</v>
      </c>
      <c r="O1333">
        <v>15.25</v>
      </c>
      <c r="P1333">
        <v>0.25</v>
      </c>
      <c r="Q1333">
        <v>-1.55</v>
      </c>
      <c r="R1333">
        <v>-0.32</v>
      </c>
      <c r="S1333">
        <v>-0.34</v>
      </c>
      <c r="T1333">
        <v>0.04</v>
      </c>
      <c r="U1333">
        <v>-0.17</v>
      </c>
      <c r="V1333">
        <v>-0.44</v>
      </c>
      <c r="W1333">
        <v>0.56999999999999995</v>
      </c>
      <c r="X1333" t="s">
        <v>8</v>
      </c>
      <c r="Y1333" t="s">
        <v>15</v>
      </c>
      <c r="Z1333" s="2" t="s">
        <v>718</v>
      </c>
      <c r="AA1333" s="2" t="s">
        <v>721</v>
      </c>
    </row>
    <row r="1334" spans="1:27" x14ac:dyDescent="0.35">
      <c r="A1334" t="s">
        <v>1626</v>
      </c>
      <c r="B1334" t="s">
        <v>2392</v>
      </c>
      <c r="C1334" s="7" t="str">
        <f>_xlfn.XLOOKUP(B1334,'[1]Sheet 1'!$A$2:$A$11107,'[1]Sheet 1'!$D$2:$D$11107,"",0)</f>
        <v>VSS</v>
      </c>
      <c r="D1334" s="4" t="str">
        <f>_xlfn.XLOOKUP(A1334,[3]Sheet2!$I$2:$I$1623,[3]Sheet2!$D$2:$D$1623,"",0)</f>
        <v>Q4</v>
      </c>
      <c r="F1334" s="4" t="e">
        <f>_xlfn.XLOOKUP(B1334,[2]Sheet2!$E$2:$E$713,[2]Sheet2!$G$2:$G$713)</f>
        <v>#N/A</v>
      </c>
      <c r="G1334" s="22">
        <v>46185</v>
      </c>
      <c r="H1334">
        <v>0.78820601851851857</v>
      </c>
      <c r="I1334" t="s">
        <v>10</v>
      </c>
      <c r="J1334" s="2" t="str">
        <f t="shared" si="107"/>
        <v>Q3</v>
      </c>
      <c r="K1334" s="2" t="str">
        <f t="shared" si="108"/>
        <v>Not Match</v>
      </c>
      <c r="L1334" s="1">
        <f t="shared" si="105"/>
        <v>0.422965719651132</v>
      </c>
      <c r="M1334" s="1" t="e">
        <f t="shared" si="106"/>
        <v>#N/A</v>
      </c>
      <c r="N1334" s="2" t="str">
        <f t="shared" si="109"/>
        <v>Q NOT OK dE&lt;=0.8</v>
      </c>
      <c r="O1334">
        <v>15.46</v>
      </c>
      <c r="P1334">
        <v>0.17</v>
      </c>
      <c r="Q1334">
        <v>-1.64</v>
      </c>
      <c r="R1334">
        <v>-0.11</v>
      </c>
      <c r="S1334">
        <v>-0.42</v>
      </c>
      <c r="T1334">
        <v>-0.05</v>
      </c>
      <c r="U1334">
        <v>-0.06</v>
      </c>
      <c r="V1334">
        <v>-0.59</v>
      </c>
      <c r="W1334">
        <v>0.6</v>
      </c>
      <c r="X1334" t="s">
        <v>8</v>
      </c>
      <c r="Y1334" t="s">
        <v>15</v>
      </c>
      <c r="Z1334" s="2" t="s">
        <v>718</v>
      </c>
      <c r="AA1334" s="2" t="s">
        <v>721</v>
      </c>
    </row>
    <row r="1335" spans="1:27" x14ac:dyDescent="0.35">
      <c r="A1335" t="s">
        <v>1626</v>
      </c>
      <c r="B1335" t="s">
        <v>2393</v>
      </c>
      <c r="C1335" s="7" t="str">
        <f>_xlfn.XLOOKUP(B1335,'[1]Sheet 1'!$A$2:$A$11107,'[1]Sheet 1'!$D$2:$D$11107,"",0)</f>
        <v>VSS</v>
      </c>
      <c r="D1335" s="4" t="str">
        <f>_xlfn.XLOOKUP(A1335,[3]Sheet2!$I$2:$I$1623,[3]Sheet2!$D$2:$D$1623,"",0)</f>
        <v>Q4</v>
      </c>
      <c r="F1335" s="4" t="e">
        <f>_xlfn.XLOOKUP(B1335,[2]Sheet2!$E$2:$E$713,[2]Sheet2!$G$2:$G$713)</f>
        <v>#N/A</v>
      </c>
      <c r="G1335" s="22">
        <v>46185</v>
      </c>
      <c r="H1335">
        <v>0.78951388888888885</v>
      </c>
      <c r="I1335" t="s">
        <v>10</v>
      </c>
      <c r="J1335" s="2" t="str">
        <f t="shared" si="107"/>
        <v>Q2</v>
      </c>
      <c r="K1335" s="2" t="str">
        <f t="shared" si="108"/>
        <v>Not Match</v>
      </c>
      <c r="L1335" s="1">
        <f t="shared" si="105"/>
        <v>0.34785054261852172</v>
      </c>
      <c r="M1335" s="1" t="e">
        <f t="shared" si="106"/>
        <v>#N/A</v>
      </c>
      <c r="N1335" s="2" t="str">
        <f t="shared" si="109"/>
        <v>Q NOT OK dE&lt;=0.8</v>
      </c>
      <c r="O1335">
        <v>15.48</v>
      </c>
      <c r="P1335">
        <v>0.26</v>
      </c>
      <c r="Q1335">
        <v>-1.48</v>
      </c>
      <c r="R1335">
        <v>-0.1</v>
      </c>
      <c r="S1335">
        <v>-0.33</v>
      </c>
      <c r="T1335">
        <v>0.11</v>
      </c>
      <c r="U1335">
        <v>-0.26</v>
      </c>
      <c r="V1335">
        <v>-0.4</v>
      </c>
      <c r="W1335">
        <v>0.49</v>
      </c>
      <c r="X1335" t="s">
        <v>8</v>
      </c>
      <c r="Y1335" t="s">
        <v>15</v>
      </c>
      <c r="Z1335" s="2" t="s">
        <v>718</v>
      </c>
      <c r="AA1335" s="2" t="s">
        <v>721</v>
      </c>
    </row>
    <row r="1336" spans="1:27" x14ac:dyDescent="0.35">
      <c r="A1336" t="s">
        <v>1543</v>
      </c>
      <c r="B1336" t="s">
        <v>2394</v>
      </c>
      <c r="C1336" s="7" t="str">
        <f>_xlfn.XLOOKUP(B1336,'[1]Sheet 1'!$A$2:$A$11107,'[1]Sheet 1'!$D$2:$D$11107,"",0)</f>
        <v>VSS</v>
      </c>
      <c r="D1336" s="4" t="str">
        <f>_xlfn.XLOOKUP(A1336,[3]Sheet2!$I$2:$I$1623,[3]Sheet2!$D$2:$D$1623,"",0)</f>
        <v>Q3</v>
      </c>
      <c r="F1336" s="4" t="e">
        <f>_xlfn.XLOOKUP(B1336,[2]Sheet2!$E$2:$E$713,[2]Sheet2!$G$2:$G$713)</f>
        <v>#N/A</v>
      </c>
      <c r="G1336" s="22">
        <v>46185</v>
      </c>
      <c r="H1336">
        <v>0.85422453703703705</v>
      </c>
      <c r="I1336" t="s">
        <v>10</v>
      </c>
      <c r="J1336" s="2" t="str">
        <f t="shared" si="107"/>
        <v>Q1</v>
      </c>
      <c r="K1336" s="2" t="str">
        <f t="shared" si="108"/>
        <v>Not Match</v>
      </c>
      <c r="L1336" s="1">
        <f t="shared" si="105"/>
        <v>0.55009090157900276</v>
      </c>
      <c r="M1336" s="1" t="e">
        <f t="shared" si="106"/>
        <v>#N/A</v>
      </c>
      <c r="N1336" s="2" t="str">
        <f t="shared" si="109"/>
        <v>Q NOT OK dE&lt;=0.8</v>
      </c>
      <c r="O1336">
        <v>27.94</v>
      </c>
      <c r="P1336">
        <v>11.89</v>
      </c>
      <c r="Q1336">
        <v>10.06</v>
      </c>
      <c r="R1336">
        <v>0.41</v>
      </c>
      <c r="S1336">
        <v>0.55000000000000004</v>
      </c>
      <c r="T1336">
        <v>0.01</v>
      </c>
      <c r="U1336">
        <v>0.28999999999999998</v>
      </c>
      <c r="V1336">
        <v>-0.52</v>
      </c>
      <c r="W1336">
        <v>0.72</v>
      </c>
      <c r="X1336" t="s">
        <v>8</v>
      </c>
      <c r="Y1336" t="s">
        <v>9</v>
      </c>
      <c r="Z1336" s="2" t="s">
        <v>718</v>
      </c>
      <c r="AA1336" s="2" t="s">
        <v>721</v>
      </c>
    </row>
    <row r="1337" spans="1:27" x14ac:dyDescent="0.35">
      <c r="A1337" t="s">
        <v>2161</v>
      </c>
      <c r="B1337" t="s">
        <v>2395</v>
      </c>
      <c r="C1337" s="7" t="str">
        <f>_xlfn.XLOOKUP(B1337,'[1]Sheet 1'!$A$2:$A$11107,'[1]Sheet 1'!$D$2:$D$11107,"",0)</f>
        <v>VSS</v>
      </c>
      <c r="D1337" s="4" t="str">
        <f>_xlfn.XLOOKUP(A1337,[3]Sheet2!$I$2:$I$1623,[3]Sheet2!$D$2:$D$1623,"",0)</f>
        <v>Q3</v>
      </c>
      <c r="F1337" s="4" t="e">
        <f>_xlfn.XLOOKUP(B1337,[2]Sheet2!$E$2:$E$713,[2]Sheet2!$G$2:$G$713)</f>
        <v>#N/A</v>
      </c>
      <c r="G1337" s="22">
        <v>46185</v>
      </c>
      <c r="H1337">
        <v>0.86048611111111106</v>
      </c>
      <c r="I1337" t="s">
        <v>10</v>
      </c>
      <c r="J1337" s="2" t="str">
        <f t="shared" si="107"/>
        <v>Q1</v>
      </c>
      <c r="K1337" s="2" t="str">
        <f t="shared" si="108"/>
        <v>Not Match</v>
      </c>
      <c r="L1337" s="1">
        <f t="shared" si="105"/>
        <v>1.6972919607421701</v>
      </c>
      <c r="M1337" s="1" t="e">
        <f t="shared" si="106"/>
        <v>#N/A</v>
      </c>
      <c r="N1337" s="2" t="str">
        <f t="shared" si="109"/>
        <v>Q NOT OK dE&gt;0.8</v>
      </c>
      <c r="O1337">
        <v>42.83</v>
      </c>
      <c r="P1337">
        <v>55.82</v>
      </c>
      <c r="Q1337">
        <v>43.18</v>
      </c>
      <c r="R1337">
        <v>0.22</v>
      </c>
      <c r="S1337">
        <v>0.62</v>
      </c>
      <c r="T1337">
        <v>1.58</v>
      </c>
      <c r="U1337">
        <v>0.49</v>
      </c>
      <c r="V1337">
        <v>0.62</v>
      </c>
      <c r="W1337">
        <v>0.82</v>
      </c>
      <c r="X1337" t="s">
        <v>13</v>
      </c>
      <c r="Y1337" t="s">
        <v>12</v>
      </c>
      <c r="Z1337" s="2" t="s">
        <v>718</v>
      </c>
      <c r="AA1337" s="2" t="s">
        <v>721</v>
      </c>
    </row>
    <row r="1338" spans="1:27" x14ac:dyDescent="0.35">
      <c r="A1338" t="s">
        <v>1626</v>
      </c>
      <c r="B1338" t="s">
        <v>2396</v>
      </c>
      <c r="C1338" s="7" t="str">
        <f>_xlfn.XLOOKUP(B1338,'[1]Sheet 1'!$A$2:$A$11107,'[1]Sheet 1'!$D$2:$D$11107,"",0)</f>
        <v>VSS</v>
      </c>
      <c r="D1338" s="4" t="str">
        <f>_xlfn.XLOOKUP(A1338,[3]Sheet2!$I$2:$I$1623,[3]Sheet2!$D$2:$D$1623,"",0)</f>
        <v>Q4</v>
      </c>
      <c r="F1338" s="4" t="e">
        <f>_xlfn.XLOOKUP(B1338,[2]Sheet2!$E$2:$E$713,[2]Sheet2!$G$2:$G$713)</f>
        <v>#N/A</v>
      </c>
      <c r="G1338" s="22">
        <v>46186</v>
      </c>
      <c r="H1338">
        <v>2.7164351851851853E-2</v>
      </c>
      <c r="I1338" t="s">
        <v>10</v>
      </c>
      <c r="J1338" s="2" t="str">
        <f t="shared" si="107"/>
        <v>Q2</v>
      </c>
      <c r="K1338" s="2" t="str">
        <f t="shared" si="108"/>
        <v>Not Match</v>
      </c>
      <c r="L1338" s="1">
        <f t="shared" si="105"/>
        <v>0.25298221281347033</v>
      </c>
      <c r="M1338" s="1" t="e">
        <f t="shared" si="106"/>
        <v>#N/A</v>
      </c>
      <c r="N1338" s="2" t="str">
        <f t="shared" si="109"/>
        <v>Q NOT OK dE&lt;=0.8</v>
      </c>
      <c r="O1338">
        <v>15.29</v>
      </c>
      <c r="P1338">
        <v>0.36</v>
      </c>
      <c r="Q1338">
        <v>-1.51</v>
      </c>
      <c r="R1338">
        <v>-0.28000000000000003</v>
      </c>
      <c r="S1338">
        <v>-0.24</v>
      </c>
      <c r="T1338">
        <v>0.08</v>
      </c>
      <c r="U1338">
        <v>-0.19</v>
      </c>
      <c r="V1338">
        <v>-0.28000000000000003</v>
      </c>
      <c r="W1338">
        <v>0.44</v>
      </c>
      <c r="X1338" t="s">
        <v>8</v>
      </c>
      <c r="Y1338" t="s">
        <v>15</v>
      </c>
      <c r="Z1338" s="2" t="s">
        <v>718</v>
      </c>
      <c r="AA1338" s="2" t="s">
        <v>721</v>
      </c>
    </row>
    <row r="1339" spans="1:27" x14ac:dyDescent="0.35">
      <c r="A1339" t="s">
        <v>2397</v>
      </c>
      <c r="B1339" t="s">
        <v>2398</v>
      </c>
      <c r="C1339" s="7" t="str">
        <f>_xlfn.XLOOKUP(B1339,'[1]Sheet 1'!$A$2:$A$11107,'[1]Sheet 1'!$D$2:$D$11107,"",0)</f>
        <v>PINK</v>
      </c>
      <c r="D1339" s="4" t="str">
        <f>_xlfn.XLOOKUP(A1339,[3]Sheet2!$I$2:$I$1623,[3]Sheet2!$D$2:$D$1623,"",0)</f>
        <v>Q3</v>
      </c>
      <c r="F1339" s="4" t="e">
        <f>_xlfn.XLOOKUP(B1339,[2]Sheet2!$E$2:$E$713,[2]Sheet2!$G$2:$G$713)</f>
        <v>#N/A</v>
      </c>
      <c r="G1339" s="22">
        <v>46186</v>
      </c>
      <c r="H1339">
        <v>5.3576388888888889E-2</v>
      </c>
      <c r="I1339" t="s">
        <v>10</v>
      </c>
      <c r="J1339" s="2" t="str">
        <f t="shared" si="107"/>
        <v>Q1</v>
      </c>
      <c r="K1339" s="2" t="str">
        <f t="shared" si="108"/>
        <v>Not Match</v>
      </c>
      <c r="L1339" s="1">
        <f t="shared" si="105"/>
        <v>3.2172037548156629</v>
      </c>
      <c r="M1339" s="1" t="e">
        <f t="shared" si="106"/>
        <v>#N/A</v>
      </c>
      <c r="N1339" s="2" t="str">
        <f t="shared" si="109"/>
        <v>Q NOT OK dE&gt;0.8</v>
      </c>
      <c r="O1339">
        <v>47.09</v>
      </c>
      <c r="P1339">
        <v>58.86</v>
      </c>
      <c r="Q1339">
        <v>49.32</v>
      </c>
      <c r="R1339">
        <v>0.25</v>
      </c>
      <c r="S1339">
        <v>2</v>
      </c>
      <c r="T1339">
        <v>2.52</v>
      </c>
      <c r="U1339">
        <v>1.04</v>
      </c>
      <c r="V1339">
        <v>0.47</v>
      </c>
      <c r="W1339">
        <v>1.17</v>
      </c>
      <c r="X1339" t="s">
        <v>6</v>
      </c>
      <c r="Y1339" t="s">
        <v>12</v>
      </c>
      <c r="Z1339" s="2" t="s">
        <v>718</v>
      </c>
      <c r="AA1339" s="2" t="s">
        <v>721</v>
      </c>
    </row>
    <row r="1340" spans="1:27" x14ac:dyDescent="0.35">
      <c r="A1340" t="s">
        <v>2163</v>
      </c>
      <c r="B1340" t="s">
        <v>2399</v>
      </c>
      <c r="C1340" s="7" t="str">
        <f>_xlfn.XLOOKUP(B1340,'[1]Sheet 1'!$A$2:$A$11107,'[1]Sheet 1'!$D$2:$D$11107,"",0)</f>
        <v>VSS</v>
      </c>
      <c r="D1340" s="4" t="str">
        <f>_xlfn.XLOOKUP(A1340,[3]Sheet2!$I$2:$I$1623,[3]Sheet2!$D$2:$D$1623,"",0)</f>
        <v>Q1</v>
      </c>
      <c r="F1340" s="4" t="e">
        <f>_xlfn.XLOOKUP(B1340,[2]Sheet2!$E$2:$E$713,[2]Sheet2!$G$2:$G$713)</f>
        <v>#N/A</v>
      </c>
      <c r="G1340" s="22">
        <v>46186</v>
      </c>
      <c r="H1340">
        <v>8.8425925925925922E-2</v>
      </c>
      <c r="I1340" t="s">
        <v>10</v>
      </c>
      <c r="J1340" s="2" t="str">
        <f t="shared" si="107"/>
        <v>Q3</v>
      </c>
      <c r="K1340" s="2" t="str">
        <f t="shared" si="108"/>
        <v>Not Match</v>
      </c>
      <c r="L1340" s="1">
        <f t="shared" si="105"/>
        <v>1.3505924625881784</v>
      </c>
      <c r="M1340" s="1" t="e">
        <f t="shared" si="106"/>
        <v>#N/A</v>
      </c>
      <c r="N1340" s="2" t="str">
        <f t="shared" si="109"/>
        <v>Q NOT OK dE&gt;0.8</v>
      </c>
      <c r="O1340">
        <v>27.47</v>
      </c>
      <c r="P1340">
        <v>-12.49</v>
      </c>
      <c r="Q1340">
        <v>-4.18</v>
      </c>
      <c r="R1340">
        <v>0.73</v>
      </c>
      <c r="S1340">
        <v>-0.95</v>
      </c>
      <c r="T1340">
        <v>-0.96</v>
      </c>
      <c r="U1340">
        <v>0.92</v>
      </c>
      <c r="V1340">
        <v>0.63</v>
      </c>
      <c r="W1340">
        <v>1.33</v>
      </c>
      <c r="X1340" t="s">
        <v>6</v>
      </c>
      <c r="Y1340" t="s">
        <v>7</v>
      </c>
      <c r="Z1340" s="2" t="s">
        <v>718</v>
      </c>
      <c r="AA1340" s="2" t="s">
        <v>721</v>
      </c>
    </row>
    <row r="1341" spans="1:27" x14ac:dyDescent="0.35">
      <c r="A1341" t="s">
        <v>2400</v>
      </c>
      <c r="B1341" t="s">
        <v>2401</v>
      </c>
      <c r="C1341" s="7" t="str">
        <f>_xlfn.XLOOKUP(B1341,'[1]Sheet 1'!$A$2:$A$11107,'[1]Sheet 1'!$D$2:$D$11107,"",0)</f>
        <v>VSS</v>
      </c>
      <c r="D1341" s="4" t="str">
        <f>_xlfn.XLOOKUP(A1341,[3]Sheet2!$I$2:$I$1623,[3]Sheet2!$D$2:$D$1623,"",0)</f>
        <v>Q4</v>
      </c>
      <c r="F1341" s="4" t="e">
        <f>_xlfn.XLOOKUP(B1341,[2]Sheet2!$E$2:$E$713,[2]Sheet2!$G$2:$G$713)</f>
        <v>#N/A</v>
      </c>
      <c r="G1341" s="22">
        <v>46186</v>
      </c>
      <c r="H1341">
        <v>0.10318287037037037</v>
      </c>
      <c r="I1341" t="s">
        <v>10</v>
      </c>
      <c r="J1341" s="2" t="str">
        <f t="shared" si="107"/>
        <v>Q1</v>
      </c>
      <c r="K1341" s="2" t="str">
        <f t="shared" si="108"/>
        <v>Not Match</v>
      </c>
      <c r="L1341" s="1">
        <f t="shared" si="105"/>
        <v>0.79195959492893331</v>
      </c>
      <c r="M1341" s="1" t="e">
        <f t="shared" si="106"/>
        <v>#N/A</v>
      </c>
      <c r="N1341" s="2" t="str">
        <f t="shared" si="109"/>
        <v>Q NOT OK dE&gt;0.8</v>
      </c>
      <c r="O1341">
        <v>20.85</v>
      </c>
      <c r="P1341">
        <v>11.96</v>
      </c>
      <c r="Q1341">
        <v>0.04</v>
      </c>
      <c r="R1341">
        <v>0.42</v>
      </c>
      <c r="S1341">
        <v>0.56000000000000005</v>
      </c>
      <c r="T1341">
        <v>0.56000000000000005</v>
      </c>
      <c r="U1341">
        <v>0.44</v>
      </c>
      <c r="V1341">
        <v>0.64</v>
      </c>
      <c r="W1341">
        <v>0.88</v>
      </c>
      <c r="X1341" t="s">
        <v>13</v>
      </c>
      <c r="Y1341" t="s">
        <v>9</v>
      </c>
      <c r="Z1341" s="2" t="s">
        <v>718</v>
      </c>
      <c r="AA1341" s="2" t="s">
        <v>721</v>
      </c>
    </row>
    <row r="1342" spans="1:27" x14ac:dyDescent="0.35">
      <c r="A1342" t="s">
        <v>2254</v>
      </c>
      <c r="B1342" t="s">
        <v>2402</v>
      </c>
      <c r="C1342" s="7" t="str">
        <f>_xlfn.XLOOKUP(B1342,'[1]Sheet 1'!$A$2:$A$11107,'[1]Sheet 1'!$D$2:$D$11107,"",0)</f>
        <v>VSS</v>
      </c>
      <c r="D1342" s="4" t="str">
        <f>_xlfn.XLOOKUP(A1342,[3]Sheet2!$I$2:$I$1623,[3]Sheet2!$D$2:$D$1623,"",0)</f>
        <v>Q3</v>
      </c>
      <c r="F1342" s="4" t="e">
        <f>_xlfn.XLOOKUP(B1342,[2]Sheet2!$E$2:$E$713,[2]Sheet2!$G$2:$G$713)</f>
        <v>#N/A</v>
      </c>
      <c r="G1342" s="22">
        <v>46186</v>
      </c>
      <c r="H1342">
        <v>0.13405092592592593</v>
      </c>
      <c r="I1342" t="s">
        <v>10</v>
      </c>
      <c r="J1342" s="2" t="str">
        <f t="shared" si="107"/>
        <v>Q1</v>
      </c>
      <c r="K1342" s="2" t="str">
        <f t="shared" si="108"/>
        <v>Not Match</v>
      </c>
      <c r="L1342" s="1">
        <f t="shared" si="105"/>
        <v>1.5344380078712856</v>
      </c>
      <c r="M1342" s="1" t="e">
        <f t="shared" si="106"/>
        <v>#N/A</v>
      </c>
      <c r="N1342" s="2" t="str">
        <f t="shared" si="109"/>
        <v>Q NOT OK dE&gt;0.8</v>
      </c>
      <c r="O1342">
        <v>31.25</v>
      </c>
      <c r="P1342">
        <v>41.82</v>
      </c>
      <c r="Q1342">
        <v>23.6</v>
      </c>
      <c r="R1342">
        <v>-0.02</v>
      </c>
      <c r="S1342">
        <v>0.53</v>
      </c>
      <c r="T1342">
        <v>1.44</v>
      </c>
      <c r="U1342">
        <v>0.47</v>
      </c>
      <c r="V1342">
        <v>0.75</v>
      </c>
      <c r="W1342">
        <v>0.88</v>
      </c>
      <c r="X1342" t="s">
        <v>13</v>
      </c>
      <c r="Y1342" t="s">
        <v>12</v>
      </c>
      <c r="Z1342" s="2" t="s">
        <v>718</v>
      </c>
      <c r="AA1342" s="2" t="s">
        <v>721</v>
      </c>
    </row>
    <row r="1343" spans="1:27" x14ac:dyDescent="0.35">
      <c r="A1343" t="s">
        <v>2156</v>
      </c>
      <c r="B1343" t="s">
        <v>2403</v>
      </c>
      <c r="C1343" s="7" t="str">
        <f>_xlfn.XLOOKUP(B1343,'[1]Sheet 1'!$A$2:$A$11107,'[1]Sheet 1'!$D$2:$D$11107,"",0)</f>
        <v>VSS</v>
      </c>
      <c r="D1343" s="4" t="str">
        <f>_xlfn.XLOOKUP(A1343,[3]Sheet2!$I$2:$I$1623,[3]Sheet2!$D$2:$D$1623,"",0)</f>
        <v>Q1</v>
      </c>
      <c r="F1343" s="4" t="e">
        <f>_xlfn.XLOOKUP(B1343,[2]Sheet2!$E$2:$E$713,[2]Sheet2!$G$2:$G$713)</f>
        <v>#N/A</v>
      </c>
      <c r="G1343" s="22">
        <v>46186</v>
      </c>
      <c r="H1343">
        <v>0.16269675925925925</v>
      </c>
      <c r="I1343" t="s">
        <v>10</v>
      </c>
      <c r="J1343" s="2" t="str">
        <f t="shared" si="107"/>
        <v>Q2</v>
      </c>
      <c r="K1343" s="2" t="str">
        <f t="shared" si="108"/>
        <v>Not Match</v>
      </c>
      <c r="L1343" s="1">
        <f t="shared" si="105"/>
        <v>0.83006023877788526</v>
      </c>
      <c r="M1343" s="1" t="e">
        <f t="shared" si="106"/>
        <v>#N/A</v>
      </c>
      <c r="N1343" s="2" t="str">
        <f t="shared" si="109"/>
        <v>Q NOT OK dE&lt;=0.8</v>
      </c>
      <c r="O1343">
        <v>25.73</v>
      </c>
      <c r="P1343">
        <v>-13.44</v>
      </c>
      <c r="Q1343">
        <v>-3.23</v>
      </c>
      <c r="R1343">
        <v>-0.06</v>
      </c>
      <c r="S1343">
        <v>-0.77</v>
      </c>
      <c r="T1343">
        <v>0.31</v>
      </c>
      <c r="U1343">
        <v>0.49</v>
      </c>
      <c r="V1343">
        <v>-0.47</v>
      </c>
      <c r="W1343">
        <v>0.68</v>
      </c>
      <c r="X1343" t="s">
        <v>8</v>
      </c>
      <c r="Y1343" t="s">
        <v>12</v>
      </c>
      <c r="Z1343" s="2" t="s">
        <v>718</v>
      </c>
      <c r="AA1343" s="2" t="s">
        <v>721</v>
      </c>
    </row>
    <row r="1344" spans="1:27" x14ac:dyDescent="0.35">
      <c r="A1344" t="s">
        <v>2161</v>
      </c>
      <c r="B1344" t="s">
        <v>2404</v>
      </c>
      <c r="C1344" s="7" t="str">
        <f>_xlfn.XLOOKUP(B1344,'[1]Sheet 1'!$A$2:$A$11107,'[1]Sheet 1'!$D$2:$D$11107,"",0)</f>
        <v>VSS</v>
      </c>
      <c r="D1344" s="4" t="str">
        <f>_xlfn.XLOOKUP(A1344,[3]Sheet2!$I$2:$I$1623,[3]Sheet2!$D$2:$D$1623,"",0)</f>
        <v>Q3</v>
      </c>
      <c r="F1344" s="4" t="e">
        <f>_xlfn.XLOOKUP(B1344,[2]Sheet2!$E$2:$E$713,[2]Sheet2!$G$2:$G$713)</f>
        <v>#N/A</v>
      </c>
      <c r="G1344" s="22">
        <v>46186</v>
      </c>
      <c r="H1344">
        <v>0.16739583333333333</v>
      </c>
      <c r="I1344" t="s">
        <v>10</v>
      </c>
      <c r="J1344" s="2" t="str">
        <f t="shared" si="107"/>
        <v>Q1</v>
      </c>
      <c r="K1344" s="2" t="str">
        <f t="shared" si="108"/>
        <v>Not Match</v>
      </c>
      <c r="L1344" s="1">
        <f t="shared" si="105"/>
        <v>1.75025712396779</v>
      </c>
      <c r="M1344" s="1" t="e">
        <f t="shared" si="106"/>
        <v>#N/A</v>
      </c>
      <c r="N1344" s="2" t="str">
        <f t="shared" si="109"/>
        <v>Q NOT OK dE&gt;0.8</v>
      </c>
      <c r="O1344">
        <v>43.28</v>
      </c>
      <c r="P1344">
        <v>56.05</v>
      </c>
      <c r="Q1344">
        <v>43.13</v>
      </c>
      <c r="R1344">
        <v>0.44</v>
      </c>
      <c r="S1344">
        <v>0.85</v>
      </c>
      <c r="T1344">
        <v>1.53</v>
      </c>
      <c r="U1344">
        <v>0.54</v>
      </c>
      <c r="V1344">
        <v>0.49</v>
      </c>
      <c r="W1344">
        <v>0.86</v>
      </c>
      <c r="X1344" t="s">
        <v>13</v>
      </c>
      <c r="Y1344" t="s">
        <v>12</v>
      </c>
      <c r="Z1344" s="2" t="s">
        <v>718</v>
      </c>
      <c r="AA1344" s="2" t="s">
        <v>721</v>
      </c>
    </row>
    <row r="1345" spans="1:27" x14ac:dyDescent="0.35">
      <c r="A1345" t="s">
        <v>1626</v>
      </c>
      <c r="B1345" t="s">
        <v>2405</v>
      </c>
      <c r="C1345" s="7" t="str">
        <f>_xlfn.XLOOKUP(B1345,'[1]Sheet 1'!$A$2:$A$11107,'[1]Sheet 1'!$D$2:$D$11107,"",0)</f>
        <v>VSS</v>
      </c>
      <c r="D1345" s="4" t="str">
        <f>_xlfn.XLOOKUP(A1345,[3]Sheet2!$I$2:$I$1623,[3]Sheet2!$D$2:$D$1623,"",0)</f>
        <v>Q4</v>
      </c>
      <c r="F1345" s="4" t="e">
        <f>_xlfn.XLOOKUP(B1345,[2]Sheet2!$E$2:$E$713,[2]Sheet2!$G$2:$G$713)</f>
        <v>#N/A</v>
      </c>
      <c r="G1345" s="22">
        <v>46186</v>
      </c>
      <c r="H1345">
        <v>0.21609953703703705</v>
      </c>
      <c r="I1345" t="s">
        <v>10</v>
      </c>
      <c r="J1345" s="2" t="str">
        <f t="shared" si="107"/>
        <v>Q3</v>
      </c>
      <c r="K1345" s="2" t="str">
        <f t="shared" si="108"/>
        <v>Not Match</v>
      </c>
      <c r="L1345" s="1">
        <f t="shared" si="105"/>
        <v>0.67268120235368556</v>
      </c>
      <c r="M1345" s="1" t="e">
        <f t="shared" si="106"/>
        <v>#N/A</v>
      </c>
      <c r="N1345" s="2" t="str">
        <f t="shared" si="109"/>
        <v>Q NOT OK dE&gt;0.8</v>
      </c>
      <c r="O1345">
        <v>15.47</v>
      </c>
      <c r="P1345">
        <v>-0.08</v>
      </c>
      <c r="Q1345">
        <v>-1.65</v>
      </c>
      <c r="R1345">
        <v>-0.1</v>
      </c>
      <c r="S1345">
        <v>-0.67</v>
      </c>
      <c r="T1345">
        <v>-0.06</v>
      </c>
      <c r="U1345">
        <v>-0.06</v>
      </c>
      <c r="V1345">
        <v>-0.93</v>
      </c>
      <c r="W1345">
        <v>0.94</v>
      </c>
      <c r="X1345" t="s">
        <v>13</v>
      </c>
      <c r="Y1345" t="s">
        <v>15</v>
      </c>
      <c r="Z1345" s="2" t="s">
        <v>718</v>
      </c>
      <c r="AA1345" s="2" t="s">
        <v>721</v>
      </c>
    </row>
    <row r="1346" spans="1:27" x14ac:dyDescent="0.35">
      <c r="A1346" t="s">
        <v>2406</v>
      </c>
      <c r="B1346" t="s">
        <v>2407</v>
      </c>
      <c r="C1346" s="7" t="str">
        <f>_xlfn.XLOOKUP(B1346,'[1]Sheet 1'!$A$2:$A$11107,'[1]Sheet 1'!$D$2:$D$11107,"",0)</f>
        <v>VSS</v>
      </c>
      <c r="D1346" s="4" t="str">
        <f>_xlfn.XLOOKUP(A1346,[3]Sheet2!$I$2:$I$1623,[3]Sheet2!$D$2:$D$1623,"",0)</f>
        <v>Q1</v>
      </c>
      <c r="F1346" s="4" t="e">
        <f>_xlfn.XLOOKUP(B1346,[2]Sheet2!$E$2:$E$713,[2]Sheet2!$G$2:$G$713)</f>
        <v>#N/A</v>
      </c>
      <c r="G1346" s="22">
        <v>46186</v>
      </c>
      <c r="H1346">
        <v>0.24493055555555557</v>
      </c>
      <c r="I1346" t="s">
        <v>10</v>
      </c>
      <c r="J1346" s="2" t="str">
        <f t="shared" si="107"/>
        <v>Q2</v>
      </c>
      <c r="K1346" s="2" t="str">
        <f t="shared" si="108"/>
        <v>Not Match</v>
      </c>
      <c r="L1346" s="1">
        <f t="shared" si="105"/>
        <v>1.0679419459877022</v>
      </c>
      <c r="M1346" s="1" t="e">
        <f t="shared" si="106"/>
        <v>#N/A</v>
      </c>
      <c r="N1346" s="2" t="str">
        <f t="shared" si="109"/>
        <v>Q NOT OK dE&gt;0.8</v>
      </c>
      <c r="O1346">
        <v>24.3</v>
      </c>
      <c r="P1346">
        <v>-13.15</v>
      </c>
      <c r="Q1346">
        <v>-3.72</v>
      </c>
      <c r="R1346">
        <v>0.98</v>
      </c>
      <c r="S1346">
        <v>-1.06</v>
      </c>
      <c r="T1346">
        <v>0.13</v>
      </c>
      <c r="U1346">
        <v>0.73</v>
      </c>
      <c r="V1346">
        <v>-0.42</v>
      </c>
      <c r="W1346">
        <v>1.29</v>
      </c>
      <c r="X1346" t="s">
        <v>6</v>
      </c>
      <c r="Y1346" t="s">
        <v>12</v>
      </c>
      <c r="Z1346" s="2" t="s">
        <v>718</v>
      </c>
      <c r="AA1346" s="2" t="s">
        <v>721</v>
      </c>
    </row>
    <row r="1347" spans="1:27" x14ac:dyDescent="0.35">
      <c r="A1347" t="s">
        <v>2161</v>
      </c>
      <c r="B1347" t="s">
        <v>2408</v>
      </c>
      <c r="C1347" s="7" t="str">
        <f>_xlfn.XLOOKUP(B1347,'[1]Sheet 1'!$A$2:$A$11107,'[1]Sheet 1'!$D$2:$D$11107,"",0)</f>
        <v>VSS</v>
      </c>
      <c r="D1347" s="4" t="str">
        <f>_xlfn.XLOOKUP(A1347,[3]Sheet2!$I$2:$I$1623,[3]Sheet2!$D$2:$D$1623,"",0)</f>
        <v>Q3</v>
      </c>
      <c r="F1347" s="4" t="e">
        <f>_xlfn.XLOOKUP(B1347,[2]Sheet2!$E$2:$E$713,[2]Sheet2!$G$2:$G$713)</f>
        <v>#N/A</v>
      </c>
      <c r="G1347" s="22">
        <v>46186</v>
      </c>
      <c r="H1347">
        <v>0.27899305555555554</v>
      </c>
      <c r="I1347" t="s">
        <v>10</v>
      </c>
      <c r="J1347" s="2" t="str">
        <f t="shared" si="107"/>
        <v>Q1</v>
      </c>
      <c r="K1347" s="2" t="str">
        <f t="shared" si="108"/>
        <v>Not Match</v>
      </c>
      <c r="L1347" s="1">
        <f t="shared" si="105"/>
        <v>0.86092973000123529</v>
      </c>
      <c r="M1347" s="1" t="e">
        <f t="shared" si="106"/>
        <v>#N/A</v>
      </c>
      <c r="N1347" s="2" t="str">
        <f t="shared" si="109"/>
        <v>Q NOT OK dE&gt;0.8</v>
      </c>
      <c r="O1347">
        <v>44.02</v>
      </c>
      <c r="P1347">
        <v>55.95</v>
      </c>
      <c r="Q1347">
        <v>42.03</v>
      </c>
      <c r="R1347">
        <v>0.81</v>
      </c>
      <c r="S1347">
        <v>0.74</v>
      </c>
      <c r="T1347">
        <v>0.44</v>
      </c>
      <c r="U1347">
        <v>0.28999999999999998</v>
      </c>
      <c r="V1347">
        <v>-7.0000000000000007E-2</v>
      </c>
      <c r="W1347">
        <v>0.86</v>
      </c>
      <c r="X1347" t="s">
        <v>13</v>
      </c>
      <c r="Y1347" t="s">
        <v>7</v>
      </c>
      <c r="Z1347" s="2" t="s">
        <v>718</v>
      </c>
      <c r="AA1347" s="2" t="s">
        <v>721</v>
      </c>
    </row>
    <row r="1348" spans="1:27" x14ac:dyDescent="0.35">
      <c r="A1348" t="s">
        <v>2409</v>
      </c>
      <c r="B1348" t="s">
        <v>2410</v>
      </c>
      <c r="C1348" s="7" t="str">
        <f>_xlfn.XLOOKUP(B1348,'[1]Sheet 1'!$A$2:$A$11107,'[1]Sheet 1'!$D$2:$D$11107,"",0)</f>
        <v>VSS</v>
      </c>
      <c r="D1348" s="4" t="str">
        <f>_xlfn.XLOOKUP(A1348,[3]Sheet2!$I$2:$I$1623,[3]Sheet2!$D$2:$D$1623,"",0)</f>
        <v>Q4</v>
      </c>
      <c r="F1348" s="4" t="e">
        <f>_xlfn.XLOOKUP(B1348,[2]Sheet2!$E$2:$E$713,[2]Sheet2!$G$2:$G$713)</f>
        <v>#N/A</v>
      </c>
      <c r="G1348" s="22">
        <v>46186</v>
      </c>
      <c r="H1348">
        <v>0.28209490740740739</v>
      </c>
      <c r="I1348" t="s">
        <v>10</v>
      </c>
      <c r="J1348" s="2" t="str">
        <f t="shared" si="107"/>
        <v>Q1</v>
      </c>
      <c r="K1348" s="2" t="str">
        <f t="shared" si="108"/>
        <v>Not Match</v>
      </c>
      <c r="L1348" s="1">
        <f t="shared" si="105"/>
        <v>1.2539936203984452</v>
      </c>
      <c r="M1348" s="1" t="e">
        <f t="shared" si="106"/>
        <v>#N/A</v>
      </c>
      <c r="N1348" s="2" t="str">
        <f t="shared" si="109"/>
        <v>Q NOT OK dE&gt;0.8</v>
      </c>
      <c r="O1348">
        <v>21.22</v>
      </c>
      <c r="P1348">
        <v>-1.59</v>
      </c>
      <c r="Q1348">
        <v>-10.92</v>
      </c>
      <c r="R1348">
        <v>0.62</v>
      </c>
      <c r="S1348">
        <v>0.5</v>
      </c>
      <c r="T1348">
        <v>1.1499999999999999</v>
      </c>
      <c r="U1348">
        <v>-0.92</v>
      </c>
      <c r="V1348">
        <v>0.36</v>
      </c>
      <c r="W1348">
        <v>1.17</v>
      </c>
      <c r="X1348" t="s">
        <v>6</v>
      </c>
      <c r="Y1348" t="s">
        <v>9</v>
      </c>
      <c r="Z1348" s="2" t="s">
        <v>718</v>
      </c>
      <c r="AA1348" s="2" t="s">
        <v>721</v>
      </c>
    </row>
    <row r="1349" spans="1:27" x14ac:dyDescent="0.35">
      <c r="A1349" t="s">
        <v>1773</v>
      </c>
      <c r="B1349" t="s">
        <v>2411</v>
      </c>
      <c r="C1349" s="7" t="str">
        <f>_xlfn.XLOOKUP(B1349,'[1]Sheet 1'!$A$2:$A$11107,'[1]Sheet 1'!$D$2:$D$11107,"",0)</f>
        <v>NKSKI</v>
      </c>
      <c r="D1349" s="4" t="str">
        <f>_xlfn.XLOOKUP(A1349,[3]Sheet2!$I$2:$I$1623,[3]Sheet2!$D$2:$D$1623,"",0)</f>
        <v>Q3</v>
      </c>
      <c r="F1349" s="4" t="e">
        <f>_xlfn.XLOOKUP(B1349,[2]Sheet2!$E$2:$E$713,[2]Sheet2!$G$2:$G$713)</f>
        <v>#N/A</v>
      </c>
      <c r="G1349" s="22">
        <v>46186</v>
      </c>
      <c r="H1349">
        <v>0.48359953703703706</v>
      </c>
      <c r="I1349" t="s">
        <v>4</v>
      </c>
      <c r="J1349" s="2" t="str">
        <f t="shared" si="107"/>
        <v>Q2</v>
      </c>
      <c r="K1349" s="2" t="str">
        <f t="shared" si="108"/>
        <v>Not Match</v>
      </c>
      <c r="L1349" s="1">
        <f t="shared" si="105"/>
        <v>0.30413812651491096</v>
      </c>
      <c r="M1349" s="1" t="e">
        <f t="shared" si="106"/>
        <v>#N/A</v>
      </c>
      <c r="N1349" s="2" t="str">
        <f t="shared" si="109"/>
        <v>Q NOT OK dE&lt;=0.8</v>
      </c>
      <c r="O1349">
        <v>16.89</v>
      </c>
      <c r="P1349">
        <v>-1.36</v>
      </c>
      <c r="Q1349">
        <v>-2.42</v>
      </c>
      <c r="R1349">
        <v>-0.05</v>
      </c>
      <c r="S1349">
        <v>-0.21</v>
      </c>
      <c r="T1349">
        <v>0.22</v>
      </c>
      <c r="U1349">
        <v>-0.13</v>
      </c>
      <c r="V1349">
        <v>-0.37</v>
      </c>
      <c r="W1349">
        <v>0.4</v>
      </c>
      <c r="X1349" t="s">
        <v>8</v>
      </c>
      <c r="Y1349" t="s">
        <v>15</v>
      </c>
      <c r="Z1349" s="2" t="s">
        <v>718</v>
      </c>
      <c r="AA1349" s="2" t="s">
        <v>721</v>
      </c>
    </row>
    <row r="1350" spans="1:27" x14ac:dyDescent="0.35">
      <c r="A1350" t="s">
        <v>1594</v>
      </c>
      <c r="B1350" t="s">
        <v>2412</v>
      </c>
      <c r="C1350" s="7" t="str">
        <f>_xlfn.XLOOKUP(B1350,'[1]Sheet 1'!$A$2:$A$11107,'[1]Sheet 1'!$D$2:$D$11107,"",0)</f>
        <v>GLA</v>
      </c>
      <c r="D1350" s="4" t="str">
        <f>_xlfn.XLOOKUP(A1350,[3]Sheet2!$I$2:$I$1623,[3]Sheet2!$D$2:$D$1623,"",0)</f>
        <v>Q1</v>
      </c>
      <c r="F1350" s="4" t="e">
        <f>_xlfn.XLOOKUP(B1350,[2]Sheet2!$E$2:$E$713,[2]Sheet2!$G$2:$G$713)</f>
        <v>#N/A</v>
      </c>
      <c r="G1350" s="22">
        <v>46186</v>
      </c>
      <c r="H1350">
        <v>0.48291666666666666</v>
      </c>
      <c r="I1350" t="s">
        <v>4</v>
      </c>
      <c r="J1350" s="2" t="str">
        <f t="shared" si="107"/>
        <v>Q1</v>
      </c>
      <c r="K1350" s="2" t="str">
        <f t="shared" si="108"/>
        <v>Match</v>
      </c>
      <c r="L1350" s="1">
        <f t="shared" si="105"/>
        <v>7.6157731058639086E-2</v>
      </c>
      <c r="M1350" s="1" t="e">
        <f t="shared" si="106"/>
        <v>#N/A</v>
      </c>
      <c r="N1350" s="2" t="str">
        <f t="shared" si="109"/>
        <v>Q OK dE&lt;=0.8</v>
      </c>
      <c r="O1350">
        <v>18.239999999999998</v>
      </c>
      <c r="P1350">
        <v>-0.28999999999999998</v>
      </c>
      <c r="Q1350">
        <v>-3.04</v>
      </c>
      <c r="R1350">
        <v>-0.41</v>
      </c>
      <c r="S1350">
        <v>7.0000000000000007E-2</v>
      </c>
      <c r="T1350">
        <v>0.03</v>
      </c>
      <c r="U1350">
        <v>-0.04</v>
      </c>
      <c r="V1350">
        <v>0.09</v>
      </c>
      <c r="W1350">
        <v>0.42</v>
      </c>
      <c r="X1350" t="s">
        <v>8</v>
      </c>
      <c r="Y1350" t="s">
        <v>15</v>
      </c>
      <c r="Z1350" s="2" t="s">
        <v>718</v>
      </c>
      <c r="AA1350" s="2" t="s">
        <v>721</v>
      </c>
    </row>
    <row r="1351" spans="1:27" x14ac:dyDescent="0.35">
      <c r="A1351" t="s">
        <v>2369</v>
      </c>
      <c r="B1351" t="s">
        <v>2413</v>
      </c>
      <c r="C1351" s="7" t="str">
        <f>_xlfn.XLOOKUP(B1351,'[1]Sheet 1'!$A$2:$A$11107,'[1]Sheet 1'!$D$2:$D$11107,"",0)</f>
        <v/>
      </c>
      <c r="D1351" s="4" t="str">
        <f>_xlfn.XLOOKUP(A1351,[3]Sheet2!$I$2:$I$1623,[3]Sheet2!$D$2:$D$1623,"",0)</f>
        <v>Q2</v>
      </c>
      <c r="F1351" s="4" t="e">
        <f>_xlfn.XLOOKUP(B1351,[2]Sheet2!$E$2:$E$713,[2]Sheet2!$G$2:$G$713)</f>
        <v>#N/A</v>
      </c>
      <c r="G1351" s="22">
        <v>46186</v>
      </c>
      <c r="H1351">
        <v>0.62075231481481485</v>
      </c>
      <c r="I1351" t="s">
        <v>4</v>
      </c>
      <c r="J1351" s="2" t="str">
        <f t="shared" si="107"/>
        <v>Q2</v>
      </c>
      <c r="K1351" s="2" t="str">
        <f t="shared" si="108"/>
        <v>Match</v>
      </c>
      <c r="L1351" s="1">
        <f t="shared" si="105"/>
        <v>0.15</v>
      </c>
      <c r="M1351" s="1" t="e">
        <f t="shared" si="106"/>
        <v>#N/A</v>
      </c>
      <c r="N1351" s="2" t="str">
        <f t="shared" si="109"/>
        <v>Q OK dE&gt;0.8</v>
      </c>
      <c r="O1351">
        <v>21.39</v>
      </c>
      <c r="P1351">
        <v>-6.93</v>
      </c>
      <c r="Q1351">
        <v>-2.1800000000000002</v>
      </c>
      <c r="R1351">
        <v>-1.1100000000000001</v>
      </c>
      <c r="S1351">
        <v>0.15</v>
      </c>
      <c r="T1351">
        <v>0</v>
      </c>
      <c r="U1351">
        <v>-0.13</v>
      </c>
      <c r="V1351">
        <v>0.05</v>
      </c>
      <c r="W1351">
        <v>1.1200000000000001</v>
      </c>
      <c r="X1351" t="s">
        <v>6</v>
      </c>
      <c r="Y1351" t="s">
        <v>7</v>
      </c>
      <c r="Z1351" s="2" t="s">
        <v>718</v>
      </c>
      <c r="AA1351" s="2" t="s">
        <v>721</v>
      </c>
    </row>
    <row r="1352" spans="1:27" x14ac:dyDescent="0.35">
      <c r="A1352" t="s">
        <v>1626</v>
      </c>
      <c r="B1352" t="s">
        <v>2414</v>
      </c>
      <c r="C1352" s="7" t="str">
        <f>_xlfn.XLOOKUP(B1352,'[1]Sheet 1'!$A$2:$A$11107,'[1]Sheet 1'!$D$2:$D$11107,"",0)</f>
        <v>VSS</v>
      </c>
      <c r="D1352" s="4" t="str">
        <f>_xlfn.XLOOKUP(A1352,[3]Sheet2!$I$2:$I$1623,[3]Sheet2!$D$2:$D$1623,"",0)</f>
        <v>Q4</v>
      </c>
      <c r="F1352" s="4" t="e">
        <f>_xlfn.XLOOKUP(B1352,[2]Sheet2!$E$2:$E$713,[2]Sheet2!$G$2:$G$713)</f>
        <v>#N/A</v>
      </c>
      <c r="G1352" s="22">
        <v>46186</v>
      </c>
      <c r="H1352">
        <v>0.64090277777777782</v>
      </c>
      <c r="I1352" t="s">
        <v>10</v>
      </c>
      <c r="J1352" s="2" t="str">
        <f t="shared" si="107"/>
        <v>Q2</v>
      </c>
      <c r="K1352" s="2" t="str">
        <f t="shared" si="108"/>
        <v>Not Match</v>
      </c>
      <c r="L1352" s="1">
        <f t="shared" si="105"/>
        <v>0.24166091947189144</v>
      </c>
      <c r="M1352" s="1" t="e">
        <f t="shared" si="106"/>
        <v>#N/A</v>
      </c>
      <c r="N1352" s="2" t="str">
        <f t="shared" si="109"/>
        <v>Q NOT OK dE&lt;=0.8</v>
      </c>
      <c r="O1352">
        <v>15.15</v>
      </c>
      <c r="P1352">
        <v>0.38</v>
      </c>
      <c r="Q1352">
        <v>-1.49</v>
      </c>
      <c r="R1352">
        <v>-0.42</v>
      </c>
      <c r="S1352">
        <v>-0.22</v>
      </c>
      <c r="T1352">
        <v>0.1</v>
      </c>
      <c r="U1352">
        <v>-0.22</v>
      </c>
      <c r="V1352">
        <v>-0.24</v>
      </c>
      <c r="W1352">
        <v>0.53</v>
      </c>
      <c r="X1352" t="s">
        <v>8</v>
      </c>
      <c r="Y1352" t="s">
        <v>15</v>
      </c>
      <c r="Z1352" s="2" t="s">
        <v>718</v>
      </c>
      <c r="AA1352" s="2" t="s">
        <v>721</v>
      </c>
    </row>
    <row r="1353" spans="1:27" x14ac:dyDescent="0.35">
      <c r="A1353" t="s">
        <v>1626</v>
      </c>
      <c r="B1353" t="s">
        <v>2415</v>
      </c>
      <c r="C1353" s="7" t="str">
        <f>_xlfn.XLOOKUP(B1353,'[1]Sheet 1'!$A$2:$A$11107,'[1]Sheet 1'!$D$2:$D$11107,"",0)</f>
        <v>VSS</v>
      </c>
      <c r="D1353" s="4" t="str">
        <f>_xlfn.XLOOKUP(A1353,[3]Sheet2!$I$2:$I$1623,[3]Sheet2!$D$2:$D$1623,"",0)</f>
        <v>Q4</v>
      </c>
      <c r="F1353" s="4" t="e">
        <f>_xlfn.XLOOKUP(B1353,[2]Sheet2!$E$2:$E$713,[2]Sheet2!$G$2:$G$713)</f>
        <v>#N/A</v>
      </c>
      <c r="G1353" s="22">
        <v>46188</v>
      </c>
      <c r="H1353">
        <v>0.3051388888888889</v>
      </c>
      <c r="I1353" t="s">
        <v>10</v>
      </c>
      <c r="J1353" s="2" t="str">
        <f t="shared" si="107"/>
        <v>Q2</v>
      </c>
      <c r="K1353" s="2" t="str">
        <f t="shared" si="108"/>
        <v>Not Match</v>
      </c>
      <c r="L1353" s="1">
        <f t="shared" si="105"/>
        <v>0.25942243542145693</v>
      </c>
      <c r="M1353" s="1" t="e">
        <f t="shared" si="106"/>
        <v>#N/A</v>
      </c>
      <c r="N1353" s="2" t="str">
        <f t="shared" si="109"/>
        <v>Q NOT OK dE&lt;=0.8</v>
      </c>
      <c r="O1353">
        <v>14.99</v>
      </c>
      <c r="P1353">
        <v>0.37</v>
      </c>
      <c r="Q1353">
        <v>-1.47</v>
      </c>
      <c r="R1353">
        <v>-0.57999999999999996</v>
      </c>
      <c r="S1353">
        <v>-0.23</v>
      </c>
      <c r="T1353">
        <v>0.12</v>
      </c>
      <c r="U1353">
        <v>-0.25</v>
      </c>
      <c r="V1353">
        <v>-0.25</v>
      </c>
      <c r="W1353">
        <v>0.68</v>
      </c>
      <c r="X1353" t="s">
        <v>8</v>
      </c>
      <c r="Y1353" t="s">
        <v>15</v>
      </c>
      <c r="Z1353" s="2" t="s">
        <v>718</v>
      </c>
      <c r="AA1353" s="2" t="s">
        <v>721</v>
      </c>
    </row>
    <row r="1354" spans="1:27" x14ac:dyDescent="0.35">
      <c r="A1354" t="s">
        <v>1567</v>
      </c>
      <c r="B1354" t="s">
        <v>1870</v>
      </c>
      <c r="C1354" s="7" t="str">
        <f>_xlfn.XLOOKUP(B1354,'[1]Sheet 1'!$A$2:$A$11107,'[1]Sheet 1'!$D$2:$D$11107,"",0)</f>
        <v>M&amp;S</v>
      </c>
      <c r="D1354" s="4" t="str">
        <f>_xlfn.XLOOKUP(A1354,[3]Sheet2!$I$2:$I$1623,[3]Sheet2!$D$2:$D$1623,"",0)</f>
        <v>Q3</v>
      </c>
      <c r="F1354" s="4" t="e">
        <f>_xlfn.XLOOKUP(B1354,[2]Sheet2!$E$2:$E$713,[2]Sheet2!$G$2:$G$713)</f>
        <v>#N/A</v>
      </c>
      <c r="G1354" s="22">
        <v>46188</v>
      </c>
      <c r="H1354">
        <v>0.33090277777777777</v>
      </c>
      <c r="I1354" t="s">
        <v>17</v>
      </c>
      <c r="J1354" s="2" t="str">
        <f t="shared" si="107"/>
        <v>Q2</v>
      </c>
      <c r="K1354" s="2" t="str">
        <f t="shared" si="108"/>
        <v>Not Match</v>
      </c>
      <c r="L1354" s="1">
        <f t="shared" si="105"/>
        <v>0.16643316977093239</v>
      </c>
      <c r="M1354" s="1" t="e">
        <f t="shared" si="106"/>
        <v>#N/A</v>
      </c>
      <c r="N1354" s="2" t="str">
        <f t="shared" si="109"/>
        <v>Q NOT OK dE&lt;=0.8</v>
      </c>
      <c r="O1354">
        <v>23.49</v>
      </c>
      <c r="P1354">
        <v>-5.59</v>
      </c>
      <c r="Q1354">
        <v>-6.87</v>
      </c>
      <c r="R1354">
        <v>-0.71</v>
      </c>
      <c r="S1354">
        <v>-0.09</v>
      </c>
      <c r="T1354">
        <v>0.14000000000000001</v>
      </c>
      <c r="U1354">
        <v>-0.05</v>
      </c>
      <c r="V1354">
        <v>-0.19</v>
      </c>
      <c r="W1354">
        <v>0.73</v>
      </c>
      <c r="X1354" t="s">
        <v>8</v>
      </c>
      <c r="Y1354" t="s">
        <v>12</v>
      </c>
      <c r="Z1354" s="2" t="s">
        <v>718</v>
      </c>
      <c r="AA1354" s="2" t="s">
        <v>721</v>
      </c>
    </row>
    <row r="1355" spans="1:27" x14ac:dyDescent="0.35">
      <c r="A1355" t="s">
        <v>2156</v>
      </c>
      <c r="B1355" t="s">
        <v>2416</v>
      </c>
      <c r="C1355" s="7" t="str">
        <f>_xlfn.XLOOKUP(B1355,'[1]Sheet 1'!$A$2:$A$11107,'[1]Sheet 1'!$D$2:$D$11107,"",0)</f>
        <v>VSS</v>
      </c>
      <c r="D1355" s="4" t="str">
        <f>_xlfn.XLOOKUP(A1355,[3]Sheet2!$I$2:$I$1623,[3]Sheet2!$D$2:$D$1623,"",0)</f>
        <v>Q1</v>
      </c>
      <c r="F1355" s="4" t="e">
        <f>_xlfn.XLOOKUP(B1355,[2]Sheet2!$E$2:$E$713,[2]Sheet2!$G$2:$G$713)</f>
        <v>#N/A</v>
      </c>
      <c r="G1355" s="22">
        <v>46188</v>
      </c>
      <c r="H1355">
        <v>0.33710648148148148</v>
      </c>
      <c r="I1355" t="s">
        <v>17</v>
      </c>
      <c r="J1355" s="2" t="str">
        <f t="shared" si="107"/>
        <v>Q2</v>
      </c>
      <c r="K1355" s="2" t="str">
        <f t="shared" si="108"/>
        <v>Not Match</v>
      </c>
      <c r="L1355" s="1">
        <f t="shared" si="105"/>
        <v>0.87982952894296518</v>
      </c>
      <c r="M1355" s="1" t="e">
        <f t="shared" si="106"/>
        <v>#N/A</v>
      </c>
      <c r="N1355" s="2" t="str">
        <f t="shared" si="109"/>
        <v>Q NOT OK dE&gt;0.8</v>
      </c>
      <c r="O1355">
        <v>26.46</v>
      </c>
      <c r="P1355">
        <v>-13.2</v>
      </c>
      <c r="Q1355">
        <v>-0.47</v>
      </c>
      <c r="R1355">
        <v>0.11</v>
      </c>
      <c r="S1355">
        <v>-0.46</v>
      </c>
      <c r="T1355">
        <v>0.75</v>
      </c>
      <c r="U1355">
        <v>0.31</v>
      </c>
      <c r="V1355">
        <v>-0.76</v>
      </c>
      <c r="W1355">
        <v>0.82</v>
      </c>
      <c r="X1355" t="s">
        <v>13</v>
      </c>
      <c r="Y1355" t="s">
        <v>12</v>
      </c>
      <c r="Z1355" s="2" t="s">
        <v>718</v>
      </c>
      <c r="AA1355" s="2" t="s">
        <v>721</v>
      </c>
    </row>
    <row r="1356" spans="1:27" x14ac:dyDescent="0.35">
      <c r="A1356" t="s">
        <v>2284</v>
      </c>
      <c r="B1356" t="s">
        <v>2417</v>
      </c>
      <c r="C1356" s="7" t="str">
        <f>_xlfn.XLOOKUP(B1356,'[1]Sheet 1'!$A$2:$A$11107,'[1]Sheet 1'!$D$2:$D$11107,"",0)</f>
        <v>PEP</v>
      </c>
      <c r="D1356" s="4" t="str">
        <f>_xlfn.XLOOKUP(A1356,[3]Sheet2!$I$2:$I$1623,[3]Sheet2!$D$2:$D$1623,"",0)</f>
        <v>Q3</v>
      </c>
      <c r="F1356" s="4" t="e">
        <f>_xlfn.XLOOKUP(B1356,[2]Sheet2!$E$2:$E$713,[2]Sheet2!$G$2:$G$713)</f>
        <v>#N/A</v>
      </c>
      <c r="G1356" s="22">
        <v>46188</v>
      </c>
      <c r="H1356">
        <v>0.34319444444444447</v>
      </c>
      <c r="I1356" t="s">
        <v>4</v>
      </c>
      <c r="J1356" s="2" t="str">
        <f t="shared" si="107"/>
        <v>Q2</v>
      </c>
      <c r="K1356" s="2" t="str">
        <f t="shared" si="108"/>
        <v>Not Match</v>
      </c>
      <c r="L1356" s="1">
        <f t="shared" si="105"/>
        <v>0.42953463189829061</v>
      </c>
      <c r="M1356" s="1" t="e">
        <f t="shared" si="106"/>
        <v>#N/A</v>
      </c>
      <c r="N1356" s="2" t="str">
        <f t="shared" si="109"/>
        <v>Q NOT OK dE&lt;=0.8</v>
      </c>
      <c r="O1356">
        <v>29.56</v>
      </c>
      <c r="P1356">
        <v>8.06</v>
      </c>
      <c r="Q1356">
        <v>10.54</v>
      </c>
      <c r="R1356">
        <v>0.08</v>
      </c>
      <c r="S1356">
        <v>-0.18</v>
      </c>
      <c r="T1356">
        <v>0.39</v>
      </c>
      <c r="U1356">
        <v>0.14000000000000001</v>
      </c>
      <c r="V1356">
        <v>0.69</v>
      </c>
      <c r="W1356">
        <v>0.71</v>
      </c>
      <c r="X1356" t="s">
        <v>8</v>
      </c>
      <c r="Y1356" t="s">
        <v>12</v>
      </c>
      <c r="Z1356" s="2" t="s">
        <v>718</v>
      </c>
      <c r="AA1356" s="2" t="s">
        <v>721</v>
      </c>
    </row>
    <row r="1357" spans="1:27" x14ac:dyDescent="0.35">
      <c r="A1357" t="s">
        <v>1684</v>
      </c>
      <c r="B1357" t="s">
        <v>2418</v>
      </c>
      <c r="C1357" s="7" t="str">
        <f>_xlfn.XLOOKUP(B1357,'[1]Sheet 1'!$A$2:$A$11107,'[1]Sheet 1'!$D$2:$D$11107,"",0)</f>
        <v>CK</v>
      </c>
      <c r="D1357" s="4">
        <v>0</v>
      </c>
      <c r="F1357" s="4" t="e">
        <f>_xlfn.XLOOKUP(B1357,[2]Sheet2!$E$2:$E$713,[2]Sheet2!$G$2:$G$713)</f>
        <v>#N/A</v>
      </c>
      <c r="G1357" s="22">
        <v>46188</v>
      </c>
      <c r="H1357">
        <v>0.34542824074074074</v>
      </c>
      <c r="I1357" t="s">
        <v>11</v>
      </c>
      <c r="J1357" s="2" t="str">
        <f t="shared" si="107"/>
        <v>Q4</v>
      </c>
      <c r="K1357" s="2" t="str">
        <f t="shared" si="108"/>
        <v>Not Found</v>
      </c>
      <c r="L1357" s="1">
        <f t="shared" si="105"/>
        <v>0.21840329667841554</v>
      </c>
      <c r="M1357" s="1" t="e">
        <f t="shared" si="106"/>
        <v>#N/A</v>
      </c>
      <c r="N1357" s="2" t="str">
        <f t="shared" si="109"/>
        <v>Quadrant not assigned</v>
      </c>
      <c r="O1357">
        <v>15.08</v>
      </c>
      <c r="P1357">
        <v>-0.88</v>
      </c>
      <c r="Q1357">
        <v>-1.33</v>
      </c>
      <c r="R1357">
        <v>-0.92</v>
      </c>
      <c r="S1357">
        <v>0.21</v>
      </c>
      <c r="T1357">
        <v>-0.06</v>
      </c>
      <c r="U1357">
        <v>-0.11</v>
      </c>
      <c r="V1357">
        <v>0.28000000000000003</v>
      </c>
      <c r="W1357">
        <v>0.96</v>
      </c>
      <c r="X1357" t="s">
        <v>13</v>
      </c>
      <c r="Y1357" t="s">
        <v>7</v>
      </c>
      <c r="Z1357" s="2" t="s">
        <v>718</v>
      </c>
      <c r="AA1357" s="2" t="s">
        <v>721</v>
      </c>
    </row>
    <row r="1358" spans="1:27" x14ac:dyDescent="0.35">
      <c r="A1358" t="s">
        <v>2206</v>
      </c>
      <c r="B1358" t="s">
        <v>2419</v>
      </c>
      <c r="C1358" s="7" t="str">
        <f>_xlfn.XLOOKUP(B1358,'[1]Sheet 1'!$A$2:$A$11107,'[1]Sheet 1'!$D$2:$D$11107,"",0)</f>
        <v>VSS</v>
      </c>
      <c r="D1358" s="4" t="str">
        <f>_xlfn.XLOOKUP(A1358,[3]Sheet2!$I$2:$I$1623,[3]Sheet2!$D$2:$D$1623,"",0)</f>
        <v>Q1</v>
      </c>
      <c r="F1358" s="4" t="e">
        <f>_xlfn.XLOOKUP(B1358,[2]Sheet2!$E$2:$E$713,[2]Sheet2!$G$2:$G$713)</f>
        <v>#N/A</v>
      </c>
      <c r="G1358" s="22">
        <v>46188</v>
      </c>
      <c r="H1358">
        <v>0.35484953703703703</v>
      </c>
      <c r="I1358" t="s">
        <v>11</v>
      </c>
      <c r="J1358" s="2" t="str">
        <f t="shared" si="107"/>
        <v>Q1</v>
      </c>
      <c r="K1358" s="2" t="str">
        <f t="shared" si="108"/>
        <v>Match</v>
      </c>
      <c r="L1358" s="1">
        <f t="shared" si="105"/>
        <v>0.21213203435596423</v>
      </c>
      <c r="M1358" s="1" t="e">
        <f t="shared" si="106"/>
        <v>#N/A</v>
      </c>
      <c r="N1358" s="2" t="str">
        <f t="shared" si="109"/>
        <v>Q OK dE&lt;=0.8</v>
      </c>
      <c r="O1358">
        <v>15.57</v>
      </c>
      <c r="P1358">
        <v>-0.66</v>
      </c>
      <c r="Q1358">
        <v>-3.33</v>
      </c>
      <c r="R1358">
        <v>-0.41</v>
      </c>
      <c r="S1358">
        <v>0.03</v>
      </c>
      <c r="T1358">
        <v>0.21</v>
      </c>
      <c r="U1358">
        <v>-0.25</v>
      </c>
      <c r="V1358">
        <v>-0.02</v>
      </c>
      <c r="W1358">
        <v>0.48</v>
      </c>
      <c r="X1358" t="s">
        <v>8</v>
      </c>
      <c r="Y1358" t="s">
        <v>9</v>
      </c>
      <c r="Z1358" s="2" t="s">
        <v>718</v>
      </c>
      <c r="AA1358" s="2" t="s">
        <v>721</v>
      </c>
    </row>
    <row r="1359" spans="1:27" x14ac:dyDescent="0.35">
      <c r="A1359" t="s">
        <v>1668</v>
      </c>
      <c r="B1359" t="s">
        <v>2420</v>
      </c>
      <c r="C1359" s="7" t="str">
        <f>_xlfn.XLOOKUP(B1359,'[1]Sheet 1'!$A$2:$A$11107,'[1]Sheet 1'!$D$2:$D$11107,"",0)</f>
        <v>VSS</v>
      </c>
      <c r="D1359" s="4" t="str">
        <f>_xlfn.XLOOKUP(A1359,[3]Sheet2!$I$2:$I$1623,[3]Sheet2!$D$2:$D$1623,"",0)</f>
        <v>Q4</v>
      </c>
      <c r="F1359" s="4" t="e">
        <f>_xlfn.XLOOKUP(B1359,[2]Sheet2!$E$2:$E$713,[2]Sheet2!$G$2:$G$713)</f>
        <v>#N/A</v>
      </c>
      <c r="G1359" s="22">
        <v>46188</v>
      </c>
      <c r="H1359">
        <v>0.35716435185185186</v>
      </c>
      <c r="I1359" t="s">
        <v>11</v>
      </c>
      <c r="J1359" s="2" t="str">
        <f t="shared" si="107"/>
        <v>Q4</v>
      </c>
      <c r="K1359" s="2" t="str">
        <f t="shared" si="108"/>
        <v>Match</v>
      </c>
      <c r="L1359" s="1">
        <f t="shared" si="105"/>
        <v>1.3635981812836213</v>
      </c>
      <c r="M1359" s="1" t="e">
        <f t="shared" si="106"/>
        <v>#N/A</v>
      </c>
      <c r="N1359" s="2" t="str">
        <f t="shared" si="109"/>
        <v>Q OK dE&lt;=0.8</v>
      </c>
      <c r="O1359">
        <v>44.24</v>
      </c>
      <c r="P1359">
        <v>38.950000000000003</v>
      </c>
      <c r="Q1359">
        <v>-18.14</v>
      </c>
      <c r="R1359">
        <v>-0.32</v>
      </c>
      <c r="S1359">
        <v>1.05</v>
      </c>
      <c r="T1359">
        <v>-0.87</v>
      </c>
      <c r="U1359">
        <v>0.56000000000000005</v>
      </c>
      <c r="V1359">
        <v>-0.2</v>
      </c>
      <c r="W1359">
        <v>0.67</v>
      </c>
      <c r="X1359" t="s">
        <v>8</v>
      </c>
      <c r="Y1359" t="s">
        <v>7</v>
      </c>
      <c r="Z1359" s="2" t="s">
        <v>718</v>
      </c>
      <c r="AA1359" s="2" t="s">
        <v>721</v>
      </c>
    </row>
    <row r="1360" spans="1:27" x14ac:dyDescent="0.35">
      <c r="A1360" t="s">
        <v>1668</v>
      </c>
      <c r="B1360" t="s">
        <v>2421</v>
      </c>
      <c r="C1360" s="7" t="str">
        <f>_xlfn.XLOOKUP(B1360,'[1]Sheet 1'!$A$2:$A$11107,'[1]Sheet 1'!$D$2:$D$11107,"",0)</f>
        <v>VSS</v>
      </c>
      <c r="D1360" s="4" t="str">
        <f>_xlfn.XLOOKUP(A1360,[3]Sheet2!$I$2:$I$1623,[3]Sheet2!$D$2:$D$1623,"",0)</f>
        <v>Q4</v>
      </c>
      <c r="F1360" s="4" t="e">
        <f>_xlfn.XLOOKUP(B1360,[2]Sheet2!$E$2:$E$713,[2]Sheet2!$G$2:$G$713)</f>
        <v>#N/A</v>
      </c>
      <c r="G1360" s="22">
        <v>46188</v>
      </c>
      <c r="H1360">
        <v>0.35826388888888888</v>
      </c>
      <c r="I1360" t="s">
        <v>11</v>
      </c>
      <c r="J1360" s="2" t="str">
        <f t="shared" si="107"/>
        <v>Q4</v>
      </c>
      <c r="K1360" s="2" t="str">
        <f t="shared" si="108"/>
        <v>Match</v>
      </c>
      <c r="L1360" s="1">
        <f t="shared" si="105"/>
        <v>0.4729693436154187</v>
      </c>
      <c r="M1360" s="1" t="e">
        <f t="shared" si="106"/>
        <v>#N/A</v>
      </c>
      <c r="N1360" s="2" t="str">
        <f t="shared" si="109"/>
        <v>Q OK dE&lt;=0.8</v>
      </c>
      <c r="O1360">
        <v>45.86</v>
      </c>
      <c r="P1360">
        <v>38.01</v>
      </c>
      <c r="Q1360">
        <v>-17.73</v>
      </c>
      <c r="R1360">
        <v>0.48</v>
      </c>
      <c r="S1360">
        <v>0.11</v>
      </c>
      <c r="T1360">
        <v>-0.46</v>
      </c>
      <c r="U1360">
        <v>0.12</v>
      </c>
      <c r="V1360">
        <v>-0.22</v>
      </c>
      <c r="W1360">
        <v>0.54</v>
      </c>
      <c r="X1360" t="s">
        <v>8</v>
      </c>
      <c r="Y1360" t="s">
        <v>7</v>
      </c>
      <c r="Z1360" s="2" t="s">
        <v>718</v>
      </c>
      <c r="AA1360" s="2" t="s">
        <v>721</v>
      </c>
    </row>
    <row r="1361" spans="1:27" x14ac:dyDescent="0.35">
      <c r="A1361" t="s">
        <v>1639</v>
      </c>
      <c r="B1361" t="s">
        <v>2422</v>
      </c>
      <c r="C1361" s="7" t="str">
        <f>_xlfn.XLOOKUP(B1361,'[1]Sheet 1'!$A$2:$A$11107,'[1]Sheet 1'!$D$2:$D$11107,"",0)</f>
        <v>VSS</v>
      </c>
      <c r="D1361" s="4" t="str">
        <f>_xlfn.XLOOKUP(A1361,[3]Sheet2!$I$2:$I$1623,[3]Sheet2!$D$2:$D$1623,"",0)</f>
        <v>Q3</v>
      </c>
      <c r="F1361" s="4" t="e">
        <f>_xlfn.XLOOKUP(B1361,[2]Sheet2!$E$2:$E$713,[2]Sheet2!$G$2:$G$713)</f>
        <v>#N/A</v>
      </c>
      <c r="G1361" s="22">
        <v>46188</v>
      </c>
      <c r="H1361">
        <v>0.52143518518518517</v>
      </c>
      <c r="I1361" t="s">
        <v>11</v>
      </c>
      <c r="J1361" s="2" t="str">
        <f t="shared" si="107"/>
        <v>Q2</v>
      </c>
      <c r="K1361" s="2" t="str">
        <f t="shared" si="108"/>
        <v>Not Match</v>
      </c>
      <c r="L1361" s="1">
        <f t="shared" si="105"/>
        <v>0.31016124838541642</v>
      </c>
      <c r="M1361" s="1" t="e">
        <f t="shared" ref="M1361:M1408" si="110">IF(L1361&lt;=F1361,"Within Range","Over Range")</f>
        <v>#N/A</v>
      </c>
      <c r="N1361" s="2" t="str">
        <f t="shared" si="109"/>
        <v>Q NOT OK dE&lt;=0.8</v>
      </c>
      <c r="O1361">
        <v>14.42</v>
      </c>
      <c r="P1361">
        <v>-0.85</v>
      </c>
      <c r="Q1361">
        <v>-1.46</v>
      </c>
      <c r="R1361">
        <v>-0.56000000000000005</v>
      </c>
      <c r="S1361">
        <v>-0.11</v>
      </c>
      <c r="T1361">
        <v>0.28999999999999998</v>
      </c>
      <c r="U1361">
        <v>-0.28000000000000003</v>
      </c>
      <c r="V1361">
        <v>-0.32</v>
      </c>
      <c r="W1361">
        <v>0.7</v>
      </c>
      <c r="X1361" t="s">
        <v>8</v>
      </c>
      <c r="Y1361" t="s">
        <v>9</v>
      </c>
      <c r="Z1361" s="2" t="s">
        <v>718</v>
      </c>
      <c r="AA1361" s="2" t="s">
        <v>721</v>
      </c>
    </row>
    <row r="1362" spans="1:27" x14ac:dyDescent="0.35">
      <c r="A1362" t="s">
        <v>1626</v>
      </c>
      <c r="B1362" t="s">
        <v>2428</v>
      </c>
      <c r="C1362" s="7" t="str">
        <f>_xlfn.XLOOKUP(B1362,'[1]Sheet 1'!$A$2:$A$11107,'[1]Sheet 1'!$D$2:$D$11107,"",0)</f>
        <v>VSS</v>
      </c>
      <c r="D1362" s="4" t="str">
        <f>_xlfn.XLOOKUP(A1362,[3]Sheet2!$I$2:$I$1623,[3]Sheet2!$D$2:$D$1623,"",0)</f>
        <v>Q4</v>
      </c>
      <c r="F1362" s="4" t="e">
        <f>_xlfn.XLOOKUP(B1362,[2]Sheet2!$E$2:$E$713,[2]Sheet2!$G$2:$G$713)</f>
        <v>#N/A</v>
      </c>
      <c r="G1362" s="22">
        <v>46188</v>
      </c>
      <c r="H1362" s="23">
        <v>0.71172453703703709</v>
      </c>
      <c r="I1362" t="s">
        <v>11</v>
      </c>
      <c r="J1362" s="2" t="str">
        <f t="shared" ref="J1362:J1418" si="111">IF(OR(S1362=0,T1362=0),D1362,IF(AND(S1362&gt;0,T1362&gt;0),"Q1",IF(AND(S1362&lt;0,T1362&gt;0),"Q2",IF(AND(S1362&lt;0,T1362&lt;0),"Q3",IF(AND(S1362&gt;0,T1362&lt;0),"Q4","")))))</f>
        <v>Q2</v>
      </c>
      <c r="K1362" s="2" t="str">
        <f t="shared" ref="K1362:K1418" si="112">IF(J1362=D1362,"Match",IF(AND(J1362=0,D1362="Match"),"da and db 0",IF(D1362=0,"Not Found","Not Match")))</f>
        <v>Not Match</v>
      </c>
      <c r="L1362" s="1">
        <f t="shared" ref="L1362:L1410" si="113">SQRT(S1362^2+T1362^2)</f>
        <v>0.24166091947189144</v>
      </c>
      <c r="M1362" s="1" t="e">
        <f t="shared" si="110"/>
        <v>#N/A</v>
      </c>
      <c r="N1362" s="2" t="str">
        <f t="shared" ref="N1362:N1418" si="114">IF(D1362=0,"Quadrant not assigned",IF(AND(K1362="Match",W1362&lt;=0.8),"Q OK dE&lt;=0.8",IF(AND(K1362="Match",W1362&gt;0.8),"Q OK dE&gt;0.8",IF(AND(K1362="Not Match",W1362&lt;=0.8),"Q NOT OK dE&lt;=0.8","Q NOT OK dE&gt;0.8"))))</f>
        <v>Q NOT OK dE&lt;=0.8</v>
      </c>
      <c r="O1362">
        <v>14.96</v>
      </c>
      <c r="P1362">
        <v>-0.5</v>
      </c>
      <c r="Q1362">
        <v>-2.09</v>
      </c>
      <c r="R1362">
        <v>-0.32</v>
      </c>
      <c r="S1362">
        <v>-0.22</v>
      </c>
      <c r="T1362">
        <v>0.1</v>
      </c>
      <c r="U1362">
        <v>-7.0000000000000007E-2</v>
      </c>
      <c r="V1362">
        <v>-0.31</v>
      </c>
      <c r="W1362">
        <v>0.45</v>
      </c>
      <c r="X1362" t="s">
        <v>8</v>
      </c>
      <c r="Y1362" t="s">
        <v>15</v>
      </c>
      <c r="Z1362" s="2" t="s">
        <v>718</v>
      </c>
      <c r="AA1362" s="2" t="s">
        <v>721</v>
      </c>
    </row>
    <row r="1363" spans="1:27" x14ac:dyDescent="0.35">
      <c r="A1363" t="s">
        <v>1626</v>
      </c>
      <c r="B1363" t="s">
        <v>2429</v>
      </c>
      <c r="C1363" s="7" t="str">
        <f>_xlfn.XLOOKUP(B1363,'[1]Sheet 1'!$A$2:$A$11107,'[1]Sheet 1'!$D$2:$D$11107,"",0)</f>
        <v>VSS</v>
      </c>
      <c r="D1363" s="4" t="str">
        <f>_xlfn.XLOOKUP(A1363,[3]Sheet2!$I$2:$I$1623,[3]Sheet2!$D$2:$D$1623,"",0)</f>
        <v>Q4</v>
      </c>
      <c r="F1363" s="4" t="e">
        <f>_xlfn.XLOOKUP(B1363,[2]Sheet2!$E$2:$E$713,[2]Sheet2!$G$2:$G$713)</f>
        <v>#N/A</v>
      </c>
      <c r="G1363" s="22">
        <v>46188</v>
      </c>
      <c r="H1363" s="23">
        <v>0.71515046296296292</v>
      </c>
      <c r="I1363" t="s">
        <v>11</v>
      </c>
      <c r="J1363" s="2" t="str">
        <f t="shared" si="111"/>
        <v>Q4</v>
      </c>
      <c r="K1363" s="2" t="str">
        <f t="shared" si="112"/>
        <v>Match</v>
      </c>
      <c r="L1363" s="1">
        <f t="shared" si="113"/>
        <v>0.21</v>
      </c>
      <c r="M1363" s="1" t="e">
        <f t="shared" si="110"/>
        <v>#N/A</v>
      </c>
      <c r="N1363" s="2" t="str">
        <f t="shared" si="114"/>
        <v>Q OK dE&lt;=0.8</v>
      </c>
      <c r="O1363">
        <v>15.34</v>
      </c>
      <c r="P1363">
        <v>-0.5</v>
      </c>
      <c r="Q1363">
        <v>-2.19</v>
      </c>
      <c r="R1363">
        <v>0.06</v>
      </c>
      <c r="S1363">
        <v>-0.21</v>
      </c>
      <c r="T1363">
        <v>0</v>
      </c>
      <c r="U1363">
        <v>0.05</v>
      </c>
      <c r="V1363">
        <v>-0.28000000000000003</v>
      </c>
      <c r="W1363">
        <v>0.28999999999999998</v>
      </c>
      <c r="X1363" t="s">
        <v>8</v>
      </c>
      <c r="Y1363" t="s">
        <v>15</v>
      </c>
      <c r="Z1363" s="2" t="s">
        <v>718</v>
      </c>
      <c r="AA1363" s="2" t="s">
        <v>721</v>
      </c>
    </row>
    <row r="1364" spans="1:27" x14ac:dyDescent="0.35">
      <c r="A1364" t="s">
        <v>1626</v>
      </c>
      <c r="B1364" t="s">
        <v>2430</v>
      </c>
      <c r="C1364" s="7" t="str">
        <f>_xlfn.XLOOKUP(B1364,'[1]Sheet 1'!$A$2:$A$11107,'[1]Sheet 1'!$D$2:$D$11107,"",0)</f>
        <v>VSS</v>
      </c>
      <c r="D1364" s="4" t="str">
        <f>_xlfn.XLOOKUP(A1364,[3]Sheet2!$I$2:$I$1623,[3]Sheet2!$D$2:$D$1623,"",0)</f>
        <v>Q4</v>
      </c>
      <c r="F1364" s="4" t="e">
        <f>_xlfn.XLOOKUP(B1364,[2]Sheet2!$E$2:$E$713,[2]Sheet2!$G$2:$G$713)</f>
        <v>#N/A</v>
      </c>
      <c r="G1364" s="22">
        <v>46188</v>
      </c>
      <c r="H1364" s="23">
        <v>0.71859953703703705</v>
      </c>
      <c r="I1364" t="s">
        <v>11</v>
      </c>
      <c r="J1364" s="2" t="str">
        <f t="shared" si="111"/>
        <v>Q2</v>
      </c>
      <c r="K1364" s="2" t="str">
        <f t="shared" si="112"/>
        <v>Not Match</v>
      </c>
      <c r="L1364" s="1">
        <f t="shared" si="113"/>
        <v>0.2340939982143925</v>
      </c>
      <c r="M1364" s="1" t="e">
        <f t="shared" si="110"/>
        <v>#N/A</v>
      </c>
      <c r="N1364" s="2" t="str">
        <f t="shared" si="114"/>
        <v>Q NOT OK dE&lt;=0.8</v>
      </c>
      <c r="O1364">
        <v>14.92</v>
      </c>
      <c r="P1364">
        <v>-0.51</v>
      </c>
      <c r="Q1364">
        <v>-2.1</v>
      </c>
      <c r="R1364">
        <v>-0.36</v>
      </c>
      <c r="S1364">
        <v>-0.22</v>
      </c>
      <c r="T1364">
        <v>0.08</v>
      </c>
      <c r="U1364">
        <v>-0.05</v>
      </c>
      <c r="V1364">
        <v>-0.32</v>
      </c>
      <c r="W1364">
        <v>0.48</v>
      </c>
      <c r="X1364" t="s">
        <v>8</v>
      </c>
      <c r="Y1364" t="s">
        <v>15</v>
      </c>
      <c r="Z1364" s="2" t="s">
        <v>718</v>
      </c>
      <c r="AA1364" s="2" t="s">
        <v>721</v>
      </c>
    </row>
    <row r="1365" spans="1:27" x14ac:dyDescent="0.35">
      <c r="A1365" t="s">
        <v>1599</v>
      </c>
      <c r="B1365" t="s">
        <v>2431</v>
      </c>
      <c r="C1365" s="7" t="str">
        <f>_xlfn.XLOOKUP(B1365,'[1]Sheet 1'!$A$2:$A$11107,'[1]Sheet 1'!$D$2:$D$11107,"",0)</f>
        <v>M&amp;S</v>
      </c>
      <c r="D1365" s="4">
        <v>0</v>
      </c>
      <c r="F1365" s="4" t="e">
        <f>_xlfn.XLOOKUP(B1365,[2]Sheet2!$E$2:$E$713,[2]Sheet2!$G$2:$G$713)</f>
        <v>#N/A</v>
      </c>
      <c r="G1365" s="22">
        <v>46188</v>
      </c>
      <c r="H1365" s="23">
        <v>0.72150462962962958</v>
      </c>
      <c r="I1365" t="s">
        <v>17</v>
      </c>
      <c r="J1365" s="2" t="str">
        <f t="shared" si="111"/>
        <v>Q1</v>
      </c>
      <c r="K1365" s="2" t="str">
        <f t="shared" si="112"/>
        <v>Not Found</v>
      </c>
      <c r="L1365" s="1">
        <f t="shared" si="113"/>
        <v>0.21931712199461309</v>
      </c>
      <c r="M1365" s="1" t="e">
        <f t="shared" si="110"/>
        <v>#N/A</v>
      </c>
      <c r="N1365" s="2" t="str">
        <f t="shared" si="114"/>
        <v>Quadrant not assigned</v>
      </c>
      <c r="O1365">
        <v>25.67</v>
      </c>
      <c r="P1365">
        <v>0.73</v>
      </c>
      <c r="Q1365">
        <v>9.16</v>
      </c>
      <c r="R1365">
        <v>0.2</v>
      </c>
      <c r="S1365">
        <v>0.16</v>
      </c>
      <c r="T1365">
        <v>0.15</v>
      </c>
      <c r="U1365">
        <v>0.14000000000000001</v>
      </c>
      <c r="V1365">
        <v>-0.21</v>
      </c>
      <c r="W1365">
        <v>0.32</v>
      </c>
      <c r="X1365" t="s">
        <v>8</v>
      </c>
      <c r="Y1365" t="s">
        <v>9</v>
      </c>
      <c r="Z1365" s="2" t="s">
        <v>718</v>
      </c>
      <c r="AA1365" s="2" t="s">
        <v>721</v>
      </c>
    </row>
    <row r="1366" spans="1:27" x14ac:dyDescent="0.35">
      <c r="A1366" t="s">
        <v>1723</v>
      </c>
      <c r="B1366" t="s">
        <v>2432</v>
      </c>
      <c r="C1366" s="7" t="str">
        <f>_xlfn.XLOOKUP(B1366,'[1]Sheet 1'!$A$2:$A$11107,'[1]Sheet 1'!$D$2:$D$11107,"",0)</f>
        <v>GAP</v>
      </c>
      <c r="D1366" s="4" t="str">
        <f>_xlfn.XLOOKUP(A1366,[3]Sheet2!$I$2:$I$1623,[3]Sheet2!$D$2:$D$1623,"",0)</f>
        <v>Q2</v>
      </c>
      <c r="F1366" s="4" t="e">
        <f>_xlfn.XLOOKUP(B1366,[2]Sheet2!$E$2:$E$713,[2]Sheet2!$G$2:$G$713)</f>
        <v>#N/A</v>
      </c>
      <c r="G1366" s="22">
        <v>46188</v>
      </c>
      <c r="H1366" s="23">
        <v>0.54715277777777782</v>
      </c>
      <c r="I1366" t="s">
        <v>14</v>
      </c>
      <c r="J1366" s="2" t="str">
        <f t="shared" si="111"/>
        <v>Q3</v>
      </c>
      <c r="K1366" s="2" t="str">
        <f t="shared" si="112"/>
        <v>Not Match</v>
      </c>
      <c r="L1366" s="1">
        <f t="shared" si="113"/>
        <v>0.36069377593742868</v>
      </c>
      <c r="M1366" s="1" t="e">
        <f t="shared" si="110"/>
        <v>#N/A</v>
      </c>
      <c r="N1366" s="2" t="str">
        <f t="shared" si="114"/>
        <v>Q NOT OK dE&lt;=0.8</v>
      </c>
      <c r="O1366">
        <v>14.23</v>
      </c>
      <c r="P1366">
        <v>-0.55000000000000004</v>
      </c>
      <c r="Q1366">
        <v>-2.46</v>
      </c>
      <c r="R1366">
        <v>-0.28000000000000003</v>
      </c>
      <c r="S1366">
        <v>-0.26</v>
      </c>
      <c r="T1366">
        <v>-0.25</v>
      </c>
      <c r="U1366">
        <v>0.37</v>
      </c>
      <c r="V1366">
        <v>-0.28999999999999998</v>
      </c>
      <c r="W1366">
        <v>0.55000000000000004</v>
      </c>
      <c r="X1366" t="s">
        <v>8</v>
      </c>
      <c r="Y1366" t="s">
        <v>15</v>
      </c>
      <c r="Z1366" s="2" t="s">
        <v>718</v>
      </c>
      <c r="AA1366" s="2" t="s">
        <v>721</v>
      </c>
    </row>
    <row r="1367" spans="1:27" x14ac:dyDescent="0.35">
      <c r="A1367" t="s">
        <v>2273</v>
      </c>
      <c r="B1367" t="s">
        <v>2433</v>
      </c>
      <c r="C1367" s="7" t="str">
        <f>_xlfn.XLOOKUP(B1367,'[1]Sheet 1'!$A$2:$A$11107,'[1]Sheet 1'!$D$2:$D$11107,"",0)</f>
        <v>PINK</v>
      </c>
      <c r="D1367" s="4" t="str">
        <f>_xlfn.XLOOKUP(A1367,[3]Sheet2!$I$2:$I$1623,[3]Sheet2!$D$2:$D$1623,"",0)</f>
        <v>Q3</v>
      </c>
      <c r="F1367" s="4" t="e">
        <f>_xlfn.XLOOKUP(B1367,[2]Sheet2!$E$2:$E$713,[2]Sheet2!$G$2:$G$713)</f>
        <v>#N/A</v>
      </c>
      <c r="G1367" s="22">
        <v>46188</v>
      </c>
      <c r="H1367" s="23">
        <v>0.76763888888888887</v>
      </c>
      <c r="I1367" t="s">
        <v>11</v>
      </c>
      <c r="J1367" s="2" t="str">
        <f t="shared" si="111"/>
        <v>Q4</v>
      </c>
      <c r="K1367" s="2" t="str">
        <f t="shared" si="112"/>
        <v>Not Match</v>
      </c>
      <c r="L1367" s="1">
        <f t="shared" si="113"/>
        <v>0.84403791384036764</v>
      </c>
      <c r="M1367" s="1" t="e">
        <f t="shared" si="110"/>
        <v>#N/A</v>
      </c>
      <c r="N1367" s="2" t="str">
        <f t="shared" si="114"/>
        <v>Q NOT OK dE&gt;0.8</v>
      </c>
      <c r="O1367">
        <v>22.85</v>
      </c>
      <c r="P1367">
        <v>-12.66</v>
      </c>
      <c r="Q1367">
        <v>-2.1800000000000002</v>
      </c>
      <c r="R1367">
        <v>-0.83</v>
      </c>
      <c r="S1367">
        <v>0.82</v>
      </c>
      <c r="T1367">
        <v>-0.2</v>
      </c>
      <c r="U1367">
        <v>-0.56000000000000005</v>
      </c>
      <c r="V1367">
        <v>0.31</v>
      </c>
      <c r="W1367">
        <v>1.05</v>
      </c>
      <c r="X1367" t="s">
        <v>6</v>
      </c>
      <c r="Y1367" t="s">
        <v>7</v>
      </c>
      <c r="Z1367" s="2" t="s">
        <v>718</v>
      </c>
      <c r="AA1367" s="2" t="s">
        <v>721</v>
      </c>
    </row>
    <row r="1368" spans="1:27" x14ac:dyDescent="0.35">
      <c r="A1368" t="s">
        <v>2148</v>
      </c>
      <c r="B1368" t="s">
        <v>2434</v>
      </c>
      <c r="C1368" s="7" t="str">
        <f>_xlfn.XLOOKUP(B1368,'[1]Sheet 1'!$A$2:$A$11107,'[1]Sheet 1'!$D$2:$D$11107,"",0)</f>
        <v>VSS</v>
      </c>
      <c r="D1368" s="4" t="str">
        <f>_xlfn.XLOOKUP(A1368,[3]Sheet2!$I$2:$I$1623,[3]Sheet2!$D$2:$D$1623,"",0)</f>
        <v>Q3</v>
      </c>
      <c r="F1368" s="4" t="e">
        <f>_xlfn.XLOOKUP(B1368,[2]Sheet2!$E$2:$E$713,[2]Sheet2!$G$2:$G$713)</f>
        <v>#N/A</v>
      </c>
      <c r="G1368" s="22">
        <v>46188</v>
      </c>
      <c r="H1368" s="23">
        <v>0.7712268518518518</v>
      </c>
      <c r="I1368" t="s">
        <v>11</v>
      </c>
      <c r="J1368" s="2" t="str">
        <f t="shared" si="111"/>
        <v>Q1</v>
      </c>
      <c r="K1368" s="2" t="str">
        <f t="shared" si="112"/>
        <v>Not Match</v>
      </c>
      <c r="L1368" s="1">
        <f t="shared" si="113"/>
        <v>1.9090573590125572</v>
      </c>
      <c r="M1368" s="1" t="e">
        <f t="shared" si="110"/>
        <v>#N/A</v>
      </c>
      <c r="N1368" s="2" t="str">
        <f t="shared" si="114"/>
        <v>Q NOT OK dE&gt;0.8</v>
      </c>
      <c r="O1368">
        <v>34.89</v>
      </c>
      <c r="P1368">
        <v>41.28</v>
      </c>
      <c r="Q1368">
        <v>22.81</v>
      </c>
      <c r="R1368">
        <v>0.86</v>
      </c>
      <c r="S1368">
        <v>1.46</v>
      </c>
      <c r="T1368">
        <v>1.23</v>
      </c>
      <c r="U1368">
        <v>0.76</v>
      </c>
      <c r="V1368">
        <v>0.28999999999999998</v>
      </c>
      <c r="W1368">
        <v>1.18</v>
      </c>
      <c r="X1368" t="s">
        <v>6</v>
      </c>
      <c r="Y1368" t="s">
        <v>12</v>
      </c>
      <c r="Z1368" s="2" t="s">
        <v>718</v>
      </c>
      <c r="AA1368" s="2" t="s">
        <v>721</v>
      </c>
    </row>
    <row r="1369" spans="1:27" x14ac:dyDescent="0.35">
      <c r="A1369" t="s">
        <v>2366</v>
      </c>
      <c r="B1369" t="s">
        <v>2435</v>
      </c>
      <c r="C1369" s="7" t="str">
        <f>_xlfn.XLOOKUP(B1369,'[1]Sheet 1'!$A$2:$A$11107,'[1]Sheet 1'!$D$2:$D$11107,"",0)</f>
        <v>PINK</v>
      </c>
      <c r="D1369" s="4" t="str">
        <f>_xlfn.XLOOKUP(A1369,[3]Sheet2!$I$2:$I$1623,[3]Sheet2!$D$2:$D$1623,"",0)</f>
        <v>Q3</v>
      </c>
      <c r="F1369" s="4" t="e">
        <f>_xlfn.XLOOKUP(B1369,[2]Sheet2!$E$2:$E$713,[2]Sheet2!$G$2:$G$713)</f>
        <v>#N/A</v>
      </c>
      <c r="G1369" s="22">
        <v>46188</v>
      </c>
      <c r="H1369" s="23">
        <v>0.77467592592592593</v>
      </c>
      <c r="I1369" t="s">
        <v>11</v>
      </c>
      <c r="J1369" s="2" t="str">
        <f t="shared" si="111"/>
        <v>Q4</v>
      </c>
      <c r="K1369" s="2" t="str">
        <f t="shared" si="112"/>
        <v>Not Match</v>
      </c>
      <c r="L1369" s="1">
        <f t="shared" si="113"/>
        <v>0.14317821063276354</v>
      </c>
      <c r="M1369" s="1" t="e">
        <f t="shared" si="110"/>
        <v>#N/A</v>
      </c>
      <c r="N1369" s="2" t="str">
        <f t="shared" si="114"/>
        <v>Q NOT OK dE&lt;=0.8</v>
      </c>
      <c r="O1369">
        <v>27.3</v>
      </c>
      <c r="P1369">
        <v>-11.33</v>
      </c>
      <c r="Q1369">
        <v>-3.17</v>
      </c>
      <c r="R1369">
        <v>0.45</v>
      </c>
      <c r="S1369">
        <v>0.03</v>
      </c>
      <c r="T1369">
        <v>-0.14000000000000001</v>
      </c>
      <c r="U1369">
        <v>0.01</v>
      </c>
      <c r="V1369">
        <v>0.15</v>
      </c>
      <c r="W1369">
        <v>0.47</v>
      </c>
      <c r="X1369" t="s">
        <v>8</v>
      </c>
      <c r="Y1369" t="s">
        <v>7</v>
      </c>
      <c r="Z1369" s="2" t="s">
        <v>718</v>
      </c>
      <c r="AA1369" s="2" t="s">
        <v>721</v>
      </c>
    </row>
    <row r="1370" spans="1:27" x14ac:dyDescent="0.35">
      <c r="A1370" t="s">
        <v>1626</v>
      </c>
      <c r="B1370" t="s">
        <v>2436</v>
      </c>
      <c r="C1370" s="7" t="str">
        <f>_xlfn.XLOOKUP(B1370,'[1]Sheet 1'!$A$2:$A$11107,'[1]Sheet 1'!$D$2:$D$11107,"",0)</f>
        <v>VSS</v>
      </c>
      <c r="D1370" s="4" t="str">
        <f>_xlfn.XLOOKUP(A1370,[3]Sheet2!$I$2:$I$1623,[3]Sheet2!$D$2:$D$1623,"",0)</f>
        <v>Q4</v>
      </c>
      <c r="F1370" s="4" t="e">
        <f>_xlfn.XLOOKUP(B1370,[2]Sheet2!$E$2:$E$713,[2]Sheet2!$G$2:$G$713)</f>
        <v>#N/A</v>
      </c>
      <c r="G1370" s="22">
        <v>46188</v>
      </c>
      <c r="H1370" s="23">
        <v>0.78774305555555557</v>
      </c>
      <c r="I1370" t="s">
        <v>10</v>
      </c>
      <c r="J1370" s="2" t="str">
        <f t="shared" si="111"/>
        <v>Q2</v>
      </c>
      <c r="K1370" s="2" t="str">
        <f t="shared" si="112"/>
        <v>Not Match</v>
      </c>
      <c r="L1370" s="1">
        <f t="shared" si="113"/>
        <v>0.28442925306655786</v>
      </c>
      <c r="M1370" s="1" t="e">
        <f t="shared" si="110"/>
        <v>#N/A</v>
      </c>
      <c r="N1370" s="2" t="str">
        <f t="shared" si="114"/>
        <v>Q NOT OK dE&lt;=0.8</v>
      </c>
      <c r="O1370">
        <v>15.49</v>
      </c>
      <c r="P1370">
        <v>0.32</v>
      </c>
      <c r="Q1370">
        <v>-1.54</v>
      </c>
      <c r="R1370">
        <v>-0.08</v>
      </c>
      <c r="S1370">
        <v>-0.28000000000000003</v>
      </c>
      <c r="T1370">
        <v>0.05</v>
      </c>
      <c r="U1370">
        <v>-0.17</v>
      </c>
      <c r="V1370">
        <v>-0.35</v>
      </c>
      <c r="W1370">
        <v>0.4</v>
      </c>
      <c r="X1370" t="s">
        <v>8</v>
      </c>
      <c r="Y1370" t="s">
        <v>15</v>
      </c>
      <c r="Z1370" s="2" t="s">
        <v>718</v>
      </c>
      <c r="AA1370" s="2" t="s">
        <v>721</v>
      </c>
    </row>
    <row r="1371" spans="1:27" x14ac:dyDescent="0.35">
      <c r="A1371" t="s">
        <v>2156</v>
      </c>
      <c r="B1371" t="s">
        <v>2437</v>
      </c>
      <c r="C1371" s="7" t="str">
        <f>_xlfn.XLOOKUP(B1371,'[1]Sheet 1'!$A$2:$A$11107,'[1]Sheet 1'!$D$2:$D$11107,"",0)</f>
        <v>VSS</v>
      </c>
      <c r="D1371" s="4" t="str">
        <f>_xlfn.XLOOKUP(A1371,[3]Sheet2!$I$2:$I$1623,[3]Sheet2!$D$2:$D$1623,"",0)</f>
        <v>Q1</v>
      </c>
      <c r="F1371" s="4" t="e">
        <f>_xlfn.XLOOKUP(B1371,[2]Sheet2!$E$2:$E$713,[2]Sheet2!$G$2:$G$713)</f>
        <v>#N/A</v>
      </c>
      <c r="G1371" s="22">
        <v>46188</v>
      </c>
      <c r="H1371" s="23">
        <v>0.94896990740740739</v>
      </c>
      <c r="I1371" t="s">
        <v>10</v>
      </c>
      <c r="J1371" s="2" t="str">
        <f t="shared" si="111"/>
        <v>Q2</v>
      </c>
      <c r="K1371" s="2" t="str">
        <f t="shared" si="112"/>
        <v>Not Match</v>
      </c>
      <c r="L1371" s="1">
        <f t="shared" si="113"/>
        <v>1.1292918134831227</v>
      </c>
      <c r="M1371" s="1" t="e">
        <f t="shared" si="110"/>
        <v>#N/A</v>
      </c>
      <c r="N1371" s="2" t="str">
        <f t="shared" si="114"/>
        <v>Q NOT OK dE&gt;0.8</v>
      </c>
      <c r="O1371">
        <v>25.73</v>
      </c>
      <c r="P1371">
        <v>-13.39</v>
      </c>
      <c r="Q1371">
        <v>-2.66</v>
      </c>
      <c r="R1371">
        <v>-0.06</v>
      </c>
      <c r="S1371">
        <v>-0.72</v>
      </c>
      <c r="T1371">
        <v>0.87</v>
      </c>
      <c r="U1371">
        <v>0.37</v>
      </c>
      <c r="V1371">
        <v>-0.98</v>
      </c>
      <c r="W1371">
        <v>1.05</v>
      </c>
      <c r="X1371" t="s">
        <v>6</v>
      </c>
      <c r="Y1371" t="s">
        <v>12</v>
      </c>
      <c r="Z1371" s="2" t="s">
        <v>718</v>
      </c>
      <c r="AA1371" s="2" t="s">
        <v>721</v>
      </c>
    </row>
    <row r="1372" spans="1:27" x14ac:dyDescent="0.35">
      <c r="A1372" t="s">
        <v>2439</v>
      </c>
      <c r="B1372" t="s">
        <v>2440</v>
      </c>
      <c r="C1372" s="7" t="str">
        <f>_xlfn.XLOOKUP(B1372,'[1]Sheet 1'!$A$2:$A$11107,'[1]Sheet 1'!$D$2:$D$11107,"",0)</f>
        <v>CK</v>
      </c>
      <c r="D1372" s="4" t="str">
        <f>_xlfn.XLOOKUP(A1372,[3]Sheet2!$I$2:$I$1623,[3]Sheet2!$D$2:$D$1623,"",0)</f>
        <v>Q2</v>
      </c>
      <c r="F1372" s="4" t="e">
        <f>_xlfn.XLOOKUP(B1372,[2]Sheet2!$E$2:$E$713,[2]Sheet2!$G$2:$G$713)</f>
        <v>#N/A</v>
      </c>
      <c r="G1372" s="22">
        <v>46188</v>
      </c>
      <c r="H1372" s="23">
        <v>0.97896990740740741</v>
      </c>
      <c r="I1372" t="s">
        <v>11</v>
      </c>
      <c r="J1372" s="2" t="str">
        <f t="shared" si="111"/>
        <v>Q4</v>
      </c>
      <c r="K1372" s="2" t="str">
        <f t="shared" si="112"/>
        <v>Not Match</v>
      </c>
      <c r="L1372" s="1">
        <f t="shared" si="113"/>
        <v>0.29000000000000004</v>
      </c>
      <c r="M1372" s="1" t="e">
        <f t="shared" si="110"/>
        <v>#N/A</v>
      </c>
      <c r="N1372" s="2" t="str">
        <f t="shared" si="114"/>
        <v>Q NOT OK dE&lt;=0.8</v>
      </c>
      <c r="O1372">
        <v>36.659999999999997</v>
      </c>
      <c r="P1372">
        <v>-1.4</v>
      </c>
      <c r="Q1372">
        <v>-4.49</v>
      </c>
      <c r="R1372">
        <v>0.13</v>
      </c>
      <c r="S1372">
        <v>0.2</v>
      </c>
      <c r="T1372">
        <v>-0.21</v>
      </c>
      <c r="U1372">
        <v>0.15</v>
      </c>
      <c r="V1372">
        <v>0.33</v>
      </c>
      <c r="W1372">
        <v>0.39</v>
      </c>
      <c r="X1372" t="s">
        <v>8</v>
      </c>
      <c r="Y1372" t="s">
        <v>9</v>
      </c>
      <c r="Z1372" s="2" t="s">
        <v>718</v>
      </c>
      <c r="AA1372" s="2" t="s">
        <v>721</v>
      </c>
    </row>
    <row r="1373" spans="1:27" x14ac:dyDescent="0.35">
      <c r="A1373" t="s">
        <v>1626</v>
      </c>
      <c r="B1373" t="s">
        <v>2441</v>
      </c>
      <c r="C1373" s="7" t="str">
        <f>_xlfn.XLOOKUP(B1373,'[1]Sheet 1'!$A$2:$A$11107,'[1]Sheet 1'!$D$2:$D$11107,"",0)</f>
        <v>VSS</v>
      </c>
      <c r="D1373" s="4" t="str">
        <f>_xlfn.XLOOKUP(A1373,[3]Sheet2!$I$2:$I$1623,[3]Sheet2!$D$2:$D$1623,"",0)</f>
        <v>Q4</v>
      </c>
      <c r="F1373" s="4" t="e">
        <f>_xlfn.XLOOKUP(B1373,[2]Sheet2!$E$2:$E$713,[2]Sheet2!$G$2:$G$713)</f>
        <v>#N/A</v>
      </c>
      <c r="G1373" s="22">
        <v>46189</v>
      </c>
      <c r="H1373" s="23">
        <v>6.1921296296296294E-2</v>
      </c>
      <c r="I1373" t="s">
        <v>10</v>
      </c>
      <c r="J1373" s="2" t="str">
        <f t="shared" si="111"/>
        <v>Q3</v>
      </c>
      <c r="K1373" s="2" t="str">
        <f t="shared" si="112"/>
        <v>Not Match</v>
      </c>
      <c r="L1373" s="1">
        <f t="shared" si="113"/>
        <v>0.23194827009486405</v>
      </c>
      <c r="M1373" s="1" t="e">
        <f t="shared" si="110"/>
        <v>#N/A</v>
      </c>
      <c r="N1373" s="2" t="str">
        <f t="shared" si="114"/>
        <v>Q NOT OK dE&lt;=0.8</v>
      </c>
      <c r="O1373">
        <v>15.5</v>
      </c>
      <c r="P1373">
        <v>0.37</v>
      </c>
      <c r="Q1373">
        <v>-1.62</v>
      </c>
      <c r="R1373">
        <v>-0.08</v>
      </c>
      <c r="S1373">
        <v>-0.23</v>
      </c>
      <c r="T1373">
        <v>-0.03</v>
      </c>
      <c r="U1373">
        <v>-0.06</v>
      </c>
      <c r="V1373">
        <v>-0.31</v>
      </c>
      <c r="W1373">
        <v>0.33</v>
      </c>
      <c r="X1373" t="s">
        <v>8</v>
      </c>
      <c r="Y1373" t="s">
        <v>15</v>
      </c>
      <c r="Z1373" s="2" t="s">
        <v>718</v>
      </c>
      <c r="AA1373" s="2" t="s">
        <v>721</v>
      </c>
    </row>
    <row r="1374" spans="1:27" x14ac:dyDescent="0.35">
      <c r="A1374" t="s">
        <v>1626</v>
      </c>
      <c r="B1374" t="s">
        <v>2442</v>
      </c>
      <c r="C1374" s="7" t="str">
        <f>_xlfn.XLOOKUP(B1374,'[1]Sheet 1'!$A$2:$A$11107,'[1]Sheet 1'!$D$2:$D$11107,"",0)</f>
        <v>VSS</v>
      </c>
      <c r="D1374" s="4" t="str">
        <f>_xlfn.XLOOKUP(A1374,[3]Sheet2!$I$2:$I$1623,[3]Sheet2!$D$2:$D$1623,"",0)</f>
        <v>Q4</v>
      </c>
      <c r="F1374" s="4" t="e">
        <f>_xlfn.XLOOKUP(B1374,[2]Sheet2!$E$2:$E$713,[2]Sheet2!$G$2:$G$713)</f>
        <v>#N/A</v>
      </c>
      <c r="G1374" s="22">
        <v>46189</v>
      </c>
      <c r="H1374" s="23">
        <v>6.474537037037037E-2</v>
      </c>
      <c r="I1374" t="s">
        <v>10</v>
      </c>
      <c r="J1374" s="2" t="str">
        <f t="shared" si="111"/>
        <v>Q3</v>
      </c>
      <c r="K1374" s="2" t="str">
        <f t="shared" si="112"/>
        <v>Not Match</v>
      </c>
      <c r="L1374" s="1">
        <f t="shared" si="113"/>
        <v>0.25079872407968906</v>
      </c>
      <c r="M1374" s="1" t="e">
        <f t="shared" si="110"/>
        <v>#N/A</v>
      </c>
      <c r="N1374" s="2" t="str">
        <f t="shared" si="114"/>
        <v>Q NOT OK dE&lt;=0.8</v>
      </c>
      <c r="O1374">
        <v>15.4</v>
      </c>
      <c r="P1374">
        <v>0.34</v>
      </c>
      <c r="Q1374">
        <v>-1.61</v>
      </c>
      <c r="R1374">
        <v>-0.17</v>
      </c>
      <c r="S1374">
        <v>-0.25</v>
      </c>
      <c r="T1374">
        <v>-0.02</v>
      </c>
      <c r="U1374">
        <v>-7.0000000000000007E-2</v>
      </c>
      <c r="V1374">
        <v>-0.34</v>
      </c>
      <c r="W1374">
        <v>0.39</v>
      </c>
      <c r="X1374" t="s">
        <v>8</v>
      </c>
      <c r="Y1374" t="s">
        <v>15</v>
      </c>
      <c r="Z1374" s="2" t="s">
        <v>718</v>
      </c>
      <c r="AA1374" s="2" t="s">
        <v>721</v>
      </c>
    </row>
    <row r="1375" spans="1:27" x14ac:dyDescent="0.35">
      <c r="A1375" t="s">
        <v>1626</v>
      </c>
      <c r="B1375" t="s">
        <v>2443</v>
      </c>
      <c r="C1375" s="7" t="str">
        <f>_xlfn.XLOOKUP(B1375,'[1]Sheet 1'!$A$2:$A$11107,'[1]Sheet 1'!$D$2:$D$11107,"",0)</f>
        <v>VSS</v>
      </c>
      <c r="D1375" s="4" t="str">
        <f>_xlfn.XLOOKUP(A1375,[3]Sheet2!$I$2:$I$1623,[3]Sheet2!$D$2:$D$1623,"",0)</f>
        <v>Q4</v>
      </c>
      <c r="F1375" s="4" t="e">
        <f>_xlfn.XLOOKUP(B1375,[2]Sheet2!$E$2:$E$713,[2]Sheet2!$G$2:$G$713)</f>
        <v>#N/A</v>
      </c>
      <c r="G1375" s="22">
        <v>46189</v>
      </c>
      <c r="H1375" s="23">
        <v>6.6840277777777776E-2</v>
      </c>
      <c r="I1375" t="s">
        <v>10</v>
      </c>
      <c r="J1375" s="2" t="str">
        <f t="shared" si="111"/>
        <v>Q2</v>
      </c>
      <c r="K1375" s="2" t="str">
        <f t="shared" si="112"/>
        <v>Not Match</v>
      </c>
      <c r="L1375" s="1">
        <f t="shared" si="113"/>
        <v>0.21840329667841554</v>
      </c>
      <c r="M1375" s="1" t="e">
        <f t="shared" si="110"/>
        <v>#N/A</v>
      </c>
      <c r="N1375" s="2" t="str">
        <f t="shared" si="114"/>
        <v>Q NOT OK dE&lt;=0.8</v>
      </c>
      <c r="O1375">
        <v>15.64</v>
      </c>
      <c r="P1375">
        <v>0.39</v>
      </c>
      <c r="Q1375">
        <v>-1.53</v>
      </c>
      <c r="R1375">
        <v>0.06</v>
      </c>
      <c r="S1375">
        <v>-0.21</v>
      </c>
      <c r="T1375">
        <v>0.06</v>
      </c>
      <c r="U1375">
        <v>-0.16</v>
      </c>
      <c r="V1375">
        <v>-0.25</v>
      </c>
      <c r="W1375">
        <v>0.3</v>
      </c>
      <c r="X1375" t="s">
        <v>8</v>
      </c>
      <c r="Y1375" t="s">
        <v>15</v>
      </c>
      <c r="Z1375" s="2" t="s">
        <v>718</v>
      </c>
      <c r="AA1375" s="2" t="s">
        <v>721</v>
      </c>
    </row>
    <row r="1376" spans="1:27" x14ac:dyDescent="0.35">
      <c r="A1376" t="s">
        <v>2312</v>
      </c>
      <c r="B1376" t="s">
        <v>2444</v>
      </c>
      <c r="C1376" s="7" t="str">
        <f>_xlfn.XLOOKUP(B1376,'[1]Sheet 1'!$A$2:$A$11107,'[1]Sheet 1'!$D$2:$D$11107,"",0)</f>
        <v>VSS</v>
      </c>
      <c r="D1376" s="4" t="str">
        <f>_xlfn.XLOOKUP(A1376,[3]Sheet2!$I$2:$I$1623,[3]Sheet2!$D$2:$D$1623,"",0)</f>
        <v>Q1</v>
      </c>
      <c r="F1376" s="4" t="e">
        <f>_xlfn.XLOOKUP(B1376,[2]Sheet2!$E$2:$E$713,[2]Sheet2!$G$2:$G$713)</f>
        <v>#N/A</v>
      </c>
      <c r="G1376" s="22">
        <v>46189</v>
      </c>
      <c r="H1376" s="23">
        <v>7.5509259259259262E-2</v>
      </c>
      <c r="I1376" t="s">
        <v>10</v>
      </c>
      <c r="J1376" s="2" t="str">
        <f t="shared" si="111"/>
        <v>Q1</v>
      </c>
      <c r="K1376" s="2" t="str">
        <f t="shared" si="112"/>
        <v>Match</v>
      </c>
      <c r="L1376" s="1">
        <f t="shared" si="113"/>
        <v>0.4992995093127971</v>
      </c>
      <c r="M1376" s="1" t="e">
        <f t="shared" si="110"/>
        <v>#N/A</v>
      </c>
      <c r="N1376" s="2" t="str">
        <f t="shared" si="114"/>
        <v>Q OK dE&lt;=0.8</v>
      </c>
      <c r="O1376">
        <v>32.69</v>
      </c>
      <c r="P1376">
        <v>42.07</v>
      </c>
      <c r="Q1376">
        <v>23.14</v>
      </c>
      <c r="R1376">
        <v>0.16</v>
      </c>
      <c r="S1376">
        <v>0.42</v>
      </c>
      <c r="T1376">
        <v>0.27</v>
      </c>
      <c r="U1376">
        <v>0.2</v>
      </c>
      <c r="V1376">
        <v>0.03</v>
      </c>
      <c r="W1376">
        <v>0.26</v>
      </c>
      <c r="X1376" t="s">
        <v>8</v>
      </c>
      <c r="Y1376" t="s">
        <v>12</v>
      </c>
      <c r="Z1376" s="2" t="s">
        <v>718</v>
      </c>
      <c r="AA1376" s="2" t="s">
        <v>721</v>
      </c>
    </row>
    <row r="1377" spans="1:27" x14ac:dyDescent="0.35">
      <c r="A1377" t="s">
        <v>1598</v>
      </c>
      <c r="B1377" t="s">
        <v>2426</v>
      </c>
      <c r="C1377" s="7" t="str">
        <f>_xlfn.XLOOKUP(B1377,'[1]Sheet 1'!$A$2:$A$11107,'[1]Sheet 1'!$D$2:$D$11107,"",0)</f>
        <v>LULU</v>
      </c>
      <c r="D1377" s="4" t="str">
        <f>_xlfn.XLOOKUP(A1377,[3]Sheet2!$I$2:$I$1623,[3]Sheet2!$D$2:$D$1623,"",0)</f>
        <v>Q3</v>
      </c>
      <c r="F1377" s="4" t="e">
        <f>_xlfn.XLOOKUP(B1377,[2]Sheet2!$E$2:$E$713,[2]Sheet2!$G$2:$G$713)</f>
        <v>#N/A</v>
      </c>
      <c r="G1377" s="22">
        <v>46189</v>
      </c>
      <c r="H1377" s="23">
        <v>0.10586805555555556</v>
      </c>
      <c r="I1377" t="s">
        <v>4</v>
      </c>
      <c r="J1377" s="2" t="str">
        <f t="shared" si="111"/>
        <v>Q3</v>
      </c>
      <c r="K1377" s="2" t="str">
        <f t="shared" si="112"/>
        <v>Match</v>
      </c>
      <c r="L1377" s="1">
        <f t="shared" si="113"/>
        <v>0.81467785044151042</v>
      </c>
      <c r="M1377" s="1" t="e">
        <f t="shared" si="110"/>
        <v>#N/A</v>
      </c>
      <c r="N1377" s="2" t="str">
        <f t="shared" si="114"/>
        <v>Q OK dE&lt;=0.8</v>
      </c>
      <c r="O1377">
        <v>22.27</v>
      </c>
      <c r="P1377">
        <v>-8.41</v>
      </c>
      <c r="Q1377">
        <v>-12.33</v>
      </c>
      <c r="R1377">
        <v>-0.3</v>
      </c>
      <c r="S1377">
        <v>-0.54</v>
      </c>
      <c r="T1377">
        <v>-0.61</v>
      </c>
      <c r="U1377">
        <v>0.57999999999999996</v>
      </c>
      <c r="V1377">
        <v>-0.11</v>
      </c>
      <c r="W1377">
        <v>0.66</v>
      </c>
      <c r="X1377" t="s">
        <v>8</v>
      </c>
      <c r="Y1377" t="s">
        <v>15</v>
      </c>
      <c r="Z1377" s="2" t="s">
        <v>718</v>
      </c>
      <c r="AA1377" s="2" t="s">
        <v>721</v>
      </c>
    </row>
    <row r="1378" spans="1:27" x14ac:dyDescent="0.35">
      <c r="A1378" t="s">
        <v>1755</v>
      </c>
      <c r="B1378" t="s">
        <v>2445</v>
      </c>
      <c r="C1378" s="7" t="str">
        <f>_xlfn.XLOOKUP(B1378,'[1]Sheet 1'!$A$2:$A$11107,'[1]Sheet 1'!$D$2:$D$11107,"",0)</f>
        <v>VSS</v>
      </c>
      <c r="D1378" s="4" t="str">
        <f>_xlfn.XLOOKUP(A1378,[3]Sheet2!$I$2:$I$1623,[3]Sheet2!$D$2:$D$1623,"",0)</f>
        <v>Q4</v>
      </c>
      <c r="F1378" s="4" t="e">
        <f>_xlfn.XLOOKUP(B1378,[2]Sheet2!$E$2:$E$713,[2]Sheet2!$G$2:$G$713)</f>
        <v>#N/A</v>
      </c>
      <c r="G1378" s="22">
        <v>46189</v>
      </c>
      <c r="H1378" s="23">
        <v>0.14255787037037038</v>
      </c>
      <c r="I1378" t="s">
        <v>10</v>
      </c>
      <c r="J1378" s="2" t="str">
        <f t="shared" si="111"/>
        <v>Q1</v>
      </c>
      <c r="K1378" s="2" t="str">
        <f t="shared" si="112"/>
        <v>Not Match</v>
      </c>
      <c r="L1378" s="1">
        <f t="shared" si="113"/>
        <v>0.87</v>
      </c>
      <c r="M1378" s="1" t="e">
        <f t="shared" si="110"/>
        <v>#N/A</v>
      </c>
      <c r="N1378" s="2" t="str">
        <f t="shared" si="114"/>
        <v>Q NOT OK dE&gt;0.8</v>
      </c>
      <c r="O1378">
        <v>28.26</v>
      </c>
      <c r="P1378">
        <v>12.6</v>
      </c>
      <c r="Q1378">
        <v>-7.5</v>
      </c>
      <c r="R1378">
        <v>0.16</v>
      </c>
      <c r="S1378">
        <v>0.63</v>
      </c>
      <c r="T1378">
        <v>0.6</v>
      </c>
      <c r="U1378">
        <v>0.15</v>
      </c>
      <c r="V1378">
        <v>0.85</v>
      </c>
      <c r="W1378">
        <v>0.88</v>
      </c>
      <c r="X1378" t="s">
        <v>13</v>
      </c>
      <c r="Y1378" t="s">
        <v>9</v>
      </c>
      <c r="Z1378" s="2" t="s">
        <v>718</v>
      </c>
      <c r="AA1378" s="2" t="s">
        <v>721</v>
      </c>
    </row>
    <row r="1379" spans="1:27" x14ac:dyDescent="0.35">
      <c r="A1379" t="s">
        <v>2446</v>
      </c>
      <c r="B1379" t="s">
        <v>2447</v>
      </c>
      <c r="C1379" s="7" t="str">
        <f>_xlfn.XLOOKUP(B1379,'[1]Sheet 1'!$A$2:$A$11107,'[1]Sheet 1'!$D$2:$D$11107,"",0)</f>
        <v/>
      </c>
      <c r="D1379" s="4">
        <v>0</v>
      </c>
      <c r="F1379" s="4" t="e">
        <f>_xlfn.XLOOKUP(B1379,[2]Sheet2!$E$2:$E$713,[2]Sheet2!$G$2:$G$713)</f>
        <v>#N/A</v>
      </c>
      <c r="G1379" s="22">
        <v>46189</v>
      </c>
      <c r="H1379" s="23">
        <v>0.19663194444444446</v>
      </c>
      <c r="I1379" t="s">
        <v>4</v>
      </c>
      <c r="J1379" s="2" t="str">
        <f t="shared" si="111"/>
        <v>Q2</v>
      </c>
      <c r="K1379" s="2" t="str">
        <f t="shared" si="112"/>
        <v>Not Found</v>
      </c>
      <c r="L1379" s="1">
        <f t="shared" si="113"/>
        <v>1.1672617529928753</v>
      </c>
      <c r="M1379" s="1" t="e">
        <f t="shared" si="110"/>
        <v>#N/A</v>
      </c>
      <c r="N1379" s="2" t="str">
        <f t="shared" si="114"/>
        <v>Quadrant not assigned</v>
      </c>
      <c r="O1379">
        <v>27.4</v>
      </c>
      <c r="P1379">
        <v>30.77</v>
      </c>
      <c r="Q1379">
        <v>8.35</v>
      </c>
      <c r="R1379">
        <v>-1.08</v>
      </c>
      <c r="S1379">
        <v>-0.53</v>
      </c>
      <c r="T1379">
        <v>1.04</v>
      </c>
      <c r="U1379">
        <v>-0.13</v>
      </c>
      <c r="V1379">
        <v>0.87</v>
      </c>
      <c r="W1379">
        <v>1.4</v>
      </c>
      <c r="X1379" t="s">
        <v>6</v>
      </c>
      <c r="Y1379" t="s">
        <v>12</v>
      </c>
      <c r="Z1379" s="2" t="s">
        <v>718</v>
      </c>
      <c r="AA1379" s="2" t="s">
        <v>721</v>
      </c>
    </row>
    <row r="1380" spans="1:27" x14ac:dyDescent="0.35">
      <c r="A1380" t="s">
        <v>1717</v>
      </c>
      <c r="B1380" t="s">
        <v>2385</v>
      </c>
      <c r="C1380" s="7" t="str">
        <f>_xlfn.XLOOKUP(B1380,'[1]Sheet 1'!$A$2:$A$11107,'[1]Sheet 1'!$D$2:$D$11107,"",0)</f>
        <v>WACE</v>
      </c>
      <c r="D1380" s="4" t="str">
        <f>_xlfn.XLOOKUP(A1380,[3]Sheet2!$I$2:$I$1623,[3]Sheet2!$D$2:$D$1623,"",0)</f>
        <v>Q1</v>
      </c>
      <c r="F1380" s="4" t="e">
        <f>_xlfn.XLOOKUP(B1380,[2]Sheet2!$E$2:$E$713,[2]Sheet2!$G$2:$G$713)</f>
        <v>#N/A</v>
      </c>
      <c r="G1380" s="22">
        <v>46189</v>
      </c>
      <c r="H1380" s="23">
        <v>0.19827546296296297</v>
      </c>
      <c r="I1380" t="s">
        <v>4</v>
      </c>
      <c r="J1380" s="2" t="str">
        <f t="shared" si="111"/>
        <v>Q2</v>
      </c>
      <c r="K1380" s="2" t="str">
        <f t="shared" si="112"/>
        <v>Not Match</v>
      </c>
      <c r="L1380" s="1">
        <f t="shared" si="113"/>
        <v>0.91934759476489636</v>
      </c>
      <c r="M1380" s="1" t="e">
        <f t="shared" si="110"/>
        <v>#N/A</v>
      </c>
      <c r="N1380" s="2" t="str">
        <f t="shared" si="114"/>
        <v>Q NOT OK dE&gt;0.8</v>
      </c>
      <c r="O1380">
        <v>20.46</v>
      </c>
      <c r="P1380">
        <v>5.29</v>
      </c>
      <c r="Q1380">
        <v>2.2400000000000002</v>
      </c>
      <c r="R1380">
        <v>0.12</v>
      </c>
      <c r="S1380">
        <v>-0.66</v>
      </c>
      <c r="T1380">
        <v>0.64</v>
      </c>
      <c r="U1380">
        <v>-0.42</v>
      </c>
      <c r="V1380">
        <v>1.0900000000000001</v>
      </c>
      <c r="W1380">
        <v>1.18</v>
      </c>
      <c r="X1380" t="s">
        <v>6</v>
      </c>
      <c r="Y1380" t="s">
        <v>12</v>
      </c>
      <c r="Z1380" s="2" t="s">
        <v>718</v>
      </c>
      <c r="AA1380" s="2" t="s">
        <v>721</v>
      </c>
    </row>
    <row r="1381" spans="1:27" x14ac:dyDescent="0.35">
      <c r="A1381" t="s">
        <v>1752</v>
      </c>
      <c r="B1381" t="s">
        <v>2448</v>
      </c>
      <c r="C1381" s="7" t="str">
        <f>_xlfn.XLOOKUP(B1381,'[1]Sheet 1'!$A$2:$A$11107,'[1]Sheet 1'!$D$2:$D$11107,"",0)</f>
        <v>VSS</v>
      </c>
      <c r="D1381" s="4" t="str">
        <f>_xlfn.XLOOKUP(A1381,[3]Sheet2!$I$2:$I$1623,[3]Sheet2!$D$2:$D$1623,"",0)</f>
        <v>Q3</v>
      </c>
      <c r="F1381" s="4" t="e">
        <f>_xlfn.XLOOKUP(B1381,[2]Sheet2!$E$2:$E$713,[2]Sheet2!$G$2:$G$713)</f>
        <v>#N/A</v>
      </c>
      <c r="G1381" s="22">
        <v>46189</v>
      </c>
      <c r="H1381" s="23">
        <v>0.26423611111111112</v>
      </c>
      <c r="I1381" t="s">
        <v>10</v>
      </c>
      <c r="J1381" s="2" t="str">
        <f t="shared" si="111"/>
        <v>Q1</v>
      </c>
      <c r="K1381" s="2" t="str">
        <f t="shared" si="112"/>
        <v>Not Match</v>
      </c>
      <c r="L1381" s="1">
        <f t="shared" si="113"/>
        <v>0.31144823004794875</v>
      </c>
      <c r="M1381" s="1" t="e">
        <f t="shared" si="110"/>
        <v>#N/A</v>
      </c>
      <c r="N1381" s="2" t="str">
        <f t="shared" si="114"/>
        <v>Q NOT OK dE&lt;=0.8</v>
      </c>
      <c r="O1381">
        <v>17.16</v>
      </c>
      <c r="P1381">
        <v>0.73</v>
      </c>
      <c r="Q1381">
        <v>-0.54</v>
      </c>
      <c r="R1381">
        <v>0.03</v>
      </c>
      <c r="S1381">
        <v>0.21</v>
      </c>
      <c r="T1381">
        <v>0.23</v>
      </c>
      <c r="U1381">
        <v>-0.02</v>
      </c>
      <c r="V1381">
        <v>0.45</v>
      </c>
      <c r="W1381">
        <v>0.45</v>
      </c>
      <c r="X1381" t="s">
        <v>8</v>
      </c>
      <c r="Y1381" t="s">
        <v>9</v>
      </c>
      <c r="Z1381" s="2" t="s">
        <v>718</v>
      </c>
      <c r="AA1381" s="2" t="s">
        <v>721</v>
      </c>
    </row>
    <row r="1382" spans="1:27" x14ac:dyDescent="0.35">
      <c r="A1382" t="s">
        <v>2148</v>
      </c>
      <c r="B1382" t="s">
        <v>2449</v>
      </c>
      <c r="C1382" s="7" t="str">
        <f>_xlfn.XLOOKUP(B1382,'[1]Sheet 1'!$A$2:$A$11107,'[1]Sheet 1'!$D$2:$D$11107,"",0)</f>
        <v>VSS</v>
      </c>
      <c r="D1382" s="4" t="str">
        <f>_xlfn.XLOOKUP(A1382,[3]Sheet2!$I$2:$I$1623,[3]Sheet2!$D$2:$D$1623,"",0)</f>
        <v>Q3</v>
      </c>
      <c r="F1382" s="4" t="e">
        <f>_xlfn.XLOOKUP(B1382,[2]Sheet2!$E$2:$E$713,[2]Sheet2!$G$2:$G$713)</f>
        <v>#N/A</v>
      </c>
      <c r="G1382" s="22">
        <v>46189</v>
      </c>
      <c r="H1382" s="23">
        <v>0.26840277777777777</v>
      </c>
      <c r="I1382" t="s">
        <v>10</v>
      </c>
      <c r="J1382" s="2" t="str">
        <f t="shared" si="111"/>
        <v>Q1</v>
      </c>
      <c r="K1382" s="2" t="str">
        <f t="shared" si="112"/>
        <v>Not Match</v>
      </c>
      <c r="L1382" s="1">
        <f t="shared" si="113"/>
        <v>2.2418073066166953</v>
      </c>
      <c r="M1382" s="1" t="e">
        <f t="shared" si="110"/>
        <v>#N/A</v>
      </c>
      <c r="N1382" s="2" t="str">
        <f t="shared" si="114"/>
        <v>Q NOT OK dE&gt;0.8</v>
      </c>
      <c r="O1382">
        <v>44.39</v>
      </c>
      <c r="P1382">
        <v>55.65</v>
      </c>
      <c r="Q1382">
        <v>40.049999999999997</v>
      </c>
      <c r="R1382">
        <v>0.92</v>
      </c>
      <c r="S1382">
        <v>1.61</v>
      </c>
      <c r="T1382">
        <v>1.56</v>
      </c>
      <c r="U1382">
        <v>0.76</v>
      </c>
      <c r="V1382">
        <v>0.23</v>
      </c>
      <c r="W1382">
        <v>1.22</v>
      </c>
      <c r="X1382" t="s">
        <v>6</v>
      </c>
      <c r="Y1382" t="s">
        <v>12</v>
      </c>
      <c r="Z1382" s="2" t="s">
        <v>718</v>
      </c>
      <c r="AA1382" s="2" t="s">
        <v>721</v>
      </c>
    </row>
    <row r="1383" spans="1:27" x14ac:dyDescent="0.35">
      <c r="A1383" t="s">
        <v>2450</v>
      </c>
      <c r="B1383" t="s">
        <v>2451</v>
      </c>
      <c r="C1383" s="7" t="str">
        <f>_xlfn.XLOOKUP(B1383,'[1]Sheet 1'!$A$2:$A$11107,'[1]Sheet 1'!$D$2:$D$11107,"",0)</f>
        <v>WACE</v>
      </c>
      <c r="D1383" s="4" t="str">
        <f>_xlfn.XLOOKUP(A1383,[3]Sheet2!$I$2:$I$1623,[3]Sheet2!$D$2:$D$1623,"",0)</f>
        <v>Q2</v>
      </c>
      <c r="F1383" s="4" t="e">
        <f>_xlfn.XLOOKUP(B1383,[2]Sheet2!$E$2:$E$713,[2]Sheet2!$G$2:$G$713)</f>
        <v>#N/A</v>
      </c>
      <c r="G1383" s="22">
        <v>46189</v>
      </c>
      <c r="H1383" s="23">
        <v>0.27385416666666668</v>
      </c>
      <c r="I1383" t="s">
        <v>4</v>
      </c>
      <c r="J1383" s="2" t="str">
        <f t="shared" si="111"/>
        <v>Q2</v>
      </c>
      <c r="K1383" s="2" t="str">
        <f t="shared" si="112"/>
        <v>Match</v>
      </c>
      <c r="L1383" s="1">
        <f t="shared" si="113"/>
        <v>0.32</v>
      </c>
      <c r="M1383" s="1" t="e">
        <f t="shared" si="110"/>
        <v>#N/A</v>
      </c>
      <c r="N1383" s="2" t="str">
        <f t="shared" si="114"/>
        <v>Q OK dE&lt;=0.8</v>
      </c>
      <c r="O1383">
        <v>16.38</v>
      </c>
      <c r="P1383">
        <v>-0.62</v>
      </c>
      <c r="Q1383">
        <v>-1.41</v>
      </c>
      <c r="R1383">
        <v>-0.44</v>
      </c>
      <c r="S1383">
        <v>0</v>
      </c>
      <c r="T1383">
        <v>-0.32</v>
      </c>
      <c r="U1383">
        <v>0.41</v>
      </c>
      <c r="V1383">
        <v>0.2</v>
      </c>
      <c r="W1383">
        <v>0.63</v>
      </c>
      <c r="X1383" t="s">
        <v>8</v>
      </c>
      <c r="Y1383" t="s">
        <v>9</v>
      </c>
      <c r="Z1383" s="2" t="s">
        <v>718</v>
      </c>
      <c r="AA1383" s="2" t="s">
        <v>721</v>
      </c>
    </row>
    <row r="1384" spans="1:27" x14ac:dyDescent="0.35">
      <c r="A1384" t="s">
        <v>1655</v>
      </c>
      <c r="B1384" t="s">
        <v>2452</v>
      </c>
      <c r="C1384" s="7" t="str">
        <f>_xlfn.XLOOKUP(B1384,'[1]Sheet 1'!$A$2:$A$11107,'[1]Sheet 1'!$D$2:$D$11107,"",0)</f>
        <v>PINK</v>
      </c>
      <c r="D1384" s="4" t="str">
        <f>_xlfn.XLOOKUP(A1384,[3]Sheet2!$I$2:$I$1623,[3]Sheet2!$D$2:$D$1623,"",0)</f>
        <v>Q3</v>
      </c>
      <c r="F1384" s="4" t="e">
        <f>_xlfn.XLOOKUP(B1384,[2]Sheet2!$E$2:$E$713,[2]Sheet2!$G$2:$G$713)</f>
        <v>#N/A</v>
      </c>
      <c r="G1384" s="22">
        <v>46189</v>
      </c>
      <c r="H1384" s="23">
        <v>0.44140046296296298</v>
      </c>
      <c r="I1384" t="s">
        <v>10</v>
      </c>
      <c r="J1384" s="2" t="str">
        <f t="shared" si="111"/>
        <v>Q1</v>
      </c>
      <c r="K1384" s="2" t="str">
        <f t="shared" si="112"/>
        <v>Not Match</v>
      </c>
      <c r="L1384" s="1">
        <f t="shared" si="113"/>
        <v>0.21095023109728983</v>
      </c>
      <c r="M1384" s="1" t="e">
        <f t="shared" si="110"/>
        <v>#N/A</v>
      </c>
      <c r="N1384" s="2" t="str">
        <f t="shared" si="114"/>
        <v>Q NOT OK dE&lt;=0.8</v>
      </c>
      <c r="O1384">
        <v>13.69</v>
      </c>
      <c r="P1384">
        <v>0.82</v>
      </c>
      <c r="Q1384">
        <v>-0.87</v>
      </c>
      <c r="R1384">
        <v>-0.38</v>
      </c>
      <c r="S1384">
        <v>0.21</v>
      </c>
      <c r="T1384">
        <v>0.02</v>
      </c>
      <c r="U1384">
        <v>0.16</v>
      </c>
      <c r="V1384">
        <v>0.26</v>
      </c>
      <c r="W1384">
        <v>0.49</v>
      </c>
      <c r="X1384" t="s">
        <v>8</v>
      </c>
      <c r="Y1384" t="s">
        <v>9</v>
      </c>
      <c r="Z1384" s="2" t="s">
        <v>718</v>
      </c>
      <c r="AA1384" s="2" t="s">
        <v>721</v>
      </c>
    </row>
    <row r="1385" spans="1:27" x14ac:dyDescent="0.35">
      <c r="A1385" t="s">
        <v>2366</v>
      </c>
      <c r="B1385" t="s">
        <v>2453</v>
      </c>
      <c r="C1385" s="7" t="str">
        <f>_xlfn.XLOOKUP(B1385,'[1]Sheet 1'!$A$2:$A$11107,'[1]Sheet 1'!$D$2:$D$11107,"",0)</f>
        <v>PINK</v>
      </c>
      <c r="D1385" s="4" t="str">
        <f>_xlfn.XLOOKUP(A1385,[3]Sheet2!$I$2:$I$1623,[3]Sheet2!$D$2:$D$1623,"",0)</f>
        <v>Q3</v>
      </c>
      <c r="F1385" s="4" t="e">
        <f>_xlfn.XLOOKUP(B1385,[2]Sheet2!$E$2:$E$713,[2]Sheet2!$G$2:$G$713)</f>
        <v>#N/A</v>
      </c>
      <c r="G1385" s="22">
        <v>46189</v>
      </c>
      <c r="H1385" s="23">
        <v>0.43480324074074073</v>
      </c>
      <c r="I1385" t="s">
        <v>10</v>
      </c>
      <c r="J1385" s="2" t="str">
        <f t="shared" si="111"/>
        <v>Q2</v>
      </c>
      <c r="K1385" s="2" t="str">
        <f t="shared" si="112"/>
        <v>Not Match</v>
      </c>
      <c r="L1385" s="1">
        <f t="shared" si="113"/>
        <v>0.61846584384264902</v>
      </c>
      <c r="M1385" s="1" t="e">
        <f t="shared" si="110"/>
        <v>#N/A</v>
      </c>
      <c r="N1385" s="2" t="str">
        <f t="shared" si="114"/>
        <v>Q NOT OK dE&lt;=0.8</v>
      </c>
      <c r="O1385">
        <v>26.3</v>
      </c>
      <c r="P1385">
        <v>-14.8</v>
      </c>
      <c r="Q1385">
        <v>-4.78</v>
      </c>
      <c r="R1385">
        <v>-0.19</v>
      </c>
      <c r="S1385">
        <v>-0.56999999999999995</v>
      </c>
      <c r="T1385">
        <v>0.24</v>
      </c>
      <c r="U1385">
        <v>0.32</v>
      </c>
      <c r="V1385">
        <v>-0.37</v>
      </c>
      <c r="W1385">
        <v>0.52</v>
      </c>
      <c r="X1385" t="s">
        <v>8</v>
      </c>
      <c r="Y1385" t="s">
        <v>12</v>
      </c>
      <c r="Z1385" s="2" t="s">
        <v>718</v>
      </c>
      <c r="AA1385" s="2" t="s">
        <v>721</v>
      </c>
    </row>
    <row r="1386" spans="1:27" x14ac:dyDescent="0.35">
      <c r="A1386" t="s">
        <v>2366</v>
      </c>
      <c r="B1386" t="s">
        <v>2454</v>
      </c>
      <c r="C1386" s="7" t="str">
        <f>_xlfn.XLOOKUP(B1386,'[1]Sheet 1'!$A$2:$A$11107,'[1]Sheet 1'!$D$2:$D$11107,"",0)</f>
        <v>PINK</v>
      </c>
      <c r="D1386" s="4" t="str">
        <f>_xlfn.XLOOKUP(A1386,[3]Sheet2!$I$2:$I$1623,[3]Sheet2!$D$2:$D$1623,"",0)</f>
        <v>Q3</v>
      </c>
      <c r="F1386" s="4" t="e">
        <f>_xlfn.XLOOKUP(B1386,[2]Sheet2!$E$2:$E$713,[2]Sheet2!$G$2:$G$713)</f>
        <v>#N/A</v>
      </c>
      <c r="G1386" s="22">
        <v>46189</v>
      </c>
      <c r="H1386" s="23">
        <v>0.43615740740740738</v>
      </c>
      <c r="I1386" t="s">
        <v>10</v>
      </c>
      <c r="J1386" s="2" t="str">
        <f t="shared" si="111"/>
        <v>Q1</v>
      </c>
      <c r="K1386" s="2" t="str">
        <f t="shared" si="112"/>
        <v>Not Match</v>
      </c>
      <c r="L1386" s="1">
        <f t="shared" si="113"/>
        <v>1.1896638180595391</v>
      </c>
      <c r="M1386" s="1" t="e">
        <f t="shared" si="110"/>
        <v>#N/A</v>
      </c>
      <c r="N1386" s="2" t="str">
        <f t="shared" si="114"/>
        <v>Q NOT OK dE&gt;0.8</v>
      </c>
      <c r="O1386">
        <v>26.76</v>
      </c>
      <c r="P1386">
        <v>-13.71</v>
      </c>
      <c r="Q1386">
        <v>-3.96</v>
      </c>
      <c r="R1386">
        <v>0.12</v>
      </c>
      <c r="S1386">
        <v>0.52</v>
      </c>
      <c r="T1386">
        <v>1.07</v>
      </c>
      <c r="U1386">
        <v>-0.56999999999999995</v>
      </c>
      <c r="V1386">
        <v>-0.78</v>
      </c>
      <c r="W1386">
        <v>0.97</v>
      </c>
      <c r="X1386" t="s">
        <v>13</v>
      </c>
      <c r="Y1386" t="s">
        <v>12</v>
      </c>
      <c r="Z1386" s="2" t="s">
        <v>718</v>
      </c>
      <c r="AA1386" s="2" t="s">
        <v>721</v>
      </c>
    </row>
    <row r="1387" spans="1:27" x14ac:dyDescent="0.35">
      <c r="A1387" t="s">
        <v>2455</v>
      </c>
      <c r="B1387" t="s">
        <v>2456</v>
      </c>
      <c r="C1387" s="7" t="str">
        <f>_xlfn.XLOOKUP(B1387,'[1]Sheet 1'!$A$2:$A$11107,'[1]Sheet 1'!$D$2:$D$11107,"",0)</f>
        <v>VSS</v>
      </c>
      <c r="D1387" s="4" t="str">
        <f>_xlfn.XLOOKUP(A1387,[3]Sheet2!$I$2:$I$1623,[3]Sheet2!$D$2:$D$1623,"",0)</f>
        <v>Q4</v>
      </c>
      <c r="F1387" s="4" t="e">
        <f>_xlfn.XLOOKUP(B1387,[2]Sheet2!$E$2:$E$713,[2]Sheet2!$G$2:$G$713)</f>
        <v>#N/A</v>
      </c>
      <c r="G1387" s="22">
        <v>46189</v>
      </c>
      <c r="H1387" s="23">
        <v>0.47457175925925926</v>
      </c>
      <c r="I1387" t="s">
        <v>10</v>
      </c>
      <c r="J1387" s="2" t="str">
        <f t="shared" si="111"/>
        <v>Q2</v>
      </c>
      <c r="K1387" s="2" t="str">
        <f t="shared" si="112"/>
        <v>Not Match</v>
      </c>
      <c r="L1387" s="1">
        <f t="shared" si="113"/>
        <v>0.8616263691415208</v>
      </c>
      <c r="M1387" s="1" t="e">
        <f t="shared" si="110"/>
        <v>#N/A</v>
      </c>
      <c r="N1387" s="2" t="str">
        <f t="shared" si="114"/>
        <v>Q NOT OK dE&gt;0.8</v>
      </c>
      <c r="O1387">
        <v>24.22</v>
      </c>
      <c r="P1387">
        <v>-13.34</v>
      </c>
      <c r="Q1387">
        <v>-2.85</v>
      </c>
      <c r="R1387">
        <v>-0.28000000000000003</v>
      </c>
      <c r="S1387">
        <v>-0.32</v>
      </c>
      <c r="T1387">
        <v>0.8</v>
      </c>
      <c r="U1387">
        <v>0.09</v>
      </c>
      <c r="V1387">
        <v>-0.81</v>
      </c>
      <c r="W1387">
        <v>0.86</v>
      </c>
      <c r="X1387" t="s">
        <v>13</v>
      </c>
      <c r="Y1387" t="s">
        <v>12</v>
      </c>
      <c r="Z1387" s="2" t="s">
        <v>718</v>
      </c>
      <c r="AA1387" s="2" t="s">
        <v>721</v>
      </c>
    </row>
    <row r="1388" spans="1:27" x14ac:dyDescent="0.35">
      <c r="A1388" t="s">
        <v>2457</v>
      </c>
      <c r="B1388" t="s">
        <v>2458</v>
      </c>
      <c r="C1388" s="7" t="str">
        <f>_xlfn.XLOOKUP(B1388,'[1]Sheet 1'!$A$2:$A$11107,'[1]Sheet 1'!$D$2:$D$11107,"",0)</f>
        <v>SW</v>
      </c>
      <c r="D1388" s="4" t="str">
        <f>_xlfn.XLOOKUP(A1388,[3]Sheet2!$I$2:$I$1623,[3]Sheet2!$D$2:$D$1623,"",0)</f>
        <v>Q2</v>
      </c>
      <c r="F1388" s="4" t="e">
        <f>_xlfn.XLOOKUP(B1388,[2]Sheet2!$E$2:$E$713,[2]Sheet2!$G$2:$G$713)</f>
        <v>#N/A</v>
      </c>
      <c r="G1388" s="22">
        <v>46189</v>
      </c>
      <c r="H1388" s="23">
        <v>0.47783564814814816</v>
      </c>
      <c r="I1388" t="s">
        <v>4</v>
      </c>
      <c r="J1388" s="2" t="str">
        <f t="shared" si="111"/>
        <v>Q2</v>
      </c>
      <c r="K1388" s="2" t="str">
        <f t="shared" si="112"/>
        <v>Match</v>
      </c>
      <c r="L1388" s="1">
        <f t="shared" si="113"/>
        <v>0.40792156108742283</v>
      </c>
      <c r="M1388" s="1" t="e">
        <f t="shared" si="110"/>
        <v>#N/A</v>
      </c>
      <c r="N1388" s="2" t="str">
        <f t="shared" si="114"/>
        <v>Q OK dE&lt;=0.8</v>
      </c>
      <c r="O1388">
        <v>23.93</v>
      </c>
      <c r="P1388">
        <v>17.489999999999998</v>
      </c>
      <c r="Q1388">
        <v>3.99</v>
      </c>
      <c r="R1388">
        <v>-0.42</v>
      </c>
      <c r="S1388">
        <v>-0.08</v>
      </c>
      <c r="T1388">
        <v>0.4</v>
      </c>
      <c r="U1388">
        <v>0</v>
      </c>
      <c r="V1388">
        <v>0.41</v>
      </c>
      <c r="W1388">
        <v>0.59</v>
      </c>
      <c r="X1388" t="s">
        <v>8</v>
      </c>
      <c r="Y1388" t="s">
        <v>12</v>
      </c>
      <c r="Z1388" s="2" t="s">
        <v>718</v>
      </c>
      <c r="AA1388" s="2" t="s">
        <v>721</v>
      </c>
    </row>
    <row r="1389" spans="1:27" x14ac:dyDescent="0.35">
      <c r="A1389" t="s">
        <v>1688</v>
      </c>
      <c r="B1389" t="s">
        <v>2459</v>
      </c>
      <c r="C1389" s="7" t="str">
        <f>_xlfn.XLOOKUP(B1389,'[1]Sheet 1'!$A$2:$A$11107,'[1]Sheet 1'!$D$2:$D$11107,"",0)</f>
        <v>GAP</v>
      </c>
      <c r="D1389" s="4" t="str">
        <f>_xlfn.XLOOKUP(A1389,[3]Sheet2!$I$2:$I$1623,[3]Sheet2!$D$2:$D$1623,"",0)</f>
        <v>Q4</v>
      </c>
      <c r="F1389" s="4" t="e">
        <f>_xlfn.XLOOKUP(B1389,[2]Sheet2!$E$2:$E$713,[2]Sheet2!$G$2:$G$713)</f>
        <v>#N/A</v>
      </c>
      <c r="G1389" s="22">
        <v>46189</v>
      </c>
      <c r="H1389" s="23">
        <v>0.68898148148148153</v>
      </c>
      <c r="I1389" t="s">
        <v>4</v>
      </c>
      <c r="J1389" s="2" t="str">
        <f t="shared" si="111"/>
        <v>Q3</v>
      </c>
      <c r="K1389" s="2" t="str">
        <f t="shared" si="112"/>
        <v>Not Match</v>
      </c>
      <c r="L1389" s="1">
        <f t="shared" si="113"/>
        <v>0.36796738985948202</v>
      </c>
      <c r="M1389" s="1" t="e">
        <f t="shared" si="110"/>
        <v>#N/A</v>
      </c>
      <c r="N1389" s="2" t="str">
        <f t="shared" si="114"/>
        <v>Q NOT OK dE&lt;=0.8</v>
      </c>
      <c r="O1389">
        <v>13.57</v>
      </c>
      <c r="P1389">
        <v>-0.31</v>
      </c>
      <c r="Q1389">
        <v>-1.45</v>
      </c>
      <c r="R1389">
        <v>0.1</v>
      </c>
      <c r="S1389">
        <v>-0.25</v>
      </c>
      <c r="T1389">
        <v>-0.27</v>
      </c>
      <c r="U1389">
        <v>0.43</v>
      </c>
      <c r="V1389">
        <v>-0.3</v>
      </c>
      <c r="W1389">
        <v>0.53</v>
      </c>
      <c r="X1389" t="s">
        <v>8</v>
      </c>
      <c r="Y1389" t="s">
        <v>15</v>
      </c>
      <c r="Z1389" s="2" t="s">
        <v>718</v>
      </c>
      <c r="AA1389" s="2" t="s">
        <v>721</v>
      </c>
    </row>
    <row r="1390" spans="1:27" x14ac:dyDescent="0.35">
      <c r="A1390" t="s">
        <v>1824</v>
      </c>
      <c r="B1390" t="s">
        <v>2427</v>
      </c>
      <c r="C1390" s="7" t="str">
        <f>_xlfn.XLOOKUP(B1390,'[1]Sheet 1'!$A$2:$A$11107,'[1]Sheet 1'!$D$2:$D$11107,"",0)</f>
        <v>VSS</v>
      </c>
      <c r="D1390" s="4" t="str">
        <f>_xlfn.XLOOKUP(A1390,[3]Sheet2!$I$2:$I$1623,[3]Sheet2!$D$2:$D$1623,"",0)</f>
        <v>Q3</v>
      </c>
      <c r="F1390" s="4" t="e">
        <f>_xlfn.XLOOKUP(B1390,[2]Sheet2!$E$2:$E$713,[2]Sheet2!$G$2:$G$713)</f>
        <v>#N/A</v>
      </c>
      <c r="G1390" s="22">
        <v>46189</v>
      </c>
      <c r="H1390" s="23">
        <v>0.69240740740740736</v>
      </c>
      <c r="I1390" t="s">
        <v>10</v>
      </c>
      <c r="J1390" s="2" t="str">
        <f t="shared" si="111"/>
        <v>Q3</v>
      </c>
      <c r="K1390" s="2" t="str">
        <f t="shared" si="112"/>
        <v>Match</v>
      </c>
      <c r="L1390" s="1">
        <f t="shared" si="113"/>
        <v>0.60926184846911269</v>
      </c>
      <c r="M1390" s="1" t="e">
        <f t="shared" si="110"/>
        <v>#N/A</v>
      </c>
      <c r="N1390" s="2" t="str">
        <f t="shared" si="114"/>
        <v>Q OK dE&lt;=0.8</v>
      </c>
      <c r="O1390">
        <v>47.09</v>
      </c>
      <c r="P1390">
        <v>16.71</v>
      </c>
      <c r="Q1390">
        <v>20.89</v>
      </c>
      <c r="R1390">
        <v>-0.03</v>
      </c>
      <c r="S1390">
        <v>-0.24</v>
      </c>
      <c r="T1390">
        <v>-0.56000000000000005</v>
      </c>
      <c r="U1390">
        <v>-0.31</v>
      </c>
      <c r="V1390">
        <v>-0.21</v>
      </c>
      <c r="W1390">
        <v>0.37</v>
      </c>
      <c r="X1390" t="s">
        <v>8</v>
      </c>
      <c r="Y1390" t="s">
        <v>9</v>
      </c>
      <c r="Z1390" s="2" t="s">
        <v>718</v>
      </c>
      <c r="AA1390" s="2" t="s">
        <v>721</v>
      </c>
    </row>
    <row r="1391" spans="1:27" x14ac:dyDescent="0.35">
      <c r="A1391" t="s">
        <v>2366</v>
      </c>
      <c r="B1391" t="s">
        <v>2460</v>
      </c>
      <c r="C1391" s="7" t="str">
        <f>_xlfn.XLOOKUP(B1391,'[1]Sheet 1'!$A$2:$A$11107,'[1]Sheet 1'!$D$2:$D$11107,"",0)</f>
        <v>PINK</v>
      </c>
      <c r="D1391" s="4" t="str">
        <f>_xlfn.XLOOKUP(A1391,[3]Sheet2!$I$2:$I$1623,[3]Sheet2!$D$2:$D$1623,"",0)</f>
        <v>Q3</v>
      </c>
      <c r="F1391" s="4" t="e">
        <f>_xlfn.XLOOKUP(B1391,[2]Sheet2!$E$2:$E$713,[2]Sheet2!$G$2:$G$713)</f>
        <v>#N/A</v>
      </c>
      <c r="G1391" s="22">
        <v>46189</v>
      </c>
      <c r="H1391" s="23">
        <v>0.56020833333333331</v>
      </c>
      <c r="I1391" t="s">
        <v>10</v>
      </c>
      <c r="J1391" s="2" t="str">
        <f t="shared" si="111"/>
        <v>Q1</v>
      </c>
      <c r="K1391" s="2" t="str">
        <f t="shared" si="112"/>
        <v>Not Match</v>
      </c>
      <c r="L1391" s="1">
        <f t="shared" si="113"/>
        <v>0.5232590180780452</v>
      </c>
      <c r="M1391" s="1" t="e">
        <f t="shared" si="110"/>
        <v>#N/A</v>
      </c>
      <c r="N1391" s="2" t="str">
        <f t="shared" si="114"/>
        <v>Q NOT OK dE&lt;=0.8</v>
      </c>
      <c r="O1391">
        <v>26.42</v>
      </c>
      <c r="P1391">
        <v>-14.01</v>
      </c>
      <c r="Q1391">
        <v>-4.55</v>
      </c>
      <c r="R1391">
        <v>-0.11</v>
      </c>
      <c r="S1391">
        <v>0.23</v>
      </c>
      <c r="T1391">
        <v>0.47</v>
      </c>
      <c r="U1391">
        <v>-0.25</v>
      </c>
      <c r="V1391">
        <v>-0.34</v>
      </c>
      <c r="W1391">
        <v>0.44</v>
      </c>
      <c r="X1391" t="s">
        <v>8</v>
      </c>
      <c r="Y1391" t="s">
        <v>12</v>
      </c>
      <c r="Z1391" s="2" t="s">
        <v>718</v>
      </c>
      <c r="AA1391" s="2" t="s">
        <v>721</v>
      </c>
    </row>
    <row r="1392" spans="1:27" x14ac:dyDescent="0.35">
      <c r="A1392" t="s">
        <v>1626</v>
      </c>
      <c r="B1392" t="s">
        <v>2461</v>
      </c>
      <c r="C1392" s="7" t="str">
        <f>_xlfn.XLOOKUP(B1392,'[1]Sheet 1'!$A$2:$A$11107,'[1]Sheet 1'!$D$2:$D$11107,"",0)</f>
        <v>VSS</v>
      </c>
      <c r="D1392" s="4" t="str">
        <f>_xlfn.XLOOKUP(A1392,[3]Sheet2!$I$2:$I$1623,[3]Sheet2!$D$2:$D$1623,"",0)</f>
        <v>Q4</v>
      </c>
      <c r="F1392" s="4" t="e">
        <f>_xlfn.XLOOKUP(B1392,[2]Sheet2!$E$2:$E$713,[2]Sheet2!$G$2:$G$713)</f>
        <v>#N/A</v>
      </c>
      <c r="G1392" s="22">
        <v>46189</v>
      </c>
      <c r="H1392" s="23">
        <v>0.69803240740740746</v>
      </c>
      <c r="I1392" t="s">
        <v>10</v>
      </c>
      <c r="J1392" s="2" t="str">
        <f t="shared" si="111"/>
        <v>Q2</v>
      </c>
      <c r="K1392" s="2" t="str">
        <f t="shared" si="112"/>
        <v>Not Match</v>
      </c>
      <c r="L1392" s="1">
        <f t="shared" si="113"/>
        <v>0.15524174696260024</v>
      </c>
      <c r="M1392" s="1" t="e">
        <f t="shared" si="110"/>
        <v>#N/A</v>
      </c>
      <c r="N1392" s="2" t="str">
        <f t="shared" si="114"/>
        <v>Q NOT OK dE&lt;=0.8</v>
      </c>
      <c r="O1392">
        <v>15.6</v>
      </c>
      <c r="P1392">
        <v>0.45</v>
      </c>
      <c r="Q1392">
        <v>-1.55</v>
      </c>
      <c r="R1392">
        <v>0.02</v>
      </c>
      <c r="S1392">
        <v>-0.15</v>
      </c>
      <c r="T1392">
        <v>0.04</v>
      </c>
      <c r="U1392">
        <v>-0.12</v>
      </c>
      <c r="V1392">
        <v>-0.17</v>
      </c>
      <c r="W1392">
        <v>0.21</v>
      </c>
      <c r="X1392" t="s">
        <v>8</v>
      </c>
      <c r="Y1392" t="s">
        <v>15</v>
      </c>
      <c r="Z1392" s="2" t="s">
        <v>718</v>
      </c>
      <c r="AA1392" s="2" t="s">
        <v>721</v>
      </c>
    </row>
    <row r="1393" spans="1:27" x14ac:dyDescent="0.35">
      <c r="A1393" t="s">
        <v>1655</v>
      </c>
      <c r="B1393" t="s">
        <v>2462</v>
      </c>
      <c r="C1393" s="7" t="str">
        <f>_xlfn.XLOOKUP(B1393,'[1]Sheet 1'!$A$2:$A$11107,'[1]Sheet 1'!$D$2:$D$11107,"",0)</f>
        <v>PINK</v>
      </c>
      <c r="D1393" s="4" t="str">
        <f>_xlfn.XLOOKUP(A1393,[3]Sheet2!$I$2:$I$1623,[3]Sheet2!$D$2:$D$1623,"",0)</f>
        <v>Q3</v>
      </c>
      <c r="F1393" s="4" t="e">
        <f>_xlfn.XLOOKUP(B1393,[2]Sheet2!$E$2:$E$713,[2]Sheet2!$G$2:$G$713)</f>
        <v>#N/A</v>
      </c>
      <c r="G1393" s="22">
        <v>46189</v>
      </c>
      <c r="H1393" s="23">
        <v>0.69984953703703701</v>
      </c>
      <c r="I1393" t="s">
        <v>10</v>
      </c>
      <c r="J1393" s="2" t="str">
        <f t="shared" si="111"/>
        <v>Q4</v>
      </c>
      <c r="K1393" s="2" t="str">
        <f t="shared" si="112"/>
        <v>Not Match</v>
      </c>
      <c r="L1393" s="1">
        <f t="shared" si="113"/>
        <v>0.11045361017187261</v>
      </c>
      <c r="M1393" s="1" t="e">
        <f t="shared" si="110"/>
        <v>#N/A</v>
      </c>
      <c r="N1393" s="2" t="str">
        <f t="shared" si="114"/>
        <v>Q NOT OK dE&lt;=0.8</v>
      </c>
      <c r="O1393">
        <v>14.08</v>
      </c>
      <c r="P1393">
        <v>0.72</v>
      </c>
      <c r="Q1393">
        <v>-0.9</v>
      </c>
      <c r="R1393">
        <v>0</v>
      </c>
      <c r="S1393">
        <v>0.11</v>
      </c>
      <c r="T1393">
        <v>-0.01</v>
      </c>
      <c r="U1393">
        <v>0.1</v>
      </c>
      <c r="V1393">
        <v>0.12</v>
      </c>
      <c r="W1393">
        <v>0.15</v>
      </c>
      <c r="X1393" t="s">
        <v>8</v>
      </c>
      <c r="Y1393" t="s">
        <v>9</v>
      </c>
      <c r="Z1393" s="2" t="s">
        <v>718</v>
      </c>
      <c r="AA1393" s="2" t="s">
        <v>721</v>
      </c>
    </row>
    <row r="1394" spans="1:27" x14ac:dyDescent="0.35">
      <c r="A1394" t="s">
        <v>2148</v>
      </c>
      <c r="B1394" t="s">
        <v>2463</v>
      </c>
      <c r="C1394" s="7" t="str">
        <f>_xlfn.XLOOKUP(B1394,'[1]Sheet 1'!$A$2:$A$11107,'[1]Sheet 1'!$D$2:$D$11107,"",0)</f>
        <v>VSS</v>
      </c>
      <c r="D1394" s="4" t="str">
        <f>_xlfn.XLOOKUP(A1394,[3]Sheet2!$I$2:$I$1623,[3]Sheet2!$D$2:$D$1623,"",0)</f>
        <v>Q3</v>
      </c>
      <c r="F1394" s="4" t="e">
        <f>_xlfn.XLOOKUP(B1394,[2]Sheet2!$E$2:$E$713,[2]Sheet2!$G$2:$G$713)</f>
        <v>#N/A</v>
      </c>
      <c r="G1394" s="22">
        <v>46189</v>
      </c>
      <c r="H1394" s="23">
        <v>0.70207175925925924</v>
      </c>
      <c r="I1394" t="s">
        <v>10</v>
      </c>
      <c r="J1394" s="2" t="str">
        <f t="shared" si="111"/>
        <v>Q1</v>
      </c>
      <c r="K1394" s="2" t="str">
        <f t="shared" si="112"/>
        <v>Not Match</v>
      </c>
      <c r="L1394" s="1">
        <f t="shared" si="113"/>
        <v>1.1569356075426152</v>
      </c>
      <c r="M1394" s="1" t="e">
        <f t="shared" si="110"/>
        <v>#N/A</v>
      </c>
      <c r="N1394" s="2" t="str">
        <f t="shared" si="114"/>
        <v>Q NOT OK dE&lt;=0.8</v>
      </c>
      <c r="O1394">
        <v>43.59</v>
      </c>
      <c r="P1394">
        <v>55.16</v>
      </c>
      <c r="Q1394">
        <v>38.78</v>
      </c>
      <c r="R1394">
        <v>0.52</v>
      </c>
      <c r="S1394">
        <v>1.1200000000000001</v>
      </c>
      <c r="T1394">
        <v>0.28999999999999998</v>
      </c>
      <c r="U1394">
        <v>0.37</v>
      </c>
      <c r="V1394">
        <v>-0.28999999999999998</v>
      </c>
      <c r="W1394">
        <v>0.7</v>
      </c>
      <c r="X1394" t="s">
        <v>8</v>
      </c>
      <c r="Y1394" t="s">
        <v>7</v>
      </c>
      <c r="Z1394" s="2" t="s">
        <v>718</v>
      </c>
      <c r="AA1394" s="2" t="s">
        <v>721</v>
      </c>
    </row>
    <row r="1395" spans="1:27" x14ac:dyDescent="0.35">
      <c r="A1395" t="s">
        <v>1688</v>
      </c>
      <c r="B1395" t="s">
        <v>2464</v>
      </c>
      <c r="C1395" s="7" t="str">
        <f>_xlfn.XLOOKUP(B1395,'[1]Sheet 1'!$A$2:$A$11107,'[1]Sheet 1'!$D$2:$D$11107,"",0)</f>
        <v>GAP</v>
      </c>
      <c r="D1395" s="4" t="str">
        <f>_xlfn.XLOOKUP(A1395,[3]Sheet2!$I$2:$I$1623,[3]Sheet2!$D$2:$D$1623,"",0)</f>
        <v>Q4</v>
      </c>
      <c r="F1395" s="4" t="e">
        <f>_xlfn.XLOOKUP(B1395,[2]Sheet2!$E$2:$E$713,[2]Sheet2!$G$2:$G$713)</f>
        <v>#N/A</v>
      </c>
      <c r="G1395" s="22">
        <v>46189</v>
      </c>
      <c r="H1395" s="23">
        <v>0.70386574074074071</v>
      </c>
      <c r="I1395" t="s">
        <v>14</v>
      </c>
      <c r="J1395" s="2" t="str">
        <f t="shared" si="111"/>
        <v>Q3</v>
      </c>
      <c r="K1395" s="2" t="str">
        <f t="shared" si="112"/>
        <v>Not Match</v>
      </c>
      <c r="L1395" s="1">
        <f t="shared" si="113"/>
        <v>0.5028916384272063</v>
      </c>
      <c r="M1395" s="1" t="e">
        <f t="shared" si="110"/>
        <v>#N/A</v>
      </c>
      <c r="N1395" s="2" t="str">
        <f t="shared" si="114"/>
        <v>Q NOT OK dE&lt;=0.8</v>
      </c>
      <c r="O1395">
        <v>13.12</v>
      </c>
      <c r="P1395">
        <v>-0.41</v>
      </c>
      <c r="Q1395">
        <v>-2.27</v>
      </c>
      <c r="R1395">
        <v>0</v>
      </c>
      <c r="S1395">
        <v>-0.15</v>
      </c>
      <c r="T1395">
        <v>-0.48</v>
      </c>
      <c r="U1395">
        <v>0.66</v>
      </c>
      <c r="V1395">
        <v>-0.09</v>
      </c>
      <c r="W1395">
        <v>0.67</v>
      </c>
      <c r="X1395" t="s">
        <v>8</v>
      </c>
      <c r="Y1395" t="s">
        <v>15</v>
      </c>
      <c r="Z1395" s="2" t="s">
        <v>718</v>
      </c>
      <c r="AA1395" s="2" t="s">
        <v>721</v>
      </c>
    </row>
    <row r="1396" spans="1:27" x14ac:dyDescent="0.35">
      <c r="A1396" t="s">
        <v>1626</v>
      </c>
      <c r="B1396" t="s">
        <v>2465</v>
      </c>
      <c r="C1396" s="7" t="str">
        <f>_xlfn.XLOOKUP(B1396,'[1]Sheet 1'!$A$2:$A$11107,'[1]Sheet 1'!$D$2:$D$11107,"",0)</f>
        <v>VSS</v>
      </c>
      <c r="D1396" s="4" t="str">
        <f>_xlfn.XLOOKUP(A1396,[3]Sheet2!$I$2:$I$1623,[3]Sheet2!$D$2:$D$1623,"",0)</f>
        <v>Q4</v>
      </c>
      <c r="F1396" s="4" t="e">
        <f>_xlfn.XLOOKUP(B1396,[2]Sheet2!$E$2:$E$713,[2]Sheet2!$G$2:$G$713)</f>
        <v>#N/A</v>
      </c>
      <c r="G1396" s="22">
        <v>46189</v>
      </c>
      <c r="H1396" s="23">
        <v>0.77103009259259259</v>
      </c>
      <c r="I1396" t="s">
        <v>10</v>
      </c>
      <c r="J1396" s="2" t="str">
        <f t="shared" si="111"/>
        <v>Q3</v>
      </c>
      <c r="K1396" s="2" t="str">
        <f t="shared" si="112"/>
        <v>Not Match</v>
      </c>
      <c r="L1396" s="1">
        <f t="shared" si="113"/>
        <v>0.36674241641784494</v>
      </c>
      <c r="M1396" s="1" t="e">
        <f t="shared" si="110"/>
        <v>#N/A</v>
      </c>
      <c r="N1396" s="2" t="str">
        <f t="shared" si="114"/>
        <v>Q NOT OK dE&lt;=0.8</v>
      </c>
      <c r="O1396">
        <v>15.2</v>
      </c>
      <c r="P1396">
        <v>0.23</v>
      </c>
      <c r="Q1396">
        <v>-1.66</v>
      </c>
      <c r="R1396">
        <v>-0.37</v>
      </c>
      <c r="S1396">
        <v>-0.36</v>
      </c>
      <c r="T1396">
        <v>-7.0000000000000007E-2</v>
      </c>
      <c r="U1396">
        <v>-0.03</v>
      </c>
      <c r="V1396">
        <v>-0.51</v>
      </c>
      <c r="W1396">
        <v>0.63</v>
      </c>
      <c r="X1396" t="s">
        <v>8</v>
      </c>
      <c r="Y1396" t="s">
        <v>15</v>
      </c>
      <c r="Z1396" s="2" t="s">
        <v>718</v>
      </c>
      <c r="AA1396" s="2" t="s">
        <v>721</v>
      </c>
    </row>
    <row r="1397" spans="1:27" x14ac:dyDescent="0.35">
      <c r="A1397" t="s">
        <v>2366</v>
      </c>
      <c r="B1397" t="s">
        <v>2466</v>
      </c>
      <c r="C1397" s="7" t="str">
        <f>_xlfn.XLOOKUP(B1397,'[1]Sheet 1'!$A$2:$A$11107,'[1]Sheet 1'!$D$2:$D$11107,"",0)</f>
        <v>PINK</v>
      </c>
      <c r="D1397" s="4" t="str">
        <f>_xlfn.XLOOKUP(A1397,[3]Sheet2!$I$2:$I$1623,[3]Sheet2!$D$2:$D$1623,"",0)</f>
        <v>Q3</v>
      </c>
      <c r="F1397" s="4" t="e">
        <f>_xlfn.XLOOKUP(B1397,[2]Sheet2!$E$2:$E$713,[2]Sheet2!$G$2:$G$713)</f>
        <v>#N/A</v>
      </c>
      <c r="G1397" s="22">
        <v>46189</v>
      </c>
      <c r="H1397" s="23">
        <v>0.77430555555555558</v>
      </c>
      <c r="I1397" t="s">
        <v>10</v>
      </c>
      <c r="J1397" s="2" t="str">
        <f t="shared" si="111"/>
        <v>Q3</v>
      </c>
      <c r="K1397" s="2" t="str">
        <f t="shared" si="112"/>
        <v>Match</v>
      </c>
      <c r="L1397" s="1">
        <f t="shared" si="113"/>
        <v>0.47853944456021591</v>
      </c>
      <c r="M1397" s="1" t="e">
        <f t="shared" si="110"/>
        <v>#N/A</v>
      </c>
      <c r="N1397" s="2" t="str">
        <f t="shared" si="114"/>
        <v>Q OK dE&lt;=0.8</v>
      </c>
      <c r="O1397">
        <v>26.93</v>
      </c>
      <c r="P1397">
        <v>-14.44</v>
      </c>
      <c r="Q1397">
        <v>-5.45</v>
      </c>
      <c r="R1397">
        <v>0.24</v>
      </c>
      <c r="S1397">
        <v>-0.21</v>
      </c>
      <c r="T1397">
        <v>-0.43</v>
      </c>
      <c r="U1397">
        <v>0.23</v>
      </c>
      <c r="V1397">
        <v>0.3</v>
      </c>
      <c r="W1397">
        <v>0.45</v>
      </c>
      <c r="X1397" t="s">
        <v>8</v>
      </c>
      <c r="Y1397" t="s">
        <v>7</v>
      </c>
      <c r="Z1397" s="2" t="s">
        <v>718</v>
      </c>
      <c r="AA1397" s="2" t="s">
        <v>721</v>
      </c>
    </row>
    <row r="1398" spans="1:27" x14ac:dyDescent="0.35">
      <c r="A1398" t="s">
        <v>2366</v>
      </c>
      <c r="B1398" t="s">
        <v>2467</v>
      </c>
      <c r="C1398" s="7" t="str">
        <f>_xlfn.XLOOKUP(B1398,'[1]Sheet 1'!$A$2:$A$11107,'[1]Sheet 1'!$D$2:$D$11107,"",0)</f>
        <v>PINK</v>
      </c>
      <c r="D1398" s="4" t="str">
        <f>_xlfn.XLOOKUP(A1398,[3]Sheet2!$I$2:$I$1623,[3]Sheet2!$D$2:$D$1623,"",0)</f>
        <v>Q3</v>
      </c>
      <c r="F1398" s="4" t="e">
        <f>_xlfn.XLOOKUP(B1398,[2]Sheet2!$E$2:$E$713,[2]Sheet2!$G$2:$G$713)</f>
        <v>#N/A</v>
      </c>
      <c r="G1398" s="22">
        <v>46189</v>
      </c>
      <c r="H1398" s="23">
        <v>0.77712962962962961</v>
      </c>
      <c r="I1398" t="s">
        <v>10</v>
      </c>
      <c r="J1398" s="2" t="str">
        <f t="shared" si="111"/>
        <v>Q3</v>
      </c>
      <c r="K1398" s="2" t="str">
        <f t="shared" si="112"/>
        <v>Match</v>
      </c>
      <c r="L1398" s="1">
        <f t="shared" si="113"/>
        <v>0.59548299723837628</v>
      </c>
      <c r="M1398" s="1" t="e">
        <f t="shared" si="110"/>
        <v>#N/A</v>
      </c>
      <c r="N1398" s="2" t="str">
        <f t="shared" si="114"/>
        <v>Q OK dE&gt;0.8</v>
      </c>
      <c r="O1398">
        <v>27.74</v>
      </c>
      <c r="P1398">
        <v>-14.69</v>
      </c>
      <c r="Q1398">
        <v>-5.41</v>
      </c>
      <c r="R1398">
        <v>0.78</v>
      </c>
      <c r="S1398">
        <v>-0.45</v>
      </c>
      <c r="T1398">
        <v>-0.39</v>
      </c>
      <c r="U1398">
        <v>0.38</v>
      </c>
      <c r="V1398">
        <v>0.19</v>
      </c>
      <c r="W1398">
        <v>0.89</v>
      </c>
      <c r="X1398" t="s">
        <v>13</v>
      </c>
      <c r="Y1398" t="s">
        <v>7</v>
      </c>
      <c r="Z1398" s="2" t="s">
        <v>718</v>
      </c>
      <c r="AA1398" s="2" t="s">
        <v>721</v>
      </c>
    </row>
    <row r="1399" spans="1:27" x14ac:dyDescent="0.35">
      <c r="A1399" t="s">
        <v>2366</v>
      </c>
      <c r="B1399" t="s">
        <v>2468</v>
      </c>
      <c r="C1399" s="7" t="str">
        <f>_xlfn.XLOOKUP(B1399,'[1]Sheet 1'!$A$2:$A$11107,'[1]Sheet 1'!$D$2:$D$11107,"",0)</f>
        <v>PINK</v>
      </c>
      <c r="D1399" s="4" t="str">
        <f>_xlfn.XLOOKUP(A1399,[3]Sheet2!$I$2:$I$1623,[3]Sheet2!$D$2:$D$1623,"",0)</f>
        <v>Q3</v>
      </c>
      <c r="F1399" s="4" t="e">
        <f>_xlfn.XLOOKUP(B1399,[2]Sheet2!$E$2:$E$713,[2]Sheet2!$G$2:$G$713)</f>
        <v>#N/A</v>
      </c>
      <c r="G1399" s="22">
        <v>46189</v>
      </c>
      <c r="H1399" s="23">
        <v>0.7830555555555555</v>
      </c>
      <c r="I1399" t="s">
        <v>10</v>
      </c>
      <c r="J1399" s="2" t="str">
        <f t="shared" si="111"/>
        <v>Q3</v>
      </c>
      <c r="K1399" s="2" t="str">
        <f t="shared" si="112"/>
        <v>Match</v>
      </c>
      <c r="L1399" s="1">
        <f t="shared" si="113"/>
        <v>0.96337946833010712</v>
      </c>
      <c r="M1399" s="1" t="e">
        <f t="shared" si="110"/>
        <v>#N/A</v>
      </c>
      <c r="N1399" s="2" t="str">
        <f t="shared" si="114"/>
        <v>Q OK dE&gt;0.8</v>
      </c>
      <c r="O1399">
        <v>26.8</v>
      </c>
      <c r="P1399">
        <v>-14.39</v>
      </c>
      <c r="Q1399">
        <v>-5.97</v>
      </c>
      <c r="R1399">
        <v>0.15</v>
      </c>
      <c r="S1399">
        <v>-0.16</v>
      </c>
      <c r="T1399">
        <v>-0.95</v>
      </c>
      <c r="U1399">
        <v>0.34</v>
      </c>
      <c r="V1399">
        <v>0.75</v>
      </c>
      <c r="W1399">
        <v>0.84</v>
      </c>
      <c r="X1399" t="s">
        <v>13</v>
      </c>
      <c r="Y1399" t="s">
        <v>7</v>
      </c>
      <c r="Z1399" s="2" t="s">
        <v>718</v>
      </c>
      <c r="AA1399" s="2" t="s">
        <v>721</v>
      </c>
    </row>
    <row r="1400" spans="1:27" x14ac:dyDescent="0.35">
      <c r="A1400" t="s">
        <v>2148</v>
      </c>
      <c r="B1400" t="s">
        <v>2469</v>
      </c>
      <c r="C1400" s="7" t="str">
        <f>_xlfn.XLOOKUP(B1400,'[1]Sheet 1'!$A$2:$A$11107,'[1]Sheet 1'!$D$2:$D$11107,"",0)</f>
        <v>VSS</v>
      </c>
      <c r="D1400" s="4" t="str">
        <f>_xlfn.XLOOKUP(A1400,[3]Sheet2!$I$2:$I$1623,[3]Sheet2!$D$2:$D$1623,"",0)</f>
        <v>Q3</v>
      </c>
      <c r="F1400" s="4" t="e">
        <f>_xlfn.XLOOKUP(B1400,[2]Sheet2!$E$2:$E$713,[2]Sheet2!$G$2:$G$713)</f>
        <v>#N/A</v>
      </c>
      <c r="G1400" s="22">
        <v>46189</v>
      </c>
      <c r="H1400" s="23">
        <v>0.78465277777777775</v>
      </c>
      <c r="I1400" t="s">
        <v>10</v>
      </c>
      <c r="J1400" s="2" t="str">
        <f t="shared" si="111"/>
        <v>Q4</v>
      </c>
      <c r="K1400" s="2" t="str">
        <f t="shared" si="112"/>
        <v>Not Match</v>
      </c>
      <c r="L1400" s="1">
        <f t="shared" si="113"/>
        <v>1.5476756766196205</v>
      </c>
      <c r="M1400" s="1" t="e">
        <f t="shared" si="110"/>
        <v>#N/A</v>
      </c>
      <c r="N1400" s="2" t="str">
        <f t="shared" si="114"/>
        <v>Q NOT OK dE&gt;0.8</v>
      </c>
      <c r="O1400">
        <v>44.05</v>
      </c>
      <c r="P1400">
        <v>55.41</v>
      </c>
      <c r="Q1400">
        <v>37.770000000000003</v>
      </c>
      <c r="R1400">
        <v>0.75</v>
      </c>
      <c r="S1400">
        <v>1.37</v>
      </c>
      <c r="T1400">
        <v>-0.72</v>
      </c>
      <c r="U1400">
        <v>0.24</v>
      </c>
      <c r="V1400">
        <v>-0.96</v>
      </c>
      <c r="W1400">
        <v>1.24</v>
      </c>
      <c r="X1400" t="s">
        <v>6</v>
      </c>
      <c r="Y1400" t="s">
        <v>7</v>
      </c>
      <c r="Z1400" s="2" t="s">
        <v>718</v>
      </c>
      <c r="AA1400" s="2" t="s">
        <v>721</v>
      </c>
    </row>
    <row r="1401" spans="1:27" x14ac:dyDescent="0.35">
      <c r="A1401" t="s">
        <v>1633</v>
      </c>
      <c r="B1401" t="s">
        <v>2470</v>
      </c>
      <c r="C1401" s="7" t="str">
        <f>_xlfn.XLOOKUP(B1401,'[1]Sheet 1'!$A$2:$A$11107,'[1]Sheet 1'!$D$2:$D$11107,"",0)</f>
        <v/>
      </c>
      <c r="D1401" s="4" t="str">
        <f>_xlfn.XLOOKUP(A1401,[3]Sheet2!$I$2:$I$1623,[3]Sheet2!$D$2:$D$1623,"",0)</f>
        <v>Q3</v>
      </c>
      <c r="F1401" s="4" t="e">
        <f>_xlfn.XLOOKUP(B1401,[2]Sheet2!$E$2:$E$713,[2]Sheet2!$G$2:$G$713)</f>
        <v>#N/A</v>
      </c>
      <c r="G1401" s="22">
        <v>46189</v>
      </c>
      <c r="H1401" s="23">
        <v>0.85016203703703708</v>
      </c>
      <c r="I1401" t="s">
        <v>5</v>
      </c>
      <c r="J1401" s="2" t="str">
        <f t="shared" si="111"/>
        <v>Q3</v>
      </c>
      <c r="K1401" s="2" t="str">
        <f t="shared" si="112"/>
        <v>Match</v>
      </c>
      <c r="L1401" s="1">
        <f t="shared" si="113"/>
        <v>0.3255764119219941</v>
      </c>
      <c r="M1401" s="1" t="e">
        <f t="shared" si="110"/>
        <v>#N/A</v>
      </c>
      <c r="N1401" s="2" t="str">
        <f t="shared" si="114"/>
        <v>Q OK dE&lt;=0.8</v>
      </c>
      <c r="O1401">
        <v>15.3</v>
      </c>
      <c r="P1401">
        <v>-1.33</v>
      </c>
      <c r="Q1401">
        <v>-3.15</v>
      </c>
      <c r="R1401">
        <v>0.32</v>
      </c>
      <c r="S1401">
        <v>-0.24</v>
      </c>
      <c r="T1401">
        <v>-0.22</v>
      </c>
      <c r="U1401">
        <v>0.35</v>
      </c>
      <c r="V1401">
        <v>-0.18</v>
      </c>
      <c r="W1401">
        <v>0.51</v>
      </c>
      <c r="X1401" t="s">
        <v>8</v>
      </c>
      <c r="Y1401" t="s">
        <v>15</v>
      </c>
      <c r="Z1401" s="2" t="s">
        <v>718</v>
      </c>
      <c r="AA1401" s="2" t="s">
        <v>721</v>
      </c>
    </row>
    <row r="1402" spans="1:27" x14ac:dyDescent="0.35">
      <c r="A1402" t="s">
        <v>1545</v>
      </c>
      <c r="B1402" t="s">
        <v>2472</v>
      </c>
      <c r="C1402" s="7" t="str">
        <f>_xlfn.XLOOKUP(B1402,'[1]Sheet 1'!$A$2:$A$11107,'[1]Sheet 1'!$D$2:$D$11107,"",0)</f>
        <v>NIK</v>
      </c>
      <c r="D1402" s="4" t="str">
        <f>_xlfn.XLOOKUP(A1402,[3]Sheet2!$I$2:$I$1623,[3]Sheet2!$D$2:$D$1623,"",0)</f>
        <v>Q2</v>
      </c>
      <c r="F1402" s="4" t="e">
        <f>_xlfn.XLOOKUP(B1402,[2]Sheet2!$E$2:$E$713,[2]Sheet2!$G$2:$G$713)</f>
        <v>#N/A</v>
      </c>
      <c r="G1402" s="22">
        <v>46189</v>
      </c>
      <c r="H1402" s="23">
        <v>0.91113425925925928</v>
      </c>
      <c r="I1402" t="s">
        <v>4</v>
      </c>
      <c r="J1402" s="2" t="str">
        <f t="shared" si="111"/>
        <v>Q4</v>
      </c>
      <c r="K1402" s="2" t="str">
        <f t="shared" si="112"/>
        <v>Not Match</v>
      </c>
      <c r="L1402" s="1">
        <f t="shared" si="113"/>
        <v>0.27294688127912364</v>
      </c>
      <c r="M1402" s="1" t="e">
        <f t="shared" si="110"/>
        <v>#N/A</v>
      </c>
      <c r="N1402" s="2" t="str">
        <f t="shared" si="114"/>
        <v>Q NOT OK dE&lt;=0.8</v>
      </c>
      <c r="O1402">
        <v>18.29</v>
      </c>
      <c r="P1402">
        <v>-0.85</v>
      </c>
      <c r="Q1402">
        <v>-1.9</v>
      </c>
      <c r="R1402">
        <v>-0.14000000000000001</v>
      </c>
      <c r="S1402">
        <v>0.04</v>
      </c>
      <c r="T1402">
        <v>-0.27</v>
      </c>
      <c r="U1402">
        <v>0.3</v>
      </c>
      <c r="V1402">
        <v>0.21</v>
      </c>
      <c r="W1402">
        <v>0.4</v>
      </c>
      <c r="X1402" t="s">
        <v>8</v>
      </c>
      <c r="Y1402" t="s">
        <v>9</v>
      </c>
      <c r="Z1402" s="2" t="s">
        <v>718</v>
      </c>
      <c r="AA1402" s="2" t="s">
        <v>721</v>
      </c>
    </row>
    <row r="1403" spans="1:27" x14ac:dyDescent="0.35">
      <c r="A1403" t="s">
        <v>2312</v>
      </c>
      <c r="B1403" t="s">
        <v>2473</v>
      </c>
      <c r="C1403" s="7" t="str">
        <f>_xlfn.XLOOKUP(B1403,'[1]Sheet 1'!$A$2:$A$11107,'[1]Sheet 1'!$D$2:$D$11107,"",0)</f>
        <v>VSS</v>
      </c>
      <c r="D1403" s="4" t="str">
        <f>_xlfn.XLOOKUP(A1403,[3]Sheet2!$I$2:$I$1623,[3]Sheet2!$D$2:$D$1623,"",0)</f>
        <v>Q1</v>
      </c>
      <c r="F1403" s="4" t="e">
        <f>_xlfn.XLOOKUP(B1403,[2]Sheet2!$E$2:$E$713,[2]Sheet2!$G$2:$G$713)</f>
        <v>#N/A</v>
      </c>
      <c r="G1403" s="22">
        <v>46190</v>
      </c>
      <c r="H1403" s="23">
        <v>6.8842592592592594E-2</v>
      </c>
      <c r="I1403" t="s">
        <v>10</v>
      </c>
      <c r="J1403" s="2" t="str">
        <f t="shared" si="111"/>
        <v>Q1</v>
      </c>
      <c r="K1403" s="2" t="str">
        <f t="shared" si="112"/>
        <v>Match</v>
      </c>
      <c r="L1403" s="1">
        <f t="shared" si="113"/>
        <v>2.3281967270830011</v>
      </c>
      <c r="M1403" s="1" t="e">
        <f t="shared" si="110"/>
        <v>#N/A</v>
      </c>
      <c r="N1403" s="2" t="str">
        <f t="shared" si="114"/>
        <v>Q OK dE&gt;0.8</v>
      </c>
      <c r="O1403">
        <v>32.799999999999997</v>
      </c>
      <c r="P1403">
        <v>42.47</v>
      </c>
      <c r="Q1403">
        <v>24.07</v>
      </c>
      <c r="R1403">
        <v>-0.39</v>
      </c>
      <c r="S1403">
        <v>1.1399999999999999</v>
      </c>
      <c r="T1403">
        <v>2.0299999999999998</v>
      </c>
      <c r="U1403">
        <v>0.8</v>
      </c>
      <c r="V1403">
        <v>0.91</v>
      </c>
      <c r="W1403">
        <v>1.27</v>
      </c>
      <c r="X1403" t="s">
        <v>6</v>
      </c>
      <c r="Y1403" t="s">
        <v>12</v>
      </c>
      <c r="Z1403" s="2" t="s">
        <v>718</v>
      </c>
      <c r="AA1403" s="2" t="s">
        <v>721</v>
      </c>
    </row>
    <row r="1404" spans="1:27" x14ac:dyDescent="0.35">
      <c r="A1404" t="s">
        <v>1626</v>
      </c>
      <c r="B1404" t="s">
        <v>2474</v>
      </c>
      <c r="C1404" s="7" t="str">
        <f>_xlfn.XLOOKUP(B1404,'[1]Sheet 1'!$A$2:$A$11107,'[1]Sheet 1'!$D$2:$D$11107,"",0)</f>
        <v>VSS</v>
      </c>
      <c r="D1404" s="4" t="str">
        <f>_xlfn.XLOOKUP(A1404,[3]Sheet2!$I$2:$I$1623,[3]Sheet2!$D$2:$D$1623,"",0)</f>
        <v>Q4</v>
      </c>
      <c r="F1404" s="4" t="e">
        <f>_xlfn.XLOOKUP(B1404,[2]Sheet2!$E$2:$E$713,[2]Sheet2!$G$2:$G$713)</f>
        <v>#N/A</v>
      </c>
      <c r="G1404" s="22">
        <v>46190</v>
      </c>
      <c r="H1404" s="23">
        <v>7.4965277777777783E-2</v>
      </c>
      <c r="I1404" t="s">
        <v>10</v>
      </c>
      <c r="J1404" s="2" t="str">
        <f t="shared" si="111"/>
        <v>Q2</v>
      </c>
      <c r="K1404" s="2" t="str">
        <f t="shared" si="112"/>
        <v>Not Match</v>
      </c>
      <c r="L1404" s="1">
        <f t="shared" si="113"/>
        <v>0.19416487838947599</v>
      </c>
      <c r="M1404" s="1" t="e">
        <f t="shared" si="110"/>
        <v>#N/A</v>
      </c>
      <c r="N1404" s="2" t="str">
        <f t="shared" si="114"/>
        <v>Q NOT OK dE&lt;=0.8</v>
      </c>
      <c r="O1404">
        <v>15.42</v>
      </c>
      <c r="P1404">
        <v>0.4</v>
      </c>
      <c r="Q1404">
        <v>-1.55</v>
      </c>
      <c r="R1404">
        <v>-0.16</v>
      </c>
      <c r="S1404">
        <v>-0.19</v>
      </c>
      <c r="T1404">
        <v>0.04</v>
      </c>
      <c r="U1404">
        <v>-0.13</v>
      </c>
      <c r="V1404">
        <v>-0.24</v>
      </c>
      <c r="W1404">
        <v>0.31</v>
      </c>
      <c r="X1404" t="s">
        <v>8</v>
      </c>
      <c r="Y1404" t="s">
        <v>15</v>
      </c>
      <c r="Z1404" s="2" t="s">
        <v>718</v>
      </c>
      <c r="AA1404" s="2" t="s">
        <v>721</v>
      </c>
    </row>
    <row r="1405" spans="1:27" x14ac:dyDescent="0.35">
      <c r="A1405" t="s">
        <v>2167</v>
      </c>
      <c r="B1405" t="s">
        <v>2471</v>
      </c>
      <c r="C1405" s="7" t="str">
        <f>_xlfn.XLOOKUP(B1405,'[1]Sheet 1'!$A$2:$A$11107,'[1]Sheet 1'!$D$2:$D$11107,"",0)</f>
        <v>CHICOS</v>
      </c>
      <c r="D1405" s="4" t="str">
        <f>_xlfn.XLOOKUP(A1405,[3]Sheet2!$I$2:$I$1623,[3]Sheet2!$D$2:$D$1623,"",0)</f>
        <v>Q1</v>
      </c>
      <c r="F1405" s="4" t="e">
        <f>_xlfn.XLOOKUP(B1405,[2]Sheet2!$E$2:$E$713,[2]Sheet2!$G$2:$G$713)</f>
        <v>#N/A</v>
      </c>
      <c r="G1405" s="22">
        <v>46190</v>
      </c>
      <c r="H1405" s="23">
        <v>7.918981481481481E-2</v>
      </c>
      <c r="I1405" t="s">
        <v>14</v>
      </c>
      <c r="J1405" s="2" t="str">
        <f t="shared" si="111"/>
        <v>Q1</v>
      </c>
      <c r="K1405" s="2" t="str">
        <f t="shared" si="112"/>
        <v>Match</v>
      </c>
      <c r="L1405" s="1">
        <f t="shared" si="113"/>
        <v>1.5620499351813308</v>
      </c>
      <c r="M1405" s="1" t="e">
        <f t="shared" si="110"/>
        <v>#N/A</v>
      </c>
      <c r="N1405" s="2" t="str">
        <f t="shared" si="114"/>
        <v>Q OK dE&gt;0.8</v>
      </c>
      <c r="O1405">
        <v>32.770000000000003</v>
      </c>
      <c r="P1405">
        <v>35.68</v>
      </c>
      <c r="Q1405">
        <v>17.170000000000002</v>
      </c>
      <c r="R1405">
        <v>-0.52</v>
      </c>
      <c r="S1405">
        <v>0.36</v>
      </c>
      <c r="T1405">
        <v>1.52</v>
      </c>
      <c r="U1405">
        <v>0.42</v>
      </c>
      <c r="V1405">
        <v>0.95</v>
      </c>
      <c r="W1405">
        <v>1.1599999999999999</v>
      </c>
      <c r="X1405" t="s">
        <v>6</v>
      </c>
      <c r="Y1405" t="s">
        <v>12</v>
      </c>
      <c r="Z1405" s="2" t="s">
        <v>718</v>
      </c>
      <c r="AA1405" s="2" t="s">
        <v>721</v>
      </c>
    </row>
    <row r="1406" spans="1:27" x14ac:dyDescent="0.35">
      <c r="A1406" t="s">
        <v>1672</v>
      </c>
      <c r="B1406" t="s">
        <v>2475</v>
      </c>
      <c r="C1406" s="7" t="str">
        <f>_xlfn.XLOOKUP(B1406,'[1]Sheet 1'!$A$2:$A$11107,'[1]Sheet 1'!$D$2:$D$11107,"",0)</f>
        <v>PINK</v>
      </c>
      <c r="D1406" s="4" t="str">
        <f>_xlfn.XLOOKUP(A1406,[3]Sheet2!$I$2:$I$1623,[3]Sheet2!$D$2:$D$1623,"",0)</f>
        <v>Q2</v>
      </c>
      <c r="F1406" s="4" t="e">
        <f>_xlfn.XLOOKUP(B1406,[2]Sheet2!$E$2:$E$713,[2]Sheet2!$G$2:$G$713)</f>
        <v>#N/A</v>
      </c>
      <c r="G1406" s="22">
        <v>46190</v>
      </c>
      <c r="H1406" s="23">
        <v>0.13593749999999999</v>
      </c>
      <c r="I1406" t="s">
        <v>10</v>
      </c>
      <c r="J1406" s="2" t="str">
        <f t="shared" si="111"/>
        <v>Q4</v>
      </c>
      <c r="K1406" s="2" t="str">
        <f t="shared" si="112"/>
        <v>Not Match</v>
      </c>
      <c r="L1406" s="1">
        <f t="shared" si="113"/>
        <v>0.25612496949731395</v>
      </c>
      <c r="M1406" s="1" t="e">
        <f t="shared" si="110"/>
        <v>#N/A</v>
      </c>
      <c r="N1406" s="2" t="str">
        <f t="shared" si="114"/>
        <v>Q NOT OK dE&gt;0.8</v>
      </c>
      <c r="O1406">
        <v>15.17</v>
      </c>
      <c r="P1406">
        <v>0.62</v>
      </c>
      <c r="Q1406">
        <v>-2.1800000000000002</v>
      </c>
      <c r="R1406">
        <v>-1</v>
      </c>
      <c r="S1406">
        <v>0.16</v>
      </c>
      <c r="T1406">
        <v>-0.2</v>
      </c>
      <c r="U1406">
        <v>0.3</v>
      </c>
      <c r="V1406">
        <v>0.14000000000000001</v>
      </c>
      <c r="W1406">
        <v>1.05</v>
      </c>
      <c r="X1406" t="s">
        <v>6</v>
      </c>
      <c r="Y1406" t="s">
        <v>9</v>
      </c>
      <c r="Z1406" s="2" t="s">
        <v>718</v>
      </c>
      <c r="AA1406" s="2" t="s">
        <v>721</v>
      </c>
    </row>
    <row r="1407" spans="1:27" x14ac:dyDescent="0.35">
      <c r="A1407" t="s">
        <v>2476</v>
      </c>
      <c r="B1407" t="s">
        <v>2477</v>
      </c>
      <c r="C1407" s="7" t="str">
        <f>_xlfn.XLOOKUP(B1407,'[1]Sheet 1'!$A$2:$A$11107,'[1]Sheet 1'!$D$2:$D$11107,"",0)</f>
        <v>LBI</v>
      </c>
      <c r="D1407" s="4" t="str">
        <f>_xlfn.XLOOKUP(A1407,[3]Sheet2!$I$2:$I$1623,[3]Sheet2!$D$2:$D$1623,"",0)</f>
        <v>Q1</v>
      </c>
      <c r="F1407" s="4" t="e">
        <f>_xlfn.XLOOKUP(B1407,[2]Sheet2!$E$2:$E$713,[2]Sheet2!$G$2:$G$713)</f>
        <v>#N/A</v>
      </c>
      <c r="G1407" s="22">
        <v>46190</v>
      </c>
      <c r="H1407" s="23">
        <v>0.13899305555555555</v>
      </c>
      <c r="I1407" t="s">
        <v>14</v>
      </c>
      <c r="J1407" s="2" t="str">
        <f t="shared" si="111"/>
        <v>Q1</v>
      </c>
      <c r="K1407" s="2" t="str">
        <f t="shared" si="112"/>
        <v>Match</v>
      </c>
      <c r="L1407" s="1">
        <f t="shared" si="113"/>
        <v>0.71309185944028286</v>
      </c>
      <c r="M1407" s="1" t="e">
        <f t="shared" si="110"/>
        <v>#N/A</v>
      </c>
      <c r="N1407" s="2" t="str">
        <f t="shared" si="114"/>
        <v>Q OK dE&gt;0.8</v>
      </c>
      <c r="O1407">
        <v>21.5</v>
      </c>
      <c r="P1407">
        <v>17.489999999999998</v>
      </c>
      <c r="Q1407">
        <v>-7.72</v>
      </c>
      <c r="R1407">
        <v>-1.1000000000000001</v>
      </c>
      <c r="S1407">
        <v>0.27</v>
      </c>
      <c r="T1407">
        <v>0.66</v>
      </c>
      <c r="U1407">
        <v>-0.02</v>
      </c>
      <c r="V1407">
        <v>0.61</v>
      </c>
      <c r="W1407">
        <v>1.26</v>
      </c>
      <c r="X1407" t="s">
        <v>6</v>
      </c>
      <c r="Y1407" t="s">
        <v>9</v>
      </c>
      <c r="Z1407" s="2" t="s">
        <v>718</v>
      </c>
      <c r="AA1407" s="2" t="s">
        <v>721</v>
      </c>
    </row>
    <row r="1408" spans="1:27" x14ac:dyDescent="0.35">
      <c r="A1408" t="s">
        <v>1626</v>
      </c>
      <c r="B1408" t="s">
        <v>2478</v>
      </c>
      <c r="C1408" s="7" t="str">
        <f>_xlfn.XLOOKUP(B1408,'[1]Sheet 1'!$A$2:$A$11107,'[1]Sheet 1'!$D$2:$D$11107,"",0)</f>
        <v>VSS</v>
      </c>
      <c r="D1408" s="4" t="str">
        <f>_xlfn.XLOOKUP(A1408,[3]Sheet2!$I$2:$I$1623,[3]Sheet2!$D$2:$D$1623,"",0)</f>
        <v>Q4</v>
      </c>
      <c r="F1408" s="4" t="e">
        <f>_xlfn.XLOOKUP(B1408,[2]Sheet2!$E$2:$E$713,[2]Sheet2!$G$2:$G$713)</f>
        <v>#N/A</v>
      </c>
      <c r="G1408" s="22">
        <v>46190</v>
      </c>
      <c r="H1408" s="23">
        <v>0.1413773148148148</v>
      </c>
      <c r="I1408" t="s">
        <v>10</v>
      </c>
      <c r="J1408" s="2" t="str">
        <f t="shared" si="111"/>
        <v>Q2</v>
      </c>
      <c r="K1408" s="2" t="str">
        <f t="shared" si="112"/>
        <v>Not Match</v>
      </c>
      <c r="L1408" s="1">
        <f t="shared" si="113"/>
        <v>0.27892651361962706</v>
      </c>
      <c r="M1408" s="1" t="e">
        <f t="shared" si="110"/>
        <v>#N/A</v>
      </c>
      <c r="N1408" s="2" t="str">
        <f t="shared" si="114"/>
        <v>Q NOT OK dE&lt;=0.8</v>
      </c>
      <c r="O1408">
        <v>15.19</v>
      </c>
      <c r="P1408">
        <v>0.32</v>
      </c>
      <c r="Q1408">
        <v>-1.52</v>
      </c>
      <c r="R1408">
        <v>-0.37</v>
      </c>
      <c r="S1408">
        <v>-0.27</v>
      </c>
      <c r="T1408">
        <v>7.0000000000000007E-2</v>
      </c>
      <c r="U1408">
        <v>-0.19</v>
      </c>
      <c r="V1408">
        <v>-0.33</v>
      </c>
      <c r="W1408">
        <v>0.54</v>
      </c>
      <c r="X1408" t="s">
        <v>8</v>
      </c>
      <c r="Y1408" t="s">
        <v>15</v>
      </c>
      <c r="Z1408" s="2" t="s">
        <v>718</v>
      </c>
      <c r="AA1408" s="2" t="s">
        <v>721</v>
      </c>
    </row>
    <row r="1409" spans="1:27" x14ac:dyDescent="0.35">
      <c r="A1409" t="s">
        <v>1626</v>
      </c>
      <c r="B1409" t="s">
        <v>2479</v>
      </c>
      <c r="C1409" s="7" t="str">
        <f>_xlfn.XLOOKUP(B1409,'[1]Sheet 1'!$A$2:$A$11107,'[1]Sheet 1'!$D$2:$D$11107,"",0)</f>
        <v>VSS</v>
      </c>
      <c r="D1409" s="4" t="str">
        <f>_xlfn.XLOOKUP(A1409,[3]Sheet2!$I$2:$I$1623,[3]Sheet2!$D$2:$D$1623,"",0)</f>
        <v>Q4</v>
      </c>
      <c r="F1409" s="4" t="e">
        <f>_xlfn.XLOOKUP(B1409,[2]Sheet2!$E$2:$E$713,[2]Sheet2!$G$2:$G$713)</f>
        <v>#N/A</v>
      </c>
      <c r="G1409" s="22">
        <v>46190</v>
      </c>
      <c r="H1409" s="23">
        <v>0.14398148148148149</v>
      </c>
      <c r="I1409" t="s">
        <v>10</v>
      </c>
      <c r="J1409" s="2" t="str">
        <f t="shared" si="111"/>
        <v>Q2</v>
      </c>
      <c r="K1409" s="2" t="str">
        <f t="shared" si="112"/>
        <v>Not Match</v>
      </c>
      <c r="L1409" s="1">
        <f t="shared" si="113"/>
        <v>0.22360679774997896</v>
      </c>
      <c r="M1409" s="1" t="e">
        <f t="shared" ref="M1409:M1467" si="115">IF(L1409&lt;=F1409,"Within Range","Over Range")</f>
        <v>#N/A</v>
      </c>
      <c r="N1409" s="2" t="str">
        <f t="shared" si="114"/>
        <v>Q NOT OK dE&lt;=0.8</v>
      </c>
      <c r="O1409">
        <v>15.34</v>
      </c>
      <c r="P1409">
        <v>0.37</v>
      </c>
      <c r="Q1409">
        <v>-1.55</v>
      </c>
      <c r="R1409">
        <v>-0.23</v>
      </c>
      <c r="S1409">
        <v>-0.22</v>
      </c>
      <c r="T1409">
        <v>0.04</v>
      </c>
      <c r="U1409">
        <v>-0.14000000000000001</v>
      </c>
      <c r="V1409">
        <v>-0.28000000000000003</v>
      </c>
      <c r="W1409">
        <v>0.39</v>
      </c>
      <c r="X1409" t="s">
        <v>8</v>
      </c>
      <c r="Y1409" t="s">
        <v>15</v>
      </c>
      <c r="Z1409" s="2" t="s">
        <v>718</v>
      </c>
      <c r="AA1409" s="2" t="s">
        <v>721</v>
      </c>
    </row>
    <row r="1410" spans="1:27" x14ac:dyDescent="0.35">
      <c r="A1410" t="s">
        <v>1626</v>
      </c>
      <c r="B1410" t="s">
        <v>2480</v>
      </c>
      <c r="C1410" s="7" t="str">
        <f>_xlfn.XLOOKUP(B1410,'[1]Sheet 1'!$A$2:$A$11107,'[1]Sheet 1'!$D$2:$D$11107,"",0)</f>
        <v>VSS</v>
      </c>
      <c r="D1410" s="4" t="str">
        <f>_xlfn.XLOOKUP(A1410,[3]Sheet2!$I$2:$I$1623,[3]Sheet2!$D$2:$D$1623,"",0)</f>
        <v>Q4</v>
      </c>
      <c r="F1410" s="4" t="e">
        <f>_xlfn.XLOOKUP(B1410,[2]Sheet2!$E$2:$E$713,[2]Sheet2!$G$2:$G$713)</f>
        <v>#N/A</v>
      </c>
      <c r="G1410" s="22">
        <v>46190</v>
      </c>
      <c r="H1410" s="23">
        <v>0.1560300925925926</v>
      </c>
      <c r="I1410" t="s">
        <v>10</v>
      </c>
      <c r="J1410" s="2" t="str">
        <f t="shared" si="111"/>
        <v>Q3</v>
      </c>
      <c r="K1410" s="2" t="str">
        <f t="shared" si="112"/>
        <v>Not Match</v>
      </c>
      <c r="L1410" s="1">
        <f t="shared" si="113"/>
        <v>0.35171010790137952</v>
      </c>
      <c r="M1410" s="1" t="e">
        <f t="shared" si="115"/>
        <v>#N/A</v>
      </c>
      <c r="N1410" s="2" t="str">
        <f t="shared" si="114"/>
        <v>Q NOT OK dE&lt;=0.8</v>
      </c>
      <c r="O1410">
        <v>15.19</v>
      </c>
      <c r="P1410">
        <v>0.26</v>
      </c>
      <c r="Q1410">
        <v>-1.68</v>
      </c>
      <c r="R1410">
        <v>-0.38</v>
      </c>
      <c r="S1410">
        <v>-0.34</v>
      </c>
      <c r="T1410">
        <v>-0.09</v>
      </c>
      <c r="U1410">
        <v>0</v>
      </c>
      <c r="V1410">
        <v>-0.48</v>
      </c>
      <c r="W1410">
        <v>0.62</v>
      </c>
      <c r="X1410" t="s">
        <v>8</v>
      </c>
      <c r="Y1410" t="s">
        <v>15</v>
      </c>
      <c r="Z1410" s="2" t="s">
        <v>718</v>
      </c>
      <c r="AA1410" s="2" t="s">
        <v>721</v>
      </c>
    </row>
    <row r="1411" spans="1:27" x14ac:dyDescent="0.35">
      <c r="A1411" t="s">
        <v>2366</v>
      </c>
      <c r="B1411" t="s">
        <v>2481</v>
      </c>
      <c r="C1411" s="7" t="str">
        <f>_xlfn.XLOOKUP(B1411,'[1]Sheet 1'!$A$2:$A$11107,'[1]Sheet 1'!$D$2:$D$11107,"",0)</f>
        <v>PINK</v>
      </c>
      <c r="D1411" s="4" t="str">
        <f>_xlfn.XLOOKUP(A1411,[3]Sheet2!$I$2:$I$1623,[3]Sheet2!$D$2:$D$1623,"",0)</f>
        <v>Q3</v>
      </c>
      <c r="F1411" s="4" t="e">
        <f>_xlfn.XLOOKUP(B1411,[2]Sheet2!$E$2:$E$713,[2]Sheet2!$G$2:$G$713)</f>
        <v>#N/A</v>
      </c>
      <c r="G1411" s="22">
        <v>46190</v>
      </c>
      <c r="H1411" s="23">
        <v>0.15753472222222223</v>
      </c>
      <c r="I1411" t="s">
        <v>10</v>
      </c>
      <c r="J1411" s="2" t="str">
        <f t="shared" si="111"/>
        <v>Q2</v>
      </c>
      <c r="K1411" s="2" t="str">
        <f t="shared" si="112"/>
        <v>Not Match</v>
      </c>
      <c r="L1411" s="1">
        <f t="shared" ref="L1411:L1469" si="116">SQRT(S1411^2+T1411^2)</f>
        <v>0.41725292090050126</v>
      </c>
      <c r="M1411" s="1" t="e">
        <f t="shared" si="115"/>
        <v>#N/A</v>
      </c>
      <c r="N1411" s="2" t="str">
        <f t="shared" si="114"/>
        <v>Q NOT OK dE&lt;=0.8</v>
      </c>
      <c r="O1411">
        <v>27.57</v>
      </c>
      <c r="P1411">
        <v>-14.53</v>
      </c>
      <c r="Q1411">
        <v>-4.7300000000000004</v>
      </c>
      <c r="R1411">
        <v>0.67</v>
      </c>
      <c r="S1411">
        <v>-0.3</v>
      </c>
      <c r="T1411">
        <v>0.28999999999999998</v>
      </c>
      <c r="U1411">
        <v>0.13</v>
      </c>
      <c r="V1411">
        <v>-0.33</v>
      </c>
      <c r="W1411">
        <v>0.76</v>
      </c>
      <c r="X1411" t="s">
        <v>13</v>
      </c>
      <c r="Y1411" t="s">
        <v>12</v>
      </c>
      <c r="Z1411" s="2" t="s">
        <v>718</v>
      </c>
      <c r="AA1411" s="2" t="s">
        <v>721</v>
      </c>
    </row>
    <row r="1412" spans="1:27" x14ac:dyDescent="0.35">
      <c r="A1412" t="s">
        <v>2366</v>
      </c>
      <c r="B1412" t="s">
        <v>2482</v>
      </c>
      <c r="C1412" s="7" t="str">
        <f>_xlfn.XLOOKUP(B1412,'[1]Sheet 1'!$A$2:$A$11107,'[1]Sheet 1'!$D$2:$D$11107,"",0)</f>
        <v>PINK</v>
      </c>
      <c r="D1412" s="4" t="str">
        <f>_xlfn.XLOOKUP(A1412,[3]Sheet2!$I$2:$I$1623,[3]Sheet2!$D$2:$D$1623,"",0)</f>
        <v>Q3</v>
      </c>
      <c r="F1412" s="4" t="e">
        <f>_xlfn.XLOOKUP(B1412,[2]Sheet2!$E$2:$E$713,[2]Sheet2!$G$2:$G$713)</f>
        <v>#N/A</v>
      </c>
      <c r="G1412" s="22">
        <v>46190</v>
      </c>
      <c r="H1412" s="23">
        <v>0.19678240740740741</v>
      </c>
      <c r="I1412" t="s">
        <v>10</v>
      </c>
      <c r="J1412" s="2" t="str">
        <f t="shared" si="111"/>
        <v>Q3</v>
      </c>
      <c r="K1412" s="2" t="str">
        <f t="shared" si="112"/>
        <v>Match</v>
      </c>
      <c r="L1412" s="1">
        <f t="shared" si="116"/>
        <v>0.4313930922024598</v>
      </c>
      <c r="M1412" s="1" t="e">
        <f t="shared" si="115"/>
        <v>#N/A</v>
      </c>
      <c r="N1412" s="2" t="str">
        <f t="shared" si="114"/>
        <v>Q OK dE&lt;=0.8</v>
      </c>
      <c r="O1412">
        <v>27.62</v>
      </c>
      <c r="P1412">
        <v>-14.55</v>
      </c>
      <c r="Q1412">
        <v>-5.32</v>
      </c>
      <c r="R1412">
        <v>0.71</v>
      </c>
      <c r="S1412">
        <v>-0.31</v>
      </c>
      <c r="T1412">
        <v>-0.3</v>
      </c>
      <c r="U1412">
        <v>0.27</v>
      </c>
      <c r="V1412">
        <v>0.16</v>
      </c>
      <c r="W1412">
        <v>0.77</v>
      </c>
      <c r="X1412" t="s">
        <v>13</v>
      </c>
      <c r="Y1412" t="s">
        <v>7</v>
      </c>
      <c r="Z1412" s="2" t="s">
        <v>718</v>
      </c>
      <c r="AA1412" s="2" t="s">
        <v>721</v>
      </c>
    </row>
    <row r="1413" spans="1:27" x14ac:dyDescent="0.35">
      <c r="A1413" t="s">
        <v>2163</v>
      </c>
      <c r="B1413" t="s">
        <v>2483</v>
      </c>
      <c r="C1413" s="7" t="str">
        <f>_xlfn.XLOOKUP(B1413,'[1]Sheet 1'!$A$2:$A$11107,'[1]Sheet 1'!$D$2:$D$11107,"",0)</f>
        <v>VSS</v>
      </c>
      <c r="D1413" s="4" t="str">
        <f>_xlfn.XLOOKUP(A1413,[3]Sheet2!$I$2:$I$1623,[3]Sheet2!$D$2:$D$1623,"",0)</f>
        <v>Q1</v>
      </c>
      <c r="F1413" s="4" t="e">
        <f>_xlfn.XLOOKUP(B1413,[2]Sheet2!$E$2:$E$713,[2]Sheet2!$G$2:$G$713)</f>
        <v>#N/A</v>
      </c>
      <c r="G1413" s="22">
        <v>46190</v>
      </c>
      <c r="H1413" s="23">
        <v>0.21543981481481481</v>
      </c>
      <c r="I1413" t="s">
        <v>10</v>
      </c>
      <c r="J1413" s="2" t="str">
        <f t="shared" si="111"/>
        <v>Q1</v>
      </c>
      <c r="K1413" s="2" t="str">
        <f t="shared" si="112"/>
        <v>Match</v>
      </c>
      <c r="L1413" s="1">
        <f t="shared" si="116"/>
        <v>1.5805062480104279</v>
      </c>
      <c r="M1413" s="1" t="e">
        <f t="shared" si="115"/>
        <v>#N/A</v>
      </c>
      <c r="N1413" s="2" t="str">
        <f t="shared" si="114"/>
        <v>Q OK dE&gt;0.8</v>
      </c>
      <c r="O1413">
        <v>28.2</v>
      </c>
      <c r="P1413">
        <v>-11.49</v>
      </c>
      <c r="Q1413">
        <v>-1.64</v>
      </c>
      <c r="R1413">
        <v>1.23</v>
      </c>
      <c r="S1413">
        <v>0.04</v>
      </c>
      <c r="T1413">
        <v>1.58</v>
      </c>
      <c r="U1413">
        <v>-0.28000000000000003</v>
      </c>
      <c r="V1413">
        <v>-1.54</v>
      </c>
      <c r="W1413">
        <v>1.99</v>
      </c>
      <c r="X1413" t="s">
        <v>6</v>
      </c>
      <c r="Y1413" t="s">
        <v>12</v>
      </c>
      <c r="Z1413" s="2" t="s">
        <v>718</v>
      </c>
      <c r="AA1413" s="2" t="s">
        <v>721</v>
      </c>
    </row>
    <row r="1414" spans="1:27" x14ac:dyDescent="0.35">
      <c r="A1414" t="s">
        <v>1626</v>
      </c>
      <c r="B1414" t="s">
        <v>2484</v>
      </c>
      <c r="C1414" s="7" t="str">
        <f>_xlfn.XLOOKUP(B1414,'[1]Sheet 1'!$A$2:$A$11107,'[1]Sheet 1'!$D$2:$D$11107,"",0)</f>
        <v>VSS</v>
      </c>
      <c r="D1414" s="4" t="str">
        <f>_xlfn.XLOOKUP(A1414,[3]Sheet2!$I$2:$I$1623,[3]Sheet2!$D$2:$D$1623,"",0)</f>
        <v>Q4</v>
      </c>
      <c r="F1414" s="4" t="e">
        <f>_xlfn.XLOOKUP(B1414,[2]Sheet2!$E$2:$E$713,[2]Sheet2!$G$2:$G$713)</f>
        <v>#N/A</v>
      </c>
      <c r="G1414" s="22">
        <v>46190</v>
      </c>
      <c r="H1414" s="23">
        <v>0.26961805555555557</v>
      </c>
      <c r="I1414" t="s">
        <v>10</v>
      </c>
      <c r="J1414" s="2" t="str">
        <f t="shared" si="111"/>
        <v>Q3</v>
      </c>
      <c r="K1414" s="2" t="str">
        <f t="shared" si="112"/>
        <v>Not Match</v>
      </c>
      <c r="L1414" s="1">
        <f t="shared" si="116"/>
        <v>0.53150729063673252</v>
      </c>
      <c r="M1414" s="1" t="e">
        <f t="shared" si="115"/>
        <v>#N/A</v>
      </c>
      <c r="N1414" s="2" t="str">
        <f t="shared" si="114"/>
        <v>Q NOT OK dE&gt;0.8</v>
      </c>
      <c r="O1414">
        <v>15.1</v>
      </c>
      <c r="P1414">
        <v>7.0000000000000007E-2</v>
      </c>
      <c r="Q1414">
        <v>-1.7</v>
      </c>
      <c r="R1414">
        <v>-0.47</v>
      </c>
      <c r="S1414">
        <v>-0.52</v>
      </c>
      <c r="T1414">
        <v>-0.11</v>
      </c>
      <c r="U1414">
        <v>0.01</v>
      </c>
      <c r="V1414">
        <v>-0.74</v>
      </c>
      <c r="W1414">
        <v>0.88</v>
      </c>
      <c r="X1414" t="s">
        <v>13</v>
      </c>
      <c r="Y1414" t="s">
        <v>15</v>
      </c>
      <c r="Z1414" s="2" t="s">
        <v>718</v>
      </c>
      <c r="AA1414" s="2" t="s">
        <v>721</v>
      </c>
    </row>
    <row r="1415" spans="1:27" x14ac:dyDescent="0.35">
      <c r="A1415" t="s">
        <v>2148</v>
      </c>
      <c r="B1415" t="s">
        <v>2485</v>
      </c>
      <c r="C1415" s="7" t="str">
        <f>_xlfn.XLOOKUP(B1415,'[1]Sheet 1'!$A$2:$A$11107,'[1]Sheet 1'!$D$2:$D$11107,"",0)</f>
        <v>VSS</v>
      </c>
      <c r="D1415" s="4" t="str">
        <f>_xlfn.XLOOKUP(A1415,[3]Sheet2!$I$2:$I$1623,[3]Sheet2!$D$2:$D$1623,"",0)</f>
        <v>Q3</v>
      </c>
      <c r="F1415" s="4" t="e">
        <f>_xlfn.XLOOKUP(B1415,[2]Sheet2!$E$2:$E$713,[2]Sheet2!$G$2:$G$713)</f>
        <v>#N/A</v>
      </c>
      <c r="G1415" s="22">
        <v>46190</v>
      </c>
      <c r="H1415" s="23">
        <v>0.27393518518518517</v>
      </c>
      <c r="I1415" t="s">
        <v>10</v>
      </c>
      <c r="J1415" s="2" t="str">
        <f t="shared" si="111"/>
        <v>Q4</v>
      </c>
      <c r="K1415" s="2" t="str">
        <f t="shared" si="112"/>
        <v>Not Match</v>
      </c>
      <c r="L1415" s="1">
        <f t="shared" si="116"/>
        <v>1.3301503674397117</v>
      </c>
      <c r="M1415" s="1" t="e">
        <f t="shared" si="115"/>
        <v>#N/A</v>
      </c>
      <c r="N1415" s="2" t="str">
        <f t="shared" si="114"/>
        <v>Q NOT OK dE&gt;0.8</v>
      </c>
      <c r="O1415">
        <v>43.91</v>
      </c>
      <c r="P1415">
        <v>55.37</v>
      </c>
      <c r="Q1415">
        <v>38.47</v>
      </c>
      <c r="R1415">
        <v>0.67</v>
      </c>
      <c r="S1415">
        <v>1.33</v>
      </c>
      <c r="T1415">
        <v>-0.02</v>
      </c>
      <c r="U1415">
        <v>0.37</v>
      </c>
      <c r="V1415">
        <v>-0.54</v>
      </c>
      <c r="W1415">
        <v>0.94</v>
      </c>
      <c r="X1415" t="s">
        <v>13</v>
      </c>
      <c r="Y1415" t="s">
        <v>7</v>
      </c>
      <c r="Z1415" s="2" t="s">
        <v>718</v>
      </c>
      <c r="AA1415" s="2" t="s">
        <v>721</v>
      </c>
    </row>
    <row r="1416" spans="1:27" x14ac:dyDescent="0.35">
      <c r="A1416" t="s">
        <v>2312</v>
      </c>
      <c r="B1416" t="s">
        <v>2486</v>
      </c>
      <c r="C1416" s="7" t="str">
        <f>_xlfn.XLOOKUP(B1416,'[1]Sheet 1'!$A$2:$A$11107,'[1]Sheet 1'!$D$2:$D$11107,"",0)</f>
        <v>VSS</v>
      </c>
      <c r="D1416" s="4" t="str">
        <f>_xlfn.XLOOKUP(A1416,[3]Sheet2!$I$2:$I$1623,[3]Sheet2!$D$2:$D$1623,"",0)</f>
        <v>Q1</v>
      </c>
      <c r="F1416" s="4" t="e">
        <f>_xlfn.XLOOKUP(B1416,[2]Sheet2!$E$2:$E$713,[2]Sheet2!$G$2:$G$713)</f>
        <v>#N/A</v>
      </c>
      <c r="G1416" s="22">
        <v>46190</v>
      </c>
      <c r="H1416" s="23">
        <v>0.42495370370370372</v>
      </c>
      <c r="I1416" t="s">
        <v>10</v>
      </c>
      <c r="J1416" s="2" t="str">
        <f t="shared" si="111"/>
        <v>Q1</v>
      </c>
      <c r="K1416" s="2" t="str">
        <f t="shared" si="112"/>
        <v>Match</v>
      </c>
      <c r="L1416" s="1">
        <f t="shared" si="116"/>
        <v>1.8123189564753772</v>
      </c>
      <c r="M1416" s="1" t="e">
        <f t="shared" si="115"/>
        <v>#N/A</v>
      </c>
      <c r="N1416" s="2" t="str">
        <f t="shared" si="114"/>
        <v>Q OK dE&gt;0.8</v>
      </c>
      <c r="O1416">
        <v>32.840000000000003</v>
      </c>
      <c r="P1416">
        <v>41.86</v>
      </c>
      <c r="Q1416">
        <v>23.78</v>
      </c>
      <c r="R1416">
        <v>-0.37</v>
      </c>
      <c r="S1416">
        <v>0.54</v>
      </c>
      <c r="T1416">
        <v>1.73</v>
      </c>
      <c r="U1416">
        <v>0.53</v>
      </c>
      <c r="V1416">
        <v>0.94</v>
      </c>
      <c r="W1416">
        <v>1.1299999999999999</v>
      </c>
      <c r="X1416" t="s">
        <v>6</v>
      </c>
      <c r="Y1416" t="s">
        <v>12</v>
      </c>
      <c r="Z1416" s="2" t="s">
        <v>718</v>
      </c>
      <c r="AA1416" s="2" t="s">
        <v>721</v>
      </c>
    </row>
    <row r="1417" spans="1:27" x14ac:dyDescent="0.35">
      <c r="A1417" t="s">
        <v>1626</v>
      </c>
      <c r="B1417" t="s">
        <v>2487</v>
      </c>
      <c r="C1417" s="7" t="str">
        <f>_xlfn.XLOOKUP(B1417,'[1]Sheet 1'!$A$2:$A$11107,'[1]Sheet 1'!$D$2:$D$11107,"",0)</f>
        <v>VSS</v>
      </c>
      <c r="D1417" s="4" t="str">
        <f>_xlfn.XLOOKUP(A1417,[3]Sheet2!$I$2:$I$1623,[3]Sheet2!$D$2:$D$1623,"",0)</f>
        <v>Q4</v>
      </c>
      <c r="F1417" s="4" t="e">
        <f>_xlfn.XLOOKUP(B1417,[2]Sheet2!$E$2:$E$713,[2]Sheet2!$G$2:$G$713)</f>
        <v>#N/A</v>
      </c>
      <c r="G1417" s="22">
        <v>46190</v>
      </c>
      <c r="H1417" s="23">
        <v>0.52243055555555551</v>
      </c>
      <c r="I1417" t="s">
        <v>10</v>
      </c>
      <c r="J1417" s="2" t="str">
        <f t="shared" si="111"/>
        <v>Q2</v>
      </c>
      <c r="K1417" s="2" t="str">
        <f t="shared" si="112"/>
        <v>Not Match</v>
      </c>
      <c r="L1417" s="1">
        <f t="shared" si="116"/>
        <v>0.31144823004794875</v>
      </c>
      <c r="M1417" s="1" t="e">
        <f t="shared" si="115"/>
        <v>#N/A</v>
      </c>
      <c r="N1417" s="2" t="str">
        <f t="shared" si="114"/>
        <v>Q NOT OK dE&lt;=0.8</v>
      </c>
      <c r="O1417">
        <v>15.19</v>
      </c>
      <c r="P1417">
        <v>0.28999999999999998</v>
      </c>
      <c r="Q1417">
        <v>-1.56</v>
      </c>
      <c r="R1417">
        <v>-0.37</v>
      </c>
      <c r="S1417">
        <v>-0.31</v>
      </c>
      <c r="T1417">
        <v>0.03</v>
      </c>
      <c r="U1417">
        <v>-0.15</v>
      </c>
      <c r="V1417">
        <v>-0.4</v>
      </c>
      <c r="W1417">
        <v>0.56000000000000005</v>
      </c>
      <c r="X1417" t="s">
        <v>8</v>
      </c>
      <c r="Y1417" t="s">
        <v>15</v>
      </c>
      <c r="Z1417" s="2" t="s">
        <v>718</v>
      </c>
      <c r="AA1417" s="2" t="s">
        <v>721</v>
      </c>
    </row>
    <row r="1418" spans="1:27" x14ac:dyDescent="0.35">
      <c r="A1418" t="s">
        <v>1773</v>
      </c>
      <c r="B1418" t="s">
        <v>2488</v>
      </c>
      <c r="C1418" s="7" t="str">
        <f>_xlfn.XLOOKUP(B1418,'[1]Sheet 1'!$A$2:$A$11107,'[1]Sheet 1'!$D$2:$D$11107,"",0)</f>
        <v>NKSKI</v>
      </c>
      <c r="D1418" s="4" t="str">
        <f>_xlfn.XLOOKUP(A1418,[3]Sheet2!$I$2:$I$1623,[3]Sheet2!$D$2:$D$1623,"",0)</f>
        <v>Q3</v>
      </c>
      <c r="F1418" s="4" t="e">
        <f>_xlfn.XLOOKUP(B1418,[2]Sheet2!$E$2:$E$713,[2]Sheet2!$G$2:$G$713)</f>
        <v>#N/A</v>
      </c>
      <c r="G1418" s="22">
        <v>46190</v>
      </c>
      <c r="H1418" s="23">
        <v>0.52792824074074074</v>
      </c>
      <c r="I1418" t="s">
        <v>4</v>
      </c>
      <c r="J1418" s="2" t="str">
        <f t="shared" si="111"/>
        <v>Q2</v>
      </c>
      <c r="K1418" s="2" t="str">
        <f t="shared" si="112"/>
        <v>Not Match</v>
      </c>
      <c r="L1418" s="1">
        <f t="shared" si="116"/>
        <v>0.44283179650969057</v>
      </c>
      <c r="M1418" s="1" t="e">
        <f t="shared" si="115"/>
        <v>#N/A</v>
      </c>
      <c r="N1418" s="2" t="str">
        <f t="shared" si="114"/>
        <v>Q NOT OK dE&lt;=0.8</v>
      </c>
      <c r="O1418">
        <v>17.18</v>
      </c>
      <c r="P1418">
        <v>-1.2</v>
      </c>
      <c r="Q1418">
        <v>-2.2000000000000002</v>
      </c>
      <c r="R1418">
        <v>0.22</v>
      </c>
      <c r="S1418">
        <v>-0.05</v>
      </c>
      <c r="T1418">
        <v>0.44</v>
      </c>
      <c r="U1418">
        <v>-0.46</v>
      </c>
      <c r="V1418">
        <v>-0.31</v>
      </c>
      <c r="W1418">
        <v>0.6</v>
      </c>
      <c r="X1418" t="s">
        <v>8</v>
      </c>
      <c r="Y1418" t="s">
        <v>15</v>
      </c>
      <c r="Z1418" s="2" t="s">
        <v>718</v>
      </c>
      <c r="AA1418" s="2" t="s">
        <v>721</v>
      </c>
    </row>
    <row r="1419" spans="1:27" x14ac:dyDescent="0.35">
      <c r="A1419" t="s">
        <v>2156</v>
      </c>
      <c r="B1419" t="s">
        <v>2438</v>
      </c>
      <c r="C1419" s="7" t="str">
        <f>_xlfn.XLOOKUP(B1419,'[1]Sheet 1'!$A$2:$A$11107,'[1]Sheet 1'!$D$2:$D$11107,"",0)</f>
        <v>VSS</v>
      </c>
      <c r="D1419" s="4" t="str">
        <f>_xlfn.XLOOKUP(A1419,[3]Sheet2!$I$2:$I$1623,[3]Sheet2!$D$2:$D$1623,"",0)</f>
        <v>Q1</v>
      </c>
      <c r="F1419" s="4" t="e">
        <f>_xlfn.XLOOKUP(B1419,[2]Sheet2!$E$2:$E$713,[2]Sheet2!$G$2:$G$713)</f>
        <v>#N/A</v>
      </c>
      <c r="G1419" s="22">
        <v>46190</v>
      </c>
      <c r="H1419" s="23">
        <v>0.54182870370370373</v>
      </c>
      <c r="I1419" t="s">
        <v>10</v>
      </c>
      <c r="J1419" s="2" t="str">
        <f t="shared" ref="J1419:J1477" si="117">IF(OR(S1419=0,T1419=0),D1419,IF(AND(S1419&gt;0,T1419&gt;0),"Q1",IF(AND(S1419&lt;0,T1419&gt;0),"Q2",IF(AND(S1419&lt;0,T1419&lt;0),"Q3",IF(AND(S1419&gt;0,T1419&lt;0),"Q4","")))))</f>
        <v>Q2</v>
      </c>
      <c r="K1419" s="2" t="str">
        <f t="shared" ref="K1419:K1477" si="118">IF(J1419=D1419,"Match",IF(AND(J1419=0,D1419="Match"),"da and db 0",IF(D1419=0,"Not Found","Not Match")))</f>
        <v>Not Match</v>
      </c>
      <c r="L1419" s="1">
        <f t="shared" si="116"/>
        <v>0.82079230015881599</v>
      </c>
      <c r="M1419" s="1" t="e">
        <f t="shared" si="115"/>
        <v>#N/A</v>
      </c>
      <c r="N1419" s="2" t="str">
        <f t="shared" ref="N1419:N1477" si="119">IF(D1419=0,"Quadrant not assigned",IF(AND(K1419="Match",W1419&lt;=0.8),"Q OK dE&lt;=0.8",IF(AND(K1419="Match",W1419&gt;0.8),"Q OK dE&gt;0.8",IF(AND(K1419="Not Match",W1419&lt;=0.8),"Q NOT OK dE&lt;=0.8","Q NOT OK dE&gt;0.8"))))</f>
        <v>Q NOT OK dE&gt;0.8</v>
      </c>
      <c r="O1419">
        <v>26.33</v>
      </c>
      <c r="P1419">
        <v>-12.98</v>
      </c>
      <c r="Q1419">
        <v>-2.78</v>
      </c>
      <c r="R1419">
        <v>0.35</v>
      </c>
      <c r="S1419">
        <v>-0.31</v>
      </c>
      <c r="T1419">
        <v>0.76</v>
      </c>
      <c r="U1419">
        <v>0.09</v>
      </c>
      <c r="V1419">
        <v>-0.78</v>
      </c>
      <c r="W1419">
        <v>0.86</v>
      </c>
      <c r="X1419" t="s">
        <v>13</v>
      </c>
      <c r="Y1419" t="s">
        <v>12</v>
      </c>
      <c r="Z1419" s="2" t="s">
        <v>718</v>
      </c>
      <c r="AA1419" s="2" t="s">
        <v>721</v>
      </c>
    </row>
    <row r="1420" spans="1:27" x14ac:dyDescent="0.35">
      <c r="A1420" t="s">
        <v>1773</v>
      </c>
      <c r="B1420" t="s">
        <v>2489</v>
      </c>
      <c r="C1420" s="7" t="str">
        <f>_xlfn.XLOOKUP(B1420,'[1]Sheet 1'!$A$2:$A$11107,'[1]Sheet 1'!$D$2:$D$11107,"",0)</f>
        <v>NKSKI</v>
      </c>
      <c r="D1420" s="4" t="str">
        <f>_xlfn.XLOOKUP(A1420,[3]Sheet2!$I$2:$I$1623,[3]Sheet2!$D$2:$D$1623,"",0)</f>
        <v>Q3</v>
      </c>
      <c r="F1420" s="4" t="e">
        <f>_xlfn.XLOOKUP(B1420,[2]Sheet2!$E$2:$E$713,[2]Sheet2!$G$2:$G$713)</f>
        <v>#N/A</v>
      </c>
      <c r="G1420" s="22">
        <v>46190</v>
      </c>
      <c r="H1420" s="23">
        <v>0.74149305555555556</v>
      </c>
      <c r="I1420" t="s">
        <v>4</v>
      </c>
      <c r="J1420" s="2" t="str">
        <f t="shared" si="117"/>
        <v>Q3</v>
      </c>
      <c r="K1420" s="2" t="str">
        <f t="shared" si="118"/>
        <v>Match</v>
      </c>
      <c r="L1420" s="1">
        <f t="shared" si="116"/>
        <v>0.19416487838947599</v>
      </c>
      <c r="M1420" s="1" t="e">
        <f t="shared" si="115"/>
        <v>#N/A</v>
      </c>
      <c r="N1420" s="2" t="str">
        <f t="shared" si="119"/>
        <v>Q OK dE&gt;0.8</v>
      </c>
      <c r="O1420">
        <v>15.91</v>
      </c>
      <c r="P1420">
        <v>-1.19</v>
      </c>
      <c r="Q1420">
        <v>-2.83</v>
      </c>
      <c r="R1420">
        <v>-0.97</v>
      </c>
      <c r="S1420">
        <v>-0.04</v>
      </c>
      <c r="T1420">
        <v>-0.19</v>
      </c>
      <c r="U1420">
        <v>0.23</v>
      </c>
      <c r="V1420">
        <v>0.05</v>
      </c>
      <c r="W1420">
        <v>1</v>
      </c>
      <c r="X1420" t="s">
        <v>6</v>
      </c>
      <c r="Y1420" t="s">
        <v>9</v>
      </c>
      <c r="Z1420" s="2" t="s">
        <v>718</v>
      </c>
      <c r="AA1420" s="2" t="s">
        <v>721</v>
      </c>
    </row>
    <row r="1421" spans="1:27" x14ac:dyDescent="0.35">
      <c r="A1421" t="s">
        <v>2439</v>
      </c>
      <c r="B1421" t="s">
        <v>2490</v>
      </c>
      <c r="C1421" s="7" t="str">
        <f>_xlfn.XLOOKUP(B1421,'[1]Sheet 1'!$A$2:$A$11107,'[1]Sheet 1'!$D$2:$D$11107,"",0)</f>
        <v>CK</v>
      </c>
      <c r="D1421" s="4" t="str">
        <f>_xlfn.XLOOKUP(A1421,[3]Sheet2!$I$2:$I$1623,[3]Sheet2!$D$2:$D$1623,"",0)</f>
        <v>Q2</v>
      </c>
      <c r="F1421" s="4" t="e">
        <f>_xlfn.XLOOKUP(B1421,[2]Sheet2!$E$2:$E$713,[2]Sheet2!$G$2:$G$713)</f>
        <v>#N/A</v>
      </c>
      <c r="G1421" s="22">
        <v>46190</v>
      </c>
      <c r="H1421" s="23">
        <v>0.72181712962962963</v>
      </c>
      <c r="I1421" t="s">
        <v>11</v>
      </c>
      <c r="J1421" s="2" t="str">
        <f t="shared" si="117"/>
        <v>Q3</v>
      </c>
      <c r="K1421" s="2" t="str">
        <f t="shared" si="118"/>
        <v>Not Match</v>
      </c>
      <c r="L1421" s="1">
        <f t="shared" si="116"/>
        <v>0.22825424421026658</v>
      </c>
      <c r="M1421" s="1" t="e">
        <f t="shared" si="115"/>
        <v>#N/A</v>
      </c>
      <c r="N1421" s="2" t="str">
        <f t="shared" si="119"/>
        <v>Q NOT OK dE&lt;=0.8</v>
      </c>
      <c r="O1421">
        <v>37.04</v>
      </c>
      <c r="P1421">
        <v>-1.71</v>
      </c>
      <c r="Q1421">
        <v>-4.47</v>
      </c>
      <c r="R1421">
        <v>0.34</v>
      </c>
      <c r="S1421">
        <v>-0.11</v>
      </c>
      <c r="T1421">
        <v>-0.2</v>
      </c>
      <c r="U1421">
        <v>0.24</v>
      </c>
      <c r="V1421">
        <v>-0.04</v>
      </c>
      <c r="W1421">
        <v>0.42</v>
      </c>
      <c r="X1421" t="s">
        <v>8</v>
      </c>
      <c r="Y1421" t="s">
        <v>15</v>
      </c>
      <c r="Z1421" s="2" t="s">
        <v>718</v>
      </c>
      <c r="AA1421" s="2" t="s">
        <v>721</v>
      </c>
    </row>
    <row r="1422" spans="1:27" x14ac:dyDescent="0.35">
      <c r="A1422" t="s">
        <v>2366</v>
      </c>
      <c r="B1422" t="s">
        <v>2491</v>
      </c>
      <c r="C1422" s="7" t="str">
        <f>_xlfn.XLOOKUP(B1422,'[1]Sheet 1'!$A$2:$A$11107,'[1]Sheet 1'!$D$2:$D$11107,"",0)</f>
        <v>PINK</v>
      </c>
      <c r="D1422" s="4" t="str">
        <f>_xlfn.XLOOKUP(A1422,[3]Sheet2!$I$2:$I$1623,[3]Sheet2!$D$2:$D$1623,"",0)</f>
        <v>Q3</v>
      </c>
      <c r="F1422" s="4" t="e">
        <f>_xlfn.XLOOKUP(B1422,[2]Sheet2!$E$2:$E$713,[2]Sheet2!$G$2:$G$713)</f>
        <v>#N/A</v>
      </c>
      <c r="G1422" s="22">
        <v>46190</v>
      </c>
      <c r="H1422" s="23">
        <v>0.75083333333333335</v>
      </c>
      <c r="I1422" t="s">
        <v>11</v>
      </c>
      <c r="J1422" s="2" t="str">
        <f t="shared" si="117"/>
        <v>Q3</v>
      </c>
      <c r="K1422" s="2" t="str">
        <f t="shared" si="118"/>
        <v>Match</v>
      </c>
      <c r="L1422" s="1">
        <f t="shared" si="116"/>
        <v>1.1562439189029277</v>
      </c>
      <c r="M1422" s="1" t="e">
        <f t="shared" si="115"/>
        <v>#N/A</v>
      </c>
      <c r="N1422" s="2" t="str">
        <f t="shared" si="119"/>
        <v>Q OK dE&gt;0.8</v>
      </c>
      <c r="O1422">
        <v>27.88</v>
      </c>
      <c r="P1422">
        <v>-12.1</v>
      </c>
      <c r="Q1422">
        <v>-3.9</v>
      </c>
      <c r="R1422">
        <v>0.83</v>
      </c>
      <c r="S1422">
        <v>-0.75</v>
      </c>
      <c r="T1422">
        <v>-0.88</v>
      </c>
      <c r="U1422">
        <v>0.75</v>
      </c>
      <c r="V1422">
        <v>0.64</v>
      </c>
      <c r="W1422">
        <v>1.29</v>
      </c>
      <c r="X1422" t="s">
        <v>6</v>
      </c>
      <c r="Y1422" t="s">
        <v>7</v>
      </c>
      <c r="Z1422" s="2" t="s">
        <v>718</v>
      </c>
      <c r="AA1422" s="2" t="s">
        <v>721</v>
      </c>
    </row>
    <row r="1423" spans="1:27" x14ac:dyDescent="0.35">
      <c r="A1423" t="s">
        <v>2366</v>
      </c>
      <c r="B1423" t="s">
        <v>2492</v>
      </c>
      <c r="C1423" s="7" t="str">
        <f>_xlfn.XLOOKUP(B1423,'[1]Sheet 1'!$A$2:$A$11107,'[1]Sheet 1'!$D$2:$D$11107,"",0)</f>
        <v>PINK</v>
      </c>
      <c r="D1423" s="4" t="str">
        <f>_xlfn.XLOOKUP(A1423,[3]Sheet2!$I$2:$I$1623,[3]Sheet2!$D$2:$D$1623,"",0)</f>
        <v>Q3</v>
      </c>
      <c r="F1423" s="4" t="e">
        <f>_xlfn.XLOOKUP(B1423,[2]Sheet2!$E$2:$E$713,[2]Sheet2!$G$2:$G$713)</f>
        <v>#N/A</v>
      </c>
      <c r="G1423" s="22">
        <v>46190</v>
      </c>
      <c r="H1423" s="23">
        <v>0.75280092592592596</v>
      </c>
      <c r="I1423" t="s">
        <v>11</v>
      </c>
      <c r="J1423" s="2" t="str">
        <f t="shared" si="117"/>
        <v>Q2</v>
      </c>
      <c r="K1423" s="2" t="str">
        <f t="shared" si="118"/>
        <v>Not Match</v>
      </c>
      <c r="L1423" s="1">
        <f t="shared" si="116"/>
        <v>0.75325958341065935</v>
      </c>
      <c r="M1423" s="1" t="e">
        <f t="shared" si="115"/>
        <v>#N/A</v>
      </c>
      <c r="N1423" s="2" t="str">
        <f t="shared" si="119"/>
        <v>Q NOT OK dE&lt;=0.8</v>
      </c>
      <c r="O1423">
        <v>26.82</v>
      </c>
      <c r="P1423">
        <v>-11.42</v>
      </c>
      <c r="Q1423">
        <v>-2.27</v>
      </c>
      <c r="R1423">
        <v>0.12</v>
      </c>
      <c r="S1423">
        <v>-7.0000000000000007E-2</v>
      </c>
      <c r="T1423">
        <v>0.75</v>
      </c>
      <c r="U1423">
        <v>-0.08</v>
      </c>
      <c r="V1423">
        <v>-0.75</v>
      </c>
      <c r="W1423">
        <v>0.76</v>
      </c>
      <c r="X1423" t="s">
        <v>13</v>
      </c>
      <c r="Y1423" t="s">
        <v>12</v>
      </c>
      <c r="Z1423" s="2" t="s">
        <v>718</v>
      </c>
      <c r="AA1423" s="2" t="s">
        <v>721</v>
      </c>
    </row>
    <row r="1424" spans="1:27" x14ac:dyDescent="0.35">
      <c r="A1424" t="s">
        <v>2312</v>
      </c>
      <c r="B1424" t="s">
        <v>2494</v>
      </c>
      <c r="C1424" s="7" t="str">
        <f>_xlfn.XLOOKUP(B1424,'[1]Sheet 1'!$A$2:$A$11107,'[1]Sheet 1'!$D$2:$D$11107,"",0)</f>
        <v>VSS</v>
      </c>
      <c r="D1424" s="4" t="str">
        <f>_xlfn.XLOOKUP(A1424,[3]Sheet2!$I$2:$I$1623,[3]Sheet2!$D$2:$D$1623,"",0)</f>
        <v>Q1</v>
      </c>
      <c r="F1424" s="4" t="e">
        <f>_xlfn.XLOOKUP(B1424,[2]Sheet2!$E$2:$E$713,[2]Sheet2!$G$2:$G$713)</f>
        <v>#N/A</v>
      </c>
      <c r="G1424" s="22">
        <v>46190</v>
      </c>
      <c r="H1424" s="23">
        <v>0.77789351851851851</v>
      </c>
      <c r="I1424" t="s">
        <v>10</v>
      </c>
      <c r="J1424" s="2" t="str">
        <f t="shared" si="117"/>
        <v>Q1</v>
      </c>
      <c r="K1424" s="2" t="str">
        <f t="shared" si="118"/>
        <v>Match</v>
      </c>
      <c r="L1424" s="1">
        <f t="shared" si="116"/>
        <v>1.6865645555388622</v>
      </c>
      <c r="M1424" s="1" t="e">
        <f t="shared" si="115"/>
        <v>#N/A</v>
      </c>
      <c r="N1424" s="2" t="str">
        <f t="shared" si="119"/>
        <v>Q OK dE&gt;0.8</v>
      </c>
      <c r="O1424">
        <v>32.82</v>
      </c>
      <c r="P1424">
        <v>42.23</v>
      </c>
      <c r="Q1424">
        <v>23.47</v>
      </c>
      <c r="R1424">
        <v>-0.38</v>
      </c>
      <c r="S1424">
        <v>0.91</v>
      </c>
      <c r="T1424">
        <v>1.42</v>
      </c>
      <c r="U1424">
        <v>0.59</v>
      </c>
      <c r="V1424">
        <v>0.61</v>
      </c>
      <c r="W1424">
        <v>0.93</v>
      </c>
      <c r="X1424" t="s">
        <v>13</v>
      </c>
      <c r="Y1424" t="s">
        <v>12</v>
      </c>
      <c r="Z1424" s="2" t="s">
        <v>718</v>
      </c>
      <c r="AA1424" s="2" t="s">
        <v>721</v>
      </c>
    </row>
    <row r="1425" spans="1:27" x14ac:dyDescent="0.35">
      <c r="A1425" t="s">
        <v>2493</v>
      </c>
      <c r="B1425" t="s">
        <v>2496</v>
      </c>
      <c r="C1425" s="7" t="str">
        <f>_xlfn.XLOOKUP(B1425,'[1]Sheet 1'!$A$2:$A$11107,'[1]Sheet 1'!$D$2:$D$11107,"",0)</f>
        <v>VSS</v>
      </c>
      <c r="D1425" s="4" t="str">
        <f>_xlfn.XLOOKUP(A1425,[3]Sheet2!$I$2:$I$1623,[3]Sheet2!$D$2:$D$1623,"",0)</f>
        <v>Q4</v>
      </c>
      <c r="F1425" s="4" t="e">
        <f>_xlfn.XLOOKUP(B1425,[2]Sheet2!$E$2:$E$713,[2]Sheet2!$G$2:$G$713)</f>
        <v>#N/A</v>
      </c>
      <c r="G1425" s="22">
        <v>46191</v>
      </c>
      <c r="H1425" s="23">
        <v>0.33195601851851853</v>
      </c>
      <c r="I1425" t="s">
        <v>10</v>
      </c>
      <c r="J1425" s="2" t="str">
        <f t="shared" si="117"/>
        <v>Q1</v>
      </c>
      <c r="K1425" s="2" t="str">
        <f t="shared" si="118"/>
        <v>Not Match</v>
      </c>
      <c r="L1425" s="1">
        <f t="shared" si="116"/>
        <v>1.8593009439033801</v>
      </c>
      <c r="M1425" s="1" t="e">
        <f t="shared" si="115"/>
        <v>#N/A</v>
      </c>
      <c r="N1425" s="2" t="str">
        <f t="shared" si="119"/>
        <v>Q NOT OK dE&gt;0.8</v>
      </c>
      <c r="O1425">
        <v>51.91</v>
      </c>
      <c r="P1425">
        <v>50.05</v>
      </c>
      <c r="Q1425">
        <v>-0.68</v>
      </c>
      <c r="R1425">
        <v>-0.14000000000000001</v>
      </c>
      <c r="S1425">
        <v>0.93</v>
      </c>
      <c r="T1425">
        <v>1.61</v>
      </c>
      <c r="U1425">
        <v>0.34</v>
      </c>
      <c r="V1425">
        <v>0.92</v>
      </c>
      <c r="W1425">
        <v>0.99</v>
      </c>
      <c r="X1425" t="s">
        <v>13</v>
      </c>
      <c r="Y1425" t="s">
        <v>9</v>
      </c>
      <c r="Z1425" s="2" t="s">
        <v>718</v>
      </c>
      <c r="AA1425" s="2" t="s">
        <v>721</v>
      </c>
    </row>
    <row r="1426" spans="1:27" x14ac:dyDescent="0.35">
      <c r="A1426" t="s">
        <v>1655</v>
      </c>
      <c r="B1426" t="s">
        <v>2495</v>
      </c>
      <c r="C1426" s="7" t="str">
        <f>_xlfn.XLOOKUP(B1426,'[1]Sheet 1'!$A$2:$A$11107,'[1]Sheet 1'!$D$2:$D$11107,"",0)</f>
        <v>PINK</v>
      </c>
      <c r="D1426" s="4" t="str">
        <f>_xlfn.XLOOKUP(A1426,[3]Sheet2!$I$2:$I$1623,[3]Sheet2!$D$2:$D$1623,"",0)</f>
        <v>Q3</v>
      </c>
      <c r="F1426" s="4" t="e">
        <f>_xlfn.XLOOKUP(B1426,[2]Sheet2!$E$2:$E$713,[2]Sheet2!$G$2:$G$713)</f>
        <v>#N/A</v>
      </c>
      <c r="G1426" s="22">
        <v>46191</v>
      </c>
      <c r="H1426" s="23">
        <v>0.33445601851851853</v>
      </c>
      <c r="I1426" t="s">
        <v>10</v>
      </c>
      <c r="J1426" s="2" t="str">
        <f t="shared" si="117"/>
        <v>Q1</v>
      </c>
      <c r="K1426" s="2" t="str">
        <f t="shared" si="118"/>
        <v>Not Match</v>
      </c>
      <c r="L1426" s="1">
        <f t="shared" si="116"/>
        <v>0.41677331968349413</v>
      </c>
      <c r="M1426" s="1" t="e">
        <f t="shared" si="115"/>
        <v>#N/A</v>
      </c>
      <c r="N1426" s="2" t="str">
        <f t="shared" si="119"/>
        <v>Q NOT OK dE&lt;=0.8</v>
      </c>
      <c r="O1426">
        <v>13.65</v>
      </c>
      <c r="P1426">
        <v>0.97</v>
      </c>
      <c r="Q1426">
        <v>-0.68</v>
      </c>
      <c r="R1426">
        <v>-0.42</v>
      </c>
      <c r="S1426">
        <v>0.36</v>
      </c>
      <c r="T1426">
        <v>0.21</v>
      </c>
      <c r="U1426">
        <v>0.15</v>
      </c>
      <c r="V1426">
        <v>0.57999999999999996</v>
      </c>
      <c r="W1426">
        <v>0.74</v>
      </c>
      <c r="X1426" t="s">
        <v>8</v>
      </c>
      <c r="Y1426" t="s">
        <v>9</v>
      </c>
      <c r="Z1426" s="2" t="s">
        <v>718</v>
      </c>
      <c r="AA1426" s="2" t="s">
        <v>721</v>
      </c>
    </row>
    <row r="1427" spans="1:27" x14ac:dyDescent="0.35">
      <c r="A1427" t="s">
        <v>1612</v>
      </c>
      <c r="B1427" t="s">
        <v>2497</v>
      </c>
      <c r="C1427" s="7" t="str">
        <f>_xlfn.XLOOKUP(B1427,'[1]Sheet 1'!$A$2:$A$11107,'[1]Sheet 1'!$D$2:$D$11107,"",0)</f>
        <v>LULU</v>
      </c>
      <c r="D1427" s="4" t="str">
        <f>_xlfn.XLOOKUP(A1427,[3]Sheet2!$I$2:$I$1623,[3]Sheet2!$D$2:$D$1623,"",0)</f>
        <v>Q1</v>
      </c>
      <c r="F1427" s="4" t="e">
        <f>_xlfn.XLOOKUP(B1427,[2]Sheet2!$E$2:$E$713,[2]Sheet2!$G$2:$G$713)</f>
        <v>#N/A</v>
      </c>
      <c r="G1427" s="22">
        <v>46191</v>
      </c>
      <c r="H1427" s="23">
        <v>0.57771990740740742</v>
      </c>
      <c r="I1427" t="s">
        <v>4</v>
      </c>
      <c r="J1427" s="2" t="str">
        <f t="shared" si="117"/>
        <v>Q3</v>
      </c>
      <c r="K1427" s="2" t="str">
        <f t="shared" si="118"/>
        <v>Not Match</v>
      </c>
      <c r="L1427" s="1">
        <f t="shared" si="116"/>
        <v>0.29068883707497267</v>
      </c>
      <c r="M1427" s="1" t="e">
        <f t="shared" si="115"/>
        <v>#N/A</v>
      </c>
      <c r="N1427" s="2" t="str">
        <f t="shared" si="119"/>
        <v>Q NOT OK dE&lt;=0.8</v>
      </c>
      <c r="O1427">
        <v>17.079999999999998</v>
      </c>
      <c r="P1427">
        <v>-0.48</v>
      </c>
      <c r="Q1427">
        <v>-2.52</v>
      </c>
      <c r="R1427">
        <v>0.04</v>
      </c>
      <c r="S1427">
        <v>-0.19</v>
      </c>
      <c r="T1427">
        <v>-0.22</v>
      </c>
      <c r="U1427">
        <v>0.32</v>
      </c>
      <c r="V1427">
        <v>-0.21</v>
      </c>
      <c r="W1427">
        <v>0.38</v>
      </c>
      <c r="X1427" t="s">
        <v>8</v>
      </c>
      <c r="Y1427" t="s">
        <v>15</v>
      </c>
      <c r="Z1427" s="2" t="s">
        <v>718</v>
      </c>
      <c r="AA1427" s="2" t="s">
        <v>721</v>
      </c>
    </row>
    <row r="1428" spans="1:27" x14ac:dyDescent="0.35">
      <c r="A1428" t="s">
        <v>2498</v>
      </c>
      <c r="B1428" t="s">
        <v>2499</v>
      </c>
      <c r="C1428" s="7" t="str">
        <f>_xlfn.XLOOKUP(B1428,'[1]Sheet 1'!$A$2:$A$11107,'[1]Sheet 1'!$D$2:$D$11107,"",0)</f>
        <v/>
      </c>
      <c r="D1428" s="4" t="str">
        <f>_xlfn.XLOOKUP(A1428,[3]Sheet2!$I$2:$I$1623,[3]Sheet2!$D$2:$D$1623,"",0)</f>
        <v>Q3</v>
      </c>
      <c r="F1428" s="4" t="e">
        <f>_xlfn.XLOOKUP(B1428,[2]Sheet2!$E$2:$E$713,[2]Sheet2!$G$2:$G$713)</f>
        <v>#N/A</v>
      </c>
      <c r="G1428" s="22">
        <v>46191</v>
      </c>
      <c r="H1428" s="23">
        <v>0.62502314814814819</v>
      </c>
      <c r="I1428" t="s">
        <v>14</v>
      </c>
      <c r="J1428" s="2" t="str">
        <f t="shared" si="117"/>
        <v>Q1</v>
      </c>
      <c r="K1428" s="2" t="str">
        <f t="shared" si="118"/>
        <v>Not Match</v>
      </c>
      <c r="L1428" s="1">
        <f t="shared" si="116"/>
        <v>3.1918803235710453</v>
      </c>
      <c r="M1428" s="1" t="e">
        <f t="shared" si="115"/>
        <v>#N/A</v>
      </c>
      <c r="N1428" s="2" t="str">
        <f t="shared" si="119"/>
        <v>Q NOT OK dE&gt;0.8</v>
      </c>
      <c r="O1428">
        <v>44.48</v>
      </c>
      <c r="P1428">
        <v>48.77</v>
      </c>
      <c r="Q1428">
        <v>38.950000000000003</v>
      </c>
      <c r="R1428">
        <v>0.84</v>
      </c>
      <c r="S1428">
        <v>2.35</v>
      </c>
      <c r="T1428">
        <v>2.16</v>
      </c>
      <c r="U1428">
        <v>1.1499999999999999</v>
      </c>
      <c r="V1428">
        <v>0.17</v>
      </c>
      <c r="W1428">
        <v>1.43</v>
      </c>
      <c r="X1428" t="s">
        <v>6</v>
      </c>
      <c r="Y1428" t="s">
        <v>12</v>
      </c>
      <c r="Z1428" s="2" t="s">
        <v>718</v>
      </c>
      <c r="AA1428" s="2" t="s">
        <v>721</v>
      </c>
    </row>
    <row r="1429" spans="1:27" x14ac:dyDescent="0.35">
      <c r="A1429" t="s">
        <v>2366</v>
      </c>
      <c r="B1429" t="s">
        <v>2500</v>
      </c>
      <c r="C1429" s="7" t="str">
        <f>_xlfn.XLOOKUP(B1429,'[1]Sheet 1'!$A$2:$A$11107,'[1]Sheet 1'!$D$2:$D$11107,"",0)</f>
        <v>PINK</v>
      </c>
      <c r="D1429" s="4" t="str">
        <f>_xlfn.XLOOKUP(A1429,[3]Sheet2!$I$2:$I$1623,[3]Sheet2!$D$2:$D$1623,"",0)</f>
        <v>Q3</v>
      </c>
      <c r="F1429" s="4" t="e">
        <f>_xlfn.XLOOKUP(B1429,[2]Sheet2!$E$2:$E$713,[2]Sheet2!$G$2:$G$713)</f>
        <v>#N/A</v>
      </c>
      <c r="G1429" s="22">
        <v>46191</v>
      </c>
      <c r="H1429" s="23">
        <v>0.70203703703703701</v>
      </c>
      <c r="I1429" t="s">
        <v>10</v>
      </c>
      <c r="J1429" s="2" t="str">
        <f t="shared" si="117"/>
        <v>Q3</v>
      </c>
      <c r="K1429" s="2" t="str">
        <f t="shared" si="118"/>
        <v>Match</v>
      </c>
      <c r="L1429" s="1">
        <f t="shared" si="116"/>
        <v>0.50009999000199945</v>
      </c>
      <c r="M1429" s="1" t="e">
        <f t="shared" si="115"/>
        <v>#N/A</v>
      </c>
      <c r="N1429" s="2" t="str">
        <f t="shared" si="119"/>
        <v>Q OK dE&gt;0.8</v>
      </c>
      <c r="O1429">
        <v>27.69</v>
      </c>
      <c r="P1429">
        <v>-14.74</v>
      </c>
      <c r="Q1429">
        <v>-5.04</v>
      </c>
      <c r="R1429">
        <v>0.75</v>
      </c>
      <c r="S1429">
        <v>-0.5</v>
      </c>
      <c r="T1429">
        <v>-0.01</v>
      </c>
      <c r="U1429">
        <v>0.33</v>
      </c>
      <c r="V1429">
        <v>-0.14000000000000001</v>
      </c>
      <c r="W1429">
        <v>0.83</v>
      </c>
      <c r="X1429" t="s">
        <v>13</v>
      </c>
      <c r="Y1429" t="s">
        <v>12</v>
      </c>
      <c r="Z1429" s="2" t="s">
        <v>718</v>
      </c>
      <c r="AA1429" s="2" t="s">
        <v>721</v>
      </c>
    </row>
    <row r="1430" spans="1:27" x14ac:dyDescent="0.35">
      <c r="A1430" t="s">
        <v>1626</v>
      </c>
      <c r="B1430" t="s">
        <v>2501</v>
      </c>
      <c r="C1430" s="7" t="str">
        <f>_xlfn.XLOOKUP(B1430,'[1]Sheet 1'!$A$2:$A$11107,'[1]Sheet 1'!$D$2:$D$11107,"",0)</f>
        <v>VSS</v>
      </c>
      <c r="D1430" s="4" t="str">
        <f>_xlfn.XLOOKUP(A1430,[3]Sheet2!$I$2:$I$1623,[3]Sheet2!$D$2:$D$1623,"",0)</f>
        <v>Q4</v>
      </c>
      <c r="F1430" s="4" t="e">
        <f>_xlfn.XLOOKUP(B1430,[2]Sheet2!$E$2:$E$713,[2]Sheet2!$G$2:$G$713)</f>
        <v>#N/A</v>
      </c>
      <c r="G1430" s="22">
        <v>46191</v>
      </c>
      <c r="H1430" s="23">
        <v>0.70459490740740738</v>
      </c>
      <c r="I1430" t="s">
        <v>10</v>
      </c>
      <c r="J1430" s="2" t="str">
        <f t="shared" si="117"/>
        <v>Q2</v>
      </c>
      <c r="K1430" s="2" t="str">
        <f t="shared" si="118"/>
        <v>Not Match</v>
      </c>
      <c r="L1430" s="1">
        <f t="shared" si="116"/>
        <v>0.26832815729997478</v>
      </c>
      <c r="M1430" s="1" t="e">
        <f t="shared" si="115"/>
        <v>#N/A</v>
      </c>
      <c r="N1430" s="2" t="str">
        <f t="shared" si="119"/>
        <v>Q NOT OK dE&lt;=0.8</v>
      </c>
      <c r="O1430">
        <v>15</v>
      </c>
      <c r="P1430">
        <v>0.36</v>
      </c>
      <c r="Q1430">
        <v>-1.47</v>
      </c>
      <c r="R1430">
        <v>-0.56000000000000005</v>
      </c>
      <c r="S1430">
        <v>-0.24</v>
      </c>
      <c r="T1430">
        <v>0.12</v>
      </c>
      <c r="U1430">
        <v>-0.25</v>
      </c>
      <c r="V1430">
        <v>-0.26</v>
      </c>
      <c r="W1430">
        <v>0.67</v>
      </c>
      <c r="X1430" t="s">
        <v>8</v>
      </c>
      <c r="Y1430" t="s">
        <v>15</v>
      </c>
      <c r="Z1430" s="2" t="s">
        <v>718</v>
      </c>
      <c r="AA1430" s="2" t="s">
        <v>721</v>
      </c>
    </row>
    <row r="1431" spans="1:27" x14ac:dyDescent="0.35">
      <c r="A1431" t="s">
        <v>1626</v>
      </c>
      <c r="B1431" t="s">
        <v>2502</v>
      </c>
      <c r="C1431" s="7" t="str">
        <f>_xlfn.XLOOKUP(B1431,'[1]Sheet 1'!$A$2:$A$11107,'[1]Sheet 1'!$D$2:$D$11107,"",0)</f>
        <v>VSS</v>
      </c>
      <c r="D1431" s="4" t="str">
        <f>_xlfn.XLOOKUP(A1431,[3]Sheet2!$I$2:$I$1623,[3]Sheet2!$D$2:$D$1623,"",0)</f>
        <v>Q4</v>
      </c>
      <c r="F1431" s="4" t="e">
        <f>_xlfn.XLOOKUP(B1431,[2]Sheet2!$E$2:$E$713,[2]Sheet2!$G$2:$G$713)</f>
        <v>#N/A</v>
      </c>
      <c r="G1431" s="22">
        <v>46191</v>
      </c>
      <c r="H1431" s="23">
        <v>0.70695601851851853</v>
      </c>
      <c r="I1431" t="s">
        <v>10</v>
      </c>
      <c r="J1431" s="2" t="str">
        <f t="shared" si="117"/>
        <v>Q3</v>
      </c>
      <c r="K1431" s="2" t="str">
        <f t="shared" si="118"/>
        <v>Not Match</v>
      </c>
      <c r="L1431" s="1">
        <f t="shared" si="116"/>
        <v>0.39824615503479754</v>
      </c>
      <c r="M1431" s="1" t="e">
        <f t="shared" si="115"/>
        <v>#N/A</v>
      </c>
      <c r="N1431" s="2" t="str">
        <f t="shared" si="119"/>
        <v>Q NOT OK dE&lt;=0.8</v>
      </c>
      <c r="O1431">
        <v>15.4</v>
      </c>
      <c r="P1431">
        <v>0.24</v>
      </c>
      <c r="Q1431">
        <v>-1.78</v>
      </c>
      <c r="R1431">
        <v>-0.17</v>
      </c>
      <c r="S1431">
        <v>-0.35</v>
      </c>
      <c r="T1431">
        <v>-0.19</v>
      </c>
      <c r="U1431">
        <v>0.13</v>
      </c>
      <c r="V1431">
        <v>-0.54</v>
      </c>
      <c r="W1431">
        <v>0.57999999999999996</v>
      </c>
      <c r="X1431" t="s">
        <v>8</v>
      </c>
      <c r="Y1431" t="s">
        <v>15</v>
      </c>
      <c r="Z1431" s="2" t="s">
        <v>718</v>
      </c>
      <c r="AA1431" s="2" t="s">
        <v>721</v>
      </c>
    </row>
    <row r="1432" spans="1:27" x14ac:dyDescent="0.35">
      <c r="A1432" t="s">
        <v>1626</v>
      </c>
      <c r="B1432" t="s">
        <v>2503</v>
      </c>
      <c r="C1432" s="7" t="str">
        <f>_xlfn.XLOOKUP(B1432,'[1]Sheet 1'!$A$2:$A$11107,'[1]Sheet 1'!$D$2:$D$11107,"",0)</f>
        <v>VSS</v>
      </c>
      <c r="D1432" s="4" t="str">
        <f>_xlfn.XLOOKUP(A1432,[3]Sheet2!$I$2:$I$1623,[3]Sheet2!$D$2:$D$1623,"",0)</f>
        <v>Q4</v>
      </c>
      <c r="F1432" s="4" t="e">
        <f>_xlfn.XLOOKUP(B1432,[2]Sheet2!$E$2:$E$713,[2]Sheet2!$G$2:$G$713)</f>
        <v>#N/A</v>
      </c>
      <c r="G1432" s="22">
        <v>46191</v>
      </c>
      <c r="H1432" s="23">
        <v>0.7091319444444445</v>
      </c>
      <c r="I1432" t="s">
        <v>10</v>
      </c>
      <c r="J1432" s="2" t="str">
        <f t="shared" si="117"/>
        <v>Q3</v>
      </c>
      <c r="K1432" s="2" t="str">
        <f t="shared" si="118"/>
        <v>Not Match</v>
      </c>
      <c r="L1432" s="1">
        <f t="shared" si="116"/>
        <v>0.26570660511172844</v>
      </c>
      <c r="M1432" s="1" t="e">
        <f t="shared" si="115"/>
        <v>#N/A</v>
      </c>
      <c r="N1432" s="2" t="str">
        <f t="shared" si="119"/>
        <v>Q NOT OK dE&lt;=0.8</v>
      </c>
      <c r="O1432">
        <v>15.48</v>
      </c>
      <c r="P1432">
        <v>0.35</v>
      </c>
      <c r="Q1432">
        <v>-1.68</v>
      </c>
      <c r="R1432">
        <v>-0.1</v>
      </c>
      <c r="S1432">
        <v>-0.25</v>
      </c>
      <c r="T1432">
        <v>-0.09</v>
      </c>
      <c r="U1432">
        <v>0.03</v>
      </c>
      <c r="V1432">
        <v>-0.37</v>
      </c>
      <c r="W1432">
        <v>0.38</v>
      </c>
      <c r="X1432" t="s">
        <v>8</v>
      </c>
      <c r="Y1432" t="s">
        <v>15</v>
      </c>
      <c r="Z1432" s="2" t="s">
        <v>718</v>
      </c>
      <c r="AA1432" s="2" t="s">
        <v>721</v>
      </c>
    </row>
    <row r="1433" spans="1:27" x14ac:dyDescent="0.35">
      <c r="A1433" t="s">
        <v>1655</v>
      </c>
      <c r="B1433" t="s">
        <v>2504</v>
      </c>
      <c r="C1433" s="7" t="str">
        <f>_xlfn.XLOOKUP(B1433,'[1]Sheet 1'!$A$2:$A$11107,'[1]Sheet 1'!$D$2:$D$11107,"",0)</f>
        <v>PINK</v>
      </c>
      <c r="D1433" s="4" t="str">
        <f>_xlfn.XLOOKUP(A1433,[3]Sheet2!$I$2:$I$1623,[3]Sheet2!$D$2:$D$1623,"",0)</f>
        <v>Q3</v>
      </c>
      <c r="F1433" s="4" t="e">
        <f>_xlfn.XLOOKUP(B1433,[2]Sheet2!$E$2:$E$713,[2]Sheet2!$G$2:$G$713)</f>
        <v>#N/A</v>
      </c>
      <c r="G1433" s="22">
        <v>46191</v>
      </c>
      <c r="H1433" s="23">
        <v>0.71208333333333329</v>
      </c>
      <c r="I1433" t="s">
        <v>10</v>
      </c>
      <c r="J1433" s="2" t="str">
        <f t="shared" si="117"/>
        <v>Q4</v>
      </c>
      <c r="K1433" s="2" t="str">
        <f t="shared" si="118"/>
        <v>Not Match</v>
      </c>
      <c r="L1433" s="1">
        <f t="shared" si="116"/>
        <v>0.14142135623730953</v>
      </c>
      <c r="M1433" s="1" t="e">
        <f t="shared" si="115"/>
        <v>#N/A</v>
      </c>
      <c r="N1433" s="2" t="str">
        <f t="shared" si="119"/>
        <v>Q NOT OK dE&lt;=0.8</v>
      </c>
      <c r="O1433">
        <v>13.78</v>
      </c>
      <c r="P1433">
        <v>0.75</v>
      </c>
      <c r="Q1433">
        <v>-0.91</v>
      </c>
      <c r="R1433">
        <v>-0.3</v>
      </c>
      <c r="S1433">
        <v>0.14000000000000001</v>
      </c>
      <c r="T1433">
        <v>-0.02</v>
      </c>
      <c r="U1433">
        <v>0.14000000000000001</v>
      </c>
      <c r="V1433">
        <v>0.15</v>
      </c>
      <c r="W1433">
        <v>0.36</v>
      </c>
      <c r="X1433" t="s">
        <v>8</v>
      </c>
      <c r="Y1433" t="s">
        <v>9</v>
      </c>
      <c r="Z1433" s="2" t="s">
        <v>718</v>
      </c>
      <c r="AA1433" s="2" t="s">
        <v>721</v>
      </c>
    </row>
    <row r="1434" spans="1:27" x14ac:dyDescent="0.35">
      <c r="A1434" t="s">
        <v>2736</v>
      </c>
      <c r="B1434" t="s">
        <v>2348</v>
      </c>
      <c r="C1434" s="7" t="str">
        <f>_xlfn.XLOOKUP(B1434,'[1]Sheet 1'!$A$2:$A$11107,'[1]Sheet 1'!$D$2:$D$11107,"",0)</f>
        <v>LULU</v>
      </c>
      <c r="D1434" s="4">
        <v>0</v>
      </c>
      <c r="F1434" s="4" t="e">
        <f>_xlfn.XLOOKUP(B1434,[2]Sheet2!$E$2:$E$713,[2]Sheet2!$G$2:$G$713)</f>
        <v>#N/A</v>
      </c>
      <c r="G1434" s="22">
        <v>46191</v>
      </c>
      <c r="H1434" s="23">
        <v>0.71538194444444447</v>
      </c>
      <c r="I1434" t="s">
        <v>4</v>
      </c>
      <c r="J1434" s="2" t="str">
        <f t="shared" si="117"/>
        <v>Q3</v>
      </c>
      <c r="K1434" s="2" t="str">
        <f t="shared" si="118"/>
        <v>Not Found</v>
      </c>
      <c r="L1434" s="1">
        <f t="shared" si="116"/>
        <v>0.15132745950421556</v>
      </c>
      <c r="M1434" s="1" t="e">
        <f t="shared" si="115"/>
        <v>#N/A</v>
      </c>
      <c r="N1434" s="2" t="str">
        <f t="shared" si="119"/>
        <v>Quadrant not assigned</v>
      </c>
      <c r="O1434">
        <v>27.55</v>
      </c>
      <c r="P1434">
        <v>21.82</v>
      </c>
      <c r="Q1434">
        <v>2.73</v>
      </c>
      <c r="R1434">
        <v>-0.35</v>
      </c>
      <c r="S1434">
        <v>-0.02</v>
      </c>
      <c r="T1434">
        <v>-0.15</v>
      </c>
      <c r="U1434">
        <v>-0.02</v>
      </c>
      <c r="V1434">
        <v>-0.13</v>
      </c>
      <c r="W1434">
        <v>0.38</v>
      </c>
      <c r="X1434" t="s">
        <v>8</v>
      </c>
      <c r="Y1434" t="s">
        <v>7</v>
      </c>
      <c r="Z1434" s="2" t="s">
        <v>718</v>
      </c>
      <c r="AA1434" s="2" t="s">
        <v>721</v>
      </c>
    </row>
    <row r="1435" spans="1:27" x14ac:dyDescent="0.35">
      <c r="A1435" t="s">
        <v>2505</v>
      </c>
      <c r="B1435" t="s">
        <v>2506</v>
      </c>
      <c r="C1435" s="7" t="str">
        <f>_xlfn.XLOOKUP(B1435,'[1]Sheet 1'!$A$2:$A$11107,'[1]Sheet 1'!$D$2:$D$11107,"",0)</f>
        <v>VSS</v>
      </c>
      <c r="D1435" s="4" t="str">
        <f>_xlfn.XLOOKUP(A1435,[3]Sheet2!$I$2:$I$1623,[3]Sheet2!$D$2:$D$1623,"",0)</f>
        <v>Q3</v>
      </c>
      <c r="F1435" s="4" t="e">
        <f>_xlfn.XLOOKUP(B1435,[2]Sheet2!$E$2:$E$713,[2]Sheet2!$G$2:$G$713)</f>
        <v>#N/A</v>
      </c>
      <c r="G1435" s="22">
        <v>46191</v>
      </c>
      <c r="H1435" s="23">
        <v>0.74736111111111114</v>
      </c>
      <c r="I1435" t="s">
        <v>10</v>
      </c>
      <c r="J1435" s="2" t="str">
        <f t="shared" si="117"/>
        <v>Q1</v>
      </c>
      <c r="K1435" s="2" t="str">
        <f t="shared" si="118"/>
        <v>Not Match</v>
      </c>
      <c r="L1435" s="1">
        <f t="shared" si="116"/>
        <v>2.2807893370497858</v>
      </c>
      <c r="M1435" s="1" t="e">
        <f t="shared" si="115"/>
        <v>#N/A</v>
      </c>
      <c r="N1435" s="2" t="str">
        <f t="shared" si="119"/>
        <v>Q NOT OK dE&gt;0.8</v>
      </c>
      <c r="O1435">
        <v>41.89</v>
      </c>
      <c r="P1435">
        <v>54.23</v>
      </c>
      <c r="Q1435">
        <v>38.020000000000003</v>
      </c>
      <c r="R1435">
        <v>0.28999999999999998</v>
      </c>
      <c r="S1435">
        <v>1.86</v>
      </c>
      <c r="T1435">
        <v>1.32</v>
      </c>
      <c r="U1435">
        <v>0.8</v>
      </c>
      <c r="V1435">
        <v>0.01</v>
      </c>
      <c r="W1435">
        <v>0.85</v>
      </c>
      <c r="X1435" t="s">
        <v>13</v>
      </c>
      <c r="Y1435" t="s">
        <v>12</v>
      </c>
      <c r="Z1435" s="2" t="s">
        <v>718</v>
      </c>
      <c r="AA1435" s="2" t="s">
        <v>721</v>
      </c>
    </row>
    <row r="1436" spans="1:27" x14ac:dyDescent="0.35">
      <c r="A1436" t="s">
        <v>2282</v>
      </c>
      <c r="B1436" t="s">
        <v>2507</v>
      </c>
      <c r="C1436" s="7" t="str">
        <f>_xlfn.XLOOKUP(B1436,'[1]Sheet 1'!$A$2:$A$11107,'[1]Sheet 1'!$D$2:$D$11107,"",0)</f>
        <v>LBI</v>
      </c>
      <c r="D1436" s="4" t="str">
        <f>_xlfn.XLOOKUP(A1436,[3]Sheet2!$I$2:$I$1623,[3]Sheet2!$D$2:$D$1623,"",0)</f>
        <v>Q4</v>
      </c>
      <c r="F1436" s="4" t="e">
        <f>_xlfn.XLOOKUP(B1436,[2]Sheet2!$E$2:$E$713,[2]Sheet2!$G$2:$G$713)</f>
        <v>#N/A</v>
      </c>
      <c r="G1436" s="22">
        <v>46191</v>
      </c>
      <c r="H1436" s="23">
        <v>0.76184027777777774</v>
      </c>
      <c r="I1436" t="s">
        <v>10</v>
      </c>
      <c r="J1436" s="2" t="str">
        <f t="shared" si="117"/>
        <v>Q4</v>
      </c>
      <c r="K1436" s="2" t="str">
        <f t="shared" si="118"/>
        <v>Match</v>
      </c>
      <c r="L1436" s="1">
        <f t="shared" si="116"/>
        <v>0.77620873481300112</v>
      </c>
      <c r="M1436" s="1" t="e">
        <f t="shared" si="115"/>
        <v>#N/A</v>
      </c>
      <c r="N1436" s="2" t="str">
        <f t="shared" si="119"/>
        <v>Q OK dE&lt;=0.8</v>
      </c>
      <c r="O1436">
        <v>22.51</v>
      </c>
      <c r="P1436">
        <v>19.66</v>
      </c>
      <c r="Q1436">
        <v>-3.6</v>
      </c>
      <c r="R1436">
        <v>0.18</v>
      </c>
      <c r="S1436">
        <v>0.72</v>
      </c>
      <c r="T1436">
        <v>-0.28999999999999998</v>
      </c>
      <c r="U1436">
        <v>0.47</v>
      </c>
      <c r="V1436">
        <v>-0.14000000000000001</v>
      </c>
      <c r="W1436">
        <v>0.52</v>
      </c>
      <c r="X1436" t="s">
        <v>8</v>
      </c>
      <c r="Y1436" t="s">
        <v>7</v>
      </c>
      <c r="Z1436" s="2" t="s">
        <v>718</v>
      </c>
      <c r="AA1436" s="2" t="s">
        <v>721</v>
      </c>
    </row>
    <row r="1437" spans="1:27" x14ac:dyDescent="0.35">
      <c r="A1437" t="s">
        <v>2508</v>
      </c>
      <c r="B1437" t="s">
        <v>2509</v>
      </c>
      <c r="C1437" s="7" t="str">
        <f>_xlfn.XLOOKUP(B1437,'[1]Sheet 1'!$A$2:$A$11107,'[1]Sheet 1'!$D$2:$D$11107,"",0)</f>
        <v>VSS</v>
      </c>
      <c r="D1437" s="4" t="str">
        <f>_xlfn.XLOOKUP(A1437,[3]Sheet2!$I$2:$I$1623,[3]Sheet2!$D$2:$D$1623,"",0)</f>
        <v>Q3</v>
      </c>
      <c r="F1437" s="4" t="e">
        <f>_xlfn.XLOOKUP(B1437,[2]Sheet2!$E$2:$E$713,[2]Sheet2!$G$2:$G$713)</f>
        <v>#N/A</v>
      </c>
      <c r="G1437" s="22">
        <v>46191</v>
      </c>
      <c r="H1437" s="23">
        <v>0.83468750000000003</v>
      </c>
      <c r="I1437" t="s">
        <v>10</v>
      </c>
      <c r="J1437" s="2" t="str">
        <f t="shared" si="117"/>
        <v>Q1</v>
      </c>
      <c r="K1437" s="2" t="str">
        <f t="shared" si="118"/>
        <v>Not Match</v>
      </c>
      <c r="L1437" s="1">
        <f t="shared" si="116"/>
        <v>0.75643902596309764</v>
      </c>
      <c r="M1437" s="1" t="e">
        <f t="shared" si="115"/>
        <v>#N/A</v>
      </c>
      <c r="N1437" s="2" t="str">
        <f t="shared" si="119"/>
        <v>Q NOT OK dE&lt;=0.8</v>
      </c>
      <c r="O1437">
        <v>53.96</v>
      </c>
      <c r="P1437">
        <v>59.96</v>
      </c>
      <c r="Q1437">
        <v>42.1</v>
      </c>
      <c r="R1437">
        <v>0.24</v>
      </c>
      <c r="S1437">
        <v>0.31</v>
      </c>
      <c r="T1437">
        <v>0.69</v>
      </c>
      <c r="U1437">
        <v>0.22</v>
      </c>
      <c r="V1437">
        <v>0.26</v>
      </c>
      <c r="W1437">
        <v>0.41</v>
      </c>
      <c r="X1437" t="s">
        <v>8</v>
      </c>
      <c r="Y1437" t="s">
        <v>12</v>
      </c>
      <c r="Z1437" s="2" t="s">
        <v>718</v>
      </c>
      <c r="AA1437" s="2" t="s">
        <v>721</v>
      </c>
    </row>
    <row r="1438" spans="1:27" x14ac:dyDescent="0.35">
      <c r="A1438" t="s">
        <v>2148</v>
      </c>
      <c r="B1438" t="s">
        <v>2510</v>
      </c>
      <c r="C1438" s="7" t="str">
        <f>_xlfn.XLOOKUP(B1438,'[1]Sheet 1'!$A$2:$A$11107,'[1]Sheet 1'!$D$2:$D$11107,"",0)</f>
        <v>VSS</v>
      </c>
      <c r="D1438" s="4" t="str">
        <f>_xlfn.XLOOKUP(A1438,[3]Sheet2!$I$2:$I$1623,[3]Sheet2!$D$2:$D$1623,"",0)</f>
        <v>Q3</v>
      </c>
      <c r="F1438" s="4" t="e">
        <f>_xlfn.XLOOKUP(B1438,[2]Sheet2!$E$2:$E$713,[2]Sheet2!$G$2:$G$713)</f>
        <v>#N/A</v>
      </c>
      <c r="G1438" s="22">
        <v>46192</v>
      </c>
      <c r="H1438" s="23">
        <v>9.2361111111111116E-2</v>
      </c>
      <c r="I1438" t="s">
        <v>10</v>
      </c>
      <c r="J1438" s="2" t="str">
        <f t="shared" si="117"/>
        <v>Q1</v>
      </c>
      <c r="K1438" s="2" t="str">
        <f t="shared" si="118"/>
        <v>Not Match</v>
      </c>
      <c r="L1438" s="1">
        <f t="shared" si="116"/>
        <v>1.9700253805471646</v>
      </c>
      <c r="M1438" s="1" t="e">
        <f t="shared" si="115"/>
        <v>#N/A</v>
      </c>
      <c r="N1438" s="2" t="str">
        <f t="shared" si="119"/>
        <v>Q NOT OK dE&gt;0.8</v>
      </c>
      <c r="O1438">
        <v>43.96</v>
      </c>
      <c r="P1438">
        <v>55.61</v>
      </c>
      <c r="Q1438">
        <v>39.69</v>
      </c>
      <c r="R1438">
        <v>0.7</v>
      </c>
      <c r="S1438">
        <v>1.57</v>
      </c>
      <c r="T1438">
        <v>1.19</v>
      </c>
      <c r="U1438">
        <v>0.68</v>
      </c>
      <c r="V1438">
        <v>0.04</v>
      </c>
      <c r="W1438">
        <v>0.98</v>
      </c>
      <c r="X1438" t="s">
        <v>13</v>
      </c>
      <c r="Y1438" t="s">
        <v>12</v>
      </c>
      <c r="Z1438" s="2" t="s">
        <v>718</v>
      </c>
      <c r="AA1438" s="2" t="s">
        <v>721</v>
      </c>
    </row>
    <row r="1439" spans="1:27" x14ac:dyDescent="0.35">
      <c r="A1439" t="s">
        <v>2148</v>
      </c>
      <c r="B1439" t="s">
        <v>2511</v>
      </c>
      <c r="C1439" s="7" t="str">
        <f>_xlfn.XLOOKUP(B1439,'[1]Sheet 1'!$A$2:$A$11107,'[1]Sheet 1'!$D$2:$D$11107,"",0)</f>
        <v>VSS</v>
      </c>
      <c r="D1439" s="4" t="str">
        <f>_xlfn.XLOOKUP(A1439,[3]Sheet2!$I$2:$I$1623,[3]Sheet2!$D$2:$D$1623,"",0)</f>
        <v>Q3</v>
      </c>
      <c r="F1439" s="4" t="e">
        <f>_xlfn.XLOOKUP(B1439,[2]Sheet2!$E$2:$E$713,[2]Sheet2!$G$2:$G$713)</f>
        <v>#N/A</v>
      </c>
      <c r="G1439" s="22">
        <v>46192</v>
      </c>
      <c r="H1439" s="23">
        <v>9.6770833333333334E-2</v>
      </c>
      <c r="I1439" t="s">
        <v>10</v>
      </c>
      <c r="J1439" s="2" t="str">
        <f t="shared" si="117"/>
        <v>Q1</v>
      </c>
      <c r="K1439" s="2" t="str">
        <f t="shared" si="118"/>
        <v>Not Match</v>
      </c>
      <c r="L1439" s="1">
        <f t="shared" si="116"/>
        <v>1.6868017073740469</v>
      </c>
      <c r="M1439" s="1" t="e">
        <f t="shared" si="115"/>
        <v>#N/A</v>
      </c>
      <c r="N1439" s="2" t="str">
        <f t="shared" si="119"/>
        <v>Q NOT OK dE&gt;0.8</v>
      </c>
      <c r="O1439">
        <v>43.9</v>
      </c>
      <c r="P1439">
        <v>55.42</v>
      </c>
      <c r="Q1439">
        <v>39.46</v>
      </c>
      <c r="R1439">
        <v>0.67</v>
      </c>
      <c r="S1439">
        <v>1.38</v>
      </c>
      <c r="T1439">
        <v>0.97</v>
      </c>
      <c r="U1439">
        <v>0.57999999999999996</v>
      </c>
      <c r="V1439">
        <v>0</v>
      </c>
      <c r="W1439">
        <v>0.89</v>
      </c>
      <c r="X1439" t="s">
        <v>13</v>
      </c>
      <c r="Y1439" t="s">
        <v>7</v>
      </c>
      <c r="Z1439" s="2" t="s">
        <v>718</v>
      </c>
      <c r="AA1439" s="2" t="s">
        <v>721</v>
      </c>
    </row>
    <row r="1440" spans="1:27" x14ac:dyDescent="0.35">
      <c r="A1440" t="s">
        <v>2366</v>
      </c>
      <c r="B1440" t="s">
        <v>2512</v>
      </c>
      <c r="C1440" s="7" t="str">
        <f>_xlfn.XLOOKUP(B1440,'[1]Sheet 1'!$A$2:$A$11107,'[1]Sheet 1'!$D$2:$D$11107,"",0)</f>
        <v>PINK</v>
      </c>
      <c r="D1440" s="4" t="str">
        <f>_xlfn.XLOOKUP(A1440,[3]Sheet2!$I$2:$I$1623,[3]Sheet2!$D$2:$D$1623,"",0)</f>
        <v>Q3</v>
      </c>
      <c r="F1440" s="4" t="e">
        <f>_xlfn.XLOOKUP(B1440,[2]Sheet2!$E$2:$E$713,[2]Sheet2!$G$2:$G$713)</f>
        <v>#N/A</v>
      </c>
      <c r="G1440" s="22">
        <v>46192</v>
      </c>
      <c r="H1440" s="23">
        <v>9.9328703703703697E-2</v>
      </c>
      <c r="I1440" t="s">
        <v>10</v>
      </c>
      <c r="J1440" s="2" t="str">
        <f t="shared" si="117"/>
        <v>Q2</v>
      </c>
      <c r="K1440" s="2" t="str">
        <f t="shared" si="118"/>
        <v>Not Match</v>
      </c>
      <c r="L1440" s="1">
        <f t="shared" si="116"/>
        <v>0.2830194339616981</v>
      </c>
      <c r="M1440" s="1" t="e">
        <f t="shared" si="115"/>
        <v>#N/A</v>
      </c>
      <c r="N1440" s="2" t="str">
        <f t="shared" si="119"/>
        <v>Q NOT OK dE&lt;=0.8</v>
      </c>
      <c r="O1440">
        <v>27.26</v>
      </c>
      <c r="P1440">
        <v>-14.39</v>
      </c>
      <c r="Q1440">
        <v>-4.78</v>
      </c>
      <c r="R1440">
        <v>0.46</v>
      </c>
      <c r="S1440">
        <v>-0.15</v>
      </c>
      <c r="T1440">
        <v>0.24</v>
      </c>
      <c r="U1440">
        <v>0.05</v>
      </c>
      <c r="V1440">
        <v>-0.26</v>
      </c>
      <c r="W1440">
        <v>0.53</v>
      </c>
      <c r="X1440" t="s">
        <v>8</v>
      </c>
      <c r="Y1440" t="s">
        <v>12</v>
      </c>
      <c r="Z1440" s="2" t="s">
        <v>718</v>
      </c>
      <c r="AA1440" s="2" t="s">
        <v>721</v>
      </c>
    </row>
    <row r="1441" spans="1:27" x14ac:dyDescent="0.35">
      <c r="A1441" t="s">
        <v>1626</v>
      </c>
      <c r="B1441" t="s">
        <v>2513</v>
      </c>
      <c r="C1441" s="7" t="str">
        <f>_xlfn.XLOOKUP(B1441,'[1]Sheet 1'!$A$2:$A$11107,'[1]Sheet 1'!$D$2:$D$11107,"",0)</f>
        <v>VSS</v>
      </c>
      <c r="D1441" s="4" t="str">
        <f>_xlfn.XLOOKUP(A1441,[3]Sheet2!$I$2:$I$1623,[3]Sheet2!$D$2:$D$1623,"",0)</f>
        <v>Q4</v>
      </c>
      <c r="F1441" s="4" t="e">
        <f>_xlfn.XLOOKUP(B1441,[2]Sheet2!$E$2:$E$713,[2]Sheet2!$G$2:$G$713)</f>
        <v>#N/A</v>
      </c>
      <c r="G1441" s="22">
        <v>46192</v>
      </c>
      <c r="H1441" s="23">
        <v>0.10261574074074074</v>
      </c>
      <c r="I1441" t="s">
        <v>10</v>
      </c>
      <c r="J1441" s="2" t="str">
        <f t="shared" si="117"/>
        <v>Q2</v>
      </c>
      <c r="K1441" s="2" t="str">
        <f t="shared" si="118"/>
        <v>Not Match</v>
      </c>
      <c r="L1441" s="1">
        <f t="shared" si="116"/>
        <v>0.31256999216175568</v>
      </c>
      <c r="M1441" s="1" t="e">
        <f t="shared" si="115"/>
        <v>#N/A</v>
      </c>
      <c r="N1441" s="2" t="str">
        <f t="shared" si="119"/>
        <v>Q NOT OK dE&lt;=0.8</v>
      </c>
      <c r="O1441">
        <v>15.5</v>
      </c>
      <c r="P1441">
        <v>0.28999999999999998</v>
      </c>
      <c r="Q1441">
        <v>-1.55</v>
      </c>
      <c r="R1441">
        <v>-0.08</v>
      </c>
      <c r="S1441">
        <v>-0.31</v>
      </c>
      <c r="T1441">
        <v>0.04</v>
      </c>
      <c r="U1441">
        <v>-0.16</v>
      </c>
      <c r="V1441">
        <v>-0.39</v>
      </c>
      <c r="W1441">
        <v>0.43</v>
      </c>
      <c r="X1441" t="s">
        <v>8</v>
      </c>
      <c r="Y1441" t="s">
        <v>15</v>
      </c>
      <c r="Z1441" s="2" t="s">
        <v>718</v>
      </c>
      <c r="AA1441" s="2" t="s">
        <v>721</v>
      </c>
    </row>
    <row r="1442" spans="1:27" x14ac:dyDescent="0.35">
      <c r="A1442" t="s">
        <v>1626</v>
      </c>
      <c r="B1442" t="s">
        <v>2514</v>
      </c>
      <c r="C1442" s="7" t="str">
        <f>_xlfn.XLOOKUP(B1442,'[1]Sheet 1'!$A$2:$A$11107,'[1]Sheet 1'!$D$2:$D$11107,"",0)</f>
        <v>VSS</v>
      </c>
      <c r="D1442" s="4" t="str">
        <f>_xlfn.XLOOKUP(A1442,[3]Sheet2!$I$2:$I$1623,[3]Sheet2!$D$2:$D$1623,"",0)</f>
        <v>Q4</v>
      </c>
      <c r="F1442" s="4" t="e">
        <f>_xlfn.XLOOKUP(B1442,[2]Sheet2!$E$2:$E$713,[2]Sheet2!$G$2:$G$713)</f>
        <v>#N/A</v>
      </c>
      <c r="G1442" s="22">
        <v>46192</v>
      </c>
      <c r="H1442" s="23">
        <v>0.10443287037037037</v>
      </c>
      <c r="I1442" t="s">
        <v>10</v>
      </c>
      <c r="J1442" s="2" t="str">
        <f t="shared" si="117"/>
        <v>Q3</v>
      </c>
      <c r="K1442" s="2" t="str">
        <f t="shared" si="118"/>
        <v>Not Match</v>
      </c>
      <c r="L1442" s="1">
        <f t="shared" si="116"/>
        <v>0.36687872655688281</v>
      </c>
      <c r="M1442" s="1" t="e">
        <f t="shared" si="115"/>
        <v>#N/A</v>
      </c>
      <c r="N1442" s="2" t="str">
        <f t="shared" si="119"/>
        <v>Q NOT OK dE&lt;=0.8</v>
      </c>
      <c r="O1442">
        <v>15.6</v>
      </c>
      <c r="P1442">
        <v>0.24</v>
      </c>
      <c r="Q1442">
        <v>-1.7</v>
      </c>
      <c r="R1442">
        <v>0.02</v>
      </c>
      <c r="S1442">
        <v>-0.35</v>
      </c>
      <c r="T1442">
        <v>-0.11</v>
      </c>
      <c r="U1442">
        <v>0.02</v>
      </c>
      <c r="V1442">
        <v>-0.51</v>
      </c>
      <c r="W1442">
        <v>0.51</v>
      </c>
      <c r="X1442" t="s">
        <v>8</v>
      </c>
      <c r="Y1442" t="s">
        <v>15</v>
      </c>
      <c r="Z1442" s="2" t="s">
        <v>718</v>
      </c>
      <c r="AA1442" s="2" t="s">
        <v>721</v>
      </c>
    </row>
    <row r="1443" spans="1:27" x14ac:dyDescent="0.35">
      <c r="A1443" t="s">
        <v>2206</v>
      </c>
      <c r="B1443" t="s">
        <v>2515</v>
      </c>
      <c r="C1443" s="7" t="str">
        <f>_xlfn.XLOOKUP(B1443,'[1]Sheet 1'!$A$2:$A$11107,'[1]Sheet 1'!$D$2:$D$11107,"",0)</f>
        <v>VSS</v>
      </c>
      <c r="D1443" s="4" t="str">
        <f>_xlfn.XLOOKUP(A1443,[3]Sheet2!$I$2:$I$1623,[3]Sheet2!$D$2:$D$1623,"",0)</f>
        <v>Q1</v>
      </c>
      <c r="F1443" s="4" t="e">
        <f>_xlfn.XLOOKUP(B1443,[2]Sheet2!$E$2:$E$713,[2]Sheet2!$G$2:$G$713)</f>
        <v>#N/A</v>
      </c>
      <c r="G1443" s="22">
        <v>46192</v>
      </c>
      <c r="H1443" s="23">
        <v>0.10658564814814815</v>
      </c>
      <c r="I1443" t="s">
        <v>10</v>
      </c>
      <c r="J1443" s="2" t="str">
        <f t="shared" si="117"/>
        <v>Q1</v>
      </c>
      <c r="K1443" s="2" t="str">
        <f t="shared" si="118"/>
        <v>Match</v>
      </c>
      <c r="L1443" s="1">
        <f t="shared" si="116"/>
        <v>0.15</v>
      </c>
      <c r="M1443" s="1" t="e">
        <f t="shared" si="115"/>
        <v>#N/A</v>
      </c>
      <c r="N1443" s="2" t="str">
        <f t="shared" si="119"/>
        <v>Q OK dE&lt;=0.8</v>
      </c>
      <c r="O1443">
        <v>16.25</v>
      </c>
      <c r="P1443">
        <v>0.57999999999999996</v>
      </c>
      <c r="Q1443">
        <v>-2.63</v>
      </c>
      <c r="R1443">
        <v>-0.17</v>
      </c>
      <c r="S1443">
        <v>0</v>
      </c>
      <c r="T1443">
        <v>0.15</v>
      </c>
      <c r="U1443">
        <v>-0.18</v>
      </c>
      <c r="V1443">
        <v>0.05</v>
      </c>
      <c r="W1443">
        <v>0.25</v>
      </c>
      <c r="X1443" t="s">
        <v>8</v>
      </c>
      <c r="Y1443" t="s">
        <v>9</v>
      </c>
      <c r="Z1443" s="2" t="s">
        <v>718</v>
      </c>
      <c r="AA1443" s="2" t="s">
        <v>721</v>
      </c>
    </row>
    <row r="1444" spans="1:27" x14ac:dyDescent="0.35">
      <c r="A1444" t="s">
        <v>2206</v>
      </c>
      <c r="B1444" t="s">
        <v>2516</v>
      </c>
      <c r="C1444" s="7" t="str">
        <f>_xlfn.XLOOKUP(B1444,'[1]Sheet 1'!$A$2:$A$11107,'[1]Sheet 1'!$D$2:$D$11107,"",0)</f>
        <v>VSS</v>
      </c>
      <c r="D1444" s="4" t="str">
        <f>_xlfn.XLOOKUP(A1444,[3]Sheet2!$I$2:$I$1623,[3]Sheet2!$D$2:$D$1623,"",0)</f>
        <v>Q1</v>
      </c>
      <c r="F1444" s="4" t="e">
        <f>_xlfn.XLOOKUP(B1444,[2]Sheet2!$E$2:$E$713,[2]Sheet2!$G$2:$G$713)</f>
        <v>#N/A</v>
      </c>
      <c r="G1444" s="22">
        <v>46192</v>
      </c>
      <c r="H1444" s="23">
        <v>0.10982638888888889</v>
      </c>
      <c r="I1444" t="s">
        <v>10</v>
      </c>
      <c r="J1444" s="2" t="str">
        <f t="shared" si="117"/>
        <v>Q1</v>
      </c>
      <c r="K1444" s="2" t="str">
        <f t="shared" si="118"/>
        <v>Match</v>
      </c>
      <c r="L1444" s="1">
        <f t="shared" si="116"/>
        <v>0.16552945357246848</v>
      </c>
      <c r="M1444" s="1" t="e">
        <f t="shared" si="115"/>
        <v>#N/A</v>
      </c>
      <c r="N1444" s="2" t="str">
        <f t="shared" si="119"/>
        <v>Q OK dE&lt;=0.8</v>
      </c>
      <c r="O1444">
        <v>16.489999999999998</v>
      </c>
      <c r="P1444">
        <v>0.64</v>
      </c>
      <c r="Q1444">
        <v>-2.63</v>
      </c>
      <c r="R1444">
        <v>7.0000000000000007E-2</v>
      </c>
      <c r="S1444">
        <v>7.0000000000000007E-2</v>
      </c>
      <c r="T1444">
        <v>0.15</v>
      </c>
      <c r="U1444">
        <v>-0.17</v>
      </c>
      <c r="V1444">
        <v>0.14000000000000001</v>
      </c>
      <c r="W1444">
        <v>0.23</v>
      </c>
      <c r="X1444" t="s">
        <v>8</v>
      </c>
      <c r="Y1444" t="s">
        <v>9</v>
      </c>
      <c r="Z1444" s="2" t="s">
        <v>718</v>
      </c>
      <c r="AA1444" s="2" t="s">
        <v>721</v>
      </c>
    </row>
    <row r="1445" spans="1:27" x14ac:dyDescent="0.35">
      <c r="A1445" t="s">
        <v>2518</v>
      </c>
      <c r="B1445" t="s">
        <v>2519</v>
      </c>
      <c r="C1445" s="7" t="str">
        <f>_xlfn.XLOOKUP(B1445,'[1]Sheet 1'!$A$2:$A$11107,'[1]Sheet 1'!$D$2:$D$11107,"",0)</f>
        <v>LULU</v>
      </c>
      <c r="D1445" s="4" t="str">
        <f>_xlfn.XLOOKUP(A1445,[3]Sheet2!$I$2:$I$1623,[3]Sheet2!$D$2:$D$1623,"",0)</f>
        <v>Q4</v>
      </c>
      <c r="F1445" s="4" t="e">
        <f>_xlfn.XLOOKUP(B1445,[2]Sheet2!$E$2:$E$713,[2]Sheet2!$G$2:$G$713)</f>
        <v>#N/A</v>
      </c>
      <c r="G1445" s="22">
        <v>46192</v>
      </c>
      <c r="H1445" s="23">
        <v>0.15697916666666667</v>
      </c>
      <c r="I1445" t="s">
        <v>4</v>
      </c>
      <c r="J1445" s="2" t="str">
        <f t="shared" si="117"/>
        <v>Q2</v>
      </c>
      <c r="K1445" s="2" t="str">
        <f t="shared" si="118"/>
        <v>Not Match</v>
      </c>
      <c r="L1445" s="1">
        <f t="shared" si="116"/>
        <v>0.4632493928760188</v>
      </c>
      <c r="M1445" s="1" t="e">
        <f t="shared" si="115"/>
        <v>#N/A</v>
      </c>
      <c r="N1445" s="2" t="str">
        <f t="shared" si="119"/>
        <v>Q NOT OK dE&lt;=0.8</v>
      </c>
      <c r="O1445">
        <v>21.51</v>
      </c>
      <c r="P1445">
        <v>-1.24</v>
      </c>
      <c r="Q1445">
        <v>-8.44</v>
      </c>
      <c r="R1445">
        <v>0.56000000000000005</v>
      </c>
      <c r="S1445">
        <v>-0.25</v>
      </c>
      <c r="T1445">
        <v>0.39</v>
      </c>
      <c r="U1445">
        <v>-0.31</v>
      </c>
      <c r="V1445">
        <v>-0.39</v>
      </c>
      <c r="W1445">
        <v>0.75</v>
      </c>
      <c r="X1445" t="s">
        <v>8</v>
      </c>
      <c r="Y1445" t="s">
        <v>15</v>
      </c>
      <c r="Z1445" s="2" t="s">
        <v>718</v>
      </c>
      <c r="AA1445" s="2" t="s">
        <v>721</v>
      </c>
    </row>
    <row r="1446" spans="1:27" x14ac:dyDescent="0.35">
      <c r="A1446" t="s">
        <v>1626</v>
      </c>
      <c r="B1446" t="s">
        <v>2520</v>
      </c>
      <c r="C1446" s="7" t="str">
        <f>_xlfn.XLOOKUP(B1446,'[1]Sheet 1'!$A$2:$A$11107,'[1]Sheet 1'!$D$2:$D$11107,"",0)</f>
        <v>VSS</v>
      </c>
      <c r="D1446" s="4" t="str">
        <f>_xlfn.XLOOKUP(A1446,[3]Sheet2!$I$2:$I$1623,[3]Sheet2!$D$2:$D$1623,"",0)</f>
        <v>Q4</v>
      </c>
      <c r="F1446" s="4" t="e">
        <f>_xlfn.XLOOKUP(B1446,[2]Sheet2!$E$2:$E$713,[2]Sheet2!$G$2:$G$713)</f>
        <v>#N/A</v>
      </c>
      <c r="G1446" s="22">
        <v>46192</v>
      </c>
      <c r="H1446" s="23">
        <v>0.27474537037037039</v>
      </c>
      <c r="I1446" t="s">
        <v>10</v>
      </c>
      <c r="J1446" s="2" t="str">
        <f t="shared" si="117"/>
        <v>Q3</v>
      </c>
      <c r="K1446" s="2" t="str">
        <f t="shared" si="118"/>
        <v>Not Match</v>
      </c>
      <c r="L1446" s="1">
        <f t="shared" si="116"/>
        <v>0.26076809620810598</v>
      </c>
      <c r="M1446" s="1" t="e">
        <f t="shared" si="115"/>
        <v>#N/A</v>
      </c>
      <c r="N1446" s="2" t="str">
        <f t="shared" si="119"/>
        <v>Q NOT OK dE&lt;=0.8</v>
      </c>
      <c r="O1446">
        <v>15.57</v>
      </c>
      <c r="P1446">
        <v>0.34</v>
      </c>
      <c r="Q1446">
        <v>-1.61</v>
      </c>
      <c r="R1446">
        <v>-0.01</v>
      </c>
      <c r="S1446">
        <v>-0.26</v>
      </c>
      <c r="T1446">
        <v>-0.02</v>
      </c>
      <c r="U1446">
        <v>-7.0000000000000007E-2</v>
      </c>
      <c r="V1446">
        <v>-0.35</v>
      </c>
      <c r="W1446">
        <v>0.35</v>
      </c>
      <c r="X1446" t="s">
        <v>8</v>
      </c>
      <c r="Y1446" t="s">
        <v>15</v>
      </c>
      <c r="Z1446" s="2" t="s">
        <v>718</v>
      </c>
      <c r="AA1446" s="2" t="s">
        <v>721</v>
      </c>
    </row>
    <row r="1447" spans="1:27" x14ac:dyDescent="0.35">
      <c r="A1447" t="s">
        <v>1626</v>
      </c>
      <c r="B1447" t="s">
        <v>2521</v>
      </c>
      <c r="C1447" s="7" t="str">
        <f>_xlfn.XLOOKUP(B1447,'[1]Sheet 1'!$A$2:$A$11107,'[1]Sheet 1'!$D$2:$D$11107,"",0)</f>
        <v>VSS</v>
      </c>
      <c r="D1447" s="4" t="str">
        <f>_xlfn.XLOOKUP(A1447,[3]Sheet2!$I$2:$I$1623,[3]Sheet2!$D$2:$D$1623,"",0)</f>
        <v>Q4</v>
      </c>
      <c r="F1447" s="4" t="e">
        <f>_xlfn.XLOOKUP(B1447,[2]Sheet2!$E$2:$E$713,[2]Sheet2!$G$2:$G$713)</f>
        <v>#N/A</v>
      </c>
      <c r="G1447" s="22">
        <v>46192</v>
      </c>
      <c r="H1447" s="23">
        <v>0.27724537037037039</v>
      </c>
      <c r="I1447" t="s">
        <v>10</v>
      </c>
      <c r="J1447" s="2" t="str">
        <f t="shared" si="117"/>
        <v>Q2</v>
      </c>
      <c r="K1447" s="2" t="str">
        <f t="shared" si="118"/>
        <v>Not Match</v>
      </c>
      <c r="L1447" s="1">
        <f t="shared" si="116"/>
        <v>0.24596747752497686</v>
      </c>
      <c r="M1447" s="1" t="e">
        <f t="shared" si="115"/>
        <v>#N/A</v>
      </c>
      <c r="N1447" s="2" t="str">
        <f t="shared" si="119"/>
        <v>Q NOT OK dE&lt;=0.8</v>
      </c>
      <c r="O1447">
        <v>15.4</v>
      </c>
      <c r="P1447">
        <v>0.38</v>
      </c>
      <c r="Q1447">
        <v>-1.48</v>
      </c>
      <c r="R1447">
        <v>-0.17</v>
      </c>
      <c r="S1447">
        <v>-0.22</v>
      </c>
      <c r="T1447">
        <v>0.11</v>
      </c>
      <c r="U1447">
        <v>-0.23</v>
      </c>
      <c r="V1447">
        <v>-0.24</v>
      </c>
      <c r="W1447">
        <v>0.37</v>
      </c>
      <c r="X1447" t="s">
        <v>8</v>
      </c>
      <c r="Y1447" t="s">
        <v>15</v>
      </c>
      <c r="Z1447" s="2" t="s">
        <v>718</v>
      </c>
      <c r="AA1447" s="2" t="s">
        <v>721</v>
      </c>
    </row>
    <row r="1448" spans="1:27" x14ac:dyDescent="0.35">
      <c r="A1448" t="s">
        <v>2161</v>
      </c>
      <c r="B1448" t="s">
        <v>2522</v>
      </c>
      <c r="C1448" s="7" t="str">
        <f>_xlfn.XLOOKUP(B1448,'[1]Sheet 1'!$A$2:$A$11107,'[1]Sheet 1'!$D$2:$D$11107,"",0)</f>
        <v>VSS</v>
      </c>
      <c r="D1448" s="4" t="str">
        <f>_xlfn.XLOOKUP(A1448,[3]Sheet2!$I$2:$I$1623,[3]Sheet2!$D$2:$D$1623,"",0)</f>
        <v>Q3</v>
      </c>
      <c r="F1448" s="4" t="e">
        <f>_xlfn.XLOOKUP(B1448,[2]Sheet2!$E$2:$E$713,[2]Sheet2!$G$2:$G$713)</f>
        <v>#N/A</v>
      </c>
      <c r="G1448" s="22">
        <v>46192</v>
      </c>
      <c r="H1448" s="23">
        <v>0.27903935185185186</v>
      </c>
      <c r="I1448" t="s">
        <v>10</v>
      </c>
      <c r="J1448" s="2" t="str">
        <f t="shared" si="117"/>
        <v>Q1</v>
      </c>
      <c r="K1448" s="2" t="str">
        <f t="shared" si="118"/>
        <v>Not Match</v>
      </c>
      <c r="L1448" s="1">
        <f t="shared" si="116"/>
        <v>2.8122055401410475</v>
      </c>
      <c r="M1448" s="1" t="e">
        <f t="shared" si="115"/>
        <v>#N/A</v>
      </c>
      <c r="N1448" s="2" t="str">
        <f t="shared" si="119"/>
        <v>Q NOT OK dE&gt;0.8</v>
      </c>
      <c r="O1448">
        <v>43.19</v>
      </c>
      <c r="P1448">
        <v>55.43</v>
      </c>
      <c r="Q1448">
        <v>41.4</v>
      </c>
      <c r="R1448">
        <v>0.47</v>
      </c>
      <c r="S1448">
        <v>1.66</v>
      </c>
      <c r="T1448">
        <v>2.27</v>
      </c>
      <c r="U1448">
        <v>0.92</v>
      </c>
      <c r="V1448">
        <v>0.59</v>
      </c>
      <c r="W1448">
        <v>1.19</v>
      </c>
      <c r="X1448" t="s">
        <v>6</v>
      </c>
      <c r="Y1448" t="s">
        <v>12</v>
      </c>
      <c r="Z1448" s="2" t="s">
        <v>718</v>
      </c>
      <c r="AA1448" s="2" t="s">
        <v>721</v>
      </c>
    </row>
    <row r="1449" spans="1:27" x14ac:dyDescent="0.35">
      <c r="A1449" t="s">
        <v>2312</v>
      </c>
      <c r="B1449" t="s">
        <v>2523</v>
      </c>
      <c r="C1449" s="7" t="str">
        <f>_xlfn.XLOOKUP(B1449,'[1]Sheet 1'!$A$2:$A$11107,'[1]Sheet 1'!$D$2:$D$11107,"",0)</f>
        <v>VSS</v>
      </c>
      <c r="D1449" s="4" t="str">
        <f>_xlfn.XLOOKUP(A1449,[3]Sheet2!$I$2:$I$1623,[3]Sheet2!$D$2:$D$1623,"",0)</f>
        <v>Q1</v>
      </c>
      <c r="F1449" s="4" t="e">
        <f>_xlfn.XLOOKUP(B1449,[2]Sheet2!$E$2:$E$713,[2]Sheet2!$G$2:$G$713)</f>
        <v>#N/A</v>
      </c>
      <c r="G1449" s="22">
        <v>46192</v>
      </c>
      <c r="H1449" s="23">
        <v>0.28151620370370373</v>
      </c>
      <c r="I1449" t="s">
        <v>10</v>
      </c>
      <c r="J1449" s="2" t="str">
        <f t="shared" si="117"/>
        <v>Q1</v>
      </c>
      <c r="K1449" s="2" t="str">
        <f t="shared" si="118"/>
        <v>Match</v>
      </c>
      <c r="L1449" s="1">
        <f t="shared" si="116"/>
        <v>1.6807736313971611</v>
      </c>
      <c r="M1449" s="1" t="e">
        <f t="shared" si="115"/>
        <v>#N/A</v>
      </c>
      <c r="N1449" s="2" t="str">
        <f t="shared" si="119"/>
        <v>Q OK dE&gt;0.8</v>
      </c>
      <c r="O1449">
        <v>32.15</v>
      </c>
      <c r="P1449">
        <v>41.97</v>
      </c>
      <c r="Q1449">
        <v>23.59</v>
      </c>
      <c r="R1449">
        <v>-0.77</v>
      </c>
      <c r="S1449">
        <v>0.65</v>
      </c>
      <c r="T1449">
        <v>1.55</v>
      </c>
      <c r="U1449">
        <v>0.53</v>
      </c>
      <c r="V1449">
        <v>0.78</v>
      </c>
      <c r="W1449">
        <v>1.21</v>
      </c>
      <c r="X1449" t="s">
        <v>6</v>
      </c>
      <c r="Y1449" t="s">
        <v>12</v>
      </c>
      <c r="Z1449" s="2" t="s">
        <v>718</v>
      </c>
      <c r="AA1449" s="2" t="s">
        <v>721</v>
      </c>
    </row>
    <row r="1450" spans="1:27" x14ac:dyDescent="0.35">
      <c r="A1450" t="s">
        <v>2524</v>
      </c>
      <c r="B1450" t="s">
        <v>2525</v>
      </c>
      <c r="C1450" s="7" t="str">
        <f>_xlfn.XLOOKUP(B1450,'[1]Sheet 1'!$A$2:$A$11107,'[1]Sheet 1'!$D$2:$D$11107,"",0)</f>
        <v>VSS</v>
      </c>
      <c r="D1450" s="4" t="str">
        <f>_xlfn.XLOOKUP(A1450,[3]Sheet2!$I$2:$I$1623,[3]Sheet2!$D$2:$D$1623,"",0)</f>
        <v>Q1</v>
      </c>
      <c r="F1450" s="4" t="e">
        <f>_xlfn.XLOOKUP(B1450,[2]Sheet2!$E$2:$E$713,[2]Sheet2!$G$2:$G$713)</f>
        <v>#N/A</v>
      </c>
      <c r="G1450" s="22">
        <v>46192</v>
      </c>
      <c r="H1450" s="23">
        <v>0.28346064814814814</v>
      </c>
      <c r="I1450" t="s">
        <v>10</v>
      </c>
      <c r="J1450" s="2" t="str">
        <f t="shared" si="117"/>
        <v>Q3</v>
      </c>
      <c r="K1450" s="2" t="str">
        <f t="shared" si="118"/>
        <v>Not Match</v>
      </c>
      <c r="L1450" s="1">
        <f t="shared" si="116"/>
        <v>0.71449282711585005</v>
      </c>
      <c r="M1450" s="1" t="e">
        <f t="shared" si="115"/>
        <v>#N/A</v>
      </c>
      <c r="N1450" s="2" t="str">
        <f t="shared" si="119"/>
        <v>Q NOT OK dE&gt;0.8</v>
      </c>
      <c r="O1450">
        <v>24.03</v>
      </c>
      <c r="P1450">
        <v>-13.84</v>
      </c>
      <c r="Q1450">
        <v>-3.96</v>
      </c>
      <c r="R1450">
        <v>-0.63</v>
      </c>
      <c r="S1450">
        <v>-0.71</v>
      </c>
      <c r="T1450">
        <v>-0.08</v>
      </c>
      <c r="U1450">
        <v>0.51</v>
      </c>
      <c r="V1450">
        <v>-0.12</v>
      </c>
      <c r="W1450">
        <v>0.82</v>
      </c>
      <c r="X1450" t="s">
        <v>13</v>
      </c>
      <c r="Y1450" t="s">
        <v>12</v>
      </c>
      <c r="Z1450" s="2" t="s">
        <v>718</v>
      </c>
      <c r="AA1450" s="2" t="s">
        <v>721</v>
      </c>
    </row>
    <row r="1451" spans="1:27" x14ac:dyDescent="0.35">
      <c r="A1451" t="s">
        <v>1655</v>
      </c>
      <c r="B1451" t="s">
        <v>2526</v>
      </c>
      <c r="C1451" s="7" t="str">
        <f>_xlfn.XLOOKUP(B1451,'[1]Sheet 1'!$A$2:$A$11107,'[1]Sheet 1'!$D$2:$D$11107,"",0)</f>
        <v>PINK</v>
      </c>
      <c r="D1451" s="4" t="str">
        <f>_xlfn.XLOOKUP(A1451,[3]Sheet2!$I$2:$I$1623,[3]Sheet2!$D$2:$D$1623,"",0)</f>
        <v>Q3</v>
      </c>
      <c r="F1451" s="4" t="e">
        <f>_xlfn.XLOOKUP(B1451,[2]Sheet2!$E$2:$E$713,[2]Sheet2!$G$2:$G$713)</f>
        <v>#N/A</v>
      </c>
      <c r="G1451" s="22">
        <v>46192</v>
      </c>
      <c r="H1451" s="23">
        <v>0.28564814814814815</v>
      </c>
      <c r="I1451" t="s">
        <v>10</v>
      </c>
      <c r="J1451" s="2" t="str">
        <f t="shared" si="117"/>
        <v>Q4</v>
      </c>
      <c r="K1451" s="2" t="str">
        <f t="shared" si="118"/>
        <v>Not Match</v>
      </c>
      <c r="L1451" s="1">
        <f t="shared" si="116"/>
        <v>0.2154065922853802</v>
      </c>
      <c r="M1451" s="1" t="e">
        <f t="shared" si="115"/>
        <v>#N/A</v>
      </c>
      <c r="N1451" s="2" t="str">
        <f t="shared" si="119"/>
        <v>Q NOT OK dE&lt;=0.8</v>
      </c>
      <c r="O1451">
        <v>13.99</v>
      </c>
      <c r="P1451">
        <v>0.69</v>
      </c>
      <c r="Q1451">
        <v>-1.0900000000000001</v>
      </c>
      <c r="R1451">
        <v>-0.08</v>
      </c>
      <c r="S1451">
        <v>0.08</v>
      </c>
      <c r="T1451">
        <v>-0.2</v>
      </c>
      <c r="U1451">
        <v>0.28999999999999998</v>
      </c>
      <c r="V1451">
        <v>-0.06</v>
      </c>
      <c r="W1451">
        <v>0.31</v>
      </c>
      <c r="X1451" t="s">
        <v>8</v>
      </c>
      <c r="Y1451" t="s">
        <v>7</v>
      </c>
      <c r="Z1451" s="2" t="s">
        <v>718</v>
      </c>
      <c r="AA1451" s="2" t="s">
        <v>721</v>
      </c>
    </row>
    <row r="1452" spans="1:27" x14ac:dyDescent="0.35">
      <c r="A1452" t="s">
        <v>2527</v>
      </c>
      <c r="B1452" t="s">
        <v>2528</v>
      </c>
      <c r="C1452" s="7" t="str">
        <f>_xlfn.XLOOKUP(B1452,'[1]Sheet 1'!$A$2:$A$11107,'[1]Sheet 1'!$D$2:$D$11107,"",0)</f>
        <v>CHICOS</v>
      </c>
      <c r="D1452" s="4" t="str">
        <f>_xlfn.XLOOKUP(A1452,[3]Sheet2!$I$2:$I$1623,[3]Sheet2!$D$2:$D$1623,"",0)</f>
        <v>Q4</v>
      </c>
      <c r="F1452" s="4" t="e">
        <f>_xlfn.XLOOKUP(B1452,[2]Sheet2!$E$2:$E$713,[2]Sheet2!$G$2:$G$713)</f>
        <v>#N/A</v>
      </c>
      <c r="G1452" s="22">
        <v>46192</v>
      </c>
      <c r="H1452" s="23">
        <v>0.38723379629629628</v>
      </c>
      <c r="I1452" t="s">
        <v>14</v>
      </c>
      <c r="J1452" s="2" t="str">
        <f t="shared" si="117"/>
        <v>Q2</v>
      </c>
      <c r="K1452" s="2" t="str">
        <f t="shared" si="118"/>
        <v>Not Match</v>
      </c>
      <c r="L1452" s="1">
        <f t="shared" si="116"/>
        <v>0.34481879299133333</v>
      </c>
      <c r="M1452" s="1" t="e">
        <f t="shared" si="115"/>
        <v>#N/A</v>
      </c>
      <c r="N1452" s="2" t="str">
        <f t="shared" si="119"/>
        <v>Q NOT OK dE&lt;=0.8</v>
      </c>
      <c r="O1452">
        <v>35.020000000000003</v>
      </c>
      <c r="P1452">
        <v>9.68</v>
      </c>
      <c r="Q1452">
        <v>15.45</v>
      </c>
      <c r="R1452">
        <v>-0.14000000000000001</v>
      </c>
      <c r="S1452">
        <v>-0.17</v>
      </c>
      <c r="T1452">
        <v>0.3</v>
      </c>
      <c r="U1452">
        <v>0.1</v>
      </c>
      <c r="V1452">
        <v>0.51</v>
      </c>
      <c r="W1452">
        <v>0.54</v>
      </c>
      <c r="X1452" t="s">
        <v>8</v>
      </c>
      <c r="Y1452" t="s">
        <v>12</v>
      </c>
      <c r="Z1452" s="2" t="s">
        <v>718</v>
      </c>
      <c r="AA1452" s="2" t="s">
        <v>721</v>
      </c>
    </row>
    <row r="1453" spans="1:27" x14ac:dyDescent="0.35">
      <c r="A1453" t="s">
        <v>2148</v>
      </c>
      <c r="B1453" t="s">
        <v>2529</v>
      </c>
      <c r="C1453" s="7" t="str">
        <f>_xlfn.XLOOKUP(B1453,'[1]Sheet 1'!$A$2:$A$11107,'[1]Sheet 1'!$D$2:$D$11107,"",0)</f>
        <v>VSS</v>
      </c>
      <c r="D1453" s="4" t="str">
        <f>_xlfn.XLOOKUP(A1453,[3]Sheet2!$I$2:$I$1623,[3]Sheet2!$D$2:$D$1623,"",0)</f>
        <v>Q3</v>
      </c>
      <c r="F1453" s="4" t="e">
        <f>_xlfn.XLOOKUP(B1453,[2]Sheet2!$E$2:$E$713,[2]Sheet2!$G$2:$G$713)</f>
        <v>#N/A</v>
      </c>
      <c r="G1453" s="22">
        <v>46192</v>
      </c>
      <c r="H1453" s="23">
        <v>0.40607638888888886</v>
      </c>
      <c r="I1453" t="s">
        <v>10</v>
      </c>
      <c r="J1453" s="2" t="str">
        <f t="shared" si="117"/>
        <v>Q1</v>
      </c>
      <c r="K1453" s="2" t="str">
        <f t="shared" si="118"/>
        <v>Not Match</v>
      </c>
      <c r="L1453" s="1">
        <f t="shared" si="116"/>
        <v>2.157614423385235</v>
      </c>
      <c r="M1453" s="1" t="e">
        <f t="shared" si="115"/>
        <v>#N/A</v>
      </c>
      <c r="N1453" s="2" t="str">
        <f t="shared" si="119"/>
        <v>Q NOT OK dE&gt;0.8</v>
      </c>
      <c r="O1453">
        <v>44.29</v>
      </c>
      <c r="P1453">
        <v>55.61</v>
      </c>
      <c r="Q1453">
        <v>39.97</v>
      </c>
      <c r="R1453">
        <v>0.87</v>
      </c>
      <c r="S1453">
        <v>1.57</v>
      </c>
      <c r="T1453">
        <v>1.48</v>
      </c>
      <c r="U1453">
        <v>0.74</v>
      </c>
      <c r="V1453">
        <v>0.2</v>
      </c>
      <c r="W1453">
        <v>1.1499999999999999</v>
      </c>
      <c r="X1453" t="s">
        <v>6</v>
      </c>
      <c r="Y1453" t="s">
        <v>12</v>
      </c>
      <c r="Z1453" s="2" t="s">
        <v>718</v>
      </c>
      <c r="AA1453" s="2" t="s">
        <v>721</v>
      </c>
    </row>
    <row r="1454" spans="1:27" x14ac:dyDescent="0.35">
      <c r="A1454" t="s">
        <v>2505</v>
      </c>
      <c r="B1454" t="s">
        <v>2530</v>
      </c>
      <c r="C1454" s="7" t="str">
        <f>_xlfn.XLOOKUP(B1454,'[1]Sheet 1'!$A$2:$A$11107,'[1]Sheet 1'!$D$2:$D$11107,"",0)</f>
        <v>VSS</v>
      </c>
      <c r="D1454" s="4" t="str">
        <f>_xlfn.XLOOKUP(A1454,[3]Sheet2!$I$2:$I$1623,[3]Sheet2!$D$2:$D$1623,"",0)</f>
        <v>Q3</v>
      </c>
      <c r="F1454" s="4" t="e">
        <f>_xlfn.XLOOKUP(B1454,[2]Sheet2!$E$2:$E$713,[2]Sheet2!$G$2:$G$713)</f>
        <v>#N/A</v>
      </c>
      <c r="G1454" s="22">
        <v>46192</v>
      </c>
      <c r="H1454" s="23">
        <v>0.4253587962962963</v>
      </c>
      <c r="I1454" t="s">
        <v>10</v>
      </c>
      <c r="J1454" s="2" t="str">
        <f t="shared" si="117"/>
        <v>Q1</v>
      </c>
      <c r="K1454" s="2" t="str">
        <f t="shared" si="118"/>
        <v>Not Match</v>
      </c>
      <c r="L1454" s="1">
        <f t="shared" si="116"/>
        <v>1.8895766721676048</v>
      </c>
      <c r="M1454" s="1" t="e">
        <f t="shared" si="115"/>
        <v>#N/A</v>
      </c>
      <c r="N1454" s="2" t="str">
        <f t="shared" si="119"/>
        <v>Q NOT OK dE&lt;=0.8</v>
      </c>
      <c r="O1454">
        <v>41.56</v>
      </c>
      <c r="P1454">
        <v>53.76</v>
      </c>
      <c r="Q1454">
        <v>37.979999999999997</v>
      </c>
      <c r="R1454">
        <v>0.13</v>
      </c>
      <c r="S1454">
        <v>1.39</v>
      </c>
      <c r="T1454">
        <v>1.28</v>
      </c>
      <c r="U1454">
        <v>0.66</v>
      </c>
      <c r="V1454">
        <v>0.18</v>
      </c>
      <c r="W1454">
        <v>0.69</v>
      </c>
      <c r="X1454" t="s">
        <v>8</v>
      </c>
      <c r="Y1454" t="s">
        <v>12</v>
      </c>
      <c r="Z1454" s="2" t="s">
        <v>718</v>
      </c>
      <c r="AA1454" s="2" t="s">
        <v>721</v>
      </c>
    </row>
    <row r="1455" spans="1:27" x14ac:dyDescent="0.35">
      <c r="A1455" t="s">
        <v>1626</v>
      </c>
      <c r="B1455" t="s">
        <v>2531</v>
      </c>
      <c r="C1455" s="7" t="str">
        <f>_xlfn.XLOOKUP(B1455,'[1]Sheet 1'!$A$2:$A$11107,'[1]Sheet 1'!$D$2:$D$11107,"",0)</f>
        <v>VSS</v>
      </c>
      <c r="D1455" s="4" t="str">
        <f>_xlfn.XLOOKUP(A1455,[3]Sheet2!$I$2:$I$1623,[3]Sheet2!$D$2:$D$1623,"",0)</f>
        <v>Q4</v>
      </c>
      <c r="F1455" s="4" t="e">
        <f>_xlfn.XLOOKUP(B1455,[2]Sheet2!$E$2:$E$713,[2]Sheet2!$G$2:$G$713)</f>
        <v>#N/A</v>
      </c>
      <c r="G1455" s="22">
        <v>46192</v>
      </c>
      <c r="H1455" s="23">
        <v>0.44214120370370369</v>
      </c>
      <c r="I1455" t="s">
        <v>10</v>
      </c>
      <c r="J1455" s="2" t="str">
        <f t="shared" si="117"/>
        <v>Q4</v>
      </c>
      <c r="K1455" s="2" t="str">
        <f t="shared" si="118"/>
        <v>Match</v>
      </c>
      <c r="L1455" s="1">
        <f t="shared" si="116"/>
        <v>0.23</v>
      </c>
      <c r="M1455" s="1" t="e">
        <f t="shared" si="115"/>
        <v>#N/A</v>
      </c>
      <c r="N1455" s="2" t="str">
        <f t="shared" si="119"/>
        <v>Q OK dE&lt;=0.8</v>
      </c>
      <c r="O1455">
        <v>15.38</v>
      </c>
      <c r="P1455">
        <v>0.36</v>
      </c>
      <c r="Q1455">
        <v>-1.59</v>
      </c>
      <c r="R1455">
        <v>-0.19</v>
      </c>
      <c r="S1455">
        <v>-0.23</v>
      </c>
      <c r="T1455">
        <v>0</v>
      </c>
      <c r="U1455">
        <v>-0.09</v>
      </c>
      <c r="V1455">
        <v>-0.31</v>
      </c>
      <c r="W1455">
        <v>0.38</v>
      </c>
      <c r="X1455" t="s">
        <v>8</v>
      </c>
      <c r="Y1455" t="s">
        <v>15</v>
      </c>
      <c r="Z1455" s="2" t="s">
        <v>718</v>
      </c>
      <c r="AA1455" s="2" t="s">
        <v>721</v>
      </c>
    </row>
    <row r="1456" spans="1:27" x14ac:dyDescent="0.35">
      <c r="A1456" t="s">
        <v>1602</v>
      </c>
      <c r="B1456" t="s">
        <v>2294</v>
      </c>
      <c r="C1456" s="7" t="str">
        <f>_xlfn.XLOOKUP(B1456,'[1]Sheet 1'!$A$2:$A$11107,'[1]Sheet 1'!$D$2:$D$11107,"",0)</f>
        <v>M&amp;S</v>
      </c>
      <c r="D1456" s="4" t="str">
        <f>_xlfn.XLOOKUP(A1456,[3]Sheet2!$I$2:$I$1623,[3]Sheet2!$D$2:$D$1623,"",0)</f>
        <v>Q4</v>
      </c>
      <c r="F1456" s="4" t="e">
        <f>_xlfn.XLOOKUP(B1456,[2]Sheet2!$E$2:$E$713,[2]Sheet2!$G$2:$G$713)</f>
        <v>#N/A</v>
      </c>
      <c r="G1456" s="22">
        <v>46192</v>
      </c>
      <c r="H1456" s="23">
        <v>0.49216435185185187</v>
      </c>
      <c r="I1456" t="s">
        <v>5</v>
      </c>
      <c r="J1456" s="2" t="str">
        <f t="shared" si="117"/>
        <v>Q1</v>
      </c>
      <c r="K1456" s="2" t="str">
        <f t="shared" si="118"/>
        <v>Not Match</v>
      </c>
      <c r="L1456" s="1">
        <f t="shared" si="116"/>
        <v>0.85146931829632</v>
      </c>
      <c r="M1456" s="1" t="e">
        <f t="shared" si="115"/>
        <v>#N/A</v>
      </c>
      <c r="N1456" s="2" t="str">
        <f t="shared" si="119"/>
        <v>Q NOT OK dE&gt;0.8</v>
      </c>
      <c r="O1456">
        <v>15.6</v>
      </c>
      <c r="P1456">
        <v>-0.32</v>
      </c>
      <c r="Q1456">
        <v>-1.43</v>
      </c>
      <c r="R1456">
        <v>-0.5</v>
      </c>
      <c r="S1456">
        <v>0.71</v>
      </c>
      <c r="T1456">
        <v>0.47</v>
      </c>
      <c r="U1456">
        <v>-0.89</v>
      </c>
      <c r="V1456">
        <v>0.66</v>
      </c>
      <c r="W1456">
        <v>1.21</v>
      </c>
      <c r="X1456" t="s">
        <v>6</v>
      </c>
      <c r="Y1456" t="s">
        <v>9</v>
      </c>
      <c r="Z1456" s="2" t="s">
        <v>718</v>
      </c>
      <c r="AA1456" s="2" t="s">
        <v>721</v>
      </c>
    </row>
    <row r="1457" spans="1:27" x14ac:dyDescent="0.35">
      <c r="A1457" t="s">
        <v>2148</v>
      </c>
      <c r="B1457" t="s">
        <v>2532</v>
      </c>
      <c r="C1457" s="7" t="str">
        <f>_xlfn.XLOOKUP(B1457,'[1]Sheet 1'!$A$2:$A$11107,'[1]Sheet 1'!$D$2:$D$11107,"",0)</f>
        <v>VSS</v>
      </c>
      <c r="D1457" s="4" t="str">
        <f>_xlfn.XLOOKUP(A1457,[3]Sheet2!$I$2:$I$1623,[3]Sheet2!$D$2:$D$1623,"",0)</f>
        <v>Q3</v>
      </c>
      <c r="F1457" s="4" t="e">
        <f>_xlfn.XLOOKUP(B1457,[2]Sheet2!$E$2:$E$713,[2]Sheet2!$G$2:$G$713)</f>
        <v>#N/A</v>
      </c>
      <c r="G1457" s="22">
        <v>46192</v>
      </c>
      <c r="H1457" s="23">
        <v>0.56153935185185189</v>
      </c>
      <c r="I1457" t="s">
        <v>10</v>
      </c>
      <c r="J1457" s="2" t="str">
        <f t="shared" si="117"/>
        <v>Q1</v>
      </c>
      <c r="K1457" s="2" t="str">
        <f t="shared" si="118"/>
        <v>Not Match</v>
      </c>
      <c r="L1457" s="1">
        <f t="shared" si="116"/>
        <v>1.5532224567009065</v>
      </c>
      <c r="M1457" s="1" t="e">
        <f t="shared" si="115"/>
        <v>#N/A</v>
      </c>
      <c r="N1457" s="2" t="str">
        <f t="shared" si="119"/>
        <v>Q NOT OK dE&gt;0.8</v>
      </c>
      <c r="O1457">
        <v>43.85</v>
      </c>
      <c r="P1457">
        <v>55.5</v>
      </c>
      <c r="Q1457">
        <v>39.020000000000003</v>
      </c>
      <c r="R1457">
        <v>0.65</v>
      </c>
      <c r="S1457">
        <v>1.46</v>
      </c>
      <c r="T1457">
        <v>0.53</v>
      </c>
      <c r="U1457">
        <v>0.52</v>
      </c>
      <c r="V1457">
        <v>-0.28999999999999998</v>
      </c>
      <c r="W1457">
        <v>0.88</v>
      </c>
      <c r="X1457" t="s">
        <v>13</v>
      </c>
      <c r="Y1457" t="s">
        <v>7</v>
      </c>
      <c r="Z1457" s="2" t="s">
        <v>718</v>
      </c>
      <c r="AA1457" s="2" t="s">
        <v>721</v>
      </c>
    </row>
    <row r="1458" spans="1:27" x14ac:dyDescent="0.35">
      <c r="A1458" t="s">
        <v>2400</v>
      </c>
      <c r="B1458" t="s">
        <v>2533</v>
      </c>
      <c r="C1458" s="7" t="str">
        <f>_xlfn.XLOOKUP(B1458,'[1]Sheet 1'!$A$2:$A$11107,'[1]Sheet 1'!$D$2:$D$11107,"",0)</f>
        <v/>
      </c>
      <c r="D1458" s="4" t="str">
        <f>_xlfn.XLOOKUP(A1458,[3]Sheet2!$I$2:$I$1623,[3]Sheet2!$D$2:$D$1623,"",0)</f>
        <v>Q4</v>
      </c>
      <c r="F1458" s="4" t="e">
        <f>_xlfn.XLOOKUP(B1458,[2]Sheet2!$E$2:$E$713,[2]Sheet2!$G$2:$G$713)</f>
        <v>#N/A</v>
      </c>
      <c r="G1458" s="22">
        <v>46192</v>
      </c>
      <c r="H1458" s="23">
        <v>0.56743055555555555</v>
      </c>
      <c r="I1458" t="s">
        <v>10</v>
      </c>
      <c r="J1458" s="2" t="str">
        <f t="shared" si="117"/>
        <v>Q1</v>
      </c>
      <c r="K1458" s="2" t="str">
        <f t="shared" si="118"/>
        <v>Not Match</v>
      </c>
      <c r="L1458" s="1">
        <f t="shared" si="116"/>
        <v>1.3631214179228497</v>
      </c>
      <c r="M1458" s="1" t="e">
        <f t="shared" si="115"/>
        <v>#N/A</v>
      </c>
      <c r="N1458" s="2" t="str">
        <f t="shared" si="119"/>
        <v>Q NOT OK dE&gt;0.8</v>
      </c>
      <c r="O1458">
        <v>20.11</v>
      </c>
      <c r="P1458">
        <v>12.73</v>
      </c>
      <c r="Q1458">
        <v>-0.27</v>
      </c>
      <c r="R1458">
        <v>-0.18</v>
      </c>
      <c r="S1458">
        <v>1.34</v>
      </c>
      <c r="T1458">
        <v>0.25</v>
      </c>
      <c r="U1458">
        <v>1.05</v>
      </c>
      <c r="V1458">
        <v>0.33</v>
      </c>
      <c r="W1458">
        <v>1.1100000000000001</v>
      </c>
      <c r="X1458" t="s">
        <v>6</v>
      </c>
      <c r="Y1458" t="s">
        <v>9</v>
      </c>
      <c r="Z1458" s="2" t="s">
        <v>718</v>
      </c>
      <c r="AA1458" s="2" t="s">
        <v>721</v>
      </c>
    </row>
    <row r="1459" spans="1:27" x14ac:dyDescent="0.35">
      <c r="A1459" t="s">
        <v>2534</v>
      </c>
      <c r="B1459" t="s">
        <v>2535</v>
      </c>
      <c r="C1459" s="7" t="str">
        <f>_xlfn.XLOOKUP(B1459,'[1]Sheet 1'!$A$2:$A$11107,'[1]Sheet 1'!$D$2:$D$11107,"",0)</f>
        <v>GAP</v>
      </c>
      <c r="D1459" s="4" t="str">
        <f>_xlfn.XLOOKUP(A1459,[3]Sheet2!$I$2:$I$1623,[3]Sheet2!$D$2:$D$1623,"",0)</f>
        <v>Q2</v>
      </c>
      <c r="F1459" s="4" t="e">
        <f>_xlfn.XLOOKUP(B1459,[2]Sheet2!$E$2:$E$713,[2]Sheet2!$G$2:$G$713)</f>
        <v>#N/A</v>
      </c>
      <c r="G1459" s="22">
        <v>46192</v>
      </c>
      <c r="H1459" s="23">
        <v>0.67866898148148147</v>
      </c>
      <c r="I1459" t="s">
        <v>14</v>
      </c>
      <c r="J1459" s="2" t="str">
        <f t="shared" si="117"/>
        <v>Q1</v>
      </c>
      <c r="K1459" s="2" t="str">
        <f t="shared" si="118"/>
        <v>Not Match</v>
      </c>
      <c r="L1459" s="1">
        <f t="shared" si="116"/>
        <v>0.31384709652950432</v>
      </c>
      <c r="M1459" s="1" t="e">
        <f t="shared" si="115"/>
        <v>#N/A</v>
      </c>
      <c r="N1459" s="2" t="str">
        <f t="shared" si="119"/>
        <v>Q NOT OK dE&lt;=0.8</v>
      </c>
      <c r="O1459">
        <v>17.47</v>
      </c>
      <c r="P1459">
        <v>-0.97</v>
      </c>
      <c r="Q1459">
        <v>-11.29</v>
      </c>
      <c r="R1459">
        <v>-0.57999999999999996</v>
      </c>
      <c r="S1459">
        <v>0.12</v>
      </c>
      <c r="T1459">
        <v>0.28999999999999998</v>
      </c>
      <c r="U1459">
        <v>-0.23</v>
      </c>
      <c r="V1459">
        <v>0.11</v>
      </c>
      <c r="W1459">
        <v>0.64</v>
      </c>
      <c r="X1459" t="s">
        <v>8</v>
      </c>
      <c r="Y1459" t="s">
        <v>9</v>
      </c>
      <c r="Z1459" s="2" t="s">
        <v>718</v>
      </c>
      <c r="AA1459" s="2" t="s">
        <v>721</v>
      </c>
    </row>
    <row r="1460" spans="1:27" x14ac:dyDescent="0.35">
      <c r="A1460" t="s">
        <v>1626</v>
      </c>
      <c r="B1460" t="s">
        <v>2536</v>
      </c>
      <c r="C1460" s="7" t="str">
        <f>_xlfn.XLOOKUP(B1460,'[1]Sheet 1'!$A$2:$A$11107,'[1]Sheet 1'!$D$2:$D$11107,"",0)</f>
        <v>VSS</v>
      </c>
      <c r="D1460" s="4" t="str">
        <f>_xlfn.XLOOKUP(A1460,[3]Sheet2!$I$2:$I$1623,[3]Sheet2!$D$2:$D$1623,"",0)</f>
        <v>Q4</v>
      </c>
      <c r="F1460" s="4" t="e">
        <f>_xlfn.XLOOKUP(B1460,[2]Sheet2!$E$2:$E$713,[2]Sheet2!$G$2:$G$713)</f>
        <v>#N/A</v>
      </c>
      <c r="G1460" s="22">
        <v>46192</v>
      </c>
      <c r="H1460" s="23">
        <v>0.76107638888888884</v>
      </c>
      <c r="I1460" t="s">
        <v>10</v>
      </c>
      <c r="J1460" s="2" t="str">
        <f t="shared" si="117"/>
        <v>Q3</v>
      </c>
      <c r="K1460" s="2" t="str">
        <f t="shared" si="118"/>
        <v>Not Match</v>
      </c>
      <c r="L1460" s="1">
        <f t="shared" si="116"/>
        <v>0.3306055050963308</v>
      </c>
      <c r="M1460" s="1" t="e">
        <f t="shared" si="115"/>
        <v>#N/A</v>
      </c>
      <c r="N1460" s="2" t="str">
        <f t="shared" si="119"/>
        <v>Q NOT OK dE&lt;=0.8</v>
      </c>
      <c r="O1460">
        <v>15.31</v>
      </c>
      <c r="P1460">
        <v>0.27</v>
      </c>
      <c r="Q1460">
        <v>-1.61</v>
      </c>
      <c r="R1460">
        <v>-0.26</v>
      </c>
      <c r="S1460">
        <v>-0.33</v>
      </c>
      <c r="T1460">
        <v>-0.02</v>
      </c>
      <c r="U1460">
        <v>-0.08</v>
      </c>
      <c r="V1460">
        <v>-0.44</v>
      </c>
      <c r="W1460">
        <v>0.52</v>
      </c>
      <c r="X1460" t="s">
        <v>8</v>
      </c>
      <c r="Y1460" t="s">
        <v>15</v>
      </c>
      <c r="Z1460" s="2" t="s">
        <v>718</v>
      </c>
      <c r="AA1460" s="2" t="s">
        <v>721</v>
      </c>
    </row>
    <row r="1461" spans="1:27" x14ac:dyDescent="0.35">
      <c r="A1461" t="s">
        <v>1672</v>
      </c>
      <c r="B1461" t="s">
        <v>2537</v>
      </c>
      <c r="C1461" s="7" t="str">
        <f>_xlfn.XLOOKUP(B1461,'[1]Sheet 1'!$A$2:$A$11107,'[1]Sheet 1'!$D$2:$D$11107,"",0)</f>
        <v>PINK</v>
      </c>
      <c r="D1461" s="4" t="str">
        <f>_xlfn.XLOOKUP(A1461,[3]Sheet2!$I$2:$I$1623,[3]Sheet2!$D$2:$D$1623,"",0)</f>
        <v>Q2</v>
      </c>
      <c r="F1461" s="4" t="e">
        <f>_xlfn.XLOOKUP(B1461,[2]Sheet2!$E$2:$E$713,[2]Sheet2!$G$2:$G$713)</f>
        <v>#N/A</v>
      </c>
      <c r="G1461" s="22">
        <v>46192</v>
      </c>
      <c r="H1461" s="23">
        <v>0.77501157407407406</v>
      </c>
      <c r="I1461" t="s">
        <v>10</v>
      </c>
      <c r="J1461" s="2" t="str">
        <f t="shared" si="117"/>
        <v>Q3</v>
      </c>
      <c r="K1461" s="2" t="str">
        <f t="shared" si="118"/>
        <v>Not Match</v>
      </c>
      <c r="L1461" s="1">
        <f t="shared" si="116"/>
        <v>0.41303752856126763</v>
      </c>
      <c r="M1461" s="1" t="e">
        <f t="shared" si="115"/>
        <v>#N/A</v>
      </c>
      <c r="N1461" s="2" t="str">
        <f t="shared" si="119"/>
        <v>Q NOT OK dE&gt;0.8</v>
      </c>
      <c r="O1461">
        <v>14.41</v>
      </c>
      <c r="P1461">
        <v>0.41</v>
      </c>
      <c r="Q1461">
        <v>-2.4</v>
      </c>
      <c r="R1461">
        <v>-1.73</v>
      </c>
      <c r="S1461">
        <v>-0.05</v>
      </c>
      <c r="T1461">
        <v>-0.41</v>
      </c>
      <c r="U1461">
        <v>0.51</v>
      </c>
      <c r="V1461">
        <v>-0.18</v>
      </c>
      <c r="W1461">
        <v>1.82</v>
      </c>
      <c r="X1461" t="s">
        <v>6</v>
      </c>
      <c r="Y1461" t="s">
        <v>15</v>
      </c>
      <c r="Z1461" s="2" t="s">
        <v>718</v>
      </c>
      <c r="AA1461" s="2" t="s">
        <v>721</v>
      </c>
    </row>
    <row r="1462" spans="1:27" x14ac:dyDescent="0.35">
      <c r="A1462" t="s">
        <v>2538</v>
      </c>
      <c r="B1462" t="s">
        <v>2539</v>
      </c>
      <c r="C1462" s="7" t="str">
        <f>_xlfn.XLOOKUP(B1462,'[1]Sheet 1'!$A$2:$A$11107,'[1]Sheet 1'!$D$2:$D$11107,"",0)</f>
        <v>VSS</v>
      </c>
      <c r="D1462" s="4" t="str">
        <f>_xlfn.XLOOKUP(A1462,[3]Sheet2!$I$2:$I$1623,[3]Sheet2!$D$2:$D$1623,"",0)</f>
        <v>Q3</v>
      </c>
      <c r="F1462" s="4" t="e">
        <f>_xlfn.XLOOKUP(B1462,[2]Sheet2!$E$2:$E$713,[2]Sheet2!$G$2:$G$713)</f>
        <v>#N/A</v>
      </c>
      <c r="G1462" s="22">
        <v>46192</v>
      </c>
      <c r="H1462" s="23">
        <v>0.77660879629629631</v>
      </c>
      <c r="I1462" t="s">
        <v>10</v>
      </c>
      <c r="J1462" s="2" t="str">
        <f t="shared" si="117"/>
        <v>Q3</v>
      </c>
      <c r="K1462" s="2" t="str">
        <f t="shared" si="118"/>
        <v>Match</v>
      </c>
      <c r="L1462" s="1">
        <f t="shared" si="116"/>
        <v>1.016366075781753</v>
      </c>
      <c r="M1462" s="1" t="e">
        <f t="shared" si="115"/>
        <v>#N/A</v>
      </c>
      <c r="N1462" s="2" t="str">
        <f t="shared" si="119"/>
        <v>Q OK dE&lt;=0.8</v>
      </c>
      <c r="O1462">
        <v>24.44</v>
      </c>
      <c r="P1462">
        <v>-7.94</v>
      </c>
      <c r="Q1462">
        <v>-44.23</v>
      </c>
      <c r="R1462">
        <v>-0.48</v>
      </c>
      <c r="S1462">
        <v>-0.41</v>
      </c>
      <c r="T1462">
        <v>-0.93</v>
      </c>
      <c r="U1462">
        <v>0.41</v>
      </c>
      <c r="V1462">
        <v>-0.16</v>
      </c>
      <c r="W1462">
        <v>0.65</v>
      </c>
      <c r="X1462" t="s">
        <v>8</v>
      </c>
      <c r="Y1462" t="s">
        <v>15</v>
      </c>
      <c r="Z1462" s="2" t="s">
        <v>718</v>
      </c>
      <c r="AA1462" s="2" t="s">
        <v>721</v>
      </c>
    </row>
    <row r="1463" spans="1:27" x14ac:dyDescent="0.35">
      <c r="A1463" t="s">
        <v>1655</v>
      </c>
      <c r="B1463" t="s">
        <v>2540</v>
      </c>
      <c r="C1463" s="7" t="str">
        <f>_xlfn.XLOOKUP(B1463,'[1]Sheet 1'!$A$2:$A$11107,'[1]Sheet 1'!$D$2:$D$11107,"",0)</f>
        <v>PINK</v>
      </c>
      <c r="D1463" s="4" t="str">
        <f>_xlfn.XLOOKUP(A1463,[3]Sheet2!$I$2:$I$1623,[3]Sheet2!$D$2:$D$1623,"",0)</f>
        <v>Q3</v>
      </c>
      <c r="F1463" s="4" t="e">
        <f>_xlfn.XLOOKUP(B1463,[2]Sheet2!$E$2:$E$713,[2]Sheet2!$G$2:$G$713)</f>
        <v>#N/A</v>
      </c>
      <c r="G1463" s="22">
        <v>46192</v>
      </c>
      <c r="H1463" s="23">
        <v>0.78256944444444443</v>
      </c>
      <c r="I1463" t="s">
        <v>10</v>
      </c>
      <c r="J1463" s="2" t="str">
        <f t="shared" si="117"/>
        <v>Q1</v>
      </c>
      <c r="K1463" s="2" t="str">
        <f t="shared" si="118"/>
        <v>Not Match</v>
      </c>
      <c r="L1463" s="1">
        <f t="shared" si="116"/>
        <v>0.2353720459187964</v>
      </c>
      <c r="M1463" s="1" t="e">
        <f t="shared" si="115"/>
        <v>#N/A</v>
      </c>
      <c r="N1463" s="2" t="str">
        <f t="shared" si="119"/>
        <v>Q NOT OK dE&lt;=0.8</v>
      </c>
      <c r="O1463">
        <v>13.86</v>
      </c>
      <c r="P1463">
        <v>0.85</v>
      </c>
      <c r="Q1463">
        <v>-0.85</v>
      </c>
      <c r="R1463">
        <v>-0.21</v>
      </c>
      <c r="S1463">
        <v>0.23</v>
      </c>
      <c r="T1463">
        <v>0.05</v>
      </c>
      <c r="U1463">
        <v>0.16</v>
      </c>
      <c r="V1463">
        <v>0.3</v>
      </c>
      <c r="W1463">
        <v>0.4</v>
      </c>
      <c r="X1463" t="s">
        <v>8</v>
      </c>
      <c r="Y1463" t="s">
        <v>9</v>
      </c>
      <c r="Z1463" s="2" t="s">
        <v>718</v>
      </c>
      <c r="AA1463" s="2" t="s">
        <v>721</v>
      </c>
    </row>
    <row r="1464" spans="1:27" x14ac:dyDescent="0.35">
      <c r="A1464" t="s">
        <v>2541</v>
      </c>
      <c r="B1464" t="s">
        <v>2542</v>
      </c>
      <c r="C1464" s="7" t="str">
        <f>_xlfn.XLOOKUP(B1464,'[1]Sheet 1'!$A$2:$A$11107,'[1]Sheet 1'!$D$2:$D$11107,"",0)</f>
        <v>VSS</v>
      </c>
      <c r="D1464" s="4" t="str">
        <f>_xlfn.XLOOKUP(A1464,[3]Sheet2!$I$2:$I$1623,[3]Sheet2!$D$2:$D$1623,"",0)</f>
        <v>Q2</v>
      </c>
      <c r="F1464" s="4" t="e">
        <f>_xlfn.XLOOKUP(B1464,[2]Sheet2!$E$2:$E$713,[2]Sheet2!$G$2:$G$713)</f>
        <v>#N/A</v>
      </c>
      <c r="G1464" s="22">
        <v>46192</v>
      </c>
      <c r="H1464" s="23">
        <v>0.85137731481481482</v>
      </c>
      <c r="I1464" t="s">
        <v>10</v>
      </c>
      <c r="J1464" s="2" t="str">
        <f t="shared" si="117"/>
        <v>Q2</v>
      </c>
      <c r="K1464" s="2" t="str">
        <f t="shared" si="118"/>
        <v>Match</v>
      </c>
      <c r="L1464" s="1">
        <f t="shared" si="116"/>
        <v>0.12206555615733704</v>
      </c>
      <c r="M1464" s="1" t="e">
        <f t="shared" si="115"/>
        <v>#N/A</v>
      </c>
      <c r="N1464" s="2" t="str">
        <f t="shared" si="119"/>
        <v>Q OK dE&lt;=0.8</v>
      </c>
      <c r="O1464">
        <v>16.579999999999998</v>
      </c>
      <c r="P1464">
        <v>1.18</v>
      </c>
      <c r="Q1464">
        <v>-1.95</v>
      </c>
      <c r="R1464">
        <v>-0.02</v>
      </c>
      <c r="S1464">
        <v>-7.0000000000000007E-2</v>
      </c>
      <c r="T1464">
        <v>0.1</v>
      </c>
      <c r="U1464">
        <v>-0.16</v>
      </c>
      <c r="V1464">
        <v>-0.01</v>
      </c>
      <c r="W1464">
        <v>0.16</v>
      </c>
      <c r="X1464" t="s">
        <v>8</v>
      </c>
      <c r="Y1464" t="s">
        <v>7</v>
      </c>
      <c r="Z1464" s="2" t="s">
        <v>718</v>
      </c>
      <c r="AA1464" s="2" t="s">
        <v>721</v>
      </c>
    </row>
    <row r="1465" spans="1:27" x14ac:dyDescent="0.35">
      <c r="A1465" t="s">
        <v>1674</v>
      </c>
      <c r="B1465" t="s">
        <v>2543</v>
      </c>
      <c r="C1465" s="7" t="str">
        <f>_xlfn.XLOOKUP(B1465,'[1]Sheet 1'!$A$2:$A$11107,'[1]Sheet 1'!$D$2:$D$11107,"",0)</f>
        <v>WACE</v>
      </c>
      <c r="D1465" s="4" t="str">
        <f>_xlfn.XLOOKUP(A1465,[3]Sheet2!$I$2:$I$1623,[3]Sheet2!$D$2:$D$1623,"",0)</f>
        <v>Q1</v>
      </c>
      <c r="F1465" s="4" t="e">
        <f>_xlfn.XLOOKUP(B1465,[2]Sheet2!$E$2:$E$713,[2]Sheet2!$G$2:$G$713)</f>
        <v>#N/A</v>
      </c>
      <c r="G1465" s="22">
        <v>46192</v>
      </c>
      <c r="H1465" s="23">
        <v>0.96333333333333337</v>
      </c>
      <c r="I1465" t="s">
        <v>4</v>
      </c>
      <c r="J1465" s="2" t="str">
        <f t="shared" si="117"/>
        <v>Q1</v>
      </c>
      <c r="K1465" s="2" t="str">
        <f t="shared" si="118"/>
        <v>Match</v>
      </c>
      <c r="L1465" s="1">
        <f t="shared" si="116"/>
        <v>2.6570660511172846</v>
      </c>
      <c r="M1465" s="1" t="e">
        <f t="shared" si="115"/>
        <v>#N/A</v>
      </c>
      <c r="N1465" s="2" t="str">
        <f t="shared" si="119"/>
        <v>Q OK dE&gt;0.8</v>
      </c>
      <c r="O1465">
        <v>38.01</v>
      </c>
      <c r="P1465">
        <v>59.3</v>
      </c>
      <c r="Q1465">
        <v>18.79</v>
      </c>
      <c r="R1465">
        <v>-0.45</v>
      </c>
      <c r="S1465">
        <v>0.78</v>
      </c>
      <c r="T1465">
        <v>2.54</v>
      </c>
      <c r="U1465">
        <v>0.53</v>
      </c>
      <c r="V1465">
        <v>1.29</v>
      </c>
      <c r="W1465">
        <v>1.46</v>
      </c>
      <c r="X1465" t="s">
        <v>6</v>
      </c>
      <c r="Y1465" t="s">
        <v>12</v>
      </c>
      <c r="Z1465" s="2" t="s">
        <v>718</v>
      </c>
      <c r="AA1465" s="2" t="s">
        <v>721</v>
      </c>
    </row>
    <row r="1466" spans="1:27" x14ac:dyDescent="0.35">
      <c r="A1466" t="s">
        <v>2148</v>
      </c>
      <c r="B1466" t="s">
        <v>2544</v>
      </c>
      <c r="C1466" s="7" t="str">
        <f>_xlfn.XLOOKUP(B1466,'[1]Sheet 1'!$A$2:$A$11107,'[1]Sheet 1'!$D$2:$D$11107,"",0)</f>
        <v>VSS</v>
      </c>
      <c r="D1466" s="4" t="str">
        <f>_xlfn.XLOOKUP(A1466,[3]Sheet2!$I$2:$I$1623,[3]Sheet2!$D$2:$D$1623,"",0)</f>
        <v>Q3</v>
      </c>
      <c r="F1466" s="4" t="e">
        <f>_xlfn.XLOOKUP(B1466,[2]Sheet2!$E$2:$E$713,[2]Sheet2!$G$2:$G$713)</f>
        <v>#N/A</v>
      </c>
      <c r="G1466" s="22">
        <v>46192</v>
      </c>
      <c r="H1466" s="23">
        <v>0.97149305555555554</v>
      </c>
      <c r="I1466" t="s">
        <v>10</v>
      </c>
      <c r="J1466" s="2" t="str">
        <f t="shared" si="117"/>
        <v>Q1</v>
      </c>
      <c r="K1466" s="2" t="str">
        <f t="shared" si="118"/>
        <v>Not Match</v>
      </c>
      <c r="L1466" s="1">
        <f t="shared" si="116"/>
        <v>1.845670609832643</v>
      </c>
      <c r="M1466" s="1" t="e">
        <f t="shared" si="115"/>
        <v>#N/A</v>
      </c>
      <c r="N1466" s="2" t="str">
        <f t="shared" si="119"/>
        <v>Q NOT OK dE&gt;0.8</v>
      </c>
      <c r="O1466">
        <v>43.78</v>
      </c>
      <c r="P1466">
        <v>55.36</v>
      </c>
      <c r="Q1466">
        <v>39.79</v>
      </c>
      <c r="R1466">
        <v>0.61</v>
      </c>
      <c r="S1466">
        <v>1.32</v>
      </c>
      <c r="T1466">
        <v>1.29</v>
      </c>
      <c r="U1466">
        <v>0.63</v>
      </c>
      <c r="V1466">
        <v>0.2</v>
      </c>
      <c r="W1466">
        <v>0.9</v>
      </c>
      <c r="X1466" t="s">
        <v>13</v>
      </c>
      <c r="Y1466" t="s">
        <v>12</v>
      </c>
      <c r="Z1466" s="2" t="s">
        <v>718</v>
      </c>
      <c r="AA1466" s="2" t="s">
        <v>721</v>
      </c>
    </row>
    <row r="1467" spans="1:27" x14ac:dyDescent="0.35">
      <c r="A1467" t="s">
        <v>2331</v>
      </c>
      <c r="B1467" t="s">
        <v>2545</v>
      </c>
      <c r="C1467" s="7" t="str">
        <f>_xlfn.XLOOKUP(B1467,'[1]Sheet 1'!$A$2:$A$11107,'[1]Sheet 1'!$D$2:$D$11107,"",0)</f>
        <v>VSS</v>
      </c>
      <c r="D1467" s="4" t="str">
        <f>_xlfn.XLOOKUP(A1467,[3]Sheet2!$I$2:$I$1623,[3]Sheet2!$D$2:$D$1623,"",0)</f>
        <v>Q3</v>
      </c>
      <c r="F1467" s="4" t="e">
        <f>_xlfn.XLOOKUP(B1467,[2]Sheet2!$E$2:$E$713,[2]Sheet2!$G$2:$G$713)</f>
        <v>#N/A</v>
      </c>
      <c r="G1467" s="22">
        <v>46193</v>
      </c>
      <c r="H1467" s="23">
        <v>0.14886574074074074</v>
      </c>
      <c r="I1467" t="s">
        <v>10</v>
      </c>
      <c r="J1467" s="2" t="str">
        <f t="shared" si="117"/>
        <v>Q2</v>
      </c>
      <c r="K1467" s="2" t="str">
        <f t="shared" si="118"/>
        <v>Not Match</v>
      </c>
      <c r="L1467" s="1">
        <f t="shared" si="116"/>
        <v>0.33541019662496846</v>
      </c>
      <c r="M1467" s="1" t="e">
        <f t="shared" si="115"/>
        <v>#N/A</v>
      </c>
      <c r="N1467" s="2" t="str">
        <f t="shared" si="119"/>
        <v>Q NOT OK dE&lt;=0.8</v>
      </c>
      <c r="O1467">
        <v>20.81</v>
      </c>
      <c r="P1467">
        <v>-5.74</v>
      </c>
      <c r="Q1467">
        <v>-1.52</v>
      </c>
      <c r="R1467">
        <v>-0.05</v>
      </c>
      <c r="S1467">
        <v>-0.33</v>
      </c>
      <c r="T1467">
        <v>0.06</v>
      </c>
      <c r="U1467">
        <v>0.31</v>
      </c>
      <c r="V1467">
        <v>-0.18</v>
      </c>
      <c r="W1467">
        <v>0.36</v>
      </c>
      <c r="X1467" t="s">
        <v>8</v>
      </c>
      <c r="Y1467" t="s">
        <v>12</v>
      </c>
      <c r="Z1467" s="2" t="s">
        <v>718</v>
      </c>
      <c r="AA1467" s="2" t="s">
        <v>721</v>
      </c>
    </row>
    <row r="1468" spans="1:27" x14ac:dyDescent="0.35">
      <c r="A1468" t="s">
        <v>1793</v>
      </c>
      <c r="B1468" t="s">
        <v>2546</v>
      </c>
      <c r="C1468" s="7" t="str">
        <f>_xlfn.XLOOKUP(B1468,'[1]Sheet 1'!$A$2:$A$11107,'[1]Sheet 1'!$D$2:$D$11107,"",0)</f>
        <v>WACE</v>
      </c>
      <c r="D1468" s="4" t="str">
        <f>_xlfn.XLOOKUP(A1468,[3]Sheet2!$I$2:$I$1623,[3]Sheet2!$D$2:$D$1623,"",0)</f>
        <v>Q2/Q3</v>
      </c>
      <c r="F1468" s="4" t="e">
        <f>_xlfn.XLOOKUP(B1468,[2]Sheet2!$E$2:$E$713,[2]Sheet2!$G$2:$G$713)</f>
        <v>#N/A</v>
      </c>
      <c r="G1468" s="22">
        <v>46193</v>
      </c>
      <c r="H1468" s="23">
        <v>0.15273148148148147</v>
      </c>
      <c r="I1468" t="s">
        <v>4</v>
      </c>
      <c r="J1468" s="2" t="str">
        <f t="shared" si="117"/>
        <v>Q4</v>
      </c>
      <c r="K1468" s="2" t="str">
        <f t="shared" si="118"/>
        <v>Not Match</v>
      </c>
      <c r="L1468" s="1">
        <f t="shared" si="116"/>
        <v>0.23706539182259395</v>
      </c>
      <c r="M1468" s="1" t="e">
        <f t="shared" ref="M1468:M1531" si="120">IF(L1468&lt;=F1468,"Within Range","Over Range")</f>
        <v>#N/A</v>
      </c>
      <c r="N1468" s="2" t="str">
        <f t="shared" si="119"/>
        <v>Q NOT OK dE&lt;=0.8</v>
      </c>
      <c r="O1468">
        <v>17.63</v>
      </c>
      <c r="P1468">
        <v>-0.45</v>
      </c>
      <c r="Q1468">
        <v>-1.37</v>
      </c>
      <c r="R1468">
        <v>0.02</v>
      </c>
      <c r="S1468">
        <v>0.21</v>
      </c>
      <c r="T1468">
        <v>-0.11</v>
      </c>
      <c r="U1468">
        <v>0.02</v>
      </c>
      <c r="V1468">
        <v>0.33</v>
      </c>
      <c r="W1468">
        <v>0.33</v>
      </c>
      <c r="X1468" t="s">
        <v>8</v>
      </c>
      <c r="Y1468" t="s">
        <v>9</v>
      </c>
      <c r="Z1468" s="2" t="s">
        <v>718</v>
      </c>
      <c r="AA1468" s="2" t="s">
        <v>721</v>
      </c>
    </row>
    <row r="1469" spans="1:27" x14ac:dyDescent="0.35">
      <c r="A1469" t="s">
        <v>2547</v>
      </c>
      <c r="B1469" t="s">
        <v>2548</v>
      </c>
      <c r="C1469" s="7" t="str">
        <f>_xlfn.XLOOKUP(B1469,'[1]Sheet 1'!$A$2:$A$11107,'[1]Sheet 1'!$D$2:$D$11107,"",0)</f>
        <v>INT1</v>
      </c>
      <c r="D1469" s="4">
        <v>0</v>
      </c>
      <c r="F1469" s="4" t="e">
        <f>_xlfn.XLOOKUP(B1469,[2]Sheet2!$E$2:$E$713,[2]Sheet2!$G$2:$G$713)</f>
        <v>#N/A</v>
      </c>
      <c r="G1469" s="22">
        <v>46193</v>
      </c>
      <c r="H1469" s="23">
        <v>0.27627314814814813</v>
      </c>
      <c r="I1469" t="s">
        <v>5</v>
      </c>
      <c r="J1469" s="2" t="str">
        <f t="shared" si="117"/>
        <v>Q2</v>
      </c>
      <c r="K1469" s="2" t="str">
        <f t="shared" si="118"/>
        <v>Not Found</v>
      </c>
      <c r="L1469" s="1">
        <f t="shared" si="116"/>
        <v>0.44418464629025617</v>
      </c>
      <c r="M1469" s="1" t="e">
        <f t="shared" si="120"/>
        <v>#N/A</v>
      </c>
      <c r="N1469" s="2" t="str">
        <f t="shared" si="119"/>
        <v>Quadrant not assigned</v>
      </c>
      <c r="O1469">
        <v>29.15</v>
      </c>
      <c r="P1469">
        <v>9.18</v>
      </c>
      <c r="Q1469">
        <v>9.77</v>
      </c>
      <c r="R1469">
        <v>-0.63</v>
      </c>
      <c r="S1469">
        <v>-0.23</v>
      </c>
      <c r="T1469">
        <v>0.38</v>
      </c>
      <c r="U1469">
        <v>0.08</v>
      </c>
      <c r="V1469">
        <v>0.71</v>
      </c>
      <c r="W1469">
        <v>0.95</v>
      </c>
      <c r="X1469" t="s">
        <v>13</v>
      </c>
      <c r="Y1469" t="s">
        <v>12</v>
      </c>
      <c r="Z1469" s="2" t="s">
        <v>718</v>
      </c>
      <c r="AA1469" s="2" t="s">
        <v>721</v>
      </c>
    </row>
    <row r="1470" spans="1:27" x14ac:dyDescent="0.35">
      <c r="A1470" t="s">
        <v>2508</v>
      </c>
      <c r="B1470" t="s">
        <v>2549</v>
      </c>
      <c r="C1470" s="7" t="str">
        <f>_xlfn.XLOOKUP(B1470,'[1]Sheet 1'!$A$2:$A$11107,'[1]Sheet 1'!$D$2:$D$11107,"",0)</f>
        <v>VSS</v>
      </c>
      <c r="D1470" s="4" t="str">
        <f>_xlfn.XLOOKUP(A1470,[3]Sheet2!$I$2:$I$1623,[3]Sheet2!$D$2:$D$1623,"",0)</f>
        <v>Q3</v>
      </c>
      <c r="F1470" s="4" t="e">
        <f>_xlfn.XLOOKUP(B1470,[2]Sheet2!$E$2:$E$713,[2]Sheet2!$G$2:$G$713)</f>
        <v>#N/A</v>
      </c>
      <c r="G1470" s="22">
        <v>46193</v>
      </c>
      <c r="H1470" s="23">
        <v>0.28425925925925927</v>
      </c>
      <c r="I1470" t="s">
        <v>10</v>
      </c>
      <c r="J1470" s="2" t="str">
        <f t="shared" si="117"/>
        <v>Q3</v>
      </c>
      <c r="K1470" s="2" t="str">
        <f t="shared" si="118"/>
        <v>Match</v>
      </c>
      <c r="L1470" s="1">
        <f t="shared" ref="L1470:L1533" si="121">SQRT(S1470^2+T1470^2)</f>
        <v>1.8990787240133042</v>
      </c>
      <c r="M1470" s="1" t="e">
        <f t="shared" si="120"/>
        <v>#N/A</v>
      </c>
      <c r="N1470" s="2" t="str">
        <f t="shared" si="119"/>
        <v>Q OK dE&gt;0.8</v>
      </c>
      <c r="O1470">
        <v>50.72</v>
      </c>
      <c r="P1470">
        <v>58.46</v>
      </c>
      <c r="Q1470">
        <v>39.93</v>
      </c>
      <c r="R1470">
        <v>-1.2</v>
      </c>
      <c r="S1470">
        <v>-1.19</v>
      </c>
      <c r="T1470">
        <v>-1.48</v>
      </c>
      <c r="U1470">
        <v>-0.6</v>
      </c>
      <c r="V1470">
        <v>-0.36</v>
      </c>
      <c r="W1470">
        <v>1.39</v>
      </c>
      <c r="X1470" t="s">
        <v>6</v>
      </c>
      <c r="Y1470" t="s">
        <v>7</v>
      </c>
      <c r="Z1470" s="2" t="s">
        <v>718</v>
      </c>
      <c r="AA1470" s="2" t="s">
        <v>721</v>
      </c>
    </row>
    <row r="1471" spans="1:27" x14ac:dyDescent="0.35">
      <c r="A1471" t="s">
        <v>2550</v>
      </c>
      <c r="B1471" t="s">
        <v>2551</v>
      </c>
      <c r="C1471" s="7" t="str">
        <f>_xlfn.XLOOKUP(B1471,'[1]Sheet 1'!$A$2:$A$11107,'[1]Sheet 1'!$D$2:$D$11107,"",0)</f>
        <v>VSS</v>
      </c>
      <c r="D1471" s="4">
        <v>0</v>
      </c>
      <c r="F1471" s="4" t="e">
        <f>_xlfn.XLOOKUP(B1471,[2]Sheet2!$E$2:$E$713,[2]Sheet2!$G$2:$G$713)</f>
        <v>#N/A</v>
      </c>
      <c r="G1471" s="22">
        <v>46193</v>
      </c>
      <c r="H1471" s="23">
        <v>0.28748842592592594</v>
      </c>
      <c r="I1471" t="s">
        <v>10</v>
      </c>
      <c r="J1471" s="2" t="str">
        <f t="shared" si="117"/>
        <v>Q1</v>
      </c>
      <c r="K1471" s="2" t="str">
        <f t="shared" si="118"/>
        <v>Not Found</v>
      </c>
      <c r="L1471" s="1">
        <f t="shared" si="121"/>
        <v>0.31144823004794875</v>
      </c>
      <c r="M1471" s="1" t="e">
        <f t="shared" si="120"/>
        <v>#N/A</v>
      </c>
      <c r="N1471" s="2" t="str">
        <f t="shared" si="119"/>
        <v>Quadrant not assigned</v>
      </c>
      <c r="O1471">
        <v>15.9</v>
      </c>
      <c r="P1471">
        <v>0.71</v>
      </c>
      <c r="Q1471">
        <v>-1.36</v>
      </c>
      <c r="R1471">
        <v>0.18</v>
      </c>
      <c r="S1471">
        <v>0.03</v>
      </c>
      <c r="T1471">
        <v>0.31</v>
      </c>
      <c r="U1471">
        <v>-0.35</v>
      </c>
      <c r="V1471">
        <v>0.22</v>
      </c>
      <c r="W1471">
        <v>0.45</v>
      </c>
      <c r="X1471" t="s">
        <v>8</v>
      </c>
      <c r="Y1471" t="s">
        <v>9</v>
      </c>
      <c r="Z1471" s="2" t="s">
        <v>718</v>
      </c>
      <c r="AA1471" s="2" t="s">
        <v>721</v>
      </c>
    </row>
    <row r="1472" spans="1:27" x14ac:dyDescent="0.35">
      <c r="A1472" t="s">
        <v>2347</v>
      </c>
      <c r="B1472" t="s">
        <v>2552</v>
      </c>
      <c r="C1472" s="7" t="str">
        <f>_xlfn.XLOOKUP(B1472,'[1]Sheet 1'!$A$2:$A$11107,'[1]Sheet 1'!$D$2:$D$11107,"",0)</f>
        <v>CHICOS</v>
      </c>
      <c r="D1472" s="4" t="str">
        <f>_xlfn.XLOOKUP(A1472,[3]Sheet2!$I$2:$I$1623,[3]Sheet2!$D$2:$D$1623,"",0)</f>
        <v>Q4</v>
      </c>
      <c r="F1472" s="4" t="e">
        <f>_xlfn.XLOOKUP(B1472,[2]Sheet2!$E$2:$E$713,[2]Sheet2!$G$2:$G$713)</f>
        <v>#N/A</v>
      </c>
      <c r="G1472" s="22">
        <v>46193</v>
      </c>
      <c r="H1472" s="23">
        <v>0.29018518518518521</v>
      </c>
      <c r="I1472" t="s">
        <v>14</v>
      </c>
      <c r="J1472" s="2" t="str">
        <f t="shared" si="117"/>
        <v>Q2</v>
      </c>
      <c r="K1472" s="2" t="str">
        <f t="shared" si="118"/>
        <v>Not Match</v>
      </c>
      <c r="L1472" s="1">
        <f t="shared" si="121"/>
        <v>0.24083189157584589</v>
      </c>
      <c r="M1472" s="1" t="e">
        <f t="shared" si="120"/>
        <v>#N/A</v>
      </c>
      <c r="N1472" s="2" t="str">
        <f t="shared" si="119"/>
        <v>Q NOT OK dE&lt;=0.8</v>
      </c>
      <c r="O1472">
        <v>31.36</v>
      </c>
      <c r="P1472">
        <v>3.17</v>
      </c>
      <c r="Q1472">
        <v>-4.99</v>
      </c>
      <c r="R1472">
        <v>-0.25</v>
      </c>
      <c r="S1472">
        <v>-0.16</v>
      </c>
      <c r="T1472">
        <v>0.18</v>
      </c>
      <c r="U1472">
        <v>-0.24</v>
      </c>
      <c r="V1472">
        <v>-0.06</v>
      </c>
      <c r="W1472">
        <v>0.34</v>
      </c>
      <c r="X1472" t="s">
        <v>8</v>
      </c>
      <c r="Y1472" t="s">
        <v>7</v>
      </c>
      <c r="Z1472" s="2" t="s">
        <v>718</v>
      </c>
      <c r="AA1472" s="2" t="s">
        <v>721</v>
      </c>
    </row>
    <row r="1473" spans="1:27" x14ac:dyDescent="0.35">
      <c r="A1473" t="s">
        <v>1626</v>
      </c>
      <c r="B1473" t="s">
        <v>2553</v>
      </c>
      <c r="C1473" s="7" t="str">
        <f>_xlfn.XLOOKUP(B1473,'[1]Sheet 1'!$A$2:$A$11107,'[1]Sheet 1'!$D$2:$D$11107,"",0)</f>
        <v>VSS</v>
      </c>
      <c r="D1473" s="4" t="str">
        <f>_xlfn.XLOOKUP(A1473,[3]Sheet2!$I$2:$I$1623,[3]Sheet2!$D$2:$D$1623,"",0)</f>
        <v>Q4</v>
      </c>
      <c r="F1473" s="4" t="e">
        <f>_xlfn.XLOOKUP(B1473,[2]Sheet2!$E$2:$E$713,[2]Sheet2!$G$2:$G$713)</f>
        <v>#N/A</v>
      </c>
      <c r="G1473" s="22">
        <v>46193</v>
      </c>
      <c r="H1473" s="23">
        <v>0.32901620370370371</v>
      </c>
      <c r="I1473" t="s">
        <v>10</v>
      </c>
      <c r="J1473" s="2" t="str">
        <f t="shared" si="117"/>
        <v>Q3</v>
      </c>
      <c r="K1473" s="2" t="str">
        <f t="shared" si="118"/>
        <v>Not Match</v>
      </c>
      <c r="L1473" s="1">
        <f t="shared" si="121"/>
        <v>0.3748332962798262</v>
      </c>
      <c r="M1473" s="1" t="e">
        <f t="shared" si="120"/>
        <v>#N/A</v>
      </c>
      <c r="N1473" s="2" t="str">
        <f t="shared" si="119"/>
        <v>Q NOT OK dE&lt;=0.8</v>
      </c>
      <c r="O1473">
        <v>15.58</v>
      </c>
      <c r="P1473">
        <v>0.23</v>
      </c>
      <c r="Q1473">
        <v>-1.65</v>
      </c>
      <c r="R1473">
        <v>0</v>
      </c>
      <c r="S1473">
        <v>-0.37</v>
      </c>
      <c r="T1473">
        <v>-0.06</v>
      </c>
      <c r="U1473">
        <v>-0.04</v>
      </c>
      <c r="V1473">
        <v>-0.51</v>
      </c>
      <c r="W1473">
        <v>0.51</v>
      </c>
      <c r="X1473" t="s">
        <v>8</v>
      </c>
      <c r="Y1473" t="s">
        <v>15</v>
      </c>
      <c r="Z1473" s="2" t="s">
        <v>718</v>
      </c>
      <c r="AA1473" s="2" t="s">
        <v>721</v>
      </c>
    </row>
    <row r="1474" spans="1:27" x14ac:dyDescent="0.35">
      <c r="A1474" t="s">
        <v>1626</v>
      </c>
      <c r="B1474" t="s">
        <v>2554</v>
      </c>
      <c r="C1474" s="7" t="str">
        <f>_xlfn.XLOOKUP(B1474,'[1]Sheet 1'!$A$2:$A$11107,'[1]Sheet 1'!$D$2:$D$11107,"",0)</f>
        <v>VSS</v>
      </c>
      <c r="D1474" s="4" t="str">
        <f>_xlfn.XLOOKUP(A1474,[3]Sheet2!$I$2:$I$1623,[3]Sheet2!$D$2:$D$1623,"",0)</f>
        <v>Q4</v>
      </c>
      <c r="F1474" s="4" t="e">
        <f>_xlfn.XLOOKUP(B1474,[2]Sheet2!$E$2:$E$713,[2]Sheet2!$G$2:$G$713)</f>
        <v>#N/A</v>
      </c>
      <c r="G1474" s="22">
        <v>46193</v>
      </c>
      <c r="H1474" s="23">
        <v>0.33655092592592595</v>
      </c>
      <c r="I1474" t="s">
        <v>4</v>
      </c>
      <c r="J1474" s="2" t="str">
        <f t="shared" si="117"/>
        <v>Q2</v>
      </c>
      <c r="K1474" s="2" t="str">
        <f t="shared" si="118"/>
        <v>Not Match</v>
      </c>
      <c r="L1474" s="1">
        <f t="shared" si="121"/>
        <v>0.31780497164141408</v>
      </c>
      <c r="M1474" s="1" t="e">
        <f t="shared" si="120"/>
        <v>#N/A</v>
      </c>
      <c r="N1474" s="2" t="str">
        <f t="shared" si="119"/>
        <v>Q NOT OK dE&lt;=0.8</v>
      </c>
      <c r="O1474">
        <v>15.56</v>
      </c>
      <c r="P1474">
        <v>-0.4</v>
      </c>
      <c r="Q1474">
        <v>-1.43</v>
      </c>
      <c r="R1474">
        <v>-0.1</v>
      </c>
      <c r="S1474">
        <v>-0.31</v>
      </c>
      <c r="T1474">
        <v>7.0000000000000007E-2</v>
      </c>
      <c r="U1474">
        <v>-0.02</v>
      </c>
      <c r="V1474">
        <v>-0.44</v>
      </c>
      <c r="W1474">
        <v>0.46</v>
      </c>
      <c r="X1474" t="s">
        <v>8</v>
      </c>
      <c r="Y1474" t="s">
        <v>15</v>
      </c>
      <c r="Z1474" s="2" t="s">
        <v>718</v>
      </c>
      <c r="AA1474" s="2" t="s">
        <v>721</v>
      </c>
    </row>
    <row r="1475" spans="1:27" x14ac:dyDescent="0.35">
      <c r="A1475" t="s">
        <v>2476</v>
      </c>
      <c r="B1475" t="s">
        <v>2555</v>
      </c>
      <c r="C1475" s="7" t="str">
        <f>_xlfn.XLOOKUP(B1475,'[1]Sheet 1'!$A$2:$A$11107,'[1]Sheet 1'!$D$2:$D$11107,"",0)</f>
        <v>LBI</v>
      </c>
      <c r="D1475" s="4" t="str">
        <f>_xlfn.XLOOKUP(A1475,[3]Sheet2!$I$2:$I$1623,[3]Sheet2!$D$2:$D$1623,"",0)</f>
        <v>Q1</v>
      </c>
      <c r="F1475" s="4" t="e">
        <f>_xlfn.XLOOKUP(B1475,[2]Sheet2!$E$2:$E$713,[2]Sheet2!$G$2:$G$713)</f>
        <v>#N/A</v>
      </c>
      <c r="G1475" s="22">
        <v>46193</v>
      </c>
      <c r="H1475" s="23">
        <v>0.41864583333333333</v>
      </c>
      <c r="I1475" t="s">
        <v>14</v>
      </c>
      <c r="J1475" s="2" t="str">
        <f t="shared" si="117"/>
        <v>Q2</v>
      </c>
      <c r="K1475" s="2" t="str">
        <f t="shared" si="118"/>
        <v>Not Match</v>
      </c>
      <c r="L1475" s="1">
        <f t="shared" si="121"/>
        <v>1.9382982226685346</v>
      </c>
      <c r="M1475" s="1" t="e">
        <f t="shared" si="120"/>
        <v>#N/A</v>
      </c>
      <c r="N1475" s="2" t="str">
        <f t="shared" si="119"/>
        <v>Q NOT OK dE&gt;0.8</v>
      </c>
      <c r="O1475">
        <v>21.21</v>
      </c>
      <c r="P1475">
        <v>16.89</v>
      </c>
      <c r="Q1475">
        <v>-6.47</v>
      </c>
      <c r="R1475">
        <v>-1.31</v>
      </c>
      <c r="S1475">
        <v>-0.33</v>
      </c>
      <c r="T1475">
        <v>1.91</v>
      </c>
      <c r="U1475">
        <v>-0.66</v>
      </c>
      <c r="V1475">
        <v>1.4</v>
      </c>
      <c r="W1475">
        <v>2.02</v>
      </c>
      <c r="X1475" t="s">
        <v>6</v>
      </c>
      <c r="Y1475" t="s">
        <v>9</v>
      </c>
      <c r="Z1475" s="2" t="s">
        <v>718</v>
      </c>
      <c r="AA1475" s="2" t="s">
        <v>721</v>
      </c>
    </row>
    <row r="1476" spans="1:27" x14ac:dyDescent="0.35">
      <c r="A1476" t="s">
        <v>2337</v>
      </c>
      <c r="B1476" t="s">
        <v>2556</v>
      </c>
      <c r="C1476" s="7" t="str">
        <f>_xlfn.XLOOKUP(B1476,'[1]Sheet 1'!$A$2:$A$11107,'[1]Sheet 1'!$D$2:$D$11107,"",0)</f>
        <v>VSS</v>
      </c>
      <c r="D1476" s="4" t="str">
        <f>_xlfn.XLOOKUP(A1476,[3]Sheet2!$I$2:$I$1623,[3]Sheet2!$D$2:$D$1623,"",0)</f>
        <v>Q3</v>
      </c>
      <c r="F1476" s="4" t="e">
        <f>_xlfn.XLOOKUP(B1476,[2]Sheet2!$E$2:$E$713,[2]Sheet2!$G$2:$G$713)</f>
        <v>#N/A</v>
      </c>
      <c r="G1476" s="22">
        <v>46193</v>
      </c>
      <c r="H1476" s="23">
        <v>0.4916550925925926</v>
      </c>
      <c r="I1476" t="s">
        <v>10</v>
      </c>
      <c r="J1476" s="2" t="str">
        <f t="shared" si="117"/>
        <v>Q3</v>
      </c>
      <c r="K1476" s="2" t="str">
        <f t="shared" si="118"/>
        <v>Match</v>
      </c>
      <c r="L1476" s="1">
        <f t="shared" si="121"/>
        <v>0.25238858928247926</v>
      </c>
      <c r="M1476" s="1" t="e">
        <f t="shared" si="120"/>
        <v>#N/A</v>
      </c>
      <c r="N1476" s="2" t="str">
        <f t="shared" si="119"/>
        <v>Q OK dE&lt;=0.8</v>
      </c>
      <c r="O1476">
        <v>20.78</v>
      </c>
      <c r="P1476">
        <v>0.46</v>
      </c>
      <c r="Q1476">
        <v>-1.05</v>
      </c>
      <c r="R1476">
        <v>0.17</v>
      </c>
      <c r="S1476">
        <v>-0.21</v>
      </c>
      <c r="T1476">
        <v>-0.14000000000000001</v>
      </c>
      <c r="U1476">
        <v>0.02</v>
      </c>
      <c r="V1476">
        <v>-0.37</v>
      </c>
      <c r="W1476">
        <v>0.4</v>
      </c>
      <c r="X1476" t="s">
        <v>8</v>
      </c>
      <c r="Y1476" t="s">
        <v>7</v>
      </c>
      <c r="Z1476" s="2" t="s">
        <v>718</v>
      </c>
      <c r="AA1476" s="2" t="s">
        <v>721</v>
      </c>
    </row>
    <row r="1477" spans="1:27" x14ac:dyDescent="0.35">
      <c r="A1477" t="s">
        <v>2245</v>
      </c>
      <c r="B1477" t="s">
        <v>2557</v>
      </c>
      <c r="C1477" s="7" t="str">
        <f>_xlfn.XLOOKUP(B1477,'[1]Sheet 1'!$A$2:$A$11107,'[1]Sheet 1'!$D$2:$D$11107,"",0)</f>
        <v/>
      </c>
      <c r="D1477" s="4" t="str">
        <f>_xlfn.XLOOKUP(A1477,[3]Sheet2!$I$2:$I$1623,[3]Sheet2!$D$2:$D$1623,"",0)</f>
        <v>Q1</v>
      </c>
      <c r="F1477" s="4" t="e">
        <f>_xlfn.XLOOKUP(B1477,[2]Sheet2!$E$2:$E$713,[2]Sheet2!$G$2:$G$713)</f>
        <v>#N/A</v>
      </c>
      <c r="G1477" s="22">
        <v>46193</v>
      </c>
      <c r="H1477" s="23">
        <v>0.49417824074074074</v>
      </c>
      <c r="I1477" t="s">
        <v>10</v>
      </c>
      <c r="J1477" s="2" t="str">
        <f t="shared" si="117"/>
        <v>Q1</v>
      </c>
      <c r="K1477" s="2" t="str">
        <f t="shared" si="118"/>
        <v>Match</v>
      </c>
      <c r="L1477" s="1">
        <f t="shared" si="121"/>
        <v>0.3255764119219941</v>
      </c>
      <c r="M1477" s="1" t="e">
        <f t="shared" si="120"/>
        <v>#N/A</v>
      </c>
      <c r="N1477" s="2" t="str">
        <f t="shared" si="119"/>
        <v>Q OK dE&gt;0.8</v>
      </c>
      <c r="O1477">
        <v>36.82</v>
      </c>
      <c r="P1477">
        <v>19.78</v>
      </c>
      <c r="Q1477">
        <v>8.0399999999999991</v>
      </c>
      <c r="R1477">
        <v>-1.08</v>
      </c>
      <c r="S1477">
        <v>0.24</v>
      </c>
      <c r="T1477">
        <v>0.22</v>
      </c>
      <c r="U1477">
        <v>0.18</v>
      </c>
      <c r="V1477">
        <v>0.11</v>
      </c>
      <c r="W1477">
        <v>1.1000000000000001</v>
      </c>
      <c r="X1477" t="s">
        <v>6</v>
      </c>
      <c r="Y1477" t="s">
        <v>12</v>
      </c>
      <c r="Z1477" s="2" t="s">
        <v>718</v>
      </c>
      <c r="AA1477" s="2" t="s">
        <v>721</v>
      </c>
    </row>
    <row r="1478" spans="1:27" x14ac:dyDescent="0.35">
      <c r="A1478" t="s">
        <v>2282</v>
      </c>
      <c r="B1478" t="s">
        <v>2517</v>
      </c>
      <c r="C1478" s="7" t="str">
        <f>_xlfn.XLOOKUP(B1478,'[1]Sheet 1'!$A$2:$A$11107,'[1]Sheet 1'!$D$2:$D$11107,"",0)</f>
        <v>LBI</v>
      </c>
      <c r="D1478" s="4" t="str">
        <f>_xlfn.XLOOKUP(A1478,[3]Sheet2!$I$2:$I$1623,[3]Sheet2!$D$2:$D$1623,"",0)</f>
        <v>Q4</v>
      </c>
      <c r="F1478" s="4" t="e">
        <f>_xlfn.XLOOKUP(B1478,[2]Sheet2!$E$2:$E$713,[2]Sheet2!$G$2:$G$713)</f>
        <v>#N/A</v>
      </c>
      <c r="G1478" s="22">
        <v>46193</v>
      </c>
      <c r="H1478" s="23">
        <v>0.50032407407407409</v>
      </c>
      <c r="I1478" t="s">
        <v>14</v>
      </c>
      <c r="J1478" s="2" t="str">
        <f t="shared" ref="J1478:J1541" si="122">IF(OR(S1478=0,T1478=0),D1478,IF(AND(S1478&gt;0,T1478&gt;0),"Q1",IF(AND(S1478&lt;0,T1478&gt;0),"Q2",IF(AND(S1478&lt;0,T1478&lt;0),"Q3",IF(AND(S1478&gt;0,T1478&lt;0),"Q4","")))))</f>
        <v>Q2</v>
      </c>
      <c r="K1478" s="2" t="str">
        <f t="shared" ref="K1478:K1541" si="123">IF(J1478=D1478,"Match",IF(AND(J1478=0,D1478="Match"),"da and db 0",IF(D1478=0,"Not Found","Not Match")))</f>
        <v>Not Match</v>
      </c>
      <c r="L1478" s="1">
        <f t="shared" si="121"/>
        <v>0.43011626335213132</v>
      </c>
      <c r="M1478" s="1" t="e">
        <f t="shared" si="120"/>
        <v>#N/A</v>
      </c>
      <c r="N1478" s="2" t="str">
        <f t="shared" ref="N1478:N1541" si="124">IF(D1478=0,"Quadrant not assigned",IF(AND(K1478="Match",W1478&lt;=0.8),"Q OK dE&lt;=0.8",IF(AND(K1478="Match",W1478&gt;0.8),"Q OK dE&gt;0.8",IF(AND(K1478="Not Match",W1478&lt;=0.8),"Q NOT OK dE&lt;=0.8","Q NOT OK dE&gt;0.8"))))</f>
        <v>Q NOT OK dE&lt;=0.8</v>
      </c>
      <c r="O1478">
        <v>22.02</v>
      </c>
      <c r="P1478">
        <v>16.98</v>
      </c>
      <c r="Q1478">
        <v>-6.18</v>
      </c>
      <c r="R1478">
        <v>0.05</v>
      </c>
      <c r="S1478">
        <v>-0.43</v>
      </c>
      <c r="T1478">
        <v>0.01</v>
      </c>
      <c r="U1478">
        <v>-0.26</v>
      </c>
      <c r="V1478">
        <v>-0.12</v>
      </c>
      <c r="W1478">
        <v>0.28999999999999998</v>
      </c>
      <c r="X1478" t="s">
        <v>8</v>
      </c>
      <c r="Y1478" t="s">
        <v>7</v>
      </c>
      <c r="Z1478" s="2" t="s">
        <v>718</v>
      </c>
      <c r="AA1478" s="2" t="s">
        <v>721</v>
      </c>
    </row>
    <row r="1479" spans="1:27" x14ac:dyDescent="0.35">
      <c r="A1479" t="s">
        <v>1773</v>
      </c>
      <c r="B1479" t="s">
        <v>2558</v>
      </c>
      <c r="C1479" s="7" t="str">
        <f>_xlfn.XLOOKUP(B1479,'[1]Sheet 1'!$A$2:$A$11107,'[1]Sheet 1'!$D$2:$D$11107,"",0)</f>
        <v>NKSKI</v>
      </c>
      <c r="D1479" s="4" t="str">
        <f>_xlfn.XLOOKUP(A1479,[3]Sheet2!$I$2:$I$1623,[3]Sheet2!$D$2:$D$1623,"",0)</f>
        <v>Q3</v>
      </c>
      <c r="F1479" s="4" t="e">
        <f>_xlfn.XLOOKUP(B1479,[2]Sheet2!$E$2:$E$713,[2]Sheet2!$G$2:$G$713)</f>
        <v>#N/A</v>
      </c>
      <c r="G1479" s="22">
        <v>46193</v>
      </c>
      <c r="H1479" s="23">
        <v>0.52682870370370372</v>
      </c>
      <c r="I1479" t="s">
        <v>4</v>
      </c>
      <c r="J1479" s="2" t="str">
        <f t="shared" si="122"/>
        <v>Q2</v>
      </c>
      <c r="K1479" s="2" t="str">
        <f t="shared" si="123"/>
        <v>Not Match</v>
      </c>
      <c r="L1479" s="1">
        <f t="shared" si="121"/>
        <v>0.41436698710201325</v>
      </c>
      <c r="M1479" s="1" t="e">
        <f t="shared" si="120"/>
        <v>#N/A</v>
      </c>
      <c r="N1479" s="2" t="str">
        <f t="shared" si="124"/>
        <v>Q NOT OK dE&gt;0.8</v>
      </c>
      <c r="O1479">
        <v>16.29</v>
      </c>
      <c r="P1479">
        <v>-1.29</v>
      </c>
      <c r="Q1479">
        <v>-2.25</v>
      </c>
      <c r="R1479">
        <v>-0.62</v>
      </c>
      <c r="S1479">
        <v>-0.14000000000000001</v>
      </c>
      <c r="T1479">
        <v>0.39</v>
      </c>
      <c r="U1479">
        <v>-0.35</v>
      </c>
      <c r="V1479">
        <v>-0.39</v>
      </c>
      <c r="W1479">
        <v>0.81</v>
      </c>
      <c r="X1479" t="s">
        <v>13</v>
      </c>
      <c r="Y1479" t="s">
        <v>15</v>
      </c>
      <c r="Z1479" s="2" t="s">
        <v>718</v>
      </c>
      <c r="AA1479" s="2" t="s">
        <v>721</v>
      </c>
    </row>
    <row r="1480" spans="1:27" x14ac:dyDescent="0.35">
      <c r="A1480" t="s">
        <v>1626</v>
      </c>
      <c r="B1480" t="s">
        <v>2559</v>
      </c>
      <c r="C1480" s="7" t="str">
        <f>_xlfn.XLOOKUP(B1480,'[1]Sheet 1'!$A$2:$A$11107,'[1]Sheet 1'!$D$2:$D$11107,"",0)</f>
        <v>VSS</v>
      </c>
      <c r="D1480" s="4" t="str">
        <f>_xlfn.XLOOKUP(A1480,[3]Sheet2!$I$2:$I$1623,[3]Sheet2!$D$2:$D$1623,"",0)</f>
        <v>Q4</v>
      </c>
      <c r="F1480" s="4" t="e">
        <f>_xlfn.XLOOKUP(B1480,[2]Sheet2!$E$2:$E$713,[2]Sheet2!$G$2:$G$713)</f>
        <v>#N/A</v>
      </c>
      <c r="G1480" s="22">
        <v>46193</v>
      </c>
      <c r="H1480" s="23">
        <v>0.57974537037037033</v>
      </c>
      <c r="I1480" t="s">
        <v>10</v>
      </c>
      <c r="J1480" s="2" t="str">
        <f t="shared" si="122"/>
        <v>Q2</v>
      </c>
      <c r="K1480" s="2" t="str">
        <f t="shared" si="123"/>
        <v>Not Match</v>
      </c>
      <c r="L1480" s="1">
        <f t="shared" si="121"/>
        <v>0.3920459156782532</v>
      </c>
      <c r="M1480" s="1" t="e">
        <f t="shared" si="120"/>
        <v>#N/A</v>
      </c>
      <c r="N1480" s="2" t="str">
        <f t="shared" si="124"/>
        <v>Q NOT OK dE&lt;=0.8</v>
      </c>
      <c r="O1480">
        <v>15.63</v>
      </c>
      <c r="P1480">
        <v>0.21</v>
      </c>
      <c r="Q1480">
        <v>-1.55</v>
      </c>
      <c r="R1480">
        <v>0.06</v>
      </c>
      <c r="S1480">
        <v>-0.39</v>
      </c>
      <c r="T1480">
        <v>0.04</v>
      </c>
      <c r="U1480">
        <v>-0.18</v>
      </c>
      <c r="V1480">
        <v>-0.5</v>
      </c>
      <c r="W1480">
        <v>0.54</v>
      </c>
      <c r="X1480" t="s">
        <v>8</v>
      </c>
      <c r="Y1480" t="s">
        <v>15</v>
      </c>
      <c r="Z1480" s="2" t="s">
        <v>718</v>
      </c>
      <c r="AA1480" s="2" t="s">
        <v>721</v>
      </c>
    </row>
    <row r="1481" spans="1:27" x14ac:dyDescent="0.35">
      <c r="A1481" t="s">
        <v>1626</v>
      </c>
      <c r="B1481" t="s">
        <v>2560</v>
      </c>
      <c r="C1481" s="7" t="str">
        <f>_xlfn.XLOOKUP(B1481,'[1]Sheet 1'!$A$2:$A$11107,'[1]Sheet 1'!$D$2:$D$11107,"",0)</f>
        <v>VSS</v>
      </c>
      <c r="D1481" s="4" t="str">
        <f>_xlfn.XLOOKUP(A1481,[3]Sheet2!$I$2:$I$1623,[3]Sheet2!$D$2:$D$1623,"",0)</f>
        <v>Q4</v>
      </c>
      <c r="F1481" s="4" t="e">
        <f>_xlfn.XLOOKUP(B1481,[2]Sheet2!$E$2:$E$713,[2]Sheet2!$G$2:$G$713)</f>
        <v>#N/A</v>
      </c>
      <c r="G1481" s="22">
        <v>46193</v>
      </c>
      <c r="H1481" s="23">
        <v>0.59027777777777779</v>
      </c>
      <c r="I1481" t="s">
        <v>10</v>
      </c>
      <c r="J1481" s="2" t="str">
        <f t="shared" si="122"/>
        <v>Q2</v>
      </c>
      <c r="K1481" s="2" t="str">
        <f t="shared" si="123"/>
        <v>Not Match</v>
      </c>
      <c r="L1481" s="1">
        <f t="shared" si="121"/>
        <v>0.31016124838541642</v>
      </c>
      <c r="M1481" s="1" t="e">
        <f t="shared" si="120"/>
        <v>#N/A</v>
      </c>
      <c r="N1481" s="2" t="str">
        <f t="shared" si="124"/>
        <v>Q NOT OK dE&lt;=0.8</v>
      </c>
      <c r="O1481">
        <v>15.15</v>
      </c>
      <c r="P1481">
        <v>0.3</v>
      </c>
      <c r="Q1481">
        <v>-1.48</v>
      </c>
      <c r="R1481">
        <v>-0.42</v>
      </c>
      <c r="S1481">
        <v>-0.28999999999999998</v>
      </c>
      <c r="T1481">
        <v>0.11</v>
      </c>
      <c r="U1481">
        <v>-0.26</v>
      </c>
      <c r="V1481">
        <v>-0.34</v>
      </c>
      <c r="W1481">
        <v>0.6</v>
      </c>
      <c r="X1481" t="s">
        <v>8</v>
      </c>
      <c r="Y1481" t="s">
        <v>15</v>
      </c>
      <c r="Z1481" s="2" t="s">
        <v>718</v>
      </c>
      <c r="AA1481" s="2" t="s">
        <v>721</v>
      </c>
    </row>
    <row r="1482" spans="1:27" x14ac:dyDescent="0.35">
      <c r="A1482" t="s">
        <v>1817</v>
      </c>
      <c r="B1482" t="s">
        <v>2561</v>
      </c>
      <c r="C1482" s="7" t="str">
        <f>_xlfn.XLOOKUP(B1482,'[1]Sheet 1'!$A$2:$A$11107,'[1]Sheet 1'!$D$2:$D$11107,"",0)</f>
        <v>LULU</v>
      </c>
      <c r="D1482" s="4" t="str">
        <f>_xlfn.XLOOKUP(A1482,[3]Sheet2!$I$2:$I$1623,[3]Sheet2!$D$2:$D$1623,"",0)</f>
        <v>Q3</v>
      </c>
      <c r="F1482" s="4" t="e">
        <f>_xlfn.XLOOKUP(B1482,[2]Sheet2!$E$2:$E$713,[2]Sheet2!$G$2:$G$713)</f>
        <v>#N/A</v>
      </c>
      <c r="G1482" s="22">
        <v>46193</v>
      </c>
      <c r="H1482" s="23">
        <v>0.60730324074074071</v>
      </c>
      <c r="I1482" t="s">
        <v>4</v>
      </c>
      <c r="J1482" s="2" t="str">
        <f t="shared" si="122"/>
        <v>Q1</v>
      </c>
      <c r="K1482" s="2" t="str">
        <f t="shared" si="123"/>
        <v>Not Match</v>
      </c>
      <c r="L1482" s="1">
        <f t="shared" si="121"/>
        <v>0.67357256476195648</v>
      </c>
      <c r="M1482" s="1" t="e">
        <f t="shared" si="120"/>
        <v>#N/A</v>
      </c>
      <c r="N1482" s="2" t="str">
        <f t="shared" si="124"/>
        <v>Q NOT OK dE&lt;=0.8</v>
      </c>
      <c r="O1482">
        <v>32.01</v>
      </c>
      <c r="P1482">
        <v>46.12</v>
      </c>
      <c r="Q1482">
        <v>19.350000000000001</v>
      </c>
      <c r="R1482">
        <v>0.43</v>
      </c>
      <c r="S1482">
        <v>0.51</v>
      </c>
      <c r="T1482">
        <v>0.44</v>
      </c>
      <c r="U1482">
        <v>0.25</v>
      </c>
      <c r="V1482">
        <v>0.14000000000000001</v>
      </c>
      <c r="W1482">
        <v>0.51</v>
      </c>
      <c r="X1482" t="s">
        <v>8</v>
      </c>
      <c r="Y1482" t="s">
        <v>12</v>
      </c>
      <c r="Z1482" s="2" t="s">
        <v>718</v>
      </c>
      <c r="AA1482" s="2" t="s">
        <v>721</v>
      </c>
    </row>
    <row r="1483" spans="1:27" x14ac:dyDescent="0.35">
      <c r="A1483" t="s">
        <v>1598</v>
      </c>
      <c r="B1483" t="s">
        <v>2562</v>
      </c>
      <c r="C1483" s="7" t="str">
        <f>_xlfn.XLOOKUP(B1483,'[1]Sheet 1'!$A$2:$A$11107,'[1]Sheet 1'!$D$2:$D$11107,"",0)</f>
        <v>LULU</v>
      </c>
      <c r="D1483" s="4" t="str">
        <f>_xlfn.XLOOKUP(A1483,[3]Sheet2!$I$2:$I$1623,[3]Sheet2!$D$2:$D$1623,"",0)</f>
        <v>Q3</v>
      </c>
      <c r="F1483" s="4" t="e">
        <f>_xlfn.XLOOKUP(B1483,[2]Sheet2!$E$2:$E$713,[2]Sheet2!$G$2:$G$713)</f>
        <v>#N/A</v>
      </c>
      <c r="G1483" s="22">
        <v>46193</v>
      </c>
      <c r="H1483" s="23">
        <v>0.63059027777777776</v>
      </c>
      <c r="I1483" t="s">
        <v>4</v>
      </c>
      <c r="J1483" s="2" t="str">
        <f t="shared" si="122"/>
        <v>Q3</v>
      </c>
      <c r="K1483" s="2" t="str">
        <f t="shared" si="123"/>
        <v>Match</v>
      </c>
      <c r="L1483" s="1">
        <f t="shared" si="121"/>
        <v>0.94191294714532936</v>
      </c>
      <c r="M1483" s="1" t="e">
        <f t="shared" si="120"/>
        <v>#N/A</v>
      </c>
      <c r="N1483" s="2" t="str">
        <f t="shared" si="124"/>
        <v>Q OK dE&lt;=0.8</v>
      </c>
      <c r="O1483">
        <v>22.62</v>
      </c>
      <c r="P1483">
        <v>-7.93</v>
      </c>
      <c r="Q1483">
        <v>-12.67</v>
      </c>
      <c r="R1483">
        <v>-0.03</v>
      </c>
      <c r="S1483">
        <v>-0.06</v>
      </c>
      <c r="T1483">
        <v>-0.94</v>
      </c>
      <c r="U1483">
        <v>0.59</v>
      </c>
      <c r="V1483">
        <v>0.47</v>
      </c>
      <c r="W1483">
        <v>0.75</v>
      </c>
      <c r="X1483" t="s">
        <v>13</v>
      </c>
      <c r="Y1483" t="s">
        <v>9</v>
      </c>
      <c r="Z1483" s="2" t="s">
        <v>718</v>
      </c>
      <c r="AA1483" s="2" t="s">
        <v>721</v>
      </c>
    </row>
    <row r="1484" spans="1:27" x14ac:dyDescent="0.35">
      <c r="A1484" t="s">
        <v>2563</v>
      </c>
      <c r="B1484" t="s">
        <v>2564</v>
      </c>
      <c r="C1484" s="7" t="str">
        <f>_xlfn.XLOOKUP(B1484,'[1]Sheet 1'!$A$2:$A$11107,'[1]Sheet 1'!$D$2:$D$11107,"",0)</f>
        <v>VSS</v>
      </c>
      <c r="D1484" s="4" t="str">
        <f>_xlfn.XLOOKUP(A1484,[3]Sheet2!$I$2:$I$1623,[3]Sheet2!$D$2:$D$1623,"",0)</f>
        <v>Q3</v>
      </c>
      <c r="F1484" s="4" t="e">
        <f>_xlfn.XLOOKUP(B1484,[2]Sheet2!$E$2:$E$713,[2]Sheet2!$G$2:$G$713)</f>
        <v>#N/A</v>
      </c>
      <c r="G1484" s="22">
        <v>46195</v>
      </c>
      <c r="H1484" s="23">
        <v>0.36728009259259259</v>
      </c>
      <c r="I1484" t="s">
        <v>10</v>
      </c>
      <c r="J1484" s="2" t="str">
        <f t="shared" si="122"/>
        <v>Q3</v>
      </c>
      <c r="K1484" s="2" t="str">
        <f t="shared" si="123"/>
        <v>Match</v>
      </c>
      <c r="L1484" s="1">
        <f t="shared" si="121"/>
        <v>0.60827625302982202</v>
      </c>
      <c r="M1484" s="1" t="e">
        <f t="shared" si="120"/>
        <v>#N/A</v>
      </c>
      <c r="N1484" s="2" t="str">
        <f t="shared" si="124"/>
        <v>Q OK dE&lt;=0.8</v>
      </c>
      <c r="O1484">
        <v>41.65</v>
      </c>
      <c r="P1484">
        <v>53.77</v>
      </c>
      <c r="Q1484">
        <v>37.85</v>
      </c>
      <c r="R1484">
        <v>-0.32</v>
      </c>
      <c r="S1484">
        <v>-0.28000000000000003</v>
      </c>
      <c r="T1484">
        <v>-0.54</v>
      </c>
      <c r="U1484">
        <v>-0.19</v>
      </c>
      <c r="V1484">
        <v>-0.19</v>
      </c>
      <c r="W1484">
        <v>0.42</v>
      </c>
      <c r="X1484" t="s">
        <v>8</v>
      </c>
      <c r="Y1484" t="s">
        <v>7</v>
      </c>
      <c r="Z1484" s="2" t="s">
        <v>718</v>
      </c>
      <c r="AA1484" s="2" t="s">
        <v>721</v>
      </c>
    </row>
    <row r="1485" spans="1:27" s="12" customFormat="1" x14ac:dyDescent="0.35">
      <c r="A1485" s="12" t="s">
        <v>1688</v>
      </c>
      <c r="B1485" s="12" t="s">
        <v>2565</v>
      </c>
      <c r="C1485" s="7" t="str">
        <f>_xlfn.XLOOKUP(B1485,'[1]Sheet 1'!$A$2:$A$11107,'[1]Sheet 1'!$D$2:$D$11107,"",0)</f>
        <v>GAP</v>
      </c>
      <c r="D1485" s="4" t="str">
        <f>_xlfn.XLOOKUP(A1485,[3]Sheet2!$I$2:$I$1623,[3]Sheet2!$D$2:$D$1623,"",0)</f>
        <v>Q4</v>
      </c>
      <c r="E1485" s="29"/>
      <c r="F1485" s="4" t="e">
        <f>_xlfn.XLOOKUP(B1485,[2]Sheet2!$E$2:$E$713,[2]Sheet2!$G$2:$G$713)</f>
        <v>#N/A</v>
      </c>
      <c r="G1485" s="30">
        <v>46195</v>
      </c>
      <c r="H1485" s="31">
        <v>0.45252314814814815</v>
      </c>
      <c r="I1485" s="12" t="s">
        <v>18</v>
      </c>
      <c r="J1485" s="2" t="str">
        <f t="shared" si="122"/>
        <v>Q3</v>
      </c>
      <c r="K1485" s="2" t="str">
        <f t="shared" si="123"/>
        <v>Not Match</v>
      </c>
      <c r="L1485" s="1">
        <f t="shared" si="121"/>
        <v>0.17691806012954134</v>
      </c>
      <c r="M1485" s="1" t="e">
        <f t="shared" si="120"/>
        <v>#N/A</v>
      </c>
      <c r="N1485" s="2" t="str">
        <f t="shared" si="124"/>
        <v>Q NOT OK dE&lt;=0.8</v>
      </c>
      <c r="O1485" s="12">
        <v>12.95</v>
      </c>
      <c r="P1485" s="12">
        <v>-0.6</v>
      </c>
      <c r="Q1485" s="12">
        <v>-2.2599999999999998</v>
      </c>
      <c r="R1485" s="12">
        <v>-0.56000000000000005</v>
      </c>
      <c r="S1485" s="12">
        <v>-0.12</v>
      </c>
      <c r="T1485" s="12">
        <v>-0.13</v>
      </c>
      <c r="U1485" s="12">
        <v>0.2</v>
      </c>
      <c r="V1485" s="12">
        <v>-0.12</v>
      </c>
      <c r="W1485" s="12">
        <v>0.61</v>
      </c>
      <c r="X1485" t="s">
        <v>8</v>
      </c>
      <c r="Y1485" t="s">
        <v>15</v>
      </c>
      <c r="Z1485" s="2" t="s">
        <v>718</v>
      </c>
      <c r="AA1485" s="2" t="s">
        <v>721</v>
      </c>
    </row>
    <row r="1486" spans="1:27" x14ac:dyDescent="0.35">
      <c r="A1486" t="s">
        <v>2566</v>
      </c>
      <c r="B1486" t="s">
        <v>2567</v>
      </c>
      <c r="C1486" s="7" t="str">
        <f>_xlfn.XLOOKUP(B1486,'[1]Sheet 1'!$A$2:$A$11107,'[1]Sheet 1'!$D$2:$D$11107,"",0)</f>
        <v>AISLE</v>
      </c>
      <c r="D1486" s="4" t="str">
        <f>_xlfn.XLOOKUP(A1486,[3]Sheet2!$I$2:$I$1623,[3]Sheet2!$D$2:$D$1623,"",0)</f>
        <v>Q1</v>
      </c>
      <c r="F1486" s="4" t="e">
        <f>_xlfn.XLOOKUP(B1486,[2]Sheet2!$E$2:$E$713,[2]Sheet2!$G$2:$G$713)</f>
        <v>#N/A</v>
      </c>
      <c r="G1486" s="22">
        <v>46195</v>
      </c>
      <c r="H1486" s="23">
        <v>0.45699074074074075</v>
      </c>
      <c r="I1486" t="s">
        <v>4</v>
      </c>
      <c r="J1486" s="2" t="str">
        <f t="shared" si="122"/>
        <v>Q1</v>
      </c>
      <c r="K1486" s="2" t="str">
        <f t="shared" si="123"/>
        <v>Match</v>
      </c>
      <c r="L1486" s="1">
        <f t="shared" si="121"/>
        <v>0.55036351623268054</v>
      </c>
      <c r="M1486" s="1" t="e">
        <f t="shared" si="120"/>
        <v>#N/A</v>
      </c>
      <c r="N1486" s="2" t="str">
        <f t="shared" si="124"/>
        <v>Q OK dE&gt;0.8</v>
      </c>
      <c r="O1486">
        <v>28.1</v>
      </c>
      <c r="P1486">
        <v>2.67</v>
      </c>
      <c r="Q1486">
        <v>-0.56000000000000005</v>
      </c>
      <c r="R1486">
        <v>-0.66</v>
      </c>
      <c r="S1486">
        <v>0.02</v>
      </c>
      <c r="T1486">
        <v>0.55000000000000004</v>
      </c>
      <c r="U1486">
        <v>-0.17</v>
      </c>
      <c r="V1486">
        <v>0.69</v>
      </c>
      <c r="W1486">
        <v>0.97</v>
      </c>
      <c r="X1486" t="s">
        <v>13</v>
      </c>
      <c r="Y1486" t="s">
        <v>9</v>
      </c>
      <c r="Z1486" s="2" t="s">
        <v>718</v>
      </c>
      <c r="AA1486" s="2" t="s">
        <v>721</v>
      </c>
    </row>
    <row r="1487" spans="1:27" x14ac:dyDescent="0.35">
      <c r="A1487" t="s">
        <v>1593</v>
      </c>
      <c r="B1487" t="s">
        <v>2568</v>
      </c>
      <c r="C1487" s="7" t="str">
        <f>_xlfn.XLOOKUP(B1487,'[1]Sheet 1'!$A$2:$A$11107,'[1]Sheet 1'!$D$2:$D$11107,"",0)</f>
        <v>LULU</v>
      </c>
      <c r="D1487" s="4" t="str">
        <f>_xlfn.XLOOKUP(A1487,[3]Sheet2!$I$2:$I$1623,[3]Sheet2!$D$2:$D$1623,"",0)</f>
        <v>Q3</v>
      </c>
      <c r="F1487" s="4" t="e">
        <f>_xlfn.XLOOKUP(B1487,[2]Sheet2!$E$2:$E$713,[2]Sheet2!$G$2:$G$713)</f>
        <v>#N/A</v>
      </c>
      <c r="G1487" s="22">
        <v>46195</v>
      </c>
      <c r="H1487" s="23">
        <v>0.50548611111111108</v>
      </c>
      <c r="I1487" t="s">
        <v>10</v>
      </c>
      <c r="J1487" s="2" t="str">
        <f t="shared" si="122"/>
        <v>Q1</v>
      </c>
      <c r="K1487" s="2" t="str">
        <f t="shared" si="123"/>
        <v>Not Match</v>
      </c>
      <c r="L1487" s="1">
        <f t="shared" si="121"/>
        <v>0.45607017003965522</v>
      </c>
      <c r="M1487" s="1" t="e">
        <f t="shared" si="120"/>
        <v>#N/A</v>
      </c>
      <c r="N1487" s="2" t="str">
        <f t="shared" si="124"/>
        <v>Q NOT OK dE&gt;0.8</v>
      </c>
      <c r="O1487">
        <v>23.35</v>
      </c>
      <c r="P1487">
        <v>5.07</v>
      </c>
      <c r="Q1487">
        <v>3.39</v>
      </c>
      <c r="R1487">
        <v>-0.91</v>
      </c>
      <c r="S1487">
        <v>0.28000000000000003</v>
      </c>
      <c r="T1487">
        <v>0.36</v>
      </c>
      <c r="U1487">
        <v>0.44</v>
      </c>
      <c r="V1487">
        <v>0.21</v>
      </c>
      <c r="W1487">
        <v>1.03</v>
      </c>
      <c r="X1487" t="s">
        <v>6</v>
      </c>
      <c r="Y1487" t="s">
        <v>12</v>
      </c>
      <c r="Z1487" s="2" t="s">
        <v>718</v>
      </c>
      <c r="AA1487" s="2" t="s">
        <v>721</v>
      </c>
    </row>
    <row r="1488" spans="1:27" x14ac:dyDescent="0.35">
      <c r="A1488" t="s">
        <v>2397</v>
      </c>
      <c r="B1488" t="s">
        <v>2569</v>
      </c>
      <c r="C1488" s="7" t="str">
        <f>_xlfn.XLOOKUP(B1488,'[1]Sheet 1'!$A$2:$A$11107,'[1]Sheet 1'!$D$2:$D$11107,"",0)</f>
        <v/>
      </c>
      <c r="D1488" s="4" t="str">
        <f>_xlfn.XLOOKUP(A1488,[3]Sheet2!$I$2:$I$1623,[3]Sheet2!$D$2:$D$1623,"",0)</f>
        <v>Q3</v>
      </c>
      <c r="F1488" s="4" t="e">
        <f>_xlfn.XLOOKUP(B1488,[2]Sheet2!$E$2:$E$713,[2]Sheet2!$G$2:$G$713)</f>
        <v>#N/A</v>
      </c>
      <c r="G1488" s="22">
        <v>46195</v>
      </c>
      <c r="H1488" s="23">
        <v>0.58462962962962961</v>
      </c>
      <c r="I1488" t="s">
        <v>10</v>
      </c>
      <c r="J1488" s="2" t="str">
        <f t="shared" si="122"/>
        <v>Q1</v>
      </c>
      <c r="K1488" s="2" t="str">
        <f t="shared" si="123"/>
        <v>Not Match</v>
      </c>
      <c r="L1488" s="1">
        <f t="shared" si="121"/>
        <v>0.60827625302982191</v>
      </c>
      <c r="M1488" s="1" t="e">
        <f t="shared" si="120"/>
        <v>#N/A</v>
      </c>
      <c r="N1488" s="2" t="str">
        <f t="shared" si="124"/>
        <v>Q NOT OK dE&lt;=0.8</v>
      </c>
      <c r="O1488">
        <v>45.55</v>
      </c>
      <c r="P1488">
        <v>58.04</v>
      </c>
      <c r="Q1488">
        <v>47.73</v>
      </c>
      <c r="R1488">
        <v>-0.73</v>
      </c>
      <c r="S1488">
        <v>0.1</v>
      </c>
      <c r="T1488">
        <v>0.6</v>
      </c>
      <c r="U1488">
        <v>0.15</v>
      </c>
      <c r="V1488">
        <v>0.28000000000000003</v>
      </c>
      <c r="W1488">
        <v>0.8</v>
      </c>
      <c r="X1488" t="s">
        <v>13</v>
      </c>
      <c r="Y1488" t="s">
        <v>12</v>
      </c>
      <c r="Z1488" s="2" t="s">
        <v>718</v>
      </c>
      <c r="AA1488" s="2" t="s">
        <v>721</v>
      </c>
    </row>
    <row r="1489" spans="1:27" x14ac:dyDescent="0.35">
      <c r="A1489" t="s">
        <v>1603</v>
      </c>
      <c r="B1489" t="s">
        <v>2570</v>
      </c>
      <c r="C1489" s="7" t="str">
        <f>_xlfn.XLOOKUP(B1489,'[1]Sheet 1'!$A$2:$A$11107,'[1]Sheet 1'!$D$2:$D$11107,"",0)</f>
        <v>INT1</v>
      </c>
      <c r="D1489" s="4" t="str">
        <f>_xlfn.XLOOKUP(A1489,[3]Sheet2!$I$2:$I$1623,[3]Sheet2!$D$2:$D$1623,"",0)</f>
        <v>Q2</v>
      </c>
      <c r="F1489" s="4" t="e">
        <f>_xlfn.XLOOKUP(B1489,[2]Sheet2!$E$2:$E$713,[2]Sheet2!$G$2:$G$713)</f>
        <v>#N/A</v>
      </c>
      <c r="G1489" s="22">
        <v>46195</v>
      </c>
      <c r="H1489" s="23">
        <v>0.61743055555555559</v>
      </c>
      <c r="I1489" t="s">
        <v>5</v>
      </c>
      <c r="J1489" s="2" t="str">
        <f t="shared" si="122"/>
        <v>Q4</v>
      </c>
      <c r="K1489" s="2" t="str">
        <f t="shared" si="123"/>
        <v>Not Match</v>
      </c>
      <c r="L1489" s="1">
        <f t="shared" si="121"/>
        <v>0.27018512172212594</v>
      </c>
      <c r="M1489" s="1" t="e">
        <f t="shared" si="120"/>
        <v>#N/A</v>
      </c>
      <c r="N1489" s="2" t="str">
        <f t="shared" si="124"/>
        <v>Q NOT OK dE&lt;=0.8</v>
      </c>
      <c r="O1489">
        <v>14.88</v>
      </c>
      <c r="P1489">
        <v>-0.24</v>
      </c>
      <c r="Q1489">
        <v>-0.95</v>
      </c>
      <c r="R1489">
        <v>-0.09</v>
      </c>
      <c r="S1489">
        <v>0.01</v>
      </c>
      <c r="T1489">
        <v>-0.27</v>
      </c>
      <c r="U1489">
        <v>0.37</v>
      </c>
      <c r="V1489">
        <v>0.14000000000000001</v>
      </c>
      <c r="W1489">
        <v>0.41</v>
      </c>
      <c r="X1489" t="s">
        <v>8</v>
      </c>
      <c r="Y1489" t="s">
        <v>9</v>
      </c>
      <c r="Z1489" s="2" t="s">
        <v>718</v>
      </c>
      <c r="AA1489" s="2" t="s">
        <v>721</v>
      </c>
    </row>
    <row r="1490" spans="1:27" x14ac:dyDescent="0.35">
      <c r="A1490" t="s">
        <v>1601</v>
      </c>
      <c r="B1490" t="s">
        <v>2571</v>
      </c>
      <c r="C1490" s="7" t="str">
        <f>_xlfn.XLOOKUP(B1490,'[1]Sheet 1'!$A$2:$A$11107,'[1]Sheet 1'!$D$2:$D$11107,"",0)</f>
        <v>INT1</v>
      </c>
      <c r="D1490" s="4" t="str">
        <f>_xlfn.XLOOKUP(A1490,[3]Sheet2!$I$2:$I$1623,[3]Sheet2!$D$2:$D$1623,"",0)</f>
        <v>Q1</v>
      </c>
      <c r="F1490" s="4" t="e">
        <f>_xlfn.XLOOKUP(B1490,[2]Sheet2!$E$2:$E$713,[2]Sheet2!$G$2:$G$713)</f>
        <v>#N/A</v>
      </c>
      <c r="G1490" s="22">
        <v>46195</v>
      </c>
      <c r="H1490" s="23">
        <v>0.67402777777777778</v>
      </c>
      <c r="I1490" t="s">
        <v>5</v>
      </c>
      <c r="J1490" s="2" t="str">
        <f t="shared" si="122"/>
        <v>Q1</v>
      </c>
      <c r="K1490" s="2" t="str">
        <f t="shared" si="123"/>
        <v>Match</v>
      </c>
      <c r="L1490" s="1">
        <f t="shared" si="121"/>
        <v>1.1141364368873319</v>
      </c>
      <c r="M1490" s="1" t="e">
        <f t="shared" si="120"/>
        <v>#N/A</v>
      </c>
      <c r="N1490" s="2" t="str">
        <f t="shared" si="124"/>
        <v>Q OK dE&gt;0.8</v>
      </c>
      <c r="O1490">
        <v>17.14</v>
      </c>
      <c r="P1490">
        <v>0.47</v>
      </c>
      <c r="Q1490">
        <v>-11.87</v>
      </c>
      <c r="R1490">
        <v>-1.27</v>
      </c>
      <c r="S1490">
        <v>0.53</v>
      </c>
      <c r="T1490">
        <v>0.98</v>
      </c>
      <c r="U1490">
        <v>-0.72</v>
      </c>
      <c r="V1490">
        <v>0.67</v>
      </c>
      <c r="W1490">
        <v>1.61</v>
      </c>
      <c r="X1490" t="s">
        <v>6</v>
      </c>
      <c r="Y1490" t="s">
        <v>9</v>
      </c>
      <c r="Z1490" s="2" t="s">
        <v>718</v>
      </c>
      <c r="AA1490" s="2" t="s">
        <v>721</v>
      </c>
    </row>
    <row r="1491" spans="1:27" x14ac:dyDescent="0.35">
      <c r="A1491" t="s">
        <v>1662</v>
      </c>
      <c r="B1491" t="s">
        <v>2572</v>
      </c>
      <c r="C1491" s="7" t="str">
        <f>_xlfn.XLOOKUP(B1491,'[1]Sheet 1'!$A$2:$A$11107,'[1]Sheet 1'!$D$2:$D$11107,"",0)</f>
        <v>CK</v>
      </c>
      <c r="D1491" s="4" t="str">
        <f>_xlfn.XLOOKUP(A1491,[3]Sheet2!$I$2:$I$1623,[3]Sheet2!$D$2:$D$1623,"",0)</f>
        <v>Q1</v>
      </c>
      <c r="F1491" s="4" t="e">
        <f>_xlfn.XLOOKUP(B1491,[2]Sheet2!$E$2:$E$713,[2]Sheet2!$G$2:$G$713)</f>
        <v>#N/A</v>
      </c>
      <c r="G1491" s="22">
        <v>46195</v>
      </c>
      <c r="H1491" s="23">
        <v>0.69686342592592587</v>
      </c>
      <c r="I1491" t="s">
        <v>11</v>
      </c>
      <c r="J1491" s="2" t="str">
        <f t="shared" si="122"/>
        <v>Q1</v>
      </c>
      <c r="K1491" s="2" t="str">
        <f t="shared" si="123"/>
        <v>Match</v>
      </c>
      <c r="L1491" s="1">
        <f t="shared" si="121"/>
        <v>0.33541019662496846</v>
      </c>
      <c r="M1491" s="1" t="e">
        <f t="shared" si="120"/>
        <v>#N/A</v>
      </c>
      <c r="N1491" s="2" t="str">
        <f t="shared" si="124"/>
        <v>Q OK dE&lt;=0.8</v>
      </c>
      <c r="O1491">
        <v>16.37</v>
      </c>
      <c r="P1491">
        <v>-1.08</v>
      </c>
      <c r="Q1491">
        <v>-2.63</v>
      </c>
      <c r="R1491">
        <v>-0.55000000000000004</v>
      </c>
      <c r="S1491">
        <v>0.33</v>
      </c>
      <c r="T1491">
        <v>0.06</v>
      </c>
      <c r="U1491">
        <v>-0.23</v>
      </c>
      <c r="V1491">
        <v>0.35</v>
      </c>
      <c r="W1491">
        <v>0.69</v>
      </c>
      <c r="X1491" t="s">
        <v>8</v>
      </c>
      <c r="Y1491" t="s">
        <v>9</v>
      </c>
      <c r="Z1491" s="2" t="s">
        <v>718</v>
      </c>
      <c r="AA1491" s="2" t="s">
        <v>721</v>
      </c>
    </row>
    <row r="1492" spans="1:27" x14ac:dyDescent="0.35">
      <c r="A1492" t="s">
        <v>1626</v>
      </c>
      <c r="B1492" t="s">
        <v>2573</v>
      </c>
      <c r="C1492" s="7" t="str">
        <f>_xlfn.XLOOKUP(B1492,'[1]Sheet 1'!$A$2:$A$11107,'[1]Sheet 1'!$D$2:$D$11107,"",0)</f>
        <v>VSS</v>
      </c>
      <c r="D1492" s="4" t="str">
        <f>_xlfn.XLOOKUP(A1492,[3]Sheet2!$I$2:$I$1623,[3]Sheet2!$D$2:$D$1623,"",0)</f>
        <v>Q4</v>
      </c>
      <c r="F1492" s="4" t="e">
        <f>_xlfn.XLOOKUP(B1492,[2]Sheet2!$E$2:$E$713,[2]Sheet2!$G$2:$G$713)</f>
        <v>#N/A</v>
      </c>
      <c r="G1492" s="22">
        <v>46195</v>
      </c>
      <c r="H1492" s="23">
        <v>0.6983449074074074</v>
      </c>
      <c r="I1492" t="s">
        <v>10</v>
      </c>
      <c r="J1492" s="2" t="str">
        <f t="shared" si="122"/>
        <v>Q2</v>
      </c>
      <c r="K1492" s="2" t="str">
        <f t="shared" si="123"/>
        <v>Not Match</v>
      </c>
      <c r="L1492" s="1">
        <f t="shared" si="121"/>
        <v>0.35355339059327379</v>
      </c>
      <c r="M1492" s="1" t="e">
        <f t="shared" si="120"/>
        <v>#N/A</v>
      </c>
      <c r="N1492" s="2" t="str">
        <f t="shared" si="124"/>
        <v>Q NOT OK dE&lt;=0.8</v>
      </c>
      <c r="O1492">
        <v>15.61</v>
      </c>
      <c r="P1492">
        <v>0.28999999999999998</v>
      </c>
      <c r="Q1492">
        <v>-1.42</v>
      </c>
      <c r="R1492">
        <v>0.03</v>
      </c>
      <c r="S1492">
        <v>-0.31</v>
      </c>
      <c r="T1492">
        <v>0.17</v>
      </c>
      <c r="U1492">
        <v>-0.34</v>
      </c>
      <c r="V1492">
        <v>-0.35</v>
      </c>
      <c r="W1492">
        <v>0.48</v>
      </c>
      <c r="X1492" t="s">
        <v>8</v>
      </c>
      <c r="Y1492" t="s">
        <v>15</v>
      </c>
      <c r="Z1492" s="2" t="s">
        <v>718</v>
      </c>
      <c r="AA1492" s="2" t="s">
        <v>721</v>
      </c>
    </row>
    <row r="1493" spans="1:27" x14ac:dyDescent="0.35">
      <c r="A1493" t="s">
        <v>1626</v>
      </c>
      <c r="B1493" t="s">
        <v>2574</v>
      </c>
      <c r="C1493" s="7" t="str">
        <f>_xlfn.XLOOKUP(B1493,'[1]Sheet 1'!$A$2:$A$11107,'[1]Sheet 1'!$D$2:$D$11107,"",0)</f>
        <v>VSS</v>
      </c>
      <c r="D1493" s="4" t="str">
        <f>_xlfn.XLOOKUP(A1493,[3]Sheet2!$I$2:$I$1623,[3]Sheet2!$D$2:$D$1623,"",0)</f>
        <v>Q4</v>
      </c>
      <c r="F1493" s="4" t="e">
        <f>_xlfn.XLOOKUP(B1493,[2]Sheet2!$E$2:$E$713,[2]Sheet2!$G$2:$G$713)</f>
        <v>#N/A</v>
      </c>
      <c r="G1493" s="22">
        <v>46195</v>
      </c>
      <c r="H1493" s="23">
        <v>0.70053240740740741</v>
      </c>
      <c r="I1493" t="s">
        <v>10</v>
      </c>
      <c r="J1493" s="2" t="str">
        <f t="shared" si="122"/>
        <v>Q2</v>
      </c>
      <c r="K1493" s="2" t="str">
        <f t="shared" si="123"/>
        <v>Not Match</v>
      </c>
      <c r="L1493" s="1">
        <f t="shared" si="121"/>
        <v>0.33615472627943221</v>
      </c>
      <c r="M1493" s="1" t="e">
        <f t="shared" si="120"/>
        <v>#N/A</v>
      </c>
      <c r="N1493" s="2" t="str">
        <f t="shared" si="124"/>
        <v>Q NOT OK dE&lt;=0.8</v>
      </c>
      <c r="O1493">
        <v>15.08</v>
      </c>
      <c r="P1493">
        <v>0.3</v>
      </c>
      <c r="Q1493">
        <v>-1.42</v>
      </c>
      <c r="R1493">
        <v>-0.48</v>
      </c>
      <c r="S1493">
        <v>-0.28999999999999998</v>
      </c>
      <c r="T1493">
        <v>0.17</v>
      </c>
      <c r="U1493">
        <v>-0.33</v>
      </c>
      <c r="V1493">
        <v>-0.32</v>
      </c>
      <c r="W1493">
        <v>0.67</v>
      </c>
      <c r="X1493" t="s">
        <v>8</v>
      </c>
      <c r="Y1493" t="s">
        <v>15</v>
      </c>
      <c r="Z1493" s="2" t="s">
        <v>718</v>
      </c>
      <c r="AA1493" s="2" t="s">
        <v>721</v>
      </c>
    </row>
    <row r="1494" spans="1:27" x14ac:dyDescent="0.35">
      <c r="A1494" t="s">
        <v>1626</v>
      </c>
      <c r="B1494" t="s">
        <v>2575</v>
      </c>
      <c r="C1494" s="7" t="str">
        <f>_xlfn.XLOOKUP(B1494,'[1]Sheet 1'!$A$2:$A$11107,'[1]Sheet 1'!$D$2:$D$11107,"",0)</f>
        <v>VSS</v>
      </c>
      <c r="D1494" s="4" t="str">
        <f>_xlfn.XLOOKUP(A1494,[3]Sheet2!$I$2:$I$1623,[3]Sheet2!$D$2:$D$1623,"",0)</f>
        <v>Q4</v>
      </c>
      <c r="F1494" s="4" t="e">
        <f>_xlfn.XLOOKUP(B1494,[2]Sheet2!$E$2:$E$713,[2]Sheet2!$G$2:$G$713)</f>
        <v>#N/A</v>
      </c>
      <c r="G1494" s="22">
        <v>46195</v>
      </c>
      <c r="H1494" s="23">
        <v>0.7044907407407407</v>
      </c>
      <c r="I1494" t="s">
        <v>10</v>
      </c>
      <c r="J1494" s="2" t="str">
        <f t="shared" si="122"/>
        <v>Q2</v>
      </c>
      <c r="K1494" s="2" t="str">
        <f t="shared" si="123"/>
        <v>Not Match</v>
      </c>
      <c r="L1494" s="1">
        <f t="shared" si="121"/>
        <v>0.2765863337187866</v>
      </c>
      <c r="M1494" s="1" t="e">
        <f t="shared" si="120"/>
        <v>#N/A</v>
      </c>
      <c r="N1494" s="2" t="str">
        <f t="shared" si="124"/>
        <v>Q NOT OK dE&lt;=0.8</v>
      </c>
      <c r="O1494">
        <v>15.2</v>
      </c>
      <c r="P1494">
        <v>0.41</v>
      </c>
      <c r="Q1494">
        <v>-1.39</v>
      </c>
      <c r="R1494">
        <v>-0.37</v>
      </c>
      <c r="S1494">
        <v>-0.18</v>
      </c>
      <c r="T1494">
        <v>0.21</v>
      </c>
      <c r="U1494">
        <v>-0.34</v>
      </c>
      <c r="V1494">
        <v>-0.15</v>
      </c>
      <c r="W1494">
        <v>0.52</v>
      </c>
      <c r="X1494" t="s">
        <v>8</v>
      </c>
      <c r="Y1494" t="s">
        <v>15</v>
      </c>
      <c r="Z1494" s="2" t="s">
        <v>718</v>
      </c>
      <c r="AA1494" s="2" t="s">
        <v>721</v>
      </c>
    </row>
    <row r="1495" spans="1:27" x14ac:dyDescent="0.35">
      <c r="A1495" t="s">
        <v>2366</v>
      </c>
      <c r="B1495" t="s">
        <v>2576</v>
      </c>
      <c r="C1495" s="7" t="str">
        <f>_xlfn.XLOOKUP(B1495,'[1]Sheet 1'!$A$2:$A$11107,'[1]Sheet 1'!$D$2:$D$11107,"",0)</f>
        <v>PINK</v>
      </c>
      <c r="D1495" s="4" t="str">
        <f>_xlfn.XLOOKUP(A1495,[3]Sheet2!$I$2:$I$1623,[3]Sheet2!$D$2:$D$1623,"",0)</f>
        <v>Q3</v>
      </c>
      <c r="F1495" s="4" t="e">
        <f>_xlfn.XLOOKUP(B1495,[2]Sheet2!$E$2:$E$713,[2]Sheet2!$G$2:$G$713)</f>
        <v>#N/A</v>
      </c>
      <c r="G1495" s="22">
        <v>46195</v>
      </c>
      <c r="H1495" s="23">
        <v>0.70681712962962961</v>
      </c>
      <c r="I1495" t="s">
        <v>10</v>
      </c>
      <c r="J1495" s="2" t="str">
        <f t="shared" si="122"/>
        <v>Q1</v>
      </c>
      <c r="K1495" s="2" t="str">
        <f t="shared" si="123"/>
        <v>Not Match</v>
      </c>
      <c r="L1495" s="1">
        <f t="shared" si="121"/>
        <v>1.2723600119463043</v>
      </c>
      <c r="M1495" s="1" t="e">
        <f t="shared" si="120"/>
        <v>#N/A</v>
      </c>
      <c r="N1495" s="2" t="str">
        <f t="shared" si="124"/>
        <v>Q NOT OK dE&gt;0.8</v>
      </c>
      <c r="O1495">
        <v>27.38</v>
      </c>
      <c r="P1495">
        <v>-13.73</v>
      </c>
      <c r="Q1495">
        <v>-3.86</v>
      </c>
      <c r="R1495">
        <v>0.54</v>
      </c>
      <c r="S1495">
        <v>0.5</v>
      </c>
      <c r="T1495">
        <v>1.17</v>
      </c>
      <c r="U1495">
        <v>-0.57999999999999996</v>
      </c>
      <c r="V1495">
        <v>-0.87</v>
      </c>
      <c r="W1495">
        <v>1.18</v>
      </c>
      <c r="X1495" t="s">
        <v>6</v>
      </c>
      <c r="Y1495" t="s">
        <v>12</v>
      </c>
      <c r="Z1495" s="2" t="s">
        <v>718</v>
      </c>
      <c r="AA1495" s="2" t="s">
        <v>721</v>
      </c>
    </row>
    <row r="1496" spans="1:27" x14ac:dyDescent="0.35">
      <c r="A1496" t="s">
        <v>1733</v>
      </c>
      <c r="B1496" t="s">
        <v>2577</v>
      </c>
      <c r="C1496" s="7" t="str">
        <f>_xlfn.XLOOKUP(B1496,'[1]Sheet 1'!$A$2:$A$11107,'[1]Sheet 1'!$D$2:$D$11107,"",0)</f>
        <v>INT1</v>
      </c>
      <c r="D1496" s="4" t="str">
        <f>_xlfn.XLOOKUP(A1496,[3]Sheet2!$I$2:$I$1623,[3]Sheet2!$D$2:$D$1623,"",0)</f>
        <v>Q2</v>
      </c>
      <c r="F1496" s="4" t="e">
        <f>_xlfn.XLOOKUP(B1496,[2]Sheet2!$E$2:$E$713,[2]Sheet2!$G$2:$G$713)</f>
        <v>#N/A</v>
      </c>
      <c r="G1496" s="22">
        <v>46195</v>
      </c>
      <c r="H1496" s="23">
        <v>0.71307870370370374</v>
      </c>
      <c r="I1496" t="s">
        <v>5</v>
      </c>
      <c r="J1496" s="2" t="str">
        <f t="shared" si="122"/>
        <v>Q1</v>
      </c>
      <c r="K1496" s="2" t="str">
        <f t="shared" si="123"/>
        <v>Not Match</v>
      </c>
      <c r="L1496" s="1">
        <f t="shared" si="121"/>
        <v>0.20591260281974</v>
      </c>
      <c r="M1496" s="1" t="e">
        <f t="shared" si="120"/>
        <v>#N/A</v>
      </c>
      <c r="N1496" s="2" t="str">
        <f t="shared" si="124"/>
        <v>Q NOT OK dE&lt;=0.8</v>
      </c>
      <c r="O1496">
        <v>15.29</v>
      </c>
      <c r="P1496">
        <v>-0.04</v>
      </c>
      <c r="Q1496">
        <v>-0.43</v>
      </c>
      <c r="R1496">
        <v>-0.18</v>
      </c>
      <c r="S1496">
        <v>0.18</v>
      </c>
      <c r="T1496">
        <v>0.1</v>
      </c>
      <c r="U1496">
        <v>-0.2</v>
      </c>
      <c r="V1496">
        <v>0.22</v>
      </c>
      <c r="W1496">
        <v>0.35</v>
      </c>
      <c r="X1496" t="s">
        <v>8</v>
      </c>
      <c r="Y1496" t="s">
        <v>9</v>
      </c>
      <c r="Z1496" s="2" t="s">
        <v>718</v>
      </c>
      <c r="AA1496" s="2" t="s">
        <v>721</v>
      </c>
    </row>
    <row r="1497" spans="1:27" x14ac:dyDescent="0.35">
      <c r="A1497" t="s">
        <v>1626</v>
      </c>
      <c r="B1497" t="s">
        <v>2578</v>
      </c>
      <c r="C1497" s="7" t="str">
        <f>_xlfn.XLOOKUP(B1497,'[1]Sheet 1'!$A$2:$A$11107,'[1]Sheet 1'!$D$2:$D$11107,"",0)</f>
        <v>VSS</v>
      </c>
      <c r="D1497" s="4" t="str">
        <f>_xlfn.XLOOKUP(A1497,[3]Sheet2!$I$2:$I$1623,[3]Sheet2!$D$2:$D$1623,"",0)</f>
        <v>Q4</v>
      </c>
      <c r="F1497" s="4" t="e">
        <f>_xlfn.XLOOKUP(B1497,[2]Sheet2!$E$2:$E$713,[2]Sheet2!$G$2:$G$713)</f>
        <v>#N/A</v>
      </c>
      <c r="G1497" s="22">
        <v>46195</v>
      </c>
      <c r="H1497" s="23">
        <v>0.72659722222222223</v>
      </c>
      <c r="I1497" t="s">
        <v>10</v>
      </c>
      <c r="J1497" s="2" t="str">
        <f t="shared" si="122"/>
        <v>Q2</v>
      </c>
      <c r="K1497" s="2" t="str">
        <f t="shared" si="123"/>
        <v>Not Match</v>
      </c>
      <c r="L1497" s="1">
        <f t="shared" si="121"/>
        <v>0.30413812651491101</v>
      </c>
      <c r="M1497" s="1" t="e">
        <f t="shared" si="120"/>
        <v>#N/A</v>
      </c>
      <c r="N1497" s="2" t="str">
        <f t="shared" si="124"/>
        <v>Q NOT OK dE&lt;=0.8</v>
      </c>
      <c r="O1497">
        <v>15.46</v>
      </c>
      <c r="P1497">
        <v>0.32</v>
      </c>
      <c r="Q1497">
        <v>-1.45</v>
      </c>
      <c r="R1497">
        <v>-0.11</v>
      </c>
      <c r="S1497">
        <v>-0.27</v>
      </c>
      <c r="T1497">
        <v>0.14000000000000001</v>
      </c>
      <c r="U1497">
        <v>-0.28999999999999998</v>
      </c>
      <c r="V1497">
        <v>-0.3</v>
      </c>
      <c r="W1497">
        <v>0.43</v>
      </c>
      <c r="X1497" t="s">
        <v>8</v>
      </c>
      <c r="Y1497" t="s">
        <v>15</v>
      </c>
      <c r="Z1497" s="2" t="s">
        <v>718</v>
      </c>
      <c r="AA1497" s="2" t="s">
        <v>721</v>
      </c>
    </row>
    <row r="1498" spans="1:27" x14ac:dyDescent="0.35">
      <c r="A1498" t="s">
        <v>2579</v>
      </c>
      <c r="B1498" t="s">
        <v>2580</v>
      </c>
      <c r="C1498" s="7" t="str">
        <f>_xlfn.XLOOKUP(B1498,'[1]Sheet 1'!$A$2:$A$11107,'[1]Sheet 1'!$D$2:$D$11107,"",0)</f>
        <v>INT1</v>
      </c>
      <c r="D1498" s="4" t="str">
        <f>_xlfn.XLOOKUP(A1498,[3]Sheet2!$I$2:$I$1623,[3]Sheet2!$D$2:$D$1623,"",0)</f>
        <v>Q3</v>
      </c>
      <c r="F1498" s="4" t="e">
        <f>_xlfn.XLOOKUP(B1498,[2]Sheet2!$E$2:$E$713,[2]Sheet2!$G$2:$G$713)</f>
        <v>#N/A</v>
      </c>
      <c r="G1498" s="22">
        <v>46195</v>
      </c>
      <c r="H1498" s="23">
        <v>0.77530092592592592</v>
      </c>
      <c r="I1498" t="s">
        <v>5</v>
      </c>
      <c r="J1498" s="2" t="str">
        <f t="shared" si="122"/>
        <v>Q1</v>
      </c>
      <c r="K1498" s="2" t="str">
        <f t="shared" si="123"/>
        <v>Not Match</v>
      </c>
      <c r="L1498" s="1">
        <f t="shared" si="121"/>
        <v>0.95126231923691806</v>
      </c>
      <c r="M1498" s="1" t="e">
        <f t="shared" si="120"/>
        <v>#N/A</v>
      </c>
      <c r="N1498" s="2" t="str">
        <f t="shared" si="124"/>
        <v>Q NOT OK dE&gt;0.8</v>
      </c>
      <c r="O1498">
        <v>33.58</v>
      </c>
      <c r="P1498">
        <v>10.36</v>
      </c>
      <c r="Q1498">
        <v>11.08</v>
      </c>
      <c r="R1498">
        <v>-0.67</v>
      </c>
      <c r="S1498">
        <v>0.2</v>
      </c>
      <c r="T1498">
        <v>0.93</v>
      </c>
      <c r="U1498">
        <v>0.56999999999999995</v>
      </c>
      <c r="V1498">
        <v>0.8</v>
      </c>
      <c r="W1498">
        <v>1.19</v>
      </c>
      <c r="X1498" t="s">
        <v>6</v>
      </c>
      <c r="Y1498" t="s">
        <v>12</v>
      </c>
      <c r="Z1498" s="2" t="s">
        <v>718</v>
      </c>
      <c r="AA1498" s="2" t="s">
        <v>721</v>
      </c>
    </row>
    <row r="1499" spans="1:27" x14ac:dyDescent="0.35">
      <c r="A1499" t="s">
        <v>1626</v>
      </c>
      <c r="B1499" t="s">
        <v>2581</v>
      </c>
      <c r="C1499" s="7" t="str">
        <f>_xlfn.XLOOKUP(B1499,'[1]Sheet 1'!$A$2:$A$11107,'[1]Sheet 1'!$D$2:$D$11107,"",0)</f>
        <v>VSS</v>
      </c>
      <c r="D1499" s="4" t="str">
        <f>_xlfn.XLOOKUP(A1499,[3]Sheet2!$I$2:$I$1623,[3]Sheet2!$D$2:$D$1623,"",0)</f>
        <v>Q4</v>
      </c>
      <c r="F1499" s="4" t="e">
        <f>_xlfn.XLOOKUP(B1499,[2]Sheet2!$E$2:$E$713,[2]Sheet2!$G$2:$G$713)</f>
        <v>#N/A</v>
      </c>
      <c r="G1499" s="22">
        <v>46195</v>
      </c>
      <c r="H1499" s="23">
        <v>0.97488425925925926</v>
      </c>
      <c r="I1499" t="s">
        <v>10</v>
      </c>
      <c r="J1499" s="2" t="str">
        <f t="shared" si="122"/>
        <v>Q2</v>
      </c>
      <c r="K1499" s="2" t="str">
        <f t="shared" si="123"/>
        <v>Not Match</v>
      </c>
      <c r="L1499" s="1">
        <f t="shared" si="121"/>
        <v>0.30413812651491101</v>
      </c>
      <c r="M1499" s="1" t="e">
        <f t="shared" si="120"/>
        <v>#N/A</v>
      </c>
      <c r="N1499" s="2" t="str">
        <f t="shared" si="124"/>
        <v>Q NOT OK dE&lt;=0.8</v>
      </c>
      <c r="O1499">
        <v>15.18</v>
      </c>
      <c r="P1499">
        <v>0.45</v>
      </c>
      <c r="Q1499">
        <v>-1.32</v>
      </c>
      <c r="R1499">
        <v>-0.38</v>
      </c>
      <c r="S1499">
        <v>-0.14000000000000001</v>
      </c>
      <c r="T1499">
        <v>0.27</v>
      </c>
      <c r="U1499">
        <v>-0.4</v>
      </c>
      <c r="V1499">
        <v>-0.06</v>
      </c>
      <c r="W1499">
        <v>0.56000000000000005</v>
      </c>
      <c r="X1499" t="s">
        <v>8</v>
      </c>
      <c r="Y1499" t="s">
        <v>15</v>
      </c>
      <c r="Z1499" s="2" t="s">
        <v>718</v>
      </c>
      <c r="AA1499" s="2" t="s">
        <v>721</v>
      </c>
    </row>
    <row r="1500" spans="1:27" x14ac:dyDescent="0.35">
      <c r="A1500" t="s">
        <v>2148</v>
      </c>
      <c r="B1500" t="s">
        <v>2582</v>
      </c>
      <c r="C1500" s="7" t="str">
        <f>_xlfn.XLOOKUP(B1500,'[1]Sheet 1'!$A$2:$A$11107,'[1]Sheet 1'!$D$2:$D$11107,"",0)</f>
        <v>VSS</v>
      </c>
      <c r="D1500" s="4" t="str">
        <f>_xlfn.XLOOKUP(A1500,[3]Sheet2!$I$2:$I$1623,[3]Sheet2!$D$2:$D$1623,"",0)</f>
        <v>Q3</v>
      </c>
      <c r="F1500" s="4" t="e">
        <f>_xlfn.XLOOKUP(B1500,[2]Sheet2!$E$2:$E$713,[2]Sheet2!$G$2:$G$713)</f>
        <v>#N/A</v>
      </c>
      <c r="G1500" s="22">
        <v>46195</v>
      </c>
      <c r="H1500" s="23">
        <v>0.98744212962962963</v>
      </c>
      <c r="I1500" t="s">
        <v>10</v>
      </c>
      <c r="J1500" s="2" t="str">
        <f t="shared" si="122"/>
        <v>Q1</v>
      </c>
      <c r="K1500" s="2" t="str">
        <f t="shared" si="123"/>
        <v>Not Match</v>
      </c>
      <c r="L1500" s="1">
        <f t="shared" si="121"/>
        <v>1.6367040050051811</v>
      </c>
      <c r="M1500" s="1" t="e">
        <f t="shared" si="120"/>
        <v>#N/A</v>
      </c>
      <c r="N1500" s="2" t="str">
        <f t="shared" si="124"/>
        <v>Q NOT OK dE&gt;0.8</v>
      </c>
      <c r="O1500">
        <v>44.19</v>
      </c>
      <c r="P1500">
        <v>55.32</v>
      </c>
      <c r="Q1500">
        <v>39.51</v>
      </c>
      <c r="R1500">
        <v>0.81</v>
      </c>
      <c r="S1500">
        <v>1.28</v>
      </c>
      <c r="T1500">
        <v>1.02</v>
      </c>
      <c r="U1500">
        <v>0.56000000000000005</v>
      </c>
      <c r="V1500">
        <v>0.06</v>
      </c>
      <c r="W1500">
        <v>0.99</v>
      </c>
      <c r="X1500" t="s">
        <v>13</v>
      </c>
      <c r="Y1500" t="s">
        <v>12</v>
      </c>
      <c r="Z1500" s="2" t="s">
        <v>718</v>
      </c>
      <c r="AA1500" s="2" t="s">
        <v>721</v>
      </c>
    </row>
    <row r="1501" spans="1:27" x14ac:dyDescent="0.35">
      <c r="A1501" t="s">
        <v>1797</v>
      </c>
      <c r="B1501" t="s">
        <v>2583</v>
      </c>
      <c r="C1501" s="7" t="str">
        <f>_xlfn.XLOOKUP(B1501,'[1]Sheet 1'!$A$2:$A$11107,'[1]Sheet 1'!$D$2:$D$11107,"",0)</f>
        <v>LULU</v>
      </c>
      <c r="D1501" s="4" t="str">
        <f>_xlfn.XLOOKUP(A1501,[3]Sheet2!$I$2:$I$1623,[3]Sheet2!$D$2:$D$1623,"",0)</f>
        <v>Q4</v>
      </c>
      <c r="F1501" s="4" t="e">
        <f>_xlfn.XLOOKUP(B1501,[2]Sheet2!$E$2:$E$713,[2]Sheet2!$G$2:$G$713)</f>
        <v>#N/A</v>
      </c>
      <c r="G1501" s="22">
        <v>46195</v>
      </c>
      <c r="H1501" s="23">
        <v>0.98934027777777778</v>
      </c>
      <c r="I1501" t="s">
        <v>4</v>
      </c>
      <c r="J1501" s="2" t="str">
        <f t="shared" si="122"/>
        <v>Q1</v>
      </c>
      <c r="K1501" s="2" t="str">
        <f t="shared" si="123"/>
        <v>Not Match</v>
      </c>
      <c r="L1501" s="1">
        <f t="shared" si="121"/>
        <v>0.48041648597857256</v>
      </c>
      <c r="M1501" s="1" t="e">
        <f t="shared" si="120"/>
        <v>#N/A</v>
      </c>
      <c r="N1501" s="2" t="str">
        <f t="shared" si="124"/>
        <v>Q NOT OK dE&lt;=0.8</v>
      </c>
      <c r="O1501">
        <v>28.71</v>
      </c>
      <c r="P1501">
        <v>-11</v>
      </c>
      <c r="Q1501">
        <v>1.94</v>
      </c>
      <c r="R1501">
        <v>-0.15</v>
      </c>
      <c r="S1501">
        <v>0.48</v>
      </c>
      <c r="T1501">
        <v>0.02</v>
      </c>
      <c r="U1501">
        <v>-0.37</v>
      </c>
      <c r="V1501">
        <v>-0.1</v>
      </c>
      <c r="W1501">
        <v>0.41</v>
      </c>
      <c r="X1501" t="s">
        <v>8</v>
      </c>
      <c r="Y1501" t="s">
        <v>12</v>
      </c>
      <c r="Z1501" s="2" t="s">
        <v>718</v>
      </c>
      <c r="AA1501" s="2" t="s">
        <v>721</v>
      </c>
    </row>
    <row r="1502" spans="1:27" x14ac:dyDescent="0.35">
      <c r="A1502" t="s">
        <v>1626</v>
      </c>
      <c r="B1502" t="s">
        <v>2584</v>
      </c>
      <c r="C1502" s="7" t="str">
        <f>_xlfn.XLOOKUP(B1502,'[1]Sheet 1'!$A$2:$A$11107,'[1]Sheet 1'!$D$2:$D$11107,"",0)</f>
        <v/>
      </c>
      <c r="D1502" s="4" t="str">
        <f>_xlfn.XLOOKUP(A1502,[3]Sheet2!$I$2:$I$1623,[3]Sheet2!$D$2:$D$1623,"",0)</f>
        <v>Q4</v>
      </c>
      <c r="F1502" s="4" t="e">
        <f>_xlfn.XLOOKUP(B1502,[2]Sheet2!$E$2:$E$713,[2]Sheet2!$G$2:$G$713)</f>
        <v>#N/A</v>
      </c>
      <c r="G1502" s="22">
        <v>46196</v>
      </c>
      <c r="H1502" s="23">
        <v>0.12440972222222223</v>
      </c>
      <c r="I1502" t="s">
        <v>10</v>
      </c>
      <c r="J1502" s="2" t="str">
        <f t="shared" si="122"/>
        <v>Q3</v>
      </c>
      <c r="K1502" s="2" t="str">
        <f t="shared" si="123"/>
        <v>Not Match</v>
      </c>
      <c r="L1502" s="1">
        <f t="shared" si="121"/>
        <v>0.26305892875931813</v>
      </c>
      <c r="M1502" s="1" t="e">
        <f t="shared" si="120"/>
        <v>#N/A</v>
      </c>
      <c r="N1502" s="2" t="str">
        <f t="shared" si="124"/>
        <v>Q NOT OK dE&lt;=0.8</v>
      </c>
      <c r="O1502">
        <v>15.45</v>
      </c>
      <c r="P1502">
        <v>0.33</v>
      </c>
      <c r="Q1502">
        <v>-1.63</v>
      </c>
      <c r="R1502">
        <v>-0.12</v>
      </c>
      <c r="S1502">
        <v>-0.26</v>
      </c>
      <c r="T1502">
        <v>-0.04</v>
      </c>
      <c r="U1502">
        <v>-0.04</v>
      </c>
      <c r="V1502">
        <v>-0.37</v>
      </c>
      <c r="W1502">
        <v>0.39</v>
      </c>
      <c r="X1502" t="s">
        <v>8</v>
      </c>
      <c r="Y1502" t="s">
        <v>15</v>
      </c>
      <c r="Z1502" s="2" t="s">
        <v>718</v>
      </c>
      <c r="AA1502" s="2" t="s">
        <v>721</v>
      </c>
    </row>
    <row r="1503" spans="1:27" x14ac:dyDescent="0.35">
      <c r="A1503" t="s">
        <v>2156</v>
      </c>
      <c r="B1503" t="s">
        <v>2585</v>
      </c>
      <c r="C1503" s="7" t="str">
        <f>_xlfn.XLOOKUP(B1503,'[1]Sheet 1'!$A$2:$A$11107,'[1]Sheet 1'!$D$2:$D$11107,"",0)</f>
        <v/>
      </c>
      <c r="D1503" s="4" t="str">
        <f>_xlfn.XLOOKUP(A1503,[3]Sheet2!$I$2:$I$1623,[3]Sheet2!$D$2:$D$1623,"",0)</f>
        <v>Q1</v>
      </c>
      <c r="F1503" s="4" t="e">
        <f>_xlfn.XLOOKUP(B1503,[2]Sheet2!$E$2:$E$713,[2]Sheet2!$G$2:$G$713)</f>
        <v>#N/A</v>
      </c>
      <c r="G1503" s="22">
        <v>46196</v>
      </c>
      <c r="H1503" s="23">
        <v>0.12619212962962964</v>
      </c>
      <c r="I1503" t="s">
        <v>10</v>
      </c>
      <c r="J1503" s="2" t="str">
        <f t="shared" si="122"/>
        <v>Q1</v>
      </c>
      <c r="K1503" s="2" t="str">
        <f t="shared" si="123"/>
        <v>Match</v>
      </c>
      <c r="L1503" s="1">
        <f t="shared" si="121"/>
        <v>0.56435804238089848</v>
      </c>
      <c r="M1503" s="1" t="e">
        <f t="shared" si="120"/>
        <v>#N/A</v>
      </c>
      <c r="N1503" s="2" t="str">
        <f t="shared" si="124"/>
        <v>Q OK dE&lt;=0.8</v>
      </c>
      <c r="O1503">
        <v>26.57</v>
      </c>
      <c r="P1503">
        <v>-12.91</v>
      </c>
      <c r="Q1503">
        <v>-2.81</v>
      </c>
      <c r="R1503">
        <v>0.01</v>
      </c>
      <c r="S1503">
        <v>0.28000000000000003</v>
      </c>
      <c r="T1503">
        <v>0.49</v>
      </c>
      <c r="U1503">
        <v>-0.28000000000000003</v>
      </c>
      <c r="V1503">
        <v>-0.39</v>
      </c>
      <c r="W1503">
        <v>0.48</v>
      </c>
      <c r="X1503" t="s">
        <v>8</v>
      </c>
      <c r="Y1503" t="s">
        <v>12</v>
      </c>
      <c r="Z1503" s="2" t="s">
        <v>718</v>
      </c>
      <c r="AA1503" s="2" t="s">
        <v>721</v>
      </c>
    </row>
    <row r="1504" spans="1:27" x14ac:dyDescent="0.35">
      <c r="A1504" t="s">
        <v>2366</v>
      </c>
      <c r="B1504" t="s">
        <v>2586</v>
      </c>
      <c r="C1504" s="7" t="str">
        <f>_xlfn.XLOOKUP(B1504,'[1]Sheet 1'!$A$2:$A$11107,'[1]Sheet 1'!$D$2:$D$11107,"",0)</f>
        <v/>
      </c>
      <c r="D1504" s="4" t="str">
        <f>_xlfn.XLOOKUP(A1504,[3]Sheet2!$I$2:$I$1623,[3]Sheet2!$D$2:$D$1623,"",0)</f>
        <v>Q3</v>
      </c>
      <c r="F1504" s="4" t="e">
        <f>_xlfn.XLOOKUP(B1504,[2]Sheet2!$E$2:$E$713,[2]Sheet2!$G$2:$G$713)</f>
        <v>#N/A</v>
      </c>
      <c r="G1504" s="22">
        <v>46196</v>
      </c>
      <c r="H1504" s="23">
        <v>0.12840277777777778</v>
      </c>
      <c r="I1504" t="s">
        <v>10</v>
      </c>
      <c r="J1504" s="2" t="str">
        <f t="shared" si="122"/>
        <v>Q3</v>
      </c>
      <c r="K1504" s="2" t="str">
        <f t="shared" si="123"/>
        <v>Match</v>
      </c>
      <c r="L1504" s="1">
        <f t="shared" si="121"/>
        <v>0.89872131386765275</v>
      </c>
      <c r="M1504" s="1" t="e">
        <f t="shared" si="120"/>
        <v>#N/A</v>
      </c>
      <c r="N1504" s="2" t="str">
        <f t="shared" si="124"/>
        <v>Q OK dE&lt;=0.8</v>
      </c>
      <c r="O1504">
        <v>27.06</v>
      </c>
      <c r="P1504">
        <v>-14.85</v>
      </c>
      <c r="Q1504">
        <v>-5.68</v>
      </c>
      <c r="R1504">
        <v>0.33</v>
      </c>
      <c r="S1504">
        <v>-0.61</v>
      </c>
      <c r="T1504">
        <v>-0.66</v>
      </c>
      <c r="U1504">
        <v>0.56000000000000005</v>
      </c>
      <c r="V1504">
        <v>0.37</v>
      </c>
      <c r="W1504">
        <v>0.74</v>
      </c>
      <c r="X1504" t="s">
        <v>8</v>
      </c>
      <c r="Y1504" t="s">
        <v>7</v>
      </c>
      <c r="Z1504" s="2" t="s">
        <v>718</v>
      </c>
      <c r="AA1504" s="2" t="s">
        <v>721</v>
      </c>
    </row>
    <row r="1505" spans="1:27" x14ac:dyDescent="0.35">
      <c r="A1505" t="s">
        <v>1521</v>
      </c>
      <c r="B1505" t="s">
        <v>2587</v>
      </c>
      <c r="C1505" s="7" t="str">
        <f>_xlfn.XLOOKUP(B1505,'[1]Sheet 1'!$A$2:$A$11107,'[1]Sheet 1'!$D$2:$D$11107,"",0)</f>
        <v/>
      </c>
      <c r="D1505" s="4" t="str">
        <f>_xlfn.XLOOKUP(A1505,[3]Sheet2!$I$2:$I$1623,[3]Sheet2!$D$2:$D$1623,"",0)</f>
        <v>Q3</v>
      </c>
      <c r="F1505" s="4" t="e">
        <f>_xlfn.XLOOKUP(B1505,[2]Sheet2!$E$2:$E$713,[2]Sheet2!$G$2:$G$713)</f>
        <v>#N/A</v>
      </c>
      <c r="G1505" s="22">
        <v>46196</v>
      </c>
      <c r="H1505" s="23">
        <v>0.13229166666666667</v>
      </c>
      <c r="I1505" t="s">
        <v>10</v>
      </c>
      <c r="J1505" s="2" t="str">
        <f t="shared" si="122"/>
        <v>Q2</v>
      </c>
      <c r="K1505" s="2" t="str">
        <f t="shared" si="123"/>
        <v>Not Match</v>
      </c>
      <c r="L1505" s="1">
        <f t="shared" si="121"/>
        <v>0.73348483283568988</v>
      </c>
      <c r="M1505" s="1" t="e">
        <f t="shared" si="120"/>
        <v>#N/A</v>
      </c>
      <c r="N1505" s="2" t="str">
        <f t="shared" si="124"/>
        <v>Q NOT OK dE&lt;=0.8</v>
      </c>
      <c r="O1505">
        <v>21.02</v>
      </c>
      <c r="P1505">
        <v>0.97</v>
      </c>
      <c r="Q1505">
        <v>-6.5</v>
      </c>
      <c r="R1505">
        <v>-0.35</v>
      </c>
      <c r="S1505">
        <v>-0.14000000000000001</v>
      </c>
      <c r="T1505">
        <v>0.72</v>
      </c>
      <c r="U1505">
        <v>-0.69</v>
      </c>
      <c r="V1505">
        <v>-0.04</v>
      </c>
      <c r="W1505">
        <v>0.77</v>
      </c>
      <c r="X1505" t="s">
        <v>13</v>
      </c>
      <c r="Y1505" t="s">
        <v>15</v>
      </c>
      <c r="Z1505" s="2" t="s">
        <v>718</v>
      </c>
      <c r="AA1505" s="2" t="s">
        <v>721</v>
      </c>
    </row>
    <row r="1506" spans="1:27" x14ac:dyDescent="0.35">
      <c r="A1506" t="s">
        <v>2588</v>
      </c>
      <c r="B1506" t="s">
        <v>2589</v>
      </c>
      <c r="C1506" s="7" t="str">
        <f>_xlfn.XLOOKUP(B1506,'[1]Sheet 1'!$A$2:$A$11107,'[1]Sheet 1'!$D$2:$D$11107,"",0)</f>
        <v/>
      </c>
      <c r="D1506" s="4" t="str">
        <f>_xlfn.XLOOKUP(A1506,[3]Sheet2!$I$2:$I$1623,[3]Sheet2!$D$2:$D$1623,"",0)</f>
        <v>Q1</v>
      </c>
      <c r="F1506" s="4" t="e">
        <f>_xlfn.XLOOKUP(B1506,[2]Sheet2!$E$2:$E$713,[2]Sheet2!$G$2:$G$713)</f>
        <v>#N/A</v>
      </c>
      <c r="G1506" s="22">
        <v>46196</v>
      </c>
      <c r="H1506" s="23">
        <v>0.13556712962962963</v>
      </c>
      <c r="I1506" t="s">
        <v>5</v>
      </c>
      <c r="J1506" s="2" t="str">
        <f t="shared" si="122"/>
        <v>Q3</v>
      </c>
      <c r="K1506" s="2" t="str">
        <f t="shared" si="123"/>
        <v>Not Match</v>
      </c>
      <c r="L1506" s="1">
        <f t="shared" si="121"/>
        <v>0.55946402922797456</v>
      </c>
      <c r="M1506" s="1" t="e">
        <f t="shared" si="120"/>
        <v>#N/A</v>
      </c>
      <c r="N1506" s="2" t="str">
        <f t="shared" si="124"/>
        <v>Q NOT OK dE&lt;=0.8</v>
      </c>
      <c r="O1506">
        <v>16.84</v>
      </c>
      <c r="P1506">
        <v>-1.21</v>
      </c>
      <c r="Q1506">
        <v>-3.84</v>
      </c>
      <c r="R1506">
        <v>0.12</v>
      </c>
      <c r="S1506">
        <v>-0.27</v>
      </c>
      <c r="T1506">
        <v>-0.49</v>
      </c>
      <c r="U1506">
        <v>0.64</v>
      </c>
      <c r="V1506">
        <v>-0.16</v>
      </c>
      <c r="W1506">
        <v>0.67</v>
      </c>
      <c r="X1506" t="s">
        <v>8</v>
      </c>
      <c r="Y1506" t="s">
        <v>15</v>
      </c>
      <c r="Z1506" s="2" t="s">
        <v>718</v>
      </c>
      <c r="AA1506" s="2" t="s">
        <v>721</v>
      </c>
    </row>
    <row r="1507" spans="1:27" x14ac:dyDescent="0.35">
      <c r="A1507" t="s">
        <v>1733</v>
      </c>
      <c r="B1507" t="s">
        <v>2590</v>
      </c>
      <c r="C1507" s="7" t="str">
        <f>_xlfn.XLOOKUP(B1507,'[1]Sheet 1'!$A$2:$A$11107,'[1]Sheet 1'!$D$2:$D$11107,"",0)</f>
        <v/>
      </c>
      <c r="D1507" s="4" t="str">
        <f>_xlfn.XLOOKUP(A1507,[3]Sheet2!$I$2:$I$1623,[3]Sheet2!$D$2:$D$1623,"",0)</f>
        <v>Q2</v>
      </c>
      <c r="F1507" s="4" t="e">
        <f>_xlfn.XLOOKUP(B1507,[2]Sheet2!$E$2:$E$713,[2]Sheet2!$G$2:$G$713)</f>
        <v>#N/A</v>
      </c>
      <c r="G1507" s="22">
        <v>46196</v>
      </c>
      <c r="H1507" s="23">
        <v>0.13797453703703705</v>
      </c>
      <c r="I1507" t="s">
        <v>5</v>
      </c>
      <c r="J1507" s="2" t="str">
        <f t="shared" si="122"/>
        <v>Q4</v>
      </c>
      <c r="K1507" s="2" t="str">
        <f t="shared" si="123"/>
        <v>Not Match</v>
      </c>
      <c r="L1507" s="1">
        <f t="shared" si="121"/>
        <v>0.26925824035672524</v>
      </c>
      <c r="M1507" s="1" t="e">
        <f t="shared" si="120"/>
        <v>#N/A</v>
      </c>
      <c r="N1507" s="2" t="str">
        <f t="shared" si="124"/>
        <v>Q NOT OK dE&lt;=0.8</v>
      </c>
      <c r="O1507">
        <v>15.7</v>
      </c>
      <c r="P1507">
        <v>-0.08</v>
      </c>
      <c r="Q1507">
        <v>-0.76</v>
      </c>
      <c r="R1507">
        <v>0.22</v>
      </c>
      <c r="S1507">
        <v>0.14000000000000001</v>
      </c>
      <c r="T1507">
        <v>-0.23</v>
      </c>
      <c r="U1507">
        <v>0.28999999999999998</v>
      </c>
      <c r="V1507">
        <v>0.28000000000000003</v>
      </c>
      <c r="W1507">
        <v>0.46</v>
      </c>
      <c r="X1507" t="s">
        <v>8</v>
      </c>
      <c r="Y1507" t="s">
        <v>9</v>
      </c>
      <c r="Z1507" s="2" t="s">
        <v>718</v>
      </c>
      <c r="AA1507" s="2" t="s">
        <v>721</v>
      </c>
    </row>
    <row r="1508" spans="1:27" x14ac:dyDescent="0.35">
      <c r="A1508" t="s">
        <v>2518</v>
      </c>
      <c r="B1508" t="s">
        <v>2591</v>
      </c>
      <c r="C1508" s="7" t="str">
        <f>_xlfn.XLOOKUP(B1508,'[1]Sheet 1'!$A$2:$A$11107,'[1]Sheet 1'!$D$2:$D$11107,"",0)</f>
        <v/>
      </c>
      <c r="D1508" s="4" t="str">
        <f>_xlfn.XLOOKUP(A1508,[3]Sheet2!$I$2:$I$1623,[3]Sheet2!$D$2:$D$1623,"",0)</f>
        <v>Q4</v>
      </c>
      <c r="F1508" s="4" t="e">
        <f>_xlfn.XLOOKUP(B1508,[2]Sheet2!$E$2:$E$713,[2]Sheet2!$G$2:$G$713)</f>
        <v>#N/A</v>
      </c>
      <c r="G1508" s="22">
        <v>46196</v>
      </c>
      <c r="H1508" s="23">
        <v>0.16412037037037036</v>
      </c>
      <c r="I1508" t="s">
        <v>4</v>
      </c>
      <c r="J1508" s="2" t="str">
        <f t="shared" si="122"/>
        <v>Q3</v>
      </c>
      <c r="K1508" s="2" t="str">
        <f t="shared" si="123"/>
        <v>Not Match</v>
      </c>
      <c r="L1508" s="1">
        <f t="shared" si="121"/>
        <v>0.18788294228055938</v>
      </c>
      <c r="M1508" s="1" t="e">
        <f t="shared" si="120"/>
        <v>#N/A</v>
      </c>
      <c r="N1508" s="2" t="str">
        <f t="shared" si="124"/>
        <v>Q NOT OK dE&lt;=0.8</v>
      </c>
      <c r="O1508">
        <v>21.34</v>
      </c>
      <c r="P1508">
        <v>-1.07</v>
      </c>
      <c r="Q1508">
        <v>-9</v>
      </c>
      <c r="R1508">
        <v>0.42</v>
      </c>
      <c r="S1508">
        <v>-0.08</v>
      </c>
      <c r="T1508">
        <v>-0.17</v>
      </c>
      <c r="U1508">
        <v>0.15</v>
      </c>
      <c r="V1508">
        <v>-0.08</v>
      </c>
      <c r="W1508">
        <v>0.46</v>
      </c>
      <c r="X1508" t="s">
        <v>8</v>
      </c>
      <c r="Y1508" t="s">
        <v>15</v>
      </c>
      <c r="Z1508" s="2" t="s">
        <v>718</v>
      </c>
      <c r="AA1508" s="2" t="s">
        <v>721</v>
      </c>
    </row>
    <row r="1509" spans="1:27" x14ac:dyDescent="0.35">
      <c r="A1509" t="s">
        <v>2400</v>
      </c>
      <c r="B1509" t="s">
        <v>2592</v>
      </c>
      <c r="C1509" s="7" t="str">
        <f>_xlfn.XLOOKUP(B1509,'[1]Sheet 1'!$A$2:$A$11107,'[1]Sheet 1'!$D$2:$D$11107,"",0)</f>
        <v/>
      </c>
      <c r="D1509" s="4" t="str">
        <f>_xlfn.XLOOKUP(A1509,[3]Sheet2!$I$2:$I$1623,[3]Sheet2!$D$2:$D$1623,"",0)</f>
        <v>Q4</v>
      </c>
      <c r="F1509" s="4" t="e">
        <f>_xlfn.XLOOKUP(B1509,[2]Sheet2!$E$2:$E$713,[2]Sheet2!$G$2:$G$713)</f>
        <v>#N/A</v>
      </c>
      <c r="G1509" s="22">
        <v>46196</v>
      </c>
      <c r="H1509" s="23">
        <v>0.23693287037037036</v>
      </c>
      <c r="I1509" t="s">
        <v>10</v>
      </c>
      <c r="J1509" s="2" t="str">
        <f t="shared" si="122"/>
        <v>Q1</v>
      </c>
      <c r="K1509" s="2" t="str">
        <f t="shared" si="123"/>
        <v>Not Match</v>
      </c>
      <c r="L1509" s="1">
        <f t="shared" si="121"/>
        <v>0.4687216658103186</v>
      </c>
      <c r="M1509" s="1" t="e">
        <f t="shared" si="120"/>
        <v>#N/A</v>
      </c>
      <c r="N1509" s="2" t="str">
        <f t="shared" si="124"/>
        <v>Q NOT OK dE&lt;=0.8</v>
      </c>
      <c r="O1509">
        <v>19.96</v>
      </c>
      <c r="P1509">
        <v>11.65</v>
      </c>
      <c r="Q1509">
        <v>-0.13</v>
      </c>
      <c r="R1509">
        <v>-0.3</v>
      </c>
      <c r="S1509">
        <v>0.26</v>
      </c>
      <c r="T1509">
        <v>0.39</v>
      </c>
      <c r="U1509">
        <v>0.2</v>
      </c>
      <c r="V1509">
        <v>0.43</v>
      </c>
      <c r="W1509">
        <v>0.56000000000000005</v>
      </c>
      <c r="X1509" t="s">
        <v>8</v>
      </c>
      <c r="Y1509" t="s">
        <v>9</v>
      </c>
      <c r="Z1509" s="2" t="s">
        <v>718</v>
      </c>
      <c r="AA1509" s="2" t="s">
        <v>721</v>
      </c>
    </row>
    <row r="1510" spans="1:27" x14ac:dyDescent="0.35">
      <c r="A1510" t="s">
        <v>2397</v>
      </c>
      <c r="B1510" t="s">
        <v>2569</v>
      </c>
      <c r="C1510" s="7" t="str">
        <f>_xlfn.XLOOKUP(B1510,'[1]Sheet 1'!$A$2:$A$11107,'[1]Sheet 1'!$D$2:$D$11107,"",0)</f>
        <v/>
      </c>
      <c r="D1510" s="4" t="str">
        <f>_xlfn.XLOOKUP(A1510,[3]Sheet2!$I$2:$I$1623,[3]Sheet2!$D$2:$D$1623,"",0)</f>
        <v>Q3</v>
      </c>
      <c r="F1510" s="4" t="e">
        <f>_xlfn.XLOOKUP(B1510,[2]Sheet2!$E$2:$E$713,[2]Sheet2!$G$2:$G$713)</f>
        <v>#N/A</v>
      </c>
      <c r="G1510" s="22">
        <v>46196</v>
      </c>
      <c r="H1510" s="23">
        <v>0.2754050925925926</v>
      </c>
      <c r="I1510" t="s">
        <v>4</v>
      </c>
      <c r="J1510" s="2" t="str">
        <f t="shared" si="122"/>
        <v>Q4</v>
      </c>
      <c r="K1510" s="2" t="str">
        <f t="shared" si="123"/>
        <v>Not Match</v>
      </c>
      <c r="L1510" s="1">
        <f t="shared" si="121"/>
        <v>0.48373546489791297</v>
      </c>
      <c r="M1510" s="1" t="e">
        <f t="shared" si="120"/>
        <v>#N/A</v>
      </c>
      <c r="N1510" s="2" t="str">
        <f t="shared" si="124"/>
        <v>Q NOT OK dE&lt;=0.8</v>
      </c>
      <c r="O1510">
        <v>37.729999999999997</v>
      </c>
      <c r="P1510">
        <v>58.9</v>
      </c>
      <c r="Q1510">
        <v>31.18</v>
      </c>
      <c r="R1510">
        <v>-0.34</v>
      </c>
      <c r="S1510">
        <v>0.48</v>
      </c>
      <c r="T1510">
        <v>-0.06</v>
      </c>
      <c r="U1510">
        <v>0.14000000000000001</v>
      </c>
      <c r="V1510">
        <v>-0.18</v>
      </c>
      <c r="W1510">
        <v>0.4</v>
      </c>
      <c r="X1510" t="s">
        <v>8</v>
      </c>
      <c r="Y1510" t="s">
        <v>7</v>
      </c>
      <c r="Z1510" s="2" t="s">
        <v>718</v>
      </c>
      <c r="AA1510" s="2" t="s">
        <v>721</v>
      </c>
    </row>
    <row r="1511" spans="1:27" x14ac:dyDescent="0.35">
      <c r="A1511" t="s">
        <v>2347</v>
      </c>
      <c r="B1511" t="s">
        <v>2593</v>
      </c>
      <c r="C1511" s="7" t="str">
        <f>_xlfn.XLOOKUP(B1511,'[1]Sheet 1'!$A$2:$A$11107,'[1]Sheet 1'!$D$2:$D$11107,"",0)</f>
        <v>CHICOS</v>
      </c>
      <c r="D1511" s="4" t="str">
        <f>_xlfn.XLOOKUP(A1511,[3]Sheet2!$I$2:$I$1623,[3]Sheet2!$D$2:$D$1623,"",0)</f>
        <v>Q4</v>
      </c>
      <c r="F1511" s="4" t="e">
        <f>_xlfn.XLOOKUP(B1511,[2]Sheet2!$E$2:$E$713,[2]Sheet2!$G$2:$G$713)</f>
        <v>#N/A</v>
      </c>
      <c r="G1511" s="22">
        <v>46196</v>
      </c>
      <c r="H1511" s="23">
        <v>0.27862268518518518</v>
      </c>
      <c r="I1511" t="s">
        <v>4</v>
      </c>
      <c r="J1511" s="2" t="str">
        <f t="shared" si="122"/>
        <v>Q3</v>
      </c>
      <c r="K1511" s="2" t="str">
        <f t="shared" si="123"/>
        <v>Not Match</v>
      </c>
      <c r="L1511" s="1">
        <f t="shared" si="121"/>
        <v>0.5154609587543949</v>
      </c>
      <c r="M1511" s="1" t="e">
        <f t="shared" si="120"/>
        <v>#N/A</v>
      </c>
      <c r="N1511" s="2" t="str">
        <f t="shared" si="124"/>
        <v>Q NOT OK dE&gt;0.8</v>
      </c>
      <c r="O1511">
        <v>30.87</v>
      </c>
      <c r="P1511">
        <v>4.47</v>
      </c>
      <c r="Q1511">
        <v>-4.8099999999999996</v>
      </c>
      <c r="R1511">
        <v>-0.59</v>
      </c>
      <c r="S1511">
        <v>-0.16</v>
      </c>
      <c r="T1511">
        <v>-0.49</v>
      </c>
      <c r="U1511">
        <v>0.23</v>
      </c>
      <c r="V1511">
        <v>-0.59</v>
      </c>
      <c r="W1511">
        <v>0.86</v>
      </c>
      <c r="X1511" t="s">
        <v>13</v>
      </c>
      <c r="Y1511" t="s">
        <v>7</v>
      </c>
      <c r="Z1511" s="2" t="s">
        <v>718</v>
      </c>
      <c r="AA1511" s="2" t="s">
        <v>721</v>
      </c>
    </row>
    <row r="1512" spans="1:27" x14ac:dyDescent="0.35">
      <c r="A1512" t="s">
        <v>1639</v>
      </c>
      <c r="B1512" t="s">
        <v>2594</v>
      </c>
      <c r="C1512" s="7" t="str">
        <f>_xlfn.XLOOKUP(B1512,'[1]Sheet 1'!$A$2:$A$11107,'[1]Sheet 1'!$D$2:$D$11107,"",0)</f>
        <v/>
      </c>
      <c r="D1512" s="4" t="str">
        <f>_xlfn.XLOOKUP(A1512,[3]Sheet2!$I$2:$I$1623,[3]Sheet2!$D$2:$D$1623,"",0)</f>
        <v>Q3</v>
      </c>
      <c r="F1512" s="4" t="e">
        <f>_xlfn.XLOOKUP(B1512,[2]Sheet2!$E$2:$E$713,[2]Sheet2!$G$2:$G$713)</f>
        <v>#N/A</v>
      </c>
      <c r="G1512" s="22">
        <v>46196</v>
      </c>
      <c r="H1512" s="23">
        <v>0.28368055555555555</v>
      </c>
      <c r="I1512" t="s">
        <v>10</v>
      </c>
      <c r="J1512" s="2" t="str">
        <f t="shared" si="122"/>
        <v>Q2</v>
      </c>
      <c r="K1512" s="2" t="str">
        <f t="shared" si="123"/>
        <v>Not Match</v>
      </c>
      <c r="L1512" s="1">
        <f t="shared" si="121"/>
        <v>0.17029386365926402</v>
      </c>
      <c r="M1512" s="1" t="e">
        <f t="shared" si="120"/>
        <v>#N/A</v>
      </c>
      <c r="N1512" s="2" t="str">
        <f t="shared" si="124"/>
        <v>Q NOT OK dE&lt;=0.8</v>
      </c>
      <c r="O1512">
        <v>15.25</v>
      </c>
      <c r="P1512">
        <v>0.78</v>
      </c>
      <c r="Q1512">
        <v>-0.98</v>
      </c>
      <c r="R1512">
        <v>-0.21</v>
      </c>
      <c r="S1512">
        <v>-0.13</v>
      </c>
      <c r="T1512">
        <v>0.11</v>
      </c>
      <c r="U1512">
        <v>-0.23</v>
      </c>
      <c r="V1512">
        <v>-0.04</v>
      </c>
      <c r="W1512">
        <v>0.31</v>
      </c>
      <c r="X1512" t="s">
        <v>8</v>
      </c>
      <c r="Y1512" t="s">
        <v>7</v>
      </c>
      <c r="Z1512" s="2" t="s">
        <v>718</v>
      </c>
      <c r="AA1512" s="2" t="s">
        <v>721</v>
      </c>
    </row>
    <row r="1513" spans="1:27" x14ac:dyDescent="0.35">
      <c r="A1513" t="s">
        <v>1626</v>
      </c>
      <c r="B1513" t="s">
        <v>2595</v>
      </c>
      <c r="C1513" s="7" t="str">
        <f>_xlfn.XLOOKUP(B1513,'[1]Sheet 1'!$A$2:$A$11107,'[1]Sheet 1'!$D$2:$D$11107,"",0)</f>
        <v/>
      </c>
      <c r="D1513" s="4" t="str">
        <f>_xlfn.XLOOKUP(A1513,[3]Sheet2!$I$2:$I$1623,[3]Sheet2!$D$2:$D$1623,"",0)</f>
        <v>Q4</v>
      </c>
      <c r="F1513" s="4" t="e">
        <f>_xlfn.XLOOKUP(B1513,[2]Sheet2!$E$2:$E$713,[2]Sheet2!$G$2:$G$713)</f>
        <v>#N/A</v>
      </c>
      <c r="G1513" s="22">
        <v>46196</v>
      </c>
      <c r="H1513" s="23">
        <v>0.28662037037037036</v>
      </c>
      <c r="I1513" t="s">
        <v>10</v>
      </c>
      <c r="J1513" s="2" t="str">
        <f t="shared" si="122"/>
        <v>Q3</v>
      </c>
      <c r="K1513" s="2" t="str">
        <f t="shared" si="123"/>
        <v>Not Match</v>
      </c>
      <c r="L1513" s="1">
        <f t="shared" si="121"/>
        <v>0.43829214001622252</v>
      </c>
      <c r="M1513" s="1" t="e">
        <f t="shared" si="120"/>
        <v>#N/A</v>
      </c>
      <c r="N1513" s="2" t="str">
        <f t="shared" si="124"/>
        <v>Q NOT OK dE&gt;0.8</v>
      </c>
      <c r="O1513">
        <v>16.64</v>
      </c>
      <c r="P1513">
        <v>0.4</v>
      </c>
      <c r="Q1513">
        <v>-1.98</v>
      </c>
      <c r="R1513">
        <v>1.04</v>
      </c>
      <c r="S1513">
        <v>-0.2</v>
      </c>
      <c r="T1513">
        <v>-0.39</v>
      </c>
      <c r="U1513">
        <v>0.43</v>
      </c>
      <c r="V1513">
        <v>-0.41</v>
      </c>
      <c r="W1513">
        <v>1.19</v>
      </c>
      <c r="X1513" t="s">
        <v>6</v>
      </c>
      <c r="Y1513" t="s">
        <v>15</v>
      </c>
      <c r="Z1513" s="2" t="s">
        <v>718</v>
      </c>
      <c r="AA1513" s="2" t="s">
        <v>721</v>
      </c>
    </row>
    <row r="1514" spans="1:27" x14ac:dyDescent="0.35">
      <c r="A1514" t="s">
        <v>1626</v>
      </c>
      <c r="B1514" t="s">
        <v>2596</v>
      </c>
      <c r="C1514" s="7" t="str">
        <f>_xlfn.XLOOKUP(B1514,'[1]Sheet 1'!$A$2:$A$11107,'[1]Sheet 1'!$D$2:$D$11107,"",0)</f>
        <v/>
      </c>
      <c r="D1514" s="4" t="str">
        <f>_xlfn.XLOOKUP(A1514,[3]Sheet2!$I$2:$I$1623,[3]Sheet2!$D$2:$D$1623,"",0)</f>
        <v>Q4</v>
      </c>
      <c r="F1514" s="4" t="e">
        <f>_xlfn.XLOOKUP(B1514,[2]Sheet2!$E$2:$E$713,[2]Sheet2!$G$2:$G$713)</f>
        <v>#N/A</v>
      </c>
      <c r="G1514" s="22">
        <v>46196</v>
      </c>
      <c r="H1514" s="23">
        <v>0.42488425925925927</v>
      </c>
      <c r="I1514" t="s">
        <v>10</v>
      </c>
      <c r="J1514" s="2" t="str">
        <f t="shared" si="122"/>
        <v>Q2</v>
      </c>
      <c r="K1514" s="2" t="str">
        <f t="shared" si="123"/>
        <v>Not Match</v>
      </c>
      <c r="L1514" s="1">
        <f t="shared" si="121"/>
        <v>0.26925824035672524</v>
      </c>
      <c r="M1514" s="1" t="e">
        <f t="shared" si="120"/>
        <v>#N/A</v>
      </c>
      <c r="N1514" s="2" t="str">
        <f t="shared" si="124"/>
        <v>Q NOT OK dE&lt;=0.8</v>
      </c>
      <c r="O1514">
        <v>14.99</v>
      </c>
      <c r="P1514">
        <v>0.36</v>
      </c>
      <c r="Q1514">
        <v>-1.45</v>
      </c>
      <c r="R1514">
        <v>-0.56999999999999995</v>
      </c>
      <c r="S1514">
        <v>-0.23</v>
      </c>
      <c r="T1514">
        <v>0.14000000000000001</v>
      </c>
      <c r="U1514">
        <v>-0.27</v>
      </c>
      <c r="V1514">
        <v>-0.25</v>
      </c>
      <c r="W1514">
        <v>0.68</v>
      </c>
      <c r="X1514" t="s">
        <v>8</v>
      </c>
      <c r="Y1514" t="s">
        <v>15</v>
      </c>
      <c r="Z1514" s="2" t="s">
        <v>718</v>
      </c>
      <c r="AA1514" s="2" t="s">
        <v>721</v>
      </c>
    </row>
    <row r="1515" spans="1:27" x14ac:dyDescent="0.35">
      <c r="A1515" t="s">
        <v>2446</v>
      </c>
      <c r="B1515" t="s">
        <v>2447</v>
      </c>
      <c r="C1515" s="7" t="str">
        <f>_xlfn.XLOOKUP(B1515,'[1]Sheet 1'!$A$2:$A$11107,'[1]Sheet 1'!$D$2:$D$11107,"",0)</f>
        <v/>
      </c>
      <c r="D1515" s="4">
        <v>0</v>
      </c>
      <c r="F1515" s="4" t="e">
        <f>_xlfn.XLOOKUP(B1515,[2]Sheet2!$E$2:$E$713,[2]Sheet2!$G$2:$G$713)</f>
        <v>#N/A</v>
      </c>
      <c r="G1515" s="22">
        <v>46196</v>
      </c>
      <c r="H1515" s="23">
        <v>0.44324074074074077</v>
      </c>
      <c r="I1515" t="s">
        <v>4</v>
      </c>
      <c r="J1515" s="2" t="str">
        <f t="shared" si="122"/>
        <v>Q2</v>
      </c>
      <c r="K1515" s="2" t="str">
        <f t="shared" si="123"/>
        <v>Not Found</v>
      </c>
      <c r="L1515" s="1">
        <f t="shared" si="121"/>
        <v>0.98595131725658747</v>
      </c>
      <c r="M1515" s="1" t="e">
        <f t="shared" si="120"/>
        <v>#N/A</v>
      </c>
      <c r="N1515" s="2" t="str">
        <f t="shared" si="124"/>
        <v>Quadrant not assigned</v>
      </c>
      <c r="O1515">
        <v>27.52</v>
      </c>
      <c r="P1515">
        <v>30.66</v>
      </c>
      <c r="Q1515">
        <v>8.0500000000000007</v>
      </c>
      <c r="R1515">
        <v>-1.01</v>
      </c>
      <c r="S1515">
        <v>-0.64</v>
      </c>
      <c r="T1515">
        <v>0.75</v>
      </c>
      <c r="U1515">
        <v>-0.21</v>
      </c>
      <c r="V1515">
        <v>0.67</v>
      </c>
      <c r="W1515">
        <v>1.23</v>
      </c>
      <c r="X1515" t="s">
        <v>6</v>
      </c>
      <c r="Y1515" t="s">
        <v>12</v>
      </c>
      <c r="Z1515" s="2" t="s">
        <v>718</v>
      </c>
      <c r="AA1515" s="2" t="s">
        <v>721</v>
      </c>
    </row>
    <row r="1516" spans="1:27" x14ac:dyDescent="0.35">
      <c r="A1516" t="s">
        <v>1626</v>
      </c>
      <c r="B1516" t="s">
        <v>2597</v>
      </c>
      <c r="C1516" s="7" t="str">
        <f>_xlfn.XLOOKUP(B1516,'[1]Sheet 1'!$A$2:$A$11107,'[1]Sheet 1'!$D$2:$D$11107,"",0)</f>
        <v/>
      </c>
      <c r="D1516" s="4" t="str">
        <f>_xlfn.XLOOKUP(A1516,[3]Sheet2!$I$2:$I$1623,[3]Sheet2!$D$2:$D$1623,"",0)</f>
        <v>Q4</v>
      </c>
      <c r="F1516" s="4" t="e">
        <f>_xlfn.XLOOKUP(B1516,[2]Sheet2!$E$2:$E$713,[2]Sheet2!$G$2:$G$713)</f>
        <v>#N/A</v>
      </c>
      <c r="G1516" s="22">
        <v>46196</v>
      </c>
      <c r="H1516" s="23">
        <v>0.46722222222222221</v>
      </c>
      <c r="I1516" t="s">
        <v>10</v>
      </c>
      <c r="J1516" s="2" t="str">
        <f t="shared" si="122"/>
        <v>Q4</v>
      </c>
      <c r="K1516" s="2" t="str">
        <f t="shared" si="123"/>
        <v>Match</v>
      </c>
      <c r="L1516" s="1">
        <f t="shared" si="121"/>
        <v>0.28000000000000003</v>
      </c>
      <c r="M1516" s="1" t="e">
        <f t="shared" si="120"/>
        <v>#N/A</v>
      </c>
      <c r="N1516" s="2" t="str">
        <f t="shared" si="124"/>
        <v>Q OK dE&lt;=0.8</v>
      </c>
      <c r="O1516">
        <v>15.94</v>
      </c>
      <c r="P1516">
        <v>0.32</v>
      </c>
      <c r="Q1516">
        <v>-1.59</v>
      </c>
      <c r="R1516">
        <v>0.36</v>
      </c>
      <c r="S1516">
        <v>-0.28000000000000003</v>
      </c>
      <c r="T1516">
        <v>0</v>
      </c>
      <c r="U1516">
        <v>-0.1</v>
      </c>
      <c r="V1516">
        <v>-0.37</v>
      </c>
      <c r="W1516">
        <v>0.52</v>
      </c>
      <c r="X1516" t="s">
        <v>8</v>
      </c>
      <c r="Y1516" t="s">
        <v>15</v>
      </c>
      <c r="Z1516" s="2" t="s">
        <v>718</v>
      </c>
      <c r="AA1516" s="2" t="s">
        <v>721</v>
      </c>
    </row>
    <row r="1517" spans="1:27" x14ac:dyDescent="0.35">
      <c r="A1517" t="s">
        <v>2148</v>
      </c>
      <c r="B1517" t="s">
        <v>2598</v>
      </c>
      <c r="C1517" s="7" t="str">
        <f>_xlfn.XLOOKUP(B1517,'[1]Sheet 1'!$A$2:$A$11107,'[1]Sheet 1'!$D$2:$D$11107,"",0)</f>
        <v/>
      </c>
      <c r="D1517" s="4" t="str">
        <f>_xlfn.XLOOKUP(A1517,[3]Sheet2!$I$2:$I$1623,[3]Sheet2!$D$2:$D$1623,"",0)</f>
        <v>Q3</v>
      </c>
      <c r="F1517" s="4" t="e">
        <f>_xlfn.XLOOKUP(B1517,[2]Sheet2!$E$2:$E$713,[2]Sheet2!$G$2:$G$713)</f>
        <v>#N/A</v>
      </c>
      <c r="G1517" s="22">
        <v>46196</v>
      </c>
      <c r="H1517" s="23">
        <v>0.48423611111111109</v>
      </c>
      <c r="I1517" t="s">
        <v>10</v>
      </c>
      <c r="J1517" s="2" t="str">
        <f t="shared" si="122"/>
        <v>Q1</v>
      </c>
      <c r="K1517" s="2" t="str">
        <f t="shared" si="123"/>
        <v>Not Match</v>
      </c>
      <c r="L1517" s="1">
        <f t="shared" si="121"/>
        <v>1.5250245899656834</v>
      </c>
      <c r="M1517" s="1" t="e">
        <f t="shared" si="120"/>
        <v>#N/A</v>
      </c>
      <c r="N1517" s="2" t="str">
        <f t="shared" si="124"/>
        <v>Q NOT OK dE&gt;0.8</v>
      </c>
      <c r="O1517">
        <v>44.11</v>
      </c>
      <c r="P1517">
        <v>55.4</v>
      </c>
      <c r="Q1517">
        <v>39.18</v>
      </c>
      <c r="R1517">
        <v>0.78</v>
      </c>
      <c r="S1517">
        <v>1.36</v>
      </c>
      <c r="T1517">
        <v>0.69</v>
      </c>
      <c r="U1517">
        <v>0.52</v>
      </c>
      <c r="V1517">
        <v>-0.16</v>
      </c>
      <c r="W1517">
        <v>0.95</v>
      </c>
      <c r="X1517" t="s">
        <v>13</v>
      </c>
      <c r="Y1517" t="s">
        <v>7</v>
      </c>
      <c r="Z1517" s="2" t="s">
        <v>718</v>
      </c>
      <c r="AA1517" s="2" t="s">
        <v>721</v>
      </c>
    </row>
    <row r="1518" spans="1:27" x14ac:dyDescent="0.35">
      <c r="A1518" t="s">
        <v>2366</v>
      </c>
      <c r="B1518" t="s">
        <v>2599</v>
      </c>
      <c r="C1518" s="7" t="str">
        <f>_xlfn.XLOOKUP(B1518,'[1]Sheet 1'!$A$2:$A$11107,'[1]Sheet 1'!$D$2:$D$11107,"",0)</f>
        <v/>
      </c>
      <c r="D1518" s="4" t="str">
        <f>_xlfn.XLOOKUP(A1518,[3]Sheet2!$I$2:$I$1623,[3]Sheet2!$D$2:$D$1623,"",0)</f>
        <v>Q3</v>
      </c>
      <c r="F1518" s="4" t="e">
        <f>_xlfn.XLOOKUP(B1518,[2]Sheet2!$E$2:$E$713,[2]Sheet2!$G$2:$G$713)</f>
        <v>#N/A</v>
      </c>
      <c r="G1518" s="22">
        <v>46196</v>
      </c>
      <c r="H1518" s="23">
        <v>0.48768518518518517</v>
      </c>
      <c r="I1518" t="s">
        <v>10</v>
      </c>
      <c r="J1518" s="2" t="str">
        <f t="shared" si="122"/>
        <v>Q3</v>
      </c>
      <c r="K1518" s="2" t="str">
        <f t="shared" si="123"/>
        <v>Match</v>
      </c>
      <c r="L1518" s="1">
        <f t="shared" si="121"/>
        <v>0.17029386365926402</v>
      </c>
      <c r="M1518" s="1" t="e">
        <f t="shared" si="120"/>
        <v>#N/A</v>
      </c>
      <c r="N1518" s="2" t="str">
        <f t="shared" si="124"/>
        <v>Q OK dE&lt;=0.8</v>
      </c>
      <c r="O1518">
        <v>26.92</v>
      </c>
      <c r="P1518">
        <v>-14.34</v>
      </c>
      <c r="Q1518">
        <v>-5.15</v>
      </c>
      <c r="R1518">
        <v>0.24</v>
      </c>
      <c r="S1518">
        <v>-0.11</v>
      </c>
      <c r="T1518">
        <v>-0.13</v>
      </c>
      <c r="U1518">
        <v>0.1</v>
      </c>
      <c r="V1518">
        <v>7.0000000000000007E-2</v>
      </c>
      <c r="W1518">
        <v>0.27</v>
      </c>
      <c r="X1518" t="s">
        <v>8</v>
      </c>
      <c r="Y1518" t="s">
        <v>7</v>
      </c>
      <c r="Z1518" s="2" t="s">
        <v>718</v>
      </c>
      <c r="AA1518" s="2" t="s">
        <v>721</v>
      </c>
    </row>
    <row r="1519" spans="1:27" x14ac:dyDescent="0.35">
      <c r="A1519" t="s">
        <v>2588</v>
      </c>
      <c r="B1519" t="s">
        <v>2600</v>
      </c>
      <c r="C1519" s="7" t="str">
        <f>_xlfn.XLOOKUP(B1519,'[1]Sheet 1'!$A$2:$A$11107,'[1]Sheet 1'!$D$2:$D$11107,"",0)</f>
        <v/>
      </c>
      <c r="D1519" s="4" t="str">
        <f>_xlfn.XLOOKUP(A1519,[3]Sheet2!$I$2:$I$1623,[3]Sheet2!$D$2:$D$1623,"",0)</f>
        <v>Q1</v>
      </c>
      <c r="F1519" s="4" t="e">
        <f>_xlfn.XLOOKUP(B1519,[2]Sheet2!$E$2:$E$713,[2]Sheet2!$G$2:$G$713)</f>
        <v>#N/A</v>
      </c>
      <c r="G1519" s="22">
        <v>46196</v>
      </c>
      <c r="H1519" s="23">
        <v>0.52401620370370372</v>
      </c>
      <c r="I1519" t="s">
        <v>4</v>
      </c>
      <c r="J1519" s="2" t="str">
        <f t="shared" si="122"/>
        <v>Q3</v>
      </c>
      <c r="K1519" s="2" t="str">
        <f t="shared" si="123"/>
        <v>Not Match</v>
      </c>
      <c r="L1519" s="1">
        <f t="shared" si="121"/>
        <v>0.29832867780352595</v>
      </c>
      <c r="M1519" s="1" t="e">
        <f t="shared" si="120"/>
        <v>#N/A</v>
      </c>
      <c r="N1519" s="2" t="str">
        <f t="shared" si="124"/>
        <v>Q NOT OK dE&lt;=0.8</v>
      </c>
      <c r="O1519">
        <v>17.75</v>
      </c>
      <c r="P1519">
        <v>-1.58</v>
      </c>
      <c r="Q1519">
        <v>-2.69</v>
      </c>
      <c r="R1519">
        <v>0.4</v>
      </c>
      <c r="S1519">
        <v>-0.19</v>
      </c>
      <c r="T1519">
        <v>-0.23</v>
      </c>
      <c r="U1519">
        <v>0.37</v>
      </c>
      <c r="V1519">
        <v>-7.0000000000000007E-2</v>
      </c>
      <c r="W1519">
        <v>0.55000000000000004</v>
      </c>
      <c r="X1519" t="s">
        <v>8</v>
      </c>
      <c r="Y1519" t="s">
        <v>15</v>
      </c>
      <c r="Z1519" s="2" t="s">
        <v>718</v>
      </c>
      <c r="AA1519" s="2" t="s">
        <v>721</v>
      </c>
    </row>
    <row r="1520" spans="1:27" x14ac:dyDescent="0.35">
      <c r="A1520" t="s">
        <v>2601</v>
      </c>
      <c r="B1520" t="s">
        <v>2602</v>
      </c>
      <c r="C1520" s="7" t="str">
        <f>_xlfn.XLOOKUP(B1520,'[1]Sheet 1'!$A$2:$A$11107,'[1]Sheet 1'!$D$2:$D$11107,"",0)</f>
        <v/>
      </c>
      <c r="D1520" s="4" t="str">
        <f>_xlfn.XLOOKUP(A1520,[3]Sheet2!$I$2:$I$1623,[3]Sheet2!$D$2:$D$1623,"",0)</f>
        <v>Q1/Q2</v>
      </c>
      <c r="F1520" s="4" t="e">
        <f>_xlfn.XLOOKUP(B1520,[2]Sheet2!$E$2:$E$713,[2]Sheet2!$G$2:$G$713)</f>
        <v>#N/A</v>
      </c>
      <c r="G1520" s="22">
        <v>46196</v>
      </c>
      <c r="H1520" s="23">
        <v>0.56700231481481478</v>
      </c>
      <c r="I1520" t="s">
        <v>5</v>
      </c>
      <c r="J1520" s="2" t="str">
        <f t="shared" si="122"/>
        <v>Q4</v>
      </c>
      <c r="K1520" s="2" t="str">
        <f t="shared" si="123"/>
        <v>Not Match</v>
      </c>
      <c r="L1520" s="1">
        <f t="shared" si="121"/>
        <v>0.4401136216933077</v>
      </c>
      <c r="M1520" s="1" t="e">
        <f t="shared" si="120"/>
        <v>#N/A</v>
      </c>
      <c r="N1520" s="2" t="str">
        <f t="shared" si="124"/>
        <v>Q NOT OK dE&gt;0.8</v>
      </c>
      <c r="O1520">
        <v>16.489999999999998</v>
      </c>
      <c r="P1520">
        <v>-0.7</v>
      </c>
      <c r="Q1520">
        <v>-2.4900000000000002</v>
      </c>
      <c r="R1520">
        <v>0.62</v>
      </c>
      <c r="S1520">
        <v>0.01</v>
      </c>
      <c r="T1520">
        <v>-0.44</v>
      </c>
      <c r="U1520">
        <v>0.55000000000000004</v>
      </c>
      <c r="V1520">
        <v>0.18</v>
      </c>
      <c r="W1520">
        <v>0.85</v>
      </c>
      <c r="X1520" t="s">
        <v>13</v>
      </c>
      <c r="Y1520" t="s">
        <v>9</v>
      </c>
      <c r="Z1520" s="2" t="s">
        <v>718</v>
      </c>
      <c r="AA1520" s="2" t="s">
        <v>721</v>
      </c>
    </row>
    <row r="1521" spans="1:27" x14ac:dyDescent="0.35">
      <c r="A1521" t="s">
        <v>2156</v>
      </c>
      <c r="B1521" t="s">
        <v>2603</v>
      </c>
      <c r="C1521" s="7" t="str">
        <f>_xlfn.XLOOKUP(B1521,'[1]Sheet 1'!$A$2:$A$11107,'[1]Sheet 1'!$D$2:$D$11107,"",0)</f>
        <v/>
      </c>
      <c r="D1521" s="4" t="str">
        <f>_xlfn.XLOOKUP(A1521,[3]Sheet2!$I$2:$I$1623,[3]Sheet2!$D$2:$D$1623,"",0)</f>
        <v>Q1</v>
      </c>
      <c r="F1521" s="4" t="e">
        <f>_xlfn.XLOOKUP(B1521,[2]Sheet2!$E$2:$E$713,[2]Sheet2!$G$2:$G$713)</f>
        <v>#N/A</v>
      </c>
      <c r="G1521" s="22">
        <v>46196</v>
      </c>
      <c r="H1521" s="23">
        <v>0.5770601851851852</v>
      </c>
      <c r="I1521" t="s">
        <v>10</v>
      </c>
      <c r="J1521" s="2" t="str">
        <f t="shared" si="122"/>
        <v>Q1</v>
      </c>
      <c r="K1521" s="2" t="str">
        <f t="shared" si="123"/>
        <v>Match</v>
      </c>
      <c r="L1521" s="1">
        <f t="shared" si="121"/>
        <v>0.38948684188300897</v>
      </c>
      <c r="M1521" s="1" t="e">
        <f t="shared" si="120"/>
        <v>#N/A</v>
      </c>
      <c r="N1521" s="2" t="str">
        <f t="shared" si="124"/>
        <v>Q OK dE&lt;=0.8</v>
      </c>
      <c r="O1521">
        <v>25.95</v>
      </c>
      <c r="P1521">
        <v>-12.84</v>
      </c>
      <c r="Q1521">
        <v>-3.11</v>
      </c>
      <c r="R1521">
        <v>-0.4</v>
      </c>
      <c r="S1521">
        <v>0.34</v>
      </c>
      <c r="T1521">
        <v>0.19</v>
      </c>
      <c r="U1521">
        <v>-0.28000000000000003</v>
      </c>
      <c r="V1521">
        <v>-0.1</v>
      </c>
      <c r="W1521">
        <v>0.5</v>
      </c>
      <c r="X1521" t="s">
        <v>8</v>
      </c>
      <c r="Y1521" t="s">
        <v>12</v>
      </c>
      <c r="Z1521" s="2" t="s">
        <v>718</v>
      </c>
      <c r="AA1521" s="2" t="s">
        <v>721</v>
      </c>
    </row>
    <row r="1522" spans="1:27" x14ac:dyDescent="0.35">
      <c r="A1522" t="s">
        <v>1557</v>
      </c>
      <c r="B1522" t="s">
        <v>2604</v>
      </c>
      <c r="C1522" s="7" t="str">
        <f>_xlfn.XLOOKUP(B1522,'[1]Sheet 1'!$A$2:$A$11107,'[1]Sheet 1'!$D$2:$D$11107,"",0)</f>
        <v/>
      </c>
      <c r="D1522" s="4" t="str">
        <f>_xlfn.XLOOKUP(A1522,[3]Sheet2!$I$2:$I$1623,[3]Sheet2!$D$2:$D$1623,"",0)</f>
        <v>Q3</v>
      </c>
      <c r="F1522" s="4" t="e">
        <f>_xlfn.XLOOKUP(B1522,[2]Sheet2!$E$2:$E$713,[2]Sheet2!$G$2:$G$713)</f>
        <v>#N/A</v>
      </c>
      <c r="G1522" s="22">
        <v>46196</v>
      </c>
      <c r="H1522" s="23">
        <v>0.60718749999999999</v>
      </c>
      <c r="I1522" t="s">
        <v>17</v>
      </c>
      <c r="J1522" s="2" t="str">
        <f t="shared" si="122"/>
        <v>Q4</v>
      </c>
      <c r="K1522" s="2" t="str">
        <f t="shared" si="123"/>
        <v>Not Match</v>
      </c>
      <c r="L1522" s="1">
        <f t="shared" si="121"/>
        <v>6.0827625302982198E-2</v>
      </c>
      <c r="M1522" s="1" t="e">
        <f t="shared" si="120"/>
        <v>#N/A</v>
      </c>
      <c r="N1522" s="2" t="str">
        <f t="shared" si="124"/>
        <v>Q NOT OK dE&lt;=0.8</v>
      </c>
      <c r="O1522">
        <v>14.74</v>
      </c>
      <c r="P1522">
        <v>-0.57999999999999996</v>
      </c>
      <c r="Q1522">
        <v>-1.76</v>
      </c>
      <c r="R1522">
        <v>-0.61</v>
      </c>
      <c r="S1522">
        <v>0.01</v>
      </c>
      <c r="T1522">
        <v>-0.06</v>
      </c>
      <c r="U1522">
        <v>0.08</v>
      </c>
      <c r="V1522">
        <v>0.04</v>
      </c>
      <c r="W1522">
        <v>0.61</v>
      </c>
      <c r="X1522" t="s">
        <v>8</v>
      </c>
      <c r="Y1522" t="s">
        <v>9</v>
      </c>
      <c r="Z1522" s="2" t="s">
        <v>718</v>
      </c>
      <c r="AA1522" s="2" t="s">
        <v>721</v>
      </c>
    </row>
    <row r="1523" spans="1:27" x14ac:dyDescent="0.35">
      <c r="A1523" t="s">
        <v>2206</v>
      </c>
      <c r="B1523" t="s">
        <v>2605</v>
      </c>
      <c r="C1523" s="7" t="str">
        <f>_xlfn.XLOOKUP(B1523,'[1]Sheet 1'!$A$2:$A$11107,'[1]Sheet 1'!$D$2:$D$11107,"",0)</f>
        <v/>
      </c>
      <c r="D1523" s="4" t="str">
        <f>_xlfn.XLOOKUP(A1523,[3]Sheet2!$I$2:$I$1623,[3]Sheet2!$D$2:$D$1623,"",0)</f>
        <v>Q1</v>
      </c>
      <c r="F1523" s="4" t="e">
        <f>_xlfn.XLOOKUP(B1523,[2]Sheet2!$E$2:$E$713,[2]Sheet2!$G$2:$G$713)</f>
        <v>#N/A</v>
      </c>
      <c r="G1523" s="22">
        <v>46196</v>
      </c>
      <c r="H1523" s="23">
        <v>0.62542824074074077</v>
      </c>
      <c r="I1523" t="s">
        <v>10</v>
      </c>
      <c r="J1523" s="2" t="str">
        <f t="shared" si="122"/>
        <v>Q1</v>
      </c>
      <c r="K1523" s="2" t="str">
        <f t="shared" si="123"/>
        <v>Match</v>
      </c>
      <c r="L1523" s="1">
        <f t="shared" si="121"/>
        <v>0.43174066289845803</v>
      </c>
      <c r="M1523" s="1" t="e">
        <f t="shared" si="120"/>
        <v>#N/A</v>
      </c>
      <c r="N1523" s="2" t="str">
        <f t="shared" si="124"/>
        <v>Q OK dE&gt;0.8</v>
      </c>
      <c r="O1523">
        <v>17.77</v>
      </c>
      <c r="P1523">
        <v>0.68</v>
      </c>
      <c r="Q1523">
        <v>-2.37</v>
      </c>
      <c r="R1523">
        <v>1.29</v>
      </c>
      <c r="S1523">
        <v>0.1</v>
      </c>
      <c r="T1523">
        <v>0.42</v>
      </c>
      <c r="U1523">
        <v>-0.47</v>
      </c>
      <c r="V1523">
        <v>0.27</v>
      </c>
      <c r="W1523">
        <v>1.4</v>
      </c>
      <c r="X1523" t="s">
        <v>6</v>
      </c>
      <c r="Y1523" t="s">
        <v>9</v>
      </c>
      <c r="Z1523" s="2" t="s">
        <v>718</v>
      </c>
      <c r="AA1523" s="2" t="s">
        <v>721</v>
      </c>
    </row>
    <row r="1524" spans="1:27" x14ac:dyDescent="0.35">
      <c r="A1524" t="s">
        <v>2400</v>
      </c>
      <c r="B1524" t="s">
        <v>2606</v>
      </c>
      <c r="C1524" s="7" t="str">
        <f>_xlfn.XLOOKUP(B1524,'[1]Sheet 1'!$A$2:$A$11107,'[1]Sheet 1'!$D$2:$D$11107,"",0)</f>
        <v/>
      </c>
      <c r="D1524" s="4" t="str">
        <f>_xlfn.XLOOKUP(A1524,[3]Sheet2!$I$2:$I$1623,[3]Sheet2!$D$2:$D$1623,"",0)</f>
        <v>Q4</v>
      </c>
      <c r="F1524" s="4" t="e">
        <f>_xlfn.XLOOKUP(B1524,[2]Sheet2!$E$2:$E$713,[2]Sheet2!$G$2:$G$713)</f>
        <v>#N/A</v>
      </c>
      <c r="G1524" s="22">
        <v>46196</v>
      </c>
      <c r="H1524" s="23">
        <v>0.62837962962962968</v>
      </c>
      <c r="I1524" t="s">
        <v>10</v>
      </c>
      <c r="J1524" s="2" t="str">
        <f t="shared" si="122"/>
        <v>Q1</v>
      </c>
      <c r="K1524" s="2" t="str">
        <f t="shared" si="123"/>
        <v>Not Match</v>
      </c>
      <c r="L1524" s="1">
        <f t="shared" si="121"/>
        <v>1.0551303237041385</v>
      </c>
      <c r="M1524" s="1" t="e">
        <f t="shared" si="120"/>
        <v>#N/A</v>
      </c>
      <c r="N1524" s="2" t="str">
        <f t="shared" si="124"/>
        <v>Q NOT OK dE&gt;0.8</v>
      </c>
      <c r="O1524">
        <v>20.02</v>
      </c>
      <c r="P1524">
        <v>12.41</v>
      </c>
      <c r="Q1524">
        <v>-0.26</v>
      </c>
      <c r="R1524">
        <v>-0.26</v>
      </c>
      <c r="S1524">
        <v>1.02</v>
      </c>
      <c r="T1524">
        <v>0.27</v>
      </c>
      <c r="U1524">
        <v>0.79</v>
      </c>
      <c r="V1524">
        <v>0.33</v>
      </c>
      <c r="W1524">
        <v>0.9</v>
      </c>
      <c r="X1524" t="s">
        <v>13</v>
      </c>
      <c r="Y1524" t="s">
        <v>9</v>
      </c>
      <c r="Z1524" s="2" t="s">
        <v>718</v>
      </c>
      <c r="AA1524" s="2" t="s">
        <v>721</v>
      </c>
    </row>
    <row r="1525" spans="1:27" x14ac:dyDescent="0.35">
      <c r="A1525" t="s">
        <v>1626</v>
      </c>
      <c r="B1525" t="s">
        <v>2607</v>
      </c>
      <c r="C1525" s="7" t="str">
        <f>_xlfn.XLOOKUP(B1525,'[1]Sheet 1'!$A$2:$A$11107,'[1]Sheet 1'!$D$2:$D$11107,"",0)</f>
        <v/>
      </c>
      <c r="D1525" s="4" t="str">
        <f>_xlfn.XLOOKUP(A1525,[3]Sheet2!$I$2:$I$1623,[3]Sheet2!$D$2:$D$1623,"",0)</f>
        <v>Q4</v>
      </c>
      <c r="F1525" s="4" t="e">
        <f>_xlfn.XLOOKUP(B1525,[2]Sheet2!$E$2:$E$713,[2]Sheet2!$G$2:$G$713)</f>
        <v>#N/A</v>
      </c>
      <c r="G1525" s="22">
        <v>46196</v>
      </c>
      <c r="H1525" s="23">
        <v>0.7044907407407407</v>
      </c>
      <c r="I1525" t="s">
        <v>10</v>
      </c>
      <c r="J1525" s="2" t="str">
        <f t="shared" si="122"/>
        <v>Q2</v>
      </c>
      <c r="K1525" s="2" t="str">
        <f t="shared" si="123"/>
        <v>Not Match</v>
      </c>
      <c r="L1525" s="1">
        <f t="shared" si="121"/>
        <v>0.28319604517012592</v>
      </c>
      <c r="M1525" s="1" t="e">
        <f t="shared" si="120"/>
        <v>#N/A</v>
      </c>
      <c r="N1525" s="2" t="str">
        <f t="shared" si="124"/>
        <v>Q NOT OK dE&lt;=0.8</v>
      </c>
      <c r="O1525">
        <v>14.88</v>
      </c>
      <c r="P1525">
        <v>0.38</v>
      </c>
      <c r="Q1525">
        <v>-1.4</v>
      </c>
      <c r="R1525">
        <v>-0.68</v>
      </c>
      <c r="S1525">
        <v>-0.21</v>
      </c>
      <c r="T1525">
        <v>0.19</v>
      </c>
      <c r="U1525">
        <v>-0.34</v>
      </c>
      <c r="V1525">
        <v>-0.2</v>
      </c>
      <c r="W1525">
        <v>0.78</v>
      </c>
      <c r="X1525" t="s">
        <v>13</v>
      </c>
      <c r="Y1525" t="s">
        <v>15</v>
      </c>
      <c r="Z1525" s="2" t="s">
        <v>718</v>
      </c>
      <c r="AA1525" s="2" t="s">
        <v>721</v>
      </c>
    </row>
    <row r="1526" spans="1:27" x14ac:dyDescent="0.35">
      <c r="A1526" t="s">
        <v>1521</v>
      </c>
      <c r="B1526" t="s">
        <v>2608</v>
      </c>
      <c r="C1526" s="7" t="str">
        <f>_xlfn.XLOOKUP(B1526,'[1]Sheet 1'!$A$2:$A$11107,'[1]Sheet 1'!$D$2:$D$11107,"",0)</f>
        <v/>
      </c>
      <c r="D1526" s="4" t="str">
        <f>_xlfn.XLOOKUP(A1526,[3]Sheet2!$I$2:$I$1623,[3]Sheet2!$D$2:$D$1623,"",0)</f>
        <v>Q3</v>
      </c>
      <c r="F1526" s="4" t="e">
        <f>_xlfn.XLOOKUP(B1526,[2]Sheet2!$E$2:$E$713,[2]Sheet2!$G$2:$G$713)</f>
        <v>#N/A</v>
      </c>
      <c r="G1526" s="22">
        <v>46196</v>
      </c>
      <c r="H1526" s="23">
        <v>0.70762731481481478</v>
      </c>
      <c r="I1526" t="s">
        <v>10</v>
      </c>
      <c r="J1526" s="2" t="str">
        <f t="shared" si="122"/>
        <v>Q2</v>
      </c>
      <c r="K1526" s="2" t="str">
        <f t="shared" si="123"/>
        <v>Not Match</v>
      </c>
      <c r="L1526" s="1">
        <f t="shared" si="121"/>
        <v>0.63150613615387785</v>
      </c>
      <c r="M1526" s="1" t="e">
        <f t="shared" si="120"/>
        <v>#N/A</v>
      </c>
      <c r="N1526" s="2" t="str">
        <f t="shared" si="124"/>
        <v>Q NOT OK dE&gt;0.8</v>
      </c>
      <c r="O1526">
        <v>20.34</v>
      </c>
      <c r="P1526">
        <v>0.98</v>
      </c>
      <c r="Q1526">
        <v>-6.6</v>
      </c>
      <c r="R1526">
        <v>-0.88</v>
      </c>
      <c r="S1526">
        <v>-0.12</v>
      </c>
      <c r="T1526">
        <v>0.62</v>
      </c>
      <c r="U1526">
        <v>-0.59</v>
      </c>
      <c r="V1526">
        <v>-0.04</v>
      </c>
      <c r="W1526">
        <v>1.06</v>
      </c>
      <c r="X1526" t="s">
        <v>6</v>
      </c>
      <c r="Y1526" t="s">
        <v>15</v>
      </c>
      <c r="Z1526" s="2" t="s">
        <v>718</v>
      </c>
      <c r="AA1526" s="2" t="s">
        <v>721</v>
      </c>
    </row>
    <row r="1527" spans="1:27" x14ac:dyDescent="0.35">
      <c r="A1527" t="s">
        <v>1545</v>
      </c>
      <c r="B1527" t="s">
        <v>2609</v>
      </c>
      <c r="C1527" s="7" t="str">
        <f>_xlfn.XLOOKUP(B1527,'[1]Sheet 1'!$A$2:$A$11107,'[1]Sheet 1'!$D$2:$D$11107,"",0)</f>
        <v/>
      </c>
      <c r="D1527" s="4" t="str">
        <f>_xlfn.XLOOKUP(A1527,[3]Sheet2!$I$2:$I$1623,[3]Sheet2!$D$2:$D$1623,"",0)</f>
        <v>Q2</v>
      </c>
      <c r="F1527" s="4" t="e">
        <f>_xlfn.XLOOKUP(B1527,[2]Sheet2!$E$2:$E$713,[2]Sheet2!$G$2:$G$713)</f>
        <v>#N/A</v>
      </c>
      <c r="G1527" s="22">
        <v>46196</v>
      </c>
      <c r="H1527" s="23">
        <v>0.72445601851851849</v>
      </c>
      <c r="I1527" t="s">
        <v>4</v>
      </c>
      <c r="J1527" s="2" t="str">
        <f t="shared" si="122"/>
        <v>Q4</v>
      </c>
      <c r="K1527" s="2" t="str">
        <f t="shared" si="123"/>
        <v>Not Match</v>
      </c>
      <c r="L1527" s="1">
        <f t="shared" si="121"/>
        <v>0.2102379604162864</v>
      </c>
      <c r="M1527" s="1" t="e">
        <f t="shared" si="120"/>
        <v>#N/A</v>
      </c>
      <c r="N1527" s="2" t="str">
        <f t="shared" si="124"/>
        <v>Q NOT OK dE&lt;=0.8</v>
      </c>
      <c r="O1527">
        <v>18.23</v>
      </c>
      <c r="P1527">
        <v>-0.8</v>
      </c>
      <c r="Q1527">
        <v>-1.81</v>
      </c>
      <c r="R1527">
        <v>-0.19</v>
      </c>
      <c r="S1527">
        <v>0.09</v>
      </c>
      <c r="T1527">
        <v>-0.19</v>
      </c>
      <c r="U1527">
        <v>0.17</v>
      </c>
      <c r="V1527">
        <v>0.23</v>
      </c>
      <c r="W1527">
        <v>0.34</v>
      </c>
      <c r="X1527" t="s">
        <v>8</v>
      </c>
      <c r="Y1527" t="s">
        <v>9</v>
      </c>
      <c r="Z1527" s="2" t="s">
        <v>718</v>
      </c>
      <c r="AA1527" s="2" t="s">
        <v>721</v>
      </c>
    </row>
    <row r="1528" spans="1:27" x14ac:dyDescent="0.35">
      <c r="A1528" t="s">
        <v>2245</v>
      </c>
      <c r="B1528" t="s">
        <v>2610</v>
      </c>
      <c r="C1528" s="7" t="str">
        <f>_xlfn.XLOOKUP(B1528,'[1]Sheet 1'!$A$2:$A$11107,'[1]Sheet 1'!$D$2:$D$11107,"",0)</f>
        <v/>
      </c>
      <c r="D1528" s="4" t="str">
        <f>_xlfn.XLOOKUP(A1528,[3]Sheet2!$I$2:$I$1623,[3]Sheet2!$D$2:$D$1623,"",0)</f>
        <v>Q1</v>
      </c>
      <c r="F1528" s="4" t="e">
        <f>_xlfn.XLOOKUP(B1528,[2]Sheet2!$E$2:$E$713,[2]Sheet2!$G$2:$G$713)</f>
        <v>#N/A</v>
      </c>
      <c r="G1528" s="22">
        <v>46196</v>
      </c>
      <c r="H1528" s="23">
        <v>0.72964120370370367</v>
      </c>
      <c r="I1528" t="s">
        <v>10</v>
      </c>
      <c r="J1528" s="2" t="str">
        <f t="shared" si="122"/>
        <v>Q1</v>
      </c>
      <c r="K1528" s="2" t="str">
        <f t="shared" si="123"/>
        <v>Match</v>
      </c>
      <c r="L1528" s="1">
        <f t="shared" si="121"/>
        <v>0.49254441424099005</v>
      </c>
      <c r="M1528" s="1" t="e">
        <f t="shared" si="120"/>
        <v>#N/A</v>
      </c>
      <c r="N1528" s="2" t="str">
        <f t="shared" si="124"/>
        <v>Q OK dE&lt;=0.8</v>
      </c>
      <c r="O1528">
        <v>37.729999999999997</v>
      </c>
      <c r="P1528">
        <v>19.579999999999998</v>
      </c>
      <c r="Q1528">
        <v>8.32</v>
      </c>
      <c r="R1528">
        <v>-0.6</v>
      </c>
      <c r="S1528">
        <v>0.05</v>
      </c>
      <c r="T1528">
        <v>0.49</v>
      </c>
      <c r="U1528">
        <v>0.14000000000000001</v>
      </c>
      <c r="V1528">
        <v>0.45</v>
      </c>
      <c r="W1528">
        <v>0.76</v>
      </c>
      <c r="X1528" t="s">
        <v>13</v>
      </c>
      <c r="Y1528" t="s">
        <v>12</v>
      </c>
      <c r="Z1528" s="2" t="s">
        <v>718</v>
      </c>
      <c r="AA1528" s="2" t="s">
        <v>721</v>
      </c>
    </row>
    <row r="1529" spans="1:27" x14ac:dyDescent="0.35">
      <c r="A1529" t="s">
        <v>2611</v>
      </c>
      <c r="B1529" t="s">
        <v>2612</v>
      </c>
      <c r="C1529" s="7" t="str">
        <f>_xlfn.XLOOKUP(B1529,'[1]Sheet 1'!$A$2:$A$11107,'[1]Sheet 1'!$D$2:$D$11107,"",0)</f>
        <v/>
      </c>
      <c r="D1529" s="4" t="str">
        <f>_xlfn.XLOOKUP(A1529,[3]Sheet2!$I$2:$I$1623,[3]Sheet2!$D$2:$D$1623,"",0)</f>
        <v>Q3</v>
      </c>
      <c r="F1529" s="4" t="e">
        <f>_xlfn.XLOOKUP(B1529,[2]Sheet2!$E$2:$E$713,[2]Sheet2!$G$2:$G$713)</f>
        <v>#N/A</v>
      </c>
      <c r="G1529" s="22">
        <v>46196</v>
      </c>
      <c r="H1529" s="23">
        <v>0.75806712962962963</v>
      </c>
      <c r="I1529" t="s">
        <v>10</v>
      </c>
      <c r="J1529" s="2" t="str">
        <f t="shared" si="122"/>
        <v>Q1</v>
      </c>
      <c r="K1529" s="2" t="str">
        <f t="shared" si="123"/>
        <v>Not Match</v>
      </c>
      <c r="L1529" s="1">
        <f t="shared" si="121"/>
        <v>1.0922453936730518</v>
      </c>
      <c r="M1529" s="1" t="e">
        <f t="shared" si="120"/>
        <v>#N/A</v>
      </c>
      <c r="N1529" s="2" t="str">
        <f t="shared" si="124"/>
        <v>Q NOT OK dE&lt;=0.8</v>
      </c>
      <c r="O1529">
        <v>28.73</v>
      </c>
      <c r="P1529">
        <v>26.39</v>
      </c>
      <c r="Q1529">
        <v>-4.1900000000000004</v>
      </c>
      <c r="R1529">
        <v>0.12</v>
      </c>
      <c r="S1529">
        <v>0.71</v>
      </c>
      <c r="T1529">
        <v>0.83</v>
      </c>
      <c r="U1529">
        <v>0.28999999999999998</v>
      </c>
      <c r="V1529">
        <v>0.69</v>
      </c>
      <c r="W1529">
        <v>0.76</v>
      </c>
      <c r="X1529" t="s">
        <v>13</v>
      </c>
      <c r="Y1529" t="s">
        <v>9</v>
      </c>
      <c r="Z1529" s="2" t="s">
        <v>718</v>
      </c>
      <c r="AA1529" s="2" t="s">
        <v>721</v>
      </c>
    </row>
    <row r="1530" spans="1:27" x14ac:dyDescent="0.35">
      <c r="A1530" t="s">
        <v>2400</v>
      </c>
      <c r="B1530" t="s">
        <v>2533</v>
      </c>
      <c r="C1530" s="7" t="str">
        <f>_xlfn.XLOOKUP(B1530,'[1]Sheet 1'!$A$2:$A$11107,'[1]Sheet 1'!$D$2:$D$11107,"",0)</f>
        <v/>
      </c>
      <c r="D1530" s="4" t="str">
        <f>_xlfn.XLOOKUP(A1530,[3]Sheet2!$I$2:$I$1623,[3]Sheet2!$D$2:$D$1623,"",0)</f>
        <v>Q4</v>
      </c>
      <c r="F1530" s="4" t="e">
        <f>_xlfn.XLOOKUP(B1530,[2]Sheet2!$E$2:$E$713,[2]Sheet2!$G$2:$G$713)</f>
        <v>#N/A</v>
      </c>
      <c r="G1530" s="22">
        <v>46196</v>
      </c>
      <c r="H1530" s="23">
        <v>0.76035879629629632</v>
      </c>
      <c r="I1530" t="s">
        <v>10</v>
      </c>
      <c r="J1530" s="2" t="str">
        <f t="shared" si="122"/>
        <v>Q1</v>
      </c>
      <c r="K1530" s="2" t="str">
        <f t="shared" si="123"/>
        <v>Not Match</v>
      </c>
      <c r="L1530" s="1">
        <f t="shared" si="121"/>
        <v>0.97144222679477965</v>
      </c>
      <c r="M1530" s="1" t="e">
        <f t="shared" si="120"/>
        <v>#N/A</v>
      </c>
      <c r="N1530" s="2" t="str">
        <f t="shared" si="124"/>
        <v>Q NOT OK dE&gt;0.8</v>
      </c>
      <c r="O1530">
        <v>20.03</v>
      </c>
      <c r="P1530">
        <v>12.31</v>
      </c>
      <c r="Q1530">
        <v>-0.18</v>
      </c>
      <c r="R1530">
        <v>-0.25</v>
      </c>
      <c r="S1530">
        <v>0.91</v>
      </c>
      <c r="T1530">
        <v>0.34</v>
      </c>
      <c r="U1530">
        <v>0.71</v>
      </c>
      <c r="V1530">
        <v>0.41</v>
      </c>
      <c r="W1530">
        <v>0.85</v>
      </c>
      <c r="X1530" t="s">
        <v>13</v>
      </c>
      <c r="Y1530" t="s">
        <v>9</v>
      </c>
      <c r="Z1530" s="2" t="s">
        <v>718</v>
      </c>
      <c r="AA1530" s="2" t="s">
        <v>721</v>
      </c>
    </row>
    <row r="1531" spans="1:27" x14ac:dyDescent="0.35">
      <c r="A1531" t="s">
        <v>1626</v>
      </c>
      <c r="B1531" t="s">
        <v>2613</v>
      </c>
      <c r="C1531" s="7" t="str">
        <f>_xlfn.XLOOKUP(B1531,'[1]Sheet 1'!$A$2:$A$11107,'[1]Sheet 1'!$D$2:$D$11107,"",0)</f>
        <v/>
      </c>
      <c r="D1531" s="4" t="str">
        <f>_xlfn.XLOOKUP(A1531,[3]Sheet2!$I$2:$I$1623,[3]Sheet2!$D$2:$D$1623,"",0)</f>
        <v>Q4</v>
      </c>
      <c r="F1531" s="4" t="e">
        <f>_xlfn.XLOOKUP(B1531,[2]Sheet2!$E$2:$E$713,[2]Sheet2!$G$2:$G$713)</f>
        <v>#N/A</v>
      </c>
      <c r="G1531" s="22">
        <v>46196</v>
      </c>
      <c r="H1531" s="23">
        <v>0.77721064814814811</v>
      </c>
      <c r="I1531" t="s">
        <v>10</v>
      </c>
      <c r="J1531" s="2" t="str">
        <f t="shared" si="122"/>
        <v>Q2</v>
      </c>
      <c r="K1531" s="2" t="str">
        <f t="shared" si="123"/>
        <v>Not Match</v>
      </c>
      <c r="L1531" s="1">
        <f t="shared" si="121"/>
        <v>0.32062439083762795</v>
      </c>
      <c r="M1531" s="1" t="e">
        <f t="shared" si="120"/>
        <v>#N/A</v>
      </c>
      <c r="N1531" s="2" t="str">
        <f t="shared" si="124"/>
        <v>Q NOT OK dE&lt;=0.8</v>
      </c>
      <c r="O1531">
        <v>15.34</v>
      </c>
      <c r="P1531">
        <v>0.28000000000000003</v>
      </c>
      <c r="Q1531">
        <v>-1.57</v>
      </c>
      <c r="R1531">
        <v>-0.23</v>
      </c>
      <c r="S1531">
        <v>-0.32</v>
      </c>
      <c r="T1531">
        <v>0.02</v>
      </c>
      <c r="U1531">
        <v>-0.14000000000000001</v>
      </c>
      <c r="V1531">
        <v>-0.42</v>
      </c>
      <c r="W1531">
        <v>0.5</v>
      </c>
      <c r="X1531" t="s">
        <v>8</v>
      </c>
      <c r="Y1531" t="s">
        <v>15</v>
      </c>
      <c r="Z1531" s="2" t="s">
        <v>718</v>
      </c>
      <c r="AA1531" s="2" t="s">
        <v>721</v>
      </c>
    </row>
    <row r="1532" spans="1:27" x14ac:dyDescent="0.35">
      <c r="A1532" t="s">
        <v>2588</v>
      </c>
      <c r="B1532" t="s">
        <v>2614</v>
      </c>
      <c r="C1532" s="7" t="str">
        <f>_xlfn.XLOOKUP(B1532,'[1]Sheet 1'!$A$2:$A$11107,'[1]Sheet 1'!$D$2:$D$11107,"",0)</f>
        <v/>
      </c>
      <c r="D1532" s="4" t="str">
        <f>_xlfn.XLOOKUP(A1532,[3]Sheet2!$I$2:$I$1623,[3]Sheet2!$D$2:$D$1623,"",0)</f>
        <v>Q1</v>
      </c>
      <c r="F1532" s="4" t="e">
        <f>_xlfn.XLOOKUP(B1532,[2]Sheet2!$E$2:$E$713,[2]Sheet2!$G$2:$G$713)</f>
        <v>#N/A</v>
      </c>
      <c r="G1532" s="22">
        <v>46196</v>
      </c>
      <c r="H1532" s="23">
        <v>0.78034722222222219</v>
      </c>
      <c r="I1532" t="s">
        <v>5</v>
      </c>
      <c r="J1532" s="2" t="str">
        <f t="shared" si="122"/>
        <v>Q3</v>
      </c>
      <c r="K1532" s="2" t="str">
        <f t="shared" si="123"/>
        <v>Not Match</v>
      </c>
      <c r="L1532" s="1">
        <f t="shared" si="121"/>
        <v>0.35383612025908268</v>
      </c>
      <c r="M1532" s="1" t="e">
        <f t="shared" ref="M1532:M1595" si="125">IF(L1532&lt;=F1532,"Within Range","Over Range")</f>
        <v>#N/A</v>
      </c>
      <c r="N1532" s="2" t="str">
        <f t="shared" si="124"/>
        <v>Q NOT OK dE&lt;=0.8</v>
      </c>
      <c r="O1532">
        <v>16.22</v>
      </c>
      <c r="P1532">
        <v>-1.18</v>
      </c>
      <c r="Q1532">
        <v>-3.61</v>
      </c>
      <c r="R1532">
        <v>-0.46</v>
      </c>
      <c r="S1532">
        <v>-0.24</v>
      </c>
      <c r="T1532">
        <v>-0.26</v>
      </c>
      <c r="U1532">
        <v>0.37</v>
      </c>
      <c r="V1532">
        <v>-0.2</v>
      </c>
      <c r="W1532">
        <v>0.63</v>
      </c>
      <c r="X1532" t="s">
        <v>8</v>
      </c>
      <c r="Y1532" t="s">
        <v>15</v>
      </c>
      <c r="Z1532" s="2" t="s">
        <v>718</v>
      </c>
      <c r="AA1532" s="2" t="s">
        <v>721</v>
      </c>
    </row>
    <row r="1533" spans="1:27" x14ac:dyDescent="0.35">
      <c r="A1533" t="s">
        <v>2156</v>
      </c>
      <c r="B1533" t="s">
        <v>2615</v>
      </c>
      <c r="C1533" s="7" t="str">
        <f>_xlfn.XLOOKUP(B1533,'[1]Sheet 1'!$A$2:$A$11107,'[1]Sheet 1'!$D$2:$D$11107,"",0)</f>
        <v/>
      </c>
      <c r="D1533" s="4" t="str">
        <f>_xlfn.XLOOKUP(A1533,[3]Sheet2!$I$2:$I$1623,[3]Sheet2!$D$2:$D$1623,"",0)</f>
        <v>Q1</v>
      </c>
      <c r="F1533" s="4" t="e">
        <f>_xlfn.XLOOKUP(B1533,[2]Sheet2!$E$2:$E$713,[2]Sheet2!$G$2:$G$713)</f>
        <v>#N/A</v>
      </c>
      <c r="G1533" s="22">
        <v>46196</v>
      </c>
      <c r="H1533" s="23">
        <v>0.92121527777777779</v>
      </c>
      <c r="I1533" t="s">
        <v>10</v>
      </c>
      <c r="J1533" s="2" t="str">
        <f t="shared" si="122"/>
        <v>Q1</v>
      </c>
      <c r="K1533" s="2" t="str">
        <f t="shared" si="123"/>
        <v>Match</v>
      </c>
      <c r="L1533" s="1">
        <f t="shared" si="121"/>
        <v>1.9980990966416055</v>
      </c>
      <c r="M1533" s="1" t="e">
        <f t="shared" si="125"/>
        <v>#N/A</v>
      </c>
      <c r="N1533" s="2" t="str">
        <f t="shared" si="124"/>
        <v>Q OK dE&gt;0.8</v>
      </c>
      <c r="O1533">
        <v>25.83</v>
      </c>
      <c r="P1533">
        <v>-11.87</v>
      </c>
      <c r="Q1533">
        <v>-1.8</v>
      </c>
      <c r="R1533">
        <v>-0.49</v>
      </c>
      <c r="S1533">
        <v>1.32</v>
      </c>
      <c r="T1533">
        <v>1.5</v>
      </c>
      <c r="U1533">
        <v>-1.1599999999999999</v>
      </c>
      <c r="V1533">
        <v>-1.1499999999999999</v>
      </c>
      <c r="W1533">
        <v>1.7</v>
      </c>
      <c r="X1533" t="s">
        <v>6</v>
      </c>
      <c r="Y1533" t="s">
        <v>12</v>
      </c>
      <c r="Z1533" s="2" t="s">
        <v>718</v>
      </c>
      <c r="AA1533" s="2" t="s">
        <v>721</v>
      </c>
    </row>
    <row r="1534" spans="1:27" x14ac:dyDescent="0.35">
      <c r="A1534" t="s">
        <v>1626</v>
      </c>
      <c r="B1534" t="s">
        <v>2616</v>
      </c>
      <c r="C1534" s="7" t="str">
        <f>_xlfn.XLOOKUP(B1534,'[1]Sheet 1'!$A$2:$A$11107,'[1]Sheet 1'!$D$2:$D$11107,"",0)</f>
        <v/>
      </c>
      <c r="D1534" s="4" t="str">
        <f>_xlfn.XLOOKUP(A1534,[3]Sheet2!$I$2:$I$1623,[3]Sheet2!$D$2:$D$1623,"",0)</f>
        <v>Q4</v>
      </c>
      <c r="F1534" s="4" t="e">
        <f>_xlfn.XLOOKUP(B1534,[2]Sheet2!$E$2:$E$713,[2]Sheet2!$G$2:$G$713)</f>
        <v>#N/A</v>
      </c>
      <c r="G1534" s="22">
        <v>46197</v>
      </c>
      <c r="H1534" s="23">
        <v>0.12462962962962963</v>
      </c>
      <c r="I1534" t="s">
        <v>10</v>
      </c>
      <c r="J1534" s="2" t="str">
        <f t="shared" si="122"/>
        <v>Q2</v>
      </c>
      <c r="K1534" s="2" t="str">
        <f t="shared" si="123"/>
        <v>Not Match</v>
      </c>
      <c r="L1534" s="1">
        <f t="shared" ref="L1534:L1597" si="126">SQRT(S1534^2+T1534^2)</f>
        <v>0.29410882339705485</v>
      </c>
      <c r="M1534" s="1" t="e">
        <f t="shared" si="125"/>
        <v>#N/A</v>
      </c>
      <c r="N1534" s="2" t="str">
        <f t="shared" si="124"/>
        <v>Q NOT OK dE&lt;=0.8</v>
      </c>
      <c r="O1534">
        <v>15.56</v>
      </c>
      <c r="P1534">
        <v>0.36</v>
      </c>
      <c r="Q1534">
        <v>-1.42</v>
      </c>
      <c r="R1534">
        <v>-0.02</v>
      </c>
      <c r="S1534">
        <v>-0.24</v>
      </c>
      <c r="T1534">
        <v>0.17</v>
      </c>
      <c r="U1534">
        <v>-0.31</v>
      </c>
      <c r="V1534">
        <v>-0.24</v>
      </c>
      <c r="W1534">
        <v>0.4</v>
      </c>
      <c r="X1534" t="s">
        <v>8</v>
      </c>
      <c r="Y1534" t="s">
        <v>15</v>
      </c>
      <c r="Z1534" s="2" t="s">
        <v>718</v>
      </c>
      <c r="AA1534" s="2" t="s">
        <v>721</v>
      </c>
    </row>
    <row r="1535" spans="1:27" x14ac:dyDescent="0.35">
      <c r="A1535" t="s">
        <v>1626</v>
      </c>
      <c r="B1535" t="s">
        <v>2617</v>
      </c>
      <c r="C1535" s="7" t="str">
        <f>_xlfn.XLOOKUP(B1535,'[1]Sheet 1'!$A$2:$A$11107,'[1]Sheet 1'!$D$2:$D$11107,"",0)</f>
        <v/>
      </c>
      <c r="D1535" s="4" t="str">
        <f>_xlfn.XLOOKUP(A1535,[3]Sheet2!$I$2:$I$1623,[3]Sheet2!$D$2:$D$1623,"",0)</f>
        <v>Q4</v>
      </c>
      <c r="F1535" s="4" t="e">
        <f>_xlfn.XLOOKUP(B1535,[2]Sheet2!$E$2:$E$713,[2]Sheet2!$G$2:$G$713)</f>
        <v>#N/A</v>
      </c>
      <c r="G1535" s="22">
        <v>46197</v>
      </c>
      <c r="H1535" s="23">
        <v>0.12937499999999999</v>
      </c>
      <c r="I1535" t="s">
        <v>10</v>
      </c>
      <c r="J1535" s="2" t="str">
        <f t="shared" si="122"/>
        <v>Q3</v>
      </c>
      <c r="K1535" s="2" t="str">
        <f t="shared" si="123"/>
        <v>Not Match</v>
      </c>
      <c r="L1535" s="1">
        <f t="shared" si="126"/>
        <v>0.36055512754639896</v>
      </c>
      <c r="M1535" s="1" t="e">
        <f t="shared" si="125"/>
        <v>#N/A</v>
      </c>
      <c r="N1535" s="2" t="str">
        <f t="shared" si="124"/>
        <v>Q NOT OK dE&lt;=0.8</v>
      </c>
      <c r="O1535">
        <v>15.44</v>
      </c>
      <c r="P1535">
        <v>0.23</v>
      </c>
      <c r="Q1535">
        <v>-1.61</v>
      </c>
      <c r="R1535">
        <v>-0.13</v>
      </c>
      <c r="S1535">
        <v>-0.36</v>
      </c>
      <c r="T1535">
        <v>-0.02</v>
      </c>
      <c r="U1535">
        <v>-0.1</v>
      </c>
      <c r="V1535">
        <v>-0.49</v>
      </c>
      <c r="W1535">
        <v>0.52</v>
      </c>
      <c r="X1535" t="s">
        <v>8</v>
      </c>
      <c r="Y1535" t="s">
        <v>15</v>
      </c>
      <c r="Z1535" s="2" t="s">
        <v>718</v>
      </c>
      <c r="AA1535" s="2" t="s">
        <v>721</v>
      </c>
    </row>
    <row r="1536" spans="1:27" x14ac:dyDescent="0.35">
      <c r="A1536" t="s">
        <v>2366</v>
      </c>
      <c r="B1536" t="s">
        <v>2618</v>
      </c>
      <c r="C1536" s="7" t="str">
        <f>_xlfn.XLOOKUP(B1536,'[1]Sheet 1'!$A$2:$A$11107,'[1]Sheet 1'!$D$2:$D$11107,"",0)</f>
        <v/>
      </c>
      <c r="D1536" s="4" t="str">
        <f>_xlfn.XLOOKUP(A1536,[3]Sheet2!$I$2:$I$1623,[3]Sheet2!$D$2:$D$1623,"",0)</f>
        <v>Q3</v>
      </c>
      <c r="F1536" s="4" t="e">
        <f>_xlfn.XLOOKUP(B1536,[2]Sheet2!$E$2:$E$713,[2]Sheet2!$G$2:$G$713)</f>
        <v>#N/A</v>
      </c>
      <c r="G1536" s="22">
        <v>46197</v>
      </c>
      <c r="H1536" s="23">
        <v>0.1315625</v>
      </c>
      <c r="I1536" t="s">
        <v>10</v>
      </c>
      <c r="J1536" s="2" t="str">
        <f t="shared" si="122"/>
        <v>Q2</v>
      </c>
      <c r="K1536" s="2" t="str">
        <f t="shared" si="123"/>
        <v>Not Match</v>
      </c>
      <c r="L1536" s="1">
        <f t="shared" si="126"/>
        <v>0.10049875621120891</v>
      </c>
      <c r="M1536" s="1" t="e">
        <f t="shared" si="125"/>
        <v>#N/A</v>
      </c>
      <c r="N1536" s="2" t="str">
        <f t="shared" si="124"/>
        <v>Q NOT OK dE&lt;=0.8</v>
      </c>
      <c r="O1536">
        <v>27.12</v>
      </c>
      <c r="P1536">
        <v>-14.24</v>
      </c>
      <c r="Q1536">
        <v>-4.93</v>
      </c>
      <c r="R1536">
        <v>0.37</v>
      </c>
      <c r="S1536">
        <v>-0.01</v>
      </c>
      <c r="T1536">
        <v>0.1</v>
      </c>
      <c r="U1536">
        <v>-0.02</v>
      </c>
      <c r="V1536">
        <v>-0.09</v>
      </c>
      <c r="W1536">
        <v>0.38</v>
      </c>
      <c r="X1536" t="s">
        <v>8</v>
      </c>
      <c r="Y1536" t="s">
        <v>12</v>
      </c>
      <c r="Z1536" s="2" t="s">
        <v>718</v>
      </c>
      <c r="AA1536" s="2" t="s">
        <v>721</v>
      </c>
    </row>
    <row r="1537" spans="1:27" x14ac:dyDescent="0.35">
      <c r="A1537" t="s">
        <v>2148</v>
      </c>
      <c r="B1537" t="s">
        <v>2619</v>
      </c>
      <c r="C1537" s="7" t="str">
        <f>_xlfn.XLOOKUP(B1537,'[1]Sheet 1'!$A$2:$A$11107,'[1]Sheet 1'!$D$2:$D$11107,"",0)</f>
        <v/>
      </c>
      <c r="D1537" s="4" t="str">
        <f>_xlfn.XLOOKUP(A1537,[3]Sheet2!$I$2:$I$1623,[3]Sheet2!$D$2:$D$1623,"",0)</f>
        <v>Q3</v>
      </c>
      <c r="F1537" s="4" t="e">
        <f>_xlfn.XLOOKUP(B1537,[2]Sheet2!$E$2:$E$713,[2]Sheet2!$G$2:$G$713)</f>
        <v>#N/A</v>
      </c>
      <c r="G1537" s="22">
        <v>46197</v>
      </c>
      <c r="H1537" s="23">
        <v>0.10342592592592592</v>
      </c>
      <c r="I1537" t="s">
        <v>10</v>
      </c>
      <c r="J1537" s="2" t="str">
        <f t="shared" si="122"/>
        <v>Q1</v>
      </c>
      <c r="K1537" s="2" t="str">
        <f t="shared" si="123"/>
        <v>Not Match</v>
      </c>
      <c r="L1537" s="1">
        <f t="shared" si="126"/>
        <v>2.2864164100180875</v>
      </c>
      <c r="M1537" s="1" t="e">
        <f t="shared" si="125"/>
        <v>#N/A</v>
      </c>
      <c r="N1537" s="2" t="str">
        <f t="shared" si="124"/>
        <v>Q NOT OK dE&gt;0.8</v>
      </c>
      <c r="O1537">
        <v>42.98</v>
      </c>
      <c r="P1537">
        <v>55.73</v>
      </c>
      <c r="Q1537">
        <v>40.03</v>
      </c>
      <c r="R1537">
        <v>0.21</v>
      </c>
      <c r="S1537">
        <v>1.69</v>
      </c>
      <c r="T1537">
        <v>1.54</v>
      </c>
      <c r="U1537">
        <v>0.78</v>
      </c>
      <c r="V1537">
        <v>0.19</v>
      </c>
      <c r="W1537">
        <v>0.83</v>
      </c>
      <c r="X1537" t="s">
        <v>13</v>
      </c>
      <c r="Y1537" t="s">
        <v>12</v>
      </c>
      <c r="Z1537" s="2" t="s">
        <v>718</v>
      </c>
      <c r="AA1537" s="2" t="s">
        <v>721</v>
      </c>
    </row>
    <row r="1538" spans="1:27" x14ac:dyDescent="0.35">
      <c r="A1538" t="s">
        <v>2588</v>
      </c>
      <c r="B1538" t="s">
        <v>2620</v>
      </c>
      <c r="C1538" s="7" t="str">
        <f>_xlfn.XLOOKUP(B1538,'[1]Sheet 1'!$A$2:$A$11107,'[1]Sheet 1'!$D$2:$D$11107,"",0)</f>
        <v/>
      </c>
      <c r="D1538" s="4" t="str">
        <f>_xlfn.XLOOKUP(A1538,[3]Sheet2!$I$2:$I$1623,[3]Sheet2!$D$2:$D$1623,"",0)</f>
        <v>Q1</v>
      </c>
      <c r="F1538" s="4" t="e">
        <f>_xlfn.XLOOKUP(B1538,[2]Sheet2!$E$2:$E$713,[2]Sheet2!$G$2:$G$713)</f>
        <v>#N/A</v>
      </c>
      <c r="G1538" s="22">
        <v>46197</v>
      </c>
      <c r="H1538" s="23">
        <v>0.13653935185185184</v>
      </c>
      <c r="I1538" t="s">
        <v>5</v>
      </c>
      <c r="J1538" s="2" t="str">
        <f t="shared" si="122"/>
        <v>Q4</v>
      </c>
      <c r="K1538" s="2" t="str">
        <f t="shared" si="123"/>
        <v>Not Match</v>
      </c>
      <c r="L1538" s="1">
        <f t="shared" si="126"/>
        <v>0.2668332812825267</v>
      </c>
      <c r="M1538" s="1" t="e">
        <f t="shared" si="125"/>
        <v>#N/A</v>
      </c>
      <c r="N1538" s="2" t="str">
        <f t="shared" si="124"/>
        <v>Q NOT OK dE&lt;=0.8</v>
      </c>
      <c r="O1538">
        <v>16.37</v>
      </c>
      <c r="P1538">
        <v>-0.87</v>
      </c>
      <c r="Q1538">
        <v>-3.61</v>
      </c>
      <c r="R1538">
        <v>-0.32</v>
      </c>
      <c r="S1538">
        <v>0.06</v>
      </c>
      <c r="T1538">
        <v>-0.26</v>
      </c>
      <c r="U1538">
        <v>0.27</v>
      </c>
      <c r="V1538">
        <v>0.16</v>
      </c>
      <c r="W1538">
        <v>0.45</v>
      </c>
      <c r="X1538" t="s">
        <v>8</v>
      </c>
      <c r="Y1538" t="s">
        <v>9</v>
      </c>
      <c r="Z1538" s="2" t="s">
        <v>718</v>
      </c>
      <c r="AA1538" s="2" t="s">
        <v>721</v>
      </c>
    </row>
    <row r="1539" spans="1:27" x14ac:dyDescent="0.35">
      <c r="A1539" t="s">
        <v>2400</v>
      </c>
      <c r="B1539" t="s">
        <v>2621</v>
      </c>
      <c r="C1539" s="7" t="str">
        <f>_xlfn.XLOOKUP(B1539,'[1]Sheet 1'!$A$2:$A$11107,'[1]Sheet 1'!$D$2:$D$11107,"",0)</f>
        <v/>
      </c>
      <c r="D1539" s="4" t="str">
        <f>_xlfn.XLOOKUP(A1539,[3]Sheet2!$I$2:$I$1623,[3]Sheet2!$D$2:$D$1623,"",0)</f>
        <v>Q4</v>
      </c>
      <c r="F1539" s="4" t="e">
        <f>_xlfn.XLOOKUP(B1539,[2]Sheet2!$E$2:$E$713,[2]Sheet2!$G$2:$G$713)</f>
        <v>#N/A</v>
      </c>
      <c r="G1539" s="22">
        <v>46197</v>
      </c>
      <c r="H1539" s="23">
        <v>0.14149305555555555</v>
      </c>
      <c r="I1539" t="s">
        <v>10</v>
      </c>
      <c r="J1539" s="2" t="str">
        <f t="shared" si="122"/>
        <v>Q1</v>
      </c>
      <c r="K1539" s="2" t="str">
        <f t="shared" si="123"/>
        <v>Not Match</v>
      </c>
      <c r="L1539" s="1">
        <f t="shared" si="126"/>
        <v>0.66850579653433084</v>
      </c>
      <c r="M1539" s="1" t="e">
        <f t="shared" si="125"/>
        <v>#N/A</v>
      </c>
      <c r="N1539" s="2" t="str">
        <f t="shared" si="124"/>
        <v>Q NOT OK dE&gt;0.8</v>
      </c>
      <c r="O1539">
        <v>19.649999999999999</v>
      </c>
      <c r="P1539">
        <v>11.78</v>
      </c>
      <c r="Q1539">
        <v>0.03</v>
      </c>
      <c r="R1539">
        <v>-0.55000000000000004</v>
      </c>
      <c r="S1539">
        <v>0.38</v>
      </c>
      <c r="T1539">
        <v>0.55000000000000004</v>
      </c>
      <c r="U1539">
        <v>0.28999999999999998</v>
      </c>
      <c r="V1539">
        <v>0.61</v>
      </c>
      <c r="W1539">
        <v>0.87</v>
      </c>
      <c r="X1539" t="s">
        <v>13</v>
      </c>
      <c r="Y1539" t="s">
        <v>9</v>
      </c>
      <c r="Z1539" s="2" t="s">
        <v>718</v>
      </c>
      <c r="AA1539" s="2" t="s">
        <v>721</v>
      </c>
    </row>
    <row r="1540" spans="1:27" x14ac:dyDescent="0.35">
      <c r="A1540" t="s">
        <v>1733</v>
      </c>
      <c r="B1540" t="s">
        <v>2622</v>
      </c>
      <c r="C1540" s="7" t="str">
        <f>_xlfn.XLOOKUP(B1540,'[1]Sheet 1'!$A$2:$A$11107,'[1]Sheet 1'!$D$2:$D$11107,"",0)</f>
        <v/>
      </c>
      <c r="D1540" s="4" t="str">
        <f>_xlfn.XLOOKUP(A1540,[3]Sheet2!$I$2:$I$1623,[3]Sheet2!$D$2:$D$1623,"",0)</f>
        <v>Q2</v>
      </c>
      <c r="F1540" s="4" t="e">
        <f>_xlfn.XLOOKUP(B1540,[2]Sheet2!$E$2:$E$713,[2]Sheet2!$G$2:$G$713)</f>
        <v>#N/A</v>
      </c>
      <c r="G1540" s="22">
        <v>46197</v>
      </c>
      <c r="H1540" s="23">
        <v>0.14399305555555555</v>
      </c>
      <c r="I1540" t="s">
        <v>5</v>
      </c>
      <c r="J1540" s="2" t="str">
        <f t="shared" si="122"/>
        <v>Q4</v>
      </c>
      <c r="K1540" s="2" t="str">
        <f t="shared" si="123"/>
        <v>Not Match</v>
      </c>
      <c r="L1540" s="1">
        <f t="shared" si="126"/>
        <v>0.17029386365926402</v>
      </c>
      <c r="M1540" s="1" t="e">
        <f t="shared" si="125"/>
        <v>#N/A</v>
      </c>
      <c r="N1540" s="2" t="str">
        <f t="shared" si="124"/>
        <v>Q NOT OK dE&gt;0.8</v>
      </c>
      <c r="O1540">
        <v>14.35</v>
      </c>
      <c r="P1540">
        <v>-0.11</v>
      </c>
      <c r="Q1540">
        <v>-0.65</v>
      </c>
      <c r="R1540">
        <v>-1.1000000000000001</v>
      </c>
      <c r="S1540">
        <v>0.11</v>
      </c>
      <c r="T1540">
        <v>-0.13</v>
      </c>
      <c r="U1540">
        <v>0.14000000000000001</v>
      </c>
      <c r="V1540">
        <v>0.21</v>
      </c>
      <c r="W1540">
        <v>1.1299999999999999</v>
      </c>
      <c r="X1540" t="s">
        <v>6</v>
      </c>
      <c r="Y1540" t="s">
        <v>9</v>
      </c>
      <c r="Z1540" s="2" t="s">
        <v>718</v>
      </c>
      <c r="AA1540" s="2" t="s">
        <v>721</v>
      </c>
    </row>
    <row r="1541" spans="1:27" x14ac:dyDescent="0.35">
      <c r="A1541" t="s">
        <v>1545</v>
      </c>
      <c r="B1541" t="s">
        <v>2623</v>
      </c>
      <c r="C1541" s="7" t="str">
        <f>_xlfn.XLOOKUP(B1541,'[1]Sheet 1'!$A$2:$A$11107,'[1]Sheet 1'!$D$2:$D$11107,"",0)</f>
        <v/>
      </c>
      <c r="D1541" s="4" t="str">
        <f>_xlfn.XLOOKUP(A1541,[3]Sheet2!$I$2:$I$1623,[3]Sheet2!$D$2:$D$1623,"",0)</f>
        <v>Q2</v>
      </c>
      <c r="F1541" s="4" t="e">
        <f>_xlfn.XLOOKUP(B1541,[2]Sheet2!$E$2:$E$713,[2]Sheet2!$G$2:$G$713)</f>
        <v>#N/A</v>
      </c>
      <c r="G1541" s="22">
        <v>46197</v>
      </c>
      <c r="H1541" s="23">
        <v>0.14605324074074075</v>
      </c>
      <c r="I1541" t="s">
        <v>4</v>
      </c>
      <c r="J1541" s="2" t="str">
        <f t="shared" si="122"/>
        <v>Q4</v>
      </c>
      <c r="K1541" s="2" t="str">
        <f t="shared" si="123"/>
        <v>Not Match</v>
      </c>
      <c r="L1541" s="1">
        <f t="shared" si="126"/>
        <v>0.21213203435596426</v>
      </c>
      <c r="M1541" s="1" t="e">
        <f t="shared" si="125"/>
        <v>#N/A</v>
      </c>
      <c r="N1541" s="2" t="str">
        <f t="shared" si="124"/>
        <v>Q NOT OK dE&lt;=0.8</v>
      </c>
      <c r="O1541">
        <v>18.350000000000001</v>
      </c>
      <c r="P1541">
        <v>-0.74</v>
      </c>
      <c r="Q1541">
        <v>-1.78</v>
      </c>
      <c r="R1541">
        <v>-0.09</v>
      </c>
      <c r="S1541">
        <v>0.15</v>
      </c>
      <c r="T1541">
        <v>-0.15</v>
      </c>
      <c r="U1541">
        <v>0.1</v>
      </c>
      <c r="V1541">
        <v>0.27</v>
      </c>
      <c r="W1541">
        <v>0.3</v>
      </c>
      <c r="X1541" t="s">
        <v>8</v>
      </c>
      <c r="Y1541" t="s">
        <v>9</v>
      </c>
      <c r="Z1541" s="2" t="s">
        <v>718</v>
      </c>
      <c r="AA1541" s="2" t="s">
        <v>721</v>
      </c>
    </row>
    <row r="1542" spans="1:27" x14ac:dyDescent="0.35">
      <c r="A1542" t="s">
        <v>2156</v>
      </c>
      <c r="B1542" t="s">
        <v>2615</v>
      </c>
      <c r="C1542" s="7" t="str">
        <f>_xlfn.XLOOKUP(B1542,'[1]Sheet 1'!$A$2:$A$11107,'[1]Sheet 1'!$D$2:$D$11107,"",0)</f>
        <v/>
      </c>
      <c r="D1542" s="4" t="str">
        <f>_xlfn.XLOOKUP(A1542,[3]Sheet2!$I$2:$I$1623,[3]Sheet2!$D$2:$D$1623,"",0)</f>
        <v>Q1</v>
      </c>
      <c r="F1542" s="4" t="e">
        <f>_xlfn.XLOOKUP(B1542,[2]Sheet2!$E$2:$E$713,[2]Sheet2!$G$2:$G$713)</f>
        <v>#N/A</v>
      </c>
      <c r="G1542" s="22">
        <v>46197</v>
      </c>
      <c r="H1542" s="23">
        <v>0.18118055555555557</v>
      </c>
      <c r="I1542" t="s">
        <v>10</v>
      </c>
      <c r="J1542" s="2" t="str">
        <f t="shared" ref="J1542:J1605" si="127">IF(OR(S1542=0,T1542=0),D1542,IF(AND(S1542&gt;0,T1542&gt;0),"Q1",IF(AND(S1542&lt;0,T1542&gt;0),"Q2",IF(AND(S1542&lt;0,T1542&lt;0),"Q3",IF(AND(S1542&gt;0,T1542&lt;0),"Q4","")))))</f>
        <v>Q1</v>
      </c>
      <c r="K1542" s="2" t="str">
        <f t="shared" ref="K1542:K1605" si="128">IF(J1542=D1542,"Match",IF(AND(J1542=0,D1542="Match"),"da and db 0",IF(D1542=0,"Not Found","Not Match")))</f>
        <v>Match</v>
      </c>
      <c r="L1542" s="1">
        <f t="shared" si="126"/>
        <v>1.7921216476567656</v>
      </c>
      <c r="M1542" s="1" t="e">
        <f t="shared" si="125"/>
        <v>#N/A</v>
      </c>
      <c r="N1542" s="2" t="str">
        <f t="shared" ref="N1542:N1605" si="129">IF(D1542=0,"Quadrant not assigned",IF(AND(K1542="Match",W1542&lt;=0.8),"Q OK dE&lt;=0.8",IF(AND(K1542="Match",W1542&gt;0.8),"Q OK dE&gt;0.8",IF(AND(K1542="Not Match",W1542&lt;=0.8),"Q NOT OK dE&lt;=0.8","Q NOT OK dE&gt;0.8"))))</f>
        <v>Q OK dE&gt;0.8</v>
      </c>
      <c r="O1542">
        <v>27.96</v>
      </c>
      <c r="P1542">
        <v>-11.84</v>
      </c>
      <c r="Q1542">
        <v>-2.12</v>
      </c>
      <c r="R1542">
        <v>0.95</v>
      </c>
      <c r="S1542">
        <v>1.34</v>
      </c>
      <c r="T1542">
        <v>1.19</v>
      </c>
      <c r="U1542">
        <v>-1.1399999999999999</v>
      </c>
      <c r="V1542">
        <v>-0.83</v>
      </c>
      <c r="W1542">
        <v>1.7</v>
      </c>
      <c r="X1542" t="s">
        <v>6</v>
      </c>
      <c r="Y1542" t="s">
        <v>12</v>
      </c>
      <c r="Z1542" s="2" t="s">
        <v>718</v>
      </c>
      <c r="AA1542" s="2" t="s">
        <v>721</v>
      </c>
    </row>
    <row r="1543" spans="1:27" x14ac:dyDescent="0.35">
      <c r="A1543" t="s">
        <v>1626</v>
      </c>
      <c r="B1543" t="s">
        <v>2624</v>
      </c>
      <c r="C1543" s="7" t="str">
        <f>_xlfn.XLOOKUP(B1543,'[1]Sheet 1'!$A$2:$A$11107,'[1]Sheet 1'!$D$2:$D$11107,"",0)</f>
        <v/>
      </c>
      <c r="D1543" s="4" t="str">
        <f>_xlfn.XLOOKUP(A1543,[3]Sheet2!$I$2:$I$1623,[3]Sheet2!$D$2:$D$1623,"",0)</f>
        <v>Q4</v>
      </c>
      <c r="F1543" s="4" t="e">
        <f>_xlfn.XLOOKUP(B1543,[2]Sheet2!$E$2:$E$713,[2]Sheet2!$G$2:$G$713)</f>
        <v>#N/A</v>
      </c>
      <c r="G1543" s="22">
        <v>46197</v>
      </c>
      <c r="H1543" s="23">
        <v>0.27628472222222222</v>
      </c>
      <c r="I1543" t="s">
        <v>10</v>
      </c>
      <c r="J1543" s="2" t="str">
        <f t="shared" si="127"/>
        <v>Q2</v>
      </c>
      <c r="K1543" s="2" t="str">
        <f t="shared" si="128"/>
        <v>Not Match</v>
      </c>
      <c r="L1543" s="1">
        <f t="shared" si="126"/>
        <v>0.23259406699226012</v>
      </c>
      <c r="M1543" s="1" t="e">
        <f t="shared" si="125"/>
        <v>#N/A</v>
      </c>
      <c r="N1543" s="2" t="str">
        <f t="shared" si="129"/>
        <v>Q NOT OK dE&lt;=0.8</v>
      </c>
      <c r="O1543">
        <v>15.25</v>
      </c>
      <c r="P1543">
        <v>0.38</v>
      </c>
      <c r="Q1543">
        <v>-1.49</v>
      </c>
      <c r="R1543">
        <v>-0.32</v>
      </c>
      <c r="S1543">
        <v>-0.21</v>
      </c>
      <c r="T1543">
        <v>0.1</v>
      </c>
      <c r="U1543">
        <v>-0.21</v>
      </c>
      <c r="V1543">
        <v>-0.24</v>
      </c>
      <c r="W1543">
        <v>0.45</v>
      </c>
      <c r="X1543" t="s">
        <v>8</v>
      </c>
      <c r="Y1543" t="s">
        <v>15</v>
      </c>
      <c r="Z1543" s="2" t="s">
        <v>718</v>
      </c>
      <c r="AA1543" s="2" t="s">
        <v>721</v>
      </c>
    </row>
    <row r="1544" spans="1:27" x14ac:dyDescent="0.35">
      <c r="A1544" t="s">
        <v>1812</v>
      </c>
      <c r="B1544" t="s">
        <v>2625</v>
      </c>
      <c r="C1544" s="7" t="str">
        <f>_xlfn.XLOOKUP(B1544,'[1]Sheet 1'!$A$2:$A$11107,'[1]Sheet 1'!$D$2:$D$11107,"",0)</f>
        <v/>
      </c>
      <c r="D1544" s="4" t="str">
        <f>_xlfn.XLOOKUP(A1544,[3]Sheet2!$I$2:$I$1623,[3]Sheet2!$D$2:$D$1623,"",0)</f>
        <v>Q4</v>
      </c>
      <c r="F1544" s="4" t="e">
        <f>_xlfn.XLOOKUP(B1544,[2]Sheet2!$E$2:$E$713,[2]Sheet2!$G$2:$G$713)</f>
        <v>#N/A</v>
      </c>
      <c r="G1544" s="22">
        <v>46197</v>
      </c>
      <c r="H1544" s="23">
        <v>0.27848379629629627</v>
      </c>
      <c r="I1544" t="s">
        <v>17</v>
      </c>
      <c r="J1544" s="2" t="str">
        <f t="shared" si="127"/>
        <v>Q2</v>
      </c>
      <c r="K1544" s="2" t="str">
        <f t="shared" si="128"/>
        <v>Not Match</v>
      </c>
      <c r="L1544" s="1">
        <f t="shared" si="126"/>
        <v>0.15811388300841897</v>
      </c>
      <c r="M1544" s="1" t="e">
        <f t="shared" si="125"/>
        <v>#N/A</v>
      </c>
      <c r="N1544" s="2" t="str">
        <f t="shared" si="129"/>
        <v>Q NOT OK dE&lt;=0.8</v>
      </c>
      <c r="O1544">
        <v>17.21</v>
      </c>
      <c r="P1544">
        <v>-0.5</v>
      </c>
      <c r="Q1544">
        <v>-5.91</v>
      </c>
      <c r="R1544">
        <v>0.27</v>
      </c>
      <c r="S1544">
        <v>-0.05</v>
      </c>
      <c r="T1544">
        <v>0.15</v>
      </c>
      <c r="U1544">
        <v>-0.15</v>
      </c>
      <c r="V1544">
        <v>-0.08</v>
      </c>
      <c r="W1544">
        <v>0.31</v>
      </c>
      <c r="X1544" t="s">
        <v>8</v>
      </c>
      <c r="Y1544" t="s">
        <v>15</v>
      </c>
      <c r="Z1544" s="2" t="s">
        <v>718</v>
      </c>
      <c r="AA1544" s="2" t="s">
        <v>721</v>
      </c>
    </row>
    <row r="1545" spans="1:27" x14ac:dyDescent="0.35">
      <c r="A1545" t="s">
        <v>2626</v>
      </c>
      <c r="B1545" t="s">
        <v>2627</v>
      </c>
      <c r="C1545" s="7" t="str">
        <f>_xlfn.XLOOKUP(B1545,'[1]Sheet 1'!$A$2:$A$11107,'[1]Sheet 1'!$D$2:$D$11107,"",0)</f>
        <v/>
      </c>
      <c r="D1545" s="4" t="str">
        <f>_xlfn.XLOOKUP(A1545,[3]Sheet2!$I$2:$I$1623,[3]Sheet2!$D$2:$D$1623,"",0)</f>
        <v>Q3</v>
      </c>
      <c r="F1545" s="4" t="e">
        <f>_xlfn.XLOOKUP(B1545,[2]Sheet2!$E$2:$E$713,[2]Sheet2!$G$2:$G$713)</f>
        <v>#N/A</v>
      </c>
      <c r="G1545" s="22">
        <v>46197</v>
      </c>
      <c r="H1545" s="23">
        <v>0.26862268518518517</v>
      </c>
      <c r="I1545" t="s">
        <v>10</v>
      </c>
      <c r="J1545" s="2" t="str">
        <f t="shared" si="127"/>
        <v>Q2</v>
      </c>
      <c r="K1545" s="2" t="str">
        <f t="shared" si="128"/>
        <v>Not Match</v>
      </c>
      <c r="L1545" s="1">
        <f t="shared" si="126"/>
        <v>0.77077882690172539</v>
      </c>
      <c r="M1545" s="1" t="e">
        <f t="shared" si="125"/>
        <v>#N/A</v>
      </c>
      <c r="N1545" s="2" t="str">
        <f t="shared" si="129"/>
        <v>Q NOT OK dE&gt;0.8</v>
      </c>
      <c r="O1545">
        <v>28</v>
      </c>
      <c r="P1545">
        <v>-8.86</v>
      </c>
      <c r="Q1545">
        <v>-43.96</v>
      </c>
      <c r="R1545">
        <v>0.74</v>
      </c>
      <c r="S1545">
        <v>-0.71</v>
      </c>
      <c r="T1545">
        <v>0.3</v>
      </c>
      <c r="U1545">
        <v>-7.0000000000000007E-2</v>
      </c>
      <c r="V1545">
        <v>-0.48</v>
      </c>
      <c r="W1545">
        <v>0.88</v>
      </c>
      <c r="X1545" t="s">
        <v>13</v>
      </c>
      <c r="Y1545" t="s">
        <v>15</v>
      </c>
      <c r="Z1545" s="2" t="s">
        <v>718</v>
      </c>
      <c r="AA1545" s="2" t="s">
        <v>721</v>
      </c>
    </row>
    <row r="1546" spans="1:27" x14ac:dyDescent="0.35">
      <c r="A1546" t="s">
        <v>2400</v>
      </c>
      <c r="B1546" t="s">
        <v>2628</v>
      </c>
      <c r="C1546" s="7" t="str">
        <f>_xlfn.XLOOKUP(B1546,'[1]Sheet 1'!$A$2:$A$11107,'[1]Sheet 1'!$D$2:$D$11107,"",0)</f>
        <v/>
      </c>
      <c r="D1546" s="4" t="str">
        <f>_xlfn.XLOOKUP(A1546,[3]Sheet2!$I$2:$I$1623,[3]Sheet2!$D$2:$D$1623,"",0)</f>
        <v>Q4</v>
      </c>
      <c r="F1546" s="4" t="e">
        <f>_xlfn.XLOOKUP(B1546,[2]Sheet2!$E$2:$E$713,[2]Sheet2!$G$2:$G$713)</f>
        <v>#N/A</v>
      </c>
      <c r="G1546" s="22">
        <v>46197</v>
      </c>
      <c r="H1546" s="23">
        <v>0.28217592592592594</v>
      </c>
      <c r="I1546" t="s">
        <v>10</v>
      </c>
      <c r="J1546" s="2" t="str">
        <f t="shared" si="127"/>
        <v>Q1</v>
      </c>
      <c r="K1546" s="2" t="str">
        <f t="shared" si="128"/>
        <v>Not Match</v>
      </c>
      <c r="L1546" s="1">
        <f t="shared" si="126"/>
        <v>0.96540147089177353</v>
      </c>
      <c r="M1546" s="1" t="e">
        <f t="shared" si="125"/>
        <v>#N/A</v>
      </c>
      <c r="N1546" s="2" t="str">
        <f t="shared" si="129"/>
        <v>Q NOT OK dE&gt;0.8</v>
      </c>
      <c r="O1546">
        <v>20.67</v>
      </c>
      <c r="P1546">
        <v>12.01</v>
      </c>
      <c r="Q1546">
        <v>0.22</v>
      </c>
      <c r="R1546">
        <v>0.28000000000000003</v>
      </c>
      <c r="S1546">
        <v>0.62</v>
      </c>
      <c r="T1546">
        <v>0.74</v>
      </c>
      <c r="U1546">
        <v>0.48</v>
      </c>
      <c r="V1546">
        <v>0.82</v>
      </c>
      <c r="W1546">
        <v>0.99</v>
      </c>
      <c r="X1546" t="s">
        <v>13</v>
      </c>
      <c r="Y1546" t="s">
        <v>9</v>
      </c>
      <c r="Z1546" s="2" t="s">
        <v>718</v>
      </c>
      <c r="AA1546" s="2" t="s">
        <v>721</v>
      </c>
    </row>
    <row r="1547" spans="1:27" x14ac:dyDescent="0.35">
      <c r="A1547" t="s">
        <v>1672</v>
      </c>
      <c r="B1547" t="s">
        <v>2629</v>
      </c>
      <c r="C1547" s="7" t="str">
        <f>_xlfn.XLOOKUP(B1547,'[1]Sheet 1'!$A$2:$A$11107,'[1]Sheet 1'!$D$2:$D$11107,"",0)</f>
        <v/>
      </c>
      <c r="D1547" s="4" t="str">
        <f>_xlfn.XLOOKUP(A1547,[3]Sheet2!$I$2:$I$1623,[3]Sheet2!$D$2:$D$1623,"",0)</f>
        <v>Q2</v>
      </c>
      <c r="F1547" s="4" t="e">
        <f>_xlfn.XLOOKUP(B1547,[2]Sheet2!$E$2:$E$713,[2]Sheet2!$G$2:$G$713)</f>
        <v>#N/A</v>
      </c>
      <c r="G1547" s="22">
        <v>46197</v>
      </c>
      <c r="H1547" s="23">
        <v>0.28464120370370372</v>
      </c>
      <c r="I1547" t="s">
        <v>10</v>
      </c>
      <c r="J1547" s="2" t="str">
        <f t="shared" si="127"/>
        <v>Q3</v>
      </c>
      <c r="K1547" s="2" t="str">
        <f t="shared" si="128"/>
        <v>Not Match</v>
      </c>
      <c r="L1547" s="1">
        <f t="shared" si="126"/>
        <v>0.5346026561849464</v>
      </c>
      <c r="M1547" s="1" t="e">
        <f t="shared" si="125"/>
        <v>#N/A</v>
      </c>
      <c r="N1547" s="2" t="str">
        <f t="shared" si="129"/>
        <v>Q NOT OK dE&gt;0.8</v>
      </c>
      <c r="O1547">
        <v>15.16</v>
      </c>
      <c r="P1547">
        <v>0.4</v>
      </c>
      <c r="Q1547">
        <v>-2.5099999999999998</v>
      </c>
      <c r="R1547">
        <v>-1.01</v>
      </c>
      <c r="S1547">
        <v>-7.0000000000000007E-2</v>
      </c>
      <c r="T1547">
        <v>-0.53</v>
      </c>
      <c r="U1547">
        <v>0.66</v>
      </c>
      <c r="V1547">
        <v>-0.23</v>
      </c>
      <c r="W1547">
        <v>1.23</v>
      </c>
      <c r="X1547" t="s">
        <v>6</v>
      </c>
      <c r="Y1547" t="s">
        <v>15</v>
      </c>
      <c r="Z1547" s="2" t="s">
        <v>718</v>
      </c>
      <c r="AA1547" s="2" t="s">
        <v>721</v>
      </c>
    </row>
    <row r="1548" spans="1:27" x14ac:dyDescent="0.35">
      <c r="A1548" t="s">
        <v>1545</v>
      </c>
      <c r="B1548" t="s">
        <v>2630</v>
      </c>
      <c r="C1548" s="7" t="str">
        <f>_xlfn.XLOOKUP(B1548,'[1]Sheet 1'!$A$2:$A$11107,'[1]Sheet 1'!$D$2:$D$11107,"",0)</f>
        <v/>
      </c>
      <c r="D1548" s="4" t="str">
        <f>_xlfn.XLOOKUP(A1548,[3]Sheet2!$I$2:$I$1623,[3]Sheet2!$D$2:$D$1623,"",0)</f>
        <v>Q2</v>
      </c>
      <c r="F1548" s="4" t="e">
        <f>_xlfn.XLOOKUP(B1548,[2]Sheet2!$E$2:$E$713,[2]Sheet2!$G$2:$G$713)</f>
        <v>#N/A</v>
      </c>
      <c r="G1548" s="22">
        <v>46197</v>
      </c>
      <c r="H1548" s="23">
        <v>0.44762731481481483</v>
      </c>
      <c r="I1548" t="s">
        <v>4</v>
      </c>
      <c r="J1548" s="2" t="str">
        <f t="shared" si="127"/>
        <v>Q4</v>
      </c>
      <c r="K1548" s="2" t="str">
        <f t="shared" si="128"/>
        <v>Not Match</v>
      </c>
      <c r="L1548" s="1">
        <f t="shared" si="126"/>
        <v>0.14560219778561037</v>
      </c>
      <c r="M1548" s="1" t="e">
        <f t="shared" si="125"/>
        <v>#N/A</v>
      </c>
      <c r="N1548" s="2" t="str">
        <f t="shared" si="129"/>
        <v>Q NOT OK dE&lt;=0.8</v>
      </c>
      <c r="O1548">
        <v>18.52</v>
      </c>
      <c r="P1548">
        <v>-0.85</v>
      </c>
      <c r="Q1548">
        <v>-1.76</v>
      </c>
      <c r="R1548">
        <v>0.06</v>
      </c>
      <c r="S1548">
        <v>0.04</v>
      </c>
      <c r="T1548">
        <v>-0.14000000000000001</v>
      </c>
      <c r="U1548">
        <v>0.14000000000000001</v>
      </c>
      <c r="V1548">
        <v>0.14000000000000001</v>
      </c>
      <c r="W1548">
        <v>0.2</v>
      </c>
      <c r="X1548" t="s">
        <v>8</v>
      </c>
      <c r="Y1548" t="s">
        <v>9</v>
      </c>
      <c r="Z1548" s="2" t="s">
        <v>718</v>
      </c>
      <c r="AA1548" s="2" t="s">
        <v>721</v>
      </c>
    </row>
    <row r="1549" spans="1:27" x14ac:dyDescent="0.35">
      <c r="A1549" t="s">
        <v>2266</v>
      </c>
      <c r="B1549" t="s">
        <v>2631</v>
      </c>
      <c r="C1549" s="7" t="str">
        <f>_xlfn.XLOOKUP(B1549,'[1]Sheet 1'!$A$2:$A$11107,'[1]Sheet 1'!$D$2:$D$11107,"",0)</f>
        <v/>
      </c>
      <c r="D1549" s="4" t="str">
        <f>_xlfn.XLOOKUP(A1549,[3]Sheet2!$I$2:$I$1623,[3]Sheet2!$D$2:$D$1623,"",0)</f>
        <v>Q1</v>
      </c>
      <c r="F1549" s="4" t="e">
        <f>_xlfn.XLOOKUP(B1549,[2]Sheet2!$E$2:$E$713,[2]Sheet2!$G$2:$G$713)</f>
        <v>#N/A</v>
      </c>
      <c r="G1549" s="22">
        <v>46197</v>
      </c>
      <c r="H1549" s="23">
        <v>0.48655092592592591</v>
      </c>
      <c r="I1549" t="s">
        <v>4</v>
      </c>
      <c r="J1549" s="2" t="str">
        <f t="shared" si="127"/>
        <v>Q1</v>
      </c>
      <c r="K1549" s="2" t="str">
        <f t="shared" si="128"/>
        <v>Match</v>
      </c>
      <c r="L1549" s="1">
        <f t="shared" si="126"/>
        <v>0.15</v>
      </c>
      <c r="M1549" s="1" t="e">
        <f t="shared" si="125"/>
        <v>#N/A</v>
      </c>
      <c r="N1549" s="2" t="str">
        <f t="shared" si="129"/>
        <v>Q OK dE&gt;0.8</v>
      </c>
      <c r="O1549">
        <v>12.87</v>
      </c>
      <c r="P1549">
        <v>-0.05</v>
      </c>
      <c r="Q1549">
        <v>-1.27</v>
      </c>
      <c r="R1549">
        <v>-0.9</v>
      </c>
      <c r="S1549">
        <v>0.12</v>
      </c>
      <c r="T1549">
        <v>0.09</v>
      </c>
      <c r="U1549">
        <v>-0.13</v>
      </c>
      <c r="V1549">
        <v>0.16</v>
      </c>
      <c r="W1549">
        <v>0.92</v>
      </c>
      <c r="X1549" t="s">
        <v>13</v>
      </c>
      <c r="Y1549" t="s">
        <v>9</v>
      </c>
      <c r="Z1549" s="2" t="s">
        <v>718</v>
      </c>
      <c r="AA1549" s="2" t="s">
        <v>721</v>
      </c>
    </row>
    <row r="1550" spans="1:27" x14ac:dyDescent="0.35">
      <c r="A1550" t="s">
        <v>1733</v>
      </c>
      <c r="B1550" t="s">
        <v>2632</v>
      </c>
      <c r="C1550" s="7" t="str">
        <f>_xlfn.XLOOKUP(B1550,'[1]Sheet 1'!$A$2:$A$11107,'[1]Sheet 1'!$D$2:$D$11107,"",0)</f>
        <v/>
      </c>
      <c r="D1550" s="4" t="str">
        <f>_xlfn.XLOOKUP(A1550,[3]Sheet2!$I$2:$I$1623,[3]Sheet2!$D$2:$D$1623,"",0)</f>
        <v>Q2</v>
      </c>
      <c r="F1550" s="4" t="e">
        <f>_xlfn.XLOOKUP(B1550,[2]Sheet2!$E$2:$E$713,[2]Sheet2!$G$2:$G$713)</f>
        <v>#N/A</v>
      </c>
      <c r="G1550" s="22">
        <v>46197</v>
      </c>
      <c r="H1550" s="23">
        <v>0.49956018518518519</v>
      </c>
      <c r="I1550" t="s">
        <v>5</v>
      </c>
      <c r="J1550" s="2" t="str">
        <f t="shared" si="127"/>
        <v>Q4</v>
      </c>
      <c r="K1550" s="2" t="str">
        <f t="shared" si="128"/>
        <v>Not Match</v>
      </c>
      <c r="L1550" s="1">
        <f t="shared" si="126"/>
        <v>0.05</v>
      </c>
      <c r="M1550" s="1" t="e">
        <f t="shared" si="125"/>
        <v>#N/A</v>
      </c>
      <c r="N1550" s="2" t="str">
        <f t="shared" si="129"/>
        <v>Q NOT OK dE&lt;=0.8</v>
      </c>
      <c r="O1550">
        <v>15.5</v>
      </c>
      <c r="P1550">
        <v>-0.17</v>
      </c>
      <c r="Q1550">
        <v>-0.56000000000000005</v>
      </c>
      <c r="R1550">
        <v>0.03</v>
      </c>
      <c r="S1550">
        <v>0.04</v>
      </c>
      <c r="T1550">
        <v>-0.03</v>
      </c>
      <c r="U1550">
        <v>0.02</v>
      </c>
      <c r="V1550">
        <v>7.0000000000000007E-2</v>
      </c>
      <c r="W1550">
        <v>0.08</v>
      </c>
      <c r="X1550" t="s">
        <v>8</v>
      </c>
      <c r="Y1550" t="s">
        <v>9</v>
      </c>
      <c r="Z1550" s="2" t="s">
        <v>718</v>
      </c>
      <c r="AA1550" s="2" t="s">
        <v>721</v>
      </c>
    </row>
    <row r="1551" spans="1:27" x14ac:dyDescent="0.35">
      <c r="A1551" t="s">
        <v>2547</v>
      </c>
      <c r="B1551" t="s">
        <v>2633</v>
      </c>
      <c r="C1551" s="7" t="str">
        <f>_xlfn.XLOOKUP(B1551,'[1]Sheet 1'!$A$2:$A$11107,'[1]Sheet 1'!$D$2:$D$11107,"",0)</f>
        <v/>
      </c>
      <c r="D1551" s="4">
        <v>0</v>
      </c>
      <c r="F1551" s="4" t="e">
        <f>_xlfn.XLOOKUP(B1551,[2]Sheet2!$E$2:$E$713,[2]Sheet2!$G$2:$G$713)</f>
        <v>#N/A</v>
      </c>
      <c r="G1551" s="22">
        <v>46197</v>
      </c>
      <c r="H1551" s="23">
        <v>0.56017361111111108</v>
      </c>
      <c r="I1551" t="s">
        <v>5</v>
      </c>
      <c r="J1551" s="2" t="str">
        <f t="shared" si="127"/>
        <v>Q3</v>
      </c>
      <c r="K1551" s="2" t="str">
        <f t="shared" si="128"/>
        <v>Not Found</v>
      </c>
      <c r="L1551" s="1">
        <f t="shared" si="126"/>
        <v>1.1764352935882194</v>
      </c>
      <c r="M1551" s="1" t="e">
        <f t="shared" si="125"/>
        <v>#N/A</v>
      </c>
      <c r="N1551" s="2" t="str">
        <f t="shared" si="129"/>
        <v>Quadrant not assigned</v>
      </c>
      <c r="O1551">
        <v>28.63</v>
      </c>
      <c r="P1551">
        <v>8.74</v>
      </c>
      <c r="Q1551">
        <v>8.42</v>
      </c>
      <c r="R1551">
        <v>-0.95</v>
      </c>
      <c r="S1551">
        <v>-0.68</v>
      </c>
      <c r="T1551">
        <v>-0.96</v>
      </c>
      <c r="U1551">
        <v>-0.85</v>
      </c>
      <c r="V1551">
        <v>-0.35</v>
      </c>
      <c r="W1551">
        <v>1.32</v>
      </c>
      <c r="X1551" t="s">
        <v>6</v>
      </c>
      <c r="Y1551" t="s">
        <v>9</v>
      </c>
      <c r="Z1551" s="2" t="s">
        <v>718</v>
      </c>
      <c r="AA1551" s="2" t="s">
        <v>721</v>
      </c>
    </row>
    <row r="1552" spans="1:27" x14ac:dyDescent="0.35">
      <c r="A1552" t="s">
        <v>2547</v>
      </c>
      <c r="B1552" t="s">
        <v>2633</v>
      </c>
      <c r="C1552" s="7" t="str">
        <f>_xlfn.XLOOKUP(B1552,'[1]Sheet 1'!$A$2:$A$11107,'[1]Sheet 1'!$D$2:$D$11107,"",0)</f>
        <v/>
      </c>
      <c r="D1552" s="4">
        <v>0</v>
      </c>
      <c r="F1552" s="4" t="e">
        <f>_xlfn.XLOOKUP(B1552,[2]Sheet2!$E$2:$E$713,[2]Sheet2!$G$2:$G$713)</f>
        <v>#N/A</v>
      </c>
      <c r="G1552" s="22">
        <v>46197</v>
      </c>
      <c r="H1552" s="23">
        <v>0.5794907407407407</v>
      </c>
      <c r="I1552" t="s">
        <v>5</v>
      </c>
      <c r="J1552" s="2" t="str">
        <f t="shared" si="127"/>
        <v>Q3</v>
      </c>
      <c r="K1552" s="2" t="str">
        <f t="shared" si="128"/>
        <v>Not Found</v>
      </c>
      <c r="L1552" s="1">
        <f t="shared" si="126"/>
        <v>0.62968245965724656</v>
      </c>
      <c r="M1552" s="1" t="e">
        <f t="shared" si="125"/>
        <v>#N/A</v>
      </c>
      <c r="N1552" s="2" t="str">
        <f t="shared" si="129"/>
        <v>Quadrant not assigned</v>
      </c>
      <c r="O1552">
        <v>29.42</v>
      </c>
      <c r="P1552">
        <v>8.98</v>
      </c>
      <c r="Q1552">
        <v>8.92</v>
      </c>
      <c r="R1552">
        <v>-0.46</v>
      </c>
      <c r="S1552">
        <v>-0.43</v>
      </c>
      <c r="T1552">
        <v>-0.46</v>
      </c>
      <c r="U1552">
        <v>-0.47</v>
      </c>
      <c r="V1552">
        <v>-0.04</v>
      </c>
      <c r="W1552">
        <v>0.65</v>
      </c>
      <c r="X1552" t="s">
        <v>8</v>
      </c>
      <c r="Y1552" t="s">
        <v>9</v>
      </c>
      <c r="Z1552" s="2" t="s">
        <v>718</v>
      </c>
      <c r="AA1552" s="2" t="s">
        <v>721</v>
      </c>
    </row>
    <row r="1553" spans="1:27" x14ac:dyDescent="0.35">
      <c r="A1553" t="s">
        <v>2400</v>
      </c>
      <c r="B1553" t="s">
        <v>2634</v>
      </c>
      <c r="C1553" s="7" t="str">
        <f>_xlfn.XLOOKUP(B1553,'[1]Sheet 1'!$A$2:$A$11107,'[1]Sheet 1'!$D$2:$D$11107,"",0)</f>
        <v/>
      </c>
      <c r="D1553" s="4" t="str">
        <f>_xlfn.XLOOKUP(A1553,[3]Sheet2!$I$2:$I$1623,[3]Sheet2!$D$2:$D$1623,"",0)</f>
        <v>Q4</v>
      </c>
      <c r="F1553" s="4" t="e">
        <f>_xlfn.XLOOKUP(B1553,[2]Sheet2!$E$2:$E$713,[2]Sheet2!$G$2:$G$713)</f>
        <v>#N/A</v>
      </c>
      <c r="G1553" s="22">
        <v>46197</v>
      </c>
      <c r="H1553" s="23">
        <v>0.59968750000000004</v>
      </c>
      <c r="I1553" t="s">
        <v>10</v>
      </c>
      <c r="J1553" s="2" t="str">
        <f t="shared" si="127"/>
        <v>Q1</v>
      </c>
      <c r="K1553" s="2" t="str">
        <f t="shared" si="128"/>
        <v>Not Match</v>
      </c>
      <c r="L1553" s="1">
        <f t="shared" si="126"/>
        <v>1.3790213921473444</v>
      </c>
      <c r="M1553" s="1" t="e">
        <f t="shared" si="125"/>
        <v>#N/A</v>
      </c>
      <c r="N1553" s="2" t="str">
        <f t="shared" si="129"/>
        <v>Q NOT OK dE&gt;0.8</v>
      </c>
      <c r="O1553">
        <v>20.21</v>
      </c>
      <c r="P1553">
        <v>12.35</v>
      </c>
      <c r="Q1553">
        <v>0.47</v>
      </c>
      <c r="R1553">
        <v>-0.1</v>
      </c>
      <c r="S1553">
        <v>0.96</v>
      </c>
      <c r="T1553">
        <v>0.99</v>
      </c>
      <c r="U1553">
        <v>0.75</v>
      </c>
      <c r="V1553">
        <v>1.1000000000000001</v>
      </c>
      <c r="W1553">
        <v>1.33</v>
      </c>
      <c r="X1553" t="s">
        <v>6</v>
      </c>
      <c r="Y1553" t="s">
        <v>9</v>
      </c>
      <c r="Z1553" s="2" t="s">
        <v>718</v>
      </c>
      <c r="AA1553" s="2" t="s">
        <v>721</v>
      </c>
    </row>
    <row r="1554" spans="1:27" x14ac:dyDescent="0.35">
      <c r="A1554" t="s">
        <v>2400</v>
      </c>
      <c r="B1554" t="s">
        <v>2634</v>
      </c>
      <c r="C1554" s="7" t="str">
        <f>_xlfn.XLOOKUP(B1554,'[1]Sheet 1'!$A$2:$A$11107,'[1]Sheet 1'!$D$2:$D$11107,"",0)</f>
        <v/>
      </c>
      <c r="D1554" s="4" t="str">
        <f>_xlfn.XLOOKUP(A1554,[3]Sheet2!$I$2:$I$1623,[3]Sheet2!$D$2:$D$1623,"",0)</f>
        <v>Q4</v>
      </c>
      <c r="F1554" s="4" t="e">
        <f>_xlfn.XLOOKUP(B1554,[2]Sheet2!$E$2:$E$713,[2]Sheet2!$G$2:$G$713)</f>
        <v>#N/A</v>
      </c>
      <c r="G1554" s="22">
        <v>46197</v>
      </c>
      <c r="H1554" s="23">
        <v>0.61202546296296301</v>
      </c>
      <c r="I1554" t="s">
        <v>10</v>
      </c>
      <c r="J1554" s="2" t="str">
        <f t="shared" si="127"/>
        <v>Q1</v>
      </c>
      <c r="K1554" s="2" t="str">
        <f t="shared" si="128"/>
        <v>Not Match</v>
      </c>
      <c r="L1554" s="1">
        <f t="shared" si="126"/>
        <v>0.97185389848474657</v>
      </c>
      <c r="M1554" s="1" t="e">
        <f t="shared" si="125"/>
        <v>#N/A</v>
      </c>
      <c r="N1554" s="2" t="str">
        <f t="shared" si="129"/>
        <v>Q NOT OK dE&gt;0.8</v>
      </c>
      <c r="O1554">
        <v>20.45</v>
      </c>
      <c r="P1554">
        <v>12.13</v>
      </c>
      <c r="Q1554">
        <v>0.11</v>
      </c>
      <c r="R1554">
        <v>0.1</v>
      </c>
      <c r="S1554">
        <v>0.74</v>
      </c>
      <c r="T1554">
        <v>0.63</v>
      </c>
      <c r="U1554">
        <v>0.56999999999999995</v>
      </c>
      <c r="V1554">
        <v>0.7</v>
      </c>
      <c r="W1554">
        <v>0.91</v>
      </c>
      <c r="X1554" t="s">
        <v>13</v>
      </c>
      <c r="Y1554" t="s">
        <v>9</v>
      </c>
      <c r="Z1554" s="2" t="s">
        <v>718</v>
      </c>
      <c r="AA1554" s="2" t="s">
        <v>721</v>
      </c>
    </row>
    <row r="1555" spans="1:27" x14ac:dyDescent="0.35">
      <c r="A1555" t="s">
        <v>1545</v>
      </c>
      <c r="B1555" t="s">
        <v>2635</v>
      </c>
      <c r="C1555" s="7" t="str">
        <f>_xlfn.XLOOKUP(B1555,'[1]Sheet 1'!$A$2:$A$11107,'[1]Sheet 1'!$D$2:$D$11107,"",0)</f>
        <v/>
      </c>
      <c r="D1555" s="4" t="str">
        <f>_xlfn.XLOOKUP(A1555,[3]Sheet2!$I$2:$I$1623,[3]Sheet2!$D$2:$D$1623,"",0)</f>
        <v>Q2</v>
      </c>
      <c r="F1555" s="4" t="e">
        <f>_xlfn.XLOOKUP(B1555,[2]Sheet2!$E$2:$E$713,[2]Sheet2!$G$2:$G$713)</f>
        <v>#N/A</v>
      </c>
      <c r="G1555" s="22">
        <v>46197</v>
      </c>
      <c r="H1555" s="23">
        <v>0.66616898148148151</v>
      </c>
      <c r="I1555" t="s">
        <v>4</v>
      </c>
      <c r="J1555" s="2" t="str">
        <f t="shared" si="127"/>
        <v>Q3</v>
      </c>
      <c r="K1555" s="2" t="str">
        <f t="shared" si="128"/>
        <v>Not Match</v>
      </c>
      <c r="L1555" s="1">
        <f t="shared" si="126"/>
        <v>0.11045361017187261</v>
      </c>
      <c r="M1555" s="1" t="e">
        <f t="shared" si="125"/>
        <v>#N/A</v>
      </c>
      <c r="N1555" s="2" t="str">
        <f t="shared" si="129"/>
        <v>Q NOT OK dE&lt;=0.8</v>
      </c>
      <c r="O1555">
        <v>17.899999999999999</v>
      </c>
      <c r="P1555">
        <v>-0.9</v>
      </c>
      <c r="Q1555">
        <v>-1.73</v>
      </c>
      <c r="R1555">
        <v>-0.48</v>
      </c>
      <c r="S1555">
        <v>-0.01</v>
      </c>
      <c r="T1555">
        <v>-0.11</v>
      </c>
      <c r="U1555">
        <v>0.14000000000000001</v>
      </c>
      <c r="V1555">
        <v>0.06</v>
      </c>
      <c r="W1555">
        <v>0.51</v>
      </c>
      <c r="X1555" t="s">
        <v>8</v>
      </c>
      <c r="Y1555" t="s">
        <v>9</v>
      </c>
      <c r="Z1555" s="2" t="s">
        <v>718</v>
      </c>
      <c r="AA1555" s="2" t="s">
        <v>721</v>
      </c>
    </row>
    <row r="1556" spans="1:27" x14ac:dyDescent="0.35">
      <c r="A1556" t="s">
        <v>1626</v>
      </c>
      <c r="B1556" t="s">
        <v>2636</v>
      </c>
      <c r="C1556" s="7" t="str">
        <f>_xlfn.XLOOKUP(B1556,'[1]Sheet 1'!$A$2:$A$11107,'[1]Sheet 1'!$D$2:$D$11107,"",0)</f>
        <v/>
      </c>
      <c r="D1556" s="4" t="str">
        <f>_xlfn.XLOOKUP(A1556,[3]Sheet2!$I$2:$I$1623,[3]Sheet2!$D$2:$D$1623,"",0)</f>
        <v>Q4</v>
      </c>
      <c r="F1556" s="4" t="e">
        <f>_xlfn.XLOOKUP(B1556,[2]Sheet2!$E$2:$E$713,[2]Sheet2!$G$2:$G$713)</f>
        <v>#N/A</v>
      </c>
      <c r="G1556" s="22">
        <v>46197</v>
      </c>
      <c r="H1556" s="23">
        <v>0.68069444444444449</v>
      </c>
      <c r="I1556" t="s">
        <v>10</v>
      </c>
      <c r="J1556" s="2" t="str">
        <f t="shared" si="127"/>
        <v>Q2</v>
      </c>
      <c r="K1556" s="2" t="str">
        <f t="shared" si="128"/>
        <v>Not Match</v>
      </c>
      <c r="L1556" s="1">
        <f t="shared" si="126"/>
        <v>0.36400549446402586</v>
      </c>
      <c r="M1556" s="1" t="e">
        <f t="shared" si="125"/>
        <v>#N/A</v>
      </c>
      <c r="N1556" s="2" t="str">
        <f t="shared" si="129"/>
        <v>Q NOT OK dE&lt;=0.8</v>
      </c>
      <c r="O1556">
        <v>15.16</v>
      </c>
      <c r="P1556">
        <v>0.24</v>
      </c>
      <c r="Q1556">
        <v>-1.49</v>
      </c>
      <c r="R1556">
        <v>-0.41</v>
      </c>
      <c r="S1556">
        <v>-0.35</v>
      </c>
      <c r="T1556">
        <v>0.1</v>
      </c>
      <c r="U1556">
        <v>-0.25</v>
      </c>
      <c r="V1556">
        <v>-0.43</v>
      </c>
      <c r="W1556">
        <v>0.65</v>
      </c>
      <c r="X1556" t="s">
        <v>8</v>
      </c>
      <c r="Y1556" t="s">
        <v>15</v>
      </c>
      <c r="Z1556" s="2" t="s">
        <v>718</v>
      </c>
      <c r="AA1556" s="2" t="s">
        <v>721</v>
      </c>
    </row>
    <row r="1557" spans="1:27" x14ac:dyDescent="0.35">
      <c r="A1557" t="s">
        <v>2637</v>
      </c>
      <c r="B1557" t="s">
        <v>2638</v>
      </c>
      <c r="C1557" s="7" t="str">
        <f>_xlfn.XLOOKUP(B1557,'[1]Sheet 1'!$A$2:$A$11107,'[1]Sheet 1'!$D$2:$D$11107,"",0)</f>
        <v/>
      </c>
      <c r="D1557" s="4" t="str">
        <f>_xlfn.XLOOKUP(A1557,[3]Sheet2!$I$2:$I$1623,[3]Sheet2!$D$2:$D$1623,"",0)</f>
        <v>Q1</v>
      </c>
      <c r="F1557" s="4" t="e">
        <f>_xlfn.XLOOKUP(B1557,[2]Sheet2!$E$2:$E$713,[2]Sheet2!$G$2:$G$713)</f>
        <v>#N/A</v>
      </c>
      <c r="G1557" s="22">
        <v>46197</v>
      </c>
      <c r="H1557" s="23">
        <v>0.68319444444444444</v>
      </c>
      <c r="I1557" t="s">
        <v>14</v>
      </c>
      <c r="J1557" s="2" t="str">
        <f t="shared" si="127"/>
        <v>Q2</v>
      </c>
      <c r="K1557" s="2" t="str">
        <f t="shared" si="128"/>
        <v>Not Match</v>
      </c>
      <c r="L1557" s="1">
        <f t="shared" si="126"/>
        <v>0.81024687595818601</v>
      </c>
      <c r="M1557" s="1" t="e">
        <f t="shared" si="125"/>
        <v>#N/A</v>
      </c>
      <c r="N1557" s="2" t="str">
        <f t="shared" si="129"/>
        <v>Q NOT OK dE&lt;=0.8</v>
      </c>
      <c r="O1557">
        <v>30.15</v>
      </c>
      <c r="P1557">
        <v>34.200000000000003</v>
      </c>
      <c r="Q1557">
        <v>14.88</v>
      </c>
      <c r="R1557">
        <v>-0.44</v>
      </c>
      <c r="S1557">
        <v>-0.02</v>
      </c>
      <c r="T1557">
        <v>0.81</v>
      </c>
      <c r="U1557">
        <v>0.13</v>
      </c>
      <c r="V1557">
        <v>0.59</v>
      </c>
      <c r="W1557">
        <v>0.75</v>
      </c>
      <c r="X1557" t="s">
        <v>8</v>
      </c>
      <c r="Y1557" t="s">
        <v>12</v>
      </c>
      <c r="Z1557" s="2" t="s">
        <v>718</v>
      </c>
      <c r="AA1557" s="2" t="s">
        <v>721</v>
      </c>
    </row>
    <row r="1558" spans="1:27" x14ac:dyDescent="0.35">
      <c r="A1558" t="s">
        <v>1769</v>
      </c>
      <c r="B1558" t="s">
        <v>2639</v>
      </c>
      <c r="C1558" s="7" t="str">
        <f>_xlfn.XLOOKUP(B1558,'[1]Sheet 1'!$A$2:$A$11107,'[1]Sheet 1'!$D$2:$D$11107,"",0)</f>
        <v/>
      </c>
      <c r="D1558" s="4" t="str">
        <f>_xlfn.XLOOKUP(A1558,[3]Sheet2!$I$2:$I$1623,[3]Sheet2!$D$2:$D$1623,"",0)</f>
        <v>Q4</v>
      </c>
      <c r="F1558" s="4" t="e">
        <f>_xlfn.XLOOKUP(B1558,[2]Sheet2!$E$2:$E$713,[2]Sheet2!$G$2:$G$713)</f>
        <v>#N/A</v>
      </c>
      <c r="G1558" s="22">
        <v>46197</v>
      </c>
      <c r="H1558" s="23">
        <v>0.7654050925925926</v>
      </c>
      <c r="I1558" t="s">
        <v>4</v>
      </c>
      <c r="J1558" s="2" t="str">
        <f t="shared" si="127"/>
        <v>Q2</v>
      </c>
      <c r="K1558" s="2" t="str">
        <f t="shared" si="128"/>
        <v>Not Match</v>
      </c>
      <c r="L1558" s="1">
        <f t="shared" si="126"/>
        <v>0.49396356140913877</v>
      </c>
      <c r="M1558" s="1" t="e">
        <f t="shared" si="125"/>
        <v>#N/A</v>
      </c>
      <c r="N1558" s="2" t="str">
        <f t="shared" si="129"/>
        <v>Q NOT OK dE&lt;=0.8</v>
      </c>
      <c r="O1558">
        <v>25.75</v>
      </c>
      <c r="P1558">
        <v>4.53</v>
      </c>
      <c r="Q1558">
        <v>-17.62</v>
      </c>
      <c r="R1558">
        <v>-0.66</v>
      </c>
      <c r="S1558">
        <v>-0.26</v>
      </c>
      <c r="T1558">
        <v>0.42</v>
      </c>
      <c r="U1558">
        <v>-0.28999999999999998</v>
      </c>
      <c r="V1558">
        <v>-0.16</v>
      </c>
      <c r="W1558">
        <v>0.74</v>
      </c>
      <c r="X1558" t="s">
        <v>8</v>
      </c>
      <c r="Y1558" t="s">
        <v>15</v>
      </c>
      <c r="Z1558" s="2" t="s">
        <v>718</v>
      </c>
      <c r="AA1558" s="2" t="s">
        <v>721</v>
      </c>
    </row>
    <row r="1559" spans="1:27" x14ac:dyDescent="0.35">
      <c r="A1559" t="s">
        <v>2148</v>
      </c>
      <c r="B1559" t="s">
        <v>2640</v>
      </c>
      <c r="C1559" s="7" t="str">
        <f>_xlfn.XLOOKUP(B1559,'[1]Sheet 1'!$A$2:$A$11107,'[1]Sheet 1'!$D$2:$D$11107,"",0)</f>
        <v/>
      </c>
      <c r="D1559" s="4" t="str">
        <f>_xlfn.XLOOKUP(A1559,[3]Sheet2!$I$2:$I$1623,[3]Sheet2!$D$2:$D$1623,"",0)</f>
        <v>Q3</v>
      </c>
      <c r="F1559" s="4" t="e">
        <f>_xlfn.XLOOKUP(B1559,[2]Sheet2!$E$2:$E$713,[2]Sheet2!$G$2:$G$713)</f>
        <v>#N/A</v>
      </c>
      <c r="G1559" s="22">
        <v>46197</v>
      </c>
      <c r="H1559" s="23">
        <v>0.7709259259259259</v>
      </c>
      <c r="I1559" t="s">
        <v>10</v>
      </c>
      <c r="J1559" s="2" t="str">
        <f t="shared" si="127"/>
        <v>Q1</v>
      </c>
      <c r="K1559" s="2" t="str">
        <f t="shared" si="128"/>
        <v>Not Match</v>
      </c>
      <c r="L1559" s="1">
        <f t="shared" si="126"/>
        <v>2.2471537553091467</v>
      </c>
      <c r="M1559" s="1" t="e">
        <f t="shared" si="125"/>
        <v>#N/A</v>
      </c>
      <c r="N1559" s="2" t="str">
        <f t="shared" si="129"/>
        <v>Q NOT OK dE&gt;0.8</v>
      </c>
      <c r="O1559">
        <v>42.81</v>
      </c>
      <c r="P1559">
        <v>55.33</v>
      </c>
      <c r="Q1559">
        <v>40.340000000000003</v>
      </c>
      <c r="R1559">
        <v>0.12</v>
      </c>
      <c r="S1559">
        <v>1.29</v>
      </c>
      <c r="T1559">
        <v>1.84</v>
      </c>
      <c r="U1559">
        <v>0.73</v>
      </c>
      <c r="V1559">
        <v>0.52</v>
      </c>
      <c r="W1559">
        <v>0.9</v>
      </c>
      <c r="X1559" t="s">
        <v>13</v>
      </c>
      <c r="Y1559" t="s">
        <v>12</v>
      </c>
      <c r="Z1559" s="2" t="s">
        <v>718</v>
      </c>
      <c r="AA1559" s="2" t="s">
        <v>721</v>
      </c>
    </row>
    <row r="1560" spans="1:27" x14ac:dyDescent="0.35">
      <c r="A1560" t="s">
        <v>1626</v>
      </c>
      <c r="B1560" t="s">
        <v>2641</v>
      </c>
      <c r="C1560" s="7" t="str">
        <f>_xlfn.XLOOKUP(B1560,'[1]Sheet 1'!$A$2:$A$11107,'[1]Sheet 1'!$D$2:$D$11107,"",0)</f>
        <v/>
      </c>
      <c r="D1560" s="4" t="str">
        <f>_xlfn.XLOOKUP(A1560,[3]Sheet2!$I$2:$I$1623,[3]Sheet2!$D$2:$D$1623,"",0)</f>
        <v>Q4</v>
      </c>
      <c r="F1560" s="4" t="e">
        <f>_xlfn.XLOOKUP(B1560,[2]Sheet2!$E$2:$E$713,[2]Sheet2!$G$2:$G$713)</f>
        <v>#N/A</v>
      </c>
      <c r="G1560" s="22">
        <v>46198</v>
      </c>
      <c r="H1560" s="23">
        <v>0.68461805555555555</v>
      </c>
      <c r="I1560" t="s">
        <v>10</v>
      </c>
      <c r="J1560" s="2" t="str">
        <f t="shared" si="127"/>
        <v>Q2</v>
      </c>
      <c r="K1560" s="2" t="str">
        <f t="shared" si="128"/>
        <v>Not Match</v>
      </c>
      <c r="L1560" s="1">
        <f t="shared" si="126"/>
        <v>0.21954498400100148</v>
      </c>
      <c r="M1560" s="1" t="e">
        <f t="shared" si="125"/>
        <v>#N/A</v>
      </c>
      <c r="N1560" s="2" t="str">
        <f t="shared" si="129"/>
        <v>Q NOT OK dE&lt;=0.8</v>
      </c>
      <c r="O1560">
        <v>15.44</v>
      </c>
      <c r="P1560">
        <v>0.41</v>
      </c>
      <c r="Q1560">
        <v>-1.48</v>
      </c>
      <c r="R1560">
        <v>-0.14000000000000001</v>
      </c>
      <c r="S1560">
        <v>-0.19</v>
      </c>
      <c r="T1560">
        <v>0.11</v>
      </c>
      <c r="U1560">
        <v>-0.21</v>
      </c>
      <c r="V1560">
        <v>-0.2</v>
      </c>
      <c r="W1560">
        <v>0.32</v>
      </c>
      <c r="X1560" t="s">
        <v>8</v>
      </c>
      <c r="Y1560" t="s">
        <v>15</v>
      </c>
      <c r="Z1560" s="2" t="s">
        <v>718</v>
      </c>
      <c r="AA1560" s="2" t="s">
        <v>721</v>
      </c>
    </row>
    <row r="1561" spans="1:27" x14ac:dyDescent="0.35">
      <c r="A1561" t="s">
        <v>2642</v>
      </c>
      <c r="B1561" t="s">
        <v>2643</v>
      </c>
      <c r="C1561" s="7" t="str">
        <f>_xlfn.XLOOKUP(B1561,'[1]Sheet 1'!$A$2:$A$11107,'[1]Sheet 1'!$D$2:$D$11107,"",0)</f>
        <v/>
      </c>
      <c r="D1561" s="4">
        <v>0</v>
      </c>
      <c r="F1561" s="4" t="e">
        <f>_xlfn.XLOOKUP(B1561,[2]Sheet2!$E$2:$E$713,[2]Sheet2!$G$2:$G$713)</f>
        <v>#N/A</v>
      </c>
      <c r="G1561" s="22">
        <v>46198</v>
      </c>
      <c r="H1561" s="23">
        <v>0.68739583333333332</v>
      </c>
      <c r="I1561" t="s">
        <v>11</v>
      </c>
      <c r="J1561" s="2" t="str">
        <f t="shared" si="127"/>
        <v>Q2</v>
      </c>
      <c r="K1561" s="2" t="str">
        <f t="shared" si="128"/>
        <v>Not Found</v>
      </c>
      <c r="L1561" s="1">
        <f t="shared" si="126"/>
        <v>0.26907248094147423</v>
      </c>
      <c r="M1561" s="1" t="e">
        <f t="shared" si="125"/>
        <v>#N/A</v>
      </c>
      <c r="N1561" s="2" t="str">
        <f t="shared" si="129"/>
        <v>Quadrant not assigned</v>
      </c>
      <c r="O1561">
        <v>16.84</v>
      </c>
      <c r="P1561">
        <v>-1.27</v>
      </c>
      <c r="Q1561">
        <v>-2.08</v>
      </c>
      <c r="R1561">
        <v>0.48</v>
      </c>
      <c r="S1561">
        <v>-0.2</v>
      </c>
      <c r="T1561">
        <v>0.18</v>
      </c>
      <c r="U1561">
        <v>-0.08</v>
      </c>
      <c r="V1561">
        <v>-0.34</v>
      </c>
      <c r="W1561">
        <v>0.59</v>
      </c>
      <c r="X1561" t="s">
        <v>8</v>
      </c>
      <c r="Y1561" t="s">
        <v>15</v>
      </c>
      <c r="Z1561" s="2" t="s">
        <v>718</v>
      </c>
      <c r="AA1561" s="2" t="s">
        <v>721</v>
      </c>
    </row>
    <row r="1562" spans="1:27" x14ac:dyDescent="0.35">
      <c r="A1562" t="s">
        <v>1540</v>
      </c>
      <c r="B1562" t="s">
        <v>2644</v>
      </c>
      <c r="C1562" s="7" t="str">
        <f>_xlfn.XLOOKUP(B1562,'[1]Sheet 1'!$A$2:$A$11107,'[1]Sheet 1'!$D$2:$D$11107,"",0)</f>
        <v/>
      </c>
      <c r="D1562" s="4" t="str">
        <f>_xlfn.XLOOKUP(A1562,[3]Sheet2!$I$2:$I$1623,[3]Sheet2!$D$2:$D$1623,"",0)</f>
        <v>Q3</v>
      </c>
      <c r="F1562" s="4" t="e">
        <f>_xlfn.XLOOKUP(B1562,[2]Sheet2!$E$2:$E$713,[2]Sheet2!$G$2:$G$713)</f>
        <v>#N/A</v>
      </c>
      <c r="G1562" s="22">
        <v>46198</v>
      </c>
      <c r="H1562" s="23">
        <v>0.69767361111111115</v>
      </c>
      <c r="I1562" t="s">
        <v>11</v>
      </c>
      <c r="J1562" s="2" t="str">
        <f t="shared" si="127"/>
        <v>Q1</v>
      </c>
      <c r="K1562" s="2" t="str">
        <f t="shared" si="128"/>
        <v>Not Match</v>
      </c>
      <c r="L1562" s="1">
        <f t="shared" si="126"/>
        <v>0.3573513677041128</v>
      </c>
      <c r="M1562" s="1" t="e">
        <f t="shared" si="125"/>
        <v>#N/A</v>
      </c>
      <c r="N1562" s="2" t="str">
        <f t="shared" si="129"/>
        <v>Q NOT OK dE&lt;=0.8</v>
      </c>
      <c r="O1562">
        <v>14.04</v>
      </c>
      <c r="P1562">
        <v>-0.43</v>
      </c>
      <c r="Q1562">
        <v>-1.42</v>
      </c>
      <c r="R1562">
        <v>-0.19</v>
      </c>
      <c r="S1562">
        <v>0.11</v>
      </c>
      <c r="T1562">
        <v>0.34</v>
      </c>
      <c r="U1562">
        <v>-0.47</v>
      </c>
      <c r="V1562">
        <v>0.01</v>
      </c>
      <c r="W1562">
        <v>0.51</v>
      </c>
      <c r="X1562" t="s">
        <v>8</v>
      </c>
      <c r="Y1562" t="s">
        <v>9</v>
      </c>
      <c r="Z1562" s="2" t="s">
        <v>718</v>
      </c>
      <c r="AA1562" s="2" t="s">
        <v>721</v>
      </c>
    </row>
    <row r="1563" spans="1:27" x14ac:dyDescent="0.35">
      <c r="A1563" t="s">
        <v>2400</v>
      </c>
      <c r="B1563" t="s">
        <v>2645</v>
      </c>
      <c r="C1563" s="7" t="str">
        <f>_xlfn.XLOOKUP(B1563,'[1]Sheet 1'!$A$2:$A$11107,'[1]Sheet 1'!$D$2:$D$11107,"",0)</f>
        <v/>
      </c>
      <c r="D1563" s="4" t="str">
        <f>_xlfn.XLOOKUP(A1563,[3]Sheet2!$I$2:$I$1623,[3]Sheet2!$D$2:$D$1623,"",0)</f>
        <v>Q4</v>
      </c>
      <c r="F1563" s="4" t="e">
        <f>_xlfn.XLOOKUP(B1563,[2]Sheet2!$E$2:$E$713,[2]Sheet2!$G$2:$G$713)</f>
        <v>#N/A</v>
      </c>
      <c r="G1563" s="22">
        <v>46198</v>
      </c>
      <c r="H1563" s="23">
        <v>0.6214467592592593</v>
      </c>
      <c r="I1563" t="s">
        <v>11</v>
      </c>
      <c r="J1563" s="2" t="str">
        <f t="shared" si="127"/>
        <v>Q1</v>
      </c>
      <c r="K1563" s="2" t="str">
        <f t="shared" si="128"/>
        <v>Not Match</v>
      </c>
      <c r="L1563" s="1">
        <f t="shared" si="126"/>
        <v>0.78447434629820745</v>
      </c>
      <c r="M1563" s="1" t="e">
        <f t="shared" si="125"/>
        <v>#N/A</v>
      </c>
      <c r="N1563" s="2" t="str">
        <f t="shared" si="129"/>
        <v>Q NOT OK dE&gt;0.8</v>
      </c>
      <c r="O1563">
        <v>19.68</v>
      </c>
      <c r="P1563">
        <v>8.8800000000000008</v>
      </c>
      <c r="Q1563">
        <v>-3.58</v>
      </c>
      <c r="R1563">
        <v>0.51</v>
      </c>
      <c r="S1563">
        <v>0.75</v>
      </c>
      <c r="T1563">
        <v>0.23</v>
      </c>
      <c r="U1563">
        <v>0.52</v>
      </c>
      <c r="V1563">
        <v>0.59</v>
      </c>
      <c r="W1563">
        <v>0.94</v>
      </c>
      <c r="X1563" t="s">
        <v>13</v>
      </c>
      <c r="Y1563" t="s">
        <v>9</v>
      </c>
      <c r="Z1563" s="2" t="s">
        <v>718</v>
      </c>
      <c r="AA1563" s="2" t="s">
        <v>721</v>
      </c>
    </row>
    <row r="1564" spans="1:27" x14ac:dyDescent="0.35">
      <c r="A1564" t="s">
        <v>2646</v>
      </c>
      <c r="B1564" t="s">
        <v>2647</v>
      </c>
      <c r="C1564" s="7" t="str">
        <f>_xlfn.XLOOKUP(B1564,'[1]Sheet 1'!$A$2:$A$11107,'[1]Sheet 1'!$D$2:$D$11107,"",0)</f>
        <v/>
      </c>
      <c r="D1564" s="4" t="str">
        <f>_xlfn.XLOOKUP(A1564,[3]Sheet2!$I$2:$I$1623,[3]Sheet2!$D$2:$D$1623,"",0)</f>
        <v>Q3</v>
      </c>
      <c r="F1564" s="4" t="e">
        <f>_xlfn.XLOOKUP(B1564,[2]Sheet2!$E$2:$E$713,[2]Sheet2!$G$2:$G$713)</f>
        <v>#N/A</v>
      </c>
      <c r="G1564" s="22">
        <v>46198</v>
      </c>
      <c r="H1564" s="23">
        <v>0.77916666666666667</v>
      </c>
      <c r="I1564" t="s">
        <v>11</v>
      </c>
      <c r="J1564" s="2" t="str">
        <f t="shared" si="127"/>
        <v>Q3</v>
      </c>
      <c r="K1564" s="2" t="str">
        <f t="shared" si="128"/>
        <v>Match</v>
      </c>
      <c r="L1564" s="1">
        <f t="shared" si="126"/>
        <v>0.54037024344425189</v>
      </c>
      <c r="M1564" s="1" t="e">
        <f t="shared" si="125"/>
        <v>#N/A</v>
      </c>
      <c r="N1564" s="2" t="str">
        <f t="shared" si="129"/>
        <v>Q OK dE&gt;0.8</v>
      </c>
      <c r="O1564">
        <v>17.21</v>
      </c>
      <c r="P1564">
        <v>1.25</v>
      </c>
      <c r="Q1564">
        <v>-14.14</v>
      </c>
      <c r="R1564">
        <v>-0.74</v>
      </c>
      <c r="S1564">
        <v>-0.02</v>
      </c>
      <c r="T1564">
        <v>-0.54</v>
      </c>
      <c r="U1564">
        <v>0.39</v>
      </c>
      <c r="V1564">
        <v>-0.08</v>
      </c>
      <c r="W1564">
        <v>0.84</v>
      </c>
      <c r="X1564" t="s">
        <v>13</v>
      </c>
      <c r="Y1564" t="s">
        <v>15</v>
      </c>
      <c r="Z1564" s="2" t="s">
        <v>718</v>
      </c>
      <c r="AA1564" s="2" t="s">
        <v>721</v>
      </c>
    </row>
    <row r="1565" spans="1:27" x14ac:dyDescent="0.35">
      <c r="A1565" t="s">
        <v>1545</v>
      </c>
      <c r="B1565" t="s">
        <v>2648</v>
      </c>
      <c r="C1565" s="7" t="str">
        <f>_xlfn.XLOOKUP(B1565,'[1]Sheet 1'!$A$2:$A$11107,'[1]Sheet 1'!$D$2:$D$11107,"",0)</f>
        <v/>
      </c>
      <c r="D1565" s="4" t="str">
        <f>_xlfn.XLOOKUP(A1565,[3]Sheet2!$I$2:$I$1623,[3]Sheet2!$D$2:$D$1623,"",0)</f>
        <v>Q2</v>
      </c>
      <c r="F1565" s="4" t="e">
        <f>_xlfn.XLOOKUP(B1565,[2]Sheet2!$E$2:$E$713,[2]Sheet2!$G$2:$G$713)</f>
        <v>#N/A</v>
      </c>
      <c r="G1565" s="22">
        <v>46198</v>
      </c>
      <c r="H1565" s="23">
        <v>0.78265046296296292</v>
      </c>
      <c r="I1565" t="s">
        <v>4</v>
      </c>
      <c r="J1565" s="2" t="str">
        <f t="shared" si="127"/>
        <v>Q4</v>
      </c>
      <c r="K1565" s="2" t="str">
        <f t="shared" si="128"/>
        <v>Not Match</v>
      </c>
      <c r="L1565" s="1">
        <f t="shared" si="126"/>
        <v>0.18110770276274832</v>
      </c>
      <c r="M1565" s="1" t="e">
        <f t="shared" si="125"/>
        <v>#N/A</v>
      </c>
      <c r="N1565" s="2" t="str">
        <f t="shared" si="129"/>
        <v>Q NOT OK dE&lt;=0.8</v>
      </c>
      <c r="O1565">
        <v>19.239999999999998</v>
      </c>
      <c r="P1565">
        <v>-0.87</v>
      </c>
      <c r="Q1565">
        <v>-1.81</v>
      </c>
      <c r="R1565">
        <v>0.69</v>
      </c>
      <c r="S1565">
        <v>0.02</v>
      </c>
      <c r="T1565">
        <v>-0.18</v>
      </c>
      <c r="U1565">
        <v>0.21</v>
      </c>
      <c r="V1565">
        <v>0.14000000000000001</v>
      </c>
      <c r="W1565">
        <v>0.74</v>
      </c>
      <c r="X1565" t="s">
        <v>8</v>
      </c>
      <c r="Y1565" t="s">
        <v>9</v>
      </c>
      <c r="Z1565" s="2" t="s">
        <v>718</v>
      </c>
      <c r="AA1565" s="2" t="s">
        <v>721</v>
      </c>
    </row>
    <row r="1566" spans="1:27" x14ac:dyDescent="0.35">
      <c r="A1566" t="s">
        <v>1515</v>
      </c>
      <c r="B1566" t="s">
        <v>2649</v>
      </c>
      <c r="C1566" s="7" t="str">
        <f>_xlfn.XLOOKUP(B1566,'[1]Sheet 1'!$A$2:$A$11107,'[1]Sheet 1'!$D$2:$D$11107,"",0)</f>
        <v/>
      </c>
      <c r="D1566" s="4" t="str">
        <f>_xlfn.XLOOKUP(A1566,[3]Sheet2!$I$2:$I$1623,[3]Sheet2!$D$2:$D$1623,"",0)</f>
        <v>Q3</v>
      </c>
      <c r="F1566" s="4" t="e">
        <f>_xlfn.XLOOKUP(B1566,[2]Sheet2!$E$2:$E$713,[2]Sheet2!$G$2:$G$713)</f>
        <v>#N/A</v>
      </c>
      <c r="G1566" s="22">
        <v>46198</v>
      </c>
      <c r="H1566" s="23">
        <v>0.93480324074074073</v>
      </c>
      <c r="I1566" t="s">
        <v>10</v>
      </c>
      <c r="J1566" s="2" t="str">
        <f t="shared" si="127"/>
        <v>Q3</v>
      </c>
      <c r="K1566" s="2" t="str">
        <f t="shared" si="128"/>
        <v>Match</v>
      </c>
      <c r="L1566" s="1">
        <f t="shared" si="126"/>
        <v>7.211102550927978E-2</v>
      </c>
      <c r="M1566" s="1" t="e">
        <f t="shared" si="125"/>
        <v>#N/A</v>
      </c>
      <c r="N1566" s="2" t="str">
        <f t="shared" si="129"/>
        <v>Q OK dE&gt;0.8</v>
      </c>
      <c r="O1566">
        <v>13.96</v>
      </c>
      <c r="P1566">
        <v>0.05</v>
      </c>
      <c r="Q1566">
        <v>-1.79</v>
      </c>
      <c r="R1566">
        <v>-1.05</v>
      </c>
      <c r="S1566">
        <v>-0.06</v>
      </c>
      <c r="T1566">
        <v>-0.04</v>
      </c>
      <c r="U1566">
        <v>0.05</v>
      </c>
      <c r="V1566">
        <v>-0.08</v>
      </c>
      <c r="W1566">
        <v>1.06</v>
      </c>
      <c r="X1566" t="s">
        <v>6</v>
      </c>
      <c r="Y1566" t="s">
        <v>15</v>
      </c>
      <c r="Z1566" s="2" t="s">
        <v>718</v>
      </c>
      <c r="AA1566" s="2" t="s">
        <v>721</v>
      </c>
    </row>
    <row r="1567" spans="1:27" x14ac:dyDescent="0.35">
      <c r="A1567" t="s">
        <v>2148</v>
      </c>
      <c r="B1567" t="s">
        <v>2650</v>
      </c>
      <c r="C1567" s="7" t="str">
        <f>_xlfn.XLOOKUP(B1567,'[1]Sheet 1'!$A$2:$A$11107,'[1]Sheet 1'!$D$2:$D$11107,"",0)</f>
        <v/>
      </c>
      <c r="D1567" s="4" t="str">
        <f>_xlfn.XLOOKUP(A1567,[3]Sheet2!$I$2:$I$1623,[3]Sheet2!$D$2:$D$1623,"",0)</f>
        <v>Q3</v>
      </c>
      <c r="F1567" s="4" t="e">
        <f>_xlfn.XLOOKUP(B1567,[2]Sheet2!$E$2:$E$713,[2]Sheet2!$G$2:$G$713)</f>
        <v>#N/A</v>
      </c>
      <c r="G1567" s="22">
        <v>46198</v>
      </c>
      <c r="H1567" s="23">
        <v>0.9377199074074074</v>
      </c>
      <c r="I1567" t="s">
        <v>10</v>
      </c>
      <c r="J1567" s="2" t="str">
        <f t="shared" si="127"/>
        <v>Q1</v>
      </c>
      <c r="K1567" s="2" t="str">
        <f t="shared" si="128"/>
        <v>Not Match</v>
      </c>
      <c r="L1567" s="1">
        <f t="shared" si="126"/>
        <v>2.7542694131112153</v>
      </c>
      <c r="M1567" s="1" t="e">
        <f t="shared" si="125"/>
        <v>#N/A</v>
      </c>
      <c r="N1567" s="2" t="str">
        <f t="shared" si="129"/>
        <v>Q NOT OK dE&gt;0.8</v>
      </c>
      <c r="O1567">
        <v>44.34</v>
      </c>
      <c r="P1567">
        <v>55.46</v>
      </c>
      <c r="Q1567">
        <v>40.85</v>
      </c>
      <c r="R1567">
        <v>0.89</v>
      </c>
      <c r="S1567">
        <v>1.42</v>
      </c>
      <c r="T1567">
        <v>2.36</v>
      </c>
      <c r="U1567">
        <v>0.87</v>
      </c>
      <c r="V1567">
        <v>0.75</v>
      </c>
      <c r="W1567">
        <v>1.46</v>
      </c>
      <c r="X1567" t="s">
        <v>6</v>
      </c>
      <c r="Y1567" t="s">
        <v>12</v>
      </c>
      <c r="Z1567" s="2" t="s">
        <v>718</v>
      </c>
      <c r="AA1567" s="2" t="s">
        <v>721</v>
      </c>
    </row>
    <row r="1568" spans="1:27" x14ac:dyDescent="0.35">
      <c r="A1568" t="s">
        <v>2232</v>
      </c>
      <c r="B1568" t="s">
        <v>2651</v>
      </c>
      <c r="C1568" s="7" t="str">
        <f>_xlfn.XLOOKUP(B1568,'[1]Sheet 1'!$A$2:$A$11107,'[1]Sheet 1'!$D$2:$D$11107,"",0)</f>
        <v/>
      </c>
      <c r="D1568" s="4" t="str">
        <f>_xlfn.XLOOKUP(A1568,[3]Sheet2!$I$2:$I$1623,[3]Sheet2!$D$2:$D$1623,"",0)</f>
        <v>Q3</v>
      </c>
      <c r="F1568" s="4" t="e">
        <f>_xlfn.XLOOKUP(B1568,[2]Sheet2!$E$2:$E$713,[2]Sheet2!$G$2:$G$713)</f>
        <v>#N/A</v>
      </c>
      <c r="G1568" s="22">
        <v>46198</v>
      </c>
      <c r="H1568" s="23">
        <v>0.95797453703703705</v>
      </c>
      <c r="I1568" t="s">
        <v>10</v>
      </c>
      <c r="J1568" s="2" t="str">
        <f t="shared" si="127"/>
        <v>Q2</v>
      </c>
      <c r="K1568" s="2" t="str">
        <f t="shared" si="128"/>
        <v>Not Match</v>
      </c>
      <c r="L1568" s="1">
        <f t="shared" si="126"/>
        <v>0.17117242768623692</v>
      </c>
      <c r="M1568" s="1" t="e">
        <f t="shared" si="125"/>
        <v>#N/A</v>
      </c>
      <c r="N1568" s="2" t="str">
        <f t="shared" si="129"/>
        <v>Q NOT OK dE&lt;=0.8</v>
      </c>
      <c r="O1568">
        <v>17.09</v>
      </c>
      <c r="P1568">
        <v>0.9</v>
      </c>
      <c r="Q1568">
        <v>-0.37</v>
      </c>
      <c r="R1568">
        <v>0.11</v>
      </c>
      <c r="S1568">
        <v>-0.02</v>
      </c>
      <c r="T1568">
        <v>0.17</v>
      </c>
      <c r="U1568">
        <v>-0.13</v>
      </c>
      <c r="V1568">
        <v>0.2</v>
      </c>
      <c r="W1568">
        <v>0.27</v>
      </c>
      <c r="X1568" t="s">
        <v>8</v>
      </c>
      <c r="Y1568" t="s">
        <v>9</v>
      </c>
      <c r="Z1568" s="2" t="s">
        <v>718</v>
      </c>
      <c r="AA1568" s="2" t="s">
        <v>721</v>
      </c>
    </row>
    <row r="1569" spans="1:27" x14ac:dyDescent="0.35">
      <c r="A1569" t="s">
        <v>1639</v>
      </c>
      <c r="B1569" t="s">
        <v>2652</v>
      </c>
      <c r="C1569" s="7" t="str">
        <f>_xlfn.XLOOKUP(B1569,'[1]Sheet 1'!$A$2:$A$11107,'[1]Sheet 1'!$D$2:$D$11107,"",0)</f>
        <v/>
      </c>
      <c r="D1569" s="4" t="str">
        <f>_xlfn.XLOOKUP(A1569,[3]Sheet2!$I$2:$I$1623,[3]Sheet2!$D$2:$D$1623,"",0)</f>
        <v>Q3</v>
      </c>
      <c r="F1569" s="4" t="e">
        <f>_xlfn.XLOOKUP(B1569,[2]Sheet2!$E$2:$E$713,[2]Sheet2!$G$2:$G$713)</f>
        <v>#N/A</v>
      </c>
      <c r="G1569" s="22">
        <v>46198</v>
      </c>
      <c r="H1569" s="23">
        <v>0.96994212962962967</v>
      </c>
      <c r="I1569" t="s">
        <v>10</v>
      </c>
      <c r="J1569" s="2" t="str">
        <f t="shared" si="127"/>
        <v>Q2</v>
      </c>
      <c r="K1569" s="2" t="str">
        <f t="shared" si="128"/>
        <v>Not Match</v>
      </c>
      <c r="L1569" s="1">
        <f t="shared" si="126"/>
        <v>0.24698178070456939</v>
      </c>
      <c r="M1569" s="1" t="e">
        <f t="shared" si="125"/>
        <v>#N/A</v>
      </c>
      <c r="N1569" s="2" t="str">
        <f t="shared" si="129"/>
        <v>Q NOT OK dE&lt;=0.8</v>
      </c>
      <c r="O1569">
        <v>14.75</v>
      </c>
      <c r="P1569">
        <v>0.82</v>
      </c>
      <c r="Q1569">
        <v>-0.86</v>
      </c>
      <c r="R1569">
        <v>-0.7</v>
      </c>
      <c r="S1569">
        <v>-0.09</v>
      </c>
      <c r="T1569">
        <v>0.23</v>
      </c>
      <c r="U1569">
        <v>-0.31</v>
      </c>
      <c r="V1569">
        <v>0.12</v>
      </c>
      <c r="W1569">
        <v>0.77</v>
      </c>
      <c r="X1569" t="s">
        <v>13</v>
      </c>
      <c r="Y1569" t="s">
        <v>9</v>
      </c>
      <c r="Z1569" s="2" t="s">
        <v>718</v>
      </c>
      <c r="AA1569" s="2" t="s">
        <v>721</v>
      </c>
    </row>
    <row r="1570" spans="1:27" x14ac:dyDescent="0.35">
      <c r="A1570" t="s">
        <v>2337</v>
      </c>
      <c r="B1570" t="s">
        <v>2653</v>
      </c>
      <c r="C1570" s="7" t="str">
        <f>_xlfn.XLOOKUP(B1570,'[1]Sheet 1'!$A$2:$A$11107,'[1]Sheet 1'!$D$2:$D$11107,"",0)</f>
        <v/>
      </c>
      <c r="D1570" s="4" t="str">
        <f>_xlfn.XLOOKUP(A1570,[3]Sheet2!$I$2:$I$1623,[3]Sheet2!$D$2:$D$1623,"",0)</f>
        <v>Q3</v>
      </c>
      <c r="F1570" s="4" t="e">
        <f>_xlfn.XLOOKUP(B1570,[2]Sheet2!$E$2:$E$713,[2]Sheet2!$G$2:$G$713)</f>
        <v>#N/A</v>
      </c>
      <c r="G1570" s="22">
        <v>46198</v>
      </c>
      <c r="H1570" s="23">
        <v>0.98498842592592595</v>
      </c>
      <c r="I1570" t="s">
        <v>10</v>
      </c>
      <c r="J1570" s="2" t="str">
        <f t="shared" si="127"/>
        <v>Q3</v>
      </c>
      <c r="K1570" s="2" t="str">
        <f t="shared" si="128"/>
        <v>Match</v>
      </c>
      <c r="L1570" s="1">
        <f t="shared" si="126"/>
        <v>0.31764760348537185</v>
      </c>
      <c r="M1570" s="1" t="e">
        <f t="shared" si="125"/>
        <v>#N/A</v>
      </c>
      <c r="N1570" s="2" t="str">
        <f t="shared" si="129"/>
        <v>Q OK dE&lt;=0.8</v>
      </c>
      <c r="O1570">
        <v>20.69</v>
      </c>
      <c r="P1570">
        <v>0.53</v>
      </c>
      <c r="Q1570">
        <v>-1.19</v>
      </c>
      <c r="R1570">
        <v>0.09</v>
      </c>
      <c r="S1570">
        <v>-0.15</v>
      </c>
      <c r="T1570">
        <v>-0.28000000000000003</v>
      </c>
      <c r="U1570">
        <v>0.24</v>
      </c>
      <c r="V1570">
        <v>-0.39</v>
      </c>
      <c r="W1570">
        <v>0.46</v>
      </c>
      <c r="X1570" t="s">
        <v>8</v>
      </c>
      <c r="Y1570" t="s">
        <v>7</v>
      </c>
      <c r="Z1570" s="2" t="s">
        <v>718</v>
      </c>
      <c r="AA1570" s="2" t="s">
        <v>721</v>
      </c>
    </row>
    <row r="1571" spans="1:27" x14ac:dyDescent="0.35">
      <c r="A1571" t="s">
        <v>2340</v>
      </c>
      <c r="B1571" t="s">
        <v>2654</v>
      </c>
      <c r="C1571" s="7" t="str">
        <f>_xlfn.XLOOKUP(B1571,'[1]Sheet 1'!$A$2:$A$11107,'[1]Sheet 1'!$D$2:$D$11107,"",0)</f>
        <v/>
      </c>
      <c r="D1571" s="4" t="str">
        <f>_xlfn.XLOOKUP(A1571,[3]Sheet2!$I$2:$I$1623,[3]Sheet2!$D$2:$D$1623,"",0)</f>
        <v>Q3</v>
      </c>
      <c r="F1571" s="4" t="e">
        <f>_xlfn.XLOOKUP(B1571,[2]Sheet2!$E$2:$E$713,[2]Sheet2!$G$2:$G$713)</f>
        <v>#N/A</v>
      </c>
      <c r="G1571" s="22">
        <v>46199</v>
      </c>
      <c r="H1571" s="23">
        <v>1.8356481481481481E-2</v>
      </c>
      <c r="I1571" t="s">
        <v>10</v>
      </c>
      <c r="J1571" s="2" t="str">
        <f t="shared" si="127"/>
        <v>Q1</v>
      </c>
      <c r="K1571" s="2" t="str">
        <f t="shared" si="128"/>
        <v>Not Match</v>
      </c>
      <c r="L1571" s="1">
        <f t="shared" si="126"/>
        <v>1.4353396810511441</v>
      </c>
      <c r="M1571" s="1" t="e">
        <f t="shared" si="125"/>
        <v>#N/A</v>
      </c>
      <c r="N1571" s="2" t="str">
        <f t="shared" si="129"/>
        <v>Q NOT OK dE&lt;=0.8</v>
      </c>
      <c r="O1571">
        <v>49.74</v>
      </c>
      <c r="P1571">
        <v>59.52</v>
      </c>
      <c r="Q1571">
        <v>45.62</v>
      </c>
      <c r="R1571">
        <v>0.33</v>
      </c>
      <c r="S1571">
        <v>0.91</v>
      </c>
      <c r="T1571">
        <v>1.1100000000000001</v>
      </c>
      <c r="U1571">
        <v>0.46</v>
      </c>
      <c r="V1571">
        <v>0.23</v>
      </c>
      <c r="W1571">
        <v>0.61</v>
      </c>
      <c r="X1571" t="s">
        <v>8</v>
      </c>
      <c r="Y1571" t="s">
        <v>12</v>
      </c>
      <c r="Z1571" s="2" t="s">
        <v>718</v>
      </c>
      <c r="AA1571" s="2" t="s">
        <v>721</v>
      </c>
    </row>
    <row r="1572" spans="1:27" x14ac:dyDescent="0.35">
      <c r="A1572" t="s">
        <v>1626</v>
      </c>
      <c r="B1572" t="s">
        <v>2655</v>
      </c>
      <c r="C1572" s="7" t="str">
        <f>_xlfn.XLOOKUP(B1572,'[1]Sheet 1'!$A$2:$A$11107,'[1]Sheet 1'!$D$2:$D$11107,"",0)</f>
        <v/>
      </c>
      <c r="D1572" s="4" t="str">
        <f>_xlfn.XLOOKUP(A1572,[3]Sheet2!$I$2:$I$1623,[3]Sheet2!$D$2:$D$1623,"",0)</f>
        <v>Q4</v>
      </c>
      <c r="F1572" s="4" t="e">
        <f>_xlfn.XLOOKUP(B1572,[2]Sheet2!$E$2:$E$713,[2]Sheet2!$G$2:$G$713)</f>
        <v>#N/A</v>
      </c>
      <c r="G1572" s="22">
        <v>46199</v>
      </c>
      <c r="H1572" s="23">
        <v>5.3252314814814815E-2</v>
      </c>
      <c r="I1572" t="s">
        <v>10</v>
      </c>
      <c r="J1572" s="2" t="str">
        <f t="shared" si="127"/>
        <v>Q2</v>
      </c>
      <c r="K1572" s="2" t="str">
        <f t="shared" si="128"/>
        <v>Not Match</v>
      </c>
      <c r="L1572" s="1">
        <f t="shared" si="126"/>
        <v>0.33015148038438358</v>
      </c>
      <c r="M1572" s="1" t="e">
        <f t="shared" si="125"/>
        <v>#N/A</v>
      </c>
      <c r="N1572" s="2" t="str">
        <f t="shared" si="129"/>
        <v>Q NOT OK dE&lt;=0.8</v>
      </c>
      <c r="O1572">
        <v>15.19</v>
      </c>
      <c r="P1572">
        <v>0.27</v>
      </c>
      <c r="Q1572">
        <v>-1.58</v>
      </c>
      <c r="R1572">
        <v>-0.38</v>
      </c>
      <c r="S1572">
        <v>-0.33</v>
      </c>
      <c r="T1572">
        <v>0.01</v>
      </c>
      <c r="U1572">
        <v>-0.13</v>
      </c>
      <c r="V1572">
        <v>-0.43</v>
      </c>
      <c r="W1572">
        <v>0.59</v>
      </c>
      <c r="X1572" t="s">
        <v>8</v>
      </c>
      <c r="Y1572" t="s">
        <v>15</v>
      </c>
      <c r="Z1572" s="2" t="s">
        <v>718</v>
      </c>
      <c r="AA1572" s="2" t="s">
        <v>721</v>
      </c>
    </row>
    <row r="1573" spans="1:27" x14ac:dyDescent="0.35">
      <c r="A1573" t="s">
        <v>1782</v>
      </c>
      <c r="B1573" t="s">
        <v>2656</v>
      </c>
      <c r="C1573" s="7" t="str">
        <f>_xlfn.XLOOKUP(B1573,'[1]Sheet 1'!$A$2:$A$11107,'[1]Sheet 1'!$D$2:$D$11107,"",0)</f>
        <v/>
      </c>
      <c r="D1573" s="4">
        <v>0</v>
      </c>
      <c r="F1573" s="4" t="e">
        <f>_xlfn.XLOOKUP(B1573,[2]Sheet2!$E$2:$E$713,[2]Sheet2!$G$2:$G$713)</f>
        <v>#N/A</v>
      </c>
      <c r="G1573" s="22">
        <v>46199</v>
      </c>
      <c r="H1573" s="23">
        <v>5.5995370370370369E-2</v>
      </c>
      <c r="I1573" t="s">
        <v>4</v>
      </c>
      <c r="J1573" s="2" t="str">
        <f t="shared" si="127"/>
        <v>Q1</v>
      </c>
      <c r="K1573" s="2" t="str">
        <f t="shared" si="128"/>
        <v>Not Found</v>
      </c>
      <c r="L1573" s="1">
        <f t="shared" si="126"/>
        <v>0.68242215673291273</v>
      </c>
      <c r="M1573" s="1" t="e">
        <f t="shared" si="125"/>
        <v>#N/A</v>
      </c>
      <c r="N1573" s="2" t="str">
        <f t="shared" si="129"/>
        <v>Quadrant not assigned</v>
      </c>
      <c r="O1573">
        <v>34.520000000000003</v>
      </c>
      <c r="P1573">
        <v>49.99</v>
      </c>
      <c r="Q1573">
        <v>26.09</v>
      </c>
      <c r="R1573">
        <v>0.11</v>
      </c>
      <c r="S1573">
        <v>0.56000000000000005</v>
      </c>
      <c r="T1573">
        <v>0.39</v>
      </c>
      <c r="U1573">
        <v>0.25</v>
      </c>
      <c r="V1573">
        <v>0.06</v>
      </c>
      <c r="W1573">
        <v>0.28000000000000003</v>
      </c>
      <c r="X1573" t="s">
        <v>8</v>
      </c>
      <c r="Y1573" t="s">
        <v>12</v>
      </c>
      <c r="Z1573" s="2" t="s">
        <v>718</v>
      </c>
      <c r="AA1573" s="2" t="s">
        <v>721</v>
      </c>
    </row>
    <row r="1574" spans="1:27" x14ac:dyDescent="0.35">
      <c r="A1574" t="s">
        <v>2657</v>
      </c>
      <c r="B1574" t="s">
        <v>2658</v>
      </c>
      <c r="C1574" s="7" t="str">
        <f>_xlfn.XLOOKUP(B1574,'[1]Sheet 1'!$A$2:$A$11107,'[1]Sheet 1'!$D$2:$D$11107,"",0)</f>
        <v/>
      </c>
      <c r="D1574" s="4">
        <v>0</v>
      </c>
      <c r="F1574" s="4" t="e">
        <f>_xlfn.XLOOKUP(B1574,[2]Sheet2!$E$2:$E$713,[2]Sheet2!$G$2:$G$713)</f>
        <v>#N/A</v>
      </c>
      <c r="G1574" s="22">
        <v>46199</v>
      </c>
      <c r="H1574" s="23">
        <v>0.11575231481481481</v>
      </c>
      <c r="I1574" t="s">
        <v>5</v>
      </c>
      <c r="J1574" s="2" t="str">
        <f t="shared" si="127"/>
        <v>Q2</v>
      </c>
      <c r="K1574" s="2" t="str">
        <f t="shared" si="128"/>
        <v>Not Found</v>
      </c>
      <c r="L1574" s="1">
        <f t="shared" si="126"/>
        <v>2.0224737328331361</v>
      </c>
      <c r="M1574" s="1" t="e">
        <f t="shared" si="125"/>
        <v>#N/A</v>
      </c>
      <c r="N1574" s="2" t="str">
        <f t="shared" si="129"/>
        <v>Quadrant not assigned</v>
      </c>
      <c r="O1574">
        <v>16.239999999999998</v>
      </c>
      <c r="P1574">
        <v>-0.02</v>
      </c>
      <c r="Q1574">
        <v>-7.63</v>
      </c>
      <c r="R1574">
        <v>-2.08</v>
      </c>
      <c r="S1574">
        <v>-0.1</v>
      </c>
      <c r="T1574">
        <v>2.02</v>
      </c>
      <c r="U1574">
        <v>-1.71</v>
      </c>
      <c r="V1574">
        <v>-0.12</v>
      </c>
      <c r="W1574">
        <v>2.69</v>
      </c>
      <c r="X1574" t="s">
        <v>6</v>
      </c>
      <c r="Y1574" t="s">
        <v>15</v>
      </c>
      <c r="Z1574" s="2" t="s">
        <v>718</v>
      </c>
      <c r="AA1574" s="2" t="s">
        <v>721</v>
      </c>
    </row>
    <row r="1575" spans="1:27" x14ac:dyDescent="0.35">
      <c r="A1575" t="s">
        <v>2626</v>
      </c>
      <c r="B1575" t="s">
        <v>2627</v>
      </c>
      <c r="C1575" s="7" t="str">
        <f>_xlfn.XLOOKUP(B1575,'[1]Sheet 1'!$A$2:$A$11107,'[1]Sheet 1'!$D$2:$D$11107,"",0)</f>
        <v/>
      </c>
      <c r="D1575" s="4" t="str">
        <f>_xlfn.XLOOKUP(A1575,[3]Sheet2!$I$2:$I$1623,[3]Sheet2!$D$2:$D$1623,"",0)</f>
        <v>Q3</v>
      </c>
      <c r="F1575" s="4" t="e">
        <f>_xlfn.XLOOKUP(B1575,[2]Sheet2!$E$2:$E$713,[2]Sheet2!$G$2:$G$713)</f>
        <v>#N/A</v>
      </c>
      <c r="G1575" s="22">
        <v>46199</v>
      </c>
      <c r="H1575" s="23">
        <v>0.22561342592592593</v>
      </c>
      <c r="I1575" t="s">
        <v>10</v>
      </c>
      <c r="J1575" s="2" t="str">
        <f t="shared" si="127"/>
        <v>Q1</v>
      </c>
      <c r="K1575" s="2" t="str">
        <f t="shared" si="128"/>
        <v>Not Match</v>
      </c>
      <c r="L1575" s="1">
        <f t="shared" si="126"/>
        <v>2.1769703718700444</v>
      </c>
      <c r="M1575" s="1" t="e">
        <f t="shared" si="125"/>
        <v>#N/A</v>
      </c>
      <c r="N1575" s="2" t="str">
        <f t="shared" si="129"/>
        <v>Q NOT OK dE&gt;0.8</v>
      </c>
      <c r="O1575">
        <v>27.42</v>
      </c>
      <c r="P1575">
        <v>-7.39</v>
      </c>
      <c r="Q1575">
        <v>-42.22</v>
      </c>
      <c r="R1575">
        <v>0.35</v>
      </c>
      <c r="S1575">
        <v>0.76</v>
      </c>
      <c r="T1575">
        <v>2.04</v>
      </c>
      <c r="U1575">
        <v>-0.87</v>
      </c>
      <c r="V1575">
        <v>0.25</v>
      </c>
      <c r="W1575">
        <v>0.97</v>
      </c>
      <c r="X1575" t="s">
        <v>13</v>
      </c>
      <c r="Y1575" t="s">
        <v>9</v>
      </c>
      <c r="Z1575" s="2" t="s">
        <v>718</v>
      </c>
      <c r="AA1575" s="2" t="s">
        <v>721</v>
      </c>
    </row>
    <row r="1576" spans="1:27" x14ac:dyDescent="0.35">
      <c r="A1576" t="s">
        <v>2400</v>
      </c>
      <c r="B1576" t="s">
        <v>2645</v>
      </c>
      <c r="C1576" s="7" t="str">
        <f>_xlfn.XLOOKUP(B1576,'[1]Sheet 1'!$A$2:$A$11107,'[1]Sheet 1'!$D$2:$D$11107,"",0)</f>
        <v/>
      </c>
      <c r="D1576" s="4" t="str">
        <f>_xlfn.XLOOKUP(A1576,[3]Sheet2!$I$2:$I$1623,[3]Sheet2!$D$2:$D$1623,"",0)</f>
        <v>Q4</v>
      </c>
      <c r="F1576" s="4" t="e">
        <f>_xlfn.XLOOKUP(B1576,[2]Sheet2!$E$2:$E$713,[2]Sheet2!$G$2:$G$713)</f>
        <v>#N/A</v>
      </c>
      <c r="G1576" s="22">
        <v>46199</v>
      </c>
      <c r="H1576" s="23">
        <v>0.25922453703703702</v>
      </c>
      <c r="I1576" t="s">
        <v>10</v>
      </c>
      <c r="J1576" s="2" t="str">
        <f t="shared" si="127"/>
        <v>Q1</v>
      </c>
      <c r="K1576" s="2" t="str">
        <f t="shared" si="128"/>
        <v>Not Match</v>
      </c>
      <c r="L1576" s="1">
        <f t="shared" si="126"/>
        <v>1.6383528313522702</v>
      </c>
      <c r="M1576" s="1" t="e">
        <f t="shared" si="125"/>
        <v>#N/A</v>
      </c>
      <c r="N1576" s="2" t="str">
        <f t="shared" si="129"/>
        <v>Q NOT OK dE&gt;0.8</v>
      </c>
      <c r="O1576">
        <v>20.78</v>
      </c>
      <c r="P1576">
        <v>12.68</v>
      </c>
      <c r="Q1576">
        <v>0.49</v>
      </c>
      <c r="R1576">
        <v>0.36</v>
      </c>
      <c r="S1576">
        <v>1.29</v>
      </c>
      <c r="T1576">
        <v>1.01</v>
      </c>
      <c r="U1576">
        <v>1.01</v>
      </c>
      <c r="V1576">
        <v>1.1100000000000001</v>
      </c>
      <c r="W1576">
        <v>1.55</v>
      </c>
      <c r="X1576" t="s">
        <v>6</v>
      </c>
      <c r="Y1576" t="s">
        <v>9</v>
      </c>
      <c r="Z1576" s="2" t="s">
        <v>718</v>
      </c>
      <c r="AA1576" s="2" t="s">
        <v>721</v>
      </c>
    </row>
    <row r="1577" spans="1:27" x14ac:dyDescent="0.35">
      <c r="A1577" t="s">
        <v>1727</v>
      </c>
      <c r="B1577" t="s">
        <v>2659</v>
      </c>
      <c r="C1577" s="7" t="str">
        <f>_xlfn.XLOOKUP(B1577,'[1]Sheet 1'!$A$2:$A$11107,'[1]Sheet 1'!$D$2:$D$11107,"",0)</f>
        <v/>
      </c>
      <c r="D1577" s="4" t="str">
        <f>_xlfn.XLOOKUP(A1577,[3]Sheet2!$I$2:$I$1623,[3]Sheet2!$D$2:$D$1623,"",0)</f>
        <v>Q2</v>
      </c>
      <c r="F1577" s="4" t="e">
        <f>_xlfn.XLOOKUP(B1577,[2]Sheet2!$E$2:$E$713,[2]Sheet2!$G$2:$G$713)</f>
        <v>#N/A</v>
      </c>
      <c r="G1577" s="22">
        <v>46199</v>
      </c>
      <c r="H1577" s="23">
        <v>0.26291666666666669</v>
      </c>
      <c r="I1577" t="s">
        <v>18</v>
      </c>
      <c r="J1577" s="2" t="str">
        <f t="shared" si="127"/>
        <v>Q3</v>
      </c>
      <c r="K1577" s="2" t="str">
        <f t="shared" si="128"/>
        <v>Not Match</v>
      </c>
      <c r="L1577" s="1">
        <f t="shared" si="126"/>
        <v>0.13152946437965907</v>
      </c>
      <c r="M1577" s="1" t="e">
        <f t="shared" si="125"/>
        <v>#N/A</v>
      </c>
      <c r="N1577" s="2" t="str">
        <f t="shared" si="129"/>
        <v>Q NOT OK dE&gt;0.8</v>
      </c>
      <c r="O1577">
        <v>11.88</v>
      </c>
      <c r="P1577">
        <v>-0.78</v>
      </c>
      <c r="Q1577">
        <v>-2.77</v>
      </c>
      <c r="R1577">
        <v>-2.08</v>
      </c>
      <c r="S1577">
        <v>-0.13</v>
      </c>
      <c r="T1577">
        <v>-0.02</v>
      </c>
      <c r="U1577">
        <v>7.0000000000000007E-2</v>
      </c>
      <c r="V1577">
        <v>-0.15</v>
      </c>
      <c r="W1577">
        <v>2.08</v>
      </c>
      <c r="X1577" t="s">
        <v>6</v>
      </c>
      <c r="Y1577" t="s">
        <v>15</v>
      </c>
      <c r="Z1577" s="2" t="s">
        <v>718</v>
      </c>
      <c r="AA1577" s="2" t="s">
        <v>721</v>
      </c>
    </row>
    <row r="1578" spans="1:27" x14ac:dyDescent="0.35">
      <c r="A1578" t="s">
        <v>1727</v>
      </c>
      <c r="B1578" t="s">
        <v>2659</v>
      </c>
      <c r="C1578" s="7" t="str">
        <f>_xlfn.XLOOKUP(B1578,'[1]Sheet 1'!$A$2:$A$11107,'[1]Sheet 1'!$D$2:$D$11107,"",0)</f>
        <v/>
      </c>
      <c r="D1578" s="4" t="str">
        <f>_xlfn.XLOOKUP(A1578,[3]Sheet2!$I$2:$I$1623,[3]Sheet2!$D$2:$D$1623,"",0)</f>
        <v>Q2</v>
      </c>
      <c r="F1578" s="4" t="e">
        <f>_xlfn.XLOOKUP(B1578,[2]Sheet2!$E$2:$E$713,[2]Sheet2!$G$2:$G$713)</f>
        <v>#N/A</v>
      </c>
      <c r="G1578" s="22">
        <v>46199</v>
      </c>
      <c r="H1578" s="23">
        <v>0.26341435185185186</v>
      </c>
      <c r="I1578" t="s">
        <v>18</v>
      </c>
      <c r="J1578" s="2" t="str">
        <f t="shared" si="127"/>
        <v>Q3</v>
      </c>
      <c r="K1578" s="2" t="str">
        <f t="shared" si="128"/>
        <v>Not Match</v>
      </c>
      <c r="L1578" s="1">
        <f t="shared" si="126"/>
        <v>6.0827625302982198E-2</v>
      </c>
      <c r="M1578" s="1" t="e">
        <f t="shared" si="125"/>
        <v>#N/A</v>
      </c>
      <c r="N1578" s="2" t="str">
        <f t="shared" si="129"/>
        <v>Q NOT OK dE&lt;=0.8</v>
      </c>
      <c r="O1578">
        <v>13.73</v>
      </c>
      <c r="P1578">
        <v>-0.71</v>
      </c>
      <c r="Q1578">
        <v>-2.76</v>
      </c>
      <c r="R1578">
        <v>-0.26</v>
      </c>
      <c r="S1578">
        <v>-0.06</v>
      </c>
      <c r="T1578">
        <v>-0.01</v>
      </c>
      <c r="U1578">
        <v>0.03</v>
      </c>
      <c r="V1578">
        <v>-7.0000000000000007E-2</v>
      </c>
      <c r="W1578">
        <v>0.27</v>
      </c>
      <c r="X1578" t="s">
        <v>8</v>
      </c>
      <c r="Y1578" t="s">
        <v>15</v>
      </c>
      <c r="Z1578" s="2" t="s">
        <v>718</v>
      </c>
      <c r="AA1578" s="2" t="s">
        <v>721</v>
      </c>
    </row>
    <row r="1579" spans="1:27" x14ac:dyDescent="0.35">
      <c r="A1579" t="s">
        <v>1678</v>
      </c>
      <c r="B1579" t="s">
        <v>2660</v>
      </c>
      <c r="C1579" s="7" t="str">
        <f>_xlfn.XLOOKUP(B1579,'[1]Sheet 1'!$A$2:$A$11107,'[1]Sheet 1'!$D$2:$D$11107,"",0)</f>
        <v/>
      </c>
      <c r="D1579" s="4" t="str">
        <f>_xlfn.XLOOKUP(A1579,[3]Sheet2!$I$2:$I$1623,[3]Sheet2!$D$2:$D$1623,"",0)</f>
        <v>Q1</v>
      </c>
      <c r="F1579" s="4" t="e">
        <f>_xlfn.XLOOKUP(B1579,[2]Sheet2!$E$2:$E$713,[2]Sheet2!$G$2:$G$713)</f>
        <v>#N/A</v>
      </c>
      <c r="G1579" s="22">
        <v>46199</v>
      </c>
      <c r="H1579" s="23">
        <v>0.2684375</v>
      </c>
      <c r="I1579" t="s">
        <v>4</v>
      </c>
      <c r="J1579" s="2" t="str">
        <f t="shared" si="127"/>
        <v>Q1</v>
      </c>
      <c r="K1579" s="2" t="str">
        <f t="shared" si="128"/>
        <v>Match</v>
      </c>
      <c r="L1579" s="1">
        <f t="shared" si="126"/>
        <v>0.11</v>
      </c>
      <c r="M1579" s="1" t="e">
        <f t="shared" si="125"/>
        <v>#N/A</v>
      </c>
      <c r="N1579" s="2" t="str">
        <f t="shared" si="129"/>
        <v>Q OK dE&lt;=0.8</v>
      </c>
      <c r="O1579">
        <v>17.72</v>
      </c>
      <c r="P1579">
        <v>-0.55000000000000004</v>
      </c>
      <c r="Q1579">
        <v>-1.7</v>
      </c>
      <c r="R1579">
        <v>-0.46</v>
      </c>
      <c r="S1579">
        <v>0</v>
      </c>
      <c r="T1579">
        <v>0.11</v>
      </c>
      <c r="U1579">
        <v>-0.13</v>
      </c>
      <c r="V1579">
        <v>-0.04</v>
      </c>
      <c r="W1579">
        <v>0.49</v>
      </c>
      <c r="X1579" t="s">
        <v>8</v>
      </c>
      <c r="Y1579" t="s">
        <v>15</v>
      </c>
      <c r="Z1579" s="2" t="s">
        <v>718</v>
      </c>
      <c r="AA1579" s="2" t="s">
        <v>721</v>
      </c>
    </row>
    <row r="1580" spans="1:27" x14ac:dyDescent="0.35">
      <c r="A1580" t="s">
        <v>2156</v>
      </c>
      <c r="B1580" t="s">
        <v>2615</v>
      </c>
      <c r="C1580" s="7" t="str">
        <f>_xlfn.XLOOKUP(B1580,'[1]Sheet 1'!$A$2:$A$11107,'[1]Sheet 1'!$D$2:$D$11107,"",0)</f>
        <v/>
      </c>
      <c r="D1580" s="4" t="str">
        <f>_xlfn.XLOOKUP(A1580,[3]Sheet2!$I$2:$I$1623,[3]Sheet2!$D$2:$D$1623,"",0)</f>
        <v>Q1</v>
      </c>
      <c r="F1580" s="4" t="e">
        <f>_xlfn.XLOOKUP(B1580,[2]Sheet2!$E$2:$E$713,[2]Sheet2!$G$2:$G$713)</f>
        <v>#N/A</v>
      </c>
      <c r="G1580" s="22">
        <v>46199</v>
      </c>
      <c r="H1580" s="23">
        <v>0.2714699074074074</v>
      </c>
      <c r="I1580" t="s">
        <v>10</v>
      </c>
      <c r="J1580" s="2" t="str">
        <f t="shared" si="127"/>
        <v>Q1</v>
      </c>
      <c r="K1580" s="2" t="str">
        <f t="shared" si="128"/>
        <v>Match</v>
      </c>
      <c r="L1580" s="1">
        <f t="shared" si="126"/>
        <v>0.7710382610480494</v>
      </c>
      <c r="M1580" s="1" t="e">
        <f t="shared" si="125"/>
        <v>#N/A</v>
      </c>
      <c r="N1580" s="2" t="str">
        <f t="shared" si="129"/>
        <v>Q OK dE&lt;=0.8</v>
      </c>
      <c r="O1580">
        <v>27.06</v>
      </c>
      <c r="P1580">
        <v>-13.05</v>
      </c>
      <c r="Q1580">
        <v>-2.5499999999999998</v>
      </c>
      <c r="R1580">
        <v>0.34</v>
      </c>
      <c r="S1580">
        <v>0.13</v>
      </c>
      <c r="T1580">
        <v>0.76</v>
      </c>
      <c r="U1580">
        <v>-0.21</v>
      </c>
      <c r="V1580">
        <v>-0.68</v>
      </c>
      <c r="W1580">
        <v>0.79</v>
      </c>
      <c r="X1580" t="s">
        <v>13</v>
      </c>
      <c r="Y1580" t="s">
        <v>12</v>
      </c>
      <c r="Z1580" s="2" t="s">
        <v>718</v>
      </c>
      <c r="AA1580" s="2" t="s">
        <v>721</v>
      </c>
    </row>
    <row r="1581" spans="1:27" x14ac:dyDescent="0.35">
      <c r="A1581" t="s">
        <v>1508</v>
      </c>
      <c r="B1581" t="s">
        <v>2661</v>
      </c>
      <c r="C1581" s="7" t="str">
        <f>_xlfn.XLOOKUP(B1581,'[1]Sheet 1'!$A$2:$A$11107,'[1]Sheet 1'!$D$2:$D$11107,"",0)</f>
        <v/>
      </c>
      <c r="D1581" s="4" t="str">
        <f>_xlfn.XLOOKUP(A1581,[3]Sheet2!$I$2:$I$1623,[3]Sheet2!$D$2:$D$1623,"",0)</f>
        <v>Q2</v>
      </c>
      <c r="F1581" s="4" t="e">
        <f>_xlfn.XLOOKUP(B1581,[2]Sheet2!$E$2:$E$713,[2]Sheet2!$G$2:$G$713)</f>
        <v>#N/A</v>
      </c>
      <c r="G1581" s="22">
        <v>46199</v>
      </c>
      <c r="H1581" s="23">
        <v>0.27356481481481482</v>
      </c>
      <c r="I1581" t="s">
        <v>4</v>
      </c>
      <c r="J1581" s="2" t="str">
        <f t="shared" si="127"/>
        <v>Q4</v>
      </c>
      <c r="K1581" s="2" t="str">
        <f t="shared" si="128"/>
        <v>Not Match</v>
      </c>
      <c r="L1581" s="1">
        <f t="shared" si="126"/>
        <v>0.15811388300841897</v>
      </c>
      <c r="M1581" s="1" t="e">
        <f t="shared" si="125"/>
        <v>#N/A</v>
      </c>
      <c r="N1581" s="2" t="str">
        <f t="shared" si="129"/>
        <v>Q NOT OK dE&lt;=0.8</v>
      </c>
      <c r="O1581">
        <v>19.47</v>
      </c>
      <c r="P1581">
        <v>-0.71</v>
      </c>
      <c r="Q1581">
        <v>-8.1199999999999992</v>
      </c>
      <c r="R1581">
        <v>0.56000000000000005</v>
      </c>
      <c r="S1581">
        <v>0.05</v>
      </c>
      <c r="T1581">
        <v>-0.15</v>
      </c>
      <c r="U1581">
        <v>0.13</v>
      </c>
      <c r="V1581">
        <v>0.09</v>
      </c>
      <c r="W1581">
        <v>0.57999999999999996</v>
      </c>
      <c r="X1581" t="s">
        <v>8</v>
      </c>
      <c r="Y1581" t="s">
        <v>9</v>
      </c>
      <c r="Z1581" s="2" t="s">
        <v>718</v>
      </c>
      <c r="AA1581" s="2" t="s">
        <v>721</v>
      </c>
    </row>
    <row r="1582" spans="1:27" x14ac:dyDescent="0.35">
      <c r="A1582" t="s">
        <v>1626</v>
      </c>
      <c r="B1582" t="s">
        <v>2662</v>
      </c>
      <c r="C1582" s="7" t="str">
        <f>_xlfn.XLOOKUP(B1582,'[1]Sheet 1'!$A$2:$A$11107,'[1]Sheet 1'!$D$2:$D$11107,"",0)</f>
        <v/>
      </c>
      <c r="D1582" s="4" t="str">
        <f>_xlfn.XLOOKUP(A1582,[3]Sheet2!$I$2:$I$1623,[3]Sheet2!$D$2:$D$1623,"",0)</f>
        <v>Q4</v>
      </c>
      <c r="F1582" s="4" t="e">
        <f>_xlfn.XLOOKUP(B1582,[2]Sheet2!$E$2:$E$713,[2]Sheet2!$G$2:$G$713)</f>
        <v>#N/A</v>
      </c>
      <c r="G1582" s="22">
        <v>46199</v>
      </c>
      <c r="H1582" s="23">
        <v>0.27498842592592593</v>
      </c>
      <c r="I1582" t="s">
        <v>10</v>
      </c>
      <c r="J1582" s="2" t="str">
        <f t="shared" si="127"/>
        <v>Q3</v>
      </c>
      <c r="K1582" s="2" t="str">
        <f t="shared" si="128"/>
        <v>Not Match</v>
      </c>
      <c r="L1582" s="1">
        <f t="shared" si="126"/>
        <v>0.51088159097779207</v>
      </c>
      <c r="M1582" s="1" t="e">
        <f t="shared" si="125"/>
        <v>#N/A</v>
      </c>
      <c r="N1582" s="2" t="str">
        <f t="shared" si="129"/>
        <v>Q NOT OK dE&lt;=0.8</v>
      </c>
      <c r="O1582">
        <v>15.65</v>
      </c>
      <c r="P1582">
        <v>0.09</v>
      </c>
      <c r="Q1582">
        <v>-1.62</v>
      </c>
      <c r="R1582">
        <v>7.0000000000000007E-2</v>
      </c>
      <c r="S1582">
        <v>-0.51</v>
      </c>
      <c r="T1582">
        <v>-0.03</v>
      </c>
      <c r="U1582">
        <v>-0.1</v>
      </c>
      <c r="V1582">
        <v>-0.69</v>
      </c>
      <c r="W1582">
        <v>0.7</v>
      </c>
      <c r="X1582" t="s">
        <v>8</v>
      </c>
      <c r="Y1582" t="s">
        <v>15</v>
      </c>
      <c r="Z1582" s="2" t="s">
        <v>718</v>
      </c>
      <c r="AA1582" s="2" t="s">
        <v>721</v>
      </c>
    </row>
    <row r="1583" spans="1:27" x14ac:dyDescent="0.35">
      <c r="A1583" t="s">
        <v>2366</v>
      </c>
      <c r="B1583" t="s">
        <v>2663</v>
      </c>
      <c r="C1583" s="7" t="str">
        <f>_xlfn.XLOOKUP(B1583,'[1]Sheet 1'!$A$2:$A$11107,'[1]Sheet 1'!$D$2:$D$11107,"",0)</f>
        <v>PINK</v>
      </c>
      <c r="D1583" s="4" t="str">
        <f>_xlfn.XLOOKUP(A1583,[3]Sheet2!$I$2:$I$1623,[3]Sheet2!$D$2:$D$1623,"",0)</f>
        <v>Q3</v>
      </c>
      <c r="F1583" s="4" t="e">
        <f>_xlfn.XLOOKUP(B1583,[2]Sheet2!$E$2:$E$713,[2]Sheet2!$G$2:$G$713)</f>
        <v>#N/A</v>
      </c>
      <c r="G1583" s="22">
        <v>46199</v>
      </c>
      <c r="H1583" s="23">
        <v>0.27758101851851852</v>
      </c>
      <c r="I1583" t="s">
        <v>10</v>
      </c>
      <c r="J1583" s="2" t="str">
        <f t="shared" si="127"/>
        <v>Q4</v>
      </c>
      <c r="K1583" s="2" t="str">
        <f t="shared" si="128"/>
        <v>Not Match</v>
      </c>
      <c r="L1583" s="1">
        <f t="shared" si="126"/>
        <v>0.78025636812524635</v>
      </c>
      <c r="M1583" s="1" t="e">
        <f t="shared" si="125"/>
        <v>#N/A</v>
      </c>
      <c r="N1583" s="2" t="str">
        <f t="shared" si="129"/>
        <v>Q NOT OK dE&gt;0.8</v>
      </c>
      <c r="O1583">
        <v>28.37</v>
      </c>
      <c r="P1583">
        <v>-13.46</v>
      </c>
      <c r="Q1583">
        <v>-5.05</v>
      </c>
      <c r="R1583">
        <v>1.21</v>
      </c>
      <c r="S1583">
        <v>0.78</v>
      </c>
      <c r="T1583">
        <v>-0.02</v>
      </c>
      <c r="U1583">
        <v>-0.5</v>
      </c>
      <c r="V1583">
        <v>0.26</v>
      </c>
      <c r="W1583">
        <v>1.34</v>
      </c>
      <c r="X1583" t="s">
        <v>6</v>
      </c>
      <c r="Y1583" t="s">
        <v>7</v>
      </c>
      <c r="Z1583" s="2" t="s">
        <v>718</v>
      </c>
      <c r="AA1583" s="2" t="s">
        <v>721</v>
      </c>
    </row>
    <row r="1584" spans="1:27" x14ac:dyDescent="0.35">
      <c r="A1584" t="s">
        <v>1773</v>
      </c>
      <c r="B1584" t="s">
        <v>2664</v>
      </c>
      <c r="C1584" s="7" t="str">
        <f>_xlfn.XLOOKUP(B1584,'[1]Sheet 1'!$A$2:$A$11107,'[1]Sheet 1'!$D$2:$D$11107,"",0)</f>
        <v/>
      </c>
      <c r="D1584" s="4" t="str">
        <f>_xlfn.XLOOKUP(A1584,[3]Sheet2!$I$2:$I$1623,[3]Sheet2!$D$2:$D$1623,"",0)</f>
        <v>Q3</v>
      </c>
      <c r="F1584" s="4" t="e">
        <f>_xlfn.XLOOKUP(B1584,[2]Sheet2!$E$2:$E$713,[2]Sheet2!$G$2:$G$713)</f>
        <v>#N/A</v>
      </c>
      <c r="G1584" s="22">
        <v>46199</v>
      </c>
      <c r="H1584" s="23">
        <v>0.28233796296296299</v>
      </c>
      <c r="I1584" t="s">
        <v>4</v>
      </c>
      <c r="J1584" s="2" t="str">
        <f t="shared" si="127"/>
        <v>Q2</v>
      </c>
      <c r="K1584" s="2" t="str">
        <f t="shared" si="128"/>
        <v>Not Match</v>
      </c>
      <c r="L1584" s="1">
        <f t="shared" si="126"/>
        <v>0.22203603311174516</v>
      </c>
      <c r="M1584" s="1" t="e">
        <f t="shared" si="125"/>
        <v>#N/A</v>
      </c>
      <c r="N1584" s="2" t="str">
        <f t="shared" si="129"/>
        <v>Q NOT OK dE&lt;=0.8</v>
      </c>
      <c r="O1584">
        <v>16.850000000000001</v>
      </c>
      <c r="P1584">
        <v>-1.28</v>
      </c>
      <c r="Q1584">
        <v>-2.46</v>
      </c>
      <c r="R1584">
        <v>-0.09</v>
      </c>
      <c r="S1584">
        <v>-0.13</v>
      </c>
      <c r="T1584">
        <v>0.18</v>
      </c>
      <c r="U1584">
        <v>-0.13</v>
      </c>
      <c r="V1584">
        <v>-0.25</v>
      </c>
      <c r="W1584">
        <v>0.3</v>
      </c>
      <c r="X1584" t="s">
        <v>8</v>
      </c>
      <c r="Y1584" t="s">
        <v>15</v>
      </c>
      <c r="Z1584" s="2" t="s">
        <v>718</v>
      </c>
      <c r="AA1584" s="2" t="s">
        <v>721</v>
      </c>
    </row>
    <row r="1585" spans="1:27" x14ac:dyDescent="0.35">
      <c r="A1585" t="s">
        <v>1773</v>
      </c>
      <c r="B1585" t="s">
        <v>2665</v>
      </c>
      <c r="C1585" s="7" t="str">
        <f>_xlfn.XLOOKUP(B1585,'[1]Sheet 1'!$A$2:$A$11107,'[1]Sheet 1'!$D$2:$D$11107,"",0)</f>
        <v/>
      </c>
      <c r="D1585" s="4" t="str">
        <f>_xlfn.XLOOKUP(A1585,[3]Sheet2!$I$2:$I$1623,[3]Sheet2!$D$2:$D$1623,"",0)</f>
        <v>Q3</v>
      </c>
      <c r="F1585" s="4" t="e">
        <f>_xlfn.XLOOKUP(B1585,[2]Sheet2!$E$2:$E$713,[2]Sheet2!$G$2:$G$713)</f>
        <v>#N/A</v>
      </c>
      <c r="G1585" s="22">
        <v>46199</v>
      </c>
      <c r="H1585" s="23">
        <v>0.38436342592592593</v>
      </c>
      <c r="I1585" t="s">
        <v>4</v>
      </c>
      <c r="J1585" s="2" t="str">
        <f t="shared" si="127"/>
        <v>Q4</v>
      </c>
      <c r="K1585" s="2" t="str">
        <f t="shared" si="128"/>
        <v>Not Match</v>
      </c>
      <c r="L1585" s="1">
        <f t="shared" si="126"/>
        <v>0.29966648127543394</v>
      </c>
      <c r="M1585" s="1" t="e">
        <f t="shared" si="125"/>
        <v>#N/A</v>
      </c>
      <c r="N1585" s="2" t="str">
        <f t="shared" si="129"/>
        <v>Q NOT OK dE&lt;=0.8</v>
      </c>
      <c r="O1585">
        <v>17.010000000000002</v>
      </c>
      <c r="P1585">
        <v>-1.02</v>
      </c>
      <c r="Q1585">
        <v>-2.91</v>
      </c>
      <c r="R1585">
        <v>0.06</v>
      </c>
      <c r="S1585">
        <v>0.13</v>
      </c>
      <c r="T1585">
        <v>-0.27</v>
      </c>
      <c r="U1585">
        <v>0.25</v>
      </c>
      <c r="V1585">
        <v>0.28000000000000003</v>
      </c>
      <c r="W1585">
        <v>0.38</v>
      </c>
      <c r="X1585" t="s">
        <v>8</v>
      </c>
      <c r="Y1585" t="s">
        <v>9</v>
      </c>
      <c r="Z1585" s="2" t="s">
        <v>718</v>
      </c>
      <c r="AA1585" s="2" t="s">
        <v>721</v>
      </c>
    </row>
    <row r="1586" spans="1:27" x14ac:dyDescent="0.35">
      <c r="A1586" t="s">
        <v>2148</v>
      </c>
      <c r="B1586" t="s">
        <v>2666</v>
      </c>
      <c r="C1586" s="7" t="str">
        <f>_xlfn.XLOOKUP(B1586,'[1]Sheet 1'!$A$2:$A$11107,'[1]Sheet 1'!$D$2:$D$11107,"",0)</f>
        <v/>
      </c>
      <c r="D1586" s="4" t="str">
        <f>_xlfn.XLOOKUP(A1586,[3]Sheet2!$I$2:$I$1623,[3]Sheet2!$D$2:$D$1623,"",0)</f>
        <v>Q3</v>
      </c>
      <c r="F1586" s="4" t="e">
        <f>_xlfn.XLOOKUP(B1586,[2]Sheet2!$E$2:$E$713,[2]Sheet2!$G$2:$G$713)</f>
        <v>#N/A</v>
      </c>
      <c r="G1586" s="22">
        <v>46199</v>
      </c>
      <c r="H1586" s="23">
        <v>0.46107638888888891</v>
      </c>
      <c r="I1586" t="s">
        <v>10</v>
      </c>
      <c r="J1586" s="2" t="str">
        <f t="shared" si="127"/>
        <v>Q4</v>
      </c>
      <c r="K1586" s="2" t="str">
        <f t="shared" si="128"/>
        <v>Not Match</v>
      </c>
      <c r="L1586" s="1">
        <f t="shared" si="126"/>
        <v>0.98493654617949877</v>
      </c>
      <c r="M1586" s="1" t="e">
        <f t="shared" si="125"/>
        <v>#N/A</v>
      </c>
      <c r="N1586" s="2" t="str">
        <f t="shared" si="129"/>
        <v>Q NOT OK dE&lt;=0.8</v>
      </c>
      <c r="O1586">
        <v>42.53</v>
      </c>
      <c r="P1586">
        <v>54.36</v>
      </c>
      <c r="Q1586">
        <v>37.590000000000003</v>
      </c>
      <c r="R1586">
        <v>-0.08</v>
      </c>
      <c r="S1586">
        <v>0.26</v>
      </c>
      <c r="T1586">
        <v>-0.95</v>
      </c>
      <c r="U1586">
        <v>-0.11</v>
      </c>
      <c r="V1586">
        <v>-0.65</v>
      </c>
      <c r="W1586">
        <v>0.66</v>
      </c>
      <c r="X1586" t="s">
        <v>8</v>
      </c>
      <c r="Y1586" t="s">
        <v>7</v>
      </c>
      <c r="Z1586" s="2" t="s">
        <v>718</v>
      </c>
      <c r="AA1586" s="2" t="s">
        <v>721</v>
      </c>
    </row>
    <row r="1587" spans="1:27" x14ac:dyDescent="0.35">
      <c r="A1587" t="s">
        <v>2455</v>
      </c>
      <c r="B1587" t="s">
        <v>2667</v>
      </c>
      <c r="C1587" s="7" t="str">
        <f>_xlfn.XLOOKUP(B1587,'[1]Sheet 1'!$A$2:$A$11107,'[1]Sheet 1'!$D$2:$D$11107,"",0)</f>
        <v/>
      </c>
      <c r="D1587" s="4" t="str">
        <f>_xlfn.XLOOKUP(A1587,[3]Sheet2!$I$2:$I$1623,[3]Sheet2!$D$2:$D$1623,"",0)</f>
        <v>Q4</v>
      </c>
      <c r="F1587" s="4" t="e">
        <f>_xlfn.XLOOKUP(B1587,[2]Sheet2!$E$2:$E$713,[2]Sheet2!$G$2:$G$713)</f>
        <v>#N/A</v>
      </c>
      <c r="G1587" s="22">
        <v>46199</v>
      </c>
      <c r="H1587" s="23">
        <v>0.65576388888888892</v>
      </c>
      <c r="I1587" t="s">
        <v>10</v>
      </c>
      <c r="J1587" s="2" t="str">
        <f t="shared" si="127"/>
        <v>Q3</v>
      </c>
      <c r="K1587" s="2" t="str">
        <f t="shared" si="128"/>
        <v>Not Match</v>
      </c>
      <c r="L1587" s="1">
        <f t="shared" si="126"/>
        <v>0.92195444572928864</v>
      </c>
      <c r="M1587" s="1" t="e">
        <f t="shared" si="125"/>
        <v>#N/A</v>
      </c>
      <c r="N1587" s="2" t="str">
        <f t="shared" si="129"/>
        <v>Q NOT OK dE&lt;=0.8</v>
      </c>
      <c r="O1587">
        <v>24.44</v>
      </c>
      <c r="P1587">
        <v>-13.56</v>
      </c>
      <c r="Q1587">
        <v>-3.53</v>
      </c>
      <c r="R1587">
        <v>-0.08</v>
      </c>
      <c r="S1587">
        <v>-0.6</v>
      </c>
      <c r="T1587">
        <v>-0.7</v>
      </c>
      <c r="U1587">
        <v>0.55000000000000004</v>
      </c>
      <c r="V1587">
        <v>0.52</v>
      </c>
      <c r="W1587">
        <v>0.76</v>
      </c>
      <c r="X1587" t="s">
        <v>13</v>
      </c>
      <c r="Y1587" t="s">
        <v>7</v>
      </c>
      <c r="Z1587" s="2" t="s">
        <v>718</v>
      </c>
      <c r="AA1587" s="2" t="s">
        <v>721</v>
      </c>
    </row>
    <row r="1588" spans="1:27" x14ac:dyDescent="0.35">
      <c r="A1588" t="s">
        <v>1515</v>
      </c>
      <c r="B1588" t="s">
        <v>2668</v>
      </c>
      <c r="C1588" s="7" t="str">
        <f>_xlfn.XLOOKUP(B1588,'[1]Sheet 1'!$A$2:$A$11107,'[1]Sheet 1'!$D$2:$D$11107,"",0)</f>
        <v/>
      </c>
      <c r="D1588" s="4" t="str">
        <f>_xlfn.XLOOKUP(A1588,[3]Sheet2!$I$2:$I$1623,[3]Sheet2!$D$2:$D$1623,"",0)</f>
        <v>Q3</v>
      </c>
      <c r="F1588" s="4" t="e">
        <f>_xlfn.XLOOKUP(B1588,[2]Sheet2!$E$2:$E$713,[2]Sheet2!$G$2:$G$713)</f>
        <v>#N/A</v>
      </c>
      <c r="G1588" s="22">
        <v>46199</v>
      </c>
      <c r="H1588" s="23">
        <v>0.65826388888888887</v>
      </c>
      <c r="I1588" t="s">
        <v>10</v>
      </c>
      <c r="J1588" s="2" t="str">
        <f t="shared" si="127"/>
        <v>Q2</v>
      </c>
      <c r="K1588" s="2" t="str">
        <f t="shared" si="128"/>
        <v>Not Match</v>
      </c>
      <c r="L1588" s="1">
        <f t="shared" si="126"/>
        <v>9.4339811320566042E-2</v>
      </c>
      <c r="M1588" s="1" t="e">
        <f t="shared" si="125"/>
        <v>#N/A</v>
      </c>
      <c r="N1588" s="2" t="str">
        <f t="shared" si="129"/>
        <v>Q NOT OK dE&lt;=0.8</v>
      </c>
      <c r="O1588">
        <v>14.27</v>
      </c>
      <c r="P1588">
        <v>0.03</v>
      </c>
      <c r="Q1588">
        <v>-1.7</v>
      </c>
      <c r="R1588">
        <v>-0.75</v>
      </c>
      <c r="S1588">
        <v>-0.08</v>
      </c>
      <c r="T1588">
        <v>0.05</v>
      </c>
      <c r="U1588">
        <v>-0.06</v>
      </c>
      <c r="V1588">
        <v>-0.1</v>
      </c>
      <c r="W1588">
        <v>0.76</v>
      </c>
      <c r="X1588" t="s">
        <v>13</v>
      </c>
      <c r="Y1588" t="s">
        <v>15</v>
      </c>
      <c r="Z1588" s="2" t="s">
        <v>718</v>
      </c>
      <c r="AA1588" s="2" t="s">
        <v>721</v>
      </c>
    </row>
    <row r="1589" spans="1:27" x14ac:dyDescent="0.35">
      <c r="A1589" t="s">
        <v>2340</v>
      </c>
      <c r="B1589" t="s">
        <v>2669</v>
      </c>
      <c r="C1589" s="7" t="str">
        <f>_xlfn.XLOOKUP(B1589,'[1]Sheet 1'!$A$2:$A$11107,'[1]Sheet 1'!$D$2:$D$11107,"",0)</f>
        <v/>
      </c>
      <c r="D1589" s="4" t="str">
        <f>_xlfn.XLOOKUP(A1589,[3]Sheet2!$I$2:$I$1623,[3]Sheet2!$D$2:$D$1623,"",0)</f>
        <v>Q3</v>
      </c>
      <c r="F1589" s="4" t="e">
        <f>_xlfn.XLOOKUP(B1589,[2]Sheet2!$E$2:$E$713,[2]Sheet2!$G$2:$G$713)</f>
        <v>#N/A</v>
      </c>
      <c r="G1589" s="22">
        <v>46199</v>
      </c>
      <c r="H1589" s="23">
        <v>0.66593749999999996</v>
      </c>
      <c r="I1589" t="s">
        <v>10</v>
      </c>
      <c r="J1589" s="2" t="str">
        <f t="shared" si="127"/>
        <v>Q4</v>
      </c>
      <c r="K1589" s="2" t="str">
        <f t="shared" si="128"/>
        <v>Not Match</v>
      </c>
      <c r="L1589" s="1">
        <f t="shared" si="126"/>
        <v>0.48083261120685239</v>
      </c>
      <c r="M1589" s="1" t="e">
        <f t="shared" si="125"/>
        <v>#N/A</v>
      </c>
      <c r="N1589" s="2" t="str">
        <f t="shared" si="129"/>
        <v>Q NOT OK dE&lt;=0.8</v>
      </c>
      <c r="O1589">
        <v>49.74</v>
      </c>
      <c r="P1589">
        <v>58.95</v>
      </c>
      <c r="Q1589">
        <v>44.17</v>
      </c>
      <c r="R1589">
        <v>0.33</v>
      </c>
      <c r="S1589">
        <v>0.34</v>
      </c>
      <c r="T1589">
        <v>-0.34</v>
      </c>
      <c r="U1589">
        <v>0.02</v>
      </c>
      <c r="V1589">
        <v>-0.32</v>
      </c>
      <c r="W1589">
        <v>0.46</v>
      </c>
      <c r="X1589" t="s">
        <v>8</v>
      </c>
      <c r="Y1589" t="s">
        <v>7</v>
      </c>
      <c r="Z1589" s="2" t="s">
        <v>718</v>
      </c>
      <c r="AA1589" s="2" t="s">
        <v>721</v>
      </c>
    </row>
    <row r="1590" spans="1:27" x14ac:dyDescent="0.35">
      <c r="A1590" t="s">
        <v>2541</v>
      </c>
      <c r="B1590" t="s">
        <v>2670</v>
      </c>
      <c r="C1590" s="7" t="str">
        <f>_xlfn.XLOOKUP(B1590,'[1]Sheet 1'!$A$2:$A$11107,'[1]Sheet 1'!$D$2:$D$11107,"",0)</f>
        <v/>
      </c>
      <c r="D1590" s="4" t="str">
        <f>_xlfn.XLOOKUP(A1590,[3]Sheet2!$I$2:$I$1623,[3]Sheet2!$D$2:$D$1623,"",0)</f>
        <v>Q2</v>
      </c>
      <c r="F1590" s="4" t="e">
        <f>_xlfn.XLOOKUP(B1590,[2]Sheet2!$E$2:$E$713,[2]Sheet2!$G$2:$G$713)</f>
        <v>#N/A</v>
      </c>
      <c r="G1590" s="22">
        <v>46199</v>
      </c>
      <c r="H1590" s="23">
        <v>0.67129629629629628</v>
      </c>
      <c r="I1590" t="s">
        <v>10</v>
      </c>
      <c r="J1590" s="2" t="str">
        <f t="shared" si="127"/>
        <v>Q3</v>
      </c>
      <c r="K1590" s="2" t="str">
        <f t="shared" si="128"/>
        <v>Not Match</v>
      </c>
      <c r="L1590" s="1">
        <f t="shared" si="126"/>
        <v>0.73355299740373225</v>
      </c>
      <c r="M1590" s="1" t="e">
        <f t="shared" si="125"/>
        <v>#N/A</v>
      </c>
      <c r="N1590" s="2" t="str">
        <f t="shared" si="129"/>
        <v>Q NOT OK dE&gt;0.8</v>
      </c>
      <c r="O1590">
        <v>15.72</v>
      </c>
      <c r="P1590">
        <v>0.59</v>
      </c>
      <c r="Q1590">
        <v>-2.4</v>
      </c>
      <c r="R1590">
        <v>-0.83</v>
      </c>
      <c r="S1590">
        <v>-0.65</v>
      </c>
      <c r="T1590">
        <v>-0.34</v>
      </c>
      <c r="U1590">
        <v>0.08</v>
      </c>
      <c r="V1590">
        <v>-0.98</v>
      </c>
      <c r="W1590">
        <v>1.29</v>
      </c>
      <c r="X1590" t="s">
        <v>6</v>
      </c>
      <c r="Y1590" t="s">
        <v>7</v>
      </c>
      <c r="Z1590" s="2" t="s">
        <v>718</v>
      </c>
      <c r="AA1590" s="2" t="s">
        <v>721</v>
      </c>
    </row>
    <row r="1591" spans="1:27" x14ac:dyDescent="0.35">
      <c r="A1591" t="s">
        <v>1639</v>
      </c>
      <c r="B1591" t="s">
        <v>2671</v>
      </c>
      <c r="C1591" s="7" t="str">
        <f>_xlfn.XLOOKUP(B1591,'[1]Sheet 1'!$A$2:$A$11107,'[1]Sheet 1'!$D$2:$D$11107,"",0)</f>
        <v/>
      </c>
      <c r="D1591" s="4" t="str">
        <f>_xlfn.XLOOKUP(A1591,[3]Sheet2!$I$2:$I$1623,[3]Sheet2!$D$2:$D$1623,"",0)</f>
        <v>Q3</v>
      </c>
      <c r="F1591" s="4" t="e">
        <f>_xlfn.XLOOKUP(B1591,[2]Sheet2!$E$2:$E$713,[2]Sheet2!$G$2:$G$713)</f>
        <v>#N/A</v>
      </c>
      <c r="G1591" s="22">
        <v>46199</v>
      </c>
      <c r="H1591" s="23">
        <v>0.6750694444444445</v>
      </c>
      <c r="I1591" t="s">
        <v>10</v>
      </c>
      <c r="J1591" s="2" t="str">
        <f t="shared" si="127"/>
        <v>Q2</v>
      </c>
      <c r="K1591" s="2" t="str">
        <f t="shared" si="128"/>
        <v>Not Match</v>
      </c>
      <c r="L1591" s="1">
        <f t="shared" si="126"/>
        <v>0.34014702703389899</v>
      </c>
      <c r="M1591" s="1" t="e">
        <f t="shared" si="125"/>
        <v>#N/A</v>
      </c>
      <c r="N1591" s="2" t="str">
        <f t="shared" si="129"/>
        <v>Q NOT OK dE&gt;0.8</v>
      </c>
      <c r="O1591">
        <v>14.77</v>
      </c>
      <c r="P1591">
        <v>0.9</v>
      </c>
      <c r="Q1591">
        <v>-0.74</v>
      </c>
      <c r="R1591">
        <v>-0.67</v>
      </c>
      <c r="S1591">
        <v>-0.01</v>
      </c>
      <c r="T1591">
        <v>0.34</v>
      </c>
      <c r="U1591">
        <v>-0.34</v>
      </c>
      <c r="V1591">
        <v>0.33</v>
      </c>
      <c r="W1591">
        <v>0.82</v>
      </c>
      <c r="X1591" t="s">
        <v>13</v>
      </c>
      <c r="Y1591" t="s">
        <v>9</v>
      </c>
      <c r="Z1591" s="2" t="s">
        <v>718</v>
      </c>
      <c r="AA1591" s="2" t="s">
        <v>721</v>
      </c>
    </row>
    <row r="1592" spans="1:27" x14ac:dyDescent="0.35">
      <c r="A1592" t="s">
        <v>1626</v>
      </c>
      <c r="B1592" t="s">
        <v>2672</v>
      </c>
      <c r="C1592" s="7" t="str">
        <f>_xlfn.XLOOKUP(B1592,'[1]Sheet 1'!$A$2:$A$11107,'[1]Sheet 1'!$D$2:$D$11107,"",0)</f>
        <v/>
      </c>
      <c r="D1592" s="4" t="str">
        <f>_xlfn.XLOOKUP(A1592,[3]Sheet2!$I$2:$I$1623,[3]Sheet2!$D$2:$D$1623,"",0)</f>
        <v>Q4</v>
      </c>
      <c r="F1592" s="4" t="e">
        <f>_xlfn.XLOOKUP(B1592,[2]Sheet2!$E$2:$E$713,[2]Sheet2!$G$2:$G$713)</f>
        <v>#N/A</v>
      </c>
      <c r="G1592" s="22">
        <v>46199</v>
      </c>
      <c r="H1592" s="23">
        <v>0.67988425925925922</v>
      </c>
      <c r="I1592" t="s">
        <v>10</v>
      </c>
      <c r="J1592" s="2" t="str">
        <f t="shared" si="127"/>
        <v>Q2</v>
      </c>
      <c r="K1592" s="2" t="str">
        <f t="shared" si="128"/>
        <v>Not Match</v>
      </c>
      <c r="L1592" s="1">
        <f t="shared" si="126"/>
        <v>0.23021728866442678</v>
      </c>
      <c r="M1592" s="1" t="e">
        <f t="shared" si="125"/>
        <v>#N/A</v>
      </c>
      <c r="N1592" s="2" t="str">
        <f t="shared" si="129"/>
        <v>Q NOT OK dE&lt;=0.8</v>
      </c>
      <c r="O1592">
        <v>15.97</v>
      </c>
      <c r="P1592">
        <v>0.37</v>
      </c>
      <c r="Q1592">
        <v>-1.58</v>
      </c>
      <c r="R1592">
        <v>0.38</v>
      </c>
      <c r="S1592">
        <v>-0.23</v>
      </c>
      <c r="T1592">
        <v>0.01</v>
      </c>
      <c r="U1592">
        <v>-0.1</v>
      </c>
      <c r="V1592">
        <v>-0.3</v>
      </c>
      <c r="W1592">
        <v>0.49</v>
      </c>
      <c r="X1592" t="s">
        <v>8</v>
      </c>
      <c r="Y1592" t="s">
        <v>15</v>
      </c>
      <c r="Z1592" s="2" t="s">
        <v>718</v>
      </c>
      <c r="AA1592" s="2" t="s">
        <v>721</v>
      </c>
    </row>
    <row r="1593" spans="1:27" x14ac:dyDescent="0.35">
      <c r="A1593" t="s">
        <v>2673</v>
      </c>
      <c r="B1593" t="s">
        <v>2674</v>
      </c>
      <c r="C1593" s="7" t="str">
        <f>_xlfn.XLOOKUP(B1593,'[1]Sheet 1'!$A$2:$A$11107,'[1]Sheet 1'!$D$2:$D$11107,"",0)</f>
        <v/>
      </c>
      <c r="D1593" s="4" t="str">
        <f>_xlfn.XLOOKUP(A1593,[3]Sheet2!$I$2:$I$1623,[3]Sheet2!$D$2:$D$1623,"",0)</f>
        <v>Q1</v>
      </c>
      <c r="F1593" s="4" t="e">
        <f>_xlfn.XLOOKUP(B1593,[2]Sheet2!$E$2:$E$713,[2]Sheet2!$G$2:$G$713)</f>
        <v>#N/A</v>
      </c>
      <c r="G1593" s="22">
        <v>46199</v>
      </c>
      <c r="H1593" s="23">
        <v>0.68255787037037041</v>
      </c>
      <c r="I1593" t="s">
        <v>4</v>
      </c>
      <c r="J1593" s="2" t="str">
        <f t="shared" si="127"/>
        <v>Q2</v>
      </c>
      <c r="K1593" s="2" t="str">
        <f t="shared" si="128"/>
        <v>Not Match</v>
      </c>
      <c r="L1593" s="1">
        <f t="shared" si="126"/>
        <v>1.8279223178242561</v>
      </c>
      <c r="M1593" s="1" t="e">
        <f t="shared" si="125"/>
        <v>#N/A</v>
      </c>
      <c r="N1593" s="2" t="str">
        <f t="shared" si="129"/>
        <v>Q NOT OK dE&gt;0.8</v>
      </c>
      <c r="O1593">
        <v>31.77</v>
      </c>
      <c r="P1593">
        <v>51.37</v>
      </c>
      <c r="Q1593">
        <v>27.57</v>
      </c>
      <c r="R1593">
        <v>-1.01</v>
      </c>
      <c r="S1593">
        <v>-0.17</v>
      </c>
      <c r="T1593">
        <v>1.82</v>
      </c>
      <c r="U1593">
        <v>0.25</v>
      </c>
      <c r="V1593">
        <v>1.1200000000000001</v>
      </c>
      <c r="W1593">
        <v>1.53</v>
      </c>
      <c r="X1593" t="s">
        <v>6</v>
      </c>
      <c r="Y1593" t="s">
        <v>12</v>
      </c>
      <c r="Z1593" s="2" t="s">
        <v>718</v>
      </c>
      <c r="AA1593" s="2" t="s">
        <v>721</v>
      </c>
    </row>
    <row r="1594" spans="1:27" x14ac:dyDescent="0.35">
      <c r="A1594" t="s">
        <v>1688</v>
      </c>
      <c r="B1594" t="s">
        <v>2675</v>
      </c>
      <c r="C1594" s="7" t="str">
        <f>_xlfn.XLOOKUP(B1594,'[1]Sheet 1'!$A$2:$A$11107,'[1]Sheet 1'!$D$2:$D$11107,"",0)</f>
        <v/>
      </c>
      <c r="D1594" s="4" t="str">
        <f>_xlfn.XLOOKUP(A1594,[3]Sheet2!$I$2:$I$1623,[3]Sheet2!$D$2:$D$1623,"",0)</f>
        <v>Q4</v>
      </c>
      <c r="F1594" s="4" t="e">
        <f>_xlfn.XLOOKUP(B1594,[2]Sheet2!$E$2:$E$713,[2]Sheet2!$G$2:$G$713)</f>
        <v>#N/A</v>
      </c>
      <c r="G1594" s="22">
        <v>46199</v>
      </c>
      <c r="H1594" s="23">
        <v>0.68490740740740741</v>
      </c>
      <c r="I1594" t="s">
        <v>4</v>
      </c>
      <c r="J1594" s="2" t="str">
        <f t="shared" si="127"/>
        <v>Q3</v>
      </c>
      <c r="K1594" s="2" t="str">
        <f t="shared" si="128"/>
        <v>Not Match</v>
      </c>
      <c r="L1594" s="1">
        <f t="shared" si="126"/>
        <v>0.40249223594996214</v>
      </c>
      <c r="M1594" s="1" t="e">
        <f t="shared" si="125"/>
        <v>#N/A</v>
      </c>
      <c r="N1594" s="2" t="str">
        <f t="shared" si="129"/>
        <v>Q NOT OK dE&gt;0.8</v>
      </c>
      <c r="O1594">
        <v>13.23</v>
      </c>
      <c r="P1594">
        <v>-0.44</v>
      </c>
      <c r="Q1594">
        <v>-1.63</v>
      </c>
      <c r="R1594">
        <v>-0.67</v>
      </c>
      <c r="S1594">
        <v>-0.36</v>
      </c>
      <c r="T1594">
        <v>-0.18</v>
      </c>
      <c r="U1594">
        <v>0.33</v>
      </c>
      <c r="V1594">
        <v>-0.45</v>
      </c>
      <c r="W1594">
        <v>0.87</v>
      </c>
      <c r="X1594" t="s">
        <v>13</v>
      </c>
      <c r="Y1594" t="s">
        <v>15</v>
      </c>
      <c r="Z1594" s="2" t="s">
        <v>718</v>
      </c>
      <c r="AA1594" s="2" t="s">
        <v>721</v>
      </c>
    </row>
    <row r="1595" spans="1:27" x14ac:dyDescent="0.35">
      <c r="A1595" t="s">
        <v>1773</v>
      </c>
      <c r="B1595" t="s">
        <v>2676</v>
      </c>
      <c r="C1595" s="7" t="str">
        <f>_xlfn.XLOOKUP(B1595,'[1]Sheet 1'!$A$2:$A$11107,'[1]Sheet 1'!$D$2:$D$11107,"",0)</f>
        <v/>
      </c>
      <c r="D1595" s="4" t="str">
        <f>_xlfn.XLOOKUP(A1595,[3]Sheet2!$I$2:$I$1623,[3]Sheet2!$D$2:$D$1623,"",0)</f>
        <v>Q3</v>
      </c>
      <c r="F1595" s="4" t="e">
        <f>_xlfn.XLOOKUP(B1595,[2]Sheet2!$E$2:$E$713,[2]Sheet2!$G$2:$G$713)</f>
        <v>#N/A</v>
      </c>
      <c r="G1595" s="22">
        <v>46199</v>
      </c>
      <c r="H1595" s="23">
        <v>0.72620370370370368</v>
      </c>
      <c r="I1595" t="s">
        <v>4</v>
      </c>
      <c r="J1595" s="2" t="str">
        <f t="shared" si="127"/>
        <v>Q2</v>
      </c>
      <c r="K1595" s="2" t="str">
        <f t="shared" si="128"/>
        <v>Not Match</v>
      </c>
      <c r="L1595" s="1">
        <f t="shared" si="126"/>
        <v>0.6010823570859487</v>
      </c>
      <c r="M1595" s="1" t="e">
        <f t="shared" si="125"/>
        <v>#N/A</v>
      </c>
      <c r="N1595" s="2" t="str">
        <f t="shared" si="129"/>
        <v>Q NOT OK dE&gt;0.8</v>
      </c>
      <c r="O1595">
        <v>16.47</v>
      </c>
      <c r="P1595">
        <v>-1.58</v>
      </c>
      <c r="Q1595">
        <v>-2.2200000000000002</v>
      </c>
      <c r="R1595">
        <v>-0.45</v>
      </c>
      <c r="S1595">
        <v>-0.43</v>
      </c>
      <c r="T1595">
        <v>0.42</v>
      </c>
      <c r="U1595">
        <v>-0.19</v>
      </c>
      <c r="V1595">
        <v>-0.76</v>
      </c>
      <c r="W1595">
        <v>0.9</v>
      </c>
      <c r="X1595" t="s">
        <v>13</v>
      </c>
      <c r="Y1595" t="s">
        <v>15</v>
      </c>
      <c r="Z1595" s="2" t="s">
        <v>718</v>
      </c>
      <c r="AA1595" s="2" t="s">
        <v>721</v>
      </c>
    </row>
    <row r="1596" spans="1:27" x14ac:dyDescent="0.35">
      <c r="A1596" t="s">
        <v>2677</v>
      </c>
      <c r="B1596" t="s">
        <v>2678</v>
      </c>
      <c r="C1596" s="7" t="str">
        <f>_xlfn.XLOOKUP(B1596,'[1]Sheet 1'!$A$2:$A$11107,'[1]Sheet 1'!$D$2:$D$11107,"",0)</f>
        <v/>
      </c>
      <c r="D1596" s="4" t="str">
        <f>_xlfn.XLOOKUP(A1596,[3]Sheet2!$I$2:$I$1623,[3]Sheet2!$D$2:$D$1623,"",0)</f>
        <v>Q4</v>
      </c>
      <c r="F1596" s="4" t="e">
        <f>_xlfn.XLOOKUP(B1596,[2]Sheet2!$E$2:$E$713,[2]Sheet2!$G$2:$G$713)</f>
        <v>#N/A</v>
      </c>
      <c r="G1596" s="22">
        <v>46199</v>
      </c>
      <c r="H1596" s="23">
        <v>0.72984953703703703</v>
      </c>
      <c r="I1596" t="s">
        <v>4</v>
      </c>
      <c r="J1596" s="2" t="str">
        <f t="shared" si="127"/>
        <v>Q2</v>
      </c>
      <c r="K1596" s="2" t="str">
        <f t="shared" si="128"/>
        <v>Not Match</v>
      </c>
      <c r="L1596" s="1">
        <f t="shared" si="126"/>
        <v>0.72718635850791369</v>
      </c>
      <c r="M1596" s="1" t="e">
        <f t="shared" ref="M1596:M1654" si="130">IF(L1596&lt;=F1596,"Within Range","Over Range")</f>
        <v>#N/A</v>
      </c>
      <c r="N1596" s="2" t="str">
        <f t="shared" si="129"/>
        <v>Q NOT OK dE&gt;0.8</v>
      </c>
      <c r="O1596">
        <v>19.12</v>
      </c>
      <c r="P1596">
        <v>-0.37</v>
      </c>
      <c r="Q1596">
        <v>-9.56</v>
      </c>
      <c r="R1596">
        <v>-0.38</v>
      </c>
      <c r="S1596">
        <v>-0.38</v>
      </c>
      <c r="T1596">
        <v>0.62</v>
      </c>
      <c r="U1596">
        <v>-0.51</v>
      </c>
      <c r="V1596">
        <v>-0.51</v>
      </c>
      <c r="W1596">
        <v>0.81</v>
      </c>
      <c r="X1596" t="s">
        <v>13</v>
      </c>
      <c r="Y1596" t="s">
        <v>9</v>
      </c>
      <c r="Z1596" s="2" t="s">
        <v>718</v>
      </c>
      <c r="AA1596" s="2" t="s">
        <v>721</v>
      </c>
    </row>
    <row r="1597" spans="1:27" x14ac:dyDescent="0.35">
      <c r="A1597" t="s">
        <v>1626</v>
      </c>
      <c r="B1597" t="s">
        <v>2679</v>
      </c>
      <c r="C1597" s="7" t="str">
        <f>_xlfn.XLOOKUP(B1597,'[1]Sheet 1'!$A$2:$A$11107,'[1]Sheet 1'!$D$2:$D$11107,"",0)</f>
        <v/>
      </c>
      <c r="D1597" s="4" t="str">
        <f>_xlfn.XLOOKUP(A1597,[3]Sheet2!$I$2:$I$1623,[3]Sheet2!$D$2:$D$1623,"",0)</f>
        <v>Q4</v>
      </c>
      <c r="F1597" s="4" t="e">
        <f>_xlfn.XLOOKUP(B1597,[2]Sheet2!$E$2:$E$713,[2]Sheet2!$G$2:$G$713)</f>
        <v>#N/A</v>
      </c>
      <c r="G1597" s="22">
        <v>46199</v>
      </c>
      <c r="H1597" s="23">
        <v>0.77179398148148148</v>
      </c>
      <c r="I1597" t="s">
        <v>10</v>
      </c>
      <c r="J1597" s="2" t="str">
        <f t="shared" si="127"/>
        <v>Q2</v>
      </c>
      <c r="K1597" s="2" t="str">
        <f t="shared" si="128"/>
        <v>Not Match</v>
      </c>
      <c r="L1597" s="1">
        <f t="shared" si="126"/>
        <v>0.2501999200639361</v>
      </c>
      <c r="M1597" s="1" t="e">
        <f t="shared" si="130"/>
        <v>#N/A</v>
      </c>
      <c r="N1597" s="2" t="str">
        <f t="shared" si="129"/>
        <v>Q NOT OK dE&lt;=0.8</v>
      </c>
      <c r="O1597">
        <v>15.43</v>
      </c>
      <c r="P1597">
        <v>0.34</v>
      </c>
      <c r="Q1597">
        <v>-1.58</v>
      </c>
      <c r="R1597">
        <v>-0.15</v>
      </c>
      <c r="S1597">
        <v>-0.25</v>
      </c>
      <c r="T1597">
        <v>0.01</v>
      </c>
      <c r="U1597">
        <v>-0.11</v>
      </c>
      <c r="V1597">
        <v>-0.33</v>
      </c>
      <c r="W1597">
        <v>0.38</v>
      </c>
      <c r="X1597" t="s">
        <v>8</v>
      </c>
      <c r="Y1597" t="s">
        <v>15</v>
      </c>
      <c r="Z1597" s="2" t="s">
        <v>718</v>
      </c>
      <c r="AA1597" s="2" t="s">
        <v>721</v>
      </c>
    </row>
    <row r="1598" spans="1:27" x14ac:dyDescent="0.35">
      <c r="A1598" t="s">
        <v>1626</v>
      </c>
      <c r="B1598" t="s">
        <v>2680</v>
      </c>
      <c r="C1598" s="7" t="str">
        <f>_xlfn.XLOOKUP(B1598,'[1]Sheet 1'!$A$2:$A$11107,'[1]Sheet 1'!$D$2:$D$11107,"",0)</f>
        <v/>
      </c>
      <c r="D1598" s="4" t="str">
        <f>_xlfn.XLOOKUP(A1598,[3]Sheet2!$I$2:$I$1623,[3]Sheet2!$D$2:$D$1623,"",0)</f>
        <v>Q4</v>
      </c>
      <c r="F1598" s="4" t="e">
        <f>_xlfn.XLOOKUP(B1598,[2]Sheet2!$E$2:$E$713,[2]Sheet2!$G$2:$G$713)</f>
        <v>#N/A</v>
      </c>
      <c r="G1598" s="22">
        <v>46199</v>
      </c>
      <c r="H1598" s="23">
        <v>0.77464120370370371</v>
      </c>
      <c r="I1598" t="s">
        <v>10</v>
      </c>
      <c r="J1598" s="2" t="str">
        <f t="shared" si="127"/>
        <v>Q3</v>
      </c>
      <c r="K1598" s="2" t="str">
        <f t="shared" si="128"/>
        <v>Not Match</v>
      </c>
      <c r="L1598" s="1">
        <f t="shared" ref="L1598:L1654" si="131">SQRT(S1598^2+T1598^2)</f>
        <v>0.25495097567963926</v>
      </c>
      <c r="M1598" s="1" t="e">
        <f t="shared" si="130"/>
        <v>#N/A</v>
      </c>
      <c r="N1598" s="2" t="str">
        <f t="shared" si="129"/>
        <v>Q NOT OK dE&lt;=0.8</v>
      </c>
      <c r="O1598">
        <v>15.52</v>
      </c>
      <c r="P1598">
        <v>0.41</v>
      </c>
      <c r="Q1598">
        <v>-1.76</v>
      </c>
      <c r="R1598">
        <v>-0.06</v>
      </c>
      <c r="S1598">
        <v>-0.19</v>
      </c>
      <c r="T1598">
        <v>-0.17</v>
      </c>
      <c r="U1598">
        <v>0.15</v>
      </c>
      <c r="V1598">
        <v>-0.32</v>
      </c>
      <c r="W1598">
        <v>0.35</v>
      </c>
      <c r="X1598" t="s">
        <v>8</v>
      </c>
      <c r="Y1598" t="s">
        <v>15</v>
      </c>
      <c r="Z1598" s="2" t="s">
        <v>718</v>
      </c>
      <c r="AA1598" s="2" t="s">
        <v>721</v>
      </c>
    </row>
    <row r="1599" spans="1:27" x14ac:dyDescent="0.35">
      <c r="A1599" t="s">
        <v>2518</v>
      </c>
      <c r="B1599" t="s">
        <v>2591</v>
      </c>
      <c r="C1599" s="7" t="str">
        <f>_xlfn.XLOOKUP(B1599,'[1]Sheet 1'!$A$2:$A$11107,'[1]Sheet 1'!$D$2:$D$11107,"",0)</f>
        <v/>
      </c>
      <c r="D1599" s="4" t="str">
        <f>_xlfn.XLOOKUP(A1599,[3]Sheet2!$I$2:$I$1623,[3]Sheet2!$D$2:$D$1623,"",0)</f>
        <v>Q4</v>
      </c>
      <c r="F1599" s="4" t="e">
        <f>_xlfn.XLOOKUP(B1599,[2]Sheet2!$E$2:$E$713,[2]Sheet2!$G$2:$G$713)</f>
        <v>#N/A</v>
      </c>
      <c r="G1599" s="22">
        <v>46199</v>
      </c>
      <c r="H1599" s="23">
        <v>0.77664351851851854</v>
      </c>
      <c r="I1599" t="s">
        <v>4</v>
      </c>
      <c r="J1599" s="2" t="str">
        <f t="shared" si="127"/>
        <v>Q1</v>
      </c>
      <c r="K1599" s="2" t="str">
        <f t="shared" si="128"/>
        <v>Not Match</v>
      </c>
      <c r="L1599" s="1">
        <f t="shared" si="131"/>
        <v>0.21470910553583888</v>
      </c>
      <c r="M1599" s="1" t="e">
        <f t="shared" si="130"/>
        <v>#N/A</v>
      </c>
      <c r="N1599" s="2" t="str">
        <f t="shared" si="129"/>
        <v>Q NOT OK dE&lt;=0.8</v>
      </c>
      <c r="O1599">
        <v>20.46</v>
      </c>
      <c r="P1599">
        <v>-0.89</v>
      </c>
      <c r="Q1599">
        <v>-8.64</v>
      </c>
      <c r="R1599">
        <v>-0.28000000000000003</v>
      </c>
      <c r="S1599">
        <v>0.1</v>
      </c>
      <c r="T1599">
        <v>0.19</v>
      </c>
      <c r="U1599">
        <v>-0.17</v>
      </c>
      <c r="V1599">
        <v>0.1</v>
      </c>
      <c r="W1599">
        <v>0.35</v>
      </c>
      <c r="X1599" t="s">
        <v>8</v>
      </c>
      <c r="Y1599" t="s">
        <v>9</v>
      </c>
      <c r="Z1599" s="2" t="s">
        <v>718</v>
      </c>
      <c r="AA1599" s="2" t="s">
        <v>721</v>
      </c>
    </row>
    <row r="1600" spans="1:27" x14ac:dyDescent="0.35">
      <c r="A1600" t="s">
        <v>2144</v>
      </c>
      <c r="B1600" t="s">
        <v>2259</v>
      </c>
      <c r="C1600" s="7" t="str">
        <f>_xlfn.XLOOKUP(B1600,'[1]Sheet 1'!$A$2:$A$11107,'[1]Sheet 1'!$D$2:$D$11107,"",0)</f>
        <v>WACE</v>
      </c>
      <c r="D1600" s="4" t="str">
        <f>_xlfn.XLOOKUP(A1600,[3]Sheet2!$I$2:$I$1623,[3]Sheet2!$D$2:$D$1623,"",0)</f>
        <v>Q2</v>
      </c>
      <c r="F1600" s="4" t="e">
        <f>_xlfn.XLOOKUP(B1600,[2]Sheet2!$E$2:$E$713,[2]Sheet2!$G$2:$G$713)</f>
        <v>#N/A</v>
      </c>
      <c r="G1600" s="22">
        <v>46199</v>
      </c>
      <c r="H1600" s="23">
        <v>0.77921296296296294</v>
      </c>
      <c r="I1600" t="s">
        <v>4</v>
      </c>
      <c r="J1600" s="2" t="str">
        <f t="shared" si="127"/>
        <v>Q4</v>
      </c>
      <c r="K1600" s="2" t="str">
        <f t="shared" si="128"/>
        <v>Not Match</v>
      </c>
      <c r="L1600" s="1">
        <f t="shared" si="131"/>
        <v>0.29546573405388316</v>
      </c>
      <c r="M1600" s="1" t="e">
        <f t="shared" si="130"/>
        <v>#N/A</v>
      </c>
      <c r="N1600" s="2" t="str">
        <f t="shared" si="129"/>
        <v>Q NOT OK dE&lt;=0.8</v>
      </c>
      <c r="O1600">
        <v>27.7</v>
      </c>
      <c r="P1600">
        <v>-14.57</v>
      </c>
      <c r="Q1600">
        <v>-6.28</v>
      </c>
      <c r="R1600">
        <v>-0.38</v>
      </c>
      <c r="S1600">
        <v>0.12</v>
      </c>
      <c r="T1600">
        <v>-0.27</v>
      </c>
      <c r="U1600">
        <v>-0.01</v>
      </c>
      <c r="V1600">
        <v>0.26</v>
      </c>
      <c r="W1600">
        <v>0.46</v>
      </c>
      <c r="X1600" t="s">
        <v>8</v>
      </c>
      <c r="Y1600" t="s">
        <v>7</v>
      </c>
      <c r="Z1600" s="2" t="s">
        <v>718</v>
      </c>
      <c r="AA1600" s="2" t="s">
        <v>721</v>
      </c>
    </row>
    <row r="1601" spans="1:27" x14ac:dyDescent="0.35">
      <c r="A1601" t="s">
        <v>2681</v>
      </c>
      <c r="B1601" t="s">
        <v>2682</v>
      </c>
      <c r="C1601" s="7" t="str">
        <f>_xlfn.XLOOKUP(B1601,'[1]Sheet 1'!$A$2:$A$11107,'[1]Sheet 1'!$D$2:$D$11107,"",0)</f>
        <v/>
      </c>
      <c r="D1601" s="4" t="str">
        <f>_xlfn.XLOOKUP(A1601,[3]Sheet2!$I$2:$I$1623,[3]Sheet2!$D$2:$D$1623,"",0)</f>
        <v>Q3</v>
      </c>
      <c r="F1601" s="4" t="e">
        <f>_xlfn.XLOOKUP(B1601,[2]Sheet2!$E$2:$E$713,[2]Sheet2!$G$2:$G$713)</f>
        <v>#N/A</v>
      </c>
      <c r="G1601" s="22">
        <v>46199</v>
      </c>
      <c r="H1601" s="23">
        <v>0.90960648148148149</v>
      </c>
      <c r="I1601" t="s">
        <v>10</v>
      </c>
      <c r="J1601" s="2" t="str">
        <f t="shared" si="127"/>
        <v>Q4</v>
      </c>
      <c r="K1601" s="2" t="str">
        <f t="shared" si="128"/>
        <v>Not Match</v>
      </c>
      <c r="L1601" s="1">
        <f t="shared" si="131"/>
        <v>1.0404326023342405</v>
      </c>
      <c r="M1601" s="1" t="e">
        <f t="shared" si="130"/>
        <v>#N/A</v>
      </c>
      <c r="N1601" s="2" t="str">
        <f t="shared" si="129"/>
        <v>Q NOT OK dE&gt;0.8</v>
      </c>
      <c r="O1601">
        <v>44.75</v>
      </c>
      <c r="P1601">
        <v>54.83</v>
      </c>
      <c r="Q1601">
        <v>41.19</v>
      </c>
      <c r="R1601">
        <v>0.62</v>
      </c>
      <c r="S1601">
        <v>0.32</v>
      </c>
      <c r="T1601">
        <v>-0.99</v>
      </c>
      <c r="U1601">
        <v>-0.12</v>
      </c>
      <c r="V1601">
        <v>-0.7</v>
      </c>
      <c r="W1601">
        <v>0.94</v>
      </c>
      <c r="X1601" t="s">
        <v>13</v>
      </c>
      <c r="Y1601" t="s">
        <v>7</v>
      </c>
      <c r="Z1601" s="2" t="s">
        <v>718</v>
      </c>
      <c r="AA1601" s="2" t="s">
        <v>721</v>
      </c>
    </row>
    <row r="1602" spans="1:27" x14ac:dyDescent="0.35">
      <c r="A1602" t="s">
        <v>2156</v>
      </c>
      <c r="B1602" t="s">
        <v>2683</v>
      </c>
      <c r="C1602" s="7" t="str">
        <f>_xlfn.XLOOKUP(B1602,'[1]Sheet 1'!$A$2:$A$11107,'[1]Sheet 1'!$D$2:$D$11107,"",0)</f>
        <v/>
      </c>
      <c r="D1602" s="4" t="str">
        <f>_xlfn.XLOOKUP(A1602,[3]Sheet2!$I$2:$I$1623,[3]Sheet2!$D$2:$D$1623,"",0)</f>
        <v>Q1</v>
      </c>
      <c r="F1602" s="4" t="e">
        <f>_xlfn.XLOOKUP(B1602,[2]Sheet2!$E$2:$E$713,[2]Sheet2!$G$2:$G$713)</f>
        <v>#N/A</v>
      </c>
      <c r="G1602" s="22">
        <v>46199</v>
      </c>
      <c r="H1602" s="23">
        <v>0.95868055555555554</v>
      </c>
      <c r="I1602" t="s">
        <v>10</v>
      </c>
      <c r="J1602" s="2" t="str">
        <f t="shared" si="127"/>
        <v>Q1</v>
      </c>
      <c r="K1602" s="2" t="str">
        <f t="shared" si="128"/>
        <v>Match</v>
      </c>
      <c r="L1602" s="1">
        <f t="shared" si="131"/>
        <v>0.67675697262754519</v>
      </c>
      <c r="M1602" s="1" t="e">
        <f t="shared" si="130"/>
        <v>#N/A</v>
      </c>
      <c r="N1602" s="2" t="str">
        <f t="shared" si="129"/>
        <v>Q OK dE&gt;0.8</v>
      </c>
      <c r="O1602">
        <v>24.81</v>
      </c>
      <c r="P1602">
        <v>-12.54</v>
      </c>
      <c r="Q1602">
        <v>-3.08</v>
      </c>
      <c r="R1602">
        <v>-1.18</v>
      </c>
      <c r="S1602">
        <v>0.64</v>
      </c>
      <c r="T1602">
        <v>0.22</v>
      </c>
      <c r="U1602">
        <v>-0.49</v>
      </c>
      <c r="V1602">
        <v>-0.06</v>
      </c>
      <c r="W1602">
        <v>1.28</v>
      </c>
      <c r="X1602" t="s">
        <v>6</v>
      </c>
      <c r="Y1602" t="s">
        <v>12</v>
      </c>
      <c r="Z1602" s="2" t="s">
        <v>718</v>
      </c>
      <c r="AA1602" s="2" t="s">
        <v>721</v>
      </c>
    </row>
    <row r="1603" spans="1:27" x14ac:dyDescent="0.35">
      <c r="A1603" t="s">
        <v>2156</v>
      </c>
      <c r="B1603" t="s">
        <v>2615</v>
      </c>
      <c r="C1603" s="7" t="str">
        <f>_xlfn.XLOOKUP(B1603,'[1]Sheet 1'!$A$2:$A$11107,'[1]Sheet 1'!$D$2:$D$11107,"",0)</f>
        <v/>
      </c>
      <c r="D1603" s="4" t="str">
        <f>_xlfn.XLOOKUP(A1603,[3]Sheet2!$I$2:$I$1623,[3]Sheet2!$D$2:$D$1623,"",0)</f>
        <v>Q1</v>
      </c>
      <c r="F1603" s="4" t="e">
        <f>_xlfn.XLOOKUP(B1603,[2]Sheet2!$E$2:$E$713,[2]Sheet2!$G$2:$G$713)</f>
        <v>#N/A</v>
      </c>
      <c r="G1603" s="22">
        <v>46199</v>
      </c>
      <c r="H1603" s="23">
        <v>0.96008101851851857</v>
      </c>
      <c r="I1603" t="s">
        <v>10</v>
      </c>
      <c r="J1603" s="2" t="str">
        <f t="shared" si="127"/>
        <v>Q4</v>
      </c>
      <c r="K1603" s="2" t="str">
        <f t="shared" si="128"/>
        <v>Not Match</v>
      </c>
      <c r="L1603" s="1">
        <f t="shared" si="131"/>
        <v>0.97514101544340748</v>
      </c>
      <c r="M1603" s="1" t="e">
        <f t="shared" si="130"/>
        <v>#N/A</v>
      </c>
      <c r="N1603" s="2" t="str">
        <f t="shared" si="129"/>
        <v>Q NOT OK dE&gt;0.8</v>
      </c>
      <c r="O1603">
        <v>27.24</v>
      </c>
      <c r="P1603">
        <v>-12.21</v>
      </c>
      <c r="Q1603">
        <v>-3.4</v>
      </c>
      <c r="R1603">
        <v>0.46</v>
      </c>
      <c r="S1603">
        <v>0.97</v>
      </c>
      <c r="T1603">
        <v>-0.1</v>
      </c>
      <c r="U1603">
        <v>-0.67</v>
      </c>
      <c r="V1603">
        <v>0.32</v>
      </c>
      <c r="W1603">
        <v>0.87</v>
      </c>
      <c r="X1603" t="s">
        <v>13</v>
      </c>
      <c r="Y1603" t="s">
        <v>7</v>
      </c>
      <c r="Z1603" s="2" t="s">
        <v>718</v>
      </c>
      <c r="AA1603" s="2" t="s">
        <v>721</v>
      </c>
    </row>
    <row r="1604" spans="1:27" x14ac:dyDescent="0.35">
      <c r="A1604" t="s">
        <v>1647</v>
      </c>
      <c r="B1604" t="s">
        <v>2684</v>
      </c>
      <c r="C1604" s="7" t="str">
        <f>_xlfn.XLOOKUP(B1604,'[1]Sheet 1'!$A$2:$A$11107,'[1]Sheet 1'!$D$2:$D$11107,"",0)</f>
        <v/>
      </c>
      <c r="D1604" s="4">
        <v>0</v>
      </c>
      <c r="F1604" s="4" t="e">
        <f>_xlfn.XLOOKUP(B1604,[2]Sheet2!$E$2:$E$713,[2]Sheet2!$G$2:$G$713)</f>
        <v>#N/A</v>
      </c>
      <c r="G1604" s="22">
        <v>46199</v>
      </c>
      <c r="H1604" s="23">
        <v>0.98832175925925925</v>
      </c>
      <c r="I1604" t="s">
        <v>10</v>
      </c>
      <c r="J1604" s="2" t="str">
        <f t="shared" si="127"/>
        <v>Q1</v>
      </c>
      <c r="K1604" s="2" t="str">
        <f t="shared" si="128"/>
        <v>Not Found</v>
      </c>
      <c r="L1604" s="1">
        <f t="shared" si="131"/>
        <v>0.26</v>
      </c>
      <c r="M1604" s="1" t="e">
        <f t="shared" si="130"/>
        <v>#N/A</v>
      </c>
      <c r="N1604" s="2" t="str">
        <f t="shared" si="129"/>
        <v>Quadrant not assigned</v>
      </c>
      <c r="O1604">
        <v>16.670000000000002</v>
      </c>
      <c r="P1604">
        <v>0.72</v>
      </c>
      <c r="Q1604">
        <v>-2.08</v>
      </c>
      <c r="R1604">
        <v>-0.66</v>
      </c>
      <c r="S1604">
        <v>0.24</v>
      </c>
      <c r="T1604">
        <v>0.1</v>
      </c>
      <c r="U1604">
        <v>-0.04</v>
      </c>
      <c r="V1604">
        <v>0.34</v>
      </c>
      <c r="W1604">
        <v>0.75</v>
      </c>
      <c r="X1604" t="s">
        <v>8</v>
      </c>
      <c r="Y1604" t="s">
        <v>9</v>
      </c>
      <c r="Z1604" s="2" t="s">
        <v>718</v>
      </c>
      <c r="AA1604" s="2" t="s">
        <v>721</v>
      </c>
    </row>
    <row r="1605" spans="1:27" x14ac:dyDescent="0.35">
      <c r="A1605" t="s">
        <v>2685</v>
      </c>
      <c r="B1605" t="s">
        <v>2686</v>
      </c>
      <c r="C1605" s="7" t="str">
        <f>_xlfn.XLOOKUP(B1605,'[1]Sheet 1'!$A$2:$A$11107,'[1]Sheet 1'!$D$2:$D$11107,"",0)</f>
        <v/>
      </c>
      <c r="D1605" s="4">
        <v>0</v>
      </c>
      <c r="F1605" s="4" t="e">
        <f>_xlfn.XLOOKUP(B1605,[2]Sheet2!$E$2:$E$713,[2]Sheet2!$G$2:$G$713)</f>
        <v>#N/A</v>
      </c>
      <c r="G1605" s="22">
        <v>46200</v>
      </c>
      <c r="H1605" s="23">
        <v>6.5752314814814819E-2</v>
      </c>
      <c r="I1605" t="s">
        <v>4</v>
      </c>
      <c r="J1605" s="2" t="str">
        <f t="shared" si="127"/>
        <v>Q4</v>
      </c>
      <c r="K1605" s="2" t="str">
        <f t="shared" si="128"/>
        <v>Not Found</v>
      </c>
      <c r="L1605" s="1">
        <f t="shared" si="131"/>
        <v>0.29410882339705485</v>
      </c>
      <c r="M1605" s="1" t="e">
        <f t="shared" si="130"/>
        <v>#N/A</v>
      </c>
      <c r="N1605" s="2" t="str">
        <f t="shared" si="129"/>
        <v>Quadrant not assigned</v>
      </c>
      <c r="O1605">
        <v>17.98</v>
      </c>
      <c r="P1605">
        <v>-0.72</v>
      </c>
      <c r="Q1605">
        <v>-1.79</v>
      </c>
      <c r="R1605">
        <v>-0.36</v>
      </c>
      <c r="S1605">
        <v>0.28000000000000003</v>
      </c>
      <c r="T1605">
        <v>-0.09</v>
      </c>
      <c r="U1605">
        <v>-0.05</v>
      </c>
      <c r="V1605">
        <v>0.39</v>
      </c>
      <c r="W1605">
        <v>0.53</v>
      </c>
      <c r="X1605" t="s">
        <v>8</v>
      </c>
      <c r="Y1605" t="s">
        <v>9</v>
      </c>
      <c r="Z1605" s="2" t="s">
        <v>718</v>
      </c>
      <c r="AA1605" s="2" t="s">
        <v>721</v>
      </c>
    </row>
    <row r="1606" spans="1:27" x14ac:dyDescent="0.35">
      <c r="A1606" t="s">
        <v>2687</v>
      </c>
      <c r="B1606" t="s">
        <v>2688</v>
      </c>
      <c r="C1606" s="7" t="str">
        <f>_xlfn.XLOOKUP(B1606,'[1]Sheet 1'!$A$2:$A$11107,'[1]Sheet 1'!$D$2:$D$11107,"",0)</f>
        <v/>
      </c>
      <c r="D1606" s="4">
        <v>0</v>
      </c>
      <c r="F1606" s="4" t="e">
        <f>_xlfn.XLOOKUP(B1606,[2]Sheet2!$E$2:$E$713,[2]Sheet2!$G$2:$G$713)</f>
        <v>#N/A</v>
      </c>
      <c r="G1606" s="22">
        <v>46200</v>
      </c>
      <c r="H1606" s="23">
        <v>6.8807870370370366E-2</v>
      </c>
      <c r="I1606" t="s">
        <v>4</v>
      </c>
      <c r="J1606" s="2" t="str">
        <f t="shared" ref="J1606:J1654" si="132">IF(OR(S1606=0,T1606=0),D1606,IF(AND(S1606&gt;0,T1606&gt;0),"Q1",IF(AND(S1606&lt;0,T1606&gt;0),"Q2",IF(AND(S1606&lt;0,T1606&lt;0),"Q3",IF(AND(S1606&gt;0,T1606&lt;0),"Q4","")))))</f>
        <v>Q1</v>
      </c>
      <c r="K1606" s="2" t="str">
        <f t="shared" ref="K1606:K1654" si="133">IF(J1606=D1606,"Match",IF(AND(J1606=0,D1606="Match"),"da and db 0",IF(D1606=0,"Not Found","Not Match")))</f>
        <v>Not Found</v>
      </c>
      <c r="L1606" s="1">
        <f t="shared" si="131"/>
        <v>0.43174066289845803</v>
      </c>
      <c r="M1606" s="1" t="e">
        <f t="shared" si="130"/>
        <v>#N/A</v>
      </c>
      <c r="N1606" s="2" t="str">
        <f t="shared" ref="N1606:N1654" si="134">IF(D1606=0,"Quadrant not assigned",IF(AND(K1606="Match",W1606&lt;=0.8),"Q OK dE&lt;=0.8",IF(AND(K1606="Match",W1606&gt;0.8),"Q OK dE&gt;0.8",IF(AND(K1606="Not Match",W1606&lt;=0.8),"Q NOT OK dE&lt;=0.8","Q NOT OK dE&gt;0.8"))))</f>
        <v>Quadrant not assigned</v>
      </c>
      <c r="O1606">
        <v>17.25</v>
      </c>
      <c r="P1606">
        <v>-1.24</v>
      </c>
      <c r="Q1606">
        <v>-0.02</v>
      </c>
      <c r="R1606">
        <v>-0.56000000000000005</v>
      </c>
      <c r="S1606">
        <v>0.1</v>
      </c>
      <c r="T1606">
        <v>0.42</v>
      </c>
      <c r="U1606">
        <v>-0.23</v>
      </c>
      <c r="V1606">
        <v>-0.55000000000000004</v>
      </c>
      <c r="W1606">
        <v>0.82</v>
      </c>
      <c r="X1606" t="s">
        <v>13</v>
      </c>
      <c r="Y1606" t="s">
        <v>12</v>
      </c>
      <c r="Z1606" s="2" t="s">
        <v>718</v>
      </c>
      <c r="AA1606" s="2" t="s">
        <v>721</v>
      </c>
    </row>
    <row r="1607" spans="1:27" x14ac:dyDescent="0.35">
      <c r="A1607" t="s">
        <v>2689</v>
      </c>
      <c r="B1607" t="s">
        <v>2690</v>
      </c>
      <c r="C1607" s="7" t="str">
        <f>_xlfn.XLOOKUP(B1607,'[1]Sheet 1'!$A$2:$A$11107,'[1]Sheet 1'!$D$2:$D$11107,"",0)</f>
        <v/>
      </c>
      <c r="D1607" s="4" t="str">
        <f>_xlfn.XLOOKUP(A1607,[3]Sheet2!$I$2:$I$1623,[3]Sheet2!$D$2:$D$1623,"",0)</f>
        <v>Q3</v>
      </c>
      <c r="F1607" s="4" t="e">
        <f>_xlfn.XLOOKUP(B1607,[2]Sheet2!$E$2:$E$713,[2]Sheet2!$G$2:$G$713)</f>
        <v>#N/A</v>
      </c>
      <c r="G1607" s="22">
        <v>46200</v>
      </c>
      <c r="H1607" s="23">
        <v>7.1539351851851854E-2</v>
      </c>
      <c r="I1607" t="s">
        <v>10</v>
      </c>
      <c r="J1607" s="2" t="str">
        <f t="shared" si="132"/>
        <v>Q1</v>
      </c>
      <c r="K1607" s="2" t="str">
        <f t="shared" si="133"/>
        <v>Not Match</v>
      </c>
      <c r="L1607" s="1">
        <f t="shared" si="131"/>
        <v>0.77058419397233935</v>
      </c>
      <c r="M1607" s="1" t="e">
        <f t="shared" si="130"/>
        <v>#N/A</v>
      </c>
      <c r="N1607" s="2" t="str">
        <f t="shared" si="134"/>
        <v>Q NOT OK dE&lt;=0.8</v>
      </c>
      <c r="O1607">
        <v>17.399999999999999</v>
      </c>
      <c r="P1607">
        <v>-2.13</v>
      </c>
      <c r="Q1607">
        <v>-12.2</v>
      </c>
      <c r="R1607">
        <v>-0.08</v>
      </c>
      <c r="S1607">
        <v>0.03</v>
      </c>
      <c r="T1607">
        <v>0.77</v>
      </c>
      <c r="U1607">
        <v>-0.56000000000000005</v>
      </c>
      <c r="V1607">
        <v>-0.11</v>
      </c>
      <c r="W1607">
        <v>0.57999999999999996</v>
      </c>
      <c r="X1607" t="s">
        <v>8</v>
      </c>
      <c r="Y1607" t="s">
        <v>15</v>
      </c>
      <c r="Z1607" s="2" t="s">
        <v>718</v>
      </c>
      <c r="AA1607" s="2" t="s">
        <v>721</v>
      </c>
    </row>
    <row r="1608" spans="1:27" x14ac:dyDescent="0.35">
      <c r="A1608" t="s">
        <v>1626</v>
      </c>
      <c r="B1608" t="s">
        <v>2691</v>
      </c>
      <c r="C1608" s="7" t="str">
        <f>_xlfn.XLOOKUP(B1608,'[1]Sheet 1'!$A$2:$A$11107,'[1]Sheet 1'!$D$2:$D$11107,"",0)</f>
        <v/>
      </c>
      <c r="D1608" s="4" t="str">
        <f>_xlfn.XLOOKUP(A1608,[3]Sheet2!$I$2:$I$1623,[3]Sheet2!$D$2:$D$1623,"",0)</f>
        <v>Q4</v>
      </c>
      <c r="F1608" s="4" t="e">
        <f>_xlfn.XLOOKUP(B1608,[2]Sheet2!$E$2:$E$713,[2]Sheet2!$G$2:$G$713)</f>
        <v>#N/A</v>
      </c>
      <c r="G1608" s="22">
        <v>46200</v>
      </c>
      <c r="H1608" s="23">
        <v>7.6111111111111115E-2</v>
      </c>
      <c r="I1608" t="s">
        <v>10</v>
      </c>
      <c r="J1608" s="2" t="str">
        <f t="shared" si="132"/>
        <v>Q2</v>
      </c>
      <c r="K1608" s="2" t="str">
        <f t="shared" si="133"/>
        <v>Not Match</v>
      </c>
      <c r="L1608" s="1">
        <f t="shared" si="131"/>
        <v>0.45276925690687087</v>
      </c>
      <c r="M1608" s="1" t="e">
        <f t="shared" si="130"/>
        <v>#N/A</v>
      </c>
      <c r="N1608" s="2" t="str">
        <f t="shared" si="134"/>
        <v>Q NOT OK dE&lt;=0.8</v>
      </c>
      <c r="O1608">
        <v>15.13</v>
      </c>
      <c r="P1608">
        <v>0.15</v>
      </c>
      <c r="Q1608">
        <v>-1.55</v>
      </c>
      <c r="R1608">
        <v>-0.43</v>
      </c>
      <c r="S1608">
        <v>-0.45</v>
      </c>
      <c r="T1608">
        <v>0.05</v>
      </c>
      <c r="U1608">
        <v>-0.2</v>
      </c>
      <c r="V1608">
        <v>-0.59</v>
      </c>
      <c r="W1608">
        <v>0.76</v>
      </c>
      <c r="X1608" t="s">
        <v>13</v>
      </c>
      <c r="Y1608" t="s">
        <v>15</v>
      </c>
      <c r="Z1608" s="2" t="s">
        <v>718</v>
      </c>
      <c r="AA1608" s="2" t="s">
        <v>721</v>
      </c>
    </row>
    <row r="1609" spans="1:27" x14ac:dyDescent="0.35">
      <c r="A1609" t="s">
        <v>2476</v>
      </c>
      <c r="B1609" t="s">
        <v>2555</v>
      </c>
      <c r="C1609" s="7" t="str">
        <f>_xlfn.XLOOKUP(B1609,'[1]Sheet 1'!$A$2:$A$11107,'[1]Sheet 1'!$D$2:$D$11107,"",0)</f>
        <v>LBI</v>
      </c>
      <c r="D1609" s="4" t="str">
        <f>_xlfn.XLOOKUP(A1609,[3]Sheet2!$I$2:$I$1623,[3]Sheet2!$D$2:$D$1623,"",0)</f>
        <v>Q1</v>
      </c>
      <c r="F1609" s="4" t="e">
        <f>_xlfn.XLOOKUP(B1609,[2]Sheet2!$E$2:$E$713,[2]Sheet2!$G$2:$G$713)</f>
        <v>#N/A</v>
      </c>
      <c r="G1609" s="22">
        <v>46200</v>
      </c>
      <c r="H1609" s="23">
        <v>7.9386574074074068E-2</v>
      </c>
      <c r="I1609" t="s">
        <v>14</v>
      </c>
      <c r="J1609" s="2" t="str">
        <f t="shared" si="132"/>
        <v>Q4</v>
      </c>
      <c r="K1609" s="2" t="str">
        <f t="shared" si="133"/>
        <v>Not Match</v>
      </c>
      <c r="L1609" s="1">
        <f t="shared" si="131"/>
        <v>0.38327535793473599</v>
      </c>
      <c r="M1609" s="1" t="e">
        <f t="shared" si="130"/>
        <v>#N/A</v>
      </c>
      <c r="N1609" s="2" t="str">
        <f t="shared" si="134"/>
        <v>Q NOT OK dE&lt;=0.8</v>
      </c>
      <c r="O1609">
        <v>22.38</v>
      </c>
      <c r="P1609">
        <v>17.260000000000002</v>
      </c>
      <c r="Q1609">
        <v>-8.76</v>
      </c>
      <c r="R1609">
        <v>-0.44</v>
      </c>
      <c r="S1609">
        <v>0.05</v>
      </c>
      <c r="T1609">
        <v>-0.38</v>
      </c>
      <c r="U1609">
        <v>0.13</v>
      </c>
      <c r="V1609">
        <v>-0.28000000000000003</v>
      </c>
      <c r="W1609">
        <v>0.53</v>
      </c>
      <c r="X1609" t="s">
        <v>8</v>
      </c>
      <c r="Y1609" t="s">
        <v>7</v>
      </c>
      <c r="Z1609" s="2" t="s">
        <v>718</v>
      </c>
      <c r="AA1609" s="2" t="s">
        <v>721</v>
      </c>
    </row>
    <row r="1610" spans="1:27" x14ac:dyDescent="0.35">
      <c r="A1610" t="s">
        <v>1626</v>
      </c>
      <c r="B1610" t="s">
        <v>2692</v>
      </c>
      <c r="C1610" s="7" t="str">
        <f>_xlfn.XLOOKUP(B1610,'[1]Sheet 1'!$A$2:$A$11107,'[1]Sheet 1'!$D$2:$D$11107,"",0)</f>
        <v/>
      </c>
      <c r="D1610" s="4" t="str">
        <f>_xlfn.XLOOKUP(A1610,[3]Sheet2!$I$2:$I$1623,[3]Sheet2!$D$2:$D$1623,"",0)</f>
        <v>Q4</v>
      </c>
      <c r="F1610" s="4" t="e">
        <f>_xlfn.XLOOKUP(B1610,[2]Sheet2!$E$2:$E$713,[2]Sheet2!$G$2:$G$713)</f>
        <v>#N/A</v>
      </c>
      <c r="G1610" s="22">
        <v>46200</v>
      </c>
      <c r="H1610" s="23">
        <v>0.19662037037037036</v>
      </c>
      <c r="I1610" t="s">
        <v>10</v>
      </c>
      <c r="J1610" s="2" t="str">
        <f t="shared" si="132"/>
        <v>Q3</v>
      </c>
      <c r="K1610" s="2" t="str">
        <f t="shared" si="133"/>
        <v>Not Match</v>
      </c>
      <c r="L1610" s="1">
        <f t="shared" si="131"/>
        <v>0.65969690009882576</v>
      </c>
      <c r="M1610" s="1" t="e">
        <f t="shared" si="130"/>
        <v>#N/A</v>
      </c>
      <c r="N1610" s="2" t="str">
        <f t="shared" si="134"/>
        <v>Q NOT OK dE&gt;0.8</v>
      </c>
      <c r="O1610">
        <v>15.58</v>
      </c>
      <c r="P1610">
        <v>-0.05</v>
      </c>
      <c r="Q1610">
        <v>-1.75</v>
      </c>
      <c r="R1610">
        <v>0.01</v>
      </c>
      <c r="S1610">
        <v>-0.64</v>
      </c>
      <c r="T1610">
        <v>-0.16</v>
      </c>
      <c r="U1610">
        <v>7.0000000000000007E-2</v>
      </c>
      <c r="V1610">
        <v>-0.91</v>
      </c>
      <c r="W1610">
        <v>0.92</v>
      </c>
      <c r="X1610" t="s">
        <v>13</v>
      </c>
      <c r="Y1610" t="s">
        <v>15</v>
      </c>
      <c r="Z1610" s="2" t="s">
        <v>718</v>
      </c>
      <c r="AA1610" s="2" t="s">
        <v>721</v>
      </c>
    </row>
    <row r="1611" spans="1:27" x14ac:dyDescent="0.35">
      <c r="A1611" t="s">
        <v>1626</v>
      </c>
      <c r="B1611" t="s">
        <v>2693</v>
      </c>
      <c r="C1611" s="7" t="str">
        <f>_xlfn.XLOOKUP(B1611,'[1]Sheet 1'!$A$2:$A$11107,'[1]Sheet 1'!$D$2:$D$11107,"",0)</f>
        <v/>
      </c>
      <c r="D1611" s="4" t="str">
        <f>_xlfn.XLOOKUP(A1611,[3]Sheet2!$I$2:$I$1623,[3]Sheet2!$D$2:$D$1623,"",0)</f>
        <v>Q4</v>
      </c>
      <c r="F1611" s="4" t="e">
        <f>_xlfn.XLOOKUP(B1611,[2]Sheet2!$E$2:$E$713,[2]Sheet2!$G$2:$G$713)</f>
        <v>#N/A</v>
      </c>
      <c r="G1611" s="22">
        <v>46200</v>
      </c>
      <c r="H1611" s="23">
        <v>0.19878472222222221</v>
      </c>
      <c r="I1611" t="s">
        <v>10</v>
      </c>
      <c r="J1611" s="2" t="str">
        <f t="shared" si="132"/>
        <v>Q2</v>
      </c>
      <c r="K1611" s="2" t="str">
        <f t="shared" si="133"/>
        <v>Not Match</v>
      </c>
      <c r="L1611" s="1">
        <f t="shared" si="131"/>
        <v>0.16401219466856726</v>
      </c>
      <c r="M1611" s="1" t="e">
        <f t="shared" si="130"/>
        <v>#N/A</v>
      </c>
      <c r="N1611" s="2" t="str">
        <f t="shared" si="134"/>
        <v>Q NOT OK dE&lt;=0.8</v>
      </c>
      <c r="O1611">
        <v>15.1</v>
      </c>
      <c r="P1611">
        <v>0.47</v>
      </c>
      <c r="Q1611">
        <v>-1.49</v>
      </c>
      <c r="R1611">
        <v>-0.47</v>
      </c>
      <c r="S1611">
        <v>-0.13</v>
      </c>
      <c r="T1611">
        <v>0.1</v>
      </c>
      <c r="U1611">
        <v>-0.18</v>
      </c>
      <c r="V1611">
        <v>-0.12</v>
      </c>
      <c r="W1611">
        <v>0.51</v>
      </c>
      <c r="X1611" t="s">
        <v>8</v>
      </c>
      <c r="Y1611" t="s">
        <v>15</v>
      </c>
      <c r="Z1611" s="2" t="s">
        <v>718</v>
      </c>
      <c r="AA1611" s="2" t="s">
        <v>721</v>
      </c>
    </row>
    <row r="1612" spans="1:27" x14ac:dyDescent="0.35">
      <c r="A1612" t="s">
        <v>2161</v>
      </c>
      <c r="B1612" t="s">
        <v>2694</v>
      </c>
      <c r="C1612" s="7" t="str">
        <f>_xlfn.XLOOKUP(B1612,'[1]Sheet 1'!$A$2:$A$11107,'[1]Sheet 1'!$D$2:$D$11107,"",0)</f>
        <v/>
      </c>
      <c r="D1612" s="4" t="str">
        <f>_xlfn.XLOOKUP(A1612,[3]Sheet2!$I$2:$I$1623,[3]Sheet2!$D$2:$D$1623,"",0)</f>
        <v>Q3</v>
      </c>
      <c r="F1612" s="4" t="e">
        <f>_xlfn.XLOOKUP(B1612,[2]Sheet2!$E$2:$E$713,[2]Sheet2!$G$2:$G$713)</f>
        <v>#N/A</v>
      </c>
      <c r="G1612" s="22">
        <v>46200</v>
      </c>
      <c r="H1612" s="23">
        <v>0.23979166666666665</v>
      </c>
      <c r="I1612" t="s">
        <v>10</v>
      </c>
      <c r="J1612" s="2" t="str">
        <f t="shared" si="132"/>
        <v>Q1</v>
      </c>
      <c r="K1612" s="2" t="str">
        <f t="shared" si="133"/>
        <v>Not Match</v>
      </c>
      <c r="L1612" s="1">
        <f t="shared" si="131"/>
        <v>1.8038015411901611</v>
      </c>
      <c r="M1612" s="1" t="e">
        <f t="shared" si="130"/>
        <v>#N/A</v>
      </c>
      <c r="N1612" s="2" t="str">
        <f t="shared" si="134"/>
        <v>Q NOT OK dE&lt;=0.8</v>
      </c>
      <c r="O1612">
        <v>42.14</v>
      </c>
      <c r="P1612">
        <v>55.02</v>
      </c>
      <c r="Q1612">
        <v>40.44</v>
      </c>
      <c r="R1612">
        <v>-7.0000000000000007E-2</v>
      </c>
      <c r="S1612">
        <v>1.24</v>
      </c>
      <c r="T1612">
        <v>1.31</v>
      </c>
      <c r="U1612">
        <v>0.61</v>
      </c>
      <c r="V1612">
        <v>0.23</v>
      </c>
      <c r="W1612">
        <v>0.66</v>
      </c>
      <c r="X1612" t="s">
        <v>8</v>
      </c>
      <c r="Y1612" t="s">
        <v>12</v>
      </c>
      <c r="Z1612" s="2" t="s">
        <v>718</v>
      </c>
      <c r="AA1612" s="2" t="s">
        <v>721</v>
      </c>
    </row>
    <row r="1613" spans="1:27" x14ac:dyDescent="0.35">
      <c r="A1613" t="s">
        <v>1633</v>
      </c>
      <c r="B1613" t="s">
        <v>2695</v>
      </c>
      <c r="C1613" s="7" t="str">
        <f>_xlfn.XLOOKUP(B1613,'[1]Sheet 1'!$A$2:$A$11107,'[1]Sheet 1'!$D$2:$D$11107,"",0)</f>
        <v/>
      </c>
      <c r="D1613" s="4" t="str">
        <f>_xlfn.XLOOKUP(A1613,[3]Sheet2!$I$2:$I$1623,[3]Sheet2!$D$2:$D$1623,"",0)</f>
        <v>Q3</v>
      </c>
      <c r="F1613" s="4" t="e">
        <f>_xlfn.XLOOKUP(B1613,[2]Sheet2!$E$2:$E$713,[2]Sheet2!$G$2:$G$713)</f>
        <v>#N/A</v>
      </c>
      <c r="G1613" s="22">
        <v>46200</v>
      </c>
      <c r="H1613" s="23">
        <v>0.24541666666666667</v>
      </c>
      <c r="I1613" t="s">
        <v>5</v>
      </c>
      <c r="J1613" s="2" t="str">
        <f t="shared" si="132"/>
        <v>Q2</v>
      </c>
      <c r="K1613" s="2" t="str">
        <f t="shared" si="133"/>
        <v>Not Match</v>
      </c>
      <c r="L1613" s="1">
        <f t="shared" si="131"/>
        <v>0.32557641192199416</v>
      </c>
      <c r="M1613" s="1" t="e">
        <f t="shared" si="130"/>
        <v>#N/A</v>
      </c>
      <c r="N1613" s="2" t="str">
        <f t="shared" si="134"/>
        <v>Q NOT OK dE&lt;=0.8</v>
      </c>
      <c r="O1613">
        <v>15.54</v>
      </c>
      <c r="P1613">
        <v>-1.41</v>
      </c>
      <c r="Q1613">
        <v>-2.86</v>
      </c>
      <c r="R1613">
        <v>0.56000000000000005</v>
      </c>
      <c r="S1613">
        <v>-0.32</v>
      </c>
      <c r="T1613">
        <v>0.06</v>
      </c>
      <c r="U1613">
        <v>0.08</v>
      </c>
      <c r="V1613">
        <v>-0.41</v>
      </c>
      <c r="W1613">
        <v>0.7</v>
      </c>
      <c r="X1613" t="s">
        <v>8</v>
      </c>
      <c r="Y1613" t="s">
        <v>15</v>
      </c>
      <c r="Z1613" s="2" t="s">
        <v>718</v>
      </c>
      <c r="AA1613" s="2" t="s">
        <v>721</v>
      </c>
    </row>
    <row r="1614" spans="1:27" x14ac:dyDescent="0.35">
      <c r="A1614" t="s">
        <v>2148</v>
      </c>
      <c r="B1614" t="s">
        <v>2696</v>
      </c>
      <c r="C1614" s="7" t="str">
        <f>_xlfn.XLOOKUP(B1614,'[1]Sheet 1'!$A$2:$A$11107,'[1]Sheet 1'!$D$2:$D$11107,"",0)</f>
        <v/>
      </c>
      <c r="D1614" s="4" t="str">
        <f>_xlfn.XLOOKUP(A1614,[3]Sheet2!$I$2:$I$1623,[3]Sheet2!$D$2:$D$1623,"",0)</f>
        <v>Q3</v>
      </c>
      <c r="F1614" s="4" t="e">
        <f>_xlfn.XLOOKUP(B1614,[2]Sheet2!$E$2:$E$713,[2]Sheet2!$G$2:$G$713)</f>
        <v>#N/A</v>
      </c>
      <c r="G1614" s="22">
        <v>46200</v>
      </c>
      <c r="H1614" s="23">
        <v>0.25716435185185182</v>
      </c>
      <c r="I1614" t="s">
        <v>10</v>
      </c>
      <c r="J1614" s="2" t="str">
        <f t="shared" si="132"/>
        <v>Q1</v>
      </c>
      <c r="K1614" s="2" t="str">
        <f t="shared" si="133"/>
        <v>Not Match</v>
      </c>
      <c r="L1614" s="1">
        <f t="shared" si="131"/>
        <v>1.2366486970841801</v>
      </c>
      <c r="M1614" s="1" t="e">
        <f t="shared" si="130"/>
        <v>#N/A</v>
      </c>
      <c r="N1614" s="2" t="str">
        <f t="shared" si="134"/>
        <v>Q NOT OK dE&lt;=0.8</v>
      </c>
      <c r="O1614">
        <v>42.75</v>
      </c>
      <c r="P1614">
        <v>54.67</v>
      </c>
      <c r="Q1614">
        <v>39.57</v>
      </c>
      <c r="R1614">
        <v>0.1</v>
      </c>
      <c r="S1614">
        <v>0.62</v>
      </c>
      <c r="T1614">
        <v>1.07</v>
      </c>
      <c r="U1614">
        <v>0.39</v>
      </c>
      <c r="V1614">
        <v>0.36</v>
      </c>
      <c r="W1614">
        <v>0.54</v>
      </c>
      <c r="X1614" t="s">
        <v>8</v>
      </c>
      <c r="Y1614" t="s">
        <v>12</v>
      </c>
      <c r="Z1614" s="2" t="s">
        <v>718</v>
      </c>
      <c r="AA1614" s="2" t="s">
        <v>721</v>
      </c>
    </row>
    <row r="1615" spans="1:27" x14ac:dyDescent="0.35">
      <c r="A1615" t="s">
        <v>1667</v>
      </c>
      <c r="B1615" t="s">
        <v>2697</v>
      </c>
      <c r="C1615" s="7" t="str">
        <f>_xlfn.XLOOKUP(B1615,'[1]Sheet 1'!$A$2:$A$11107,'[1]Sheet 1'!$D$2:$D$11107,"",0)</f>
        <v/>
      </c>
      <c r="D1615" s="4" t="str">
        <f>_xlfn.XLOOKUP(A1615,[3]Sheet2!$I$2:$I$1623,[3]Sheet2!$D$2:$D$1623,"",0)</f>
        <v>Q3</v>
      </c>
      <c r="F1615" s="4" t="e">
        <f>_xlfn.XLOOKUP(B1615,[2]Sheet2!$E$2:$E$713,[2]Sheet2!$G$2:$G$713)</f>
        <v>#N/A</v>
      </c>
      <c r="G1615" s="22">
        <v>46200</v>
      </c>
      <c r="H1615" s="23">
        <v>0.32968750000000002</v>
      </c>
      <c r="I1615" t="s">
        <v>10</v>
      </c>
      <c r="J1615" s="2" t="str">
        <f t="shared" si="132"/>
        <v>Q3</v>
      </c>
      <c r="K1615" s="2" t="str">
        <f t="shared" si="133"/>
        <v>Match</v>
      </c>
      <c r="L1615" s="1">
        <f t="shared" si="131"/>
        <v>0.27784887978899608</v>
      </c>
      <c r="M1615" s="1" t="e">
        <f t="shared" si="130"/>
        <v>#N/A</v>
      </c>
      <c r="N1615" s="2" t="str">
        <f t="shared" si="134"/>
        <v>Q OK dE&lt;=0.8</v>
      </c>
      <c r="O1615">
        <v>17.809999999999999</v>
      </c>
      <c r="P1615">
        <v>-2.48</v>
      </c>
      <c r="Q1615">
        <v>-12.63</v>
      </c>
      <c r="R1615">
        <v>0.39</v>
      </c>
      <c r="S1615">
        <v>-0.24</v>
      </c>
      <c r="T1615">
        <v>-0.14000000000000001</v>
      </c>
      <c r="U1615">
        <v>0.14000000000000001</v>
      </c>
      <c r="V1615">
        <v>-0.24</v>
      </c>
      <c r="W1615">
        <v>0.47</v>
      </c>
      <c r="X1615" t="s">
        <v>8</v>
      </c>
      <c r="Y1615" t="s">
        <v>15</v>
      </c>
      <c r="Z1615" s="2" t="s">
        <v>718</v>
      </c>
      <c r="AA1615" s="2" t="s">
        <v>721</v>
      </c>
    </row>
    <row r="1616" spans="1:27" x14ac:dyDescent="0.35">
      <c r="A1616" t="s">
        <v>2409</v>
      </c>
      <c r="B1616" t="s">
        <v>2698</v>
      </c>
      <c r="C1616" s="7" t="str">
        <f>_xlfn.XLOOKUP(B1616,'[1]Sheet 1'!$A$2:$A$11107,'[1]Sheet 1'!$D$2:$D$11107,"",0)</f>
        <v/>
      </c>
      <c r="D1616" s="4" t="str">
        <f>_xlfn.XLOOKUP(A1616,[3]Sheet2!$I$2:$I$1623,[3]Sheet2!$D$2:$D$1623,"",0)</f>
        <v>Q4</v>
      </c>
      <c r="F1616" s="4" t="e">
        <f>_xlfn.XLOOKUP(B1616,[2]Sheet2!$E$2:$E$713,[2]Sheet2!$G$2:$G$713)</f>
        <v>#N/A</v>
      </c>
      <c r="G1616" s="22">
        <v>46200</v>
      </c>
      <c r="H1616" s="23">
        <v>0.25239583333333332</v>
      </c>
      <c r="I1616" t="s">
        <v>10</v>
      </c>
      <c r="J1616" s="2" t="str">
        <f t="shared" si="132"/>
        <v>Q1</v>
      </c>
      <c r="K1616" s="2" t="str">
        <f t="shared" si="133"/>
        <v>Not Match</v>
      </c>
      <c r="L1616" s="1">
        <f t="shared" si="131"/>
        <v>4.5442821215237066</v>
      </c>
      <c r="M1616" s="1" t="e">
        <f t="shared" si="130"/>
        <v>#N/A</v>
      </c>
      <c r="N1616" s="2" t="str">
        <f t="shared" si="134"/>
        <v>Q NOT OK dE&gt;0.8</v>
      </c>
      <c r="O1616">
        <v>20.3</v>
      </c>
      <c r="P1616">
        <v>-1.17</v>
      </c>
      <c r="Q1616">
        <v>-8.75</v>
      </c>
      <c r="R1616">
        <v>-0.81</v>
      </c>
      <c r="S1616">
        <v>1.41</v>
      </c>
      <c r="T1616">
        <v>4.32</v>
      </c>
      <c r="U1616">
        <v>-3.3</v>
      </c>
      <c r="V1616">
        <v>0.76</v>
      </c>
      <c r="W1616">
        <v>3.48</v>
      </c>
      <c r="X1616" t="s">
        <v>6</v>
      </c>
      <c r="Y1616" t="s">
        <v>9</v>
      </c>
      <c r="Z1616" s="2" t="s">
        <v>718</v>
      </c>
      <c r="AA1616" s="2" t="s">
        <v>721</v>
      </c>
    </row>
    <row r="1617" spans="1:27" x14ac:dyDescent="0.35">
      <c r="A1617" s="28" t="s">
        <v>2736</v>
      </c>
      <c r="B1617" t="s">
        <v>2699</v>
      </c>
      <c r="C1617" s="7" t="str">
        <f>_xlfn.XLOOKUP(B1617,'[1]Sheet 1'!$A$2:$A$11107,'[1]Sheet 1'!$D$2:$D$11107,"",0)</f>
        <v/>
      </c>
      <c r="D1617" s="4">
        <v>0</v>
      </c>
      <c r="F1617" s="4" t="e">
        <f>_xlfn.XLOOKUP(B1617,[2]Sheet2!$E$2:$E$713,[2]Sheet2!$G$2:$G$713)</f>
        <v>#N/A</v>
      </c>
      <c r="G1617" s="22">
        <v>46200</v>
      </c>
      <c r="H1617" s="23">
        <v>0.67054398148148153</v>
      </c>
      <c r="I1617" t="s">
        <v>4</v>
      </c>
      <c r="J1617" s="2" t="str">
        <f t="shared" si="132"/>
        <v>Q2</v>
      </c>
      <c r="K1617" s="2" t="str">
        <f t="shared" si="133"/>
        <v>Not Found</v>
      </c>
      <c r="L1617" s="1">
        <f t="shared" si="131"/>
        <v>1.1416216536138408</v>
      </c>
      <c r="M1617" s="1" t="e">
        <f t="shared" si="130"/>
        <v>#N/A</v>
      </c>
      <c r="N1617" s="2" t="str">
        <f t="shared" si="134"/>
        <v>Quadrant not assigned</v>
      </c>
      <c r="O1617">
        <v>27.26</v>
      </c>
      <c r="P1617">
        <v>21.47</v>
      </c>
      <c r="Q1617">
        <v>3.96</v>
      </c>
      <c r="R1617">
        <v>-0.55000000000000004</v>
      </c>
      <c r="S1617">
        <v>-0.37</v>
      </c>
      <c r="T1617">
        <v>1.08</v>
      </c>
      <c r="U1617">
        <v>-0.11</v>
      </c>
      <c r="V1617">
        <v>0.99</v>
      </c>
      <c r="W1617">
        <v>1.1399999999999999</v>
      </c>
      <c r="X1617" t="s">
        <v>6</v>
      </c>
      <c r="Y1617" t="s">
        <v>9</v>
      </c>
      <c r="Z1617" s="2" t="s">
        <v>718</v>
      </c>
      <c r="AA1617" s="2" t="s">
        <v>721</v>
      </c>
    </row>
    <row r="1618" spans="1:27" x14ac:dyDescent="0.35">
      <c r="A1618" t="s">
        <v>1626</v>
      </c>
      <c r="B1618" t="s">
        <v>2700</v>
      </c>
      <c r="C1618" s="7" t="str">
        <f>_xlfn.XLOOKUP(B1618,'[1]Sheet 1'!$A$2:$A$11107,'[1]Sheet 1'!$D$2:$D$11107,"",0)</f>
        <v/>
      </c>
      <c r="D1618" s="4" t="str">
        <f>_xlfn.XLOOKUP(A1618,[3]Sheet2!$I$2:$I$1623,[3]Sheet2!$D$2:$D$1623,"",0)</f>
        <v>Q4</v>
      </c>
      <c r="F1618" s="4" t="e">
        <f>_xlfn.XLOOKUP(B1618,[2]Sheet2!$E$2:$E$713,[2]Sheet2!$G$2:$G$713)</f>
        <v>#N/A</v>
      </c>
      <c r="G1618" s="22">
        <v>46200</v>
      </c>
      <c r="H1618" s="23">
        <v>0.67290509259259257</v>
      </c>
      <c r="I1618" t="s">
        <v>10</v>
      </c>
      <c r="J1618" s="2" t="str">
        <f t="shared" si="132"/>
        <v>Q3</v>
      </c>
      <c r="K1618" s="2" t="str">
        <f t="shared" si="133"/>
        <v>Not Match</v>
      </c>
      <c r="L1618" s="1">
        <f t="shared" si="131"/>
        <v>0.81055536516637783</v>
      </c>
      <c r="M1618" s="1" t="e">
        <f t="shared" si="130"/>
        <v>#N/A</v>
      </c>
      <c r="N1618" s="2" t="str">
        <f t="shared" si="134"/>
        <v>Q NOT OK dE&gt;0.8</v>
      </c>
      <c r="O1618">
        <v>16.28</v>
      </c>
      <c r="P1618">
        <v>-0.04</v>
      </c>
      <c r="Q1618">
        <v>-2.1</v>
      </c>
      <c r="R1618">
        <v>0.68</v>
      </c>
      <c r="S1618">
        <v>-0.63</v>
      </c>
      <c r="T1618">
        <v>-0.51</v>
      </c>
      <c r="U1618">
        <v>0.55000000000000004</v>
      </c>
      <c r="V1618">
        <v>-0.98</v>
      </c>
      <c r="W1618">
        <v>1.31</v>
      </c>
      <c r="X1618" t="s">
        <v>6</v>
      </c>
      <c r="Y1618" t="s">
        <v>15</v>
      </c>
      <c r="Z1618" s="2" t="s">
        <v>718</v>
      </c>
      <c r="AA1618" s="2" t="s">
        <v>721</v>
      </c>
    </row>
    <row r="1619" spans="1:27" x14ac:dyDescent="0.35">
      <c r="A1619" t="s">
        <v>2156</v>
      </c>
      <c r="B1619" t="s">
        <v>2701</v>
      </c>
      <c r="C1619" s="7" t="str">
        <f>_xlfn.XLOOKUP(B1619,'[1]Sheet 1'!$A$2:$A$11107,'[1]Sheet 1'!$D$2:$D$11107,"",0)</f>
        <v/>
      </c>
      <c r="D1619" s="4" t="str">
        <f>_xlfn.XLOOKUP(A1619,[3]Sheet2!$I$2:$I$1623,[3]Sheet2!$D$2:$D$1623,"",0)</f>
        <v>Q1</v>
      </c>
      <c r="F1619" s="4" t="e">
        <f>_xlfn.XLOOKUP(B1619,[2]Sheet2!$E$2:$E$713,[2]Sheet2!$G$2:$G$713)</f>
        <v>#N/A</v>
      </c>
      <c r="G1619" s="22">
        <v>46200</v>
      </c>
      <c r="H1619" s="23">
        <v>0.67478009259259264</v>
      </c>
      <c r="I1619" t="s">
        <v>10</v>
      </c>
      <c r="J1619" s="2" t="str">
        <f t="shared" si="132"/>
        <v>Q4</v>
      </c>
      <c r="K1619" s="2" t="str">
        <f t="shared" si="133"/>
        <v>Not Match</v>
      </c>
      <c r="L1619" s="1">
        <f t="shared" si="131"/>
        <v>0.43840620433565947</v>
      </c>
      <c r="M1619" s="1" t="e">
        <f t="shared" si="130"/>
        <v>#N/A</v>
      </c>
      <c r="N1619" s="2" t="str">
        <f t="shared" si="134"/>
        <v>Q NOT OK dE&lt;=0.8</v>
      </c>
      <c r="O1619">
        <v>25.59</v>
      </c>
      <c r="P1619">
        <v>-12.88</v>
      </c>
      <c r="Q1619">
        <v>-3.61</v>
      </c>
      <c r="R1619">
        <v>-0.65</v>
      </c>
      <c r="S1619">
        <v>0.31</v>
      </c>
      <c r="T1619">
        <v>-0.31</v>
      </c>
      <c r="U1619">
        <v>-0.16</v>
      </c>
      <c r="V1619">
        <v>0.36</v>
      </c>
      <c r="W1619">
        <v>0.76</v>
      </c>
      <c r="X1619" t="s">
        <v>13</v>
      </c>
      <c r="Y1619" t="s">
        <v>7</v>
      </c>
      <c r="Z1619" s="2" t="s">
        <v>718</v>
      </c>
      <c r="AA1619" s="2" t="s">
        <v>721</v>
      </c>
    </row>
    <row r="1620" spans="1:27" x14ac:dyDescent="0.35">
      <c r="A1620" t="s">
        <v>1558</v>
      </c>
      <c r="B1620" t="s">
        <v>2702</v>
      </c>
      <c r="C1620" s="7" t="str">
        <f>_xlfn.XLOOKUP(B1620,'[1]Sheet 1'!$A$2:$A$11107,'[1]Sheet 1'!$D$2:$D$11107,"",0)</f>
        <v/>
      </c>
      <c r="D1620" s="4" t="str">
        <f>_xlfn.XLOOKUP(A1620,[3]Sheet2!$I$2:$I$1623,[3]Sheet2!$D$2:$D$1623,"",0)</f>
        <v>Q3</v>
      </c>
      <c r="F1620" s="4" t="e">
        <f>_xlfn.XLOOKUP(B1620,[2]Sheet2!$E$2:$E$713,[2]Sheet2!$G$2:$G$713)</f>
        <v>#N/A</v>
      </c>
      <c r="G1620" s="22">
        <v>46200</v>
      </c>
      <c r="H1620" s="23">
        <v>0.67677083333333332</v>
      </c>
      <c r="I1620" t="s">
        <v>10</v>
      </c>
      <c r="J1620" s="2" t="str">
        <f t="shared" si="132"/>
        <v>Q3</v>
      </c>
      <c r="K1620" s="2" t="str">
        <f t="shared" si="133"/>
        <v>Match</v>
      </c>
      <c r="L1620" s="1">
        <f t="shared" si="131"/>
        <v>0.28442925306655786</v>
      </c>
      <c r="M1620" s="1" t="e">
        <f t="shared" si="130"/>
        <v>#N/A</v>
      </c>
      <c r="N1620" s="2" t="str">
        <f t="shared" si="134"/>
        <v>Q OK dE&lt;=0.8</v>
      </c>
      <c r="O1620">
        <v>14.89</v>
      </c>
      <c r="P1620">
        <v>0.39</v>
      </c>
      <c r="Q1620">
        <v>-1.84</v>
      </c>
      <c r="R1620">
        <v>-0.62</v>
      </c>
      <c r="S1620">
        <v>-0.05</v>
      </c>
      <c r="T1620">
        <v>-0.28000000000000003</v>
      </c>
      <c r="U1620">
        <v>0.36</v>
      </c>
      <c r="V1620">
        <v>-0.16</v>
      </c>
      <c r="W1620">
        <v>0.73</v>
      </c>
      <c r="X1620" t="s">
        <v>8</v>
      </c>
      <c r="Y1620" t="s">
        <v>15</v>
      </c>
      <c r="Z1620" s="2" t="s">
        <v>718</v>
      </c>
      <c r="AA1620" s="2" t="s">
        <v>721</v>
      </c>
    </row>
    <row r="1621" spans="1:27" x14ac:dyDescent="0.35">
      <c r="A1621" t="s">
        <v>1598</v>
      </c>
      <c r="B1621" t="s">
        <v>2703</v>
      </c>
      <c r="C1621" s="7" t="str">
        <f>_xlfn.XLOOKUP(B1621,'[1]Sheet 1'!$A$2:$A$11107,'[1]Sheet 1'!$D$2:$D$11107,"",0)</f>
        <v>LULU</v>
      </c>
      <c r="D1621" s="4" t="str">
        <f>_xlfn.XLOOKUP(A1621,[3]Sheet2!$I$2:$I$1623,[3]Sheet2!$D$2:$D$1623,"",0)</f>
        <v>Q3</v>
      </c>
      <c r="F1621" s="4" t="e">
        <f>_xlfn.XLOOKUP(B1621,[2]Sheet2!$E$2:$E$713,[2]Sheet2!$G$2:$G$713)</f>
        <v>#N/A</v>
      </c>
      <c r="G1621" s="22">
        <v>46200</v>
      </c>
      <c r="H1621" s="23">
        <v>0.67850694444444448</v>
      </c>
      <c r="I1621" t="s">
        <v>4</v>
      </c>
      <c r="J1621" s="2" t="str">
        <f t="shared" si="132"/>
        <v>Q3</v>
      </c>
      <c r="K1621" s="2" t="str">
        <f t="shared" si="133"/>
        <v>Match</v>
      </c>
      <c r="L1621" s="1">
        <f t="shared" si="131"/>
        <v>0.39661064030103882</v>
      </c>
      <c r="M1621" s="1" t="e">
        <f t="shared" si="130"/>
        <v>#N/A</v>
      </c>
      <c r="N1621" s="2" t="str">
        <f t="shared" si="134"/>
        <v>Q OK dE&lt;=0.8</v>
      </c>
      <c r="O1621">
        <v>23.32</v>
      </c>
      <c r="P1621">
        <v>-8.2200000000000006</v>
      </c>
      <c r="Q1621">
        <v>-12.66</v>
      </c>
      <c r="R1621">
        <v>-0.21</v>
      </c>
      <c r="S1621">
        <v>-0.22</v>
      </c>
      <c r="T1621">
        <v>-0.33</v>
      </c>
      <c r="U1621">
        <v>0.28000000000000003</v>
      </c>
      <c r="V1621">
        <v>0</v>
      </c>
      <c r="W1621">
        <v>0.35</v>
      </c>
      <c r="X1621" t="s">
        <v>8</v>
      </c>
      <c r="Y1621" t="s">
        <v>15</v>
      </c>
      <c r="Z1621" s="2" t="s">
        <v>718</v>
      </c>
      <c r="AA1621" s="2" t="s">
        <v>721</v>
      </c>
    </row>
    <row r="1622" spans="1:27" x14ac:dyDescent="0.35">
      <c r="A1622" t="s">
        <v>1622</v>
      </c>
      <c r="B1622" t="s">
        <v>2704</v>
      </c>
      <c r="C1622" s="7" t="str">
        <f>_xlfn.XLOOKUP(B1622,'[1]Sheet 1'!$A$2:$A$11107,'[1]Sheet 1'!$D$2:$D$11107,"",0)</f>
        <v/>
      </c>
      <c r="D1622" s="4" t="str">
        <f>_xlfn.XLOOKUP(A1622,[3]Sheet2!$I$2:$I$1623,[3]Sheet2!$D$2:$D$1623,"",0)</f>
        <v>Q1</v>
      </c>
      <c r="F1622" s="4" t="e">
        <f>_xlfn.XLOOKUP(B1622,[2]Sheet2!$E$2:$E$713,[2]Sheet2!$G$2:$G$713)</f>
        <v>#N/A</v>
      </c>
      <c r="G1622" s="22">
        <v>46200</v>
      </c>
      <c r="H1622" s="23">
        <v>0.68135416666666671</v>
      </c>
      <c r="I1622" t="s">
        <v>4</v>
      </c>
      <c r="J1622" s="2" t="str">
        <f t="shared" si="132"/>
        <v>Q4</v>
      </c>
      <c r="K1622" s="2" t="str">
        <f t="shared" si="133"/>
        <v>Not Match</v>
      </c>
      <c r="L1622" s="1">
        <f t="shared" si="131"/>
        <v>0.29427877939124319</v>
      </c>
      <c r="M1622" s="1" t="e">
        <f t="shared" si="130"/>
        <v>#N/A</v>
      </c>
      <c r="N1622" s="2" t="str">
        <f t="shared" si="134"/>
        <v>Q NOT OK dE&lt;=0.8</v>
      </c>
      <c r="O1622">
        <v>17.43</v>
      </c>
      <c r="P1622">
        <v>-0.31</v>
      </c>
      <c r="Q1622">
        <v>-2.46</v>
      </c>
      <c r="R1622">
        <v>-0.02</v>
      </c>
      <c r="S1622">
        <v>0.05</v>
      </c>
      <c r="T1622">
        <v>-0.28999999999999998</v>
      </c>
      <c r="U1622">
        <v>0.37</v>
      </c>
      <c r="V1622">
        <v>0.13</v>
      </c>
      <c r="W1622">
        <v>0.39</v>
      </c>
      <c r="X1622" t="s">
        <v>8</v>
      </c>
      <c r="Y1622" t="s">
        <v>9</v>
      </c>
      <c r="Z1622" s="2" t="s">
        <v>718</v>
      </c>
      <c r="AA1622" s="2" t="s">
        <v>721</v>
      </c>
    </row>
    <row r="1623" spans="1:27" x14ac:dyDescent="0.35">
      <c r="A1623" t="s">
        <v>2312</v>
      </c>
      <c r="B1623" t="s">
        <v>2705</v>
      </c>
      <c r="C1623" s="7" t="str">
        <f>_xlfn.XLOOKUP(B1623,'[1]Sheet 1'!$A$2:$A$11107,'[1]Sheet 1'!$D$2:$D$11107,"",0)</f>
        <v/>
      </c>
      <c r="D1623" s="4" t="str">
        <f>_xlfn.XLOOKUP(A1623,[3]Sheet2!$I$2:$I$1623,[3]Sheet2!$D$2:$D$1623,"",0)</f>
        <v>Q1</v>
      </c>
      <c r="F1623" s="4" t="e">
        <f>_xlfn.XLOOKUP(B1623,[2]Sheet2!$E$2:$E$713,[2]Sheet2!$G$2:$G$713)</f>
        <v>#N/A</v>
      </c>
      <c r="G1623" s="22">
        <v>46200</v>
      </c>
      <c r="H1623" s="23">
        <v>0.68412037037037032</v>
      </c>
      <c r="I1623" t="s">
        <v>10</v>
      </c>
      <c r="J1623" s="2" t="str">
        <f t="shared" si="132"/>
        <v>Q1</v>
      </c>
      <c r="K1623" s="2" t="str">
        <f t="shared" si="133"/>
        <v>Match</v>
      </c>
      <c r="L1623" s="1">
        <f t="shared" si="131"/>
        <v>1.0526157893552612</v>
      </c>
      <c r="M1623" s="1" t="e">
        <f t="shared" si="130"/>
        <v>#N/A</v>
      </c>
      <c r="N1623" s="2" t="str">
        <f t="shared" si="134"/>
        <v>Q OK dE&lt;=0.8</v>
      </c>
      <c r="O1623">
        <v>32.61</v>
      </c>
      <c r="P1623">
        <v>42.14</v>
      </c>
      <c r="Q1623">
        <v>22.7</v>
      </c>
      <c r="R1623">
        <v>-0.5</v>
      </c>
      <c r="S1623">
        <v>0.82</v>
      </c>
      <c r="T1623">
        <v>0.66</v>
      </c>
      <c r="U1623">
        <v>0.41</v>
      </c>
      <c r="V1623">
        <v>0.14000000000000001</v>
      </c>
      <c r="W1623">
        <v>0.66</v>
      </c>
      <c r="X1623" t="s">
        <v>8</v>
      </c>
      <c r="Y1623" t="s">
        <v>12</v>
      </c>
      <c r="Z1623" s="2" t="s">
        <v>718</v>
      </c>
      <c r="AA1623" s="2" t="s">
        <v>721</v>
      </c>
    </row>
    <row r="1624" spans="1:27" x14ac:dyDescent="0.35">
      <c r="A1624" t="s">
        <v>2409</v>
      </c>
      <c r="B1624" t="s">
        <v>2698</v>
      </c>
      <c r="C1624" s="7" t="str">
        <f>_xlfn.XLOOKUP(B1624,'[1]Sheet 1'!$A$2:$A$11107,'[1]Sheet 1'!$D$2:$D$11107,"",0)</f>
        <v/>
      </c>
      <c r="D1624" s="4" t="str">
        <f>_xlfn.XLOOKUP(A1624,[3]Sheet2!$I$2:$I$1623,[3]Sheet2!$D$2:$D$1623,"",0)</f>
        <v>Q4</v>
      </c>
      <c r="F1624" s="4" t="e">
        <f>_xlfn.XLOOKUP(B1624,[2]Sheet2!$E$2:$E$713,[2]Sheet2!$G$2:$G$713)</f>
        <v>#N/A</v>
      </c>
      <c r="G1624" s="22">
        <v>46200</v>
      </c>
      <c r="H1624" s="23">
        <v>0.68571759259259257</v>
      </c>
      <c r="I1624" t="s">
        <v>10</v>
      </c>
      <c r="J1624" s="2" t="str">
        <f t="shared" si="132"/>
        <v>Q1</v>
      </c>
      <c r="K1624" s="2" t="str">
        <f t="shared" si="133"/>
        <v>Not Match</v>
      </c>
      <c r="L1624" s="1">
        <f t="shared" si="131"/>
        <v>1.3881282361511129</v>
      </c>
      <c r="M1624" s="1" t="e">
        <f t="shared" si="130"/>
        <v>#N/A</v>
      </c>
      <c r="N1624" s="2" t="str">
        <f t="shared" si="134"/>
        <v>Q NOT OK dE&gt;0.8</v>
      </c>
      <c r="O1624">
        <v>21.85</v>
      </c>
      <c r="P1624">
        <v>-2.4300000000000002</v>
      </c>
      <c r="Q1624">
        <v>-11.7</v>
      </c>
      <c r="R1624">
        <v>0.42</v>
      </c>
      <c r="S1624">
        <v>0.15</v>
      </c>
      <c r="T1624">
        <v>1.38</v>
      </c>
      <c r="U1624">
        <v>-1.02</v>
      </c>
      <c r="V1624">
        <v>-0.14000000000000001</v>
      </c>
      <c r="W1624">
        <v>1.1100000000000001</v>
      </c>
      <c r="X1624" t="s">
        <v>6</v>
      </c>
      <c r="Y1624" t="s">
        <v>15</v>
      </c>
      <c r="Z1624" s="2" t="s">
        <v>718</v>
      </c>
      <c r="AA1624" s="2" t="s">
        <v>721</v>
      </c>
    </row>
    <row r="1625" spans="1:27" x14ac:dyDescent="0.35">
      <c r="A1625" t="s">
        <v>1723</v>
      </c>
      <c r="B1625" t="s">
        <v>2706</v>
      </c>
      <c r="C1625" s="7" t="str">
        <f>_xlfn.XLOOKUP(B1625,'[1]Sheet 1'!$A$2:$A$11107,'[1]Sheet 1'!$D$2:$D$11107,"",0)</f>
        <v/>
      </c>
      <c r="D1625" s="4" t="str">
        <f>_xlfn.XLOOKUP(A1625,[3]Sheet2!$I$2:$I$1623,[3]Sheet2!$D$2:$D$1623,"",0)</f>
        <v>Q2</v>
      </c>
      <c r="F1625" s="4" t="e">
        <f>_xlfn.XLOOKUP(B1625,[2]Sheet2!$E$2:$E$713,[2]Sheet2!$G$2:$G$713)</f>
        <v>#N/A</v>
      </c>
      <c r="G1625" s="22">
        <v>46200</v>
      </c>
      <c r="H1625" s="23">
        <v>0.68755787037037042</v>
      </c>
      <c r="I1625" t="s">
        <v>10</v>
      </c>
      <c r="J1625" s="2" t="str">
        <f t="shared" si="132"/>
        <v>Q2</v>
      </c>
      <c r="K1625" s="2" t="str">
        <f t="shared" si="133"/>
        <v>Match</v>
      </c>
      <c r="L1625" s="1">
        <f t="shared" si="131"/>
        <v>0.34539832078341087</v>
      </c>
      <c r="M1625" s="1" t="e">
        <f t="shared" si="130"/>
        <v>#N/A</v>
      </c>
      <c r="N1625" s="2" t="str">
        <f t="shared" si="134"/>
        <v>Q OK dE&lt;=0.8</v>
      </c>
      <c r="O1625">
        <v>14.84</v>
      </c>
      <c r="P1625">
        <v>0.7</v>
      </c>
      <c r="Q1625">
        <v>-1.88</v>
      </c>
      <c r="R1625">
        <v>-0.66</v>
      </c>
      <c r="S1625">
        <v>-0.32</v>
      </c>
      <c r="T1625">
        <v>0.13</v>
      </c>
      <c r="U1625">
        <v>-0.32</v>
      </c>
      <c r="V1625">
        <v>-0.33</v>
      </c>
      <c r="W1625">
        <v>0.8</v>
      </c>
      <c r="X1625" t="s">
        <v>13</v>
      </c>
      <c r="Y1625" t="s">
        <v>15</v>
      </c>
      <c r="Z1625" s="2" t="s">
        <v>718</v>
      </c>
      <c r="AA1625" s="2" t="s">
        <v>721</v>
      </c>
    </row>
    <row r="1626" spans="1:27" x14ac:dyDescent="0.35">
      <c r="A1626" t="s">
        <v>2657</v>
      </c>
      <c r="B1626" t="s">
        <v>2658</v>
      </c>
      <c r="C1626" s="7" t="str">
        <f>_xlfn.XLOOKUP(B1626,'[1]Sheet 1'!$A$2:$A$11107,'[1]Sheet 1'!$D$2:$D$11107,"",0)</f>
        <v/>
      </c>
      <c r="D1626" s="4">
        <v>0</v>
      </c>
      <c r="F1626" s="4" t="e">
        <f>_xlfn.XLOOKUP(B1626,[2]Sheet2!$E$2:$E$713,[2]Sheet2!$G$2:$G$713)</f>
        <v>#N/A</v>
      </c>
      <c r="G1626" s="22">
        <v>46200</v>
      </c>
      <c r="H1626" s="23">
        <v>0.68967592592592597</v>
      </c>
      <c r="I1626" t="s">
        <v>5</v>
      </c>
      <c r="J1626" s="2" t="str">
        <f t="shared" si="132"/>
        <v>Q3</v>
      </c>
      <c r="K1626" s="2" t="str">
        <f t="shared" si="133"/>
        <v>Not Found</v>
      </c>
      <c r="L1626" s="1">
        <f t="shared" si="131"/>
        <v>0.25942243542145693</v>
      </c>
      <c r="M1626" s="1" t="e">
        <f t="shared" si="130"/>
        <v>#N/A</v>
      </c>
      <c r="N1626" s="2" t="str">
        <f t="shared" si="134"/>
        <v>Quadrant not assigned</v>
      </c>
      <c r="O1626">
        <v>18.45</v>
      </c>
      <c r="P1626">
        <v>-0.15</v>
      </c>
      <c r="Q1626">
        <v>-9.77</v>
      </c>
      <c r="R1626">
        <v>-0.16</v>
      </c>
      <c r="S1626">
        <v>-0.23</v>
      </c>
      <c r="T1626">
        <v>-0.12</v>
      </c>
      <c r="U1626">
        <v>0.1</v>
      </c>
      <c r="V1626">
        <v>-0.3</v>
      </c>
      <c r="W1626">
        <v>0.36</v>
      </c>
      <c r="X1626" t="s">
        <v>8</v>
      </c>
      <c r="Y1626" t="s">
        <v>15</v>
      </c>
      <c r="Z1626" s="2" t="s">
        <v>718</v>
      </c>
      <c r="AA1626" s="2" t="s">
        <v>721</v>
      </c>
    </row>
    <row r="1627" spans="1:27" x14ac:dyDescent="0.35">
      <c r="A1627" t="s">
        <v>1667</v>
      </c>
      <c r="B1627" t="s">
        <v>2707</v>
      </c>
      <c r="C1627" s="7" t="str">
        <f>_xlfn.XLOOKUP(B1627,'[1]Sheet 1'!$A$2:$A$11107,'[1]Sheet 1'!$D$2:$D$11107,"",0)</f>
        <v/>
      </c>
      <c r="D1627" s="4" t="str">
        <f>_xlfn.XLOOKUP(A1627,[3]Sheet2!$I$2:$I$1623,[3]Sheet2!$D$2:$D$1623,"",0)</f>
        <v>Q3</v>
      </c>
      <c r="F1627" s="4" t="e">
        <f>_xlfn.XLOOKUP(B1627,[2]Sheet2!$E$2:$E$713,[2]Sheet2!$G$2:$G$713)</f>
        <v>#N/A</v>
      </c>
      <c r="G1627" s="22">
        <v>46200</v>
      </c>
      <c r="H1627" s="23">
        <v>0.71718749999999998</v>
      </c>
      <c r="I1627" t="s">
        <v>10</v>
      </c>
      <c r="J1627" s="2" t="str">
        <f t="shared" si="132"/>
        <v>Q2</v>
      </c>
      <c r="K1627" s="2" t="str">
        <f t="shared" si="133"/>
        <v>Not Match</v>
      </c>
      <c r="L1627" s="1">
        <f t="shared" si="131"/>
        <v>0.14560219778561037</v>
      </c>
      <c r="M1627" s="1" t="e">
        <f t="shared" si="130"/>
        <v>#N/A</v>
      </c>
      <c r="N1627" s="2" t="str">
        <f t="shared" si="134"/>
        <v>Q NOT OK dE&lt;=0.8</v>
      </c>
      <c r="O1627">
        <v>17.82</v>
      </c>
      <c r="P1627">
        <v>-2.29</v>
      </c>
      <c r="Q1627">
        <v>-12.34</v>
      </c>
      <c r="R1627">
        <v>0.4</v>
      </c>
      <c r="S1627">
        <v>-0.04</v>
      </c>
      <c r="T1627">
        <v>0.14000000000000001</v>
      </c>
      <c r="U1627">
        <v>-0.1</v>
      </c>
      <c r="V1627">
        <v>-0.08</v>
      </c>
      <c r="W1627">
        <v>0.41</v>
      </c>
      <c r="X1627" t="s">
        <v>8</v>
      </c>
      <c r="Y1627" t="s">
        <v>15</v>
      </c>
      <c r="Z1627" s="2" t="s">
        <v>718</v>
      </c>
      <c r="AA1627" s="2" t="s">
        <v>721</v>
      </c>
    </row>
    <row r="1628" spans="1:27" x14ac:dyDescent="0.35">
      <c r="A1628" t="s">
        <v>1667</v>
      </c>
      <c r="B1628" t="s">
        <v>2708</v>
      </c>
      <c r="C1628" s="7" t="str">
        <f>_xlfn.XLOOKUP(B1628,'[1]Sheet 1'!$A$2:$A$11107,'[1]Sheet 1'!$D$2:$D$11107,"",0)</f>
        <v/>
      </c>
      <c r="D1628" s="4" t="str">
        <f>_xlfn.XLOOKUP(A1628,[3]Sheet2!$I$2:$I$1623,[3]Sheet2!$D$2:$D$1623,"",0)</f>
        <v>Q3</v>
      </c>
      <c r="F1628" s="4" t="e">
        <f>_xlfn.XLOOKUP(B1628,[2]Sheet2!$E$2:$E$713,[2]Sheet2!$G$2:$G$713)</f>
        <v>#N/A</v>
      </c>
      <c r="G1628" s="22">
        <v>46200</v>
      </c>
      <c r="H1628" s="23">
        <v>0.77344907407407404</v>
      </c>
      <c r="I1628" t="s">
        <v>10</v>
      </c>
      <c r="J1628" s="2" t="str">
        <f t="shared" si="132"/>
        <v>Q1</v>
      </c>
      <c r="K1628" s="2" t="str">
        <f t="shared" si="133"/>
        <v>Not Match</v>
      </c>
      <c r="L1628" s="1">
        <f t="shared" si="131"/>
        <v>0.65787536813594105</v>
      </c>
      <c r="M1628" s="1" t="e">
        <f t="shared" si="130"/>
        <v>#N/A</v>
      </c>
      <c r="N1628" s="2" t="str">
        <f t="shared" si="134"/>
        <v>Q NOT OK dE&lt;=0.8</v>
      </c>
      <c r="O1628">
        <v>17.28</v>
      </c>
      <c r="P1628">
        <v>-2.0299999999999998</v>
      </c>
      <c r="Q1628">
        <v>-11.86</v>
      </c>
      <c r="R1628">
        <v>-0.1</v>
      </c>
      <c r="S1628">
        <v>0.22</v>
      </c>
      <c r="T1628">
        <v>0.62</v>
      </c>
      <c r="U1628">
        <v>-0.49</v>
      </c>
      <c r="V1628">
        <v>0.12</v>
      </c>
      <c r="W1628">
        <v>0.51</v>
      </c>
      <c r="X1628" t="s">
        <v>8</v>
      </c>
      <c r="Y1628" t="s">
        <v>9</v>
      </c>
      <c r="Z1628" s="2" t="s">
        <v>718</v>
      </c>
      <c r="AA1628" s="2" t="s">
        <v>721</v>
      </c>
    </row>
    <row r="1629" spans="1:27" x14ac:dyDescent="0.35">
      <c r="A1629" t="s">
        <v>1547</v>
      </c>
      <c r="B1629" t="s">
        <v>2709</v>
      </c>
      <c r="C1629" s="7" t="str">
        <f>_xlfn.XLOOKUP(B1629,'[1]Sheet 1'!$A$2:$A$11107,'[1]Sheet 1'!$D$2:$D$11107,"",0)</f>
        <v/>
      </c>
      <c r="D1629" s="4" t="str">
        <f>_xlfn.XLOOKUP(A1629,[3]Sheet2!$I$2:$I$1623,[3]Sheet2!$D$2:$D$1623,"",0)</f>
        <v>Q3</v>
      </c>
      <c r="F1629" s="4" t="e">
        <f>_xlfn.XLOOKUP(B1629,[2]Sheet2!$E$2:$E$713,[2]Sheet2!$G$2:$G$713)</f>
        <v>#N/A</v>
      </c>
      <c r="G1629" s="22">
        <v>46200</v>
      </c>
      <c r="H1629" s="23">
        <v>0.77684027777777775</v>
      </c>
      <c r="I1629" t="s">
        <v>17</v>
      </c>
      <c r="J1629" s="2" t="str">
        <f t="shared" si="132"/>
        <v>Q3</v>
      </c>
      <c r="K1629" s="2" t="str">
        <f t="shared" si="133"/>
        <v>Match</v>
      </c>
      <c r="L1629" s="1">
        <f t="shared" si="131"/>
        <v>0.18384776310850237</v>
      </c>
      <c r="M1629" s="1" t="e">
        <f t="shared" si="130"/>
        <v>#N/A</v>
      </c>
      <c r="N1629" s="2" t="str">
        <f t="shared" si="134"/>
        <v>Q OK dE&lt;=0.8</v>
      </c>
      <c r="O1629">
        <v>14.85</v>
      </c>
      <c r="P1629">
        <v>-0.67</v>
      </c>
      <c r="Q1629">
        <v>-1.9</v>
      </c>
      <c r="R1629">
        <v>-0.61</v>
      </c>
      <c r="S1629">
        <v>-7.0000000000000007E-2</v>
      </c>
      <c r="T1629">
        <v>-0.17</v>
      </c>
      <c r="U1629">
        <v>0.24</v>
      </c>
      <c r="V1629">
        <v>-0.01</v>
      </c>
      <c r="W1629">
        <v>0.66</v>
      </c>
      <c r="X1629" t="s">
        <v>8</v>
      </c>
      <c r="Y1629" t="s">
        <v>15</v>
      </c>
      <c r="Z1629" s="2" t="s">
        <v>718</v>
      </c>
      <c r="AA1629" s="2" t="s">
        <v>721</v>
      </c>
    </row>
    <row r="1630" spans="1:27" x14ac:dyDescent="0.35">
      <c r="A1630" t="s">
        <v>2161</v>
      </c>
      <c r="B1630" t="s">
        <v>2710</v>
      </c>
      <c r="C1630" s="7" t="str">
        <f>_xlfn.XLOOKUP(B1630,'[1]Sheet 1'!$A$2:$A$11107,'[1]Sheet 1'!$D$2:$D$11107,"",0)</f>
        <v/>
      </c>
      <c r="D1630" s="4" t="str">
        <f>_xlfn.XLOOKUP(A1630,[3]Sheet2!$I$2:$I$1623,[3]Sheet2!$D$2:$D$1623,"",0)</f>
        <v>Q3</v>
      </c>
      <c r="F1630" s="4" t="e">
        <f>_xlfn.XLOOKUP(B1630,[2]Sheet2!$E$2:$E$713,[2]Sheet2!$G$2:$G$713)</f>
        <v>#N/A</v>
      </c>
      <c r="G1630" s="22">
        <v>46200</v>
      </c>
      <c r="H1630" s="23">
        <v>0.77978009259259262</v>
      </c>
      <c r="I1630" t="s">
        <v>10</v>
      </c>
      <c r="J1630" s="2" t="str">
        <f t="shared" si="132"/>
        <v>Q1</v>
      </c>
      <c r="K1630" s="2" t="str">
        <f t="shared" si="133"/>
        <v>Not Match</v>
      </c>
      <c r="L1630" s="1">
        <f t="shared" si="131"/>
        <v>2.7440116617827992</v>
      </c>
      <c r="M1630" s="1" t="e">
        <f t="shared" si="130"/>
        <v>#N/A</v>
      </c>
      <c r="N1630" s="2" t="str">
        <f t="shared" si="134"/>
        <v>Q NOT OK dE&gt;0.8</v>
      </c>
      <c r="O1630">
        <v>42.76</v>
      </c>
      <c r="P1630">
        <v>55.42</v>
      </c>
      <c r="Q1630">
        <v>41.32</v>
      </c>
      <c r="R1630">
        <v>0.25</v>
      </c>
      <c r="S1630">
        <v>1.64</v>
      </c>
      <c r="T1630">
        <v>2.2000000000000002</v>
      </c>
      <c r="U1630">
        <v>0.9</v>
      </c>
      <c r="V1630">
        <v>0.56000000000000005</v>
      </c>
      <c r="W1630">
        <v>1.0900000000000001</v>
      </c>
      <c r="X1630" t="s">
        <v>6</v>
      </c>
      <c r="Y1630" t="s">
        <v>12</v>
      </c>
      <c r="Z1630" s="2" t="s">
        <v>718</v>
      </c>
      <c r="AA1630" s="2" t="s">
        <v>721</v>
      </c>
    </row>
    <row r="1631" spans="1:27" x14ac:dyDescent="0.35">
      <c r="A1631" t="s">
        <v>2156</v>
      </c>
      <c r="B1631" t="s">
        <v>2711</v>
      </c>
      <c r="C1631" s="7" t="str">
        <f>_xlfn.XLOOKUP(B1631,'[1]Sheet 1'!$A$2:$A$11107,'[1]Sheet 1'!$D$2:$D$11107,"",0)</f>
        <v/>
      </c>
      <c r="D1631" s="4" t="str">
        <f>_xlfn.XLOOKUP(A1631,[3]Sheet2!$I$2:$I$1623,[3]Sheet2!$D$2:$D$1623,"",0)</f>
        <v>Q1</v>
      </c>
      <c r="F1631" s="4" t="e">
        <f>_xlfn.XLOOKUP(B1631,[2]Sheet2!$E$2:$E$713,[2]Sheet2!$G$2:$G$713)</f>
        <v>#N/A</v>
      </c>
      <c r="G1631" s="22">
        <v>46200</v>
      </c>
      <c r="H1631" s="23">
        <v>0.78656250000000005</v>
      </c>
      <c r="I1631" t="s">
        <v>10</v>
      </c>
      <c r="J1631" s="2" t="str">
        <f t="shared" si="132"/>
        <v>Q3</v>
      </c>
      <c r="K1631" s="2" t="str">
        <f t="shared" si="133"/>
        <v>Not Match</v>
      </c>
      <c r="L1631" s="1">
        <f t="shared" si="131"/>
        <v>0.53235326616824663</v>
      </c>
      <c r="M1631" s="1" t="e">
        <f t="shared" si="130"/>
        <v>#N/A</v>
      </c>
      <c r="N1631" s="2" t="str">
        <f t="shared" si="134"/>
        <v>Q NOT OK dE&lt;=0.8</v>
      </c>
      <c r="O1631">
        <v>25.81</v>
      </c>
      <c r="P1631">
        <v>-13.23</v>
      </c>
      <c r="Q1631">
        <v>-3.84</v>
      </c>
      <c r="R1631">
        <v>-0.5</v>
      </c>
      <c r="S1631">
        <v>-0.05</v>
      </c>
      <c r="T1631">
        <v>-0.53</v>
      </c>
      <c r="U1631">
        <v>0.13</v>
      </c>
      <c r="V1631">
        <v>0.48</v>
      </c>
      <c r="W1631">
        <v>0.7</v>
      </c>
      <c r="X1631" t="s">
        <v>8</v>
      </c>
      <c r="Y1631" t="s">
        <v>7</v>
      </c>
      <c r="Z1631" s="2" t="s">
        <v>718</v>
      </c>
      <c r="AA1631" s="2" t="s">
        <v>721</v>
      </c>
    </row>
    <row r="1632" spans="1:27" x14ac:dyDescent="0.35">
      <c r="A1632" t="s">
        <v>2156</v>
      </c>
      <c r="B1632" t="s">
        <v>2712</v>
      </c>
      <c r="C1632" s="7" t="str">
        <f>_xlfn.XLOOKUP(B1632,'[1]Sheet 1'!$A$2:$A$11107,'[1]Sheet 1'!$D$2:$D$11107,"",0)</f>
        <v/>
      </c>
      <c r="D1632" s="4" t="str">
        <f>_xlfn.XLOOKUP(A1632,[3]Sheet2!$I$2:$I$1623,[3]Sheet2!$D$2:$D$1623,"",0)</f>
        <v>Q1</v>
      </c>
      <c r="F1632" s="4" t="e">
        <f>_xlfn.XLOOKUP(B1632,[2]Sheet2!$E$2:$E$713,[2]Sheet2!$G$2:$G$713)</f>
        <v>#N/A</v>
      </c>
      <c r="G1632" s="22">
        <v>46200</v>
      </c>
      <c r="H1632" s="23">
        <v>0.78834490740740737</v>
      </c>
      <c r="I1632" t="s">
        <v>10</v>
      </c>
      <c r="J1632" s="2" t="str">
        <f t="shared" si="132"/>
        <v>Q3</v>
      </c>
      <c r="K1632" s="2" t="str">
        <f t="shared" si="133"/>
        <v>Not Match</v>
      </c>
      <c r="L1632" s="1">
        <f t="shared" si="131"/>
        <v>1.2640015822774908</v>
      </c>
      <c r="M1632" s="1" t="e">
        <f t="shared" si="130"/>
        <v>#N/A</v>
      </c>
      <c r="N1632" s="2" t="str">
        <f t="shared" si="134"/>
        <v>Q NOT OK dE&gt;0.8</v>
      </c>
      <c r="O1632">
        <v>25.92</v>
      </c>
      <c r="P1632">
        <v>-13.94</v>
      </c>
      <c r="Q1632">
        <v>-4.32</v>
      </c>
      <c r="R1632">
        <v>-0.43</v>
      </c>
      <c r="S1632">
        <v>-0.76</v>
      </c>
      <c r="T1632">
        <v>-1.01</v>
      </c>
      <c r="U1632">
        <v>0.73</v>
      </c>
      <c r="V1632">
        <v>0.73</v>
      </c>
      <c r="W1632">
        <v>1.1200000000000001</v>
      </c>
      <c r="X1632" t="s">
        <v>6</v>
      </c>
      <c r="Y1632" t="s">
        <v>7</v>
      </c>
      <c r="Z1632" s="2" t="s">
        <v>718</v>
      </c>
      <c r="AA1632" s="2" t="s">
        <v>721</v>
      </c>
    </row>
    <row r="1633" spans="1:27" x14ac:dyDescent="0.35">
      <c r="A1633" t="s">
        <v>1667</v>
      </c>
      <c r="B1633" t="s">
        <v>2713</v>
      </c>
      <c r="C1633" s="7" t="str">
        <f>_xlfn.XLOOKUP(B1633,'[1]Sheet 1'!$A$2:$A$11107,'[1]Sheet 1'!$D$2:$D$11107,"",0)</f>
        <v/>
      </c>
      <c r="D1633" s="4" t="str">
        <f>_xlfn.XLOOKUP(A1633,[3]Sheet2!$I$2:$I$1623,[3]Sheet2!$D$2:$D$1623,"",0)</f>
        <v>Q3</v>
      </c>
      <c r="F1633" s="4" t="e">
        <f>_xlfn.XLOOKUP(B1633,[2]Sheet2!$E$2:$E$713,[2]Sheet2!$G$2:$G$713)</f>
        <v>#N/A</v>
      </c>
      <c r="G1633" s="22">
        <v>46202</v>
      </c>
      <c r="H1633" s="23">
        <v>0.60775462962962967</v>
      </c>
      <c r="I1633" t="s">
        <v>10</v>
      </c>
      <c r="J1633" s="2" t="str">
        <f t="shared" si="132"/>
        <v>Q2</v>
      </c>
      <c r="K1633" s="2" t="str">
        <f t="shared" si="133"/>
        <v>Not Match</v>
      </c>
      <c r="L1633" s="1">
        <f t="shared" si="131"/>
        <v>0.70455659815234151</v>
      </c>
      <c r="M1633" s="1" t="e">
        <f t="shared" si="130"/>
        <v>#N/A</v>
      </c>
      <c r="N1633" s="2" t="str">
        <f t="shared" si="134"/>
        <v>Q NOT OK dE&lt;=0.8</v>
      </c>
      <c r="O1633">
        <v>17.34</v>
      </c>
      <c r="P1633">
        <v>-2.64</v>
      </c>
      <c r="Q1633">
        <v>-11.9</v>
      </c>
      <c r="R1633">
        <v>-0.04</v>
      </c>
      <c r="S1633">
        <v>-0.4</v>
      </c>
      <c r="T1633">
        <v>0.57999999999999996</v>
      </c>
      <c r="U1633">
        <v>-0.37</v>
      </c>
      <c r="V1633">
        <v>-0.57999999999999996</v>
      </c>
      <c r="W1633">
        <v>0.69</v>
      </c>
      <c r="X1633" t="s">
        <v>8</v>
      </c>
      <c r="Y1633" t="s">
        <v>15</v>
      </c>
      <c r="Z1633" s="2" t="s">
        <v>718</v>
      </c>
      <c r="AA1633" s="2" t="s">
        <v>721</v>
      </c>
    </row>
    <row r="1634" spans="1:27" x14ac:dyDescent="0.35">
      <c r="A1634" t="s">
        <v>2156</v>
      </c>
      <c r="B1634" t="s">
        <v>2714</v>
      </c>
      <c r="C1634" s="7" t="str">
        <f>_xlfn.XLOOKUP(B1634,'[1]Sheet 1'!$A$2:$A$11107,'[1]Sheet 1'!$D$2:$D$11107,"",0)</f>
        <v/>
      </c>
      <c r="D1634" s="4" t="str">
        <f>_xlfn.XLOOKUP(A1634,[3]Sheet2!$I$2:$I$1623,[3]Sheet2!$D$2:$D$1623,"",0)</f>
        <v>Q1</v>
      </c>
      <c r="F1634" s="4" t="e">
        <f>_xlfn.XLOOKUP(B1634,[2]Sheet2!$E$2:$E$713,[2]Sheet2!$G$2:$G$713)</f>
        <v>#N/A</v>
      </c>
      <c r="G1634" s="22">
        <v>46202</v>
      </c>
      <c r="H1634" s="23">
        <v>0.66258101851851847</v>
      </c>
      <c r="I1634" t="s">
        <v>10</v>
      </c>
      <c r="J1634" s="2" t="str">
        <f t="shared" si="132"/>
        <v>Q4</v>
      </c>
      <c r="K1634" s="2" t="str">
        <f t="shared" si="133"/>
        <v>Not Match</v>
      </c>
      <c r="L1634" s="1">
        <f t="shared" si="131"/>
        <v>0.17029386365926402</v>
      </c>
      <c r="M1634" s="1" t="e">
        <f t="shared" si="130"/>
        <v>#N/A</v>
      </c>
      <c r="N1634" s="2" t="str">
        <f t="shared" si="134"/>
        <v>Q NOT OK dE&lt;=0.8</v>
      </c>
      <c r="O1634">
        <v>26.35</v>
      </c>
      <c r="P1634">
        <v>-13.07</v>
      </c>
      <c r="Q1634">
        <v>-3.44</v>
      </c>
      <c r="R1634">
        <v>-0.13</v>
      </c>
      <c r="S1634">
        <v>0.11</v>
      </c>
      <c r="T1634">
        <v>-0.13</v>
      </c>
      <c r="U1634">
        <v>-0.05</v>
      </c>
      <c r="V1634">
        <v>0.15</v>
      </c>
      <c r="W1634">
        <v>0.21</v>
      </c>
      <c r="X1634" t="s">
        <v>8</v>
      </c>
      <c r="Y1634" t="s">
        <v>7</v>
      </c>
      <c r="Z1634" s="2" t="s">
        <v>718</v>
      </c>
      <c r="AA1634" s="2" t="s">
        <v>721</v>
      </c>
    </row>
    <row r="1635" spans="1:27" x14ac:dyDescent="0.35">
      <c r="A1635" t="s">
        <v>1543</v>
      </c>
      <c r="B1635" t="s">
        <v>2715</v>
      </c>
      <c r="C1635" s="7" t="str">
        <f>_xlfn.XLOOKUP(B1635,'[1]Sheet 1'!$A$2:$A$11107,'[1]Sheet 1'!$D$2:$D$11107,"",0)</f>
        <v/>
      </c>
      <c r="D1635" s="4" t="str">
        <f>_xlfn.XLOOKUP(A1635,[3]Sheet2!$I$2:$I$1623,[3]Sheet2!$D$2:$D$1623,"",0)</f>
        <v>Q3</v>
      </c>
      <c r="F1635" s="4" t="e">
        <f>_xlfn.XLOOKUP(B1635,[2]Sheet2!$E$2:$E$713,[2]Sheet2!$G$2:$G$713)</f>
        <v>#N/A</v>
      </c>
      <c r="G1635" s="22">
        <v>46202</v>
      </c>
      <c r="H1635" s="23">
        <v>0.77037037037037037</v>
      </c>
      <c r="I1635" t="s">
        <v>10</v>
      </c>
      <c r="J1635" s="2" t="str">
        <f t="shared" si="132"/>
        <v>Q4</v>
      </c>
      <c r="K1635" s="2" t="str">
        <f t="shared" si="133"/>
        <v>Not Match</v>
      </c>
      <c r="L1635" s="1">
        <f t="shared" si="131"/>
        <v>0.42047592083257274</v>
      </c>
      <c r="M1635" s="1" t="e">
        <f t="shared" si="130"/>
        <v>#N/A</v>
      </c>
      <c r="N1635" s="2" t="str">
        <f t="shared" si="134"/>
        <v>Q NOT OK dE&lt;=0.8</v>
      </c>
      <c r="O1635">
        <v>26.49</v>
      </c>
      <c r="P1635">
        <v>11.36</v>
      </c>
      <c r="Q1635">
        <v>9.6300000000000008</v>
      </c>
      <c r="R1635">
        <v>-0.55000000000000004</v>
      </c>
      <c r="S1635">
        <v>0.02</v>
      </c>
      <c r="T1635">
        <v>-0.42</v>
      </c>
      <c r="U1635">
        <v>-0.18</v>
      </c>
      <c r="V1635">
        <v>-0.5</v>
      </c>
      <c r="W1635">
        <v>0.76</v>
      </c>
      <c r="X1635" t="s">
        <v>13</v>
      </c>
      <c r="Y1635" t="s">
        <v>9</v>
      </c>
      <c r="Z1635" s="2" t="s">
        <v>718</v>
      </c>
      <c r="AA1635" s="2" t="s">
        <v>721</v>
      </c>
    </row>
    <row r="1636" spans="1:27" x14ac:dyDescent="0.35">
      <c r="A1636" t="s">
        <v>2493</v>
      </c>
      <c r="B1636" t="s">
        <v>2496</v>
      </c>
      <c r="C1636" s="7" t="str">
        <f>_xlfn.XLOOKUP(B1636,'[1]Sheet 1'!$A$2:$A$11107,'[1]Sheet 1'!$D$2:$D$11107,"",0)</f>
        <v>VSS</v>
      </c>
      <c r="D1636" s="4" t="str">
        <f>_xlfn.XLOOKUP(A1636,[3]Sheet2!$I$2:$I$1623,[3]Sheet2!$D$2:$D$1623,"",0)</f>
        <v>Q4</v>
      </c>
      <c r="F1636" s="4" t="e">
        <f>_xlfn.XLOOKUP(B1636,[2]Sheet2!$E$2:$E$713,[2]Sheet2!$G$2:$G$713)</f>
        <v>#N/A</v>
      </c>
      <c r="G1636" s="22">
        <v>46202</v>
      </c>
      <c r="H1636" s="23">
        <v>0.7097106481481481</v>
      </c>
      <c r="I1636" t="s">
        <v>10</v>
      </c>
      <c r="J1636" s="2" t="str">
        <f t="shared" si="132"/>
        <v>Q1</v>
      </c>
      <c r="K1636" s="2" t="str">
        <f t="shared" si="133"/>
        <v>Not Match</v>
      </c>
      <c r="L1636" s="1">
        <f t="shared" si="131"/>
        <v>1.4675149062275312</v>
      </c>
      <c r="M1636" s="1" t="e">
        <f t="shared" si="130"/>
        <v>#N/A</v>
      </c>
      <c r="N1636" s="2" t="str">
        <f t="shared" si="134"/>
        <v>Q NOT OK dE&gt;0.8</v>
      </c>
      <c r="O1636">
        <v>52.56</v>
      </c>
      <c r="P1636">
        <v>49.56</v>
      </c>
      <c r="Q1636">
        <v>-0.89</v>
      </c>
      <c r="R1636">
        <v>0.16</v>
      </c>
      <c r="S1636">
        <v>0.44</v>
      </c>
      <c r="T1636">
        <v>1.4</v>
      </c>
      <c r="U1636">
        <v>0.15</v>
      </c>
      <c r="V1636">
        <v>0.8</v>
      </c>
      <c r="W1636">
        <v>0.82</v>
      </c>
      <c r="X1636" t="s">
        <v>13</v>
      </c>
      <c r="Y1636" t="s">
        <v>9</v>
      </c>
      <c r="Z1636" s="2" t="s">
        <v>718</v>
      </c>
      <c r="AA1636" s="2" t="s">
        <v>721</v>
      </c>
    </row>
    <row r="1637" spans="1:27" x14ac:dyDescent="0.35">
      <c r="A1637" t="s">
        <v>2541</v>
      </c>
      <c r="B1637" t="s">
        <v>2716</v>
      </c>
      <c r="C1637" s="7" t="str">
        <f>_xlfn.XLOOKUP(B1637,'[1]Sheet 1'!$A$2:$A$11107,'[1]Sheet 1'!$D$2:$D$11107,"",0)</f>
        <v/>
      </c>
      <c r="D1637" s="4" t="str">
        <f>_xlfn.XLOOKUP(A1637,[3]Sheet2!$I$2:$I$1623,[3]Sheet2!$D$2:$D$1623,"",0)</f>
        <v>Q2</v>
      </c>
      <c r="F1637" s="4" t="e">
        <f>_xlfn.XLOOKUP(B1637,[2]Sheet2!$E$2:$E$713,[2]Sheet2!$G$2:$G$713)</f>
        <v>#N/A</v>
      </c>
      <c r="G1637" s="22">
        <v>46202</v>
      </c>
      <c r="H1637" s="23">
        <v>0.77574074074074073</v>
      </c>
      <c r="I1637" t="s">
        <v>10</v>
      </c>
      <c r="J1637" s="2" t="str">
        <f t="shared" si="132"/>
        <v>Q3</v>
      </c>
      <c r="K1637" s="2" t="str">
        <f t="shared" si="133"/>
        <v>Not Match</v>
      </c>
      <c r="L1637" s="1">
        <f t="shared" si="131"/>
        <v>0.77935871073594865</v>
      </c>
      <c r="M1637" s="1" t="e">
        <f t="shared" si="130"/>
        <v>#N/A</v>
      </c>
      <c r="N1637" s="2" t="str">
        <f t="shared" si="134"/>
        <v>Q NOT OK dE&gt;0.8</v>
      </c>
      <c r="O1637">
        <v>16.2</v>
      </c>
      <c r="P1637">
        <v>0.6</v>
      </c>
      <c r="Q1637">
        <v>-2.48</v>
      </c>
      <c r="R1637">
        <v>-0.37</v>
      </c>
      <c r="S1637">
        <v>-0.65</v>
      </c>
      <c r="T1637">
        <v>-0.43</v>
      </c>
      <c r="U1637">
        <v>0.19</v>
      </c>
      <c r="V1637">
        <v>-1.02</v>
      </c>
      <c r="W1637">
        <v>1.1000000000000001</v>
      </c>
      <c r="X1637" t="s">
        <v>6</v>
      </c>
      <c r="Y1637" t="s">
        <v>7</v>
      </c>
      <c r="Z1637" s="2" t="s">
        <v>718</v>
      </c>
      <c r="AA1637" s="2" t="s">
        <v>721</v>
      </c>
    </row>
    <row r="1638" spans="1:27" x14ac:dyDescent="0.35">
      <c r="A1638" t="s">
        <v>2505</v>
      </c>
      <c r="B1638" t="s">
        <v>2717</v>
      </c>
      <c r="C1638" s="7" t="str">
        <f>_xlfn.XLOOKUP(B1638,'[1]Sheet 1'!$A$2:$A$11107,'[1]Sheet 1'!$D$2:$D$11107,"",0)</f>
        <v/>
      </c>
      <c r="D1638" s="4" t="str">
        <f>_xlfn.XLOOKUP(A1638,[3]Sheet2!$I$2:$I$1623,[3]Sheet2!$D$2:$D$1623,"",0)</f>
        <v>Q3</v>
      </c>
      <c r="F1638" s="4" t="e">
        <f>_xlfn.XLOOKUP(B1638,[2]Sheet2!$E$2:$E$713,[2]Sheet2!$G$2:$G$713)</f>
        <v>#N/A</v>
      </c>
      <c r="G1638" s="22">
        <v>46202</v>
      </c>
      <c r="H1638" s="23">
        <v>0.77746527777777774</v>
      </c>
      <c r="I1638" t="s">
        <v>10</v>
      </c>
      <c r="J1638" s="2" t="str">
        <f t="shared" si="132"/>
        <v>Q1</v>
      </c>
      <c r="K1638" s="2" t="str">
        <f t="shared" si="133"/>
        <v>Not Match</v>
      </c>
      <c r="L1638" s="1">
        <f t="shared" si="131"/>
        <v>3.2893768406797053</v>
      </c>
      <c r="M1638" s="1" t="e">
        <f t="shared" si="130"/>
        <v>#N/A</v>
      </c>
      <c r="N1638" s="2" t="str">
        <f t="shared" si="134"/>
        <v>Q NOT OK dE&gt;0.8</v>
      </c>
      <c r="O1638">
        <v>41.87</v>
      </c>
      <c r="P1638">
        <v>54.19</v>
      </c>
      <c r="Q1638">
        <v>39.43</v>
      </c>
      <c r="R1638">
        <v>0.28999999999999998</v>
      </c>
      <c r="S1638">
        <v>1.82</v>
      </c>
      <c r="T1638">
        <v>2.74</v>
      </c>
      <c r="U1638">
        <v>1.07</v>
      </c>
      <c r="V1638">
        <v>0.83</v>
      </c>
      <c r="W1638">
        <v>1.39</v>
      </c>
      <c r="X1638" t="s">
        <v>6</v>
      </c>
      <c r="Y1638" t="s">
        <v>12</v>
      </c>
      <c r="Z1638" s="2" t="s">
        <v>718</v>
      </c>
      <c r="AA1638" s="2" t="s">
        <v>721</v>
      </c>
    </row>
    <row r="1639" spans="1:27" x14ac:dyDescent="0.35">
      <c r="A1639" t="s">
        <v>1661</v>
      </c>
      <c r="B1639" t="s">
        <v>2718</v>
      </c>
      <c r="C1639" s="7" t="str">
        <f>_xlfn.XLOOKUP(B1639,'[1]Sheet 1'!$A$2:$A$11107,'[1]Sheet 1'!$D$2:$D$11107,"",0)</f>
        <v/>
      </c>
      <c r="D1639" s="4" t="str">
        <f>_xlfn.XLOOKUP(A1639,[3]Sheet2!$I$2:$I$1623,[3]Sheet2!$D$2:$D$1623,"",0)</f>
        <v>Q3</v>
      </c>
      <c r="F1639" s="4" t="e">
        <f>_xlfn.XLOOKUP(B1639,[2]Sheet2!$E$2:$E$713,[2]Sheet2!$G$2:$G$713)</f>
        <v>#N/A</v>
      </c>
      <c r="G1639" s="22">
        <v>46202</v>
      </c>
      <c r="H1639" s="23">
        <v>0.77923611111111113</v>
      </c>
      <c r="I1639" t="s">
        <v>4</v>
      </c>
      <c r="J1639" s="2" t="str">
        <f t="shared" si="132"/>
        <v>Q1</v>
      </c>
      <c r="K1639" s="2" t="str">
        <f t="shared" si="133"/>
        <v>Not Match</v>
      </c>
      <c r="L1639" s="1">
        <f t="shared" si="131"/>
        <v>1.1067971810589328</v>
      </c>
      <c r="M1639" s="1" t="e">
        <f t="shared" si="130"/>
        <v>#N/A</v>
      </c>
      <c r="N1639" s="2" t="str">
        <f t="shared" si="134"/>
        <v>Q NOT OK dE&lt;=0.8</v>
      </c>
      <c r="O1639">
        <v>27.98</v>
      </c>
      <c r="P1639">
        <v>36.56</v>
      </c>
      <c r="Q1639">
        <v>1.1100000000000001</v>
      </c>
      <c r="R1639">
        <v>-0.26</v>
      </c>
      <c r="S1639">
        <v>1.05</v>
      </c>
      <c r="T1639">
        <v>0.35</v>
      </c>
      <c r="U1639">
        <v>0.49</v>
      </c>
      <c r="V1639">
        <v>0.22</v>
      </c>
      <c r="W1639">
        <v>0.59</v>
      </c>
      <c r="X1639" t="s">
        <v>8</v>
      </c>
      <c r="Y1639" t="s">
        <v>9</v>
      </c>
      <c r="Z1639" s="2" t="s">
        <v>718</v>
      </c>
      <c r="AA1639" s="2" t="s">
        <v>721</v>
      </c>
    </row>
    <row r="1640" spans="1:27" x14ac:dyDescent="0.35">
      <c r="A1640" t="s">
        <v>1547</v>
      </c>
      <c r="B1640" t="s">
        <v>2719</v>
      </c>
      <c r="C1640" s="7" t="str">
        <f>_xlfn.XLOOKUP(B1640,'[1]Sheet 1'!$A$2:$A$11107,'[1]Sheet 1'!$D$2:$D$11107,"",0)</f>
        <v/>
      </c>
      <c r="D1640" s="4" t="str">
        <f>_xlfn.XLOOKUP(A1640,[3]Sheet2!$I$2:$I$1623,[3]Sheet2!$D$2:$D$1623,"",0)</f>
        <v>Q3</v>
      </c>
      <c r="F1640" s="4" t="e">
        <f>_xlfn.XLOOKUP(B1640,[2]Sheet2!$E$2:$E$713,[2]Sheet2!$G$2:$G$713)</f>
        <v>#N/A</v>
      </c>
      <c r="G1640" s="22">
        <v>46202</v>
      </c>
      <c r="H1640" s="23">
        <v>0.780787037037037</v>
      </c>
      <c r="I1640" t="s">
        <v>17</v>
      </c>
      <c r="J1640" s="2" t="str">
        <f t="shared" si="132"/>
        <v>Q4</v>
      </c>
      <c r="K1640" s="2" t="str">
        <f t="shared" si="133"/>
        <v>Not Match</v>
      </c>
      <c r="L1640" s="1">
        <f t="shared" si="131"/>
        <v>0.30413812651491096</v>
      </c>
      <c r="M1640" s="1" t="e">
        <f t="shared" si="130"/>
        <v>#N/A</v>
      </c>
      <c r="N1640" s="2" t="str">
        <f t="shared" si="134"/>
        <v>Q NOT OK dE&lt;=0.8</v>
      </c>
      <c r="O1640">
        <v>15.08</v>
      </c>
      <c r="P1640">
        <v>-0.56000000000000005</v>
      </c>
      <c r="Q1640">
        <v>-2.0299999999999998</v>
      </c>
      <c r="R1640">
        <v>-0.38</v>
      </c>
      <c r="S1640">
        <v>0.05</v>
      </c>
      <c r="T1640">
        <v>-0.3</v>
      </c>
      <c r="U1640">
        <v>0.37</v>
      </c>
      <c r="V1640">
        <v>0.18</v>
      </c>
      <c r="W1640">
        <v>0.56000000000000005</v>
      </c>
      <c r="X1640" t="s">
        <v>8</v>
      </c>
      <c r="Y1640" t="s">
        <v>9</v>
      </c>
      <c r="Z1640" s="2" t="s">
        <v>718</v>
      </c>
      <c r="AA1640" s="2" t="s">
        <v>721</v>
      </c>
    </row>
    <row r="1641" spans="1:27" x14ac:dyDescent="0.35">
      <c r="A1641" t="s">
        <v>1547</v>
      </c>
      <c r="B1641" t="s">
        <v>2720</v>
      </c>
      <c r="C1641" s="7" t="str">
        <f>_xlfn.XLOOKUP(B1641,'[1]Sheet 1'!$A$2:$A$11107,'[1]Sheet 1'!$D$2:$D$11107,"",0)</f>
        <v/>
      </c>
      <c r="D1641" s="4" t="str">
        <f>_xlfn.XLOOKUP(A1641,[3]Sheet2!$I$2:$I$1623,[3]Sheet2!$D$2:$D$1623,"",0)</f>
        <v>Q3</v>
      </c>
      <c r="F1641" s="4" t="e">
        <f>_xlfn.XLOOKUP(B1641,[2]Sheet2!$E$2:$E$713,[2]Sheet2!$G$2:$G$713)</f>
        <v>#N/A</v>
      </c>
      <c r="G1641" s="22">
        <v>46202</v>
      </c>
      <c r="H1641" s="23">
        <v>0.78206018518518516</v>
      </c>
      <c r="I1641" t="s">
        <v>17</v>
      </c>
      <c r="J1641" s="2" t="str">
        <f t="shared" si="132"/>
        <v>Q4</v>
      </c>
      <c r="K1641" s="2" t="str">
        <f t="shared" si="133"/>
        <v>Not Match</v>
      </c>
      <c r="L1641" s="1">
        <f t="shared" si="131"/>
        <v>0.16492422502470644</v>
      </c>
      <c r="M1641" s="1" t="e">
        <f t="shared" si="130"/>
        <v>#N/A</v>
      </c>
      <c r="N1641" s="2" t="str">
        <f t="shared" si="134"/>
        <v>Q NOT OK dE&lt;=0.8</v>
      </c>
      <c r="O1641">
        <v>14.94</v>
      </c>
      <c r="P1641">
        <v>-0.56999999999999995</v>
      </c>
      <c r="Q1641">
        <v>-1.89</v>
      </c>
      <c r="R1641">
        <v>-0.52</v>
      </c>
      <c r="S1641">
        <v>0.04</v>
      </c>
      <c r="T1641">
        <v>-0.16</v>
      </c>
      <c r="U1641">
        <v>0.18</v>
      </c>
      <c r="V1641">
        <v>0.11</v>
      </c>
      <c r="W1641">
        <v>0.56000000000000005</v>
      </c>
      <c r="X1641" t="s">
        <v>8</v>
      </c>
      <c r="Y1641" t="s">
        <v>9</v>
      </c>
      <c r="Z1641" s="2" t="s">
        <v>718</v>
      </c>
      <c r="AA1641" s="2" t="s">
        <v>721</v>
      </c>
    </row>
    <row r="1642" spans="1:27" x14ac:dyDescent="0.35">
      <c r="A1642" t="s">
        <v>1707</v>
      </c>
      <c r="B1642" t="s">
        <v>2721</v>
      </c>
      <c r="C1642" s="7" t="str">
        <f>_xlfn.XLOOKUP(B1642,'[1]Sheet 1'!$A$2:$A$11107,'[1]Sheet 1'!$D$2:$D$11107,"",0)</f>
        <v/>
      </c>
      <c r="D1642" s="4" t="str">
        <f>_xlfn.XLOOKUP(A1642,[3]Sheet2!$I$2:$I$1623,[3]Sheet2!$D$2:$D$1623,"",0)</f>
        <v>Q1</v>
      </c>
      <c r="F1642" s="4" t="e">
        <f>_xlfn.XLOOKUP(B1642,[2]Sheet2!$E$2:$E$713,[2]Sheet2!$G$2:$G$713)</f>
        <v>#N/A</v>
      </c>
      <c r="G1642" s="22">
        <v>46202</v>
      </c>
      <c r="H1642" s="23">
        <v>0.71761574074074075</v>
      </c>
      <c r="I1642" t="s">
        <v>4</v>
      </c>
      <c r="J1642" s="2" t="str">
        <f t="shared" si="132"/>
        <v>Q3</v>
      </c>
      <c r="K1642" s="2" t="str">
        <f t="shared" si="133"/>
        <v>Not Match</v>
      </c>
      <c r="L1642" s="1">
        <f t="shared" si="131"/>
        <v>8.06225774829855E-2</v>
      </c>
      <c r="M1642" s="1" t="e">
        <f t="shared" si="130"/>
        <v>#N/A</v>
      </c>
      <c r="N1642" s="2" t="str">
        <f t="shared" si="134"/>
        <v>Q NOT OK dE&gt;0.8</v>
      </c>
      <c r="O1642">
        <v>17.059999999999999</v>
      </c>
      <c r="P1642">
        <v>-1.2</v>
      </c>
      <c r="Q1642">
        <v>-8.3000000000000007</v>
      </c>
      <c r="R1642">
        <v>-1.63</v>
      </c>
      <c r="S1642">
        <v>-0.08</v>
      </c>
      <c r="T1642">
        <v>-0.01</v>
      </c>
      <c r="U1642">
        <v>0.02</v>
      </c>
      <c r="V1642">
        <v>-0.1</v>
      </c>
      <c r="W1642">
        <v>1.63</v>
      </c>
      <c r="X1642" t="s">
        <v>6</v>
      </c>
      <c r="Y1642" t="s">
        <v>15</v>
      </c>
      <c r="Z1642" s="2" t="s">
        <v>718</v>
      </c>
      <c r="AA1642" s="2" t="s">
        <v>721</v>
      </c>
    </row>
    <row r="1643" spans="1:27" x14ac:dyDescent="0.35">
      <c r="A1643" t="s">
        <v>2722</v>
      </c>
      <c r="B1643" t="s">
        <v>2723</v>
      </c>
      <c r="C1643" s="7" t="str">
        <f>_xlfn.XLOOKUP(B1643,'[1]Sheet 1'!$A$2:$A$11107,'[1]Sheet 1'!$D$2:$D$11107,"",0)</f>
        <v/>
      </c>
      <c r="D1643" s="4" t="str">
        <f>_xlfn.XLOOKUP(A1643,[3]Sheet2!$I$2:$I$1623,[3]Sheet2!$D$2:$D$1623,"",0)</f>
        <v>Q3</v>
      </c>
      <c r="F1643" s="4" t="e">
        <f>_xlfn.XLOOKUP(B1643,[2]Sheet2!$E$2:$E$713,[2]Sheet2!$G$2:$G$713)</f>
        <v>#N/A</v>
      </c>
      <c r="G1643" s="22">
        <v>46202</v>
      </c>
      <c r="H1643" s="23">
        <v>0.95532407407407405</v>
      </c>
      <c r="I1643" t="s">
        <v>10</v>
      </c>
      <c r="J1643" s="2" t="str">
        <f t="shared" si="132"/>
        <v>Q1</v>
      </c>
      <c r="K1643" s="2" t="str">
        <f t="shared" si="133"/>
        <v>Not Match</v>
      </c>
      <c r="L1643" s="1">
        <f t="shared" si="131"/>
        <v>1.0837435120913066</v>
      </c>
      <c r="M1643" s="1" t="e">
        <f t="shared" si="130"/>
        <v>#N/A</v>
      </c>
      <c r="N1643" s="2" t="str">
        <f t="shared" si="134"/>
        <v>Q NOT OK dE&lt;=0.8</v>
      </c>
      <c r="O1643">
        <v>51.31</v>
      </c>
      <c r="P1643">
        <v>58.38</v>
      </c>
      <c r="Q1643">
        <v>39.76</v>
      </c>
      <c r="R1643">
        <v>0.11</v>
      </c>
      <c r="S1643">
        <v>1.08</v>
      </c>
      <c r="T1643">
        <v>0.09</v>
      </c>
      <c r="U1643">
        <v>0.32</v>
      </c>
      <c r="V1643">
        <v>-0.36</v>
      </c>
      <c r="W1643">
        <v>0.49</v>
      </c>
      <c r="X1643" t="s">
        <v>8</v>
      </c>
      <c r="Y1643" t="s">
        <v>7</v>
      </c>
      <c r="Z1643" s="2" t="s">
        <v>718</v>
      </c>
      <c r="AA1643" s="2" t="s">
        <v>721</v>
      </c>
    </row>
    <row r="1644" spans="1:27" x14ac:dyDescent="0.35">
      <c r="A1644" t="s">
        <v>2156</v>
      </c>
      <c r="B1644" t="s">
        <v>2724</v>
      </c>
      <c r="C1644" s="7" t="str">
        <f>_xlfn.XLOOKUP(B1644,'[1]Sheet 1'!$A$2:$A$11107,'[1]Sheet 1'!$D$2:$D$11107,"",0)</f>
        <v/>
      </c>
      <c r="D1644" s="4" t="str">
        <f>_xlfn.XLOOKUP(A1644,[3]Sheet2!$I$2:$I$1623,[3]Sheet2!$D$2:$D$1623,"",0)</f>
        <v>Q1</v>
      </c>
      <c r="F1644" s="4" t="e">
        <f>_xlfn.XLOOKUP(B1644,[2]Sheet2!$E$2:$E$713,[2]Sheet2!$G$2:$G$713)</f>
        <v>#N/A</v>
      </c>
      <c r="G1644" s="22">
        <v>46203</v>
      </c>
      <c r="H1644" s="23">
        <v>9.4050925925925927E-2</v>
      </c>
      <c r="I1644" t="s">
        <v>10</v>
      </c>
      <c r="J1644" s="2" t="str">
        <f t="shared" si="132"/>
        <v>Q3</v>
      </c>
      <c r="K1644" s="2" t="str">
        <f t="shared" si="133"/>
        <v>Not Match</v>
      </c>
      <c r="L1644" s="1">
        <f t="shared" si="131"/>
        <v>0.28284271247461906</v>
      </c>
      <c r="M1644" s="1" t="e">
        <f t="shared" si="130"/>
        <v>#N/A</v>
      </c>
      <c r="N1644" s="2" t="str">
        <f t="shared" si="134"/>
        <v>Q NOT OK dE&lt;=0.8</v>
      </c>
      <c r="O1644">
        <v>26.52</v>
      </c>
      <c r="P1644">
        <v>-13.22</v>
      </c>
      <c r="Q1644">
        <v>-3.59</v>
      </c>
      <c r="R1644">
        <v>-0.02</v>
      </c>
      <c r="S1644">
        <v>-0.04</v>
      </c>
      <c r="T1644">
        <v>-0.28000000000000003</v>
      </c>
      <c r="U1644">
        <v>0.08</v>
      </c>
      <c r="V1644">
        <v>0.25</v>
      </c>
      <c r="W1644">
        <v>0.26</v>
      </c>
      <c r="X1644" t="s">
        <v>8</v>
      </c>
      <c r="Y1644" t="s">
        <v>7</v>
      </c>
      <c r="Z1644" s="2" t="s">
        <v>718</v>
      </c>
      <c r="AA1644" s="2" t="s">
        <v>721</v>
      </c>
    </row>
    <row r="1645" spans="1:27" x14ac:dyDescent="0.35">
      <c r="A1645" t="s">
        <v>1612</v>
      </c>
      <c r="B1645" t="s">
        <v>2725</v>
      </c>
      <c r="C1645" s="7" t="str">
        <f>_xlfn.XLOOKUP(B1645,'[1]Sheet 1'!$A$2:$A$11107,'[1]Sheet 1'!$D$2:$D$11107,"",0)</f>
        <v/>
      </c>
      <c r="D1645" s="4" t="str">
        <f>_xlfn.XLOOKUP(A1645,[3]Sheet2!$I$2:$I$1623,[3]Sheet2!$D$2:$D$1623,"",0)</f>
        <v>Q1</v>
      </c>
      <c r="F1645" s="4" t="e">
        <f>_xlfn.XLOOKUP(B1645,[2]Sheet2!$E$2:$E$713,[2]Sheet2!$G$2:$G$713)</f>
        <v>#N/A</v>
      </c>
      <c r="G1645" s="22">
        <v>46203</v>
      </c>
      <c r="H1645" s="23">
        <v>0.14245370370370369</v>
      </c>
      <c r="I1645" t="s">
        <v>4</v>
      </c>
      <c r="J1645" s="2" t="str">
        <f t="shared" si="132"/>
        <v>Q3</v>
      </c>
      <c r="K1645" s="2" t="str">
        <f t="shared" si="133"/>
        <v>Not Match</v>
      </c>
      <c r="L1645" s="1">
        <f t="shared" si="131"/>
        <v>0.2596150997149434</v>
      </c>
      <c r="M1645" s="1" t="e">
        <f t="shared" si="130"/>
        <v>#N/A</v>
      </c>
      <c r="N1645" s="2" t="str">
        <f t="shared" si="134"/>
        <v>Q NOT OK dE&lt;=0.8</v>
      </c>
      <c r="O1645">
        <v>17.28</v>
      </c>
      <c r="P1645">
        <v>-0.35</v>
      </c>
      <c r="Q1645">
        <v>-2.5499999999999998</v>
      </c>
      <c r="R1645">
        <v>0.23</v>
      </c>
      <c r="S1645">
        <v>-7.0000000000000007E-2</v>
      </c>
      <c r="T1645">
        <v>-0.25</v>
      </c>
      <c r="U1645">
        <v>0.33</v>
      </c>
      <c r="V1645">
        <v>-0.04</v>
      </c>
      <c r="W1645">
        <v>0.41</v>
      </c>
      <c r="X1645" t="s">
        <v>8</v>
      </c>
      <c r="Y1645" t="s">
        <v>15</v>
      </c>
      <c r="Z1645" s="2" t="s">
        <v>718</v>
      </c>
      <c r="AA1645" s="2" t="s">
        <v>721</v>
      </c>
    </row>
    <row r="1646" spans="1:27" x14ac:dyDescent="0.35">
      <c r="A1646" t="s">
        <v>2148</v>
      </c>
      <c r="B1646" t="s">
        <v>2726</v>
      </c>
      <c r="C1646" s="7" t="str">
        <f>_xlfn.XLOOKUP(B1646,'[1]Sheet 1'!$A$2:$A$11107,'[1]Sheet 1'!$D$2:$D$11107,"",0)</f>
        <v/>
      </c>
      <c r="D1646" s="4" t="str">
        <f>_xlfn.XLOOKUP(A1646,[3]Sheet2!$I$2:$I$1623,[3]Sheet2!$D$2:$D$1623,"",0)</f>
        <v>Q3</v>
      </c>
      <c r="F1646" s="4" t="e">
        <f>_xlfn.XLOOKUP(B1646,[2]Sheet2!$E$2:$E$713,[2]Sheet2!$G$2:$G$713)</f>
        <v>#N/A</v>
      </c>
      <c r="G1646" s="22">
        <v>46203</v>
      </c>
      <c r="H1646" s="23">
        <v>0.2399074074074074</v>
      </c>
      <c r="I1646" t="s">
        <v>10</v>
      </c>
      <c r="J1646" s="2" t="str">
        <f t="shared" si="132"/>
        <v>Q4</v>
      </c>
      <c r="K1646" s="2" t="str">
        <f t="shared" si="133"/>
        <v>Not Match</v>
      </c>
      <c r="L1646" s="1">
        <f t="shared" si="131"/>
        <v>0.32310988842807026</v>
      </c>
      <c r="M1646" s="1" t="e">
        <f t="shared" si="130"/>
        <v>#N/A</v>
      </c>
      <c r="N1646" s="2" t="str">
        <f t="shared" si="134"/>
        <v>Q NOT OK dE&lt;=0.8</v>
      </c>
      <c r="O1646">
        <v>42.9</v>
      </c>
      <c r="P1646">
        <v>54.34</v>
      </c>
      <c r="Q1646">
        <v>38.380000000000003</v>
      </c>
      <c r="R1646">
        <v>0.17</v>
      </c>
      <c r="S1646">
        <v>0.3</v>
      </c>
      <c r="T1646">
        <v>-0.12</v>
      </c>
      <c r="U1646">
        <v>0.06</v>
      </c>
      <c r="V1646">
        <v>-0.19</v>
      </c>
      <c r="W1646">
        <v>0.26</v>
      </c>
      <c r="X1646" t="s">
        <v>8</v>
      </c>
      <c r="Y1646" t="s">
        <v>7</v>
      </c>
      <c r="Z1646" s="2" t="s">
        <v>718</v>
      </c>
      <c r="AA1646" s="2" t="s">
        <v>721</v>
      </c>
    </row>
    <row r="1647" spans="1:27" x14ac:dyDescent="0.35">
      <c r="A1647" t="s">
        <v>2727</v>
      </c>
      <c r="B1647" t="s">
        <v>2728</v>
      </c>
      <c r="C1647" s="7" t="str">
        <f>_xlfn.XLOOKUP(B1647,'[1]Sheet 1'!$A$2:$A$11107,'[1]Sheet 1'!$D$2:$D$11107,"",0)</f>
        <v/>
      </c>
      <c r="D1647" s="4" t="str">
        <f>_xlfn.XLOOKUP(A1647,[3]Sheet2!$I$2:$I$1623,[3]Sheet2!$D$2:$D$1623,"",0)</f>
        <v>Q2</v>
      </c>
      <c r="F1647" s="4" t="e">
        <f>_xlfn.XLOOKUP(B1647,[2]Sheet2!$E$2:$E$713,[2]Sheet2!$G$2:$G$713)</f>
        <v>#N/A</v>
      </c>
      <c r="G1647" s="22">
        <v>46203</v>
      </c>
      <c r="H1647" s="23">
        <v>0.25050925925925926</v>
      </c>
      <c r="I1647" t="s">
        <v>4</v>
      </c>
      <c r="J1647" s="2" t="str">
        <f t="shared" si="132"/>
        <v>Q1</v>
      </c>
      <c r="K1647" s="2" t="str">
        <f t="shared" si="133"/>
        <v>Not Match</v>
      </c>
      <c r="L1647" s="1">
        <f t="shared" si="131"/>
        <v>0.49040799340956914</v>
      </c>
      <c r="M1647" s="1" t="e">
        <f t="shared" si="130"/>
        <v>#N/A</v>
      </c>
      <c r="N1647" s="2" t="str">
        <f t="shared" si="134"/>
        <v>Q NOT OK dE&lt;=0.8</v>
      </c>
      <c r="O1647">
        <v>31.87</v>
      </c>
      <c r="P1647">
        <v>5.32</v>
      </c>
      <c r="Q1647">
        <v>6.54</v>
      </c>
      <c r="R1647">
        <v>-0.27</v>
      </c>
      <c r="S1647">
        <v>0.17</v>
      </c>
      <c r="T1647">
        <v>0.46</v>
      </c>
      <c r="U1647">
        <v>0.42</v>
      </c>
      <c r="V1647">
        <v>0.28999999999999998</v>
      </c>
      <c r="W1647">
        <v>0.57999999999999996</v>
      </c>
      <c r="X1647" t="s">
        <v>8</v>
      </c>
      <c r="Y1647" t="s">
        <v>12</v>
      </c>
      <c r="Z1647" s="2" t="s">
        <v>718</v>
      </c>
      <c r="AA1647" s="2" t="s">
        <v>721</v>
      </c>
    </row>
    <row r="1648" spans="1:27" x14ac:dyDescent="0.35">
      <c r="A1648" t="s">
        <v>1540</v>
      </c>
      <c r="B1648" t="s">
        <v>2729</v>
      </c>
      <c r="C1648" s="7" t="str">
        <f>_xlfn.XLOOKUP(B1648,'[1]Sheet 1'!$A$2:$A$11107,'[1]Sheet 1'!$D$2:$D$11107,"",0)</f>
        <v/>
      </c>
      <c r="D1648" s="4" t="str">
        <f>_xlfn.XLOOKUP(A1648,[3]Sheet2!$I$2:$I$1623,[3]Sheet2!$D$2:$D$1623,"",0)</f>
        <v>Q3</v>
      </c>
      <c r="F1648" s="4" t="e">
        <f>_xlfn.XLOOKUP(B1648,[2]Sheet2!$E$2:$E$713,[2]Sheet2!$G$2:$G$713)</f>
        <v>#N/A</v>
      </c>
      <c r="G1648" s="22">
        <v>46203</v>
      </c>
      <c r="H1648" s="23">
        <v>0.25445601851851851</v>
      </c>
      <c r="I1648" t="s">
        <v>10</v>
      </c>
      <c r="J1648" s="2" t="str">
        <f t="shared" si="132"/>
        <v>Q1</v>
      </c>
      <c r="K1648" s="2" t="str">
        <f t="shared" si="133"/>
        <v>Not Match</v>
      </c>
      <c r="L1648" s="1">
        <f t="shared" si="131"/>
        <v>0.15811388300841897</v>
      </c>
      <c r="M1648" s="1" t="e">
        <f t="shared" si="130"/>
        <v>#N/A</v>
      </c>
      <c r="N1648" s="2" t="str">
        <f t="shared" si="134"/>
        <v>Q NOT OK dE&lt;=0.8</v>
      </c>
      <c r="O1648">
        <v>14.53</v>
      </c>
      <c r="P1648">
        <v>0.55000000000000004</v>
      </c>
      <c r="Q1648">
        <v>-1.1000000000000001</v>
      </c>
      <c r="R1648">
        <v>-0.01</v>
      </c>
      <c r="S1648">
        <v>0.05</v>
      </c>
      <c r="T1648">
        <v>0.15</v>
      </c>
      <c r="U1648">
        <v>-0.16</v>
      </c>
      <c r="V1648">
        <v>0.15</v>
      </c>
      <c r="W1648">
        <v>0.22</v>
      </c>
      <c r="X1648" t="s">
        <v>8</v>
      </c>
      <c r="Y1648" t="s">
        <v>9</v>
      </c>
      <c r="Z1648" s="2" t="s">
        <v>718</v>
      </c>
      <c r="AA1648" s="2" t="s">
        <v>721</v>
      </c>
    </row>
    <row r="1649" spans="1:27" x14ac:dyDescent="0.35">
      <c r="A1649" t="s">
        <v>1547</v>
      </c>
      <c r="B1649" t="s">
        <v>2730</v>
      </c>
      <c r="C1649" s="7" t="str">
        <f>_xlfn.XLOOKUP(B1649,'[1]Sheet 1'!$A$2:$A$11107,'[1]Sheet 1'!$D$2:$D$11107,"",0)</f>
        <v/>
      </c>
      <c r="D1649" s="4" t="str">
        <f>_xlfn.XLOOKUP(A1649,[3]Sheet2!$I$2:$I$1623,[3]Sheet2!$D$2:$D$1623,"",0)</f>
        <v>Q3</v>
      </c>
      <c r="F1649" s="4" t="e">
        <f>_xlfn.XLOOKUP(B1649,[2]Sheet2!$E$2:$E$713,[2]Sheet2!$G$2:$G$713)</f>
        <v>#N/A</v>
      </c>
      <c r="G1649" s="22">
        <v>46203</v>
      </c>
      <c r="H1649" s="23">
        <v>0.2570486111111111</v>
      </c>
      <c r="I1649" t="s">
        <v>17</v>
      </c>
      <c r="J1649" s="2" t="str">
        <f t="shared" si="132"/>
        <v>Q3</v>
      </c>
      <c r="K1649" s="2" t="str">
        <f t="shared" si="133"/>
        <v>Match</v>
      </c>
      <c r="L1649" s="1">
        <f t="shared" si="131"/>
        <v>0.30066592756745814</v>
      </c>
      <c r="M1649" s="1" t="e">
        <f t="shared" si="130"/>
        <v>#N/A</v>
      </c>
      <c r="N1649" s="2" t="str">
        <f t="shared" si="134"/>
        <v>Q OK dE&lt;=0.8</v>
      </c>
      <c r="O1649">
        <v>14.84</v>
      </c>
      <c r="P1649">
        <v>-0.63</v>
      </c>
      <c r="Q1649">
        <v>-2.0299999999999998</v>
      </c>
      <c r="R1649">
        <v>-0.62</v>
      </c>
      <c r="S1649">
        <v>-0.02</v>
      </c>
      <c r="T1649">
        <v>-0.3</v>
      </c>
      <c r="U1649">
        <v>0.39</v>
      </c>
      <c r="V1649">
        <v>0.1</v>
      </c>
      <c r="W1649">
        <v>0.74</v>
      </c>
      <c r="X1649" t="s">
        <v>8</v>
      </c>
      <c r="Y1649" t="s">
        <v>9</v>
      </c>
      <c r="Z1649" s="2" t="s">
        <v>718</v>
      </c>
      <c r="AA1649" s="2" t="s">
        <v>721</v>
      </c>
    </row>
    <row r="1650" spans="1:27" x14ac:dyDescent="0.35">
      <c r="A1650" t="s">
        <v>1625</v>
      </c>
      <c r="B1650" t="s">
        <v>2731</v>
      </c>
      <c r="C1650" s="7" t="str">
        <f>_xlfn.XLOOKUP(B1650,'[1]Sheet 1'!$A$2:$A$11107,'[1]Sheet 1'!$D$2:$D$11107,"",0)</f>
        <v/>
      </c>
      <c r="D1650" s="4" t="str">
        <f>_xlfn.XLOOKUP(A1650,[3]Sheet2!$I$2:$I$1623,[3]Sheet2!$D$2:$D$1623,"",0)</f>
        <v>Q1</v>
      </c>
      <c r="F1650" s="4" t="e">
        <f>_xlfn.XLOOKUP(B1650,[2]Sheet2!$E$2:$E$713,[2]Sheet2!$G$2:$G$713)</f>
        <v>#N/A</v>
      </c>
      <c r="G1650" s="22">
        <v>46203</v>
      </c>
      <c r="H1650" s="23">
        <v>0.26089120370370372</v>
      </c>
      <c r="I1650" t="s">
        <v>11</v>
      </c>
      <c r="J1650" s="2" t="str">
        <f t="shared" si="132"/>
        <v>Q1</v>
      </c>
      <c r="K1650" s="2" t="str">
        <f t="shared" si="133"/>
        <v>Match</v>
      </c>
      <c r="L1650" s="1">
        <f t="shared" si="131"/>
        <v>0.80062475604992389</v>
      </c>
      <c r="M1650" s="1" t="e">
        <f t="shared" si="130"/>
        <v>#N/A</v>
      </c>
      <c r="N1650" s="2" t="str">
        <f t="shared" si="134"/>
        <v>Q OK dE&gt;0.8</v>
      </c>
      <c r="O1650">
        <v>19.23</v>
      </c>
      <c r="P1650">
        <v>-0.27</v>
      </c>
      <c r="Q1650">
        <v>-3.31</v>
      </c>
      <c r="R1650">
        <v>-0.77</v>
      </c>
      <c r="S1650">
        <v>0.13</v>
      </c>
      <c r="T1650">
        <v>0.79</v>
      </c>
      <c r="U1650">
        <v>-0.9</v>
      </c>
      <c r="V1650">
        <v>7.0000000000000007E-2</v>
      </c>
      <c r="W1650">
        <v>1.18</v>
      </c>
      <c r="X1650" t="s">
        <v>6</v>
      </c>
      <c r="Y1650" t="s">
        <v>9</v>
      </c>
      <c r="Z1650" s="2" t="s">
        <v>718</v>
      </c>
      <c r="AA1650" s="2" t="s">
        <v>721</v>
      </c>
    </row>
    <row r="1651" spans="1:27" x14ac:dyDescent="0.35">
      <c r="A1651" t="s">
        <v>1626</v>
      </c>
      <c r="B1651" t="s">
        <v>2732</v>
      </c>
      <c r="C1651" s="7" t="str">
        <f>_xlfn.XLOOKUP(B1651,'[1]Sheet 1'!$A$2:$A$11107,'[1]Sheet 1'!$D$2:$D$11107,"",0)</f>
        <v/>
      </c>
      <c r="D1651" s="4" t="str">
        <f>_xlfn.XLOOKUP(A1651,[3]Sheet2!$I$2:$I$1623,[3]Sheet2!$D$2:$D$1623,"",0)</f>
        <v>Q4</v>
      </c>
      <c r="F1651" s="4" t="e">
        <f>_xlfn.XLOOKUP(B1651,[2]Sheet2!$E$2:$E$713,[2]Sheet2!$G$2:$G$713)</f>
        <v>#N/A</v>
      </c>
      <c r="G1651" s="22">
        <v>46203</v>
      </c>
      <c r="H1651" s="23">
        <v>0.2635763888888889</v>
      </c>
      <c r="I1651" t="s">
        <v>10</v>
      </c>
      <c r="J1651" s="2" t="str">
        <f t="shared" si="132"/>
        <v>Q2</v>
      </c>
      <c r="K1651" s="2" t="str">
        <f t="shared" si="133"/>
        <v>Not Match</v>
      </c>
      <c r="L1651" s="1">
        <f t="shared" si="131"/>
        <v>0.32202484376209239</v>
      </c>
      <c r="M1651" s="1" t="e">
        <f t="shared" si="130"/>
        <v>#N/A</v>
      </c>
      <c r="N1651" s="2" t="str">
        <f t="shared" si="134"/>
        <v>Q NOT OK dE&lt;=0.8</v>
      </c>
      <c r="O1651">
        <v>15.33</v>
      </c>
      <c r="P1651">
        <v>0.3</v>
      </c>
      <c r="Q1651">
        <v>-1.45</v>
      </c>
      <c r="R1651">
        <v>-0.25</v>
      </c>
      <c r="S1651">
        <v>-0.28999999999999998</v>
      </c>
      <c r="T1651">
        <v>0.14000000000000001</v>
      </c>
      <c r="U1651">
        <v>-0.28999999999999998</v>
      </c>
      <c r="V1651">
        <v>-0.33</v>
      </c>
      <c r="W1651">
        <v>0.51</v>
      </c>
      <c r="X1651" t="s">
        <v>8</v>
      </c>
      <c r="Y1651" t="s">
        <v>15</v>
      </c>
      <c r="Z1651" s="2" t="s">
        <v>718</v>
      </c>
      <c r="AA1651" s="2" t="s">
        <v>721</v>
      </c>
    </row>
    <row r="1652" spans="1:27" x14ac:dyDescent="0.35">
      <c r="A1652" t="s">
        <v>2148</v>
      </c>
      <c r="B1652" t="s">
        <v>2733</v>
      </c>
      <c r="C1652" s="7" t="str">
        <f>_xlfn.XLOOKUP(B1652,'[1]Sheet 1'!$A$2:$A$11107,'[1]Sheet 1'!$D$2:$D$11107,"",0)</f>
        <v/>
      </c>
      <c r="D1652" s="4" t="str">
        <f>_xlfn.XLOOKUP(A1652,[3]Sheet2!$I$2:$I$1623,[3]Sheet2!$D$2:$D$1623,"",0)</f>
        <v>Q3</v>
      </c>
      <c r="F1652" s="4" t="e">
        <f>_xlfn.XLOOKUP(B1652,[2]Sheet2!$E$2:$E$713,[2]Sheet2!$G$2:$G$713)</f>
        <v>#N/A</v>
      </c>
      <c r="G1652" s="22">
        <v>46203</v>
      </c>
      <c r="H1652" s="23">
        <v>0.26968750000000002</v>
      </c>
      <c r="I1652" t="s">
        <v>10</v>
      </c>
      <c r="J1652" s="2" t="str">
        <f t="shared" si="132"/>
        <v>Q4</v>
      </c>
      <c r="K1652" s="2" t="str">
        <f t="shared" si="133"/>
        <v>Not Match</v>
      </c>
      <c r="L1652" s="1">
        <f t="shared" si="131"/>
        <v>0.56356011214421486</v>
      </c>
      <c r="M1652" s="1" t="e">
        <f t="shared" si="130"/>
        <v>#N/A</v>
      </c>
      <c r="N1652" s="2" t="str">
        <f t="shared" si="134"/>
        <v>Q NOT OK dE&lt;=0.8</v>
      </c>
      <c r="O1652">
        <v>42.97</v>
      </c>
      <c r="P1652">
        <v>54.3</v>
      </c>
      <c r="Q1652">
        <v>37.99</v>
      </c>
      <c r="R1652">
        <v>0.2</v>
      </c>
      <c r="S1652">
        <v>0.26</v>
      </c>
      <c r="T1652">
        <v>-0.5</v>
      </c>
      <c r="U1652">
        <v>-0.03</v>
      </c>
      <c r="V1652">
        <v>-0.39</v>
      </c>
      <c r="W1652">
        <v>0.44</v>
      </c>
      <c r="X1652" t="s">
        <v>8</v>
      </c>
      <c r="Y1652" t="s">
        <v>7</v>
      </c>
      <c r="Z1652" s="2" t="s">
        <v>718</v>
      </c>
      <c r="AA1652" s="2" t="s">
        <v>721</v>
      </c>
    </row>
    <row r="1653" spans="1:27" x14ac:dyDescent="0.35">
      <c r="A1653" t="s">
        <v>2524</v>
      </c>
      <c r="B1653" t="s">
        <v>2734</v>
      </c>
      <c r="C1653" s="7" t="str">
        <f>_xlfn.XLOOKUP(B1653,'[1]Sheet 1'!$A$2:$A$11107,'[1]Sheet 1'!$D$2:$D$11107,"",0)</f>
        <v/>
      </c>
      <c r="D1653" s="4" t="str">
        <f>_xlfn.XLOOKUP(A1653,[3]Sheet2!$I$2:$I$1623,[3]Sheet2!$D$2:$D$1623,"",0)</f>
        <v>Q1</v>
      </c>
      <c r="F1653" s="4" t="e">
        <f>_xlfn.XLOOKUP(B1653,[2]Sheet2!$E$2:$E$713,[2]Sheet2!$G$2:$G$713)</f>
        <v>#N/A</v>
      </c>
      <c r="G1653" s="22">
        <v>46203</v>
      </c>
      <c r="H1653" s="23">
        <v>0.27185185185185184</v>
      </c>
      <c r="I1653" t="s">
        <v>10</v>
      </c>
      <c r="J1653" s="2" t="str">
        <f t="shared" si="132"/>
        <v>Q2</v>
      </c>
      <c r="K1653" s="2" t="str">
        <f t="shared" si="133"/>
        <v>Not Match</v>
      </c>
      <c r="L1653" s="1">
        <f t="shared" si="131"/>
        <v>0.97416631023660427</v>
      </c>
      <c r="M1653" s="1" t="e">
        <f t="shared" si="130"/>
        <v>#N/A</v>
      </c>
      <c r="N1653" s="2" t="str">
        <f t="shared" si="134"/>
        <v>Q NOT OK dE&gt;0.8</v>
      </c>
      <c r="O1653">
        <v>23.69</v>
      </c>
      <c r="P1653">
        <v>-13.97</v>
      </c>
      <c r="Q1653">
        <v>-3.37</v>
      </c>
      <c r="R1653">
        <v>-0.87</v>
      </c>
      <c r="S1653">
        <v>-0.83</v>
      </c>
      <c r="T1653">
        <v>0.51</v>
      </c>
      <c r="U1653">
        <v>0.49</v>
      </c>
      <c r="V1653">
        <v>-0.67</v>
      </c>
      <c r="W1653">
        <v>1.2</v>
      </c>
      <c r="X1653" t="s">
        <v>6</v>
      </c>
      <c r="Y1653" t="s">
        <v>12</v>
      </c>
      <c r="Z1653" s="2" t="s">
        <v>718</v>
      </c>
      <c r="AA1653" s="2" t="s">
        <v>721</v>
      </c>
    </row>
    <row r="1654" spans="1:27" x14ac:dyDescent="0.35">
      <c r="A1654" t="s">
        <v>1826</v>
      </c>
      <c r="B1654" t="s">
        <v>2735</v>
      </c>
      <c r="C1654" s="7" t="str">
        <f>_xlfn.XLOOKUP(B1654,'[1]Sheet 1'!$A$2:$A$11107,'[1]Sheet 1'!$D$2:$D$11107,"",0)</f>
        <v/>
      </c>
      <c r="D1654" s="4" t="str">
        <f>_xlfn.XLOOKUP(A1654,[3]Sheet2!$I$2:$I$1623,[3]Sheet2!$D$2:$D$1623,"",0)</f>
        <v>Q1</v>
      </c>
      <c r="F1654" s="4" t="e">
        <f>_xlfn.XLOOKUP(B1654,[2]Sheet2!$E$2:$E$713,[2]Sheet2!$G$2:$G$713)</f>
        <v>#N/A</v>
      </c>
      <c r="G1654" s="22">
        <v>46203</v>
      </c>
      <c r="H1654" s="23">
        <v>0.2747222222222222</v>
      </c>
      <c r="I1654" t="s">
        <v>4</v>
      </c>
      <c r="J1654" s="2" t="str">
        <f t="shared" si="132"/>
        <v>Q2</v>
      </c>
      <c r="K1654" s="2" t="str">
        <f t="shared" si="133"/>
        <v>Not Match</v>
      </c>
      <c r="L1654" s="1">
        <f t="shared" si="131"/>
        <v>0.19235384061671346</v>
      </c>
      <c r="M1654" s="1" t="e">
        <f t="shared" si="130"/>
        <v>#N/A</v>
      </c>
      <c r="N1654" s="2" t="str">
        <f t="shared" si="134"/>
        <v>Q NOT OK dE&lt;=0.8</v>
      </c>
      <c r="O1654">
        <v>23.01</v>
      </c>
      <c r="P1654">
        <v>13.5</v>
      </c>
      <c r="Q1654">
        <v>2.73</v>
      </c>
      <c r="R1654">
        <v>-0.39</v>
      </c>
      <c r="S1654">
        <v>-0.19</v>
      </c>
      <c r="T1654">
        <v>0.03</v>
      </c>
      <c r="U1654">
        <v>-0.13</v>
      </c>
      <c r="V1654">
        <v>7.0000000000000007E-2</v>
      </c>
      <c r="W1654">
        <v>0.42</v>
      </c>
      <c r="X1654" t="s">
        <v>8</v>
      </c>
      <c r="Y1654" t="s">
        <v>12</v>
      </c>
      <c r="Z1654" s="2" t="s">
        <v>718</v>
      </c>
      <c r="AA1654" s="2" t="s">
        <v>721</v>
      </c>
    </row>
  </sheetData>
  <autoFilter ref="A1:AA1654" xr:uid="{B1958B48-52FC-49FD-A86F-5A770400649C}">
    <sortState xmlns:xlrd2="http://schemas.microsoft.com/office/spreadsheetml/2017/richdata2" ref="A2:AA1336">
      <sortCondition ref="G1:G1131"/>
    </sortState>
  </autoFilter>
  <phoneticPr fontId="18" type="noConversion"/>
  <conditionalFormatting sqref="A821:A1126">
    <cfRule type="duplicateValues" dxfId="11" priority="661"/>
    <cfRule type="duplicateValues" dxfId="10" priority="662"/>
  </conditionalFormatting>
  <conditionalFormatting sqref="B821:C1126 A1:C1 A1132:C1048576">
    <cfRule type="duplicateValues" dxfId="9" priority="1132"/>
  </conditionalFormatting>
  <conditionalFormatting sqref="B2:B820 C2:C1654">
    <cfRule type="duplicateValues" dxfId="8" priority="1154"/>
    <cfRule type="duplicateValues" dxfId="7" priority="1155"/>
  </conditionalFormatting>
  <conditionalFormatting sqref="B1132:B1048576 B1:B1126 C1:C1048576">
    <cfRule type="duplicateValues" dxfId="6" priority="1160"/>
  </conditionalFormatting>
  <conditionalFormatting sqref="B1:C1048576">
    <cfRule type="duplicateValues" dxfId="5" priority="1138"/>
  </conditionalFormatting>
  <conditionalFormatting sqref="B821:C823 B1:C1 B830:C1126 B1132:C1048576">
    <cfRule type="duplicateValues" dxfId="4" priority="1140"/>
  </conditionalFormatting>
  <conditionalFormatting sqref="B821:C1126 B1:C1 B1132:C1048576">
    <cfRule type="duplicateValues" dxfId="3" priority="1148"/>
  </conditionalFormatting>
  <conditionalFormatting sqref="A1 A1132:A1048576">
    <cfRule type="duplicateValues" dxfId="0" priority="116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BFE1-4E51-4968-BE53-E93B27B15C39}">
  <dimension ref="G11"/>
  <sheetViews>
    <sheetView workbookViewId="0">
      <selection activeCell="G11" sqref="G11"/>
    </sheetView>
  </sheetViews>
  <sheetFormatPr defaultRowHeight="14.5" x14ac:dyDescent="0.35"/>
  <sheetData>
    <row r="11" spans="7:7" x14ac:dyDescent="0.35">
      <c r="G11" t="s">
        <v>2727</v>
      </c>
    </row>
  </sheetData>
  <conditionalFormatting sqref="G11">
    <cfRule type="duplicateValues" dxfId="2" priority="1"/>
  </conditionalFormatting>
  <conditionalFormatting sqref="G11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Exhaust_Illuminant 2</vt:lpstr>
      <vt:lpstr>Exhaust_Illuminant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Tharini Fernando (SriLanka-EP)</dc:creator>
  <cp:lastModifiedBy>Tharini Fernando (SriLanka-EP)</cp:lastModifiedBy>
  <dcterms:created xsi:type="dcterms:W3CDTF">2026-03-12T06:03:30Z</dcterms:created>
  <dcterms:modified xsi:type="dcterms:W3CDTF">2026-06-30T11:21:25Z</dcterms:modified>
</cp:coreProperties>
</file>